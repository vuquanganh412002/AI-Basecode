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概要" sheetId="3" state="visible" r:id="rId3"/>
    <sheet name="テスト報告書" sheetId="4" state="visible" r:id="rId4"/>
    <sheet name="テスト観点" sheetId="5" state="visible" r:id="rId5"/>
    <sheet name="機能"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游ゴシック"/>
      <color rgb="FF1F3864"/>
      <sz val="26"/>
    </font>
    <font>
      <name val="游ゴシック"/>
      <color rgb="FF1F3864"/>
      <sz val="24"/>
    </font>
    <font>
      <name val="游ゴシック"/>
      <sz val="15"/>
    </font>
    <font>
      <name val="游ゴシック"/>
      <color rgb="FF000000"/>
      <sz val="10"/>
    </font>
    <font>
      <name val="游ゴシック"/>
      <b val="1"/>
      <color rgb="FF000000"/>
      <sz val="11"/>
    </font>
    <font>
      <name val="游ゴシック"/>
      <color rgb="FF000000"/>
      <sz val="11"/>
    </font>
    <font>
      <name val="游ゴシック"/>
      <b val="1"/>
      <color rgb="FF000000"/>
      <sz val="14"/>
    </font>
    <font>
      <name val="游ゴシック"/>
      <i val="1"/>
      <color rgb="FF000000"/>
      <sz val="11"/>
    </font>
  </fonts>
  <fills count="10">
    <fill>
      <patternFill/>
    </fill>
    <fill>
      <patternFill patternType="gray125"/>
    </fill>
    <fill>
      <patternFill patternType="solid">
        <fgColor rgb="FFD9E2F3"/>
      </patternFill>
    </fill>
    <fill>
      <patternFill patternType="solid">
        <fgColor rgb="FFB4C6E7"/>
      </patternFill>
    </fill>
    <fill>
      <patternFill patternType="solid">
        <fgColor rgb="FFFFFF99"/>
      </patternFill>
    </fill>
    <fill>
      <patternFill patternType="solid">
        <fgColor rgb="FFBDD6EE"/>
      </patternFill>
    </fill>
    <fill>
      <patternFill patternType="solid">
        <fgColor rgb="FFDEEAF6"/>
      </patternFill>
    </fill>
    <fill>
      <patternFill patternType="solid">
        <fgColor rgb="FFFFC7CE"/>
      </patternFill>
    </fill>
    <fill>
      <patternFill patternType="solid">
        <fgColor rgb="FFFFEB9C"/>
      </patternFill>
    </fill>
    <fill>
      <patternFill patternType="solid">
        <fgColor rgb="FFC6EFCE"/>
      </patternFill>
    </fill>
  </fills>
  <borders count="23">
    <border>
      <left/>
      <right/>
      <top/>
      <bottom/>
      <diagonal/>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border>
    <border>
      <left/>
      <right style="thin">
        <color rgb="FF000000"/>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numFmtId="0" fontId="0" fillId="0" borderId="0"/>
  </cellStyleXfs>
  <cellXfs count="55">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4" fillId="2" borderId="11" applyAlignment="1" pivotButton="0" quotePrefix="0" xfId="0">
      <alignment horizontal="center" vertical="center" wrapText="1"/>
    </xf>
    <xf numFmtId="0" fontId="0" fillId="0" borderId="12" pivotButton="0" quotePrefix="0" xfId="0"/>
    <xf numFmtId="0" fontId="0" fillId="0" borderId="13" pivotButton="0" quotePrefix="0" xfId="0"/>
    <xf numFmtId="49" fontId="4" fillId="2"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5" fillId="3" borderId="14" applyAlignment="1" pivotButton="0" quotePrefix="0" xfId="0">
      <alignment horizontal="center" vertical="center" wrapText="1"/>
    </xf>
    <xf numFmtId="0" fontId="5" fillId="3" borderId="11" applyAlignment="1" pivotButton="0" quotePrefix="0" xfId="0">
      <alignment horizontal="center" vertical="center" wrapText="1"/>
    </xf>
    <xf numFmtId="0" fontId="6" fillId="0" borderId="14" applyAlignment="1" pivotButton="0" quotePrefix="0" xfId="0">
      <alignment horizontal="center" vertical="center" wrapText="1"/>
    </xf>
    <xf numFmtId="0" fontId="6" fillId="0" borderId="11" applyAlignment="1" pivotButton="0" quotePrefix="0" xfId="0">
      <alignment horizontal="center" vertical="center" wrapText="1"/>
    </xf>
    <xf numFmtId="0" fontId="6" fillId="0" borderId="11" applyAlignment="1" pivotButton="0" quotePrefix="0" xfId="0">
      <alignment horizontal="left" vertical="center" wrapText="1"/>
    </xf>
    <xf numFmtId="0" fontId="6" fillId="0" borderId="15" applyAlignment="1" pivotButton="0" quotePrefix="0" xfId="0">
      <alignment horizontal="center" vertical="center" wrapText="1"/>
    </xf>
    <xf numFmtId="0" fontId="0" fillId="0" borderId="16" pivotButton="0" quotePrefix="0" xfId="0"/>
    <xf numFmtId="0" fontId="0" fillId="0" borderId="17" pivotButton="0" quotePrefix="0" xfId="0"/>
    <xf numFmtId="49" fontId="6" fillId="0" borderId="15" applyAlignment="1" pivotButton="0" quotePrefix="0" xfId="0">
      <alignment horizontal="center" vertical="center" wrapText="1"/>
    </xf>
    <xf numFmtId="0" fontId="0" fillId="0" borderId="18" pivotButton="0" quotePrefix="0" xfId="0"/>
    <xf numFmtId="0" fontId="0" fillId="0" borderId="19" pivotButton="0" quotePrefix="0" xfId="0"/>
    <xf numFmtId="0" fontId="0" fillId="0" borderId="20" pivotButton="0" quotePrefix="0" xfId="0"/>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4" borderId="0" applyAlignment="1" pivotButton="0" quotePrefix="0" xfId="0">
      <alignment horizontal="left" vertical="center" wrapText="1"/>
    </xf>
    <xf numFmtId="0" fontId="7" fillId="3" borderId="11" applyAlignment="1" pivotButton="0" quotePrefix="0" xfId="0">
      <alignment horizontal="center" vertical="center" wrapText="1"/>
    </xf>
    <xf numFmtId="0" fontId="5" fillId="5" borderId="11" applyAlignment="1" pivotButton="0" quotePrefix="0" xfId="0">
      <alignment horizontal="left" vertical="center" wrapText="1"/>
    </xf>
    <xf numFmtId="49" fontId="6" fillId="0" borderId="11" applyAlignment="1" pivotButton="0" quotePrefix="0" xfId="0">
      <alignment horizontal="left" vertical="center" wrapText="1"/>
    </xf>
    <xf numFmtId="0" fontId="5" fillId="5" borderId="21" applyAlignment="1" pivotButton="0" quotePrefix="0" xfId="0">
      <alignment horizontal="center" vertical="center" wrapText="1"/>
    </xf>
    <xf numFmtId="0" fontId="5" fillId="5" borderId="15" applyAlignment="1" pivotButton="0" quotePrefix="0" xfId="0">
      <alignment horizontal="center" vertical="center" wrapText="1"/>
    </xf>
    <xf numFmtId="0" fontId="5" fillId="5" borderId="11" applyAlignment="1" pivotButton="0" quotePrefix="0" xfId="0">
      <alignment horizontal="center" vertical="center" wrapText="1"/>
    </xf>
    <xf numFmtId="0" fontId="0" fillId="0" borderId="22" pivotButton="0" quotePrefix="0" xfId="0"/>
    <xf numFmtId="0" fontId="5" fillId="6" borderId="14" applyAlignment="1" pivotButton="0" quotePrefix="0" xfId="0">
      <alignment horizontal="left" vertical="center" wrapText="1"/>
    </xf>
    <xf numFmtId="164" fontId="6" fillId="0" borderId="11" applyAlignment="1" pivotButton="0" quotePrefix="0" xfId="0">
      <alignment horizontal="center" vertical="center" wrapText="1"/>
    </xf>
    <xf numFmtId="0" fontId="5" fillId="0" borderId="11" applyAlignment="1" pivotButton="0" quotePrefix="0" xfId="0">
      <alignment horizontal="center" vertical="center" wrapText="1"/>
    </xf>
    <xf numFmtId="164" fontId="5" fillId="0" borderId="11" applyAlignment="1" pivotButton="0" quotePrefix="0" xfId="0">
      <alignment horizontal="center" vertical="center" wrapText="1"/>
    </xf>
    <xf numFmtId="0" fontId="5" fillId="6" borderId="14" applyAlignment="1" pivotButton="0" quotePrefix="0" xfId="0">
      <alignment horizontal="center" vertical="center" wrapText="1"/>
    </xf>
    <xf numFmtId="0" fontId="5" fillId="6" borderId="11" applyAlignment="1" pivotButton="0" quotePrefix="0" xfId="0">
      <alignment horizontal="center" vertical="center" wrapText="1"/>
    </xf>
    <xf numFmtId="0" fontId="6" fillId="0" borderId="14" applyAlignment="1" pivotButton="0" quotePrefix="0" xfId="0">
      <alignment horizontal="center" vertical="top" wrapText="1"/>
    </xf>
    <xf numFmtId="0" fontId="6" fillId="0" borderId="11" applyAlignment="1" pivotButton="0" quotePrefix="0" xfId="0">
      <alignment horizontal="center" vertical="top" wrapText="1"/>
    </xf>
    <xf numFmtId="0" fontId="6" fillId="0" borderId="11" applyAlignment="1" pivotButton="0" quotePrefix="0" xfId="0">
      <alignment horizontal="left" vertical="top" wrapText="1"/>
    </xf>
    <xf numFmtId="0" fontId="5" fillId="7" borderId="11" applyAlignment="1" pivotButton="0" quotePrefix="0" xfId="0">
      <alignment horizontal="center" vertical="top" wrapText="1"/>
    </xf>
    <xf numFmtId="0" fontId="5" fillId="8" borderId="11" applyAlignment="1" pivotButton="0" quotePrefix="0" xfId="0">
      <alignment horizontal="center" vertical="top" wrapText="1"/>
    </xf>
    <xf numFmtId="0" fontId="5" fillId="9" borderId="11" applyAlignment="1" pivotButton="0" quotePrefix="0" xfId="0">
      <alignment horizontal="center" vertical="top" wrapText="1"/>
    </xf>
    <xf numFmtId="0" fontId="5" fillId="5" borderId="11" applyAlignment="1" pivotButton="0" quotePrefix="0" xfId="0">
      <alignment horizontal="right" vertical="center" wrapText="1"/>
    </xf>
    <xf numFmtId="0" fontId="5" fillId="0" borderId="11" applyAlignment="1" pivotButton="0" quotePrefix="0" xfId="0">
      <alignment horizontal="center" vertical="top" wrapText="1"/>
    </xf>
    <xf numFmtId="0" fontId="8" fillId="0" borderId="11" applyAlignment="1" pivotButton="0" quotePrefix="0" xfId="0">
      <alignment horizontal="left" vertical="top" wrapText="1"/>
    </xf>
    <xf numFmtId="0" fontId="5" fillId="6" borderId="21" applyAlignment="1" pivotButton="0" quotePrefix="0" xfId="0">
      <alignment horizontal="center" vertical="center" wrapText="1"/>
    </xf>
    <xf numFmtId="0" fontId="5" fillId="6" borderId="15"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0</colOff>
      <row>2</row>
      <rowOff>0</rowOff>
    </from>
    <ext cx="133350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AK34"/>
  <sheetViews>
    <sheetView showGridLines="0" workbookViewId="0">
      <selection activeCell="A1" sqref="A1"/>
    </sheetView>
  </sheetViews>
  <sheetFormatPr baseColWidth="8" defaultColWidth="14.5" defaultRowHeight="12.75" customHeight="1"/>
  <cols>
    <col width="3.66" customWidth="1" min="1" max="1"/>
    <col width="3.25" customWidth="1" min="2" max="2"/>
    <col width="3.25" customWidth="1" min="3" max="3"/>
    <col width="3.25" customWidth="1" min="4" max="4"/>
    <col width="3.25" customWidth="1" min="5" max="5"/>
    <col width="3.25" customWidth="1" min="6" max="6"/>
    <col width="3.25" customWidth="1" min="7" max="7"/>
    <col width="3.25" customWidth="1" min="8" max="8"/>
    <col width="3.25" customWidth="1" min="9" max="9"/>
    <col width="3.25" customWidth="1" min="10" max="10"/>
    <col width="3.25" customWidth="1" min="11" max="11"/>
    <col width="3.25" customWidth="1" min="12" max="12"/>
    <col width="3.25" customWidth="1" min="13" max="13"/>
    <col width="3.25" customWidth="1" min="14" max="14"/>
    <col width="3.25" customWidth="1" min="15" max="15"/>
    <col width="3.25" customWidth="1" min="16" max="16"/>
    <col width="3.25" customWidth="1" min="17" max="17"/>
    <col width="3.25" customWidth="1" min="18" max="18"/>
    <col width="3.25" customWidth="1" min="19" max="19"/>
    <col width="3.25" customWidth="1" min="20" max="20"/>
    <col width="3.25" customWidth="1" min="21" max="21"/>
    <col width="3.25" customWidth="1" min="22" max="22"/>
    <col width="3.25" customWidth="1" min="23" max="23"/>
    <col width="3.25" customWidth="1" min="24" max="24"/>
    <col width="3.25" customWidth="1" min="25" max="25"/>
    <col width="3.25" customWidth="1" min="26" max="26"/>
    <col width="3.25" customWidth="1" min="27" max="27"/>
    <col width="3.25" customWidth="1" min="28" max="28"/>
    <col width="3.25" customWidth="1" min="29" max="29"/>
    <col width="3.25" customWidth="1" min="30" max="30"/>
    <col width="3.25" customWidth="1" min="31" max="31"/>
    <col width="3.25" customWidth="1" min="32" max="32"/>
    <col width="3.25" customWidth="1" min="33" max="33"/>
    <col width="3.25" customWidth="1" min="34" max="34"/>
    <col width="3.25" customWidth="1" min="35" max="35"/>
    <col width="3.25" customWidth="1" min="36" max="36"/>
    <col width="3.25" customWidth="1" min="37" max="37"/>
  </cols>
  <sheetData>
    <row r="1" ht="19.5" customHeight="1"/>
    <row r="2" ht="12.75" customHeight="1">
      <c r="B2" s="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3" t="n"/>
    </row>
    <row r="3" ht="12.75" customHeight="1">
      <c r="B3" s="4" t="n"/>
      <c r="AK3" s="5" t="n"/>
    </row>
    <row r="4" ht="12.75" customHeight="1">
      <c r="B4" s="4" t="n"/>
      <c r="AK4" s="5" t="n"/>
    </row>
    <row r="5" ht="12.75" customHeight="1">
      <c r="B5" s="4" t="n"/>
      <c r="AK5" s="5" t="n"/>
    </row>
    <row r="6" ht="12.75" customHeight="1">
      <c r="B6" s="4" t="n"/>
      <c r="AK6" s="5" t="n"/>
    </row>
    <row r="7" ht="12.75" customHeight="1">
      <c r="B7" s="4" t="n"/>
      <c r="AK7" s="5" t="n"/>
    </row>
    <row r="8" ht="12.75" customHeight="1">
      <c r="B8" s="4" t="n"/>
      <c r="AK8" s="5" t="n"/>
    </row>
    <row r="9" ht="12.75" customHeight="1">
      <c r="B9" s="4" t="n"/>
      <c r="AK9" s="5" t="n"/>
    </row>
    <row r="10" ht="29.25" customHeight="1">
      <c r="B10" s="6" t="inlineStr">
        <is>
          <t>クラウド版購読者管理システム</t>
        </is>
      </c>
      <c r="AK10" s="5" t="n"/>
    </row>
    <row r="11" ht="12.75" customHeight="1">
      <c r="B11" s="4" t="n"/>
      <c r="AK11" s="5" t="n"/>
    </row>
    <row r="12" ht="39" customHeight="1">
      <c r="B12" s="7" t="inlineStr">
        <is>
          <t>単価マスタ明細検索画面</t>
        </is>
      </c>
      <c r="AK12" s="5" t="n"/>
    </row>
    <row r="13" ht="12.75" customHeight="1">
      <c r="B13" s="4" t="n"/>
      <c r="AK13" s="5" t="n"/>
    </row>
    <row r="14" ht="12.75" customHeight="1">
      <c r="B14" s="4" t="n"/>
      <c r="AK14" s="5" t="n"/>
    </row>
    <row r="15" ht="12.75" customHeight="1">
      <c r="B15" s="8" t="inlineStr">
        <is>
          <t>版1.0</t>
        </is>
      </c>
      <c r="AK15" s="5" t="n"/>
    </row>
    <row r="16" ht="12.75" customHeight="1">
      <c r="B16" s="4" t="n"/>
      <c r="AK16" s="5" t="n"/>
    </row>
    <row r="17" ht="12.75" customHeight="1">
      <c r="B17" s="4" t="n"/>
      <c r="AK17" s="5" t="n"/>
    </row>
    <row r="18" ht="12.75" customHeight="1">
      <c r="B18" s="4" t="n"/>
      <c r="N18" s="9" t="inlineStr">
        <is>
          <t>フォーマットコード</t>
        </is>
      </c>
      <c r="O18" s="10" t="n"/>
      <c r="P18" s="10" t="n"/>
      <c r="Q18" s="10" t="n"/>
      <c r="R18" s="11" t="n"/>
      <c r="S18" s="9" t="inlineStr">
        <is>
          <t>16-BM/PM/VTI</t>
        </is>
      </c>
      <c r="T18" s="10" t="n"/>
      <c r="U18" s="10" t="n"/>
      <c r="V18" s="10" t="n"/>
      <c r="W18" s="11" t="n"/>
      <c r="AK18" s="5" t="n"/>
    </row>
    <row r="19" ht="12.75" customHeight="1">
      <c r="B19" s="4" t="n"/>
      <c r="N19" s="9" t="inlineStr">
        <is>
          <t>フォーマットバージョン</t>
        </is>
      </c>
      <c r="O19" s="10" t="n"/>
      <c r="P19" s="10" t="n"/>
      <c r="Q19" s="10" t="n"/>
      <c r="R19" s="11" t="n"/>
      <c r="S19" s="9" t="inlineStr">
        <is>
          <t>1.0</t>
        </is>
      </c>
      <c r="T19" s="10" t="n"/>
      <c r="U19" s="10" t="n"/>
      <c r="V19" s="10" t="n"/>
      <c r="W19" s="11" t="n"/>
      <c r="AK19" s="5" t="n"/>
    </row>
    <row r="20" ht="12.75" customHeight="1">
      <c r="B20" s="4" t="n"/>
      <c r="N20" s="9" t="inlineStr">
        <is>
          <t>発行日</t>
        </is>
      </c>
      <c r="O20" s="10" t="n"/>
      <c r="P20" s="10" t="n"/>
      <c r="Q20" s="10" t="n"/>
      <c r="R20" s="11" t="n"/>
      <c r="S20" s="12" t="inlineStr">
        <is>
          <t>2026/05/14</t>
        </is>
      </c>
      <c r="T20" s="10" t="n"/>
      <c r="U20" s="10" t="n"/>
      <c r="V20" s="10" t="n"/>
      <c r="W20" s="11" t="n"/>
      <c r="AK20" s="5" t="n"/>
    </row>
    <row r="21" ht="12.75" customHeight="1">
      <c r="B21" s="4" t="n"/>
      <c r="AK21" s="5" t="n"/>
    </row>
    <row r="22" ht="12.75" customHeight="1">
      <c r="B22" s="4" t="n"/>
      <c r="AK22" s="5" t="n"/>
    </row>
    <row r="23" ht="12.75" customHeight="1">
      <c r="B23" s="4" t="n"/>
      <c r="AK23" s="5" t="n"/>
    </row>
    <row r="24" ht="12.75" customHeight="1">
      <c r="B24" s="4" t="n"/>
      <c r="AK24" s="5" t="n"/>
    </row>
    <row r="25" ht="12.75" customHeight="1">
      <c r="B25" s="4" t="n"/>
      <c r="AK25" s="5" t="n"/>
    </row>
    <row r="26" ht="12.75" customHeight="1">
      <c r="B26" s="4" t="n"/>
      <c r="AK26" s="5" t="n"/>
    </row>
    <row r="27" ht="12.75" customHeight="1">
      <c r="B27" s="4" t="n"/>
      <c r="AK27" s="5" t="n"/>
    </row>
    <row r="28" ht="12.75" customHeight="1">
      <c r="B28" s="4" t="n"/>
      <c r="AK28" s="5" t="n"/>
    </row>
    <row r="29" ht="12.75" customHeight="1">
      <c r="B29" s="4" t="n"/>
      <c r="AK29" s="5" t="n"/>
    </row>
    <row r="30" ht="12.75" customHeight="1">
      <c r="B30" s="4" t="n"/>
      <c r="AK30" s="5" t="n"/>
    </row>
    <row r="31" ht="12.75" customHeight="1">
      <c r="B31" s="4" t="n"/>
      <c r="AK31" s="5" t="n"/>
    </row>
    <row r="32" ht="12.75" customHeight="1">
      <c r="B32" s="4" t="n"/>
      <c r="AK32" s="5" t="n"/>
    </row>
    <row r="33" ht="12.75" customHeight="1">
      <c r="B33" s="4" t="n"/>
      <c r="AK33" s="5" t="n"/>
    </row>
    <row r="34" ht="12.75" customHeight="1">
      <c r="B34" s="13"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5" t="n"/>
    </row>
    <row r="35" ht="12.75" customHeight="1"/>
  </sheetData>
  <mergeCells count="9">
    <mergeCell ref="N20:R20"/>
    <mergeCell ref="S20:W20"/>
    <mergeCell ref="B12:AK12"/>
    <mergeCell ref="B15:AK15"/>
    <mergeCell ref="B10:AK10"/>
    <mergeCell ref="S19:W19"/>
    <mergeCell ref="N18:R18"/>
    <mergeCell ref="N19:R19"/>
    <mergeCell ref="S18:W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H2"/>
  <sheetViews>
    <sheetView showGridLines="0" workbookViewId="0">
      <selection activeCell="A1" sqref="A1"/>
    </sheetView>
  </sheetViews>
  <sheetFormatPr baseColWidth="8" defaultColWidth="3.33" defaultRowHeight="15"/>
  <cols>
    <col width="8" customWidth="1" min="1" max="1"/>
    <col width="3.33" customWidth="1" min="2" max="2"/>
    <col width="3.33" customWidth="1" min="3" max="3"/>
    <col width="3.33" customWidth="1" min="4" max="4"/>
    <col width="3.33" customWidth="1" min="5" max="5"/>
    <col width="3.33" customWidth="1" min="6" max="6"/>
    <col width="3.33" customWidth="1" min="7" max="7"/>
    <col width="3.33" customWidth="1" min="8" max="8"/>
    <col width="3.33" customWidth="1" min="9" max="9"/>
    <col width="3.33" customWidth="1" min="10" max="10"/>
    <col width="3.33" customWidth="1" min="11" max="11"/>
    <col width="3.33" customWidth="1" min="12" max="12"/>
    <col width="3.33" customWidth="1" min="13" max="13"/>
    <col width="3.33" customWidth="1" min="14" max="14"/>
    <col width="3.33" customWidth="1" min="15" max="15"/>
    <col width="3.33" customWidth="1" min="16" max="16"/>
    <col width="3.33" customWidth="1" min="17" max="17"/>
    <col width="3.33" customWidth="1" min="18" max="18"/>
    <col width="3.33" customWidth="1" min="19" max="19"/>
    <col width="3.33" customWidth="1" min="20" max="20"/>
    <col width="3.33" customWidth="1" min="21" max="21"/>
    <col width="3.33" customWidth="1" min="22" max="22"/>
    <col width="3.33" customWidth="1" min="23" max="23"/>
    <col width="3.33" customWidth="1" min="24" max="24"/>
    <col width="3.33" customWidth="1" min="25" max="25"/>
    <col width="3.33" customWidth="1" min="26" max="26"/>
    <col width="3.33" customWidth="1" min="27" max="27"/>
    <col width="3.33" customWidth="1" min="28" max="28"/>
    <col width="3.33" customWidth="1" min="29" max="29"/>
    <col width="3.33" customWidth="1" min="30" max="30"/>
    <col width="3.33" customWidth="1" min="31" max="31"/>
    <col width="3.33" customWidth="1" min="32" max="32"/>
    <col width="3.33" customWidth="1" min="33" max="33"/>
    <col width="3.33" customWidth="1" min="34" max="34"/>
  </cols>
  <sheetData>
    <row r="1" ht="22.5" customHeight="1">
      <c r="A1" s="16" t="inlineStr">
        <is>
          <t>項番</t>
        </is>
      </c>
      <c r="B1" s="17" t="inlineStr">
        <is>
          <t>発行日</t>
        </is>
      </c>
      <c r="C1" s="10" t="n"/>
      <c r="D1" s="10" t="n"/>
      <c r="E1" s="11" t="n"/>
      <c r="F1" s="17" t="inlineStr">
        <is>
          <t>バージョン</t>
        </is>
      </c>
      <c r="G1" s="10" t="n"/>
      <c r="H1" s="11" t="n"/>
      <c r="I1" s="17" t="inlineStr">
        <is>
          <t>担当者</t>
        </is>
      </c>
      <c r="J1" s="10" t="n"/>
      <c r="K1" s="10" t="n"/>
      <c r="L1" s="10" t="n"/>
      <c r="M1" s="10" t="n"/>
      <c r="N1" s="11" t="n"/>
      <c r="O1" s="17" t="inlineStr">
        <is>
          <t>変更内容</t>
        </is>
      </c>
      <c r="P1" s="10" t="n"/>
      <c r="Q1" s="10" t="n"/>
      <c r="R1" s="10" t="n"/>
      <c r="S1" s="10" t="n"/>
      <c r="T1" s="10" t="n"/>
      <c r="U1" s="10" t="n"/>
      <c r="V1" s="11" t="n"/>
      <c r="W1" s="17" t="inlineStr">
        <is>
          <t>確認者</t>
        </is>
      </c>
      <c r="X1" s="10" t="n"/>
      <c r="Y1" s="10" t="n"/>
      <c r="Z1" s="10" t="n"/>
      <c r="AA1" s="10" t="n"/>
      <c r="AB1" s="11" t="n"/>
      <c r="AC1" s="17" t="inlineStr">
        <is>
          <t>承認者</t>
        </is>
      </c>
      <c r="AD1" s="10" t="n"/>
      <c r="AE1" s="10" t="n"/>
      <c r="AF1" s="10" t="n"/>
      <c r="AG1" s="10" t="n"/>
      <c r="AH1" s="11" t="n"/>
    </row>
    <row r="2" ht="22.5" customHeight="1">
      <c r="A2" s="18" t="n">
        <v>1</v>
      </c>
      <c r="B2" s="19" t="inlineStr">
        <is>
          <t>2026-05-14</t>
        </is>
      </c>
      <c r="C2" s="10" t="n"/>
      <c r="D2" s="10" t="n"/>
      <c r="E2" s="11" t="n"/>
      <c r="F2" s="19" t="inlineStr">
        <is>
          <t>1.0</t>
        </is>
      </c>
      <c r="G2" s="10" t="n"/>
      <c r="H2" s="11" t="n"/>
      <c r="I2" s="19" t="inlineStr">
        <is>
          <t>Kieu Thi Diem</t>
        </is>
      </c>
      <c r="J2" s="10" t="n"/>
      <c r="K2" s="10" t="n"/>
      <c r="L2" s="10" t="n"/>
      <c r="M2" s="10" t="n"/>
      <c r="N2" s="11" t="n"/>
      <c r="O2" s="20" t="inlineStr">
        <is>
          <t>新規作成</t>
        </is>
      </c>
      <c r="P2" s="10" t="n"/>
      <c r="Q2" s="10" t="n"/>
      <c r="R2" s="10" t="n"/>
      <c r="S2" s="10" t="n"/>
      <c r="T2" s="10" t="n"/>
      <c r="U2" s="10" t="n"/>
      <c r="V2" s="11" t="n"/>
      <c r="W2" s="19" t="inlineStr">
        <is>
          <t>Nguyen Huy Dat</t>
        </is>
      </c>
      <c r="X2" s="10" t="n"/>
      <c r="Y2" s="10" t="n"/>
      <c r="Z2" s="10" t="n"/>
      <c r="AA2" s="10" t="n"/>
      <c r="AB2" s="11" t="n"/>
      <c r="AC2" s="19" t="inlineStr"/>
      <c r="AD2" s="10" t="n"/>
      <c r="AE2" s="10" t="n"/>
      <c r="AF2" s="10" t="n"/>
      <c r="AG2" s="10" t="n"/>
      <c r="AH2" s="11" t="n"/>
    </row>
  </sheetData>
  <mergeCells count="12">
    <mergeCell ref="B1:E1"/>
    <mergeCell ref="AC2:AH2"/>
    <mergeCell ref="AC1:AH1"/>
    <mergeCell ref="I2:N2"/>
    <mergeCell ref="O2:V2"/>
    <mergeCell ref="W1:AB1"/>
    <mergeCell ref="F1:H1"/>
    <mergeCell ref="O1:V1"/>
    <mergeCell ref="I1:N1"/>
    <mergeCell ref="F2:H2"/>
    <mergeCell ref="B2:E2"/>
    <mergeCell ref="W2:AB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7"/>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概要</t>
        </is>
      </c>
      <c r="R2" s="22" t="n"/>
      <c r="S2" s="22" t="n"/>
      <c r="T2" s="22" t="n"/>
      <c r="U2" s="23" t="n"/>
      <c r="V2" s="24" t="inlineStr">
        <is>
          <t>2026/05/14</t>
        </is>
      </c>
      <c r="W2" s="22" t="n"/>
      <c r="X2" s="22" t="n"/>
      <c r="Y2" s="23" t="n"/>
      <c r="Z2" s="21" t="inlineStr">
        <is>
          <t>Kieu Thi Diem</t>
        </is>
      </c>
      <c r="AA2" s="22" t="n"/>
      <c r="AB2" s="22" t="n"/>
      <c r="AC2" s="23" t="n"/>
      <c r="AD2" s="24" t="inlineStr">
        <is>
          <t>2026/05/14</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4" ht="15" customHeight="1"/>
    <row r="5" ht="19.5" customHeight="1">
      <c r="B5" s="28" t="inlineStr">
        <is>
          <t>1.システム概要</t>
        </is>
      </c>
    </row>
    <row r="6" ht="19.5" customHeight="1">
      <c r="C6" s="29" t="inlineStr">
        <is>
          <t>本システムは、JA向けのクラウド型読者管理システムであり、</t>
        </is>
      </c>
    </row>
    <row r="7" ht="19.5" customHeight="1">
      <c r="C7" s="29" t="inlineStr">
        <is>
          <t>購読者情報の管理、購読履歴の管理、口座振替データの管理などの機能を提供する。</t>
        </is>
      </c>
    </row>
    <row r="8" ht="19.5" customHeight="1">
      <c r="C8" s="29" t="inlineStr">
        <is>
          <t>主な機能として、購読者情報の登録・更新・検索、</t>
        </is>
      </c>
    </row>
    <row r="9" ht="19.5" customHeight="1">
      <c r="C9" s="29" t="inlineStr">
        <is>
          <t>購読内容の変更履歴管理、口座振替データの作成および管理、</t>
        </is>
      </c>
    </row>
    <row r="10" ht="19.5" customHeight="1">
      <c r="C10" s="29" t="inlineStr">
        <is>
          <t>ファイルのアップロード・ダウンロード機能、システムのお知らせ管理などを提供する。</t>
        </is>
      </c>
    </row>
    <row r="11" ht="19.5" customHeight="1">
      <c r="C11" s="29" t="inlineStr">
        <is>
          <t>また、ユーザーのログイン管理、ログイン履歴の記録、</t>
        </is>
      </c>
    </row>
    <row r="12" ht="19.5" customHeight="1">
      <c r="C12" s="29" t="inlineStr">
        <is>
          <t>ユーザー操作ログの記録などのセキュリティ・監査機能をサポートする。</t>
        </is>
      </c>
    </row>
    <row r="13" ht="15" customHeight="1"/>
    <row r="14" ht="19.5" customHeight="1">
      <c r="B14" s="28" t="inlineStr">
        <is>
          <t>2.資料目的</t>
        </is>
      </c>
    </row>
    <row r="15" ht="19.5" customHeight="1">
      <c r="C15" s="30" t="inlineStr">
        <is>
          <t>「単価マスタ明細検索画面（ACSMS-SCR-002）」において、システム上で新規作成されるテスト仕様書の詳細を記述した資料です。</t>
        </is>
      </c>
    </row>
    <row r="16" ht="19.5" customHeight="1">
      <c r="C16" s="30" t="inlineStr">
        <is>
          <t>本資料はISTQBおよびIEEE 829を参考とし、以下の品質基準を満たすものとする。</t>
        </is>
      </c>
    </row>
    <row r="17" ht="19.5" customHeight="1">
      <c r="C17" s="30" t="inlineStr">
        <is>
          <t>- 各テストケースは単一のシナリオに基づき作成する（単一責任）。</t>
        </is>
      </c>
    </row>
    <row r="18" ht="19.5" customHeight="1">
      <c r="C18" s="30" t="inlineStr">
        <is>
          <t>- 手順は再現可能な粒度で記述し、テストデータを明示する。</t>
        </is>
      </c>
    </row>
    <row r="19" ht="19.5" customHeight="1">
      <c r="C19" s="30" t="inlineStr">
        <is>
          <t>- 期待結果は測定可能とする（メッセージ内容、DBクエリ結果、HTTPステータスコード等）。</t>
        </is>
      </c>
    </row>
    <row r="20" ht="19.5" customHeight="1">
      <c r="C20" s="30" t="inlineStr">
        <is>
          <t>- 優先度（P0：リリース阻害／P1：高／P2：中）を設定する。</t>
        </is>
      </c>
    </row>
    <row r="21" ht="15" customHeight="1"/>
    <row r="22" ht="19.5" customHeight="1">
      <c r="B22" s="28" t="inlineStr">
        <is>
          <t>3.関連資料</t>
        </is>
      </c>
    </row>
    <row r="23" ht="15" customHeight="1"/>
    <row r="24" ht="22.5" customHeight="1">
      <c r="C24" s="16" t="inlineStr">
        <is>
          <t>No</t>
        </is>
      </c>
      <c r="D24" s="17" t="inlineStr">
        <is>
          <t>資料コード</t>
        </is>
      </c>
      <c r="E24" s="10" t="n"/>
      <c r="F24" s="10" t="n"/>
      <c r="G24" s="10" t="n"/>
      <c r="H24" s="10" t="n"/>
      <c r="I24" s="10" t="n"/>
      <c r="J24" s="10" t="n"/>
      <c r="K24" s="10" t="n"/>
      <c r="L24" s="10" t="n"/>
      <c r="M24" s="10" t="n"/>
      <c r="N24" s="11" t="n"/>
      <c r="O24" s="17" t="inlineStr">
        <is>
          <t>資料名</t>
        </is>
      </c>
      <c r="P24" s="10" t="n"/>
      <c r="Q24" s="10" t="n"/>
      <c r="R24" s="10" t="n"/>
      <c r="S24" s="10" t="n"/>
      <c r="T24" s="10" t="n"/>
      <c r="U24" s="10" t="n"/>
      <c r="V24" s="10" t="n"/>
      <c r="W24" s="10" t="n"/>
      <c r="X24" s="10" t="n"/>
      <c r="Y24" s="10" t="n"/>
      <c r="Z24" s="10" t="n"/>
      <c r="AA24" s="10" t="n"/>
      <c r="AB24" s="10" t="n"/>
      <c r="AC24" s="10" t="n"/>
      <c r="AD24" s="10" t="n"/>
      <c r="AE24" s="10" t="n"/>
      <c r="AF24" s="10" t="n"/>
      <c r="AG24" s="11" t="n"/>
    </row>
    <row r="25" ht="22.5" customHeight="1">
      <c r="C25" s="18" t="n">
        <v>1</v>
      </c>
      <c r="D25" s="20" t="inlineStr">
        <is>
          <t>ACSMS-SCR-002</t>
        </is>
      </c>
      <c r="E25" s="10" t="n"/>
      <c r="F25" s="10" t="n"/>
      <c r="G25" s="10" t="n"/>
      <c r="H25" s="10" t="n"/>
      <c r="I25" s="10" t="n"/>
      <c r="J25" s="10" t="n"/>
      <c r="K25" s="10" t="n"/>
      <c r="L25" s="10" t="n"/>
      <c r="M25" s="10" t="n"/>
      <c r="N25" s="11" t="n"/>
      <c r="O25" s="20" t="inlineStr">
        <is>
          <t>単価マスタ明細検索画面設計書</t>
        </is>
      </c>
      <c r="P25" s="10" t="n"/>
      <c r="Q25" s="10" t="n"/>
      <c r="R25" s="10" t="n"/>
      <c r="S25" s="10" t="n"/>
      <c r="T25" s="10" t="n"/>
      <c r="U25" s="10" t="n"/>
      <c r="V25" s="10" t="n"/>
      <c r="W25" s="10" t="n"/>
      <c r="X25" s="10" t="n"/>
      <c r="Y25" s="10" t="n"/>
      <c r="Z25" s="10" t="n"/>
      <c r="AA25" s="10" t="n"/>
      <c r="AB25" s="10" t="n"/>
      <c r="AC25" s="10" t="n"/>
      <c r="AD25" s="10" t="n"/>
      <c r="AE25" s="10" t="n"/>
      <c r="AF25" s="10" t="n"/>
      <c r="AG25" s="11" t="n"/>
    </row>
    <row r="26" ht="22.5" customHeight="1">
      <c r="C26" s="18" t="n">
        <v>2</v>
      </c>
      <c r="D26" s="20" t="inlineStr">
        <is>
          <t>ACSMS-SCR-002-api</t>
        </is>
      </c>
      <c r="E26" s="10" t="n"/>
      <c r="F26" s="10" t="n"/>
      <c r="G26" s="10" t="n"/>
      <c r="H26" s="10" t="n"/>
      <c r="I26" s="10" t="n"/>
      <c r="J26" s="10" t="n"/>
      <c r="K26" s="10" t="n"/>
      <c r="L26" s="10" t="n"/>
      <c r="M26" s="10" t="n"/>
      <c r="N26" s="11" t="n"/>
      <c r="O26" s="20" t="inlineStr">
        <is>
          <t>単価マスタ明細検索 API設計書</t>
        </is>
      </c>
      <c r="P26" s="10" t="n"/>
      <c r="Q26" s="10" t="n"/>
      <c r="R26" s="10" t="n"/>
      <c r="S26" s="10" t="n"/>
      <c r="T26" s="10" t="n"/>
      <c r="U26" s="10" t="n"/>
      <c r="V26" s="10" t="n"/>
      <c r="W26" s="10" t="n"/>
      <c r="X26" s="10" t="n"/>
      <c r="Y26" s="10" t="n"/>
      <c r="Z26" s="10" t="n"/>
      <c r="AA26" s="10" t="n"/>
      <c r="AB26" s="10" t="n"/>
      <c r="AC26" s="10" t="n"/>
      <c r="AD26" s="10" t="n"/>
      <c r="AE26" s="10" t="n"/>
      <c r="AF26" s="10" t="n"/>
      <c r="AG26" s="11" t="n"/>
    </row>
    <row r="27" ht="22.5" customHeight="1">
      <c r="C27" s="18" t="n">
        <v>3</v>
      </c>
      <c r="D27" s="20" t="inlineStr">
        <is>
          <t>testcase-viewpoints</t>
        </is>
      </c>
      <c r="E27" s="10" t="n"/>
      <c r="F27" s="10" t="n"/>
      <c r="G27" s="10" t="n"/>
      <c r="H27" s="10" t="n"/>
      <c r="I27" s="10" t="n"/>
      <c r="J27" s="10" t="n"/>
      <c r="K27" s="10" t="n"/>
      <c r="L27" s="10" t="n"/>
      <c r="M27" s="10" t="n"/>
      <c r="N27" s="11" t="n"/>
      <c r="O27" s="20" t="inlineStr">
        <is>
          <t>全システム共通 テスト観点一覧</t>
        </is>
      </c>
      <c r="P27" s="10" t="n"/>
      <c r="Q27" s="10" t="n"/>
      <c r="R27" s="10" t="n"/>
      <c r="S27" s="10" t="n"/>
      <c r="T27" s="10" t="n"/>
      <c r="U27" s="10" t="n"/>
      <c r="V27" s="10" t="n"/>
      <c r="W27" s="10" t="n"/>
      <c r="X27" s="10" t="n"/>
      <c r="Y27" s="10" t="n"/>
      <c r="Z27" s="10" t="n"/>
      <c r="AA27" s="10" t="n"/>
      <c r="AB27" s="10" t="n"/>
      <c r="AC27" s="10" t="n"/>
      <c r="AD27" s="10" t="n"/>
      <c r="AE27" s="10" t="n"/>
      <c r="AF27" s="10" t="n"/>
      <c r="AG27" s="11" t="n"/>
    </row>
  </sheetData>
  <mergeCells count="38">
    <mergeCell ref="B22:AK22"/>
    <mergeCell ref="C19:AK19"/>
    <mergeCell ref="C18:AK18"/>
    <mergeCell ref="O27:AG27"/>
    <mergeCell ref="Z1:AC1"/>
    <mergeCell ref="C6:AK6"/>
    <mergeCell ref="C15:AK15"/>
    <mergeCell ref="B14:AK14"/>
    <mergeCell ref="Q2:U3"/>
    <mergeCell ref="D27:N27"/>
    <mergeCell ref="Z2:AC3"/>
    <mergeCell ref="C20:AK20"/>
    <mergeCell ref="AD2:AG3"/>
    <mergeCell ref="C16:AK16"/>
    <mergeCell ref="J1:P1"/>
    <mergeCell ref="AH2:AK3"/>
    <mergeCell ref="C10:AK10"/>
    <mergeCell ref="O24:AG24"/>
    <mergeCell ref="Q1:U1"/>
    <mergeCell ref="C9:AK9"/>
    <mergeCell ref="V1:Y1"/>
    <mergeCell ref="C12:AK12"/>
    <mergeCell ref="B5:AK5"/>
    <mergeCell ref="AD1:AG1"/>
    <mergeCell ref="J2:P3"/>
    <mergeCell ref="AH1:AK1"/>
    <mergeCell ref="A2:I3"/>
    <mergeCell ref="C11:AK11"/>
    <mergeCell ref="D25:N25"/>
    <mergeCell ref="O26:AG26"/>
    <mergeCell ref="A1:I1"/>
    <mergeCell ref="C17:AK17"/>
    <mergeCell ref="D24:N24"/>
    <mergeCell ref="V2:Y3"/>
    <mergeCell ref="C8:AK8"/>
    <mergeCell ref="C7:AK7"/>
    <mergeCell ref="O25:AG25"/>
    <mergeCell ref="D26:N2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5"/>
  <sheetViews>
    <sheetView showGridLines="0" workbookViewId="0">
      <selection activeCell="A1" sqref="A1"/>
    </sheetView>
  </sheetViews>
  <sheetFormatPr baseColWidth="8" defaultColWidth="5" defaultRowHeight="15"/>
  <cols>
    <col width="13"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s>
  <sheetData>
    <row r="1" ht="28.5" customHeight="1">
      <c r="A1" s="31" t="inlineStr">
        <is>
          <t>&lt;単体/結合/システム&gt; テスト報告書</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c r="AA1" s="10" t="n"/>
      <c r="AB1" s="10" t="n"/>
      <c r="AC1" s="10" t="n"/>
      <c r="AD1" s="10" t="n"/>
      <c r="AE1" s="10" t="n"/>
      <c r="AF1" s="10" t="n"/>
      <c r="AG1" s="10" t="n"/>
      <c r="AH1" s="11" t="n"/>
    </row>
    <row r="3" ht="22.5" customHeight="1">
      <c r="A3" s="32" t="inlineStr">
        <is>
          <t>プロジェクト名</t>
        </is>
      </c>
      <c r="B3" s="10" t="n"/>
      <c r="C3" s="10" t="n"/>
      <c r="D3" s="10" t="n"/>
      <c r="E3" s="10" t="n"/>
      <c r="F3" s="11" t="n"/>
      <c r="G3" s="20" t="inlineStr">
        <is>
          <t>クラウド版購読者管理システム</t>
        </is>
      </c>
      <c r="H3" s="10" t="n"/>
      <c r="I3" s="10" t="n"/>
      <c r="J3" s="10" t="n"/>
      <c r="K3" s="10" t="n"/>
      <c r="L3" s="10" t="n"/>
      <c r="M3" s="10" t="n"/>
      <c r="N3" s="10" t="n"/>
      <c r="O3" s="11" t="n"/>
      <c r="P3" s="32" t="inlineStr">
        <is>
          <t>プロジェクトマネージャ</t>
        </is>
      </c>
      <c r="Q3" s="10" t="n"/>
      <c r="R3" s="10" t="n"/>
      <c r="S3" s="10" t="n"/>
      <c r="T3" s="10" t="n"/>
      <c r="U3" s="10" t="n"/>
      <c r="V3" s="10" t="n"/>
      <c r="W3" s="11" t="n"/>
      <c r="X3" s="20" t="inlineStr">
        <is>
          <t>Nguyen Huy Dat</t>
        </is>
      </c>
      <c r="Y3" s="10" t="n"/>
      <c r="Z3" s="10" t="n"/>
      <c r="AA3" s="10" t="n"/>
      <c r="AB3" s="10" t="n"/>
      <c r="AC3" s="10" t="n"/>
      <c r="AD3" s="10" t="n"/>
      <c r="AE3" s="10" t="n"/>
      <c r="AF3" s="10" t="n"/>
      <c r="AG3" s="10" t="n"/>
      <c r="AH3" s="11" t="n"/>
    </row>
    <row r="4" ht="22.5" customHeight="1">
      <c r="A4" s="32" t="inlineStr">
        <is>
          <t>担当者</t>
        </is>
      </c>
      <c r="B4" s="10" t="n"/>
      <c r="C4" s="10" t="n"/>
      <c r="D4" s="10" t="n"/>
      <c r="E4" s="10" t="n"/>
      <c r="F4" s="11" t="n"/>
      <c r="G4" s="20" t="inlineStr">
        <is>
          <t>Kieu Thi Diem</t>
        </is>
      </c>
      <c r="H4" s="10" t="n"/>
      <c r="I4" s="10" t="n"/>
      <c r="J4" s="10" t="n"/>
      <c r="K4" s="10" t="n"/>
      <c r="L4" s="10" t="n"/>
      <c r="M4" s="10" t="n"/>
      <c r="N4" s="10" t="n"/>
      <c r="O4" s="11" t="n"/>
      <c r="P4" s="32" t="inlineStr">
        <is>
          <t>作成日</t>
        </is>
      </c>
      <c r="Q4" s="10" t="n"/>
      <c r="R4" s="10" t="n"/>
      <c r="S4" s="10" t="n"/>
      <c r="T4" s="10" t="n"/>
      <c r="U4" s="10" t="n"/>
      <c r="V4" s="10" t="n"/>
      <c r="W4" s="11" t="n"/>
      <c r="X4" s="33" t="inlineStr">
        <is>
          <t>2026/05/14</t>
        </is>
      </c>
      <c r="Y4" s="10" t="n"/>
      <c r="Z4" s="10" t="n"/>
      <c r="AA4" s="10" t="n"/>
      <c r="AB4" s="10" t="n"/>
      <c r="AC4" s="10" t="n"/>
      <c r="AD4" s="10" t="n"/>
      <c r="AE4" s="10" t="n"/>
      <c r="AF4" s="10" t="n"/>
      <c r="AG4" s="10" t="n"/>
      <c r="AH4" s="11" t="n"/>
    </row>
    <row r="6" ht="22.5" customHeight="1">
      <c r="A6" s="34" t="inlineStr">
        <is>
          <t>#</t>
        </is>
      </c>
      <c r="B6" s="35" t="inlineStr">
        <is>
          <t>機能名</t>
        </is>
      </c>
      <c r="C6" s="22" t="n"/>
      <c r="D6" s="22" t="n"/>
      <c r="E6" s="22" t="n"/>
      <c r="F6" s="22" t="n"/>
      <c r="G6" s="23" t="n"/>
      <c r="H6" s="36" t="inlineStr">
        <is>
          <t>テストケース分類</t>
        </is>
      </c>
      <c r="I6" s="10" t="n"/>
      <c r="J6" s="10" t="n"/>
      <c r="K6" s="10" t="n"/>
      <c r="L6" s="10" t="n"/>
      <c r="M6" s="10" t="n"/>
      <c r="N6" s="10" t="n"/>
      <c r="O6" s="10" t="n"/>
      <c r="P6" s="11" t="n"/>
      <c r="Q6" s="35" t="inlineStr">
        <is>
          <t>合計</t>
        </is>
      </c>
      <c r="R6" s="22" t="n"/>
      <c r="S6" s="23" t="n"/>
      <c r="T6" s="36" t="inlineStr">
        <is>
          <t>テスト結果</t>
        </is>
      </c>
      <c r="U6" s="10" t="n"/>
      <c r="V6" s="10" t="n"/>
      <c r="W6" s="10" t="n"/>
      <c r="X6" s="10" t="n"/>
      <c r="Y6" s="10" t="n"/>
      <c r="Z6" s="10" t="n"/>
      <c r="AA6" s="10" t="n"/>
      <c r="AB6" s="10" t="n"/>
      <c r="AC6" s="10" t="n"/>
      <c r="AD6" s="10" t="n"/>
      <c r="AE6" s="10" t="n"/>
      <c r="AF6" s="10" t="n"/>
      <c r="AG6" s="10" t="n"/>
      <c r="AH6" s="11" t="n"/>
    </row>
    <row r="7" ht="22.5" customHeight="1">
      <c r="A7" s="37" t="n"/>
      <c r="B7" s="25" t="n"/>
      <c r="C7" s="26" t="n"/>
      <c r="D7" s="26" t="n"/>
      <c r="E7" s="26" t="n"/>
      <c r="F7" s="26" t="n"/>
      <c r="G7" s="27" t="n"/>
      <c r="H7" s="36" t="inlineStr">
        <is>
          <t>正常</t>
        </is>
      </c>
      <c r="I7" s="10" t="n"/>
      <c r="J7" s="11" t="n"/>
      <c r="K7" s="36" t="inlineStr">
        <is>
          <t>異常</t>
        </is>
      </c>
      <c r="L7" s="10" t="n"/>
      <c r="M7" s="11" t="n"/>
      <c r="N7" s="36" t="inlineStr">
        <is>
          <t>境界</t>
        </is>
      </c>
      <c r="O7" s="10" t="n"/>
      <c r="P7" s="11" t="n"/>
      <c r="Q7" s="25" t="n"/>
      <c r="R7" s="26" t="n"/>
      <c r="S7" s="27" t="n"/>
      <c r="T7" s="36" t="inlineStr">
        <is>
          <t>合格</t>
        </is>
      </c>
      <c r="U7" s="10" t="n"/>
      <c r="V7" s="11" t="n"/>
      <c r="W7" s="36" t="inlineStr">
        <is>
          <t>不合格</t>
        </is>
      </c>
      <c r="X7" s="10" t="n"/>
      <c r="Y7" s="11" t="n"/>
      <c r="Z7" s="36" t="inlineStr">
        <is>
          <t>未テスト</t>
        </is>
      </c>
      <c r="AA7" s="10" t="n"/>
      <c r="AB7" s="11" t="n"/>
      <c r="AC7" s="36" t="inlineStr">
        <is>
          <t>N/A</t>
        </is>
      </c>
      <c r="AD7" s="10" t="n"/>
      <c r="AE7" s="11" t="n"/>
      <c r="AF7" s="36" t="inlineStr">
        <is>
          <t>進捗（%）</t>
        </is>
      </c>
      <c r="AG7" s="10" t="n"/>
      <c r="AH7" s="11" t="n"/>
    </row>
    <row r="8" ht="22.5" customHeight="1">
      <c r="A8" s="38" t="inlineStr">
        <is>
          <t>テスト1回目</t>
        </is>
      </c>
    </row>
    <row r="9" ht="22.5" customHeight="1">
      <c r="A9" s="18" t="n">
        <v>1</v>
      </c>
      <c r="B9" s="20" t="inlineStr">
        <is>
          <t>機能</t>
        </is>
      </c>
      <c r="C9" s="10" t="n"/>
      <c r="D9" s="10" t="n"/>
      <c r="E9" s="10" t="n"/>
      <c r="F9" s="10" t="n"/>
      <c r="G9" s="11" t="n"/>
      <c r="H9" s="19">
        <f>INDIRECT("'"&amp;$B9&amp;"'!H7",TRUE)</f>
        <v/>
      </c>
      <c r="I9" s="10" t="n"/>
      <c r="J9" s="11" t="n"/>
      <c r="K9" s="19">
        <f>INDIRECT("'"&amp;$B9&amp;"'!K7",TRUE)</f>
        <v/>
      </c>
      <c r="L9" s="10" t="n"/>
      <c r="M9" s="11" t="n"/>
      <c r="N9" s="19">
        <f>INDIRECT("'"&amp;$B9&amp;"'!N7",TRUE)</f>
        <v/>
      </c>
      <c r="O9" s="10" t="n"/>
      <c r="P9" s="11" t="n"/>
      <c r="Q9" s="19">
        <f>INDIRECT("'"&amp;$B9&amp;"'!Q7",TRUE)</f>
        <v/>
      </c>
      <c r="R9" s="10" t="n"/>
      <c r="S9" s="11" t="n"/>
      <c r="T9" s="19">
        <f>INDIRECT("'"&amp;$B9&amp;"'!T7",TRUE)</f>
        <v/>
      </c>
      <c r="U9" s="10" t="n"/>
      <c r="V9" s="11" t="n"/>
      <c r="W9" s="19">
        <f>INDIRECT("'"&amp;$B9&amp;"'!W7",TRUE)</f>
        <v/>
      </c>
      <c r="X9" s="10" t="n"/>
      <c r="Y9" s="11" t="n"/>
      <c r="Z9" s="19">
        <f>INDIRECT("'"&amp;$B9&amp;"'!Z7",TRUE)</f>
        <v/>
      </c>
      <c r="AA9" s="10" t="n"/>
      <c r="AB9" s="11" t="n"/>
      <c r="AC9" s="19">
        <f>INDIRECT("'"&amp;$B9&amp;"'!AC7",TRUE)</f>
        <v/>
      </c>
      <c r="AD9" s="10" t="n"/>
      <c r="AE9" s="11" t="n"/>
      <c r="AF9" s="39">
        <f>IFERROR((T9+W9+AC9)/Q9,0)</f>
        <v/>
      </c>
      <c r="AG9" s="10" t="n"/>
      <c r="AH9" s="11" t="n"/>
    </row>
    <row r="10" ht="22.5" customHeight="1">
      <c r="A10" s="18" t="n">
        <v>2</v>
      </c>
      <c r="B10" s="20" t="inlineStr"/>
      <c r="C10" s="10" t="n"/>
      <c r="D10" s="10" t="n"/>
      <c r="E10" s="10" t="n"/>
      <c r="F10" s="10" t="n"/>
      <c r="G10" s="11" t="n"/>
      <c r="H10" s="19" t="inlineStr"/>
      <c r="I10" s="10" t="n"/>
      <c r="J10" s="11" t="n"/>
      <c r="K10" s="19" t="inlineStr"/>
      <c r="L10" s="10" t="n"/>
      <c r="M10" s="11" t="n"/>
      <c r="N10" s="19" t="inlineStr"/>
      <c r="O10" s="10" t="n"/>
      <c r="P10" s="11" t="n"/>
      <c r="Q10" s="19" t="inlineStr"/>
      <c r="R10" s="10" t="n"/>
      <c r="S10" s="11" t="n"/>
      <c r="T10" s="19" t="inlineStr"/>
      <c r="U10" s="10" t="n"/>
      <c r="V10" s="11" t="n"/>
      <c r="W10" s="19" t="inlineStr"/>
      <c r="X10" s="10" t="n"/>
      <c r="Y10" s="11" t="n"/>
      <c r="Z10" s="19" t="inlineStr"/>
      <c r="AA10" s="10" t="n"/>
      <c r="AB10" s="11" t="n"/>
      <c r="AC10" s="19" t="inlineStr"/>
      <c r="AD10" s="10" t="n"/>
      <c r="AE10" s="11" t="n"/>
      <c r="AF10" s="39" t="inlineStr"/>
      <c r="AG10" s="10" t="n"/>
      <c r="AH10" s="11" t="n"/>
    </row>
    <row r="11" ht="22.5" customHeight="1">
      <c r="A11" s="18" t="inlineStr"/>
      <c r="B11" s="36" t="inlineStr">
        <is>
          <t>合計</t>
        </is>
      </c>
      <c r="C11" s="10" t="n"/>
      <c r="D11" s="10" t="n"/>
      <c r="E11" s="10" t="n"/>
      <c r="F11" s="10" t="n"/>
      <c r="G11" s="11" t="n"/>
      <c r="H11" s="40">
        <f>SUM(H9:J10)</f>
        <v/>
      </c>
      <c r="I11" s="10" t="n"/>
      <c r="J11" s="11" t="n"/>
      <c r="K11" s="40">
        <f>SUM(K9:M10)</f>
        <v/>
      </c>
      <c r="L11" s="10" t="n"/>
      <c r="M11" s="11" t="n"/>
      <c r="N11" s="40">
        <f>SUM(N9:P10)</f>
        <v/>
      </c>
      <c r="O11" s="10" t="n"/>
      <c r="P11" s="11" t="n"/>
      <c r="Q11" s="40">
        <f>SUM(Q9:S10)</f>
        <v/>
      </c>
      <c r="R11" s="10" t="n"/>
      <c r="S11" s="11" t="n"/>
      <c r="T11" s="40">
        <f>SUM(T9:V10)</f>
        <v/>
      </c>
      <c r="U11" s="10" t="n"/>
      <c r="V11" s="11" t="n"/>
      <c r="W11" s="40">
        <f>SUM(W9:Y10)</f>
        <v/>
      </c>
      <c r="X11" s="10" t="n"/>
      <c r="Y11" s="11" t="n"/>
      <c r="Z11" s="40">
        <f>SUM(Z9:AB10)</f>
        <v/>
      </c>
      <c r="AA11" s="10" t="n"/>
      <c r="AB11" s="11" t="n"/>
      <c r="AC11" s="40">
        <f>SUM(AC9:AE10)</f>
        <v/>
      </c>
      <c r="AD11" s="10" t="n"/>
      <c r="AE11" s="11" t="n"/>
      <c r="AF11" s="41">
        <f>IFERROR((T11+W11+AC11)/Q11,0)</f>
        <v/>
      </c>
      <c r="AG11" s="10" t="n"/>
      <c r="AH11" s="11" t="n"/>
    </row>
    <row r="12" ht="22.5" customHeight="1">
      <c r="A12" s="38" t="inlineStr">
        <is>
          <t>テスト2回目</t>
        </is>
      </c>
    </row>
    <row r="13" ht="22.5" customHeight="1">
      <c r="A13" s="18" t="n">
        <v>1</v>
      </c>
      <c r="B13" s="20" t="inlineStr">
        <is>
          <t>機能</t>
        </is>
      </c>
      <c r="C13" s="10" t="n"/>
      <c r="D13" s="10" t="n"/>
      <c r="E13" s="10" t="n"/>
      <c r="F13" s="10" t="n"/>
      <c r="G13" s="11" t="n"/>
      <c r="H13" s="19">
        <f>INDIRECT("'"&amp;$B13&amp;"'!H8",TRUE)</f>
        <v/>
      </c>
      <c r="I13" s="10" t="n"/>
      <c r="J13" s="11" t="n"/>
      <c r="K13" s="19">
        <f>INDIRECT("'"&amp;$B13&amp;"'!K8",TRUE)</f>
        <v/>
      </c>
      <c r="L13" s="10" t="n"/>
      <c r="M13" s="11" t="n"/>
      <c r="N13" s="19">
        <f>INDIRECT("'"&amp;$B13&amp;"'!N8",TRUE)</f>
        <v/>
      </c>
      <c r="O13" s="10" t="n"/>
      <c r="P13" s="11" t="n"/>
      <c r="Q13" s="19">
        <f>INDIRECT("'"&amp;$B13&amp;"'!Q8",TRUE)</f>
        <v/>
      </c>
      <c r="R13" s="10" t="n"/>
      <c r="S13" s="11" t="n"/>
      <c r="T13" s="19">
        <f>INDIRECT("'"&amp;$B13&amp;"'!T8",TRUE)</f>
        <v/>
      </c>
      <c r="U13" s="10" t="n"/>
      <c r="V13" s="11" t="n"/>
      <c r="W13" s="19">
        <f>INDIRECT("'"&amp;$B13&amp;"'!W8",TRUE)</f>
        <v/>
      </c>
      <c r="X13" s="10" t="n"/>
      <c r="Y13" s="11" t="n"/>
      <c r="Z13" s="19">
        <f>INDIRECT("'"&amp;$B13&amp;"'!Z8",TRUE)</f>
        <v/>
      </c>
      <c r="AA13" s="10" t="n"/>
      <c r="AB13" s="11" t="n"/>
      <c r="AC13" s="19">
        <f>INDIRECT("'"&amp;$B13&amp;"'!AC8",TRUE)</f>
        <v/>
      </c>
      <c r="AD13" s="10" t="n"/>
      <c r="AE13" s="11" t="n"/>
      <c r="AF13" s="39">
        <f>IFERROR((T13+W13+AC13)/Q13,0)</f>
        <v/>
      </c>
      <c r="AG13" s="10" t="n"/>
      <c r="AH13" s="11" t="n"/>
    </row>
    <row r="14" ht="22.5" customHeight="1">
      <c r="A14" s="18" t="n">
        <v>2</v>
      </c>
      <c r="B14" s="20" t="inlineStr"/>
      <c r="C14" s="10" t="n"/>
      <c r="D14" s="10" t="n"/>
      <c r="E14" s="10" t="n"/>
      <c r="F14" s="10" t="n"/>
      <c r="G14" s="11" t="n"/>
      <c r="H14" s="19" t="inlineStr"/>
      <c r="I14" s="10" t="n"/>
      <c r="J14" s="11" t="n"/>
      <c r="K14" s="19" t="inlineStr"/>
      <c r="L14" s="10" t="n"/>
      <c r="M14" s="11" t="n"/>
      <c r="N14" s="19" t="inlineStr"/>
      <c r="O14" s="10" t="n"/>
      <c r="P14" s="11" t="n"/>
      <c r="Q14" s="19" t="inlineStr"/>
      <c r="R14" s="10" t="n"/>
      <c r="S14" s="11" t="n"/>
      <c r="T14" s="19" t="inlineStr"/>
      <c r="U14" s="10" t="n"/>
      <c r="V14" s="11" t="n"/>
      <c r="W14" s="19" t="inlineStr"/>
      <c r="X14" s="10" t="n"/>
      <c r="Y14" s="11" t="n"/>
      <c r="Z14" s="19" t="inlineStr"/>
      <c r="AA14" s="10" t="n"/>
      <c r="AB14" s="11" t="n"/>
      <c r="AC14" s="19" t="inlineStr"/>
      <c r="AD14" s="10" t="n"/>
      <c r="AE14" s="11" t="n"/>
      <c r="AF14" s="39" t="inlineStr"/>
      <c r="AG14" s="10" t="n"/>
      <c r="AH14" s="11" t="n"/>
    </row>
    <row r="15" ht="22.5" customHeight="1">
      <c r="A15" s="18" t="inlineStr"/>
      <c r="B15" s="36" t="inlineStr">
        <is>
          <t>合計</t>
        </is>
      </c>
      <c r="C15" s="10" t="n"/>
      <c r="D15" s="10" t="n"/>
      <c r="E15" s="10" t="n"/>
      <c r="F15" s="10" t="n"/>
      <c r="G15" s="11" t="n"/>
      <c r="H15" s="40">
        <f>SUM(H13:J14)</f>
        <v/>
      </c>
      <c r="I15" s="10" t="n"/>
      <c r="J15" s="11" t="n"/>
      <c r="K15" s="40">
        <f>SUM(K13:M14)</f>
        <v/>
      </c>
      <c r="L15" s="10" t="n"/>
      <c r="M15" s="11" t="n"/>
      <c r="N15" s="40">
        <f>SUM(N13:P14)</f>
        <v/>
      </c>
      <c r="O15" s="10" t="n"/>
      <c r="P15" s="11" t="n"/>
      <c r="Q15" s="40">
        <f>SUM(Q13:S14)</f>
        <v/>
      </c>
      <c r="R15" s="10" t="n"/>
      <c r="S15" s="11" t="n"/>
      <c r="T15" s="40">
        <f>SUM(T13:V14)</f>
        <v/>
      </c>
      <c r="U15" s="10" t="n"/>
      <c r="V15" s="11" t="n"/>
      <c r="W15" s="40">
        <f>SUM(W13:Y14)</f>
        <v/>
      </c>
      <c r="X15" s="10" t="n"/>
      <c r="Y15" s="11" t="n"/>
      <c r="Z15" s="40">
        <f>SUM(Z13:AB14)</f>
        <v/>
      </c>
      <c r="AA15" s="10" t="n"/>
      <c r="AB15" s="11" t="n"/>
      <c r="AC15" s="40">
        <f>SUM(AC13:AE14)</f>
        <v/>
      </c>
      <c r="AD15" s="10" t="n"/>
      <c r="AE15" s="11" t="n"/>
      <c r="AF15" s="41">
        <f>IFERROR((T15+W15+AC15)/Q15,0)</f>
        <v/>
      </c>
      <c r="AG15" s="10" t="n"/>
      <c r="AH15" s="11" t="n"/>
    </row>
  </sheetData>
  <mergeCells count="82">
    <mergeCell ref="Q14:S14"/>
    <mergeCell ref="P4:W4"/>
    <mergeCell ref="AC14:AE14"/>
    <mergeCell ref="A3:F3"/>
    <mergeCell ref="W7:Y7"/>
    <mergeCell ref="H11:J11"/>
    <mergeCell ref="Q15:S15"/>
    <mergeCell ref="B10:G10"/>
    <mergeCell ref="AF14:AH14"/>
    <mergeCell ref="N9:P9"/>
    <mergeCell ref="K10:M10"/>
    <mergeCell ref="T14:V14"/>
    <mergeCell ref="K9:M9"/>
    <mergeCell ref="K11:M11"/>
    <mergeCell ref="Z7:AB7"/>
    <mergeCell ref="AF10:AH10"/>
    <mergeCell ref="B14:G14"/>
    <mergeCell ref="B13:G13"/>
    <mergeCell ref="H7:J7"/>
    <mergeCell ref="N10:P10"/>
    <mergeCell ref="K14:M14"/>
    <mergeCell ref="W9:Y9"/>
    <mergeCell ref="K7:M7"/>
    <mergeCell ref="X3:AH3"/>
    <mergeCell ref="Z9:AB9"/>
    <mergeCell ref="Q13:S13"/>
    <mergeCell ref="A1:AH1"/>
    <mergeCell ref="AC7:AE7"/>
    <mergeCell ref="W10:Y10"/>
    <mergeCell ref="Z11:AB11"/>
    <mergeCell ref="X4:AH4"/>
    <mergeCell ref="B11:G11"/>
    <mergeCell ref="Q10:S10"/>
    <mergeCell ref="N14:P14"/>
    <mergeCell ref="A6:A7"/>
    <mergeCell ref="H13:J13"/>
    <mergeCell ref="AC9:AE9"/>
    <mergeCell ref="T13:V13"/>
    <mergeCell ref="T7:V7"/>
    <mergeCell ref="B15:G15"/>
    <mergeCell ref="H15:J15"/>
    <mergeCell ref="AF7:AH7"/>
    <mergeCell ref="Z10:AB10"/>
    <mergeCell ref="AC11:AE11"/>
    <mergeCell ref="W14:Y14"/>
    <mergeCell ref="K13:M13"/>
    <mergeCell ref="W13:Y13"/>
    <mergeCell ref="K15:M15"/>
    <mergeCell ref="N11:P11"/>
    <mergeCell ref="Q6:S7"/>
    <mergeCell ref="H10:J10"/>
    <mergeCell ref="W15:Y15"/>
    <mergeCell ref="AC13:AE13"/>
    <mergeCell ref="H9:J9"/>
    <mergeCell ref="H6:P6"/>
    <mergeCell ref="AC15:AE15"/>
    <mergeCell ref="T9:V9"/>
    <mergeCell ref="AF9:AH9"/>
    <mergeCell ref="G3:O3"/>
    <mergeCell ref="T11:V11"/>
    <mergeCell ref="AF15:AH15"/>
    <mergeCell ref="AC10:AE10"/>
    <mergeCell ref="AF11:AH11"/>
    <mergeCell ref="Z14:AB14"/>
    <mergeCell ref="N13:P13"/>
    <mergeCell ref="B9:G9"/>
    <mergeCell ref="Q9:S9"/>
    <mergeCell ref="A4:F4"/>
    <mergeCell ref="Z13:AB13"/>
    <mergeCell ref="G4:O4"/>
    <mergeCell ref="W11:Y11"/>
    <mergeCell ref="N15:P15"/>
    <mergeCell ref="Q11:S11"/>
    <mergeCell ref="T6:AH6"/>
    <mergeCell ref="H14:J14"/>
    <mergeCell ref="Z15:AB15"/>
    <mergeCell ref="AF13:AH13"/>
    <mergeCell ref="T15:V15"/>
    <mergeCell ref="N7:P7"/>
    <mergeCell ref="P3:W3"/>
    <mergeCell ref="B6:G7"/>
    <mergeCell ref="T10:V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64"/>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テスト観点</t>
        </is>
      </c>
      <c r="R2" s="22" t="n"/>
      <c r="S2" s="22" t="n"/>
      <c r="T2" s="22" t="n"/>
      <c r="U2" s="23" t="n"/>
      <c r="V2" s="24" t="inlineStr">
        <is>
          <t>2026/05/14</t>
        </is>
      </c>
      <c r="W2" s="22" t="n"/>
      <c r="X2" s="22" t="n"/>
      <c r="Y2" s="23" t="n"/>
      <c r="Z2" s="21" t="inlineStr">
        <is>
          <t>Kieu Thi Diem</t>
        </is>
      </c>
      <c r="AA2" s="22" t="n"/>
      <c r="AB2" s="22" t="n"/>
      <c r="AC2" s="23" t="n"/>
      <c r="AD2" s="24" t="inlineStr">
        <is>
          <t>2026/05/14</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5" ht="19.5" customHeight="1">
      <c r="B5" s="28" t="inlineStr">
        <is>
          <t>1. テスト観点一覧</t>
        </is>
      </c>
    </row>
    <row r="7" ht="28.5" customHeight="1">
      <c r="B7" s="42" t="inlineStr">
        <is>
          <t>#</t>
        </is>
      </c>
      <c r="C7" s="43" t="inlineStr">
        <is>
          <t>観点ID</t>
        </is>
      </c>
      <c r="D7" s="10" t="n"/>
      <c r="E7" s="11" t="n"/>
      <c r="F7" s="43" t="inlineStr">
        <is>
          <t>大分類</t>
        </is>
      </c>
      <c r="G7" s="10" t="n"/>
      <c r="H7" s="10" t="n"/>
      <c r="I7" s="10" t="n"/>
      <c r="J7" s="10" t="n"/>
      <c r="K7" s="10" t="n"/>
      <c r="L7" s="11" t="n"/>
      <c r="M7" s="43" t="inlineStr">
        <is>
          <t>観点名</t>
        </is>
      </c>
      <c r="N7" s="10" t="n"/>
      <c r="O7" s="10" t="n"/>
      <c r="P7" s="10" t="n"/>
      <c r="Q7" s="10" t="n"/>
      <c r="R7" s="10" t="n"/>
      <c r="S7" s="10" t="n"/>
      <c r="T7" s="11" t="n"/>
      <c r="U7" s="43" t="inlineStr">
        <is>
          <t>リスク</t>
        </is>
      </c>
      <c r="V7" s="11" t="n"/>
      <c r="W7" s="43" t="inlineStr">
        <is>
          <t>対象画面範囲</t>
        </is>
      </c>
      <c r="X7" s="10" t="n"/>
      <c r="Y7" s="10" t="n"/>
      <c r="Z7" s="10" t="n"/>
      <c r="AA7" s="10" t="n"/>
      <c r="AB7" s="10" t="n"/>
      <c r="AC7" s="11" t="n"/>
      <c r="AD7" s="43" t="inlineStr">
        <is>
          <t>TC見積</t>
        </is>
      </c>
      <c r="AE7" s="10" t="n"/>
      <c r="AF7" s="11" t="n"/>
    </row>
    <row r="8" ht="30" customHeight="1">
      <c r="B8" s="44" t="n">
        <v>1</v>
      </c>
      <c r="C8" s="45" t="inlineStr">
        <is>
          <t>VP-A-01</t>
        </is>
      </c>
      <c r="D8" s="10" t="n"/>
      <c r="E8" s="11" t="n"/>
      <c r="F8" s="46" t="inlineStr">
        <is>
          <t>A. セキュリティ・権限</t>
        </is>
      </c>
      <c r="G8" s="10" t="n"/>
      <c r="H8" s="10" t="n"/>
      <c r="I8" s="10" t="n"/>
      <c r="J8" s="10" t="n"/>
      <c r="K8" s="10" t="n"/>
      <c r="L8" s="11" t="n"/>
      <c r="M8" s="46" t="inlineStr">
        <is>
          <t>ロール別権限制御（RBAC gate）</t>
        </is>
      </c>
      <c r="N8" s="10" t="n"/>
      <c r="O8" s="10" t="n"/>
      <c r="P8" s="10" t="n"/>
      <c r="Q8" s="10" t="n"/>
      <c r="R8" s="10" t="n"/>
      <c r="S8" s="10" t="n"/>
      <c r="T8" s="11" t="n"/>
      <c r="U8" s="47" t="inlineStr">
        <is>
          <t>高</t>
        </is>
      </c>
      <c r="V8" s="11" t="n"/>
      <c r="W8" s="46" t="inlineStr">
        <is>
          <t>約25保護画面</t>
        </is>
      </c>
      <c r="X8" s="10" t="n"/>
      <c r="Y8" s="10" t="n"/>
      <c r="Z8" s="10" t="n"/>
      <c r="AA8" s="10" t="n"/>
      <c r="AB8" s="10" t="n"/>
      <c r="AC8" s="11" t="n"/>
      <c r="AD8" s="45" t="n">
        <v>265</v>
      </c>
      <c r="AE8" s="10" t="n"/>
      <c r="AF8" s="11" t="n"/>
    </row>
    <row r="9" ht="30" customHeight="1">
      <c r="B9" s="44" t="n">
        <v>2</v>
      </c>
      <c r="C9" s="45" t="inlineStr">
        <is>
          <t>VP-A-02</t>
        </is>
      </c>
      <c r="D9" s="10" t="n"/>
      <c r="E9" s="11" t="n"/>
      <c r="F9" s="46" t="inlineStr">
        <is>
          <t>A. セキュリティ・権限</t>
        </is>
      </c>
      <c r="G9" s="10" t="n"/>
      <c r="H9" s="10" t="n"/>
      <c r="I9" s="10" t="n"/>
      <c r="J9" s="10" t="n"/>
      <c r="K9" s="10" t="n"/>
      <c r="L9" s="11" t="n"/>
      <c r="M9" s="46" t="inlineStr">
        <is>
          <t>データ範囲（DataScope）</t>
        </is>
      </c>
      <c r="N9" s="10" t="n"/>
      <c r="O9" s="10" t="n"/>
      <c r="P9" s="10" t="n"/>
      <c r="Q9" s="10" t="n"/>
      <c r="R9" s="10" t="n"/>
      <c r="S9" s="10" t="n"/>
      <c r="T9" s="11" t="n"/>
      <c r="U9" s="47" t="inlineStr">
        <is>
          <t>高</t>
        </is>
      </c>
      <c r="V9" s="11" t="n"/>
      <c r="W9" s="46" t="inlineStr">
        <is>
          <t>約20一覧／詳細画面</t>
        </is>
      </c>
      <c r="X9" s="10" t="n"/>
      <c r="Y9" s="10" t="n"/>
      <c r="Z9" s="10" t="n"/>
      <c r="AA9" s="10" t="n"/>
      <c r="AB9" s="10" t="n"/>
      <c r="AC9" s="11" t="n"/>
      <c r="AD9" s="45" t="n">
        <v>200</v>
      </c>
      <c r="AE9" s="10" t="n"/>
      <c r="AF9" s="11" t="n"/>
    </row>
    <row r="10" ht="36" customHeight="1">
      <c r="B10" s="44" t="n">
        <v>3</v>
      </c>
      <c r="C10" s="45" t="inlineStr">
        <is>
          <t>VP-A-03</t>
        </is>
      </c>
      <c r="D10" s="10" t="n"/>
      <c r="E10" s="11" t="n"/>
      <c r="F10" s="46" t="inlineStr">
        <is>
          <t>A. セキュリティ・権限</t>
        </is>
      </c>
      <c r="G10" s="10" t="n"/>
      <c r="H10" s="10" t="n"/>
      <c r="I10" s="10" t="n"/>
      <c r="J10" s="10" t="n"/>
      <c r="K10" s="10" t="n"/>
      <c r="L10" s="11" t="n"/>
      <c r="M10" s="46" t="inlineStr">
        <is>
          <t>項目レベル制限（Field-level restriction）</t>
        </is>
      </c>
      <c r="N10" s="10" t="n"/>
      <c r="O10" s="10" t="n"/>
      <c r="P10" s="10" t="n"/>
      <c r="Q10" s="10" t="n"/>
      <c r="R10" s="10" t="n"/>
      <c r="S10" s="10" t="n"/>
      <c r="T10" s="11" t="n"/>
      <c r="U10" s="47" t="inlineStr">
        <is>
          <t>高</t>
        </is>
      </c>
      <c r="V10" s="11" t="n"/>
      <c r="W10" s="46" t="inlineStr">
        <is>
          <t>5マスタ</t>
        </is>
      </c>
      <c r="X10" s="10" t="n"/>
      <c r="Y10" s="10" t="n"/>
      <c r="Z10" s="10" t="n"/>
      <c r="AA10" s="10" t="n"/>
      <c r="AB10" s="10" t="n"/>
      <c r="AC10" s="11" t="n"/>
      <c r="AD10" s="45" t="n">
        <v>50</v>
      </c>
      <c r="AE10" s="10" t="n"/>
      <c r="AF10" s="11" t="n"/>
    </row>
    <row r="11" ht="30" customHeight="1">
      <c r="B11" s="44" t="n">
        <v>4</v>
      </c>
      <c r="C11" s="45" t="inlineStr">
        <is>
          <t>VP-A-04</t>
        </is>
      </c>
      <c r="D11" s="10" t="n"/>
      <c r="E11" s="11" t="n"/>
      <c r="F11" s="46" t="inlineStr">
        <is>
          <t>A. セキュリティ・権限</t>
        </is>
      </c>
      <c r="G11" s="10" t="n"/>
      <c r="H11" s="10" t="n"/>
      <c r="I11" s="10" t="n"/>
      <c r="J11" s="10" t="n"/>
      <c r="K11" s="10" t="n"/>
      <c r="L11" s="11" t="n"/>
      <c r="M11" s="46" t="inlineStr">
        <is>
          <t>URL直接アクセス攻撃</t>
        </is>
      </c>
      <c r="N11" s="10" t="n"/>
      <c r="O11" s="10" t="n"/>
      <c r="P11" s="10" t="n"/>
      <c r="Q11" s="10" t="n"/>
      <c r="R11" s="10" t="n"/>
      <c r="S11" s="10" t="n"/>
      <c r="T11" s="11" t="n"/>
      <c r="U11" s="47" t="inlineStr">
        <is>
          <t>高</t>
        </is>
      </c>
      <c r="V11" s="11" t="n"/>
      <c r="W11" s="46" t="inlineStr">
        <is>
          <t>約25保護画面</t>
        </is>
      </c>
      <c r="X11" s="10" t="n"/>
      <c r="Y11" s="10" t="n"/>
      <c r="Z11" s="10" t="n"/>
      <c r="AA11" s="10" t="n"/>
      <c r="AB11" s="10" t="n"/>
      <c r="AC11" s="11" t="n"/>
      <c r="AD11" s="45" t="n">
        <v>75</v>
      </c>
      <c r="AE11" s="10" t="n"/>
      <c r="AF11" s="11" t="n"/>
    </row>
    <row r="12" ht="30" customHeight="1">
      <c r="B12" s="44" t="n">
        <v>5</v>
      </c>
      <c r="C12" s="45" t="inlineStr">
        <is>
          <t>VP-A-05</t>
        </is>
      </c>
      <c r="D12" s="10" t="n"/>
      <c r="E12" s="11" t="n"/>
      <c r="F12" s="46" t="inlineStr">
        <is>
          <t>A. セキュリティ・権限</t>
        </is>
      </c>
      <c r="G12" s="10" t="n"/>
      <c r="H12" s="10" t="n"/>
      <c r="I12" s="10" t="n"/>
      <c r="J12" s="10" t="n"/>
      <c r="K12" s="10" t="n"/>
      <c r="L12" s="11" t="n"/>
      <c r="M12" s="46" t="inlineStr">
        <is>
          <t>セッション失効／401 ハンドリング</t>
        </is>
      </c>
      <c r="N12" s="10" t="n"/>
      <c r="O12" s="10" t="n"/>
      <c r="P12" s="10" t="n"/>
      <c r="Q12" s="10" t="n"/>
      <c r="R12" s="10" t="n"/>
      <c r="S12" s="10" t="n"/>
      <c r="T12" s="11" t="n"/>
      <c r="U12" s="47" t="inlineStr">
        <is>
          <t>高</t>
        </is>
      </c>
      <c r="V12" s="11" t="n"/>
      <c r="W12" s="46" t="inlineStr">
        <is>
          <t>全システム</t>
        </is>
      </c>
      <c r="X12" s="10" t="n"/>
      <c r="Y12" s="10" t="n"/>
      <c r="Z12" s="10" t="n"/>
      <c r="AA12" s="10" t="n"/>
      <c r="AB12" s="10" t="n"/>
      <c r="AC12" s="11" t="n"/>
      <c r="AD12" s="45" t="n">
        <v>30</v>
      </c>
      <c r="AE12" s="10" t="n"/>
      <c r="AF12" s="11" t="n"/>
    </row>
    <row r="13" ht="30" customHeight="1">
      <c r="B13" s="44" t="n">
        <v>6</v>
      </c>
      <c r="C13" s="45" t="inlineStr">
        <is>
          <t>VP-A-06</t>
        </is>
      </c>
      <c r="D13" s="10" t="n"/>
      <c r="E13" s="11" t="n"/>
      <c r="F13" s="46" t="inlineStr">
        <is>
          <t>A. セキュリティ・権限</t>
        </is>
      </c>
      <c r="G13" s="10" t="n"/>
      <c r="H13" s="10" t="n"/>
      <c r="I13" s="10" t="n"/>
      <c r="J13" s="10" t="n"/>
      <c r="K13" s="10" t="n"/>
      <c r="L13" s="11" t="n"/>
      <c r="M13" s="46" t="inlineStr">
        <is>
          <t>XSS／HTML 描画安全性</t>
        </is>
      </c>
      <c r="N13" s="10" t="n"/>
      <c r="O13" s="10" t="n"/>
      <c r="P13" s="10" t="n"/>
      <c r="Q13" s="10" t="n"/>
      <c r="R13" s="10" t="n"/>
      <c r="S13" s="10" t="n"/>
      <c r="T13" s="11" t="n"/>
      <c r="U13" s="47" t="inlineStr">
        <is>
          <t>高</t>
        </is>
      </c>
      <c r="V13" s="11" t="n"/>
      <c r="W13" s="46" t="inlineStr">
        <is>
          <t>約20フォーム</t>
        </is>
      </c>
      <c r="X13" s="10" t="n"/>
      <c r="Y13" s="10" t="n"/>
      <c r="Z13" s="10" t="n"/>
      <c r="AA13" s="10" t="n"/>
      <c r="AB13" s="10" t="n"/>
      <c r="AC13" s="11" t="n"/>
      <c r="AD13" s="45" t="n">
        <v>50</v>
      </c>
      <c r="AE13" s="10" t="n"/>
      <c r="AF13" s="11" t="n"/>
    </row>
    <row r="14" ht="30" customHeight="1">
      <c r="B14" s="44" t="n">
        <v>7</v>
      </c>
      <c r="C14" s="45" t="inlineStr">
        <is>
          <t>VP-A-07</t>
        </is>
      </c>
      <c r="D14" s="10" t="n"/>
      <c r="E14" s="11" t="n"/>
      <c r="F14" s="46" t="inlineStr">
        <is>
          <t>A. セキュリティ・権限</t>
        </is>
      </c>
      <c r="G14" s="10" t="n"/>
      <c r="H14" s="10" t="n"/>
      <c r="I14" s="10" t="n"/>
      <c r="J14" s="10" t="n"/>
      <c r="K14" s="10" t="n"/>
      <c r="L14" s="11" t="n"/>
      <c r="M14" s="46" t="inlineStr">
        <is>
          <t>CSRF／Cookie セキュリティフラグ</t>
        </is>
      </c>
      <c r="N14" s="10" t="n"/>
      <c r="O14" s="10" t="n"/>
      <c r="P14" s="10" t="n"/>
      <c r="Q14" s="10" t="n"/>
      <c r="R14" s="10" t="n"/>
      <c r="S14" s="10" t="n"/>
      <c r="T14" s="11" t="n"/>
      <c r="U14" s="47" t="inlineStr">
        <is>
          <t>高</t>
        </is>
      </c>
      <c r="V14" s="11" t="n"/>
      <c r="W14" s="46" t="inlineStr">
        <is>
          <t>全システム</t>
        </is>
      </c>
      <c r="X14" s="10" t="n"/>
      <c r="Y14" s="10" t="n"/>
      <c r="Z14" s="10" t="n"/>
      <c r="AA14" s="10" t="n"/>
      <c r="AB14" s="10" t="n"/>
      <c r="AC14" s="11" t="n"/>
      <c r="AD14" s="45" t="n">
        <v>10</v>
      </c>
      <c r="AE14" s="10" t="n"/>
      <c r="AF14" s="11" t="n"/>
    </row>
    <row r="15" ht="30" customHeight="1">
      <c r="B15" s="44" t="n">
        <v>8</v>
      </c>
      <c r="C15" s="45" t="inlineStr">
        <is>
          <t>VP-A-08</t>
        </is>
      </c>
      <c r="D15" s="10" t="n"/>
      <c r="E15" s="11" t="n"/>
      <c r="F15" s="46" t="inlineStr">
        <is>
          <t>A. セキュリティ・権限</t>
        </is>
      </c>
      <c r="G15" s="10" t="n"/>
      <c r="H15" s="10" t="n"/>
      <c r="I15" s="10" t="n"/>
      <c r="J15" s="10" t="n"/>
      <c r="K15" s="10" t="n"/>
      <c r="L15" s="11" t="n"/>
      <c r="M15" s="46" t="inlineStr">
        <is>
          <t>レート制限・Throttling</t>
        </is>
      </c>
      <c r="N15" s="10" t="n"/>
      <c r="O15" s="10" t="n"/>
      <c r="P15" s="10" t="n"/>
      <c r="Q15" s="10" t="n"/>
      <c r="R15" s="10" t="n"/>
      <c r="S15" s="10" t="n"/>
      <c r="T15" s="11" t="n"/>
      <c r="U15" s="48" t="inlineStr">
        <is>
          <t>中</t>
        </is>
      </c>
      <c r="V15" s="11" t="n"/>
      <c r="W15" s="46" t="inlineStr">
        <is>
          <t>全公開API＋認証エンドポイント</t>
        </is>
      </c>
      <c r="X15" s="10" t="n"/>
      <c r="Y15" s="10" t="n"/>
      <c r="Z15" s="10" t="n"/>
      <c r="AA15" s="10" t="n"/>
      <c r="AB15" s="10" t="n"/>
      <c r="AC15" s="11" t="n"/>
      <c r="AD15" s="45" t="n">
        <v>20</v>
      </c>
      <c r="AE15" s="10" t="n"/>
      <c r="AF15" s="11" t="n"/>
    </row>
    <row r="16" ht="30" customHeight="1">
      <c r="B16" s="44" t="n">
        <v>9</v>
      </c>
      <c r="C16" s="45" t="inlineStr">
        <is>
          <t>VP-A-09</t>
        </is>
      </c>
      <c r="D16" s="10" t="n"/>
      <c r="E16" s="11" t="n"/>
      <c r="F16" s="46" t="inlineStr">
        <is>
          <t>A. セキュリティ・権限</t>
        </is>
      </c>
      <c r="G16" s="10" t="n"/>
      <c r="H16" s="10" t="n"/>
      <c r="I16" s="10" t="n"/>
      <c r="J16" s="10" t="n"/>
      <c r="K16" s="10" t="n"/>
      <c r="L16" s="11" t="n"/>
      <c r="M16" s="46" t="inlineStr">
        <is>
          <t>アカウントロック・解除運用</t>
        </is>
      </c>
      <c r="N16" s="10" t="n"/>
      <c r="O16" s="10" t="n"/>
      <c r="P16" s="10" t="n"/>
      <c r="Q16" s="10" t="n"/>
      <c r="R16" s="10" t="n"/>
      <c r="S16" s="10" t="n"/>
      <c r="T16" s="11" t="n"/>
      <c r="U16" s="47" t="inlineStr">
        <is>
          <t>高</t>
        </is>
      </c>
      <c r="V16" s="11" t="n"/>
      <c r="W16" s="46" t="inlineStr">
        <is>
          <t>SCR-001／002＋管理機能</t>
        </is>
      </c>
      <c r="X16" s="10" t="n"/>
      <c r="Y16" s="10" t="n"/>
      <c r="Z16" s="10" t="n"/>
      <c r="AA16" s="10" t="n"/>
      <c r="AB16" s="10" t="n"/>
      <c r="AC16" s="11" t="n"/>
      <c r="AD16" s="45" t="n">
        <v>8</v>
      </c>
      <c r="AE16" s="10" t="n"/>
      <c r="AF16" s="11" t="n"/>
    </row>
    <row r="17" ht="30" customHeight="1">
      <c r="B17" s="44" t="n">
        <v>10</v>
      </c>
      <c r="C17" s="45" t="inlineStr">
        <is>
          <t>VP-A-10</t>
        </is>
      </c>
      <c r="D17" s="10" t="n"/>
      <c r="E17" s="11" t="n"/>
      <c r="F17" s="46" t="inlineStr">
        <is>
          <t>A. セキュリティ・権限</t>
        </is>
      </c>
      <c r="G17" s="10" t="n"/>
      <c r="H17" s="10" t="n"/>
      <c r="I17" s="10" t="n"/>
      <c r="J17" s="10" t="n"/>
      <c r="K17" s="10" t="n"/>
      <c r="L17" s="11" t="n"/>
      <c r="M17" s="46" t="inlineStr">
        <is>
          <t>SQL インジェクション</t>
        </is>
      </c>
      <c r="N17" s="10" t="n"/>
      <c r="O17" s="10" t="n"/>
      <c r="P17" s="10" t="n"/>
      <c r="Q17" s="10" t="n"/>
      <c r="R17" s="10" t="n"/>
      <c r="S17" s="10" t="n"/>
      <c r="T17" s="11" t="n"/>
      <c r="U17" s="47" t="inlineStr">
        <is>
          <t>高</t>
        </is>
      </c>
      <c r="V17" s="11" t="n"/>
      <c r="W17" s="46" t="inlineStr">
        <is>
          <t>約20フォーム＋検索</t>
        </is>
      </c>
      <c r="X17" s="10" t="n"/>
      <c r="Y17" s="10" t="n"/>
      <c r="Z17" s="10" t="n"/>
      <c r="AA17" s="10" t="n"/>
      <c r="AB17" s="10" t="n"/>
      <c r="AC17" s="11" t="n"/>
      <c r="AD17" s="45" t="n">
        <v>30</v>
      </c>
      <c r="AE17" s="10" t="n"/>
      <c r="AF17" s="11" t="n"/>
    </row>
    <row r="18" ht="30" customHeight="1">
      <c r="B18" s="44" t="n">
        <v>11</v>
      </c>
      <c r="C18" s="45" t="inlineStr">
        <is>
          <t>VP-B-01</t>
        </is>
      </c>
      <c r="D18" s="10" t="n"/>
      <c r="E18" s="11" t="n"/>
      <c r="F18" s="46" t="inlineStr">
        <is>
          <t>B. データバリデーション</t>
        </is>
      </c>
      <c r="G18" s="10" t="n"/>
      <c r="H18" s="10" t="n"/>
      <c r="I18" s="10" t="n"/>
      <c r="J18" s="10" t="n"/>
      <c r="K18" s="10" t="n"/>
      <c r="L18" s="11" t="n"/>
      <c r="M18" s="46" t="inlineStr">
        <is>
          <t>必須項目チェック</t>
        </is>
      </c>
      <c r="N18" s="10" t="n"/>
      <c r="O18" s="10" t="n"/>
      <c r="P18" s="10" t="n"/>
      <c r="Q18" s="10" t="n"/>
      <c r="R18" s="10" t="n"/>
      <c r="S18" s="10" t="n"/>
      <c r="T18" s="11" t="n"/>
      <c r="U18" s="48" t="inlineStr">
        <is>
          <t>中</t>
        </is>
      </c>
      <c r="V18" s="11" t="n"/>
      <c r="W18" s="46" t="inlineStr">
        <is>
          <t>約25フォーム</t>
        </is>
      </c>
      <c r="X18" s="10" t="n"/>
      <c r="Y18" s="10" t="n"/>
      <c r="Z18" s="10" t="n"/>
      <c r="AA18" s="10" t="n"/>
      <c r="AB18" s="10" t="n"/>
      <c r="AC18" s="11" t="n"/>
      <c r="AD18" s="45" t="n">
        <v>100</v>
      </c>
      <c r="AE18" s="10" t="n"/>
      <c r="AF18" s="11" t="n"/>
    </row>
    <row r="19" ht="30" customHeight="1">
      <c r="B19" s="44" t="n">
        <v>12</v>
      </c>
      <c r="C19" s="45" t="inlineStr">
        <is>
          <t>VP-B-02</t>
        </is>
      </c>
      <c r="D19" s="10" t="n"/>
      <c r="E19" s="11" t="n"/>
      <c r="F19" s="46" t="inlineStr">
        <is>
          <t>B. データバリデーション</t>
        </is>
      </c>
      <c r="G19" s="10" t="n"/>
      <c r="H19" s="10" t="n"/>
      <c r="I19" s="10" t="n"/>
      <c r="J19" s="10" t="n"/>
      <c r="K19" s="10" t="n"/>
      <c r="L19" s="11" t="n"/>
      <c r="M19" s="46" t="inlineStr">
        <is>
          <t>最小／最大長境界</t>
        </is>
      </c>
      <c r="N19" s="10" t="n"/>
      <c r="O19" s="10" t="n"/>
      <c r="P19" s="10" t="n"/>
      <c r="Q19" s="10" t="n"/>
      <c r="R19" s="10" t="n"/>
      <c r="S19" s="10" t="n"/>
      <c r="T19" s="11" t="n"/>
      <c r="U19" s="48" t="inlineStr">
        <is>
          <t>中</t>
        </is>
      </c>
      <c r="V19" s="11" t="n"/>
      <c r="W19" s="46" t="inlineStr">
        <is>
          <t>約25フォーム</t>
        </is>
      </c>
      <c r="X19" s="10" t="n"/>
      <c r="Y19" s="10" t="n"/>
      <c r="Z19" s="10" t="n"/>
      <c r="AA19" s="10" t="n"/>
      <c r="AB19" s="10" t="n"/>
      <c r="AC19" s="11" t="n"/>
      <c r="AD19" s="45" t="n">
        <v>80</v>
      </c>
      <c r="AE19" s="10" t="n"/>
      <c r="AF19" s="11" t="n"/>
    </row>
    <row r="20" ht="30" customHeight="1">
      <c r="B20" s="44" t="n">
        <v>13</v>
      </c>
      <c r="C20" s="45" t="inlineStr">
        <is>
          <t>VP-B-03</t>
        </is>
      </c>
      <c r="D20" s="10" t="n"/>
      <c r="E20" s="11" t="n"/>
      <c r="F20" s="46" t="inlineStr">
        <is>
          <t>B. データバリデーション</t>
        </is>
      </c>
      <c r="G20" s="10" t="n"/>
      <c r="H20" s="10" t="n"/>
      <c r="I20" s="10" t="n"/>
      <c r="J20" s="10" t="n"/>
      <c r="K20" s="10" t="n"/>
      <c r="L20" s="11" t="n"/>
      <c r="M20" s="46" t="inlineStr">
        <is>
          <t>形式正規表現（郵便／電話／コード）</t>
        </is>
      </c>
      <c r="N20" s="10" t="n"/>
      <c r="O20" s="10" t="n"/>
      <c r="P20" s="10" t="n"/>
      <c r="Q20" s="10" t="n"/>
      <c r="R20" s="10" t="n"/>
      <c r="S20" s="10" t="n"/>
      <c r="T20" s="11" t="n"/>
      <c r="U20" s="48" t="inlineStr">
        <is>
          <t>中</t>
        </is>
      </c>
      <c r="V20" s="11" t="n"/>
      <c r="W20" s="46" t="inlineStr">
        <is>
          <t>約20フォーム</t>
        </is>
      </c>
      <c r="X20" s="10" t="n"/>
      <c r="Y20" s="10" t="n"/>
      <c r="Z20" s="10" t="n"/>
      <c r="AA20" s="10" t="n"/>
      <c r="AB20" s="10" t="n"/>
      <c r="AC20" s="11" t="n"/>
      <c r="AD20" s="45" t="n">
        <v>60</v>
      </c>
      <c r="AE20" s="10" t="n"/>
      <c r="AF20" s="11" t="n"/>
    </row>
    <row r="21" ht="30" customHeight="1">
      <c r="B21" s="44" t="n">
        <v>14</v>
      </c>
      <c r="C21" s="45" t="inlineStr">
        <is>
          <t>VP-B-04</t>
        </is>
      </c>
      <c r="D21" s="10" t="n"/>
      <c r="E21" s="11" t="n"/>
      <c r="F21" s="46" t="inlineStr">
        <is>
          <t>B. データバリデーション</t>
        </is>
      </c>
      <c r="G21" s="10" t="n"/>
      <c r="H21" s="10" t="n"/>
      <c r="I21" s="10" t="n"/>
      <c r="J21" s="10" t="n"/>
      <c r="K21" s="10" t="n"/>
      <c r="L21" s="11" t="n"/>
      <c r="M21" s="46" t="inlineStr">
        <is>
          <t>半角／全角ハンドリング</t>
        </is>
      </c>
      <c r="N21" s="10" t="n"/>
      <c r="O21" s="10" t="n"/>
      <c r="P21" s="10" t="n"/>
      <c r="Q21" s="10" t="n"/>
      <c r="R21" s="10" t="n"/>
      <c r="S21" s="10" t="n"/>
      <c r="T21" s="11" t="n"/>
      <c r="U21" s="48" t="inlineStr">
        <is>
          <t>中</t>
        </is>
      </c>
      <c r="V21" s="11" t="n"/>
      <c r="W21" s="46" t="inlineStr">
        <is>
          <t>約25フォーム</t>
        </is>
      </c>
      <c r="X21" s="10" t="n"/>
      <c r="Y21" s="10" t="n"/>
      <c r="Z21" s="10" t="n"/>
      <c r="AA21" s="10" t="n"/>
      <c r="AB21" s="10" t="n"/>
      <c r="AC21" s="11" t="n"/>
      <c r="AD21" s="45" t="n">
        <v>50</v>
      </c>
      <c r="AE21" s="10" t="n"/>
      <c r="AF21" s="11" t="n"/>
    </row>
    <row r="22" ht="30" customHeight="1">
      <c r="B22" s="44" t="n">
        <v>15</v>
      </c>
      <c r="C22" s="45" t="inlineStr">
        <is>
          <t>VP-B-05</t>
        </is>
      </c>
      <c r="D22" s="10" t="n"/>
      <c r="E22" s="11" t="n"/>
      <c r="F22" s="46" t="inlineStr">
        <is>
          <t>B. データバリデーション</t>
        </is>
      </c>
      <c r="G22" s="10" t="n"/>
      <c r="H22" s="10" t="n"/>
      <c r="I22" s="10" t="n"/>
      <c r="J22" s="10" t="n"/>
      <c r="K22" s="10" t="n"/>
      <c r="L22" s="11" t="n"/>
      <c r="M22" s="46" t="inlineStr">
        <is>
          <t>日付ロジック</t>
        </is>
      </c>
      <c r="N22" s="10" t="n"/>
      <c r="O22" s="10" t="n"/>
      <c r="P22" s="10" t="n"/>
      <c r="Q22" s="10" t="n"/>
      <c r="R22" s="10" t="n"/>
      <c r="S22" s="10" t="n"/>
      <c r="T22" s="11" t="n"/>
      <c r="U22" s="48" t="inlineStr">
        <is>
          <t>中</t>
        </is>
      </c>
      <c r="V22" s="11" t="n"/>
      <c r="W22" s="46" t="inlineStr">
        <is>
          <t>約10日付付きフォーム</t>
        </is>
      </c>
      <c r="X22" s="10" t="n"/>
      <c r="Y22" s="10" t="n"/>
      <c r="Z22" s="10" t="n"/>
      <c r="AA22" s="10" t="n"/>
      <c r="AB22" s="10" t="n"/>
      <c r="AC22" s="11" t="n"/>
      <c r="AD22" s="45" t="n">
        <v>30</v>
      </c>
      <c r="AE22" s="10" t="n"/>
      <c r="AF22" s="11" t="n"/>
    </row>
    <row r="23" ht="30" customHeight="1">
      <c r="B23" s="44" t="n">
        <v>16</v>
      </c>
      <c r="C23" s="45" t="inlineStr">
        <is>
          <t>VP-B-06</t>
        </is>
      </c>
      <c r="D23" s="10" t="n"/>
      <c r="E23" s="11" t="n"/>
      <c r="F23" s="46" t="inlineStr">
        <is>
          <t>B. データバリデーション</t>
        </is>
      </c>
      <c r="G23" s="10" t="n"/>
      <c r="H23" s="10" t="n"/>
      <c r="I23" s="10" t="n"/>
      <c r="J23" s="10" t="n"/>
      <c r="K23" s="10" t="n"/>
      <c r="L23" s="11" t="n"/>
      <c r="M23" s="46" t="inlineStr">
        <is>
          <t>通貨／パーセント形式</t>
        </is>
      </c>
      <c r="N23" s="10" t="n"/>
      <c r="O23" s="10" t="n"/>
      <c r="P23" s="10" t="n"/>
      <c r="Q23" s="10" t="n"/>
      <c r="R23" s="10" t="n"/>
      <c r="S23" s="10" t="n"/>
      <c r="T23" s="11" t="n"/>
      <c r="U23" s="47" t="inlineStr">
        <is>
          <t>高</t>
        </is>
      </c>
      <c r="V23" s="11" t="n"/>
      <c r="W23" s="46" t="inlineStr">
        <is>
          <t>2-3フォーム（単価）</t>
        </is>
      </c>
      <c r="X23" s="10" t="n"/>
      <c r="Y23" s="10" t="n"/>
      <c r="Z23" s="10" t="n"/>
      <c r="AA23" s="10" t="n"/>
      <c r="AB23" s="10" t="n"/>
      <c r="AC23" s="11" t="n"/>
      <c r="AD23" s="45" t="n">
        <v>15</v>
      </c>
      <c r="AE23" s="10" t="n"/>
      <c r="AF23" s="11" t="n"/>
    </row>
    <row r="24" ht="36" customHeight="1">
      <c r="B24" s="44" t="n">
        <v>17</v>
      </c>
      <c r="C24" s="45" t="inlineStr">
        <is>
          <t>VP-B-07</t>
        </is>
      </c>
      <c r="D24" s="10" t="n"/>
      <c r="E24" s="11" t="n"/>
      <c r="F24" s="46" t="inlineStr">
        <is>
          <t>B. データバリデーション</t>
        </is>
      </c>
      <c r="G24" s="10" t="n"/>
      <c r="H24" s="10" t="n"/>
      <c r="I24" s="10" t="n"/>
      <c r="J24" s="10" t="n"/>
      <c r="K24" s="10" t="n"/>
      <c r="L24" s="11" t="n"/>
      <c r="M24" s="46" t="inlineStr">
        <is>
          <t>マスタコード（m_code）参照</t>
        </is>
      </c>
      <c r="N24" s="10" t="n"/>
      <c r="O24" s="10" t="n"/>
      <c r="P24" s="10" t="n"/>
      <c r="Q24" s="10" t="n"/>
      <c r="R24" s="10" t="n"/>
      <c r="S24" s="10" t="n"/>
      <c r="T24" s="11" t="n"/>
      <c r="U24" s="48" t="inlineStr">
        <is>
          <t>中</t>
        </is>
      </c>
      <c r="V24" s="11" t="n"/>
      <c r="W24" s="46" t="inlineStr">
        <is>
          <t>約15ドロップダウン付きフォーム</t>
        </is>
      </c>
      <c r="X24" s="10" t="n"/>
      <c r="Y24" s="10" t="n"/>
      <c r="Z24" s="10" t="n"/>
      <c r="AA24" s="10" t="n"/>
      <c r="AB24" s="10" t="n"/>
      <c r="AC24" s="11" t="n"/>
      <c r="AD24" s="45" t="n">
        <v>45</v>
      </c>
      <c r="AE24" s="10" t="n"/>
      <c r="AF24" s="11" t="n"/>
    </row>
    <row r="25" ht="30" customHeight="1">
      <c r="B25" s="44" t="n">
        <v>18</v>
      </c>
      <c r="C25" s="45" t="inlineStr">
        <is>
          <t>VP-B-08</t>
        </is>
      </c>
      <c r="D25" s="10" t="n"/>
      <c r="E25" s="11" t="n"/>
      <c r="F25" s="46" t="inlineStr">
        <is>
          <t>B. データバリデーション</t>
        </is>
      </c>
      <c r="G25" s="10" t="n"/>
      <c r="H25" s="10" t="n"/>
      <c r="I25" s="10" t="n"/>
      <c r="J25" s="10" t="n"/>
      <c r="K25" s="10" t="n"/>
      <c r="L25" s="11" t="n"/>
      <c r="M25" s="46" t="inlineStr">
        <is>
          <t>キー重複（duplicate code）</t>
        </is>
      </c>
      <c r="N25" s="10" t="n"/>
      <c r="O25" s="10" t="n"/>
      <c r="P25" s="10" t="n"/>
      <c r="Q25" s="10" t="n"/>
      <c r="R25" s="10" t="n"/>
      <c r="S25" s="10" t="n"/>
      <c r="T25" s="11" t="n"/>
      <c r="U25" s="48" t="inlineStr">
        <is>
          <t>中</t>
        </is>
      </c>
      <c r="V25" s="11" t="n"/>
      <c r="W25" s="46" t="inlineStr">
        <is>
          <t>約10マスタ</t>
        </is>
      </c>
      <c r="X25" s="10" t="n"/>
      <c r="Y25" s="10" t="n"/>
      <c r="Z25" s="10" t="n"/>
      <c r="AA25" s="10" t="n"/>
      <c r="AB25" s="10" t="n"/>
      <c r="AC25" s="11" t="n"/>
      <c r="AD25" s="45" t="n">
        <v>30</v>
      </c>
      <c r="AE25" s="10" t="n"/>
      <c r="AF25" s="11" t="n"/>
    </row>
    <row r="26" ht="36" customHeight="1">
      <c r="B26" s="44" t="n">
        <v>19</v>
      </c>
      <c r="C26" s="45" t="inlineStr">
        <is>
          <t>VP-B-09</t>
        </is>
      </c>
      <c r="D26" s="10" t="n"/>
      <c r="E26" s="11" t="n"/>
      <c r="F26" s="46" t="inlineStr">
        <is>
          <t>B. データバリデーション</t>
        </is>
      </c>
      <c r="G26" s="10" t="n"/>
      <c r="H26" s="10" t="n"/>
      <c r="I26" s="10" t="n"/>
      <c r="J26" s="10" t="n"/>
      <c r="K26" s="10" t="n"/>
      <c r="L26" s="11" t="n"/>
      <c r="M26" s="46" t="inlineStr">
        <is>
          <t>IME・全角入力・貼付ハンドリング</t>
        </is>
      </c>
      <c r="N26" s="10" t="n"/>
      <c r="O26" s="10" t="n"/>
      <c r="P26" s="10" t="n"/>
      <c r="Q26" s="10" t="n"/>
      <c r="R26" s="10" t="n"/>
      <c r="S26" s="10" t="n"/>
      <c r="T26" s="11" t="n"/>
      <c r="U26" s="48" t="inlineStr">
        <is>
          <t>中</t>
        </is>
      </c>
      <c r="V26" s="11" t="n"/>
      <c r="W26" s="46" t="inlineStr">
        <is>
          <t>全テキスト入力フォーム＋検索画面</t>
        </is>
      </c>
      <c r="X26" s="10" t="n"/>
      <c r="Y26" s="10" t="n"/>
      <c r="Z26" s="10" t="n"/>
      <c r="AA26" s="10" t="n"/>
      <c r="AB26" s="10" t="n"/>
      <c r="AC26" s="11" t="n"/>
      <c r="AD26" s="45" t="n">
        <v>25</v>
      </c>
      <c r="AE26" s="10" t="n"/>
      <c r="AF26" s="11" t="n"/>
    </row>
    <row r="27" ht="30" customHeight="1">
      <c r="B27" s="44" t="n">
        <v>20</v>
      </c>
      <c r="C27" s="45" t="inlineStr">
        <is>
          <t>VP-C-01</t>
        </is>
      </c>
      <c r="D27" s="10" t="n"/>
      <c r="E27" s="11" t="n"/>
      <c r="F27" s="46" t="inlineStr">
        <is>
          <t>C. 業務ロジック</t>
        </is>
      </c>
      <c r="G27" s="10" t="n"/>
      <c r="H27" s="10" t="n"/>
      <c r="I27" s="10" t="n"/>
      <c r="J27" s="10" t="n"/>
      <c r="K27" s="10" t="n"/>
      <c r="L27" s="11" t="n"/>
      <c r="M27" s="46" t="inlineStr">
        <is>
          <t>CRUD 正常系 + DB 永続化</t>
        </is>
      </c>
      <c r="N27" s="10" t="n"/>
      <c r="O27" s="10" t="n"/>
      <c r="P27" s="10" t="n"/>
      <c r="Q27" s="10" t="n"/>
      <c r="R27" s="10" t="n"/>
      <c r="S27" s="10" t="n"/>
      <c r="T27" s="11" t="n"/>
      <c r="U27" s="47" t="inlineStr">
        <is>
          <t>高</t>
        </is>
      </c>
      <c r="V27" s="11" t="n"/>
      <c r="W27" s="46" t="inlineStr">
        <is>
          <t>約10マスタ</t>
        </is>
      </c>
      <c r="X27" s="10" t="n"/>
      <c r="Y27" s="10" t="n"/>
      <c r="Z27" s="10" t="n"/>
      <c r="AA27" s="10" t="n"/>
      <c r="AB27" s="10" t="n"/>
      <c r="AC27" s="11" t="n"/>
      <c r="AD27" s="45" t="n">
        <v>60</v>
      </c>
      <c r="AE27" s="10" t="n"/>
      <c r="AF27" s="11" t="n"/>
    </row>
    <row r="28" ht="30" customHeight="1">
      <c r="B28" s="44" t="n">
        <v>21</v>
      </c>
      <c r="C28" s="45" t="inlineStr">
        <is>
          <t>VP-C-02</t>
        </is>
      </c>
      <c r="D28" s="10" t="n"/>
      <c r="E28" s="11" t="n"/>
      <c r="F28" s="46" t="inlineStr">
        <is>
          <t>C. 業務ロジック</t>
        </is>
      </c>
      <c r="G28" s="10" t="n"/>
      <c r="H28" s="10" t="n"/>
      <c r="I28" s="10" t="n"/>
      <c r="J28" s="10" t="n"/>
      <c r="K28" s="10" t="n"/>
      <c r="L28" s="11" t="n"/>
      <c r="M28" s="46" t="inlineStr">
        <is>
          <t>同時編集競合</t>
        </is>
      </c>
      <c r="N28" s="10" t="n"/>
      <c r="O28" s="10" t="n"/>
      <c r="P28" s="10" t="n"/>
      <c r="Q28" s="10" t="n"/>
      <c r="R28" s="10" t="n"/>
      <c r="S28" s="10" t="n"/>
      <c r="T28" s="11" t="n"/>
      <c r="U28" s="48" t="inlineStr">
        <is>
          <t>中</t>
        </is>
      </c>
      <c r="V28" s="11" t="n"/>
      <c r="W28" s="46" t="inlineStr">
        <is>
          <t>約8編集画面</t>
        </is>
      </c>
      <c r="X28" s="10" t="n"/>
      <c r="Y28" s="10" t="n"/>
      <c r="Z28" s="10" t="n"/>
      <c r="AA28" s="10" t="n"/>
      <c r="AB28" s="10" t="n"/>
      <c r="AC28" s="11" t="n"/>
      <c r="AD28" s="45" t="n">
        <v>16</v>
      </c>
      <c r="AE28" s="10" t="n"/>
      <c r="AF28" s="11" t="n"/>
    </row>
    <row r="29" ht="30" customHeight="1">
      <c r="B29" s="44" t="n">
        <v>22</v>
      </c>
      <c r="C29" s="45" t="inlineStr">
        <is>
          <t>VP-C-03</t>
        </is>
      </c>
      <c r="D29" s="10" t="n"/>
      <c r="E29" s="11" t="n"/>
      <c r="F29" s="46" t="inlineStr">
        <is>
          <t>C. 業務ロジック</t>
        </is>
      </c>
      <c r="G29" s="10" t="n"/>
      <c r="H29" s="10" t="n"/>
      <c r="I29" s="10" t="n"/>
      <c r="J29" s="10" t="n"/>
      <c r="K29" s="10" t="n"/>
      <c r="L29" s="11" t="n"/>
      <c r="M29" s="46" t="inlineStr">
        <is>
          <t>論理削除 + FK 関連</t>
        </is>
      </c>
      <c r="N29" s="10" t="n"/>
      <c r="O29" s="10" t="n"/>
      <c r="P29" s="10" t="n"/>
      <c r="Q29" s="10" t="n"/>
      <c r="R29" s="10" t="n"/>
      <c r="S29" s="10" t="n"/>
      <c r="T29" s="11" t="n"/>
      <c r="U29" s="47" t="inlineStr">
        <is>
          <t>高</t>
        </is>
      </c>
      <c r="V29" s="11" t="n"/>
      <c r="W29" s="46" t="inlineStr">
        <is>
          <t>約6関連付きマスタ</t>
        </is>
      </c>
      <c r="X29" s="10" t="n"/>
      <c r="Y29" s="10" t="n"/>
      <c r="Z29" s="10" t="n"/>
      <c r="AA29" s="10" t="n"/>
      <c r="AB29" s="10" t="n"/>
      <c r="AC29" s="11" t="n"/>
      <c r="AD29" s="45" t="n">
        <v>18</v>
      </c>
      <c r="AE29" s="10" t="n"/>
      <c r="AF29" s="11" t="n"/>
    </row>
    <row r="30" ht="30" customHeight="1">
      <c r="B30" s="44" t="n">
        <v>23</v>
      </c>
      <c r="C30" s="45" t="inlineStr">
        <is>
          <t>VP-C-04</t>
        </is>
      </c>
      <c r="D30" s="10" t="n"/>
      <c r="E30" s="11" t="n"/>
      <c r="F30" s="46" t="inlineStr">
        <is>
          <t>C. 業務ロジック</t>
        </is>
      </c>
      <c r="G30" s="10" t="n"/>
      <c r="H30" s="10" t="n"/>
      <c r="I30" s="10" t="n"/>
      <c r="J30" s="10" t="n"/>
      <c r="K30" s="10" t="n"/>
      <c r="L30" s="11" t="n"/>
      <c r="M30" s="46" t="inlineStr">
        <is>
          <t>税込／税抜計算</t>
        </is>
      </c>
      <c r="N30" s="10" t="n"/>
      <c r="O30" s="10" t="n"/>
      <c r="P30" s="10" t="n"/>
      <c r="Q30" s="10" t="n"/>
      <c r="R30" s="10" t="n"/>
      <c r="S30" s="10" t="n"/>
      <c r="T30" s="11" t="n"/>
      <c r="U30" s="48" t="inlineStr">
        <is>
          <t>中</t>
        </is>
      </c>
      <c r="V30" s="11" t="n"/>
      <c r="W30" s="46" t="inlineStr">
        <is>
          <t>単価マスタ</t>
        </is>
      </c>
      <c r="X30" s="10" t="n"/>
      <c r="Y30" s="10" t="n"/>
      <c r="Z30" s="10" t="n"/>
      <c r="AA30" s="10" t="n"/>
      <c r="AB30" s="10" t="n"/>
      <c r="AC30" s="11" t="n"/>
      <c r="AD30" s="45" t="n">
        <v>8</v>
      </c>
      <c r="AE30" s="10" t="n"/>
      <c r="AF30" s="11" t="n"/>
    </row>
    <row r="31" ht="30" customHeight="1">
      <c r="B31" s="44" t="n">
        <v>24</v>
      </c>
      <c r="C31" s="45" t="inlineStr">
        <is>
          <t>VP-C-05</t>
        </is>
      </c>
      <c r="D31" s="10" t="n"/>
      <c r="E31" s="11" t="n"/>
      <c r="F31" s="46" t="inlineStr">
        <is>
          <t>C. 業務ロジック</t>
        </is>
      </c>
      <c r="G31" s="10" t="n"/>
      <c r="H31" s="10" t="n"/>
      <c r="I31" s="10" t="n"/>
      <c r="J31" s="10" t="n"/>
      <c r="K31" s="10" t="n"/>
      <c r="L31" s="11" t="n"/>
      <c r="M31" s="46" t="inlineStr">
        <is>
          <t>購読者種別ルール（読み取り専用）</t>
        </is>
      </c>
      <c r="N31" s="10" t="n"/>
      <c r="O31" s="10" t="n"/>
      <c r="P31" s="10" t="n"/>
      <c r="Q31" s="10" t="n"/>
      <c r="R31" s="10" t="n"/>
      <c r="S31" s="10" t="n"/>
      <c r="T31" s="11" t="n"/>
      <c r="U31" s="47" t="inlineStr">
        <is>
          <t>高</t>
        </is>
      </c>
      <c r="V31" s="11" t="n"/>
      <c r="W31" s="46" t="inlineStr">
        <is>
          <t>購読者マスタ</t>
        </is>
      </c>
      <c r="X31" s="10" t="n"/>
      <c r="Y31" s="10" t="n"/>
      <c r="Z31" s="10" t="n"/>
      <c r="AA31" s="10" t="n"/>
      <c r="AB31" s="10" t="n"/>
      <c r="AC31" s="11" t="n"/>
      <c r="AD31" s="45" t="n">
        <v>10</v>
      </c>
      <c r="AE31" s="10" t="n"/>
      <c r="AF31" s="11" t="n"/>
    </row>
    <row r="32" ht="30" customHeight="1">
      <c r="B32" s="44" t="n">
        <v>25</v>
      </c>
      <c r="C32" s="45" t="inlineStr">
        <is>
          <t>VP-C-06</t>
        </is>
      </c>
      <c r="D32" s="10" t="n"/>
      <c r="E32" s="11" t="n"/>
      <c r="F32" s="46" t="inlineStr">
        <is>
          <t>C. 業務ロジック</t>
        </is>
      </c>
      <c r="G32" s="10" t="n"/>
      <c r="H32" s="10" t="n"/>
      <c r="I32" s="10" t="n"/>
      <c r="J32" s="10" t="n"/>
      <c r="K32" s="10" t="n"/>
      <c r="L32" s="11" t="n"/>
      <c r="M32" s="46" t="inlineStr">
        <is>
          <t>Excel取込 部分成功</t>
        </is>
      </c>
      <c r="N32" s="10" t="n"/>
      <c r="O32" s="10" t="n"/>
      <c r="P32" s="10" t="n"/>
      <c r="Q32" s="10" t="n"/>
      <c r="R32" s="10" t="n"/>
      <c r="S32" s="10" t="n"/>
      <c r="T32" s="11" t="n"/>
      <c r="U32" s="48" t="inlineStr">
        <is>
          <t>中</t>
        </is>
      </c>
      <c r="V32" s="11" t="n"/>
      <c r="W32" s="46" t="inlineStr">
        <is>
          <t>2取込画面</t>
        </is>
      </c>
      <c r="X32" s="10" t="n"/>
      <c r="Y32" s="10" t="n"/>
      <c r="Z32" s="10" t="n"/>
      <c r="AA32" s="10" t="n"/>
      <c r="AB32" s="10" t="n"/>
      <c r="AC32" s="11" t="n"/>
      <c r="AD32" s="45" t="n">
        <v>30</v>
      </c>
      <c r="AE32" s="10" t="n"/>
      <c r="AF32" s="11" t="n"/>
    </row>
    <row r="33" ht="30" customHeight="1">
      <c r="B33" s="44" t="n">
        <v>26</v>
      </c>
      <c r="C33" s="45" t="inlineStr">
        <is>
          <t>VP-C-07</t>
        </is>
      </c>
      <c r="D33" s="10" t="n"/>
      <c r="E33" s="11" t="n"/>
      <c r="F33" s="46" t="inlineStr">
        <is>
          <t>C. 業務ロジック</t>
        </is>
      </c>
      <c r="G33" s="10" t="n"/>
      <c r="H33" s="10" t="n"/>
      <c r="I33" s="10" t="n"/>
      <c r="J33" s="10" t="n"/>
      <c r="K33" s="10" t="n"/>
      <c r="L33" s="11" t="n"/>
      <c r="M33" s="46" t="inlineStr">
        <is>
          <t>販売店一括置換</t>
        </is>
      </c>
      <c r="N33" s="10" t="n"/>
      <c r="O33" s="10" t="n"/>
      <c r="P33" s="10" t="n"/>
      <c r="Q33" s="10" t="n"/>
      <c r="R33" s="10" t="n"/>
      <c r="S33" s="10" t="n"/>
      <c r="T33" s="11" t="n"/>
      <c r="U33" s="47" t="inlineStr">
        <is>
          <t>高</t>
        </is>
      </c>
      <c r="V33" s="11" t="n"/>
      <c r="W33" s="46" t="inlineStr">
        <is>
          <t>一括置換</t>
        </is>
      </c>
      <c r="X33" s="10" t="n"/>
      <c r="Y33" s="10" t="n"/>
      <c r="Z33" s="10" t="n"/>
      <c r="AA33" s="10" t="n"/>
      <c r="AB33" s="10" t="n"/>
      <c r="AC33" s="11" t="n"/>
      <c r="AD33" s="45" t="n">
        <v>15</v>
      </c>
      <c r="AE33" s="10" t="n"/>
      <c r="AF33" s="11" t="n"/>
    </row>
    <row r="34" ht="30" customHeight="1">
      <c r="B34" s="44" t="n">
        <v>27</v>
      </c>
      <c r="C34" s="45" t="inlineStr">
        <is>
          <t>VP-C-08</t>
        </is>
      </c>
      <c r="D34" s="10" t="n"/>
      <c r="E34" s="11" t="n"/>
      <c r="F34" s="46" t="inlineStr">
        <is>
          <t>C. 業務ロジック</t>
        </is>
      </c>
      <c r="G34" s="10" t="n"/>
      <c r="H34" s="10" t="n"/>
      <c r="I34" s="10" t="n"/>
      <c r="J34" s="10" t="n"/>
      <c r="K34" s="10" t="n"/>
      <c r="L34" s="11" t="n"/>
      <c r="M34" s="46" t="inlineStr">
        <is>
          <t>レポート集計の正確性</t>
        </is>
      </c>
      <c r="N34" s="10" t="n"/>
      <c r="O34" s="10" t="n"/>
      <c r="P34" s="10" t="n"/>
      <c r="Q34" s="10" t="n"/>
      <c r="R34" s="10" t="n"/>
      <c r="S34" s="10" t="n"/>
      <c r="T34" s="11" t="n"/>
      <c r="U34" s="47" t="inlineStr">
        <is>
          <t>高</t>
        </is>
      </c>
      <c r="V34" s="11" t="n"/>
      <c r="W34" s="46" t="inlineStr">
        <is>
          <t>3レポート</t>
        </is>
      </c>
      <c r="X34" s="10" t="n"/>
      <c r="Y34" s="10" t="n"/>
      <c r="Z34" s="10" t="n"/>
      <c r="AA34" s="10" t="n"/>
      <c r="AB34" s="10" t="n"/>
      <c r="AC34" s="11" t="n"/>
      <c r="AD34" s="45" t="n">
        <v>18</v>
      </c>
      <c r="AE34" s="10" t="n"/>
      <c r="AF34" s="11" t="n"/>
    </row>
    <row r="35" ht="30" customHeight="1">
      <c r="B35" s="44" t="n">
        <v>28</v>
      </c>
      <c r="C35" s="45" t="inlineStr">
        <is>
          <t>VP-D-01</t>
        </is>
      </c>
      <c r="D35" s="10" t="n"/>
      <c r="E35" s="11" t="n"/>
      <c r="F35" s="46" t="inlineStr">
        <is>
          <t>D. 統合・システム</t>
        </is>
      </c>
      <c r="G35" s="10" t="n"/>
      <c r="H35" s="10" t="n"/>
      <c r="I35" s="10" t="n"/>
      <c r="J35" s="10" t="n"/>
      <c r="K35" s="10" t="n"/>
      <c r="L35" s="11" t="n"/>
      <c r="M35" s="46" t="inlineStr">
        <is>
          <t>ログイン + MFA フロー</t>
        </is>
      </c>
      <c r="N35" s="10" t="n"/>
      <c r="O35" s="10" t="n"/>
      <c r="P35" s="10" t="n"/>
      <c r="Q35" s="10" t="n"/>
      <c r="R35" s="10" t="n"/>
      <c r="S35" s="10" t="n"/>
      <c r="T35" s="11" t="n"/>
      <c r="U35" s="47" t="inlineStr">
        <is>
          <t>高</t>
        </is>
      </c>
      <c r="V35" s="11" t="n"/>
      <c r="W35" s="46" t="inlineStr">
        <is>
          <t>SCR-001／002</t>
        </is>
      </c>
      <c r="X35" s="10" t="n"/>
      <c r="Y35" s="10" t="n"/>
      <c r="Z35" s="10" t="n"/>
      <c r="AA35" s="10" t="n"/>
      <c r="AB35" s="10" t="n"/>
      <c r="AC35" s="11" t="n"/>
      <c r="AD35" s="45" t="n">
        <v>25</v>
      </c>
      <c r="AE35" s="10" t="n"/>
      <c r="AF35" s="11" t="n"/>
    </row>
    <row r="36" ht="30" customHeight="1">
      <c r="B36" s="44" t="n">
        <v>29</v>
      </c>
      <c r="C36" s="45" t="inlineStr">
        <is>
          <t>VP-D-02</t>
        </is>
      </c>
      <c r="D36" s="10" t="n"/>
      <c r="E36" s="11" t="n"/>
      <c r="F36" s="46" t="inlineStr">
        <is>
          <t>D. 統合・システム</t>
        </is>
      </c>
      <c r="G36" s="10" t="n"/>
      <c r="H36" s="10" t="n"/>
      <c r="I36" s="10" t="n"/>
      <c r="J36" s="10" t="n"/>
      <c r="K36" s="10" t="n"/>
      <c r="L36" s="11" t="n"/>
      <c r="M36" s="46" t="inlineStr">
        <is>
          <t>セッションスライディング 24h</t>
        </is>
      </c>
      <c r="N36" s="10" t="n"/>
      <c r="O36" s="10" t="n"/>
      <c r="P36" s="10" t="n"/>
      <c r="Q36" s="10" t="n"/>
      <c r="R36" s="10" t="n"/>
      <c r="S36" s="10" t="n"/>
      <c r="T36" s="11" t="n"/>
      <c r="U36" s="47" t="inlineStr">
        <is>
          <t>高</t>
        </is>
      </c>
      <c r="V36" s="11" t="n"/>
      <c r="W36" s="46" t="inlineStr">
        <is>
          <t>全システム</t>
        </is>
      </c>
      <c r="X36" s="10" t="n"/>
      <c r="Y36" s="10" t="n"/>
      <c r="Z36" s="10" t="n"/>
      <c r="AA36" s="10" t="n"/>
      <c r="AB36" s="10" t="n"/>
      <c r="AC36" s="11" t="n"/>
      <c r="AD36" s="45" t="n">
        <v>8</v>
      </c>
      <c r="AE36" s="10" t="n"/>
      <c r="AF36" s="11" t="n"/>
    </row>
    <row r="37" ht="30" customHeight="1">
      <c r="B37" s="44" t="n">
        <v>30</v>
      </c>
      <c r="C37" s="45" t="inlineStr">
        <is>
          <t>VP-D-03</t>
        </is>
      </c>
      <c r="D37" s="10" t="n"/>
      <c r="E37" s="11" t="n"/>
      <c r="F37" s="46" t="inlineStr">
        <is>
          <t>D. 統合・システム</t>
        </is>
      </c>
      <c r="G37" s="10" t="n"/>
      <c r="H37" s="10" t="n"/>
      <c r="I37" s="10" t="n"/>
      <c r="J37" s="10" t="n"/>
      <c r="K37" s="10" t="n"/>
      <c r="L37" s="11" t="n"/>
      <c r="M37" s="46" t="inlineStr">
        <is>
          <t>パスワード再発行フロー</t>
        </is>
      </c>
      <c r="N37" s="10" t="n"/>
      <c r="O37" s="10" t="n"/>
      <c r="P37" s="10" t="n"/>
      <c r="Q37" s="10" t="n"/>
      <c r="R37" s="10" t="n"/>
      <c r="S37" s="10" t="n"/>
      <c r="T37" s="11" t="n"/>
      <c r="U37" s="47" t="inlineStr">
        <is>
          <t>高</t>
        </is>
      </c>
      <c r="V37" s="11" t="n"/>
      <c r="W37" s="46" t="inlineStr">
        <is>
          <t>SCR-007</t>
        </is>
      </c>
      <c r="X37" s="10" t="n"/>
      <c r="Y37" s="10" t="n"/>
      <c r="Z37" s="10" t="n"/>
      <c r="AA37" s="10" t="n"/>
      <c r="AB37" s="10" t="n"/>
      <c r="AC37" s="11" t="n"/>
      <c r="AD37" s="45" t="n">
        <v>15</v>
      </c>
      <c r="AE37" s="10" t="n"/>
      <c r="AF37" s="11" t="n"/>
    </row>
    <row r="38" ht="30" customHeight="1">
      <c r="B38" s="44" t="n">
        <v>31</v>
      </c>
      <c r="C38" s="45" t="inlineStr">
        <is>
          <t>VP-D-04</t>
        </is>
      </c>
      <c r="D38" s="10" t="n"/>
      <c r="E38" s="11" t="n"/>
      <c r="F38" s="46" t="inlineStr">
        <is>
          <t>D. 統合・システム</t>
        </is>
      </c>
      <c r="G38" s="10" t="n"/>
      <c r="H38" s="10" t="n"/>
      <c r="I38" s="10" t="n"/>
      <c r="J38" s="10" t="n"/>
      <c r="K38" s="10" t="n"/>
      <c r="L38" s="11" t="n"/>
      <c r="M38" s="46" t="inlineStr">
        <is>
          <t>監査ログの完全性</t>
        </is>
      </c>
      <c r="N38" s="10" t="n"/>
      <c r="O38" s="10" t="n"/>
      <c r="P38" s="10" t="n"/>
      <c r="Q38" s="10" t="n"/>
      <c r="R38" s="10" t="n"/>
      <c r="S38" s="10" t="n"/>
      <c r="T38" s="11" t="n"/>
      <c r="U38" s="47" t="inlineStr">
        <is>
          <t>高</t>
        </is>
      </c>
      <c r="V38" s="11" t="n"/>
      <c r="W38" s="46" t="inlineStr">
        <is>
          <t>全システム</t>
        </is>
      </c>
      <c r="X38" s="10" t="n"/>
      <c r="Y38" s="10" t="n"/>
      <c r="Z38" s="10" t="n"/>
      <c r="AA38" s="10" t="n"/>
      <c r="AB38" s="10" t="n"/>
      <c r="AC38" s="11" t="n"/>
      <c r="AD38" s="45" t="n">
        <v>40</v>
      </c>
      <c r="AE38" s="10" t="n"/>
      <c r="AF38" s="11" t="n"/>
    </row>
    <row r="39" ht="30" customHeight="1">
      <c r="B39" s="44" t="n">
        <v>32</v>
      </c>
      <c r="C39" s="45" t="inlineStr">
        <is>
          <t>VP-D-05</t>
        </is>
      </c>
      <c r="D39" s="10" t="n"/>
      <c r="E39" s="11" t="n"/>
      <c r="F39" s="46" t="inlineStr">
        <is>
          <t>D. 統合・システム</t>
        </is>
      </c>
      <c r="G39" s="10" t="n"/>
      <c r="H39" s="10" t="n"/>
      <c r="I39" s="10" t="n"/>
      <c r="J39" s="10" t="n"/>
      <c r="K39" s="10" t="n"/>
      <c r="L39" s="11" t="n"/>
      <c r="M39" s="46" t="inlineStr">
        <is>
          <t>ファイルアップロード S3</t>
        </is>
      </c>
      <c r="N39" s="10" t="n"/>
      <c r="O39" s="10" t="n"/>
      <c r="P39" s="10" t="n"/>
      <c r="Q39" s="10" t="n"/>
      <c r="R39" s="10" t="n"/>
      <c r="S39" s="10" t="n"/>
      <c r="T39" s="11" t="n"/>
      <c r="U39" s="48" t="inlineStr">
        <is>
          <t>中</t>
        </is>
      </c>
      <c r="V39" s="11" t="n"/>
      <c r="W39" s="46" t="inlineStr">
        <is>
          <t>SCR-022</t>
        </is>
      </c>
      <c r="X39" s="10" t="n"/>
      <c r="Y39" s="10" t="n"/>
      <c r="Z39" s="10" t="n"/>
      <c r="AA39" s="10" t="n"/>
      <c r="AB39" s="10" t="n"/>
      <c r="AC39" s="11" t="n"/>
      <c r="AD39" s="45" t="n">
        <v>20</v>
      </c>
      <c r="AE39" s="10" t="n"/>
      <c r="AF39" s="11" t="n"/>
    </row>
    <row r="40" ht="30" customHeight="1">
      <c r="B40" s="44" t="n">
        <v>33</v>
      </c>
      <c r="C40" s="45" t="inlineStr">
        <is>
          <t>VP-D-06</t>
        </is>
      </c>
      <c r="D40" s="10" t="n"/>
      <c r="E40" s="11" t="n"/>
      <c r="F40" s="46" t="inlineStr">
        <is>
          <t>D. 統合・システム</t>
        </is>
      </c>
      <c r="G40" s="10" t="n"/>
      <c r="H40" s="10" t="n"/>
      <c r="I40" s="10" t="n"/>
      <c r="J40" s="10" t="n"/>
      <c r="K40" s="10" t="n"/>
      <c r="L40" s="11" t="n"/>
      <c r="M40" s="46" t="inlineStr">
        <is>
          <t>メール通知</t>
        </is>
      </c>
      <c r="N40" s="10" t="n"/>
      <c r="O40" s="10" t="n"/>
      <c r="P40" s="10" t="n"/>
      <c r="Q40" s="10" t="n"/>
      <c r="R40" s="10" t="n"/>
      <c r="S40" s="10" t="n"/>
      <c r="T40" s="11" t="n"/>
      <c r="U40" s="48" t="inlineStr">
        <is>
          <t>中</t>
        </is>
      </c>
      <c r="V40" s="11" t="n"/>
      <c r="W40" s="46" t="inlineStr">
        <is>
          <t>SCR-001／007／お知らせ</t>
        </is>
      </c>
      <c r="X40" s="10" t="n"/>
      <c r="Y40" s="10" t="n"/>
      <c r="Z40" s="10" t="n"/>
      <c r="AA40" s="10" t="n"/>
      <c r="AB40" s="10" t="n"/>
      <c r="AC40" s="11" t="n"/>
      <c r="AD40" s="45" t="n">
        <v>12</v>
      </c>
      <c r="AE40" s="10" t="n"/>
      <c r="AF40" s="11" t="n"/>
    </row>
    <row r="41" ht="30" customHeight="1">
      <c r="B41" s="44" t="n">
        <v>34</v>
      </c>
      <c r="C41" s="45" t="inlineStr">
        <is>
          <t>VP-D-07</t>
        </is>
      </c>
      <c r="D41" s="10" t="n"/>
      <c r="E41" s="11" t="n"/>
      <c r="F41" s="46" t="inlineStr">
        <is>
          <t>D. 統合・システム</t>
        </is>
      </c>
      <c r="G41" s="10" t="n"/>
      <c r="H41" s="10" t="n"/>
      <c r="I41" s="10" t="n"/>
      <c r="J41" s="10" t="n"/>
      <c r="K41" s="10" t="n"/>
      <c r="L41" s="11" t="n"/>
      <c r="M41" s="46" t="inlineStr">
        <is>
          <t>外部 CSV 形式準拠</t>
        </is>
      </c>
      <c r="N41" s="10" t="n"/>
      <c r="O41" s="10" t="n"/>
      <c r="P41" s="10" t="n"/>
      <c r="Q41" s="10" t="n"/>
      <c r="R41" s="10" t="n"/>
      <c r="S41" s="10" t="n"/>
      <c r="T41" s="11" t="n"/>
      <c r="U41" s="47" t="inlineStr">
        <is>
          <t>高</t>
        </is>
      </c>
      <c r="V41" s="11" t="n"/>
      <c r="W41" s="46" t="inlineStr">
        <is>
          <t>SCR-008／009</t>
        </is>
      </c>
      <c r="X41" s="10" t="n"/>
      <c r="Y41" s="10" t="n"/>
      <c r="Z41" s="10" t="n"/>
      <c r="AA41" s="10" t="n"/>
      <c r="AB41" s="10" t="n"/>
      <c r="AC41" s="11" t="n"/>
      <c r="AD41" s="45" t="n">
        <v>15</v>
      </c>
      <c r="AE41" s="10" t="n"/>
      <c r="AF41" s="11" t="n"/>
    </row>
    <row r="42" ht="30" customHeight="1">
      <c r="B42" s="44" t="n">
        <v>35</v>
      </c>
      <c r="C42" s="45" t="inlineStr">
        <is>
          <t>VP-D-08</t>
        </is>
      </c>
      <c r="D42" s="10" t="n"/>
      <c r="E42" s="11" t="n"/>
      <c r="F42" s="46" t="inlineStr">
        <is>
          <t>D. 統合・システム</t>
        </is>
      </c>
      <c r="G42" s="10" t="n"/>
      <c r="H42" s="10" t="n"/>
      <c r="I42" s="10" t="n"/>
      <c r="J42" s="10" t="n"/>
      <c r="K42" s="10" t="n"/>
      <c r="L42" s="11" t="n"/>
      <c r="M42" s="46" t="inlineStr">
        <is>
          <t>ネットワーク／500／タイムアウト</t>
        </is>
      </c>
      <c r="N42" s="10" t="n"/>
      <c r="O42" s="10" t="n"/>
      <c r="P42" s="10" t="n"/>
      <c r="Q42" s="10" t="n"/>
      <c r="R42" s="10" t="n"/>
      <c r="S42" s="10" t="n"/>
      <c r="T42" s="11" t="n"/>
      <c r="U42" s="48" t="inlineStr">
        <is>
          <t>中</t>
        </is>
      </c>
      <c r="V42" s="11" t="n"/>
      <c r="W42" s="46" t="inlineStr">
        <is>
          <t>全システム</t>
        </is>
      </c>
      <c r="X42" s="10" t="n"/>
      <c r="Y42" s="10" t="n"/>
      <c r="Z42" s="10" t="n"/>
      <c r="AA42" s="10" t="n"/>
      <c r="AB42" s="10" t="n"/>
      <c r="AC42" s="11" t="n"/>
      <c r="AD42" s="45" t="n">
        <v>30</v>
      </c>
      <c r="AE42" s="10" t="n"/>
      <c r="AF42" s="11" t="n"/>
    </row>
    <row r="43" ht="36" customHeight="1">
      <c r="B43" s="44" t="n">
        <v>36</v>
      </c>
      <c r="C43" s="45" t="inlineStr">
        <is>
          <t>VP-D-09</t>
        </is>
      </c>
      <c r="D43" s="10" t="n"/>
      <c r="E43" s="11" t="n"/>
      <c r="F43" s="46" t="inlineStr">
        <is>
          <t>D. 統合・システム</t>
        </is>
      </c>
      <c r="G43" s="10" t="n"/>
      <c r="H43" s="10" t="n"/>
      <c r="I43" s="10" t="n"/>
      <c r="J43" s="10" t="n"/>
      <c r="K43" s="10" t="n"/>
      <c r="L43" s="11" t="n"/>
      <c r="M43" s="46" t="inlineStr">
        <is>
          <t>パスワード再発行 旧token無効化＋クールダウン</t>
        </is>
      </c>
      <c r="N43" s="10" t="n"/>
      <c r="O43" s="10" t="n"/>
      <c r="P43" s="10" t="n"/>
      <c r="Q43" s="10" t="n"/>
      <c r="R43" s="10" t="n"/>
      <c r="S43" s="10" t="n"/>
      <c r="T43" s="11" t="n"/>
      <c r="U43" s="47" t="inlineStr">
        <is>
          <t>高</t>
        </is>
      </c>
      <c r="V43" s="11" t="n"/>
      <c r="W43" s="46" t="inlineStr">
        <is>
          <t>SCR-007</t>
        </is>
      </c>
      <c r="X43" s="10" t="n"/>
      <c r="Y43" s="10" t="n"/>
      <c r="Z43" s="10" t="n"/>
      <c r="AA43" s="10" t="n"/>
      <c r="AB43" s="10" t="n"/>
      <c r="AC43" s="11" t="n"/>
      <c r="AD43" s="45" t="n">
        <v>6</v>
      </c>
      <c r="AE43" s="10" t="n"/>
      <c r="AF43" s="11" t="n"/>
    </row>
    <row r="44" ht="30" customHeight="1">
      <c r="B44" s="44" t="n">
        <v>37</v>
      </c>
      <c r="C44" s="45" t="inlineStr">
        <is>
          <t>VP-E-01</t>
        </is>
      </c>
      <c r="D44" s="10" t="n"/>
      <c r="E44" s="11" t="n"/>
      <c r="F44" s="46" t="inlineStr">
        <is>
          <t>E. 非機能・ユーザビリティ</t>
        </is>
      </c>
      <c r="G44" s="10" t="n"/>
      <c r="H44" s="10" t="n"/>
      <c r="I44" s="10" t="n"/>
      <c r="J44" s="10" t="n"/>
      <c r="K44" s="10" t="n"/>
      <c r="L44" s="11" t="n"/>
      <c r="M44" s="46" t="inlineStr">
        <is>
          <t>レイアウト／デザイントークン</t>
        </is>
      </c>
      <c r="N44" s="10" t="n"/>
      <c r="O44" s="10" t="n"/>
      <c r="P44" s="10" t="n"/>
      <c r="Q44" s="10" t="n"/>
      <c r="R44" s="10" t="n"/>
      <c r="S44" s="10" t="n"/>
      <c r="T44" s="11" t="n"/>
      <c r="U44" s="49" t="inlineStr">
        <is>
          <t>低</t>
        </is>
      </c>
      <c r="V44" s="11" t="n"/>
      <c r="W44" s="46" t="inlineStr">
        <is>
          <t>全画面</t>
        </is>
      </c>
      <c r="X44" s="10" t="n"/>
      <c r="Y44" s="10" t="n"/>
      <c r="Z44" s="10" t="n"/>
      <c r="AA44" s="10" t="n"/>
      <c r="AB44" s="10" t="n"/>
      <c r="AC44" s="11" t="n"/>
      <c r="AD44" s="45" t="n">
        <v>60</v>
      </c>
      <c r="AE44" s="10" t="n"/>
      <c r="AF44" s="11" t="n"/>
    </row>
    <row r="45" ht="36" customHeight="1">
      <c r="B45" s="44" t="n">
        <v>38</v>
      </c>
      <c r="C45" s="45" t="inlineStr">
        <is>
          <t>VP-E-02</t>
        </is>
      </c>
      <c r="D45" s="10" t="n"/>
      <c r="E45" s="11" t="n"/>
      <c r="F45" s="46" t="inlineStr">
        <is>
          <t>E. 非機能・ユーザビリティ</t>
        </is>
      </c>
      <c r="G45" s="10" t="n"/>
      <c r="H45" s="10" t="n"/>
      <c r="I45" s="10" t="n"/>
      <c r="J45" s="10" t="n"/>
      <c r="K45" s="10" t="n"/>
      <c r="L45" s="11" t="n"/>
      <c r="M45" s="46" t="inlineStr">
        <is>
          <t>レスポンシブ（モバイル／タブレット）</t>
        </is>
      </c>
      <c r="N45" s="10" t="n"/>
      <c r="O45" s="10" t="n"/>
      <c r="P45" s="10" t="n"/>
      <c r="Q45" s="10" t="n"/>
      <c r="R45" s="10" t="n"/>
      <c r="S45" s="10" t="n"/>
      <c r="T45" s="11" t="n"/>
      <c r="U45" s="49" t="inlineStr">
        <is>
          <t>低</t>
        </is>
      </c>
      <c r="V45" s="11" t="n"/>
      <c r="W45" s="46" t="inlineStr">
        <is>
          <t>全画面</t>
        </is>
      </c>
      <c r="X45" s="10" t="n"/>
      <c r="Y45" s="10" t="n"/>
      <c r="Z45" s="10" t="n"/>
      <c r="AA45" s="10" t="n"/>
      <c r="AB45" s="10" t="n"/>
      <c r="AC45" s="11" t="n"/>
      <c r="AD45" s="45" t="n">
        <v>40</v>
      </c>
      <c r="AE45" s="10" t="n"/>
      <c r="AF45" s="11" t="n"/>
    </row>
    <row r="46" ht="30" customHeight="1">
      <c r="B46" s="44" t="n">
        <v>39</v>
      </c>
      <c r="C46" s="45" t="inlineStr">
        <is>
          <t>VP-E-03</t>
        </is>
      </c>
      <c r="D46" s="10" t="n"/>
      <c r="E46" s="11" t="n"/>
      <c r="F46" s="46" t="inlineStr">
        <is>
          <t>E. 非機能・ユーザビリティ</t>
        </is>
      </c>
      <c r="G46" s="10" t="n"/>
      <c r="H46" s="10" t="n"/>
      <c r="I46" s="10" t="n"/>
      <c r="J46" s="10" t="n"/>
      <c r="K46" s="10" t="n"/>
      <c r="L46" s="11" t="n"/>
      <c r="M46" s="46" t="inlineStr">
        <is>
          <t>キーボード操作</t>
        </is>
      </c>
      <c r="N46" s="10" t="n"/>
      <c r="O46" s="10" t="n"/>
      <c r="P46" s="10" t="n"/>
      <c r="Q46" s="10" t="n"/>
      <c r="R46" s="10" t="n"/>
      <c r="S46" s="10" t="n"/>
      <c r="T46" s="11" t="n"/>
      <c r="U46" s="49" t="inlineStr">
        <is>
          <t>低</t>
        </is>
      </c>
      <c r="V46" s="11" t="n"/>
      <c r="W46" s="46" t="inlineStr">
        <is>
          <t>約25フォーム</t>
        </is>
      </c>
      <c r="X46" s="10" t="n"/>
      <c r="Y46" s="10" t="n"/>
      <c r="Z46" s="10" t="n"/>
      <c r="AA46" s="10" t="n"/>
      <c r="AB46" s="10" t="n"/>
      <c r="AC46" s="11" t="n"/>
      <c r="AD46" s="45" t="n">
        <v>25</v>
      </c>
      <c r="AE46" s="10" t="n"/>
      <c r="AF46" s="11" t="n"/>
    </row>
    <row r="47" ht="30" customHeight="1">
      <c r="B47" s="44" t="n">
        <v>40</v>
      </c>
      <c r="C47" s="45" t="inlineStr">
        <is>
          <t>VP-E-04</t>
        </is>
      </c>
      <c r="D47" s="10" t="n"/>
      <c r="E47" s="11" t="n"/>
      <c r="F47" s="46" t="inlineStr">
        <is>
          <t>E. 非機能・ユーザビリティ</t>
        </is>
      </c>
      <c r="G47" s="10" t="n"/>
      <c r="H47" s="10" t="n"/>
      <c r="I47" s="10" t="n"/>
      <c r="J47" s="10" t="n"/>
      <c r="K47" s="10" t="n"/>
      <c r="L47" s="11" t="n"/>
      <c r="M47" s="46" t="inlineStr">
        <is>
          <t>ブラウザ互換性</t>
        </is>
      </c>
      <c r="N47" s="10" t="n"/>
      <c r="O47" s="10" t="n"/>
      <c r="P47" s="10" t="n"/>
      <c r="Q47" s="10" t="n"/>
      <c r="R47" s="10" t="n"/>
      <c r="S47" s="10" t="n"/>
      <c r="T47" s="11" t="n"/>
      <c r="U47" s="49" t="inlineStr">
        <is>
          <t>低</t>
        </is>
      </c>
      <c r="V47" s="11" t="n"/>
      <c r="W47" s="46" t="inlineStr">
        <is>
          <t>全システム</t>
        </is>
      </c>
      <c r="X47" s="10" t="n"/>
      <c r="Y47" s="10" t="n"/>
      <c r="Z47" s="10" t="n"/>
      <c r="AA47" s="10" t="n"/>
      <c r="AB47" s="10" t="n"/>
      <c r="AC47" s="11" t="n"/>
      <c r="AD47" s="45" t="n">
        <v>5</v>
      </c>
      <c r="AE47" s="10" t="n"/>
      <c r="AF47" s="11" t="n"/>
    </row>
    <row r="48" ht="30" customHeight="1">
      <c r="B48" s="44" t="n">
        <v>41</v>
      </c>
      <c r="C48" s="45" t="inlineStr">
        <is>
          <t>VP-E-05</t>
        </is>
      </c>
      <c r="D48" s="10" t="n"/>
      <c r="E48" s="11" t="n"/>
      <c r="F48" s="46" t="inlineStr">
        <is>
          <t>E. 非機能・ユーザビリティ</t>
        </is>
      </c>
      <c r="G48" s="10" t="n"/>
      <c r="H48" s="10" t="n"/>
      <c r="I48" s="10" t="n"/>
      <c r="J48" s="10" t="n"/>
      <c r="K48" s="10" t="n"/>
      <c r="L48" s="11" t="n"/>
      <c r="M48" s="46" t="inlineStr">
        <is>
          <t>マルチタブセッション同期</t>
        </is>
      </c>
      <c r="N48" s="10" t="n"/>
      <c r="O48" s="10" t="n"/>
      <c r="P48" s="10" t="n"/>
      <c r="Q48" s="10" t="n"/>
      <c r="R48" s="10" t="n"/>
      <c r="S48" s="10" t="n"/>
      <c r="T48" s="11" t="n"/>
      <c r="U48" s="47" t="inlineStr">
        <is>
          <t>高</t>
        </is>
      </c>
      <c r="V48" s="11" t="n"/>
      <c r="W48" s="46" t="inlineStr">
        <is>
          <t>全システム</t>
        </is>
      </c>
      <c r="X48" s="10" t="n"/>
      <c r="Y48" s="10" t="n"/>
      <c r="Z48" s="10" t="n"/>
      <c r="AA48" s="10" t="n"/>
      <c r="AB48" s="10" t="n"/>
      <c r="AC48" s="11" t="n"/>
      <c r="AD48" s="45" t="n">
        <v>5</v>
      </c>
      <c r="AE48" s="10" t="n"/>
      <c r="AF48" s="11" t="n"/>
    </row>
    <row r="49" ht="30" customHeight="1">
      <c r="B49" s="44" t="n">
        <v>42</v>
      </c>
      <c r="C49" s="45" t="inlineStr">
        <is>
          <t>VP-E-07</t>
        </is>
      </c>
      <c r="D49" s="10" t="n"/>
      <c r="E49" s="11" t="n"/>
      <c r="F49" s="46" t="inlineStr">
        <is>
          <t>E. 非機能・ユーザビリティ</t>
        </is>
      </c>
      <c r="G49" s="10" t="n"/>
      <c r="H49" s="10" t="n"/>
      <c r="I49" s="10" t="n"/>
      <c r="J49" s="10" t="n"/>
      <c r="K49" s="10" t="n"/>
      <c r="L49" s="11" t="n"/>
      <c r="M49" s="46" t="inlineStr">
        <is>
          <t>未保存変更ガード・ブラウザ離脱</t>
        </is>
      </c>
      <c r="N49" s="10" t="n"/>
      <c r="O49" s="10" t="n"/>
      <c r="P49" s="10" t="n"/>
      <c r="Q49" s="10" t="n"/>
      <c r="R49" s="10" t="n"/>
      <c r="S49" s="10" t="n"/>
      <c r="T49" s="11" t="n"/>
      <c r="U49" s="48" t="inlineStr">
        <is>
          <t>中</t>
        </is>
      </c>
      <c r="V49" s="11" t="n"/>
      <c r="W49" s="46" t="inlineStr">
        <is>
          <t>全 CRUD 編集フォーム</t>
        </is>
      </c>
      <c r="X49" s="10" t="n"/>
      <c r="Y49" s="10" t="n"/>
      <c r="Z49" s="10" t="n"/>
      <c r="AA49" s="10" t="n"/>
      <c r="AB49" s="10" t="n"/>
      <c r="AC49" s="11" t="n"/>
      <c r="AD49" s="45" t="n">
        <v>8</v>
      </c>
      <c r="AE49" s="10" t="n"/>
      <c r="AF49" s="11" t="n"/>
    </row>
    <row r="50" ht="30" customHeight="1">
      <c r="B50" s="44" t="n">
        <v>43</v>
      </c>
      <c r="C50" s="45" t="inlineStr">
        <is>
          <t>VP-F-01</t>
        </is>
      </c>
      <c r="D50" s="10" t="n"/>
      <c r="E50" s="11" t="n"/>
      <c r="F50" s="46" t="inlineStr">
        <is>
          <t>F. 性能</t>
        </is>
      </c>
      <c r="G50" s="10" t="n"/>
      <c r="H50" s="10" t="n"/>
      <c r="I50" s="10" t="n"/>
      <c r="J50" s="10" t="n"/>
      <c r="K50" s="10" t="n"/>
      <c r="L50" s="11" t="n"/>
      <c r="M50" s="46" t="inlineStr">
        <is>
          <t>性能ベンチマーク</t>
        </is>
      </c>
      <c r="N50" s="10" t="n"/>
      <c r="O50" s="10" t="n"/>
      <c r="P50" s="10" t="n"/>
      <c r="Q50" s="10" t="n"/>
      <c r="R50" s="10" t="n"/>
      <c r="S50" s="10" t="n"/>
      <c r="T50" s="11" t="n"/>
      <c r="U50" s="48" t="inlineStr">
        <is>
          <t>中</t>
        </is>
      </c>
      <c r="V50" s="11" t="n"/>
      <c r="W50" s="46" t="inlineStr">
        <is>
          <t>全画面パフォーマンス計測対象</t>
        </is>
      </c>
      <c r="X50" s="10" t="n"/>
      <c r="Y50" s="10" t="n"/>
      <c r="Z50" s="10" t="n"/>
      <c r="AA50" s="10" t="n"/>
      <c r="AB50" s="10" t="n"/>
      <c r="AC50" s="11" t="n"/>
      <c r="AD50" s="45" t="n">
        <v>12</v>
      </c>
      <c r="AE50" s="10" t="n"/>
      <c r="AF50" s="11" t="n"/>
    </row>
    <row r="51" ht="30" customHeight="1">
      <c r="B51" s="44" t="n">
        <v>44</v>
      </c>
      <c r="C51" s="45" t="inlineStr">
        <is>
          <t>VP-F-02</t>
        </is>
      </c>
      <c r="D51" s="10" t="n"/>
      <c r="E51" s="11" t="n"/>
      <c r="F51" s="46" t="inlineStr">
        <is>
          <t>F. 性能</t>
        </is>
      </c>
      <c r="G51" s="10" t="n"/>
      <c r="H51" s="10" t="n"/>
      <c r="I51" s="10" t="n"/>
      <c r="J51" s="10" t="n"/>
      <c r="K51" s="10" t="n"/>
      <c r="L51" s="11" t="n"/>
      <c r="M51" s="46" t="inlineStr">
        <is>
          <t>大量データ表示性能</t>
        </is>
      </c>
      <c r="N51" s="10" t="n"/>
      <c r="O51" s="10" t="n"/>
      <c r="P51" s="10" t="n"/>
      <c r="Q51" s="10" t="n"/>
      <c r="R51" s="10" t="n"/>
      <c r="S51" s="10" t="n"/>
      <c r="T51" s="11" t="n"/>
      <c r="U51" s="48" t="inlineStr">
        <is>
          <t>中</t>
        </is>
      </c>
      <c r="V51" s="11" t="n"/>
      <c r="W51" s="46" t="inlineStr">
        <is>
          <t>一覧／レポート画面</t>
        </is>
      </c>
      <c r="X51" s="10" t="n"/>
      <c r="Y51" s="10" t="n"/>
      <c r="Z51" s="10" t="n"/>
      <c r="AA51" s="10" t="n"/>
      <c r="AB51" s="10" t="n"/>
      <c r="AC51" s="11" t="n"/>
      <c r="AD51" s="45" t="n">
        <v>8</v>
      </c>
      <c r="AE51" s="10" t="n"/>
      <c r="AF51" s="11" t="n"/>
    </row>
    <row r="52" ht="22.5" customHeight="1">
      <c r="B52" s="50" t="inlineStr">
        <is>
          <t>合計</t>
        </is>
      </c>
      <c r="C52" s="10" t="n"/>
      <c r="D52" s="10" t="n"/>
      <c r="E52" s="10" t="n"/>
      <c r="F52" s="10" t="n"/>
      <c r="G52" s="10" t="n"/>
      <c r="H52" s="10" t="n"/>
      <c r="I52" s="10" t="n"/>
      <c r="J52" s="10" t="n"/>
      <c r="K52" s="10" t="n"/>
      <c r="L52" s="10" t="n"/>
      <c r="M52" s="10" t="n"/>
      <c r="N52" s="10" t="n"/>
      <c r="O52" s="10" t="n"/>
      <c r="P52" s="10" t="n"/>
      <c r="Q52" s="10" t="n"/>
      <c r="R52" s="10" t="n"/>
      <c r="S52" s="10" t="n"/>
      <c r="T52" s="11" t="n"/>
      <c r="U52" s="36" t="inlineStr"/>
      <c r="V52" s="11" t="n"/>
      <c r="W52" s="36" t="inlineStr"/>
      <c r="X52" s="10" t="n"/>
      <c r="Y52" s="10" t="n"/>
      <c r="Z52" s="10" t="n"/>
      <c r="AA52" s="10" t="n"/>
      <c r="AB52" s="10" t="n"/>
      <c r="AC52" s="11" t="n"/>
      <c r="AD52" s="36">
        <f>SUM(AD8:AD51)</f>
        <v/>
      </c>
      <c r="AE52" s="10" t="n"/>
      <c r="AF52" s="11" t="n"/>
    </row>
    <row r="54" ht="19.5" customHeight="1">
      <c r="B54" s="28" t="inlineStr">
        <is>
          <t>2. 観点ID 命名規約・グループ凡例</t>
        </is>
      </c>
    </row>
    <row r="56" ht="28.5" customHeight="1">
      <c r="B56" s="43" t="inlineStr">
        <is>
          <t>グループ</t>
        </is>
      </c>
      <c r="C56" s="11" t="n"/>
      <c r="D56" s="43" t="inlineStr">
        <is>
          <t>接頭辞</t>
        </is>
      </c>
      <c r="E56" s="10" t="n"/>
      <c r="F56" s="11" t="n"/>
      <c r="G56" s="43" t="inlineStr">
        <is>
          <t>名称</t>
        </is>
      </c>
      <c r="H56" s="10" t="n"/>
      <c r="I56" s="10" t="n"/>
      <c r="J56" s="10" t="n"/>
      <c r="K56" s="10" t="n"/>
      <c r="L56" s="11" t="n"/>
      <c r="M56" s="43" t="inlineStr">
        <is>
          <t>観点数</t>
        </is>
      </c>
      <c r="N56" s="11" t="n"/>
      <c r="O56" s="43" t="inlineStr">
        <is>
          <t>リスク傾向</t>
        </is>
      </c>
      <c r="P56" s="10" t="n"/>
      <c r="Q56" s="11" t="n"/>
      <c r="R56" s="43" t="inlineStr">
        <is>
          <t>代表的なテスト観点</t>
        </is>
      </c>
      <c r="S56" s="10" t="n"/>
      <c r="T56" s="10" t="n"/>
      <c r="U56" s="10" t="n"/>
      <c r="V56" s="10" t="n"/>
      <c r="W56" s="10" t="n"/>
      <c r="X56" s="10" t="n"/>
      <c r="Y56" s="10" t="n"/>
      <c r="Z56" s="10" t="n"/>
      <c r="AA56" s="10" t="n"/>
      <c r="AB56" s="10" t="n"/>
      <c r="AC56" s="10" t="n"/>
      <c r="AD56" s="10" t="n"/>
      <c r="AE56" s="10" t="n"/>
      <c r="AF56" s="10" t="n"/>
      <c r="AG56" s="10" t="n"/>
      <c r="AH56" s="10" t="n"/>
      <c r="AI56" s="10" t="n"/>
      <c r="AJ56" s="10" t="n"/>
      <c r="AK56" s="11" t="n"/>
    </row>
    <row r="57" ht="36" customHeight="1">
      <c r="B57" s="51" t="inlineStr">
        <is>
          <t>A</t>
        </is>
      </c>
      <c r="C57" s="11" t="n"/>
      <c r="D57" s="45" t="inlineStr">
        <is>
          <t>VP-A-NN</t>
        </is>
      </c>
      <c r="E57" s="10" t="n"/>
      <c r="F57" s="11" t="n"/>
      <c r="G57" s="46" t="inlineStr">
        <is>
          <t>セキュリティ・権限</t>
        </is>
      </c>
      <c r="H57" s="10" t="n"/>
      <c r="I57" s="10" t="n"/>
      <c r="J57" s="10" t="n"/>
      <c r="K57" s="10" t="n"/>
      <c r="L57" s="11" t="n"/>
      <c r="M57" s="45" t="n">
        <v>10</v>
      </c>
      <c r="N57" s="11" t="n"/>
      <c r="O57" s="45" t="inlineStr">
        <is>
          <t>高</t>
        </is>
      </c>
      <c r="P57" s="10" t="n"/>
      <c r="Q57" s="11" t="n"/>
      <c r="R57" s="46" t="inlineStr">
        <is>
          <t>RBAC、DataScope、項目レベル制限、URL直接攻撃、セッション失効、XSS、CSRF、レート制限、アカウントロック、SQL注入</t>
        </is>
      </c>
      <c r="S57" s="10" t="n"/>
      <c r="T57" s="10" t="n"/>
      <c r="U57" s="10" t="n"/>
      <c r="V57" s="10" t="n"/>
      <c r="W57" s="10" t="n"/>
      <c r="X57" s="10" t="n"/>
      <c r="Y57" s="10" t="n"/>
      <c r="Z57" s="10" t="n"/>
      <c r="AA57" s="10" t="n"/>
      <c r="AB57" s="10" t="n"/>
      <c r="AC57" s="10" t="n"/>
      <c r="AD57" s="10" t="n"/>
      <c r="AE57" s="10" t="n"/>
      <c r="AF57" s="10" t="n"/>
      <c r="AG57" s="10" t="n"/>
      <c r="AH57" s="10" t="n"/>
      <c r="AI57" s="10" t="n"/>
      <c r="AJ57" s="10" t="n"/>
      <c r="AK57" s="11" t="n"/>
    </row>
    <row r="58" ht="30" customHeight="1">
      <c r="B58" s="51" t="inlineStr">
        <is>
          <t>B</t>
        </is>
      </c>
      <c r="C58" s="11" t="n"/>
      <c r="D58" s="45" t="inlineStr">
        <is>
          <t>VP-B-NN</t>
        </is>
      </c>
      <c r="E58" s="10" t="n"/>
      <c r="F58" s="11" t="n"/>
      <c r="G58" s="46" t="inlineStr">
        <is>
          <t>データバリデーション</t>
        </is>
      </c>
      <c r="H58" s="10" t="n"/>
      <c r="I58" s="10" t="n"/>
      <c r="J58" s="10" t="n"/>
      <c r="K58" s="10" t="n"/>
      <c r="L58" s="11" t="n"/>
      <c r="M58" s="45" t="n">
        <v>9</v>
      </c>
      <c r="N58" s="11" t="n"/>
      <c r="O58" s="45" t="inlineStr">
        <is>
          <t>中</t>
        </is>
      </c>
      <c r="P58" s="10" t="n"/>
      <c r="Q58" s="11" t="n"/>
      <c r="R58" s="46" t="inlineStr">
        <is>
          <t>必須／長さ／形式／半角全角／日付／通貨／m_code／重複キー／IME・貼付ハンドリング</t>
        </is>
      </c>
      <c r="S58" s="10" t="n"/>
      <c r="T58" s="10" t="n"/>
      <c r="U58" s="10" t="n"/>
      <c r="V58" s="10" t="n"/>
      <c r="W58" s="10" t="n"/>
      <c r="X58" s="10" t="n"/>
      <c r="Y58" s="10" t="n"/>
      <c r="Z58" s="10" t="n"/>
      <c r="AA58" s="10" t="n"/>
      <c r="AB58" s="10" t="n"/>
      <c r="AC58" s="10" t="n"/>
      <c r="AD58" s="10" t="n"/>
      <c r="AE58" s="10" t="n"/>
      <c r="AF58" s="10" t="n"/>
      <c r="AG58" s="10" t="n"/>
      <c r="AH58" s="10" t="n"/>
      <c r="AI58" s="10" t="n"/>
      <c r="AJ58" s="10" t="n"/>
      <c r="AK58" s="11" t="n"/>
    </row>
    <row r="59" ht="36" customHeight="1">
      <c r="B59" s="51" t="inlineStr">
        <is>
          <t>C</t>
        </is>
      </c>
      <c r="C59" s="11" t="n"/>
      <c r="D59" s="45" t="inlineStr">
        <is>
          <t>VP-C-NN</t>
        </is>
      </c>
      <c r="E59" s="10" t="n"/>
      <c r="F59" s="11" t="n"/>
      <c r="G59" s="46" t="inlineStr">
        <is>
          <t>業務ロジック</t>
        </is>
      </c>
      <c r="H59" s="10" t="n"/>
      <c r="I59" s="10" t="n"/>
      <c r="J59" s="10" t="n"/>
      <c r="K59" s="10" t="n"/>
      <c r="L59" s="11" t="n"/>
      <c r="M59" s="45" t="n">
        <v>8</v>
      </c>
      <c r="N59" s="11" t="n"/>
      <c r="O59" s="45" t="inlineStr">
        <is>
          <t>高</t>
        </is>
      </c>
      <c r="P59" s="10" t="n"/>
      <c r="Q59" s="11" t="n"/>
      <c r="R59" s="46" t="inlineStr">
        <is>
          <t>CRUD 永続化、同時編集競合、論理削除＋FK、税計算、購読者ルール、Excel 取込、レポート集計</t>
        </is>
      </c>
      <c r="S59" s="10" t="n"/>
      <c r="T59" s="10" t="n"/>
      <c r="U59" s="10" t="n"/>
      <c r="V59" s="10" t="n"/>
      <c r="W59" s="10" t="n"/>
      <c r="X59" s="10" t="n"/>
      <c r="Y59" s="10" t="n"/>
      <c r="Z59" s="10" t="n"/>
      <c r="AA59" s="10" t="n"/>
      <c r="AB59" s="10" t="n"/>
      <c r="AC59" s="10" t="n"/>
      <c r="AD59" s="10" t="n"/>
      <c r="AE59" s="10" t="n"/>
      <c r="AF59" s="10" t="n"/>
      <c r="AG59" s="10" t="n"/>
      <c r="AH59" s="10" t="n"/>
      <c r="AI59" s="10" t="n"/>
      <c r="AJ59" s="10" t="n"/>
      <c r="AK59" s="11" t="n"/>
    </row>
    <row r="60" ht="36" customHeight="1">
      <c r="B60" s="51" t="inlineStr">
        <is>
          <t>D</t>
        </is>
      </c>
      <c r="C60" s="11" t="n"/>
      <c r="D60" s="45" t="inlineStr">
        <is>
          <t>VP-D-NN</t>
        </is>
      </c>
      <c r="E60" s="10" t="n"/>
      <c r="F60" s="11" t="n"/>
      <c r="G60" s="46" t="inlineStr">
        <is>
          <t>統合・システム</t>
        </is>
      </c>
      <c r="H60" s="10" t="n"/>
      <c r="I60" s="10" t="n"/>
      <c r="J60" s="10" t="n"/>
      <c r="K60" s="10" t="n"/>
      <c r="L60" s="11" t="n"/>
      <c r="M60" s="45" t="n">
        <v>9</v>
      </c>
      <c r="N60" s="11" t="n"/>
      <c r="O60" s="45" t="inlineStr">
        <is>
          <t>高</t>
        </is>
      </c>
      <c r="P60" s="10" t="n"/>
      <c r="Q60" s="11" t="n"/>
      <c r="R60" s="46" t="inlineStr">
        <is>
          <t>ログイン＋MFA、セッション管理、パスワード再発行、監査ログ、S3、メール、CSV 準拠、ネットワーク／500</t>
        </is>
      </c>
      <c r="S60" s="10" t="n"/>
      <c r="T60" s="10" t="n"/>
      <c r="U60" s="10" t="n"/>
      <c r="V60" s="10" t="n"/>
      <c r="W60" s="10" t="n"/>
      <c r="X60" s="10" t="n"/>
      <c r="Y60" s="10" t="n"/>
      <c r="Z60" s="10" t="n"/>
      <c r="AA60" s="10" t="n"/>
      <c r="AB60" s="10" t="n"/>
      <c r="AC60" s="10" t="n"/>
      <c r="AD60" s="10" t="n"/>
      <c r="AE60" s="10" t="n"/>
      <c r="AF60" s="10" t="n"/>
      <c r="AG60" s="10" t="n"/>
      <c r="AH60" s="10" t="n"/>
      <c r="AI60" s="10" t="n"/>
      <c r="AJ60" s="10" t="n"/>
      <c r="AK60" s="11" t="n"/>
    </row>
    <row r="61" ht="36" customHeight="1">
      <c r="B61" s="51" t="inlineStr">
        <is>
          <t>E</t>
        </is>
      </c>
      <c r="C61" s="11" t="n"/>
      <c r="D61" s="45" t="inlineStr">
        <is>
          <t>VP-E-NN</t>
        </is>
      </c>
      <c r="E61" s="10" t="n"/>
      <c r="F61" s="11" t="n"/>
      <c r="G61" s="46" t="inlineStr">
        <is>
          <t>非機能・ユーザビリティ</t>
        </is>
      </c>
      <c r="H61" s="10" t="n"/>
      <c r="I61" s="10" t="n"/>
      <c r="J61" s="10" t="n"/>
      <c r="K61" s="10" t="n"/>
      <c r="L61" s="11" t="n"/>
      <c r="M61" s="45" t="n">
        <v>6</v>
      </c>
      <c r="N61" s="11" t="n"/>
      <c r="O61" s="45" t="inlineStr">
        <is>
          <t>低〜中</t>
        </is>
      </c>
      <c r="P61" s="10" t="n"/>
      <c r="Q61" s="11" t="n"/>
      <c r="R61" s="46" t="inlineStr">
        <is>
          <t>レイアウト、レスポンシブ、キーボード操作、ブラウザ互換、マルチタブ同期、未保存変更ガード</t>
        </is>
      </c>
      <c r="S61" s="10" t="n"/>
      <c r="T61" s="10" t="n"/>
      <c r="U61" s="10" t="n"/>
      <c r="V61" s="10" t="n"/>
      <c r="W61" s="10" t="n"/>
      <c r="X61" s="10" t="n"/>
      <c r="Y61" s="10" t="n"/>
      <c r="Z61" s="10" t="n"/>
      <c r="AA61" s="10" t="n"/>
      <c r="AB61" s="10" t="n"/>
      <c r="AC61" s="10" t="n"/>
      <c r="AD61" s="10" t="n"/>
      <c r="AE61" s="10" t="n"/>
      <c r="AF61" s="10" t="n"/>
      <c r="AG61" s="10" t="n"/>
      <c r="AH61" s="10" t="n"/>
      <c r="AI61" s="10" t="n"/>
      <c r="AJ61" s="10" t="n"/>
      <c r="AK61" s="11" t="n"/>
    </row>
    <row r="62" ht="30" customHeight="1">
      <c r="B62" s="51" t="inlineStr">
        <is>
          <t>F</t>
        </is>
      </c>
      <c r="C62" s="11" t="n"/>
      <c r="D62" s="45" t="inlineStr">
        <is>
          <t>VP-F-NN</t>
        </is>
      </c>
      <c r="E62" s="10" t="n"/>
      <c r="F62" s="11" t="n"/>
      <c r="G62" s="46" t="inlineStr">
        <is>
          <t>性能</t>
        </is>
      </c>
      <c r="H62" s="10" t="n"/>
      <c r="I62" s="10" t="n"/>
      <c r="J62" s="10" t="n"/>
      <c r="K62" s="10" t="n"/>
      <c r="L62" s="11" t="n"/>
      <c r="M62" s="45" t="n">
        <v>2</v>
      </c>
      <c r="N62" s="11" t="n"/>
      <c r="O62" s="45" t="inlineStr">
        <is>
          <t>中</t>
        </is>
      </c>
      <c r="P62" s="10" t="n"/>
      <c r="Q62" s="11" t="n"/>
      <c r="R62" s="46" t="inlineStr">
        <is>
          <t>性能ベンチマーク、大量データ表示性能</t>
        </is>
      </c>
      <c r="S62" s="10" t="n"/>
      <c r="T62" s="10" t="n"/>
      <c r="U62" s="10" t="n"/>
      <c r="V62" s="10" t="n"/>
      <c r="W62" s="10" t="n"/>
      <c r="X62" s="10" t="n"/>
      <c r="Y62" s="10" t="n"/>
      <c r="Z62" s="10" t="n"/>
      <c r="AA62" s="10" t="n"/>
      <c r="AB62" s="10" t="n"/>
      <c r="AC62" s="10" t="n"/>
      <c r="AD62" s="10" t="n"/>
      <c r="AE62" s="10" t="n"/>
      <c r="AF62" s="10" t="n"/>
      <c r="AG62" s="10" t="n"/>
      <c r="AH62" s="10" t="n"/>
      <c r="AI62" s="10" t="n"/>
      <c r="AJ62" s="10" t="n"/>
      <c r="AK62" s="11" t="n"/>
    </row>
    <row r="64" ht="30" customHeight="1">
      <c r="B64" s="52" t="inlineStr">
        <is>
          <t>命名規約：VP-{グループ記号}-{NN} 形式（NN はグループ内の2桁連番）。新規観点は同グループの末尾に追加する（例：VP-A-11）。グループ記号はリスク軸による分類で、JSTQB FL の品質特性区分に準拠する。</t>
        </is>
      </c>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1" t="n"/>
    </row>
  </sheetData>
  <mergeCells count="333">
    <mergeCell ref="AD34:AF34"/>
    <mergeCell ref="AD28:AF28"/>
    <mergeCell ref="C21:E21"/>
    <mergeCell ref="AD36:AF36"/>
    <mergeCell ref="AD30:AF30"/>
    <mergeCell ref="M60:N60"/>
    <mergeCell ref="C23:E23"/>
    <mergeCell ref="J1:P1"/>
    <mergeCell ref="AH2:AK3"/>
    <mergeCell ref="M31:T31"/>
    <mergeCell ref="C18:E18"/>
    <mergeCell ref="C34:E34"/>
    <mergeCell ref="F18:L18"/>
    <mergeCell ref="F45:L45"/>
    <mergeCell ref="AD29:AF29"/>
    <mergeCell ref="F17:L17"/>
    <mergeCell ref="U20:V20"/>
    <mergeCell ref="W7:AC7"/>
    <mergeCell ref="U14:V14"/>
    <mergeCell ref="F47:L47"/>
    <mergeCell ref="F46:L46"/>
    <mergeCell ref="U22:V22"/>
    <mergeCell ref="W8:AC8"/>
    <mergeCell ref="F48:L48"/>
    <mergeCell ref="Z1:AC1"/>
    <mergeCell ref="O59:Q59"/>
    <mergeCell ref="AD49:AF49"/>
    <mergeCell ref="O61:Q61"/>
    <mergeCell ref="U13:V13"/>
    <mergeCell ref="U7:V7"/>
    <mergeCell ref="AD50:AF50"/>
    <mergeCell ref="AD42:AF42"/>
    <mergeCell ref="AD52:AF52"/>
    <mergeCell ref="C24:E24"/>
    <mergeCell ref="U8:V8"/>
    <mergeCell ref="C26:E26"/>
    <mergeCell ref="U10:V10"/>
    <mergeCell ref="M32:T32"/>
    <mergeCell ref="W21:AC21"/>
    <mergeCell ref="G62:L62"/>
    <mergeCell ref="AD32:AF32"/>
    <mergeCell ref="AD26:AF26"/>
    <mergeCell ref="W10:AC10"/>
    <mergeCell ref="M16:T16"/>
    <mergeCell ref="C37:E37"/>
    <mergeCell ref="U21:V21"/>
    <mergeCell ref="M27:T27"/>
    <mergeCell ref="M18:T18"/>
    <mergeCell ref="F51:L51"/>
    <mergeCell ref="M45:T45"/>
    <mergeCell ref="AH1:AK1"/>
    <mergeCell ref="C14:E14"/>
    <mergeCell ref="F38:L38"/>
    <mergeCell ref="U35:V35"/>
    <mergeCell ref="AD45:AF45"/>
    <mergeCell ref="W29:AC29"/>
    <mergeCell ref="W23:AC23"/>
    <mergeCell ref="C27:E27"/>
    <mergeCell ref="M40:T40"/>
    <mergeCell ref="AD7:AF7"/>
    <mergeCell ref="W24:AC24"/>
    <mergeCell ref="M12:T12"/>
    <mergeCell ref="O57:Q57"/>
    <mergeCell ref="W51:AC51"/>
    <mergeCell ref="W26:AC26"/>
    <mergeCell ref="M41:T41"/>
    <mergeCell ref="M57:N57"/>
    <mergeCell ref="M24:T24"/>
    <mergeCell ref="C45:E45"/>
    <mergeCell ref="U29:V29"/>
    <mergeCell ref="U23:V23"/>
    <mergeCell ref="C47:E47"/>
    <mergeCell ref="U31:V31"/>
    <mergeCell ref="W42:AC42"/>
    <mergeCell ref="C40:E40"/>
    <mergeCell ref="C51:E51"/>
    <mergeCell ref="W19:AC19"/>
    <mergeCell ref="W37:AC37"/>
    <mergeCell ref="F19:L19"/>
    <mergeCell ref="M37:T37"/>
    <mergeCell ref="U42:V42"/>
    <mergeCell ref="AD48:AF48"/>
    <mergeCell ref="W32:AC32"/>
    <mergeCell ref="R56:AK56"/>
    <mergeCell ref="M14:T14"/>
    <mergeCell ref="M43:T43"/>
    <mergeCell ref="AD10:AF10"/>
    <mergeCell ref="W27:AC27"/>
    <mergeCell ref="F9:L9"/>
    <mergeCell ref="C46:E46"/>
    <mergeCell ref="R59:AK59"/>
    <mergeCell ref="W44:AC44"/>
    <mergeCell ref="C48:E48"/>
    <mergeCell ref="U32:V32"/>
    <mergeCell ref="U47:V47"/>
    <mergeCell ref="M25:T25"/>
    <mergeCell ref="W45:AC45"/>
    <mergeCell ref="M33:T33"/>
    <mergeCell ref="W20:AC20"/>
    <mergeCell ref="B64:AK64"/>
    <mergeCell ref="AD21:AF21"/>
    <mergeCell ref="W47:AC47"/>
    <mergeCell ref="W22:AC22"/>
    <mergeCell ref="AD23:AF23"/>
    <mergeCell ref="U50:V50"/>
    <mergeCell ref="U44:V44"/>
    <mergeCell ref="C16:E16"/>
    <mergeCell ref="F22:L22"/>
    <mergeCell ref="C9:E9"/>
    <mergeCell ref="U45:V45"/>
    <mergeCell ref="B58:C58"/>
    <mergeCell ref="R57:AK57"/>
    <mergeCell ref="C36:E36"/>
    <mergeCell ref="C11:E11"/>
    <mergeCell ref="M51:T51"/>
    <mergeCell ref="F11:L11"/>
    <mergeCell ref="B60:C60"/>
    <mergeCell ref="AD16:AF16"/>
    <mergeCell ref="W33:AC33"/>
    <mergeCell ref="F40:L40"/>
    <mergeCell ref="AD18:AF18"/>
    <mergeCell ref="F12:L12"/>
    <mergeCell ref="W35:AC35"/>
    <mergeCell ref="D59:F59"/>
    <mergeCell ref="V1:Y1"/>
    <mergeCell ref="AD17:AF17"/>
    <mergeCell ref="G59:L59"/>
    <mergeCell ref="F41:L41"/>
    <mergeCell ref="R62:AK62"/>
    <mergeCell ref="F35:L35"/>
    <mergeCell ref="G61:L61"/>
    <mergeCell ref="W46:AC46"/>
    <mergeCell ref="M34:T34"/>
    <mergeCell ref="B59:C59"/>
    <mergeCell ref="D61:F61"/>
    <mergeCell ref="AD31:AF31"/>
    <mergeCell ref="W48:AC48"/>
    <mergeCell ref="M49:T49"/>
    <mergeCell ref="D62:F62"/>
    <mergeCell ref="D56:F56"/>
    <mergeCell ref="C17:E17"/>
    <mergeCell ref="F34:L34"/>
    <mergeCell ref="O60:Q60"/>
    <mergeCell ref="F25:L25"/>
    <mergeCell ref="C19:E19"/>
    <mergeCell ref="F30:L30"/>
    <mergeCell ref="B52:T52"/>
    <mergeCell ref="G56:L56"/>
    <mergeCell ref="W41:AC41"/>
    <mergeCell ref="W43:AC43"/>
    <mergeCell ref="AD44:AF44"/>
    <mergeCell ref="AD19:AF19"/>
    <mergeCell ref="F13:L13"/>
    <mergeCell ref="M59:N59"/>
    <mergeCell ref="F43:L43"/>
    <mergeCell ref="AD27:AF27"/>
    <mergeCell ref="M9:T9"/>
    <mergeCell ref="M20:T20"/>
    <mergeCell ref="O62:Q62"/>
    <mergeCell ref="M11:T11"/>
    <mergeCell ref="O56:Q56"/>
    <mergeCell ref="U16:V16"/>
    <mergeCell ref="B61:C61"/>
    <mergeCell ref="C7:E7"/>
    <mergeCell ref="AD22:AF22"/>
    <mergeCell ref="M22:T22"/>
    <mergeCell ref="AD37:AF37"/>
    <mergeCell ref="M15:T15"/>
    <mergeCell ref="U28:V28"/>
    <mergeCell ref="AD9:AF9"/>
    <mergeCell ref="AD47:AF47"/>
    <mergeCell ref="J2:P3"/>
    <mergeCell ref="F33:L33"/>
    <mergeCell ref="F8:L8"/>
    <mergeCell ref="AD38:AF38"/>
    <mergeCell ref="W16:AC16"/>
    <mergeCell ref="C20:E20"/>
    <mergeCell ref="C25:E25"/>
    <mergeCell ref="D57:F57"/>
    <mergeCell ref="F31:L31"/>
    <mergeCell ref="F28:L28"/>
    <mergeCell ref="G57:L57"/>
    <mergeCell ref="W18:AC18"/>
    <mergeCell ref="C22:E22"/>
    <mergeCell ref="F39:L39"/>
    <mergeCell ref="W17:AC17"/>
    <mergeCell ref="W11:AC11"/>
    <mergeCell ref="M35:T35"/>
    <mergeCell ref="G58:L58"/>
    <mergeCell ref="Z2:AC3"/>
    <mergeCell ref="AD2:AG3"/>
    <mergeCell ref="C38:E38"/>
    <mergeCell ref="C13:E13"/>
    <mergeCell ref="M30:T30"/>
    <mergeCell ref="F21:L21"/>
    <mergeCell ref="U24:V24"/>
    <mergeCell ref="M46:T46"/>
    <mergeCell ref="D60:F60"/>
    <mergeCell ref="U18:V18"/>
    <mergeCell ref="C15:E15"/>
    <mergeCell ref="C33:E33"/>
    <mergeCell ref="F50:L50"/>
    <mergeCell ref="A1:I1"/>
    <mergeCell ref="W12:AC12"/>
    <mergeCell ref="U19:V19"/>
    <mergeCell ref="C35:E35"/>
    <mergeCell ref="C10:E10"/>
    <mergeCell ref="AD46:AF46"/>
    <mergeCell ref="AD40:AF40"/>
    <mergeCell ref="F49:L49"/>
    <mergeCell ref="F14:L14"/>
    <mergeCell ref="Q2:U3"/>
    <mergeCell ref="AD41:AF41"/>
    <mergeCell ref="D58:F58"/>
    <mergeCell ref="U37:V37"/>
    <mergeCell ref="M13:T13"/>
    <mergeCell ref="M7:T7"/>
    <mergeCell ref="C28:E28"/>
    <mergeCell ref="U12:V12"/>
    <mergeCell ref="AD43:AF43"/>
    <mergeCell ref="G60:L60"/>
    <mergeCell ref="C30:E30"/>
    <mergeCell ref="M36:T36"/>
    <mergeCell ref="M8:T8"/>
    <mergeCell ref="B54:AK54"/>
    <mergeCell ref="U26:V26"/>
    <mergeCell ref="AD25:AF25"/>
    <mergeCell ref="C41:E41"/>
    <mergeCell ref="W9:AC9"/>
    <mergeCell ref="F37:L37"/>
    <mergeCell ref="C43:E43"/>
    <mergeCell ref="U27:V27"/>
    <mergeCell ref="W14:AC14"/>
    <mergeCell ref="W38:AC38"/>
    <mergeCell ref="W13:AC13"/>
    <mergeCell ref="U25:V25"/>
    <mergeCell ref="O58:Q58"/>
    <mergeCell ref="W40:AC40"/>
    <mergeCell ref="W15:AC15"/>
    <mergeCell ref="M21:T21"/>
    <mergeCell ref="F15:L15"/>
    <mergeCell ref="M61:N61"/>
    <mergeCell ref="AD1:AG1"/>
    <mergeCell ref="F42:L42"/>
    <mergeCell ref="M26:T26"/>
    <mergeCell ref="AD51:AF51"/>
    <mergeCell ref="U38:V38"/>
    <mergeCell ref="C29:E29"/>
    <mergeCell ref="M56:N56"/>
    <mergeCell ref="U40:V40"/>
    <mergeCell ref="C44:E44"/>
    <mergeCell ref="C31:E31"/>
    <mergeCell ref="U15:V15"/>
    <mergeCell ref="M39:T39"/>
    <mergeCell ref="AD11:AF11"/>
    <mergeCell ref="W28:AC28"/>
    <mergeCell ref="F10:L10"/>
    <mergeCell ref="Q1:U1"/>
    <mergeCell ref="M28:T28"/>
    <mergeCell ref="C49:E49"/>
    <mergeCell ref="U33:V33"/>
    <mergeCell ref="AD39:AF39"/>
    <mergeCell ref="C42:E42"/>
    <mergeCell ref="AD24:AF24"/>
    <mergeCell ref="M62:N62"/>
    <mergeCell ref="M29:T29"/>
    <mergeCell ref="M23:T23"/>
    <mergeCell ref="U46:V46"/>
    <mergeCell ref="C12:E12"/>
    <mergeCell ref="U48:V48"/>
    <mergeCell ref="C39:E39"/>
    <mergeCell ref="W34:AC34"/>
    <mergeCell ref="U41:V41"/>
    <mergeCell ref="W25:AC25"/>
    <mergeCell ref="C32:E32"/>
    <mergeCell ref="W36:AC36"/>
    <mergeCell ref="U43:V43"/>
    <mergeCell ref="F7:L7"/>
    <mergeCell ref="W30:AC30"/>
    <mergeCell ref="AD12:AF12"/>
    <mergeCell ref="M42:T42"/>
    <mergeCell ref="A2:I3"/>
    <mergeCell ref="M17:T17"/>
    <mergeCell ref="F36:L36"/>
    <mergeCell ref="AD20:AF20"/>
    <mergeCell ref="M47:T47"/>
    <mergeCell ref="AD14:AF14"/>
    <mergeCell ref="W31:AC31"/>
    <mergeCell ref="M19:T19"/>
    <mergeCell ref="AD13:AF13"/>
    <mergeCell ref="C50:E50"/>
    <mergeCell ref="U34:V34"/>
    <mergeCell ref="U9:V9"/>
    <mergeCell ref="R58:AK58"/>
    <mergeCell ref="AD15:AF15"/>
    <mergeCell ref="M44:T44"/>
    <mergeCell ref="U49:V49"/>
    <mergeCell ref="U36:V36"/>
    <mergeCell ref="B56:C56"/>
    <mergeCell ref="R60:AK60"/>
    <mergeCell ref="U30:V30"/>
    <mergeCell ref="F29:L29"/>
    <mergeCell ref="W49:AC49"/>
    <mergeCell ref="M10:T10"/>
    <mergeCell ref="B57:C57"/>
    <mergeCell ref="F24:L24"/>
    <mergeCell ref="AD8:AF8"/>
    <mergeCell ref="F32:L32"/>
    <mergeCell ref="F26:L26"/>
    <mergeCell ref="U51:V51"/>
    <mergeCell ref="V2:Y3"/>
    <mergeCell ref="M50:T50"/>
    <mergeCell ref="M58:N58"/>
    <mergeCell ref="B62:C62"/>
    <mergeCell ref="R61:AK61"/>
    <mergeCell ref="F27:L27"/>
    <mergeCell ref="W52:AC52"/>
    <mergeCell ref="W39:AC39"/>
    <mergeCell ref="M48:T48"/>
    <mergeCell ref="U17:V17"/>
    <mergeCell ref="U11:V11"/>
    <mergeCell ref="F44:L44"/>
    <mergeCell ref="C8:E8"/>
    <mergeCell ref="F16:L16"/>
    <mergeCell ref="F20:L20"/>
    <mergeCell ref="U52:V52"/>
    <mergeCell ref="B5:AK5"/>
    <mergeCell ref="U39:V39"/>
    <mergeCell ref="AD33:AF33"/>
    <mergeCell ref="W50:AC50"/>
    <mergeCell ref="M38:T38"/>
    <mergeCell ref="AD35:AF35"/>
    <mergeCell ref="F23:L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Q88"/>
  <sheetViews>
    <sheetView showGridLines="0" workbookViewId="0">
      <selection activeCell="A1" sqref="A1"/>
    </sheetView>
  </sheetViews>
  <sheetFormatPr baseColWidth="8" defaultColWidth="12.63" defaultRowHeight="15"/>
  <cols>
    <col width="4" customWidth="1" min="1" max="1"/>
    <col width="4"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width="4" customWidth="1" min="48" max="48"/>
    <col width="4" customWidth="1" min="49" max="49"/>
    <col width="4" customWidth="1" min="50" max="50"/>
    <col width="4" customWidth="1" min="51" max="51"/>
    <col width="4" customWidth="1" min="52" max="52"/>
    <col width="4" customWidth="1" min="53" max="53"/>
    <col width="4" customWidth="1" min="54" max="54"/>
    <col width="4" customWidth="1" min="55" max="55"/>
    <col width="4" customWidth="1" min="56" max="56"/>
    <col width="4" customWidth="1" min="57" max="57"/>
    <col width="4" customWidth="1" min="58" max="58"/>
    <col width="4" customWidth="1" min="59" max="59"/>
    <col width="4" customWidth="1" min="60" max="60"/>
    <col width="4" customWidth="1" min="61" max="61"/>
    <col width="4" customWidth="1" min="62" max="62"/>
    <col width="4" customWidth="1" min="63" max="63"/>
    <col width="4" customWidth="1" min="64" max="64"/>
    <col width="4" customWidth="1" min="65" max="65"/>
    <col width="4" customWidth="1" min="66" max="66"/>
    <col width="4" customWidth="1" min="67" max="67"/>
    <col width="4" customWidth="1" min="68" max="68"/>
    <col width="4" customWidth="1" min="69" max="69"/>
  </cols>
  <sheetData>
    <row r="1" ht="22.5" customHeight="1">
      <c r="A1" s="43" t="inlineStr">
        <is>
          <t>テストレベル</t>
        </is>
      </c>
      <c r="B1" s="10" t="n"/>
      <c r="C1" s="10" t="n"/>
      <c r="D1" s="10" t="n"/>
      <c r="E1" s="11" t="n"/>
      <c r="F1" s="20" t="inlineStr">
        <is>
          <t>結合テスト</t>
        </is>
      </c>
      <c r="G1" s="10" t="n"/>
      <c r="H1" s="10" t="n"/>
      <c r="I1" s="10" t="n"/>
      <c r="J1" s="10" t="n"/>
      <c r="K1" s="10" t="n"/>
      <c r="L1" s="10" t="n"/>
      <c r="M1" s="10" t="n"/>
      <c r="N1" s="10" t="n"/>
      <c r="O1" s="10" t="n"/>
      <c r="P1" s="10" t="n"/>
      <c r="Q1" s="11" t="n"/>
      <c r="R1" s="43" t="inlineStr">
        <is>
          <t>機能／モジュール</t>
        </is>
      </c>
      <c r="S1" s="10" t="n"/>
      <c r="T1" s="10" t="n"/>
      <c r="U1" s="10" t="n"/>
      <c r="V1" s="11" t="n"/>
      <c r="W1" s="20" t="inlineStr">
        <is>
          <t>ACSMS-SCR-002_単価マスタ明細検索画面</t>
        </is>
      </c>
      <c r="X1" s="10" t="n"/>
      <c r="Y1" s="10" t="n"/>
      <c r="Z1" s="10" t="n"/>
      <c r="AA1" s="10" t="n"/>
      <c r="AB1" s="10" t="n"/>
      <c r="AC1" s="10" t="n"/>
      <c r="AD1" s="10" t="n"/>
      <c r="AE1" s="10" t="n"/>
      <c r="AF1" s="10" t="n"/>
      <c r="AG1" s="10" t="n"/>
      <c r="AH1" s="11" t="n"/>
    </row>
    <row r="2" ht="22.5" customHeight="1">
      <c r="A2" s="43" t="inlineStr">
        <is>
          <t>作成者</t>
        </is>
      </c>
      <c r="B2" s="10" t="n"/>
      <c r="C2" s="10" t="n"/>
      <c r="D2" s="10" t="n"/>
      <c r="E2" s="11" t="n"/>
      <c r="F2" s="20" t="inlineStr">
        <is>
          <t>Kieu Thi Diem</t>
        </is>
      </c>
      <c r="G2" s="10" t="n"/>
      <c r="H2" s="10" t="n"/>
      <c r="I2" s="10" t="n"/>
      <c r="J2" s="10" t="n"/>
      <c r="K2" s="10" t="n"/>
      <c r="L2" s="10" t="n"/>
      <c r="M2" s="10" t="n"/>
      <c r="N2" s="10" t="n"/>
      <c r="O2" s="10" t="n"/>
      <c r="P2" s="10" t="n"/>
      <c r="Q2" s="11" t="n"/>
      <c r="R2" s="43" t="inlineStr">
        <is>
          <t>作成日</t>
        </is>
      </c>
      <c r="S2" s="10" t="n"/>
      <c r="T2" s="10" t="n"/>
      <c r="U2" s="10" t="n"/>
      <c r="V2" s="11" t="n"/>
      <c r="W2" s="33" t="inlineStr">
        <is>
          <t>2026/05/14</t>
        </is>
      </c>
      <c r="X2" s="10" t="n"/>
      <c r="Y2" s="10" t="n"/>
      <c r="Z2" s="10" t="n"/>
      <c r="AA2" s="10" t="n"/>
      <c r="AB2" s="10" t="n"/>
      <c r="AC2" s="10" t="n"/>
      <c r="AD2" s="10" t="n"/>
      <c r="AE2" s="10" t="n"/>
      <c r="AF2" s="10" t="n"/>
      <c r="AG2" s="10" t="n"/>
      <c r="AH2" s="11" t="n"/>
    </row>
    <row r="3" ht="22.5" customHeight="1">
      <c r="A3" s="43" t="inlineStr">
        <is>
          <t>確認者</t>
        </is>
      </c>
      <c r="B3" s="10" t="n"/>
      <c r="C3" s="10" t="n"/>
      <c r="D3" s="10" t="n"/>
      <c r="E3" s="11" t="n"/>
      <c r="F3" s="20" t="inlineStr">
        <is>
          <t>Nguyen Huy Dat</t>
        </is>
      </c>
      <c r="G3" s="10" t="n"/>
      <c r="H3" s="10" t="n"/>
      <c r="I3" s="10" t="n"/>
      <c r="J3" s="10" t="n"/>
      <c r="K3" s="10" t="n"/>
      <c r="L3" s="10" t="n"/>
      <c r="M3" s="10" t="n"/>
      <c r="N3" s="10" t="n"/>
      <c r="O3" s="10" t="n"/>
      <c r="P3" s="10" t="n"/>
      <c r="Q3" s="11" t="n"/>
      <c r="R3" s="43" t="inlineStr">
        <is>
          <t>確認日</t>
        </is>
      </c>
      <c r="S3" s="10" t="n"/>
      <c r="T3" s="10" t="n"/>
      <c r="U3" s="10" t="n"/>
      <c r="V3" s="11" t="n"/>
      <c r="W3" s="33" t="inlineStr"/>
      <c r="X3" s="10" t="n"/>
      <c r="Y3" s="10" t="n"/>
      <c r="Z3" s="10" t="n"/>
      <c r="AA3" s="10" t="n"/>
      <c r="AB3" s="10" t="n"/>
      <c r="AC3" s="10" t="n"/>
      <c r="AD3" s="10" t="n"/>
      <c r="AE3" s="10" t="n"/>
      <c r="AF3" s="10" t="n"/>
      <c r="AG3" s="10" t="n"/>
      <c r="AH3" s="11" t="n"/>
    </row>
    <row r="4" ht="22.5" customHeight="1">
      <c r="A4" s="43" t="inlineStr">
        <is>
          <t>テスト環境</t>
        </is>
      </c>
      <c r="B4" s="10" t="n"/>
      <c r="C4" s="10" t="n"/>
      <c r="D4" s="10" t="n"/>
      <c r="E4" s="11" t="n"/>
      <c r="F4" s="20" t="inlineStr">
        <is>
          <t>Windows 10/11, Chrome, Edge</t>
        </is>
      </c>
      <c r="G4" s="10" t="n"/>
      <c r="H4" s="10" t="n"/>
      <c r="I4" s="10" t="n"/>
      <c r="J4" s="10" t="n"/>
      <c r="K4" s="10" t="n"/>
      <c r="L4" s="10" t="n"/>
      <c r="M4" s="10" t="n"/>
      <c r="N4" s="10" t="n"/>
      <c r="O4" s="10" t="n"/>
      <c r="P4" s="10" t="n"/>
      <c r="Q4" s="10" t="n"/>
      <c r="R4" s="10" t="n"/>
      <c r="S4" s="10" t="n"/>
      <c r="T4" s="10" t="n"/>
      <c r="U4" s="10" t="n"/>
      <c r="V4" s="10" t="n"/>
      <c r="W4" s="10" t="n"/>
      <c r="X4" s="10" t="n"/>
      <c r="Y4" s="10" t="n"/>
      <c r="Z4" s="10" t="n"/>
      <c r="AA4" s="10" t="n"/>
      <c r="AB4" s="10" t="n"/>
      <c r="AC4" s="10" t="n"/>
      <c r="AD4" s="10" t="n"/>
      <c r="AE4" s="10" t="n"/>
      <c r="AF4" s="10" t="n"/>
      <c r="AG4" s="10" t="n"/>
      <c r="AH4" s="11" t="n"/>
    </row>
    <row r="5" ht="22.5" customHeight="1">
      <c r="A5" s="43" t="inlineStr">
        <is>
          <t>分類</t>
        </is>
      </c>
      <c r="B5" s="10" t="n"/>
      <c r="C5" s="10" t="n"/>
      <c r="D5" s="10" t="n"/>
      <c r="E5" s="10" t="n"/>
      <c r="F5" s="10" t="n"/>
      <c r="G5" s="10" t="n"/>
      <c r="H5" s="10" t="n"/>
      <c r="I5" s="10" t="n"/>
      <c r="J5" s="10" t="n"/>
      <c r="K5" s="10" t="n"/>
      <c r="L5" s="10" t="n"/>
      <c r="M5" s="10" t="n"/>
      <c r="N5" s="10" t="n"/>
      <c r="O5" s="10" t="n"/>
      <c r="P5" s="10" t="n"/>
      <c r="Q5" s="10" t="n"/>
      <c r="R5" s="10" t="n"/>
      <c r="S5" s="11" t="n"/>
      <c r="T5" s="43" t="inlineStr">
        <is>
          <t>テスト結果</t>
        </is>
      </c>
      <c r="U5" s="10" t="n"/>
      <c r="V5" s="10" t="n"/>
      <c r="W5" s="10" t="n"/>
      <c r="X5" s="10" t="n"/>
      <c r="Y5" s="10" t="n"/>
      <c r="Z5" s="10" t="n"/>
      <c r="AA5" s="10" t="n"/>
      <c r="AB5" s="10" t="n"/>
      <c r="AC5" s="10" t="n"/>
      <c r="AD5" s="10" t="n"/>
      <c r="AE5" s="10" t="n"/>
      <c r="AF5" s="10" t="n"/>
      <c r="AG5" s="10" t="n"/>
      <c r="AH5" s="11" t="n"/>
    </row>
    <row r="6" ht="22.5" customHeight="1">
      <c r="A6" s="43" t="inlineStr">
        <is>
          <t>回目</t>
        </is>
      </c>
      <c r="B6" s="10" t="n"/>
      <c r="C6" s="10" t="n"/>
      <c r="D6" s="10" t="n"/>
      <c r="E6" s="10" t="n"/>
      <c r="F6" s="10" t="n"/>
      <c r="G6" s="11" t="n"/>
      <c r="H6" s="43" t="inlineStr">
        <is>
          <t>正常</t>
        </is>
      </c>
      <c r="I6" s="10" t="n"/>
      <c r="J6" s="11" t="n"/>
      <c r="K6" s="43" t="inlineStr">
        <is>
          <t>異常</t>
        </is>
      </c>
      <c r="L6" s="10" t="n"/>
      <c r="M6" s="11" t="n"/>
      <c r="N6" s="43" t="inlineStr">
        <is>
          <t>境界値</t>
        </is>
      </c>
      <c r="O6" s="10" t="n"/>
      <c r="P6" s="11" t="n"/>
      <c r="Q6" s="43" t="inlineStr">
        <is>
          <t>合計</t>
        </is>
      </c>
      <c r="R6" s="10" t="n"/>
      <c r="S6" s="11" t="n"/>
      <c r="T6" s="43" t="inlineStr">
        <is>
          <t>合格</t>
        </is>
      </c>
      <c r="U6" s="10" t="n"/>
      <c r="V6" s="11" t="n"/>
      <c r="W6" s="43" t="inlineStr">
        <is>
          <t>不合格</t>
        </is>
      </c>
      <c r="X6" s="10" t="n"/>
      <c r="Y6" s="11" t="n"/>
      <c r="Z6" s="43" t="inlineStr">
        <is>
          <t>未テスト</t>
        </is>
      </c>
      <c r="AA6" s="10" t="n"/>
      <c r="AB6" s="11" t="n"/>
      <c r="AC6" s="43" t="inlineStr">
        <is>
          <t>N/A</t>
        </is>
      </c>
      <c r="AD6" s="10" t="n"/>
      <c r="AE6" s="11" t="n"/>
      <c r="AF6" s="43" t="inlineStr">
        <is>
          <t>合計</t>
        </is>
      </c>
      <c r="AG6" s="10" t="n"/>
      <c r="AH6" s="11" t="n"/>
    </row>
    <row r="7" ht="22.5" customHeight="1">
      <c r="A7" s="43" t="inlineStr">
        <is>
          <t>1回目</t>
        </is>
      </c>
      <c r="B7" s="10" t="n"/>
      <c r="C7" s="10" t="n"/>
      <c r="D7" s="10" t="n"/>
      <c r="E7" s="10" t="n"/>
      <c r="F7" s="10" t="n"/>
      <c r="G7" s="11" t="n"/>
      <c r="H7" s="19">
        <f>COUNTIF($AE$12:$AF$1049,"N")</f>
        <v/>
      </c>
      <c r="I7" s="10" t="n"/>
      <c r="J7" s="11" t="n"/>
      <c r="K7" s="19">
        <f>COUNTIF($AE$12:$AF$1049,"A")</f>
        <v/>
      </c>
      <c r="L7" s="10" t="n"/>
      <c r="M7" s="11" t="n"/>
      <c r="N7" s="19">
        <f>COUNTIF($AE$12:$AF$1049,"B")</f>
        <v/>
      </c>
      <c r="O7" s="10" t="n"/>
      <c r="P7" s="11" t="n"/>
      <c r="Q7" s="40">
        <f>SUM(H7:P7)</f>
        <v/>
      </c>
      <c r="R7" s="10" t="n"/>
      <c r="S7" s="11" t="n"/>
      <c r="T7" s="19">
        <f>COUNTIF($AG$12:$AI$1049,T$6)</f>
        <v/>
      </c>
      <c r="U7" s="10" t="n"/>
      <c r="V7" s="11" t="n"/>
      <c r="W7" s="19">
        <f>COUNTIF($AG$12:$AI$1049,W$6)</f>
        <v/>
      </c>
      <c r="X7" s="10" t="n"/>
      <c r="Y7" s="11" t="n"/>
      <c r="Z7" s="19">
        <f>COUNTIF($AG$12:$AI$1049,Z$6)</f>
        <v/>
      </c>
      <c r="AA7" s="10" t="n"/>
      <c r="AB7" s="11" t="n"/>
      <c r="AC7" s="19">
        <f>COUNTIF($AG$12:$AI$1049,AC$6)</f>
        <v/>
      </c>
      <c r="AD7" s="10" t="n"/>
      <c r="AE7" s="11" t="n"/>
      <c r="AF7" s="40">
        <f>SUM(T7:AE7)</f>
        <v/>
      </c>
      <c r="AG7" s="10" t="n"/>
      <c r="AH7" s="11" t="n"/>
    </row>
    <row r="8" ht="22.5" customHeight="1">
      <c r="A8" s="43" t="inlineStr">
        <is>
          <t>2回目</t>
        </is>
      </c>
      <c r="B8" s="10" t="n"/>
      <c r="C8" s="10" t="n"/>
      <c r="D8" s="10" t="n"/>
      <c r="E8" s="10" t="n"/>
      <c r="F8" s="10" t="n"/>
      <c r="G8" s="11" t="n"/>
      <c r="H8" s="19">
        <f>COUNTIF($AE$12:$AF$1049,"N")</f>
        <v/>
      </c>
      <c r="I8" s="10" t="n"/>
      <c r="J8" s="11" t="n"/>
      <c r="K8" s="19">
        <f>COUNTIF($AE$12:$AF$1049,"A")</f>
        <v/>
      </c>
      <c r="L8" s="10" t="n"/>
      <c r="M8" s="11" t="n"/>
      <c r="N8" s="19">
        <f>COUNTIF($AE$12:$AF$1049,"B")</f>
        <v/>
      </c>
      <c r="O8" s="10" t="n"/>
      <c r="P8" s="11" t="n"/>
      <c r="Q8" s="40">
        <f>SUM(H8:P8)</f>
        <v/>
      </c>
      <c r="R8" s="10" t="n"/>
      <c r="S8" s="11" t="n"/>
      <c r="T8" s="19">
        <f>COUNTIF($AV$12:$AX$1049,T$6)</f>
        <v/>
      </c>
      <c r="U8" s="10" t="n"/>
      <c r="V8" s="11" t="n"/>
      <c r="W8" s="19">
        <f>COUNTIF($AV$12:$AX$1049,W$6)</f>
        <v/>
      </c>
      <c r="X8" s="10" t="n"/>
      <c r="Y8" s="11" t="n"/>
      <c r="Z8" s="19">
        <f>COUNTIF($AV$12:$AX$1049,Z$6)</f>
        <v/>
      </c>
      <c r="AA8" s="10" t="n"/>
      <c r="AB8" s="11" t="n"/>
      <c r="AC8" s="19">
        <f>COUNTIF($AV$12:$AX$1049,AC$6)</f>
        <v/>
      </c>
      <c r="AD8" s="10" t="n"/>
      <c r="AE8" s="11" t="n"/>
      <c r="AF8" s="40">
        <f>SUM(T8:AE8)</f>
        <v/>
      </c>
      <c r="AG8" s="10" t="n"/>
      <c r="AH8" s="11" t="n"/>
    </row>
    <row r="9" ht="12.75" customHeight="1"/>
    <row r="10" ht="36" customHeight="1">
      <c r="A10" s="53" t="inlineStr">
        <is>
          <t>#</t>
        </is>
      </c>
      <c r="B10" s="54" t="inlineStr">
        <is>
          <t>要件ID</t>
        </is>
      </c>
      <c r="C10" s="22" t="n"/>
      <c r="D10" s="23" t="n"/>
      <c r="E10" s="54" t="inlineStr">
        <is>
          <t>説明</t>
        </is>
      </c>
      <c r="F10" s="22" t="n"/>
      <c r="G10" s="22" t="n"/>
      <c r="H10" s="22" t="n"/>
      <c r="I10" s="23" t="n"/>
      <c r="J10" s="54" t="inlineStr">
        <is>
          <t>前提条件</t>
        </is>
      </c>
      <c r="K10" s="22" t="n"/>
      <c r="L10" s="22" t="n"/>
      <c r="M10" s="22" t="n"/>
      <c r="N10" s="22" t="n"/>
      <c r="O10" s="22" t="n"/>
      <c r="P10" s="23" t="n"/>
      <c r="Q10" s="54" t="inlineStr">
        <is>
          <t>ステップ／手順</t>
        </is>
      </c>
      <c r="R10" s="22" t="n"/>
      <c r="S10" s="22" t="n"/>
      <c r="T10" s="22" t="n"/>
      <c r="U10" s="22" t="n"/>
      <c r="V10" s="22" t="n"/>
      <c r="W10" s="23" t="n"/>
      <c r="X10" s="54" t="inlineStr">
        <is>
          <t>期待結果／アウトプット</t>
        </is>
      </c>
      <c r="Y10" s="22" t="n"/>
      <c r="Z10" s="22" t="n"/>
      <c r="AA10" s="22" t="n"/>
      <c r="AB10" s="22" t="n"/>
      <c r="AC10" s="22" t="n"/>
      <c r="AD10" s="23" t="n"/>
      <c r="AE10" s="54" t="inlineStr">
        <is>
          <t>種類</t>
        </is>
      </c>
      <c r="AF10" s="23" t="n"/>
      <c r="AG10" s="43" t="inlineStr">
        <is>
          <t>テスト1回目の結果</t>
        </is>
      </c>
      <c r="AH10" s="10" t="n"/>
      <c r="AI10" s="10" t="n"/>
      <c r="AJ10" s="10" t="n"/>
      <c r="AK10" s="10" t="n"/>
      <c r="AL10" s="10" t="n"/>
      <c r="AM10" s="10" t="n"/>
      <c r="AN10" s="10" t="n"/>
      <c r="AO10" s="10" t="n"/>
      <c r="AP10" s="10" t="n"/>
      <c r="AQ10" s="10" t="n"/>
      <c r="AR10" s="10" t="n"/>
      <c r="AS10" s="10" t="n"/>
      <c r="AT10" s="10" t="n"/>
      <c r="AU10" s="11" t="n"/>
      <c r="AV10" s="43" t="inlineStr">
        <is>
          <t>テスト2回目の結果</t>
        </is>
      </c>
      <c r="AW10" s="10" t="n"/>
      <c r="AX10" s="10" t="n"/>
      <c r="AY10" s="10" t="n"/>
      <c r="AZ10" s="10" t="n"/>
      <c r="BA10" s="10" t="n"/>
      <c r="BB10" s="10" t="n"/>
      <c r="BC10" s="10" t="n"/>
      <c r="BD10" s="10" t="n"/>
      <c r="BE10" s="10" t="n"/>
      <c r="BF10" s="10" t="n"/>
      <c r="BG10" s="10" t="n"/>
      <c r="BH10" s="10" t="n"/>
      <c r="BI10" s="10" t="n"/>
      <c r="BJ10" s="11" t="n"/>
      <c r="BK10" s="54" t="inlineStr">
        <is>
          <t>備考</t>
        </is>
      </c>
      <c r="BL10" s="22" t="n"/>
      <c r="BM10" s="22" t="n"/>
      <c r="BN10" s="22" t="n"/>
      <c r="BO10" s="22" t="n"/>
      <c r="BP10" s="22" t="n"/>
      <c r="BQ10" s="23" t="n"/>
    </row>
    <row r="11" ht="36" customHeight="1">
      <c r="A11" s="37" t="n"/>
      <c r="B11" s="25" t="n"/>
      <c r="C11" s="26" t="n"/>
      <c r="D11" s="27" t="n"/>
      <c r="E11" s="25" t="n"/>
      <c r="F11" s="26" t="n"/>
      <c r="G11" s="26" t="n"/>
      <c r="H11" s="26" t="n"/>
      <c r="I11" s="27" t="n"/>
      <c r="J11" s="25" t="n"/>
      <c r="K11" s="26" t="n"/>
      <c r="L11" s="26" t="n"/>
      <c r="M11" s="26" t="n"/>
      <c r="N11" s="26" t="n"/>
      <c r="O11" s="26" t="n"/>
      <c r="P11" s="27" t="n"/>
      <c r="Q11" s="25" t="n"/>
      <c r="R11" s="26" t="n"/>
      <c r="S11" s="26" t="n"/>
      <c r="T11" s="26" t="n"/>
      <c r="U11" s="26" t="n"/>
      <c r="V11" s="26" t="n"/>
      <c r="W11" s="27" t="n"/>
      <c r="X11" s="25" t="n"/>
      <c r="Y11" s="26" t="n"/>
      <c r="Z11" s="26" t="n"/>
      <c r="AA11" s="26" t="n"/>
      <c r="AB11" s="26" t="n"/>
      <c r="AC11" s="26" t="n"/>
      <c r="AD11" s="27" t="n"/>
      <c r="AE11" s="25" t="n"/>
      <c r="AF11" s="27" t="n"/>
      <c r="AG11" s="43" t="inlineStr">
        <is>
          <t>結果</t>
        </is>
      </c>
      <c r="AH11" s="10" t="n"/>
      <c r="AI11" s="11" t="n"/>
      <c r="AJ11" s="43" t="inlineStr">
        <is>
          <t>実績／
アウトプット</t>
        </is>
      </c>
      <c r="AK11" s="10" t="n"/>
      <c r="AL11" s="11" t="n"/>
      <c r="AM11" s="43" t="inlineStr">
        <is>
          <t>担当者</t>
        </is>
      </c>
      <c r="AN11" s="10" t="n"/>
      <c r="AO11" s="11" t="n"/>
      <c r="AP11" s="43" t="inlineStr">
        <is>
          <t>確認日付
（MM/DD）</t>
        </is>
      </c>
      <c r="AQ11" s="10" t="n"/>
      <c r="AR11" s="11" t="n"/>
      <c r="AS11" s="43" t="inlineStr">
        <is>
          <t>バグID</t>
        </is>
      </c>
      <c r="AT11" s="10" t="n"/>
      <c r="AU11" s="11" t="n"/>
      <c r="AV11" s="43" t="inlineStr">
        <is>
          <t>結果</t>
        </is>
      </c>
      <c r="AW11" s="10" t="n"/>
      <c r="AX11" s="11" t="n"/>
      <c r="AY11" s="43" t="inlineStr">
        <is>
          <t>実績／
アウトプット</t>
        </is>
      </c>
      <c r="AZ11" s="10" t="n"/>
      <c r="BA11" s="11" t="n"/>
      <c r="BB11" s="43" t="inlineStr">
        <is>
          <t>担当者</t>
        </is>
      </c>
      <c r="BC11" s="10" t="n"/>
      <c r="BD11" s="11" t="n"/>
      <c r="BE11" s="43" t="inlineStr">
        <is>
          <t>確認日付
（MM/DD）</t>
        </is>
      </c>
      <c r="BF11" s="10" t="n"/>
      <c r="BG11" s="11" t="n"/>
      <c r="BH11" s="43" t="inlineStr">
        <is>
          <t>バグID</t>
        </is>
      </c>
      <c r="BI11" s="10" t="n"/>
      <c r="BJ11" s="11" t="n"/>
      <c r="BK11" s="25" t="n"/>
      <c r="BL11" s="26" t="n"/>
      <c r="BM11" s="26" t="n"/>
      <c r="BN11" s="26" t="n"/>
      <c r="BO11" s="26" t="n"/>
      <c r="BP11" s="26" t="n"/>
      <c r="BQ11" s="27" t="n"/>
    </row>
    <row r="12" ht="22.5" customHeight="1">
      <c r="A12" s="32" t="inlineStr">
        <is>
          <t>アクセス権限制御（Access Control）</t>
        </is>
      </c>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n"/>
      <c r="AP12" s="10" t="n"/>
      <c r="AQ12" s="10" t="n"/>
      <c r="AR12" s="10" t="n"/>
      <c r="AS12" s="10" t="n"/>
      <c r="AT12" s="10" t="n"/>
      <c r="AU12" s="10" t="n"/>
      <c r="AV12" s="10" t="n"/>
      <c r="AW12" s="10" t="n"/>
      <c r="AX12" s="10" t="n"/>
      <c r="AY12" s="10" t="n"/>
      <c r="AZ12" s="10" t="n"/>
      <c r="BA12" s="10" t="n"/>
      <c r="BB12" s="10" t="n"/>
      <c r="BC12" s="10" t="n"/>
      <c r="BD12" s="10" t="n"/>
      <c r="BE12" s="10" t="n"/>
      <c r="BF12" s="10" t="n"/>
      <c r="BG12" s="10" t="n"/>
      <c r="BH12" s="10" t="n"/>
      <c r="BI12" s="10" t="n"/>
      <c r="BJ12" s="10" t="n"/>
      <c r="BK12" s="10" t="n"/>
      <c r="BL12" s="10" t="n"/>
      <c r="BM12" s="10" t="n"/>
      <c r="BN12" s="10" t="n"/>
      <c r="BO12" s="10" t="n"/>
      <c r="BP12" s="10" t="n"/>
      <c r="BQ12" s="11" t="n"/>
    </row>
    <row r="13" ht="450" customHeight="1">
      <c r="A13" s="44" t="n">
        <v>1</v>
      </c>
      <c r="B13" s="46" t="inlineStr">
        <is>
          <t>ACSMS-TC-002-001</t>
        </is>
      </c>
      <c r="C13" s="10" t="n"/>
      <c r="D13" s="11" t="n"/>
      <c r="E13" s="46" t="inlineStr">
        <is>
          <t>NICHINO_ADMIN による単価マスタ明細検索画面 アクセス禁止</t>
        </is>
      </c>
      <c r="F13" s="10" t="n"/>
      <c r="G13" s="10" t="n"/>
      <c r="H13" s="10" t="n"/>
      <c r="I13" s="11" t="n"/>
      <c r="J13" s="46" t="inlineStr">
        <is>
          <t>・role: NICHINO_ADMIN
・ログイン済 + MFA認証済
・権限 `tanka.view` を保持しない</t>
        </is>
      </c>
      <c r="K13" s="10" t="n"/>
      <c r="L13" s="10" t="n"/>
      <c r="M13" s="10" t="n"/>
      <c r="N13" s="10" t="n"/>
      <c r="O13" s="10" t="n"/>
      <c r="P13" s="11" t="n"/>
      <c r="Q13" s="46" t="inlineStr">
        <is>
          <r>
            <rPr>
              <rFont val="メイリオ"/>
              <b val="1"/>
              <sz val="10"/>
            </rPr>
            <t xml:space="preserve">ステップ1：
</t>
          </r>
          <r>
            <rPr>
              <rFont val="メイリオ"/>
              <sz val="10"/>
            </rPr>
            <t xml:space="preserve">ダッシュボードを開き、サイドバーで「単価マスタ」項目の表示を確認
</t>
          </r>
          <r>
            <rPr>
              <rFont val="メイリオ"/>
              <b val="1"/>
              <sz val="10"/>
            </rPr>
            <t xml:space="preserve">ステップ2：
</t>
          </r>
          <r>
            <rPr>
              <rFont val="メイリオ"/>
              <sz val="10"/>
            </rPr>
            <t xml:space="preserve">URL `/tanka` に直接アクセス
</t>
          </r>
          <r>
            <rPr>
              <rFont val="メイリオ"/>
              <b val="1"/>
              <sz val="10"/>
            </rPr>
            <t xml:space="preserve">ステップ3：
</t>
          </r>
          <r>
            <rPr>
              <rFont val="メイリオ"/>
              <sz val="10"/>
            </rPr>
            <t xml:space="preserve">DevTools で GET `/api/v1/tanka` を直接呼び出し
</t>
          </r>
          <r>
            <rPr>
              <rFont val="メイリオ"/>
              <b val="1"/>
              <sz val="10"/>
            </rPr>
            <t xml:space="preserve">ステップ4：
</t>
          </r>
          <r>
            <rPr>
              <rFont val="メイリオ"/>
              <sz val="10"/>
            </rPr>
            <t>DB 確認：`SELECT * FROM t_log WHERE result_status = 2 AND target_table = 'm_tanka' ORDER BY log_datetime DESC LIMIT 1`</t>
          </r>
        </is>
      </c>
      <c r="R13" s="10" t="n"/>
      <c r="S13" s="10" t="n"/>
      <c r="T13" s="10" t="n"/>
      <c r="U13" s="10" t="n"/>
      <c r="V13" s="10" t="n"/>
      <c r="W13" s="11" t="n"/>
      <c r="X13" s="46" t="inlineStr">
        <is>
          <r>
            <rPr>
              <rFont val="メイリオ"/>
              <b val="1"/>
              <sz val="10"/>
            </rPr>
            <t xml:space="preserve">ステップ1：
</t>
          </r>
          <r>
            <rPr>
              <rFont val="メイリオ"/>
              <sz val="10"/>
            </rPr>
            <t xml:space="preserve">サイドバーに「単価マスタ」項目が表示されないこと（権限 `tanka.view` を持たないため）
</t>
          </r>
          <r>
            <rPr>
              <rFont val="メイリオ"/>
              <b val="1"/>
              <sz val="10"/>
            </rPr>
            <t xml:space="preserve">ステップ2：
</t>
          </r>
          <r>
            <rPr>
              <rFont val="メイリオ"/>
              <sz val="10"/>
            </rPr>
            <t xml:space="preserve">トースト `アクセス権がありません。` が表示されること、かつ `/dashboard` へ遷移すること
</t>
          </r>
          <r>
            <rPr>
              <rFont val="メイリオ"/>
              <b val="1"/>
              <sz val="10"/>
            </rPr>
            <t xml:space="preserve">ステップ3：
</t>
          </r>
          <r>
            <rPr>
              <rFont val="メイリオ"/>
              <sz val="10"/>
            </rPr>
            <t xml:space="preserve">HTTPステータスコード403が返却されること（`error_code: FORBIDDEN`、メッセージ `この画面へのアクセス権限がありません。`）
</t>
          </r>
          <r>
            <rPr>
              <rFont val="メイリオ"/>
              <b val="1"/>
              <sz val="10"/>
            </rPr>
            <t xml:space="preserve">ステップ4：
</t>
          </r>
          <r>
            <rPr>
              <rFont val="メイリオ"/>
              <sz val="10"/>
            </rPr>
            <t xml:space="preserve">エラーログが1件以上記録されること、`account_id` がテストアカウントと一致すること
</t>
          </r>
          <r>
            <rPr>
              <rFont val="メイリオ"/>
              <b val="1"/>
              <sz val="10"/>
            </rPr>
            <t xml:space="preserve">補足：
</t>
          </r>
          <r>
            <rPr>
              <rFont val="メイリオ"/>
              <sz val="10"/>
            </rPr>
            <t xml:space="preserve">・フロントエンドメニュー、フロントエンドルーターガード、バックエンド API ガードの3層すべてでアクセスが拒否されること
</t>
          </r>
          <r>
            <rPr>
              <rFont val="メイリオ"/>
              <sz val="10"/>
            </rPr>
            <t xml:space="preserve">・`m_tanka` への変更が発生しないこと
</t>
          </r>
          <r>
            <rPr>
              <rFont val="メイリオ"/>
              <sz val="10"/>
            </rPr>
            <t>・seeder.md §3 マトリクス上、NICHINO_ADMIN は単価マスタの権限を保持しない</t>
          </r>
        </is>
      </c>
      <c r="Y13" s="10" t="n"/>
      <c r="Z13" s="10" t="n"/>
      <c r="AA13" s="10" t="n"/>
      <c r="AB13" s="10" t="n"/>
      <c r="AC13" s="10" t="n"/>
      <c r="AD13" s="11" t="n"/>
      <c r="AE13" s="45" t="inlineStr">
        <is>
          <t>A</t>
        </is>
      </c>
      <c r="AF13" s="11" t="n"/>
      <c r="AG13" s="45" t="inlineStr"/>
      <c r="AH13" s="10" t="n"/>
      <c r="AI13" s="11" t="n"/>
      <c r="AJ13" s="45" t="inlineStr"/>
      <c r="AK13" s="10" t="n"/>
      <c r="AL13" s="11" t="n"/>
      <c r="AM13" s="45" t="inlineStr"/>
      <c r="AN13" s="10" t="n"/>
      <c r="AO13" s="11" t="n"/>
      <c r="AP13" s="45" t="inlineStr"/>
      <c r="AQ13" s="10" t="n"/>
      <c r="AR13" s="11" t="n"/>
      <c r="AS13" s="45" t="inlineStr"/>
      <c r="AT13" s="10" t="n"/>
      <c r="AU13" s="11" t="n"/>
      <c r="AV13" s="45" t="inlineStr"/>
      <c r="AW13" s="10" t="n"/>
      <c r="AX13" s="11" t="n"/>
      <c r="AY13" s="45" t="inlineStr"/>
      <c r="AZ13" s="10" t="n"/>
      <c r="BA13" s="11" t="n"/>
      <c r="BB13" s="45" t="inlineStr"/>
      <c r="BC13" s="10" t="n"/>
      <c r="BD13" s="11" t="n"/>
      <c r="BE13" s="45" t="inlineStr"/>
      <c r="BF13" s="10" t="n"/>
      <c r="BG13" s="11" t="n"/>
      <c r="BH13" s="45" t="inlineStr"/>
      <c r="BI13" s="10" t="n"/>
      <c r="BJ13" s="11" t="n"/>
      <c r="BK13" s="46" t="inlineStr"/>
      <c r="BL13" s="10" t="n"/>
      <c r="BM13" s="10" t="n"/>
      <c r="BN13" s="10" t="n"/>
      <c r="BO13" s="10" t="n"/>
      <c r="BP13" s="10" t="n"/>
      <c r="BQ13" s="11" t="n"/>
    </row>
    <row r="14" ht="384" customHeight="1">
      <c r="A14" s="44" t="n">
        <v>2</v>
      </c>
      <c r="B14" s="46" t="inlineStr">
        <is>
          <t>ACSMS-TC-002-002</t>
        </is>
      </c>
      <c r="C14" s="10" t="n"/>
      <c r="D14" s="11" t="n"/>
      <c r="E14" s="46" t="inlineStr">
        <is>
          <t>NICHINO_STAFF による単価マスタ明細検索画面 アクセス禁止</t>
        </is>
      </c>
      <c r="F14" s="10" t="n"/>
      <c r="G14" s="10" t="n"/>
      <c r="H14" s="10" t="n"/>
      <c r="I14" s="11" t="n"/>
      <c r="J14" s="46" t="inlineStr">
        <is>
          <t>・role: NICHINO_STAFF
・ログイン済 + MFA認証済
・権限 `tanka.view` を保持しない</t>
        </is>
      </c>
      <c r="K14" s="10" t="n"/>
      <c r="L14" s="10" t="n"/>
      <c r="M14" s="10" t="n"/>
      <c r="N14" s="10" t="n"/>
      <c r="O14" s="10" t="n"/>
      <c r="P14" s="11" t="n"/>
      <c r="Q14" s="46" t="inlineStr">
        <is>
          <r>
            <rPr>
              <rFont val="メイリオ"/>
              <b val="1"/>
              <sz val="10"/>
            </rPr>
            <t xml:space="preserve">ステップ1：
</t>
          </r>
          <r>
            <rPr>
              <rFont val="メイリオ"/>
              <sz val="10"/>
            </rPr>
            <t xml:space="preserve">ダッシュボードを開き、サイドバーで「単価マスタ」項目の表示を確認
</t>
          </r>
          <r>
            <rPr>
              <rFont val="メイリオ"/>
              <b val="1"/>
              <sz val="10"/>
            </rPr>
            <t xml:space="preserve">ステップ2：
</t>
          </r>
          <r>
            <rPr>
              <rFont val="メイリオ"/>
              <sz val="10"/>
            </rPr>
            <t xml:space="preserve">URL `/tanka` に直接アクセス
</t>
          </r>
          <r>
            <rPr>
              <rFont val="メイリオ"/>
              <b val="1"/>
              <sz val="10"/>
            </rPr>
            <t xml:space="preserve">ステップ3：
</t>
          </r>
          <r>
            <rPr>
              <rFont val="メイリオ"/>
              <sz val="10"/>
            </rPr>
            <t>DevTools で GET `/api/v1/tanka` を直接呼び出し</t>
          </r>
        </is>
      </c>
      <c r="R14" s="10" t="n"/>
      <c r="S14" s="10" t="n"/>
      <c r="T14" s="10" t="n"/>
      <c r="U14" s="10" t="n"/>
      <c r="V14" s="10" t="n"/>
      <c r="W14" s="11" t="n"/>
      <c r="X14" s="46" t="inlineStr">
        <is>
          <r>
            <rPr>
              <rFont val="メイリオ"/>
              <b val="1"/>
              <sz val="10"/>
            </rPr>
            <t xml:space="preserve">ステップ1：
</t>
          </r>
          <r>
            <rPr>
              <rFont val="メイリオ"/>
              <sz val="10"/>
            </rPr>
            <t xml:space="preserve">サイドバーに「単価マスタ」項目が表示されないこと
</t>
          </r>
          <r>
            <rPr>
              <rFont val="メイリオ"/>
              <b val="1"/>
              <sz val="10"/>
            </rPr>
            <t xml:space="preserve">ステップ2：
</t>
          </r>
          <r>
            <rPr>
              <rFont val="メイリオ"/>
              <sz val="10"/>
            </rPr>
            <t xml:space="preserve">トースト `アクセス権がありません。` が表示されること、かつ `/dashboard` へ遷移すること
</t>
          </r>
          <r>
            <rPr>
              <rFont val="メイリオ"/>
              <b val="1"/>
              <sz val="10"/>
            </rPr>
            <t xml:space="preserve">ステップ3：
</t>
          </r>
          <r>
            <rPr>
              <rFont val="メイリオ"/>
              <sz val="10"/>
            </rPr>
            <t xml:space="preserve">HTTPステータスコード403が返却されること（`error_code: FORBIDDEN`、メッセージ `この画面へのアクセス権限がありません。`）
</t>
          </r>
          <r>
            <rPr>
              <rFont val="メイリオ"/>
              <b val="1"/>
              <sz val="10"/>
            </rPr>
            <t xml:space="preserve">補足：
</t>
          </r>
          <r>
            <rPr>
              <rFont val="メイリオ"/>
              <sz val="10"/>
            </rPr>
            <t xml:space="preserve">・3層すべてでアクセスが拒否されること
</t>
          </r>
          <r>
            <rPr>
              <rFont val="メイリオ"/>
              <sz val="10"/>
            </rPr>
            <t>・単価マスタは JA 側の管理対象であり、日農（管理者・担当者）はアクセス対象外（account_concept.md ※4）</t>
          </r>
        </is>
      </c>
      <c r="Y14" s="10" t="n"/>
      <c r="Z14" s="10" t="n"/>
      <c r="AA14" s="10" t="n"/>
      <c r="AB14" s="10" t="n"/>
      <c r="AC14" s="10" t="n"/>
      <c r="AD14" s="11" t="n"/>
      <c r="AE14" s="45" t="inlineStr">
        <is>
          <t>A</t>
        </is>
      </c>
      <c r="AF14" s="11" t="n"/>
      <c r="AG14" s="45" t="inlineStr"/>
      <c r="AH14" s="10" t="n"/>
      <c r="AI14" s="11" t="n"/>
      <c r="AJ14" s="45" t="inlineStr"/>
      <c r="AK14" s="10" t="n"/>
      <c r="AL14" s="11" t="n"/>
      <c r="AM14" s="45" t="inlineStr"/>
      <c r="AN14" s="10" t="n"/>
      <c r="AO14" s="11" t="n"/>
      <c r="AP14" s="45" t="inlineStr"/>
      <c r="AQ14" s="10" t="n"/>
      <c r="AR14" s="11" t="n"/>
      <c r="AS14" s="45" t="inlineStr"/>
      <c r="AT14" s="10" t="n"/>
      <c r="AU14" s="11" t="n"/>
      <c r="AV14" s="45" t="inlineStr"/>
      <c r="AW14" s="10" t="n"/>
      <c r="AX14" s="11" t="n"/>
      <c r="AY14" s="45" t="inlineStr"/>
      <c r="AZ14" s="10" t="n"/>
      <c r="BA14" s="11" t="n"/>
      <c r="BB14" s="45" t="inlineStr"/>
      <c r="BC14" s="10" t="n"/>
      <c r="BD14" s="11" t="n"/>
      <c r="BE14" s="45" t="inlineStr"/>
      <c r="BF14" s="10" t="n"/>
      <c r="BG14" s="11" t="n"/>
      <c r="BH14" s="45" t="inlineStr"/>
      <c r="BI14" s="10" t="n"/>
      <c r="BJ14" s="11" t="n"/>
      <c r="BK14" s="46" t="inlineStr"/>
      <c r="BL14" s="10" t="n"/>
      <c r="BM14" s="10" t="n"/>
      <c r="BN14" s="10" t="n"/>
      <c r="BO14" s="10" t="n"/>
      <c r="BP14" s="10" t="n"/>
      <c r="BQ14" s="11" t="n"/>
    </row>
    <row r="15" ht="448" customHeight="1">
      <c r="A15" s="44" t="n">
        <v>3</v>
      </c>
      <c r="B15" s="46" t="inlineStr">
        <is>
          <t>ACSMS-TC-002-003</t>
        </is>
      </c>
      <c r="C15" s="10" t="n"/>
      <c r="D15" s="11" t="n"/>
      <c r="E15" s="46" t="inlineStr">
        <is>
          <t>CHUOKAI による単価マスタ明細検索画面 閲覧許可</t>
        </is>
      </c>
      <c r="F15" s="10" t="n"/>
      <c r="G15" s="10" t="n"/>
      <c r="H15" s="10" t="n"/>
      <c r="I15" s="11" t="n"/>
      <c r="J15" s="46" t="inlineStr">
        <is>
          <t>・role: CHUOKAI（chuokai-001 所属）
・ログイン済 + MFA認証済
・権限 `tanka.view` / `tanka.create` / `tanka.update` / `tanka.delete` を保持</t>
        </is>
      </c>
      <c r="K15" s="10" t="n"/>
      <c r="L15" s="10" t="n"/>
      <c r="M15" s="10" t="n"/>
      <c r="N15" s="10" t="n"/>
      <c r="O15" s="10" t="n"/>
      <c r="P15" s="11" t="n"/>
      <c r="Q15" s="46" t="inlineStr">
        <is>
          <r>
            <rPr>
              <rFont val="メイリオ"/>
              <b val="1"/>
              <sz val="10"/>
            </rPr>
            <t xml:space="preserve">ステップ1：
</t>
          </r>
          <r>
            <rPr>
              <rFont val="メイリオ"/>
              <sz val="10"/>
            </rPr>
            <t xml:space="preserve">ダッシュボードを開き、サイドバーの「単価マスタ」項目を確認
</t>
          </r>
          <r>
            <rPr>
              <rFont val="メイリオ"/>
              <b val="1"/>
              <sz val="10"/>
            </rPr>
            <t xml:space="preserve">ステップ2：
</t>
          </r>
          <r>
            <rPr>
              <rFont val="メイリオ"/>
              <sz val="10"/>
            </rPr>
            <t xml:space="preserve">サイドバーから「単価マスタ」を押下、URL `/tanka` を開く
</t>
          </r>
          <r>
            <rPr>
              <rFont val="メイリオ"/>
              <b val="1"/>
              <sz val="10"/>
            </rPr>
            <t xml:space="preserve">ステップ3：
</t>
          </r>
          <r>
            <rPr>
              <rFont val="メイリオ"/>
              <sz val="10"/>
            </rPr>
            <t>DevTools で GET `/api/v1/tanka` を直接呼び出し、レスポンスを確認</t>
          </r>
        </is>
      </c>
      <c r="R15" s="10" t="n"/>
      <c r="S15" s="10" t="n"/>
      <c r="T15" s="10" t="n"/>
      <c r="U15" s="10" t="n"/>
      <c r="V15" s="10" t="n"/>
      <c r="W15" s="11" t="n"/>
      <c r="X15" s="46" t="inlineStr">
        <is>
          <r>
            <rPr>
              <rFont val="メイリオ"/>
              <b val="1"/>
              <sz val="10"/>
            </rPr>
            <t xml:space="preserve">ステップ1：
</t>
          </r>
          <r>
            <rPr>
              <rFont val="メイリオ"/>
              <sz val="10"/>
            </rPr>
            <t xml:space="preserve">サイドバーに「単価マスタ」項目が表示されること（権限 `tanka.view` を保持するため）
</t>
          </r>
          <r>
            <rPr>
              <rFont val="メイリオ"/>
              <b val="1"/>
              <sz val="10"/>
            </rPr>
            <t xml:space="preserve">ステップ2：
</t>
          </r>
          <r>
            <rPr>
              <rFont val="メイリオ"/>
              <sz val="10"/>
            </rPr>
            <t xml:space="preserve">単価マスタ明細検索画面が表示されること、かつ検索フォームと単価一覧（updated_at 降順）が描画されること
</t>
          </r>
          <r>
            <rPr>
              <rFont val="メイリオ"/>
              <b val="1"/>
              <sz val="10"/>
            </rPr>
            <t xml:space="preserve">ステップ3：
</t>
          </r>
          <r>
            <rPr>
              <rFont val="メイリオ"/>
              <sz val="10"/>
            </rPr>
            <t xml:space="preserve">HTTPステータスコード200が返却されること、レスポンスボディに `data` 配列と `meta` オブジェクトが含まれること
</t>
          </r>
          <r>
            <rPr>
              <rFont val="メイリオ"/>
              <b val="1"/>
              <sz val="10"/>
            </rPr>
            <t xml:space="preserve">補足：
</t>
          </r>
          <r>
            <rPr>
              <rFont val="メイリオ"/>
              <sz val="10"/>
            </rPr>
            <t xml:space="preserve">・「新規登録」ボタンが活性状態で表示されること（権限 `tanka.create` を保持）
</t>
          </r>
          <r>
            <rPr>
              <rFont val="メイリオ"/>
              <sz val="10"/>
            </rPr>
            <t xml:space="preserve">・操作列の「削除」リンクが活性状態で表示されること（権限 `tanka.delete` を保持）
</t>
          </r>
          <r>
            <rPr>
              <rFont val="メイリオ"/>
              <sz val="10"/>
            </rPr>
            <t>・データスコープ制御により自中央会のレコードのみが返却されること（account_concept.md ※4）</t>
          </r>
        </is>
      </c>
      <c r="Y15" s="10" t="n"/>
      <c r="Z15" s="10" t="n"/>
      <c r="AA15" s="10" t="n"/>
      <c r="AB15" s="10" t="n"/>
      <c r="AC15" s="10" t="n"/>
      <c r="AD15" s="11" t="n"/>
      <c r="AE15" s="45" t="inlineStr">
        <is>
          <t>N</t>
        </is>
      </c>
      <c r="AF15" s="11" t="n"/>
      <c r="AG15" s="45" t="inlineStr"/>
      <c r="AH15" s="10" t="n"/>
      <c r="AI15" s="11" t="n"/>
      <c r="AJ15" s="45" t="inlineStr"/>
      <c r="AK15" s="10" t="n"/>
      <c r="AL15" s="11" t="n"/>
      <c r="AM15" s="45" t="inlineStr"/>
      <c r="AN15" s="10" t="n"/>
      <c r="AO15" s="11" t="n"/>
      <c r="AP15" s="45" t="inlineStr"/>
      <c r="AQ15" s="10" t="n"/>
      <c r="AR15" s="11" t="n"/>
      <c r="AS15" s="45" t="inlineStr"/>
      <c r="AT15" s="10" t="n"/>
      <c r="AU15" s="11" t="n"/>
      <c r="AV15" s="45" t="inlineStr"/>
      <c r="AW15" s="10" t="n"/>
      <c r="AX15" s="11" t="n"/>
      <c r="AY15" s="45" t="inlineStr"/>
      <c r="AZ15" s="10" t="n"/>
      <c r="BA15" s="11" t="n"/>
      <c r="BB15" s="45" t="inlineStr"/>
      <c r="BC15" s="10" t="n"/>
      <c r="BD15" s="11" t="n"/>
      <c r="BE15" s="45" t="inlineStr"/>
      <c r="BF15" s="10" t="n"/>
      <c r="BG15" s="11" t="n"/>
      <c r="BH15" s="45" t="inlineStr"/>
      <c r="BI15" s="10" t="n"/>
      <c r="BJ15" s="11" t="n"/>
      <c r="BK15" s="46" t="inlineStr"/>
      <c r="BL15" s="10" t="n"/>
      <c r="BM15" s="10" t="n"/>
      <c r="BN15" s="10" t="n"/>
      <c r="BO15" s="10" t="n"/>
      <c r="BP15" s="10" t="n"/>
      <c r="BQ15" s="11" t="n"/>
    </row>
    <row r="16" ht="400" customHeight="1">
      <c r="A16" s="44" t="n">
        <v>4</v>
      </c>
      <c r="B16" s="46" t="inlineStr">
        <is>
          <t>ACSMS-TC-002-004</t>
        </is>
      </c>
      <c r="C16" s="10" t="n"/>
      <c r="D16" s="11" t="n"/>
      <c r="E16" s="46" t="inlineStr">
        <is>
          <t>JA_HONTEN による単価マスタ明細検索画面 閲覧許可</t>
        </is>
      </c>
      <c r="F16" s="10" t="n"/>
      <c r="G16" s="10" t="n"/>
      <c r="H16" s="10" t="n"/>
      <c r="I16" s="11" t="n"/>
      <c r="J16" s="46" t="inlineStr">
        <is>
          <t>・role: JA_HONTEN（ja-001 所属）
・ログイン済 + MFA認証済
・権限 `tanka.view` / `tanka.create` / `tanka.update` / `tanka.delete` を保持</t>
        </is>
      </c>
      <c r="K16" s="10" t="n"/>
      <c r="L16" s="10" t="n"/>
      <c r="M16" s="10" t="n"/>
      <c r="N16" s="10" t="n"/>
      <c r="O16" s="10" t="n"/>
      <c r="P16" s="11" t="n"/>
      <c r="Q16" s="46" t="inlineStr">
        <is>
          <r>
            <rPr>
              <rFont val="メイリオ"/>
              <b val="1"/>
              <sz val="10"/>
            </rPr>
            <t xml:space="preserve">ステップ1：
</t>
          </r>
          <r>
            <rPr>
              <rFont val="メイリオ"/>
              <sz val="10"/>
            </rPr>
            <t xml:space="preserve">サイドバーから「単価マスタ」を押下、URL `/tanka` を開く
</t>
          </r>
          <r>
            <rPr>
              <rFont val="メイリオ"/>
              <b val="1"/>
              <sz val="10"/>
            </rPr>
            <t xml:space="preserve">ステップ2：
</t>
          </r>
          <r>
            <rPr>
              <rFont val="メイリオ"/>
              <sz val="10"/>
            </rPr>
            <t xml:space="preserve">DevTools で GET `/api/v1/tanka` のレスポンスを確認
</t>
          </r>
          <r>
            <rPr>
              <rFont val="メイリオ"/>
              <b val="1"/>
              <sz val="10"/>
            </rPr>
            <t xml:space="preserve">ステップ3：
</t>
          </r>
          <r>
            <rPr>
              <rFont val="メイリオ"/>
              <sz val="10"/>
            </rPr>
            <t>別 JA（ja-002）の単価レコードに対し DevTools で DELETE `/api/v1/tanka/{他JAのtanka_id}` を直接送信</t>
          </r>
        </is>
      </c>
      <c r="R16" s="10" t="n"/>
      <c r="S16" s="10" t="n"/>
      <c r="T16" s="10" t="n"/>
      <c r="U16" s="10" t="n"/>
      <c r="V16" s="10" t="n"/>
      <c r="W16" s="11" t="n"/>
      <c r="X16" s="46" t="inlineStr">
        <is>
          <r>
            <rPr>
              <rFont val="メイリオ"/>
              <b val="1"/>
              <sz val="10"/>
            </rPr>
            <t xml:space="preserve">ステップ1：
</t>
          </r>
          <r>
            <rPr>
              <rFont val="メイリオ"/>
              <sz val="10"/>
            </rPr>
            <t xml:space="preserve">単価マスタ明細検索画面が表示されること
</t>
          </r>
          <r>
            <rPr>
              <rFont val="メイリオ"/>
              <b val="1"/>
              <sz val="10"/>
            </rPr>
            <t xml:space="preserve">ステップ2：
</t>
          </r>
          <r>
            <rPr>
              <rFont val="メイリオ"/>
              <sz val="10"/>
            </rPr>
            <t xml:space="preserve">HTTPステータスコード200が返却されること、レスポンスの `data` 配列は ja_id = 1 のレコードのみ含むこと（自JAのみ）
</t>
          </r>
          <r>
            <rPr>
              <rFont val="メイリオ"/>
              <b val="1"/>
              <sz val="10"/>
            </rPr>
            <t xml:space="preserve">ステップ3：
</t>
          </r>
          <r>
            <rPr>
              <rFont val="メイリオ"/>
              <sz val="10"/>
            </rPr>
            <t xml:space="preserve">HTTPステータスコード404が返却されること（`error_code: NOT_FOUND`、メッセージ `指定された単価が見つかりません。`、存在隠蔽のため403ではなく404）
</t>
          </r>
          <r>
            <rPr>
              <rFont val="メイリオ"/>
              <b val="1"/>
              <sz val="10"/>
            </rPr>
            <t xml:space="preserve">補足：
</t>
          </r>
          <r>
            <rPr>
              <rFont val="メイリオ"/>
              <sz val="10"/>
            </rPr>
            <t xml:space="preserve">・データスコープ制御により自JAのレコードのみが返却・操作可能であること
</t>
          </r>
          <r>
            <rPr>
              <rFont val="メイリオ"/>
              <sz val="10"/>
            </rPr>
            <t>・「新規登録」「削除」リンクともに活性状態で表示されること</t>
          </r>
        </is>
      </c>
      <c r="Y16" s="10" t="n"/>
      <c r="Z16" s="10" t="n"/>
      <c r="AA16" s="10" t="n"/>
      <c r="AB16" s="10" t="n"/>
      <c r="AC16" s="10" t="n"/>
      <c r="AD16" s="11" t="n"/>
      <c r="AE16" s="45" t="inlineStr">
        <is>
          <t>N</t>
        </is>
      </c>
      <c r="AF16" s="11" t="n"/>
      <c r="AG16" s="45" t="inlineStr"/>
      <c r="AH16" s="10" t="n"/>
      <c r="AI16" s="11" t="n"/>
      <c r="AJ16" s="45" t="inlineStr"/>
      <c r="AK16" s="10" t="n"/>
      <c r="AL16" s="11" t="n"/>
      <c r="AM16" s="45" t="inlineStr"/>
      <c r="AN16" s="10" t="n"/>
      <c r="AO16" s="11" t="n"/>
      <c r="AP16" s="45" t="inlineStr"/>
      <c r="AQ16" s="10" t="n"/>
      <c r="AR16" s="11" t="n"/>
      <c r="AS16" s="45" t="inlineStr"/>
      <c r="AT16" s="10" t="n"/>
      <c r="AU16" s="11" t="n"/>
      <c r="AV16" s="45" t="inlineStr"/>
      <c r="AW16" s="10" t="n"/>
      <c r="AX16" s="11" t="n"/>
      <c r="AY16" s="45" t="inlineStr"/>
      <c r="AZ16" s="10" t="n"/>
      <c r="BA16" s="11" t="n"/>
      <c r="BB16" s="45" t="inlineStr"/>
      <c r="BC16" s="10" t="n"/>
      <c r="BD16" s="11" t="n"/>
      <c r="BE16" s="45" t="inlineStr"/>
      <c r="BF16" s="10" t="n"/>
      <c r="BG16" s="11" t="n"/>
      <c r="BH16" s="45" t="inlineStr"/>
      <c r="BI16" s="10" t="n"/>
      <c r="BJ16" s="11" t="n"/>
      <c r="BK16" s="46" t="inlineStr"/>
      <c r="BL16" s="10" t="n"/>
      <c r="BM16" s="10" t="n"/>
      <c r="BN16" s="10" t="n"/>
      <c r="BO16" s="10" t="n"/>
      <c r="BP16" s="10" t="n"/>
      <c r="BQ16" s="11" t="n"/>
    </row>
    <row r="17" ht="450" customHeight="1">
      <c r="A17" s="44" t="n">
        <v>5</v>
      </c>
      <c r="B17" s="46" t="inlineStr">
        <is>
          <t>ACSMS-TC-002-005</t>
        </is>
      </c>
      <c r="C17" s="10" t="n"/>
      <c r="D17" s="11" t="n"/>
      <c r="E17" s="46" t="inlineStr">
        <is>
          <t>JA_KANRI_SHITEN による単価マスタ明細検索画面 閲覧許可</t>
        </is>
      </c>
      <c r="F17" s="10" t="n"/>
      <c r="G17" s="10" t="n"/>
      <c r="H17" s="10" t="n"/>
      <c r="I17" s="11" t="n"/>
      <c r="J17" s="46" t="inlineStr">
        <is>
          <t>・role: JA_KANRI_SHITEN（ja-001 / kanri_shiten-001 所属）
・ログイン済 + MFA認証済
・権限 `tanka.view` / `tanka.create` / `tanka.update` / `tanka.delete` を保持</t>
        </is>
      </c>
      <c r="K17" s="10" t="n"/>
      <c r="L17" s="10" t="n"/>
      <c r="M17" s="10" t="n"/>
      <c r="N17" s="10" t="n"/>
      <c r="O17" s="10" t="n"/>
      <c r="P17" s="11" t="n"/>
      <c r="Q17" s="46" t="inlineStr">
        <is>
          <r>
            <rPr>
              <rFont val="メイリオ"/>
              <b val="1"/>
              <sz val="10"/>
            </rPr>
            <t xml:space="preserve">ステップ1：
</t>
          </r>
          <r>
            <rPr>
              <rFont val="メイリオ"/>
              <sz val="10"/>
            </rPr>
            <t xml:space="preserve">サイドバーから「単価マスタ」を押下、URL `/tanka` を開く
</t>
          </r>
          <r>
            <rPr>
              <rFont val="メイリオ"/>
              <b val="1"/>
              <sz val="10"/>
            </rPr>
            <t xml:space="preserve">ステップ2：
</t>
          </r>
          <r>
            <rPr>
              <rFont val="メイリオ"/>
              <sz val="10"/>
            </rPr>
            <t xml:space="preserve">DevTools で GET `/api/v1/tanka` のレスポンスを確認
</t>
          </r>
          <r>
            <rPr>
              <rFont val="メイリオ"/>
              <b val="1"/>
              <sz val="10"/>
            </rPr>
            <t xml:space="preserve">ステップ3：
</t>
          </r>
          <r>
            <rPr>
              <rFont val="メイリオ"/>
              <sz val="10"/>
            </rPr>
            <t xml:space="preserve">URL `/tanka/1/edit` に直接アクセス
</t>
          </r>
          <r>
            <rPr>
              <rFont val="メイリオ"/>
              <b val="1"/>
              <sz val="10"/>
            </rPr>
            <t xml:space="preserve">ステップ4：
</t>
          </r>
          <r>
            <rPr>
              <rFont val="メイリオ"/>
              <sz val="10"/>
            </rPr>
            <t>URL `/tanka/create` に直接アクセス</t>
          </r>
        </is>
      </c>
      <c r="R17" s="10" t="n"/>
      <c r="S17" s="10" t="n"/>
      <c r="T17" s="10" t="n"/>
      <c r="U17" s="10" t="n"/>
      <c r="V17" s="10" t="n"/>
      <c r="W17" s="11" t="n"/>
      <c r="X17" s="46" t="inlineStr">
        <is>
          <r>
            <rPr>
              <rFont val="メイリオ"/>
              <b val="1"/>
              <sz val="10"/>
            </rPr>
            <t xml:space="preserve">ステップ1：
</t>
          </r>
          <r>
            <rPr>
              <rFont val="メイリオ"/>
              <sz val="10"/>
            </rPr>
            <t xml:space="preserve">単価マスタ明細検索画面が表示されること
</t>
          </r>
          <r>
            <rPr>
              <rFont val="メイリオ"/>
              <b val="1"/>
              <sz val="10"/>
            </rPr>
            <t xml:space="preserve">ステップ2：
</t>
          </r>
          <r>
            <rPr>
              <rFont val="メイリオ"/>
              <sz val="10"/>
            </rPr>
            <t xml:space="preserve">HTTPステータスコード200が返却されること、`data` 配列は ja_id = 1 のレコードのみ含むこと（自JAのみ）
</t>
          </r>
          <r>
            <rPr>
              <rFont val="メイリオ"/>
              <b val="1"/>
              <sz val="10"/>
            </rPr>
            <t xml:space="preserve">ステップ3：
</t>
          </r>
          <r>
            <rPr>
              <rFont val="メイリオ"/>
              <sz val="10"/>
            </rPr>
            <t xml:space="preserve">単価マスタ登録画面（編集モード）が表示されること（権限 `tanka.update` を保持するため）
</t>
          </r>
          <r>
            <rPr>
              <rFont val="メイリオ"/>
              <b val="1"/>
              <sz val="10"/>
            </rPr>
            <t xml:space="preserve">ステップ4：
</t>
          </r>
          <r>
            <rPr>
              <rFont val="メイリオ"/>
              <sz val="10"/>
            </rPr>
            <t xml:space="preserve">単価マスタ登録画面（新規モード）が表示されること（権限 `tanka.create` を保持するため）
</t>
          </r>
          <r>
            <rPr>
              <rFont val="メイリオ"/>
              <b val="1"/>
              <sz val="10"/>
            </rPr>
            <t xml:space="preserve">補足：
</t>
          </r>
          <r>
            <rPr>
              <rFont val="メイリオ"/>
              <sz val="10"/>
            </rPr>
            <t xml:space="preserve">・JA_KANRI_SHITEN は自JA単位の単価のみ参照可能（CHUOKAI / JA_HONTEN と同等の権限セット）
</t>
          </r>
          <r>
            <rPr>
              <rFont val="メイリオ"/>
              <sz val="10"/>
            </rPr>
            <t>・データスコープは ja_id 単位で適用され、kanri_shiten_id 単位ではフィルタしないこと</t>
          </r>
        </is>
      </c>
      <c r="Y17" s="10" t="n"/>
      <c r="Z17" s="10" t="n"/>
      <c r="AA17" s="10" t="n"/>
      <c r="AB17" s="10" t="n"/>
      <c r="AC17" s="10" t="n"/>
      <c r="AD17" s="11" t="n"/>
      <c r="AE17" s="45" t="inlineStr">
        <is>
          <t>N</t>
        </is>
      </c>
      <c r="AF17" s="11" t="n"/>
      <c r="AG17" s="45" t="inlineStr"/>
      <c r="AH17" s="10" t="n"/>
      <c r="AI17" s="11" t="n"/>
      <c r="AJ17" s="45" t="inlineStr"/>
      <c r="AK17" s="10" t="n"/>
      <c r="AL17" s="11" t="n"/>
      <c r="AM17" s="45" t="inlineStr"/>
      <c r="AN17" s="10" t="n"/>
      <c r="AO17" s="11" t="n"/>
      <c r="AP17" s="45" t="inlineStr"/>
      <c r="AQ17" s="10" t="n"/>
      <c r="AR17" s="11" t="n"/>
      <c r="AS17" s="45" t="inlineStr"/>
      <c r="AT17" s="10" t="n"/>
      <c r="AU17" s="11" t="n"/>
      <c r="AV17" s="45" t="inlineStr"/>
      <c r="AW17" s="10" t="n"/>
      <c r="AX17" s="11" t="n"/>
      <c r="AY17" s="45" t="inlineStr"/>
      <c r="AZ17" s="10" t="n"/>
      <c r="BA17" s="11" t="n"/>
      <c r="BB17" s="45" t="inlineStr"/>
      <c r="BC17" s="10" t="n"/>
      <c r="BD17" s="11" t="n"/>
      <c r="BE17" s="45" t="inlineStr"/>
      <c r="BF17" s="10" t="n"/>
      <c r="BG17" s="11" t="n"/>
      <c r="BH17" s="45" t="inlineStr"/>
      <c r="BI17" s="10" t="n"/>
      <c r="BJ17" s="11" t="n"/>
      <c r="BK17" s="46" t="inlineStr">
        <is>
          <t>(なし)
---</t>
        </is>
      </c>
      <c r="BL17" s="10" t="n"/>
      <c r="BM17" s="10" t="n"/>
      <c r="BN17" s="10" t="n"/>
      <c r="BO17" s="10" t="n"/>
      <c r="BP17" s="10" t="n"/>
      <c r="BQ17" s="11" t="n"/>
    </row>
    <row r="18" ht="22.5" customHeight="1">
      <c r="A18" s="32" t="inlineStr">
        <is>
          <t>画面表示・レスポンシブ（Layout &amp; Responsive）</t>
        </is>
      </c>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0" t="n"/>
      <c r="AL18" s="10" t="n"/>
      <c r="AM18" s="10" t="n"/>
      <c r="AN18" s="10" t="n"/>
      <c r="AO18" s="10" t="n"/>
      <c r="AP18" s="10" t="n"/>
      <c r="AQ18" s="10" t="n"/>
      <c r="AR18" s="10" t="n"/>
      <c r="AS18" s="10" t="n"/>
      <c r="AT18" s="10" t="n"/>
      <c r="AU18" s="10" t="n"/>
      <c r="AV18" s="10" t="n"/>
      <c r="AW18" s="10" t="n"/>
      <c r="AX18" s="10" t="n"/>
      <c r="AY18" s="10" t="n"/>
      <c r="AZ18" s="10" t="n"/>
      <c r="BA18" s="10" t="n"/>
      <c r="BB18" s="10" t="n"/>
      <c r="BC18" s="10" t="n"/>
      <c r="BD18" s="10" t="n"/>
      <c r="BE18" s="10" t="n"/>
      <c r="BF18" s="10" t="n"/>
      <c r="BG18" s="10" t="n"/>
      <c r="BH18" s="10" t="n"/>
      <c r="BI18" s="10" t="n"/>
      <c r="BJ18" s="10" t="n"/>
      <c r="BK18" s="10" t="n"/>
      <c r="BL18" s="10" t="n"/>
      <c r="BM18" s="10" t="n"/>
      <c r="BN18" s="10" t="n"/>
      <c r="BO18" s="10" t="n"/>
      <c r="BP18" s="10" t="n"/>
      <c r="BQ18" s="11" t="n"/>
    </row>
    <row r="19" ht="336" customHeight="1">
      <c r="A19" s="44" t="n">
        <v>6</v>
      </c>
      <c r="B19" s="46" t="inlineStr">
        <is>
          <t>ACSMS-TC-002-006</t>
        </is>
      </c>
      <c r="C19" s="10" t="n"/>
      <c r="D19" s="11" t="n"/>
      <c r="E19" s="46" t="inlineStr">
        <is>
          <t>一覧画面 全体レイアウトが設計仕様に一致</t>
        </is>
      </c>
      <c r="F19" s="10" t="n"/>
      <c r="G19" s="10" t="n"/>
      <c r="H19" s="10" t="n"/>
      <c r="I19" s="11" t="n"/>
      <c r="J19" s="46" t="inlineStr">
        <is>
          <t>・role: CHUOKAI
・ブラウザ：Chrome (latest)、解像度 1920×1080
・自中央会の単価データが3件以上登録済</t>
        </is>
      </c>
      <c r="K19" s="10" t="n"/>
      <c r="L19" s="10" t="n"/>
      <c r="M19" s="10" t="n"/>
      <c r="N19" s="10" t="n"/>
      <c r="O19" s="10" t="n"/>
      <c r="P19" s="11" t="n"/>
      <c r="Q19" s="46" t="inlineStr">
        <is>
          <r>
            <rPr>
              <rFont val="メイリオ"/>
              <b val="1"/>
              <sz val="10"/>
            </rPr>
            <t xml:space="preserve">ステップ1：
</t>
          </r>
          <r>
            <rPr>
              <rFont val="メイリオ"/>
              <sz val="10"/>
            </rPr>
            <t xml:space="preserve">サイドバーから「単価マスタ」を押下し、`/tanka` を開く
</t>
          </r>
          <r>
            <rPr>
              <rFont val="メイリオ"/>
              <b val="1"/>
              <sz val="10"/>
            </rPr>
            <t xml:space="preserve">ステップ2：
</t>
          </r>
          <r>
            <rPr>
              <rFont val="メイリオ"/>
              <sz val="10"/>
            </rPr>
            <t xml:space="preserve">画面設計書（screen-design.md / index.html）と画面を並べて比較
</t>
          </r>
          <r>
            <rPr>
              <rFont val="メイリオ"/>
              <b val="1"/>
              <sz val="10"/>
            </rPr>
            <t xml:space="preserve">ステップ3：
</t>
          </r>
          <r>
            <rPr>
              <rFont val="メイリオ"/>
              <sz val="10"/>
            </rPr>
            <t>パンくずリスト・検索フォーム・一覧テーブル・ページネーションの各位置を確認</t>
          </r>
        </is>
      </c>
      <c r="R19" s="10" t="n"/>
      <c r="S19" s="10" t="n"/>
      <c r="T19" s="10" t="n"/>
      <c r="U19" s="10" t="n"/>
      <c r="V19" s="10" t="n"/>
      <c r="W19" s="11" t="n"/>
      <c r="X19" s="46" t="inlineStr">
        <is>
          <r>
            <rPr>
              <rFont val="メイリオ"/>
              <b val="1"/>
              <sz val="10"/>
            </rPr>
            <t xml:space="preserve">ステップ1：
</t>
          </r>
          <r>
            <rPr>
              <rFont val="メイリオ"/>
              <sz val="10"/>
            </rPr>
            <t xml:space="preserve">単価マスタ明細検索画面が表示されること
</t>
          </r>
          <r>
            <rPr>
              <rFont val="メイリオ"/>
              <b val="1"/>
              <sz val="10"/>
            </rPr>
            <t xml:space="preserve">ステップ2：
</t>
          </r>
          <r>
            <rPr>
              <rFont val="メイリオ"/>
              <sz val="10"/>
            </rPr>
            <t xml:space="preserve">背景色、フォント、フォントサイズ、padding／margin、ボタン色、入力欄のスタイルがすべて画面設計書と一致すること
</t>
          </r>
          <r>
            <rPr>
              <rFont val="メイリオ"/>
              <b val="1"/>
              <sz val="10"/>
            </rPr>
            <t xml:space="preserve">ステップ3：
</t>
          </r>
          <r>
            <rPr>
              <rFont val="メイリオ"/>
              <sz val="10"/>
            </rPr>
            <t xml:space="preserve">画面設計書通りの配置であること
</t>
          </r>
          <r>
            <rPr>
              <rFont val="メイリオ"/>
              <b val="1"/>
              <sz val="10"/>
            </rPr>
            <t xml:space="preserve">補足：
</t>
          </r>
          <r>
            <rPr>
              <rFont val="メイリオ"/>
              <sz val="10"/>
            </rPr>
            <t xml:space="preserve">・画面設計書との視覚差異が発生しないこと
</t>
          </r>
          <r>
            <rPr>
              <rFont val="メイリオ"/>
              <sz val="10"/>
            </rPr>
            <t>・デザイントークン（design-tokens.ts）が適用されており、ハードコーディングのカラーが存在しないこと</t>
          </r>
        </is>
      </c>
      <c r="Y19" s="10" t="n"/>
      <c r="Z19" s="10" t="n"/>
      <c r="AA19" s="10" t="n"/>
      <c r="AB19" s="10" t="n"/>
      <c r="AC19" s="10" t="n"/>
      <c r="AD19" s="11" t="n"/>
      <c r="AE19" s="45" t="inlineStr">
        <is>
          <t>N</t>
        </is>
      </c>
      <c r="AF19" s="11" t="n"/>
      <c r="AG19" s="45" t="inlineStr"/>
      <c r="AH19" s="10" t="n"/>
      <c r="AI19" s="11" t="n"/>
      <c r="AJ19" s="45" t="inlineStr"/>
      <c r="AK19" s="10" t="n"/>
      <c r="AL19" s="11" t="n"/>
      <c r="AM19" s="45" t="inlineStr"/>
      <c r="AN19" s="10" t="n"/>
      <c r="AO19" s="11" t="n"/>
      <c r="AP19" s="45" t="inlineStr"/>
      <c r="AQ19" s="10" t="n"/>
      <c r="AR19" s="11" t="n"/>
      <c r="AS19" s="45" t="inlineStr"/>
      <c r="AT19" s="10" t="n"/>
      <c r="AU19" s="11" t="n"/>
      <c r="AV19" s="45" t="inlineStr"/>
      <c r="AW19" s="10" t="n"/>
      <c r="AX19" s="11" t="n"/>
      <c r="AY19" s="45" t="inlineStr"/>
      <c r="AZ19" s="10" t="n"/>
      <c r="BA19" s="11" t="n"/>
      <c r="BB19" s="45" t="inlineStr"/>
      <c r="BC19" s="10" t="n"/>
      <c r="BD19" s="11" t="n"/>
      <c r="BE19" s="45" t="inlineStr"/>
      <c r="BF19" s="10" t="n"/>
      <c r="BG19" s="11" t="n"/>
      <c r="BH19" s="45" t="inlineStr"/>
      <c r="BI19" s="10" t="n"/>
      <c r="BJ19" s="11" t="n"/>
      <c r="BK19" s="46" t="inlineStr"/>
      <c r="BL19" s="10" t="n"/>
      <c r="BM19" s="10" t="n"/>
      <c r="BN19" s="10" t="n"/>
      <c r="BO19" s="10" t="n"/>
      <c r="BP19" s="10" t="n"/>
      <c r="BQ19" s="11" t="n"/>
    </row>
    <row r="20" ht="450" customHeight="1">
      <c r="A20" s="44" t="n">
        <v>7</v>
      </c>
      <c r="B20" s="46" t="inlineStr">
        <is>
          <t>ACSMS-TC-002-007</t>
        </is>
      </c>
      <c r="C20" s="10" t="n"/>
      <c r="D20" s="11" t="n"/>
      <c r="E20" s="46" t="inlineStr">
        <is>
          <t>一覧テーブル カラム構成が設計仕様に一致</t>
        </is>
      </c>
      <c r="F20" s="10" t="n"/>
      <c r="G20" s="10" t="n"/>
      <c r="H20" s="10" t="n"/>
      <c r="I20" s="11" t="n"/>
      <c r="J20" s="46" t="inlineStr">
        <is>
          <t>・role: CHUOKAI
・単価データが3件以上登録済</t>
        </is>
      </c>
      <c r="K20" s="10" t="n"/>
      <c r="L20" s="10" t="n"/>
      <c r="M20" s="10" t="n"/>
      <c r="N20" s="10" t="n"/>
      <c r="O20" s="10" t="n"/>
      <c r="P20" s="11" t="n"/>
      <c r="Q20" s="46" t="inlineStr">
        <is>
          <r>
            <rPr>
              <rFont val="メイリオ"/>
              <b val="1"/>
              <sz val="10"/>
            </rPr>
            <t xml:space="preserve">ステップ1：
</t>
          </r>
          <r>
            <rPr>
              <rFont val="メイリオ"/>
              <sz val="10"/>
            </rPr>
            <t xml:space="preserve">`/tanka` を開き、一覧テーブルのヘッダーを確認
</t>
          </r>
          <r>
            <rPr>
              <rFont val="メイリオ"/>
              <b val="1"/>
              <sz val="10"/>
            </rPr>
            <t xml:space="preserve">ステップ2：
</t>
          </r>
          <r>
            <rPr>
              <rFont val="メイリオ"/>
              <sz val="10"/>
            </rPr>
            <t xml:space="preserve">左から順にカラム名と幅、整列を確認
</t>
          </r>
          <r>
            <rPr>
              <rFont val="メイリオ"/>
              <b val="1"/>
              <sz val="10"/>
            </rPr>
            <t xml:space="preserve">ステップ3：
</t>
          </r>
          <r>
            <rPr>
              <rFont val="メイリオ"/>
              <sz val="10"/>
            </rPr>
            <t xml:space="preserve">ソートアイコンの表示有無を確認
</t>
          </r>
          <r>
            <rPr>
              <rFont val="メイリオ"/>
              <b val="1"/>
              <sz val="10"/>
            </rPr>
            <t xml:space="preserve">ステップ4：
</t>
          </r>
          <r>
            <rPr>
              <rFont val="メイリオ"/>
              <sz val="10"/>
            </rPr>
            <t>適用終了日が NULL のレコード行の表示内容を確認</t>
          </r>
        </is>
      </c>
      <c r="R20" s="10" t="n"/>
      <c r="S20" s="10" t="n"/>
      <c r="T20" s="10" t="n"/>
      <c r="U20" s="10" t="n"/>
      <c r="V20" s="10" t="n"/>
      <c r="W20" s="11" t="n"/>
      <c r="X20" s="46" t="inlineStr">
        <is>
          <r>
            <rPr>
              <rFont val="メイリオ"/>
              <b val="1"/>
              <sz val="10"/>
            </rPr>
            <t xml:space="preserve">ステップ1：
</t>
          </r>
          <r>
            <rPr>
              <rFont val="メイリオ"/>
              <sz val="10"/>
            </rPr>
            <t xml:space="preserve">一覧テーブルが表示されること
</t>
          </r>
          <r>
            <rPr>
              <rFont val="メイリオ"/>
              <b val="1"/>
              <sz val="10"/>
            </rPr>
            <t xml:space="preserve">ステップ2：
</t>
          </r>
          <r>
            <rPr>
              <rFont val="メイリオ"/>
              <sz val="10"/>
            </rPr>
            <t xml:space="preserve">画面設計書 §画面項目定義 通りに左から「単価種別」「単価コード」「単価名」「適用開始日」「適用終了日」「有効単価フラグ」「単価（税込）」「単価（税抜）」「税率」「操作」の10カラムが表示されること、税込／税抜／税率は右揃え、有効単価フラグ／操作は中央揃え、その他は左揃えであること
</t>
          </r>
          <r>
            <rPr>
              <rFont val="メイリオ"/>
              <b val="1"/>
              <sz val="10"/>
            </rPr>
            <t xml:space="preserve">ステップ3：
</t>
          </r>
          <r>
            <rPr>
              <rFont val="メイリオ"/>
              <sz val="10"/>
            </rPr>
            <t xml:space="preserve">「単価コード」「単価名」「適用開始日」「適用終了日」の4カラムにソートアイコンが表示されること、その他のカラム（単価種別／有効単価フラグ／税込／税抜／税率／操作）にはソートアイコンが表示されないこと
</t>
          </r>
          <r>
            <rPr>
              <rFont val="メイリオ"/>
              <b val="1"/>
              <sz val="10"/>
            </rPr>
            <t xml:space="preserve">ステップ4：
</t>
          </r>
          <r>
            <rPr>
              <rFont val="メイリオ"/>
              <sz val="10"/>
            </rPr>
            <t xml:space="preserve">適用終了日カラムが `-`（ハイフン）で表示されること（NULL = 無期限）
</t>
          </r>
          <r>
            <rPr>
              <rFont val="メイリオ"/>
              <b val="1"/>
              <sz val="10"/>
            </rPr>
            <t xml:space="preserve">補足：
</t>
          </r>
          <r>
            <rPr>
              <rFont val="メイリオ"/>
              <sz val="10"/>
            </rPr>
            <t xml:space="preserve">・単価種別カラムは m_code の TANKA_TYPE ラベル（「新聞購読料」または「配達手数料」）が表示されること
</t>
          </r>
          <r>
            <rPr>
              <rFont val="メイリオ"/>
              <sz val="10"/>
            </rPr>
            <t>・有効単価フラグカラムは「有効」（緑タグ）または「無効」（赤タグ）の状態バッジで表示されること</t>
          </r>
        </is>
      </c>
      <c r="Y20" s="10" t="n"/>
      <c r="Z20" s="10" t="n"/>
      <c r="AA20" s="10" t="n"/>
      <c r="AB20" s="10" t="n"/>
      <c r="AC20" s="10" t="n"/>
      <c r="AD20" s="11" t="n"/>
      <c r="AE20" s="45" t="inlineStr">
        <is>
          <t>N</t>
        </is>
      </c>
      <c r="AF20" s="11" t="n"/>
      <c r="AG20" s="45" t="inlineStr"/>
      <c r="AH20" s="10" t="n"/>
      <c r="AI20" s="11" t="n"/>
      <c r="AJ20" s="45" t="inlineStr"/>
      <c r="AK20" s="10" t="n"/>
      <c r="AL20" s="11" t="n"/>
      <c r="AM20" s="45" t="inlineStr"/>
      <c r="AN20" s="10" t="n"/>
      <c r="AO20" s="11" t="n"/>
      <c r="AP20" s="45" t="inlineStr"/>
      <c r="AQ20" s="10" t="n"/>
      <c r="AR20" s="11" t="n"/>
      <c r="AS20" s="45" t="inlineStr"/>
      <c r="AT20" s="10" t="n"/>
      <c r="AU20" s="11" t="n"/>
      <c r="AV20" s="45" t="inlineStr"/>
      <c r="AW20" s="10" t="n"/>
      <c r="AX20" s="11" t="n"/>
      <c r="AY20" s="45" t="inlineStr"/>
      <c r="AZ20" s="10" t="n"/>
      <c r="BA20" s="11" t="n"/>
      <c r="BB20" s="45" t="inlineStr"/>
      <c r="BC20" s="10" t="n"/>
      <c r="BD20" s="11" t="n"/>
      <c r="BE20" s="45" t="inlineStr"/>
      <c r="BF20" s="10" t="n"/>
      <c r="BG20" s="11" t="n"/>
      <c r="BH20" s="45" t="inlineStr"/>
      <c r="BI20" s="10" t="n"/>
      <c r="BJ20" s="11" t="n"/>
      <c r="BK20" s="46" t="inlineStr"/>
      <c r="BL20" s="10" t="n"/>
      <c r="BM20" s="10" t="n"/>
      <c r="BN20" s="10" t="n"/>
      <c r="BO20" s="10" t="n"/>
      <c r="BP20" s="10" t="n"/>
      <c r="BQ20" s="11" t="n"/>
    </row>
    <row r="21" ht="432" customHeight="1">
      <c r="A21" s="44" t="n">
        <v>8</v>
      </c>
      <c r="B21" s="46" t="inlineStr">
        <is>
          <t>ACSMS-TC-002-008</t>
        </is>
      </c>
      <c r="C21" s="10" t="n"/>
      <c r="D21" s="11" t="n"/>
      <c r="E21" s="46" t="inlineStr">
        <is>
          <t>検索フォーム 5項目のレイアウトが設計仕様に一致</t>
        </is>
      </c>
      <c r="F21" s="10" t="n"/>
      <c r="G21" s="10" t="n"/>
      <c r="H21" s="10" t="n"/>
      <c r="I21" s="11" t="n"/>
      <c r="J21" s="46" t="inlineStr">
        <is>
          <t>・role: CHUOKAI</t>
        </is>
      </c>
      <c r="K21" s="10" t="n"/>
      <c r="L21" s="10" t="n"/>
      <c r="M21" s="10" t="n"/>
      <c r="N21" s="10" t="n"/>
      <c r="O21" s="10" t="n"/>
      <c r="P21" s="11" t="n"/>
      <c r="Q21" s="46" t="inlineStr">
        <is>
          <r>
            <rPr>
              <rFont val="メイリオ"/>
              <b val="1"/>
              <sz val="10"/>
            </rPr>
            <t xml:space="preserve">ステップ1：
</t>
          </r>
          <r>
            <rPr>
              <rFont val="メイリオ"/>
              <sz val="10"/>
            </rPr>
            <t xml:space="preserve">`/tanka` を開き、検索フォームエリアを確認
</t>
          </r>
          <r>
            <rPr>
              <rFont val="メイリオ"/>
              <b val="1"/>
              <sz val="10"/>
            </rPr>
            <t xml:space="preserve">ステップ2：
</t>
          </r>
          <r>
            <rPr>
              <rFont val="メイリオ"/>
              <sz val="10"/>
            </rPr>
            <t xml:space="preserve">各検索項目のラベル、入力欄、プレースホルダーを確認
</t>
          </r>
          <r>
            <rPr>
              <rFont val="メイリオ"/>
              <b val="1"/>
              <sz val="10"/>
            </rPr>
            <t xml:space="preserve">ステップ3：
</t>
          </r>
          <r>
            <rPr>
              <rFont val="メイリオ"/>
              <sz val="10"/>
            </rPr>
            <t>「検索」「検索クリア」ボタンの位置と色を確認</t>
          </r>
        </is>
      </c>
      <c r="R21" s="10" t="n"/>
      <c r="S21" s="10" t="n"/>
      <c r="T21" s="10" t="n"/>
      <c r="U21" s="10" t="n"/>
      <c r="V21" s="10" t="n"/>
      <c r="W21" s="11" t="n"/>
      <c r="X21" s="46" t="inlineStr">
        <is>
          <r>
            <rPr>
              <rFont val="メイリオ"/>
              <b val="1"/>
              <sz val="10"/>
            </rPr>
            <t xml:space="preserve">ステップ1：
</t>
          </r>
          <r>
            <rPr>
              <rFont val="メイリオ"/>
              <sz val="10"/>
            </rPr>
            <t xml:space="preserve">検索フォームが表示されること
</t>
          </r>
          <r>
            <rPr>
              <rFont val="メイリオ"/>
              <b val="1"/>
              <sz val="10"/>
            </rPr>
            <t xml:space="preserve">ステップ2：
</t>
          </r>
          <r>
            <rPr>
              <rFont val="メイリオ"/>
              <sz val="10"/>
            </rPr>
            <t xml:space="preserve">「単価種別」「単価名」「適用開始日」「適用終了日」「有効単価フラグ」の5項目が4列グリッドで表示されること、単価種別／有効単価フラグはラジオボタン、単価名はテキストボックス、適用開始日／適用終了日は日付入力欄であること
</t>
          </r>
          <r>
            <rPr>
              <rFont val="メイリオ"/>
              <b val="1"/>
              <sz val="10"/>
            </rPr>
            <t xml:space="preserve">ステップ3：
</t>
          </r>
          <r>
            <rPr>
              <rFont val="メイリオ"/>
              <sz val="10"/>
            </rPr>
            <t xml:space="preserve">「検索」ボタンが主ボタン色（青）で活性状態で表示されること、「検索クリア」ボタンが副ボタン色で活性状態で表示されること
</t>
          </r>
          <r>
            <rPr>
              <rFont val="メイリオ"/>
              <b val="1"/>
              <sz val="10"/>
            </rPr>
            <t xml:space="preserve">補足：
</t>
          </r>
          <r>
            <rPr>
              <rFont val="メイリオ"/>
              <sz val="10"/>
            </rPr>
            <t xml:space="preserve">・5項目は4列グリッドの2行目に有効単価フラグが折り返して配置されること
</t>
          </r>
          <r>
            <rPr>
              <rFont val="メイリオ"/>
              <sz val="10"/>
            </rPr>
            <t>・単価名のテキストボックスは `allow-clear` のクリアアイコンが表示されること</t>
          </r>
        </is>
      </c>
      <c r="Y21" s="10" t="n"/>
      <c r="Z21" s="10" t="n"/>
      <c r="AA21" s="10" t="n"/>
      <c r="AB21" s="10" t="n"/>
      <c r="AC21" s="10" t="n"/>
      <c r="AD21" s="11" t="n"/>
      <c r="AE21" s="45" t="inlineStr">
        <is>
          <t>N</t>
        </is>
      </c>
      <c r="AF21" s="11" t="n"/>
      <c r="AG21" s="45" t="inlineStr"/>
      <c r="AH21" s="10" t="n"/>
      <c r="AI21" s="11" t="n"/>
      <c r="AJ21" s="45" t="inlineStr"/>
      <c r="AK21" s="10" t="n"/>
      <c r="AL21" s="11" t="n"/>
      <c r="AM21" s="45" t="inlineStr"/>
      <c r="AN21" s="10" t="n"/>
      <c r="AO21" s="11" t="n"/>
      <c r="AP21" s="45" t="inlineStr"/>
      <c r="AQ21" s="10" t="n"/>
      <c r="AR21" s="11" t="n"/>
      <c r="AS21" s="45" t="inlineStr"/>
      <c r="AT21" s="10" t="n"/>
      <c r="AU21" s="11" t="n"/>
      <c r="AV21" s="45" t="inlineStr"/>
      <c r="AW21" s="10" t="n"/>
      <c r="AX21" s="11" t="n"/>
      <c r="AY21" s="45" t="inlineStr"/>
      <c r="AZ21" s="10" t="n"/>
      <c r="BA21" s="11" t="n"/>
      <c r="BB21" s="45" t="inlineStr"/>
      <c r="BC21" s="10" t="n"/>
      <c r="BD21" s="11" t="n"/>
      <c r="BE21" s="45" t="inlineStr"/>
      <c r="BF21" s="10" t="n"/>
      <c r="BG21" s="11" t="n"/>
      <c r="BH21" s="45" t="inlineStr"/>
      <c r="BI21" s="10" t="n"/>
      <c r="BJ21" s="11" t="n"/>
      <c r="BK21" s="46" t="inlineStr"/>
      <c r="BL21" s="10" t="n"/>
      <c r="BM21" s="10" t="n"/>
      <c r="BN21" s="10" t="n"/>
      <c r="BO21" s="10" t="n"/>
      <c r="BP21" s="10" t="n"/>
      <c r="BQ21" s="11" t="n"/>
    </row>
    <row r="22" ht="320" customHeight="1">
      <c r="A22" s="44" t="n">
        <v>9</v>
      </c>
      <c r="B22" s="46" t="inlineStr">
        <is>
          <t>ACSMS-TC-002-009</t>
        </is>
      </c>
      <c r="C22" s="10" t="n"/>
      <c r="D22" s="11" t="n"/>
      <c r="E22" s="46" t="inlineStr">
        <is>
          <t>検索結果0件時の空状態メッセージ表示</t>
        </is>
      </c>
      <c r="F22" s="10" t="n"/>
      <c r="G22" s="10" t="n"/>
      <c r="H22" s="10" t="n"/>
      <c r="I22" s="11" t="n"/>
      <c r="J22" s="46" t="inlineStr">
        <is>
          <t>・role: CHUOKAI
・条件に該当する単価データが0件であること</t>
        </is>
      </c>
      <c r="K22" s="10" t="n"/>
      <c r="L22" s="10" t="n"/>
      <c r="M22" s="10" t="n"/>
      <c r="N22" s="10" t="n"/>
      <c r="O22" s="10" t="n"/>
      <c r="P22" s="11" t="n"/>
      <c r="Q22" s="46" t="inlineStr">
        <is>
          <r>
            <rPr>
              <rFont val="メイリオ"/>
              <b val="1"/>
              <sz val="10"/>
            </rPr>
            <t xml:space="preserve">ステップ1：
</t>
          </r>
          <r>
            <rPr>
              <rFont val="メイリオ"/>
              <sz val="10"/>
            </rPr>
            <t xml:space="preserve">`/tanka` を開く
</t>
          </r>
          <r>
            <rPr>
              <rFont val="メイリオ"/>
              <b val="1"/>
              <sz val="10"/>
            </rPr>
            <t xml:space="preserve">ステップ2：
</t>
          </r>
          <r>
            <rPr>
              <rFont val="メイリオ"/>
              <sz val="10"/>
            </rPr>
            <t xml:space="preserve">検索項目「単価名」に `ZZZZZZ`（存在しない値）を入力
</t>
          </r>
          <r>
            <rPr>
              <rFont val="メイリオ"/>
              <b val="1"/>
              <sz val="10"/>
            </rPr>
            <t xml:space="preserve">ステップ3：
</t>
          </r>
          <r>
            <rPr>
              <rFont val="メイリオ"/>
              <sz val="10"/>
            </rPr>
            <t>「検索」ボタンを押下</t>
          </r>
        </is>
      </c>
      <c r="R22" s="10" t="n"/>
      <c r="S22" s="10" t="n"/>
      <c r="T22" s="10" t="n"/>
      <c r="U22" s="10" t="n"/>
      <c r="V22" s="10" t="n"/>
      <c r="W22" s="11" t="n"/>
      <c r="X22" s="46" t="inlineStr">
        <is>
          <r>
            <rPr>
              <rFont val="メイリオ"/>
              <b val="1"/>
              <sz val="10"/>
            </rPr>
            <t xml:space="preserve">ステップ1：
</t>
          </r>
          <r>
            <rPr>
              <rFont val="メイリオ"/>
              <sz val="10"/>
            </rPr>
            <t xml:space="preserve">単価マスタ明細検索画面が表示されること
</t>
          </r>
          <r>
            <rPr>
              <rFont val="メイリオ"/>
              <b val="1"/>
              <sz val="10"/>
            </rPr>
            <t xml:space="preserve">ステップ2：
</t>
          </r>
          <r>
            <rPr>
              <rFont val="メイリオ"/>
              <sz val="10"/>
            </rPr>
            <t xml:space="preserve">単価名に `ZZZZZZ` が入力されること
</t>
          </r>
          <r>
            <rPr>
              <rFont val="メイリオ"/>
              <b val="1"/>
              <sz val="10"/>
            </rPr>
            <t xml:space="preserve">ステップ3：
</t>
          </r>
          <r>
            <rPr>
              <rFont val="メイリオ"/>
              <sz val="10"/>
            </rPr>
            <t xml:space="preserve">検索結果が0件で表示されること、画面上に `検索結果が見つかりませんでした。`（ACSMS-MSG-002-001）が表示されること
</t>
          </r>
          <r>
            <rPr>
              <rFont val="メイリオ"/>
              <b val="1"/>
              <sz val="10"/>
            </rPr>
            <t xml:space="preserve">補足：
</t>
          </r>
          <r>
            <rPr>
              <rFont val="メイリオ"/>
              <sz val="10"/>
            </rPr>
            <t xml:space="preserve">・一覧テーブルのページネーションは「全 0 件」と表示されること
</t>
          </r>
          <r>
            <rPr>
              <rFont val="メイリオ"/>
              <sz val="10"/>
            </rPr>
            <t>・APIは200を返却し、`data: [], meta.total: 0` であること</t>
          </r>
        </is>
      </c>
      <c r="Y22" s="10" t="n"/>
      <c r="Z22" s="10" t="n"/>
      <c r="AA22" s="10" t="n"/>
      <c r="AB22" s="10" t="n"/>
      <c r="AC22" s="10" t="n"/>
      <c r="AD22" s="11" t="n"/>
      <c r="AE22" s="45" t="inlineStr">
        <is>
          <t>N</t>
        </is>
      </c>
      <c r="AF22" s="11" t="n"/>
      <c r="AG22" s="45" t="inlineStr"/>
      <c r="AH22" s="10" t="n"/>
      <c r="AI22" s="11" t="n"/>
      <c r="AJ22" s="45" t="inlineStr"/>
      <c r="AK22" s="10" t="n"/>
      <c r="AL22" s="11" t="n"/>
      <c r="AM22" s="45" t="inlineStr"/>
      <c r="AN22" s="10" t="n"/>
      <c r="AO22" s="11" t="n"/>
      <c r="AP22" s="45" t="inlineStr"/>
      <c r="AQ22" s="10" t="n"/>
      <c r="AR22" s="11" t="n"/>
      <c r="AS22" s="45" t="inlineStr"/>
      <c r="AT22" s="10" t="n"/>
      <c r="AU22" s="11" t="n"/>
      <c r="AV22" s="45" t="inlineStr"/>
      <c r="AW22" s="10" t="n"/>
      <c r="AX22" s="11" t="n"/>
      <c r="AY22" s="45" t="inlineStr"/>
      <c r="AZ22" s="10" t="n"/>
      <c r="BA22" s="11" t="n"/>
      <c r="BB22" s="45" t="inlineStr"/>
      <c r="BC22" s="10" t="n"/>
      <c r="BD22" s="11" t="n"/>
      <c r="BE22" s="45" t="inlineStr"/>
      <c r="BF22" s="10" t="n"/>
      <c r="BG22" s="11" t="n"/>
      <c r="BH22" s="45" t="inlineStr"/>
      <c r="BI22" s="10" t="n"/>
      <c r="BJ22" s="11" t="n"/>
      <c r="BK22" s="46" t="inlineStr"/>
      <c r="BL22" s="10" t="n"/>
      <c r="BM22" s="10" t="n"/>
      <c r="BN22" s="10" t="n"/>
      <c r="BO22" s="10" t="n"/>
      <c r="BP22" s="10" t="n"/>
      <c r="BQ22" s="11" t="n"/>
    </row>
    <row r="23" ht="416" customHeight="1">
      <c r="A23" s="44" t="n">
        <v>10</v>
      </c>
      <c r="B23" s="46" t="inlineStr">
        <is>
          <t>ACSMS-TC-002-010</t>
        </is>
      </c>
      <c r="C23" s="10" t="n"/>
      <c r="D23" s="11" t="n"/>
      <c r="E23" s="46" t="inlineStr">
        <is>
          <t>レスポンシブ動作 — PC／タブレット／モバイル ブレークポイント</t>
        </is>
      </c>
      <c r="F23" s="10" t="n"/>
      <c r="G23" s="10" t="n"/>
      <c r="H23" s="10" t="n"/>
      <c r="I23" s="11" t="n"/>
      <c r="J23" s="46" t="inlineStr">
        <is>
          <t>・role: CHUOKAI
・Chrome DevTools デバイスエミュレータ利用可</t>
        </is>
      </c>
      <c r="K23" s="10" t="n"/>
      <c r="L23" s="10" t="n"/>
      <c r="M23" s="10" t="n"/>
      <c r="N23" s="10" t="n"/>
      <c r="O23" s="10" t="n"/>
      <c r="P23" s="11" t="n"/>
      <c r="Q23" s="46" t="inlineStr">
        <is>
          <r>
            <rPr>
              <rFont val="メイリオ"/>
              <b val="1"/>
              <sz val="10"/>
            </rPr>
            <t xml:space="preserve">ステップ1：
</t>
          </r>
          <r>
            <rPr>
              <rFont val="メイリオ"/>
              <sz val="10"/>
            </rPr>
            <t xml:space="preserve">PC解像度（1920×1080）で `/tanka` を表示
</t>
          </r>
          <r>
            <rPr>
              <rFont val="メイリオ"/>
              <b val="1"/>
              <sz val="10"/>
            </rPr>
            <t xml:space="preserve">ステップ2：
</t>
          </r>
          <r>
            <rPr>
              <rFont val="メイリオ"/>
              <sz val="10"/>
            </rPr>
            <t xml:space="preserve">タブレット解像度（768×1024、iPad 縦）に切替
</t>
          </r>
          <r>
            <rPr>
              <rFont val="メイリオ"/>
              <b val="1"/>
              <sz val="10"/>
            </rPr>
            <t xml:space="preserve">ステップ3：
</t>
          </r>
          <r>
            <rPr>
              <rFont val="メイリオ"/>
              <sz val="10"/>
            </rPr>
            <t xml:space="preserve">モバイル解像度（375×667、iPhone SE）に切替
</t>
          </r>
          <r>
            <rPr>
              <rFont val="メイリオ"/>
              <b val="1"/>
              <sz val="10"/>
            </rPr>
            <t xml:space="preserve">ステップ4：
</t>
          </r>
          <r>
            <rPr>
              <rFont val="メイリオ"/>
              <sz val="10"/>
            </rPr>
            <t>各解像度で検索フォーム、一覧テーブル、ページネーションの表示を確認</t>
          </r>
        </is>
      </c>
      <c r="R23" s="10" t="n"/>
      <c r="S23" s="10" t="n"/>
      <c r="T23" s="10" t="n"/>
      <c r="U23" s="10" t="n"/>
      <c r="V23" s="10" t="n"/>
      <c r="W23" s="11" t="n"/>
      <c r="X23" s="46" t="inlineStr">
        <is>
          <r>
            <rPr>
              <rFont val="メイリオ"/>
              <b val="1"/>
              <sz val="10"/>
            </rPr>
            <t xml:space="preserve">ステップ1：
</t>
          </r>
          <r>
            <rPr>
              <rFont val="メイリオ"/>
              <sz val="10"/>
            </rPr>
            <t xml:space="preserve">PCレイアウトで表示されること、検索フォームは5項目が4列グリッド（2行折り返し）で表示されること
</t>
          </r>
          <r>
            <rPr>
              <rFont val="メイリオ"/>
              <b val="1"/>
              <sz val="10"/>
            </rPr>
            <t xml:space="preserve">ステップ2：
</t>
          </r>
          <r>
            <rPr>
              <rFont val="メイリオ"/>
              <sz val="10"/>
            </rPr>
            <t xml:space="preserve">タブレットレイアウトに切り替わること、検索項目が縦並びに再配置されること
</t>
          </r>
          <r>
            <rPr>
              <rFont val="メイリオ"/>
              <b val="1"/>
              <sz val="10"/>
            </rPr>
            <t xml:space="preserve">ステップ3：
</t>
          </r>
          <r>
            <rPr>
              <rFont val="メイリオ"/>
              <sz val="10"/>
            </rPr>
            <t xml:space="preserve">モバイルレイアウトに切り替わること、一覧テーブルは横スクロールで表示されること
</t>
          </r>
          <r>
            <rPr>
              <rFont val="メイリオ"/>
              <b val="1"/>
              <sz val="10"/>
            </rPr>
            <t xml:space="preserve">ステップ4：
</t>
          </r>
          <r>
            <rPr>
              <rFont val="メイリオ"/>
              <sz val="10"/>
            </rPr>
            <t xml:space="preserve">画面崩れが発生しないこと、すべての操作が可能であること
</t>
          </r>
          <r>
            <rPr>
              <rFont val="メイリオ"/>
              <b val="1"/>
              <sz val="10"/>
            </rPr>
            <t xml:space="preserve">補足：
</t>
          </r>
          <r>
            <rPr>
              <rFont val="メイリオ"/>
              <sz val="10"/>
            </rPr>
            <t xml:space="preserve">・サイドバーはタブレット以下でハンバーガーメニューに切り替わること
</t>
          </r>
          <r>
            <rPr>
              <rFont val="メイリオ"/>
              <sz val="10"/>
            </rPr>
            <t>・テーブル横スクロール時、操作列が崩れないこと</t>
          </r>
        </is>
      </c>
      <c r="Y23" s="10" t="n"/>
      <c r="Z23" s="10" t="n"/>
      <c r="AA23" s="10" t="n"/>
      <c r="AB23" s="10" t="n"/>
      <c r="AC23" s="10" t="n"/>
      <c r="AD23" s="11" t="n"/>
      <c r="AE23" s="45" t="inlineStr">
        <is>
          <t>N</t>
        </is>
      </c>
      <c r="AF23" s="11" t="n"/>
      <c r="AG23" s="45" t="inlineStr"/>
      <c r="AH23" s="10" t="n"/>
      <c r="AI23" s="11" t="n"/>
      <c r="AJ23" s="45" t="inlineStr"/>
      <c r="AK23" s="10" t="n"/>
      <c r="AL23" s="11" t="n"/>
      <c r="AM23" s="45" t="inlineStr"/>
      <c r="AN23" s="10" t="n"/>
      <c r="AO23" s="11" t="n"/>
      <c r="AP23" s="45" t="inlineStr"/>
      <c r="AQ23" s="10" t="n"/>
      <c r="AR23" s="11" t="n"/>
      <c r="AS23" s="45" t="inlineStr"/>
      <c r="AT23" s="10" t="n"/>
      <c r="AU23" s="11" t="n"/>
      <c r="AV23" s="45" t="inlineStr"/>
      <c r="AW23" s="10" t="n"/>
      <c r="AX23" s="11" t="n"/>
      <c r="AY23" s="45" t="inlineStr"/>
      <c r="AZ23" s="10" t="n"/>
      <c r="BA23" s="11" t="n"/>
      <c r="BB23" s="45" t="inlineStr"/>
      <c r="BC23" s="10" t="n"/>
      <c r="BD23" s="11" t="n"/>
      <c r="BE23" s="45" t="inlineStr"/>
      <c r="BF23" s="10" t="n"/>
      <c r="BG23" s="11" t="n"/>
      <c r="BH23" s="45" t="inlineStr"/>
      <c r="BI23" s="10" t="n"/>
      <c r="BJ23" s="11" t="n"/>
      <c r="BK23" s="46" t="inlineStr"/>
      <c r="BL23" s="10" t="n"/>
      <c r="BM23" s="10" t="n"/>
      <c r="BN23" s="10" t="n"/>
      <c r="BO23" s="10" t="n"/>
      <c r="BP23" s="10" t="n"/>
      <c r="BQ23" s="11" t="n"/>
    </row>
    <row r="24" ht="416" customHeight="1">
      <c r="A24" s="44" t="n">
        <v>11</v>
      </c>
      <c r="B24" s="46" t="inlineStr">
        <is>
          <t>ACSMS-TC-002-011</t>
        </is>
      </c>
      <c r="C24" s="10" t="n"/>
      <c r="D24" s="11" t="n"/>
      <c r="E24" s="46" t="inlineStr">
        <is>
          <t>キーボード操作によるフォーカス遷移</t>
        </is>
      </c>
      <c r="F24" s="10" t="n"/>
      <c r="G24" s="10" t="n"/>
      <c r="H24" s="10" t="n"/>
      <c r="I24" s="11" t="n"/>
      <c r="J24" s="46" t="inlineStr">
        <is>
          <t>・role: CHUOKAI</t>
        </is>
      </c>
      <c r="K24" s="10" t="n"/>
      <c r="L24" s="10" t="n"/>
      <c r="M24" s="10" t="n"/>
      <c r="N24" s="10" t="n"/>
      <c r="O24" s="10" t="n"/>
      <c r="P24" s="11" t="n"/>
      <c r="Q24" s="46" t="inlineStr">
        <is>
          <r>
            <rPr>
              <rFont val="メイリオ"/>
              <b val="1"/>
              <sz val="10"/>
            </rPr>
            <t xml:space="preserve">ステップ1：
</t>
          </r>
          <r>
            <rPr>
              <rFont val="メイリオ"/>
              <sz val="10"/>
            </rPr>
            <t xml:space="preserve">`/tanka` を開く
</t>
          </r>
          <r>
            <rPr>
              <rFont val="メイリオ"/>
              <b val="1"/>
              <sz val="10"/>
            </rPr>
            <t xml:space="preserve">ステップ2：
</t>
          </r>
          <r>
            <rPr>
              <rFont val="メイリオ"/>
              <sz val="10"/>
            </rPr>
            <t xml:space="preserve">Tabキーを連続押下し、フォーカスの遷移順序を確認
</t>
          </r>
          <r>
            <rPr>
              <rFont val="メイリオ"/>
              <b val="1"/>
              <sz val="10"/>
            </rPr>
            <t xml:space="preserve">ステップ3：
</t>
          </r>
          <r>
            <rPr>
              <rFont val="メイリオ"/>
              <sz val="10"/>
            </rPr>
            <t xml:space="preserve">Shift+Tabキーで逆方向のフォーカス遷移を確認
</t>
          </r>
          <r>
            <rPr>
              <rFont val="メイリオ"/>
              <b val="1"/>
              <sz val="10"/>
            </rPr>
            <t xml:space="preserve">ステップ4：
</t>
          </r>
          <r>
            <rPr>
              <rFont val="メイリオ"/>
              <sz val="10"/>
            </rPr>
            <t>適用開始日の日付入力欄にフォーカスを当て、Enterキーで日付ピッカーを開く</t>
          </r>
        </is>
      </c>
      <c r="R24" s="10" t="n"/>
      <c r="S24" s="10" t="n"/>
      <c r="T24" s="10" t="n"/>
      <c r="U24" s="10" t="n"/>
      <c r="V24" s="10" t="n"/>
      <c r="W24" s="11" t="n"/>
      <c r="X24" s="46" t="inlineStr">
        <is>
          <r>
            <rPr>
              <rFont val="メイリオ"/>
              <b val="1"/>
              <sz val="10"/>
            </rPr>
            <t xml:space="preserve">ステップ1：
</t>
          </r>
          <r>
            <rPr>
              <rFont val="メイリオ"/>
              <sz val="10"/>
            </rPr>
            <t xml:space="preserve">単価マスタ明細検索画面が表示されること
</t>
          </r>
          <r>
            <rPr>
              <rFont val="メイリオ"/>
              <b val="1"/>
              <sz val="10"/>
            </rPr>
            <t xml:space="preserve">ステップ2：
</t>
          </r>
          <r>
            <rPr>
              <rFont val="メイリオ"/>
              <sz val="10"/>
            </rPr>
            <t xml:space="preserve">単価種別ラジオ → 単価名 → 適用開始日 → 適用終了日 → 有効単価フラグラジオ → 検索ボタン → 検索クリアボタン → 新規登録ボタン → ソートヘッダー → 削除リンクの順にフォーカスが遷移すること
</t>
          </r>
          <r>
            <rPr>
              <rFont val="メイリオ"/>
              <b val="1"/>
              <sz val="10"/>
            </rPr>
            <t xml:space="preserve">ステップ3：
</t>
          </r>
          <r>
            <rPr>
              <rFont val="メイリオ"/>
              <sz val="10"/>
            </rPr>
            <t xml:space="preserve">逆方向にフォーカスが遷移すること
</t>
          </r>
          <r>
            <rPr>
              <rFont val="メイリオ"/>
              <b val="1"/>
              <sz val="10"/>
            </rPr>
            <t xml:space="preserve">ステップ4：
</t>
          </r>
          <r>
            <rPr>
              <rFont val="メイリオ"/>
              <sz val="10"/>
            </rPr>
            <t xml:space="preserve">日付ピッカーが展開されること、矢印キーで日付の選択が移動できること
</t>
          </r>
          <r>
            <rPr>
              <rFont val="メイリオ"/>
              <b val="1"/>
              <sz val="10"/>
            </rPr>
            <t xml:space="preserve">補足：
</t>
          </r>
          <r>
            <rPr>
              <rFont val="メイリオ"/>
              <sz val="10"/>
            </rPr>
            <t>・フォーカスリングがすべての操作可能要素で視覚的に表示されること</t>
          </r>
        </is>
      </c>
      <c r="Y24" s="10" t="n"/>
      <c r="Z24" s="10" t="n"/>
      <c r="AA24" s="10" t="n"/>
      <c r="AB24" s="10" t="n"/>
      <c r="AC24" s="10" t="n"/>
      <c r="AD24" s="11" t="n"/>
      <c r="AE24" s="45" t="inlineStr">
        <is>
          <t>N</t>
        </is>
      </c>
      <c r="AF24" s="11" t="n"/>
      <c r="AG24" s="45" t="inlineStr"/>
      <c r="AH24" s="10" t="n"/>
      <c r="AI24" s="11" t="n"/>
      <c r="AJ24" s="45" t="inlineStr"/>
      <c r="AK24" s="10" t="n"/>
      <c r="AL24" s="11" t="n"/>
      <c r="AM24" s="45" t="inlineStr"/>
      <c r="AN24" s="10" t="n"/>
      <c r="AO24" s="11" t="n"/>
      <c r="AP24" s="45" t="inlineStr"/>
      <c r="AQ24" s="10" t="n"/>
      <c r="AR24" s="11" t="n"/>
      <c r="AS24" s="45" t="inlineStr"/>
      <c r="AT24" s="10" t="n"/>
      <c r="AU24" s="11" t="n"/>
      <c r="AV24" s="45" t="inlineStr"/>
      <c r="AW24" s="10" t="n"/>
      <c r="AX24" s="11" t="n"/>
      <c r="AY24" s="45" t="inlineStr"/>
      <c r="AZ24" s="10" t="n"/>
      <c r="BA24" s="11" t="n"/>
      <c r="BB24" s="45" t="inlineStr"/>
      <c r="BC24" s="10" t="n"/>
      <c r="BD24" s="11" t="n"/>
      <c r="BE24" s="45" t="inlineStr"/>
      <c r="BF24" s="10" t="n"/>
      <c r="BG24" s="11" t="n"/>
      <c r="BH24" s="45" t="inlineStr"/>
      <c r="BI24" s="10" t="n"/>
      <c r="BJ24" s="11" t="n"/>
      <c r="BK24" s="46" t="inlineStr"/>
      <c r="BL24" s="10" t="n"/>
      <c r="BM24" s="10" t="n"/>
      <c r="BN24" s="10" t="n"/>
      <c r="BO24" s="10" t="n"/>
      <c r="BP24" s="10" t="n"/>
      <c r="BQ24" s="11" t="n"/>
    </row>
    <row r="25" ht="432" customHeight="1">
      <c r="A25" s="44" t="n">
        <v>12</v>
      </c>
      <c r="B25" s="46" t="inlineStr">
        <is>
          <t>ACSMS-TC-002-012</t>
        </is>
      </c>
      <c r="C25" s="10" t="n"/>
      <c r="D25" s="11" t="n"/>
      <c r="E25" s="46" t="inlineStr">
        <is>
          <t>ロール別「新規登録」「削除」「編集」操作の表示制御</t>
        </is>
      </c>
      <c r="F25" s="10" t="n"/>
      <c r="G25" s="10" t="n"/>
      <c r="H25" s="10" t="n"/>
      <c r="I25" s="11" t="n"/>
      <c r="J25" s="46" t="inlineStr">
        <is>
          <t>・role: CHUOKAI（権限 `tanka.create` / `tanka.update` / `tanka.delete` を保持）
・単価データが1件以上登録済</t>
        </is>
      </c>
      <c r="K25" s="10" t="n"/>
      <c r="L25" s="10" t="n"/>
      <c r="M25" s="10" t="n"/>
      <c r="N25" s="10" t="n"/>
      <c r="O25" s="10" t="n"/>
      <c r="P25" s="11" t="n"/>
      <c r="Q25" s="46" t="inlineStr">
        <is>
          <r>
            <rPr>
              <rFont val="メイリオ"/>
              <b val="1"/>
              <sz val="10"/>
            </rPr>
            <t xml:space="preserve">ステップ1：
</t>
          </r>
          <r>
            <rPr>
              <rFont val="メイリオ"/>
              <sz val="10"/>
            </rPr>
            <t xml:space="preserve">CHUOKAI で `/tanka` を開き、「新規登録」ボタン・操作列「削除」リンク・単価コード／単価名セルのリンク有無を確認
</t>
          </r>
          <r>
            <rPr>
              <rFont val="メイリオ"/>
              <b val="1"/>
              <sz val="10"/>
            </rPr>
            <t xml:space="preserve">ステップ2：
</t>
          </r>
          <r>
            <rPr>
              <rFont val="メイリオ"/>
              <sz val="10"/>
            </rPr>
            <t>（権限シードを将来拡張で view のみに変更した想定で）view 権限のみ持つアカウントでログインしなおし、同画面を確認</t>
          </r>
        </is>
      </c>
      <c r="R25" s="10" t="n"/>
      <c r="S25" s="10" t="n"/>
      <c r="T25" s="10" t="n"/>
      <c r="U25" s="10" t="n"/>
      <c r="V25" s="10" t="n"/>
      <c r="W25" s="11" t="n"/>
      <c r="X25" s="46" t="inlineStr">
        <is>
          <r>
            <rPr>
              <rFont val="メイリオ"/>
              <b val="1"/>
              <sz val="10"/>
            </rPr>
            <t xml:space="preserve">ステップ1：
</t>
          </r>
          <r>
            <rPr>
              <rFont val="メイリオ"/>
              <sz val="10"/>
            </rPr>
            <t xml:space="preserve">「新規登録」ボタンが活性状態で表示されること、操作列の「削除」リンクが活性状態で表示されること、単価コードおよび単価名のセルが編集画面への遷移リンクとして表示されること
</t>
          </r>
          <r>
            <rPr>
              <rFont val="メイリオ"/>
              <b val="1"/>
              <sz val="10"/>
            </rPr>
            <t xml:space="preserve">ステップ2：
</t>
          </r>
          <r>
            <rPr>
              <rFont val="メイリオ"/>
              <sz val="10"/>
            </rPr>
            <t xml:space="preserve">「新規登録」ボタンが非活性状態で表示されること（権限 `tanka.create` を持たないため）、操作列の「削除」リンクが非活性状態で表示されること（権限 `tanka.delete` を持たないため）、単価コードおよび単価名のセルが閲覧専用テキストとして表示され遷移リンクとならないこと（権限 `tanka.update` を持たないため）
</t>
          </r>
          <r>
            <rPr>
              <rFont val="メイリオ"/>
              <b val="1"/>
              <sz val="10"/>
            </rPr>
            <t xml:space="preserve">補足：
</t>
          </r>
          <r>
            <rPr>
              <rFont val="メイリオ"/>
              <sz val="10"/>
            </rPr>
            <t>・ボタンは非表示ではなく非活性状態とすること（UXコンベンション：機能の存在は示しつつ、現ロールでは使えないことを伝える）</t>
          </r>
        </is>
      </c>
      <c r="Y25" s="10" t="n"/>
      <c r="Z25" s="10" t="n"/>
      <c r="AA25" s="10" t="n"/>
      <c r="AB25" s="10" t="n"/>
      <c r="AC25" s="10" t="n"/>
      <c r="AD25" s="11" t="n"/>
      <c r="AE25" s="45" t="inlineStr">
        <is>
          <t>N</t>
        </is>
      </c>
      <c r="AF25" s="11" t="n"/>
      <c r="AG25" s="45" t="inlineStr"/>
      <c r="AH25" s="10" t="n"/>
      <c r="AI25" s="11" t="n"/>
      <c r="AJ25" s="45" t="inlineStr"/>
      <c r="AK25" s="10" t="n"/>
      <c r="AL25" s="11" t="n"/>
      <c r="AM25" s="45" t="inlineStr"/>
      <c r="AN25" s="10" t="n"/>
      <c r="AO25" s="11" t="n"/>
      <c r="AP25" s="45" t="inlineStr"/>
      <c r="AQ25" s="10" t="n"/>
      <c r="AR25" s="11" t="n"/>
      <c r="AS25" s="45" t="inlineStr"/>
      <c r="AT25" s="10" t="n"/>
      <c r="AU25" s="11" t="n"/>
      <c r="AV25" s="45" t="inlineStr"/>
      <c r="AW25" s="10" t="n"/>
      <c r="AX25" s="11" t="n"/>
      <c r="AY25" s="45" t="inlineStr"/>
      <c r="AZ25" s="10" t="n"/>
      <c r="BA25" s="11" t="n"/>
      <c r="BB25" s="45" t="inlineStr"/>
      <c r="BC25" s="10" t="n"/>
      <c r="BD25" s="11" t="n"/>
      <c r="BE25" s="45" t="inlineStr"/>
      <c r="BF25" s="10" t="n"/>
      <c r="BG25" s="11" t="n"/>
      <c r="BH25" s="45" t="inlineStr"/>
      <c r="BI25" s="10" t="n"/>
      <c r="BJ25" s="11" t="n"/>
      <c r="BK25" s="46" t="inlineStr">
        <is>
          <t>現行の権限シードでは CHUOKAI／JA_HONTEN／JA_KANRI_SHITEN すべてに tanka.* 4権限が一括付与されているため、ステップ2は将来拡張で部分付与が発生した場合の回帰防止ケース。
---</t>
        </is>
      </c>
      <c r="BL25" s="10" t="n"/>
      <c r="BM25" s="10" t="n"/>
      <c r="BN25" s="10" t="n"/>
      <c r="BO25" s="10" t="n"/>
      <c r="BP25" s="10" t="n"/>
      <c r="BQ25" s="11" t="n"/>
    </row>
    <row r="26" ht="22.5" customHeight="1">
      <c r="A26" s="32" t="inlineStr">
        <is>
          <t>ヘッダー・パンくず（Header &amp; Breadcrumb）</t>
        </is>
      </c>
      <c r="B26" s="10" t="n"/>
      <c r="C26" s="10" t="n"/>
      <c r="D26" s="10" t="n"/>
      <c r="E26" s="10" t="n"/>
      <c r="F26" s="10" t="n"/>
      <c r="G26" s="10" t="n"/>
      <c r="H26" s="10" t="n"/>
      <c r="I26" s="10" t="n"/>
      <c r="J26" s="10" t="n"/>
      <c r="K26" s="10" t="n"/>
      <c r="L26" s="10" t="n"/>
      <c r="M26" s="10" t="n"/>
      <c r="N26" s="10" t="n"/>
      <c r="O26" s="10" t="n"/>
      <c r="P26" s="10" t="n"/>
      <c r="Q26" s="10" t="n"/>
      <c r="R26" s="10" t="n"/>
      <c r="S26" s="10" t="n"/>
      <c r="T26" s="10" t="n"/>
      <c r="U26" s="10" t="n"/>
      <c r="V26" s="10" t="n"/>
      <c r="W26" s="10" t="n"/>
      <c r="X26" s="10" t="n"/>
      <c r="Y26" s="10" t="n"/>
      <c r="Z26" s="10" t="n"/>
      <c r="AA26" s="10" t="n"/>
      <c r="AB26" s="10" t="n"/>
      <c r="AC26" s="10" t="n"/>
      <c r="AD26" s="10" t="n"/>
      <c r="AE26" s="10" t="n"/>
      <c r="AF26" s="10" t="n"/>
      <c r="AG26" s="10" t="n"/>
      <c r="AH26" s="10" t="n"/>
      <c r="AI26" s="10" t="n"/>
      <c r="AJ26" s="10" t="n"/>
      <c r="AK26" s="10" t="n"/>
      <c r="AL26" s="10" t="n"/>
      <c r="AM26" s="10" t="n"/>
      <c r="AN26" s="10" t="n"/>
      <c r="AO26" s="10" t="n"/>
      <c r="AP26" s="10" t="n"/>
      <c r="AQ26" s="10" t="n"/>
      <c r="AR26" s="10" t="n"/>
      <c r="AS26" s="10" t="n"/>
      <c r="AT26" s="10" t="n"/>
      <c r="AU26" s="10" t="n"/>
      <c r="AV26" s="10" t="n"/>
      <c r="AW26" s="10" t="n"/>
      <c r="AX26" s="10" t="n"/>
      <c r="AY26" s="10" t="n"/>
      <c r="AZ26" s="10" t="n"/>
      <c r="BA26" s="10" t="n"/>
      <c r="BB26" s="10" t="n"/>
      <c r="BC26" s="10" t="n"/>
      <c r="BD26" s="10" t="n"/>
      <c r="BE26" s="10" t="n"/>
      <c r="BF26" s="10" t="n"/>
      <c r="BG26" s="10" t="n"/>
      <c r="BH26" s="10" t="n"/>
      <c r="BI26" s="10" t="n"/>
      <c r="BJ26" s="10" t="n"/>
      <c r="BK26" s="10" t="n"/>
      <c r="BL26" s="10" t="n"/>
      <c r="BM26" s="10" t="n"/>
      <c r="BN26" s="10" t="n"/>
      <c r="BO26" s="10" t="n"/>
      <c r="BP26" s="10" t="n"/>
      <c r="BQ26" s="11" t="n"/>
    </row>
    <row r="27" ht="240" customHeight="1">
      <c r="A27" s="44" t="n">
        <v>13</v>
      </c>
      <c r="B27" s="46" t="inlineStr">
        <is>
          <t>ACSMS-TC-002-013</t>
        </is>
      </c>
      <c r="C27" s="10" t="n"/>
      <c r="D27" s="11" t="n"/>
      <c r="E27" s="46" t="inlineStr">
        <is>
          <t>パンくずリストの遷移制御</t>
        </is>
      </c>
      <c r="F27" s="10" t="n"/>
      <c r="G27" s="10" t="n"/>
      <c r="H27" s="10" t="n"/>
      <c r="I27" s="11" t="n"/>
      <c r="J27" s="46" t="inlineStr">
        <is>
          <t>・role: CHUOKAI
・ログイン済</t>
        </is>
      </c>
      <c r="K27" s="10" t="n"/>
      <c r="L27" s="10" t="n"/>
      <c r="M27" s="10" t="n"/>
      <c r="N27" s="10" t="n"/>
      <c r="O27" s="10" t="n"/>
      <c r="P27" s="11" t="n"/>
      <c r="Q27" s="46" t="inlineStr">
        <is>
          <r>
            <rPr>
              <rFont val="メイリオ"/>
              <b val="1"/>
              <sz val="10"/>
            </rPr>
            <t xml:space="preserve">ステップ1：
</t>
          </r>
          <r>
            <rPr>
              <rFont val="メイリオ"/>
              <sz val="10"/>
            </rPr>
            <t xml:space="preserve">`/tanka` を開き、パンくずリストを確認
</t>
          </r>
          <r>
            <rPr>
              <rFont val="メイリオ"/>
              <b val="1"/>
              <sz val="10"/>
            </rPr>
            <t xml:space="preserve">ステップ2：
</t>
          </r>
          <r>
            <rPr>
              <rFont val="メイリオ"/>
              <sz val="10"/>
            </rPr>
            <t>パンくずリストの「ホーム」リンクを押下</t>
          </r>
        </is>
      </c>
      <c r="R27" s="10" t="n"/>
      <c r="S27" s="10" t="n"/>
      <c r="T27" s="10" t="n"/>
      <c r="U27" s="10" t="n"/>
      <c r="V27" s="10" t="n"/>
      <c r="W27" s="11" t="n"/>
      <c r="X27" s="46" t="inlineStr">
        <is>
          <r>
            <rPr>
              <rFont val="メイリオ"/>
              <b val="1"/>
              <sz val="10"/>
            </rPr>
            <t xml:space="preserve">ステップ1：
</t>
          </r>
          <r>
            <rPr>
              <rFont val="メイリオ"/>
              <sz val="10"/>
            </rPr>
            <t xml:space="preserve">パンくずリストが「ホーム &gt; 単価マスタ明細検索画面」の2階層で表示されること、最終階層はリンクではなくテキストで表示されること
</t>
          </r>
          <r>
            <rPr>
              <rFont val="メイリオ"/>
              <b val="1"/>
              <sz val="10"/>
            </rPr>
            <t xml:space="preserve">ステップ2：
</t>
          </r>
          <r>
            <rPr>
              <rFont val="メイリオ"/>
              <sz val="10"/>
            </rPr>
            <t xml:space="preserve">`/dashboard` へ遷移すること
</t>
          </r>
          <r>
            <rPr>
              <rFont val="メイリオ"/>
              <b val="1"/>
              <sz val="10"/>
            </rPr>
            <t xml:space="preserve">補足：
</t>
          </r>
          <r>
            <rPr>
              <rFont val="メイリオ"/>
              <sz val="10"/>
            </rPr>
            <t>・パンくずリストは画面設計書 §1.2 の定義通りであること（マスタ管理 中間階層は省略、リスト画面は2階層）</t>
          </r>
        </is>
      </c>
      <c r="Y27" s="10" t="n"/>
      <c r="Z27" s="10" t="n"/>
      <c r="AA27" s="10" t="n"/>
      <c r="AB27" s="10" t="n"/>
      <c r="AC27" s="10" t="n"/>
      <c r="AD27" s="11" t="n"/>
      <c r="AE27" s="45" t="inlineStr">
        <is>
          <t>N</t>
        </is>
      </c>
      <c r="AF27" s="11" t="n"/>
      <c r="AG27" s="45" t="inlineStr"/>
      <c r="AH27" s="10" t="n"/>
      <c r="AI27" s="11" t="n"/>
      <c r="AJ27" s="45" t="inlineStr"/>
      <c r="AK27" s="10" t="n"/>
      <c r="AL27" s="11" t="n"/>
      <c r="AM27" s="45" t="inlineStr"/>
      <c r="AN27" s="10" t="n"/>
      <c r="AO27" s="11" t="n"/>
      <c r="AP27" s="45" t="inlineStr"/>
      <c r="AQ27" s="10" t="n"/>
      <c r="AR27" s="11" t="n"/>
      <c r="AS27" s="45" t="inlineStr"/>
      <c r="AT27" s="10" t="n"/>
      <c r="AU27" s="11" t="n"/>
      <c r="AV27" s="45" t="inlineStr"/>
      <c r="AW27" s="10" t="n"/>
      <c r="AX27" s="11" t="n"/>
      <c r="AY27" s="45" t="inlineStr"/>
      <c r="AZ27" s="10" t="n"/>
      <c r="BA27" s="11" t="n"/>
      <c r="BB27" s="45" t="inlineStr"/>
      <c r="BC27" s="10" t="n"/>
      <c r="BD27" s="11" t="n"/>
      <c r="BE27" s="45" t="inlineStr"/>
      <c r="BF27" s="10" t="n"/>
      <c r="BG27" s="11" t="n"/>
      <c r="BH27" s="45" t="inlineStr"/>
      <c r="BI27" s="10" t="n"/>
      <c r="BJ27" s="11" t="n"/>
      <c r="BK27" s="46" t="inlineStr"/>
      <c r="BL27" s="10" t="n"/>
      <c r="BM27" s="10" t="n"/>
      <c r="BN27" s="10" t="n"/>
      <c r="BO27" s="10" t="n"/>
      <c r="BP27" s="10" t="n"/>
      <c r="BQ27" s="11" t="n"/>
    </row>
    <row r="28" ht="304" customHeight="1">
      <c r="A28" s="44" t="n">
        <v>14</v>
      </c>
      <c r="B28" s="46" t="inlineStr">
        <is>
          <t>ACSMS-TC-002-014</t>
        </is>
      </c>
      <c r="C28" s="10" t="n"/>
      <c r="D28" s="11" t="n"/>
      <c r="E28" s="46" t="inlineStr">
        <is>
          <t>サイドバーメニューのハイライト表示</t>
        </is>
      </c>
      <c r="F28" s="10" t="n"/>
      <c r="G28" s="10" t="n"/>
      <c r="H28" s="10" t="n"/>
      <c r="I28" s="11" t="n"/>
      <c r="J28" s="46" t="inlineStr">
        <is>
          <t>・role: CHUOKAI</t>
        </is>
      </c>
      <c r="K28" s="10" t="n"/>
      <c r="L28" s="10" t="n"/>
      <c r="M28" s="10" t="n"/>
      <c r="N28" s="10" t="n"/>
      <c r="O28" s="10" t="n"/>
      <c r="P28" s="11" t="n"/>
      <c r="Q28" s="46" t="inlineStr">
        <is>
          <r>
            <rPr>
              <rFont val="メイリオ"/>
              <b val="1"/>
              <sz val="10"/>
            </rPr>
            <t xml:space="preserve">ステップ1：
</t>
          </r>
          <r>
            <rPr>
              <rFont val="メイリオ"/>
              <sz val="10"/>
            </rPr>
            <t xml:space="preserve">ダッシュボードからサイドバーの「単価マスタ」項目を押下
</t>
          </r>
          <r>
            <rPr>
              <rFont val="メイリオ"/>
              <b val="1"/>
              <sz val="10"/>
            </rPr>
            <t xml:space="preserve">ステップ2：
</t>
          </r>
          <r>
            <rPr>
              <rFont val="メイリオ"/>
              <sz val="10"/>
            </rPr>
            <t xml:space="preserve">画面遷移後、サイドバーの「単価マスタ」項目を確認
</t>
          </r>
          <r>
            <rPr>
              <rFont val="メイリオ"/>
              <b val="1"/>
              <sz val="10"/>
            </rPr>
            <t xml:space="preserve">ステップ3：
</t>
          </r>
          <r>
            <rPr>
              <rFont val="メイリオ"/>
              <sz val="10"/>
            </rPr>
            <t>サイドバーから別のメニュー項目（例：「JAマスタ」）を押下</t>
          </r>
        </is>
      </c>
      <c r="R28" s="10" t="n"/>
      <c r="S28" s="10" t="n"/>
      <c r="T28" s="10" t="n"/>
      <c r="U28" s="10" t="n"/>
      <c r="V28" s="10" t="n"/>
      <c r="W28" s="11" t="n"/>
      <c r="X28" s="46" t="inlineStr">
        <is>
          <r>
            <rPr>
              <rFont val="メイリオ"/>
              <b val="1"/>
              <sz val="10"/>
            </rPr>
            <t xml:space="preserve">ステップ1：
</t>
          </r>
          <r>
            <rPr>
              <rFont val="メイリオ"/>
              <sz val="10"/>
            </rPr>
            <t xml:space="preserve">単価マスタ明細検索画面が表示されること
</t>
          </r>
          <r>
            <rPr>
              <rFont val="メイリオ"/>
              <b val="1"/>
              <sz val="10"/>
            </rPr>
            <t xml:space="preserve">ステップ2：
</t>
          </r>
          <r>
            <rPr>
              <rFont val="メイリオ"/>
              <sz val="10"/>
            </rPr>
            <t xml:space="preserve">サイドバーの「単価マスタ」項目がアクティブ状態（背景色変化）で表示されること
</t>
          </r>
          <r>
            <rPr>
              <rFont val="メイリオ"/>
              <b val="1"/>
              <sz val="10"/>
            </rPr>
            <t xml:space="preserve">ステップ3：
</t>
          </r>
          <r>
            <rPr>
              <rFont val="メイリオ"/>
              <sz val="10"/>
            </rPr>
            <t xml:space="preserve">別画面に遷移すること、サイドバーのハイライトが新しい画面に切り替わること
</t>
          </r>
          <r>
            <rPr>
              <rFont val="メイリオ"/>
              <b val="1"/>
              <sz val="10"/>
            </rPr>
            <t xml:space="preserve">補足：
</t>
          </r>
          <r>
            <rPr>
              <rFont val="メイリオ"/>
              <sz val="10"/>
            </rPr>
            <t>・アクティブ項目の視覚表示はデザイントークン `bg-primary/10` と `text-primary` で適用されていること</t>
          </r>
        </is>
      </c>
      <c r="Y28" s="10" t="n"/>
      <c r="Z28" s="10" t="n"/>
      <c r="AA28" s="10" t="n"/>
      <c r="AB28" s="10" t="n"/>
      <c r="AC28" s="10" t="n"/>
      <c r="AD28" s="11" t="n"/>
      <c r="AE28" s="45" t="inlineStr">
        <is>
          <t>N</t>
        </is>
      </c>
      <c r="AF28" s="11" t="n"/>
      <c r="AG28" s="45" t="inlineStr"/>
      <c r="AH28" s="10" t="n"/>
      <c r="AI28" s="11" t="n"/>
      <c r="AJ28" s="45" t="inlineStr"/>
      <c r="AK28" s="10" t="n"/>
      <c r="AL28" s="11" t="n"/>
      <c r="AM28" s="45" t="inlineStr"/>
      <c r="AN28" s="10" t="n"/>
      <c r="AO28" s="11" t="n"/>
      <c r="AP28" s="45" t="inlineStr"/>
      <c r="AQ28" s="10" t="n"/>
      <c r="AR28" s="11" t="n"/>
      <c r="AS28" s="45" t="inlineStr"/>
      <c r="AT28" s="10" t="n"/>
      <c r="AU28" s="11" t="n"/>
      <c r="AV28" s="45" t="inlineStr"/>
      <c r="AW28" s="10" t="n"/>
      <c r="AX28" s="11" t="n"/>
      <c r="AY28" s="45" t="inlineStr"/>
      <c r="AZ28" s="10" t="n"/>
      <c r="BA28" s="11" t="n"/>
      <c r="BB28" s="45" t="inlineStr"/>
      <c r="BC28" s="10" t="n"/>
      <c r="BD28" s="11" t="n"/>
      <c r="BE28" s="45" t="inlineStr"/>
      <c r="BF28" s="10" t="n"/>
      <c r="BG28" s="11" t="n"/>
      <c r="BH28" s="45" t="inlineStr"/>
      <c r="BI28" s="10" t="n"/>
      <c r="BJ28" s="11" t="n"/>
      <c r="BK28" s="46" t="inlineStr"/>
      <c r="BL28" s="10" t="n"/>
      <c r="BM28" s="10" t="n"/>
      <c r="BN28" s="10" t="n"/>
      <c r="BO28" s="10" t="n"/>
      <c r="BP28" s="10" t="n"/>
      <c r="BQ28" s="11" t="n"/>
    </row>
    <row r="29" ht="304" customHeight="1">
      <c r="A29" s="44" t="n">
        <v>15</v>
      </c>
      <c r="B29" s="46" t="inlineStr">
        <is>
          <t>ACSMS-TC-002-015</t>
        </is>
      </c>
      <c r="C29" s="10" t="n"/>
      <c r="D29" s="11" t="n"/>
      <c r="E29" s="46" t="inlineStr">
        <is>
          <t>ユーザー名表示とログアウト操作</t>
        </is>
      </c>
      <c r="F29" s="10" t="n"/>
      <c r="G29" s="10" t="n"/>
      <c r="H29" s="10" t="n"/>
      <c r="I29" s="11" t="n"/>
      <c r="J29" s="46" t="inlineStr">
        <is>
          <t>・role: CHUOKAI
・ログイン済（アカウント名「中央会 太郎」）</t>
        </is>
      </c>
      <c r="K29" s="10" t="n"/>
      <c r="L29" s="10" t="n"/>
      <c r="M29" s="10" t="n"/>
      <c r="N29" s="10" t="n"/>
      <c r="O29" s="10" t="n"/>
      <c r="P29" s="11" t="n"/>
      <c r="Q29" s="46" t="inlineStr">
        <is>
          <r>
            <rPr>
              <rFont val="メイリオ"/>
              <b val="1"/>
              <sz val="10"/>
            </rPr>
            <t xml:space="preserve">ステップ1：
</t>
          </r>
          <r>
            <rPr>
              <rFont val="メイリオ"/>
              <sz val="10"/>
            </rPr>
            <t xml:space="preserve">`/tanka` を開く
</t>
          </r>
          <r>
            <rPr>
              <rFont val="メイリオ"/>
              <b val="1"/>
              <sz val="10"/>
            </rPr>
            <t xml:space="preserve">ステップ2：
</t>
          </r>
          <r>
            <rPr>
              <rFont val="メイリオ"/>
              <sz val="10"/>
            </rPr>
            <t xml:space="preserve">ヘッダー右上のユーザー名表示エリアを確認
</t>
          </r>
          <r>
            <rPr>
              <rFont val="メイリオ"/>
              <b val="1"/>
              <sz val="10"/>
            </rPr>
            <t xml:space="preserve">ステップ3：
</t>
          </r>
          <r>
            <rPr>
              <rFont val="メイリオ"/>
              <sz val="10"/>
            </rPr>
            <t>ユーザーアイコンを押下しドロップダウンを展開、「ログアウト」を押下</t>
          </r>
        </is>
      </c>
      <c r="R29" s="10" t="n"/>
      <c r="S29" s="10" t="n"/>
      <c r="T29" s="10" t="n"/>
      <c r="U29" s="10" t="n"/>
      <c r="V29" s="10" t="n"/>
      <c r="W29" s="11" t="n"/>
      <c r="X29" s="46" t="inlineStr">
        <is>
          <r>
            <rPr>
              <rFont val="メイリオ"/>
              <b val="1"/>
              <sz val="10"/>
            </rPr>
            <t xml:space="preserve">ステップ1：
</t>
          </r>
          <r>
            <rPr>
              <rFont val="メイリオ"/>
              <sz val="10"/>
            </rPr>
            <t xml:space="preserve">単価マスタ明細検索画面が表示されること
</t>
          </r>
          <r>
            <rPr>
              <rFont val="メイリオ"/>
              <b val="1"/>
              <sz val="10"/>
            </rPr>
            <t xml:space="preserve">ステップ2：
</t>
          </r>
          <r>
            <rPr>
              <rFont val="メイリオ"/>
              <sz val="10"/>
            </rPr>
            <t xml:space="preserve">ログインユーザー名が表示されること（例：`中央会 太郎`）
</t>
          </r>
          <r>
            <rPr>
              <rFont val="メイリオ"/>
              <b val="1"/>
              <sz val="10"/>
            </rPr>
            <t xml:space="preserve">ステップ3：
</t>
          </r>
          <r>
            <rPr>
              <rFont val="メイリオ"/>
              <sz val="10"/>
            </rPr>
            <t xml:space="preserve">ログアウト処理が実行されること、`/login` へ遷移すること、再度 `/tanka` に直接アクセスするとログイン画面へ遷移すること
</t>
          </r>
          <r>
            <rPr>
              <rFont val="メイリオ"/>
              <b val="1"/>
              <sz val="10"/>
            </rPr>
            <t xml:space="preserve">補足：
</t>
          </r>
          <r>
            <rPr>
              <rFont val="メイリオ"/>
              <sz val="10"/>
            </rPr>
            <t>・ログアウト後はRedisセッションが削除され、HTTP-only Cookieが失効すること</t>
          </r>
        </is>
      </c>
      <c r="Y29" s="10" t="n"/>
      <c r="Z29" s="10" t="n"/>
      <c r="AA29" s="10" t="n"/>
      <c r="AB29" s="10" t="n"/>
      <c r="AC29" s="10" t="n"/>
      <c r="AD29" s="11" t="n"/>
      <c r="AE29" s="45" t="inlineStr">
        <is>
          <t>N</t>
        </is>
      </c>
      <c r="AF29" s="11" t="n"/>
      <c r="AG29" s="45" t="inlineStr"/>
      <c r="AH29" s="10" t="n"/>
      <c r="AI29" s="11" t="n"/>
      <c r="AJ29" s="45" t="inlineStr"/>
      <c r="AK29" s="10" t="n"/>
      <c r="AL29" s="11" t="n"/>
      <c r="AM29" s="45" t="inlineStr"/>
      <c r="AN29" s="10" t="n"/>
      <c r="AO29" s="11" t="n"/>
      <c r="AP29" s="45" t="inlineStr"/>
      <c r="AQ29" s="10" t="n"/>
      <c r="AR29" s="11" t="n"/>
      <c r="AS29" s="45" t="inlineStr"/>
      <c r="AT29" s="10" t="n"/>
      <c r="AU29" s="11" t="n"/>
      <c r="AV29" s="45" t="inlineStr"/>
      <c r="AW29" s="10" t="n"/>
      <c r="AX29" s="11" t="n"/>
      <c r="AY29" s="45" t="inlineStr"/>
      <c r="AZ29" s="10" t="n"/>
      <c r="BA29" s="11" t="n"/>
      <c r="BB29" s="45" t="inlineStr"/>
      <c r="BC29" s="10" t="n"/>
      <c r="BD29" s="11" t="n"/>
      <c r="BE29" s="45" t="inlineStr"/>
      <c r="BF29" s="10" t="n"/>
      <c r="BG29" s="11" t="n"/>
      <c r="BH29" s="45" t="inlineStr"/>
      <c r="BI29" s="10" t="n"/>
      <c r="BJ29" s="11" t="n"/>
      <c r="BK29" s="46" t="inlineStr">
        <is>
          <t>(なし)
---</t>
        </is>
      </c>
      <c r="BL29" s="10" t="n"/>
      <c r="BM29" s="10" t="n"/>
      <c r="BN29" s="10" t="n"/>
      <c r="BO29" s="10" t="n"/>
      <c r="BP29" s="10" t="n"/>
      <c r="BQ29" s="11" t="n"/>
    </row>
    <row r="30" ht="22.5" customHeight="1">
      <c r="A30" s="32" t="inlineStr">
        <is>
          <t>検索条件入力チェック（Search Filter Validation）</t>
        </is>
      </c>
      <c r="B30" s="10" t="n"/>
      <c r="C30" s="10" t="n"/>
      <c r="D30" s="10" t="n"/>
      <c r="E30" s="10" t="n"/>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c r="AA30" s="10" t="n"/>
      <c r="AB30" s="10" t="n"/>
      <c r="AC30" s="10" t="n"/>
      <c r="AD30" s="10" t="n"/>
      <c r="AE30" s="10" t="n"/>
      <c r="AF30" s="10" t="n"/>
      <c r="AG30" s="10" t="n"/>
      <c r="AH30" s="10" t="n"/>
      <c r="AI30" s="10" t="n"/>
      <c r="AJ30" s="10" t="n"/>
      <c r="AK30" s="10" t="n"/>
      <c r="AL30" s="10" t="n"/>
      <c r="AM30" s="10" t="n"/>
      <c r="AN30" s="10" t="n"/>
      <c r="AO30" s="10" t="n"/>
      <c r="AP30" s="10" t="n"/>
      <c r="AQ30" s="10" t="n"/>
      <c r="AR30" s="10" t="n"/>
      <c r="AS30" s="10" t="n"/>
      <c r="AT30" s="10" t="n"/>
      <c r="AU30" s="10" t="n"/>
      <c r="AV30" s="10" t="n"/>
      <c r="AW30" s="10" t="n"/>
      <c r="AX30" s="10" t="n"/>
      <c r="AY30" s="10" t="n"/>
      <c r="AZ30" s="10" t="n"/>
      <c r="BA30" s="10" t="n"/>
      <c r="BB30" s="10" t="n"/>
      <c r="BC30" s="10" t="n"/>
      <c r="BD30" s="10" t="n"/>
      <c r="BE30" s="10" t="n"/>
      <c r="BF30" s="10" t="n"/>
      <c r="BG30" s="10" t="n"/>
      <c r="BH30" s="10" t="n"/>
      <c r="BI30" s="10" t="n"/>
      <c r="BJ30" s="10" t="n"/>
      <c r="BK30" s="10" t="n"/>
      <c r="BL30" s="10" t="n"/>
      <c r="BM30" s="10" t="n"/>
      <c r="BN30" s="10" t="n"/>
      <c r="BO30" s="10" t="n"/>
      <c r="BP30" s="10" t="n"/>
      <c r="BQ30" s="11" t="n"/>
    </row>
    <row r="31" ht="336" customHeight="1">
      <c r="A31" s="44" t="n">
        <v>16</v>
      </c>
      <c r="B31" s="46" t="inlineStr">
        <is>
          <t>ACSMS-TC-002-016</t>
        </is>
      </c>
      <c r="C31" s="10" t="n"/>
      <c r="D31" s="11" t="n"/>
      <c r="E31" s="46" t="inlineStr">
        <is>
          <t>検索フォーム初期状態の表示</t>
        </is>
      </c>
      <c r="F31" s="10" t="n"/>
      <c r="G31" s="10" t="n"/>
      <c r="H31" s="10" t="n"/>
      <c r="I31" s="11" t="n"/>
      <c r="J31" s="46" t="inlineStr">
        <is>
          <t>・role: CHUOKAI</t>
        </is>
      </c>
      <c r="K31" s="10" t="n"/>
      <c r="L31" s="10" t="n"/>
      <c r="M31" s="10" t="n"/>
      <c r="N31" s="10" t="n"/>
      <c r="O31" s="10" t="n"/>
      <c r="P31" s="11" t="n"/>
      <c r="Q31" s="46" t="inlineStr">
        <is>
          <r>
            <rPr>
              <rFont val="メイリオ"/>
              <b val="1"/>
              <sz val="10"/>
            </rPr>
            <t xml:space="preserve">ステップ1：
</t>
          </r>
          <r>
            <rPr>
              <rFont val="メイリオ"/>
              <sz val="10"/>
            </rPr>
            <t xml:space="preserve">`/tanka` を開く
</t>
          </r>
          <r>
            <rPr>
              <rFont val="メイリオ"/>
              <b val="1"/>
              <sz val="10"/>
            </rPr>
            <t xml:space="preserve">ステップ2：
</t>
          </r>
          <r>
            <rPr>
              <rFont val="メイリオ"/>
              <sz val="10"/>
            </rPr>
            <t>各検索項目の初期値とプレースホルダーを確認</t>
          </r>
        </is>
      </c>
      <c r="R31" s="10" t="n"/>
      <c r="S31" s="10" t="n"/>
      <c r="T31" s="10" t="n"/>
      <c r="U31" s="10" t="n"/>
      <c r="V31" s="10" t="n"/>
      <c r="W31" s="11" t="n"/>
      <c r="X31" s="46" t="inlineStr">
        <is>
          <r>
            <rPr>
              <rFont val="メイリオ"/>
              <b val="1"/>
              <sz val="10"/>
            </rPr>
            <t xml:space="preserve">ステップ1：
</t>
          </r>
          <r>
            <rPr>
              <rFont val="メイリオ"/>
              <sz val="10"/>
            </rPr>
            <t xml:space="preserve">単価マスタ明細検索画面が表示されること
</t>
          </r>
          <r>
            <rPr>
              <rFont val="メイリオ"/>
              <b val="1"/>
              <sz val="10"/>
            </rPr>
            <t xml:space="preserve">ステップ2：
</t>
          </r>
          <r>
            <rPr>
              <rFont val="メイリオ"/>
              <sz val="10"/>
            </rPr>
            <t xml:space="preserve">単価種別ラジオが未選択状態で表示されること、単価名テキストボックスが空欄で表示されること、適用開始日／適用終了日の日付入力欄が空欄でプレースホルダー `YYYY/MM/DD` が表示されること、有効単価フラグラジオが未選択状態で表示されること
</t>
          </r>
          <r>
            <rPr>
              <rFont val="メイリオ"/>
              <b val="1"/>
              <sz val="10"/>
            </rPr>
            <t xml:space="preserve">補足：
</t>
          </r>
          <r>
            <rPr>
              <rFont val="メイリオ"/>
              <sz val="10"/>
            </rPr>
            <t xml:space="preserve">・初期表示時は検索条件なしで全件取得（データスコープ内）が実行されること
</t>
          </r>
          <r>
            <rPr>
              <rFont val="メイリオ"/>
              <sz val="10"/>
            </rPr>
            <t>・初期ソート条件は `updated_at` 降順であること</t>
          </r>
        </is>
      </c>
      <c r="Y31" s="10" t="n"/>
      <c r="Z31" s="10" t="n"/>
      <c r="AA31" s="10" t="n"/>
      <c r="AB31" s="10" t="n"/>
      <c r="AC31" s="10" t="n"/>
      <c r="AD31" s="11" t="n"/>
      <c r="AE31" s="45" t="inlineStr">
        <is>
          <t>N</t>
        </is>
      </c>
      <c r="AF31" s="11" t="n"/>
      <c r="AG31" s="45" t="inlineStr"/>
      <c r="AH31" s="10" t="n"/>
      <c r="AI31" s="11" t="n"/>
      <c r="AJ31" s="45" t="inlineStr"/>
      <c r="AK31" s="10" t="n"/>
      <c r="AL31" s="11" t="n"/>
      <c r="AM31" s="45" t="inlineStr"/>
      <c r="AN31" s="10" t="n"/>
      <c r="AO31" s="11" t="n"/>
      <c r="AP31" s="45" t="inlineStr"/>
      <c r="AQ31" s="10" t="n"/>
      <c r="AR31" s="11" t="n"/>
      <c r="AS31" s="45" t="inlineStr"/>
      <c r="AT31" s="10" t="n"/>
      <c r="AU31" s="11" t="n"/>
      <c r="AV31" s="45" t="inlineStr"/>
      <c r="AW31" s="10" t="n"/>
      <c r="AX31" s="11" t="n"/>
      <c r="AY31" s="45" t="inlineStr"/>
      <c r="AZ31" s="10" t="n"/>
      <c r="BA31" s="11" t="n"/>
      <c r="BB31" s="45" t="inlineStr"/>
      <c r="BC31" s="10" t="n"/>
      <c r="BD31" s="11" t="n"/>
      <c r="BE31" s="45" t="inlineStr"/>
      <c r="BF31" s="10" t="n"/>
      <c r="BG31" s="11" t="n"/>
      <c r="BH31" s="45" t="inlineStr"/>
      <c r="BI31" s="10" t="n"/>
      <c r="BJ31" s="11" t="n"/>
      <c r="BK31" s="46" t="inlineStr"/>
      <c r="BL31" s="10" t="n"/>
      <c r="BM31" s="10" t="n"/>
      <c r="BN31" s="10" t="n"/>
      <c r="BO31" s="10" t="n"/>
      <c r="BP31" s="10" t="n"/>
      <c r="BQ31" s="11" t="n"/>
    </row>
    <row r="32" ht="352" customHeight="1">
      <c r="A32" s="44" t="n">
        <v>17</v>
      </c>
      <c r="B32" s="46" t="inlineStr">
        <is>
          <t>ACSMS-TC-002-017</t>
        </is>
      </c>
      <c r="C32" s="10" t="n"/>
      <c r="D32" s="11" t="n"/>
      <c r="E32" s="46" t="inlineStr">
        <is>
          <t>単価種別 ラジオ「新聞購読料」選択時の検索</t>
        </is>
      </c>
      <c r="F32" s="10" t="n"/>
      <c r="G32" s="10" t="n"/>
      <c r="H32" s="10" t="n"/>
      <c r="I32" s="11" t="n"/>
      <c r="J32" s="46" t="inlineStr">
        <is>
          <t>・role: CHUOKAI
・自中央会に新聞購読料（tanka_type=1）と配達手数料（tanka_type=2）の単価が混在登録済</t>
        </is>
      </c>
      <c r="K32" s="10" t="n"/>
      <c r="L32" s="10" t="n"/>
      <c r="M32" s="10" t="n"/>
      <c r="N32" s="10" t="n"/>
      <c r="O32" s="10" t="n"/>
      <c r="P32" s="11" t="n"/>
      <c r="Q32" s="46" t="inlineStr">
        <is>
          <r>
            <rPr>
              <rFont val="メイリオ"/>
              <b val="1"/>
              <sz val="10"/>
            </rPr>
            <t xml:space="preserve">ステップ1：
</t>
          </r>
          <r>
            <rPr>
              <rFont val="メイリオ"/>
              <sz val="10"/>
            </rPr>
            <t xml:space="preserve">単価種別ラジオで「新聞購読料」を選択
</t>
          </r>
          <r>
            <rPr>
              <rFont val="メイリオ"/>
              <b val="1"/>
              <sz val="10"/>
            </rPr>
            <t xml:space="preserve">ステップ2：
</t>
          </r>
          <r>
            <rPr>
              <rFont val="メイリオ"/>
              <sz val="10"/>
            </rPr>
            <t xml:space="preserve">「検索」ボタンを押下
</t>
          </r>
          <r>
            <rPr>
              <rFont val="メイリオ"/>
              <b val="1"/>
              <sz val="10"/>
            </rPr>
            <t xml:space="preserve">ステップ3：
</t>
          </r>
          <r>
            <rPr>
              <rFont val="メイリオ"/>
              <sz val="10"/>
            </rPr>
            <t>DevTools で送信されたAPIリクエストを確認</t>
          </r>
        </is>
      </c>
      <c r="R32" s="10" t="n"/>
      <c r="S32" s="10" t="n"/>
      <c r="T32" s="10" t="n"/>
      <c r="U32" s="10" t="n"/>
      <c r="V32" s="10" t="n"/>
      <c r="W32" s="11" t="n"/>
      <c r="X32" s="46" t="inlineStr">
        <is>
          <r>
            <rPr>
              <rFont val="メイリオ"/>
              <b val="1"/>
              <sz val="10"/>
            </rPr>
            <t xml:space="preserve">ステップ1：
</t>
          </r>
          <r>
            <rPr>
              <rFont val="メイリオ"/>
              <sz val="10"/>
            </rPr>
            <t xml:space="preserve">ラジオで「新聞購読料」が選択状態となること
</t>
          </r>
          <r>
            <rPr>
              <rFont val="メイリオ"/>
              <b val="1"/>
              <sz val="10"/>
            </rPr>
            <t xml:space="preserve">ステップ2：
</t>
          </r>
          <r>
            <rPr>
              <rFont val="メイリオ"/>
              <sz val="10"/>
            </rPr>
            <t xml:space="preserve">tanka_type = 1 のレコードのみが表示されること
</t>
          </r>
          <r>
            <rPr>
              <rFont val="メイリオ"/>
              <b val="1"/>
              <sz val="10"/>
            </rPr>
            <t xml:space="preserve">ステップ3：
</t>
          </r>
          <r>
            <rPr>
              <rFont val="メイリオ"/>
              <sz val="10"/>
            </rPr>
            <t xml:space="preserve">GET `/api/v1/tanka?tanka_type=1&amp;page=1&amp;per_page=20&amp;sort_by=updated_at&amp;sort_order=desc` が送信されること、HTTPステータスコード200が返却されること
</t>
          </r>
          <r>
            <rPr>
              <rFont val="メイリオ"/>
              <b val="1"/>
              <sz val="10"/>
            </rPr>
            <t xml:space="preserve">補足：
</t>
          </r>
          <r>
            <rPr>
              <rFont val="メイリオ"/>
              <sz val="10"/>
            </rPr>
            <t>・単価種別ラジオの値（1／2）は m_code テーブルの TANKA_TYPE カテゴリから動的取得されること（ハードコーディングなし）</t>
          </r>
        </is>
      </c>
      <c r="Y32" s="10" t="n"/>
      <c r="Z32" s="10" t="n"/>
      <c r="AA32" s="10" t="n"/>
      <c r="AB32" s="10" t="n"/>
      <c r="AC32" s="10" t="n"/>
      <c r="AD32" s="11" t="n"/>
      <c r="AE32" s="45" t="inlineStr">
        <is>
          <t>N</t>
        </is>
      </c>
      <c r="AF32" s="11" t="n"/>
      <c r="AG32" s="45" t="inlineStr"/>
      <c r="AH32" s="10" t="n"/>
      <c r="AI32" s="11" t="n"/>
      <c r="AJ32" s="45" t="inlineStr"/>
      <c r="AK32" s="10" t="n"/>
      <c r="AL32" s="11" t="n"/>
      <c r="AM32" s="45" t="inlineStr"/>
      <c r="AN32" s="10" t="n"/>
      <c r="AO32" s="11" t="n"/>
      <c r="AP32" s="45" t="inlineStr"/>
      <c r="AQ32" s="10" t="n"/>
      <c r="AR32" s="11" t="n"/>
      <c r="AS32" s="45" t="inlineStr"/>
      <c r="AT32" s="10" t="n"/>
      <c r="AU32" s="11" t="n"/>
      <c r="AV32" s="45" t="inlineStr"/>
      <c r="AW32" s="10" t="n"/>
      <c r="AX32" s="11" t="n"/>
      <c r="AY32" s="45" t="inlineStr"/>
      <c r="AZ32" s="10" t="n"/>
      <c r="BA32" s="11" t="n"/>
      <c r="BB32" s="45" t="inlineStr"/>
      <c r="BC32" s="10" t="n"/>
      <c r="BD32" s="11" t="n"/>
      <c r="BE32" s="45" t="inlineStr"/>
      <c r="BF32" s="10" t="n"/>
      <c r="BG32" s="11" t="n"/>
      <c r="BH32" s="45" t="inlineStr"/>
      <c r="BI32" s="10" t="n"/>
      <c r="BJ32" s="11" t="n"/>
      <c r="BK32" s="46" t="inlineStr"/>
      <c r="BL32" s="10" t="n"/>
      <c r="BM32" s="10" t="n"/>
      <c r="BN32" s="10" t="n"/>
      <c r="BO32" s="10" t="n"/>
      <c r="BP32" s="10" t="n"/>
      <c r="BQ32" s="11" t="n"/>
    </row>
    <row r="33" ht="224" customHeight="1">
      <c r="A33" s="44" t="n">
        <v>18</v>
      </c>
      <c r="B33" s="46" t="inlineStr">
        <is>
          <t>ACSMS-TC-002-018</t>
        </is>
      </c>
      <c r="C33" s="10" t="n"/>
      <c r="D33" s="11" t="n"/>
      <c r="E33" s="46" t="inlineStr">
        <is>
          <t>単価種別 ラジオ「配達手数料」選択時の検索</t>
        </is>
      </c>
      <c r="F33" s="10" t="n"/>
      <c r="G33" s="10" t="n"/>
      <c r="H33" s="10" t="n"/>
      <c r="I33" s="11" t="n"/>
      <c r="J33" s="46" t="inlineStr">
        <is>
          <t>・role: CHUOKAI
・自中央会に配達手数料（tanka_type=2）の単価が1件以上登録済</t>
        </is>
      </c>
      <c r="K33" s="10" t="n"/>
      <c r="L33" s="10" t="n"/>
      <c r="M33" s="10" t="n"/>
      <c r="N33" s="10" t="n"/>
      <c r="O33" s="10" t="n"/>
      <c r="P33" s="11" t="n"/>
      <c r="Q33" s="46" t="inlineStr">
        <is>
          <r>
            <rPr>
              <rFont val="メイリオ"/>
              <b val="1"/>
              <sz val="10"/>
            </rPr>
            <t xml:space="preserve">ステップ1：
</t>
          </r>
          <r>
            <rPr>
              <rFont val="メイリオ"/>
              <sz val="10"/>
            </rPr>
            <t xml:space="preserve">単価種別ラジオで「配達手数料」を選択
</t>
          </r>
          <r>
            <rPr>
              <rFont val="メイリオ"/>
              <b val="1"/>
              <sz val="10"/>
            </rPr>
            <t xml:space="preserve">ステップ2：
</t>
          </r>
          <r>
            <rPr>
              <rFont val="メイリオ"/>
              <sz val="10"/>
            </rPr>
            <t>「検索」ボタンを押下</t>
          </r>
        </is>
      </c>
      <c r="R33" s="10" t="n"/>
      <c r="S33" s="10" t="n"/>
      <c r="T33" s="10" t="n"/>
      <c r="U33" s="10" t="n"/>
      <c r="V33" s="10" t="n"/>
      <c r="W33" s="11" t="n"/>
      <c r="X33" s="46" t="inlineStr">
        <is>
          <r>
            <rPr>
              <rFont val="メイリオ"/>
              <b val="1"/>
              <sz val="10"/>
            </rPr>
            <t xml:space="preserve">ステップ1：
</t>
          </r>
          <r>
            <rPr>
              <rFont val="メイリオ"/>
              <sz val="10"/>
            </rPr>
            <t xml:space="preserve">ラジオで「配達手数料」が選択状態となること
</t>
          </r>
          <r>
            <rPr>
              <rFont val="メイリオ"/>
              <b val="1"/>
              <sz val="10"/>
            </rPr>
            <t xml:space="preserve">ステップ2：
</t>
          </r>
          <r>
            <rPr>
              <rFont val="メイリオ"/>
              <sz val="10"/>
            </rPr>
            <t xml:space="preserve">tanka_type = 2 のレコードのみが表示されること、GET `/api/v1/tanka?tanka_type=2&amp;...` が送信されること
</t>
          </r>
          <r>
            <rPr>
              <rFont val="メイリオ"/>
              <b val="1"/>
              <sz val="10"/>
            </rPr>
            <t xml:space="preserve">補足：
</t>
          </r>
          <r>
            <rPr>
              <rFont val="メイリオ"/>
              <sz val="10"/>
            </rPr>
            <t>・単価種別カラムには「配達手数料」のラベルが表示されること</t>
          </r>
        </is>
      </c>
      <c r="Y33" s="10" t="n"/>
      <c r="Z33" s="10" t="n"/>
      <c r="AA33" s="10" t="n"/>
      <c r="AB33" s="10" t="n"/>
      <c r="AC33" s="10" t="n"/>
      <c r="AD33" s="11" t="n"/>
      <c r="AE33" s="45" t="inlineStr">
        <is>
          <t>N</t>
        </is>
      </c>
      <c r="AF33" s="11" t="n"/>
      <c r="AG33" s="45" t="inlineStr"/>
      <c r="AH33" s="10" t="n"/>
      <c r="AI33" s="11" t="n"/>
      <c r="AJ33" s="45" t="inlineStr"/>
      <c r="AK33" s="10" t="n"/>
      <c r="AL33" s="11" t="n"/>
      <c r="AM33" s="45" t="inlineStr"/>
      <c r="AN33" s="10" t="n"/>
      <c r="AO33" s="11" t="n"/>
      <c r="AP33" s="45" t="inlineStr"/>
      <c r="AQ33" s="10" t="n"/>
      <c r="AR33" s="11" t="n"/>
      <c r="AS33" s="45" t="inlineStr"/>
      <c r="AT33" s="10" t="n"/>
      <c r="AU33" s="11" t="n"/>
      <c r="AV33" s="45" t="inlineStr"/>
      <c r="AW33" s="10" t="n"/>
      <c r="AX33" s="11" t="n"/>
      <c r="AY33" s="45" t="inlineStr"/>
      <c r="AZ33" s="10" t="n"/>
      <c r="BA33" s="11" t="n"/>
      <c r="BB33" s="45" t="inlineStr"/>
      <c r="BC33" s="10" t="n"/>
      <c r="BD33" s="11" t="n"/>
      <c r="BE33" s="45" t="inlineStr"/>
      <c r="BF33" s="10" t="n"/>
      <c r="BG33" s="11" t="n"/>
      <c r="BH33" s="45" t="inlineStr"/>
      <c r="BI33" s="10" t="n"/>
      <c r="BJ33" s="11" t="n"/>
      <c r="BK33" s="46" t="inlineStr"/>
      <c r="BL33" s="10" t="n"/>
      <c r="BM33" s="10" t="n"/>
      <c r="BN33" s="10" t="n"/>
      <c r="BO33" s="10" t="n"/>
      <c r="BP33" s="10" t="n"/>
      <c r="BQ33" s="11" t="n"/>
    </row>
    <row r="34" ht="304" customHeight="1">
      <c r="A34" s="44" t="n">
        <v>19</v>
      </c>
      <c r="B34" s="46" t="inlineStr">
        <is>
          <t>ACSMS-TC-002-019</t>
        </is>
      </c>
      <c r="C34" s="10" t="n"/>
      <c r="D34" s="11" t="n"/>
      <c r="E34" s="46" t="inlineStr">
        <is>
          <t>単価種別 未選択時は全件返却</t>
        </is>
      </c>
      <c r="F34" s="10" t="n"/>
      <c r="G34" s="10" t="n"/>
      <c r="H34" s="10" t="n"/>
      <c r="I34" s="11" t="n"/>
      <c r="J34" s="46" t="inlineStr">
        <is>
          <t>・role: CHUOKAI
・自中央会に新聞購読料と配達手数料の単価が混在登録済</t>
        </is>
      </c>
      <c r="K34" s="10" t="n"/>
      <c r="L34" s="10" t="n"/>
      <c r="M34" s="10" t="n"/>
      <c r="N34" s="10" t="n"/>
      <c r="O34" s="10" t="n"/>
      <c r="P34" s="11" t="n"/>
      <c r="Q34" s="46" t="inlineStr">
        <is>
          <r>
            <rPr>
              <rFont val="メイリオ"/>
              <b val="1"/>
              <sz val="10"/>
            </rPr>
            <t xml:space="preserve">ステップ1：
</t>
          </r>
          <r>
            <rPr>
              <rFont val="メイリオ"/>
              <sz val="10"/>
            </rPr>
            <t xml:space="preserve">`/tanka` を開く（単価種別ラジオは未選択状態）
</t>
          </r>
          <r>
            <rPr>
              <rFont val="メイリオ"/>
              <b val="1"/>
              <sz val="10"/>
            </rPr>
            <t xml:space="preserve">ステップ2：
</t>
          </r>
          <r>
            <rPr>
              <rFont val="メイリオ"/>
              <sz val="10"/>
            </rPr>
            <t xml:space="preserve">「検索」ボタンを押下
</t>
          </r>
          <r>
            <rPr>
              <rFont val="メイリオ"/>
              <b val="1"/>
              <sz val="10"/>
            </rPr>
            <t xml:space="preserve">ステップ3：
</t>
          </r>
          <r>
            <rPr>
              <rFont val="メイリオ"/>
              <sz val="10"/>
            </rPr>
            <t>DevTools でAPIリクエストパラメータを確認</t>
          </r>
        </is>
      </c>
      <c r="R34" s="10" t="n"/>
      <c r="S34" s="10" t="n"/>
      <c r="T34" s="10" t="n"/>
      <c r="U34" s="10" t="n"/>
      <c r="V34" s="10" t="n"/>
      <c r="W34" s="11" t="n"/>
      <c r="X34" s="46" t="inlineStr">
        <is>
          <r>
            <rPr>
              <rFont val="メイリオ"/>
              <b val="1"/>
              <sz val="10"/>
            </rPr>
            <t xml:space="preserve">ステップ1：
</t>
          </r>
          <r>
            <rPr>
              <rFont val="メイリオ"/>
              <sz val="10"/>
            </rPr>
            <t xml:space="preserve">単価種別ラジオが未選択状態であること
</t>
          </r>
          <r>
            <rPr>
              <rFont val="メイリオ"/>
              <b val="1"/>
              <sz val="10"/>
            </rPr>
            <t xml:space="preserve">ステップ2：
</t>
          </r>
          <r>
            <rPr>
              <rFont val="メイリオ"/>
              <sz val="10"/>
            </rPr>
            <t xml:space="preserve">新聞購読料と配達手数料の両方のレコードが表示されること
</t>
          </r>
          <r>
            <rPr>
              <rFont val="メイリオ"/>
              <b val="1"/>
              <sz val="10"/>
            </rPr>
            <t xml:space="preserve">ステップ3：
</t>
          </r>
          <r>
            <rPr>
              <rFont val="メイリオ"/>
              <sz val="10"/>
            </rPr>
            <t xml:space="preserve">APIリクエストに `tanka_type` パラメータが含まれないこと（GET `/api/v1/tanka?page=1&amp;per_page=20&amp;sort_by=updated_at&amp;sort_order=desc`）
</t>
          </r>
          <r>
            <rPr>
              <rFont val="メイリオ"/>
              <b val="1"/>
              <sz val="10"/>
            </rPr>
            <t xml:space="preserve">補足：
</t>
          </r>
          <r>
            <rPr>
              <rFont val="メイリオ"/>
              <sz val="10"/>
            </rPr>
            <t>・未選択の場合は条件適用なし（screen-design 画面項目定義 row 1.0）</t>
          </r>
        </is>
      </c>
      <c r="Y34" s="10" t="n"/>
      <c r="Z34" s="10" t="n"/>
      <c r="AA34" s="10" t="n"/>
      <c r="AB34" s="10" t="n"/>
      <c r="AC34" s="10" t="n"/>
      <c r="AD34" s="11" t="n"/>
      <c r="AE34" s="45" t="inlineStr">
        <is>
          <t>N</t>
        </is>
      </c>
      <c r="AF34" s="11" t="n"/>
      <c r="AG34" s="45" t="inlineStr"/>
      <c r="AH34" s="10" t="n"/>
      <c r="AI34" s="11" t="n"/>
      <c r="AJ34" s="45" t="inlineStr"/>
      <c r="AK34" s="10" t="n"/>
      <c r="AL34" s="11" t="n"/>
      <c r="AM34" s="45" t="inlineStr"/>
      <c r="AN34" s="10" t="n"/>
      <c r="AO34" s="11" t="n"/>
      <c r="AP34" s="45" t="inlineStr"/>
      <c r="AQ34" s="10" t="n"/>
      <c r="AR34" s="11" t="n"/>
      <c r="AS34" s="45" t="inlineStr"/>
      <c r="AT34" s="10" t="n"/>
      <c r="AU34" s="11" t="n"/>
      <c r="AV34" s="45" t="inlineStr"/>
      <c r="AW34" s="10" t="n"/>
      <c r="AX34" s="11" t="n"/>
      <c r="AY34" s="45" t="inlineStr"/>
      <c r="AZ34" s="10" t="n"/>
      <c r="BA34" s="11" t="n"/>
      <c r="BB34" s="45" t="inlineStr"/>
      <c r="BC34" s="10" t="n"/>
      <c r="BD34" s="11" t="n"/>
      <c r="BE34" s="45" t="inlineStr"/>
      <c r="BF34" s="10" t="n"/>
      <c r="BG34" s="11" t="n"/>
      <c r="BH34" s="45" t="inlineStr"/>
      <c r="BI34" s="10" t="n"/>
      <c r="BJ34" s="11" t="n"/>
      <c r="BK34" s="46" t="inlineStr"/>
      <c r="BL34" s="10" t="n"/>
      <c r="BM34" s="10" t="n"/>
      <c r="BN34" s="10" t="n"/>
      <c r="BO34" s="10" t="n"/>
      <c r="BP34" s="10" t="n"/>
      <c r="BQ34" s="11" t="n"/>
    </row>
    <row r="35" ht="336" customHeight="1">
      <c r="A35" s="44" t="n">
        <v>20</v>
      </c>
      <c r="B35" s="46" t="inlineStr">
        <is>
          <t>ACSMS-TC-002-020</t>
        </is>
      </c>
      <c r="C35" s="10" t="n"/>
      <c r="D35" s="11" t="n"/>
      <c r="E35" s="46" t="inlineStr">
        <is>
          <t>単価名 部分一致検索 正常</t>
        </is>
      </c>
      <c r="F35" s="10" t="n"/>
      <c r="G35" s="10" t="n"/>
      <c r="H35" s="10" t="n"/>
      <c r="I35" s="11" t="n"/>
      <c r="J35" s="46" t="inlineStr">
        <is>
          <t>・role: CHUOKAI
・単価名「基本購読料（月額）」「基本配達手数料」「学割購読料」が登録済</t>
        </is>
      </c>
      <c r="K35" s="10" t="n"/>
      <c r="L35" s="10" t="n"/>
      <c r="M35" s="10" t="n"/>
      <c r="N35" s="10" t="n"/>
      <c r="O35" s="10" t="n"/>
      <c r="P35" s="11" t="n"/>
      <c r="Q35" s="46" t="inlineStr">
        <is>
          <r>
            <rPr>
              <rFont val="メイリオ"/>
              <b val="1"/>
              <sz val="10"/>
            </rPr>
            <t xml:space="preserve">ステップ1：
</t>
          </r>
          <r>
            <rPr>
              <rFont val="メイリオ"/>
              <sz val="10"/>
            </rPr>
            <t xml:space="preserve">単価名入力欄に `基本` を入力
</t>
          </r>
          <r>
            <rPr>
              <rFont val="メイリオ"/>
              <b val="1"/>
              <sz val="10"/>
            </rPr>
            <t xml:space="preserve">ステップ2：
</t>
          </r>
          <r>
            <rPr>
              <rFont val="メイリオ"/>
              <sz val="10"/>
            </rPr>
            <t xml:space="preserve">「検索」ボタンを押下
</t>
          </r>
          <r>
            <rPr>
              <rFont val="メイリオ"/>
              <b val="1"/>
              <sz val="10"/>
            </rPr>
            <t xml:space="preserve">ステップ3：
</t>
          </r>
          <r>
            <rPr>
              <rFont val="メイリオ"/>
              <sz val="10"/>
            </rPr>
            <t>レスポンスとAPIリクエストを DevTools で確認</t>
          </r>
        </is>
      </c>
      <c r="R35" s="10" t="n"/>
      <c r="S35" s="10" t="n"/>
      <c r="T35" s="10" t="n"/>
      <c r="U35" s="10" t="n"/>
      <c r="V35" s="10" t="n"/>
      <c r="W35" s="11" t="n"/>
      <c r="X35" s="46" t="inlineStr">
        <is>
          <r>
            <rPr>
              <rFont val="メイリオ"/>
              <b val="1"/>
              <sz val="10"/>
            </rPr>
            <t xml:space="preserve">ステップ1：
</t>
          </r>
          <r>
            <rPr>
              <rFont val="メイリオ"/>
              <sz val="10"/>
            </rPr>
            <t xml:space="preserve">入力値が反映されること
</t>
          </r>
          <r>
            <rPr>
              <rFont val="メイリオ"/>
              <b val="1"/>
              <sz val="10"/>
            </rPr>
            <t xml:space="preserve">ステップ2：
</t>
          </r>
          <r>
            <rPr>
              <rFont val="メイリオ"/>
              <sz val="10"/>
            </rPr>
            <t xml:space="preserve">単価名に `基本` を含むレコードのみ表示されること（「基本購読料（月額）」「基本配達手数料」が該当）
</t>
          </r>
          <r>
            <rPr>
              <rFont val="メイリオ"/>
              <b val="1"/>
              <sz val="10"/>
            </rPr>
            <t xml:space="preserve">ステップ3：
</t>
          </r>
          <r>
            <rPr>
              <rFont val="メイリオ"/>
              <sz val="10"/>
            </rPr>
            <t xml:space="preserve">GET `/api/v1/tanka?tanka_name=基本&amp;...` が送信されること、HTTPステータスコード200が返却されること、バックエンドは `ILIKE '%基本%'` で部分一致検索を実行すること
</t>
          </r>
          <r>
            <rPr>
              <rFont val="メイリオ"/>
              <b val="1"/>
              <sz val="10"/>
            </rPr>
            <t xml:space="preserve">補足：
</t>
          </r>
          <r>
            <rPr>
              <rFont val="メイリオ"/>
              <sz val="10"/>
            </rPr>
            <t xml:space="preserve">・部分一致検索ができること
</t>
          </r>
          <r>
            <rPr>
              <rFont val="メイリオ"/>
              <sz val="10"/>
            </rPr>
            <t>・全角文字が入力可能であること</t>
          </r>
        </is>
      </c>
      <c r="Y35" s="10" t="n"/>
      <c r="Z35" s="10" t="n"/>
      <c r="AA35" s="10" t="n"/>
      <c r="AB35" s="10" t="n"/>
      <c r="AC35" s="10" t="n"/>
      <c r="AD35" s="11" t="n"/>
      <c r="AE35" s="45" t="inlineStr">
        <is>
          <t>N</t>
        </is>
      </c>
      <c r="AF35" s="11" t="n"/>
      <c r="AG35" s="45" t="inlineStr"/>
      <c r="AH35" s="10" t="n"/>
      <c r="AI35" s="11" t="n"/>
      <c r="AJ35" s="45" t="inlineStr"/>
      <c r="AK35" s="10" t="n"/>
      <c r="AL35" s="11" t="n"/>
      <c r="AM35" s="45" t="inlineStr"/>
      <c r="AN35" s="10" t="n"/>
      <c r="AO35" s="11" t="n"/>
      <c r="AP35" s="45" t="inlineStr"/>
      <c r="AQ35" s="10" t="n"/>
      <c r="AR35" s="11" t="n"/>
      <c r="AS35" s="45" t="inlineStr"/>
      <c r="AT35" s="10" t="n"/>
      <c r="AU35" s="11" t="n"/>
      <c r="AV35" s="45" t="inlineStr"/>
      <c r="AW35" s="10" t="n"/>
      <c r="AX35" s="11" t="n"/>
      <c r="AY35" s="45" t="inlineStr"/>
      <c r="AZ35" s="10" t="n"/>
      <c r="BA35" s="11" t="n"/>
      <c r="BB35" s="45" t="inlineStr"/>
      <c r="BC35" s="10" t="n"/>
      <c r="BD35" s="11" t="n"/>
      <c r="BE35" s="45" t="inlineStr"/>
      <c r="BF35" s="10" t="n"/>
      <c r="BG35" s="11" t="n"/>
      <c r="BH35" s="45" t="inlineStr"/>
      <c r="BI35" s="10" t="n"/>
      <c r="BJ35" s="11" t="n"/>
      <c r="BK35" s="46" t="inlineStr"/>
      <c r="BL35" s="10" t="n"/>
      <c r="BM35" s="10" t="n"/>
      <c r="BN35" s="10" t="n"/>
      <c r="BO35" s="10" t="n"/>
      <c r="BP35" s="10" t="n"/>
      <c r="BQ35" s="11" t="n"/>
    </row>
    <row r="36" ht="288" customHeight="1">
      <c r="A36" s="44" t="n">
        <v>21</v>
      </c>
      <c r="B36" s="46" t="inlineStr">
        <is>
          <t>ACSMS-TC-002-021</t>
        </is>
      </c>
      <c r="C36" s="10" t="n"/>
      <c r="D36" s="11" t="n"/>
      <c r="E36" s="46" t="inlineStr">
        <is>
          <t>単価名 最大100文字 境界値</t>
        </is>
      </c>
      <c r="F36" s="10" t="n"/>
      <c r="G36" s="10" t="n"/>
      <c r="H36" s="10" t="n"/>
      <c r="I36" s="11" t="n"/>
      <c r="J36" s="46" t="inlineStr">
        <is>
          <t>・role: CHUOKAI</t>
        </is>
      </c>
      <c r="K36" s="10" t="n"/>
      <c r="L36" s="10" t="n"/>
      <c r="M36" s="10" t="n"/>
      <c r="N36" s="10" t="n"/>
      <c r="O36" s="10" t="n"/>
      <c r="P36" s="11" t="n"/>
      <c r="Q36" s="46" t="inlineStr">
        <is>
          <r>
            <rPr>
              <rFont val="メイリオ"/>
              <b val="1"/>
              <sz val="10"/>
            </rPr>
            <t xml:space="preserve">ステップ1：
</t>
          </r>
          <r>
            <rPr>
              <rFont val="メイリオ"/>
              <sz val="10"/>
            </rPr>
            <t xml:space="preserve">単価名入力欄に100文字の全角文字列を貼り付け
</t>
          </r>
          <r>
            <rPr>
              <rFont val="メイリオ"/>
              <b val="1"/>
              <sz val="10"/>
            </rPr>
            <t xml:space="preserve">ステップ2：
</t>
          </r>
          <r>
            <rPr>
              <rFont val="メイリオ"/>
              <sz val="10"/>
            </rPr>
            <t xml:space="preserve">「検索」ボタンを押下
</t>
          </r>
          <r>
            <rPr>
              <rFont val="メイリオ"/>
              <b val="1"/>
              <sz val="10"/>
            </rPr>
            <t xml:space="preserve">ステップ3：
</t>
          </r>
          <r>
            <rPr>
              <rFont val="メイリオ"/>
              <sz val="10"/>
            </rPr>
            <t>DevTools で GET `/api/v1/tanka?tanka_name=（101文字）` を直接送信</t>
          </r>
        </is>
      </c>
      <c r="R36" s="10" t="n"/>
      <c r="S36" s="10" t="n"/>
      <c r="T36" s="10" t="n"/>
      <c r="U36" s="10" t="n"/>
      <c r="V36" s="10" t="n"/>
      <c r="W36" s="11" t="n"/>
      <c r="X36" s="46" t="inlineStr">
        <is>
          <r>
            <rPr>
              <rFont val="メイリオ"/>
              <b val="1"/>
              <sz val="10"/>
            </rPr>
            <t xml:space="preserve">ステップ1：
</t>
          </r>
          <r>
            <rPr>
              <rFont val="メイリオ"/>
              <sz val="10"/>
            </rPr>
            <t xml:space="preserve">100文字すべてが入力可能であること
</t>
          </r>
          <r>
            <rPr>
              <rFont val="メイリオ"/>
              <b val="1"/>
              <sz val="10"/>
            </rPr>
            <t xml:space="preserve">ステップ2：
</t>
          </r>
          <r>
            <rPr>
              <rFont val="メイリオ"/>
              <sz val="10"/>
            </rPr>
            <t xml:space="preserve">HTTPステータスコード200が返却されること
</t>
          </r>
          <r>
            <rPr>
              <rFont val="メイリオ"/>
              <b val="1"/>
              <sz val="10"/>
            </rPr>
            <t xml:space="preserve">ステップ3：
</t>
          </r>
          <r>
            <rPr>
              <rFont val="メイリオ"/>
              <sz val="10"/>
            </rPr>
            <t xml:space="preserve">HTTPステータスコード400が返却されること（`error_code: VALIDATION_ERROR`、メッセージ `単価名は最大100文字で指定してください。`）
</t>
          </r>
          <r>
            <rPr>
              <rFont val="メイリオ"/>
              <b val="1"/>
              <sz val="10"/>
            </rPr>
            <t xml:space="preserve">補足：
</t>
          </r>
          <r>
            <rPr>
              <rFont val="メイリオ"/>
              <sz val="10"/>
            </rPr>
            <t>・桁数超過エラーがバックエンド側で検出されること</t>
          </r>
        </is>
      </c>
      <c r="Y36" s="10" t="n"/>
      <c r="Z36" s="10" t="n"/>
      <c r="AA36" s="10" t="n"/>
      <c r="AB36" s="10" t="n"/>
      <c r="AC36" s="10" t="n"/>
      <c r="AD36" s="11" t="n"/>
      <c r="AE36" s="45" t="inlineStr">
        <is>
          <t>B</t>
        </is>
      </c>
      <c r="AF36" s="11" t="n"/>
      <c r="AG36" s="45" t="inlineStr"/>
      <c r="AH36" s="10" t="n"/>
      <c r="AI36" s="11" t="n"/>
      <c r="AJ36" s="45" t="inlineStr"/>
      <c r="AK36" s="10" t="n"/>
      <c r="AL36" s="11" t="n"/>
      <c r="AM36" s="45" t="inlineStr"/>
      <c r="AN36" s="10" t="n"/>
      <c r="AO36" s="11" t="n"/>
      <c r="AP36" s="45" t="inlineStr"/>
      <c r="AQ36" s="10" t="n"/>
      <c r="AR36" s="11" t="n"/>
      <c r="AS36" s="45" t="inlineStr"/>
      <c r="AT36" s="10" t="n"/>
      <c r="AU36" s="11" t="n"/>
      <c r="AV36" s="45" t="inlineStr"/>
      <c r="AW36" s="10" t="n"/>
      <c r="AX36" s="11" t="n"/>
      <c r="AY36" s="45" t="inlineStr"/>
      <c r="AZ36" s="10" t="n"/>
      <c r="BA36" s="11" t="n"/>
      <c r="BB36" s="45" t="inlineStr"/>
      <c r="BC36" s="10" t="n"/>
      <c r="BD36" s="11" t="n"/>
      <c r="BE36" s="45" t="inlineStr"/>
      <c r="BF36" s="10" t="n"/>
      <c r="BG36" s="11" t="n"/>
      <c r="BH36" s="45" t="inlineStr"/>
      <c r="BI36" s="10" t="n"/>
      <c r="BJ36" s="11" t="n"/>
      <c r="BK36" s="46" t="inlineStr"/>
      <c r="BL36" s="10" t="n"/>
      <c r="BM36" s="10" t="n"/>
      <c r="BN36" s="10" t="n"/>
      <c r="BO36" s="10" t="n"/>
      <c r="BP36" s="10" t="n"/>
      <c r="BQ36" s="11" t="n"/>
    </row>
    <row r="37" ht="352" customHeight="1">
      <c r="A37" s="44" t="n">
        <v>22</v>
      </c>
      <c r="B37" s="46" t="inlineStr">
        <is>
          <t>ACSMS-TC-002-022</t>
        </is>
      </c>
      <c r="C37" s="10" t="n"/>
      <c r="D37" s="11" t="n"/>
      <c r="E37" s="46" t="inlineStr">
        <is>
          <t>単価名 前後空白の前後空白除去動作</t>
        </is>
      </c>
      <c r="F37" s="10" t="n"/>
      <c r="G37" s="10" t="n"/>
      <c r="H37" s="10" t="n"/>
      <c r="I37" s="11" t="n"/>
      <c r="J37" s="46" t="inlineStr">
        <is>
          <t>・role: CHUOKAI</t>
        </is>
      </c>
      <c r="K37" s="10" t="n"/>
      <c r="L37" s="10" t="n"/>
      <c r="M37" s="10" t="n"/>
      <c r="N37" s="10" t="n"/>
      <c r="O37" s="10" t="n"/>
      <c r="P37" s="11" t="n"/>
      <c r="Q37" s="46" t="inlineStr">
        <is>
          <r>
            <rPr>
              <rFont val="メイリオ"/>
              <b val="1"/>
              <sz val="10"/>
            </rPr>
            <t xml:space="preserve">ステップ1：
</t>
          </r>
          <r>
            <rPr>
              <rFont val="メイリオ"/>
              <sz val="10"/>
            </rPr>
            <t xml:space="preserve">単価名入力欄に `  基本  `（前後に半角スペース2文字ずつ）を入力
</t>
          </r>
          <r>
            <rPr>
              <rFont val="メイリオ"/>
              <b val="1"/>
              <sz val="10"/>
            </rPr>
            <t xml:space="preserve">ステップ2：
</t>
          </r>
          <r>
            <rPr>
              <rFont val="メイリオ"/>
              <sz val="10"/>
            </rPr>
            <t xml:space="preserve">「検索」ボタンを押下
</t>
          </r>
          <r>
            <rPr>
              <rFont val="メイリオ"/>
              <b val="1"/>
              <sz val="10"/>
            </rPr>
            <t xml:space="preserve">ステップ3：
</t>
          </r>
          <r>
            <rPr>
              <rFont val="メイリオ"/>
              <sz val="10"/>
            </rPr>
            <t xml:space="preserve">入力欄の表示内容を確認
</t>
          </r>
          <r>
            <rPr>
              <rFont val="メイリオ"/>
              <b val="1"/>
              <sz val="10"/>
            </rPr>
            <t xml:space="preserve">ステップ4：
</t>
          </r>
          <r>
            <rPr>
              <rFont val="メイリオ"/>
              <sz val="10"/>
            </rPr>
            <t>DevTools で送信されたAPIリクエストパラメータを確認</t>
          </r>
        </is>
      </c>
      <c r="R37" s="10" t="n"/>
      <c r="S37" s="10" t="n"/>
      <c r="T37" s="10" t="n"/>
      <c r="U37" s="10" t="n"/>
      <c r="V37" s="10" t="n"/>
      <c r="W37" s="11" t="n"/>
      <c r="X37" s="46" t="inlineStr">
        <is>
          <r>
            <rPr>
              <rFont val="メイリオ"/>
              <b val="1"/>
              <sz val="10"/>
            </rPr>
            <t xml:space="preserve">ステップ1：
</t>
          </r>
          <r>
            <rPr>
              <rFont val="メイリオ"/>
              <sz val="10"/>
            </rPr>
            <t xml:space="preserve">入力値がそのまま反映されること
</t>
          </r>
          <r>
            <rPr>
              <rFont val="メイリオ"/>
              <b val="1"/>
              <sz val="10"/>
            </rPr>
            <t xml:space="preserve">ステップ2：
</t>
          </r>
          <r>
            <rPr>
              <rFont val="メイリオ"/>
              <sz val="10"/>
            </rPr>
            <t xml:space="preserve">検索処理が実行されること
</t>
          </r>
          <r>
            <rPr>
              <rFont val="メイリオ"/>
              <b val="1"/>
              <sz val="10"/>
            </rPr>
            <t xml:space="preserve">ステップ3：
</t>
          </r>
          <r>
            <rPr>
              <rFont val="メイリオ"/>
              <sz val="10"/>
            </rPr>
            <t xml:space="preserve">入力値がトリムされること（入力欄の表示が `基本` に更新されること）
</t>
          </r>
          <r>
            <rPr>
              <rFont val="メイリオ"/>
              <b val="1"/>
              <sz val="10"/>
            </rPr>
            <t xml:space="preserve">ステップ4：
</t>
          </r>
          <r>
            <rPr>
              <rFont val="メイリオ"/>
              <sz val="10"/>
            </rPr>
            <t xml:space="preserve">GET `/api/v1/tanka?tanka_name=基本&amp;...` が送信されること（前後空白なし）
</t>
          </r>
          <r>
            <rPr>
              <rFont val="メイリオ"/>
              <b val="1"/>
              <sz val="10"/>
            </rPr>
            <t xml:space="preserve">補足：
</t>
          </r>
          <r>
            <rPr>
              <rFont val="メイリオ"/>
              <sz val="10"/>
            </rPr>
            <t>・入力値がトリムされること（vue.md §List view rule 5a — フロントエンド側で前後空白除去後に検索実行）</t>
          </r>
        </is>
      </c>
      <c r="Y37" s="10" t="n"/>
      <c r="Z37" s="10" t="n"/>
      <c r="AA37" s="10" t="n"/>
      <c r="AB37" s="10" t="n"/>
      <c r="AC37" s="10" t="n"/>
      <c r="AD37" s="11" t="n"/>
      <c r="AE37" s="45" t="inlineStr">
        <is>
          <t>N</t>
        </is>
      </c>
      <c r="AF37" s="11" t="n"/>
      <c r="AG37" s="45" t="inlineStr"/>
      <c r="AH37" s="10" t="n"/>
      <c r="AI37" s="11" t="n"/>
      <c r="AJ37" s="45" t="inlineStr"/>
      <c r="AK37" s="10" t="n"/>
      <c r="AL37" s="11" t="n"/>
      <c r="AM37" s="45" t="inlineStr"/>
      <c r="AN37" s="10" t="n"/>
      <c r="AO37" s="11" t="n"/>
      <c r="AP37" s="45" t="inlineStr"/>
      <c r="AQ37" s="10" t="n"/>
      <c r="AR37" s="11" t="n"/>
      <c r="AS37" s="45" t="inlineStr"/>
      <c r="AT37" s="10" t="n"/>
      <c r="AU37" s="11" t="n"/>
      <c r="AV37" s="45" t="inlineStr"/>
      <c r="AW37" s="10" t="n"/>
      <c r="AX37" s="11" t="n"/>
      <c r="AY37" s="45" t="inlineStr"/>
      <c r="AZ37" s="10" t="n"/>
      <c r="BA37" s="11" t="n"/>
      <c r="BB37" s="45" t="inlineStr"/>
      <c r="BC37" s="10" t="n"/>
      <c r="BD37" s="11" t="n"/>
      <c r="BE37" s="45" t="inlineStr"/>
      <c r="BF37" s="10" t="n"/>
      <c r="BG37" s="11" t="n"/>
      <c r="BH37" s="45" t="inlineStr"/>
      <c r="BI37" s="10" t="n"/>
      <c r="BJ37" s="11" t="n"/>
      <c r="BK37" s="46" t="inlineStr"/>
      <c r="BL37" s="10" t="n"/>
      <c r="BM37" s="10" t="n"/>
      <c r="BN37" s="10" t="n"/>
      <c r="BO37" s="10" t="n"/>
      <c r="BP37" s="10" t="n"/>
      <c r="BQ37" s="11" t="n"/>
    </row>
    <row r="38" ht="400" customHeight="1">
      <c r="A38" s="44" t="n">
        <v>23</v>
      </c>
      <c r="B38" s="46" t="inlineStr">
        <is>
          <t>ACSMS-TC-002-023</t>
        </is>
      </c>
      <c r="C38" s="10" t="n"/>
      <c r="D38" s="11" t="n"/>
      <c r="E38" s="46" t="inlineStr">
        <is>
          <t>適用開始日 日付ピッカー選択時の検索</t>
        </is>
      </c>
      <c r="F38" s="10" t="n"/>
      <c r="G38" s="10" t="n"/>
      <c r="H38" s="10" t="n"/>
      <c r="I38" s="11" t="n"/>
      <c r="J38" s="46" t="inlineStr">
        <is>
          <t>・role: CHUOKAI
・適用開始日が `2026-01-01` / `2026-04-01` / `2025-10-01` のレコードがそれぞれ登録済</t>
        </is>
      </c>
      <c r="K38" s="10" t="n"/>
      <c r="L38" s="10" t="n"/>
      <c r="M38" s="10" t="n"/>
      <c r="N38" s="10" t="n"/>
      <c r="O38" s="10" t="n"/>
      <c r="P38" s="11" t="n"/>
      <c r="Q38" s="46" t="inlineStr">
        <is>
          <r>
            <rPr>
              <rFont val="メイリオ"/>
              <b val="1"/>
              <sz val="10"/>
            </rPr>
            <t xml:space="preserve">ステップ1：
</t>
          </r>
          <r>
            <rPr>
              <rFont val="メイリオ"/>
              <sz val="10"/>
            </rPr>
            <t xml:space="preserve">適用開始日の日付入力欄を押下し、ピッカーを展開
</t>
          </r>
          <r>
            <rPr>
              <rFont val="メイリオ"/>
              <b val="1"/>
              <sz val="10"/>
            </rPr>
            <t xml:space="preserve">ステップ2：
</t>
          </r>
          <r>
            <rPr>
              <rFont val="メイリオ"/>
              <sz val="10"/>
            </rPr>
            <t xml:space="preserve">ピッカーで `2026/04/01` を選択
</t>
          </r>
          <r>
            <rPr>
              <rFont val="メイリオ"/>
              <b val="1"/>
              <sz val="10"/>
            </rPr>
            <t xml:space="preserve">ステップ3：
</t>
          </r>
          <r>
            <rPr>
              <rFont val="メイリオ"/>
              <sz val="10"/>
            </rPr>
            <t xml:space="preserve">「検索」ボタンを押下
</t>
          </r>
          <r>
            <rPr>
              <rFont val="メイリオ"/>
              <b val="1"/>
              <sz val="10"/>
            </rPr>
            <t xml:space="preserve">ステップ4：
</t>
          </r>
          <r>
            <rPr>
              <rFont val="メイリオ"/>
              <sz val="10"/>
            </rPr>
            <t>レスポンスを確認</t>
          </r>
        </is>
      </c>
      <c r="R38" s="10" t="n"/>
      <c r="S38" s="10" t="n"/>
      <c r="T38" s="10" t="n"/>
      <c r="U38" s="10" t="n"/>
      <c r="V38" s="10" t="n"/>
      <c r="W38" s="11" t="n"/>
      <c r="X38" s="46" t="inlineStr">
        <is>
          <r>
            <rPr>
              <rFont val="メイリオ"/>
              <b val="1"/>
              <sz val="10"/>
            </rPr>
            <t xml:space="preserve">ステップ1：
</t>
          </r>
          <r>
            <rPr>
              <rFont val="メイリオ"/>
              <sz val="10"/>
            </rPr>
            <t xml:space="preserve">日付ピッカーが展開されること
</t>
          </r>
          <r>
            <rPr>
              <rFont val="メイリオ"/>
              <b val="1"/>
              <sz val="10"/>
            </rPr>
            <t xml:space="preserve">ステップ2：
</t>
          </r>
          <r>
            <rPr>
              <rFont val="メイリオ"/>
              <sz val="10"/>
            </rPr>
            <t xml:space="preserve">入力欄に `2026/04/01` が表示されること
</t>
          </r>
          <r>
            <rPr>
              <rFont val="メイリオ"/>
              <b val="1"/>
              <sz val="10"/>
            </rPr>
            <t xml:space="preserve">ステップ3：
</t>
          </r>
          <r>
            <rPr>
              <rFont val="メイリオ"/>
              <sz val="10"/>
            </rPr>
            <t xml:space="preserve">GET `/api/v1/tanka?tekiyo_start_date=2026-04-01&amp;...` が送信されること
</t>
          </r>
          <r>
            <rPr>
              <rFont val="メイリオ"/>
              <b val="1"/>
              <sz val="10"/>
            </rPr>
            <t xml:space="preserve">ステップ4：
</t>
          </r>
          <r>
            <rPr>
              <rFont val="メイリオ"/>
              <sz val="10"/>
            </rPr>
            <t xml:space="preserve">`tekiyo_start_date &gt;= 2026-04-01` のレコードのみ表示されること（指定日以降に開始するレコードのみ。`2025-10-01`、`2026-01-01` は対象外）
</t>
          </r>
          <r>
            <rPr>
              <rFont val="メイリオ"/>
              <b val="1"/>
              <sz val="10"/>
            </rPr>
            <t xml:space="preserve">補足：
</t>
          </r>
          <r>
            <rPr>
              <rFont val="メイリオ"/>
              <sz val="10"/>
            </rPr>
            <t>・表示フォーマットは `YYYY/MM/DD`、ワイヤーフォーマットは `YYYY-MM-DD` であること（vue.md 日付ピッカーコンベンション）</t>
          </r>
        </is>
      </c>
      <c r="Y38" s="10" t="n"/>
      <c r="Z38" s="10" t="n"/>
      <c r="AA38" s="10" t="n"/>
      <c r="AB38" s="10" t="n"/>
      <c r="AC38" s="10" t="n"/>
      <c r="AD38" s="11" t="n"/>
      <c r="AE38" s="45" t="inlineStr">
        <is>
          <t>N</t>
        </is>
      </c>
      <c r="AF38" s="11" t="n"/>
      <c r="AG38" s="45" t="inlineStr"/>
      <c r="AH38" s="10" t="n"/>
      <c r="AI38" s="11" t="n"/>
      <c r="AJ38" s="45" t="inlineStr"/>
      <c r="AK38" s="10" t="n"/>
      <c r="AL38" s="11" t="n"/>
      <c r="AM38" s="45" t="inlineStr"/>
      <c r="AN38" s="10" t="n"/>
      <c r="AO38" s="11" t="n"/>
      <c r="AP38" s="45" t="inlineStr"/>
      <c r="AQ38" s="10" t="n"/>
      <c r="AR38" s="11" t="n"/>
      <c r="AS38" s="45" t="inlineStr"/>
      <c r="AT38" s="10" t="n"/>
      <c r="AU38" s="11" t="n"/>
      <c r="AV38" s="45" t="inlineStr"/>
      <c r="AW38" s="10" t="n"/>
      <c r="AX38" s="11" t="n"/>
      <c r="AY38" s="45" t="inlineStr"/>
      <c r="AZ38" s="10" t="n"/>
      <c r="BA38" s="11" t="n"/>
      <c r="BB38" s="45" t="inlineStr"/>
      <c r="BC38" s="10" t="n"/>
      <c r="BD38" s="11" t="n"/>
      <c r="BE38" s="45" t="inlineStr"/>
      <c r="BF38" s="10" t="n"/>
      <c r="BG38" s="11" t="n"/>
      <c r="BH38" s="45" t="inlineStr"/>
      <c r="BI38" s="10" t="n"/>
      <c r="BJ38" s="11" t="n"/>
      <c r="BK38" s="46" t="inlineStr"/>
      <c r="BL38" s="10" t="n"/>
      <c r="BM38" s="10" t="n"/>
      <c r="BN38" s="10" t="n"/>
      <c r="BO38" s="10" t="n"/>
      <c r="BP38" s="10" t="n"/>
      <c r="BQ38" s="11" t="n"/>
    </row>
    <row r="39" ht="384" customHeight="1">
      <c r="A39" s="44" t="n">
        <v>24</v>
      </c>
      <c r="B39" s="46" t="inlineStr">
        <is>
          <t>ACSMS-TC-002-024</t>
        </is>
      </c>
      <c r="C39" s="10" t="n"/>
      <c r="D39" s="11" t="n"/>
      <c r="E39" s="46" t="inlineStr">
        <is>
          <t>適用開始日 不正フォーマットの拒否</t>
        </is>
      </c>
      <c r="F39" s="10" t="n"/>
      <c r="G39" s="10" t="n"/>
      <c r="H39" s="10" t="n"/>
      <c r="I39" s="11" t="n"/>
      <c r="J39" s="46" t="inlineStr">
        <is>
          <t>・role: CHUOKAI</t>
        </is>
      </c>
      <c r="K39" s="10" t="n"/>
      <c r="L39" s="10" t="n"/>
      <c r="M39" s="10" t="n"/>
      <c r="N39" s="10" t="n"/>
      <c r="O39" s="10" t="n"/>
      <c r="P39" s="11" t="n"/>
      <c r="Q39" s="46" t="inlineStr">
        <is>
          <r>
            <rPr>
              <rFont val="メイリオ"/>
              <b val="1"/>
              <sz val="10"/>
            </rPr>
            <t xml:space="preserve">ステップ1：
</t>
          </r>
          <r>
            <rPr>
              <rFont val="メイリオ"/>
              <sz val="10"/>
            </rPr>
            <t xml:space="preserve">DevTools で GET `/api/v1/tanka?tekiyo_start_date=2026/04/01` を直接送信（スラッシュ区切り）
</t>
          </r>
          <r>
            <rPr>
              <rFont val="メイリオ"/>
              <b val="1"/>
              <sz val="10"/>
            </rPr>
            <t xml:space="preserve">ステップ2：
</t>
          </r>
          <r>
            <rPr>
              <rFont val="メイリオ"/>
              <sz val="10"/>
            </rPr>
            <t xml:space="preserve">DevTools で GET `/api/v1/tanka?tekiyo_start_date=20260401` を直接送信（区切りなし）
</t>
          </r>
          <r>
            <rPr>
              <rFont val="メイリオ"/>
              <b val="1"/>
              <sz val="10"/>
            </rPr>
            <t xml:space="preserve">ステップ3：
</t>
          </r>
          <r>
            <rPr>
              <rFont val="メイリオ"/>
              <sz val="10"/>
            </rPr>
            <t>DevTools で GET `/api/v1/tanka?tekiyo_start_date=2026-13-99` を直接送信（不正日付）</t>
          </r>
        </is>
      </c>
      <c r="R39" s="10" t="n"/>
      <c r="S39" s="10" t="n"/>
      <c r="T39" s="10" t="n"/>
      <c r="U39" s="10" t="n"/>
      <c r="V39" s="10" t="n"/>
      <c r="W39" s="11" t="n"/>
      <c r="X39" s="46" t="inlineStr">
        <is>
          <r>
            <rPr>
              <rFont val="メイリオ"/>
              <b val="1"/>
              <sz val="10"/>
            </rPr>
            <t xml:space="preserve">ステップ1：
</t>
          </r>
          <r>
            <rPr>
              <rFont val="メイリオ"/>
              <sz val="10"/>
            </rPr>
            <t xml:space="preserve">HTTPステータスコード400が返却されること（`error_code: VALIDATION_ERROR`、メッセージ `適用開始日は YYYY-MM-DD 形式で指定してください。`）
</t>
          </r>
          <r>
            <rPr>
              <rFont val="メイリオ"/>
              <b val="1"/>
              <sz val="10"/>
            </rPr>
            <t xml:space="preserve">ステップ2：
</t>
          </r>
          <r>
            <rPr>
              <rFont val="メイリオ"/>
              <sz val="10"/>
            </rPr>
            <t xml:space="preserve">HTTPステータスコード400が返却されること（同一メッセージ）
</t>
          </r>
          <r>
            <rPr>
              <rFont val="メイリオ"/>
              <b val="1"/>
              <sz val="10"/>
            </rPr>
            <t xml:space="preserve">ステップ3：
</t>
          </r>
          <r>
            <rPr>
              <rFont val="メイリオ"/>
              <sz val="10"/>
            </rPr>
            <t xml:space="preserve">HTTPステータスコード400が返却されること（同一メッセージ。正規表現は `^\d{4}-\d{2}-\d{2}$` のみマッチ）
</t>
          </r>
          <r>
            <rPr>
              <rFont val="メイリオ"/>
              <b val="1"/>
              <sz val="10"/>
            </rPr>
            <t xml:space="preserve">補足：
</t>
          </r>
          <r>
            <rPr>
              <rFont val="メイリオ"/>
              <sz val="10"/>
            </rPr>
            <t xml:space="preserve">・受け入れ可能なフォーマットは `YYYY-MM-DD` のみ
</t>
          </r>
          <r>
            <rPr>
              <rFont val="メイリオ"/>
              <sz val="10"/>
            </rPr>
            <t>・フロントエンドの日付ピッカーは `value-format='YYYY-MM-DD'` で必ず正規化されること</t>
          </r>
        </is>
      </c>
      <c r="Y39" s="10" t="n"/>
      <c r="Z39" s="10" t="n"/>
      <c r="AA39" s="10" t="n"/>
      <c r="AB39" s="10" t="n"/>
      <c r="AC39" s="10" t="n"/>
      <c r="AD39" s="11" t="n"/>
      <c r="AE39" s="45" t="inlineStr">
        <is>
          <t>A</t>
        </is>
      </c>
      <c r="AF39" s="11" t="n"/>
      <c r="AG39" s="45" t="inlineStr"/>
      <c r="AH39" s="10" t="n"/>
      <c r="AI39" s="11" t="n"/>
      <c r="AJ39" s="45" t="inlineStr"/>
      <c r="AK39" s="10" t="n"/>
      <c r="AL39" s="11" t="n"/>
      <c r="AM39" s="45" t="inlineStr"/>
      <c r="AN39" s="10" t="n"/>
      <c r="AO39" s="11" t="n"/>
      <c r="AP39" s="45" t="inlineStr"/>
      <c r="AQ39" s="10" t="n"/>
      <c r="AR39" s="11" t="n"/>
      <c r="AS39" s="45" t="inlineStr"/>
      <c r="AT39" s="10" t="n"/>
      <c r="AU39" s="11" t="n"/>
      <c r="AV39" s="45" t="inlineStr"/>
      <c r="AW39" s="10" t="n"/>
      <c r="AX39" s="11" t="n"/>
      <c r="AY39" s="45" t="inlineStr"/>
      <c r="AZ39" s="10" t="n"/>
      <c r="BA39" s="11" t="n"/>
      <c r="BB39" s="45" t="inlineStr"/>
      <c r="BC39" s="10" t="n"/>
      <c r="BD39" s="11" t="n"/>
      <c r="BE39" s="45" t="inlineStr"/>
      <c r="BF39" s="10" t="n"/>
      <c r="BG39" s="11" t="n"/>
      <c r="BH39" s="45" t="inlineStr"/>
      <c r="BI39" s="10" t="n"/>
      <c r="BJ39" s="11" t="n"/>
      <c r="BK39" s="46" t="inlineStr"/>
      <c r="BL39" s="10" t="n"/>
      <c r="BM39" s="10" t="n"/>
      <c r="BN39" s="10" t="n"/>
      <c r="BO39" s="10" t="n"/>
      <c r="BP39" s="10" t="n"/>
      <c r="BQ39" s="11" t="n"/>
    </row>
    <row r="40" ht="336" customHeight="1">
      <c r="A40" s="44" t="n">
        <v>25</v>
      </c>
      <c r="B40" s="46" t="inlineStr">
        <is>
          <t>ACSMS-TC-002-025</t>
        </is>
      </c>
      <c r="C40" s="10" t="n"/>
      <c r="D40" s="11" t="n"/>
      <c r="E40" s="46" t="inlineStr">
        <is>
          <t>適用終了日 日付ピッカー選択時の検索（NULL=無期限は対象外）</t>
        </is>
      </c>
      <c r="F40" s="10" t="n"/>
      <c r="G40" s="10" t="n"/>
      <c r="H40" s="10" t="n"/>
      <c r="I40" s="11" t="n"/>
      <c r="J40" s="46" t="inlineStr">
        <is>
          <t>・role: CHUOKAI
・適用終了日が `2026-03-31` / `2026-12-31` / NULL のレコードがそれぞれ登録済</t>
        </is>
      </c>
      <c r="K40" s="10" t="n"/>
      <c r="L40" s="10" t="n"/>
      <c r="M40" s="10" t="n"/>
      <c r="N40" s="10" t="n"/>
      <c r="O40" s="10" t="n"/>
      <c r="P40" s="11" t="n"/>
      <c r="Q40" s="46" t="inlineStr">
        <is>
          <r>
            <rPr>
              <rFont val="メイリオ"/>
              <b val="1"/>
              <sz val="10"/>
            </rPr>
            <t xml:space="preserve">ステップ1：
</t>
          </r>
          <r>
            <rPr>
              <rFont val="メイリオ"/>
              <sz val="10"/>
            </rPr>
            <t xml:space="preserve">適用終了日の日付入力欄で `2026/12/31` を選択
</t>
          </r>
          <r>
            <rPr>
              <rFont val="メイリオ"/>
              <b val="1"/>
              <sz val="10"/>
            </rPr>
            <t xml:space="preserve">ステップ2：
</t>
          </r>
          <r>
            <rPr>
              <rFont val="メイリオ"/>
              <sz val="10"/>
            </rPr>
            <t xml:space="preserve">「検索」ボタンを押下
</t>
          </r>
          <r>
            <rPr>
              <rFont val="メイリオ"/>
              <b val="1"/>
              <sz val="10"/>
            </rPr>
            <t xml:space="preserve">ステップ3：
</t>
          </r>
          <r>
            <rPr>
              <rFont val="メイリオ"/>
              <sz val="10"/>
            </rPr>
            <t>レスポンスとDB条件を確認</t>
          </r>
        </is>
      </c>
      <c r="R40" s="10" t="n"/>
      <c r="S40" s="10" t="n"/>
      <c r="T40" s="10" t="n"/>
      <c r="U40" s="10" t="n"/>
      <c r="V40" s="10" t="n"/>
      <c r="W40" s="11" t="n"/>
      <c r="X40" s="46" t="inlineStr">
        <is>
          <r>
            <rPr>
              <rFont val="メイリオ"/>
              <b val="1"/>
              <sz val="10"/>
            </rPr>
            <t xml:space="preserve">ステップ1：
</t>
          </r>
          <r>
            <rPr>
              <rFont val="メイリオ"/>
              <sz val="10"/>
            </rPr>
            <t xml:space="preserve">入力欄に `2026/12/31` が表示されること
</t>
          </r>
          <r>
            <rPr>
              <rFont val="メイリオ"/>
              <b val="1"/>
              <sz val="10"/>
            </rPr>
            <t xml:space="preserve">ステップ2：
</t>
          </r>
          <r>
            <rPr>
              <rFont val="メイリオ"/>
              <sz val="10"/>
            </rPr>
            <t xml:space="preserve">GET `/api/v1/tanka?tekiyo_end_date=2026-12-31&amp;...` が送信されること
</t>
          </r>
          <r>
            <rPr>
              <rFont val="メイリオ"/>
              <b val="1"/>
              <sz val="10"/>
            </rPr>
            <t xml:space="preserve">ステップ3：
</t>
          </r>
          <r>
            <rPr>
              <rFont val="メイリオ"/>
              <sz val="10"/>
            </rPr>
            <t xml:space="preserve">`tekiyo_end_date IS NOT NULL AND tekiyo_end_date &lt;= 2026-12-31` のレコードのみ表示されること（`2026-03-31` / `2026-12-31` は対象、NULL は対象外）
</t>
          </r>
          <r>
            <rPr>
              <rFont val="メイリオ"/>
              <b val="1"/>
              <sz val="10"/>
            </rPr>
            <t xml:space="preserve">補足：
</t>
          </r>
          <r>
            <rPr>
              <rFont val="メイリオ"/>
              <sz val="10"/>
            </rPr>
            <t>・適用終了日 NULL（無期限）は対象外であること（api.md §4.3）</t>
          </r>
        </is>
      </c>
      <c r="Y40" s="10" t="n"/>
      <c r="Z40" s="10" t="n"/>
      <c r="AA40" s="10" t="n"/>
      <c r="AB40" s="10" t="n"/>
      <c r="AC40" s="10" t="n"/>
      <c r="AD40" s="11" t="n"/>
      <c r="AE40" s="45" t="inlineStr">
        <is>
          <t>N</t>
        </is>
      </c>
      <c r="AF40" s="11" t="n"/>
      <c r="AG40" s="45" t="inlineStr"/>
      <c r="AH40" s="10" t="n"/>
      <c r="AI40" s="11" t="n"/>
      <c r="AJ40" s="45" t="inlineStr"/>
      <c r="AK40" s="10" t="n"/>
      <c r="AL40" s="11" t="n"/>
      <c r="AM40" s="45" t="inlineStr"/>
      <c r="AN40" s="10" t="n"/>
      <c r="AO40" s="11" t="n"/>
      <c r="AP40" s="45" t="inlineStr"/>
      <c r="AQ40" s="10" t="n"/>
      <c r="AR40" s="11" t="n"/>
      <c r="AS40" s="45" t="inlineStr"/>
      <c r="AT40" s="10" t="n"/>
      <c r="AU40" s="11" t="n"/>
      <c r="AV40" s="45" t="inlineStr"/>
      <c r="AW40" s="10" t="n"/>
      <c r="AX40" s="11" t="n"/>
      <c r="AY40" s="45" t="inlineStr"/>
      <c r="AZ40" s="10" t="n"/>
      <c r="BA40" s="11" t="n"/>
      <c r="BB40" s="45" t="inlineStr"/>
      <c r="BC40" s="10" t="n"/>
      <c r="BD40" s="11" t="n"/>
      <c r="BE40" s="45" t="inlineStr"/>
      <c r="BF40" s="10" t="n"/>
      <c r="BG40" s="11" t="n"/>
      <c r="BH40" s="45" t="inlineStr"/>
      <c r="BI40" s="10" t="n"/>
      <c r="BJ40" s="11" t="n"/>
      <c r="BK40" s="46" t="inlineStr"/>
      <c r="BL40" s="10" t="n"/>
      <c r="BM40" s="10" t="n"/>
      <c r="BN40" s="10" t="n"/>
      <c r="BO40" s="10" t="n"/>
      <c r="BP40" s="10" t="n"/>
      <c r="BQ40" s="11" t="n"/>
    </row>
    <row r="41" ht="304" customHeight="1">
      <c r="A41" s="44" t="n">
        <v>26</v>
      </c>
      <c r="B41" s="46" t="inlineStr">
        <is>
          <t>ACSMS-TC-002-026</t>
        </is>
      </c>
      <c r="C41" s="10" t="n"/>
      <c r="D41" s="11" t="n"/>
      <c r="E41" s="46" t="inlineStr">
        <is>
          <t>有効単価フラグ ラジオ「有効」選択時の検索</t>
        </is>
      </c>
      <c r="F41" s="10" t="n"/>
      <c r="G41" s="10" t="n"/>
      <c r="H41" s="10" t="n"/>
      <c r="I41" s="11" t="n"/>
      <c r="J41" s="46" t="inlineStr">
        <is>
          <t>・role: CHUOKAI
・active_flg=true と active_flg=false の単価が混在登録済</t>
        </is>
      </c>
      <c r="K41" s="10" t="n"/>
      <c r="L41" s="10" t="n"/>
      <c r="M41" s="10" t="n"/>
      <c r="N41" s="10" t="n"/>
      <c r="O41" s="10" t="n"/>
      <c r="P41" s="11" t="n"/>
      <c r="Q41" s="46" t="inlineStr">
        <is>
          <r>
            <rPr>
              <rFont val="メイリオ"/>
              <b val="1"/>
              <sz val="10"/>
            </rPr>
            <t xml:space="preserve">ステップ1：
</t>
          </r>
          <r>
            <rPr>
              <rFont val="メイリオ"/>
              <sz val="10"/>
            </rPr>
            <t xml:space="preserve">有効単価フラグラジオで「有効」を選択
</t>
          </r>
          <r>
            <rPr>
              <rFont val="メイリオ"/>
              <b val="1"/>
              <sz val="10"/>
            </rPr>
            <t xml:space="preserve">ステップ2：
</t>
          </r>
          <r>
            <rPr>
              <rFont val="メイリオ"/>
              <sz val="10"/>
            </rPr>
            <t xml:space="preserve">「検索」ボタンを押下
</t>
          </r>
          <r>
            <rPr>
              <rFont val="メイリオ"/>
              <b val="1"/>
              <sz val="10"/>
            </rPr>
            <t xml:space="preserve">ステップ3：
</t>
          </r>
          <r>
            <rPr>
              <rFont val="メイリオ"/>
              <sz val="10"/>
            </rPr>
            <t>DevTools でAPIリクエストパラメータを確認</t>
          </r>
        </is>
      </c>
      <c r="R41" s="10" t="n"/>
      <c r="S41" s="10" t="n"/>
      <c r="T41" s="10" t="n"/>
      <c r="U41" s="10" t="n"/>
      <c r="V41" s="10" t="n"/>
      <c r="W41" s="11" t="n"/>
      <c r="X41" s="46" t="inlineStr">
        <is>
          <r>
            <rPr>
              <rFont val="メイリオ"/>
              <b val="1"/>
              <sz val="10"/>
            </rPr>
            <t xml:space="preserve">ステップ1：
</t>
          </r>
          <r>
            <rPr>
              <rFont val="メイリオ"/>
              <sz val="10"/>
            </rPr>
            <t xml:space="preserve">ラジオで「有効」が選択状態となること
</t>
          </r>
          <r>
            <rPr>
              <rFont val="メイリオ"/>
              <b val="1"/>
              <sz val="10"/>
            </rPr>
            <t xml:space="preserve">ステップ2：
</t>
          </r>
          <r>
            <rPr>
              <rFont val="メイリオ"/>
              <sz val="10"/>
            </rPr>
            <t xml:space="preserve">active_flg = true のレコードのみが表示されること
</t>
          </r>
          <r>
            <rPr>
              <rFont val="メイリオ"/>
              <b val="1"/>
              <sz val="10"/>
            </rPr>
            <t xml:space="preserve">ステップ3：
</t>
          </r>
          <r>
            <rPr>
              <rFont val="メイリオ"/>
              <sz val="10"/>
            </rPr>
            <t xml:space="preserve">GET `/api/v1/tanka?active_flg=true&amp;...` が送信されること、フロントエンドは文字列 `'1'` をバックエンド側 boolean に正規化して送信すること
</t>
          </r>
          <r>
            <rPr>
              <rFont val="メイリオ"/>
              <b val="1"/>
              <sz val="10"/>
            </rPr>
            <t xml:space="preserve">補足：
</t>
          </r>
          <r>
            <rPr>
              <rFont val="メイリオ"/>
              <sz val="10"/>
            </rPr>
            <t>・有効単価フラグカラムは「有効」（緑タグ）で表示されること</t>
          </r>
        </is>
      </c>
      <c r="Y41" s="10" t="n"/>
      <c r="Z41" s="10" t="n"/>
      <c r="AA41" s="10" t="n"/>
      <c r="AB41" s="10" t="n"/>
      <c r="AC41" s="10" t="n"/>
      <c r="AD41" s="11" t="n"/>
      <c r="AE41" s="45" t="inlineStr">
        <is>
          <t>N</t>
        </is>
      </c>
      <c r="AF41" s="11" t="n"/>
      <c r="AG41" s="45" t="inlineStr"/>
      <c r="AH41" s="10" t="n"/>
      <c r="AI41" s="11" t="n"/>
      <c r="AJ41" s="45" t="inlineStr"/>
      <c r="AK41" s="10" t="n"/>
      <c r="AL41" s="11" t="n"/>
      <c r="AM41" s="45" t="inlineStr"/>
      <c r="AN41" s="10" t="n"/>
      <c r="AO41" s="11" t="n"/>
      <c r="AP41" s="45" t="inlineStr"/>
      <c r="AQ41" s="10" t="n"/>
      <c r="AR41" s="11" t="n"/>
      <c r="AS41" s="45" t="inlineStr"/>
      <c r="AT41" s="10" t="n"/>
      <c r="AU41" s="11" t="n"/>
      <c r="AV41" s="45" t="inlineStr"/>
      <c r="AW41" s="10" t="n"/>
      <c r="AX41" s="11" t="n"/>
      <c r="AY41" s="45" t="inlineStr"/>
      <c r="AZ41" s="10" t="n"/>
      <c r="BA41" s="11" t="n"/>
      <c r="BB41" s="45" t="inlineStr"/>
      <c r="BC41" s="10" t="n"/>
      <c r="BD41" s="11" t="n"/>
      <c r="BE41" s="45" t="inlineStr"/>
      <c r="BF41" s="10" t="n"/>
      <c r="BG41" s="11" t="n"/>
      <c r="BH41" s="45" t="inlineStr"/>
      <c r="BI41" s="10" t="n"/>
      <c r="BJ41" s="11" t="n"/>
      <c r="BK41" s="46" t="inlineStr"/>
      <c r="BL41" s="10" t="n"/>
      <c r="BM41" s="10" t="n"/>
      <c r="BN41" s="10" t="n"/>
      <c r="BO41" s="10" t="n"/>
      <c r="BP41" s="10" t="n"/>
      <c r="BQ41" s="11" t="n"/>
    </row>
    <row r="42" ht="224" customHeight="1">
      <c r="A42" s="44" t="n">
        <v>27</v>
      </c>
      <c r="B42" s="46" t="inlineStr">
        <is>
          <t>ACSMS-TC-002-027</t>
        </is>
      </c>
      <c r="C42" s="10" t="n"/>
      <c r="D42" s="11" t="n"/>
      <c r="E42" s="46" t="inlineStr">
        <is>
          <t>有効単価フラグ ラジオ「無効」選択時の検索</t>
        </is>
      </c>
      <c r="F42" s="10" t="n"/>
      <c r="G42" s="10" t="n"/>
      <c r="H42" s="10" t="n"/>
      <c r="I42" s="11" t="n"/>
      <c r="J42" s="46" t="inlineStr">
        <is>
          <t>・role: CHUOKAI
・active_flg=false の単価が1件以上登録済</t>
        </is>
      </c>
      <c r="K42" s="10" t="n"/>
      <c r="L42" s="10" t="n"/>
      <c r="M42" s="10" t="n"/>
      <c r="N42" s="10" t="n"/>
      <c r="O42" s="10" t="n"/>
      <c r="P42" s="11" t="n"/>
      <c r="Q42" s="46" t="inlineStr">
        <is>
          <r>
            <rPr>
              <rFont val="メイリオ"/>
              <b val="1"/>
              <sz val="10"/>
            </rPr>
            <t xml:space="preserve">ステップ1：
</t>
          </r>
          <r>
            <rPr>
              <rFont val="メイリオ"/>
              <sz val="10"/>
            </rPr>
            <t xml:space="preserve">有効単価フラグラジオで「無効」を選択
</t>
          </r>
          <r>
            <rPr>
              <rFont val="メイリオ"/>
              <b val="1"/>
              <sz val="10"/>
            </rPr>
            <t xml:space="preserve">ステップ2：
</t>
          </r>
          <r>
            <rPr>
              <rFont val="メイリオ"/>
              <sz val="10"/>
            </rPr>
            <t>「検索」ボタンを押下</t>
          </r>
        </is>
      </c>
      <c r="R42" s="10" t="n"/>
      <c r="S42" s="10" t="n"/>
      <c r="T42" s="10" t="n"/>
      <c r="U42" s="10" t="n"/>
      <c r="V42" s="10" t="n"/>
      <c r="W42" s="11" t="n"/>
      <c r="X42" s="46" t="inlineStr">
        <is>
          <r>
            <rPr>
              <rFont val="メイリオ"/>
              <b val="1"/>
              <sz val="10"/>
            </rPr>
            <t xml:space="preserve">ステップ1：
</t>
          </r>
          <r>
            <rPr>
              <rFont val="メイリオ"/>
              <sz val="10"/>
            </rPr>
            <t xml:space="preserve">ラジオで「無効」が選択状態となること
</t>
          </r>
          <r>
            <rPr>
              <rFont val="メイリオ"/>
              <b val="1"/>
              <sz val="10"/>
            </rPr>
            <t xml:space="preserve">ステップ2：
</t>
          </r>
          <r>
            <rPr>
              <rFont val="メイリオ"/>
              <sz val="10"/>
            </rPr>
            <t xml:space="preserve">active_flg = false のレコードのみが表示されること、GET `/api/v1/tanka?active_flg=false&amp;...` が送信されること
</t>
          </r>
          <r>
            <rPr>
              <rFont val="メイリオ"/>
              <b val="1"/>
              <sz val="10"/>
            </rPr>
            <t xml:space="preserve">補足：
</t>
          </r>
          <r>
            <rPr>
              <rFont val="メイリオ"/>
              <sz val="10"/>
            </rPr>
            <t>・有効単価フラグカラムは「無効」（赤タグ）で表示されること</t>
          </r>
        </is>
      </c>
      <c r="Y42" s="10" t="n"/>
      <c r="Z42" s="10" t="n"/>
      <c r="AA42" s="10" t="n"/>
      <c r="AB42" s="10" t="n"/>
      <c r="AC42" s="10" t="n"/>
      <c r="AD42" s="11" t="n"/>
      <c r="AE42" s="45" t="inlineStr">
        <is>
          <t>N</t>
        </is>
      </c>
      <c r="AF42" s="11" t="n"/>
      <c r="AG42" s="45" t="inlineStr"/>
      <c r="AH42" s="10" t="n"/>
      <c r="AI42" s="11" t="n"/>
      <c r="AJ42" s="45" t="inlineStr"/>
      <c r="AK42" s="10" t="n"/>
      <c r="AL42" s="11" t="n"/>
      <c r="AM42" s="45" t="inlineStr"/>
      <c r="AN42" s="10" t="n"/>
      <c r="AO42" s="11" t="n"/>
      <c r="AP42" s="45" t="inlineStr"/>
      <c r="AQ42" s="10" t="n"/>
      <c r="AR42" s="11" t="n"/>
      <c r="AS42" s="45" t="inlineStr"/>
      <c r="AT42" s="10" t="n"/>
      <c r="AU42" s="11" t="n"/>
      <c r="AV42" s="45" t="inlineStr"/>
      <c r="AW42" s="10" t="n"/>
      <c r="AX42" s="11" t="n"/>
      <c r="AY42" s="45" t="inlineStr"/>
      <c r="AZ42" s="10" t="n"/>
      <c r="BA42" s="11" t="n"/>
      <c r="BB42" s="45" t="inlineStr"/>
      <c r="BC42" s="10" t="n"/>
      <c r="BD42" s="11" t="n"/>
      <c r="BE42" s="45" t="inlineStr"/>
      <c r="BF42" s="10" t="n"/>
      <c r="BG42" s="11" t="n"/>
      <c r="BH42" s="45" t="inlineStr"/>
      <c r="BI42" s="10" t="n"/>
      <c r="BJ42" s="11" t="n"/>
      <c r="BK42" s="46" t="inlineStr"/>
      <c r="BL42" s="10" t="n"/>
      <c r="BM42" s="10" t="n"/>
      <c r="BN42" s="10" t="n"/>
      <c r="BO42" s="10" t="n"/>
      <c r="BP42" s="10" t="n"/>
      <c r="BQ42" s="11" t="n"/>
    </row>
    <row r="43" ht="256" customHeight="1">
      <c r="A43" s="44" t="n">
        <v>28</v>
      </c>
      <c r="B43" s="46" t="inlineStr">
        <is>
          <t>ACSMS-TC-002-028</t>
        </is>
      </c>
      <c r="C43" s="10" t="n"/>
      <c r="D43" s="11" t="n"/>
      <c r="E43" s="46" t="inlineStr">
        <is>
          <t>有効単価フラグ 未選択時は両方返却</t>
        </is>
      </c>
      <c r="F43" s="10" t="n"/>
      <c r="G43" s="10" t="n"/>
      <c r="H43" s="10" t="n"/>
      <c r="I43" s="11" t="n"/>
      <c r="J43" s="46" t="inlineStr">
        <is>
          <t>・role: CHUOKAI
・active_flg=true と active_flg=false の単価が混在登録済</t>
        </is>
      </c>
      <c r="K43" s="10" t="n"/>
      <c r="L43" s="10" t="n"/>
      <c r="M43" s="10" t="n"/>
      <c r="N43" s="10" t="n"/>
      <c r="O43" s="10" t="n"/>
      <c r="P43" s="11" t="n"/>
      <c r="Q43" s="46" t="inlineStr">
        <is>
          <r>
            <rPr>
              <rFont val="メイリオ"/>
              <b val="1"/>
              <sz val="10"/>
            </rPr>
            <t xml:space="preserve">ステップ1：
</t>
          </r>
          <r>
            <rPr>
              <rFont val="メイリオ"/>
              <sz val="10"/>
            </rPr>
            <t xml:space="preserve">`/tanka` を開く（有効単価フラグラジオは未選択状態）
</t>
          </r>
          <r>
            <rPr>
              <rFont val="メイリオ"/>
              <b val="1"/>
              <sz val="10"/>
            </rPr>
            <t xml:space="preserve">ステップ2：
</t>
          </r>
          <r>
            <rPr>
              <rFont val="メイリオ"/>
              <sz val="10"/>
            </rPr>
            <t xml:space="preserve">「検索」ボタンを押下
</t>
          </r>
          <r>
            <rPr>
              <rFont val="メイリオ"/>
              <b val="1"/>
              <sz val="10"/>
            </rPr>
            <t xml:space="preserve">ステップ3：
</t>
          </r>
          <r>
            <rPr>
              <rFont val="メイリオ"/>
              <sz val="10"/>
            </rPr>
            <t>DevTools でAPIリクエストパラメータを確認</t>
          </r>
        </is>
      </c>
      <c r="R43" s="10" t="n"/>
      <c r="S43" s="10" t="n"/>
      <c r="T43" s="10" t="n"/>
      <c r="U43" s="10" t="n"/>
      <c r="V43" s="10" t="n"/>
      <c r="W43" s="11" t="n"/>
      <c r="X43" s="46" t="inlineStr">
        <is>
          <r>
            <rPr>
              <rFont val="メイリオ"/>
              <b val="1"/>
              <sz val="10"/>
            </rPr>
            <t xml:space="preserve">ステップ1：
</t>
          </r>
          <r>
            <rPr>
              <rFont val="メイリオ"/>
              <sz val="10"/>
            </rPr>
            <t xml:space="preserve">有効単価フラグラジオが未選択状態であること
</t>
          </r>
          <r>
            <rPr>
              <rFont val="メイリオ"/>
              <b val="1"/>
              <sz val="10"/>
            </rPr>
            <t xml:space="preserve">ステップ2：
</t>
          </r>
          <r>
            <rPr>
              <rFont val="メイリオ"/>
              <sz val="10"/>
            </rPr>
            <t xml:space="preserve">有効・無効の両方のレコードが表示されること
</t>
          </r>
          <r>
            <rPr>
              <rFont val="メイリオ"/>
              <b val="1"/>
              <sz val="10"/>
            </rPr>
            <t xml:space="preserve">ステップ3：
</t>
          </r>
          <r>
            <rPr>
              <rFont val="メイリオ"/>
              <sz val="10"/>
            </rPr>
            <t xml:space="preserve">APIリクエストに `active_flg` パラメータが含まれないこと
</t>
          </r>
          <r>
            <rPr>
              <rFont val="メイリオ"/>
              <b val="1"/>
              <sz val="10"/>
            </rPr>
            <t xml:space="preserve">補足：
</t>
          </r>
          <r>
            <rPr>
              <rFont val="メイリオ"/>
              <sz val="10"/>
            </rPr>
            <t>・未選択（省略時）は両方（有効・無効）を返却すること（api.md §4.3）</t>
          </r>
        </is>
      </c>
      <c r="Y43" s="10" t="n"/>
      <c r="Z43" s="10" t="n"/>
      <c r="AA43" s="10" t="n"/>
      <c r="AB43" s="10" t="n"/>
      <c r="AC43" s="10" t="n"/>
      <c r="AD43" s="11" t="n"/>
      <c r="AE43" s="45" t="inlineStr">
        <is>
          <t>N</t>
        </is>
      </c>
      <c r="AF43" s="11" t="n"/>
      <c r="AG43" s="45" t="inlineStr"/>
      <c r="AH43" s="10" t="n"/>
      <c r="AI43" s="11" t="n"/>
      <c r="AJ43" s="45" t="inlineStr"/>
      <c r="AK43" s="10" t="n"/>
      <c r="AL43" s="11" t="n"/>
      <c r="AM43" s="45" t="inlineStr"/>
      <c r="AN43" s="10" t="n"/>
      <c r="AO43" s="11" t="n"/>
      <c r="AP43" s="45" t="inlineStr"/>
      <c r="AQ43" s="10" t="n"/>
      <c r="AR43" s="11" t="n"/>
      <c r="AS43" s="45" t="inlineStr"/>
      <c r="AT43" s="10" t="n"/>
      <c r="AU43" s="11" t="n"/>
      <c r="AV43" s="45" t="inlineStr"/>
      <c r="AW43" s="10" t="n"/>
      <c r="AX43" s="11" t="n"/>
      <c r="AY43" s="45" t="inlineStr"/>
      <c r="AZ43" s="10" t="n"/>
      <c r="BA43" s="11" t="n"/>
      <c r="BB43" s="45" t="inlineStr"/>
      <c r="BC43" s="10" t="n"/>
      <c r="BD43" s="11" t="n"/>
      <c r="BE43" s="45" t="inlineStr"/>
      <c r="BF43" s="10" t="n"/>
      <c r="BG43" s="11" t="n"/>
      <c r="BH43" s="45" t="inlineStr"/>
      <c r="BI43" s="10" t="n"/>
      <c r="BJ43" s="11" t="n"/>
      <c r="BK43" s="46" t="inlineStr"/>
      <c r="BL43" s="10" t="n"/>
      <c r="BM43" s="10" t="n"/>
      <c r="BN43" s="10" t="n"/>
      <c r="BO43" s="10" t="n"/>
      <c r="BP43" s="10" t="n"/>
      <c r="BQ43" s="11" t="n"/>
    </row>
    <row r="44" ht="448" customHeight="1">
      <c r="A44" s="44" t="n">
        <v>29</v>
      </c>
      <c r="B44" s="46" t="inlineStr">
        <is>
          <t>ACSMS-TC-002-029</t>
        </is>
      </c>
      <c r="C44" s="10" t="n"/>
      <c r="D44" s="11" t="n"/>
      <c r="E44" s="46" t="inlineStr">
        <is>
          <t>検索項目への特殊文字入力 — SQLインジェクション対策</t>
        </is>
      </c>
      <c r="F44" s="10" t="n"/>
      <c r="G44" s="10" t="n"/>
      <c r="H44" s="10" t="n"/>
      <c r="I44" s="11" t="n"/>
      <c r="J44" s="46" t="inlineStr">
        <is>
          <t>・role: CHUOKAI</t>
        </is>
      </c>
      <c r="K44" s="10" t="n"/>
      <c r="L44" s="10" t="n"/>
      <c r="M44" s="10" t="n"/>
      <c r="N44" s="10" t="n"/>
      <c r="O44" s="10" t="n"/>
      <c r="P44" s="11" t="n"/>
      <c r="Q44" s="46" t="inlineStr">
        <is>
          <r>
            <rPr>
              <rFont val="メイリオ"/>
              <b val="1"/>
              <sz val="10"/>
            </rPr>
            <t xml:space="preserve">ステップ1：
</t>
          </r>
          <r>
            <rPr>
              <rFont val="メイリオ"/>
              <sz val="10"/>
            </rPr>
            <t xml:space="preserve">単価名入力欄に `' OR '1'='1` を入力
</t>
          </r>
          <r>
            <rPr>
              <rFont val="メイリオ"/>
              <b val="1"/>
              <sz val="10"/>
            </rPr>
            <t xml:space="preserve">ステップ2：
</t>
          </r>
          <r>
            <rPr>
              <rFont val="メイリオ"/>
              <sz val="10"/>
            </rPr>
            <t xml:space="preserve">「検索」ボタンを押下
</t>
          </r>
          <r>
            <rPr>
              <rFont val="メイリオ"/>
              <b val="1"/>
              <sz val="10"/>
            </rPr>
            <t xml:space="preserve">ステップ3：
</t>
          </r>
          <r>
            <rPr>
              <rFont val="メイリオ"/>
              <sz val="10"/>
            </rPr>
            <t xml:space="preserve">単価名入力欄に `; DROP TABLE m_tanka; --` を入力
</t>
          </r>
          <r>
            <rPr>
              <rFont val="メイリオ"/>
              <b val="1"/>
              <sz val="10"/>
            </rPr>
            <t xml:space="preserve">ステップ4：
</t>
          </r>
          <r>
            <rPr>
              <rFont val="メイリオ"/>
              <sz val="10"/>
            </rPr>
            <t xml:space="preserve">「検索」ボタンを押下
</t>
          </r>
          <r>
            <rPr>
              <rFont val="メイリオ"/>
              <b val="1"/>
              <sz val="10"/>
            </rPr>
            <t xml:space="preserve">ステップ5：
</t>
          </r>
          <r>
            <rPr>
              <rFont val="メイリオ"/>
              <sz val="10"/>
            </rPr>
            <t>DB状態を確認：`SELECT COUNT(*) FROM m_tanka`</t>
          </r>
        </is>
      </c>
      <c r="R44" s="10" t="n"/>
      <c r="S44" s="10" t="n"/>
      <c r="T44" s="10" t="n"/>
      <c r="U44" s="10" t="n"/>
      <c r="V44" s="10" t="n"/>
      <c r="W44" s="11" t="n"/>
      <c r="X44" s="46" t="inlineStr">
        <is>
          <r>
            <rPr>
              <rFont val="メイリオ"/>
              <b val="1"/>
              <sz val="10"/>
            </rPr>
            <t xml:space="preserve">ステップ1：
</t>
          </r>
          <r>
            <rPr>
              <rFont val="メイリオ"/>
              <sz val="10"/>
            </rPr>
            <t xml:space="preserve">入力値がそのまま反映されること
</t>
          </r>
          <r>
            <rPr>
              <rFont val="メイリオ"/>
              <b val="1"/>
              <sz val="10"/>
            </rPr>
            <t xml:space="preserve">ステップ2：
</t>
          </r>
          <r>
            <rPr>
              <rFont val="メイリオ"/>
              <sz val="10"/>
            </rPr>
            <t xml:space="preserve">検索結果が0件で表示されること、`検索結果が見つかりませんでした。` が表示されること
</t>
          </r>
          <r>
            <rPr>
              <rFont val="メイリオ"/>
              <b val="1"/>
              <sz val="10"/>
            </rPr>
            <t xml:space="preserve">ステップ3：
</t>
          </r>
          <r>
            <rPr>
              <rFont val="メイリオ"/>
              <sz val="10"/>
            </rPr>
            <t xml:space="preserve">入力値がそのまま反映されること
</t>
          </r>
          <r>
            <rPr>
              <rFont val="メイリオ"/>
              <b val="1"/>
              <sz val="10"/>
            </rPr>
            <t xml:space="preserve">ステップ4：
</t>
          </r>
          <r>
            <rPr>
              <rFont val="メイリオ"/>
              <sz val="10"/>
            </rPr>
            <t xml:space="preserve">検索結果が0件で表示されること
</t>
          </r>
          <r>
            <rPr>
              <rFont val="メイリオ"/>
              <b val="1"/>
              <sz val="10"/>
            </rPr>
            <t xml:space="preserve">ステップ5：
</t>
          </r>
          <r>
            <rPr>
              <rFont val="メイリオ"/>
              <sz val="10"/>
            </rPr>
            <t xml:space="preserve">`m_tanka` テーブルが削除されていないこと、件数が変化していないこと
</t>
          </r>
          <r>
            <rPr>
              <rFont val="メイリオ"/>
              <b val="1"/>
              <sz val="10"/>
            </rPr>
            <t xml:space="preserve">補足：
</t>
          </r>
          <r>
            <rPr>
              <rFont val="メイリオ"/>
              <sz val="10"/>
            </rPr>
            <t>・パラメータ化クエリにより、特殊文字はSQLインジェクションとして解釈されないこと（TypeORM の `setParameters` 使用）</t>
          </r>
        </is>
      </c>
      <c r="Y44" s="10" t="n"/>
      <c r="Z44" s="10" t="n"/>
      <c r="AA44" s="10" t="n"/>
      <c r="AB44" s="10" t="n"/>
      <c r="AC44" s="10" t="n"/>
      <c r="AD44" s="11" t="n"/>
      <c r="AE44" s="45" t="inlineStr">
        <is>
          <t>A</t>
        </is>
      </c>
      <c r="AF44" s="11" t="n"/>
      <c r="AG44" s="45" t="inlineStr"/>
      <c r="AH44" s="10" t="n"/>
      <c r="AI44" s="11" t="n"/>
      <c r="AJ44" s="45" t="inlineStr"/>
      <c r="AK44" s="10" t="n"/>
      <c r="AL44" s="11" t="n"/>
      <c r="AM44" s="45" t="inlineStr"/>
      <c r="AN44" s="10" t="n"/>
      <c r="AO44" s="11" t="n"/>
      <c r="AP44" s="45" t="inlineStr"/>
      <c r="AQ44" s="10" t="n"/>
      <c r="AR44" s="11" t="n"/>
      <c r="AS44" s="45" t="inlineStr"/>
      <c r="AT44" s="10" t="n"/>
      <c r="AU44" s="11" t="n"/>
      <c r="AV44" s="45" t="inlineStr"/>
      <c r="AW44" s="10" t="n"/>
      <c r="AX44" s="11" t="n"/>
      <c r="AY44" s="45" t="inlineStr"/>
      <c r="AZ44" s="10" t="n"/>
      <c r="BA44" s="11" t="n"/>
      <c r="BB44" s="45" t="inlineStr"/>
      <c r="BC44" s="10" t="n"/>
      <c r="BD44" s="11" t="n"/>
      <c r="BE44" s="45" t="inlineStr"/>
      <c r="BF44" s="10" t="n"/>
      <c r="BG44" s="11" t="n"/>
      <c r="BH44" s="45" t="inlineStr"/>
      <c r="BI44" s="10" t="n"/>
      <c r="BJ44" s="11" t="n"/>
      <c r="BK44" s="46" t="inlineStr">
        <is>
          <t>(なし)
---</t>
        </is>
      </c>
      <c r="BL44" s="10" t="n"/>
      <c r="BM44" s="10" t="n"/>
      <c r="BN44" s="10" t="n"/>
      <c r="BO44" s="10" t="n"/>
      <c r="BP44" s="10" t="n"/>
      <c r="BQ44" s="11" t="n"/>
    </row>
    <row r="45" ht="22.5" customHeight="1">
      <c r="A45" s="32" t="inlineStr">
        <is>
          <t>検索・ソート・ページネーション（Search / Sort / Pagination）</t>
        </is>
      </c>
      <c r="B45" s="10" t="n"/>
      <c r="C45" s="10" t="n"/>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c r="AD45" s="10" t="n"/>
      <c r="AE45" s="10" t="n"/>
      <c r="AF45" s="10" t="n"/>
      <c r="AG45" s="10" t="n"/>
      <c r="AH45" s="10" t="n"/>
      <c r="AI45" s="10" t="n"/>
      <c r="AJ45" s="10" t="n"/>
      <c r="AK45" s="10" t="n"/>
      <c r="AL45" s="10" t="n"/>
      <c r="AM45" s="10" t="n"/>
      <c r="AN45" s="10" t="n"/>
      <c r="AO45" s="10" t="n"/>
      <c r="AP45" s="10" t="n"/>
      <c r="AQ45" s="10" t="n"/>
      <c r="AR45" s="10" t="n"/>
      <c r="AS45" s="10" t="n"/>
      <c r="AT45" s="10" t="n"/>
      <c r="AU45" s="10" t="n"/>
      <c r="AV45" s="10" t="n"/>
      <c r="AW45" s="10" t="n"/>
      <c r="AX45" s="10" t="n"/>
      <c r="AY45" s="10" t="n"/>
      <c r="AZ45" s="10" t="n"/>
      <c r="BA45" s="10" t="n"/>
      <c r="BB45" s="10" t="n"/>
      <c r="BC45" s="10" t="n"/>
      <c r="BD45" s="10" t="n"/>
      <c r="BE45" s="10" t="n"/>
      <c r="BF45" s="10" t="n"/>
      <c r="BG45" s="10" t="n"/>
      <c r="BH45" s="10" t="n"/>
      <c r="BI45" s="10" t="n"/>
      <c r="BJ45" s="10" t="n"/>
      <c r="BK45" s="10" t="n"/>
      <c r="BL45" s="10" t="n"/>
      <c r="BM45" s="10" t="n"/>
      <c r="BN45" s="10" t="n"/>
      <c r="BO45" s="10" t="n"/>
      <c r="BP45" s="10" t="n"/>
      <c r="BQ45" s="11" t="n"/>
    </row>
    <row r="46" ht="416" customHeight="1">
      <c r="A46" s="44" t="n">
        <v>30</v>
      </c>
      <c r="B46" s="46" t="inlineStr">
        <is>
          <t>ACSMS-TC-002-030</t>
        </is>
      </c>
      <c r="C46" s="10" t="n"/>
      <c r="D46" s="11" t="n"/>
      <c r="E46" s="46" t="inlineStr">
        <is>
          <t>初期表示 — 検索条件なしで全件取得（データスコープ内）</t>
        </is>
      </c>
      <c r="F46" s="10" t="n"/>
      <c r="G46" s="10" t="n"/>
      <c r="H46" s="10" t="n"/>
      <c r="I46" s="11" t="n"/>
      <c r="J46" s="46" t="inlineStr">
        <is>
          <t>・role: CHUOKAI
・自中央会の単価データが30件程度登録済</t>
        </is>
      </c>
      <c r="K46" s="10" t="n"/>
      <c r="L46" s="10" t="n"/>
      <c r="M46" s="10" t="n"/>
      <c r="N46" s="10" t="n"/>
      <c r="O46" s="10" t="n"/>
      <c r="P46" s="11" t="n"/>
      <c r="Q46" s="46" t="inlineStr">
        <is>
          <r>
            <rPr>
              <rFont val="メイリオ"/>
              <b val="1"/>
              <sz val="10"/>
            </rPr>
            <t xml:space="preserve">ステップ1：
</t>
          </r>
          <r>
            <rPr>
              <rFont val="メイリオ"/>
              <sz val="10"/>
            </rPr>
            <t xml:space="preserve">`/tanka` を開く
</t>
          </r>
          <r>
            <rPr>
              <rFont val="メイリオ"/>
              <b val="1"/>
              <sz val="10"/>
            </rPr>
            <t xml:space="preserve">ステップ2：
</t>
          </r>
          <r>
            <rPr>
              <rFont val="メイリオ"/>
              <sz val="10"/>
            </rPr>
            <t xml:space="preserve">DevTools で送信されたAPIリクエストを確認
</t>
          </r>
          <r>
            <rPr>
              <rFont val="メイリオ"/>
              <b val="1"/>
              <sz val="10"/>
            </rPr>
            <t xml:space="preserve">ステップ3：
</t>
          </r>
          <r>
            <rPr>
              <rFont val="メイリオ"/>
              <sz val="10"/>
            </rPr>
            <t>一覧テーブルの表示を確認</t>
          </r>
        </is>
      </c>
      <c r="R46" s="10" t="n"/>
      <c r="S46" s="10" t="n"/>
      <c r="T46" s="10" t="n"/>
      <c r="U46" s="10" t="n"/>
      <c r="V46" s="10" t="n"/>
      <c r="W46" s="11" t="n"/>
      <c r="X46" s="46" t="inlineStr">
        <is>
          <r>
            <rPr>
              <rFont val="メイリオ"/>
              <b val="1"/>
              <sz val="10"/>
            </rPr>
            <t xml:space="preserve">ステップ1：
</t>
          </r>
          <r>
            <rPr>
              <rFont val="メイリオ"/>
              <sz val="10"/>
            </rPr>
            <t xml:space="preserve">単価マスタ明細検索画面が表示されること
</t>
          </r>
          <r>
            <rPr>
              <rFont val="メイリオ"/>
              <b val="1"/>
              <sz val="10"/>
            </rPr>
            <t xml:space="preserve">ステップ2：
</t>
          </r>
          <r>
            <rPr>
              <rFont val="メイリオ"/>
              <sz val="10"/>
            </rPr>
            <t xml:space="preserve">GET `/api/v1/tanka?page=1&amp;per_page=20&amp;sort_by=updated_at&amp;sort_order=desc` が送信されること
</t>
          </r>
          <r>
            <rPr>
              <rFont val="メイリオ"/>
              <b val="1"/>
              <sz val="10"/>
            </rPr>
            <t xml:space="preserve">ステップ3：
</t>
          </r>
          <r>
            <rPr>
              <rFont val="メイリオ"/>
              <sz val="10"/>
            </rPr>
            <t xml:space="preserve">更新日時の降順で先頭ページ20件が表示されること、ページネーションは「全 30 件」と表示されること
</t>
          </r>
          <r>
            <rPr>
              <rFont val="メイリオ"/>
              <b val="1"/>
              <sz val="10"/>
            </rPr>
            <t xml:space="preserve">補足：
</t>
          </r>
          <r>
            <rPr>
              <rFont val="メイリオ"/>
              <sz val="10"/>
            </rPr>
            <t xml:space="preserve">・最新更新されたレコードが先頭に表示されること
</t>
          </r>
          <r>
            <rPr>
              <rFont val="メイリオ"/>
              <sz val="10"/>
            </rPr>
            <t xml:space="preserve">・データスコープ制御により自中央会のレコードのみが返却されること
</t>
          </r>
          <r>
            <rPr>
              <rFont val="メイリオ"/>
              <sz val="10"/>
            </rPr>
            <t>・適用期間条件（`tekiyo_end_date IS NULL OR tekiyo_end_date &gt;= CURRENT_DATE`）が適用されること</t>
          </r>
        </is>
      </c>
      <c r="Y46" s="10" t="n"/>
      <c r="Z46" s="10" t="n"/>
      <c r="AA46" s="10" t="n"/>
      <c r="AB46" s="10" t="n"/>
      <c r="AC46" s="10" t="n"/>
      <c r="AD46" s="11" t="n"/>
      <c r="AE46" s="45" t="inlineStr">
        <is>
          <t>N</t>
        </is>
      </c>
      <c r="AF46" s="11" t="n"/>
      <c r="AG46" s="45" t="inlineStr"/>
      <c r="AH46" s="10" t="n"/>
      <c r="AI46" s="11" t="n"/>
      <c r="AJ46" s="45" t="inlineStr"/>
      <c r="AK46" s="10" t="n"/>
      <c r="AL46" s="11" t="n"/>
      <c r="AM46" s="45" t="inlineStr"/>
      <c r="AN46" s="10" t="n"/>
      <c r="AO46" s="11" t="n"/>
      <c r="AP46" s="45" t="inlineStr"/>
      <c r="AQ46" s="10" t="n"/>
      <c r="AR46" s="11" t="n"/>
      <c r="AS46" s="45" t="inlineStr"/>
      <c r="AT46" s="10" t="n"/>
      <c r="AU46" s="11" t="n"/>
      <c r="AV46" s="45" t="inlineStr"/>
      <c r="AW46" s="10" t="n"/>
      <c r="AX46" s="11" t="n"/>
      <c r="AY46" s="45" t="inlineStr"/>
      <c r="AZ46" s="10" t="n"/>
      <c r="BA46" s="11" t="n"/>
      <c r="BB46" s="45" t="inlineStr"/>
      <c r="BC46" s="10" t="n"/>
      <c r="BD46" s="11" t="n"/>
      <c r="BE46" s="45" t="inlineStr"/>
      <c r="BF46" s="10" t="n"/>
      <c r="BG46" s="11" t="n"/>
      <c r="BH46" s="45" t="inlineStr"/>
      <c r="BI46" s="10" t="n"/>
      <c r="BJ46" s="11" t="n"/>
      <c r="BK46" s="46" t="inlineStr"/>
      <c r="BL46" s="10" t="n"/>
      <c r="BM46" s="10" t="n"/>
      <c r="BN46" s="10" t="n"/>
      <c r="BO46" s="10" t="n"/>
      <c r="BP46" s="10" t="n"/>
      <c r="BQ46" s="11" t="n"/>
    </row>
    <row r="47" ht="336" customHeight="1">
      <c r="A47" s="44" t="n">
        <v>31</v>
      </c>
      <c r="B47" s="46" t="inlineStr">
        <is>
          <t>ACSMS-TC-002-031</t>
        </is>
      </c>
      <c r="C47" s="10" t="n"/>
      <c r="D47" s="11" t="n"/>
      <c r="E47" s="46" t="inlineStr">
        <is>
          <t>複数検索条件のAND結合検索</t>
        </is>
      </c>
      <c r="F47" s="10" t="n"/>
      <c r="G47" s="10" t="n"/>
      <c r="H47" s="10" t="n"/>
      <c r="I47" s="11" t="n"/>
      <c r="J47" s="46" t="inlineStr">
        <is>
          <t>・role: CHUOKAI
・単価データが20件程度登録済</t>
        </is>
      </c>
      <c r="K47" s="10" t="n"/>
      <c r="L47" s="10" t="n"/>
      <c r="M47" s="10" t="n"/>
      <c r="N47" s="10" t="n"/>
      <c r="O47" s="10" t="n"/>
      <c r="P47" s="11" t="n"/>
      <c r="Q47" s="46" t="inlineStr">
        <is>
          <r>
            <rPr>
              <rFont val="メイリオ"/>
              <b val="1"/>
              <sz val="10"/>
            </rPr>
            <t xml:space="preserve">ステップ1：
</t>
          </r>
          <r>
            <rPr>
              <rFont val="メイリオ"/>
              <sz val="10"/>
            </rPr>
            <t xml:space="preserve">単価種別「新聞購読料」、単価名 `基本`、適用開始日 `2026-04-01`、有効単価フラグ「有効」をそれぞれ入力／選択
</t>
          </r>
          <r>
            <rPr>
              <rFont val="メイリオ"/>
              <b val="1"/>
              <sz val="10"/>
            </rPr>
            <t xml:space="preserve">ステップ2：
</t>
          </r>
          <r>
            <rPr>
              <rFont val="メイリオ"/>
              <sz val="10"/>
            </rPr>
            <t xml:space="preserve">「検索」ボタンを押下
</t>
          </r>
          <r>
            <rPr>
              <rFont val="メイリオ"/>
              <b val="1"/>
              <sz val="10"/>
            </rPr>
            <t xml:space="preserve">ステップ3：
</t>
          </r>
          <r>
            <rPr>
              <rFont val="メイリオ"/>
              <sz val="10"/>
            </rPr>
            <t>DevTools で送信されたAPIリクエストを確認</t>
          </r>
        </is>
      </c>
      <c r="R47" s="10" t="n"/>
      <c r="S47" s="10" t="n"/>
      <c r="T47" s="10" t="n"/>
      <c r="U47" s="10" t="n"/>
      <c r="V47" s="10" t="n"/>
      <c r="W47" s="11" t="n"/>
      <c r="X47" s="46" t="inlineStr">
        <is>
          <r>
            <rPr>
              <rFont val="メイリオ"/>
              <b val="1"/>
              <sz val="10"/>
            </rPr>
            <t xml:space="preserve">ステップ1：
</t>
          </r>
          <r>
            <rPr>
              <rFont val="メイリオ"/>
              <sz val="10"/>
            </rPr>
            <t xml:space="preserve">4項目に入力値が反映されること
</t>
          </r>
          <r>
            <rPr>
              <rFont val="メイリオ"/>
              <b val="1"/>
              <sz val="10"/>
            </rPr>
            <t xml:space="preserve">ステップ2：
</t>
          </r>
          <r>
            <rPr>
              <rFont val="メイリオ"/>
              <sz val="10"/>
            </rPr>
            <t xml:space="preserve">4条件すべてに一致するレコードのみ表示されること
</t>
          </r>
          <r>
            <rPr>
              <rFont val="メイリオ"/>
              <b val="1"/>
              <sz val="10"/>
            </rPr>
            <t xml:space="preserve">ステップ3：
</t>
          </r>
          <r>
            <rPr>
              <rFont val="メイリオ"/>
              <sz val="10"/>
            </rPr>
            <t xml:space="preserve">GET `/api/v1/tanka?tanka_type=1&amp;tanka_name=基本&amp;tekiyo_start_date=2026-04-01&amp;active_flg=true&amp;page=1&amp;per_page=20&amp;sort_by=updated_at&amp;sort_order=desc` が送信されること
</t>
          </r>
          <r>
            <rPr>
              <rFont val="メイリオ"/>
              <b val="1"/>
              <sz val="10"/>
            </rPr>
            <t xml:space="preserve">補足：
</t>
          </r>
          <r>
            <rPr>
              <rFont val="メイリオ"/>
              <sz val="10"/>
            </rPr>
            <t xml:space="preserve">・検索条件はAND結合で適用されること（OR ではない）
</t>
          </r>
          <r>
            <rPr>
              <rFont val="メイリオ"/>
              <sz val="10"/>
            </rPr>
            <t>・検索条件に一致するデータのみ表示されること</t>
          </r>
        </is>
      </c>
      <c r="Y47" s="10" t="n"/>
      <c r="Z47" s="10" t="n"/>
      <c r="AA47" s="10" t="n"/>
      <c r="AB47" s="10" t="n"/>
      <c r="AC47" s="10" t="n"/>
      <c r="AD47" s="11" t="n"/>
      <c r="AE47" s="45" t="inlineStr">
        <is>
          <t>N</t>
        </is>
      </c>
      <c r="AF47" s="11" t="n"/>
      <c r="AG47" s="45" t="inlineStr"/>
      <c r="AH47" s="10" t="n"/>
      <c r="AI47" s="11" t="n"/>
      <c r="AJ47" s="45" t="inlineStr"/>
      <c r="AK47" s="10" t="n"/>
      <c r="AL47" s="11" t="n"/>
      <c r="AM47" s="45" t="inlineStr"/>
      <c r="AN47" s="10" t="n"/>
      <c r="AO47" s="11" t="n"/>
      <c r="AP47" s="45" t="inlineStr"/>
      <c r="AQ47" s="10" t="n"/>
      <c r="AR47" s="11" t="n"/>
      <c r="AS47" s="45" t="inlineStr"/>
      <c r="AT47" s="10" t="n"/>
      <c r="AU47" s="11" t="n"/>
      <c r="AV47" s="45" t="inlineStr"/>
      <c r="AW47" s="10" t="n"/>
      <c r="AX47" s="11" t="n"/>
      <c r="AY47" s="45" t="inlineStr"/>
      <c r="AZ47" s="10" t="n"/>
      <c r="BA47" s="11" t="n"/>
      <c r="BB47" s="45" t="inlineStr"/>
      <c r="BC47" s="10" t="n"/>
      <c r="BD47" s="11" t="n"/>
      <c r="BE47" s="45" t="inlineStr"/>
      <c r="BF47" s="10" t="n"/>
      <c r="BG47" s="11" t="n"/>
      <c r="BH47" s="45" t="inlineStr"/>
      <c r="BI47" s="10" t="n"/>
      <c r="BJ47" s="11" t="n"/>
      <c r="BK47" s="46" t="inlineStr"/>
      <c r="BL47" s="10" t="n"/>
      <c r="BM47" s="10" t="n"/>
      <c r="BN47" s="10" t="n"/>
      <c r="BO47" s="10" t="n"/>
      <c r="BP47" s="10" t="n"/>
      <c r="BQ47" s="11" t="n"/>
    </row>
    <row r="48" ht="320" customHeight="1">
      <c r="A48" s="44" t="n">
        <v>32</v>
      </c>
      <c r="B48" s="46" t="inlineStr">
        <is>
          <t>ACSMS-TC-002-032</t>
        </is>
      </c>
      <c r="C48" s="10" t="n"/>
      <c r="D48" s="11" t="n"/>
      <c r="E48" s="46" t="inlineStr">
        <is>
          <t>適用開始日・終了日の範囲指定 AND 検索</t>
        </is>
      </c>
      <c r="F48" s="10" t="n"/>
      <c r="G48" s="10" t="n"/>
      <c r="H48" s="10" t="n"/>
      <c r="I48" s="11" t="n"/>
      <c r="J48" s="46" t="inlineStr">
        <is>
          <t>・role: CHUOKAI
・適用開始日 `2026-04-01` 〜 適用終了日 `2027-03-31` のレコードが登録済</t>
        </is>
      </c>
      <c r="K48" s="10" t="n"/>
      <c r="L48" s="10" t="n"/>
      <c r="M48" s="10" t="n"/>
      <c r="N48" s="10" t="n"/>
      <c r="O48" s="10" t="n"/>
      <c r="P48" s="11" t="n"/>
      <c r="Q48" s="46" t="inlineStr">
        <is>
          <r>
            <rPr>
              <rFont val="メイリオ"/>
              <b val="1"/>
              <sz val="10"/>
            </rPr>
            <t xml:space="preserve">ステップ1：
</t>
          </r>
          <r>
            <rPr>
              <rFont val="メイリオ"/>
              <sz val="10"/>
            </rPr>
            <t xml:space="preserve">適用開始日に `2026-04-01`、適用終了日に `2027-03-31` を入力
</t>
          </r>
          <r>
            <rPr>
              <rFont val="メイリオ"/>
              <b val="1"/>
              <sz val="10"/>
            </rPr>
            <t xml:space="preserve">ステップ2：
</t>
          </r>
          <r>
            <rPr>
              <rFont val="メイリオ"/>
              <sz val="10"/>
            </rPr>
            <t xml:space="preserve">「検索」ボタンを押下
</t>
          </r>
          <r>
            <rPr>
              <rFont val="メイリオ"/>
              <b val="1"/>
              <sz val="10"/>
            </rPr>
            <t xml:space="preserve">ステップ3：
</t>
          </r>
          <r>
            <rPr>
              <rFont val="メイリオ"/>
              <sz val="10"/>
            </rPr>
            <t>DevTools でAPIリクエストを確認</t>
          </r>
        </is>
      </c>
      <c r="R48" s="10" t="n"/>
      <c r="S48" s="10" t="n"/>
      <c r="T48" s="10" t="n"/>
      <c r="U48" s="10" t="n"/>
      <c r="V48" s="10" t="n"/>
      <c r="W48" s="11" t="n"/>
      <c r="X48" s="46" t="inlineStr">
        <is>
          <r>
            <rPr>
              <rFont val="メイリオ"/>
              <b val="1"/>
              <sz val="10"/>
            </rPr>
            <t xml:space="preserve">ステップ1：
</t>
          </r>
          <r>
            <rPr>
              <rFont val="メイリオ"/>
              <sz val="10"/>
            </rPr>
            <t xml:space="preserve">両入力欄に値が反映されること
</t>
          </r>
          <r>
            <rPr>
              <rFont val="メイリオ"/>
              <b val="1"/>
              <sz val="10"/>
            </rPr>
            <t xml:space="preserve">ステップ2：
</t>
          </r>
          <r>
            <rPr>
              <rFont val="メイリオ"/>
              <sz val="10"/>
            </rPr>
            <t xml:space="preserve">`tekiyo_start_date &gt;= 2026-04-01 AND tekiyo_end_date IS NOT NULL AND tekiyo_end_date &lt;= 2027-03-31` を満たすレコードのみ表示されること
</t>
          </r>
          <r>
            <rPr>
              <rFont val="メイリオ"/>
              <b val="1"/>
              <sz val="10"/>
            </rPr>
            <t xml:space="preserve">ステップ3：
</t>
          </r>
          <r>
            <rPr>
              <rFont val="メイリオ"/>
              <sz val="10"/>
            </rPr>
            <t xml:space="preserve">GET `/api/v1/tanka?tekiyo_start_date=2026-04-01&amp;tekiyo_end_date=2027-03-31&amp;...` が送信されること
</t>
          </r>
          <r>
            <rPr>
              <rFont val="メイリオ"/>
              <b val="1"/>
              <sz val="10"/>
            </rPr>
            <t xml:space="preserve">補足：
</t>
          </r>
          <r>
            <rPr>
              <rFont val="メイリオ"/>
              <sz val="10"/>
            </rPr>
            <t>・適用終了日 NULL（無期限）レコードはこの組み合わせ検索では対象外であること</t>
          </r>
        </is>
      </c>
      <c r="Y48" s="10" t="n"/>
      <c r="Z48" s="10" t="n"/>
      <c r="AA48" s="10" t="n"/>
      <c r="AB48" s="10" t="n"/>
      <c r="AC48" s="10" t="n"/>
      <c r="AD48" s="11" t="n"/>
      <c r="AE48" s="45" t="inlineStr">
        <is>
          <t>N</t>
        </is>
      </c>
      <c r="AF48" s="11" t="n"/>
      <c r="AG48" s="45" t="inlineStr"/>
      <c r="AH48" s="10" t="n"/>
      <c r="AI48" s="11" t="n"/>
      <c r="AJ48" s="45" t="inlineStr"/>
      <c r="AK48" s="10" t="n"/>
      <c r="AL48" s="11" t="n"/>
      <c r="AM48" s="45" t="inlineStr"/>
      <c r="AN48" s="10" t="n"/>
      <c r="AO48" s="11" t="n"/>
      <c r="AP48" s="45" t="inlineStr"/>
      <c r="AQ48" s="10" t="n"/>
      <c r="AR48" s="11" t="n"/>
      <c r="AS48" s="45" t="inlineStr"/>
      <c r="AT48" s="10" t="n"/>
      <c r="AU48" s="11" t="n"/>
      <c r="AV48" s="45" t="inlineStr"/>
      <c r="AW48" s="10" t="n"/>
      <c r="AX48" s="11" t="n"/>
      <c r="AY48" s="45" t="inlineStr"/>
      <c r="AZ48" s="10" t="n"/>
      <c r="BA48" s="11" t="n"/>
      <c r="BB48" s="45" t="inlineStr"/>
      <c r="BC48" s="10" t="n"/>
      <c r="BD48" s="11" t="n"/>
      <c r="BE48" s="45" t="inlineStr"/>
      <c r="BF48" s="10" t="n"/>
      <c r="BG48" s="11" t="n"/>
      <c r="BH48" s="45" t="inlineStr"/>
      <c r="BI48" s="10" t="n"/>
      <c r="BJ48" s="11" t="n"/>
      <c r="BK48" s="46" t="inlineStr"/>
      <c r="BL48" s="10" t="n"/>
      <c r="BM48" s="10" t="n"/>
      <c r="BN48" s="10" t="n"/>
      <c r="BO48" s="10" t="n"/>
      <c r="BP48" s="10" t="n"/>
      <c r="BQ48" s="11" t="n"/>
    </row>
    <row r="49" ht="416" customHeight="1">
      <c r="A49" s="44" t="n">
        <v>33</v>
      </c>
      <c r="B49" s="46" t="inlineStr">
        <is>
          <t>ACSMS-TC-002-033</t>
        </is>
      </c>
      <c r="C49" s="10" t="n"/>
      <c r="D49" s="11" t="n"/>
      <c r="E49" s="46" t="inlineStr">
        <is>
          <t>検索クリアボタン動作</t>
        </is>
      </c>
      <c r="F49" s="10" t="n"/>
      <c r="G49" s="10" t="n"/>
      <c r="H49" s="10" t="n"/>
      <c r="I49" s="11" t="n"/>
      <c r="J49" s="46" t="inlineStr">
        <is>
          <t>・role: CHUOKAI</t>
        </is>
      </c>
      <c r="K49" s="10" t="n"/>
      <c r="L49" s="10" t="n"/>
      <c r="M49" s="10" t="n"/>
      <c r="N49" s="10" t="n"/>
      <c r="O49" s="10" t="n"/>
      <c r="P49" s="11" t="n"/>
      <c r="Q49" s="46" t="inlineStr">
        <is>
          <r>
            <rPr>
              <rFont val="メイリオ"/>
              <b val="1"/>
              <sz val="10"/>
            </rPr>
            <t xml:space="preserve">ステップ1：
</t>
          </r>
          <r>
            <rPr>
              <rFont val="メイリオ"/>
              <sz val="10"/>
            </rPr>
            <t xml:space="preserve">単価種別「新聞購読料」、単価名 `基本`、適用開始日 `2026-04-01`、有効単価フラグ「有効」を入力
</t>
          </r>
          <r>
            <rPr>
              <rFont val="メイリオ"/>
              <b val="1"/>
              <sz val="10"/>
            </rPr>
            <t xml:space="preserve">ステップ2：
</t>
          </r>
          <r>
            <rPr>
              <rFont val="メイリオ"/>
              <sz val="10"/>
            </rPr>
            <t xml:space="preserve">「検索」ボタンを押下し、結果を絞り込む
</t>
          </r>
          <r>
            <rPr>
              <rFont val="メイリオ"/>
              <b val="1"/>
              <sz val="10"/>
            </rPr>
            <t xml:space="preserve">ステップ3：
</t>
          </r>
          <r>
            <rPr>
              <rFont val="メイリオ"/>
              <sz val="10"/>
            </rPr>
            <t xml:space="preserve">「検索クリア」ボタンを押下
</t>
          </r>
          <r>
            <rPr>
              <rFont val="メイリオ"/>
              <b val="1"/>
              <sz val="10"/>
            </rPr>
            <t xml:space="preserve">ステップ4：
</t>
          </r>
          <r>
            <rPr>
              <rFont val="メイリオ"/>
              <sz val="10"/>
            </rPr>
            <t>検索フォームと一覧表示を確認</t>
          </r>
        </is>
      </c>
      <c r="R49" s="10" t="n"/>
      <c r="S49" s="10" t="n"/>
      <c r="T49" s="10" t="n"/>
      <c r="U49" s="10" t="n"/>
      <c r="V49" s="10" t="n"/>
      <c r="W49" s="11" t="n"/>
      <c r="X49" s="46" t="inlineStr">
        <is>
          <r>
            <rPr>
              <rFont val="メイリオ"/>
              <b val="1"/>
              <sz val="10"/>
            </rPr>
            <t xml:space="preserve">ステップ1：
</t>
          </r>
          <r>
            <rPr>
              <rFont val="メイリオ"/>
              <sz val="10"/>
            </rPr>
            <t xml:space="preserve">入力値が反映されること
</t>
          </r>
          <r>
            <rPr>
              <rFont val="メイリオ"/>
              <b val="1"/>
              <sz val="10"/>
            </rPr>
            <t xml:space="preserve">ステップ2：
</t>
          </r>
          <r>
            <rPr>
              <rFont val="メイリオ"/>
              <sz val="10"/>
            </rPr>
            <t xml:space="preserve">絞り込まれた結果が表示されること
</t>
          </r>
          <r>
            <rPr>
              <rFont val="メイリオ"/>
              <b val="1"/>
              <sz val="10"/>
            </rPr>
            <t xml:space="preserve">ステップ3：
</t>
          </r>
          <r>
            <rPr>
              <rFont val="メイリオ"/>
              <sz val="10"/>
            </rPr>
            <t xml:space="preserve">処理が実行されること
</t>
          </r>
          <r>
            <rPr>
              <rFont val="メイリオ"/>
              <b val="1"/>
              <sz val="10"/>
            </rPr>
            <t xml:space="preserve">ステップ4：
</t>
          </r>
          <r>
            <rPr>
              <rFont val="メイリオ"/>
              <sz val="10"/>
            </rPr>
            <t xml:space="preserve">検索条件がクリアされること（単価種別未選択、単価名空欄、適用開始日／適用終了日空欄、有効単価フラグ未選択）、ソート条件も初期値（updated_at 降順）に戻ること、再度全件取得が実行され先頭ページが表示されること、トースト `検索条件をクリアしました。`（ACSMS-MSG-002-002）が表示されること
</t>
          </r>
          <r>
            <rPr>
              <rFont val="メイリオ"/>
              <b val="1"/>
              <sz val="10"/>
            </rPr>
            <t xml:space="preserve">補足：
</t>
          </r>
          <r>
            <rPr>
              <rFont val="メイリオ"/>
              <sz val="10"/>
            </rPr>
            <t xml:space="preserve">・検索条件がクリアされること
</t>
          </r>
          <r>
            <rPr>
              <rFont val="メイリオ"/>
              <sz val="10"/>
            </rPr>
            <t>・先頭ページが表示されること</t>
          </r>
        </is>
      </c>
      <c r="Y49" s="10" t="n"/>
      <c r="Z49" s="10" t="n"/>
      <c r="AA49" s="10" t="n"/>
      <c r="AB49" s="10" t="n"/>
      <c r="AC49" s="10" t="n"/>
      <c r="AD49" s="11" t="n"/>
      <c r="AE49" s="45" t="inlineStr">
        <is>
          <t>N</t>
        </is>
      </c>
      <c r="AF49" s="11" t="n"/>
      <c r="AG49" s="45" t="inlineStr"/>
      <c r="AH49" s="10" t="n"/>
      <c r="AI49" s="11" t="n"/>
      <c r="AJ49" s="45" t="inlineStr"/>
      <c r="AK49" s="10" t="n"/>
      <c r="AL49" s="11" t="n"/>
      <c r="AM49" s="45" t="inlineStr"/>
      <c r="AN49" s="10" t="n"/>
      <c r="AO49" s="11" t="n"/>
      <c r="AP49" s="45" t="inlineStr"/>
      <c r="AQ49" s="10" t="n"/>
      <c r="AR49" s="11" t="n"/>
      <c r="AS49" s="45" t="inlineStr"/>
      <c r="AT49" s="10" t="n"/>
      <c r="AU49" s="11" t="n"/>
      <c r="AV49" s="45" t="inlineStr"/>
      <c r="AW49" s="10" t="n"/>
      <c r="AX49" s="11" t="n"/>
      <c r="AY49" s="45" t="inlineStr"/>
      <c r="AZ49" s="10" t="n"/>
      <c r="BA49" s="11" t="n"/>
      <c r="BB49" s="45" t="inlineStr"/>
      <c r="BC49" s="10" t="n"/>
      <c r="BD49" s="11" t="n"/>
      <c r="BE49" s="45" t="inlineStr"/>
      <c r="BF49" s="10" t="n"/>
      <c r="BG49" s="11" t="n"/>
      <c r="BH49" s="45" t="inlineStr"/>
      <c r="BI49" s="10" t="n"/>
      <c r="BJ49" s="11" t="n"/>
      <c r="BK49" s="46" t="inlineStr"/>
      <c r="BL49" s="10" t="n"/>
      <c r="BM49" s="10" t="n"/>
      <c r="BN49" s="10" t="n"/>
      <c r="BO49" s="10" t="n"/>
      <c r="BP49" s="10" t="n"/>
      <c r="BQ49" s="11" t="n"/>
    </row>
    <row r="50" ht="304" customHeight="1">
      <c r="A50" s="44" t="n">
        <v>34</v>
      </c>
      <c r="B50" s="46" t="inlineStr">
        <is>
          <t>ACSMS-TC-002-034</t>
        </is>
      </c>
      <c r="C50" s="10" t="n"/>
      <c r="D50" s="11" t="n"/>
      <c r="E50" s="46" t="inlineStr">
        <is>
          <t>ソート — 単価コード 昇順</t>
        </is>
      </c>
      <c r="F50" s="10" t="n"/>
      <c r="G50" s="10" t="n"/>
      <c r="H50" s="10" t="n"/>
      <c r="I50" s="11" t="n"/>
      <c r="J50" s="46" t="inlineStr">
        <is>
          <t>・role: CHUOKAI
・単価データが10件以上登録済</t>
        </is>
      </c>
      <c r="K50" s="10" t="n"/>
      <c r="L50" s="10" t="n"/>
      <c r="M50" s="10" t="n"/>
      <c r="N50" s="10" t="n"/>
      <c r="O50" s="10" t="n"/>
      <c r="P50" s="11" t="n"/>
      <c r="Q50" s="46" t="inlineStr">
        <is>
          <r>
            <rPr>
              <rFont val="メイリオ"/>
              <b val="1"/>
              <sz val="10"/>
            </rPr>
            <t xml:space="preserve">ステップ1：
</t>
          </r>
          <r>
            <rPr>
              <rFont val="メイリオ"/>
              <sz val="10"/>
            </rPr>
            <t xml:space="preserve">`/tanka` を開く
</t>
          </r>
          <r>
            <rPr>
              <rFont val="メイリオ"/>
              <b val="1"/>
              <sz val="10"/>
            </rPr>
            <t xml:space="preserve">ステップ2：
</t>
          </r>
          <r>
            <rPr>
              <rFont val="メイリオ"/>
              <sz val="10"/>
            </rPr>
            <t xml:space="preserve">「単価コード」カラムヘッダーを1回押下
</t>
          </r>
          <r>
            <rPr>
              <rFont val="メイリオ"/>
              <b val="1"/>
              <sz val="10"/>
            </rPr>
            <t xml:space="preserve">ステップ3：
</t>
          </r>
          <r>
            <rPr>
              <rFont val="メイリオ"/>
              <sz val="10"/>
            </rPr>
            <t>APIリクエストと表示順を確認</t>
          </r>
        </is>
      </c>
      <c r="R50" s="10" t="n"/>
      <c r="S50" s="10" t="n"/>
      <c r="T50" s="10" t="n"/>
      <c r="U50" s="10" t="n"/>
      <c r="V50" s="10" t="n"/>
      <c r="W50" s="11" t="n"/>
      <c r="X50" s="46" t="inlineStr">
        <is>
          <r>
            <rPr>
              <rFont val="メイリオ"/>
              <b val="1"/>
              <sz val="10"/>
            </rPr>
            <t xml:space="preserve">ステップ1：
</t>
          </r>
          <r>
            <rPr>
              <rFont val="メイリオ"/>
              <sz val="10"/>
            </rPr>
            <t xml:space="preserve">初期状態（updated_at 降順）で表示されること
</t>
          </r>
          <r>
            <rPr>
              <rFont val="メイリオ"/>
              <b val="1"/>
              <sz val="10"/>
            </rPr>
            <t xml:space="preserve">ステップ2：
</t>
          </r>
          <r>
            <rPr>
              <rFont val="メイリオ"/>
              <sz val="10"/>
            </rPr>
            <t xml:space="preserve">ソートアイコンが▲（昇順）に切り替わること
</t>
          </r>
          <r>
            <rPr>
              <rFont val="メイリオ"/>
              <b val="1"/>
              <sz val="10"/>
            </rPr>
            <t xml:space="preserve">ステップ3：
</t>
          </r>
          <r>
            <rPr>
              <rFont val="メイリオ"/>
              <sz val="10"/>
            </rPr>
            <t xml:space="preserve">GET `/api/v1/tanka?...&amp;sort_by=tanka_code&amp;sort_order=asc` が送信されること、単価コードの昇順で並べ替えられて表示されること
</t>
          </r>
          <r>
            <rPr>
              <rFont val="メイリオ"/>
              <b val="1"/>
              <sz val="10"/>
            </rPr>
            <t xml:space="preserve">補足：
</t>
          </r>
          <r>
            <rPr>
              <rFont val="メイリオ"/>
              <sz val="10"/>
            </rPr>
            <t xml:space="preserve">・ソート順が正しいこと
</t>
          </r>
          <r>
            <rPr>
              <rFont val="メイリオ"/>
              <sz val="10"/>
            </rPr>
            <t>・現在の検索条件を維持したままソートが適用されること</t>
          </r>
        </is>
      </c>
      <c r="Y50" s="10" t="n"/>
      <c r="Z50" s="10" t="n"/>
      <c r="AA50" s="10" t="n"/>
      <c r="AB50" s="10" t="n"/>
      <c r="AC50" s="10" t="n"/>
      <c r="AD50" s="11" t="n"/>
      <c r="AE50" s="45" t="inlineStr">
        <is>
          <t>N</t>
        </is>
      </c>
      <c r="AF50" s="11" t="n"/>
      <c r="AG50" s="45" t="inlineStr"/>
      <c r="AH50" s="10" t="n"/>
      <c r="AI50" s="11" t="n"/>
      <c r="AJ50" s="45" t="inlineStr"/>
      <c r="AK50" s="10" t="n"/>
      <c r="AL50" s="11" t="n"/>
      <c r="AM50" s="45" t="inlineStr"/>
      <c r="AN50" s="10" t="n"/>
      <c r="AO50" s="11" t="n"/>
      <c r="AP50" s="45" t="inlineStr"/>
      <c r="AQ50" s="10" t="n"/>
      <c r="AR50" s="11" t="n"/>
      <c r="AS50" s="45" t="inlineStr"/>
      <c r="AT50" s="10" t="n"/>
      <c r="AU50" s="11" t="n"/>
      <c r="AV50" s="45" t="inlineStr"/>
      <c r="AW50" s="10" t="n"/>
      <c r="AX50" s="11" t="n"/>
      <c r="AY50" s="45" t="inlineStr"/>
      <c r="AZ50" s="10" t="n"/>
      <c r="BA50" s="11" t="n"/>
      <c r="BB50" s="45" t="inlineStr"/>
      <c r="BC50" s="10" t="n"/>
      <c r="BD50" s="11" t="n"/>
      <c r="BE50" s="45" t="inlineStr"/>
      <c r="BF50" s="10" t="n"/>
      <c r="BG50" s="11" t="n"/>
      <c r="BH50" s="45" t="inlineStr"/>
      <c r="BI50" s="10" t="n"/>
      <c r="BJ50" s="11" t="n"/>
      <c r="BK50" s="46" t="inlineStr"/>
      <c r="BL50" s="10" t="n"/>
      <c r="BM50" s="10" t="n"/>
      <c r="BN50" s="10" t="n"/>
      <c r="BO50" s="10" t="n"/>
      <c r="BP50" s="10" t="n"/>
      <c r="BQ50" s="11" t="n"/>
    </row>
    <row r="51" ht="240" customHeight="1">
      <c r="A51" s="44" t="n">
        <v>35</v>
      </c>
      <c r="B51" s="46" t="inlineStr">
        <is>
          <t>ACSMS-TC-002-035</t>
        </is>
      </c>
      <c r="C51" s="10" t="n"/>
      <c r="D51" s="11" t="n"/>
      <c r="E51" s="46" t="inlineStr">
        <is>
          <t>ソート — 単価コード 降順</t>
        </is>
      </c>
      <c r="F51" s="10" t="n"/>
      <c r="G51" s="10" t="n"/>
      <c r="H51" s="10" t="n"/>
      <c r="I51" s="11" t="n"/>
      <c r="J51" s="46" t="inlineStr">
        <is>
          <t>・role: CHUOKAI
・単価データが10件以上登録済</t>
        </is>
      </c>
      <c r="K51" s="10" t="n"/>
      <c r="L51" s="10" t="n"/>
      <c r="M51" s="10" t="n"/>
      <c r="N51" s="10" t="n"/>
      <c r="O51" s="10" t="n"/>
      <c r="P51" s="11" t="n"/>
      <c r="Q51" s="46" t="inlineStr">
        <is>
          <r>
            <rPr>
              <rFont val="メイリオ"/>
              <b val="1"/>
              <sz val="10"/>
            </rPr>
            <t xml:space="preserve">ステップ1：
</t>
          </r>
          <r>
            <rPr>
              <rFont val="メイリオ"/>
              <sz val="10"/>
            </rPr>
            <t xml:space="preserve">「単価コード」カラムヘッダーを1回押下（昇順）
</t>
          </r>
          <r>
            <rPr>
              <rFont val="メイリオ"/>
              <b val="1"/>
              <sz val="10"/>
            </rPr>
            <t xml:space="preserve">ステップ2：
</t>
          </r>
          <r>
            <rPr>
              <rFont val="メイリオ"/>
              <sz val="10"/>
            </rPr>
            <t>「単価コード」カラムヘッダーをもう1回押下（降順）</t>
          </r>
        </is>
      </c>
      <c r="R51" s="10" t="n"/>
      <c r="S51" s="10" t="n"/>
      <c r="T51" s="10" t="n"/>
      <c r="U51" s="10" t="n"/>
      <c r="V51" s="10" t="n"/>
      <c r="W51" s="11" t="n"/>
      <c r="X51" s="46" t="inlineStr">
        <is>
          <r>
            <rPr>
              <rFont val="メイリオ"/>
              <b val="1"/>
              <sz val="10"/>
            </rPr>
            <t xml:space="preserve">ステップ1：
</t>
          </r>
          <r>
            <rPr>
              <rFont val="メイリオ"/>
              <sz val="10"/>
            </rPr>
            <t xml:space="preserve">ソートアイコンが▲（昇順）に切り替わること、単価コード昇順で表示されること
</t>
          </r>
          <r>
            <rPr>
              <rFont val="メイリオ"/>
              <b val="1"/>
              <sz val="10"/>
            </rPr>
            <t xml:space="preserve">ステップ2：
</t>
          </r>
          <r>
            <rPr>
              <rFont val="メイリオ"/>
              <sz val="10"/>
            </rPr>
            <t xml:space="preserve">ソートアイコンが▼（降順）に切り替わること、GET `/api/v1/tanka?...&amp;sort_by=tanka_code&amp;sort_order=desc` が送信されること、単価コードの降順で並べ替えられて表示されること
</t>
          </r>
          <r>
            <rPr>
              <rFont val="メイリオ"/>
              <b val="1"/>
              <sz val="10"/>
            </rPr>
            <t xml:space="preserve">補足：
</t>
          </r>
          <r>
            <rPr>
              <rFont val="メイリオ"/>
              <sz val="10"/>
            </rPr>
            <t>・ソート順が正しいこと</t>
          </r>
        </is>
      </c>
      <c r="Y51" s="10" t="n"/>
      <c r="Z51" s="10" t="n"/>
      <c r="AA51" s="10" t="n"/>
      <c r="AB51" s="10" t="n"/>
      <c r="AC51" s="10" t="n"/>
      <c r="AD51" s="11" t="n"/>
      <c r="AE51" s="45" t="inlineStr">
        <is>
          <t>N</t>
        </is>
      </c>
      <c r="AF51" s="11" t="n"/>
      <c r="AG51" s="45" t="inlineStr"/>
      <c r="AH51" s="10" t="n"/>
      <c r="AI51" s="11" t="n"/>
      <c r="AJ51" s="45" t="inlineStr"/>
      <c r="AK51" s="10" t="n"/>
      <c r="AL51" s="11" t="n"/>
      <c r="AM51" s="45" t="inlineStr"/>
      <c r="AN51" s="10" t="n"/>
      <c r="AO51" s="11" t="n"/>
      <c r="AP51" s="45" t="inlineStr"/>
      <c r="AQ51" s="10" t="n"/>
      <c r="AR51" s="11" t="n"/>
      <c r="AS51" s="45" t="inlineStr"/>
      <c r="AT51" s="10" t="n"/>
      <c r="AU51" s="11" t="n"/>
      <c r="AV51" s="45" t="inlineStr"/>
      <c r="AW51" s="10" t="n"/>
      <c r="AX51" s="11" t="n"/>
      <c r="AY51" s="45" t="inlineStr"/>
      <c r="AZ51" s="10" t="n"/>
      <c r="BA51" s="11" t="n"/>
      <c r="BB51" s="45" t="inlineStr"/>
      <c r="BC51" s="10" t="n"/>
      <c r="BD51" s="11" t="n"/>
      <c r="BE51" s="45" t="inlineStr"/>
      <c r="BF51" s="10" t="n"/>
      <c r="BG51" s="11" t="n"/>
      <c r="BH51" s="45" t="inlineStr"/>
      <c r="BI51" s="10" t="n"/>
      <c r="BJ51" s="11" t="n"/>
      <c r="BK51" s="46" t="inlineStr"/>
      <c r="BL51" s="10" t="n"/>
      <c r="BM51" s="10" t="n"/>
      <c r="BN51" s="10" t="n"/>
      <c r="BO51" s="10" t="n"/>
      <c r="BP51" s="10" t="n"/>
      <c r="BQ51" s="11" t="n"/>
    </row>
    <row r="52" ht="320" customHeight="1">
      <c r="A52" s="44" t="n">
        <v>36</v>
      </c>
      <c r="B52" s="46" t="inlineStr">
        <is>
          <t>ACSMS-TC-002-036</t>
        </is>
      </c>
      <c r="C52" s="10" t="n"/>
      <c r="D52" s="11" t="n"/>
      <c r="E52" s="46" t="inlineStr">
        <is>
          <t>ソート — 単価名 昇順／降順</t>
        </is>
      </c>
      <c r="F52" s="10" t="n"/>
      <c r="G52" s="10" t="n"/>
      <c r="H52" s="10" t="n"/>
      <c r="I52" s="11" t="n"/>
      <c r="J52" s="46" t="inlineStr">
        <is>
          <t>・role: CHUOKAI</t>
        </is>
      </c>
      <c r="K52" s="10" t="n"/>
      <c r="L52" s="10" t="n"/>
      <c r="M52" s="10" t="n"/>
      <c r="N52" s="10" t="n"/>
      <c r="O52" s="10" t="n"/>
      <c r="P52" s="11" t="n"/>
      <c r="Q52" s="46" t="inlineStr">
        <is>
          <r>
            <rPr>
              <rFont val="メイリオ"/>
              <b val="1"/>
              <sz val="10"/>
            </rPr>
            <t xml:space="preserve">ステップ1：
</t>
          </r>
          <r>
            <rPr>
              <rFont val="メイリオ"/>
              <sz val="10"/>
            </rPr>
            <t xml:space="preserve">「単価名」カラムヘッダーを1回押下
</t>
          </r>
          <r>
            <rPr>
              <rFont val="メイリオ"/>
              <b val="1"/>
              <sz val="10"/>
            </rPr>
            <t xml:space="preserve">ステップ2：
</t>
          </r>
          <r>
            <rPr>
              <rFont val="メイリオ"/>
              <sz val="10"/>
            </rPr>
            <t xml:space="preserve">APIリクエストと表示順を確認
</t>
          </r>
          <r>
            <rPr>
              <rFont val="メイリオ"/>
              <b val="1"/>
              <sz val="10"/>
            </rPr>
            <t xml:space="preserve">ステップ3：
</t>
          </r>
          <r>
            <rPr>
              <rFont val="メイリオ"/>
              <sz val="10"/>
            </rPr>
            <t>「単価名」カラムヘッダーをもう1回押下</t>
          </r>
        </is>
      </c>
      <c r="R52" s="10" t="n"/>
      <c r="S52" s="10" t="n"/>
      <c r="T52" s="10" t="n"/>
      <c r="U52" s="10" t="n"/>
      <c r="V52" s="10" t="n"/>
      <c r="W52" s="11" t="n"/>
      <c r="X52" s="46" t="inlineStr">
        <is>
          <r>
            <rPr>
              <rFont val="メイリオ"/>
              <b val="1"/>
              <sz val="10"/>
            </rPr>
            <t xml:space="preserve">ステップ1：
</t>
          </r>
          <r>
            <rPr>
              <rFont val="メイリオ"/>
              <sz val="10"/>
            </rPr>
            <t xml:space="preserve">ソートアイコンが▲（昇順）に切り替わること
</t>
          </r>
          <r>
            <rPr>
              <rFont val="メイリオ"/>
              <b val="1"/>
              <sz val="10"/>
            </rPr>
            <t xml:space="preserve">ステップ2：
</t>
          </r>
          <r>
            <rPr>
              <rFont val="メイリオ"/>
              <sz val="10"/>
            </rPr>
            <t xml:space="preserve">GET `/api/v1/tanka?...&amp;sort_by=tanka_name&amp;sort_order=asc` が送信されること、単価名の昇順で並べ替えられて表示されること
</t>
          </r>
          <r>
            <rPr>
              <rFont val="メイリオ"/>
              <b val="1"/>
              <sz val="10"/>
            </rPr>
            <t xml:space="preserve">ステップ3：
</t>
          </r>
          <r>
            <rPr>
              <rFont val="メイリオ"/>
              <sz val="10"/>
            </rPr>
            <t xml:space="preserve">GET `/api/v1/tanka?...&amp;sort_by=tanka_name&amp;sort_order=desc` が送信されること、単価名の降順で並べ替えられて表示されること
</t>
          </r>
          <r>
            <rPr>
              <rFont val="メイリオ"/>
              <b val="1"/>
              <sz val="10"/>
            </rPr>
            <t xml:space="preserve">補足：
</t>
          </r>
          <r>
            <rPr>
              <rFont val="メイリオ"/>
              <sz val="10"/>
            </rPr>
            <t>・ソート順が正しいこと</t>
          </r>
        </is>
      </c>
      <c r="Y52" s="10" t="n"/>
      <c r="Z52" s="10" t="n"/>
      <c r="AA52" s="10" t="n"/>
      <c r="AB52" s="10" t="n"/>
      <c r="AC52" s="10" t="n"/>
      <c r="AD52" s="11" t="n"/>
      <c r="AE52" s="45" t="inlineStr">
        <is>
          <t>N</t>
        </is>
      </c>
      <c r="AF52" s="11" t="n"/>
      <c r="AG52" s="45" t="inlineStr"/>
      <c r="AH52" s="10" t="n"/>
      <c r="AI52" s="11" t="n"/>
      <c r="AJ52" s="45" t="inlineStr"/>
      <c r="AK52" s="10" t="n"/>
      <c r="AL52" s="11" t="n"/>
      <c r="AM52" s="45" t="inlineStr"/>
      <c r="AN52" s="10" t="n"/>
      <c r="AO52" s="11" t="n"/>
      <c r="AP52" s="45" t="inlineStr"/>
      <c r="AQ52" s="10" t="n"/>
      <c r="AR52" s="11" t="n"/>
      <c r="AS52" s="45" t="inlineStr"/>
      <c r="AT52" s="10" t="n"/>
      <c r="AU52" s="11" t="n"/>
      <c r="AV52" s="45" t="inlineStr"/>
      <c r="AW52" s="10" t="n"/>
      <c r="AX52" s="11" t="n"/>
      <c r="AY52" s="45" t="inlineStr"/>
      <c r="AZ52" s="10" t="n"/>
      <c r="BA52" s="11" t="n"/>
      <c r="BB52" s="45" t="inlineStr"/>
      <c r="BC52" s="10" t="n"/>
      <c r="BD52" s="11" t="n"/>
      <c r="BE52" s="45" t="inlineStr"/>
      <c r="BF52" s="10" t="n"/>
      <c r="BG52" s="11" t="n"/>
      <c r="BH52" s="45" t="inlineStr"/>
      <c r="BI52" s="10" t="n"/>
      <c r="BJ52" s="11" t="n"/>
      <c r="BK52" s="46" t="inlineStr"/>
      <c r="BL52" s="10" t="n"/>
      <c r="BM52" s="10" t="n"/>
      <c r="BN52" s="10" t="n"/>
      <c r="BO52" s="10" t="n"/>
      <c r="BP52" s="10" t="n"/>
      <c r="BQ52" s="11" t="n"/>
    </row>
    <row r="53" ht="256" customHeight="1">
      <c r="A53" s="44" t="n">
        <v>37</v>
      </c>
      <c r="B53" s="46" t="inlineStr">
        <is>
          <t>ACSMS-TC-002-037</t>
        </is>
      </c>
      <c r="C53" s="10" t="n"/>
      <c r="D53" s="11" t="n"/>
      <c r="E53" s="46" t="inlineStr">
        <is>
          <t>ソート — 適用開始日 昇順／降順</t>
        </is>
      </c>
      <c r="F53" s="10" t="n"/>
      <c r="G53" s="10" t="n"/>
      <c r="H53" s="10" t="n"/>
      <c r="I53" s="11" t="n"/>
      <c r="J53" s="46" t="inlineStr">
        <is>
          <t>・role: CHUOKAI</t>
        </is>
      </c>
      <c r="K53" s="10" t="n"/>
      <c r="L53" s="10" t="n"/>
      <c r="M53" s="10" t="n"/>
      <c r="N53" s="10" t="n"/>
      <c r="O53" s="10" t="n"/>
      <c r="P53" s="11" t="n"/>
      <c r="Q53" s="46" t="inlineStr">
        <is>
          <r>
            <rPr>
              <rFont val="メイリオ"/>
              <b val="1"/>
              <sz val="10"/>
            </rPr>
            <t xml:space="preserve">ステップ1：
</t>
          </r>
          <r>
            <rPr>
              <rFont val="メイリオ"/>
              <sz val="10"/>
            </rPr>
            <t xml:space="preserve">「適用開始日」カラムヘッダーを1回押下
</t>
          </r>
          <r>
            <rPr>
              <rFont val="メイリオ"/>
              <b val="1"/>
              <sz val="10"/>
            </rPr>
            <t xml:space="preserve">ステップ2：
</t>
          </r>
          <r>
            <rPr>
              <rFont val="メイリオ"/>
              <sz val="10"/>
            </rPr>
            <t>「適用開始日」カラムヘッダーをもう1回押下</t>
          </r>
        </is>
      </c>
      <c r="R53" s="10" t="n"/>
      <c r="S53" s="10" t="n"/>
      <c r="T53" s="10" t="n"/>
      <c r="U53" s="10" t="n"/>
      <c r="V53" s="10" t="n"/>
      <c r="W53" s="11" t="n"/>
      <c r="X53" s="46" t="inlineStr">
        <is>
          <r>
            <rPr>
              <rFont val="メイリオ"/>
              <b val="1"/>
              <sz val="10"/>
            </rPr>
            <t xml:space="preserve">ステップ1：
</t>
          </r>
          <r>
            <rPr>
              <rFont val="メイリオ"/>
              <sz val="10"/>
            </rPr>
            <t xml:space="preserve">GET `/api/v1/tanka?...&amp;sort_by=tekiyo_start_date&amp;sort_order=asc` が送信されること、適用開始日の昇順で並べ替えられて表示されること
</t>
          </r>
          <r>
            <rPr>
              <rFont val="メイリオ"/>
              <b val="1"/>
              <sz val="10"/>
            </rPr>
            <t xml:space="preserve">ステップ2：
</t>
          </r>
          <r>
            <rPr>
              <rFont val="メイリオ"/>
              <sz val="10"/>
            </rPr>
            <t xml:space="preserve">GET `/api/v1/tanka?...&amp;sort_by=tekiyo_start_date&amp;sort_order=desc` が送信されること、適用開始日の降順で並べ替えられて表示されること
</t>
          </r>
          <r>
            <rPr>
              <rFont val="メイリオ"/>
              <b val="1"/>
              <sz val="10"/>
            </rPr>
            <t xml:space="preserve">補足：
</t>
          </r>
          <r>
            <rPr>
              <rFont val="メイリオ"/>
              <sz val="10"/>
            </rPr>
            <t>・ソート順が正しいこと</t>
          </r>
        </is>
      </c>
      <c r="Y53" s="10" t="n"/>
      <c r="Z53" s="10" t="n"/>
      <c r="AA53" s="10" t="n"/>
      <c r="AB53" s="10" t="n"/>
      <c r="AC53" s="10" t="n"/>
      <c r="AD53" s="11" t="n"/>
      <c r="AE53" s="45" t="inlineStr">
        <is>
          <t>N</t>
        </is>
      </c>
      <c r="AF53" s="11" t="n"/>
      <c r="AG53" s="45" t="inlineStr"/>
      <c r="AH53" s="10" t="n"/>
      <c r="AI53" s="11" t="n"/>
      <c r="AJ53" s="45" t="inlineStr"/>
      <c r="AK53" s="10" t="n"/>
      <c r="AL53" s="11" t="n"/>
      <c r="AM53" s="45" t="inlineStr"/>
      <c r="AN53" s="10" t="n"/>
      <c r="AO53" s="11" t="n"/>
      <c r="AP53" s="45" t="inlineStr"/>
      <c r="AQ53" s="10" t="n"/>
      <c r="AR53" s="11" t="n"/>
      <c r="AS53" s="45" t="inlineStr"/>
      <c r="AT53" s="10" t="n"/>
      <c r="AU53" s="11" t="n"/>
      <c r="AV53" s="45" t="inlineStr"/>
      <c r="AW53" s="10" t="n"/>
      <c r="AX53" s="11" t="n"/>
      <c r="AY53" s="45" t="inlineStr"/>
      <c r="AZ53" s="10" t="n"/>
      <c r="BA53" s="11" t="n"/>
      <c r="BB53" s="45" t="inlineStr"/>
      <c r="BC53" s="10" t="n"/>
      <c r="BD53" s="11" t="n"/>
      <c r="BE53" s="45" t="inlineStr"/>
      <c r="BF53" s="10" t="n"/>
      <c r="BG53" s="11" t="n"/>
      <c r="BH53" s="45" t="inlineStr"/>
      <c r="BI53" s="10" t="n"/>
      <c r="BJ53" s="11" t="n"/>
      <c r="BK53" s="46" t="inlineStr"/>
      <c r="BL53" s="10" t="n"/>
      <c r="BM53" s="10" t="n"/>
      <c r="BN53" s="10" t="n"/>
      <c r="BO53" s="10" t="n"/>
      <c r="BP53" s="10" t="n"/>
      <c r="BQ53" s="11" t="n"/>
    </row>
    <row r="54" ht="352" customHeight="1">
      <c r="A54" s="44" t="n">
        <v>38</v>
      </c>
      <c r="B54" s="46" t="inlineStr">
        <is>
          <t>ACSMS-TC-002-038</t>
        </is>
      </c>
      <c r="C54" s="10" t="n"/>
      <c r="D54" s="11" t="n"/>
      <c r="E54" s="46" t="inlineStr">
        <is>
          <t>ソート — 適用終了日 昇順／降順（NULL のソート順）</t>
        </is>
      </c>
      <c r="F54" s="10" t="n"/>
      <c r="G54" s="10" t="n"/>
      <c r="H54" s="10" t="n"/>
      <c r="I54" s="11" t="n"/>
      <c r="J54" s="46" t="inlineStr">
        <is>
          <t>・role: CHUOKAI
・適用終了日が NULL のレコードと `2026-12-31` のレコードが混在</t>
        </is>
      </c>
      <c r="K54" s="10" t="n"/>
      <c r="L54" s="10" t="n"/>
      <c r="M54" s="10" t="n"/>
      <c r="N54" s="10" t="n"/>
      <c r="O54" s="10" t="n"/>
      <c r="P54" s="11" t="n"/>
      <c r="Q54" s="46" t="inlineStr">
        <is>
          <r>
            <rPr>
              <rFont val="メイリオ"/>
              <b val="1"/>
              <sz val="10"/>
            </rPr>
            <t xml:space="preserve">ステップ1：
</t>
          </r>
          <r>
            <rPr>
              <rFont val="メイリオ"/>
              <sz val="10"/>
            </rPr>
            <t xml:space="preserve">「適用終了日」カラムヘッダーを1回押下（昇順）
</t>
          </r>
          <r>
            <rPr>
              <rFont val="メイリオ"/>
              <b val="1"/>
              <sz val="10"/>
            </rPr>
            <t xml:space="preserve">ステップ2：
</t>
          </r>
          <r>
            <rPr>
              <rFont val="メイリオ"/>
              <sz val="10"/>
            </rPr>
            <t xml:space="preserve">表示順を確認
</t>
          </r>
          <r>
            <rPr>
              <rFont val="メイリオ"/>
              <b val="1"/>
              <sz val="10"/>
            </rPr>
            <t xml:space="preserve">ステップ3：
</t>
          </r>
          <r>
            <rPr>
              <rFont val="メイリオ"/>
              <sz val="10"/>
            </rPr>
            <t>「適用終了日」カラムヘッダーをもう1回押下（降順）</t>
          </r>
        </is>
      </c>
      <c r="R54" s="10" t="n"/>
      <c r="S54" s="10" t="n"/>
      <c r="T54" s="10" t="n"/>
      <c r="U54" s="10" t="n"/>
      <c r="V54" s="10" t="n"/>
      <c r="W54" s="11" t="n"/>
      <c r="X54" s="46" t="inlineStr">
        <is>
          <r>
            <rPr>
              <rFont val="メイリオ"/>
              <b val="1"/>
              <sz val="10"/>
            </rPr>
            <t xml:space="preserve">ステップ1：
</t>
          </r>
          <r>
            <rPr>
              <rFont val="メイリオ"/>
              <sz val="10"/>
            </rPr>
            <t xml:space="preserve">GET `/api/v1/tanka?...&amp;sort_by=tekiyo_end_date&amp;sort_order=asc` が送信されること
</t>
          </r>
          <r>
            <rPr>
              <rFont val="メイリオ"/>
              <b val="1"/>
              <sz val="10"/>
            </rPr>
            <t xml:space="preserve">ステップ2：
</t>
          </r>
          <r>
            <rPr>
              <rFont val="メイリオ"/>
              <sz val="10"/>
            </rPr>
            <t xml:space="preserve">適用終了日の昇順で並べ替えられて表示されること、NULL は PostgreSQL のデフォルトに従い末尾に表示されること
</t>
          </r>
          <r>
            <rPr>
              <rFont val="メイリオ"/>
              <b val="1"/>
              <sz val="10"/>
            </rPr>
            <t xml:space="preserve">ステップ3：
</t>
          </r>
          <r>
            <rPr>
              <rFont val="メイリオ"/>
              <sz val="10"/>
            </rPr>
            <t xml:space="preserve">GET `/api/v1/tanka?...&amp;sort_by=tekiyo_end_date&amp;sort_order=desc` が送信されること、降順に切り替わること
</t>
          </r>
          <r>
            <rPr>
              <rFont val="メイリオ"/>
              <b val="1"/>
              <sz val="10"/>
            </rPr>
            <t xml:space="preserve">補足：
</t>
          </r>
          <r>
            <rPr>
              <rFont val="メイリオ"/>
              <sz val="10"/>
            </rPr>
            <t xml:space="preserve">・ソート順が正しいこと
</t>
          </r>
          <r>
            <rPr>
              <rFont val="メイリオ"/>
              <sz val="10"/>
            </rPr>
            <t>・NULL の並び順は PostgreSQL の `NULLS LAST` 既定挙動に従うこと</t>
          </r>
        </is>
      </c>
      <c r="Y54" s="10" t="n"/>
      <c r="Z54" s="10" t="n"/>
      <c r="AA54" s="10" t="n"/>
      <c r="AB54" s="10" t="n"/>
      <c r="AC54" s="10" t="n"/>
      <c r="AD54" s="11" t="n"/>
      <c r="AE54" s="45" t="inlineStr">
        <is>
          <t>N</t>
        </is>
      </c>
      <c r="AF54" s="11" t="n"/>
      <c r="AG54" s="45" t="inlineStr"/>
      <c r="AH54" s="10" t="n"/>
      <c r="AI54" s="11" t="n"/>
      <c r="AJ54" s="45" t="inlineStr"/>
      <c r="AK54" s="10" t="n"/>
      <c r="AL54" s="11" t="n"/>
      <c r="AM54" s="45" t="inlineStr"/>
      <c r="AN54" s="10" t="n"/>
      <c r="AO54" s="11" t="n"/>
      <c r="AP54" s="45" t="inlineStr"/>
      <c r="AQ54" s="10" t="n"/>
      <c r="AR54" s="11" t="n"/>
      <c r="AS54" s="45" t="inlineStr"/>
      <c r="AT54" s="10" t="n"/>
      <c r="AU54" s="11" t="n"/>
      <c r="AV54" s="45" t="inlineStr"/>
      <c r="AW54" s="10" t="n"/>
      <c r="AX54" s="11" t="n"/>
      <c r="AY54" s="45" t="inlineStr"/>
      <c r="AZ54" s="10" t="n"/>
      <c r="BA54" s="11" t="n"/>
      <c r="BB54" s="45" t="inlineStr"/>
      <c r="BC54" s="10" t="n"/>
      <c r="BD54" s="11" t="n"/>
      <c r="BE54" s="45" t="inlineStr"/>
      <c r="BF54" s="10" t="n"/>
      <c r="BG54" s="11" t="n"/>
      <c r="BH54" s="45" t="inlineStr"/>
      <c r="BI54" s="10" t="n"/>
      <c r="BJ54" s="11" t="n"/>
      <c r="BK54" s="46" t="inlineStr"/>
      <c r="BL54" s="10" t="n"/>
      <c r="BM54" s="10" t="n"/>
      <c r="BN54" s="10" t="n"/>
      <c r="BO54" s="10" t="n"/>
      <c r="BP54" s="10" t="n"/>
      <c r="BQ54" s="11" t="n"/>
    </row>
    <row r="55" ht="400" customHeight="1">
      <c r="A55" s="44" t="n">
        <v>39</v>
      </c>
      <c r="B55" s="46" t="inlineStr">
        <is>
          <t>ACSMS-TC-002-039</t>
        </is>
      </c>
      <c r="C55" s="10" t="n"/>
      <c r="D55" s="11" t="n"/>
      <c r="E55" s="46" t="inlineStr">
        <is>
          <t>ソート — 非ソート対象カラム押下時の挙動</t>
        </is>
      </c>
      <c r="F55" s="10" t="n"/>
      <c r="G55" s="10" t="n"/>
      <c r="H55" s="10" t="n"/>
      <c r="I55" s="11" t="n"/>
      <c r="J55" s="46" t="inlineStr">
        <is>
          <t>・role: CHUOKAI</t>
        </is>
      </c>
      <c r="K55" s="10" t="n"/>
      <c r="L55" s="10" t="n"/>
      <c r="M55" s="10" t="n"/>
      <c r="N55" s="10" t="n"/>
      <c r="O55" s="10" t="n"/>
      <c r="P55" s="11" t="n"/>
      <c r="Q55" s="46" t="inlineStr">
        <is>
          <r>
            <rPr>
              <rFont val="メイリオ"/>
              <b val="1"/>
              <sz val="10"/>
            </rPr>
            <t xml:space="preserve">ステップ1：
</t>
          </r>
          <r>
            <rPr>
              <rFont val="メイリオ"/>
              <sz val="10"/>
            </rPr>
            <t xml:space="preserve">「単価種別」カラムヘッダーを押下
</t>
          </r>
          <r>
            <rPr>
              <rFont val="メイリオ"/>
              <b val="1"/>
              <sz val="10"/>
            </rPr>
            <t xml:space="preserve">ステップ2：
</t>
          </r>
          <r>
            <rPr>
              <rFont val="メイリオ"/>
              <sz val="10"/>
            </rPr>
            <t xml:space="preserve">「有効単価フラグ」カラムヘッダーを押下
</t>
          </r>
          <r>
            <rPr>
              <rFont val="メイリオ"/>
              <b val="1"/>
              <sz val="10"/>
            </rPr>
            <t xml:space="preserve">ステップ3：
</t>
          </r>
          <r>
            <rPr>
              <rFont val="メイリオ"/>
              <sz val="10"/>
            </rPr>
            <t xml:space="preserve">「単価（税込）」「単価（税抜）」「税率」のカラムヘッダーを押下
</t>
          </r>
          <r>
            <rPr>
              <rFont val="メイリオ"/>
              <b val="1"/>
              <sz val="10"/>
            </rPr>
            <t xml:space="preserve">ステップ4：
</t>
          </r>
          <r>
            <rPr>
              <rFont val="メイリオ"/>
              <sz val="10"/>
            </rPr>
            <t>DevTools でAPIリクエストの発生有無を確認</t>
          </r>
        </is>
      </c>
      <c r="R55" s="10" t="n"/>
      <c r="S55" s="10" t="n"/>
      <c r="T55" s="10" t="n"/>
      <c r="U55" s="10" t="n"/>
      <c r="V55" s="10" t="n"/>
      <c r="W55" s="11" t="n"/>
      <c r="X55" s="46" t="inlineStr">
        <is>
          <r>
            <rPr>
              <rFont val="メイリオ"/>
              <b val="1"/>
              <sz val="10"/>
            </rPr>
            <t xml:space="preserve">ステップ1：
</t>
          </r>
          <r>
            <rPr>
              <rFont val="メイリオ"/>
              <sz val="10"/>
            </rPr>
            <t xml:space="preserve">ソートアイコンが表示されないこと、カラム表示が変化しないこと
</t>
          </r>
          <r>
            <rPr>
              <rFont val="メイリオ"/>
              <b val="1"/>
              <sz val="10"/>
            </rPr>
            <t xml:space="preserve">ステップ2：
</t>
          </r>
          <r>
            <rPr>
              <rFont val="メイリオ"/>
              <sz val="10"/>
            </rPr>
            <t xml:space="preserve">ソートアイコンが表示されないこと
</t>
          </r>
          <r>
            <rPr>
              <rFont val="メイリオ"/>
              <b val="1"/>
              <sz val="10"/>
            </rPr>
            <t xml:space="preserve">ステップ3：
</t>
          </r>
          <r>
            <rPr>
              <rFont val="メイリオ"/>
              <sz val="10"/>
            </rPr>
            <t xml:space="preserve">ソートアイコンが表示されないこと
</t>
          </r>
          <r>
            <rPr>
              <rFont val="メイリオ"/>
              <b val="1"/>
              <sz val="10"/>
            </rPr>
            <t xml:space="preserve">ステップ4：
</t>
          </r>
          <r>
            <rPr>
              <rFont val="メイリオ"/>
              <sz val="10"/>
            </rPr>
            <t xml:space="preserve">新規のAPIリクエストが発生しないこと
</t>
          </r>
          <r>
            <rPr>
              <rFont val="メイリオ"/>
              <b val="1"/>
              <sz val="10"/>
            </rPr>
            <t xml:space="preserve">補足：
</t>
          </r>
          <r>
            <rPr>
              <rFont val="メイリオ"/>
              <sz val="10"/>
            </rPr>
            <t xml:space="preserve">・画面設計書 §8 で定義されたソート対象カラムは「単価コード」「単価名」「適用開始日」「適用終了日」のみ
</t>
          </r>
          <r>
            <rPr>
              <rFont val="メイリオ"/>
              <sz val="10"/>
            </rPr>
            <t>・単価種別／有効単価フラグ／単価（税込）／単価（税抜）／税率／操作はソート不可</t>
          </r>
        </is>
      </c>
      <c r="Y55" s="10" t="n"/>
      <c r="Z55" s="10" t="n"/>
      <c r="AA55" s="10" t="n"/>
      <c r="AB55" s="10" t="n"/>
      <c r="AC55" s="10" t="n"/>
      <c r="AD55" s="11" t="n"/>
      <c r="AE55" s="45" t="inlineStr">
        <is>
          <t>N</t>
        </is>
      </c>
      <c r="AF55" s="11" t="n"/>
      <c r="AG55" s="45" t="inlineStr"/>
      <c r="AH55" s="10" t="n"/>
      <c r="AI55" s="11" t="n"/>
      <c r="AJ55" s="45" t="inlineStr"/>
      <c r="AK55" s="10" t="n"/>
      <c r="AL55" s="11" t="n"/>
      <c r="AM55" s="45" t="inlineStr"/>
      <c r="AN55" s="10" t="n"/>
      <c r="AO55" s="11" t="n"/>
      <c r="AP55" s="45" t="inlineStr"/>
      <c r="AQ55" s="10" t="n"/>
      <c r="AR55" s="11" t="n"/>
      <c r="AS55" s="45" t="inlineStr"/>
      <c r="AT55" s="10" t="n"/>
      <c r="AU55" s="11" t="n"/>
      <c r="AV55" s="45" t="inlineStr"/>
      <c r="AW55" s="10" t="n"/>
      <c r="AX55" s="11" t="n"/>
      <c r="AY55" s="45" t="inlineStr"/>
      <c r="AZ55" s="10" t="n"/>
      <c r="BA55" s="11" t="n"/>
      <c r="BB55" s="45" t="inlineStr"/>
      <c r="BC55" s="10" t="n"/>
      <c r="BD55" s="11" t="n"/>
      <c r="BE55" s="45" t="inlineStr"/>
      <c r="BF55" s="10" t="n"/>
      <c r="BG55" s="11" t="n"/>
      <c r="BH55" s="45" t="inlineStr"/>
      <c r="BI55" s="10" t="n"/>
      <c r="BJ55" s="11" t="n"/>
      <c r="BK55" s="46" t="inlineStr"/>
      <c r="BL55" s="10" t="n"/>
      <c r="BM55" s="10" t="n"/>
      <c r="BN55" s="10" t="n"/>
      <c r="BO55" s="10" t="n"/>
      <c r="BP55" s="10" t="n"/>
      <c r="BQ55" s="11" t="n"/>
    </row>
    <row r="56" ht="450" customHeight="1">
      <c r="A56" s="44" t="n">
        <v>40</v>
      </c>
      <c r="B56" s="46" t="inlineStr">
        <is>
          <t>ACSMS-TC-002-040</t>
        </is>
      </c>
      <c r="C56" s="10" t="n"/>
      <c r="D56" s="11" t="n"/>
      <c r="E56" s="46" t="inlineStr">
        <is>
          <t>ソート — バックエンド許可リスト外の sort_by 拒否</t>
        </is>
      </c>
      <c r="F56" s="10" t="n"/>
      <c r="G56" s="10" t="n"/>
      <c r="H56" s="10" t="n"/>
      <c r="I56" s="11" t="n"/>
      <c r="J56" s="46" t="inlineStr">
        <is>
          <t>・role: CHUOKAI</t>
        </is>
      </c>
      <c r="K56" s="10" t="n"/>
      <c r="L56" s="10" t="n"/>
      <c r="M56" s="10" t="n"/>
      <c r="N56" s="10" t="n"/>
      <c r="O56" s="10" t="n"/>
      <c r="P56" s="11" t="n"/>
      <c r="Q56" s="46" t="inlineStr">
        <is>
          <r>
            <rPr>
              <rFont val="メイリオ"/>
              <b val="1"/>
              <sz val="10"/>
            </rPr>
            <t xml:space="preserve">ステップ1：
</t>
          </r>
          <r>
            <rPr>
              <rFont val="メイリオ"/>
              <sz val="10"/>
            </rPr>
            <t xml:space="preserve">DevTools で GET `/api/v1/tanka?sort_by=tanka_type&amp;sort_order=asc` を直接送信
</t>
          </r>
          <r>
            <rPr>
              <rFont val="メイリオ"/>
              <b val="1"/>
              <sz val="10"/>
            </rPr>
            <t xml:space="preserve">ステップ2：
</t>
          </r>
          <r>
            <rPr>
              <rFont val="メイリオ"/>
              <sz val="10"/>
            </rPr>
            <t xml:space="preserve">DevTools で GET `/api/v1/tanka?sort_by=active_flg&amp;sort_order=asc` を直接送信
</t>
          </r>
          <r>
            <rPr>
              <rFont val="メイリオ"/>
              <b val="1"/>
              <sz val="10"/>
            </rPr>
            <t xml:space="preserve">ステップ3：
</t>
          </r>
          <r>
            <rPr>
              <rFont val="メイリオ"/>
              <sz val="10"/>
            </rPr>
            <t>DevTools で GET `/api/v1/tanka?sort_by=tanka_code;%20DROP%20TABLE&amp;sort_order=asc` を直接送信</t>
          </r>
        </is>
      </c>
      <c r="R56" s="10" t="n"/>
      <c r="S56" s="10" t="n"/>
      <c r="T56" s="10" t="n"/>
      <c r="U56" s="10" t="n"/>
      <c r="V56" s="10" t="n"/>
      <c r="W56" s="11" t="n"/>
      <c r="X56" s="46" t="inlineStr">
        <is>
          <r>
            <rPr>
              <rFont val="メイリオ"/>
              <b val="1"/>
              <sz val="10"/>
            </rPr>
            <t xml:space="preserve">ステップ1：
</t>
          </r>
          <r>
            <rPr>
              <rFont val="メイリオ"/>
              <sz val="10"/>
            </rPr>
            <t xml:space="preserve">HTTPステータスコード400が返却されること（`error_code: VALIDATION_ERROR`、メッセージ `ソート対象カラムが不正です。`）
</t>
          </r>
          <r>
            <rPr>
              <rFont val="メイリオ"/>
              <b val="1"/>
              <sz val="10"/>
            </rPr>
            <t xml:space="preserve">ステップ2：
</t>
          </r>
          <r>
            <rPr>
              <rFont val="メイリオ"/>
              <sz val="10"/>
            </rPr>
            <t xml:space="preserve">HTTPステータスコード400が返却されること（同一メッセージ）
</t>
          </r>
          <r>
            <rPr>
              <rFont val="メイリオ"/>
              <b val="1"/>
              <sz val="10"/>
            </rPr>
            <t xml:space="preserve">ステップ3：
</t>
          </r>
          <r>
            <rPr>
              <rFont val="メイリオ"/>
              <sz val="10"/>
            </rPr>
            <t xml:space="preserve">HTTPステータスコード400が返却されること（同一メッセージ）
</t>
          </r>
          <r>
            <rPr>
              <rFont val="メイリオ"/>
              <b val="1"/>
              <sz val="10"/>
            </rPr>
            <t xml:space="preserve">補足：
</t>
          </r>
          <r>
            <rPr>
              <rFont val="メイリオ"/>
              <sz val="10"/>
            </rPr>
            <t xml:space="preserve">・許可リスト方式により `ORDER BY ${sort_by}` のSQLインジェクションが拒否されること
</t>
          </r>
          <r>
            <rPr>
              <rFont val="メイリオ"/>
              <sz val="10"/>
            </rPr>
            <t>・許可される値は `tanka_code` / `tanka_name` / `kingaku_zeikomi` / `kingaku_zeinuki` / `tax_rate` / `tekiyo_start_date` / `tekiyo_end_date` / `updated_at` の8つ（SearchTankaDto.TANKA_SEARCH_SORT_BY）</t>
          </r>
        </is>
      </c>
      <c r="Y56" s="10" t="n"/>
      <c r="Z56" s="10" t="n"/>
      <c r="AA56" s="10" t="n"/>
      <c r="AB56" s="10" t="n"/>
      <c r="AC56" s="10" t="n"/>
      <c r="AD56" s="11" t="n"/>
      <c r="AE56" s="45" t="inlineStr">
        <is>
          <t>A</t>
        </is>
      </c>
      <c r="AF56" s="11" t="n"/>
      <c r="AG56" s="45" t="inlineStr"/>
      <c r="AH56" s="10" t="n"/>
      <c r="AI56" s="11" t="n"/>
      <c r="AJ56" s="45" t="inlineStr"/>
      <c r="AK56" s="10" t="n"/>
      <c r="AL56" s="11" t="n"/>
      <c r="AM56" s="45" t="inlineStr"/>
      <c r="AN56" s="10" t="n"/>
      <c r="AO56" s="11" t="n"/>
      <c r="AP56" s="45" t="inlineStr"/>
      <c r="AQ56" s="10" t="n"/>
      <c r="AR56" s="11" t="n"/>
      <c r="AS56" s="45" t="inlineStr"/>
      <c r="AT56" s="10" t="n"/>
      <c r="AU56" s="11" t="n"/>
      <c r="AV56" s="45" t="inlineStr"/>
      <c r="AW56" s="10" t="n"/>
      <c r="AX56" s="11" t="n"/>
      <c r="AY56" s="45" t="inlineStr"/>
      <c r="AZ56" s="10" t="n"/>
      <c r="BA56" s="11" t="n"/>
      <c r="BB56" s="45" t="inlineStr"/>
      <c r="BC56" s="10" t="n"/>
      <c r="BD56" s="11" t="n"/>
      <c r="BE56" s="45" t="inlineStr"/>
      <c r="BF56" s="10" t="n"/>
      <c r="BG56" s="11" t="n"/>
      <c r="BH56" s="45" t="inlineStr"/>
      <c r="BI56" s="10" t="n"/>
      <c r="BJ56" s="11" t="n"/>
      <c r="BK56" s="46" t="inlineStr"/>
      <c r="BL56" s="10" t="n"/>
      <c r="BM56" s="10" t="n"/>
      <c r="BN56" s="10" t="n"/>
      <c r="BO56" s="10" t="n"/>
      <c r="BP56" s="10" t="n"/>
      <c r="BQ56" s="11" t="n"/>
    </row>
    <row r="57" ht="240" customHeight="1">
      <c r="A57" s="44" t="n">
        <v>41</v>
      </c>
      <c r="B57" s="46" t="inlineStr">
        <is>
          <t>ACSMS-TC-002-041</t>
        </is>
      </c>
      <c r="C57" s="10" t="n"/>
      <c r="D57" s="11" t="n"/>
      <c r="E57" s="46" t="inlineStr">
        <is>
          <t>ソート方向 — sort_order 不正値の拒否</t>
        </is>
      </c>
      <c r="F57" s="10" t="n"/>
      <c r="G57" s="10" t="n"/>
      <c r="H57" s="10" t="n"/>
      <c r="I57" s="11" t="n"/>
      <c r="J57" s="46" t="inlineStr">
        <is>
          <t>・role: CHUOKAI</t>
        </is>
      </c>
      <c r="K57" s="10" t="n"/>
      <c r="L57" s="10" t="n"/>
      <c r="M57" s="10" t="n"/>
      <c r="N57" s="10" t="n"/>
      <c r="O57" s="10" t="n"/>
      <c r="P57" s="11" t="n"/>
      <c r="Q57" s="46" t="inlineStr">
        <is>
          <r>
            <rPr>
              <rFont val="メイリオ"/>
              <b val="1"/>
              <sz val="10"/>
            </rPr>
            <t xml:space="preserve">ステップ1：
</t>
          </r>
          <r>
            <rPr>
              <rFont val="メイリオ"/>
              <sz val="10"/>
            </rPr>
            <t xml:space="preserve">DevTools で GET `/api/v1/tanka?sort_by=tanka_code&amp;sort_order=ascending` を送信
</t>
          </r>
          <r>
            <rPr>
              <rFont val="メイリオ"/>
              <b val="1"/>
              <sz val="10"/>
            </rPr>
            <t xml:space="preserve">ステップ2：
</t>
          </r>
          <r>
            <rPr>
              <rFont val="メイリオ"/>
              <sz val="10"/>
            </rPr>
            <t>DevTools で GET `/api/v1/tanka?sort_by=tanka_code&amp;sort_order=random` を送信</t>
          </r>
        </is>
      </c>
      <c r="R57" s="10" t="n"/>
      <c r="S57" s="10" t="n"/>
      <c r="T57" s="10" t="n"/>
      <c r="U57" s="10" t="n"/>
      <c r="V57" s="10" t="n"/>
      <c r="W57" s="11" t="n"/>
      <c r="X57" s="46" t="inlineStr">
        <is>
          <r>
            <rPr>
              <rFont val="メイリオ"/>
              <b val="1"/>
              <sz val="10"/>
            </rPr>
            <t xml:space="preserve">ステップ1：
</t>
          </r>
          <r>
            <rPr>
              <rFont val="メイリオ"/>
              <sz val="10"/>
            </rPr>
            <t xml:space="preserve">HTTPステータスコード400が返却されること（`error_code: VALIDATION_ERROR`、メッセージ `ソート方向は asc / desc のみ指定可能です。`）
</t>
          </r>
          <r>
            <rPr>
              <rFont val="メイリオ"/>
              <b val="1"/>
              <sz val="10"/>
            </rPr>
            <t xml:space="preserve">ステップ2：
</t>
          </r>
          <r>
            <rPr>
              <rFont val="メイリオ"/>
              <sz val="10"/>
            </rPr>
            <t xml:space="preserve">HTTPステータスコード400が返却されること（同一メッセージ）
</t>
          </r>
          <r>
            <rPr>
              <rFont val="メイリオ"/>
              <b val="1"/>
              <sz val="10"/>
            </rPr>
            <t xml:space="preserve">補足：
</t>
          </r>
          <r>
            <rPr>
              <rFont val="メイリオ"/>
              <sz val="10"/>
            </rPr>
            <t>・許可される値は `asc` / `desc` のみ</t>
          </r>
        </is>
      </c>
      <c r="Y57" s="10" t="n"/>
      <c r="Z57" s="10" t="n"/>
      <c r="AA57" s="10" t="n"/>
      <c r="AB57" s="10" t="n"/>
      <c r="AC57" s="10" t="n"/>
      <c r="AD57" s="11" t="n"/>
      <c r="AE57" s="45" t="inlineStr">
        <is>
          <t>A</t>
        </is>
      </c>
      <c r="AF57" s="11" t="n"/>
      <c r="AG57" s="45" t="inlineStr"/>
      <c r="AH57" s="10" t="n"/>
      <c r="AI57" s="11" t="n"/>
      <c r="AJ57" s="45" t="inlineStr"/>
      <c r="AK57" s="10" t="n"/>
      <c r="AL57" s="11" t="n"/>
      <c r="AM57" s="45" t="inlineStr"/>
      <c r="AN57" s="10" t="n"/>
      <c r="AO57" s="11" t="n"/>
      <c r="AP57" s="45" t="inlineStr"/>
      <c r="AQ57" s="10" t="n"/>
      <c r="AR57" s="11" t="n"/>
      <c r="AS57" s="45" t="inlineStr"/>
      <c r="AT57" s="10" t="n"/>
      <c r="AU57" s="11" t="n"/>
      <c r="AV57" s="45" t="inlineStr"/>
      <c r="AW57" s="10" t="n"/>
      <c r="AX57" s="11" t="n"/>
      <c r="AY57" s="45" t="inlineStr"/>
      <c r="AZ57" s="10" t="n"/>
      <c r="BA57" s="11" t="n"/>
      <c r="BB57" s="45" t="inlineStr"/>
      <c r="BC57" s="10" t="n"/>
      <c r="BD57" s="11" t="n"/>
      <c r="BE57" s="45" t="inlineStr"/>
      <c r="BF57" s="10" t="n"/>
      <c r="BG57" s="11" t="n"/>
      <c r="BH57" s="45" t="inlineStr"/>
      <c r="BI57" s="10" t="n"/>
      <c r="BJ57" s="11" t="n"/>
      <c r="BK57" s="46" t="inlineStr"/>
      <c r="BL57" s="10" t="n"/>
      <c r="BM57" s="10" t="n"/>
      <c r="BN57" s="10" t="n"/>
      <c r="BO57" s="10" t="n"/>
      <c r="BP57" s="10" t="n"/>
      <c r="BQ57" s="11" t="n"/>
    </row>
    <row r="58" ht="400" customHeight="1">
      <c r="A58" s="44" t="n">
        <v>42</v>
      </c>
      <c r="B58" s="46" t="inlineStr">
        <is>
          <t>ACSMS-TC-002-042</t>
        </is>
      </c>
      <c r="C58" s="10" t="n"/>
      <c r="D58" s="11" t="n"/>
      <c r="E58" s="46" t="inlineStr">
        <is>
          <t>ページネーション — ページ送り</t>
        </is>
      </c>
      <c r="F58" s="10" t="n"/>
      <c r="G58" s="10" t="n"/>
      <c r="H58" s="10" t="n"/>
      <c r="I58" s="11" t="n"/>
      <c r="J58" s="46" t="inlineStr">
        <is>
          <t>・role: CHUOKAI
・自中央会の単価データが124件登録済</t>
        </is>
      </c>
      <c r="K58" s="10" t="n"/>
      <c r="L58" s="10" t="n"/>
      <c r="M58" s="10" t="n"/>
      <c r="N58" s="10" t="n"/>
      <c r="O58" s="10" t="n"/>
      <c r="P58" s="11" t="n"/>
      <c r="Q58" s="46" t="inlineStr">
        <is>
          <r>
            <rPr>
              <rFont val="メイリオ"/>
              <b val="1"/>
              <sz val="10"/>
            </rPr>
            <t xml:space="preserve">ステップ1：
</t>
          </r>
          <r>
            <rPr>
              <rFont val="メイリオ"/>
              <sz val="10"/>
            </rPr>
            <t xml:space="preserve">`/tanka` を開く
</t>
          </r>
          <r>
            <rPr>
              <rFont val="メイリオ"/>
              <b val="1"/>
              <sz val="10"/>
            </rPr>
            <t xml:space="preserve">ステップ2：
</t>
          </r>
          <r>
            <rPr>
              <rFont val="メイリオ"/>
              <sz val="10"/>
            </rPr>
            <t xml:space="preserve">ページネーションの「2」ボタンを押下
</t>
          </r>
          <r>
            <rPr>
              <rFont val="メイリオ"/>
              <b val="1"/>
              <sz val="10"/>
            </rPr>
            <t xml:space="preserve">ステップ3：
</t>
          </r>
          <r>
            <rPr>
              <rFont val="メイリオ"/>
              <sz val="10"/>
            </rPr>
            <t xml:space="preserve">DevTools でAPIリクエストを確認
</t>
          </r>
          <r>
            <rPr>
              <rFont val="メイリオ"/>
              <b val="1"/>
              <sz val="10"/>
            </rPr>
            <t xml:space="preserve">ステップ4：
</t>
          </r>
          <r>
            <rPr>
              <rFont val="メイリオ"/>
              <sz val="10"/>
            </rPr>
            <t>「次へ（&gt;）」ボタンを押下</t>
          </r>
        </is>
      </c>
      <c r="R58" s="10" t="n"/>
      <c r="S58" s="10" t="n"/>
      <c r="T58" s="10" t="n"/>
      <c r="U58" s="10" t="n"/>
      <c r="V58" s="10" t="n"/>
      <c r="W58" s="11" t="n"/>
      <c r="X58" s="46" t="inlineStr">
        <is>
          <r>
            <rPr>
              <rFont val="メイリオ"/>
              <b val="1"/>
              <sz val="10"/>
            </rPr>
            <t xml:space="preserve">ステップ1：
</t>
          </r>
          <r>
            <rPr>
              <rFont val="メイリオ"/>
              <sz val="10"/>
            </rPr>
            <t xml:space="preserve">1ページ目（1-20件目）が表示されること、ページネーションは「全 124 件」と表示されること
</t>
          </r>
          <r>
            <rPr>
              <rFont val="メイリオ"/>
              <b val="1"/>
              <sz val="10"/>
            </rPr>
            <t xml:space="preserve">ステップ2：
</t>
          </r>
          <r>
            <rPr>
              <rFont val="メイリオ"/>
              <sz val="10"/>
            </rPr>
            <t xml:space="preserve">2ページ目（21-40件目）が表示されること、ページネーションのアクティブが「2」に切り替わること
</t>
          </r>
          <r>
            <rPr>
              <rFont val="メイリオ"/>
              <b val="1"/>
              <sz val="10"/>
            </rPr>
            <t xml:space="preserve">ステップ3：
</t>
          </r>
          <r>
            <rPr>
              <rFont val="メイリオ"/>
              <sz val="10"/>
            </rPr>
            <t xml:space="preserve">GET `/api/v1/tanka?...&amp;page=2&amp;per_page=20&amp;...` が送信されること
</t>
          </r>
          <r>
            <rPr>
              <rFont val="メイリオ"/>
              <b val="1"/>
              <sz val="10"/>
            </rPr>
            <t xml:space="preserve">ステップ4：
</t>
          </r>
          <r>
            <rPr>
              <rFont val="メイリオ"/>
              <sz val="10"/>
            </rPr>
            <t xml:space="preserve">3ページ目（41-60件目）が表示されること
</t>
          </r>
          <r>
            <rPr>
              <rFont val="メイリオ"/>
              <b val="1"/>
              <sz val="10"/>
            </rPr>
            <t xml:space="preserve">補足：
</t>
          </r>
          <r>
            <rPr>
              <rFont val="メイリオ"/>
              <sz val="10"/>
            </rPr>
            <t>・ページ番号が遷移しても検索条件・ソート条件は保持されること</t>
          </r>
        </is>
      </c>
      <c r="Y58" s="10" t="n"/>
      <c r="Z58" s="10" t="n"/>
      <c r="AA58" s="10" t="n"/>
      <c r="AB58" s="10" t="n"/>
      <c r="AC58" s="10" t="n"/>
      <c r="AD58" s="11" t="n"/>
      <c r="AE58" s="45" t="inlineStr">
        <is>
          <t>N</t>
        </is>
      </c>
      <c r="AF58" s="11" t="n"/>
      <c r="AG58" s="45" t="inlineStr"/>
      <c r="AH58" s="10" t="n"/>
      <c r="AI58" s="11" t="n"/>
      <c r="AJ58" s="45" t="inlineStr"/>
      <c r="AK58" s="10" t="n"/>
      <c r="AL58" s="11" t="n"/>
      <c r="AM58" s="45" t="inlineStr"/>
      <c r="AN58" s="10" t="n"/>
      <c r="AO58" s="11" t="n"/>
      <c r="AP58" s="45" t="inlineStr"/>
      <c r="AQ58" s="10" t="n"/>
      <c r="AR58" s="11" t="n"/>
      <c r="AS58" s="45" t="inlineStr"/>
      <c r="AT58" s="10" t="n"/>
      <c r="AU58" s="11" t="n"/>
      <c r="AV58" s="45" t="inlineStr"/>
      <c r="AW58" s="10" t="n"/>
      <c r="AX58" s="11" t="n"/>
      <c r="AY58" s="45" t="inlineStr"/>
      <c r="AZ58" s="10" t="n"/>
      <c r="BA58" s="11" t="n"/>
      <c r="BB58" s="45" t="inlineStr"/>
      <c r="BC58" s="10" t="n"/>
      <c r="BD58" s="11" t="n"/>
      <c r="BE58" s="45" t="inlineStr"/>
      <c r="BF58" s="10" t="n"/>
      <c r="BG58" s="11" t="n"/>
      <c r="BH58" s="45" t="inlineStr"/>
      <c r="BI58" s="10" t="n"/>
      <c r="BJ58" s="11" t="n"/>
      <c r="BK58" s="46" t="inlineStr"/>
      <c r="BL58" s="10" t="n"/>
      <c r="BM58" s="10" t="n"/>
      <c r="BN58" s="10" t="n"/>
      <c r="BO58" s="10" t="n"/>
      <c r="BP58" s="10" t="n"/>
      <c r="BQ58" s="11" t="n"/>
    </row>
    <row r="59" ht="416" customHeight="1">
      <c r="A59" s="44" t="n">
        <v>43</v>
      </c>
      <c r="B59" s="46" t="inlineStr">
        <is>
          <t>ACSMS-TC-002-043</t>
        </is>
      </c>
      <c r="C59" s="10" t="n"/>
      <c r="D59" s="11" t="n"/>
      <c r="E59" s="46" t="inlineStr">
        <is>
          <t>ページネーション — 1ページあたり表示件数の切替</t>
        </is>
      </c>
      <c r="F59" s="10" t="n"/>
      <c r="G59" s="10" t="n"/>
      <c r="H59" s="10" t="n"/>
      <c r="I59" s="11" t="n"/>
      <c r="J59" s="46" t="inlineStr">
        <is>
          <t>・role: CHUOKAI
・自中央会の単価データが124件登録済</t>
        </is>
      </c>
      <c r="K59" s="10" t="n"/>
      <c r="L59" s="10" t="n"/>
      <c r="M59" s="10" t="n"/>
      <c r="N59" s="10" t="n"/>
      <c r="O59" s="10" t="n"/>
      <c r="P59" s="11" t="n"/>
      <c r="Q59" s="46" t="inlineStr">
        <is>
          <r>
            <rPr>
              <rFont val="メイリオ"/>
              <b val="1"/>
              <sz val="10"/>
            </rPr>
            <t xml:space="preserve">ステップ1：
</t>
          </r>
          <r>
            <rPr>
              <rFont val="メイリオ"/>
              <sz val="10"/>
            </rPr>
            <t xml:space="preserve">ページネーション横のドロップダウンを展開
</t>
          </r>
          <r>
            <rPr>
              <rFont val="メイリオ"/>
              <b val="1"/>
              <sz val="10"/>
            </rPr>
            <t xml:space="preserve">ステップ2：
</t>
          </r>
          <r>
            <rPr>
              <rFont val="メイリオ"/>
              <sz val="10"/>
            </rPr>
            <t xml:space="preserve">選択肢を確認
</t>
          </r>
          <r>
            <rPr>
              <rFont val="メイリオ"/>
              <b val="1"/>
              <sz val="10"/>
            </rPr>
            <t xml:space="preserve">ステップ3：
</t>
          </r>
          <r>
            <rPr>
              <rFont val="メイリオ"/>
              <sz val="10"/>
            </rPr>
            <t xml:space="preserve">「50 / 頁」を選択
</t>
          </r>
          <r>
            <rPr>
              <rFont val="メイリオ"/>
              <b val="1"/>
              <sz val="10"/>
            </rPr>
            <t xml:space="preserve">ステップ4：
</t>
          </r>
          <r>
            <rPr>
              <rFont val="メイリオ"/>
              <sz val="10"/>
            </rPr>
            <t>「100 / 頁」を選択</t>
          </r>
        </is>
      </c>
      <c r="R59" s="10" t="n"/>
      <c r="S59" s="10" t="n"/>
      <c r="T59" s="10" t="n"/>
      <c r="U59" s="10" t="n"/>
      <c r="V59" s="10" t="n"/>
      <c r="W59" s="11" t="n"/>
      <c r="X59" s="46" t="inlineStr">
        <is>
          <r>
            <rPr>
              <rFont val="メイリオ"/>
              <b val="1"/>
              <sz val="10"/>
            </rPr>
            <t xml:space="preserve">ステップ1：
</t>
          </r>
          <r>
            <rPr>
              <rFont val="メイリオ"/>
              <sz val="10"/>
            </rPr>
            <t xml:space="preserve">ドロップダウンが展開されること
</t>
          </r>
          <r>
            <rPr>
              <rFont val="メイリオ"/>
              <b val="1"/>
              <sz val="10"/>
            </rPr>
            <t xml:space="preserve">ステップ2：
</t>
          </r>
          <r>
            <rPr>
              <rFont val="メイリオ"/>
              <sz val="10"/>
            </rPr>
            <t xml:space="preserve">「10 / 頁」「20 / 頁」「50 / 頁」「100 / 頁」の4選択肢が表示されること、初期選択は「20 / 頁」であること
</t>
          </r>
          <r>
            <rPr>
              <rFont val="メイリオ"/>
              <b val="1"/>
              <sz val="10"/>
            </rPr>
            <t xml:space="preserve">ステップ3：
</t>
          </r>
          <r>
            <rPr>
              <rFont val="メイリオ"/>
              <sz val="10"/>
            </rPr>
            <t xml:space="preserve">GET `/api/v1/tanka?...&amp;per_page=50&amp;...` が送信されること、50件まで一覧に表示されること、総ページ数が再計算されること
</t>
          </r>
          <r>
            <rPr>
              <rFont val="メイリオ"/>
              <b val="1"/>
              <sz val="10"/>
            </rPr>
            <t xml:space="preserve">ステップ4：
</t>
          </r>
          <r>
            <rPr>
              <rFont val="メイリオ"/>
              <sz val="10"/>
            </rPr>
            <t xml:space="preserve">GET `/api/v1/tanka?...&amp;per_page=100&amp;...` が送信されること、100件まで一覧に表示されること
</t>
          </r>
          <r>
            <rPr>
              <rFont val="メイリオ"/>
              <b val="1"/>
              <sz val="10"/>
            </rPr>
            <t xml:space="preserve">補足：
</t>
          </r>
          <r>
            <rPr>
              <rFont val="メイリオ"/>
              <sz val="10"/>
            </rPr>
            <t>・per_page 上限は100件（DTO 制約 `@Max(100)`）</t>
          </r>
        </is>
      </c>
      <c r="Y59" s="10" t="n"/>
      <c r="Z59" s="10" t="n"/>
      <c r="AA59" s="10" t="n"/>
      <c r="AB59" s="10" t="n"/>
      <c r="AC59" s="10" t="n"/>
      <c r="AD59" s="11" t="n"/>
      <c r="AE59" s="45" t="inlineStr">
        <is>
          <t>N</t>
        </is>
      </c>
      <c r="AF59" s="11" t="n"/>
      <c r="AG59" s="45" t="inlineStr"/>
      <c r="AH59" s="10" t="n"/>
      <c r="AI59" s="11" t="n"/>
      <c r="AJ59" s="45" t="inlineStr"/>
      <c r="AK59" s="10" t="n"/>
      <c r="AL59" s="11" t="n"/>
      <c r="AM59" s="45" t="inlineStr"/>
      <c r="AN59" s="10" t="n"/>
      <c r="AO59" s="11" t="n"/>
      <c r="AP59" s="45" t="inlineStr"/>
      <c r="AQ59" s="10" t="n"/>
      <c r="AR59" s="11" t="n"/>
      <c r="AS59" s="45" t="inlineStr"/>
      <c r="AT59" s="10" t="n"/>
      <c r="AU59" s="11" t="n"/>
      <c r="AV59" s="45" t="inlineStr"/>
      <c r="AW59" s="10" t="n"/>
      <c r="AX59" s="11" t="n"/>
      <c r="AY59" s="45" t="inlineStr"/>
      <c r="AZ59" s="10" t="n"/>
      <c r="BA59" s="11" t="n"/>
      <c r="BB59" s="45" t="inlineStr"/>
      <c r="BC59" s="10" t="n"/>
      <c r="BD59" s="11" t="n"/>
      <c r="BE59" s="45" t="inlineStr"/>
      <c r="BF59" s="10" t="n"/>
      <c r="BG59" s="11" t="n"/>
      <c r="BH59" s="45" t="inlineStr"/>
      <c r="BI59" s="10" t="n"/>
      <c r="BJ59" s="11" t="n"/>
      <c r="BK59" s="46" t="inlineStr"/>
      <c r="BL59" s="10" t="n"/>
      <c r="BM59" s="10" t="n"/>
      <c r="BN59" s="10" t="n"/>
      <c r="BO59" s="10" t="n"/>
      <c r="BP59" s="10" t="n"/>
      <c r="BQ59" s="11" t="n"/>
    </row>
    <row r="60" ht="256" customHeight="1">
      <c r="A60" s="44" t="n">
        <v>44</v>
      </c>
      <c r="B60" s="46" t="inlineStr">
        <is>
          <t>ACSMS-TC-002-044</t>
        </is>
      </c>
      <c r="C60" s="10" t="n"/>
      <c r="D60" s="11" t="n"/>
      <c r="E60" s="46" t="inlineStr">
        <is>
          <t>ページネーション — per_page 上限超過の拒否</t>
        </is>
      </c>
      <c r="F60" s="10" t="n"/>
      <c r="G60" s="10" t="n"/>
      <c r="H60" s="10" t="n"/>
      <c r="I60" s="11" t="n"/>
      <c r="J60" s="46" t="inlineStr">
        <is>
          <t>・role: CHUOKAI</t>
        </is>
      </c>
      <c r="K60" s="10" t="n"/>
      <c r="L60" s="10" t="n"/>
      <c r="M60" s="10" t="n"/>
      <c r="N60" s="10" t="n"/>
      <c r="O60" s="10" t="n"/>
      <c r="P60" s="11" t="n"/>
      <c r="Q60" s="46" t="inlineStr">
        <is>
          <r>
            <rPr>
              <rFont val="メイリオ"/>
              <b val="1"/>
              <sz val="10"/>
            </rPr>
            <t xml:space="preserve">ステップ1：
</t>
          </r>
          <r>
            <rPr>
              <rFont val="メイリオ"/>
              <sz val="10"/>
            </rPr>
            <t xml:space="preserve">DevTools で GET `/api/v1/tanka?page=1&amp;per_page=101` を送信
</t>
          </r>
          <r>
            <rPr>
              <rFont val="メイリオ"/>
              <b val="1"/>
              <sz val="10"/>
            </rPr>
            <t xml:space="preserve">ステップ2：
</t>
          </r>
          <r>
            <rPr>
              <rFont val="メイリオ"/>
              <sz val="10"/>
            </rPr>
            <t>DevTools で GET `/api/v1/tanka?page=1&amp;per_page=0` を送信</t>
          </r>
        </is>
      </c>
      <c r="R60" s="10" t="n"/>
      <c r="S60" s="10" t="n"/>
      <c r="T60" s="10" t="n"/>
      <c r="U60" s="10" t="n"/>
      <c r="V60" s="10" t="n"/>
      <c r="W60" s="11" t="n"/>
      <c r="X60" s="46" t="inlineStr">
        <is>
          <r>
            <rPr>
              <rFont val="メイリオ"/>
              <b val="1"/>
              <sz val="10"/>
            </rPr>
            <t xml:space="preserve">ステップ1：
</t>
          </r>
          <r>
            <rPr>
              <rFont val="メイリオ"/>
              <sz val="10"/>
            </rPr>
            <t xml:space="preserve">HTTPステータスコード400が返却されること（`error_code: VALIDATION_ERROR`、メッセージ `1ページの件数は最大100件です。`）
</t>
          </r>
          <r>
            <rPr>
              <rFont val="メイリオ"/>
              <b val="1"/>
              <sz val="10"/>
            </rPr>
            <t xml:space="preserve">ステップ2：
</t>
          </r>
          <r>
            <rPr>
              <rFont val="メイリオ"/>
              <sz val="10"/>
            </rPr>
            <t xml:space="preserve">HTTPステータスコード400が返却されること（メッセージ `1ページの件数は1以上で指定してください。`）
</t>
          </r>
          <r>
            <rPr>
              <rFont val="メイリオ"/>
              <b val="1"/>
              <sz val="10"/>
            </rPr>
            <t xml:space="preserve">補足：
</t>
          </r>
          <r>
            <rPr>
              <rFont val="メイリオ"/>
              <sz val="10"/>
            </rPr>
            <t>・per_page は1以上100以下の整数</t>
          </r>
        </is>
      </c>
      <c r="Y60" s="10" t="n"/>
      <c r="Z60" s="10" t="n"/>
      <c r="AA60" s="10" t="n"/>
      <c r="AB60" s="10" t="n"/>
      <c r="AC60" s="10" t="n"/>
      <c r="AD60" s="11" t="n"/>
      <c r="AE60" s="45" t="inlineStr">
        <is>
          <t>A</t>
        </is>
      </c>
      <c r="AF60" s="11" t="n"/>
      <c r="AG60" s="45" t="inlineStr"/>
      <c r="AH60" s="10" t="n"/>
      <c r="AI60" s="11" t="n"/>
      <c r="AJ60" s="45" t="inlineStr"/>
      <c r="AK60" s="10" t="n"/>
      <c r="AL60" s="11" t="n"/>
      <c r="AM60" s="45" t="inlineStr"/>
      <c r="AN60" s="10" t="n"/>
      <c r="AO60" s="11" t="n"/>
      <c r="AP60" s="45" t="inlineStr"/>
      <c r="AQ60" s="10" t="n"/>
      <c r="AR60" s="11" t="n"/>
      <c r="AS60" s="45" t="inlineStr"/>
      <c r="AT60" s="10" t="n"/>
      <c r="AU60" s="11" t="n"/>
      <c r="AV60" s="45" t="inlineStr"/>
      <c r="AW60" s="10" t="n"/>
      <c r="AX60" s="11" t="n"/>
      <c r="AY60" s="45" t="inlineStr"/>
      <c r="AZ60" s="10" t="n"/>
      <c r="BA60" s="11" t="n"/>
      <c r="BB60" s="45" t="inlineStr"/>
      <c r="BC60" s="10" t="n"/>
      <c r="BD60" s="11" t="n"/>
      <c r="BE60" s="45" t="inlineStr"/>
      <c r="BF60" s="10" t="n"/>
      <c r="BG60" s="11" t="n"/>
      <c r="BH60" s="45" t="inlineStr"/>
      <c r="BI60" s="10" t="n"/>
      <c r="BJ60" s="11" t="n"/>
      <c r="BK60" s="46" t="inlineStr"/>
      <c r="BL60" s="10" t="n"/>
      <c r="BM60" s="10" t="n"/>
      <c r="BN60" s="10" t="n"/>
      <c r="BO60" s="10" t="n"/>
      <c r="BP60" s="10" t="n"/>
      <c r="BQ60" s="11" t="n"/>
    </row>
    <row r="61" ht="224" customHeight="1">
      <c r="A61" s="44" t="n">
        <v>45</v>
      </c>
      <c r="B61" s="46" t="inlineStr">
        <is>
          <t>ACSMS-TC-002-045</t>
        </is>
      </c>
      <c r="C61" s="10" t="n"/>
      <c r="D61" s="11" t="n"/>
      <c r="E61" s="46" t="inlineStr">
        <is>
          <t>ページネーション — page 0以下の拒否</t>
        </is>
      </c>
      <c r="F61" s="10" t="n"/>
      <c r="G61" s="10" t="n"/>
      <c r="H61" s="10" t="n"/>
      <c r="I61" s="11" t="n"/>
      <c r="J61" s="46" t="inlineStr">
        <is>
          <t>・role: CHUOKAI</t>
        </is>
      </c>
      <c r="K61" s="10" t="n"/>
      <c r="L61" s="10" t="n"/>
      <c r="M61" s="10" t="n"/>
      <c r="N61" s="10" t="n"/>
      <c r="O61" s="10" t="n"/>
      <c r="P61" s="11" t="n"/>
      <c r="Q61" s="46" t="inlineStr">
        <is>
          <r>
            <rPr>
              <rFont val="メイリオ"/>
              <b val="1"/>
              <sz val="10"/>
            </rPr>
            <t xml:space="preserve">ステップ1：
</t>
          </r>
          <r>
            <rPr>
              <rFont val="メイリオ"/>
              <sz val="10"/>
            </rPr>
            <t xml:space="preserve">DevTools で GET `/api/v1/tanka?page=0&amp;per_page=20` を送信
</t>
          </r>
          <r>
            <rPr>
              <rFont val="メイリオ"/>
              <b val="1"/>
              <sz val="10"/>
            </rPr>
            <t xml:space="preserve">ステップ2：
</t>
          </r>
          <r>
            <rPr>
              <rFont val="メイリオ"/>
              <sz val="10"/>
            </rPr>
            <t>DevTools で GET `/api/v1/tanka?page=-1&amp;per_page=20` を送信</t>
          </r>
        </is>
      </c>
      <c r="R61" s="10" t="n"/>
      <c r="S61" s="10" t="n"/>
      <c r="T61" s="10" t="n"/>
      <c r="U61" s="10" t="n"/>
      <c r="V61" s="10" t="n"/>
      <c r="W61" s="11" t="n"/>
      <c r="X61" s="46" t="inlineStr">
        <is>
          <r>
            <rPr>
              <rFont val="メイリオ"/>
              <b val="1"/>
              <sz val="10"/>
            </rPr>
            <t xml:space="preserve">ステップ1：
</t>
          </r>
          <r>
            <rPr>
              <rFont val="メイリオ"/>
              <sz val="10"/>
            </rPr>
            <t xml:space="preserve">HTTPステータスコード400が返却されること（`error_code: VALIDATION_ERROR`、メッセージ `ページ番号は1以上で指定してください。`）
</t>
          </r>
          <r>
            <rPr>
              <rFont val="メイリオ"/>
              <b val="1"/>
              <sz val="10"/>
            </rPr>
            <t xml:space="preserve">ステップ2：
</t>
          </r>
          <r>
            <rPr>
              <rFont val="メイリオ"/>
              <sz val="10"/>
            </rPr>
            <t xml:space="preserve">HTTPステータスコード400が返却されること（同一メッセージ）
</t>
          </r>
          <r>
            <rPr>
              <rFont val="メイリオ"/>
              <b val="1"/>
              <sz val="10"/>
            </rPr>
            <t xml:space="preserve">補足：
</t>
          </r>
          <r>
            <rPr>
              <rFont val="メイリオ"/>
              <sz val="10"/>
            </rPr>
            <t>・page は1以上の整数</t>
          </r>
        </is>
      </c>
      <c r="Y61" s="10" t="n"/>
      <c r="Z61" s="10" t="n"/>
      <c r="AA61" s="10" t="n"/>
      <c r="AB61" s="10" t="n"/>
      <c r="AC61" s="10" t="n"/>
      <c r="AD61" s="11" t="n"/>
      <c r="AE61" s="45" t="inlineStr">
        <is>
          <t>A</t>
        </is>
      </c>
      <c r="AF61" s="11" t="n"/>
      <c r="AG61" s="45" t="inlineStr"/>
      <c r="AH61" s="10" t="n"/>
      <c r="AI61" s="11" t="n"/>
      <c r="AJ61" s="45" t="inlineStr"/>
      <c r="AK61" s="10" t="n"/>
      <c r="AL61" s="11" t="n"/>
      <c r="AM61" s="45" t="inlineStr"/>
      <c r="AN61" s="10" t="n"/>
      <c r="AO61" s="11" t="n"/>
      <c r="AP61" s="45" t="inlineStr"/>
      <c r="AQ61" s="10" t="n"/>
      <c r="AR61" s="11" t="n"/>
      <c r="AS61" s="45" t="inlineStr"/>
      <c r="AT61" s="10" t="n"/>
      <c r="AU61" s="11" t="n"/>
      <c r="AV61" s="45" t="inlineStr"/>
      <c r="AW61" s="10" t="n"/>
      <c r="AX61" s="11" t="n"/>
      <c r="AY61" s="45" t="inlineStr"/>
      <c r="AZ61" s="10" t="n"/>
      <c r="BA61" s="11" t="n"/>
      <c r="BB61" s="45" t="inlineStr"/>
      <c r="BC61" s="10" t="n"/>
      <c r="BD61" s="11" t="n"/>
      <c r="BE61" s="45" t="inlineStr"/>
      <c r="BF61" s="10" t="n"/>
      <c r="BG61" s="11" t="n"/>
      <c r="BH61" s="45" t="inlineStr"/>
      <c r="BI61" s="10" t="n"/>
      <c r="BJ61" s="11" t="n"/>
      <c r="BK61" s="46" t="inlineStr"/>
      <c r="BL61" s="10" t="n"/>
      <c r="BM61" s="10" t="n"/>
      <c r="BN61" s="10" t="n"/>
      <c r="BO61" s="10" t="n"/>
      <c r="BP61" s="10" t="n"/>
      <c r="BQ61" s="11" t="n"/>
    </row>
    <row r="62" ht="320" customHeight="1">
      <c r="A62" s="44" t="n">
        <v>46</v>
      </c>
      <c r="B62" s="46" t="inlineStr">
        <is>
          <t>ACSMS-TC-002-046</t>
        </is>
      </c>
      <c r="C62" s="10" t="n"/>
      <c r="D62" s="11" t="n"/>
      <c r="E62" s="46" t="inlineStr">
        <is>
          <t>検索条件・ソート条件のページ間引継ぎ</t>
        </is>
      </c>
      <c r="F62" s="10" t="n"/>
      <c r="G62" s="10" t="n"/>
      <c r="H62" s="10" t="n"/>
      <c r="I62" s="11" t="n"/>
      <c r="J62" s="46" t="inlineStr">
        <is>
          <t>・role: CHUOKAI
・単価データが50件以上登録済</t>
        </is>
      </c>
      <c r="K62" s="10" t="n"/>
      <c r="L62" s="10" t="n"/>
      <c r="M62" s="10" t="n"/>
      <c r="N62" s="10" t="n"/>
      <c r="O62" s="10" t="n"/>
      <c r="P62" s="11" t="n"/>
      <c r="Q62" s="46" t="inlineStr">
        <is>
          <r>
            <rPr>
              <rFont val="メイリオ"/>
              <b val="1"/>
              <sz val="10"/>
            </rPr>
            <t xml:space="preserve">ステップ1：
</t>
          </r>
          <r>
            <rPr>
              <rFont val="メイリオ"/>
              <sz val="10"/>
            </rPr>
            <t xml:space="preserve">単価名に `基本` を入力し、「検索」を押下
</t>
          </r>
          <r>
            <rPr>
              <rFont val="メイリオ"/>
              <b val="1"/>
              <sz val="10"/>
            </rPr>
            <t xml:space="preserve">ステップ2：
</t>
          </r>
          <r>
            <rPr>
              <rFont val="メイリオ"/>
              <sz val="10"/>
            </rPr>
            <t xml:space="preserve">「単価コード」カラムを押下し昇順ソート
</t>
          </r>
          <r>
            <rPr>
              <rFont val="メイリオ"/>
              <b val="1"/>
              <sz val="10"/>
            </rPr>
            <t xml:space="preserve">ステップ3：
</t>
          </r>
          <r>
            <rPr>
              <rFont val="メイリオ"/>
              <sz val="10"/>
            </rPr>
            <t xml:space="preserve">ページネーションの「2」ボタンを押下
</t>
          </r>
          <r>
            <rPr>
              <rFont val="メイリオ"/>
              <b val="1"/>
              <sz val="10"/>
            </rPr>
            <t xml:space="preserve">ステップ4：
</t>
          </r>
          <r>
            <rPr>
              <rFont val="メイリオ"/>
              <sz val="10"/>
            </rPr>
            <t>DevTools でAPIリクエストを確認</t>
          </r>
        </is>
      </c>
      <c r="R62" s="10" t="n"/>
      <c r="S62" s="10" t="n"/>
      <c r="T62" s="10" t="n"/>
      <c r="U62" s="10" t="n"/>
      <c r="V62" s="10" t="n"/>
      <c r="W62" s="11" t="n"/>
      <c r="X62" s="46" t="inlineStr">
        <is>
          <r>
            <rPr>
              <rFont val="メイリオ"/>
              <b val="1"/>
              <sz val="10"/>
            </rPr>
            <t xml:space="preserve">ステップ1：
</t>
          </r>
          <r>
            <rPr>
              <rFont val="メイリオ"/>
              <sz val="10"/>
            </rPr>
            <t xml:space="preserve">絞り込まれた結果が1ページ目で表示されること
</t>
          </r>
          <r>
            <rPr>
              <rFont val="メイリオ"/>
              <b val="1"/>
              <sz val="10"/>
            </rPr>
            <t xml:space="preserve">ステップ2：
</t>
          </r>
          <r>
            <rPr>
              <rFont val="メイリオ"/>
              <sz val="10"/>
            </rPr>
            <t xml:space="preserve">単価コード昇順で並べ替えられて表示されること
</t>
          </r>
          <r>
            <rPr>
              <rFont val="メイリオ"/>
              <b val="1"/>
              <sz val="10"/>
            </rPr>
            <t xml:space="preserve">ステップ3：
</t>
          </r>
          <r>
            <rPr>
              <rFont val="メイリオ"/>
              <sz val="10"/>
            </rPr>
            <t xml:space="preserve">2ページ目に遷移すること
</t>
          </r>
          <r>
            <rPr>
              <rFont val="メイリオ"/>
              <b val="1"/>
              <sz val="10"/>
            </rPr>
            <t xml:space="preserve">ステップ4：
</t>
          </r>
          <r>
            <rPr>
              <rFont val="メイリオ"/>
              <sz val="10"/>
            </rPr>
            <t xml:space="preserve">GET `/api/v1/tanka?tanka_name=基本&amp;page=2&amp;per_page=20&amp;sort_by=tanka_code&amp;sort_order=asc` が送信されること
</t>
          </r>
          <r>
            <rPr>
              <rFont val="メイリオ"/>
              <b val="1"/>
              <sz val="10"/>
            </rPr>
            <t xml:space="preserve">補足：
</t>
          </r>
          <r>
            <rPr>
              <rFont val="メイリオ"/>
              <sz val="10"/>
            </rPr>
            <t xml:space="preserve">・検索条件が保持されること
</t>
          </r>
          <r>
            <rPr>
              <rFont val="メイリオ"/>
              <sz val="10"/>
            </rPr>
            <t>・ソート条件が保持されること</t>
          </r>
        </is>
      </c>
      <c r="Y62" s="10" t="n"/>
      <c r="Z62" s="10" t="n"/>
      <c r="AA62" s="10" t="n"/>
      <c r="AB62" s="10" t="n"/>
      <c r="AC62" s="10" t="n"/>
      <c r="AD62" s="11" t="n"/>
      <c r="AE62" s="45" t="inlineStr">
        <is>
          <t>N</t>
        </is>
      </c>
      <c r="AF62" s="11" t="n"/>
      <c r="AG62" s="45" t="inlineStr"/>
      <c r="AH62" s="10" t="n"/>
      <c r="AI62" s="11" t="n"/>
      <c r="AJ62" s="45" t="inlineStr"/>
      <c r="AK62" s="10" t="n"/>
      <c r="AL62" s="11" t="n"/>
      <c r="AM62" s="45" t="inlineStr"/>
      <c r="AN62" s="10" t="n"/>
      <c r="AO62" s="11" t="n"/>
      <c r="AP62" s="45" t="inlineStr"/>
      <c r="AQ62" s="10" t="n"/>
      <c r="AR62" s="11" t="n"/>
      <c r="AS62" s="45" t="inlineStr"/>
      <c r="AT62" s="10" t="n"/>
      <c r="AU62" s="11" t="n"/>
      <c r="AV62" s="45" t="inlineStr"/>
      <c r="AW62" s="10" t="n"/>
      <c r="AX62" s="11" t="n"/>
      <c r="AY62" s="45" t="inlineStr"/>
      <c r="AZ62" s="10" t="n"/>
      <c r="BA62" s="11" t="n"/>
      <c r="BB62" s="45" t="inlineStr"/>
      <c r="BC62" s="10" t="n"/>
      <c r="BD62" s="11" t="n"/>
      <c r="BE62" s="45" t="inlineStr"/>
      <c r="BF62" s="10" t="n"/>
      <c r="BG62" s="11" t="n"/>
      <c r="BH62" s="45" t="inlineStr"/>
      <c r="BI62" s="10" t="n"/>
      <c r="BJ62" s="11" t="n"/>
      <c r="BK62" s="46" t="inlineStr">
        <is>
          <t>(なし)
---</t>
        </is>
      </c>
      <c r="BL62" s="10" t="n"/>
      <c r="BM62" s="10" t="n"/>
      <c r="BN62" s="10" t="n"/>
      <c r="BO62" s="10" t="n"/>
      <c r="BP62" s="10" t="n"/>
      <c r="BQ62" s="11" t="n"/>
    </row>
    <row r="63" ht="22.5" customHeight="1">
      <c r="A63" s="32" t="inlineStr">
        <is>
          <t>業務ロジック（Function — List / Delete）</t>
        </is>
      </c>
      <c r="B63" s="10" t="n"/>
      <c r="C63" s="10" t="n"/>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c r="Y63" s="10" t="n"/>
      <c r="Z63" s="10" t="n"/>
      <c r="AA63" s="10" t="n"/>
      <c r="AB63" s="10" t="n"/>
      <c r="AC63" s="10" t="n"/>
      <c r="AD63" s="10" t="n"/>
      <c r="AE63" s="10" t="n"/>
      <c r="AF63" s="10" t="n"/>
      <c r="AG63" s="10" t="n"/>
      <c r="AH63" s="10" t="n"/>
      <c r="AI63" s="10" t="n"/>
      <c r="AJ63" s="10" t="n"/>
      <c r="AK63" s="10" t="n"/>
      <c r="AL63" s="10" t="n"/>
      <c r="AM63" s="10" t="n"/>
      <c r="AN63" s="10" t="n"/>
      <c r="AO63" s="10" t="n"/>
      <c r="AP63" s="10" t="n"/>
      <c r="AQ63" s="10" t="n"/>
      <c r="AR63" s="10" t="n"/>
      <c r="AS63" s="10" t="n"/>
      <c r="AT63" s="10" t="n"/>
      <c r="AU63" s="10" t="n"/>
      <c r="AV63" s="10" t="n"/>
      <c r="AW63" s="10" t="n"/>
      <c r="AX63" s="10" t="n"/>
      <c r="AY63" s="10" t="n"/>
      <c r="AZ63" s="10" t="n"/>
      <c r="BA63" s="10" t="n"/>
      <c r="BB63" s="10" t="n"/>
      <c r="BC63" s="10" t="n"/>
      <c r="BD63" s="10" t="n"/>
      <c r="BE63" s="10" t="n"/>
      <c r="BF63" s="10" t="n"/>
      <c r="BG63" s="10" t="n"/>
      <c r="BH63" s="10" t="n"/>
      <c r="BI63" s="10" t="n"/>
      <c r="BJ63" s="10" t="n"/>
      <c r="BK63" s="10" t="n"/>
      <c r="BL63" s="10" t="n"/>
      <c r="BM63" s="10" t="n"/>
      <c r="BN63" s="10" t="n"/>
      <c r="BO63" s="10" t="n"/>
      <c r="BP63" s="10" t="n"/>
      <c r="BQ63" s="11" t="n"/>
    </row>
    <row r="64" ht="450" customHeight="1">
      <c r="A64" s="44" t="n">
        <v>47</v>
      </c>
      <c r="B64" s="46" t="inlineStr">
        <is>
          <t>ACSMS-TC-002-047</t>
        </is>
      </c>
      <c r="C64" s="10" t="n"/>
      <c r="D64" s="11" t="n"/>
      <c r="E64" s="46" t="inlineStr">
        <is>
          <t>一覧取得 正常系</t>
        </is>
      </c>
      <c r="F64" s="10" t="n"/>
      <c r="G64" s="10" t="n"/>
      <c r="H64" s="10" t="n"/>
      <c r="I64" s="11" t="n"/>
      <c r="J64" s="46" t="inlineStr">
        <is>
          <t>・role: CHUOKAI
・自中央会の単価データが3件登録済（新聞購読料1件、配達手数料2件）</t>
        </is>
      </c>
      <c r="K64" s="10" t="n"/>
      <c r="L64" s="10" t="n"/>
      <c r="M64" s="10" t="n"/>
      <c r="N64" s="10" t="n"/>
      <c r="O64" s="10" t="n"/>
      <c r="P64" s="11" t="n"/>
      <c r="Q64" s="46" t="inlineStr">
        <is>
          <r>
            <rPr>
              <rFont val="メイリオ"/>
              <b val="1"/>
              <sz val="10"/>
            </rPr>
            <t xml:space="preserve">ステップ1：
</t>
          </r>
          <r>
            <rPr>
              <rFont val="メイリオ"/>
              <sz val="10"/>
            </rPr>
            <t xml:space="preserve">`/tanka` を開く
</t>
          </r>
          <r>
            <rPr>
              <rFont val="メイリオ"/>
              <b val="1"/>
              <sz val="10"/>
            </rPr>
            <t xml:space="preserve">ステップ2：
</t>
          </r>
          <r>
            <rPr>
              <rFont val="メイリオ"/>
              <sz val="10"/>
            </rPr>
            <t xml:space="preserve">DevTools の Network タブで `/api/v1/tanka` のレスポンスJSONを確認
</t>
          </r>
          <r>
            <rPr>
              <rFont val="メイリオ"/>
              <b val="1"/>
              <sz val="10"/>
            </rPr>
            <t xml:space="preserve">ステップ3：
</t>
          </r>
          <r>
            <rPr>
              <rFont val="メイリオ"/>
              <sz val="10"/>
            </rPr>
            <t>レスポンスJSONの各項目を画面表示と照合</t>
          </r>
        </is>
      </c>
      <c r="R64" s="10" t="n"/>
      <c r="S64" s="10" t="n"/>
      <c r="T64" s="10" t="n"/>
      <c r="U64" s="10" t="n"/>
      <c r="V64" s="10" t="n"/>
      <c r="W64" s="11" t="n"/>
      <c r="X64" s="46" t="inlineStr">
        <is>
          <r>
            <rPr>
              <rFont val="メイリオ"/>
              <b val="1"/>
              <sz val="10"/>
            </rPr>
            <t xml:space="preserve">ステップ1：
</t>
          </r>
          <r>
            <rPr>
              <rFont val="メイリオ"/>
              <sz val="10"/>
            </rPr>
            <t xml:space="preserve">単価マスタ明細検索画面が表示されること
</t>
          </r>
          <r>
            <rPr>
              <rFont val="メイリオ"/>
              <b val="1"/>
              <sz val="10"/>
            </rPr>
            <t xml:space="preserve">ステップ2：
</t>
          </r>
          <r>
            <rPr>
              <rFont val="メイリオ"/>
              <sz val="10"/>
            </rPr>
            <t xml:space="preserve">HTTPステータスコード200が返却されること、レスポンスボディの形式は `{ data: [...], meta: { total, page, per_page, total_pages } }` であること
</t>
          </r>
          <r>
            <rPr>
              <rFont val="メイリオ"/>
              <b val="1"/>
              <sz val="10"/>
            </rPr>
            <t xml:space="preserve">ステップ3：
</t>
          </r>
          <r>
            <rPr>
              <rFont val="メイリオ"/>
              <sz val="10"/>
            </rPr>
            <t xml:space="preserve">各レコードに `tanka_id` / `tanka_type` / `tanka_code` / `tanka_name` / `tekiyo_start_date` / `tekiyo_end_date` / `kingaku_zeikomi` / `kingaku_zeinuki` / `tax_rate` / `active_flg` が含まれること、`tanka_type` は数値（1または2）、`tekiyo_end_date` は YYYY-MM-DD または null であること、`active_flg` は真偽値であること
</t>
          </r>
          <r>
            <rPr>
              <rFont val="メイリオ"/>
              <b val="1"/>
              <sz val="10"/>
            </rPr>
            <t xml:space="preserve">補足：
</t>
          </r>
          <r>
            <rPr>
              <rFont val="メイリオ"/>
              <sz val="10"/>
            </rPr>
            <t xml:space="preserve">・データ整合性が保たれること
</t>
          </r>
          <r>
            <rPr>
              <rFont val="メイリオ"/>
              <sz val="10"/>
            </rPr>
            <t xml:space="preserve">・正常ログが出力されること
</t>
          </r>
          <r>
            <rPr>
              <rFont val="メイリオ"/>
              <sz val="10"/>
            </rPr>
            <t>・`tanka_type_label` 等のラベルフィールドは含まれないこと（フロントエンド側で m_code から取得）</t>
          </r>
        </is>
      </c>
      <c r="Y64" s="10" t="n"/>
      <c r="Z64" s="10" t="n"/>
      <c r="AA64" s="10" t="n"/>
      <c r="AB64" s="10" t="n"/>
      <c r="AC64" s="10" t="n"/>
      <c r="AD64" s="11" t="n"/>
      <c r="AE64" s="45" t="inlineStr">
        <is>
          <t>N</t>
        </is>
      </c>
      <c r="AF64" s="11" t="n"/>
      <c r="AG64" s="45" t="inlineStr"/>
      <c r="AH64" s="10" t="n"/>
      <c r="AI64" s="11" t="n"/>
      <c r="AJ64" s="45" t="inlineStr"/>
      <c r="AK64" s="10" t="n"/>
      <c r="AL64" s="11" t="n"/>
      <c r="AM64" s="45" t="inlineStr"/>
      <c r="AN64" s="10" t="n"/>
      <c r="AO64" s="11" t="n"/>
      <c r="AP64" s="45" t="inlineStr"/>
      <c r="AQ64" s="10" t="n"/>
      <c r="AR64" s="11" t="n"/>
      <c r="AS64" s="45" t="inlineStr"/>
      <c r="AT64" s="10" t="n"/>
      <c r="AU64" s="11" t="n"/>
      <c r="AV64" s="45" t="inlineStr"/>
      <c r="AW64" s="10" t="n"/>
      <c r="AX64" s="11" t="n"/>
      <c r="AY64" s="45" t="inlineStr"/>
      <c r="AZ64" s="10" t="n"/>
      <c r="BA64" s="11" t="n"/>
      <c r="BB64" s="45" t="inlineStr"/>
      <c r="BC64" s="10" t="n"/>
      <c r="BD64" s="11" t="n"/>
      <c r="BE64" s="45" t="inlineStr"/>
      <c r="BF64" s="10" t="n"/>
      <c r="BG64" s="11" t="n"/>
      <c r="BH64" s="45" t="inlineStr"/>
      <c r="BI64" s="10" t="n"/>
      <c r="BJ64" s="11" t="n"/>
      <c r="BK64" s="46" t="inlineStr"/>
      <c r="BL64" s="10" t="n"/>
      <c r="BM64" s="10" t="n"/>
      <c r="BN64" s="10" t="n"/>
      <c r="BO64" s="10" t="n"/>
      <c r="BP64" s="10" t="n"/>
      <c r="BQ64" s="11" t="n"/>
    </row>
    <row r="65" ht="352" customHeight="1">
      <c r="A65" s="44" t="n">
        <v>48</v>
      </c>
      <c r="B65" s="46" t="inlineStr">
        <is>
          <t>ACSMS-TC-002-048</t>
        </is>
      </c>
      <c r="C65" s="10" t="n"/>
      <c r="D65" s="11" t="n"/>
      <c r="E65" s="46" t="inlineStr">
        <is>
          <t>適用期間フィルタ（CURRENT_DATE 以降のみ表示）</t>
        </is>
      </c>
      <c r="F65" s="10" t="n"/>
      <c r="G65" s="10" t="n"/>
      <c r="H65" s="10" t="n"/>
      <c r="I65" s="11" t="n"/>
      <c r="J65" s="46" t="inlineStr">
        <is>
          <t>・role: CHUOKAI
・適用終了日が `2025-12-31`（過去）のレコードと NULL（無期限）のレコードが混在</t>
        </is>
      </c>
      <c r="K65" s="10" t="n"/>
      <c r="L65" s="10" t="n"/>
      <c r="M65" s="10" t="n"/>
      <c r="N65" s="10" t="n"/>
      <c r="O65" s="10" t="n"/>
      <c r="P65" s="11" t="n"/>
      <c r="Q65" s="46" t="inlineStr">
        <is>
          <r>
            <rPr>
              <rFont val="メイリオ"/>
              <b val="1"/>
              <sz val="10"/>
            </rPr>
            <t xml:space="preserve">ステップ1：
</t>
          </r>
          <r>
            <rPr>
              <rFont val="メイリオ"/>
              <sz val="10"/>
            </rPr>
            <t xml:space="preserve">`/tanka` を開く（検索条件未指定）
</t>
          </r>
          <r>
            <rPr>
              <rFont val="メイリオ"/>
              <b val="1"/>
              <sz val="10"/>
            </rPr>
            <t xml:space="preserve">ステップ2：
</t>
          </r>
          <r>
            <rPr>
              <rFont val="メイリオ"/>
              <sz val="10"/>
            </rPr>
            <t xml:space="preserve">一覧テーブルの表示内容を確認
</t>
          </r>
          <r>
            <rPr>
              <rFont val="メイリオ"/>
              <b val="1"/>
              <sz val="10"/>
            </rPr>
            <t xml:space="preserve">ステップ3：
</t>
          </r>
          <r>
            <rPr>
              <rFont val="メイリオ"/>
              <sz val="10"/>
            </rPr>
            <t>DB確認：`SELECT tanka_id, tekiyo_end_date FROM m_tanka WHERE ja_id = :ja_id AND deleted_at IS NULL`</t>
          </r>
        </is>
      </c>
      <c r="R65" s="10" t="n"/>
      <c r="S65" s="10" t="n"/>
      <c r="T65" s="10" t="n"/>
      <c r="U65" s="10" t="n"/>
      <c r="V65" s="10" t="n"/>
      <c r="W65" s="11" t="n"/>
      <c r="X65" s="46" t="inlineStr">
        <is>
          <r>
            <rPr>
              <rFont val="メイリオ"/>
              <b val="1"/>
              <sz val="10"/>
            </rPr>
            <t xml:space="preserve">ステップ1：
</t>
          </r>
          <r>
            <rPr>
              <rFont val="メイリオ"/>
              <sz val="10"/>
            </rPr>
            <t xml:space="preserve">画面が表示されること
</t>
          </r>
          <r>
            <rPr>
              <rFont val="メイリオ"/>
              <b val="1"/>
              <sz val="10"/>
            </rPr>
            <t xml:space="preserve">ステップ2：
</t>
          </r>
          <r>
            <rPr>
              <rFont val="メイリオ"/>
              <sz val="10"/>
            </rPr>
            <t xml:space="preserve">適用終了日が `2025-12-31`（過去）のレコードは表示されないこと、NULL（無期限）と `&gt;= CURRENT_DATE` のレコードのみ表示されること
</t>
          </r>
          <r>
            <rPr>
              <rFont val="メイリオ"/>
              <b val="1"/>
              <sz val="10"/>
            </rPr>
            <t xml:space="preserve">ステップ3：
</t>
          </r>
          <r>
            <rPr>
              <rFont val="メイリオ"/>
              <sz val="10"/>
            </rPr>
            <t xml:space="preserve">DBには過去のレコードも残存していること（論理削除されていない）が、APIのSQL `WHERE (tekiyo_end_date IS NULL OR tekiyo_end_date &gt;= CURRENT_DATE)` により一覧から除外されていること
</t>
          </r>
          <r>
            <rPr>
              <rFont val="メイリオ"/>
              <b val="1"/>
              <sz val="10"/>
            </rPr>
            <t xml:space="preserve">補足：
</t>
          </r>
          <r>
            <rPr>
              <rFont val="メイリオ"/>
              <sz val="10"/>
            </rPr>
            <t>・適用期間条件が適用されること（api.md §4.3 基本条件）</t>
          </r>
        </is>
      </c>
      <c r="Y65" s="10" t="n"/>
      <c r="Z65" s="10" t="n"/>
      <c r="AA65" s="10" t="n"/>
      <c r="AB65" s="10" t="n"/>
      <c r="AC65" s="10" t="n"/>
      <c r="AD65" s="11" t="n"/>
      <c r="AE65" s="45" t="inlineStr">
        <is>
          <t>N</t>
        </is>
      </c>
      <c r="AF65" s="11" t="n"/>
      <c r="AG65" s="45" t="inlineStr"/>
      <c r="AH65" s="10" t="n"/>
      <c r="AI65" s="11" t="n"/>
      <c r="AJ65" s="45" t="inlineStr"/>
      <c r="AK65" s="10" t="n"/>
      <c r="AL65" s="11" t="n"/>
      <c r="AM65" s="45" t="inlineStr"/>
      <c r="AN65" s="10" t="n"/>
      <c r="AO65" s="11" t="n"/>
      <c r="AP65" s="45" t="inlineStr"/>
      <c r="AQ65" s="10" t="n"/>
      <c r="AR65" s="11" t="n"/>
      <c r="AS65" s="45" t="inlineStr"/>
      <c r="AT65" s="10" t="n"/>
      <c r="AU65" s="11" t="n"/>
      <c r="AV65" s="45" t="inlineStr"/>
      <c r="AW65" s="10" t="n"/>
      <c r="AX65" s="11" t="n"/>
      <c r="AY65" s="45" t="inlineStr"/>
      <c r="AZ65" s="10" t="n"/>
      <c r="BA65" s="11" t="n"/>
      <c r="BB65" s="45" t="inlineStr"/>
      <c r="BC65" s="10" t="n"/>
      <c r="BD65" s="11" t="n"/>
      <c r="BE65" s="45" t="inlineStr"/>
      <c r="BF65" s="10" t="n"/>
      <c r="BG65" s="11" t="n"/>
      <c r="BH65" s="45" t="inlineStr"/>
      <c r="BI65" s="10" t="n"/>
      <c r="BJ65" s="11" t="n"/>
      <c r="BK65" s="46" t="inlineStr"/>
      <c r="BL65" s="10" t="n"/>
      <c r="BM65" s="10" t="n"/>
      <c r="BN65" s="10" t="n"/>
      <c r="BO65" s="10" t="n"/>
      <c r="BP65" s="10" t="n"/>
      <c r="BQ65" s="11" t="n"/>
    </row>
    <row r="66" ht="272" customHeight="1">
      <c r="A66" s="44" t="n">
        <v>49</v>
      </c>
      <c r="B66" s="46" t="inlineStr">
        <is>
          <t>ACSMS-TC-002-049</t>
        </is>
      </c>
      <c r="C66" s="10" t="n"/>
      <c r="D66" s="11" t="n"/>
      <c r="E66" s="46" t="inlineStr">
        <is>
          <t>新規登録ボタン押下 — 登録画面への遷移</t>
        </is>
      </c>
      <c r="F66" s="10" t="n"/>
      <c r="G66" s="10" t="n"/>
      <c r="H66" s="10" t="n"/>
      <c r="I66" s="11" t="n"/>
      <c r="J66" s="46" t="inlineStr">
        <is>
          <t>・role: CHUOKAI
・権限 `tanka.create` を保持</t>
        </is>
      </c>
      <c r="K66" s="10" t="n"/>
      <c r="L66" s="10" t="n"/>
      <c r="M66" s="10" t="n"/>
      <c r="N66" s="10" t="n"/>
      <c r="O66" s="10" t="n"/>
      <c r="P66" s="11" t="n"/>
      <c r="Q66" s="46" t="inlineStr">
        <is>
          <r>
            <rPr>
              <rFont val="メイリオ"/>
              <b val="1"/>
              <sz val="10"/>
            </rPr>
            <t xml:space="preserve">ステップ1：
</t>
          </r>
          <r>
            <rPr>
              <rFont val="メイリオ"/>
              <sz val="10"/>
            </rPr>
            <t xml:space="preserve">`/tanka` を開く
</t>
          </r>
          <r>
            <rPr>
              <rFont val="メイリオ"/>
              <b val="1"/>
              <sz val="10"/>
            </rPr>
            <t xml:space="preserve">ステップ2：
</t>
          </r>
          <r>
            <rPr>
              <rFont val="メイリオ"/>
              <sz val="10"/>
            </rPr>
            <t>「新規登録」ボタンを押下</t>
          </r>
        </is>
      </c>
      <c r="R66" s="10" t="n"/>
      <c r="S66" s="10" t="n"/>
      <c r="T66" s="10" t="n"/>
      <c r="U66" s="10" t="n"/>
      <c r="V66" s="10" t="n"/>
      <c r="W66" s="11" t="n"/>
      <c r="X66" s="46" t="inlineStr">
        <is>
          <r>
            <rPr>
              <rFont val="メイリオ"/>
              <b val="1"/>
              <sz val="10"/>
            </rPr>
            <t xml:space="preserve">ステップ1：
</t>
          </r>
          <r>
            <rPr>
              <rFont val="メイリオ"/>
              <sz val="10"/>
            </rPr>
            <t xml:space="preserve">単価マスタ明細検索画面が表示されること
</t>
          </r>
          <r>
            <rPr>
              <rFont val="メイリオ"/>
              <b val="1"/>
              <sz val="10"/>
            </rPr>
            <t xml:space="preserve">ステップ2：
</t>
          </r>
          <r>
            <rPr>
              <rFont val="メイリオ"/>
              <sz val="10"/>
            </rPr>
            <t xml:space="preserve">単価マスタ登録画面（`/tanka/create`）へ遷移すること、フォームは空欄の初期値で表示されること
</t>
          </r>
          <r>
            <rPr>
              <rFont val="メイリオ"/>
              <b val="1"/>
              <sz val="10"/>
            </rPr>
            <t xml:space="preserve">補足：
</t>
          </r>
          <r>
            <rPr>
              <rFont val="メイリオ"/>
              <sz val="10"/>
            </rPr>
            <t xml:space="preserve">・遷移先は ACSMS-SCR-003（単価マスタ登録画面）であること
</t>
          </r>
          <r>
            <rPr>
              <rFont val="メイリオ"/>
              <sz val="10"/>
            </rPr>
            <t>・パンくずリストは「ホーム &gt; 単価マスタ明細検索画面 &gt; 単価マスタ登録画面」の3階層で表示されること</t>
          </r>
        </is>
      </c>
      <c r="Y66" s="10" t="n"/>
      <c r="Z66" s="10" t="n"/>
      <c r="AA66" s="10" t="n"/>
      <c r="AB66" s="10" t="n"/>
      <c r="AC66" s="10" t="n"/>
      <c r="AD66" s="11" t="n"/>
      <c r="AE66" s="45" t="inlineStr">
        <is>
          <t>N</t>
        </is>
      </c>
      <c r="AF66" s="11" t="n"/>
      <c r="AG66" s="45" t="inlineStr"/>
      <c r="AH66" s="10" t="n"/>
      <c r="AI66" s="11" t="n"/>
      <c r="AJ66" s="45" t="inlineStr"/>
      <c r="AK66" s="10" t="n"/>
      <c r="AL66" s="11" t="n"/>
      <c r="AM66" s="45" t="inlineStr"/>
      <c r="AN66" s="10" t="n"/>
      <c r="AO66" s="11" t="n"/>
      <c r="AP66" s="45" t="inlineStr"/>
      <c r="AQ66" s="10" t="n"/>
      <c r="AR66" s="11" t="n"/>
      <c r="AS66" s="45" t="inlineStr"/>
      <c r="AT66" s="10" t="n"/>
      <c r="AU66" s="11" t="n"/>
      <c r="AV66" s="45" t="inlineStr"/>
      <c r="AW66" s="10" t="n"/>
      <c r="AX66" s="11" t="n"/>
      <c r="AY66" s="45" t="inlineStr"/>
      <c r="AZ66" s="10" t="n"/>
      <c r="BA66" s="11" t="n"/>
      <c r="BB66" s="45" t="inlineStr"/>
      <c r="BC66" s="10" t="n"/>
      <c r="BD66" s="11" t="n"/>
      <c r="BE66" s="45" t="inlineStr"/>
      <c r="BF66" s="10" t="n"/>
      <c r="BG66" s="11" t="n"/>
      <c r="BH66" s="45" t="inlineStr"/>
      <c r="BI66" s="10" t="n"/>
      <c r="BJ66" s="11" t="n"/>
      <c r="BK66" s="46" t="inlineStr"/>
      <c r="BL66" s="10" t="n"/>
      <c r="BM66" s="10" t="n"/>
      <c r="BN66" s="10" t="n"/>
      <c r="BO66" s="10" t="n"/>
      <c r="BP66" s="10" t="n"/>
      <c r="BQ66" s="11" t="n"/>
    </row>
    <row r="67" ht="304" customHeight="1">
      <c r="A67" s="44" t="n">
        <v>50</v>
      </c>
      <c r="B67" s="46" t="inlineStr">
        <is>
          <t>ACSMS-TC-002-050</t>
        </is>
      </c>
      <c r="C67" s="10" t="n"/>
      <c r="D67" s="11" t="n"/>
      <c r="E67" s="46" t="inlineStr">
        <is>
          <t>単価コード／単価名リンク押下 — 編集画面への遷移</t>
        </is>
      </c>
      <c r="F67" s="10" t="n"/>
      <c r="G67" s="10" t="n"/>
      <c r="H67" s="10" t="n"/>
      <c r="I67" s="11" t="n"/>
      <c r="J67" s="46" t="inlineStr">
        <is>
          <t>・role: CHUOKAI
・単価コード `T001`（tanka_id = 1）が登録済
・権限 `tanka.update` を保持</t>
        </is>
      </c>
      <c r="K67" s="10" t="n"/>
      <c r="L67" s="10" t="n"/>
      <c r="M67" s="10" t="n"/>
      <c r="N67" s="10" t="n"/>
      <c r="O67" s="10" t="n"/>
      <c r="P67" s="11" t="n"/>
      <c r="Q67" s="46" t="inlineStr">
        <is>
          <r>
            <rPr>
              <rFont val="メイリオ"/>
              <b val="1"/>
              <sz val="10"/>
            </rPr>
            <t xml:space="preserve">ステップ1：
</t>
          </r>
          <r>
            <rPr>
              <rFont val="メイリオ"/>
              <sz val="10"/>
            </rPr>
            <t xml:space="preserve">`/tanka` を開く
</t>
          </r>
          <r>
            <rPr>
              <rFont val="メイリオ"/>
              <b val="1"/>
              <sz val="10"/>
            </rPr>
            <t xml:space="preserve">ステップ2：
</t>
          </r>
          <r>
            <rPr>
              <rFont val="メイリオ"/>
              <sz val="10"/>
            </rPr>
            <t xml:space="preserve">一覧の単価コードセル `T001` のリンクを押下
</t>
          </r>
          <r>
            <rPr>
              <rFont val="メイリオ"/>
              <b val="1"/>
              <sz val="10"/>
            </rPr>
            <t xml:space="preserve">ステップ3：
</t>
          </r>
          <r>
            <rPr>
              <rFont val="メイリオ"/>
              <sz val="10"/>
            </rPr>
            <t>ブラウザバックで一覧へ戻り、単価名セルのリンクを押下</t>
          </r>
        </is>
      </c>
      <c r="R67" s="10" t="n"/>
      <c r="S67" s="10" t="n"/>
      <c r="T67" s="10" t="n"/>
      <c r="U67" s="10" t="n"/>
      <c r="V67" s="10" t="n"/>
      <c r="W67" s="11" t="n"/>
      <c r="X67" s="46" t="inlineStr">
        <is>
          <r>
            <rPr>
              <rFont val="メイリオ"/>
              <b val="1"/>
              <sz val="10"/>
            </rPr>
            <t xml:space="preserve">ステップ1：
</t>
          </r>
          <r>
            <rPr>
              <rFont val="メイリオ"/>
              <sz val="10"/>
            </rPr>
            <t xml:space="preserve">単価マスタ明細検索画面が表示されること
</t>
          </r>
          <r>
            <rPr>
              <rFont val="メイリオ"/>
              <b val="1"/>
              <sz val="10"/>
            </rPr>
            <t xml:space="preserve">ステップ2：
</t>
          </r>
          <r>
            <rPr>
              <rFont val="メイリオ"/>
              <sz val="10"/>
            </rPr>
            <t xml:space="preserve">単価マスタ編集画面（`/tanka/1/edit`）へ遷移すること、既存値がフォームに表示されること
</t>
          </r>
          <r>
            <rPr>
              <rFont val="メイリオ"/>
              <b val="1"/>
              <sz val="10"/>
            </rPr>
            <t xml:space="preserve">ステップ3：
</t>
          </r>
          <r>
            <rPr>
              <rFont val="メイリオ"/>
              <sz val="10"/>
            </rPr>
            <t xml:space="preserve">単価名セルも編集画面（`/tanka/1/edit`）へ遷移すること（同じレコードへの編集導線）
</t>
          </r>
          <r>
            <rPr>
              <rFont val="メイリオ"/>
              <b val="1"/>
              <sz val="10"/>
            </rPr>
            <t xml:space="preserve">補足：
</t>
          </r>
          <r>
            <rPr>
              <rFont val="メイリオ"/>
              <sz val="10"/>
            </rPr>
            <t>・遷移先は ACSMS-SCR-003（単価マスタ登録画面）の編集モードであること</t>
          </r>
        </is>
      </c>
      <c r="Y67" s="10" t="n"/>
      <c r="Z67" s="10" t="n"/>
      <c r="AA67" s="10" t="n"/>
      <c r="AB67" s="10" t="n"/>
      <c r="AC67" s="10" t="n"/>
      <c r="AD67" s="11" t="n"/>
      <c r="AE67" s="45" t="inlineStr">
        <is>
          <t>N</t>
        </is>
      </c>
      <c r="AF67" s="11" t="n"/>
      <c r="AG67" s="45" t="inlineStr"/>
      <c r="AH67" s="10" t="n"/>
      <c r="AI67" s="11" t="n"/>
      <c r="AJ67" s="45" t="inlineStr"/>
      <c r="AK67" s="10" t="n"/>
      <c r="AL67" s="11" t="n"/>
      <c r="AM67" s="45" t="inlineStr"/>
      <c r="AN67" s="10" t="n"/>
      <c r="AO67" s="11" t="n"/>
      <c r="AP67" s="45" t="inlineStr"/>
      <c r="AQ67" s="10" t="n"/>
      <c r="AR67" s="11" t="n"/>
      <c r="AS67" s="45" t="inlineStr"/>
      <c r="AT67" s="10" t="n"/>
      <c r="AU67" s="11" t="n"/>
      <c r="AV67" s="45" t="inlineStr"/>
      <c r="AW67" s="10" t="n"/>
      <c r="AX67" s="11" t="n"/>
      <c r="AY67" s="45" t="inlineStr"/>
      <c r="AZ67" s="10" t="n"/>
      <c r="BA67" s="11" t="n"/>
      <c r="BB67" s="45" t="inlineStr"/>
      <c r="BC67" s="10" t="n"/>
      <c r="BD67" s="11" t="n"/>
      <c r="BE67" s="45" t="inlineStr"/>
      <c r="BF67" s="10" t="n"/>
      <c r="BG67" s="11" t="n"/>
      <c r="BH67" s="45" t="inlineStr"/>
      <c r="BI67" s="10" t="n"/>
      <c r="BJ67" s="11" t="n"/>
      <c r="BK67" s="46" t="inlineStr"/>
      <c r="BL67" s="10" t="n"/>
      <c r="BM67" s="10" t="n"/>
      <c r="BN67" s="10" t="n"/>
      <c r="BO67" s="10" t="n"/>
      <c r="BP67" s="10" t="n"/>
      <c r="BQ67" s="11" t="n"/>
    </row>
    <row r="68" ht="368" customHeight="1">
      <c r="A68" s="44" t="n">
        <v>51</v>
      </c>
      <c r="B68" s="46" t="inlineStr">
        <is>
          <t>ACSMS-TC-002-051</t>
        </is>
      </c>
      <c r="C68" s="10" t="n"/>
      <c r="D68" s="11" t="n"/>
      <c r="E68" s="46" t="inlineStr">
        <is>
          <t>削除ボタン押下 — 確認ダイアログ表示</t>
        </is>
      </c>
      <c r="F68" s="10" t="n"/>
      <c r="G68" s="10" t="n"/>
      <c r="H68" s="10" t="n"/>
      <c r="I68" s="11" t="n"/>
      <c r="J68" s="46" t="inlineStr">
        <is>
          <t>・role: CHUOKAI
・削除対象単価「削除対象単価」（tanka_id = 5）が登録済、関連データなし
・権限 `tanka.delete` を保持</t>
        </is>
      </c>
      <c r="K68" s="10" t="n"/>
      <c r="L68" s="10" t="n"/>
      <c r="M68" s="10" t="n"/>
      <c r="N68" s="10" t="n"/>
      <c r="O68" s="10" t="n"/>
      <c r="P68" s="11" t="n"/>
      <c r="Q68" s="46" t="inlineStr">
        <is>
          <r>
            <rPr>
              <rFont val="メイリオ"/>
              <b val="1"/>
              <sz val="10"/>
            </rPr>
            <t xml:space="preserve">ステップ1：
</t>
          </r>
          <r>
            <rPr>
              <rFont val="メイリオ"/>
              <sz val="10"/>
            </rPr>
            <t xml:space="preserve">`/tanka` を開く
</t>
          </r>
          <r>
            <rPr>
              <rFont val="メイリオ"/>
              <b val="1"/>
              <sz val="10"/>
            </rPr>
            <t xml:space="preserve">ステップ2：
</t>
          </r>
          <r>
            <rPr>
              <rFont val="メイリオ"/>
              <sz val="10"/>
            </rPr>
            <t xml:space="preserve">対象レコードの操作列「削除」リンクを押下
</t>
          </r>
          <r>
            <rPr>
              <rFont val="メイリオ"/>
              <b val="1"/>
              <sz val="10"/>
            </rPr>
            <t xml:space="preserve">ステップ3：
</t>
          </r>
          <r>
            <rPr>
              <rFont val="メイリオ"/>
              <sz val="10"/>
            </rPr>
            <t>表示されたダイアログ内容を確認</t>
          </r>
        </is>
      </c>
      <c r="R68" s="10" t="n"/>
      <c r="S68" s="10" t="n"/>
      <c r="T68" s="10" t="n"/>
      <c r="U68" s="10" t="n"/>
      <c r="V68" s="10" t="n"/>
      <c r="W68" s="11" t="n"/>
      <c r="X68" s="46" t="inlineStr">
        <is>
          <r>
            <rPr>
              <rFont val="メイリオ"/>
              <b val="1"/>
              <sz val="10"/>
            </rPr>
            <t xml:space="preserve">ステップ1：
</t>
          </r>
          <r>
            <rPr>
              <rFont val="メイリオ"/>
              <sz val="10"/>
            </rPr>
            <t xml:space="preserve">単価マスタ明細検索画面が表示されること
</t>
          </r>
          <r>
            <rPr>
              <rFont val="メイリオ"/>
              <b val="1"/>
              <sz val="10"/>
            </rPr>
            <t xml:space="preserve">ステップ2：
</t>
          </r>
          <r>
            <rPr>
              <rFont val="メイリオ"/>
              <sz val="10"/>
            </rPr>
            <t xml:space="preserve">削除確認ダイアログが表示されること
</t>
          </r>
          <r>
            <rPr>
              <rFont val="メイリオ"/>
              <b val="1"/>
              <sz val="10"/>
            </rPr>
            <t xml:space="preserve">ステップ3：
</t>
          </r>
          <r>
            <rPr>
              <rFont val="メイリオ"/>
              <sz val="10"/>
            </rPr>
            <t xml:space="preserve">ダイアログ本文に `この単価を削除してもよろしいですか？`（ACSMS-MSG-002-005）が表示されること、ダイアログタイトル「削除確認」、「はい」「いいえ」ボタンが表示されること、「はい」ボタンは danger（赤色）であること
</t>
          </r>
          <r>
            <rPr>
              <rFont val="メイリオ"/>
              <b val="1"/>
              <sz val="10"/>
            </rPr>
            <t xml:space="preserve">補足：
</t>
          </r>
          <r>
            <rPr>
              <rFont val="メイリオ"/>
              <sz val="10"/>
            </rPr>
            <t xml:space="preserve">・削除確認ダイアログが表示されること
</t>
          </r>
          <r>
            <rPr>
              <rFont val="メイリオ"/>
              <sz val="10"/>
            </rPr>
            <t>・この時点ではAPIリクエストが発生しないこと</t>
          </r>
        </is>
      </c>
      <c r="Y68" s="10" t="n"/>
      <c r="Z68" s="10" t="n"/>
      <c r="AA68" s="10" t="n"/>
      <c r="AB68" s="10" t="n"/>
      <c r="AC68" s="10" t="n"/>
      <c r="AD68" s="11" t="n"/>
      <c r="AE68" s="45" t="inlineStr">
        <is>
          <t>N</t>
        </is>
      </c>
      <c r="AF68" s="11" t="n"/>
      <c r="AG68" s="45" t="inlineStr"/>
      <c r="AH68" s="10" t="n"/>
      <c r="AI68" s="11" t="n"/>
      <c r="AJ68" s="45" t="inlineStr"/>
      <c r="AK68" s="10" t="n"/>
      <c r="AL68" s="11" t="n"/>
      <c r="AM68" s="45" t="inlineStr"/>
      <c r="AN68" s="10" t="n"/>
      <c r="AO68" s="11" t="n"/>
      <c r="AP68" s="45" t="inlineStr"/>
      <c r="AQ68" s="10" t="n"/>
      <c r="AR68" s="11" t="n"/>
      <c r="AS68" s="45" t="inlineStr"/>
      <c r="AT68" s="10" t="n"/>
      <c r="AU68" s="11" t="n"/>
      <c r="AV68" s="45" t="inlineStr"/>
      <c r="AW68" s="10" t="n"/>
      <c r="AX68" s="11" t="n"/>
      <c r="AY68" s="45" t="inlineStr"/>
      <c r="AZ68" s="10" t="n"/>
      <c r="BA68" s="11" t="n"/>
      <c r="BB68" s="45" t="inlineStr"/>
      <c r="BC68" s="10" t="n"/>
      <c r="BD68" s="11" t="n"/>
      <c r="BE68" s="45" t="inlineStr"/>
      <c r="BF68" s="10" t="n"/>
      <c r="BG68" s="11" t="n"/>
      <c r="BH68" s="45" t="inlineStr"/>
      <c r="BI68" s="10" t="n"/>
      <c r="BJ68" s="11" t="n"/>
      <c r="BK68" s="46" t="inlineStr"/>
      <c r="BL68" s="10" t="n"/>
      <c r="BM68" s="10" t="n"/>
      <c r="BN68" s="10" t="n"/>
      <c r="BO68" s="10" t="n"/>
      <c r="BP68" s="10" t="n"/>
      <c r="BQ68" s="11" t="n"/>
    </row>
    <row r="69" ht="450" customHeight="1">
      <c r="A69" s="44" t="n">
        <v>52</v>
      </c>
      <c r="B69" s="46" t="inlineStr">
        <is>
          <t>ACSMS-TC-002-052</t>
        </is>
      </c>
      <c r="C69" s="10" t="n"/>
      <c r="D69" s="11" t="n"/>
      <c r="E69" s="46" t="inlineStr">
        <is>
          <t>削除実行 — 「はい」押下 — 論理削除＋一覧再読込</t>
        </is>
      </c>
      <c r="F69" s="10" t="n"/>
      <c r="G69" s="10" t="n"/>
      <c r="H69" s="10" t="n"/>
      <c r="I69" s="11" t="n"/>
      <c r="J69" s="46" t="inlineStr">
        <is>
          <t>・role: CHUOKAI
・削除対象単価（tanka_id = 5）が登録済、関連データなし
・権限 `tanka.delete` を保持</t>
        </is>
      </c>
      <c r="K69" s="10" t="n"/>
      <c r="L69" s="10" t="n"/>
      <c r="M69" s="10" t="n"/>
      <c r="N69" s="10" t="n"/>
      <c r="O69" s="10" t="n"/>
      <c r="P69" s="11" t="n"/>
      <c r="Q69" s="46" t="inlineStr">
        <is>
          <r>
            <rPr>
              <rFont val="メイリオ"/>
              <b val="1"/>
              <sz val="10"/>
            </rPr>
            <t xml:space="preserve">ステップ1：
</t>
          </r>
          <r>
            <rPr>
              <rFont val="メイリオ"/>
              <sz val="10"/>
            </rPr>
            <t xml:space="preserve">「削除」リンクを押下し、確認ダイアログを表示
</t>
          </r>
          <r>
            <rPr>
              <rFont val="メイリオ"/>
              <b val="1"/>
              <sz val="10"/>
            </rPr>
            <t xml:space="preserve">ステップ2：
</t>
          </r>
          <r>
            <rPr>
              <rFont val="メイリオ"/>
              <sz val="10"/>
            </rPr>
            <t xml:space="preserve">ダイアログの「はい」ボタンを押下
</t>
          </r>
          <r>
            <rPr>
              <rFont val="メイリオ"/>
              <b val="1"/>
              <sz val="10"/>
            </rPr>
            <t xml:space="preserve">ステップ3：
</t>
          </r>
          <r>
            <rPr>
              <rFont val="メイリオ"/>
              <sz val="10"/>
            </rPr>
            <t xml:space="preserve">DB確認：`SELECT tanka_id, deleted_at, updated_by FROM m_tanka WHERE tanka_id = 5`
</t>
          </r>
          <r>
            <rPr>
              <rFont val="メイリオ"/>
              <b val="1"/>
              <sz val="10"/>
            </rPr>
            <t xml:space="preserve">ステップ4：
</t>
          </r>
          <r>
            <rPr>
              <rFont val="メイリオ"/>
              <sz val="10"/>
            </rPr>
            <t>DB確認：`SELECT log_type, operation, target_id, target_table, result_status, before_value FROM t_log WHERE target_id = 5 AND target_table = 'm_tanka' ORDER BY log_datetime DESC LIMIT 1`</t>
          </r>
        </is>
      </c>
      <c r="R69" s="10" t="n"/>
      <c r="S69" s="10" t="n"/>
      <c r="T69" s="10" t="n"/>
      <c r="U69" s="10" t="n"/>
      <c r="V69" s="10" t="n"/>
      <c r="W69" s="11" t="n"/>
      <c r="X69" s="46" t="inlineStr">
        <is>
          <r>
            <rPr>
              <rFont val="メイリオ"/>
              <b val="1"/>
              <sz val="10"/>
            </rPr>
            <t xml:space="preserve">ステップ1：
</t>
          </r>
          <r>
            <rPr>
              <rFont val="メイリオ"/>
              <sz val="10"/>
            </rPr>
            <t xml:space="preserve">ダイアログが表示されること
</t>
          </r>
          <r>
            <rPr>
              <rFont val="メイリオ"/>
              <b val="1"/>
              <sz val="10"/>
            </rPr>
            <t xml:space="preserve">ステップ2：
</t>
          </r>
          <r>
            <rPr>
              <rFont val="メイリオ"/>
              <sz val="10"/>
            </rPr>
            <t xml:space="preserve">DELETE `/api/v1/tanka/5` が送信されること、HTTPステータスコード200が返却されること、トースト `削除しました。`（ACSMS-MSG-002-007）が表示されること、一覧が再取得され該当レコードが非表示になること
</t>
          </r>
          <r>
            <rPr>
              <rFont val="メイリオ"/>
              <b val="1"/>
              <sz val="10"/>
            </rPr>
            <t xml:space="preserve">ステップ3：
</t>
          </r>
          <r>
            <rPr>
              <rFont val="メイリオ"/>
              <sz val="10"/>
            </rPr>
            <t xml:space="preserve">データが論理削除されること（`deleted_at IS NOT NULL`、`updated_by` がテストアカウントの `account_id`）
</t>
          </r>
          <r>
            <rPr>
              <rFont val="メイリオ"/>
              <b val="1"/>
              <sz val="10"/>
            </rPr>
            <t xml:space="preserve">ステップ4：
</t>
          </r>
          <r>
            <rPr>
              <rFont val="メイリオ"/>
              <sz val="10"/>
            </rPr>
            <t xml:space="preserve">監査ログが記録されること（`log_type = 1`、`gamen_name = '単価マスタ明細検索画面 (ACSMS-SCR-002)'`、`operation = 'DELETE'`、`target_id = 5`、`target_table = 'm_tanka'`、`result_status = 1`、`before_value` に削除前データJSONが格納、`after_value` は空文字列）
</t>
          </r>
          <r>
            <rPr>
              <rFont val="メイリオ"/>
              <b val="1"/>
              <sz val="10"/>
            </rPr>
            <t xml:space="preserve">補足：
</t>
          </r>
          <r>
            <rPr>
              <rFont val="メイリオ"/>
              <sz val="10"/>
            </rPr>
            <t xml:space="preserve">・データが削除されること（論理削除）
</t>
          </r>
          <r>
            <rPr>
              <rFont val="メイリオ"/>
              <sz val="10"/>
            </rPr>
            <t xml:space="preserve">・トランザクションがコミットされること
</t>
          </r>
          <r>
            <rPr>
              <rFont val="メイリオ"/>
              <sz val="10"/>
            </rPr>
            <t>・本処理 + 監査ログが単一トランザクションで実行されること（nestjs.md §Audit Log）</t>
          </r>
        </is>
      </c>
      <c r="Y69" s="10" t="n"/>
      <c r="Z69" s="10" t="n"/>
      <c r="AA69" s="10" t="n"/>
      <c r="AB69" s="10" t="n"/>
      <c r="AC69" s="10" t="n"/>
      <c r="AD69" s="11" t="n"/>
      <c r="AE69" s="45" t="inlineStr">
        <is>
          <t>N</t>
        </is>
      </c>
      <c r="AF69" s="11" t="n"/>
      <c r="AG69" s="45" t="inlineStr"/>
      <c r="AH69" s="10" t="n"/>
      <c r="AI69" s="11" t="n"/>
      <c r="AJ69" s="45" t="inlineStr"/>
      <c r="AK69" s="10" t="n"/>
      <c r="AL69" s="11" t="n"/>
      <c r="AM69" s="45" t="inlineStr"/>
      <c r="AN69" s="10" t="n"/>
      <c r="AO69" s="11" t="n"/>
      <c r="AP69" s="45" t="inlineStr"/>
      <c r="AQ69" s="10" t="n"/>
      <c r="AR69" s="11" t="n"/>
      <c r="AS69" s="45" t="inlineStr"/>
      <c r="AT69" s="10" t="n"/>
      <c r="AU69" s="11" t="n"/>
      <c r="AV69" s="45" t="inlineStr"/>
      <c r="AW69" s="10" t="n"/>
      <c r="AX69" s="11" t="n"/>
      <c r="AY69" s="45" t="inlineStr"/>
      <c r="AZ69" s="10" t="n"/>
      <c r="BA69" s="11" t="n"/>
      <c r="BB69" s="45" t="inlineStr"/>
      <c r="BC69" s="10" t="n"/>
      <c r="BD69" s="11" t="n"/>
      <c r="BE69" s="45" t="inlineStr"/>
      <c r="BF69" s="10" t="n"/>
      <c r="BG69" s="11" t="n"/>
      <c r="BH69" s="45" t="inlineStr"/>
      <c r="BI69" s="10" t="n"/>
      <c r="BJ69" s="11" t="n"/>
      <c r="BK69" s="46" t="inlineStr"/>
      <c r="BL69" s="10" t="n"/>
      <c r="BM69" s="10" t="n"/>
      <c r="BN69" s="10" t="n"/>
      <c r="BO69" s="10" t="n"/>
      <c r="BP69" s="10" t="n"/>
      <c r="BQ69" s="11" t="n"/>
    </row>
    <row r="70" ht="304" customHeight="1">
      <c r="A70" s="44" t="n">
        <v>53</v>
      </c>
      <c r="B70" s="46" t="inlineStr">
        <is>
          <t>ACSMS-TC-002-053</t>
        </is>
      </c>
      <c r="C70" s="10" t="n"/>
      <c r="D70" s="11" t="n"/>
      <c r="E70" s="46" t="inlineStr">
        <is>
          <t>削除キャンセル — 「いいえ」押下</t>
        </is>
      </c>
      <c r="F70" s="10" t="n"/>
      <c r="G70" s="10" t="n"/>
      <c r="H70" s="10" t="n"/>
      <c r="I70" s="11" t="n"/>
      <c r="J70" s="46" t="inlineStr">
        <is>
          <t>・role: CHUOKAI
・削除対象単価（tanka_id = 5）が登録済</t>
        </is>
      </c>
      <c r="K70" s="10" t="n"/>
      <c r="L70" s="10" t="n"/>
      <c r="M70" s="10" t="n"/>
      <c r="N70" s="10" t="n"/>
      <c r="O70" s="10" t="n"/>
      <c r="P70" s="11" t="n"/>
      <c r="Q70" s="46" t="inlineStr">
        <is>
          <r>
            <rPr>
              <rFont val="メイリオ"/>
              <b val="1"/>
              <sz val="10"/>
            </rPr>
            <t xml:space="preserve">ステップ1：
</t>
          </r>
          <r>
            <rPr>
              <rFont val="メイリオ"/>
              <sz val="10"/>
            </rPr>
            <t xml:space="preserve">「削除」リンクを押下、確認ダイアログを表示
</t>
          </r>
          <r>
            <rPr>
              <rFont val="メイリオ"/>
              <b val="1"/>
              <sz val="10"/>
            </rPr>
            <t xml:space="preserve">ステップ2：
</t>
          </r>
          <r>
            <rPr>
              <rFont val="メイリオ"/>
              <sz val="10"/>
            </rPr>
            <t xml:space="preserve">ダイアログの「いいえ」ボタンを押下
</t>
          </r>
          <r>
            <rPr>
              <rFont val="メイリオ"/>
              <b val="1"/>
              <sz val="10"/>
            </rPr>
            <t xml:space="preserve">ステップ3：
</t>
          </r>
          <r>
            <rPr>
              <rFont val="メイリオ"/>
              <sz val="10"/>
            </rPr>
            <t xml:space="preserve">DevTools でAPIリクエストの発生有無を確認
</t>
          </r>
          <r>
            <rPr>
              <rFont val="メイリオ"/>
              <b val="1"/>
              <sz val="10"/>
            </rPr>
            <t xml:space="preserve">ステップ4：
</t>
          </r>
          <r>
            <rPr>
              <rFont val="メイリオ"/>
              <sz val="10"/>
            </rPr>
            <t>DB確認：`SELECT deleted_at FROM m_tanka WHERE tanka_id = 5`</t>
          </r>
        </is>
      </c>
      <c r="R70" s="10" t="n"/>
      <c r="S70" s="10" t="n"/>
      <c r="T70" s="10" t="n"/>
      <c r="U70" s="10" t="n"/>
      <c r="V70" s="10" t="n"/>
      <c r="W70" s="11" t="n"/>
      <c r="X70" s="46" t="inlineStr">
        <is>
          <r>
            <rPr>
              <rFont val="メイリオ"/>
              <b val="1"/>
              <sz val="10"/>
            </rPr>
            <t xml:space="preserve">ステップ1：
</t>
          </r>
          <r>
            <rPr>
              <rFont val="メイリオ"/>
              <sz val="10"/>
            </rPr>
            <t xml:space="preserve">ダイアログが表示されること
</t>
          </r>
          <r>
            <rPr>
              <rFont val="メイリオ"/>
              <b val="1"/>
              <sz val="10"/>
            </rPr>
            <t xml:space="preserve">ステップ2：
</t>
          </r>
          <r>
            <rPr>
              <rFont val="メイリオ"/>
              <sz val="10"/>
            </rPr>
            <t xml:space="preserve">ダイアログが閉じること、一覧表示は変化しないこと
</t>
          </r>
          <r>
            <rPr>
              <rFont val="メイリオ"/>
              <b val="1"/>
              <sz val="10"/>
            </rPr>
            <t xml:space="preserve">ステップ3：
</t>
          </r>
          <r>
            <rPr>
              <rFont val="メイリオ"/>
              <sz val="10"/>
            </rPr>
            <t xml:space="preserve">DELETE リクエストが発生しないこと
</t>
          </r>
          <r>
            <rPr>
              <rFont val="メイリオ"/>
              <b val="1"/>
              <sz val="10"/>
            </rPr>
            <t xml:space="preserve">ステップ4：
</t>
          </r>
          <r>
            <rPr>
              <rFont val="メイリオ"/>
              <sz val="10"/>
            </rPr>
            <t xml:space="preserve">`deleted_at IS NULL` のままであること（削除されていない）
</t>
          </r>
          <r>
            <rPr>
              <rFont val="メイリオ"/>
              <b val="1"/>
              <sz val="10"/>
            </rPr>
            <t xml:space="preserve">補足：
</t>
          </r>
          <r>
            <rPr>
              <rFont val="メイリオ"/>
              <sz val="10"/>
            </rPr>
            <t xml:space="preserve">・処理が実行されないこと
</t>
          </r>
          <r>
            <rPr>
              <rFont val="メイリオ"/>
              <sz val="10"/>
            </rPr>
            <t>・他項目に影響がないこと</t>
          </r>
        </is>
      </c>
      <c r="Y70" s="10" t="n"/>
      <c r="Z70" s="10" t="n"/>
      <c r="AA70" s="10" t="n"/>
      <c r="AB70" s="10" t="n"/>
      <c r="AC70" s="10" t="n"/>
      <c r="AD70" s="11" t="n"/>
      <c r="AE70" s="45" t="inlineStr">
        <is>
          <t>N</t>
        </is>
      </c>
      <c r="AF70" s="11" t="n"/>
      <c r="AG70" s="45" t="inlineStr"/>
      <c r="AH70" s="10" t="n"/>
      <c r="AI70" s="11" t="n"/>
      <c r="AJ70" s="45" t="inlineStr"/>
      <c r="AK70" s="10" t="n"/>
      <c r="AL70" s="11" t="n"/>
      <c r="AM70" s="45" t="inlineStr"/>
      <c r="AN70" s="10" t="n"/>
      <c r="AO70" s="11" t="n"/>
      <c r="AP70" s="45" t="inlineStr"/>
      <c r="AQ70" s="10" t="n"/>
      <c r="AR70" s="11" t="n"/>
      <c r="AS70" s="45" t="inlineStr"/>
      <c r="AT70" s="10" t="n"/>
      <c r="AU70" s="11" t="n"/>
      <c r="AV70" s="45" t="inlineStr"/>
      <c r="AW70" s="10" t="n"/>
      <c r="AX70" s="11" t="n"/>
      <c r="AY70" s="45" t="inlineStr"/>
      <c r="AZ70" s="10" t="n"/>
      <c r="BA70" s="11" t="n"/>
      <c r="BB70" s="45" t="inlineStr"/>
      <c r="BC70" s="10" t="n"/>
      <c r="BD70" s="11" t="n"/>
      <c r="BE70" s="45" t="inlineStr"/>
      <c r="BF70" s="10" t="n"/>
      <c r="BG70" s="11" t="n"/>
      <c r="BH70" s="45" t="inlineStr"/>
      <c r="BI70" s="10" t="n"/>
      <c r="BJ70" s="11" t="n"/>
      <c r="BK70" s="46" t="inlineStr"/>
      <c r="BL70" s="10" t="n"/>
      <c r="BM70" s="10" t="n"/>
      <c r="BN70" s="10" t="n"/>
      <c r="BO70" s="10" t="n"/>
      <c r="BP70" s="10" t="n"/>
      <c r="BQ70" s="11" t="n"/>
    </row>
    <row r="71" ht="400" customHeight="1">
      <c r="A71" s="44" t="n">
        <v>54</v>
      </c>
      <c r="B71" s="46" t="inlineStr">
        <is>
          <t>ACSMS-TC-002-054</t>
        </is>
      </c>
      <c r="C71" s="10" t="n"/>
      <c r="D71" s="11" t="n"/>
      <c r="E71" s="46" t="inlineStr">
        <is>
          <t>削除 — 関連データあり（販売店の配達手数料単価参照）の409エラー</t>
        </is>
      </c>
      <c r="F71" s="10" t="n"/>
      <c r="G71" s="10" t="n"/>
      <c r="H71" s="10" t="n"/>
      <c r="I71" s="11" t="n"/>
      <c r="J71" s="46" t="inlineStr">
        <is>
          <t>・role: CHUOKAI
・削除対象単価（tanka_id = 5、配達手数料）に関連する販売店レコード（`m_hanbaiten.haitatsuryo_tanka_id = 5`）が1件以上存在</t>
        </is>
      </c>
      <c r="K71" s="10" t="n"/>
      <c r="L71" s="10" t="n"/>
      <c r="M71" s="10" t="n"/>
      <c r="N71" s="10" t="n"/>
      <c r="O71" s="10" t="n"/>
      <c r="P71" s="11" t="n"/>
      <c r="Q71" s="46" t="inlineStr">
        <is>
          <r>
            <rPr>
              <rFont val="メイリオ"/>
              <b val="1"/>
              <sz val="10"/>
            </rPr>
            <t xml:space="preserve">ステップ1：
</t>
          </r>
          <r>
            <rPr>
              <rFont val="メイリオ"/>
              <sz val="10"/>
            </rPr>
            <t xml:space="preserve">「削除」リンクを押下、確認ダイアログで「はい」を押下
</t>
          </r>
          <r>
            <rPr>
              <rFont val="メイリオ"/>
              <b val="1"/>
              <sz val="10"/>
            </rPr>
            <t xml:space="preserve">ステップ2：
</t>
          </r>
          <r>
            <rPr>
              <rFont val="メイリオ"/>
              <sz val="10"/>
            </rPr>
            <t xml:space="preserve">レスポンスとDB状態を確認
</t>
          </r>
          <r>
            <rPr>
              <rFont val="メイリオ"/>
              <b val="1"/>
              <sz val="10"/>
            </rPr>
            <t xml:space="preserve">ステップ3：
</t>
          </r>
          <r>
            <rPr>
              <rFont val="メイリオ"/>
              <sz val="10"/>
            </rPr>
            <t>DB確認：`SELECT deleted_at FROM m_tanka WHERE tanka_id = 5`</t>
          </r>
        </is>
      </c>
      <c r="R71" s="10" t="n"/>
      <c r="S71" s="10" t="n"/>
      <c r="T71" s="10" t="n"/>
      <c r="U71" s="10" t="n"/>
      <c r="V71" s="10" t="n"/>
      <c r="W71" s="11" t="n"/>
      <c r="X71" s="46" t="inlineStr">
        <is>
          <r>
            <rPr>
              <rFont val="メイリオ"/>
              <b val="1"/>
              <sz val="10"/>
            </rPr>
            <t xml:space="preserve">ステップ1：
</t>
          </r>
          <r>
            <rPr>
              <rFont val="メイリオ"/>
              <sz val="10"/>
            </rPr>
            <t xml:space="preserve">DELETE `/api/v1/tanka/5` が送信されること
</t>
          </r>
          <r>
            <rPr>
              <rFont val="メイリオ"/>
              <b val="1"/>
              <sz val="10"/>
            </rPr>
            <t xml:space="preserve">ステップ2：
</t>
          </r>
          <r>
            <rPr>
              <rFont val="メイリオ"/>
              <sz val="10"/>
            </rPr>
            <t xml:space="preserve">HTTPステータスコード409が返却されること（`error_code: CONFLICT`、メッセージ `関連データが存在するため削除できません。`）、トーストにメッセージ `この単価は関連オブジェクトに紐づいているため削除できません。`（ACSMS-MSG-002-006）が表示されること
</t>
          </r>
          <r>
            <rPr>
              <rFont val="メイリオ"/>
              <b val="1"/>
              <sz val="10"/>
            </rPr>
            <t xml:space="preserve">ステップ3：
</t>
          </r>
          <r>
            <rPr>
              <rFont val="メイリオ"/>
              <sz val="10"/>
            </rPr>
            <t xml:space="preserve">`m_tanka` の対象レコードは `deleted_at IS NULL` のままであること
</t>
          </r>
          <r>
            <rPr>
              <rFont val="メイリオ"/>
              <b val="1"/>
              <sz val="10"/>
            </rPr>
            <t xml:space="preserve">補足：
</t>
          </r>
          <r>
            <rPr>
              <rFont val="メイリオ"/>
              <sz val="10"/>
            </rPr>
            <t xml:space="preserve">・関連データが削除されないこと
</t>
          </r>
          <r>
            <rPr>
              <rFont val="メイリオ"/>
              <sz val="10"/>
            </rPr>
            <t>・削除処理がロールバックされること</t>
          </r>
        </is>
      </c>
      <c r="Y71" s="10" t="n"/>
      <c r="Z71" s="10" t="n"/>
      <c r="AA71" s="10" t="n"/>
      <c r="AB71" s="10" t="n"/>
      <c r="AC71" s="10" t="n"/>
      <c r="AD71" s="11" t="n"/>
      <c r="AE71" s="45" t="inlineStr">
        <is>
          <t>A</t>
        </is>
      </c>
      <c r="AF71" s="11" t="n"/>
      <c r="AG71" s="45" t="inlineStr"/>
      <c r="AH71" s="10" t="n"/>
      <c r="AI71" s="11" t="n"/>
      <c r="AJ71" s="45" t="inlineStr"/>
      <c r="AK71" s="10" t="n"/>
      <c r="AL71" s="11" t="n"/>
      <c r="AM71" s="45" t="inlineStr"/>
      <c r="AN71" s="10" t="n"/>
      <c r="AO71" s="11" t="n"/>
      <c r="AP71" s="45" t="inlineStr"/>
      <c r="AQ71" s="10" t="n"/>
      <c r="AR71" s="11" t="n"/>
      <c r="AS71" s="45" t="inlineStr"/>
      <c r="AT71" s="10" t="n"/>
      <c r="AU71" s="11" t="n"/>
      <c r="AV71" s="45" t="inlineStr"/>
      <c r="AW71" s="10" t="n"/>
      <c r="AX71" s="11" t="n"/>
      <c r="AY71" s="45" t="inlineStr"/>
      <c r="AZ71" s="10" t="n"/>
      <c r="BA71" s="11" t="n"/>
      <c r="BB71" s="45" t="inlineStr"/>
      <c r="BC71" s="10" t="n"/>
      <c r="BD71" s="11" t="n"/>
      <c r="BE71" s="45" t="inlineStr"/>
      <c r="BF71" s="10" t="n"/>
      <c r="BG71" s="11" t="n"/>
      <c r="BH71" s="45" t="inlineStr"/>
      <c r="BI71" s="10" t="n"/>
      <c r="BJ71" s="11" t="n"/>
      <c r="BK71" s="46" t="inlineStr">
        <is>
          <t>api.md エラー一覧（共通）では `関連データが存在するため削除できません。`、画面メッセージ ACSMS-MSG-002-006 では `この単価は関連オブジェクトに紐づいているため削除できません。`。実装側は api.md の文言を canonical として返却する。</t>
        </is>
      </c>
      <c r="BL71" s="10" t="n"/>
      <c r="BM71" s="10" t="n"/>
      <c r="BN71" s="10" t="n"/>
      <c r="BO71" s="10" t="n"/>
      <c r="BP71" s="10" t="n"/>
      <c r="BQ71" s="11" t="n"/>
    </row>
    <row r="72" ht="288" customHeight="1">
      <c r="A72" s="44" t="n">
        <v>55</v>
      </c>
      <c r="B72" s="46" t="inlineStr">
        <is>
          <t>ACSMS-TC-002-055</t>
        </is>
      </c>
      <c r="C72" s="10" t="n"/>
      <c r="D72" s="11" t="n"/>
      <c r="E72" s="46" t="inlineStr">
        <is>
          <t>削除 — 関連データあり（購読者の単価参照）の409エラー</t>
        </is>
      </c>
      <c r="F72" s="10" t="n"/>
      <c r="G72" s="10" t="n"/>
      <c r="H72" s="10" t="n"/>
      <c r="I72" s="11" t="n"/>
      <c r="J72" s="46" t="inlineStr">
        <is>
          <t>・role: CHUOKAI
・削除対象単価（tanka_id = 6、新聞購読料）に関連する購読者レコード（`t_dokusya.tanka_id = 6`）が1件以上存在</t>
        </is>
      </c>
      <c r="K72" s="10" t="n"/>
      <c r="L72" s="10" t="n"/>
      <c r="M72" s="10" t="n"/>
      <c r="N72" s="10" t="n"/>
      <c r="O72" s="10" t="n"/>
      <c r="P72" s="11" t="n"/>
      <c r="Q72" s="46" t="inlineStr">
        <is>
          <r>
            <rPr>
              <rFont val="メイリオ"/>
              <b val="1"/>
              <sz val="10"/>
            </rPr>
            <t xml:space="preserve">ステップ1：
</t>
          </r>
          <r>
            <rPr>
              <rFont val="メイリオ"/>
              <sz val="10"/>
            </rPr>
            <t xml:space="preserve">「削除」リンクを押下、確認ダイアログで「はい」を押下
</t>
          </r>
          <r>
            <rPr>
              <rFont val="メイリオ"/>
              <b val="1"/>
              <sz val="10"/>
            </rPr>
            <t xml:space="preserve">ステップ2：
</t>
          </r>
          <r>
            <rPr>
              <rFont val="メイリオ"/>
              <sz val="10"/>
            </rPr>
            <t>レスポンスを確認</t>
          </r>
        </is>
      </c>
      <c r="R72" s="10" t="n"/>
      <c r="S72" s="10" t="n"/>
      <c r="T72" s="10" t="n"/>
      <c r="U72" s="10" t="n"/>
      <c r="V72" s="10" t="n"/>
      <c r="W72" s="11" t="n"/>
      <c r="X72" s="46" t="inlineStr">
        <is>
          <r>
            <rPr>
              <rFont val="メイリオ"/>
              <b val="1"/>
              <sz val="10"/>
            </rPr>
            <t xml:space="preserve">ステップ1：
</t>
          </r>
          <r>
            <rPr>
              <rFont val="メイリオ"/>
              <sz val="10"/>
            </rPr>
            <t xml:space="preserve">DELETE `/api/v1/tanka/6` が送信されること
</t>
          </r>
          <r>
            <rPr>
              <rFont val="メイリオ"/>
              <b val="1"/>
              <sz val="10"/>
            </rPr>
            <t xml:space="preserve">ステップ2：
</t>
          </r>
          <r>
            <rPr>
              <rFont val="メイリオ"/>
              <sz val="10"/>
            </rPr>
            <t xml:space="preserve">HTTPステータスコード409が返却されること（`error_code: CONFLICT`、メッセージ `関連データが存在するため削除できません。`）、論理削除されないこと
</t>
          </r>
          <r>
            <rPr>
              <rFont val="メイリオ"/>
              <b val="1"/>
              <sz val="10"/>
            </rPr>
            <t xml:space="preserve">補足：
</t>
          </r>
          <r>
            <rPr>
              <rFont val="メイリオ"/>
              <sz val="10"/>
            </rPr>
            <t xml:space="preserve">・関連データが削除されないこと
</t>
          </r>
          <r>
            <rPr>
              <rFont val="メイリオ"/>
              <sz val="10"/>
            </rPr>
            <t>・購読者参照は m_hanbaiten 同等の削除阻害要因となること（api.md §4.4）</t>
          </r>
        </is>
      </c>
      <c r="Y72" s="10" t="n"/>
      <c r="Z72" s="10" t="n"/>
      <c r="AA72" s="10" t="n"/>
      <c r="AB72" s="10" t="n"/>
      <c r="AC72" s="10" t="n"/>
      <c r="AD72" s="11" t="n"/>
      <c r="AE72" s="45" t="inlineStr">
        <is>
          <t>A</t>
        </is>
      </c>
      <c r="AF72" s="11" t="n"/>
      <c r="AG72" s="45" t="inlineStr"/>
      <c r="AH72" s="10" t="n"/>
      <c r="AI72" s="11" t="n"/>
      <c r="AJ72" s="45" t="inlineStr"/>
      <c r="AK72" s="10" t="n"/>
      <c r="AL72" s="11" t="n"/>
      <c r="AM72" s="45" t="inlineStr"/>
      <c r="AN72" s="10" t="n"/>
      <c r="AO72" s="11" t="n"/>
      <c r="AP72" s="45" t="inlineStr"/>
      <c r="AQ72" s="10" t="n"/>
      <c r="AR72" s="11" t="n"/>
      <c r="AS72" s="45" t="inlineStr"/>
      <c r="AT72" s="10" t="n"/>
      <c r="AU72" s="11" t="n"/>
      <c r="AV72" s="45" t="inlineStr"/>
      <c r="AW72" s="10" t="n"/>
      <c r="AX72" s="11" t="n"/>
      <c r="AY72" s="45" t="inlineStr"/>
      <c r="AZ72" s="10" t="n"/>
      <c r="BA72" s="11" t="n"/>
      <c r="BB72" s="45" t="inlineStr"/>
      <c r="BC72" s="10" t="n"/>
      <c r="BD72" s="11" t="n"/>
      <c r="BE72" s="45" t="inlineStr"/>
      <c r="BF72" s="10" t="n"/>
      <c r="BG72" s="11" t="n"/>
      <c r="BH72" s="45" t="inlineStr"/>
      <c r="BI72" s="10" t="n"/>
      <c r="BJ72" s="11" t="n"/>
      <c r="BK72" s="46" t="inlineStr"/>
      <c r="BL72" s="10" t="n"/>
      <c r="BM72" s="10" t="n"/>
      <c r="BN72" s="10" t="n"/>
      <c r="BO72" s="10" t="n"/>
      <c r="BP72" s="10" t="n"/>
      <c r="BQ72" s="11" t="n"/>
    </row>
    <row r="73" ht="192" customHeight="1">
      <c r="A73" s="44" t="n">
        <v>56</v>
      </c>
      <c r="B73" s="46" t="inlineStr">
        <is>
          <t>ACSMS-TC-002-056</t>
        </is>
      </c>
      <c r="C73" s="10" t="n"/>
      <c r="D73" s="11" t="n"/>
      <c r="E73" s="46" t="inlineStr">
        <is>
          <t>削除 — 存在しないIDの404エラー</t>
        </is>
      </c>
      <c r="F73" s="10" t="n"/>
      <c r="G73" s="10" t="n"/>
      <c r="H73" s="10" t="n"/>
      <c r="I73" s="11" t="n"/>
      <c r="J73" s="46" t="inlineStr">
        <is>
          <t>・role: CHUOKAI</t>
        </is>
      </c>
      <c r="K73" s="10" t="n"/>
      <c r="L73" s="10" t="n"/>
      <c r="M73" s="10" t="n"/>
      <c r="N73" s="10" t="n"/>
      <c r="O73" s="10" t="n"/>
      <c r="P73" s="11" t="n"/>
      <c r="Q73" s="46" t="inlineStr">
        <is>
          <r>
            <rPr>
              <rFont val="メイリオ"/>
              <b val="1"/>
              <sz val="10"/>
            </rPr>
            <t xml:space="preserve">ステップ1：
</t>
          </r>
          <r>
            <rPr>
              <rFont val="メイリオ"/>
              <sz val="10"/>
            </rPr>
            <t xml:space="preserve">DevTools で DELETE `/api/v1/tanka/99999` を直接送信（存在しないID）
</t>
          </r>
          <r>
            <rPr>
              <rFont val="メイリオ"/>
              <b val="1"/>
              <sz val="10"/>
            </rPr>
            <t xml:space="preserve">ステップ2：
</t>
          </r>
          <r>
            <rPr>
              <rFont val="メイリオ"/>
              <sz val="10"/>
            </rPr>
            <t>レスポンスを確認</t>
          </r>
        </is>
      </c>
      <c r="R73" s="10" t="n"/>
      <c r="S73" s="10" t="n"/>
      <c r="T73" s="10" t="n"/>
      <c r="U73" s="10" t="n"/>
      <c r="V73" s="10" t="n"/>
      <c r="W73" s="11" t="n"/>
      <c r="X73" s="46" t="inlineStr">
        <is>
          <r>
            <rPr>
              <rFont val="メイリオ"/>
              <b val="1"/>
              <sz val="10"/>
            </rPr>
            <t xml:space="preserve">ステップ1：
</t>
          </r>
          <r>
            <rPr>
              <rFont val="メイリオ"/>
              <sz val="10"/>
            </rPr>
            <t xml:space="preserve">リクエストが送信されること
</t>
          </r>
          <r>
            <rPr>
              <rFont val="メイリオ"/>
              <b val="1"/>
              <sz val="10"/>
            </rPr>
            <t xml:space="preserve">ステップ2：
</t>
          </r>
          <r>
            <rPr>
              <rFont val="メイリオ"/>
              <sz val="10"/>
            </rPr>
            <t xml:space="preserve">HTTPステータスコード404が返却されること（`error_code: NOT_FOUND`、メッセージ `指定された単価が見つかりません。`）
</t>
          </r>
          <r>
            <rPr>
              <rFont val="メイリオ"/>
              <b val="1"/>
              <sz val="10"/>
            </rPr>
            <t xml:space="preserve">補足：
</t>
          </r>
          <r>
            <rPr>
              <rFont val="メイリオ"/>
              <sz val="10"/>
            </rPr>
            <t>・対象データが存在しないこと</t>
          </r>
        </is>
      </c>
      <c r="Y73" s="10" t="n"/>
      <c r="Z73" s="10" t="n"/>
      <c r="AA73" s="10" t="n"/>
      <c r="AB73" s="10" t="n"/>
      <c r="AC73" s="10" t="n"/>
      <c r="AD73" s="11" t="n"/>
      <c r="AE73" s="45" t="inlineStr">
        <is>
          <t>A</t>
        </is>
      </c>
      <c r="AF73" s="11" t="n"/>
      <c r="AG73" s="45" t="inlineStr"/>
      <c r="AH73" s="10" t="n"/>
      <c r="AI73" s="11" t="n"/>
      <c r="AJ73" s="45" t="inlineStr"/>
      <c r="AK73" s="10" t="n"/>
      <c r="AL73" s="11" t="n"/>
      <c r="AM73" s="45" t="inlineStr"/>
      <c r="AN73" s="10" t="n"/>
      <c r="AO73" s="11" t="n"/>
      <c r="AP73" s="45" t="inlineStr"/>
      <c r="AQ73" s="10" t="n"/>
      <c r="AR73" s="11" t="n"/>
      <c r="AS73" s="45" t="inlineStr"/>
      <c r="AT73" s="10" t="n"/>
      <c r="AU73" s="11" t="n"/>
      <c r="AV73" s="45" t="inlineStr"/>
      <c r="AW73" s="10" t="n"/>
      <c r="AX73" s="11" t="n"/>
      <c r="AY73" s="45" t="inlineStr"/>
      <c r="AZ73" s="10" t="n"/>
      <c r="BA73" s="11" t="n"/>
      <c r="BB73" s="45" t="inlineStr"/>
      <c r="BC73" s="10" t="n"/>
      <c r="BD73" s="11" t="n"/>
      <c r="BE73" s="45" t="inlineStr"/>
      <c r="BF73" s="10" t="n"/>
      <c r="BG73" s="11" t="n"/>
      <c r="BH73" s="45" t="inlineStr"/>
      <c r="BI73" s="10" t="n"/>
      <c r="BJ73" s="11" t="n"/>
      <c r="BK73" s="46" t="inlineStr"/>
      <c r="BL73" s="10" t="n"/>
      <c r="BM73" s="10" t="n"/>
      <c r="BN73" s="10" t="n"/>
      <c r="BO73" s="10" t="n"/>
      <c r="BP73" s="10" t="n"/>
      <c r="BQ73" s="11" t="n"/>
    </row>
    <row r="74" ht="320" customHeight="1">
      <c r="A74" s="44" t="n">
        <v>57</v>
      </c>
      <c r="B74" s="46" t="inlineStr">
        <is>
          <t>ACSMS-TC-002-057</t>
        </is>
      </c>
      <c r="C74" s="10" t="n"/>
      <c r="D74" s="11" t="n"/>
      <c r="E74" s="46" t="inlineStr">
        <is>
          <t>削除 — 既に削除済IDの404エラー（同時削除レース）</t>
        </is>
      </c>
      <c r="F74" s="10" t="n"/>
      <c r="G74" s="10" t="n"/>
      <c r="H74" s="10" t="n"/>
      <c r="I74" s="11" t="n"/>
      <c r="J74" s="46" t="inlineStr">
        <is>
          <t>・role: CHUOKAI
・単価（tanka_id = 8）が登録済</t>
        </is>
      </c>
      <c r="K74" s="10" t="n"/>
      <c r="L74" s="10" t="n"/>
      <c r="M74" s="10" t="n"/>
      <c r="N74" s="10" t="n"/>
      <c r="O74" s="10" t="n"/>
      <c r="P74" s="11" t="n"/>
      <c r="Q74" s="46" t="inlineStr">
        <is>
          <r>
            <rPr>
              <rFont val="メイリオ"/>
              <b val="1"/>
              <sz val="10"/>
            </rPr>
            <t xml:space="preserve">ステップ1：
</t>
          </r>
          <r>
            <rPr>
              <rFont val="メイリオ"/>
              <sz val="10"/>
            </rPr>
            <t xml:space="preserve">ブラウザAで一覧画面を開く
</t>
          </r>
          <r>
            <rPr>
              <rFont val="メイリオ"/>
              <b val="1"/>
              <sz val="10"/>
            </rPr>
            <t xml:space="preserve">ステップ2：
</t>
          </r>
          <r>
            <rPr>
              <rFont val="メイリオ"/>
              <sz val="10"/>
            </rPr>
            <t xml:space="preserve">ブラウザBで同じ単価（tanka_id = 8）を削除
</t>
          </r>
          <r>
            <rPr>
              <rFont val="メイリオ"/>
              <b val="1"/>
              <sz val="10"/>
            </rPr>
            <t xml:space="preserve">ステップ3：
</t>
          </r>
          <r>
            <rPr>
              <rFont val="メイリオ"/>
              <sz val="10"/>
            </rPr>
            <t>ブラウザAで同じ単価の「削除」リンクを押下、「はい」を押下</t>
          </r>
        </is>
      </c>
      <c r="R74" s="10" t="n"/>
      <c r="S74" s="10" t="n"/>
      <c r="T74" s="10" t="n"/>
      <c r="U74" s="10" t="n"/>
      <c r="V74" s="10" t="n"/>
      <c r="W74" s="11" t="n"/>
      <c r="X74" s="46" t="inlineStr">
        <is>
          <r>
            <rPr>
              <rFont val="メイリオ"/>
              <b val="1"/>
              <sz val="10"/>
            </rPr>
            <t xml:space="preserve">ステップ1：
</t>
          </r>
          <r>
            <rPr>
              <rFont val="メイリオ"/>
              <sz val="10"/>
            </rPr>
            <t xml:space="preserve">一覧が表示されること
</t>
          </r>
          <r>
            <rPr>
              <rFont val="メイリオ"/>
              <b val="1"/>
              <sz val="10"/>
            </rPr>
            <t xml:space="preserve">ステップ2：
</t>
          </r>
          <r>
            <rPr>
              <rFont val="メイリオ"/>
              <sz val="10"/>
            </rPr>
            <t xml:space="preserve">ブラウザBで削除が成功すること
</t>
          </r>
          <r>
            <rPr>
              <rFont val="メイリオ"/>
              <b val="1"/>
              <sz val="10"/>
            </rPr>
            <t xml:space="preserve">ステップ3：
</t>
          </r>
          <r>
            <rPr>
              <rFont val="メイリオ"/>
              <sz val="10"/>
            </rPr>
            <t xml:space="preserve">ブラウザAから送信した DELETE `/api/v1/tanka/8` に対し HTTPステータスコード404が返却されること（`error_code: NOT_FOUND`、メッセージ `指定された単価が見つかりません。`）
</t>
          </r>
          <r>
            <rPr>
              <rFont val="メイリオ"/>
              <b val="1"/>
              <sz val="10"/>
            </rPr>
            <t xml:space="preserve">補足：
</t>
          </r>
          <r>
            <rPr>
              <rFont val="メイリオ"/>
              <sz val="10"/>
            </rPr>
            <t xml:space="preserve">・データ不整合が発生しないこと
</t>
          </r>
          <r>
            <rPr>
              <rFont val="メイリオ"/>
              <sz val="10"/>
            </rPr>
            <t>・同時削除レース時は最後発のリクエストが404となること</t>
          </r>
        </is>
      </c>
      <c r="Y74" s="10" t="n"/>
      <c r="Z74" s="10" t="n"/>
      <c r="AA74" s="10" t="n"/>
      <c r="AB74" s="10" t="n"/>
      <c r="AC74" s="10" t="n"/>
      <c r="AD74" s="11" t="n"/>
      <c r="AE74" s="45" t="inlineStr">
        <is>
          <t>A</t>
        </is>
      </c>
      <c r="AF74" s="11" t="n"/>
      <c r="AG74" s="45" t="inlineStr"/>
      <c r="AH74" s="10" t="n"/>
      <c r="AI74" s="11" t="n"/>
      <c r="AJ74" s="45" t="inlineStr"/>
      <c r="AK74" s="10" t="n"/>
      <c r="AL74" s="11" t="n"/>
      <c r="AM74" s="45" t="inlineStr"/>
      <c r="AN74" s="10" t="n"/>
      <c r="AO74" s="11" t="n"/>
      <c r="AP74" s="45" t="inlineStr"/>
      <c r="AQ74" s="10" t="n"/>
      <c r="AR74" s="11" t="n"/>
      <c r="AS74" s="45" t="inlineStr"/>
      <c r="AT74" s="10" t="n"/>
      <c r="AU74" s="11" t="n"/>
      <c r="AV74" s="45" t="inlineStr"/>
      <c r="AW74" s="10" t="n"/>
      <c r="AX74" s="11" t="n"/>
      <c r="AY74" s="45" t="inlineStr"/>
      <c r="AZ74" s="10" t="n"/>
      <c r="BA74" s="11" t="n"/>
      <c r="BB74" s="45" t="inlineStr"/>
      <c r="BC74" s="10" t="n"/>
      <c r="BD74" s="11" t="n"/>
      <c r="BE74" s="45" t="inlineStr"/>
      <c r="BF74" s="10" t="n"/>
      <c r="BG74" s="11" t="n"/>
      <c r="BH74" s="45" t="inlineStr"/>
      <c r="BI74" s="10" t="n"/>
      <c r="BJ74" s="11" t="n"/>
      <c r="BK74" s="46" t="inlineStr"/>
      <c r="BL74" s="10" t="n"/>
      <c r="BM74" s="10" t="n"/>
      <c r="BN74" s="10" t="n"/>
      <c r="BO74" s="10" t="n"/>
      <c r="BP74" s="10" t="n"/>
      <c r="BQ74" s="11" t="n"/>
    </row>
    <row r="75" ht="272" customHeight="1">
      <c r="A75" s="44" t="n">
        <v>58</v>
      </c>
      <c r="B75" s="46" t="inlineStr">
        <is>
          <t>ACSMS-TC-002-058</t>
        </is>
      </c>
      <c r="C75" s="10" t="n"/>
      <c r="D75" s="11" t="n"/>
      <c r="E75" s="46" t="inlineStr">
        <is>
          <t>削除エラー時の監査ログ記録</t>
        </is>
      </c>
      <c r="F75" s="10" t="n"/>
      <c r="G75" s="10" t="n"/>
      <c r="H75" s="10" t="n"/>
      <c r="I75" s="11" t="n"/>
      <c r="J75" s="46" t="inlineStr">
        <is>
          <t>・role: CHUOKAI
・削除対象単価（tanka_id = 9）に関連データあり</t>
        </is>
      </c>
      <c r="K75" s="10" t="n"/>
      <c r="L75" s="10" t="n"/>
      <c r="M75" s="10" t="n"/>
      <c r="N75" s="10" t="n"/>
      <c r="O75" s="10" t="n"/>
      <c r="P75" s="11" t="n"/>
      <c r="Q75" s="46" t="inlineStr">
        <is>
          <r>
            <rPr>
              <rFont val="メイリオ"/>
              <b val="1"/>
              <sz val="10"/>
            </rPr>
            <t xml:space="preserve">ステップ1：
</t>
          </r>
          <r>
            <rPr>
              <rFont val="メイリオ"/>
              <sz val="10"/>
            </rPr>
            <t xml:space="preserve">「削除」リンクを押下、「はい」を押下
</t>
          </r>
          <r>
            <rPr>
              <rFont val="メイリオ"/>
              <b val="1"/>
              <sz val="10"/>
            </rPr>
            <t xml:space="preserve">ステップ2：
</t>
          </r>
          <r>
            <rPr>
              <rFont val="メイリオ"/>
              <sz val="10"/>
            </rPr>
            <t>DB確認：`SELECT log_type, operation, result_status, error_message FROM t_log WHERE target_id = 9 AND target_table = 'm_tanka' ORDER BY log_datetime DESC LIMIT 1`</t>
          </r>
        </is>
      </c>
      <c r="R75" s="10" t="n"/>
      <c r="S75" s="10" t="n"/>
      <c r="T75" s="10" t="n"/>
      <c r="U75" s="10" t="n"/>
      <c r="V75" s="10" t="n"/>
      <c r="W75" s="11" t="n"/>
      <c r="X75" s="46" t="inlineStr">
        <is>
          <r>
            <rPr>
              <rFont val="メイリオ"/>
              <b val="1"/>
              <sz val="10"/>
            </rPr>
            <t xml:space="preserve">ステップ1：
</t>
          </r>
          <r>
            <rPr>
              <rFont val="メイリオ"/>
              <sz val="10"/>
            </rPr>
            <t xml:space="preserve">HTTPステータスコード409が返却されること
</t>
          </r>
          <r>
            <rPr>
              <rFont val="メイリオ"/>
              <b val="1"/>
              <sz val="10"/>
            </rPr>
            <t xml:space="preserve">ステップ2：
</t>
          </r>
          <r>
            <rPr>
              <rFont val="メイリオ"/>
              <sz val="10"/>
            </rPr>
            <t xml:space="preserve">エラーログが記録されること（`log_type = 3`、`operation = 'DELETE'`、`result_status = 2`、`error_message` にエラー詳細が格納）
</t>
          </r>
          <r>
            <rPr>
              <rFont val="メイリオ"/>
              <b val="1"/>
              <sz val="10"/>
            </rPr>
            <t xml:space="preserve">補足：
</t>
          </r>
          <r>
            <rPr>
              <rFont val="メイリオ"/>
              <sz val="10"/>
            </rPr>
            <t xml:space="preserve">・エラーログが出力されること
</t>
          </r>
          <r>
            <rPr>
              <rFont val="メイリオ"/>
              <sz val="10"/>
            </rPr>
            <t>・エラーログはトランザクション外で記録されるため、業務処理のロールバック後も残存すること（nestjs.md §Audit Log）</t>
          </r>
        </is>
      </c>
      <c r="Y75" s="10" t="n"/>
      <c r="Z75" s="10" t="n"/>
      <c r="AA75" s="10" t="n"/>
      <c r="AB75" s="10" t="n"/>
      <c r="AC75" s="10" t="n"/>
      <c r="AD75" s="11" t="n"/>
      <c r="AE75" s="45" t="inlineStr">
        <is>
          <t>A</t>
        </is>
      </c>
      <c r="AF75" s="11" t="n"/>
      <c r="AG75" s="45" t="inlineStr"/>
      <c r="AH75" s="10" t="n"/>
      <c r="AI75" s="11" t="n"/>
      <c r="AJ75" s="45" t="inlineStr"/>
      <c r="AK75" s="10" t="n"/>
      <c r="AL75" s="11" t="n"/>
      <c r="AM75" s="45" t="inlineStr"/>
      <c r="AN75" s="10" t="n"/>
      <c r="AO75" s="11" t="n"/>
      <c r="AP75" s="45" t="inlineStr"/>
      <c r="AQ75" s="10" t="n"/>
      <c r="AR75" s="11" t="n"/>
      <c r="AS75" s="45" t="inlineStr"/>
      <c r="AT75" s="10" t="n"/>
      <c r="AU75" s="11" t="n"/>
      <c r="AV75" s="45" t="inlineStr"/>
      <c r="AW75" s="10" t="n"/>
      <c r="AX75" s="11" t="n"/>
      <c r="AY75" s="45" t="inlineStr"/>
      <c r="AZ75" s="10" t="n"/>
      <c r="BA75" s="11" t="n"/>
      <c r="BB75" s="45" t="inlineStr"/>
      <c r="BC75" s="10" t="n"/>
      <c r="BD75" s="11" t="n"/>
      <c r="BE75" s="45" t="inlineStr"/>
      <c r="BF75" s="10" t="n"/>
      <c r="BG75" s="11" t="n"/>
      <c r="BH75" s="45" t="inlineStr"/>
      <c r="BI75" s="10" t="n"/>
      <c r="BJ75" s="11" t="n"/>
      <c r="BK75" s="46" t="inlineStr"/>
      <c r="BL75" s="10" t="n"/>
      <c r="BM75" s="10" t="n"/>
      <c r="BN75" s="10" t="n"/>
      <c r="BO75" s="10" t="n"/>
      <c r="BP75" s="10" t="n"/>
      <c r="BQ75" s="11" t="n"/>
    </row>
    <row r="76" ht="450" customHeight="1">
      <c r="A76" s="44" t="n">
        <v>59</v>
      </c>
      <c r="B76" s="46" t="inlineStr">
        <is>
          <t>ACSMS-TC-002-059</t>
        </is>
      </c>
      <c r="C76" s="10" t="n"/>
      <c r="D76" s="11" t="n"/>
      <c r="E76" s="46" t="inlineStr">
        <is>
          <t>監査ログの完全性検証（削除成功時）</t>
        </is>
      </c>
      <c r="F76" s="10" t="n"/>
      <c r="G76" s="10" t="n"/>
      <c r="H76" s="10" t="n"/>
      <c r="I76" s="11" t="n"/>
      <c r="J76" s="46" t="inlineStr">
        <is>
          <t>・role: CHUOKAI
・削除対象単価（tanka_id = 10）が登録済、関連データなし</t>
        </is>
      </c>
      <c r="K76" s="10" t="n"/>
      <c r="L76" s="10" t="n"/>
      <c r="M76" s="10" t="n"/>
      <c r="N76" s="10" t="n"/>
      <c r="O76" s="10" t="n"/>
      <c r="P76" s="11" t="n"/>
      <c r="Q76" s="46" t="inlineStr">
        <is>
          <r>
            <rPr>
              <rFont val="メイリオ"/>
              <b val="1"/>
              <sz val="10"/>
            </rPr>
            <t xml:space="preserve">ステップ1：
</t>
          </r>
          <r>
            <rPr>
              <rFont val="メイリオ"/>
              <sz val="10"/>
            </rPr>
            <t xml:space="preserve">削除を実行（「削除」リンク → 「はい」）
</t>
          </r>
          <r>
            <rPr>
              <rFont val="メイリオ"/>
              <b val="1"/>
              <sz val="10"/>
            </rPr>
            <t xml:space="preserve">ステップ2：
</t>
          </r>
          <r>
            <rPr>
              <rFont val="メイリオ"/>
              <sz val="10"/>
            </rPr>
            <t>DB確認：`SELECT log_type, log_datetime, account_id, gamen_name, operation, result_status, target_id, target_table, before_value, after_value, ip_address, user_agent FROM t_log WHERE target_id = 10 AND target_table = 'm_tanka' ORDER BY log_datetime DESC LIMIT 1`</t>
          </r>
        </is>
      </c>
      <c r="R76" s="10" t="n"/>
      <c r="S76" s="10" t="n"/>
      <c r="T76" s="10" t="n"/>
      <c r="U76" s="10" t="n"/>
      <c r="V76" s="10" t="n"/>
      <c r="W76" s="11" t="n"/>
      <c r="X76" s="46" t="inlineStr">
        <is>
          <r>
            <rPr>
              <rFont val="メイリオ"/>
              <b val="1"/>
              <sz val="10"/>
            </rPr>
            <t xml:space="preserve">ステップ1：
</t>
          </r>
          <r>
            <rPr>
              <rFont val="メイリオ"/>
              <sz val="10"/>
            </rPr>
            <t xml:space="preserve">削除処理が成功すること
</t>
          </r>
          <r>
            <rPr>
              <rFont val="メイリオ"/>
              <b val="1"/>
              <sz val="10"/>
            </rPr>
            <t xml:space="preserve">ステップ2：
</t>
          </r>
          <r>
            <rPr>
              <rFont val="メイリオ"/>
              <sz val="10"/>
            </rPr>
            <t xml:space="preserve">監査ログが記録されること、各カラムは以下の値であること：
</t>
          </r>
          <r>
            <rPr>
              <rFont val="メイリオ"/>
              <sz val="10"/>
            </rPr>
            <t xml:space="preserve">・log_type = 1（user_operation）
</t>
          </r>
          <r>
            <rPr>
              <rFont val="メイリオ"/>
              <sz val="10"/>
            </rPr>
            <t xml:space="preserve">・gamen_name = `単価マスタ明細検索画面 (ACSMS-SCR-002)`
</t>
          </r>
          <r>
            <rPr>
              <rFont val="メイリオ"/>
              <sz val="10"/>
            </rPr>
            <t xml:space="preserve">・operation = `DELETE`
</t>
          </r>
          <r>
            <rPr>
              <rFont val="メイリオ"/>
              <sz val="10"/>
            </rPr>
            <t xml:space="preserve">・result_status = 1（success）
</t>
          </r>
          <r>
            <rPr>
              <rFont val="メイリオ"/>
              <sz val="10"/>
            </rPr>
            <t xml:space="preserve">・target_id = 10
</t>
          </r>
          <r>
            <rPr>
              <rFont val="メイリオ"/>
              <sz val="10"/>
            </rPr>
            <t xml:space="preserve">・target_table = `m_tanka`
</t>
          </r>
          <r>
            <rPr>
              <rFont val="メイリオ"/>
              <sz val="10"/>
            </rPr>
            <t xml:space="preserve">・before_value にJSON形式の削除前データが格納されること（tanka_id / ja_id / tanka_type / tanka_code / tanka_name / kingaku_zeikomi / kingaku_zeinuki / tax_rate / tekiyo_start_date / tekiyo_end_date を含むこと）
</t>
          </r>
          <r>
            <rPr>
              <rFont val="メイリオ"/>
              <sz val="10"/>
            </rPr>
            <t xml:space="preserve">・after_value は空文字列であること
</t>
          </r>
          <r>
            <rPr>
              <rFont val="メイリオ"/>
              <sz val="10"/>
            </rPr>
            <t xml:space="preserve">・ip_address / user_agent がリクエスト元の値で記録されること
</t>
          </r>
          <r>
            <rPr>
              <rFont val="メイリオ"/>
              <b val="1"/>
              <sz val="10"/>
            </rPr>
            <t xml:space="preserve">補足：
</t>
          </r>
          <r>
            <rPr>
              <rFont val="メイリオ"/>
              <sz val="10"/>
            </rPr>
            <t xml:space="preserve">・監査ログが記録されること
</t>
          </r>
          <r>
            <rPr>
              <rFont val="メイリオ"/>
              <sz val="10"/>
            </rPr>
            <t>・データ整合性が保たれること</t>
          </r>
        </is>
      </c>
      <c r="Y76" s="10" t="n"/>
      <c r="Z76" s="10" t="n"/>
      <c r="AA76" s="10" t="n"/>
      <c r="AB76" s="10" t="n"/>
      <c r="AC76" s="10" t="n"/>
      <c r="AD76" s="11" t="n"/>
      <c r="AE76" s="45" t="inlineStr">
        <is>
          <t>N</t>
        </is>
      </c>
      <c r="AF76" s="11" t="n"/>
      <c r="AG76" s="45" t="inlineStr"/>
      <c r="AH76" s="10" t="n"/>
      <c r="AI76" s="11" t="n"/>
      <c r="AJ76" s="45" t="inlineStr"/>
      <c r="AK76" s="10" t="n"/>
      <c r="AL76" s="11" t="n"/>
      <c r="AM76" s="45" t="inlineStr"/>
      <c r="AN76" s="10" t="n"/>
      <c r="AO76" s="11" t="n"/>
      <c r="AP76" s="45" t="inlineStr"/>
      <c r="AQ76" s="10" t="n"/>
      <c r="AR76" s="11" t="n"/>
      <c r="AS76" s="45" t="inlineStr"/>
      <c r="AT76" s="10" t="n"/>
      <c r="AU76" s="11" t="n"/>
      <c r="AV76" s="45" t="inlineStr"/>
      <c r="AW76" s="10" t="n"/>
      <c r="AX76" s="11" t="n"/>
      <c r="AY76" s="45" t="inlineStr"/>
      <c r="AZ76" s="10" t="n"/>
      <c r="BA76" s="11" t="n"/>
      <c r="BB76" s="45" t="inlineStr"/>
      <c r="BC76" s="10" t="n"/>
      <c r="BD76" s="11" t="n"/>
      <c r="BE76" s="45" t="inlineStr"/>
      <c r="BF76" s="10" t="n"/>
      <c r="BG76" s="11" t="n"/>
      <c r="BH76" s="45" t="inlineStr"/>
      <c r="BI76" s="10" t="n"/>
      <c r="BJ76" s="11" t="n"/>
      <c r="BK76" s="46" t="inlineStr">
        <is>
          <t>(なし)
---</t>
        </is>
      </c>
      <c r="BL76" s="10" t="n"/>
      <c r="BM76" s="10" t="n"/>
      <c r="BN76" s="10" t="n"/>
      <c r="BO76" s="10" t="n"/>
      <c r="BP76" s="10" t="n"/>
      <c r="BQ76" s="11" t="n"/>
    </row>
    <row r="77" ht="22.5" customHeight="1">
      <c r="A77" s="32" t="inlineStr">
        <is>
          <t>共通エラーハンドリング（Common Error Handling）</t>
        </is>
      </c>
      <c r="B77" s="10" t="n"/>
      <c r="C77" s="10" t="n"/>
      <c r="D77" s="10" t="n"/>
      <c r="E77" s="10" t="n"/>
      <c r="F77" s="10" t="n"/>
      <c r="G77" s="10" t="n"/>
      <c r="H77" s="10" t="n"/>
      <c r="I77" s="10" t="n"/>
      <c r="J77" s="10" t="n"/>
      <c r="K77" s="10" t="n"/>
      <c r="L77" s="10" t="n"/>
      <c r="M77" s="10" t="n"/>
      <c r="N77" s="10" t="n"/>
      <c r="O77" s="10" t="n"/>
      <c r="P77" s="10" t="n"/>
      <c r="Q77" s="10" t="n"/>
      <c r="R77" s="10" t="n"/>
      <c r="S77" s="10" t="n"/>
      <c r="T77" s="10" t="n"/>
      <c r="U77" s="10" t="n"/>
      <c r="V77" s="10" t="n"/>
      <c r="W77" s="10" t="n"/>
      <c r="X77" s="10" t="n"/>
      <c r="Y77" s="10" t="n"/>
      <c r="Z77" s="10" t="n"/>
      <c r="AA77" s="10" t="n"/>
      <c r="AB77" s="10" t="n"/>
      <c r="AC77" s="10" t="n"/>
      <c r="AD77" s="10" t="n"/>
      <c r="AE77" s="10" t="n"/>
      <c r="AF77" s="10" t="n"/>
      <c r="AG77" s="10" t="n"/>
      <c r="AH77" s="10" t="n"/>
      <c r="AI77" s="10" t="n"/>
      <c r="AJ77" s="10" t="n"/>
      <c r="AK77" s="10" t="n"/>
      <c r="AL77" s="10" t="n"/>
      <c r="AM77" s="10" t="n"/>
      <c r="AN77" s="10" t="n"/>
      <c r="AO77" s="10" t="n"/>
      <c r="AP77" s="10" t="n"/>
      <c r="AQ77" s="10" t="n"/>
      <c r="AR77" s="10" t="n"/>
      <c r="AS77" s="10" t="n"/>
      <c r="AT77" s="10" t="n"/>
      <c r="AU77" s="10" t="n"/>
      <c r="AV77" s="10" t="n"/>
      <c r="AW77" s="10" t="n"/>
      <c r="AX77" s="10" t="n"/>
      <c r="AY77" s="10" t="n"/>
      <c r="AZ77" s="10" t="n"/>
      <c r="BA77" s="10" t="n"/>
      <c r="BB77" s="10" t="n"/>
      <c r="BC77" s="10" t="n"/>
      <c r="BD77" s="10" t="n"/>
      <c r="BE77" s="10" t="n"/>
      <c r="BF77" s="10" t="n"/>
      <c r="BG77" s="10" t="n"/>
      <c r="BH77" s="10" t="n"/>
      <c r="BI77" s="10" t="n"/>
      <c r="BJ77" s="10" t="n"/>
      <c r="BK77" s="10" t="n"/>
      <c r="BL77" s="10" t="n"/>
      <c r="BM77" s="10" t="n"/>
      <c r="BN77" s="10" t="n"/>
      <c r="BO77" s="10" t="n"/>
      <c r="BP77" s="10" t="n"/>
      <c r="BQ77" s="11" t="n"/>
    </row>
    <row r="78" ht="352" customHeight="1">
      <c r="A78" s="44" t="n">
        <v>60</v>
      </c>
      <c r="B78" s="46" t="inlineStr">
        <is>
          <t>ACSMS-TC-002-060</t>
        </is>
      </c>
      <c r="C78" s="10" t="n"/>
      <c r="D78" s="11" t="n"/>
      <c r="E78" s="46" t="inlineStr">
        <is>
          <t>セッション切れ時の401ハンドリング</t>
        </is>
      </c>
      <c r="F78" s="10" t="n"/>
      <c r="G78" s="10" t="n"/>
      <c r="H78" s="10" t="n"/>
      <c r="I78" s="11" t="n"/>
      <c r="J78" s="46" t="inlineStr">
        <is>
          <t>・role: CHUOKAI
・ログイン済、セッション存在
・Redisセッションを管理者ツールで強制失効可能、または24時間以上経過後の試験</t>
        </is>
      </c>
      <c r="K78" s="10" t="n"/>
      <c r="L78" s="10" t="n"/>
      <c r="M78" s="10" t="n"/>
      <c r="N78" s="10" t="n"/>
      <c r="O78" s="10" t="n"/>
      <c r="P78" s="11" t="n"/>
      <c r="Q78" s="46" t="inlineStr">
        <is>
          <r>
            <rPr>
              <rFont val="メイリオ"/>
              <b val="1"/>
              <sz val="10"/>
            </rPr>
            <t xml:space="preserve">ステップ1：
</t>
          </r>
          <r>
            <rPr>
              <rFont val="メイリオ"/>
              <sz val="10"/>
            </rPr>
            <t xml:space="preserve">`/tanka` を開いた状態のままセッションを強制失効させる
</t>
          </r>
          <r>
            <rPr>
              <rFont val="メイリオ"/>
              <b val="1"/>
              <sz val="10"/>
            </rPr>
            <t xml:space="preserve">ステップ2：
</t>
          </r>
          <r>
            <rPr>
              <rFont val="メイリオ"/>
              <sz val="10"/>
            </rPr>
            <t xml:space="preserve">「検索」ボタンを押下
</t>
          </r>
          <r>
            <rPr>
              <rFont val="メイリオ"/>
              <b val="1"/>
              <sz val="10"/>
            </rPr>
            <t xml:space="preserve">ステップ3：
</t>
          </r>
          <r>
            <rPr>
              <rFont val="メイリオ"/>
              <sz val="10"/>
            </rPr>
            <t>画面遷移と再ログイン後の動作を確認</t>
          </r>
        </is>
      </c>
      <c r="R78" s="10" t="n"/>
      <c r="S78" s="10" t="n"/>
      <c r="T78" s="10" t="n"/>
      <c r="U78" s="10" t="n"/>
      <c r="V78" s="10" t="n"/>
      <c r="W78" s="11" t="n"/>
      <c r="X78" s="46" t="inlineStr">
        <is>
          <r>
            <rPr>
              <rFont val="メイリオ"/>
              <b val="1"/>
              <sz val="10"/>
            </rPr>
            <t xml:space="preserve">ステップ1：
</t>
          </r>
          <r>
            <rPr>
              <rFont val="メイリオ"/>
              <sz val="10"/>
            </rPr>
            <t xml:space="preserve">画面はそのまま表示されていること
</t>
          </r>
          <r>
            <rPr>
              <rFont val="メイリオ"/>
              <b val="1"/>
              <sz val="10"/>
            </rPr>
            <t xml:space="preserve">ステップ2：
</t>
          </r>
          <r>
            <rPr>
              <rFont val="メイリオ"/>
              <sz val="10"/>
            </rPr>
            <t xml:space="preserve">GET `/api/v1/tanka` に対し HTTPステータスコード401が返却されること（`error_code: UNAUTHORIZED`、メッセージ `セッションが切れました。再度ログインしてください。`）
</t>
          </r>
          <r>
            <rPr>
              <rFont val="メイリオ"/>
              <b val="1"/>
              <sz val="10"/>
            </rPr>
            <t xml:space="preserve">ステップ3：
</t>
          </r>
          <r>
            <rPr>
              <rFont val="メイリオ"/>
              <sz val="10"/>
            </rPr>
            <t xml:space="preserve">`/login?redirect=/tanka` へ遷移すること、再ログイン後に元の URL `/tanka` へ戻ること
</t>
          </r>
          <r>
            <rPr>
              <rFont val="メイリオ"/>
              <b val="1"/>
              <sz val="10"/>
            </rPr>
            <t xml:space="preserve">補足：
</t>
          </r>
          <r>
            <rPr>
              <rFont val="メイリオ"/>
              <sz val="10"/>
            </rPr>
            <t xml:space="preserve">・セッション切れ時、ログイン画面へ遷移すること
</t>
          </r>
          <r>
            <rPr>
              <rFont val="メイリオ"/>
              <sz val="10"/>
            </rPr>
            <t>・Pinia ストアの `user` が null に初期化されること</t>
          </r>
        </is>
      </c>
      <c r="Y78" s="10" t="n"/>
      <c r="Z78" s="10" t="n"/>
      <c r="AA78" s="10" t="n"/>
      <c r="AB78" s="10" t="n"/>
      <c r="AC78" s="10" t="n"/>
      <c r="AD78" s="11" t="n"/>
      <c r="AE78" s="45" t="inlineStr">
        <is>
          <t>A</t>
        </is>
      </c>
      <c r="AF78" s="11" t="n"/>
      <c r="AG78" s="45" t="inlineStr"/>
      <c r="AH78" s="10" t="n"/>
      <c r="AI78" s="11" t="n"/>
      <c r="AJ78" s="45" t="inlineStr"/>
      <c r="AK78" s="10" t="n"/>
      <c r="AL78" s="11" t="n"/>
      <c r="AM78" s="45" t="inlineStr"/>
      <c r="AN78" s="10" t="n"/>
      <c r="AO78" s="11" t="n"/>
      <c r="AP78" s="45" t="inlineStr"/>
      <c r="AQ78" s="10" t="n"/>
      <c r="AR78" s="11" t="n"/>
      <c r="AS78" s="45" t="inlineStr"/>
      <c r="AT78" s="10" t="n"/>
      <c r="AU78" s="11" t="n"/>
      <c r="AV78" s="45" t="inlineStr"/>
      <c r="AW78" s="10" t="n"/>
      <c r="AX78" s="11" t="n"/>
      <c r="AY78" s="45" t="inlineStr"/>
      <c r="AZ78" s="10" t="n"/>
      <c r="BA78" s="11" t="n"/>
      <c r="BB78" s="45" t="inlineStr"/>
      <c r="BC78" s="10" t="n"/>
      <c r="BD78" s="11" t="n"/>
      <c r="BE78" s="45" t="inlineStr"/>
      <c r="BF78" s="10" t="n"/>
      <c r="BG78" s="11" t="n"/>
      <c r="BH78" s="45" t="inlineStr"/>
      <c r="BI78" s="10" t="n"/>
      <c r="BJ78" s="11" t="n"/>
      <c r="BK78" s="46" t="inlineStr"/>
      <c r="BL78" s="10" t="n"/>
      <c r="BM78" s="10" t="n"/>
      <c r="BN78" s="10" t="n"/>
      <c r="BO78" s="10" t="n"/>
      <c r="BP78" s="10" t="n"/>
      <c r="BQ78" s="11" t="n"/>
    </row>
    <row r="79" ht="416" customHeight="1">
      <c r="A79" s="44" t="n">
        <v>61</v>
      </c>
      <c r="B79" s="46" t="inlineStr">
        <is>
          <t>ACSMS-TC-002-061</t>
        </is>
      </c>
      <c r="C79" s="10" t="n"/>
      <c r="D79" s="11" t="n"/>
      <c r="E79" s="46" t="inlineStr">
        <is>
          <t>不正リクエストパラメータ — BAD_REQUEST</t>
        </is>
      </c>
      <c r="F79" s="10" t="n"/>
      <c r="G79" s="10" t="n"/>
      <c r="H79" s="10" t="n"/>
      <c r="I79" s="11" t="n"/>
      <c r="J79" s="46" t="inlineStr">
        <is>
          <t>・role: CHUOKAI</t>
        </is>
      </c>
      <c r="K79" s="10" t="n"/>
      <c r="L79" s="10" t="n"/>
      <c r="M79" s="10" t="n"/>
      <c r="N79" s="10" t="n"/>
      <c r="O79" s="10" t="n"/>
      <c r="P79" s="11" t="n"/>
      <c r="Q79" s="46" t="inlineStr">
        <is>
          <r>
            <rPr>
              <rFont val="メイリオ"/>
              <b val="1"/>
              <sz val="10"/>
            </rPr>
            <t xml:space="preserve">ステップ1：
</t>
          </r>
          <r>
            <rPr>
              <rFont val="メイリオ"/>
              <sz val="10"/>
            </rPr>
            <t xml:space="preserve">DevTools で GET `/api/v1/tanka?page=abc&amp;per_page=xyz` を送信
</t>
          </r>
          <r>
            <rPr>
              <rFont val="メイリオ"/>
              <b val="1"/>
              <sz val="10"/>
            </rPr>
            <t xml:space="preserve">ステップ2：
</t>
          </r>
          <r>
            <rPr>
              <rFont val="メイリオ"/>
              <sz val="10"/>
            </rPr>
            <t xml:space="preserve">DevTools で GET `/api/v1/tanka?tanka_type=abc` を送信（数値以外）
</t>
          </r>
          <r>
            <rPr>
              <rFont val="メイリオ"/>
              <b val="1"/>
              <sz val="10"/>
            </rPr>
            <t xml:space="preserve">ステップ3：
</t>
          </r>
          <r>
            <rPr>
              <rFont val="メイリオ"/>
              <sz val="10"/>
            </rPr>
            <t>レスポンスを確認</t>
          </r>
        </is>
      </c>
      <c r="R79" s="10" t="n"/>
      <c r="S79" s="10" t="n"/>
      <c r="T79" s="10" t="n"/>
      <c r="U79" s="10" t="n"/>
      <c r="V79" s="10" t="n"/>
      <c r="W79" s="11" t="n"/>
      <c r="X79" s="46" t="inlineStr">
        <is>
          <r>
            <rPr>
              <rFont val="メイリオ"/>
              <b val="1"/>
              <sz val="10"/>
            </rPr>
            <t xml:space="preserve">ステップ1：
</t>
          </r>
          <r>
            <rPr>
              <rFont val="メイリオ"/>
              <sz val="10"/>
            </rPr>
            <t xml:space="preserve">HTTPステータスコード400が返却されること（`error_code: VALIDATION_ERROR` または `BAD_REQUEST`、メッセージ `リクエストパラメータが不正です。`）
</t>
          </r>
          <r>
            <rPr>
              <rFont val="メイリオ"/>
              <b val="1"/>
              <sz val="10"/>
            </rPr>
            <t xml:space="preserve">ステップ2：
</t>
          </r>
          <r>
            <rPr>
              <rFont val="メイリオ"/>
              <sz val="10"/>
            </rPr>
            <t xml:space="preserve">HTTPステータスコード400が返却されること（`error_code: VALIDATION_ERROR`、メッセージ `単価種別は数値で指定してください。`）
</t>
          </r>
          <r>
            <rPr>
              <rFont val="メイリオ"/>
              <b val="1"/>
              <sz val="10"/>
            </rPr>
            <t xml:space="preserve">ステップ3：
</t>
          </r>
          <r>
            <rPr>
              <rFont val="メイリオ"/>
              <sz val="10"/>
            </rPr>
            <t xml:space="preserve">レスポンスボディに `error_code` と `message` が含まれること
</t>
          </r>
          <r>
            <rPr>
              <rFont val="メイリオ"/>
              <b val="1"/>
              <sz val="10"/>
            </rPr>
            <t xml:space="preserve">補足：
</t>
          </r>
          <r>
            <rPr>
              <rFont val="メイリオ"/>
              <sz val="10"/>
            </rPr>
            <t xml:space="preserve">・不正パラメータでエラーとなること
</t>
          </r>
          <r>
            <rPr>
              <rFont val="メイリオ"/>
              <sz val="10"/>
            </rPr>
            <t>・バリデーションエラーの場合、`errors` 配列に項目別エラーが格納されること</t>
          </r>
        </is>
      </c>
      <c r="Y79" s="10" t="n"/>
      <c r="Z79" s="10" t="n"/>
      <c r="AA79" s="10" t="n"/>
      <c r="AB79" s="10" t="n"/>
      <c r="AC79" s="10" t="n"/>
      <c r="AD79" s="11" t="n"/>
      <c r="AE79" s="45" t="inlineStr">
        <is>
          <t>A</t>
        </is>
      </c>
      <c r="AF79" s="11" t="n"/>
      <c r="AG79" s="45" t="inlineStr"/>
      <c r="AH79" s="10" t="n"/>
      <c r="AI79" s="11" t="n"/>
      <c r="AJ79" s="45" t="inlineStr"/>
      <c r="AK79" s="10" t="n"/>
      <c r="AL79" s="11" t="n"/>
      <c r="AM79" s="45" t="inlineStr"/>
      <c r="AN79" s="10" t="n"/>
      <c r="AO79" s="11" t="n"/>
      <c r="AP79" s="45" t="inlineStr"/>
      <c r="AQ79" s="10" t="n"/>
      <c r="AR79" s="11" t="n"/>
      <c r="AS79" s="45" t="inlineStr"/>
      <c r="AT79" s="10" t="n"/>
      <c r="AU79" s="11" t="n"/>
      <c r="AV79" s="45" t="inlineStr"/>
      <c r="AW79" s="10" t="n"/>
      <c r="AX79" s="11" t="n"/>
      <c r="AY79" s="45" t="inlineStr"/>
      <c r="AZ79" s="10" t="n"/>
      <c r="BA79" s="11" t="n"/>
      <c r="BB79" s="45" t="inlineStr"/>
      <c r="BC79" s="10" t="n"/>
      <c r="BD79" s="11" t="n"/>
      <c r="BE79" s="45" t="inlineStr"/>
      <c r="BF79" s="10" t="n"/>
      <c r="BG79" s="11" t="n"/>
      <c r="BH79" s="45" t="inlineStr"/>
      <c r="BI79" s="10" t="n"/>
      <c r="BJ79" s="11" t="n"/>
      <c r="BK79" s="46" t="inlineStr"/>
      <c r="BL79" s="10" t="n"/>
      <c r="BM79" s="10" t="n"/>
      <c r="BN79" s="10" t="n"/>
      <c r="BO79" s="10" t="n"/>
      <c r="BP79" s="10" t="n"/>
      <c r="BQ79" s="11" t="n"/>
    </row>
    <row r="80" ht="352" customHeight="1">
      <c r="A80" s="44" t="n">
        <v>62</v>
      </c>
      <c r="B80" s="46" t="inlineStr">
        <is>
          <t>ACSMS-TC-002-062</t>
        </is>
      </c>
      <c r="C80" s="10" t="n"/>
      <c r="D80" s="11" t="n"/>
      <c r="E80" s="46" t="inlineStr">
        <is>
          <t>バリデーションエラー — VALIDATION_ERROR 配列形状</t>
        </is>
      </c>
      <c r="F80" s="10" t="n"/>
      <c r="G80" s="10" t="n"/>
      <c r="H80" s="10" t="n"/>
      <c r="I80" s="11" t="n"/>
      <c r="J80" s="46" t="inlineStr">
        <is>
          <t>・role: CHUOKAI</t>
        </is>
      </c>
      <c r="K80" s="10" t="n"/>
      <c r="L80" s="10" t="n"/>
      <c r="M80" s="10" t="n"/>
      <c r="N80" s="10" t="n"/>
      <c r="O80" s="10" t="n"/>
      <c r="P80" s="11" t="n"/>
      <c r="Q80" s="46" t="inlineStr">
        <is>
          <r>
            <rPr>
              <rFont val="メイリオ"/>
              <b val="1"/>
              <sz val="10"/>
            </rPr>
            <t xml:space="preserve">ステップ1：
</t>
          </r>
          <r>
            <rPr>
              <rFont val="メイリオ"/>
              <sz val="10"/>
            </rPr>
            <t xml:space="preserve">DevTools で GET `/api/v1/tanka?tanka_name=(101文字)&amp;tekiyo_start_date=invalid&amp;sort_by=evil` を送信（複数項目同時違反）
</t>
          </r>
          <r>
            <rPr>
              <rFont val="メイリオ"/>
              <b val="1"/>
              <sz val="10"/>
            </rPr>
            <t xml:space="preserve">ステップ2：
</t>
          </r>
          <r>
            <rPr>
              <rFont val="メイリオ"/>
              <sz val="10"/>
            </rPr>
            <t>レスポンスJSONを確認</t>
          </r>
        </is>
      </c>
      <c r="R80" s="10" t="n"/>
      <c r="S80" s="10" t="n"/>
      <c r="T80" s="10" t="n"/>
      <c r="U80" s="10" t="n"/>
      <c r="V80" s="10" t="n"/>
      <c r="W80" s="11" t="n"/>
      <c r="X80" s="46" t="inlineStr">
        <is>
          <r>
            <rPr>
              <rFont val="メイリオ"/>
              <b val="1"/>
              <sz val="10"/>
            </rPr>
            <t xml:space="preserve">ステップ1：
</t>
          </r>
          <r>
            <rPr>
              <rFont val="メイリオ"/>
              <sz val="10"/>
            </rPr>
            <t xml:space="preserve">リクエストが送信されること
</t>
          </r>
          <r>
            <rPr>
              <rFont val="メイリオ"/>
              <b val="1"/>
              <sz val="10"/>
            </rPr>
            <t xml:space="preserve">ステップ2：
</t>
          </r>
          <r>
            <rPr>
              <rFont val="メイリオ"/>
              <sz val="10"/>
            </rPr>
            <t xml:space="preserve">HTTPステータスコード400が返却されること、レスポンスボディは `{ error_code: 'VALIDATION_ERROR', message: '入力値が不正です。詳細はerrorsフィールドを確認してください。', errors: [{ field, message }, ...] }` の形式であること、`errors` 配列に `tanka_name` / `tekiyo_start_date` / `sort_by` の違反メッセージがそれぞれ含まれること
</t>
          </r>
          <r>
            <rPr>
              <rFont val="メイリオ"/>
              <b val="1"/>
              <sz val="10"/>
            </rPr>
            <t xml:space="preserve">補足：
</t>
          </r>
          <r>
            <rPr>
              <rFont val="メイリオ"/>
              <sz val="10"/>
            </rPr>
            <t xml:space="preserve">・レスポンス形式がJSONであること
</t>
          </r>
          <r>
            <rPr>
              <rFont val="メイリオ"/>
              <sz val="10"/>
            </rPr>
            <t>・バリデーション違反項目別にメッセージが返却されること</t>
          </r>
        </is>
      </c>
      <c r="Y80" s="10" t="n"/>
      <c r="Z80" s="10" t="n"/>
      <c r="AA80" s="10" t="n"/>
      <c r="AB80" s="10" t="n"/>
      <c r="AC80" s="10" t="n"/>
      <c r="AD80" s="11" t="n"/>
      <c r="AE80" s="45" t="inlineStr">
        <is>
          <t>A</t>
        </is>
      </c>
      <c r="AF80" s="11" t="n"/>
      <c r="AG80" s="45" t="inlineStr"/>
      <c r="AH80" s="10" t="n"/>
      <c r="AI80" s="11" t="n"/>
      <c r="AJ80" s="45" t="inlineStr"/>
      <c r="AK80" s="10" t="n"/>
      <c r="AL80" s="11" t="n"/>
      <c r="AM80" s="45" t="inlineStr"/>
      <c r="AN80" s="10" t="n"/>
      <c r="AO80" s="11" t="n"/>
      <c r="AP80" s="45" t="inlineStr"/>
      <c r="AQ80" s="10" t="n"/>
      <c r="AR80" s="11" t="n"/>
      <c r="AS80" s="45" t="inlineStr"/>
      <c r="AT80" s="10" t="n"/>
      <c r="AU80" s="11" t="n"/>
      <c r="AV80" s="45" t="inlineStr"/>
      <c r="AW80" s="10" t="n"/>
      <c r="AX80" s="11" t="n"/>
      <c r="AY80" s="45" t="inlineStr"/>
      <c r="AZ80" s="10" t="n"/>
      <c r="BA80" s="11" t="n"/>
      <c r="BB80" s="45" t="inlineStr"/>
      <c r="BC80" s="10" t="n"/>
      <c r="BD80" s="11" t="n"/>
      <c r="BE80" s="45" t="inlineStr"/>
      <c r="BF80" s="10" t="n"/>
      <c r="BG80" s="11" t="n"/>
      <c r="BH80" s="45" t="inlineStr"/>
      <c r="BI80" s="10" t="n"/>
      <c r="BJ80" s="11" t="n"/>
      <c r="BK80" s="46" t="inlineStr"/>
      <c r="BL80" s="10" t="n"/>
      <c r="BM80" s="10" t="n"/>
      <c r="BN80" s="10" t="n"/>
      <c r="BO80" s="10" t="n"/>
      <c r="BP80" s="10" t="n"/>
      <c r="BQ80" s="11" t="n"/>
    </row>
    <row r="81" ht="256" customHeight="1">
      <c r="A81" s="44" t="n">
        <v>63</v>
      </c>
      <c r="B81" s="46" t="inlineStr">
        <is>
          <t>ACSMS-TC-002-063</t>
        </is>
      </c>
      <c r="C81" s="10" t="n"/>
      <c r="D81" s="11" t="n"/>
      <c r="E81" s="46" t="inlineStr">
        <is>
          <t>レート制限超過 — TOO_MANY_REQUESTS</t>
        </is>
      </c>
      <c r="F81" s="10" t="n"/>
      <c r="G81" s="10" t="n"/>
      <c r="H81" s="10" t="n"/>
      <c r="I81" s="11" t="n"/>
      <c r="J81" s="46" t="inlineStr">
        <is>
          <t>・role: CHUOKAI
・レート制限：60秒間に100リクエスト以上で429</t>
        </is>
      </c>
      <c r="K81" s="10" t="n"/>
      <c r="L81" s="10" t="n"/>
      <c r="M81" s="10" t="n"/>
      <c r="N81" s="10" t="n"/>
      <c r="O81" s="10" t="n"/>
      <c r="P81" s="11" t="n"/>
      <c r="Q81" s="46" t="inlineStr">
        <is>
          <r>
            <rPr>
              <rFont val="メイリオ"/>
              <b val="1"/>
              <sz val="10"/>
            </rPr>
            <t xml:space="preserve">ステップ1：
</t>
          </r>
          <r>
            <rPr>
              <rFont val="メイリオ"/>
              <sz val="10"/>
            </rPr>
            <t xml:space="preserve">DevTools またはスクリプトで `/api/v1/tanka` に対し60秒間に100リクエストを超えるリクエストを送信
</t>
          </r>
          <r>
            <rPr>
              <rFont val="メイリオ"/>
              <b val="1"/>
              <sz val="10"/>
            </rPr>
            <t xml:space="preserve">ステップ2：
</t>
          </r>
          <r>
            <rPr>
              <rFont val="メイリオ"/>
              <sz val="10"/>
            </rPr>
            <t>レスポンスを確認</t>
          </r>
        </is>
      </c>
      <c r="R81" s="10" t="n"/>
      <c r="S81" s="10" t="n"/>
      <c r="T81" s="10" t="n"/>
      <c r="U81" s="10" t="n"/>
      <c r="V81" s="10" t="n"/>
      <c r="W81" s="11" t="n"/>
      <c r="X81" s="46" t="inlineStr">
        <is>
          <r>
            <rPr>
              <rFont val="メイリオ"/>
              <b val="1"/>
              <sz val="10"/>
            </rPr>
            <t xml:space="preserve">ステップ1：
</t>
          </r>
          <r>
            <rPr>
              <rFont val="メイリオ"/>
              <sz val="10"/>
            </rPr>
            <t xml:space="preserve">連続リクエストが送信されること
</t>
          </r>
          <r>
            <rPr>
              <rFont val="メイリオ"/>
              <b val="1"/>
              <sz val="10"/>
            </rPr>
            <t xml:space="preserve">ステップ2：
</t>
          </r>
          <r>
            <rPr>
              <rFont val="メイリオ"/>
              <sz val="10"/>
            </rPr>
            <t xml:space="preserve">HTTPステータスコード429が返却されること（`error_code: TOO_MANY_REQUESTS`、メッセージ `リクエスト回数が上限を超えました。しばらくしてから再度お試しください。`）
</t>
          </r>
          <r>
            <rPr>
              <rFont val="メイリオ"/>
              <b val="1"/>
              <sz val="10"/>
            </rPr>
            <t xml:space="preserve">補足：
</t>
          </r>
          <r>
            <rPr>
              <rFont val="メイリオ"/>
              <sz val="10"/>
            </rPr>
            <t xml:space="preserve">・レート制限が機能すること
</t>
          </r>
          <r>
            <rPr>
              <rFont val="メイリオ"/>
              <sz val="10"/>
            </rPr>
            <t>・フロントエンドはトーストでメッセージを表示すること</t>
          </r>
        </is>
      </c>
      <c r="Y81" s="10" t="n"/>
      <c r="Z81" s="10" t="n"/>
      <c r="AA81" s="10" t="n"/>
      <c r="AB81" s="10" t="n"/>
      <c r="AC81" s="10" t="n"/>
      <c r="AD81" s="11" t="n"/>
      <c r="AE81" s="45" t="inlineStr">
        <is>
          <t>A</t>
        </is>
      </c>
      <c r="AF81" s="11" t="n"/>
      <c r="AG81" s="45" t="inlineStr"/>
      <c r="AH81" s="10" t="n"/>
      <c r="AI81" s="11" t="n"/>
      <c r="AJ81" s="45" t="inlineStr"/>
      <c r="AK81" s="10" t="n"/>
      <c r="AL81" s="11" t="n"/>
      <c r="AM81" s="45" t="inlineStr"/>
      <c r="AN81" s="10" t="n"/>
      <c r="AO81" s="11" t="n"/>
      <c r="AP81" s="45" t="inlineStr"/>
      <c r="AQ81" s="10" t="n"/>
      <c r="AR81" s="11" t="n"/>
      <c r="AS81" s="45" t="inlineStr"/>
      <c r="AT81" s="10" t="n"/>
      <c r="AU81" s="11" t="n"/>
      <c r="AV81" s="45" t="inlineStr"/>
      <c r="AW81" s="10" t="n"/>
      <c r="AX81" s="11" t="n"/>
      <c r="AY81" s="45" t="inlineStr"/>
      <c r="AZ81" s="10" t="n"/>
      <c r="BA81" s="11" t="n"/>
      <c r="BB81" s="45" t="inlineStr"/>
      <c r="BC81" s="10" t="n"/>
      <c r="BD81" s="11" t="n"/>
      <c r="BE81" s="45" t="inlineStr"/>
      <c r="BF81" s="10" t="n"/>
      <c r="BG81" s="11" t="n"/>
      <c r="BH81" s="45" t="inlineStr"/>
      <c r="BI81" s="10" t="n"/>
      <c r="BJ81" s="11" t="n"/>
      <c r="BK81" s="46" t="inlineStr"/>
      <c r="BL81" s="10" t="n"/>
      <c r="BM81" s="10" t="n"/>
      <c r="BN81" s="10" t="n"/>
      <c r="BO81" s="10" t="n"/>
      <c r="BP81" s="10" t="n"/>
      <c r="BQ81" s="11" t="n"/>
    </row>
    <row r="82" ht="400" customHeight="1">
      <c r="A82" s="44" t="n">
        <v>64</v>
      </c>
      <c r="B82" s="46" t="inlineStr">
        <is>
          <t>ACSMS-TC-002-064</t>
        </is>
      </c>
      <c r="C82" s="10" t="n"/>
      <c r="D82" s="11" t="n"/>
      <c r="E82" s="46" t="inlineStr">
        <is>
          <t>サーバーエラー — INTERNAL_SERVER_ERROR</t>
        </is>
      </c>
      <c r="F82" s="10" t="n"/>
      <c r="G82" s="10" t="n"/>
      <c r="H82" s="10" t="n"/>
      <c r="I82" s="11" t="n"/>
      <c r="J82" s="46" t="inlineStr">
        <is>
          <t>・role: CHUOKAI
・サーバー側でDB接続障害を擬似的に発生させる（DB停止／ネットワーク遮断）</t>
        </is>
      </c>
      <c r="K82" s="10" t="n"/>
      <c r="L82" s="10" t="n"/>
      <c r="M82" s="10" t="n"/>
      <c r="N82" s="10" t="n"/>
      <c r="O82" s="10" t="n"/>
      <c r="P82" s="11" t="n"/>
      <c r="Q82" s="46" t="inlineStr">
        <is>
          <r>
            <rPr>
              <rFont val="メイリオ"/>
              <b val="1"/>
              <sz val="10"/>
            </rPr>
            <t xml:space="preserve">ステップ1：
</t>
          </r>
          <r>
            <rPr>
              <rFont val="メイリオ"/>
              <sz val="10"/>
            </rPr>
            <t xml:space="preserve">擬似的にDB接続障害を発生させる
</t>
          </r>
          <r>
            <rPr>
              <rFont val="メイリオ"/>
              <b val="1"/>
              <sz val="10"/>
            </rPr>
            <t xml:space="preserve">ステップ2：
</t>
          </r>
          <r>
            <rPr>
              <rFont val="メイリオ"/>
              <sz val="10"/>
            </rPr>
            <t xml:space="preserve">`/tanka` を開く、または「検索」ボタンを押下
</t>
          </r>
          <r>
            <rPr>
              <rFont val="メイリオ"/>
              <b val="1"/>
              <sz val="10"/>
            </rPr>
            <t xml:space="preserve">ステップ3：
</t>
          </r>
          <r>
            <rPr>
              <rFont val="メイリオ"/>
              <sz val="10"/>
            </rPr>
            <t>レスポンスとトースト表示を確認</t>
          </r>
        </is>
      </c>
      <c r="R82" s="10" t="n"/>
      <c r="S82" s="10" t="n"/>
      <c r="T82" s="10" t="n"/>
      <c r="U82" s="10" t="n"/>
      <c r="V82" s="10" t="n"/>
      <c r="W82" s="11" t="n"/>
      <c r="X82" s="46" t="inlineStr">
        <is>
          <r>
            <rPr>
              <rFont val="メイリオ"/>
              <b val="1"/>
              <sz val="10"/>
            </rPr>
            <t xml:space="preserve">ステップ1：
</t>
          </r>
          <r>
            <rPr>
              <rFont val="メイリオ"/>
              <sz val="10"/>
            </rPr>
            <t xml:space="preserve">DB接続障害状態となること
</t>
          </r>
          <r>
            <rPr>
              <rFont val="メイリオ"/>
              <b val="1"/>
              <sz val="10"/>
            </rPr>
            <t xml:space="preserve">ステップ2：
</t>
          </r>
          <r>
            <rPr>
              <rFont val="メイリオ"/>
              <sz val="10"/>
            </rPr>
            <t xml:space="preserve">GET `/api/v1/tanka` に対し HTTPステータスコード500が返却されること（`error_code: INTERNAL_SERVER_ERROR`、メッセージ `システムエラーが発生しました。しばらくしてから再度お試しください。`、ACSMS-MSG-002-004）
</t>
          </r>
          <r>
            <rPr>
              <rFont val="メイリオ"/>
              <b val="1"/>
              <sz val="10"/>
            </rPr>
            <t xml:space="preserve">ステップ3：
</t>
          </r>
          <r>
            <rPr>
              <rFont val="メイリオ"/>
              <sz val="10"/>
            </rPr>
            <t xml:space="preserve">トースト `システムエラーが発生しました。しばらくしてから再度お試しください。` が表示されること、一覧が空表示となること
</t>
          </r>
          <r>
            <rPr>
              <rFont val="メイリオ"/>
              <b val="1"/>
              <sz val="10"/>
            </rPr>
            <t xml:space="preserve">補足：
</t>
          </r>
          <r>
            <rPr>
              <rFont val="メイリオ"/>
              <sz val="10"/>
            </rPr>
            <t xml:space="preserve">・想定外エラーが発生しないこと
</t>
          </r>
          <r>
            <rPr>
              <rFont val="メイリオ"/>
              <sz val="10"/>
            </rPr>
            <t xml:space="preserve">・異常終了しないこと
</t>
          </r>
          <r>
            <rPr>
              <rFont val="メイリオ"/>
              <sz val="10"/>
            </rPr>
            <t>・エラーログが出力されること</t>
          </r>
        </is>
      </c>
      <c r="Y82" s="10" t="n"/>
      <c r="Z82" s="10" t="n"/>
      <c r="AA82" s="10" t="n"/>
      <c r="AB82" s="10" t="n"/>
      <c r="AC82" s="10" t="n"/>
      <c r="AD82" s="11" t="n"/>
      <c r="AE82" s="45" t="inlineStr">
        <is>
          <t>A</t>
        </is>
      </c>
      <c r="AF82" s="11" t="n"/>
      <c r="AG82" s="45" t="inlineStr"/>
      <c r="AH82" s="10" t="n"/>
      <c r="AI82" s="11" t="n"/>
      <c r="AJ82" s="45" t="inlineStr"/>
      <c r="AK82" s="10" t="n"/>
      <c r="AL82" s="11" t="n"/>
      <c r="AM82" s="45" t="inlineStr"/>
      <c r="AN82" s="10" t="n"/>
      <c r="AO82" s="11" t="n"/>
      <c r="AP82" s="45" t="inlineStr"/>
      <c r="AQ82" s="10" t="n"/>
      <c r="AR82" s="11" t="n"/>
      <c r="AS82" s="45" t="inlineStr"/>
      <c r="AT82" s="10" t="n"/>
      <c r="AU82" s="11" t="n"/>
      <c r="AV82" s="45" t="inlineStr"/>
      <c r="AW82" s="10" t="n"/>
      <c r="AX82" s="11" t="n"/>
      <c r="AY82" s="45" t="inlineStr"/>
      <c r="AZ82" s="10" t="n"/>
      <c r="BA82" s="11" t="n"/>
      <c r="BB82" s="45" t="inlineStr"/>
      <c r="BC82" s="10" t="n"/>
      <c r="BD82" s="11" t="n"/>
      <c r="BE82" s="45" t="inlineStr"/>
      <c r="BF82" s="10" t="n"/>
      <c r="BG82" s="11" t="n"/>
      <c r="BH82" s="45" t="inlineStr"/>
      <c r="BI82" s="10" t="n"/>
      <c r="BJ82" s="11" t="n"/>
      <c r="BK82" s="46" t="inlineStr"/>
      <c r="BL82" s="10" t="n"/>
      <c r="BM82" s="10" t="n"/>
      <c r="BN82" s="10" t="n"/>
      <c r="BO82" s="10" t="n"/>
      <c r="BP82" s="10" t="n"/>
      <c r="BQ82" s="11" t="n"/>
    </row>
    <row r="83" ht="368" customHeight="1">
      <c r="A83" s="44" t="n">
        <v>65</v>
      </c>
      <c r="B83" s="46" t="inlineStr">
        <is>
          <t>ACSMS-TC-002-065</t>
        </is>
      </c>
      <c r="C83" s="10" t="n"/>
      <c r="D83" s="11" t="n"/>
      <c r="E83" s="46" t="inlineStr">
        <is>
          <t>ネットワーク切断時のハンドリング</t>
        </is>
      </c>
      <c r="F83" s="10" t="n"/>
      <c r="G83" s="10" t="n"/>
      <c r="H83" s="10" t="n"/>
      <c r="I83" s="11" t="n"/>
      <c r="J83" s="46" t="inlineStr">
        <is>
          <t>・role: CHUOKAI</t>
        </is>
      </c>
      <c r="K83" s="10" t="n"/>
      <c r="L83" s="10" t="n"/>
      <c r="M83" s="10" t="n"/>
      <c r="N83" s="10" t="n"/>
      <c r="O83" s="10" t="n"/>
      <c r="P83" s="11" t="n"/>
      <c r="Q83" s="46" t="inlineStr">
        <is>
          <r>
            <rPr>
              <rFont val="メイリオ"/>
              <b val="1"/>
              <sz val="10"/>
            </rPr>
            <t xml:space="preserve">ステップ1：
</t>
          </r>
          <r>
            <rPr>
              <rFont val="メイリオ"/>
              <sz val="10"/>
            </rPr>
            <t xml:space="preserve">`/tanka` を開く
</t>
          </r>
          <r>
            <rPr>
              <rFont val="メイリオ"/>
              <b val="1"/>
              <sz val="10"/>
            </rPr>
            <t xml:space="preserve">ステップ2：
</t>
          </r>
          <r>
            <rPr>
              <rFont val="メイリオ"/>
              <sz val="10"/>
            </rPr>
            <t xml:space="preserve">DevTools の Network タブで「Offline」を選択（ネットワーク切断）
</t>
          </r>
          <r>
            <rPr>
              <rFont val="メイリオ"/>
              <b val="1"/>
              <sz val="10"/>
            </rPr>
            <t xml:space="preserve">ステップ3：
</t>
          </r>
          <r>
            <rPr>
              <rFont val="メイリオ"/>
              <sz val="10"/>
            </rPr>
            <t xml:space="preserve">「検索」ボタンを押下
</t>
          </r>
          <r>
            <rPr>
              <rFont val="メイリオ"/>
              <b val="1"/>
              <sz val="10"/>
            </rPr>
            <t xml:space="preserve">ステップ4：
</t>
          </r>
          <r>
            <rPr>
              <rFont val="メイリオ"/>
              <sz val="10"/>
            </rPr>
            <t>DevTools のネットワークタブでリクエスト状態を確認</t>
          </r>
        </is>
      </c>
      <c r="R83" s="10" t="n"/>
      <c r="S83" s="10" t="n"/>
      <c r="T83" s="10" t="n"/>
      <c r="U83" s="10" t="n"/>
      <c r="V83" s="10" t="n"/>
      <c r="W83" s="11" t="n"/>
      <c r="X83" s="46" t="inlineStr">
        <is>
          <r>
            <rPr>
              <rFont val="メイリオ"/>
              <b val="1"/>
              <sz val="10"/>
            </rPr>
            <t xml:space="preserve">ステップ1：
</t>
          </r>
          <r>
            <rPr>
              <rFont val="メイリオ"/>
              <sz val="10"/>
            </rPr>
            <t xml:space="preserve">画面が表示されること
</t>
          </r>
          <r>
            <rPr>
              <rFont val="メイリオ"/>
              <b val="1"/>
              <sz val="10"/>
            </rPr>
            <t xml:space="preserve">ステップ2：
</t>
          </r>
          <r>
            <rPr>
              <rFont val="メイリオ"/>
              <sz val="10"/>
            </rPr>
            <t xml:space="preserve">ネットワーク切断状態となること
</t>
          </r>
          <r>
            <rPr>
              <rFont val="メイリオ"/>
              <b val="1"/>
              <sz val="10"/>
            </rPr>
            <t xml:space="preserve">ステップ3：
</t>
          </r>
          <r>
            <rPr>
              <rFont val="メイリオ"/>
              <sz val="10"/>
            </rPr>
            <t xml:space="preserve">リクエストが失敗すること、トースト `ネットワークエラーが発生しました。しばらくしてから再度お試しください。` または同等のメッセージが表示されること
</t>
          </r>
          <r>
            <rPr>
              <rFont val="メイリオ"/>
              <b val="1"/>
              <sz val="10"/>
            </rPr>
            <t xml:space="preserve">ステップ4：
</t>
          </r>
          <r>
            <rPr>
              <rFont val="メイリオ"/>
              <sz val="10"/>
            </rPr>
            <t xml:space="preserve">ネットワーク再接続後に再度検索すると正常に取得できること
</t>
          </r>
          <r>
            <rPr>
              <rFont val="メイリオ"/>
              <b val="1"/>
              <sz val="10"/>
            </rPr>
            <t xml:space="preserve">補足：
</t>
          </r>
          <r>
            <rPr>
              <rFont val="メイリオ"/>
              <sz val="10"/>
            </rPr>
            <t xml:space="preserve">・想定外エラーが発生しないこと
</t>
          </r>
          <r>
            <rPr>
              <rFont val="メイリオ"/>
              <sz val="10"/>
            </rPr>
            <t>・既存機能へ影響がないこと</t>
          </r>
        </is>
      </c>
      <c r="Y83" s="10" t="n"/>
      <c r="Z83" s="10" t="n"/>
      <c r="AA83" s="10" t="n"/>
      <c r="AB83" s="10" t="n"/>
      <c r="AC83" s="10" t="n"/>
      <c r="AD83" s="11" t="n"/>
      <c r="AE83" s="45" t="inlineStr">
        <is>
          <t>A</t>
        </is>
      </c>
      <c r="AF83" s="11" t="n"/>
      <c r="AG83" s="45" t="inlineStr"/>
      <c r="AH83" s="10" t="n"/>
      <c r="AI83" s="11" t="n"/>
      <c r="AJ83" s="45" t="inlineStr"/>
      <c r="AK83" s="10" t="n"/>
      <c r="AL83" s="11" t="n"/>
      <c r="AM83" s="45" t="inlineStr"/>
      <c r="AN83" s="10" t="n"/>
      <c r="AO83" s="11" t="n"/>
      <c r="AP83" s="45" t="inlineStr"/>
      <c r="AQ83" s="10" t="n"/>
      <c r="AR83" s="11" t="n"/>
      <c r="AS83" s="45" t="inlineStr"/>
      <c r="AT83" s="10" t="n"/>
      <c r="AU83" s="11" t="n"/>
      <c r="AV83" s="45" t="inlineStr"/>
      <c r="AW83" s="10" t="n"/>
      <c r="AX83" s="11" t="n"/>
      <c r="AY83" s="45" t="inlineStr"/>
      <c r="AZ83" s="10" t="n"/>
      <c r="BA83" s="11" t="n"/>
      <c r="BB83" s="45" t="inlineStr"/>
      <c r="BC83" s="10" t="n"/>
      <c r="BD83" s="11" t="n"/>
      <c r="BE83" s="45" t="inlineStr"/>
      <c r="BF83" s="10" t="n"/>
      <c r="BG83" s="11" t="n"/>
      <c r="BH83" s="45" t="inlineStr"/>
      <c r="BI83" s="10" t="n"/>
      <c r="BJ83" s="11" t="n"/>
      <c r="BK83" s="46" t="inlineStr">
        <is>
          <t>ネットワーク切断時のトースト文言は axios インターセプタ既定値（ネットワークエラー）。仕様明文化されていないため、TBD として記録。</t>
        </is>
      </c>
      <c r="BL83" s="10" t="n"/>
      <c r="BM83" s="10" t="n"/>
      <c r="BN83" s="10" t="n"/>
      <c r="BO83" s="10" t="n"/>
      <c r="BP83" s="10" t="n"/>
      <c r="BQ83" s="11" t="n"/>
    </row>
    <row r="84" ht="336" customHeight="1">
      <c r="A84" s="44" t="n">
        <v>66</v>
      </c>
      <c r="B84" s="46" t="inlineStr">
        <is>
          <t>ACSMS-TC-002-066</t>
        </is>
      </c>
      <c r="C84" s="10" t="n"/>
      <c r="D84" s="11" t="n"/>
      <c r="E84" s="46" t="inlineStr">
        <is>
          <t>Cookie セキュリティフラグ確認</t>
        </is>
      </c>
      <c r="F84" s="10" t="n"/>
      <c r="G84" s="10" t="n"/>
      <c r="H84" s="10" t="n"/>
      <c r="I84" s="11" t="n"/>
      <c r="J84" s="46" t="inlineStr">
        <is>
          <t>・role: CHUOKAI
・本番／ステージング環境（HTTPS）</t>
        </is>
      </c>
      <c r="K84" s="10" t="n"/>
      <c r="L84" s="10" t="n"/>
      <c r="M84" s="10" t="n"/>
      <c r="N84" s="10" t="n"/>
      <c r="O84" s="10" t="n"/>
      <c r="P84" s="11" t="n"/>
      <c r="Q84" s="46" t="inlineStr">
        <is>
          <r>
            <rPr>
              <rFont val="メイリオ"/>
              <b val="1"/>
              <sz val="10"/>
            </rPr>
            <t xml:space="preserve">ステップ1：
</t>
          </r>
          <r>
            <rPr>
              <rFont val="メイリオ"/>
              <sz val="10"/>
            </rPr>
            <t xml:space="preserve">`/tanka` にアクセス
</t>
          </r>
          <r>
            <rPr>
              <rFont val="メイリオ"/>
              <b val="1"/>
              <sz val="10"/>
            </rPr>
            <t xml:space="preserve">ステップ2：
</t>
          </r>
          <r>
            <rPr>
              <rFont val="メイリオ"/>
              <sz val="10"/>
            </rPr>
            <t xml:space="preserve">DevTools → Application → Cookies → `session_id` Cookieを確認
</t>
          </r>
          <r>
            <rPr>
              <rFont val="メイリオ"/>
              <b val="1"/>
              <sz val="10"/>
            </rPr>
            <t xml:space="preserve">ステップ3：
</t>
          </r>
          <r>
            <rPr>
              <rFont val="メイリオ"/>
              <sz val="10"/>
            </rPr>
            <t>JavaScript コンソールで `document.cookie` を実行</t>
          </r>
        </is>
      </c>
      <c r="R84" s="10" t="n"/>
      <c r="S84" s="10" t="n"/>
      <c r="T84" s="10" t="n"/>
      <c r="U84" s="10" t="n"/>
      <c r="V84" s="10" t="n"/>
      <c r="W84" s="11" t="n"/>
      <c r="X84" s="46" t="inlineStr">
        <is>
          <r>
            <rPr>
              <rFont val="メイリオ"/>
              <b val="1"/>
              <sz val="10"/>
            </rPr>
            <t xml:space="preserve">ステップ1：
</t>
          </r>
          <r>
            <rPr>
              <rFont val="メイリオ"/>
              <sz val="10"/>
            </rPr>
            <t xml:space="preserve">画面が表示されること
</t>
          </r>
          <r>
            <rPr>
              <rFont val="メイリオ"/>
              <b val="1"/>
              <sz val="10"/>
            </rPr>
            <t xml:space="preserve">ステップ2：
</t>
          </r>
          <r>
            <rPr>
              <rFont val="メイリオ"/>
              <sz val="10"/>
            </rPr>
            <t xml:space="preserve">`session_id` Cookieに `HttpOnly` / `Secure` / `SameSite=Strict` / `Path=/` / `Max-Age=86400` がすべて設定されていること
</t>
          </r>
          <r>
            <rPr>
              <rFont val="メイリオ"/>
              <b val="1"/>
              <sz val="10"/>
            </rPr>
            <t xml:space="preserve">ステップ3：
</t>
          </r>
          <r>
            <rPr>
              <rFont val="メイリオ"/>
              <sz val="10"/>
            </rPr>
            <t xml:space="preserve">`document.cookie` に `session_id` が表示されないこと（HttpOnly のため）
</t>
          </r>
          <r>
            <rPr>
              <rFont val="メイリオ"/>
              <b val="1"/>
              <sz val="10"/>
            </rPr>
            <t xml:space="preserve">補足：
</t>
          </r>
          <r>
            <rPr>
              <rFont val="メイリオ"/>
              <sz val="10"/>
            </rPr>
            <t xml:space="preserve">・認証トークンが必須であること
</t>
          </r>
          <r>
            <rPr>
              <rFont val="メイリオ"/>
              <sz val="10"/>
            </rPr>
            <t>・セッションID漏洩を防止する標準フラグが設定されていること</t>
          </r>
        </is>
      </c>
      <c r="Y84" s="10" t="n"/>
      <c r="Z84" s="10" t="n"/>
      <c r="AA84" s="10" t="n"/>
      <c r="AB84" s="10" t="n"/>
      <c r="AC84" s="10" t="n"/>
      <c r="AD84" s="11" t="n"/>
      <c r="AE84" s="45" t="inlineStr">
        <is>
          <t>N</t>
        </is>
      </c>
      <c r="AF84" s="11" t="n"/>
      <c r="AG84" s="45" t="inlineStr"/>
      <c r="AH84" s="10" t="n"/>
      <c r="AI84" s="11" t="n"/>
      <c r="AJ84" s="45" t="inlineStr"/>
      <c r="AK84" s="10" t="n"/>
      <c r="AL84" s="11" t="n"/>
      <c r="AM84" s="45" t="inlineStr"/>
      <c r="AN84" s="10" t="n"/>
      <c r="AO84" s="11" t="n"/>
      <c r="AP84" s="45" t="inlineStr"/>
      <c r="AQ84" s="10" t="n"/>
      <c r="AR84" s="11" t="n"/>
      <c r="AS84" s="45" t="inlineStr"/>
      <c r="AT84" s="10" t="n"/>
      <c r="AU84" s="11" t="n"/>
      <c r="AV84" s="45" t="inlineStr"/>
      <c r="AW84" s="10" t="n"/>
      <c r="AX84" s="11" t="n"/>
      <c r="AY84" s="45" t="inlineStr"/>
      <c r="AZ84" s="10" t="n"/>
      <c r="BA84" s="11" t="n"/>
      <c r="BB84" s="45" t="inlineStr"/>
      <c r="BC84" s="10" t="n"/>
      <c r="BD84" s="11" t="n"/>
      <c r="BE84" s="45" t="inlineStr"/>
      <c r="BF84" s="10" t="n"/>
      <c r="BG84" s="11" t="n"/>
      <c r="BH84" s="45" t="inlineStr"/>
      <c r="BI84" s="10" t="n"/>
      <c r="BJ84" s="11" t="n"/>
      <c r="BK84" s="46" t="inlineStr"/>
      <c r="BL84" s="10" t="n"/>
      <c r="BM84" s="10" t="n"/>
      <c r="BN84" s="10" t="n"/>
      <c r="BO84" s="10" t="n"/>
      <c r="BP84" s="10" t="n"/>
      <c r="BQ84" s="11" t="n"/>
    </row>
    <row r="85" ht="304" customHeight="1">
      <c r="A85" s="44" t="n">
        <v>67</v>
      </c>
      <c r="B85" s="46" t="inlineStr">
        <is>
          <t>ACSMS-TC-002-067</t>
        </is>
      </c>
      <c r="C85" s="10" t="n"/>
      <c r="D85" s="11" t="n"/>
      <c r="E85" s="46" t="inlineStr">
        <is>
          <t>認証なしでのAPI直接呼び出し</t>
        </is>
      </c>
      <c r="F85" s="10" t="n"/>
      <c r="G85" s="10" t="n"/>
      <c r="H85" s="10" t="n"/>
      <c r="I85" s="11" t="n"/>
      <c r="J85" s="46" t="inlineStr">
        <is>
          <t>・未ログイン状態（Cookie 削除済）</t>
        </is>
      </c>
      <c r="K85" s="10" t="n"/>
      <c r="L85" s="10" t="n"/>
      <c r="M85" s="10" t="n"/>
      <c r="N85" s="10" t="n"/>
      <c r="O85" s="10" t="n"/>
      <c r="P85" s="11" t="n"/>
      <c r="Q85" s="46" t="inlineStr">
        <is>
          <r>
            <rPr>
              <rFont val="メイリオ"/>
              <b val="1"/>
              <sz val="10"/>
            </rPr>
            <t xml:space="preserve">ステップ1：
</t>
          </r>
          <r>
            <rPr>
              <rFont val="メイリオ"/>
              <sz val="10"/>
            </rPr>
            <t xml:space="preserve">ブラウザの全Cookieを削除
</t>
          </r>
          <r>
            <rPr>
              <rFont val="メイリオ"/>
              <b val="1"/>
              <sz val="10"/>
            </rPr>
            <t xml:space="preserve">ステップ2：
</t>
          </r>
          <r>
            <rPr>
              <rFont val="メイリオ"/>
              <sz val="10"/>
            </rPr>
            <t xml:space="preserve">DevTools またはcurlで GET `/api/v1/tanka` を直接送信
</t>
          </r>
          <r>
            <rPr>
              <rFont val="メイリオ"/>
              <b val="1"/>
              <sz val="10"/>
            </rPr>
            <t xml:space="preserve">ステップ3：
</t>
          </r>
          <r>
            <rPr>
              <rFont val="メイリオ"/>
              <sz val="10"/>
            </rPr>
            <t>DELETE `/api/v1/tanka/1` を直接送信</t>
          </r>
        </is>
      </c>
      <c r="R85" s="10" t="n"/>
      <c r="S85" s="10" t="n"/>
      <c r="T85" s="10" t="n"/>
      <c r="U85" s="10" t="n"/>
      <c r="V85" s="10" t="n"/>
      <c r="W85" s="11" t="n"/>
      <c r="X85" s="46" t="inlineStr">
        <is>
          <r>
            <rPr>
              <rFont val="メイリオ"/>
              <b val="1"/>
              <sz val="10"/>
            </rPr>
            <t xml:space="preserve">ステップ1：
</t>
          </r>
          <r>
            <rPr>
              <rFont val="メイリオ"/>
              <sz val="10"/>
            </rPr>
            <t xml:space="preserve">Cookieが削除されること
</t>
          </r>
          <r>
            <rPr>
              <rFont val="メイリオ"/>
              <b val="1"/>
              <sz val="10"/>
            </rPr>
            <t xml:space="preserve">ステップ2：
</t>
          </r>
          <r>
            <rPr>
              <rFont val="メイリオ"/>
              <sz val="10"/>
            </rPr>
            <t xml:space="preserve">HTTPステータスコード401が返却されること（`error_code: UNAUTHORIZED`、メッセージ `セッションが切れました。再度ログインしてください。`）
</t>
          </r>
          <r>
            <rPr>
              <rFont val="メイリオ"/>
              <b val="1"/>
              <sz val="10"/>
            </rPr>
            <t xml:space="preserve">ステップ3：
</t>
          </r>
          <r>
            <rPr>
              <rFont val="メイリオ"/>
              <sz val="10"/>
            </rPr>
            <t xml:space="preserve">HTTPステータスコード401が返却されること（同上）
</t>
          </r>
          <r>
            <rPr>
              <rFont val="メイリオ"/>
              <b val="1"/>
              <sz val="10"/>
            </rPr>
            <t xml:space="preserve">補足：
</t>
          </r>
          <r>
            <rPr>
              <rFont val="メイリオ"/>
              <sz val="10"/>
            </rPr>
            <t xml:space="preserve">・URL直接アクセス時、エラーとなること
</t>
          </r>
          <r>
            <rPr>
              <rFont val="メイリオ"/>
              <sz val="10"/>
            </rPr>
            <t>・認証トークンが必須であること</t>
          </r>
        </is>
      </c>
      <c r="Y85" s="10" t="n"/>
      <c r="Z85" s="10" t="n"/>
      <c r="AA85" s="10" t="n"/>
      <c r="AB85" s="10" t="n"/>
      <c r="AC85" s="10" t="n"/>
      <c r="AD85" s="11" t="n"/>
      <c r="AE85" s="45" t="inlineStr">
        <is>
          <t>A</t>
        </is>
      </c>
      <c r="AF85" s="11" t="n"/>
      <c r="AG85" s="45" t="inlineStr"/>
      <c r="AH85" s="10" t="n"/>
      <c r="AI85" s="11" t="n"/>
      <c r="AJ85" s="45" t="inlineStr"/>
      <c r="AK85" s="10" t="n"/>
      <c r="AL85" s="11" t="n"/>
      <c r="AM85" s="45" t="inlineStr"/>
      <c r="AN85" s="10" t="n"/>
      <c r="AO85" s="11" t="n"/>
      <c r="AP85" s="45" t="inlineStr"/>
      <c r="AQ85" s="10" t="n"/>
      <c r="AR85" s="11" t="n"/>
      <c r="AS85" s="45" t="inlineStr"/>
      <c r="AT85" s="10" t="n"/>
      <c r="AU85" s="11" t="n"/>
      <c r="AV85" s="45" t="inlineStr"/>
      <c r="AW85" s="10" t="n"/>
      <c r="AX85" s="11" t="n"/>
      <c r="AY85" s="45" t="inlineStr"/>
      <c r="AZ85" s="10" t="n"/>
      <c r="BA85" s="11" t="n"/>
      <c r="BB85" s="45" t="inlineStr"/>
      <c r="BC85" s="10" t="n"/>
      <c r="BD85" s="11" t="n"/>
      <c r="BE85" s="45" t="inlineStr"/>
      <c r="BF85" s="10" t="n"/>
      <c r="BG85" s="11" t="n"/>
      <c r="BH85" s="45" t="inlineStr"/>
      <c r="BI85" s="10" t="n"/>
      <c r="BJ85" s="11" t="n"/>
      <c r="BK85" s="46" t="inlineStr"/>
      <c r="BL85" s="10" t="n"/>
      <c r="BM85" s="10" t="n"/>
      <c r="BN85" s="10" t="n"/>
      <c r="BO85" s="10" t="n"/>
      <c r="BP85" s="10" t="n"/>
      <c r="BQ85" s="11" t="n"/>
    </row>
    <row r="86" ht="400" customHeight="1">
      <c r="A86" s="44" t="n">
        <v>68</v>
      </c>
      <c r="B86" s="46" t="inlineStr">
        <is>
          <t>ACSMS-TC-002-068</t>
        </is>
      </c>
      <c r="C86" s="10" t="n"/>
      <c r="D86" s="11" t="n"/>
      <c r="E86" s="46" t="inlineStr">
        <is>
          <t>DataScope違反 — 他JAレコードへの削除試行</t>
        </is>
      </c>
      <c r="F86" s="10" t="n"/>
      <c r="G86" s="10" t="n"/>
      <c r="H86" s="10" t="n"/>
      <c r="I86" s="11" t="n"/>
      <c r="J86" s="46" t="inlineStr">
        <is>
          <t>・role: JA_HONTEN（ja-001 所属）
・他JA（ja-002）に単価レコード（tanka_id = 100）が存在</t>
        </is>
      </c>
      <c r="K86" s="10" t="n"/>
      <c r="L86" s="10" t="n"/>
      <c r="M86" s="10" t="n"/>
      <c r="N86" s="10" t="n"/>
      <c r="O86" s="10" t="n"/>
      <c r="P86" s="11" t="n"/>
      <c r="Q86" s="46" t="inlineStr">
        <is>
          <r>
            <rPr>
              <rFont val="メイリオ"/>
              <b val="1"/>
              <sz val="10"/>
            </rPr>
            <t xml:space="preserve">ステップ1：
</t>
          </r>
          <r>
            <rPr>
              <rFont val="メイリオ"/>
              <sz val="10"/>
            </rPr>
            <t xml:space="preserve">ja-001 所属の JA_HONTEN でログイン
</t>
          </r>
          <r>
            <rPr>
              <rFont val="メイリオ"/>
              <b val="1"/>
              <sz val="10"/>
            </rPr>
            <t xml:space="preserve">ステップ2：
</t>
          </r>
          <r>
            <rPr>
              <rFont val="メイリオ"/>
              <sz val="10"/>
            </rPr>
            <t xml:space="preserve">DevTools で DELETE `/api/v1/tanka/100`（他JAのID）を直接送信
</t>
          </r>
          <r>
            <rPr>
              <rFont val="メイリオ"/>
              <b val="1"/>
              <sz val="10"/>
            </rPr>
            <t xml:space="preserve">ステップ3：
</t>
          </r>
          <r>
            <rPr>
              <rFont val="メイリオ"/>
              <sz val="10"/>
            </rPr>
            <t>DevTools で GET `/api/v1/tanka` を送信し、レスポンスデータを確認</t>
          </r>
        </is>
      </c>
      <c r="R86" s="10" t="n"/>
      <c r="S86" s="10" t="n"/>
      <c r="T86" s="10" t="n"/>
      <c r="U86" s="10" t="n"/>
      <c r="V86" s="10" t="n"/>
      <c r="W86" s="11" t="n"/>
      <c r="X86" s="46" t="inlineStr">
        <is>
          <r>
            <rPr>
              <rFont val="メイリオ"/>
              <b val="1"/>
              <sz val="10"/>
            </rPr>
            <t xml:space="preserve">ステップ1：
</t>
          </r>
          <r>
            <rPr>
              <rFont val="メイリオ"/>
              <sz val="10"/>
            </rPr>
            <t xml:space="preserve">ログイン成功すること
</t>
          </r>
          <r>
            <rPr>
              <rFont val="メイリオ"/>
              <b val="1"/>
              <sz val="10"/>
            </rPr>
            <t xml:space="preserve">ステップ2：
</t>
          </r>
          <r>
            <rPr>
              <rFont val="メイリオ"/>
              <sz val="10"/>
            </rPr>
            <t xml:space="preserve">HTTPステータスコード404が返却されること（`error_code: NOT_FOUND`、メッセージ `指定された単価が見つかりません。`、存在隠蔽のため403ではなく404を返却）
</t>
          </r>
          <r>
            <rPr>
              <rFont val="メイリオ"/>
              <b val="1"/>
              <sz val="10"/>
            </rPr>
            <t xml:space="preserve">ステップ3：
</t>
          </r>
          <r>
            <rPr>
              <rFont val="メイリオ"/>
              <sz val="10"/>
            </rPr>
            <t xml:space="preserve">レスポンスの `data` 配列には ja_id = 1 のレコードのみ含まれること、tanka_id = 100 のレコードは含まれないこと
</t>
          </r>
          <r>
            <rPr>
              <rFont val="メイリオ"/>
              <b val="1"/>
              <sz val="10"/>
            </rPr>
            <t xml:space="preserve">補足：
</t>
          </r>
          <r>
            <rPr>
              <rFont val="メイリオ"/>
              <sz val="10"/>
            </rPr>
            <t xml:space="preserve">・他JAのデータは存在しないものとして扱われること
</t>
          </r>
          <r>
            <rPr>
              <rFont val="メイリオ"/>
              <sz val="10"/>
            </rPr>
            <t xml:space="preserve">・URL直接アクセス時、エラーとなること
</t>
          </r>
          <r>
            <rPr>
              <rFont val="メイリオ"/>
              <sz val="10"/>
            </rPr>
            <t>・データスコープ制御により他JAのレコードはGETでも返却されないこと</t>
          </r>
        </is>
      </c>
      <c r="Y86" s="10" t="n"/>
      <c r="Z86" s="10" t="n"/>
      <c r="AA86" s="10" t="n"/>
      <c r="AB86" s="10" t="n"/>
      <c r="AC86" s="10" t="n"/>
      <c r="AD86" s="11" t="n"/>
      <c r="AE86" s="45" t="inlineStr">
        <is>
          <t>A</t>
        </is>
      </c>
      <c r="AF86" s="11" t="n"/>
      <c r="AG86" s="45" t="inlineStr"/>
      <c r="AH86" s="10" t="n"/>
      <c r="AI86" s="11" t="n"/>
      <c r="AJ86" s="45" t="inlineStr"/>
      <c r="AK86" s="10" t="n"/>
      <c r="AL86" s="11" t="n"/>
      <c r="AM86" s="45" t="inlineStr"/>
      <c r="AN86" s="10" t="n"/>
      <c r="AO86" s="11" t="n"/>
      <c r="AP86" s="45" t="inlineStr"/>
      <c r="AQ86" s="10" t="n"/>
      <c r="AR86" s="11" t="n"/>
      <c r="AS86" s="45" t="inlineStr"/>
      <c r="AT86" s="10" t="n"/>
      <c r="AU86" s="11" t="n"/>
      <c r="AV86" s="45" t="inlineStr"/>
      <c r="AW86" s="10" t="n"/>
      <c r="AX86" s="11" t="n"/>
      <c r="AY86" s="45" t="inlineStr"/>
      <c r="AZ86" s="10" t="n"/>
      <c r="BA86" s="11" t="n"/>
      <c r="BB86" s="45" t="inlineStr"/>
      <c r="BC86" s="10" t="n"/>
      <c r="BD86" s="11" t="n"/>
      <c r="BE86" s="45" t="inlineStr"/>
      <c r="BF86" s="10" t="n"/>
      <c r="BG86" s="11" t="n"/>
      <c r="BH86" s="45" t="inlineStr"/>
      <c r="BI86" s="10" t="n"/>
      <c r="BJ86" s="11" t="n"/>
      <c r="BK86" s="46" t="inlineStr"/>
      <c r="BL86" s="10" t="n"/>
      <c r="BM86" s="10" t="n"/>
      <c r="BN86" s="10" t="n"/>
      <c r="BO86" s="10" t="n"/>
      <c r="BP86" s="10" t="n"/>
      <c r="BQ86" s="11" t="n"/>
    </row>
    <row r="87" ht="336" customHeight="1">
      <c r="A87" s="44" t="n">
        <v>69</v>
      </c>
      <c r="B87" s="46" t="inlineStr">
        <is>
          <t>ACSMS-TC-002-069</t>
        </is>
      </c>
      <c r="C87" s="10" t="n"/>
      <c r="D87" s="11" t="n"/>
      <c r="E87" s="46" t="inlineStr">
        <is>
          <t>削除済単価の非表示</t>
        </is>
      </c>
      <c r="F87" s="10" t="n"/>
      <c r="G87" s="10" t="n"/>
      <c r="H87" s="10" t="n"/>
      <c r="I87" s="11" t="n"/>
      <c r="J87" s="46" t="inlineStr">
        <is>
          <t>・role: CHUOKAI
・1件以上の単価が論理削除済（`deleted_at IS NOT NULL`）</t>
        </is>
      </c>
      <c r="K87" s="10" t="n"/>
      <c r="L87" s="10" t="n"/>
      <c r="M87" s="10" t="n"/>
      <c r="N87" s="10" t="n"/>
      <c r="O87" s="10" t="n"/>
      <c r="P87" s="11" t="n"/>
      <c r="Q87" s="46" t="inlineStr">
        <is>
          <r>
            <rPr>
              <rFont val="メイリオ"/>
              <b val="1"/>
              <sz val="10"/>
            </rPr>
            <t xml:space="preserve">ステップ1：
</t>
          </r>
          <r>
            <rPr>
              <rFont val="メイリオ"/>
              <sz val="10"/>
            </rPr>
            <t xml:space="preserve">`/tanka` を開く
</t>
          </r>
          <r>
            <rPr>
              <rFont val="メイリオ"/>
              <b val="1"/>
              <sz val="10"/>
            </rPr>
            <t xml:space="preserve">ステップ2：
</t>
          </r>
          <r>
            <rPr>
              <rFont val="メイリオ"/>
              <sz val="10"/>
            </rPr>
            <t xml:space="preserve">削除済単価の単価名で検索
</t>
          </r>
          <r>
            <rPr>
              <rFont val="メイリオ"/>
              <b val="1"/>
              <sz val="10"/>
            </rPr>
            <t xml:space="preserve">ステップ3：
</t>
          </r>
          <r>
            <rPr>
              <rFont val="メイリオ"/>
              <sz val="10"/>
            </rPr>
            <t>DB確認：`SELECT tanka_id, tanka_code, deleted_at FROM m_tanka WHERE deleted_at IS NOT NULL`</t>
          </r>
        </is>
      </c>
      <c r="R87" s="10" t="n"/>
      <c r="S87" s="10" t="n"/>
      <c r="T87" s="10" t="n"/>
      <c r="U87" s="10" t="n"/>
      <c r="V87" s="10" t="n"/>
      <c r="W87" s="11" t="n"/>
      <c r="X87" s="46" t="inlineStr">
        <is>
          <r>
            <rPr>
              <rFont val="メイリオ"/>
              <b val="1"/>
              <sz val="10"/>
            </rPr>
            <t xml:space="preserve">ステップ1：
</t>
          </r>
          <r>
            <rPr>
              <rFont val="メイリオ"/>
              <sz val="10"/>
            </rPr>
            <t xml:space="preserve">一覧に削除済データが表示されないこと
</t>
          </r>
          <r>
            <rPr>
              <rFont val="メイリオ"/>
              <b val="1"/>
              <sz val="10"/>
            </rPr>
            <t xml:space="preserve">ステップ2：
</t>
          </r>
          <r>
            <rPr>
              <rFont val="メイリオ"/>
              <sz val="10"/>
            </rPr>
            <t xml:space="preserve">削除済単価の単価名を入力しても検索結果0件と表示されること（`検索結果が見つかりませんでした。`）
</t>
          </r>
          <r>
            <rPr>
              <rFont val="メイリオ"/>
              <b val="1"/>
              <sz val="10"/>
            </rPr>
            <t xml:space="preserve">ステップ3：
</t>
          </r>
          <r>
            <rPr>
              <rFont val="メイリオ"/>
              <sz val="10"/>
            </rPr>
            <t xml:space="preserve">DBには削除済レコードが残存していること（物理削除ではなく論理削除）
</t>
          </r>
          <r>
            <rPr>
              <rFont val="メイリオ"/>
              <b val="1"/>
              <sz val="10"/>
            </rPr>
            <t xml:space="preserve">補足：
</t>
          </r>
          <r>
            <rPr>
              <rFont val="メイリオ"/>
              <sz val="10"/>
            </rPr>
            <t xml:space="preserve">・削除済データが表示されないこと
</t>
          </r>
          <r>
            <rPr>
              <rFont val="メイリオ"/>
              <sz val="10"/>
            </rPr>
            <t>・BEのSQLに `WHERE deleted_at IS NULL` 条件が適用されること</t>
          </r>
        </is>
      </c>
      <c r="Y87" s="10" t="n"/>
      <c r="Z87" s="10" t="n"/>
      <c r="AA87" s="10" t="n"/>
      <c r="AB87" s="10" t="n"/>
      <c r="AC87" s="10" t="n"/>
      <c r="AD87" s="11" t="n"/>
      <c r="AE87" s="45" t="inlineStr">
        <is>
          <t>N</t>
        </is>
      </c>
      <c r="AF87" s="11" t="n"/>
      <c r="AG87" s="45" t="inlineStr"/>
      <c r="AH87" s="10" t="n"/>
      <c r="AI87" s="11" t="n"/>
      <c r="AJ87" s="45" t="inlineStr"/>
      <c r="AK87" s="10" t="n"/>
      <c r="AL87" s="11" t="n"/>
      <c r="AM87" s="45" t="inlineStr"/>
      <c r="AN87" s="10" t="n"/>
      <c r="AO87" s="11" t="n"/>
      <c r="AP87" s="45" t="inlineStr"/>
      <c r="AQ87" s="10" t="n"/>
      <c r="AR87" s="11" t="n"/>
      <c r="AS87" s="45" t="inlineStr"/>
      <c r="AT87" s="10" t="n"/>
      <c r="AU87" s="11" t="n"/>
      <c r="AV87" s="45" t="inlineStr"/>
      <c r="AW87" s="10" t="n"/>
      <c r="AX87" s="11" t="n"/>
      <c r="AY87" s="45" t="inlineStr"/>
      <c r="AZ87" s="10" t="n"/>
      <c r="BA87" s="11" t="n"/>
      <c r="BB87" s="45" t="inlineStr"/>
      <c r="BC87" s="10" t="n"/>
      <c r="BD87" s="11" t="n"/>
      <c r="BE87" s="45" t="inlineStr"/>
      <c r="BF87" s="10" t="n"/>
      <c r="BG87" s="11" t="n"/>
      <c r="BH87" s="45" t="inlineStr"/>
      <c r="BI87" s="10" t="n"/>
      <c r="BJ87" s="11" t="n"/>
      <c r="BK87" s="46" t="inlineStr"/>
      <c r="BL87" s="10" t="n"/>
      <c r="BM87" s="10" t="n"/>
      <c r="BN87" s="10" t="n"/>
      <c r="BO87" s="10" t="n"/>
      <c r="BP87" s="10" t="n"/>
      <c r="BQ87" s="11" t="n"/>
    </row>
    <row r="88" ht="256" customHeight="1">
      <c r="A88" s="44" t="n">
        <v>70</v>
      </c>
      <c r="B88" s="46" t="inlineStr">
        <is>
          <t>ACSMS-TC-002-070</t>
        </is>
      </c>
      <c r="C88" s="10" t="n"/>
      <c r="D88" s="11" t="n"/>
      <c r="E88" s="46" t="inlineStr">
        <is>
          <t>大量データ表示性能</t>
        </is>
      </c>
      <c r="F88" s="10" t="n"/>
      <c r="G88" s="10" t="n"/>
      <c r="H88" s="10" t="n"/>
      <c r="I88" s="11" t="n"/>
      <c r="J88" s="46" t="inlineStr">
        <is>
          <t>・role: CHUOKAI
・自中央会の単価データが5000件以上登録済</t>
        </is>
      </c>
      <c r="K88" s="10" t="n"/>
      <c r="L88" s="10" t="n"/>
      <c r="M88" s="10" t="n"/>
      <c r="N88" s="10" t="n"/>
      <c r="O88" s="10" t="n"/>
      <c r="P88" s="11" t="n"/>
      <c r="Q88" s="46" t="inlineStr">
        <is>
          <r>
            <rPr>
              <rFont val="メイリオ"/>
              <b val="1"/>
              <sz val="10"/>
            </rPr>
            <t xml:space="preserve">ステップ1：
</t>
          </r>
          <r>
            <rPr>
              <rFont val="メイリオ"/>
              <sz val="10"/>
            </rPr>
            <t xml:space="preserve">`/tanka` を開く
</t>
          </r>
          <r>
            <rPr>
              <rFont val="メイリオ"/>
              <b val="1"/>
              <sz val="10"/>
            </rPr>
            <t xml:space="preserve">ステップ2：
</t>
          </r>
          <r>
            <rPr>
              <rFont val="メイリオ"/>
              <sz val="10"/>
            </rPr>
            <t xml:space="preserve">DevTools の Network タブで GET `/api/v1/tanka` のレスポンス時間を計測
</t>
          </r>
          <r>
            <rPr>
              <rFont val="メイリオ"/>
              <b val="1"/>
              <sz val="10"/>
            </rPr>
            <t xml:space="preserve">ステップ3：
</t>
          </r>
          <r>
            <rPr>
              <rFont val="メイリオ"/>
              <sz val="10"/>
            </rPr>
            <t>ページネーションで最終ページに遷移</t>
          </r>
        </is>
      </c>
      <c r="R88" s="10" t="n"/>
      <c r="S88" s="10" t="n"/>
      <c r="T88" s="10" t="n"/>
      <c r="U88" s="10" t="n"/>
      <c r="V88" s="10" t="n"/>
      <c r="W88" s="11" t="n"/>
      <c r="X88" s="46" t="inlineStr">
        <is>
          <r>
            <rPr>
              <rFont val="メイリオ"/>
              <b val="1"/>
              <sz val="10"/>
            </rPr>
            <t xml:space="preserve">ステップ1：
</t>
          </r>
          <r>
            <rPr>
              <rFont val="メイリオ"/>
              <sz val="10"/>
            </rPr>
            <t xml:space="preserve">単価マスタ明細検索画面が表示されること
</t>
          </r>
          <r>
            <rPr>
              <rFont val="メイリオ"/>
              <b val="1"/>
              <sz val="10"/>
            </rPr>
            <t xml:space="preserve">ステップ2：
</t>
          </r>
          <r>
            <rPr>
              <rFont val="メイリオ"/>
              <sz val="10"/>
            </rPr>
            <t xml:space="preserve">レスポンス時間が3秒以内であること、`meta.total: 5000` 以上であること
</t>
          </r>
          <r>
            <rPr>
              <rFont val="メイリオ"/>
              <b val="1"/>
              <sz val="10"/>
            </rPr>
            <t xml:space="preserve">ステップ3：
</t>
          </r>
          <r>
            <rPr>
              <rFont val="メイリオ"/>
              <sz val="10"/>
            </rPr>
            <t xml:space="preserve">最終ページが3秒以内で表示されること
</t>
          </r>
          <r>
            <rPr>
              <rFont val="メイリオ"/>
              <b val="1"/>
              <sz val="10"/>
            </rPr>
            <t xml:space="preserve">補足：
</t>
          </r>
          <r>
            <rPr>
              <rFont val="メイリオ"/>
              <sz val="10"/>
            </rPr>
            <t xml:space="preserve">・タイムアウトしないこと
</t>
          </r>
          <r>
            <rPr>
              <rFont val="メイリオ"/>
              <sz val="10"/>
            </rPr>
            <t>・データ整合性が保たれること</t>
          </r>
        </is>
      </c>
      <c r="Y88" s="10" t="n"/>
      <c r="Z88" s="10" t="n"/>
      <c r="AA88" s="10" t="n"/>
      <c r="AB88" s="10" t="n"/>
      <c r="AC88" s="10" t="n"/>
      <c r="AD88" s="11" t="n"/>
      <c r="AE88" s="45" t="inlineStr">
        <is>
          <t>N</t>
        </is>
      </c>
      <c r="AF88" s="11" t="n"/>
      <c r="AG88" s="45" t="inlineStr"/>
      <c r="AH88" s="10" t="n"/>
      <c r="AI88" s="11" t="n"/>
      <c r="AJ88" s="45" t="inlineStr"/>
      <c r="AK88" s="10" t="n"/>
      <c r="AL88" s="11" t="n"/>
      <c r="AM88" s="45" t="inlineStr"/>
      <c r="AN88" s="10" t="n"/>
      <c r="AO88" s="11" t="n"/>
      <c r="AP88" s="45" t="inlineStr"/>
      <c r="AQ88" s="10" t="n"/>
      <c r="AR88" s="11" t="n"/>
      <c r="AS88" s="45" t="inlineStr"/>
      <c r="AT88" s="10" t="n"/>
      <c r="AU88" s="11" t="n"/>
      <c r="AV88" s="45" t="inlineStr"/>
      <c r="AW88" s="10" t="n"/>
      <c r="AX88" s="11" t="n"/>
      <c r="AY88" s="45" t="inlineStr"/>
      <c r="AZ88" s="10" t="n"/>
      <c r="BA88" s="11" t="n"/>
      <c r="BB88" s="45" t="inlineStr"/>
      <c r="BC88" s="10" t="n"/>
      <c r="BD88" s="11" t="n"/>
      <c r="BE88" s="45" t="inlineStr"/>
      <c r="BF88" s="10" t="n"/>
      <c r="BG88" s="11" t="n"/>
      <c r="BH88" s="45" t="inlineStr"/>
      <c r="BI88" s="10" t="n"/>
      <c r="BJ88" s="11" t="n"/>
      <c r="BK88" s="46" t="inlineStr"/>
      <c r="BL88" s="10" t="n"/>
      <c r="BM88" s="10" t="n"/>
      <c r="BN88" s="10" t="n"/>
      <c r="BO88" s="10" t="n"/>
      <c r="BP88" s="10" t="n"/>
      <c r="BQ88" s="11" t="n"/>
    </row>
  </sheetData>
  <mergeCells count="1263">
    <mergeCell ref="J31:P31"/>
    <mergeCell ref="Q27:W27"/>
    <mergeCell ref="BH33:BJ33"/>
    <mergeCell ref="J62:P62"/>
    <mergeCell ref="AJ83:AL83"/>
    <mergeCell ref="J64:P64"/>
    <mergeCell ref="Q37:W37"/>
    <mergeCell ref="J57:P57"/>
    <mergeCell ref="AJ85:AL85"/>
    <mergeCell ref="W2:AH2"/>
    <mergeCell ref="X10:AD11"/>
    <mergeCell ref="AG42:AI42"/>
    <mergeCell ref="AJ84:AL84"/>
    <mergeCell ref="AP13:AR13"/>
    <mergeCell ref="Q38:W38"/>
    <mergeCell ref="AE34:AF34"/>
    <mergeCell ref="AJ86:AL86"/>
    <mergeCell ref="Q40:W40"/>
    <mergeCell ref="AE36:AF36"/>
    <mergeCell ref="AS51:AU51"/>
    <mergeCell ref="J75:P75"/>
    <mergeCell ref="AV81:AX81"/>
    <mergeCell ref="BB88:BD88"/>
    <mergeCell ref="AE31:AF31"/>
    <mergeCell ref="H7:J7"/>
    <mergeCell ref="AS67:AU67"/>
    <mergeCell ref="AE62:AF62"/>
    <mergeCell ref="AF8:AH8"/>
    <mergeCell ref="AM55:AO55"/>
    <mergeCell ref="AE64:AF64"/>
    <mergeCell ref="AS62:AU62"/>
    <mergeCell ref="AP53:AR53"/>
    <mergeCell ref="AP28:AR28"/>
    <mergeCell ref="AE57:AF57"/>
    <mergeCell ref="BK53:BQ53"/>
    <mergeCell ref="AS64:AU64"/>
    <mergeCell ref="AJ72:AL72"/>
    <mergeCell ref="AG27:AI27"/>
    <mergeCell ref="BK79:BQ79"/>
    <mergeCell ref="AE75:AF75"/>
    <mergeCell ref="BH29:BJ29"/>
    <mergeCell ref="AP81:AR81"/>
    <mergeCell ref="AS82:AU82"/>
    <mergeCell ref="BK81:BQ81"/>
    <mergeCell ref="AS75:AU75"/>
    <mergeCell ref="E74:I74"/>
    <mergeCell ref="AJ54:AL54"/>
    <mergeCell ref="BH24:BJ24"/>
    <mergeCell ref="J53:P53"/>
    <mergeCell ref="AG55:AI55"/>
    <mergeCell ref="AJ56:AL56"/>
    <mergeCell ref="AG38:AI38"/>
    <mergeCell ref="J55:P55"/>
    <mergeCell ref="AY32:BA32"/>
    <mergeCell ref="BB33:BD33"/>
    <mergeCell ref="AG46:AI46"/>
    <mergeCell ref="Q34:W34"/>
    <mergeCell ref="AG40:AI40"/>
    <mergeCell ref="BH84:BJ84"/>
    <mergeCell ref="X24:AD24"/>
    <mergeCell ref="BB43:BD43"/>
    <mergeCell ref="BH50:BJ50"/>
    <mergeCell ref="Q36:W36"/>
    <mergeCell ref="BH86:BJ86"/>
    <mergeCell ref="W1:AH1"/>
    <mergeCell ref="BE43:BG43"/>
    <mergeCell ref="E87:I87"/>
    <mergeCell ref="BB59:BD59"/>
    <mergeCell ref="X27:AD27"/>
    <mergeCell ref="AG66:AI66"/>
    <mergeCell ref="AY60:BA60"/>
    <mergeCell ref="BB61:BD61"/>
    <mergeCell ref="AG74:AI74"/>
    <mergeCell ref="AV15:AX15"/>
    <mergeCell ref="AY16:BA16"/>
    <mergeCell ref="Q62:W62"/>
    <mergeCell ref="AG68:AI68"/>
    <mergeCell ref="J68:P68"/>
    <mergeCell ref="Q64:W64"/>
    <mergeCell ref="BH70:BJ70"/>
    <mergeCell ref="X37:AD37"/>
    <mergeCell ref="AP24:AR24"/>
    <mergeCell ref="AE55:AF55"/>
    <mergeCell ref="AY42:BA42"/>
    <mergeCell ref="X38:AD38"/>
    <mergeCell ref="AP19:AR19"/>
    <mergeCell ref="AV34:AX34"/>
    <mergeCell ref="AV28:AX28"/>
    <mergeCell ref="Q75:W75"/>
    <mergeCell ref="BK44:BQ44"/>
    <mergeCell ref="AV36:AX36"/>
    <mergeCell ref="AE73:AF73"/>
    <mergeCell ref="AM36:AO36"/>
    <mergeCell ref="AP37:AR37"/>
    <mergeCell ref="BK72:BQ72"/>
    <mergeCell ref="AE74:AF74"/>
    <mergeCell ref="AE68:AF68"/>
    <mergeCell ref="A63:BQ63"/>
    <mergeCell ref="AG11:AI11"/>
    <mergeCell ref="BH53:BJ53"/>
    <mergeCell ref="BK88:BQ88"/>
    <mergeCell ref="BH48:BJ48"/>
    <mergeCell ref="T8:V8"/>
    <mergeCell ref="BE39:BG39"/>
    <mergeCell ref="AG39:AI39"/>
    <mergeCell ref="AE87:AF87"/>
    <mergeCell ref="AG64:AI64"/>
    <mergeCell ref="B47:D47"/>
    <mergeCell ref="E57:I57"/>
    <mergeCell ref="B46:D46"/>
    <mergeCell ref="Q60:W60"/>
    <mergeCell ref="BH66:BJ66"/>
    <mergeCell ref="AY13:BA13"/>
    <mergeCell ref="AG65:AI65"/>
    <mergeCell ref="B48:D48"/>
    <mergeCell ref="BH68:BJ68"/>
    <mergeCell ref="X41:AD41"/>
    <mergeCell ref="BE25:BG25"/>
    <mergeCell ref="X51:AD51"/>
    <mergeCell ref="BH67:BJ67"/>
    <mergeCell ref="BH61:BJ61"/>
    <mergeCell ref="AY67:BA67"/>
    <mergeCell ref="X36:AD36"/>
    <mergeCell ref="AY69:BA69"/>
    <mergeCell ref="AG83:AI83"/>
    <mergeCell ref="Q71:W71"/>
    <mergeCell ref="X67:AD67"/>
    <mergeCell ref="AV60:AX60"/>
    <mergeCell ref="X61:AD61"/>
    <mergeCell ref="A2:E2"/>
    <mergeCell ref="AV32:AX32"/>
    <mergeCell ref="Q73:W73"/>
    <mergeCell ref="X62:AD62"/>
    <mergeCell ref="AE37:AF37"/>
    <mergeCell ref="BE80:BG80"/>
    <mergeCell ref="AS44:AU44"/>
    <mergeCell ref="AV27:AX27"/>
    <mergeCell ref="X64:AD64"/>
    <mergeCell ref="A30:BQ30"/>
    <mergeCell ref="AV58:AX58"/>
    <mergeCell ref="AP59:AR59"/>
    <mergeCell ref="AY82:BA82"/>
    <mergeCell ref="BK59:BQ59"/>
    <mergeCell ref="BK25:BQ25"/>
    <mergeCell ref="AP61:AR61"/>
    <mergeCell ref="AM16:AO16"/>
    <mergeCell ref="AM17:AO17"/>
    <mergeCell ref="AP56:AR56"/>
    <mergeCell ref="B16:D16"/>
    <mergeCell ref="AM53:AO53"/>
    <mergeCell ref="AM47:AO47"/>
    <mergeCell ref="AM19:AO19"/>
    <mergeCell ref="AM46:AO46"/>
    <mergeCell ref="AV71:AX71"/>
    <mergeCell ref="E53:I53"/>
    <mergeCell ref="AM48:AO48"/>
    <mergeCell ref="AM44:AO44"/>
    <mergeCell ref="AV73:AX73"/>
    <mergeCell ref="E55:I55"/>
    <mergeCell ref="AY14:BA14"/>
    <mergeCell ref="E48:I48"/>
    <mergeCell ref="BE21:BG21"/>
    <mergeCell ref="AJ34:AL34"/>
    <mergeCell ref="AM73:AO73"/>
    <mergeCell ref="BB22:BD22"/>
    <mergeCell ref="BE23:BG23"/>
    <mergeCell ref="AJ36:AL36"/>
    <mergeCell ref="AJ29:AL29"/>
    <mergeCell ref="AJ31:AL31"/>
    <mergeCell ref="B62:D62"/>
    <mergeCell ref="B72:D72"/>
    <mergeCell ref="BE49:BG49"/>
    <mergeCell ref="X58:AD58"/>
    <mergeCell ref="BE76:BG76"/>
    <mergeCell ref="AG76:AI76"/>
    <mergeCell ref="X60:AD60"/>
    <mergeCell ref="B88:D88"/>
    <mergeCell ref="B82:D82"/>
    <mergeCell ref="BB41:BD41"/>
    <mergeCell ref="J46:P46"/>
    <mergeCell ref="BB35:BD35"/>
    <mergeCell ref="J48:P48"/>
    <mergeCell ref="B83:D83"/>
    <mergeCell ref="AS13:AU13"/>
    <mergeCell ref="B85:D85"/>
    <mergeCell ref="AS15:AU15"/>
    <mergeCell ref="BK52:BQ52"/>
    <mergeCell ref="X73:AD73"/>
    <mergeCell ref="BE88:BG88"/>
    <mergeCell ref="H6:J6"/>
    <mergeCell ref="AS25:AU25"/>
    <mergeCell ref="B14:D14"/>
    <mergeCell ref="AV67:AX67"/>
    <mergeCell ref="E24:I24"/>
    <mergeCell ref="B13:D13"/>
    <mergeCell ref="AV69:AX69"/>
    <mergeCell ref="E17:I17"/>
    <mergeCell ref="E19:I19"/>
    <mergeCell ref="AV64:AX64"/>
    <mergeCell ref="AJ32:AL32"/>
    <mergeCell ref="B25:D25"/>
    <mergeCell ref="AM72:AO72"/>
    <mergeCell ref="AJ27:AL27"/>
    <mergeCell ref="AS79:AU79"/>
    <mergeCell ref="E37:I37"/>
    <mergeCell ref="AM59:AO59"/>
    <mergeCell ref="AS81:AU81"/>
    <mergeCell ref="AV82:AX82"/>
    <mergeCell ref="BE47:BG47"/>
    <mergeCell ref="AM88:AO88"/>
    <mergeCell ref="AM82:AO82"/>
    <mergeCell ref="AM54:AO54"/>
    <mergeCell ref="BE40:BG40"/>
    <mergeCell ref="AJ53:AL53"/>
    <mergeCell ref="J17:P17"/>
    <mergeCell ref="AJ55:AL55"/>
    <mergeCell ref="AM83:AO83"/>
    <mergeCell ref="J19:P19"/>
    <mergeCell ref="B79:D79"/>
    <mergeCell ref="BB32:BD32"/>
    <mergeCell ref="AM85:AO85"/>
    <mergeCell ref="B81:D81"/>
    <mergeCell ref="E85:I85"/>
    <mergeCell ref="AJ71:AL71"/>
    <mergeCell ref="BH41:BJ41"/>
    <mergeCell ref="X42:AD42"/>
    <mergeCell ref="AJ73:AL73"/>
    <mergeCell ref="BE59:BG59"/>
    <mergeCell ref="AJ66:AL66"/>
    <mergeCell ref="BB50:BD50"/>
    <mergeCell ref="BK20:BQ20"/>
    <mergeCell ref="AJ68:AL68"/>
    <mergeCell ref="AS23:AU23"/>
    <mergeCell ref="AY51:BA51"/>
    <mergeCell ref="Q53:W53"/>
    <mergeCell ref="BK22:BQ22"/>
    <mergeCell ref="E13:I13"/>
    <mergeCell ref="X43:AD43"/>
    <mergeCell ref="BK15:BQ15"/>
    <mergeCell ref="AE17:AF17"/>
    <mergeCell ref="J88:P88"/>
    <mergeCell ref="E15:I15"/>
    <mergeCell ref="AS24:AU24"/>
    <mergeCell ref="AE19:AF19"/>
    <mergeCell ref="Z6:AB6"/>
    <mergeCell ref="BB78:BD78"/>
    <mergeCell ref="J83:P83"/>
    <mergeCell ref="AY33:BA33"/>
    <mergeCell ref="Q79:W79"/>
    <mergeCell ref="T5:AH5"/>
    <mergeCell ref="J85:P85"/>
    <mergeCell ref="Q81:W81"/>
    <mergeCell ref="BK33:BQ33"/>
    <mergeCell ref="BK35:BQ35"/>
    <mergeCell ref="AS52:AU52"/>
    <mergeCell ref="AP34:AR34"/>
    <mergeCell ref="E28:I28"/>
    <mergeCell ref="AG13:AI13"/>
    <mergeCell ref="AP36:AR36"/>
    <mergeCell ref="AS37:AU37"/>
    <mergeCell ref="AG15:AI15"/>
    <mergeCell ref="AJ16:AL16"/>
    <mergeCell ref="E59:I59"/>
    <mergeCell ref="J15:P15"/>
    <mergeCell ref="E61:I61"/>
    <mergeCell ref="AJ11:AL11"/>
    <mergeCell ref="E54:I54"/>
    <mergeCell ref="AS88:AU88"/>
    <mergeCell ref="AP54:AR54"/>
    <mergeCell ref="E56:I56"/>
    <mergeCell ref="AE85:AF85"/>
    <mergeCell ref="BH14:BJ14"/>
    <mergeCell ref="AJ62:AL62"/>
    <mergeCell ref="AJ37:AL37"/>
    <mergeCell ref="AY20:BA20"/>
    <mergeCell ref="AG28:AI28"/>
    <mergeCell ref="Q16:W16"/>
    <mergeCell ref="AJ64:AL64"/>
    <mergeCell ref="J72:P72"/>
    <mergeCell ref="J28:P28"/>
    <mergeCell ref="Q24:W24"/>
    <mergeCell ref="AM37:AO37"/>
    <mergeCell ref="AE13:AF13"/>
    <mergeCell ref="Q19:W19"/>
    <mergeCell ref="AE15:AF15"/>
    <mergeCell ref="BB74:BD74"/>
    <mergeCell ref="J54:P54"/>
    <mergeCell ref="AJ82:AL82"/>
    <mergeCell ref="Q44:W44"/>
    <mergeCell ref="BB67:BD67"/>
    <mergeCell ref="J56:P56"/>
    <mergeCell ref="AY58:BA58"/>
    <mergeCell ref="X25:AD25"/>
    <mergeCell ref="BB69:BD69"/>
    <mergeCell ref="BK31:BQ31"/>
    <mergeCell ref="BH78:BJ78"/>
    <mergeCell ref="AP32:AR32"/>
    <mergeCell ref="BK32:BQ32"/>
    <mergeCell ref="AE28:AF28"/>
    <mergeCell ref="AY86:BA86"/>
    <mergeCell ref="BB87:BD87"/>
    <mergeCell ref="Q88:W88"/>
    <mergeCell ref="X80:AD80"/>
    <mergeCell ref="AS59:AU59"/>
    <mergeCell ref="BB82:BD82"/>
    <mergeCell ref="BK58:BQ58"/>
    <mergeCell ref="AP50:AR50"/>
    <mergeCell ref="AE54:AF54"/>
    <mergeCell ref="BK50:BQ50"/>
    <mergeCell ref="E52:I52"/>
    <mergeCell ref="A45:BQ45"/>
    <mergeCell ref="AP60:AR60"/>
    <mergeCell ref="AS61:AU61"/>
    <mergeCell ref="W7:Y7"/>
    <mergeCell ref="BK16:BQ16"/>
    <mergeCell ref="AE56:AF56"/>
    <mergeCell ref="W8:Y8"/>
    <mergeCell ref="AG24:AI24"/>
    <mergeCell ref="BH39:BJ39"/>
    <mergeCell ref="BK70:BQ70"/>
    <mergeCell ref="BK42:BQ42"/>
    <mergeCell ref="AP71:AR71"/>
    <mergeCell ref="Q15:W15"/>
    <mergeCell ref="AP79:AR79"/>
    <mergeCell ref="BE20:BG20"/>
    <mergeCell ref="BH21:BJ21"/>
    <mergeCell ref="AM34:AO34"/>
    <mergeCell ref="AP73:AR73"/>
    <mergeCell ref="AG52:AI52"/>
    <mergeCell ref="BE22:BG22"/>
    <mergeCell ref="BH23:BJ23"/>
    <mergeCell ref="AY29:BA29"/>
    <mergeCell ref="AG37:AI37"/>
    <mergeCell ref="X21:AD21"/>
    <mergeCell ref="AG47:AI47"/>
    <mergeCell ref="J81:P81"/>
    <mergeCell ref="AY31:BA31"/>
    <mergeCell ref="X23:AD23"/>
    <mergeCell ref="BE38:BG38"/>
    <mergeCell ref="BH49:BJ49"/>
    <mergeCell ref="R3:V3"/>
    <mergeCell ref="X16:AD16"/>
    <mergeCell ref="Q72:W72"/>
    <mergeCell ref="BE33:BG33"/>
    <mergeCell ref="AY57:BA57"/>
    <mergeCell ref="BE41:BG41"/>
    <mergeCell ref="Q59:W59"/>
    <mergeCell ref="AV14:AX14"/>
    <mergeCell ref="Q61:W61"/>
    <mergeCell ref="AV13:AX13"/>
    <mergeCell ref="AY44:BA44"/>
    <mergeCell ref="Q56:W56"/>
    <mergeCell ref="AE52:AF52"/>
    <mergeCell ref="BH87:BJ87"/>
    <mergeCell ref="A18:BQ18"/>
    <mergeCell ref="AM15:AO15"/>
    <mergeCell ref="AP16:AR16"/>
    <mergeCell ref="AE53:AF53"/>
    <mergeCell ref="AY70:BA70"/>
    <mergeCell ref="AV25:AX25"/>
    <mergeCell ref="W6:Y6"/>
    <mergeCell ref="BK68:BQ68"/>
    <mergeCell ref="BK67:BQ67"/>
    <mergeCell ref="X88:AD88"/>
    <mergeCell ref="AC8:AE8"/>
    <mergeCell ref="AP69:AR69"/>
    <mergeCell ref="AP44:AR44"/>
    <mergeCell ref="B29:D29"/>
    <mergeCell ref="BK69:BQ69"/>
    <mergeCell ref="AE71:AF71"/>
    <mergeCell ref="AV84:AX84"/>
    <mergeCell ref="B24:D24"/>
    <mergeCell ref="E34:I34"/>
    <mergeCell ref="AG43:AI43"/>
    <mergeCell ref="AP72:AR72"/>
    <mergeCell ref="B32:D32"/>
    <mergeCell ref="AV79:AX79"/>
    <mergeCell ref="E36:I36"/>
    <mergeCell ref="BK87:BQ87"/>
    <mergeCell ref="B27:D27"/>
    <mergeCell ref="AY22:BA22"/>
    <mergeCell ref="BH47:BJ47"/>
    <mergeCell ref="X20:AD20"/>
    <mergeCell ref="BH74:BJ74"/>
    <mergeCell ref="AP88:AR88"/>
    <mergeCell ref="X14:AD14"/>
    <mergeCell ref="AP82:AR82"/>
    <mergeCell ref="B42:D42"/>
    <mergeCell ref="BK82:BQ82"/>
    <mergeCell ref="BH46:BJ46"/>
    <mergeCell ref="AG61:AI61"/>
    <mergeCell ref="BH76:BJ76"/>
    <mergeCell ref="BE31:BG31"/>
    <mergeCell ref="B44:D44"/>
    <mergeCell ref="B37:D37"/>
    <mergeCell ref="AY48:BA48"/>
    <mergeCell ref="BB49:BD49"/>
    <mergeCell ref="AG62:AI62"/>
    <mergeCell ref="X40:AD40"/>
    <mergeCell ref="Q52:W52"/>
    <mergeCell ref="F1:Q1"/>
    <mergeCell ref="J34:P34"/>
    <mergeCell ref="AY37:BA37"/>
    <mergeCell ref="BE65:BG65"/>
    <mergeCell ref="J36:P36"/>
    <mergeCell ref="AY66:BA66"/>
    <mergeCell ref="AV21:AX21"/>
    <mergeCell ref="AV29:AX29"/>
    <mergeCell ref="A8:G8"/>
    <mergeCell ref="AY68:BA68"/>
    <mergeCell ref="AV23:AX23"/>
    <mergeCell ref="BB51:BD51"/>
    <mergeCell ref="BE75:BG75"/>
    <mergeCell ref="AG75:AI75"/>
    <mergeCell ref="X59:AD59"/>
    <mergeCell ref="AV24:AX24"/>
    <mergeCell ref="AM31:AO31"/>
    <mergeCell ref="BE70:BG70"/>
    <mergeCell ref="AC6:AE6"/>
    <mergeCell ref="AV49:AX49"/>
    <mergeCell ref="BE78:BG78"/>
    <mergeCell ref="AM32:AO32"/>
    <mergeCell ref="AV50:AX50"/>
    <mergeCell ref="E32:I32"/>
    <mergeCell ref="AS41:AU41"/>
    <mergeCell ref="AV80:AX80"/>
    <mergeCell ref="AV52:AX52"/>
    <mergeCell ref="AS43:AU43"/>
    <mergeCell ref="AJ13:AL13"/>
    <mergeCell ref="AM52:AO52"/>
    <mergeCell ref="AS36:AU36"/>
    <mergeCell ref="AJ15:AL15"/>
    <mergeCell ref="E60:I60"/>
    <mergeCell ref="B41:D41"/>
    <mergeCell ref="B35:D35"/>
    <mergeCell ref="AM42:AO42"/>
    <mergeCell ref="B66:D66"/>
    <mergeCell ref="BB19:BD19"/>
    <mergeCell ref="BE55:BG55"/>
    <mergeCell ref="AM71:AO71"/>
    <mergeCell ref="J32:P32"/>
    <mergeCell ref="Q22:W22"/>
    <mergeCell ref="B67:D67"/>
    <mergeCell ref="B61:D61"/>
    <mergeCell ref="BB20:BD20"/>
    <mergeCell ref="BB14:BD14"/>
    <mergeCell ref="AJ28:AL28"/>
    <mergeCell ref="E71:I71"/>
    <mergeCell ref="B69:D69"/>
    <mergeCell ref="E79:I79"/>
    <mergeCell ref="E73:I73"/>
    <mergeCell ref="B64:D64"/>
    <mergeCell ref="X57:AD57"/>
    <mergeCell ref="J60:P60"/>
    <mergeCell ref="BE74:BG74"/>
    <mergeCell ref="BE68:BG68"/>
    <mergeCell ref="AJ81:AL81"/>
    <mergeCell ref="Q35:W35"/>
    <mergeCell ref="AV76:AX76"/>
    <mergeCell ref="AF6:AH6"/>
    <mergeCell ref="AE32:AF32"/>
    <mergeCell ref="AV48:AX48"/>
    <mergeCell ref="F2:Q2"/>
    <mergeCell ref="AS39:AU39"/>
    <mergeCell ref="J71:P71"/>
    <mergeCell ref="AS32:AU32"/>
    <mergeCell ref="X70:AD70"/>
    <mergeCell ref="BB84:BD84"/>
    <mergeCell ref="J73:P73"/>
    <mergeCell ref="BB86:BD86"/>
    <mergeCell ref="BE87:BG87"/>
    <mergeCell ref="Q54:W54"/>
    <mergeCell ref="AS65:AU65"/>
    <mergeCell ref="AV66:AX66"/>
    <mergeCell ref="AM51:AO51"/>
    <mergeCell ref="AE60:AF60"/>
    <mergeCell ref="AS58:AU58"/>
    <mergeCell ref="AV59:AX59"/>
    <mergeCell ref="E16:I16"/>
    <mergeCell ref="AS50:AU50"/>
    <mergeCell ref="AS60:AU60"/>
    <mergeCell ref="AV61:AX61"/>
    <mergeCell ref="Z7:AB7"/>
    <mergeCell ref="AP51:AR51"/>
    <mergeCell ref="BK51:BQ51"/>
    <mergeCell ref="AM67:AO67"/>
    <mergeCell ref="AM61:AO61"/>
    <mergeCell ref="AE46:AF46"/>
    <mergeCell ref="Z8:AB8"/>
    <mergeCell ref="AM69:AO69"/>
    <mergeCell ref="AJ24:AL24"/>
    <mergeCell ref="AM35:AO35"/>
    <mergeCell ref="E69:I69"/>
    <mergeCell ref="AS78:AU78"/>
    <mergeCell ref="BH27:BJ27"/>
    <mergeCell ref="AS80:AU80"/>
    <mergeCell ref="BE37:BG37"/>
    <mergeCell ref="AJ50:AL50"/>
    <mergeCell ref="BH20:BJ20"/>
    <mergeCell ref="AS73:AU73"/>
    <mergeCell ref="BB28:BD28"/>
    <mergeCell ref="AG41:AI41"/>
    <mergeCell ref="E72:I72"/>
    <mergeCell ref="AJ52:AL52"/>
    <mergeCell ref="BH22:BJ22"/>
    <mergeCell ref="J16:P16"/>
    <mergeCell ref="BB29:BD29"/>
    <mergeCell ref="BB23:BD23"/>
    <mergeCell ref="AG36:AI36"/>
    <mergeCell ref="B78:D78"/>
    <mergeCell ref="BB31:BD31"/>
    <mergeCell ref="E88:I88"/>
    <mergeCell ref="Q32:W32"/>
    <mergeCell ref="E82:I82"/>
    <mergeCell ref="X22:AD22"/>
    <mergeCell ref="BH38:BJ38"/>
    <mergeCell ref="J67:P67"/>
    <mergeCell ref="BB56:BD56"/>
    <mergeCell ref="J69:P69"/>
    <mergeCell ref="AY46:BA46"/>
    <mergeCell ref="BB57:BD57"/>
    <mergeCell ref="Q58:W58"/>
    <mergeCell ref="Q50:W50"/>
    <mergeCell ref="AY41:BA41"/>
    <mergeCell ref="X33:AD33"/>
    <mergeCell ref="AP20:AR20"/>
    <mergeCell ref="AS21:AU21"/>
    <mergeCell ref="AY43:BA43"/>
    <mergeCell ref="BK14:BQ14"/>
    <mergeCell ref="AE16:AF16"/>
    <mergeCell ref="X35:AD35"/>
    <mergeCell ref="AP22:AR22"/>
    <mergeCell ref="AP15:AR15"/>
    <mergeCell ref="AS16:AU16"/>
    <mergeCell ref="AV10:BJ10"/>
    <mergeCell ref="J82:P82"/>
    <mergeCell ref="BB70:BD70"/>
    <mergeCell ref="AY25:BA25"/>
    <mergeCell ref="AS49:AU49"/>
    <mergeCell ref="AE69:AF69"/>
    <mergeCell ref="AS42:AU42"/>
    <mergeCell ref="AP33:AR33"/>
    <mergeCell ref="AS69:AU69"/>
    <mergeCell ref="AP35:AR35"/>
    <mergeCell ref="AJ48:AL48"/>
    <mergeCell ref="AV42:AX42"/>
    <mergeCell ref="AE72:AF72"/>
    <mergeCell ref="BK84:BQ84"/>
    <mergeCell ref="AS87:AU87"/>
    <mergeCell ref="BK86:BQ86"/>
    <mergeCell ref="AE88:AF88"/>
    <mergeCell ref="AE82:AF82"/>
    <mergeCell ref="BH36:BJ36"/>
    <mergeCell ref="BH11:BJ11"/>
    <mergeCell ref="AJ59:AL59"/>
    <mergeCell ref="AG25:AI25"/>
    <mergeCell ref="AE83:AF83"/>
    <mergeCell ref="E81:I81"/>
    <mergeCell ref="BB53:BD53"/>
    <mergeCell ref="AJ61:AL61"/>
    <mergeCell ref="B43:D43"/>
    <mergeCell ref="BB55:BD55"/>
    <mergeCell ref="BH62:BJ62"/>
    <mergeCell ref="N8:P8"/>
    <mergeCell ref="AY39:BA39"/>
    <mergeCell ref="AG53:AI53"/>
    <mergeCell ref="X31:AD31"/>
    <mergeCell ref="BH57:BJ57"/>
    <mergeCell ref="X39:AD39"/>
    <mergeCell ref="AE14:AF14"/>
    <mergeCell ref="AG78:AI78"/>
    <mergeCell ref="A3:E3"/>
    <mergeCell ref="X32:AD32"/>
    <mergeCell ref="AY65:BA65"/>
    <mergeCell ref="BB66:BD66"/>
    <mergeCell ref="AG79:AI79"/>
    <mergeCell ref="AY21:BA21"/>
    <mergeCell ref="Q67:W67"/>
    <mergeCell ref="AG73:AI73"/>
    <mergeCell ref="J79:P79"/>
    <mergeCell ref="X49:AD49"/>
    <mergeCell ref="AG81:AI81"/>
    <mergeCell ref="BB68:BD68"/>
    <mergeCell ref="AV22:AX22"/>
    <mergeCell ref="AY23:BA23"/>
    <mergeCell ref="Q69:W69"/>
    <mergeCell ref="X65:AD65"/>
    <mergeCell ref="BH75:BJ75"/>
    <mergeCell ref="AP29:AR29"/>
    <mergeCell ref="AV51:AX51"/>
    <mergeCell ref="BK29:BQ29"/>
    <mergeCell ref="BK23:BQ23"/>
    <mergeCell ref="AE25:AF25"/>
    <mergeCell ref="AS40:AU40"/>
    <mergeCell ref="X50:AD50"/>
    <mergeCell ref="AP31:AR31"/>
    <mergeCell ref="AE35:AF35"/>
    <mergeCell ref="AY83:BA83"/>
    <mergeCell ref="BK54:BQ54"/>
    <mergeCell ref="AY49:BA49"/>
    <mergeCell ref="AV40:AX40"/>
    <mergeCell ref="Q87:W87"/>
    <mergeCell ref="AY84:BA84"/>
    <mergeCell ref="AY78:BA78"/>
    <mergeCell ref="BK49:BQ49"/>
    <mergeCell ref="AP57:AR57"/>
    <mergeCell ref="AV41:AX41"/>
    <mergeCell ref="AY80:BA80"/>
    <mergeCell ref="BK57:BQ57"/>
    <mergeCell ref="Q82:W82"/>
    <mergeCell ref="X78:AD78"/>
    <mergeCell ref="AM14:AO14"/>
    <mergeCell ref="AP42:AR42"/>
    <mergeCell ref="AP58:AR58"/>
    <mergeCell ref="AM13:AO13"/>
    <mergeCell ref="AP52:AR52"/>
    <mergeCell ref="AE79:AF79"/>
    <mergeCell ref="AM43:AO43"/>
    <mergeCell ref="AE81:AF81"/>
    <mergeCell ref="AG16:AI16"/>
    <mergeCell ref="E51:I51"/>
    <mergeCell ref="BE17:BG17"/>
    <mergeCell ref="AP70:AR70"/>
    <mergeCell ref="AM25:AO25"/>
    <mergeCell ref="N6:P6"/>
    <mergeCell ref="BH64:BJ64"/>
    <mergeCell ref="BE19:BG19"/>
    <mergeCell ref="AM33:AO33"/>
    <mergeCell ref="AG44:AI44"/>
    <mergeCell ref="BE14:BG14"/>
    <mergeCell ref="AM28:AO28"/>
    <mergeCell ref="B58:D58"/>
    <mergeCell ref="B52:D52"/>
    <mergeCell ref="B60:D60"/>
    <mergeCell ref="B53:D53"/>
    <mergeCell ref="B84:D84"/>
    <mergeCell ref="B80:D80"/>
    <mergeCell ref="A26:BQ26"/>
    <mergeCell ref="AY74:BA74"/>
    <mergeCell ref="AG88:AI88"/>
    <mergeCell ref="AG82:AI82"/>
    <mergeCell ref="AY76:BA76"/>
    <mergeCell ref="BK47:BQ47"/>
    <mergeCell ref="X74:AD74"/>
    <mergeCell ref="X68:AD68"/>
    <mergeCell ref="AV39:AX39"/>
    <mergeCell ref="X76:AD76"/>
    <mergeCell ref="A77:BQ77"/>
    <mergeCell ref="BK48:BQ48"/>
    <mergeCell ref="AE50:AF50"/>
    <mergeCell ref="X69:AD69"/>
    <mergeCell ref="BE84:BG84"/>
    <mergeCell ref="BE86:BG86"/>
    <mergeCell ref="E20:I20"/>
    <mergeCell ref="AY87:BA87"/>
    <mergeCell ref="BK37:BQ37"/>
    <mergeCell ref="AP66:AR66"/>
    <mergeCell ref="BK66:BQ66"/>
    <mergeCell ref="X87:AD87"/>
    <mergeCell ref="BH60:BJ60"/>
    <mergeCell ref="AC7:AE7"/>
    <mergeCell ref="BE15:BG15"/>
    <mergeCell ref="AP68:AR68"/>
    <mergeCell ref="AP67:AR67"/>
    <mergeCell ref="B21:D21"/>
    <mergeCell ref="AM58:AO58"/>
    <mergeCell ref="BH55:BJ55"/>
    <mergeCell ref="AM24:AO24"/>
    <mergeCell ref="B23:D23"/>
    <mergeCell ref="AM60:AO60"/>
    <mergeCell ref="E33:I33"/>
    <mergeCell ref="BH42:BJ42"/>
    <mergeCell ref="AV78:AX78"/>
    <mergeCell ref="E35:I35"/>
    <mergeCell ref="BH44:BJ44"/>
    <mergeCell ref="AM84:AO84"/>
    <mergeCell ref="J14:P14"/>
    <mergeCell ref="B51:D51"/>
    <mergeCell ref="AM50:AO50"/>
    <mergeCell ref="BE34:BG34"/>
    <mergeCell ref="J13:P13"/>
    <mergeCell ref="AM86:AO86"/>
    <mergeCell ref="BE28:BG28"/>
    <mergeCell ref="AJ41:AL41"/>
    <mergeCell ref="AM80:AO80"/>
    <mergeCell ref="AM79:AO79"/>
    <mergeCell ref="AJ43:AL43"/>
    <mergeCell ref="BE29:BG29"/>
    <mergeCell ref="AM81:AO81"/>
    <mergeCell ref="AY47:BA47"/>
    <mergeCell ref="BE54:BG54"/>
    <mergeCell ref="AJ67:AL67"/>
    <mergeCell ref="BE56:BG56"/>
    <mergeCell ref="AJ69:AL69"/>
    <mergeCell ref="AM70:AO70"/>
    <mergeCell ref="J33:P33"/>
    <mergeCell ref="BB46:BD46"/>
    <mergeCell ref="BE57:BG57"/>
    <mergeCell ref="BB48:BD48"/>
    <mergeCell ref="A7:G7"/>
    <mergeCell ref="Q51:W51"/>
    <mergeCell ref="AV65:AX65"/>
    <mergeCell ref="AS20:AU20"/>
    <mergeCell ref="J86:P86"/>
    <mergeCell ref="AS22:AU22"/>
    <mergeCell ref="E29:I29"/>
    <mergeCell ref="AE33:AF33"/>
    <mergeCell ref="AV74:AX74"/>
    <mergeCell ref="E31:I31"/>
    <mergeCell ref="T6:V6"/>
    <mergeCell ref="B20:D20"/>
    <mergeCell ref="AS33:AU33"/>
    <mergeCell ref="AS35:AU35"/>
    <mergeCell ref="AJ14:AL14"/>
    <mergeCell ref="E50:I50"/>
    <mergeCell ref="E42:I42"/>
    <mergeCell ref="AS86:AU86"/>
    <mergeCell ref="AV87:AX87"/>
    <mergeCell ref="E44:I44"/>
    <mergeCell ref="BE58:BG58"/>
    <mergeCell ref="AJ65:AL65"/>
    <mergeCell ref="J29:P29"/>
    <mergeCell ref="BB17:BD17"/>
    <mergeCell ref="BB11:BD11"/>
    <mergeCell ref="AJ25:AL25"/>
    <mergeCell ref="BE53:BG53"/>
    <mergeCell ref="AJ60:AL60"/>
    <mergeCell ref="Q7:S7"/>
    <mergeCell ref="J24:P24"/>
    <mergeCell ref="AG51:AI51"/>
    <mergeCell ref="Q20:W20"/>
    <mergeCell ref="E70:I70"/>
    <mergeCell ref="Q14:W14"/>
    <mergeCell ref="B59:D59"/>
    <mergeCell ref="Q8:S8"/>
    <mergeCell ref="AV55:AX55"/>
    <mergeCell ref="BB39:BD39"/>
    <mergeCell ref="BE71:BG71"/>
    <mergeCell ref="J50:P50"/>
    <mergeCell ref="AJ78:AL78"/>
    <mergeCell ref="J42:P42"/>
    <mergeCell ref="BB72:BD72"/>
    <mergeCell ref="J52:P52"/>
    <mergeCell ref="AJ80:AL80"/>
    <mergeCell ref="J44:P44"/>
    <mergeCell ref="Q25:W25"/>
    <mergeCell ref="AV37:AX37"/>
    <mergeCell ref="BB65:BD65"/>
    <mergeCell ref="BE66:BG66"/>
    <mergeCell ref="AJ79:AL79"/>
    <mergeCell ref="J37:P37"/>
    <mergeCell ref="Q33:W33"/>
    <mergeCell ref="BK27:BQ27"/>
    <mergeCell ref="AE29:AF29"/>
    <mergeCell ref="AS29:AU29"/>
    <mergeCell ref="AE24:AF24"/>
    <mergeCell ref="J70:P70"/>
    <mergeCell ref="AS31:AU31"/>
    <mergeCell ref="BB83:BD83"/>
    <mergeCell ref="AY38:BA38"/>
    <mergeCell ref="Q84:W84"/>
    <mergeCell ref="BB85:BD85"/>
    <mergeCell ref="Q86:W86"/>
    <mergeCell ref="BK17:BQ17"/>
    <mergeCell ref="BK55:BQ55"/>
    <mergeCell ref="AP46:AR46"/>
    <mergeCell ref="BK46:BQ46"/>
    <mergeCell ref="BK40:BQ40"/>
    <mergeCell ref="AE42:AF42"/>
    <mergeCell ref="AS57:AU57"/>
    <mergeCell ref="BB80:BD80"/>
    <mergeCell ref="AP48:AR48"/>
    <mergeCell ref="AE44:AF44"/>
    <mergeCell ref="AP41:AR41"/>
    <mergeCell ref="BK41:BQ41"/>
    <mergeCell ref="BB13:BD13"/>
    <mergeCell ref="AG20:AI20"/>
    <mergeCell ref="AP43:AR43"/>
    <mergeCell ref="B10:D11"/>
    <mergeCell ref="AG22:AI22"/>
    <mergeCell ref="AJ23:AL23"/>
    <mergeCell ref="E66:I66"/>
    <mergeCell ref="AE70:AF70"/>
    <mergeCell ref="E68:I68"/>
    <mergeCell ref="B57:D57"/>
    <mergeCell ref="E67:I67"/>
    <mergeCell ref="J51:P51"/>
    <mergeCell ref="BH17:BJ17"/>
    <mergeCell ref="AS70:AU70"/>
    <mergeCell ref="Q6:S6"/>
    <mergeCell ref="AJ49:AL49"/>
    <mergeCell ref="BH19:BJ19"/>
    <mergeCell ref="AG33:AI33"/>
    <mergeCell ref="X17:AD17"/>
    <mergeCell ref="AJ44:AL44"/>
    <mergeCell ref="AY27:BA27"/>
    <mergeCell ref="Q29:W29"/>
    <mergeCell ref="AG35:AI35"/>
    <mergeCell ref="Q23:W23"/>
    <mergeCell ref="X19:AD19"/>
    <mergeCell ref="AP87:AR87"/>
    <mergeCell ref="AG34:AI34"/>
    <mergeCell ref="Q31:W31"/>
    <mergeCell ref="BE36:BG36"/>
    <mergeCell ref="BH37:BJ37"/>
    <mergeCell ref="B70:D70"/>
    <mergeCell ref="R1:V1"/>
    <mergeCell ref="AG59:AI59"/>
    <mergeCell ref="J66:P66"/>
    <mergeCell ref="BB54:BD54"/>
    <mergeCell ref="AE22:AF22"/>
    <mergeCell ref="BB81:BD81"/>
    <mergeCell ref="J61:P61"/>
    <mergeCell ref="AY11:BA11"/>
    <mergeCell ref="Q57:W57"/>
    <mergeCell ref="AJ88:AL88"/>
    <mergeCell ref="AP17:AR17"/>
    <mergeCell ref="AY40:BA40"/>
    <mergeCell ref="Q42:W42"/>
    <mergeCell ref="A12:BQ12"/>
    <mergeCell ref="AS53:AU53"/>
    <mergeCell ref="BB76:BD76"/>
    <mergeCell ref="AE48:AF48"/>
    <mergeCell ref="AS55:AU55"/>
    <mergeCell ref="A4:E4"/>
    <mergeCell ref="AP39:AR39"/>
    <mergeCell ref="AP14:AR14"/>
    <mergeCell ref="BK39:BQ39"/>
    <mergeCell ref="AE51:AF51"/>
    <mergeCell ref="Q70:W70"/>
    <mergeCell ref="AE66:AF66"/>
    <mergeCell ref="X84:AD84"/>
    <mergeCell ref="BH13:BJ13"/>
    <mergeCell ref="AS66:AU66"/>
    <mergeCell ref="BK65:BQ65"/>
    <mergeCell ref="AE67:AF67"/>
    <mergeCell ref="BK21:BQ21"/>
    <mergeCell ref="AE61:AF61"/>
    <mergeCell ref="X86:AD86"/>
    <mergeCell ref="AF7:AH7"/>
    <mergeCell ref="BH15:BJ15"/>
    <mergeCell ref="AS68:AU68"/>
    <mergeCell ref="AP25:AR25"/>
    <mergeCell ref="AJ40:AL40"/>
    <mergeCell ref="B22:D22"/>
    <mergeCell ref="X15:AD15"/>
    <mergeCell ref="AP83:AR83"/>
    <mergeCell ref="BK83:BQ83"/>
    <mergeCell ref="BE32:BG32"/>
    <mergeCell ref="AP85:AR85"/>
    <mergeCell ref="AG32:AI32"/>
    <mergeCell ref="BK85:BQ85"/>
    <mergeCell ref="BH43:BJ43"/>
    <mergeCell ref="AP84:AR84"/>
    <mergeCell ref="AP78:AR78"/>
    <mergeCell ref="B38:D38"/>
    <mergeCell ref="BK78:BQ78"/>
    <mergeCell ref="AP86:AR86"/>
    <mergeCell ref="BB44:BD44"/>
    <mergeCell ref="AG57:AI57"/>
    <mergeCell ref="BE27:BG27"/>
    <mergeCell ref="BH28:BJ28"/>
    <mergeCell ref="BH72:BJ72"/>
    <mergeCell ref="AP80:AR80"/>
    <mergeCell ref="B40:D40"/>
    <mergeCell ref="BK80:BQ80"/>
    <mergeCell ref="BB52:BD52"/>
    <mergeCell ref="AY34:BA34"/>
    <mergeCell ref="B33:D33"/>
    <mergeCell ref="BH59:BJ59"/>
    <mergeCell ref="AG58:AI58"/>
    <mergeCell ref="Q55:W55"/>
    <mergeCell ref="AY36:BA36"/>
    <mergeCell ref="X34:AD34"/>
    <mergeCell ref="X28:AD28"/>
    <mergeCell ref="BB47:BD47"/>
    <mergeCell ref="AG60:AI60"/>
    <mergeCell ref="N7:P7"/>
    <mergeCell ref="BH54:BJ54"/>
    <mergeCell ref="AJ58:AL58"/>
    <mergeCell ref="BH56:BJ56"/>
    <mergeCell ref="X29:AD29"/>
    <mergeCell ref="AY62:BA62"/>
    <mergeCell ref="BE46:BG46"/>
    <mergeCell ref="AG70:AI70"/>
    <mergeCell ref="BH85:BJ85"/>
    <mergeCell ref="X54:AD54"/>
    <mergeCell ref="AY28:BA28"/>
    <mergeCell ref="AY64:BA64"/>
    <mergeCell ref="AV19:AX19"/>
    <mergeCell ref="Q66:W66"/>
    <mergeCell ref="X56:AD56"/>
    <mergeCell ref="AG71:AI71"/>
    <mergeCell ref="Q68:W68"/>
    <mergeCell ref="BE73:BG73"/>
    <mergeCell ref="AV20:AX20"/>
    <mergeCell ref="AM27:AO27"/>
    <mergeCell ref="AP21:AR21"/>
    <mergeCell ref="AE65:AF65"/>
    <mergeCell ref="AM22:AO22"/>
    <mergeCell ref="AP23:AR23"/>
    <mergeCell ref="AV47:AX47"/>
    <mergeCell ref="AY75:BA75"/>
    <mergeCell ref="A5:S5"/>
    <mergeCell ref="AV38:AX38"/>
    <mergeCell ref="X75:AD75"/>
    <mergeCell ref="AM11:AO11"/>
    <mergeCell ref="AP49:AR49"/>
    <mergeCell ref="AV33:AX33"/>
    <mergeCell ref="BK74:BQ74"/>
    <mergeCell ref="AP76:AR76"/>
    <mergeCell ref="B36:D36"/>
    <mergeCell ref="BK76:BQ76"/>
    <mergeCell ref="AE78:AF78"/>
    <mergeCell ref="E46:I46"/>
    <mergeCell ref="AM41:AO41"/>
    <mergeCell ref="A10:A11"/>
    <mergeCell ref="B31:D31"/>
    <mergeCell ref="E41:I41"/>
    <mergeCell ref="AM66:AO66"/>
    <mergeCell ref="B39:D39"/>
    <mergeCell ref="E43:I43"/>
    <mergeCell ref="BB15:BD15"/>
    <mergeCell ref="BE16:BG16"/>
    <mergeCell ref="AM68:AO68"/>
    <mergeCell ref="BH52:BJ52"/>
    <mergeCell ref="BH79:BJ79"/>
    <mergeCell ref="BH81:BJ81"/>
    <mergeCell ref="BE11:BG11"/>
    <mergeCell ref="B49:D49"/>
    <mergeCell ref="B65:D65"/>
    <mergeCell ref="T7:V7"/>
    <mergeCell ref="X52:AD52"/>
    <mergeCell ref="AG67:AI67"/>
    <mergeCell ref="B50:D50"/>
    <mergeCell ref="AG69:AI69"/>
    <mergeCell ref="X53:AD53"/>
    <mergeCell ref="X47:AD47"/>
    <mergeCell ref="AJ42:AL42"/>
    <mergeCell ref="R2:V2"/>
    <mergeCell ref="X55:AD55"/>
    <mergeCell ref="J41:P41"/>
    <mergeCell ref="AV43:AX43"/>
    <mergeCell ref="BE72:BG72"/>
    <mergeCell ref="AY71:BA71"/>
    <mergeCell ref="J43:P43"/>
    <mergeCell ref="AV72:AX72"/>
    <mergeCell ref="AY73:BA73"/>
    <mergeCell ref="X71:AD71"/>
    <mergeCell ref="BE82:BG82"/>
    <mergeCell ref="J59:P59"/>
    <mergeCell ref="X66:AD66"/>
    <mergeCell ref="AP47:AR47"/>
    <mergeCell ref="AV31:AX31"/>
    <mergeCell ref="BE83:BG83"/>
    <mergeCell ref="AV62:AX62"/>
    <mergeCell ref="AV56:AX56"/>
    <mergeCell ref="BE85:BG85"/>
    <mergeCell ref="AS46:AU46"/>
    <mergeCell ref="AE41:AF41"/>
    <mergeCell ref="AV57:AX57"/>
    <mergeCell ref="E39:I39"/>
    <mergeCell ref="E14:I14"/>
    <mergeCell ref="AM64:AO64"/>
    <mergeCell ref="AS48:AU48"/>
    <mergeCell ref="AE43:AF43"/>
    <mergeCell ref="AV86:AX86"/>
    <mergeCell ref="BE13:BG13"/>
    <mergeCell ref="AM65:AO65"/>
    <mergeCell ref="AJ20:AL20"/>
    <mergeCell ref="AM21:AO21"/>
    <mergeCell ref="AJ22:AL22"/>
    <mergeCell ref="AS74:AU74"/>
    <mergeCell ref="AV75:AX75"/>
    <mergeCell ref="AJ51:AL51"/>
    <mergeCell ref="AS76:AU76"/>
    <mergeCell ref="E25:I25"/>
    <mergeCell ref="AV70:AX70"/>
    <mergeCell ref="E58:I58"/>
    <mergeCell ref="AJ38:AL38"/>
    <mergeCell ref="BE35:BG35"/>
    <mergeCell ref="AM49:AO49"/>
    <mergeCell ref="B73:D73"/>
    <mergeCell ref="E83:I83"/>
    <mergeCell ref="AM78:AO78"/>
    <mergeCell ref="AJ33:AL33"/>
    <mergeCell ref="J39:P39"/>
    <mergeCell ref="B74:D74"/>
    <mergeCell ref="B68:D68"/>
    <mergeCell ref="BB27:BD27"/>
    <mergeCell ref="E84:I84"/>
    <mergeCell ref="AJ35:AL35"/>
    <mergeCell ref="E78:I78"/>
    <mergeCell ref="BH34:BJ34"/>
    <mergeCell ref="B76:D76"/>
    <mergeCell ref="E86:I86"/>
    <mergeCell ref="E80:I80"/>
    <mergeCell ref="J65:P65"/>
    <mergeCell ref="BB37:BD37"/>
    <mergeCell ref="AG50:AI50"/>
    <mergeCell ref="BK13:BQ13"/>
    <mergeCell ref="BE79:BG79"/>
    <mergeCell ref="J25:P25"/>
    <mergeCell ref="Q46:W46"/>
    <mergeCell ref="BE81:BG81"/>
    <mergeCell ref="BB38:BD38"/>
    <mergeCell ref="W3:AH3"/>
    <mergeCell ref="Q48:W48"/>
    <mergeCell ref="B87:D87"/>
    <mergeCell ref="AS17:AU17"/>
    <mergeCell ref="AS11:AU11"/>
    <mergeCell ref="BB40:BD40"/>
    <mergeCell ref="Q41:W41"/>
    <mergeCell ref="AV53:AX53"/>
    <mergeCell ref="AS19:AU19"/>
    <mergeCell ref="Q43:W43"/>
    <mergeCell ref="AE39:AF39"/>
    <mergeCell ref="J84:P84"/>
    <mergeCell ref="J78:P78"/>
    <mergeCell ref="H8:J8"/>
    <mergeCell ref="BK10:BQ11"/>
    <mergeCell ref="AS14:AU14"/>
    <mergeCell ref="J80:P80"/>
    <mergeCell ref="BK28:BQ28"/>
    <mergeCell ref="AS72:AU72"/>
    <mergeCell ref="E21:I21"/>
    <mergeCell ref="E23:I23"/>
    <mergeCell ref="AE58:AF58"/>
    <mergeCell ref="AV68:AX68"/>
    <mergeCell ref="AM74:AO74"/>
    <mergeCell ref="AM76:AO76"/>
    <mergeCell ref="E49:I49"/>
    <mergeCell ref="AS83:AU83"/>
    <mergeCell ref="AE84:AF84"/>
    <mergeCell ref="E76:I76"/>
    <mergeCell ref="BH32:BJ32"/>
    <mergeCell ref="AS85:AU85"/>
    <mergeCell ref="AE86:AF86"/>
    <mergeCell ref="AE80:AF80"/>
    <mergeCell ref="AS84:AU84"/>
    <mergeCell ref="AG21:AI21"/>
    <mergeCell ref="BE50:BG50"/>
    <mergeCell ref="BE44:BG44"/>
    <mergeCell ref="AJ57:AL57"/>
    <mergeCell ref="J21:P21"/>
    <mergeCell ref="A1:E1"/>
    <mergeCell ref="AG48:AI48"/>
    <mergeCell ref="Q17:W17"/>
    <mergeCell ref="BB34:BD34"/>
    <mergeCell ref="AM87:AO87"/>
    <mergeCell ref="J23:P23"/>
    <mergeCell ref="BH58:BJ58"/>
    <mergeCell ref="BB36:BD36"/>
    <mergeCell ref="Q39:W39"/>
    <mergeCell ref="AJ75:AL75"/>
    <mergeCell ref="J74:P74"/>
    <mergeCell ref="J49:P49"/>
    <mergeCell ref="BB62:BD62"/>
    <mergeCell ref="AY17:BA17"/>
    <mergeCell ref="AJ70:AL70"/>
    <mergeCell ref="AY53:BA53"/>
    <mergeCell ref="BK24:BQ24"/>
    <mergeCell ref="BB64:BD64"/>
    <mergeCell ref="Q65:W65"/>
    <mergeCell ref="AY55:BA55"/>
    <mergeCell ref="BH71:BJ71"/>
    <mergeCell ref="K8:M8"/>
    <mergeCell ref="BH73:BJ73"/>
    <mergeCell ref="BK19:BQ19"/>
    <mergeCell ref="AE21:AF21"/>
    <mergeCell ref="X46:AD46"/>
    <mergeCell ref="AP27:AR27"/>
    <mergeCell ref="AS28:AU28"/>
    <mergeCell ref="AY79:BA79"/>
    <mergeCell ref="X48:AD48"/>
    <mergeCell ref="AE23:AF23"/>
    <mergeCell ref="AG87:AI87"/>
    <mergeCell ref="J87:P87"/>
    <mergeCell ref="Q83:W83"/>
    <mergeCell ref="BB75:BD75"/>
    <mergeCell ref="Q85:W85"/>
    <mergeCell ref="AS54:AU54"/>
    <mergeCell ref="Q78:W78"/>
    <mergeCell ref="AE49:AF49"/>
    <mergeCell ref="E47:I47"/>
    <mergeCell ref="AP55:AR55"/>
    <mergeCell ref="AS56:AU56"/>
    <mergeCell ref="AP38:AR38"/>
    <mergeCell ref="Q80:W80"/>
    <mergeCell ref="AE76:AF76"/>
    <mergeCell ref="BK38:BQ38"/>
    <mergeCell ref="F4:AH4"/>
    <mergeCell ref="AG17:AI17"/>
    <mergeCell ref="AM39:AO39"/>
    <mergeCell ref="AP40:AR40"/>
    <mergeCell ref="Q13:W13"/>
    <mergeCell ref="AG19:AI19"/>
    <mergeCell ref="AG14:AI14"/>
    <mergeCell ref="BH16:BJ16"/>
    <mergeCell ref="AM29:AO29"/>
    <mergeCell ref="AM23:AO23"/>
    <mergeCell ref="AG72:AI72"/>
    <mergeCell ref="BB58:BD58"/>
    <mergeCell ref="J47:P47"/>
    <mergeCell ref="AY24:BA24"/>
    <mergeCell ref="BB60:BD60"/>
    <mergeCell ref="J76:P76"/>
    <mergeCell ref="AY19:BA19"/>
    <mergeCell ref="Q21:W21"/>
    <mergeCell ref="K6:M6"/>
    <mergeCell ref="AG85:AI85"/>
    <mergeCell ref="BB71:BD71"/>
    <mergeCell ref="AG84:AI84"/>
    <mergeCell ref="AG86:AI86"/>
    <mergeCell ref="AY72:BA72"/>
    <mergeCell ref="BB73:BD73"/>
    <mergeCell ref="AG80:AI80"/>
    <mergeCell ref="Q74:W74"/>
    <mergeCell ref="Q49:W49"/>
    <mergeCell ref="BK43:BQ43"/>
    <mergeCell ref="Q76:W76"/>
    <mergeCell ref="X72:AD72"/>
    <mergeCell ref="AE47:AF47"/>
    <mergeCell ref="BK34:BQ34"/>
    <mergeCell ref="AY59:BA59"/>
    <mergeCell ref="BH82:BJ82"/>
    <mergeCell ref="BH88:BJ88"/>
    <mergeCell ref="J58:P58"/>
    <mergeCell ref="AP11:AR11"/>
    <mergeCell ref="BK36:BQ36"/>
    <mergeCell ref="AY88:BA88"/>
    <mergeCell ref="AS47:AU47"/>
    <mergeCell ref="AY54:BA54"/>
    <mergeCell ref="BH83:BJ83"/>
    <mergeCell ref="BK61:BQ61"/>
    <mergeCell ref="X82:AD82"/>
    <mergeCell ref="AP62:AR62"/>
    <mergeCell ref="AV46:AX46"/>
    <mergeCell ref="AY85:BA85"/>
    <mergeCell ref="BK62:BQ62"/>
    <mergeCell ref="E10:I11"/>
    <mergeCell ref="BK56:BQ56"/>
    <mergeCell ref="X83:AD83"/>
    <mergeCell ref="AP64:AR64"/>
    <mergeCell ref="BK64:BQ64"/>
    <mergeCell ref="X85:AD85"/>
    <mergeCell ref="B17:D17"/>
    <mergeCell ref="AE59:AF59"/>
    <mergeCell ref="BH51:BJ51"/>
    <mergeCell ref="AP65:AR65"/>
    <mergeCell ref="AM20:AO20"/>
    <mergeCell ref="B19:D19"/>
    <mergeCell ref="AY15:BA15"/>
    <mergeCell ref="AG23:AI23"/>
    <mergeCell ref="BH40:BJ40"/>
    <mergeCell ref="X13:AD13"/>
    <mergeCell ref="AP75:AR75"/>
    <mergeCell ref="BK75:BQ75"/>
    <mergeCell ref="AG54:AI54"/>
    <mergeCell ref="BH69:BJ69"/>
    <mergeCell ref="BE24:BG24"/>
    <mergeCell ref="BH25:BJ25"/>
    <mergeCell ref="AM38:AO38"/>
    <mergeCell ref="BH35:BJ35"/>
    <mergeCell ref="AG56:AI56"/>
    <mergeCell ref="AJ39:AL39"/>
    <mergeCell ref="AM40:AO40"/>
    <mergeCell ref="J10:P11"/>
    <mergeCell ref="BB42:BD42"/>
    <mergeCell ref="AG49:AI49"/>
    <mergeCell ref="AY35:BA35"/>
    <mergeCell ref="BE42:BG42"/>
    <mergeCell ref="Q47:W47"/>
    <mergeCell ref="BE52:BG52"/>
    <mergeCell ref="A6:G6"/>
    <mergeCell ref="AY61:BA61"/>
    <mergeCell ref="AV16:AX16"/>
    <mergeCell ref="B86:D86"/>
    <mergeCell ref="AY81:BA81"/>
    <mergeCell ref="AV17:AX17"/>
    <mergeCell ref="AY56:BA56"/>
    <mergeCell ref="AV11:AX11"/>
    <mergeCell ref="X79:AD79"/>
    <mergeCell ref="AE10:AF11"/>
    <mergeCell ref="BK60:BQ60"/>
    <mergeCell ref="X81:AD81"/>
    <mergeCell ref="AV44:AX44"/>
    <mergeCell ref="B15:D15"/>
    <mergeCell ref="AS34:AU34"/>
    <mergeCell ref="E27:I27"/>
    <mergeCell ref="BK71:BQ71"/>
    <mergeCell ref="BH65:BJ65"/>
    <mergeCell ref="E22:I22"/>
    <mergeCell ref="BK73:BQ73"/>
    <mergeCell ref="BH31:BJ31"/>
    <mergeCell ref="AV88:AX88"/>
    <mergeCell ref="AP74:AR74"/>
    <mergeCell ref="B34:D34"/>
    <mergeCell ref="B28:D28"/>
    <mergeCell ref="E38:I38"/>
    <mergeCell ref="AV83:AX83"/>
    <mergeCell ref="E40:I40"/>
    <mergeCell ref="BE48:BG48"/>
    <mergeCell ref="AV85:AX85"/>
    <mergeCell ref="B54:D54"/>
    <mergeCell ref="AJ46:AL46"/>
    <mergeCell ref="AJ21:AL21"/>
    <mergeCell ref="J27:P27"/>
    <mergeCell ref="B56:D56"/>
    <mergeCell ref="BH80:BJ80"/>
    <mergeCell ref="J20:P20"/>
    <mergeCell ref="BE51:BG51"/>
    <mergeCell ref="AY50:BA50"/>
    <mergeCell ref="J22:P22"/>
    <mergeCell ref="AY52:BA52"/>
    <mergeCell ref="X44:AD44"/>
    <mergeCell ref="Q10:W11"/>
    <mergeCell ref="BB25:BD25"/>
    <mergeCell ref="BE67:BG67"/>
    <mergeCell ref="BE61:BG61"/>
    <mergeCell ref="AJ74:AL74"/>
    <mergeCell ref="AM75:AO75"/>
    <mergeCell ref="J38:P38"/>
    <mergeCell ref="K7:M7"/>
    <mergeCell ref="Q28:W28"/>
    <mergeCell ref="BE69:BG69"/>
    <mergeCell ref="AJ76:AL76"/>
    <mergeCell ref="J40:P40"/>
    <mergeCell ref="BE62:BG62"/>
    <mergeCell ref="B75:D75"/>
    <mergeCell ref="AV35:AX35"/>
    <mergeCell ref="BE64:BG64"/>
    <mergeCell ref="J35:P35"/>
    <mergeCell ref="AE27:AF27"/>
    <mergeCell ref="F3:Q3"/>
    <mergeCell ref="AE20:AF20"/>
    <mergeCell ref="AS27:AU27"/>
    <mergeCell ref="BB79:BD79"/>
    <mergeCell ref="AJ87:AL87"/>
    <mergeCell ref="AE38:AF38"/>
    <mergeCell ref="AV54:AX54"/>
    <mergeCell ref="AE40:AF40"/>
    <mergeCell ref="AS38:AU38"/>
    <mergeCell ref="AM62:AO62"/>
    <mergeCell ref="AJ17:AL17"/>
    <mergeCell ref="AM56:AO56"/>
    <mergeCell ref="AJ19:AL19"/>
    <mergeCell ref="E62:I62"/>
    <mergeCell ref="AS71:AU71"/>
    <mergeCell ref="AM57:AO57"/>
    <mergeCell ref="E64:I64"/>
    <mergeCell ref="B55:D55"/>
    <mergeCell ref="BB21:BD21"/>
    <mergeCell ref="E65:I65"/>
    <mergeCell ref="AJ47:AL47"/>
    <mergeCell ref="BB16:BD16"/>
    <mergeCell ref="AG29:AI29"/>
    <mergeCell ref="AG10:AU10"/>
    <mergeCell ref="B71:D71"/>
    <mergeCell ref="BB24:BD24"/>
    <mergeCell ref="AG31:AI31"/>
    <mergeCell ref="E75:I75"/>
    <mergeCell ref="BE60:BG60"/>
  </mergeCells>
  <dataValidations count="4">
    <dataValidation sqref="AE13:AE17 AE19:AE25 AE27:AE29 AE31:AE44 AE46:AE62 AE64:AE76 AE78:AE88" showDropDown="0" showInputMessage="0" showErrorMessage="0" allowBlank="1" type="list">
      <formula1>"N,A,B"</formula1>
    </dataValidation>
    <dataValidation sqref="AG13:AG17 AG19:AG25 AG27:AG29 AG31:AG44 AG46:AG62 AG64:AG76 AG78:AG88" showDropDown="0" showInputMessage="0" showErrorMessage="0" allowBlank="1" type="list">
      <formula1>"合格,不合格,未テスト,N/A"</formula1>
    </dataValidation>
    <dataValidation sqref="AV13:AV17 AV19:AV25 AV27:AV29 AV31:AV44 AV46:AV62 AV64:AV76 AV78:AV88" showDropDown="0" showInputMessage="0" showErrorMessage="0" allowBlank="1" type="list">
      <formula1>"合格,不合格,未テスト,N/A"</formula1>
    </dataValidation>
    <dataValidation sqref="F1" showDropDown="0" showInputMessage="0" showErrorMessage="0" allowBlank="1" type="list">
      <formula1>"単体テスト,結合テスト,システムテスト"</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2026-05-14T08:08:32Z</dcterms:created>
  <dcterms:modified xsi:type="dcterms:W3CDTF">2026-05-14T08:08:33Z</dcterms:modified>
</cp:coreProperties>
</file>