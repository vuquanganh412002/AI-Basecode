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 sheetId="1" state="visible" r:id="rId1"/>
    <sheet name="変更履歴" sheetId="2" state="visible" r:id="rId2"/>
    <sheet name="概要" sheetId="3" state="visible" r:id="rId3"/>
    <sheet name="テスト報告書" sheetId="4" state="visible" r:id="rId4"/>
    <sheet name="テスト観点" sheetId="5" state="visible" r:id="rId5"/>
    <sheet name="機能"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游ゴシック"/>
      <color rgb="FF1F3864"/>
      <sz val="26"/>
    </font>
    <font>
      <name val="游ゴシック"/>
      <color rgb="FF1F3864"/>
      <sz val="24"/>
    </font>
    <font>
      <name val="游ゴシック"/>
      <sz val="15"/>
    </font>
    <font>
      <name val="游ゴシック"/>
      <color rgb="FF000000"/>
      <sz val="10"/>
    </font>
    <font>
      <name val="游ゴシック"/>
      <b val="1"/>
      <color rgb="FF000000"/>
      <sz val="11"/>
    </font>
    <font>
      <name val="游ゴシック"/>
      <color rgb="FF000000"/>
      <sz val="11"/>
    </font>
    <font>
      <name val="游ゴシック"/>
      <b val="1"/>
      <color rgb="FF000000"/>
      <sz val="14"/>
    </font>
    <font>
      <name val="游ゴシック"/>
      <i val="1"/>
      <color rgb="FF000000"/>
      <sz val="11"/>
    </font>
  </fonts>
  <fills count="10">
    <fill>
      <patternFill/>
    </fill>
    <fill>
      <patternFill patternType="gray125"/>
    </fill>
    <fill>
      <patternFill patternType="solid">
        <fgColor rgb="FFD9E2F3"/>
      </patternFill>
    </fill>
    <fill>
      <patternFill patternType="solid">
        <fgColor rgb="FFB4C6E7"/>
      </patternFill>
    </fill>
    <fill>
      <patternFill patternType="solid">
        <fgColor rgb="FFFFFF99"/>
      </patternFill>
    </fill>
    <fill>
      <patternFill patternType="solid">
        <fgColor rgb="FFBDD6EE"/>
      </patternFill>
    </fill>
    <fill>
      <patternFill patternType="solid">
        <fgColor rgb="FFDEEAF6"/>
      </patternFill>
    </fill>
    <fill>
      <patternFill patternType="solid">
        <fgColor rgb="FFFFC7CE"/>
      </patternFill>
    </fill>
    <fill>
      <patternFill patternType="solid">
        <fgColor rgb="FFFFEB9C"/>
      </patternFill>
    </fill>
    <fill>
      <patternFill patternType="solid">
        <fgColor rgb="FFC6EFCE"/>
      </patternFill>
    </fill>
  </fills>
  <borders count="23">
    <border>
      <left/>
      <right/>
      <top/>
      <bottom/>
      <diagonal/>
    </border>
    <border>
      <left style="thin">
        <color rgb="FF000000"/>
      </left>
      <right/>
      <top style="thin">
        <color rgb="FF000000"/>
      </top>
    </border>
    <border>
      <left/>
      <right/>
      <top style="thin">
        <color rgb="FF000000"/>
      </top>
    </border>
    <border>
      <left/>
      <right style="thin">
        <color rgb="FF000000"/>
      </right>
      <top style="thin">
        <color rgb="FF000000"/>
      </top>
    </border>
    <border>
      <left style="thin">
        <color rgb="FF000000"/>
      </left>
    </border>
    <border>
      <right style="thin">
        <color rgb="FF000000"/>
      </right>
    </border>
    <border>
      <left style="thin">
        <color rgb="FF000000"/>
      </left>
      <right/>
      <bottom style="thin">
        <color rgb="FF000000"/>
      </bottom>
    </border>
    <border>
      <left/>
      <right/>
      <bottom style="thin">
        <color rgb="FF000000"/>
      </bottom>
    </border>
    <border>
      <left/>
      <right style="thin">
        <color rgb="FF000000"/>
      </right>
      <bottom style="thin">
        <color rgb="FF000000"/>
      </bottom>
    </border>
    <border>
      <left style="thin">
        <color rgb="FF000000"/>
      </left>
      <right style="thin">
        <color rgb="FF000000"/>
      </right>
    </border>
    <border>
      <left/>
      <right style="thin">
        <color rgb="FF000000"/>
      </right>
      <top/>
      <bottom/>
      <diagonal/>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numFmtId="0" fontId="0" fillId="0" borderId="0"/>
  </cellStyleXfs>
  <cellXfs count="55">
    <xf numFmtId="0" fontId="0" fillId="0" borderId="0" pivotButton="0" quotePrefix="0" xfId="0"/>
    <xf numFmtId="0" fontId="0" fillId="0" borderId="1" pivotButton="0" quotePrefix="0" xfId="0"/>
    <xf numFmtId="0" fontId="0" fillId="0" borderId="2" pivotButton="0" quotePrefix="0" xfId="0"/>
    <xf numFmtId="0" fontId="0" fillId="0" borderId="3" pivotButton="0" quotePrefix="0" xfId="0"/>
    <xf numFmtId="0" fontId="0" fillId="0" borderId="4" pivotButton="0" quotePrefix="0" xfId="0"/>
    <xf numFmtId="0" fontId="0" fillId="0" borderId="5" pivotButton="0" quotePrefix="0" xfId="0"/>
    <xf numFmtId="0" fontId="1" fillId="0" borderId="4" applyAlignment="1" pivotButton="0" quotePrefix="0" xfId="0">
      <alignment horizontal="center" vertical="center" wrapText="1"/>
    </xf>
    <xf numFmtId="0" fontId="2" fillId="0" borderId="4" applyAlignment="1" pivotButton="0" quotePrefix="0" xfId="0">
      <alignment horizontal="center" vertical="center" wrapText="1"/>
    </xf>
    <xf numFmtId="0" fontId="3" fillId="0" borderId="4" applyAlignment="1" pivotButton="0" quotePrefix="0" xfId="0">
      <alignment horizontal="center" vertical="center" wrapText="1"/>
    </xf>
    <xf numFmtId="0" fontId="4" fillId="2" borderId="11" applyAlignment="1" pivotButton="0" quotePrefix="0" xfId="0">
      <alignment horizontal="center" vertical="center" wrapText="1"/>
    </xf>
    <xf numFmtId="0" fontId="0" fillId="0" borderId="12" pivotButton="0" quotePrefix="0" xfId="0"/>
    <xf numFmtId="0" fontId="0" fillId="0" borderId="13" pivotButton="0" quotePrefix="0" xfId="0"/>
    <xf numFmtId="49" fontId="4" fillId="2" borderId="1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8" pivotButton="0" quotePrefix="0" xfId="0"/>
    <xf numFmtId="0" fontId="5" fillId="3" borderId="14" applyAlignment="1" pivotButton="0" quotePrefix="0" xfId="0">
      <alignment horizontal="center" vertical="center" wrapText="1"/>
    </xf>
    <xf numFmtId="0" fontId="5" fillId="3" borderId="11"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1" applyAlignment="1" pivotButton="0" quotePrefix="0" xfId="0">
      <alignment horizontal="left" vertical="center" wrapText="1"/>
    </xf>
    <xf numFmtId="0" fontId="6" fillId="0" borderId="15" applyAlignment="1" pivotButton="0" quotePrefix="0" xfId="0">
      <alignment horizontal="center" vertical="center" wrapText="1"/>
    </xf>
    <xf numFmtId="0" fontId="0" fillId="0" borderId="16" pivotButton="0" quotePrefix="0" xfId="0"/>
    <xf numFmtId="0" fontId="0" fillId="0" borderId="17" pivotButton="0" quotePrefix="0" xfId="0"/>
    <xf numFmtId="49" fontId="6" fillId="0" borderId="15" applyAlignment="1" pivotButton="0" quotePrefix="0" xfId="0">
      <alignment horizontal="center" vertical="center" wrapText="1"/>
    </xf>
    <xf numFmtId="0" fontId="0" fillId="0" borderId="18" pivotButton="0" quotePrefix="0" xfId="0"/>
    <xf numFmtId="0" fontId="0" fillId="0" borderId="19" pivotButton="0" quotePrefix="0" xfId="0"/>
    <xf numFmtId="0" fontId="0" fillId="0" borderId="20" pivotButton="0" quotePrefix="0" xfId="0"/>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5" fillId="4" borderId="0" applyAlignment="1" pivotButton="0" quotePrefix="0" xfId="0">
      <alignment horizontal="left" vertical="center" wrapText="1"/>
    </xf>
    <xf numFmtId="0" fontId="7" fillId="3" borderId="11" applyAlignment="1" pivotButton="0" quotePrefix="0" xfId="0">
      <alignment horizontal="center" vertical="center" wrapText="1"/>
    </xf>
    <xf numFmtId="0" fontId="5" fillId="5" borderId="11" applyAlignment="1" pivotButton="0" quotePrefix="0" xfId="0">
      <alignment horizontal="left" vertical="center" wrapText="1"/>
    </xf>
    <xf numFmtId="49" fontId="6" fillId="0" borderId="11" applyAlignment="1" pivotButton="0" quotePrefix="0" xfId="0">
      <alignment horizontal="left" vertical="center" wrapText="1"/>
    </xf>
    <xf numFmtId="0" fontId="5" fillId="5" borderId="21" applyAlignment="1" pivotButton="0" quotePrefix="0" xfId="0">
      <alignment horizontal="center" vertical="center" wrapText="1"/>
    </xf>
    <xf numFmtId="0" fontId="5" fillId="5" borderId="15" applyAlignment="1" pivotButton="0" quotePrefix="0" xfId="0">
      <alignment horizontal="center" vertical="center" wrapText="1"/>
    </xf>
    <xf numFmtId="0" fontId="5" fillId="5" borderId="11" applyAlignment="1" pivotButton="0" quotePrefix="0" xfId="0">
      <alignment horizontal="center" vertical="center" wrapText="1"/>
    </xf>
    <xf numFmtId="0" fontId="0" fillId="0" borderId="22" pivotButton="0" quotePrefix="0" xfId="0"/>
    <xf numFmtId="0" fontId="5" fillId="6" borderId="14" applyAlignment="1" pivotButton="0" quotePrefix="0" xfId="0">
      <alignment horizontal="left" vertical="center" wrapText="1"/>
    </xf>
    <xf numFmtId="164" fontId="6" fillId="0" borderId="11" applyAlignment="1" pivotButton="0" quotePrefix="0" xfId="0">
      <alignment horizontal="center" vertical="center" wrapText="1"/>
    </xf>
    <xf numFmtId="0" fontId="5" fillId="0" borderId="11" applyAlignment="1" pivotButton="0" quotePrefix="0" xfId="0">
      <alignment horizontal="center" vertical="center" wrapText="1"/>
    </xf>
    <xf numFmtId="164" fontId="5" fillId="0" borderId="11" applyAlignment="1" pivotButton="0" quotePrefix="0" xfId="0">
      <alignment horizontal="center" vertical="center" wrapText="1"/>
    </xf>
    <xf numFmtId="0" fontId="5" fillId="6" borderId="14" applyAlignment="1" pivotButton="0" quotePrefix="0" xfId="0">
      <alignment horizontal="center" vertical="center" wrapText="1"/>
    </xf>
    <xf numFmtId="0" fontId="5" fillId="6" borderId="11" applyAlignment="1" pivotButton="0" quotePrefix="0" xfId="0">
      <alignment horizontal="center" vertical="center" wrapText="1"/>
    </xf>
    <xf numFmtId="0" fontId="6" fillId="0" borderId="14" applyAlignment="1" pivotButton="0" quotePrefix="0" xfId="0">
      <alignment horizontal="center" vertical="top" wrapText="1"/>
    </xf>
    <xf numFmtId="0" fontId="6" fillId="0" borderId="11" applyAlignment="1" pivotButton="0" quotePrefix="0" xfId="0">
      <alignment horizontal="center" vertical="top" wrapText="1"/>
    </xf>
    <xf numFmtId="0" fontId="6" fillId="0" borderId="11" applyAlignment="1" pivotButton="0" quotePrefix="0" xfId="0">
      <alignment horizontal="left" vertical="top" wrapText="1"/>
    </xf>
    <xf numFmtId="0" fontId="5" fillId="7" borderId="11" applyAlignment="1" pivotButton="0" quotePrefix="0" xfId="0">
      <alignment horizontal="center" vertical="top" wrapText="1"/>
    </xf>
    <xf numFmtId="0" fontId="5" fillId="8" borderId="11" applyAlignment="1" pivotButton="0" quotePrefix="0" xfId="0">
      <alignment horizontal="center" vertical="top" wrapText="1"/>
    </xf>
    <xf numFmtId="0" fontId="5" fillId="9" borderId="11" applyAlignment="1" pivotButton="0" quotePrefix="0" xfId="0">
      <alignment horizontal="center" vertical="top" wrapText="1"/>
    </xf>
    <xf numFmtId="0" fontId="5" fillId="5" borderId="11" applyAlignment="1" pivotButton="0" quotePrefix="0" xfId="0">
      <alignment horizontal="right" vertical="center" wrapText="1"/>
    </xf>
    <xf numFmtId="0" fontId="5" fillId="0" borderId="11" applyAlignment="1" pivotButton="0" quotePrefix="0" xfId="0">
      <alignment horizontal="center" vertical="top" wrapText="1"/>
    </xf>
    <xf numFmtId="0" fontId="8" fillId="0" borderId="11" applyAlignment="1" pivotButton="0" quotePrefix="0" xfId="0">
      <alignment horizontal="left" vertical="top" wrapText="1"/>
    </xf>
    <xf numFmtId="0" fontId="5" fillId="6" borderId="21" applyAlignment="1" pivotButton="0" quotePrefix="0" xfId="0">
      <alignment horizontal="center" vertical="center" wrapText="1"/>
    </xf>
    <xf numFmtId="0" fontId="5" fillId="6" borderId="1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15</col>
      <colOff>0</colOff>
      <row>2</row>
      <rowOff>0</rowOff>
    </from>
    <ext cx="1333500" cy="51435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AK34"/>
  <sheetViews>
    <sheetView showGridLines="0" workbookViewId="0">
      <selection activeCell="A1" sqref="A1"/>
    </sheetView>
  </sheetViews>
  <sheetFormatPr baseColWidth="8" defaultColWidth="14.5" defaultRowHeight="12.75" customHeight="1"/>
  <cols>
    <col width="3.66" customWidth="1" min="1" max="1"/>
    <col width="3.25" customWidth="1" min="2" max="2"/>
    <col width="3.25" customWidth="1" min="3" max="3"/>
    <col width="3.25" customWidth="1" min="4" max="4"/>
    <col width="3.25" customWidth="1" min="5" max="5"/>
    <col width="3.25" customWidth="1" min="6" max="6"/>
    <col width="3.25" customWidth="1" min="7" max="7"/>
    <col width="3.25" customWidth="1" min="8" max="8"/>
    <col width="3.25" customWidth="1" min="9" max="9"/>
    <col width="3.25" customWidth="1" min="10" max="10"/>
    <col width="3.25" customWidth="1" min="11" max="11"/>
    <col width="3.25" customWidth="1" min="12" max="12"/>
    <col width="3.25" customWidth="1" min="13" max="13"/>
    <col width="3.25" customWidth="1" min="14" max="14"/>
    <col width="3.25" customWidth="1" min="15" max="15"/>
    <col width="3.25" customWidth="1" min="16" max="16"/>
    <col width="3.25" customWidth="1" min="17" max="17"/>
    <col width="3.25" customWidth="1" min="18" max="18"/>
    <col width="3.25" customWidth="1" min="19" max="19"/>
    <col width="3.25" customWidth="1" min="20" max="20"/>
    <col width="3.25" customWidth="1" min="21" max="21"/>
    <col width="3.25" customWidth="1" min="22" max="22"/>
    <col width="3.25" customWidth="1" min="23" max="23"/>
    <col width="3.25" customWidth="1" min="24" max="24"/>
    <col width="3.25" customWidth="1" min="25" max="25"/>
    <col width="3.25" customWidth="1" min="26" max="26"/>
    <col width="3.25" customWidth="1" min="27" max="27"/>
    <col width="3.25" customWidth="1" min="28" max="28"/>
    <col width="3.25" customWidth="1" min="29" max="29"/>
    <col width="3.25" customWidth="1" min="30" max="30"/>
    <col width="3.25" customWidth="1" min="31" max="31"/>
    <col width="3.25" customWidth="1" min="32" max="32"/>
    <col width="3.25" customWidth="1" min="33" max="33"/>
    <col width="3.25" customWidth="1" min="34" max="34"/>
    <col width="3.25" customWidth="1" min="35" max="35"/>
    <col width="3.25" customWidth="1" min="36" max="36"/>
    <col width="3.25" customWidth="1" min="37" max="37"/>
  </cols>
  <sheetData>
    <row r="1" ht="19.5" customHeight="1"/>
    <row r="2" ht="12.75" customHeight="1">
      <c r="B2" s="1"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3" t="n"/>
    </row>
    <row r="3" ht="12.75" customHeight="1">
      <c r="B3" s="4" t="n"/>
      <c r="AK3" s="5" t="n"/>
    </row>
    <row r="4" ht="12.75" customHeight="1">
      <c r="B4" s="4" t="n"/>
      <c r="AK4" s="5" t="n"/>
    </row>
    <row r="5" ht="12.75" customHeight="1">
      <c r="B5" s="4" t="n"/>
      <c r="AK5" s="5" t="n"/>
    </row>
    <row r="6" ht="12.75" customHeight="1">
      <c r="B6" s="4" t="n"/>
      <c r="AK6" s="5" t="n"/>
    </row>
    <row r="7" ht="12.75" customHeight="1">
      <c r="B7" s="4" t="n"/>
      <c r="AK7" s="5" t="n"/>
    </row>
    <row r="8" ht="12.75" customHeight="1">
      <c r="B8" s="4" t="n"/>
      <c r="AK8" s="5" t="n"/>
    </row>
    <row r="9" ht="12.75" customHeight="1">
      <c r="B9" s="4" t="n"/>
      <c r="AK9" s="5" t="n"/>
    </row>
    <row r="10" ht="29.25" customHeight="1">
      <c r="B10" s="6" t="inlineStr">
        <is>
          <t>クラウド版購読者管理システム</t>
        </is>
      </c>
      <c r="AK10" s="5" t="n"/>
    </row>
    <row r="11" ht="12.75" customHeight="1">
      <c r="B11" s="4" t="n"/>
      <c r="AK11" s="5" t="n"/>
    </row>
    <row r="12" ht="39" customHeight="1">
      <c r="B12" s="7" t="inlineStr">
        <is>
          <t>購読者情報登録画面</t>
        </is>
      </c>
      <c r="AK12" s="5" t="n"/>
    </row>
    <row r="13" ht="12.75" customHeight="1">
      <c r="B13" s="4" t="n"/>
      <c r="AK13" s="5" t="n"/>
    </row>
    <row r="14" ht="12.75" customHeight="1">
      <c r="B14" s="4" t="n"/>
      <c r="AK14" s="5" t="n"/>
    </row>
    <row r="15" ht="12.75" customHeight="1">
      <c r="B15" s="8" t="inlineStr">
        <is>
          <t>版1.0</t>
        </is>
      </c>
      <c r="AK15" s="5" t="n"/>
    </row>
    <row r="16" ht="12.75" customHeight="1">
      <c r="B16" s="4" t="n"/>
      <c r="AK16" s="5" t="n"/>
    </row>
    <row r="17" ht="12.75" customHeight="1">
      <c r="B17" s="4" t="n"/>
      <c r="AK17" s="5" t="n"/>
    </row>
    <row r="18" ht="12.75" customHeight="1">
      <c r="B18" s="4" t="n"/>
      <c r="N18" s="9" t="inlineStr">
        <is>
          <t>フォーマットコード</t>
        </is>
      </c>
      <c r="O18" s="10" t="n"/>
      <c r="P18" s="10" t="n"/>
      <c r="Q18" s="10" t="n"/>
      <c r="R18" s="11" t="n"/>
      <c r="S18" s="9" t="inlineStr">
        <is>
          <t>16-BM/PM/VTI</t>
        </is>
      </c>
      <c r="T18" s="10" t="n"/>
      <c r="U18" s="10" t="n"/>
      <c r="V18" s="10" t="n"/>
      <c r="W18" s="11" t="n"/>
      <c r="AK18" s="5" t="n"/>
    </row>
    <row r="19" ht="12.75" customHeight="1">
      <c r="B19" s="4" t="n"/>
      <c r="N19" s="9" t="inlineStr">
        <is>
          <t>フォーマットバージョン</t>
        </is>
      </c>
      <c r="O19" s="10" t="n"/>
      <c r="P19" s="10" t="n"/>
      <c r="Q19" s="10" t="n"/>
      <c r="R19" s="11" t="n"/>
      <c r="S19" s="9" t="inlineStr">
        <is>
          <t>1.0</t>
        </is>
      </c>
      <c r="T19" s="10" t="n"/>
      <c r="U19" s="10" t="n"/>
      <c r="V19" s="10" t="n"/>
      <c r="W19" s="11" t="n"/>
      <c r="AK19" s="5" t="n"/>
    </row>
    <row r="20" ht="12.75" customHeight="1">
      <c r="B20" s="4" t="n"/>
      <c r="N20" s="9" t="inlineStr">
        <is>
          <t>発行日</t>
        </is>
      </c>
      <c r="O20" s="10" t="n"/>
      <c r="P20" s="10" t="n"/>
      <c r="Q20" s="10" t="n"/>
      <c r="R20" s="11" t="n"/>
      <c r="S20" s="12" t="inlineStr">
        <is>
          <t>2026/06/03</t>
        </is>
      </c>
      <c r="T20" s="10" t="n"/>
      <c r="U20" s="10" t="n"/>
      <c r="V20" s="10" t="n"/>
      <c r="W20" s="11" t="n"/>
      <c r="AK20" s="5" t="n"/>
    </row>
    <row r="21" ht="12.75" customHeight="1">
      <c r="B21" s="4" t="n"/>
      <c r="AK21" s="5" t="n"/>
    </row>
    <row r="22" ht="12.75" customHeight="1">
      <c r="B22" s="4" t="n"/>
      <c r="AK22" s="5" t="n"/>
    </row>
    <row r="23" ht="12.75" customHeight="1">
      <c r="B23" s="4" t="n"/>
      <c r="AK23" s="5" t="n"/>
    </row>
    <row r="24" ht="12.75" customHeight="1">
      <c r="B24" s="4" t="n"/>
      <c r="AK24" s="5" t="n"/>
    </row>
    <row r="25" ht="12.75" customHeight="1">
      <c r="B25" s="4" t="n"/>
      <c r="AK25" s="5" t="n"/>
    </row>
    <row r="26" ht="12.75" customHeight="1">
      <c r="B26" s="4" t="n"/>
      <c r="AK26" s="5" t="n"/>
    </row>
    <row r="27" ht="12.75" customHeight="1">
      <c r="B27" s="4" t="n"/>
      <c r="AK27" s="5" t="n"/>
    </row>
    <row r="28" ht="12.75" customHeight="1">
      <c r="B28" s="4" t="n"/>
      <c r="AK28" s="5" t="n"/>
    </row>
    <row r="29" ht="12.75" customHeight="1">
      <c r="B29" s="4" t="n"/>
      <c r="AK29" s="5" t="n"/>
    </row>
    <row r="30" ht="12.75" customHeight="1">
      <c r="B30" s="4" t="n"/>
      <c r="AK30" s="5" t="n"/>
    </row>
    <row r="31" ht="12.75" customHeight="1">
      <c r="B31" s="4" t="n"/>
      <c r="AK31" s="5" t="n"/>
    </row>
    <row r="32" ht="12.75" customHeight="1">
      <c r="B32" s="4" t="n"/>
      <c r="AK32" s="5" t="n"/>
    </row>
    <row r="33" ht="12.75" customHeight="1">
      <c r="B33" s="4" t="n"/>
      <c r="AK33" s="5" t="n"/>
    </row>
    <row r="34" ht="12.75" customHeight="1">
      <c r="B34" s="13" t="n"/>
      <c r="C34" s="14" t="n"/>
      <c r="D34" s="14" t="n"/>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5" t="n"/>
    </row>
    <row r="35" ht="12.75" customHeight="1"/>
  </sheetData>
  <mergeCells count="9">
    <mergeCell ref="N20:R20"/>
    <mergeCell ref="S20:W20"/>
    <mergeCell ref="B12:AK12"/>
    <mergeCell ref="B15:AK15"/>
    <mergeCell ref="B10:AK10"/>
    <mergeCell ref="S19:W19"/>
    <mergeCell ref="N18:R18"/>
    <mergeCell ref="N19:R19"/>
    <mergeCell ref="S18:W18"/>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H2"/>
  <sheetViews>
    <sheetView showGridLines="0" workbookViewId="0">
      <selection activeCell="A1" sqref="A1"/>
    </sheetView>
  </sheetViews>
  <sheetFormatPr baseColWidth="8" defaultColWidth="3.33" defaultRowHeight="15"/>
  <cols>
    <col width="8" customWidth="1" min="1" max="1"/>
    <col width="3.33" customWidth="1" min="2" max="2"/>
    <col width="3.33" customWidth="1" min="3" max="3"/>
    <col width="3.33" customWidth="1" min="4" max="4"/>
    <col width="3.33" customWidth="1" min="5" max="5"/>
    <col width="3.33" customWidth="1" min="6" max="6"/>
    <col width="3.33" customWidth="1" min="7" max="7"/>
    <col width="3.33" customWidth="1" min="8" max="8"/>
    <col width="3.33" customWidth="1" min="9" max="9"/>
    <col width="3.33" customWidth="1" min="10" max="10"/>
    <col width="3.33" customWidth="1" min="11" max="11"/>
    <col width="3.33" customWidth="1" min="12" max="12"/>
    <col width="3.33" customWidth="1" min="13" max="13"/>
    <col width="3.33" customWidth="1" min="14" max="14"/>
    <col width="3.33" customWidth="1" min="15" max="15"/>
    <col width="3.33" customWidth="1" min="16" max="16"/>
    <col width="3.33" customWidth="1" min="17" max="17"/>
    <col width="3.33" customWidth="1" min="18" max="18"/>
    <col width="3.33" customWidth="1" min="19" max="19"/>
    <col width="3.33" customWidth="1" min="20" max="20"/>
    <col width="3.33" customWidth="1" min="21" max="21"/>
    <col width="3.33" customWidth="1" min="22" max="22"/>
    <col width="3.33" customWidth="1" min="23" max="23"/>
    <col width="3.33" customWidth="1" min="24" max="24"/>
    <col width="3.33" customWidth="1" min="25" max="25"/>
    <col width="3.33" customWidth="1" min="26" max="26"/>
    <col width="3.33" customWidth="1" min="27" max="27"/>
    <col width="3.33" customWidth="1" min="28" max="28"/>
    <col width="3.33" customWidth="1" min="29" max="29"/>
    <col width="3.33" customWidth="1" min="30" max="30"/>
    <col width="3.33" customWidth="1" min="31" max="31"/>
    <col width="3.33" customWidth="1" min="32" max="32"/>
    <col width="3.33" customWidth="1" min="33" max="33"/>
    <col width="3.33" customWidth="1" min="34" max="34"/>
  </cols>
  <sheetData>
    <row r="1" ht="22.5" customHeight="1">
      <c r="A1" s="16" t="inlineStr">
        <is>
          <t>項番</t>
        </is>
      </c>
      <c r="B1" s="17" t="inlineStr">
        <is>
          <t>発行日</t>
        </is>
      </c>
      <c r="C1" s="10" t="n"/>
      <c r="D1" s="10" t="n"/>
      <c r="E1" s="11" t="n"/>
      <c r="F1" s="17" t="inlineStr">
        <is>
          <t>バージョン</t>
        </is>
      </c>
      <c r="G1" s="10" t="n"/>
      <c r="H1" s="11" t="n"/>
      <c r="I1" s="17" t="inlineStr">
        <is>
          <t>担当者</t>
        </is>
      </c>
      <c r="J1" s="10" t="n"/>
      <c r="K1" s="10" t="n"/>
      <c r="L1" s="10" t="n"/>
      <c r="M1" s="10" t="n"/>
      <c r="N1" s="11" t="n"/>
      <c r="O1" s="17" t="inlineStr">
        <is>
          <t>変更内容</t>
        </is>
      </c>
      <c r="P1" s="10" t="n"/>
      <c r="Q1" s="10" t="n"/>
      <c r="R1" s="10" t="n"/>
      <c r="S1" s="10" t="n"/>
      <c r="T1" s="10" t="n"/>
      <c r="U1" s="10" t="n"/>
      <c r="V1" s="11" t="n"/>
      <c r="W1" s="17" t="inlineStr">
        <is>
          <t>確認者</t>
        </is>
      </c>
      <c r="X1" s="10" t="n"/>
      <c r="Y1" s="10" t="n"/>
      <c r="Z1" s="10" t="n"/>
      <c r="AA1" s="10" t="n"/>
      <c r="AB1" s="11" t="n"/>
      <c r="AC1" s="17" t="inlineStr">
        <is>
          <t>承認者</t>
        </is>
      </c>
      <c r="AD1" s="10" t="n"/>
      <c r="AE1" s="10" t="n"/>
      <c r="AF1" s="10" t="n"/>
      <c r="AG1" s="10" t="n"/>
      <c r="AH1" s="11" t="n"/>
    </row>
    <row r="2" ht="22.5" customHeight="1">
      <c r="A2" s="18" t="n">
        <v>1</v>
      </c>
      <c r="B2" s="19" t="inlineStr">
        <is>
          <t>2026-06-03</t>
        </is>
      </c>
      <c r="C2" s="10" t="n"/>
      <c r="D2" s="10" t="n"/>
      <c r="E2" s="11" t="n"/>
      <c r="F2" s="19" t="inlineStr">
        <is>
          <t>1.0</t>
        </is>
      </c>
      <c r="G2" s="10" t="n"/>
      <c r="H2" s="11" t="n"/>
      <c r="I2" s="19" t="inlineStr">
        <is>
          <t>Kieu Thi Diem</t>
        </is>
      </c>
      <c r="J2" s="10" t="n"/>
      <c r="K2" s="10" t="n"/>
      <c r="L2" s="10" t="n"/>
      <c r="M2" s="10" t="n"/>
      <c r="N2" s="11" t="n"/>
      <c r="O2" s="20" t="inlineStr">
        <is>
          <t>新規作成</t>
        </is>
      </c>
      <c r="P2" s="10" t="n"/>
      <c r="Q2" s="10" t="n"/>
      <c r="R2" s="10" t="n"/>
      <c r="S2" s="10" t="n"/>
      <c r="T2" s="10" t="n"/>
      <c r="U2" s="10" t="n"/>
      <c r="V2" s="11" t="n"/>
      <c r="W2" s="19" t="inlineStr">
        <is>
          <t>Nguyen Huy Dat</t>
        </is>
      </c>
      <c r="X2" s="10" t="n"/>
      <c r="Y2" s="10" t="n"/>
      <c r="Z2" s="10" t="n"/>
      <c r="AA2" s="10" t="n"/>
      <c r="AB2" s="11" t="n"/>
      <c r="AC2" s="19" t="inlineStr"/>
      <c r="AD2" s="10" t="n"/>
      <c r="AE2" s="10" t="n"/>
      <c r="AF2" s="10" t="n"/>
      <c r="AG2" s="10" t="n"/>
      <c r="AH2" s="11" t="n"/>
    </row>
  </sheetData>
  <mergeCells count="12">
    <mergeCell ref="B1:E1"/>
    <mergeCell ref="AC2:AH2"/>
    <mergeCell ref="AC1:AH1"/>
    <mergeCell ref="I2:N2"/>
    <mergeCell ref="O2:V2"/>
    <mergeCell ref="W1:AB1"/>
    <mergeCell ref="F1:H1"/>
    <mergeCell ref="O1:V1"/>
    <mergeCell ref="I1:N1"/>
    <mergeCell ref="F2:H2"/>
    <mergeCell ref="B2:E2"/>
    <mergeCell ref="W2:AB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26"/>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概要</t>
        </is>
      </c>
      <c r="R2" s="22" t="n"/>
      <c r="S2" s="22" t="n"/>
      <c r="T2" s="22" t="n"/>
      <c r="U2" s="23" t="n"/>
      <c r="V2" s="24" t="inlineStr">
        <is>
          <t>2026/06/03</t>
        </is>
      </c>
      <c r="W2" s="22" t="n"/>
      <c r="X2" s="22" t="n"/>
      <c r="Y2" s="23" t="n"/>
      <c r="Z2" s="21" t="inlineStr">
        <is>
          <t>Kieu Thi Diem</t>
        </is>
      </c>
      <c r="AA2" s="22" t="n"/>
      <c r="AB2" s="22" t="n"/>
      <c r="AC2" s="23" t="n"/>
      <c r="AD2" s="24" t="inlineStr">
        <is>
          <t>2026/06/03</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4" ht="15" customHeight="1"/>
    <row r="5" ht="19.5" customHeight="1">
      <c r="B5" s="28" t="inlineStr">
        <is>
          <t>1.システム概要</t>
        </is>
      </c>
    </row>
    <row r="6" ht="19.5" customHeight="1">
      <c r="C6" s="29" t="inlineStr">
        <is>
          <t>本システムは、JA向けのクラウド型読者管理システムであり、</t>
        </is>
      </c>
    </row>
    <row r="7" ht="19.5" customHeight="1">
      <c r="C7" s="29" t="inlineStr">
        <is>
          <t>購読者情報の管理、購読履歴の管理、口座振替データの管理などの機能を提供する。</t>
        </is>
      </c>
    </row>
    <row r="8" ht="19.5" customHeight="1">
      <c r="C8" s="29" t="inlineStr">
        <is>
          <t>主な機能として、購読者情報の登録・更新・検索、</t>
        </is>
      </c>
    </row>
    <row r="9" ht="19.5" customHeight="1">
      <c r="C9" s="29" t="inlineStr">
        <is>
          <t>購読内容の変更履歴管理、口座振替データの作成および管理、</t>
        </is>
      </c>
    </row>
    <row r="10" ht="19.5" customHeight="1">
      <c r="C10" s="29" t="inlineStr">
        <is>
          <t>ファイルのアップロード・ダウンロード機能、システムのお知らせ管理などを提供する。</t>
        </is>
      </c>
    </row>
    <row r="11" ht="19.5" customHeight="1">
      <c r="C11" s="29" t="inlineStr">
        <is>
          <t>また、ユーザーのログイン管理、ログイン履歴の記録、</t>
        </is>
      </c>
    </row>
    <row r="12" ht="19.5" customHeight="1">
      <c r="C12" s="29" t="inlineStr">
        <is>
          <t>ユーザー操作ログの記録などのセキュリティ・監査機能をサポートする。</t>
        </is>
      </c>
    </row>
    <row r="13" ht="15" customHeight="1"/>
    <row r="14" ht="19.5" customHeight="1">
      <c r="B14" s="28" t="inlineStr">
        <is>
          <t>2.資料目的</t>
        </is>
      </c>
    </row>
    <row r="15" ht="19.5" customHeight="1">
      <c r="C15" s="30" t="inlineStr">
        <is>
          <t>「購読者情報登録画面（ACSMS-SCR-011）」において、システム上で新規作成されるテスト仕様書の詳細を記述した資料です。</t>
        </is>
      </c>
    </row>
    <row r="16" ht="19.5" customHeight="1">
      <c r="C16" s="30" t="inlineStr">
        <is>
          <t>本資料はISTQBおよびIEEE 829を参考とし、以下の品質基準を満たすものとする。</t>
        </is>
      </c>
    </row>
    <row r="17" ht="19.5" customHeight="1">
      <c r="C17" s="30" t="inlineStr">
        <is>
          <t>- 各テストケースは単一のシナリオに基づき作成する（単一責任）。</t>
        </is>
      </c>
    </row>
    <row r="18" ht="19.5" customHeight="1">
      <c r="C18" s="30" t="inlineStr">
        <is>
          <t>- 手順は再現可能な粒度で記述し、テストデータを明示する。</t>
        </is>
      </c>
    </row>
    <row r="19" ht="19.5" customHeight="1">
      <c r="C19" s="30" t="inlineStr">
        <is>
          <t>- 期待結果は測定可能とする（メッセージ内容、DBクエリ結果、HTTPステータスコード等）。</t>
        </is>
      </c>
    </row>
    <row r="20" ht="15" customHeight="1"/>
    <row r="21" ht="19.5" customHeight="1">
      <c r="B21" s="28" t="inlineStr">
        <is>
          <t>3.関連資料</t>
        </is>
      </c>
    </row>
    <row r="22" ht="15" customHeight="1"/>
    <row r="23" ht="22.5" customHeight="1">
      <c r="C23" s="16" t="inlineStr">
        <is>
          <t>No</t>
        </is>
      </c>
      <c r="D23" s="17" t="inlineStr">
        <is>
          <t>資料コード</t>
        </is>
      </c>
      <c r="E23" s="10" t="n"/>
      <c r="F23" s="10" t="n"/>
      <c r="G23" s="10" t="n"/>
      <c r="H23" s="10" t="n"/>
      <c r="I23" s="10" t="n"/>
      <c r="J23" s="10" t="n"/>
      <c r="K23" s="10" t="n"/>
      <c r="L23" s="10" t="n"/>
      <c r="M23" s="10" t="n"/>
      <c r="N23" s="11" t="n"/>
      <c r="O23" s="17" t="inlineStr">
        <is>
          <t>資料名</t>
        </is>
      </c>
      <c r="P23" s="10" t="n"/>
      <c r="Q23" s="10" t="n"/>
      <c r="R23" s="10" t="n"/>
      <c r="S23" s="10" t="n"/>
      <c r="T23" s="10" t="n"/>
      <c r="U23" s="10" t="n"/>
      <c r="V23" s="10" t="n"/>
      <c r="W23" s="10" t="n"/>
      <c r="X23" s="10" t="n"/>
      <c r="Y23" s="10" t="n"/>
      <c r="Z23" s="10" t="n"/>
      <c r="AA23" s="10" t="n"/>
      <c r="AB23" s="10" t="n"/>
      <c r="AC23" s="10" t="n"/>
      <c r="AD23" s="10" t="n"/>
      <c r="AE23" s="10" t="n"/>
      <c r="AF23" s="10" t="n"/>
      <c r="AG23" s="11" t="n"/>
    </row>
    <row r="24" ht="22.5" customHeight="1">
      <c r="C24" s="18" t="n">
        <v>1</v>
      </c>
      <c r="D24" s="20" t="inlineStr">
        <is>
          <t>ACSMS-SCR-011</t>
        </is>
      </c>
      <c r="E24" s="10" t="n"/>
      <c r="F24" s="10" t="n"/>
      <c r="G24" s="10" t="n"/>
      <c r="H24" s="10" t="n"/>
      <c r="I24" s="10" t="n"/>
      <c r="J24" s="10" t="n"/>
      <c r="K24" s="10" t="n"/>
      <c r="L24" s="10" t="n"/>
      <c r="M24" s="10" t="n"/>
      <c r="N24" s="11" t="n"/>
      <c r="O24" s="20" t="inlineStr">
        <is>
          <t>購読者情報登録画面設計書</t>
        </is>
      </c>
      <c r="P24" s="10" t="n"/>
      <c r="Q24" s="10" t="n"/>
      <c r="R24" s="10" t="n"/>
      <c r="S24" s="10" t="n"/>
      <c r="T24" s="10" t="n"/>
      <c r="U24" s="10" t="n"/>
      <c r="V24" s="10" t="n"/>
      <c r="W24" s="10" t="n"/>
      <c r="X24" s="10" t="n"/>
      <c r="Y24" s="10" t="n"/>
      <c r="Z24" s="10" t="n"/>
      <c r="AA24" s="10" t="n"/>
      <c r="AB24" s="10" t="n"/>
      <c r="AC24" s="10" t="n"/>
      <c r="AD24" s="10" t="n"/>
      <c r="AE24" s="10" t="n"/>
      <c r="AF24" s="10" t="n"/>
      <c r="AG24" s="11" t="n"/>
    </row>
    <row r="25" ht="22.5" customHeight="1">
      <c r="C25" s="18" t="n">
        <v>2</v>
      </c>
      <c r="D25" s="20" t="inlineStr">
        <is>
          <t>ACSMS-SCR-011-api</t>
        </is>
      </c>
      <c r="E25" s="10" t="n"/>
      <c r="F25" s="10" t="n"/>
      <c r="G25" s="10" t="n"/>
      <c r="H25" s="10" t="n"/>
      <c r="I25" s="10" t="n"/>
      <c r="J25" s="10" t="n"/>
      <c r="K25" s="10" t="n"/>
      <c r="L25" s="10" t="n"/>
      <c r="M25" s="10" t="n"/>
      <c r="N25" s="11" t="n"/>
      <c r="O25" s="20" t="inlineStr">
        <is>
          <t>購読者情報登録画面 API設計書</t>
        </is>
      </c>
      <c r="P25" s="10" t="n"/>
      <c r="Q25" s="10" t="n"/>
      <c r="R25" s="10" t="n"/>
      <c r="S25" s="10" t="n"/>
      <c r="T25" s="10" t="n"/>
      <c r="U25" s="10" t="n"/>
      <c r="V25" s="10" t="n"/>
      <c r="W25" s="10" t="n"/>
      <c r="X25" s="10" t="n"/>
      <c r="Y25" s="10" t="n"/>
      <c r="Z25" s="10" t="n"/>
      <c r="AA25" s="10" t="n"/>
      <c r="AB25" s="10" t="n"/>
      <c r="AC25" s="10" t="n"/>
      <c r="AD25" s="10" t="n"/>
      <c r="AE25" s="10" t="n"/>
      <c r="AF25" s="10" t="n"/>
      <c r="AG25" s="11" t="n"/>
    </row>
    <row r="26" ht="22.5" customHeight="1">
      <c r="C26" s="18" t="n">
        <v>3</v>
      </c>
      <c r="D26" s="20" t="inlineStr">
        <is>
          <t>testcase-viewpoints</t>
        </is>
      </c>
      <c r="E26" s="10" t="n"/>
      <c r="F26" s="10" t="n"/>
      <c r="G26" s="10" t="n"/>
      <c r="H26" s="10" t="n"/>
      <c r="I26" s="10" t="n"/>
      <c r="J26" s="10" t="n"/>
      <c r="K26" s="10" t="n"/>
      <c r="L26" s="10" t="n"/>
      <c r="M26" s="10" t="n"/>
      <c r="N26" s="11" t="n"/>
      <c r="O26" s="20" t="inlineStr">
        <is>
          <t>全システム共通 テスト観点一覧</t>
        </is>
      </c>
      <c r="P26" s="10" t="n"/>
      <c r="Q26" s="10" t="n"/>
      <c r="R26" s="10" t="n"/>
      <c r="S26" s="10" t="n"/>
      <c r="T26" s="10" t="n"/>
      <c r="U26" s="10" t="n"/>
      <c r="V26" s="10" t="n"/>
      <c r="W26" s="10" t="n"/>
      <c r="X26" s="10" t="n"/>
      <c r="Y26" s="10" t="n"/>
      <c r="Z26" s="10" t="n"/>
      <c r="AA26" s="10" t="n"/>
      <c r="AB26" s="10" t="n"/>
      <c r="AC26" s="10" t="n"/>
      <c r="AD26" s="10" t="n"/>
      <c r="AE26" s="10" t="n"/>
      <c r="AF26" s="10" t="n"/>
      <c r="AG26" s="11" t="n"/>
    </row>
  </sheetData>
  <mergeCells count="37">
    <mergeCell ref="C19:AK19"/>
    <mergeCell ref="B21:AK21"/>
    <mergeCell ref="C18:AK18"/>
    <mergeCell ref="Z1:AC1"/>
    <mergeCell ref="C6:AK6"/>
    <mergeCell ref="C15:AK15"/>
    <mergeCell ref="B14:AK14"/>
    <mergeCell ref="O23:AG23"/>
    <mergeCell ref="Q2:U3"/>
    <mergeCell ref="Z2:AC3"/>
    <mergeCell ref="AD2:AG3"/>
    <mergeCell ref="C16:AK16"/>
    <mergeCell ref="J1:P1"/>
    <mergeCell ref="AH2:AK3"/>
    <mergeCell ref="C10:AK10"/>
    <mergeCell ref="O24:AG24"/>
    <mergeCell ref="Q1:U1"/>
    <mergeCell ref="C9:AK9"/>
    <mergeCell ref="V1:Y1"/>
    <mergeCell ref="C12:AK12"/>
    <mergeCell ref="B5:AK5"/>
    <mergeCell ref="AD1:AG1"/>
    <mergeCell ref="J2:P3"/>
    <mergeCell ref="AH1:AK1"/>
    <mergeCell ref="A2:I3"/>
    <mergeCell ref="C11:AK11"/>
    <mergeCell ref="D25:N25"/>
    <mergeCell ref="O26:AG26"/>
    <mergeCell ref="A1:I1"/>
    <mergeCell ref="C17:AK17"/>
    <mergeCell ref="D24:N24"/>
    <mergeCell ref="V2:Y3"/>
    <mergeCell ref="C8:AK8"/>
    <mergeCell ref="D23:N23"/>
    <mergeCell ref="C7:AK7"/>
    <mergeCell ref="O25:AG25"/>
    <mergeCell ref="D26:N2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5"/>
  <sheetViews>
    <sheetView showGridLines="0" workbookViewId="0">
      <selection activeCell="A1" sqref="A1"/>
    </sheetView>
  </sheetViews>
  <sheetFormatPr baseColWidth="8" defaultColWidth="5" defaultRowHeight="15"/>
  <cols>
    <col width="13" customWidth="1" min="1" max="1"/>
    <col width="5" customWidth="1" min="2" max="2"/>
    <col width="5" customWidth="1" min="3" max="3"/>
    <col width="5" customWidth="1" min="4" max="4"/>
    <col width="5" customWidth="1" min="5" max="5"/>
    <col width="5" customWidth="1" min="6" max="6"/>
    <col width="5" customWidth="1" min="7" max="7"/>
    <col width="5" customWidth="1" min="8" max="8"/>
    <col width="5" customWidth="1" min="9" max="9"/>
    <col width="5" customWidth="1" min="10" max="10"/>
    <col width="5" customWidth="1" min="11" max="11"/>
    <col width="5" customWidth="1" min="12" max="12"/>
    <col width="5" customWidth="1" min="13" max="13"/>
    <col width="5" customWidth="1" min="14" max="14"/>
    <col width="5" customWidth="1" min="15" max="15"/>
    <col width="5" customWidth="1" min="16" max="16"/>
    <col width="5" customWidth="1" min="17" max="17"/>
    <col width="5" customWidth="1" min="18" max="18"/>
    <col width="5" customWidth="1" min="19" max="19"/>
    <col width="5" customWidth="1" min="20" max="20"/>
    <col width="5" customWidth="1" min="21" max="21"/>
    <col width="5" customWidth="1" min="22" max="22"/>
    <col width="5" customWidth="1" min="23" max="23"/>
    <col width="5" customWidth="1" min="24" max="24"/>
    <col width="5" customWidth="1" min="25" max="25"/>
    <col width="5" customWidth="1" min="26" max="26"/>
    <col width="5" customWidth="1" min="27" max="27"/>
    <col width="5" customWidth="1" min="28" max="28"/>
    <col width="5" customWidth="1" min="29" max="29"/>
    <col width="5" customWidth="1" min="30" max="30"/>
    <col width="5" customWidth="1" min="31" max="31"/>
    <col width="5" customWidth="1" min="32" max="32"/>
    <col width="5" customWidth="1" min="33" max="33"/>
    <col width="5" customWidth="1" min="34" max="34"/>
  </cols>
  <sheetData>
    <row r="1" ht="28.5" customHeight="1">
      <c r="A1" s="31" t="inlineStr">
        <is>
          <t>&lt;単体/結合/システム&gt; テスト報告書</t>
        </is>
      </c>
      <c r="B1" s="10" t="n"/>
      <c r="C1" s="10" t="n"/>
      <c r="D1" s="10" t="n"/>
      <c r="E1" s="10" t="n"/>
      <c r="F1" s="10" t="n"/>
      <c r="G1" s="10" t="n"/>
      <c r="H1" s="10" t="n"/>
      <c r="I1" s="10" t="n"/>
      <c r="J1" s="10" t="n"/>
      <c r="K1" s="10" t="n"/>
      <c r="L1" s="10" t="n"/>
      <c r="M1" s="10" t="n"/>
      <c r="N1" s="10" t="n"/>
      <c r="O1" s="10" t="n"/>
      <c r="P1" s="10" t="n"/>
      <c r="Q1" s="10" t="n"/>
      <c r="R1" s="10" t="n"/>
      <c r="S1" s="10" t="n"/>
      <c r="T1" s="10" t="n"/>
      <c r="U1" s="10" t="n"/>
      <c r="V1" s="10" t="n"/>
      <c r="W1" s="10" t="n"/>
      <c r="X1" s="10" t="n"/>
      <c r="Y1" s="10" t="n"/>
      <c r="Z1" s="10" t="n"/>
      <c r="AA1" s="10" t="n"/>
      <c r="AB1" s="10" t="n"/>
      <c r="AC1" s="10" t="n"/>
      <c r="AD1" s="10" t="n"/>
      <c r="AE1" s="10" t="n"/>
      <c r="AF1" s="10" t="n"/>
      <c r="AG1" s="10" t="n"/>
      <c r="AH1" s="11" t="n"/>
    </row>
    <row r="3" ht="22.5" customHeight="1">
      <c r="A3" s="32" t="inlineStr">
        <is>
          <t>プロジェクト名</t>
        </is>
      </c>
      <c r="B3" s="10" t="n"/>
      <c r="C3" s="10" t="n"/>
      <c r="D3" s="10" t="n"/>
      <c r="E3" s="10" t="n"/>
      <c r="F3" s="11" t="n"/>
      <c r="G3" s="20" t="inlineStr">
        <is>
          <t>クラウド版購読者管理システム</t>
        </is>
      </c>
      <c r="H3" s="10" t="n"/>
      <c r="I3" s="10" t="n"/>
      <c r="J3" s="10" t="n"/>
      <c r="K3" s="10" t="n"/>
      <c r="L3" s="10" t="n"/>
      <c r="M3" s="10" t="n"/>
      <c r="N3" s="10" t="n"/>
      <c r="O3" s="11" t="n"/>
      <c r="P3" s="32" t="inlineStr">
        <is>
          <t>プロジェクトマネージャ</t>
        </is>
      </c>
      <c r="Q3" s="10" t="n"/>
      <c r="R3" s="10" t="n"/>
      <c r="S3" s="10" t="n"/>
      <c r="T3" s="10" t="n"/>
      <c r="U3" s="10" t="n"/>
      <c r="V3" s="10" t="n"/>
      <c r="W3" s="11" t="n"/>
      <c r="X3" s="20" t="inlineStr">
        <is>
          <t>Nguyen Huy Dat</t>
        </is>
      </c>
      <c r="Y3" s="10" t="n"/>
      <c r="Z3" s="10" t="n"/>
      <c r="AA3" s="10" t="n"/>
      <c r="AB3" s="10" t="n"/>
      <c r="AC3" s="10" t="n"/>
      <c r="AD3" s="10" t="n"/>
      <c r="AE3" s="10" t="n"/>
      <c r="AF3" s="10" t="n"/>
      <c r="AG3" s="10" t="n"/>
      <c r="AH3" s="11" t="n"/>
    </row>
    <row r="4" ht="22.5" customHeight="1">
      <c r="A4" s="32" t="inlineStr">
        <is>
          <t>担当者</t>
        </is>
      </c>
      <c r="B4" s="10" t="n"/>
      <c r="C4" s="10" t="n"/>
      <c r="D4" s="10" t="n"/>
      <c r="E4" s="10" t="n"/>
      <c r="F4" s="11" t="n"/>
      <c r="G4" s="20" t="inlineStr">
        <is>
          <t>Kieu Thi Diem</t>
        </is>
      </c>
      <c r="H4" s="10" t="n"/>
      <c r="I4" s="10" t="n"/>
      <c r="J4" s="10" t="n"/>
      <c r="K4" s="10" t="n"/>
      <c r="L4" s="10" t="n"/>
      <c r="M4" s="10" t="n"/>
      <c r="N4" s="10" t="n"/>
      <c r="O4" s="11" t="n"/>
      <c r="P4" s="32" t="inlineStr">
        <is>
          <t>作成日</t>
        </is>
      </c>
      <c r="Q4" s="10" t="n"/>
      <c r="R4" s="10" t="n"/>
      <c r="S4" s="10" t="n"/>
      <c r="T4" s="10" t="n"/>
      <c r="U4" s="10" t="n"/>
      <c r="V4" s="10" t="n"/>
      <c r="W4" s="11" t="n"/>
      <c r="X4" s="33" t="inlineStr">
        <is>
          <t>2026/06/03</t>
        </is>
      </c>
      <c r="Y4" s="10" t="n"/>
      <c r="Z4" s="10" t="n"/>
      <c r="AA4" s="10" t="n"/>
      <c r="AB4" s="10" t="n"/>
      <c r="AC4" s="10" t="n"/>
      <c r="AD4" s="10" t="n"/>
      <c r="AE4" s="10" t="n"/>
      <c r="AF4" s="10" t="n"/>
      <c r="AG4" s="10" t="n"/>
      <c r="AH4" s="11" t="n"/>
    </row>
    <row r="6" ht="22.5" customHeight="1">
      <c r="A6" s="34" t="inlineStr">
        <is>
          <t>#</t>
        </is>
      </c>
      <c r="B6" s="35" t="inlineStr">
        <is>
          <t>機能名</t>
        </is>
      </c>
      <c r="C6" s="22" t="n"/>
      <c r="D6" s="22" t="n"/>
      <c r="E6" s="22" t="n"/>
      <c r="F6" s="22" t="n"/>
      <c r="G6" s="23" t="n"/>
      <c r="H6" s="36" t="inlineStr">
        <is>
          <t>テストケース分類</t>
        </is>
      </c>
      <c r="I6" s="10" t="n"/>
      <c r="J6" s="10" t="n"/>
      <c r="K6" s="10" t="n"/>
      <c r="L6" s="10" t="n"/>
      <c r="M6" s="10" t="n"/>
      <c r="N6" s="10" t="n"/>
      <c r="O6" s="10" t="n"/>
      <c r="P6" s="11" t="n"/>
      <c r="Q6" s="35" t="inlineStr">
        <is>
          <t>合計</t>
        </is>
      </c>
      <c r="R6" s="22" t="n"/>
      <c r="S6" s="23" t="n"/>
      <c r="T6" s="36" t="inlineStr">
        <is>
          <t>テスト結果</t>
        </is>
      </c>
      <c r="U6" s="10" t="n"/>
      <c r="V6" s="10" t="n"/>
      <c r="W6" s="10" t="n"/>
      <c r="X6" s="10" t="n"/>
      <c r="Y6" s="10" t="n"/>
      <c r="Z6" s="10" t="n"/>
      <c r="AA6" s="10" t="n"/>
      <c r="AB6" s="10" t="n"/>
      <c r="AC6" s="10" t="n"/>
      <c r="AD6" s="10" t="n"/>
      <c r="AE6" s="10" t="n"/>
      <c r="AF6" s="10" t="n"/>
      <c r="AG6" s="10" t="n"/>
      <c r="AH6" s="11" t="n"/>
    </row>
    <row r="7" ht="22.5" customHeight="1">
      <c r="A7" s="37" t="n"/>
      <c r="B7" s="25" t="n"/>
      <c r="C7" s="26" t="n"/>
      <c r="D7" s="26" t="n"/>
      <c r="E7" s="26" t="n"/>
      <c r="F7" s="26" t="n"/>
      <c r="G7" s="27" t="n"/>
      <c r="H7" s="36" t="inlineStr">
        <is>
          <t>正常</t>
        </is>
      </c>
      <c r="I7" s="10" t="n"/>
      <c r="J7" s="11" t="n"/>
      <c r="K7" s="36" t="inlineStr">
        <is>
          <t>異常</t>
        </is>
      </c>
      <c r="L7" s="10" t="n"/>
      <c r="M7" s="11" t="n"/>
      <c r="N7" s="36" t="inlineStr">
        <is>
          <t>境界</t>
        </is>
      </c>
      <c r="O7" s="10" t="n"/>
      <c r="P7" s="11" t="n"/>
      <c r="Q7" s="25" t="n"/>
      <c r="R7" s="26" t="n"/>
      <c r="S7" s="27" t="n"/>
      <c r="T7" s="36" t="inlineStr">
        <is>
          <t>合格</t>
        </is>
      </c>
      <c r="U7" s="10" t="n"/>
      <c r="V7" s="11" t="n"/>
      <c r="W7" s="36" t="inlineStr">
        <is>
          <t>不合格</t>
        </is>
      </c>
      <c r="X7" s="10" t="n"/>
      <c r="Y7" s="11" t="n"/>
      <c r="Z7" s="36" t="inlineStr">
        <is>
          <t>未テスト</t>
        </is>
      </c>
      <c r="AA7" s="10" t="n"/>
      <c r="AB7" s="11" t="n"/>
      <c r="AC7" s="36" t="inlineStr">
        <is>
          <t>N/A</t>
        </is>
      </c>
      <c r="AD7" s="10" t="n"/>
      <c r="AE7" s="11" t="n"/>
      <c r="AF7" s="36" t="inlineStr">
        <is>
          <t>進捗（%）</t>
        </is>
      </c>
      <c r="AG7" s="10" t="n"/>
      <c r="AH7" s="11" t="n"/>
    </row>
    <row r="8" ht="22.5" customHeight="1">
      <c r="A8" s="38" t="inlineStr">
        <is>
          <t>テスト1回目</t>
        </is>
      </c>
    </row>
    <row r="9" ht="22.5" customHeight="1">
      <c r="A9" s="18" t="n">
        <v>1</v>
      </c>
      <c r="B9" s="20" t="inlineStr">
        <is>
          <t>機能</t>
        </is>
      </c>
      <c r="C9" s="10" t="n"/>
      <c r="D9" s="10" t="n"/>
      <c r="E9" s="10" t="n"/>
      <c r="F9" s="10" t="n"/>
      <c r="G9" s="11" t="n"/>
      <c r="H9" s="19">
        <f>INDIRECT("'"&amp;$B9&amp;"'!H7",TRUE)</f>
        <v/>
      </c>
      <c r="I9" s="10" t="n"/>
      <c r="J9" s="11" t="n"/>
      <c r="K9" s="19">
        <f>INDIRECT("'"&amp;$B9&amp;"'!K7",TRUE)</f>
        <v/>
      </c>
      <c r="L9" s="10" t="n"/>
      <c r="M9" s="11" t="n"/>
      <c r="N9" s="19">
        <f>INDIRECT("'"&amp;$B9&amp;"'!N7",TRUE)</f>
        <v/>
      </c>
      <c r="O9" s="10" t="n"/>
      <c r="P9" s="11" t="n"/>
      <c r="Q9" s="19">
        <f>INDIRECT("'"&amp;$B9&amp;"'!Q7",TRUE)</f>
        <v/>
      </c>
      <c r="R9" s="10" t="n"/>
      <c r="S9" s="11" t="n"/>
      <c r="T9" s="19">
        <f>INDIRECT("'"&amp;$B9&amp;"'!T7",TRUE)</f>
        <v/>
      </c>
      <c r="U9" s="10" t="n"/>
      <c r="V9" s="11" t="n"/>
      <c r="W9" s="19">
        <f>INDIRECT("'"&amp;$B9&amp;"'!W7",TRUE)</f>
        <v/>
      </c>
      <c r="X9" s="10" t="n"/>
      <c r="Y9" s="11" t="n"/>
      <c r="Z9" s="19">
        <f>INDIRECT("'"&amp;$B9&amp;"'!Z7",TRUE)</f>
        <v/>
      </c>
      <c r="AA9" s="10" t="n"/>
      <c r="AB9" s="11" t="n"/>
      <c r="AC9" s="19">
        <f>INDIRECT("'"&amp;$B9&amp;"'!AC7",TRUE)</f>
        <v/>
      </c>
      <c r="AD9" s="10" t="n"/>
      <c r="AE9" s="11" t="n"/>
      <c r="AF9" s="39">
        <f>IFERROR((T9+W9+AC9)/Q9,0)</f>
        <v/>
      </c>
      <c r="AG9" s="10" t="n"/>
      <c r="AH9" s="11" t="n"/>
    </row>
    <row r="10" ht="22.5" customHeight="1">
      <c r="A10" s="18" t="n">
        <v>2</v>
      </c>
      <c r="B10" s="20" t="inlineStr"/>
      <c r="C10" s="10" t="n"/>
      <c r="D10" s="10" t="n"/>
      <c r="E10" s="10" t="n"/>
      <c r="F10" s="10" t="n"/>
      <c r="G10" s="11" t="n"/>
      <c r="H10" s="19" t="inlineStr"/>
      <c r="I10" s="10" t="n"/>
      <c r="J10" s="11" t="n"/>
      <c r="K10" s="19" t="inlineStr"/>
      <c r="L10" s="10" t="n"/>
      <c r="M10" s="11" t="n"/>
      <c r="N10" s="19" t="inlineStr"/>
      <c r="O10" s="10" t="n"/>
      <c r="P10" s="11" t="n"/>
      <c r="Q10" s="19" t="inlineStr"/>
      <c r="R10" s="10" t="n"/>
      <c r="S10" s="11" t="n"/>
      <c r="T10" s="19" t="inlineStr"/>
      <c r="U10" s="10" t="n"/>
      <c r="V10" s="11" t="n"/>
      <c r="W10" s="19" t="inlineStr"/>
      <c r="X10" s="10" t="n"/>
      <c r="Y10" s="11" t="n"/>
      <c r="Z10" s="19" t="inlineStr"/>
      <c r="AA10" s="10" t="n"/>
      <c r="AB10" s="11" t="n"/>
      <c r="AC10" s="19" t="inlineStr"/>
      <c r="AD10" s="10" t="n"/>
      <c r="AE10" s="11" t="n"/>
      <c r="AF10" s="39" t="inlineStr"/>
      <c r="AG10" s="10" t="n"/>
      <c r="AH10" s="11" t="n"/>
    </row>
    <row r="11" ht="22.5" customHeight="1">
      <c r="A11" s="18" t="inlineStr"/>
      <c r="B11" s="36" t="inlineStr">
        <is>
          <t>合計</t>
        </is>
      </c>
      <c r="C11" s="10" t="n"/>
      <c r="D11" s="10" t="n"/>
      <c r="E11" s="10" t="n"/>
      <c r="F11" s="10" t="n"/>
      <c r="G11" s="11" t="n"/>
      <c r="H11" s="40">
        <f>SUM(H9:J10)</f>
        <v/>
      </c>
      <c r="I11" s="10" t="n"/>
      <c r="J11" s="11" t="n"/>
      <c r="K11" s="40">
        <f>SUM(K9:M10)</f>
        <v/>
      </c>
      <c r="L11" s="10" t="n"/>
      <c r="M11" s="11" t="n"/>
      <c r="N11" s="40">
        <f>SUM(N9:P10)</f>
        <v/>
      </c>
      <c r="O11" s="10" t="n"/>
      <c r="P11" s="11" t="n"/>
      <c r="Q11" s="40">
        <f>SUM(Q9:S10)</f>
        <v/>
      </c>
      <c r="R11" s="10" t="n"/>
      <c r="S11" s="11" t="n"/>
      <c r="T11" s="40">
        <f>SUM(T9:V10)</f>
        <v/>
      </c>
      <c r="U11" s="10" t="n"/>
      <c r="V11" s="11" t="n"/>
      <c r="W11" s="40">
        <f>SUM(W9:Y10)</f>
        <v/>
      </c>
      <c r="X11" s="10" t="n"/>
      <c r="Y11" s="11" t="n"/>
      <c r="Z11" s="40">
        <f>SUM(Z9:AB10)</f>
        <v/>
      </c>
      <c r="AA11" s="10" t="n"/>
      <c r="AB11" s="11" t="n"/>
      <c r="AC11" s="40">
        <f>SUM(AC9:AE10)</f>
        <v/>
      </c>
      <c r="AD11" s="10" t="n"/>
      <c r="AE11" s="11" t="n"/>
      <c r="AF11" s="41">
        <f>IFERROR((T11+W11+AC11)/Q11,0)</f>
        <v/>
      </c>
      <c r="AG11" s="10" t="n"/>
      <c r="AH11" s="11" t="n"/>
    </row>
    <row r="12" ht="22.5" customHeight="1">
      <c r="A12" s="38" t="inlineStr">
        <is>
          <t>テスト2回目</t>
        </is>
      </c>
    </row>
    <row r="13" ht="22.5" customHeight="1">
      <c r="A13" s="18" t="n">
        <v>1</v>
      </c>
      <c r="B13" s="20" t="inlineStr">
        <is>
          <t>機能</t>
        </is>
      </c>
      <c r="C13" s="10" t="n"/>
      <c r="D13" s="10" t="n"/>
      <c r="E13" s="10" t="n"/>
      <c r="F13" s="10" t="n"/>
      <c r="G13" s="11" t="n"/>
      <c r="H13" s="19">
        <f>INDIRECT("'"&amp;$B13&amp;"'!H8",TRUE)</f>
        <v/>
      </c>
      <c r="I13" s="10" t="n"/>
      <c r="J13" s="11" t="n"/>
      <c r="K13" s="19">
        <f>INDIRECT("'"&amp;$B13&amp;"'!K8",TRUE)</f>
        <v/>
      </c>
      <c r="L13" s="10" t="n"/>
      <c r="M13" s="11" t="n"/>
      <c r="N13" s="19">
        <f>INDIRECT("'"&amp;$B13&amp;"'!N8",TRUE)</f>
        <v/>
      </c>
      <c r="O13" s="10" t="n"/>
      <c r="P13" s="11" t="n"/>
      <c r="Q13" s="19">
        <f>INDIRECT("'"&amp;$B13&amp;"'!Q8",TRUE)</f>
        <v/>
      </c>
      <c r="R13" s="10" t="n"/>
      <c r="S13" s="11" t="n"/>
      <c r="T13" s="19">
        <f>INDIRECT("'"&amp;$B13&amp;"'!T8",TRUE)</f>
        <v/>
      </c>
      <c r="U13" s="10" t="n"/>
      <c r="V13" s="11" t="n"/>
      <c r="W13" s="19">
        <f>INDIRECT("'"&amp;$B13&amp;"'!W8",TRUE)</f>
        <v/>
      </c>
      <c r="X13" s="10" t="n"/>
      <c r="Y13" s="11" t="n"/>
      <c r="Z13" s="19">
        <f>INDIRECT("'"&amp;$B13&amp;"'!Z8",TRUE)</f>
        <v/>
      </c>
      <c r="AA13" s="10" t="n"/>
      <c r="AB13" s="11" t="n"/>
      <c r="AC13" s="19">
        <f>INDIRECT("'"&amp;$B13&amp;"'!AC8",TRUE)</f>
        <v/>
      </c>
      <c r="AD13" s="10" t="n"/>
      <c r="AE13" s="11" t="n"/>
      <c r="AF13" s="39">
        <f>IFERROR((T13+W13+AC13)/Q13,0)</f>
        <v/>
      </c>
      <c r="AG13" s="10" t="n"/>
      <c r="AH13" s="11" t="n"/>
    </row>
    <row r="14" ht="22.5" customHeight="1">
      <c r="A14" s="18" t="n">
        <v>2</v>
      </c>
      <c r="B14" s="20" t="inlineStr"/>
      <c r="C14" s="10" t="n"/>
      <c r="D14" s="10" t="n"/>
      <c r="E14" s="10" t="n"/>
      <c r="F14" s="10" t="n"/>
      <c r="G14" s="11" t="n"/>
      <c r="H14" s="19" t="inlineStr"/>
      <c r="I14" s="10" t="n"/>
      <c r="J14" s="11" t="n"/>
      <c r="K14" s="19" t="inlineStr"/>
      <c r="L14" s="10" t="n"/>
      <c r="M14" s="11" t="n"/>
      <c r="N14" s="19" t="inlineStr"/>
      <c r="O14" s="10" t="n"/>
      <c r="P14" s="11" t="n"/>
      <c r="Q14" s="19" t="inlineStr"/>
      <c r="R14" s="10" t="n"/>
      <c r="S14" s="11" t="n"/>
      <c r="T14" s="19" t="inlineStr"/>
      <c r="U14" s="10" t="n"/>
      <c r="V14" s="11" t="n"/>
      <c r="W14" s="19" t="inlineStr"/>
      <c r="X14" s="10" t="n"/>
      <c r="Y14" s="11" t="n"/>
      <c r="Z14" s="19" t="inlineStr"/>
      <c r="AA14" s="10" t="n"/>
      <c r="AB14" s="11" t="n"/>
      <c r="AC14" s="19" t="inlineStr"/>
      <c r="AD14" s="10" t="n"/>
      <c r="AE14" s="11" t="n"/>
      <c r="AF14" s="39" t="inlineStr"/>
      <c r="AG14" s="10" t="n"/>
      <c r="AH14" s="11" t="n"/>
    </row>
    <row r="15" ht="22.5" customHeight="1">
      <c r="A15" s="18" t="inlineStr"/>
      <c r="B15" s="36" t="inlineStr">
        <is>
          <t>合計</t>
        </is>
      </c>
      <c r="C15" s="10" t="n"/>
      <c r="D15" s="10" t="n"/>
      <c r="E15" s="10" t="n"/>
      <c r="F15" s="10" t="n"/>
      <c r="G15" s="11" t="n"/>
      <c r="H15" s="40">
        <f>SUM(H13:J14)</f>
        <v/>
      </c>
      <c r="I15" s="10" t="n"/>
      <c r="J15" s="11" t="n"/>
      <c r="K15" s="40">
        <f>SUM(K13:M14)</f>
        <v/>
      </c>
      <c r="L15" s="10" t="n"/>
      <c r="M15" s="11" t="n"/>
      <c r="N15" s="40">
        <f>SUM(N13:P14)</f>
        <v/>
      </c>
      <c r="O15" s="10" t="n"/>
      <c r="P15" s="11" t="n"/>
      <c r="Q15" s="40">
        <f>SUM(Q13:S14)</f>
        <v/>
      </c>
      <c r="R15" s="10" t="n"/>
      <c r="S15" s="11" t="n"/>
      <c r="T15" s="40">
        <f>SUM(T13:V14)</f>
        <v/>
      </c>
      <c r="U15" s="10" t="n"/>
      <c r="V15" s="11" t="n"/>
      <c r="W15" s="40">
        <f>SUM(W13:Y14)</f>
        <v/>
      </c>
      <c r="X15" s="10" t="n"/>
      <c r="Y15" s="11" t="n"/>
      <c r="Z15" s="40">
        <f>SUM(Z13:AB14)</f>
        <v/>
      </c>
      <c r="AA15" s="10" t="n"/>
      <c r="AB15" s="11" t="n"/>
      <c r="AC15" s="40">
        <f>SUM(AC13:AE14)</f>
        <v/>
      </c>
      <c r="AD15" s="10" t="n"/>
      <c r="AE15" s="11" t="n"/>
      <c r="AF15" s="41">
        <f>IFERROR((T15+W15+AC15)/Q15,0)</f>
        <v/>
      </c>
      <c r="AG15" s="10" t="n"/>
      <c r="AH15" s="11" t="n"/>
    </row>
  </sheetData>
  <mergeCells count="82">
    <mergeCell ref="Q14:S14"/>
    <mergeCell ref="P4:W4"/>
    <mergeCell ref="AC14:AE14"/>
    <mergeCell ref="A3:F3"/>
    <mergeCell ref="W7:Y7"/>
    <mergeCell ref="H11:J11"/>
    <mergeCell ref="Q15:S15"/>
    <mergeCell ref="B10:G10"/>
    <mergeCell ref="AF14:AH14"/>
    <mergeCell ref="N9:P9"/>
    <mergeCell ref="K10:M10"/>
    <mergeCell ref="T14:V14"/>
    <mergeCell ref="K9:M9"/>
    <mergeCell ref="K11:M11"/>
    <mergeCell ref="Z7:AB7"/>
    <mergeCell ref="AF10:AH10"/>
    <mergeCell ref="B14:G14"/>
    <mergeCell ref="B13:G13"/>
    <mergeCell ref="H7:J7"/>
    <mergeCell ref="N10:P10"/>
    <mergeCell ref="K14:M14"/>
    <mergeCell ref="W9:Y9"/>
    <mergeCell ref="K7:M7"/>
    <mergeCell ref="X3:AH3"/>
    <mergeCell ref="Z9:AB9"/>
    <mergeCell ref="Q13:S13"/>
    <mergeCell ref="A1:AH1"/>
    <mergeCell ref="AC7:AE7"/>
    <mergeCell ref="W10:Y10"/>
    <mergeCell ref="Z11:AB11"/>
    <mergeCell ref="X4:AH4"/>
    <mergeCell ref="B11:G11"/>
    <mergeCell ref="Q10:S10"/>
    <mergeCell ref="N14:P14"/>
    <mergeCell ref="A6:A7"/>
    <mergeCell ref="H13:J13"/>
    <mergeCell ref="AC9:AE9"/>
    <mergeCell ref="T13:V13"/>
    <mergeCell ref="T7:V7"/>
    <mergeCell ref="B15:G15"/>
    <mergeCell ref="H15:J15"/>
    <mergeCell ref="AF7:AH7"/>
    <mergeCell ref="Z10:AB10"/>
    <mergeCell ref="AC11:AE11"/>
    <mergeCell ref="W14:Y14"/>
    <mergeCell ref="K13:M13"/>
    <mergeCell ref="W13:Y13"/>
    <mergeCell ref="K15:M15"/>
    <mergeCell ref="N11:P11"/>
    <mergeCell ref="Q6:S7"/>
    <mergeCell ref="H10:J10"/>
    <mergeCell ref="W15:Y15"/>
    <mergeCell ref="AC13:AE13"/>
    <mergeCell ref="H9:J9"/>
    <mergeCell ref="H6:P6"/>
    <mergeCell ref="AC15:AE15"/>
    <mergeCell ref="T9:V9"/>
    <mergeCell ref="AF9:AH9"/>
    <mergeCell ref="G3:O3"/>
    <mergeCell ref="T11:V11"/>
    <mergeCell ref="AF15:AH15"/>
    <mergeCell ref="AC10:AE10"/>
    <mergeCell ref="AF11:AH11"/>
    <mergeCell ref="Z14:AB14"/>
    <mergeCell ref="N13:P13"/>
    <mergeCell ref="B9:G9"/>
    <mergeCell ref="Q9:S9"/>
    <mergeCell ref="A4:F4"/>
    <mergeCell ref="Z13:AB13"/>
    <mergeCell ref="G4:O4"/>
    <mergeCell ref="W11:Y11"/>
    <mergeCell ref="N15:P15"/>
    <mergeCell ref="Q11:S11"/>
    <mergeCell ref="T6:AH6"/>
    <mergeCell ref="H14:J14"/>
    <mergeCell ref="Z15:AB15"/>
    <mergeCell ref="AF13:AH13"/>
    <mergeCell ref="T15:V15"/>
    <mergeCell ref="N7:P7"/>
    <mergeCell ref="P3:W3"/>
    <mergeCell ref="B6:G7"/>
    <mergeCell ref="T10:V1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K64"/>
  <sheetViews>
    <sheetView showGridLines="0" workbookViewId="0">
      <selection activeCell="A1" sqref="A1"/>
    </sheetView>
  </sheetViews>
  <sheetFormatPr baseColWidth="8" defaultColWidth="12.63" defaultRowHeight="15"/>
  <cols>
    <col width="4.25" customWidth="1" min="1" max="1"/>
    <col width="4.25" customWidth="1" min="2" max="2"/>
    <col width="4.25" customWidth="1" min="3" max="3"/>
    <col width="4.25" customWidth="1" min="4" max="4"/>
    <col width="4.25" customWidth="1" min="5" max="5"/>
    <col width="4.25" customWidth="1" min="6" max="6"/>
    <col width="4.25" customWidth="1" min="7" max="7"/>
    <col width="4.25" customWidth="1" min="8" max="8"/>
    <col width="4.25" customWidth="1" min="9" max="9"/>
    <col width="4.25" customWidth="1" min="10" max="10"/>
    <col width="4.25" customWidth="1" min="11" max="11"/>
    <col width="4.25" customWidth="1" min="12" max="12"/>
    <col width="4.25" customWidth="1" min="13" max="13"/>
    <col width="4.25" customWidth="1" min="14" max="14"/>
    <col width="4.25" customWidth="1" min="15" max="15"/>
    <col width="4.25" customWidth="1" min="16" max="16"/>
    <col width="4.25" customWidth="1" min="17" max="17"/>
    <col width="4.25" customWidth="1" min="18" max="18"/>
    <col width="4.25" customWidth="1" min="19" max="19"/>
    <col width="4.25" customWidth="1" min="20" max="20"/>
    <col width="4.25" customWidth="1" min="21" max="21"/>
    <col width="4.25" customWidth="1" min="22" max="22"/>
    <col width="4.25" customWidth="1" min="23" max="23"/>
    <col width="4.25" customWidth="1" min="24" max="24"/>
    <col width="4.25" customWidth="1" min="25" max="25"/>
    <col width="4.25" customWidth="1" min="26" max="26"/>
    <col width="4.25" customWidth="1" min="27" max="27"/>
    <col width="4.25" customWidth="1" min="28" max="28"/>
    <col width="4.25" customWidth="1" min="29" max="29"/>
    <col width="4.25" customWidth="1" min="30" max="30"/>
    <col width="4.25" customWidth="1" min="31" max="31"/>
    <col width="4.25" customWidth="1" min="32" max="32"/>
    <col width="4.25" customWidth="1" min="33" max="33"/>
    <col width="4.25" customWidth="1" min="34" max="34"/>
    <col width="4.25" customWidth="1" min="35" max="35"/>
    <col width="4.25" customWidth="1" min="36" max="36"/>
    <col width="4.25" customWidth="1" min="37" max="37"/>
  </cols>
  <sheetData>
    <row r="1" ht="19.5" customHeight="1">
      <c r="A1" s="17" t="inlineStr">
        <is>
          <t>システム・アプリケーション名</t>
        </is>
      </c>
      <c r="B1" s="10" t="n"/>
      <c r="C1" s="10" t="n"/>
      <c r="D1" s="10" t="n"/>
      <c r="E1" s="10" t="n"/>
      <c r="F1" s="10" t="n"/>
      <c r="G1" s="10" t="n"/>
      <c r="H1" s="10" t="n"/>
      <c r="I1" s="11" t="n"/>
      <c r="J1" s="17" t="inlineStr">
        <is>
          <t>ドキュメント</t>
        </is>
      </c>
      <c r="K1" s="10" t="n"/>
      <c r="L1" s="10" t="n"/>
      <c r="M1" s="10" t="n"/>
      <c r="N1" s="10" t="n"/>
      <c r="O1" s="10" t="n"/>
      <c r="P1" s="11" t="n"/>
      <c r="Q1" s="17" t="inlineStr">
        <is>
          <t>シート名</t>
        </is>
      </c>
      <c r="R1" s="10" t="n"/>
      <c r="S1" s="10" t="n"/>
      <c r="T1" s="10" t="n"/>
      <c r="U1" s="11" t="n"/>
      <c r="V1" s="17" t="inlineStr">
        <is>
          <t>作成日</t>
        </is>
      </c>
      <c r="W1" s="10" t="n"/>
      <c r="X1" s="10" t="n"/>
      <c r="Y1" s="11" t="n"/>
      <c r="Z1" s="17" t="inlineStr">
        <is>
          <t>作成者</t>
        </is>
      </c>
      <c r="AA1" s="10" t="n"/>
      <c r="AB1" s="10" t="n"/>
      <c r="AC1" s="11" t="n"/>
      <c r="AD1" s="17" t="inlineStr">
        <is>
          <t>更新日</t>
        </is>
      </c>
      <c r="AE1" s="10" t="n"/>
      <c r="AF1" s="10" t="n"/>
      <c r="AG1" s="11" t="n"/>
      <c r="AH1" s="17" t="inlineStr">
        <is>
          <t>更新者</t>
        </is>
      </c>
      <c r="AI1" s="10" t="n"/>
      <c r="AJ1" s="10" t="n"/>
      <c r="AK1" s="11" t="n"/>
    </row>
    <row r="2" ht="19.5" customHeight="1">
      <c r="A2" s="21" t="inlineStr">
        <is>
          <t>クラウド版購読者管理システム</t>
        </is>
      </c>
      <c r="B2" s="22" t="n"/>
      <c r="C2" s="22" t="n"/>
      <c r="D2" s="22" t="n"/>
      <c r="E2" s="22" t="n"/>
      <c r="F2" s="22" t="n"/>
      <c r="G2" s="22" t="n"/>
      <c r="H2" s="22" t="n"/>
      <c r="I2" s="23" t="n"/>
      <c r="J2" s="21" t="inlineStr">
        <is>
          <t>テスト仕様書</t>
        </is>
      </c>
      <c r="K2" s="22" t="n"/>
      <c r="L2" s="22" t="n"/>
      <c r="M2" s="22" t="n"/>
      <c r="N2" s="22" t="n"/>
      <c r="O2" s="22" t="n"/>
      <c r="P2" s="23" t="n"/>
      <c r="Q2" s="21" t="inlineStr">
        <is>
          <t>テスト観点</t>
        </is>
      </c>
      <c r="R2" s="22" t="n"/>
      <c r="S2" s="22" t="n"/>
      <c r="T2" s="22" t="n"/>
      <c r="U2" s="23" t="n"/>
      <c r="V2" s="24" t="inlineStr">
        <is>
          <t>2026/06/03</t>
        </is>
      </c>
      <c r="W2" s="22" t="n"/>
      <c r="X2" s="22" t="n"/>
      <c r="Y2" s="23" t="n"/>
      <c r="Z2" s="21" t="inlineStr">
        <is>
          <t>Kieu Thi Diem</t>
        </is>
      </c>
      <c r="AA2" s="22" t="n"/>
      <c r="AB2" s="22" t="n"/>
      <c r="AC2" s="23" t="n"/>
      <c r="AD2" s="24" t="inlineStr">
        <is>
          <t>2026/06/03</t>
        </is>
      </c>
      <c r="AE2" s="22" t="n"/>
      <c r="AF2" s="22" t="n"/>
      <c r="AG2" s="23" t="n"/>
      <c r="AH2" s="21" t="inlineStr">
        <is>
          <t>Kieu Thi Diem</t>
        </is>
      </c>
      <c r="AI2" s="22" t="n"/>
      <c r="AJ2" s="22" t="n"/>
      <c r="AK2" s="23" t="n"/>
    </row>
    <row r="3" ht="19.5" customHeight="1">
      <c r="A3" s="25" t="n"/>
      <c r="B3" s="26" t="n"/>
      <c r="C3" s="26" t="n"/>
      <c r="D3" s="26" t="n"/>
      <c r="E3" s="26" t="n"/>
      <c r="F3" s="26" t="n"/>
      <c r="G3" s="26" t="n"/>
      <c r="H3" s="26" t="n"/>
      <c r="I3" s="27" t="n"/>
      <c r="J3" s="25" t="n"/>
      <c r="K3" s="26" t="n"/>
      <c r="L3" s="26" t="n"/>
      <c r="M3" s="26" t="n"/>
      <c r="N3" s="26" t="n"/>
      <c r="O3" s="26" t="n"/>
      <c r="P3" s="27" t="n"/>
      <c r="Q3" s="25" t="n"/>
      <c r="R3" s="26" t="n"/>
      <c r="S3" s="26" t="n"/>
      <c r="T3" s="26" t="n"/>
      <c r="U3" s="27" t="n"/>
      <c r="V3" s="25" t="n"/>
      <c r="W3" s="26" t="n"/>
      <c r="X3" s="26" t="n"/>
      <c r="Y3" s="27" t="n"/>
      <c r="Z3" s="25" t="n"/>
      <c r="AA3" s="26" t="n"/>
      <c r="AB3" s="26" t="n"/>
      <c r="AC3" s="27" t="n"/>
      <c r="AD3" s="25" t="n"/>
      <c r="AE3" s="26" t="n"/>
      <c r="AF3" s="26" t="n"/>
      <c r="AG3" s="27" t="n"/>
      <c r="AH3" s="25" t="n"/>
      <c r="AI3" s="26" t="n"/>
      <c r="AJ3" s="26" t="n"/>
      <c r="AK3" s="27" t="n"/>
    </row>
    <row r="5" ht="19.5" customHeight="1">
      <c r="B5" s="28" t="inlineStr">
        <is>
          <t>1. テスト観点一覧</t>
        </is>
      </c>
    </row>
    <row r="7" ht="28.5" customHeight="1">
      <c r="B7" s="42" t="inlineStr">
        <is>
          <t>#</t>
        </is>
      </c>
      <c r="C7" s="43" t="inlineStr">
        <is>
          <t>観点ID</t>
        </is>
      </c>
      <c r="D7" s="10" t="n"/>
      <c r="E7" s="11" t="n"/>
      <c r="F7" s="43" t="inlineStr">
        <is>
          <t>大分類</t>
        </is>
      </c>
      <c r="G7" s="10" t="n"/>
      <c r="H7" s="10" t="n"/>
      <c r="I7" s="10" t="n"/>
      <c r="J7" s="10" t="n"/>
      <c r="K7" s="10" t="n"/>
      <c r="L7" s="11" t="n"/>
      <c r="M7" s="43" t="inlineStr">
        <is>
          <t>観点名</t>
        </is>
      </c>
      <c r="N7" s="10" t="n"/>
      <c r="O7" s="10" t="n"/>
      <c r="P7" s="10" t="n"/>
      <c r="Q7" s="10" t="n"/>
      <c r="R7" s="10" t="n"/>
      <c r="S7" s="10" t="n"/>
      <c r="T7" s="11" t="n"/>
      <c r="U7" s="43" t="inlineStr">
        <is>
          <t>リスク</t>
        </is>
      </c>
      <c r="V7" s="11" t="n"/>
      <c r="W7" s="43" t="inlineStr">
        <is>
          <t>対象画面範囲</t>
        </is>
      </c>
      <c r="X7" s="10" t="n"/>
      <c r="Y7" s="10" t="n"/>
      <c r="Z7" s="10" t="n"/>
      <c r="AA7" s="10" t="n"/>
      <c r="AB7" s="10" t="n"/>
      <c r="AC7" s="11" t="n"/>
      <c r="AD7" s="43" t="inlineStr">
        <is>
          <t>TC見積</t>
        </is>
      </c>
      <c r="AE7" s="10" t="n"/>
      <c r="AF7" s="11" t="n"/>
    </row>
    <row r="8" ht="30" customHeight="1">
      <c r="B8" s="44" t="n">
        <v>1</v>
      </c>
      <c r="C8" s="45" t="inlineStr">
        <is>
          <t>VP-A-01</t>
        </is>
      </c>
      <c r="D8" s="10" t="n"/>
      <c r="E8" s="11" t="n"/>
      <c r="F8" s="46" t="inlineStr">
        <is>
          <t>A. セキュリティ・権限</t>
        </is>
      </c>
      <c r="G8" s="10" t="n"/>
      <c r="H8" s="10" t="n"/>
      <c r="I8" s="10" t="n"/>
      <c r="J8" s="10" t="n"/>
      <c r="K8" s="10" t="n"/>
      <c r="L8" s="11" t="n"/>
      <c r="M8" s="46" t="inlineStr">
        <is>
          <t>ロール別権限制御（RBAC gate）</t>
        </is>
      </c>
      <c r="N8" s="10" t="n"/>
      <c r="O8" s="10" t="n"/>
      <c r="P8" s="10" t="n"/>
      <c r="Q8" s="10" t="n"/>
      <c r="R8" s="10" t="n"/>
      <c r="S8" s="10" t="n"/>
      <c r="T8" s="11" t="n"/>
      <c r="U8" s="47" t="inlineStr">
        <is>
          <t>高</t>
        </is>
      </c>
      <c r="V8" s="11" t="n"/>
      <c r="W8" s="46" t="inlineStr">
        <is>
          <t>約25保護画面</t>
        </is>
      </c>
      <c r="X8" s="10" t="n"/>
      <c r="Y8" s="10" t="n"/>
      <c r="Z8" s="10" t="n"/>
      <c r="AA8" s="10" t="n"/>
      <c r="AB8" s="10" t="n"/>
      <c r="AC8" s="11" t="n"/>
      <c r="AD8" s="45" t="n">
        <v>265</v>
      </c>
      <c r="AE8" s="10" t="n"/>
      <c r="AF8" s="11" t="n"/>
    </row>
    <row r="9" ht="30" customHeight="1">
      <c r="B9" s="44" t="n">
        <v>2</v>
      </c>
      <c r="C9" s="45" t="inlineStr">
        <is>
          <t>VP-A-02</t>
        </is>
      </c>
      <c r="D9" s="10" t="n"/>
      <c r="E9" s="11" t="n"/>
      <c r="F9" s="46" t="inlineStr">
        <is>
          <t>A. セキュリティ・権限</t>
        </is>
      </c>
      <c r="G9" s="10" t="n"/>
      <c r="H9" s="10" t="n"/>
      <c r="I9" s="10" t="n"/>
      <c r="J9" s="10" t="n"/>
      <c r="K9" s="10" t="n"/>
      <c r="L9" s="11" t="n"/>
      <c r="M9" s="46" t="inlineStr">
        <is>
          <t>データ範囲（DataScope）</t>
        </is>
      </c>
      <c r="N9" s="10" t="n"/>
      <c r="O9" s="10" t="n"/>
      <c r="P9" s="10" t="n"/>
      <c r="Q9" s="10" t="n"/>
      <c r="R9" s="10" t="n"/>
      <c r="S9" s="10" t="n"/>
      <c r="T9" s="11" t="n"/>
      <c r="U9" s="47" t="inlineStr">
        <is>
          <t>高</t>
        </is>
      </c>
      <c r="V9" s="11" t="n"/>
      <c r="W9" s="46" t="inlineStr">
        <is>
          <t>約20一覧／詳細画面</t>
        </is>
      </c>
      <c r="X9" s="10" t="n"/>
      <c r="Y9" s="10" t="n"/>
      <c r="Z9" s="10" t="n"/>
      <c r="AA9" s="10" t="n"/>
      <c r="AB9" s="10" t="n"/>
      <c r="AC9" s="11" t="n"/>
      <c r="AD9" s="45" t="n">
        <v>200</v>
      </c>
      <c r="AE9" s="10" t="n"/>
      <c r="AF9" s="11" t="n"/>
    </row>
    <row r="10" ht="36" customHeight="1">
      <c r="B10" s="44" t="n">
        <v>3</v>
      </c>
      <c r="C10" s="45" t="inlineStr">
        <is>
          <t>VP-A-03</t>
        </is>
      </c>
      <c r="D10" s="10" t="n"/>
      <c r="E10" s="11" t="n"/>
      <c r="F10" s="46" t="inlineStr">
        <is>
          <t>A. セキュリティ・権限</t>
        </is>
      </c>
      <c r="G10" s="10" t="n"/>
      <c r="H10" s="10" t="n"/>
      <c r="I10" s="10" t="n"/>
      <c r="J10" s="10" t="n"/>
      <c r="K10" s="10" t="n"/>
      <c r="L10" s="11" t="n"/>
      <c r="M10" s="46" t="inlineStr">
        <is>
          <t>項目レベル制限（Field-level restriction）</t>
        </is>
      </c>
      <c r="N10" s="10" t="n"/>
      <c r="O10" s="10" t="n"/>
      <c r="P10" s="10" t="n"/>
      <c r="Q10" s="10" t="n"/>
      <c r="R10" s="10" t="n"/>
      <c r="S10" s="10" t="n"/>
      <c r="T10" s="11" t="n"/>
      <c r="U10" s="47" t="inlineStr">
        <is>
          <t>高</t>
        </is>
      </c>
      <c r="V10" s="11" t="n"/>
      <c r="W10" s="46" t="inlineStr">
        <is>
          <t>5マスタ</t>
        </is>
      </c>
      <c r="X10" s="10" t="n"/>
      <c r="Y10" s="10" t="n"/>
      <c r="Z10" s="10" t="n"/>
      <c r="AA10" s="10" t="n"/>
      <c r="AB10" s="10" t="n"/>
      <c r="AC10" s="11" t="n"/>
      <c r="AD10" s="45" t="n">
        <v>50</v>
      </c>
      <c r="AE10" s="10" t="n"/>
      <c r="AF10" s="11" t="n"/>
    </row>
    <row r="11" ht="30" customHeight="1">
      <c r="B11" s="44" t="n">
        <v>4</v>
      </c>
      <c r="C11" s="45" t="inlineStr">
        <is>
          <t>VP-A-04</t>
        </is>
      </c>
      <c r="D11" s="10" t="n"/>
      <c r="E11" s="11" t="n"/>
      <c r="F11" s="46" t="inlineStr">
        <is>
          <t>A. セキュリティ・権限</t>
        </is>
      </c>
      <c r="G11" s="10" t="n"/>
      <c r="H11" s="10" t="n"/>
      <c r="I11" s="10" t="n"/>
      <c r="J11" s="10" t="n"/>
      <c r="K11" s="10" t="n"/>
      <c r="L11" s="11" t="n"/>
      <c r="M11" s="46" t="inlineStr">
        <is>
          <t>URL直接アクセス攻撃</t>
        </is>
      </c>
      <c r="N11" s="10" t="n"/>
      <c r="O11" s="10" t="n"/>
      <c r="P11" s="10" t="n"/>
      <c r="Q11" s="10" t="n"/>
      <c r="R11" s="10" t="n"/>
      <c r="S11" s="10" t="n"/>
      <c r="T11" s="11" t="n"/>
      <c r="U11" s="47" t="inlineStr">
        <is>
          <t>高</t>
        </is>
      </c>
      <c r="V11" s="11" t="n"/>
      <c r="W11" s="46" t="inlineStr">
        <is>
          <t>約25保護画面</t>
        </is>
      </c>
      <c r="X11" s="10" t="n"/>
      <c r="Y11" s="10" t="n"/>
      <c r="Z11" s="10" t="n"/>
      <c r="AA11" s="10" t="n"/>
      <c r="AB11" s="10" t="n"/>
      <c r="AC11" s="11" t="n"/>
      <c r="AD11" s="45" t="n">
        <v>75</v>
      </c>
      <c r="AE11" s="10" t="n"/>
      <c r="AF11" s="11" t="n"/>
    </row>
    <row r="12" ht="30" customHeight="1">
      <c r="B12" s="44" t="n">
        <v>5</v>
      </c>
      <c r="C12" s="45" t="inlineStr">
        <is>
          <t>VP-A-05</t>
        </is>
      </c>
      <c r="D12" s="10" t="n"/>
      <c r="E12" s="11" t="n"/>
      <c r="F12" s="46" t="inlineStr">
        <is>
          <t>A. セキュリティ・権限</t>
        </is>
      </c>
      <c r="G12" s="10" t="n"/>
      <c r="H12" s="10" t="n"/>
      <c r="I12" s="10" t="n"/>
      <c r="J12" s="10" t="n"/>
      <c r="K12" s="10" t="n"/>
      <c r="L12" s="11" t="n"/>
      <c r="M12" s="46" t="inlineStr">
        <is>
          <t>セッション失効／401 ハンドリング</t>
        </is>
      </c>
      <c r="N12" s="10" t="n"/>
      <c r="O12" s="10" t="n"/>
      <c r="P12" s="10" t="n"/>
      <c r="Q12" s="10" t="n"/>
      <c r="R12" s="10" t="n"/>
      <c r="S12" s="10" t="n"/>
      <c r="T12" s="11" t="n"/>
      <c r="U12" s="47" t="inlineStr">
        <is>
          <t>高</t>
        </is>
      </c>
      <c r="V12" s="11" t="n"/>
      <c r="W12" s="46" t="inlineStr">
        <is>
          <t>全システム</t>
        </is>
      </c>
      <c r="X12" s="10" t="n"/>
      <c r="Y12" s="10" t="n"/>
      <c r="Z12" s="10" t="n"/>
      <c r="AA12" s="10" t="n"/>
      <c r="AB12" s="10" t="n"/>
      <c r="AC12" s="11" t="n"/>
      <c r="AD12" s="45" t="n">
        <v>30</v>
      </c>
      <c r="AE12" s="10" t="n"/>
      <c r="AF12" s="11" t="n"/>
    </row>
    <row r="13" ht="30" customHeight="1">
      <c r="B13" s="44" t="n">
        <v>6</v>
      </c>
      <c r="C13" s="45" t="inlineStr">
        <is>
          <t>VP-A-06</t>
        </is>
      </c>
      <c r="D13" s="10" t="n"/>
      <c r="E13" s="11" t="n"/>
      <c r="F13" s="46" t="inlineStr">
        <is>
          <t>A. セキュリティ・権限</t>
        </is>
      </c>
      <c r="G13" s="10" t="n"/>
      <c r="H13" s="10" t="n"/>
      <c r="I13" s="10" t="n"/>
      <c r="J13" s="10" t="n"/>
      <c r="K13" s="10" t="n"/>
      <c r="L13" s="11" t="n"/>
      <c r="M13" s="46" t="inlineStr">
        <is>
          <t>XSS／HTML 描画安全性</t>
        </is>
      </c>
      <c r="N13" s="10" t="n"/>
      <c r="O13" s="10" t="n"/>
      <c r="P13" s="10" t="n"/>
      <c r="Q13" s="10" t="n"/>
      <c r="R13" s="10" t="n"/>
      <c r="S13" s="10" t="n"/>
      <c r="T13" s="11" t="n"/>
      <c r="U13" s="47" t="inlineStr">
        <is>
          <t>高</t>
        </is>
      </c>
      <c r="V13" s="11" t="n"/>
      <c r="W13" s="46" t="inlineStr">
        <is>
          <t>約20フォーム</t>
        </is>
      </c>
      <c r="X13" s="10" t="n"/>
      <c r="Y13" s="10" t="n"/>
      <c r="Z13" s="10" t="n"/>
      <c r="AA13" s="10" t="n"/>
      <c r="AB13" s="10" t="n"/>
      <c r="AC13" s="11" t="n"/>
      <c r="AD13" s="45" t="n">
        <v>50</v>
      </c>
      <c r="AE13" s="10" t="n"/>
      <c r="AF13" s="11" t="n"/>
    </row>
    <row r="14" ht="30" customHeight="1">
      <c r="B14" s="44" t="n">
        <v>7</v>
      </c>
      <c r="C14" s="45" t="inlineStr">
        <is>
          <t>VP-A-07</t>
        </is>
      </c>
      <c r="D14" s="10" t="n"/>
      <c r="E14" s="11" t="n"/>
      <c r="F14" s="46" t="inlineStr">
        <is>
          <t>A. セキュリティ・権限</t>
        </is>
      </c>
      <c r="G14" s="10" t="n"/>
      <c r="H14" s="10" t="n"/>
      <c r="I14" s="10" t="n"/>
      <c r="J14" s="10" t="n"/>
      <c r="K14" s="10" t="n"/>
      <c r="L14" s="11" t="n"/>
      <c r="M14" s="46" t="inlineStr">
        <is>
          <t>CSRF／Cookie セキュリティフラグ</t>
        </is>
      </c>
      <c r="N14" s="10" t="n"/>
      <c r="O14" s="10" t="n"/>
      <c r="P14" s="10" t="n"/>
      <c r="Q14" s="10" t="n"/>
      <c r="R14" s="10" t="n"/>
      <c r="S14" s="10" t="n"/>
      <c r="T14" s="11" t="n"/>
      <c r="U14" s="47" t="inlineStr">
        <is>
          <t>高</t>
        </is>
      </c>
      <c r="V14" s="11" t="n"/>
      <c r="W14" s="46" t="inlineStr">
        <is>
          <t>全システム</t>
        </is>
      </c>
      <c r="X14" s="10" t="n"/>
      <c r="Y14" s="10" t="n"/>
      <c r="Z14" s="10" t="n"/>
      <c r="AA14" s="10" t="n"/>
      <c r="AB14" s="10" t="n"/>
      <c r="AC14" s="11" t="n"/>
      <c r="AD14" s="45" t="n">
        <v>10</v>
      </c>
      <c r="AE14" s="10" t="n"/>
      <c r="AF14" s="11" t="n"/>
    </row>
    <row r="15" ht="30" customHeight="1">
      <c r="B15" s="44" t="n">
        <v>8</v>
      </c>
      <c r="C15" s="45" t="inlineStr">
        <is>
          <t>VP-A-08</t>
        </is>
      </c>
      <c r="D15" s="10" t="n"/>
      <c r="E15" s="11" t="n"/>
      <c r="F15" s="46" t="inlineStr">
        <is>
          <t>A. セキュリティ・権限</t>
        </is>
      </c>
      <c r="G15" s="10" t="n"/>
      <c r="H15" s="10" t="n"/>
      <c r="I15" s="10" t="n"/>
      <c r="J15" s="10" t="n"/>
      <c r="K15" s="10" t="n"/>
      <c r="L15" s="11" t="n"/>
      <c r="M15" s="46" t="inlineStr">
        <is>
          <t>レート制限・Throttling</t>
        </is>
      </c>
      <c r="N15" s="10" t="n"/>
      <c r="O15" s="10" t="n"/>
      <c r="P15" s="10" t="n"/>
      <c r="Q15" s="10" t="n"/>
      <c r="R15" s="10" t="n"/>
      <c r="S15" s="10" t="n"/>
      <c r="T15" s="11" t="n"/>
      <c r="U15" s="48" t="inlineStr">
        <is>
          <t>中</t>
        </is>
      </c>
      <c r="V15" s="11" t="n"/>
      <c r="W15" s="46" t="inlineStr">
        <is>
          <t>全公開API＋認証エンドポイント</t>
        </is>
      </c>
      <c r="X15" s="10" t="n"/>
      <c r="Y15" s="10" t="n"/>
      <c r="Z15" s="10" t="n"/>
      <c r="AA15" s="10" t="n"/>
      <c r="AB15" s="10" t="n"/>
      <c r="AC15" s="11" t="n"/>
      <c r="AD15" s="45" t="n">
        <v>20</v>
      </c>
      <c r="AE15" s="10" t="n"/>
      <c r="AF15" s="11" t="n"/>
    </row>
    <row r="16" ht="30" customHeight="1">
      <c r="B16" s="44" t="n">
        <v>9</v>
      </c>
      <c r="C16" s="45" t="inlineStr">
        <is>
          <t>VP-A-09</t>
        </is>
      </c>
      <c r="D16" s="10" t="n"/>
      <c r="E16" s="11" t="n"/>
      <c r="F16" s="46" t="inlineStr">
        <is>
          <t>A. セキュリティ・権限</t>
        </is>
      </c>
      <c r="G16" s="10" t="n"/>
      <c r="H16" s="10" t="n"/>
      <c r="I16" s="10" t="n"/>
      <c r="J16" s="10" t="n"/>
      <c r="K16" s="10" t="n"/>
      <c r="L16" s="11" t="n"/>
      <c r="M16" s="46" t="inlineStr">
        <is>
          <t>アカウントロック・解除運用</t>
        </is>
      </c>
      <c r="N16" s="10" t="n"/>
      <c r="O16" s="10" t="n"/>
      <c r="P16" s="10" t="n"/>
      <c r="Q16" s="10" t="n"/>
      <c r="R16" s="10" t="n"/>
      <c r="S16" s="10" t="n"/>
      <c r="T16" s="11" t="n"/>
      <c r="U16" s="47" t="inlineStr">
        <is>
          <t>高</t>
        </is>
      </c>
      <c r="V16" s="11" t="n"/>
      <c r="W16" s="46" t="inlineStr">
        <is>
          <t>SCR-001／002＋管理機能</t>
        </is>
      </c>
      <c r="X16" s="10" t="n"/>
      <c r="Y16" s="10" t="n"/>
      <c r="Z16" s="10" t="n"/>
      <c r="AA16" s="10" t="n"/>
      <c r="AB16" s="10" t="n"/>
      <c r="AC16" s="11" t="n"/>
      <c r="AD16" s="45" t="n">
        <v>8</v>
      </c>
      <c r="AE16" s="10" t="n"/>
      <c r="AF16" s="11" t="n"/>
    </row>
    <row r="17" ht="30" customHeight="1">
      <c r="B17" s="44" t="n">
        <v>10</v>
      </c>
      <c r="C17" s="45" t="inlineStr">
        <is>
          <t>VP-A-10</t>
        </is>
      </c>
      <c r="D17" s="10" t="n"/>
      <c r="E17" s="11" t="n"/>
      <c r="F17" s="46" t="inlineStr">
        <is>
          <t>A. セキュリティ・権限</t>
        </is>
      </c>
      <c r="G17" s="10" t="n"/>
      <c r="H17" s="10" t="n"/>
      <c r="I17" s="10" t="n"/>
      <c r="J17" s="10" t="n"/>
      <c r="K17" s="10" t="n"/>
      <c r="L17" s="11" t="n"/>
      <c r="M17" s="46" t="inlineStr">
        <is>
          <t>SQL インジェクション</t>
        </is>
      </c>
      <c r="N17" s="10" t="n"/>
      <c r="O17" s="10" t="n"/>
      <c r="P17" s="10" t="n"/>
      <c r="Q17" s="10" t="n"/>
      <c r="R17" s="10" t="n"/>
      <c r="S17" s="10" t="n"/>
      <c r="T17" s="11" t="n"/>
      <c r="U17" s="47" t="inlineStr">
        <is>
          <t>高</t>
        </is>
      </c>
      <c r="V17" s="11" t="n"/>
      <c r="W17" s="46" t="inlineStr">
        <is>
          <t>約20フォーム＋検索</t>
        </is>
      </c>
      <c r="X17" s="10" t="n"/>
      <c r="Y17" s="10" t="n"/>
      <c r="Z17" s="10" t="n"/>
      <c r="AA17" s="10" t="n"/>
      <c r="AB17" s="10" t="n"/>
      <c r="AC17" s="11" t="n"/>
      <c r="AD17" s="45" t="n">
        <v>30</v>
      </c>
      <c r="AE17" s="10" t="n"/>
      <c r="AF17" s="11" t="n"/>
    </row>
    <row r="18" ht="30" customHeight="1">
      <c r="B18" s="44" t="n">
        <v>11</v>
      </c>
      <c r="C18" s="45" t="inlineStr">
        <is>
          <t>VP-B-01</t>
        </is>
      </c>
      <c r="D18" s="10" t="n"/>
      <c r="E18" s="11" t="n"/>
      <c r="F18" s="46" t="inlineStr">
        <is>
          <t>B. データバリデーション</t>
        </is>
      </c>
      <c r="G18" s="10" t="n"/>
      <c r="H18" s="10" t="n"/>
      <c r="I18" s="10" t="n"/>
      <c r="J18" s="10" t="n"/>
      <c r="K18" s="10" t="n"/>
      <c r="L18" s="11" t="n"/>
      <c r="M18" s="46" t="inlineStr">
        <is>
          <t>必須項目チェック</t>
        </is>
      </c>
      <c r="N18" s="10" t="n"/>
      <c r="O18" s="10" t="n"/>
      <c r="P18" s="10" t="n"/>
      <c r="Q18" s="10" t="n"/>
      <c r="R18" s="10" t="n"/>
      <c r="S18" s="10" t="n"/>
      <c r="T18" s="11" t="n"/>
      <c r="U18" s="48" t="inlineStr">
        <is>
          <t>中</t>
        </is>
      </c>
      <c r="V18" s="11" t="n"/>
      <c r="W18" s="46" t="inlineStr">
        <is>
          <t>約25フォーム</t>
        </is>
      </c>
      <c r="X18" s="10" t="n"/>
      <c r="Y18" s="10" t="n"/>
      <c r="Z18" s="10" t="n"/>
      <c r="AA18" s="10" t="n"/>
      <c r="AB18" s="10" t="n"/>
      <c r="AC18" s="11" t="n"/>
      <c r="AD18" s="45" t="n">
        <v>100</v>
      </c>
      <c r="AE18" s="10" t="n"/>
      <c r="AF18" s="11" t="n"/>
    </row>
    <row r="19" ht="30" customHeight="1">
      <c r="B19" s="44" t="n">
        <v>12</v>
      </c>
      <c r="C19" s="45" t="inlineStr">
        <is>
          <t>VP-B-02</t>
        </is>
      </c>
      <c r="D19" s="10" t="n"/>
      <c r="E19" s="11" t="n"/>
      <c r="F19" s="46" t="inlineStr">
        <is>
          <t>B. データバリデーション</t>
        </is>
      </c>
      <c r="G19" s="10" t="n"/>
      <c r="H19" s="10" t="n"/>
      <c r="I19" s="10" t="n"/>
      <c r="J19" s="10" t="n"/>
      <c r="K19" s="10" t="n"/>
      <c r="L19" s="11" t="n"/>
      <c r="M19" s="46" t="inlineStr">
        <is>
          <t>最小／最大長境界</t>
        </is>
      </c>
      <c r="N19" s="10" t="n"/>
      <c r="O19" s="10" t="n"/>
      <c r="P19" s="10" t="n"/>
      <c r="Q19" s="10" t="n"/>
      <c r="R19" s="10" t="n"/>
      <c r="S19" s="10" t="n"/>
      <c r="T19" s="11" t="n"/>
      <c r="U19" s="48" t="inlineStr">
        <is>
          <t>中</t>
        </is>
      </c>
      <c r="V19" s="11" t="n"/>
      <c r="W19" s="46" t="inlineStr">
        <is>
          <t>約25フォーム</t>
        </is>
      </c>
      <c r="X19" s="10" t="n"/>
      <c r="Y19" s="10" t="n"/>
      <c r="Z19" s="10" t="n"/>
      <c r="AA19" s="10" t="n"/>
      <c r="AB19" s="10" t="n"/>
      <c r="AC19" s="11" t="n"/>
      <c r="AD19" s="45" t="n">
        <v>80</v>
      </c>
      <c r="AE19" s="10" t="n"/>
      <c r="AF19" s="11" t="n"/>
    </row>
    <row r="20" ht="30" customHeight="1">
      <c r="B20" s="44" t="n">
        <v>13</v>
      </c>
      <c r="C20" s="45" t="inlineStr">
        <is>
          <t>VP-B-03</t>
        </is>
      </c>
      <c r="D20" s="10" t="n"/>
      <c r="E20" s="11" t="n"/>
      <c r="F20" s="46" t="inlineStr">
        <is>
          <t>B. データバリデーション</t>
        </is>
      </c>
      <c r="G20" s="10" t="n"/>
      <c r="H20" s="10" t="n"/>
      <c r="I20" s="10" t="n"/>
      <c r="J20" s="10" t="n"/>
      <c r="K20" s="10" t="n"/>
      <c r="L20" s="11" t="n"/>
      <c r="M20" s="46" t="inlineStr">
        <is>
          <t>形式正規表現（郵便／電話／コード）</t>
        </is>
      </c>
      <c r="N20" s="10" t="n"/>
      <c r="O20" s="10" t="n"/>
      <c r="P20" s="10" t="n"/>
      <c r="Q20" s="10" t="n"/>
      <c r="R20" s="10" t="n"/>
      <c r="S20" s="10" t="n"/>
      <c r="T20" s="11" t="n"/>
      <c r="U20" s="48" t="inlineStr">
        <is>
          <t>中</t>
        </is>
      </c>
      <c r="V20" s="11" t="n"/>
      <c r="W20" s="46" t="inlineStr">
        <is>
          <t>約20フォーム</t>
        </is>
      </c>
      <c r="X20" s="10" t="n"/>
      <c r="Y20" s="10" t="n"/>
      <c r="Z20" s="10" t="n"/>
      <c r="AA20" s="10" t="n"/>
      <c r="AB20" s="10" t="n"/>
      <c r="AC20" s="11" t="n"/>
      <c r="AD20" s="45" t="n">
        <v>60</v>
      </c>
      <c r="AE20" s="10" t="n"/>
      <c r="AF20" s="11" t="n"/>
    </row>
    <row r="21" ht="30" customHeight="1">
      <c r="B21" s="44" t="n">
        <v>14</v>
      </c>
      <c r="C21" s="45" t="inlineStr">
        <is>
          <t>VP-B-04</t>
        </is>
      </c>
      <c r="D21" s="10" t="n"/>
      <c r="E21" s="11" t="n"/>
      <c r="F21" s="46" t="inlineStr">
        <is>
          <t>B. データバリデーション</t>
        </is>
      </c>
      <c r="G21" s="10" t="n"/>
      <c r="H21" s="10" t="n"/>
      <c r="I21" s="10" t="n"/>
      <c r="J21" s="10" t="n"/>
      <c r="K21" s="10" t="n"/>
      <c r="L21" s="11" t="n"/>
      <c r="M21" s="46" t="inlineStr">
        <is>
          <t>半角／全角ハンドリング</t>
        </is>
      </c>
      <c r="N21" s="10" t="n"/>
      <c r="O21" s="10" t="n"/>
      <c r="P21" s="10" t="n"/>
      <c r="Q21" s="10" t="n"/>
      <c r="R21" s="10" t="n"/>
      <c r="S21" s="10" t="n"/>
      <c r="T21" s="11" t="n"/>
      <c r="U21" s="48" t="inlineStr">
        <is>
          <t>中</t>
        </is>
      </c>
      <c r="V21" s="11" t="n"/>
      <c r="W21" s="46" t="inlineStr">
        <is>
          <t>約25フォーム</t>
        </is>
      </c>
      <c r="X21" s="10" t="n"/>
      <c r="Y21" s="10" t="n"/>
      <c r="Z21" s="10" t="n"/>
      <c r="AA21" s="10" t="n"/>
      <c r="AB21" s="10" t="n"/>
      <c r="AC21" s="11" t="n"/>
      <c r="AD21" s="45" t="n">
        <v>50</v>
      </c>
      <c r="AE21" s="10" t="n"/>
      <c r="AF21" s="11" t="n"/>
    </row>
    <row r="22" ht="30" customHeight="1">
      <c r="B22" s="44" t="n">
        <v>15</v>
      </c>
      <c r="C22" s="45" t="inlineStr">
        <is>
          <t>VP-B-05</t>
        </is>
      </c>
      <c r="D22" s="10" t="n"/>
      <c r="E22" s="11" t="n"/>
      <c r="F22" s="46" t="inlineStr">
        <is>
          <t>B. データバリデーション</t>
        </is>
      </c>
      <c r="G22" s="10" t="n"/>
      <c r="H22" s="10" t="n"/>
      <c r="I22" s="10" t="n"/>
      <c r="J22" s="10" t="n"/>
      <c r="K22" s="10" t="n"/>
      <c r="L22" s="11" t="n"/>
      <c r="M22" s="46" t="inlineStr">
        <is>
          <t>日付ロジック</t>
        </is>
      </c>
      <c r="N22" s="10" t="n"/>
      <c r="O22" s="10" t="n"/>
      <c r="P22" s="10" t="n"/>
      <c r="Q22" s="10" t="n"/>
      <c r="R22" s="10" t="n"/>
      <c r="S22" s="10" t="n"/>
      <c r="T22" s="11" t="n"/>
      <c r="U22" s="48" t="inlineStr">
        <is>
          <t>中</t>
        </is>
      </c>
      <c r="V22" s="11" t="n"/>
      <c r="W22" s="46" t="inlineStr">
        <is>
          <t>約10日付付きフォーム</t>
        </is>
      </c>
      <c r="X22" s="10" t="n"/>
      <c r="Y22" s="10" t="n"/>
      <c r="Z22" s="10" t="n"/>
      <c r="AA22" s="10" t="n"/>
      <c r="AB22" s="10" t="n"/>
      <c r="AC22" s="11" t="n"/>
      <c r="AD22" s="45" t="n">
        <v>30</v>
      </c>
      <c r="AE22" s="10" t="n"/>
      <c r="AF22" s="11" t="n"/>
    </row>
    <row r="23" ht="30" customHeight="1">
      <c r="B23" s="44" t="n">
        <v>16</v>
      </c>
      <c r="C23" s="45" t="inlineStr">
        <is>
          <t>VP-B-06</t>
        </is>
      </c>
      <c r="D23" s="10" t="n"/>
      <c r="E23" s="11" t="n"/>
      <c r="F23" s="46" t="inlineStr">
        <is>
          <t>B. データバリデーション</t>
        </is>
      </c>
      <c r="G23" s="10" t="n"/>
      <c r="H23" s="10" t="n"/>
      <c r="I23" s="10" t="n"/>
      <c r="J23" s="10" t="n"/>
      <c r="K23" s="10" t="n"/>
      <c r="L23" s="11" t="n"/>
      <c r="M23" s="46" t="inlineStr">
        <is>
          <t>通貨／パーセント形式</t>
        </is>
      </c>
      <c r="N23" s="10" t="n"/>
      <c r="O23" s="10" t="n"/>
      <c r="P23" s="10" t="n"/>
      <c r="Q23" s="10" t="n"/>
      <c r="R23" s="10" t="n"/>
      <c r="S23" s="10" t="n"/>
      <c r="T23" s="11" t="n"/>
      <c r="U23" s="47" t="inlineStr">
        <is>
          <t>高</t>
        </is>
      </c>
      <c r="V23" s="11" t="n"/>
      <c r="W23" s="46" t="inlineStr">
        <is>
          <t>2-3フォーム（単価）</t>
        </is>
      </c>
      <c r="X23" s="10" t="n"/>
      <c r="Y23" s="10" t="n"/>
      <c r="Z23" s="10" t="n"/>
      <c r="AA23" s="10" t="n"/>
      <c r="AB23" s="10" t="n"/>
      <c r="AC23" s="11" t="n"/>
      <c r="AD23" s="45" t="n">
        <v>15</v>
      </c>
      <c r="AE23" s="10" t="n"/>
      <c r="AF23" s="11" t="n"/>
    </row>
    <row r="24" ht="36" customHeight="1">
      <c r="B24" s="44" t="n">
        <v>17</v>
      </c>
      <c r="C24" s="45" t="inlineStr">
        <is>
          <t>VP-B-07</t>
        </is>
      </c>
      <c r="D24" s="10" t="n"/>
      <c r="E24" s="11" t="n"/>
      <c r="F24" s="46" t="inlineStr">
        <is>
          <t>B. データバリデーション</t>
        </is>
      </c>
      <c r="G24" s="10" t="n"/>
      <c r="H24" s="10" t="n"/>
      <c r="I24" s="10" t="n"/>
      <c r="J24" s="10" t="n"/>
      <c r="K24" s="10" t="n"/>
      <c r="L24" s="11" t="n"/>
      <c r="M24" s="46" t="inlineStr">
        <is>
          <t>マスタコード（m_code）参照</t>
        </is>
      </c>
      <c r="N24" s="10" t="n"/>
      <c r="O24" s="10" t="n"/>
      <c r="P24" s="10" t="n"/>
      <c r="Q24" s="10" t="n"/>
      <c r="R24" s="10" t="n"/>
      <c r="S24" s="10" t="n"/>
      <c r="T24" s="11" t="n"/>
      <c r="U24" s="48" t="inlineStr">
        <is>
          <t>中</t>
        </is>
      </c>
      <c r="V24" s="11" t="n"/>
      <c r="W24" s="46" t="inlineStr">
        <is>
          <t>約15ドロップダウン付きフォーム</t>
        </is>
      </c>
      <c r="X24" s="10" t="n"/>
      <c r="Y24" s="10" t="n"/>
      <c r="Z24" s="10" t="n"/>
      <c r="AA24" s="10" t="n"/>
      <c r="AB24" s="10" t="n"/>
      <c r="AC24" s="11" t="n"/>
      <c r="AD24" s="45" t="n">
        <v>45</v>
      </c>
      <c r="AE24" s="10" t="n"/>
      <c r="AF24" s="11" t="n"/>
    </row>
    <row r="25" ht="30" customHeight="1">
      <c r="B25" s="44" t="n">
        <v>18</v>
      </c>
      <c r="C25" s="45" t="inlineStr">
        <is>
          <t>VP-B-08</t>
        </is>
      </c>
      <c r="D25" s="10" t="n"/>
      <c r="E25" s="11" t="n"/>
      <c r="F25" s="46" t="inlineStr">
        <is>
          <t>B. データバリデーション</t>
        </is>
      </c>
      <c r="G25" s="10" t="n"/>
      <c r="H25" s="10" t="n"/>
      <c r="I25" s="10" t="n"/>
      <c r="J25" s="10" t="n"/>
      <c r="K25" s="10" t="n"/>
      <c r="L25" s="11" t="n"/>
      <c r="M25" s="46" t="inlineStr">
        <is>
          <t>キー重複（duplicate code）</t>
        </is>
      </c>
      <c r="N25" s="10" t="n"/>
      <c r="O25" s="10" t="n"/>
      <c r="P25" s="10" t="n"/>
      <c r="Q25" s="10" t="n"/>
      <c r="R25" s="10" t="n"/>
      <c r="S25" s="10" t="n"/>
      <c r="T25" s="11" t="n"/>
      <c r="U25" s="48" t="inlineStr">
        <is>
          <t>中</t>
        </is>
      </c>
      <c r="V25" s="11" t="n"/>
      <c r="W25" s="46" t="inlineStr">
        <is>
          <t>約10マスタ</t>
        </is>
      </c>
      <c r="X25" s="10" t="n"/>
      <c r="Y25" s="10" t="n"/>
      <c r="Z25" s="10" t="n"/>
      <c r="AA25" s="10" t="n"/>
      <c r="AB25" s="10" t="n"/>
      <c r="AC25" s="11" t="n"/>
      <c r="AD25" s="45" t="n">
        <v>30</v>
      </c>
      <c r="AE25" s="10" t="n"/>
      <c r="AF25" s="11" t="n"/>
    </row>
    <row r="26" ht="36" customHeight="1">
      <c r="B26" s="44" t="n">
        <v>19</v>
      </c>
      <c r="C26" s="45" t="inlineStr">
        <is>
          <t>VP-B-09</t>
        </is>
      </c>
      <c r="D26" s="10" t="n"/>
      <c r="E26" s="11" t="n"/>
      <c r="F26" s="46" t="inlineStr">
        <is>
          <t>B. データバリデーション</t>
        </is>
      </c>
      <c r="G26" s="10" t="n"/>
      <c r="H26" s="10" t="n"/>
      <c r="I26" s="10" t="n"/>
      <c r="J26" s="10" t="n"/>
      <c r="K26" s="10" t="n"/>
      <c r="L26" s="11" t="n"/>
      <c r="M26" s="46" t="inlineStr">
        <is>
          <t>IME・全角入力・貼付ハンドリング</t>
        </is>
      </c>
      <c r="N26" s="10" t="n"/>
      <c r="O26" s="10" t="n"/>
      <c r="P26" s="10" t="n"/>
      <c r="Q26" s="10" t="n"/>
      <c r="R26" s="10" t="n"/>
      <c r="S26" s="10" t="n"/>
      <c r="T26" s="11" t="n"/>
      <c r="U26" s="48" t="inlineStr">
        <is>
          <t>中</t>
        </is>
      </c>
      <c r="V26" s="11" t="n"/>
      <c r="W26" s="46" t="inlineStr">
        <is>
          <t>全テキスト入力フォーム＋検索画面</t>
        </is>
      </c>
      <c r="X26" s="10" t="n"/>
      <c r="Y26" s="10" t="n"/>
      <c r="Z26" s="10" t="n"/>
      <c r="AA26" s="10" t="n"/>
      <c r="AB26" s="10" t="n"/>
      <c r="AC26" s="11" t="n"/>
      <c r="AD26" s="45" t="n">
        <v>25</v>
      </c>
      <c r="AE26" s="10" t="n"/>
      <c r="AF26" s="11" t="n"/>
    </row>
    <row r="27" ht="30" customHeight="1">
      <c r="B27" s="44" t="n">
        <v>20</v>
      </c>
      <c r="C27" s="45" t="inlineStr">
        <is>
          <t>VP-C-01</t>
        </is>
      </c>
      <c r="D27" s="10" t="n"/>
      <c r="E27" s="11" t="n"/>
      <c r="F27" s="46" t="inlineStr">
        <is>
          <t>C. 業務ロジック</t>
        </is>
      </c>
      <c r="G27" s="10" t="n"/>
      <c r="H27" s="10" t="n"/>
      <c r="I27" s="10" t="n"/>
      <c r="J27" s="10" t="n"/>
      <c r="K27" s="10" t="n"/>
      <c r="L27" s="11" t="n"/>
      <c r="M27" s="46" t="inlineStr">
        <is>
          <t>CRUD 正常系 + DB 永続化</t>
        </is>
      </c>
      <c r="N27" s="10" t="n"/>
      <c r="O27" s="10" t="n"/>
      <c r="P27" s="10" t="n"/>
      <c r="Q27" s="10" t="n"/>
      <c r="R27" s="10" t="n"/>
      <c r="S27" s="10" t="n"/>
      <c r="T27" s="11" t="n"/>
      <c r="U27" s="47" t="inlineStr">
        <is>
          <t>高</t>
        </is>
      </c>
      <c r="V27" s="11" t="n"/>
      <c r="W27" s="46" t="inlineStr">
        <is>
          <t>約10マスタ</t>
        </is>
      </c>
      <c r="X27" s="10" t="n"/>
      <c r="Y27" s="10" t="n"/>
      <c r="Z27" s="10" t="n"/>
      <c r="AA27" s="10" t="n"/>
      <c r="AB27" s="10" t="n"/>
      <c r="AC27" s="11" t="n"/>
      <c r="AD27" s="45" t="n">
        <v>60</v>
      </c>
      <c r="AE27" s="10" t="n"/>
      <c r="AF27" s="11" t="n"/>
    </row>
    <row r="28" ht="30" customHeight="1">
      <c r="B28" s="44" t="n">
        <v>21</v>
      </c>
      <c r="C28" s="45" t="inlineStr">
        <is>
          <t>VP-C-02</t>
        </is>
      </c>
      <c r="D28" s="10" t="n"/>
      <c r="E28" s="11" t="n"/>
      <c r="F28" s="46" t="inlineStr">
        <is>
          <t>C. 業務ロジック</t>
        </is>
      </c>
      <c r="G28" s="10" t="n"/>
      <c r="H28" s="10" t="n"/>
      <c r="I28" s="10" t="n"/>
      <c r="J28" s="10" t="n"/>
      <c r="K28" s="10" t="n"/>
      <c r="L28" s="11" t="n"/>
      <c r="M28" s="46" t="inlineStr">
        <is>
          <t>同時編集競合</t>
        </is>
      </c>
      <c r="N28" s="10" t="n"/>
      <c r="O28" s="10" t="n"/>
      <c r="P28" s="10" t="n"/>
      <c r="Q28" s="10" t="n"/>
      <c r="R28" s="10" t="n"/>
      <c r="S28" s="10" t="n"/>
      <c r="T28" s="11" t="n"/>
      <c r="U28" s="48" t="inlineStr">
        <is>
          <t>中</t>
        </is>
      </c>
      <c r="V28" s="11" t="n"/>
      <c r="W28" s="46" t="inlineStr">
        <is>
          <t>約8編集画面</t>
        </is>
      </c>
      <c r="X28" s="10" t="n"/>
      <c r="Y28" s="10" t="n"/>
      <c r="Z28" s="10" t="n"/>
      <c r="AA28" s="10" t="n"/>
      <c r="AB28" s="10" t="n"/>
      <c r="AC28" s="11" t="n"/>
      <c r="AD28" s="45" t="n">
        <v>16</v>
      </c>
      <c r="AE28" s="10" t="n"/>
      <c r="AF28" s="11" t="n"/>
    </row>
    <row r="29" ht="30" customHeight="1">
      <c r="B29" s="44" t="n">
        <v>22</v>
      </c>
      <c r="C29" s="45" t="inlineStr">
        <is>
          <t>VP-C-03</t>
        </is>
      </c>
      <c r="D29" s="10" t="n"/>
      <c r="E29" s="11" t="n"/>
      <c r="F29" s="46" t="inlineStr">
        <is>
          <t>C. 業務ロジック</t>
        </is>
      </c>
      <c r="G29" s="10" t="n"/>
      <c r="H29" s="10" t="n"/>
      <c r="I29" s="10" t="n"/>
      <c r="J29" s="10" t="n"/>
      <c r="K29" s="10" t="n"/>
      <c r="L29" s="11" t="n"/>
      <c r="M29" s="46" t="inlineStr">
        <is>
          <t>論理削除 + FK 関連</t>
        </is>
      </c>
      <c r="N29" s="10" t="n"/>
      <c r="O29" s="10" t="n"/>
      <c r="P29" s="10" t="n"/>
      <c r="Q29" s="10" t="n"/>
      <c r="R29" s="10" t="n"/>
      <c r="S29" s="10" t="n"/>
      <c r="T29" s="11" t="n"/>
      <c r="U29" s="47" t="inlineStr">
        <is>
          <t>高</t>
        </is>
      </c>
      <c r="V29" s="11" t="n"/>
      <c r="W29" s="46" t="inlineStr">
        <is>
          <t>約6関連付きマスタ</t>
        </is>
      </c>
      <c r="X29" s="10" t="n"/>
      <c r="Y29" s="10" t="n"/>
      <c r="Z29" s="10" t="n"/>
      <c r="AA29" s="10" t="n"/>
      <c r="AB29" s="10" t="n"/>
      <c r="AC29" s="11" t="n"/>
      <c r="AD29" s="45" t="n">
        <v>18</v>
      </c>
      <c r="AE29" s="10" t="n"/>
      <c r="AF29" s="11" t="n"/>
    </row>
    <row r="30" ht="30" customHeight="1">
      <c r="B30" s="44" t="n">
        <v>23</v>
      </c>
      <c r="C30" s="45" t="inlineStr">
        <is>
          <t>VP-C-04</t>
        </is>
      </c>
      <c r="D30" s="10" t="n"/>
      <c r="E30" s="11" t="n"/>
      <c r="F30" s="46" t="inlineStr">
        <is>
          <t>C. 業務ロジック</t>
        </is>
      </c>
      <c r="G30" s="10" t="n"/>
      <c r="H30" s="10" t="n"/>
      <c r="I30" s="10" t="n"/>
      <c r="J30" s="10" t="n"/>
      <c r="K30" s="10" t="n"/>
      <c r="L30" s="11" t="n"/>
      <c r="M30" s="46" t="inlineStr">
        <is>
          <t>税込／税抜計算</t>
        </is>
      </c>
      <c r="N30" s="10" t="n"/>
      <c r="O30" s="10" t="n"/>
      <c r="P30" s="10" t="n"/>
      <c r="Q30" s="10" t="n"/>
      <c r="R30" s="10" t="n"/>
      <c r="S30" s="10" t="n"/>
      <c r="T30" s="11" t="n"/>
      <c r="U30" s="48" t="inlineStr">
        <is>
          <t>中</t>
        </is>
      </c>
      <c r="V30" s="11" t="n"/>
      <c r="W30" s="46" t="inlineStr">
        <is>
          <t>単価マスタ</t>
        </is>
      </c>
      <c r="X30" s="10" t="n"/>
      <c r="Y30" s="10" t="n"/>
      <c r="Z30" s="10" t="n"/>
      <c r="AA30" s="10" t="n"/>
      <c r="AB30" s="10" t="n"/>
      <c r="AC30" s="11" t="n"/>
      <c r="AD30" s="45" t="n">
        <v>8</v>
      </c>
      <c r="AE30" s="10" t="n"/>
      <c r="AF30" s="11" t="n"/>
    </row>
    <row r="31" ht="30" customHeight="1">
      <c r="B31" s="44" t="n">
        <v>24</v>
      </c>
      <c r="C31" s="45" t="inlineStr">
        <is>
          <t>VP-C-05</t>
        </is>
      </c>
      <c r="D31" s="10" t="n"/>
      <c r="E31" s="11" t="n"/>
      <c r="F31" s="46" t="inlineStr">
        <is>
          <t>C. 業務ロジック</t>
        </is>
      </c>
      <c r="G31" s="10" t="n"/>
      <c r="H31" s="10" t="n"/>
      <c r="I31" s="10" t="n"/>
      <c r="J31" s="10" t="n"/>
      <c r="K31" s="10" t="n"/>
      <c r="L31" s="11" t="n"/>
      <c r="M31" s="46" t="inlineStr">
        <is>
          <t>購読者種別ルール（読み取り専用）</t>
        </is>
      </c>
      <c r="N31" s="10" t="n"/>
      <c r="O31" s="10" t="n"/>
      <c r="P31" s="10" t="n"/>
      <c r="Q31" s="10" t="n"/>
      <c r="R31" s="10" t="n"/>
      <c r="S31" s="10" t="n"/>
      <c r="T31" s="11" t="n"/>
      <c r="U31" s="47" t="inlineStr">
        <is>
          <t>高</t>
        </is>
      </c>
      <c r="V31" s="11" t="n"/>
      <c r="W31" s="46" t="inlineStr">
        <is>
          <t>購読者マスタ</t>
        </is>
      </c>
      <c r="X31" s="10" t="n"/>
      <c r="Y31" s="10" t="n"/>
      <c r="Z31" s="10" t="n"/>
      <c r="AA31" s="10" t="n"/>
      <c r="AB31" s="10" t="n"/>
      <c r="AC31" s="11" t="n"/>
      <c r="AD31" s="45" t="n">
        <v>10</v>
      </c>
      <c r="AE31" s="10" t="n"/>
      <c r="AF31" s="11" t="n"/>
    </row>
    <row r="32" ht="30" customHeight="1">
      <c r="B32" s="44" t="n">
        <v>25</v>
      </c>
      <c r="C32" s="45" t="inlineStr">
        <is>
          <t>VP-C-06</t>
        </is>
      </c>
      <c r="D32" s="10" t="n"/>
      <c r="E32" s="11" t="n"/>
      <c r="F32" s="46" t="inlineStr">
        <is>
          <t>C. 業務ロジック</t>
        </is>
      </c>
      <c r="G32" s="10" t="n"/>
      <c r="H32" s="10" t="n"/>
      <c r="I32" s="10" t="n"/>
      <c r="J32" s="10" t="n"/>
      <c r="K32" s="10" t="n"/>
      <c r="L32" s="11" t="n"/>
      <c r="M32" s="46" t="inlineStr">
        <is>
          <t>Excel取込 部分成功</t>
        </is>
      </c>
      <c r="N32" s="10" t="n"/>
      <c r="O32" s="10" t="n"/>
      <c r="P32" s="10" t="n"/>
      <c r="Q32" s="10" t="n"/>
      <c r="R32" s="10" t="n"/>
      <c r="S32" s="10" t="n"/>
      <c r="T32" s="11" t="n"/>
      <c r="U32" s="48" t="inlineStr">
        <is>
          <t>中</t>
        </is>
      </c>
      <c r="V32" s="11" t="n"/>
      <c r="W32" s="46" t="inlineStr">
        <is>
          <t>2取込画面</t>
        </is>
      </c>
      <c r="X32" s="10" t="n"/>
      <c r="Y32" s="10" t="n"/>
      <c r="Z32" s="10" t="n"/>
      <c r="AA32" s="10" t="n"/>
      <c r="AB32" s="10" t="n"/>
      <c r="AC32" s="11" t="n"/>
      <c r="AD32" s="45" t="n">
        <v>30</v>
      </c>
      <c r="AE32" s="10" t="n"/>
      <c r="AF32" s="11" t="n"/>
    </row>
    <row r="33" ht="30" customHeight="1">
      <c r="B33" s="44" t="n">
        <v>26</v>
      </c>
      <c r="C33" s="45" t="inlineStr">
        <is>
          <t>VP-C-07</t>
        </is>
      </c>
      <c r="D33" s="10" t="n"/>
      <c r="E33" s="11" t="n"/>
      <c r="F33" s="46" t="inlineStr">
        <is>
          <t>C. 業務ロジック</t>
        </is>
      </c>
      <c r="G33" s="10" t="n"/>
      <c r="H33" s="10" t="n"/>
      <c r="I33" s="10" t="n"/>
      <c r="J33" s="10" t="n"/>
      <c r="K33" s="10" t="n"/>
      <c r="L33" s="11" t="n"/>
      <c r="M33" s="46" t="inlineStr">
        <is>
          <t>販売店一括置換</t>
        </is>
      </c>
      <c r="N33" s="10" t="n"/>
      <c r="O33" s="10" t="n"/>
      <c r="P33" s="10" t="n"/>
      <c r="Q33" s="10" t="n"/>
      <c r="R33" s="10" t="n"/>
      <c r="S33" s="10" t="n"/>
      <c r="T33" s="11" t="n"/>
      <c r="U33" s="47" t="inlineStr">
        <is>
          <t>高</t>
        </is>
      </c>
      <c r="V33" s="11" t="n"/>
      <c r="W33" s="46" t="inlineStr">
        <is>
          <t>一括置換</t>
        </is>
      </c>
      <c r="X33" s="10" t="n"/>
      <c r="Y33" s="10" t="n"/>
      <c r="Z33" s="10" t="n"/>
      <c r="AA33" s="10" t="n"/>
      <c r="AB33" s="10" t="n"/>
      <c r="AC33" s="11" t="n"/>
      <c r="AD33" s="45" t="n">
        <v>15</v>
      </c>
      <c r="AE33" s="10" t="n"/>
      <c r="AF33" s="11" t="n"/>
    </row>
    <row r="34" ht="30" customHeight="1">
      <c r="B34" s="44" t="n">
        <v>27</v>
      </c>
      <c r="C34" s="45" t="inlineStr">
        <is>
          <t>VP-C-08</t>
        </is>
      </c>
      <c r="D34" s="10" t="n"/>
      <c r="E34" s="11" t="n"/>
      <c r="F34" s="46" t="inlineStr">
        <is>
          <t>C. 業務ロジック</t>
        </is>
      </c>
      <c r="G34" s="10" t="n"/>
      <c r="H34" s="10" t="n"/>
      <c r="I34" s="10" t="n"/>
      <c r="J34" s="10" t="n"/>
      <c r="K34" s="10" t="n"/>
      <c r="L34" s="11" t="n"/>
      <c r="M34" s="46" t="inlineStr">
        <is>
          <t>レポート集計の正確性</t>
        </is>
      </c>
      <c r="N34" s="10" t="n"/>
      <c r="O34" s="10" t="n"/>
      <c r="P34" s="10" t="n"/>
      <c r="Q34" s="10" t="n"/>
      <c r="R34" s="10" t="n"/>
      <c r="S34" s="10" t="n"/>
      <c r="T34" s="11" t="n"/>
      <c r="U34" s="47" t="inlineStr">
        <is>
          <t>高</t>
        </is>
      </c>
      <c r="V34" s="11" t="n"/>
      <c r="W34" s="46" t="inlineStr">
        <is>
          <t>3レポート</t>
        </is>
      </c>
      <c r="X34" s="10" t="n"/>
      <c r="Y34" s="10" t="n"/>
      <c r="Z34" s="10" t="n"/>
      <c r="AA34" s="10" t="n"/>
      <c r="AB34" s="10" t="n"/>
      <c r="AC34" s="11" t="n"/>
      <c r="AD34" s="45" t="n">
        <v>18</v>
      </c>
      <c r="AE34" s="10" t="n"/>
      <c r="AF34" s="11" t="n"/>
    </row>
    <row r="35" ht="30" customHeight="1">
      <c r="B35" s="44" t="n">
        <v>28</v>
      </c>
      <c r="C35" s="45" t="inlineStr">
        <is>
          <t>VP-D-01</t>
        </is>
      </c>
      <c r="D35" s="10" t="n"/>
      <c r="E35" s="11" t="n"/>
      <c r="F35" s="46" t="inlineStr">
        <is>
          <t>D. 統合・システム</t>
        </is>
      </c>
      <c r="G35" s="10" t="n"/>
      <c r="H35" s="10" t="n"/>
      <c r="I35" s="10" t="n"/>
      <c r="J35" s="10" t="n"/>
      <c r="K35" s="10" t="n"/>
      <c r="L35" s="11" t="n"/>
      <c r="M35" s="46" t="inlineStr">
        <is>
          <t>ログイン + MFA フロー</t>
        </is>
      </c>
      <c r="N35" s="10" t="n"/>
      <c r="O35" s="10" t="n"/>
      <c r="P35" s="10" t="n"/>
      <c r="Q35" s="10" t="n"/>
      <c r="R35" s="10" t="n"/>
      <c r="S35" s="10" t="n"/>
      <c r="T35" s="11" t="n"/>
      <c r="U35" s="47" t="inlineStr">
        <is>
          <t>高</t>
        </is>
      </c>
      <c r="V35" s="11" t="n"/>
      <c r="W35" s="46" t="inlineStr">
        <is>
          <t>SCR-001／002</t>
        </is>
      </c>
      <c r="X35" s="10" t="n"/>
      <c r="Y35" s="10" t="n"/>
      <c r="Z35" s="10" t="n"/>
      <c r="AA35" s="10" t="n"/>
      <c r="AB35" s="10" t="n"/>
      <c r="AC35" s="11" t="n"/>
      <c r="AD35" s="45" t="n">
        <v>25</v>
      </c>
      <c r="AE35" s="10" t="n"/>
      <c r="AF35" s="11" t="n"/>
    </row>
    <row r="36" ht="30" customHeight="1">
      <c r="B36" s="44" t="n">
        <v>29</v>
      </c>
      <c r="C36" s="45" t="inlineStr">
        <is>
          <t>VP-D-02</t>
        </is>
      </c>
      <c r="D36" s="10" t="n"/>
      <c r="E36" s="11" t="n"/>
      <c r="F36" s="46" t="inlineStr">
        <is>
          <t>D. 統合・システム</t>
        </is>
      </c>
      <c r="G36" s="10" t="n"/>
      <c r="H36" s="10" t="n"/>
      <c r="I36" s="10" t="n"/>
      <c r="J36" s="10" t="n"/>
      <c r="K36" s="10" t="n"/>
      <c r="L36" s="11" t="n"/>
      <c r="M36" s="46" t="inlineStr">
        <is>
          <t>セッションスライディング 24h</t>
        </is>
      </c>
      <c r="N36" s="10" t="n"/>
      <c r="O36" s="10" t="n"/>
      <c r="P36" s="10" t="n"/>
      <c r="Q36" s="10" t="n"/>
      <c r="R36" s="10" t="n"/>
      <c r="S36" s="10" t="n"/>
      <c r="T36" s="11" t="n"/>
      <c r="U36" s="47" t="inlineStr">
        <is>
          <t>高</t>
        </is>
      </c>
      <c r="V36" s="11" t="n"/>
      <c r="W36" s="46" t="inlineStr">
        <is>
          <t>全システム</t>
        </is>
      </c>
      <c r="X36" s="10" t="n"/>
      <c r="Y36" s="10" t="n"/>
      <c r="Z36" s="10" t="n"/>
      <c r="AA36" s="10" t="n"/>
      <c r="AB36" s="10" t="n"/>
      <c r="AC36" s="11" t="n"/>
      <c r="AD36" s="45" t="n">
        <v>8</v>
      </c>
      <c r="AE36" s="10" t="n"/>
      <c r="AF36" s="11" t="n"/>
    </row>
    <row r="37" ht="30" customHeight="1">
      <c r="B37" s="44" t="n">
        <v>30</v>
      </c>
      <c r="C37" s="45" t="inlineStr">
        <is>
          <t>VP-D-03</t>
        </is>
      </c>
      <c r="D37" s="10" t="n"/>
      <c r="E37" s="11" t="n"/>
      <c r="F37" s="46" t="inlineStr">
        <is>
          <t>D. 統合・システム</t>
        </is>
      </c>
      <c r="G37" s="10" t="n"/>
      <c r="H37" s="10" t="n"/>
      <c r="I37" s="10" t="n"/>
      <c r="J37" s="10" t="n"/>
      <c r="K37" s="10" t="n"/>
      <c r="L37" s="11" t="n"/>
      <c r="M37" s="46" t="inlineStr">
        <is>
          <t>パスワード再発行フロー</t>
        </is>
      </c>
      <c r="N37" s="10" t="n"/>
      <c r="O37" s="10" t="n"/>
      <c r="P37" s="10" t="n"/>
      <c r="Q37" s="10" t="n"/>
      <c r="R37" s="10" t="n"/>
      <c r="S37" s="10" t="n"/>
      <c r="T37" s="11" t="n"/>
      <c r="U37" s="47" t="inlineStr">
        <is>
          <t>高</t>
        </is>
      </c>
      <c r="V37" s="11" t="n"/>
      <c r="W37" s="46" t="inlineStr">
        <is>
          <t>SCR-007</t>
        </is>
      </c>
      <c r="X37" s="10" t="n"/>
      <c r="Y37" s="10" t="n"/>
      <c r="Z37" s="10" t="n"/>
      <c r="AA37" s="10" t="n"/>
      <c r="AB37" s="10" t="n"/>
      <c r="AC37" s="11" t="n"/>
      <c r="AD37" s="45" t="n">
        <v>15</v>
      </c>
      <c r="AE37" s="10" t="n"/>
      <c r="AF37" s="11" t="n"/>
    </row>
    <row r="38" ht="30" customHeight="1">
      <c r="B38" s="44" t="n">
        <v>31</v>
      </c>
      <c r="C38" s="45" t="inlineStr">
        <is>
          <t>VP-D-04</t>
        </is>
      </c>
      <c r="D38" s="10" t="n"/>
      <c r="E38" s="11" t="n"/>
      <c r="F38" s="46" t="inlineStr">
        <is>
          <t>D. 統合・システム</t>
        </is>
      </c>
      <c r="G38" s="10" t="n"/>
      <c r="H38" s="10" t="n"/>
      <c r="I38" s="10" t="n"/>
      <c r="J38" s="10" t="n"/>
      <c r="K38" s="10" t="n"/>
      <c r="L38" s="11" t="n"/>
      <c r="M38" s="46" t="inlineStr">
        <is>
          <t>監査ログの完全性</t>
        </is>
      </c>
      <c r="N38" s="10" t="n"/>
      <c r="O38" s="10" t="n"/>
      <c r="P38" s="10" t="n"/>
      <c r="Q38" s="10" t="n"/>
      <c r="R38" s="10" t="n"/>
      <c r="S38" s="10" t="n"/>
      <c r="T38" s="11" t="n"/>
      <c r="U38" s="47" t="inlineStr">
        <is>
          <t>高</t>
        </is>
      </c>
      <c r="V38" s="11" t="n"/>
      <c r="W38" s="46" t="inlineStr">
        <is>
          <t>全システム</t>
        </is>
      </c>
      <c r="X38" s="10" t="n"/>
      <c r="Y38" s="10" t="n"/>
      <c r="Z38" s="10" t="n"/>
      <c r="AA38" s="10" t="n"/>
      <c r="AB38" s="10" t="n"/>
      <c r="AC38" s="11" t="n"/>
      <c r="AD38" s="45" t="n">
        <v>40</v>
      </c>
      <c r="AE38" s="10" t="n"/>
      <c r="AF38" s="11" t="n"/>
    </row>
    <row r="39" ht="30" customHeight="1">
      <c r="B39" s="44" t="n">
        <v>32</v>
      </c>
      <c r="C39" s="45" t="inlineStr">
        <is>
          <t>VP-D-05</t>
        </is>
      </c>
      <c r="D39" s="10" t="n"/>
      <c r="E39" s="11" t="n"/>
      <c r="F39" s="46" t="inlineStr">
        <is>
          <t>D. 統合・システム</t>
        </is>
      </c>
      <c r="G39" s="10" t="n"/>
      <c r="H39" s="10" t="n"/>
      <c r="I39" s="10" t="n"/>
      <c r="J39" s="10" t="n"/>
      <c r="K39" s="10" t="n"/>
      <c r="L39" s="11" t="n"/>
      <c r="M39" s="46" t="inlineStr">
        <is>
          <t>ファイルアップロード S3</t>
        </is>
      </c>
      <c r="N39" s="10" t="n"/>
      <c r="O39" s="10" t="n"/>
      <c r="P39" s="10" t="n"/>
      <c r="Q39" s="10" t="n"/>
      <c r="R39" s="10" t="n"/>
      <c r="S39" s="10" t="n"/>
      <c r="T39" s="11" t="n"/>
      <c r="U39" s="48" t="inlineStr">
        <is>
          <t>中</t>
        </is>
      </c>
      <c r="V39" s="11" t="n"/>
      <c r="W39" s="46" t="inlineStr">
        <is>
          <t>SCR-022</t>
        </is>
      </c>
      <c r="X39" s="10" t="n"/>
      <c r="Y39" s="10" t="n"/>
      <c r="Z39" s="10" t="n"/>
      <c r="AA39" s="10" t="n"/>
      <c r="AB39" s="10" t="n"/>
      <c r="AC39" s="11" t="n"/>
      <c r="AD39" s="45" t="n">
        <v>20</v>
      </c>
      <c r="AE39" s="10" t="n"/>
      <c r="AF39" s="11" t="n"/>
    </row>
    <row r="40" ht="30" customHeight="1">
      <c r="B40" s="44" t="n">
        <v>33</v>
      </c>
      <c r="C40" s="45" t="inlineStr">
        <is>
          <t>VP-D-06</t>
        </is>
      </c>
      <c r="D40" s="10" t="n"/>
      <c r="E40" s="11" t="n"/>
      <c r="F40" s="46" t="inlineStr">
        <is>
          <t>D. 統合・システム</t>
        </is>
      </c>
      <c r="G40" s="10" t="n"/>
      <c r="H40" s="10" t="n"/>
      <c r="I40" s="10" t="n"/>
      <c r="J40" s="10" t="n"/>
      <c r="K40" s="10" t="n"/>
      <c r="L40" s="11" t="n"/>
      <c r="M40" s="46" t="inlineStr">
        <is>
          <t>メール通知</t>
        </is>
      </c>
      <c r="N40" s="10" t="n"/>
      <c r="O40" s="10" t="n"/>
      <c r="P40" s="10" t="n"/>
      <c r="Q40" s="10" t="n"/>
      <c r="R40" s="10" t="n"/>
      <c r="S40" s="10" t="n"/>
      <c r="T40" s="11" t="n"/>
      <c r="U40" s="48" t="inlineStr">
        <is>
          <t>中</t>
        </is>
      </c>
      <c r="V40" s="11" t="n"/>
      <c r="W40" s="46" t="inlineStr">
        <is>
          <t>SCR-001／007／お知らせ</t>
        </is>
      </c>
      <c r="X40" s="10" t="n"/>
      <c r="Y40" s="10" t="n"/>
      <c r="Z40" s="10" t="n"/>
      <c r="AA40" s="10" t="n"/>
      <c r="AB40" s="10" t="n"/>
      <c r="AC40" s="11" t="n"/>
      <c r="AD40" s="45" t="n">
        <v>12</v>
      </c>
      <c r="AE40" s="10" t="n"/>
      <c r="AF40" s="11" t="n"/>
    </row>
    <row r="41" ht="30" customHeight="1">
      <c r="B41" s="44" t="n">
        <v>34</v>
      </c>
      <c r="C41" s="45" t="inlineStr">
        <is>
          <t>VP-D-07</t>
        </is>
      </c>
      <c r="D41" s="10" t="n"/>
      <c r="E41" s="11" t="n"/>
      <c r="F41" s="46" t="inlineStr">
        <is>
          <t>D. 統合・システム</t>
        </is>
      </c>
      <c r="G41" s="10" t="n"/>
      <c r="H41" s="10" t="n"/>
      <c r="I41" s="10" t="n"/>
      <c r="J41" s="10" t="n"/>
      <c r="K41" s="10" t="n"/>
      <c r="L41" s="11" t="n"/>
      <c r="M41" s="46" t="inlineStr">
        <is>
          <t>外部 CSV 形式準拠</t>
        </is>
      </c>
      <c r="N41" s="10" t="n"/>
      <c r="O41" s="10" t="n"/>
      <c r="P41" s="10" t="n"/>
      <c r="Q41" s="10" t="n"/>
      <c r="R41" s="10" t="n"/>
      <c r="S41" s="10" t="n"/>
      <c r="T41" s="11" t="n"/>
      <c r="U41" s="47" t="inlineStr">
        <is>
          <t>高</t>
        </is>
      </c>
      <c r="V41" s="11" t="n"/>
      <c r="W41" s="46" t="inlineStr">
        <is>
          <t>SCR-008／009</t>
        </is>
      </c>
      <c r="X41" s="10" t="n"/>
      <c r="Y41" s="10" t="n"/>
      <c r="Z41" s="10" t="n"/>
      <c r="AA41" s="10" t="n"/>
      <c r="AB41" s="10" t="n"/>
      <c r="AC41" s="11" t="n"/>
      <c r="AD41" s="45" t="n">
        <v>15</v>
      </c>
      <c r="AE41" s="10" t="n"/>
      <c r="AF41" s="11" t="n"/>
    </row>
    <row r="42" ht="30" customHeight="1">
      <c r="B42" s="44" t="n">
        <v>35</v>
      </c>
      <c r="C42" s="45" t="inlineStr">
        <is>
          <t>VP-D-08</t>
        </is>
      </c>
      <c r="D42" s="10" t="n"/>
      <c r="E42" s="11" t="n"/>
      <c r="F42" s="46" t="inlineStr">
        <is>
          <t>D. 統合・システム</t>
        </is>
      </c>
      <c r="G42" s="10" t="n"/>
      <c r="H42" s="10" t="n"/>
      <c r="I42" s="10" t="n"/>
      <c r="J42" s="10" t="n"/>
      <c r="K42" s="10" t="n"/>
      <c r="L42" s="11" t="n"/>
      <c r="M42" s="46" t="inlineStr">
        <is>
          <t>ネットワーク／500／タイムアウト</t>
        </is>
      </c>
      <c r="N42" s="10" t="n"/>
      <c r="O42" s="10" t="n"/>
      <c r="P42" s="10" t="n"/>
      <c r="Q42" s="10" t="n"/>
      <c r="R42" s="10" t="n"/>
      <c r="S42" s="10" t="n"/>
      <c r="T42" s="11" t="n"/>
      <c r="U42" s="48" t="inlineStr">
        <is>
          <t>中</t>
        </is>
      </c>
      <c r="V42" s="11" t="n"/>
      <c r="W42" s="46" t="inlineStr">
        <is>
          <t>全システム</t>
        </is>
      </c>
      <c r="X42" s="10" t="n"/>
      <c r="Y42" s="10" t="n"/>
      <c r="Z42" s="10" t="n"/>
      <c r="AA42" s="10" t="n"/>
      <c r="AB42" s="10" t="n"/>
      <c r="AC42" s="11" t="n"/>
      <c r="AD42" s="45" t="n">
        <v>30</v>
      </c>
      <c r="AE42" s="10" t="n"/>
      <c r="AF42" s="11" t="n"/>
    </row>
    <row r="43" ht="36" customHeight="1">
      <c r="B43" s="44" t="n">
        <v>36</v>
      </c>
      <c r="C43" s="45" t="inlineStr">
        <is>
          <t>VP-D-09</t>
        </is>
      </c>
      <c r="D43" s="10" t="n"/>
      <c r="E43" s="11" t="n"/>
      <c r="F43" s="46" t="inlineStr">
        <is>
          <t>D. 統合・システム</t>
        </is>
      </c>
      <c r="G43" s="10" t="n"/>
      <c r="H43" s="10" t="n"/>
      <c r="I43" s="10" t="n"/>
      <c r="J43" s="10" t="n"/>
      <c r="K43" s="10" t="n"/>
      <c r="L43" s="11" t="n"/>
      <c r="M43" s="46" t="inlineStr">
        <is>
          <t>パスワード再発行 旧token無効化＋クールダウン</t>
        </is>
      </c>
      <c r="N43" s="10" t="n"/>
      <c r="O43" s="10" t="n"/>
      <c r="P43" s="10" t="n"/>
      <c r="Q43" s="10" t="n"/>
      <c r="R43" s="10" t="n"/>
      <c r="S43" s="10" t="n"/>
      <c r="T43" s="11" t="n"/>
      <c r="U43" s="47" t="inlineStr">
        <is>
          <t>高</t>
        </is>
      </c>
      <c r="V43" s="11" t="n"/>
      <c r="W43" s="46" t="inlineStr">
        <is>
          <t>SCR-007</t>
        </is>
      </c>
      <c r="X43" s="10" t="n"/>
      <c r="Y43" s="10" t="n"/>
      <c r="Z43" s="10" t="n"/>
      <c r="AA43" s="10" t="n"/>
      <c r="AB43" s="10" t="n"/>
      <c r="AC43" s="11" t="n"/>
      <c r="AD43" s="45" t="n">
        <v>6</v>
      </c>
      <c r="AE43" s="10" t="n"/>
      <c r="AF43" s="11" t="n"/>
    </row>
    <row r="44" ht="30" customHeight="1">
      <c r="B44" s="44" t="n">
        <v>37</v>
      </c>
      <c r="C44" s="45" t="inlineStr">
        <is>
          <t>VP-E-01</t>
        </is>
      </c>
      <c r="D44" s="10" t="n"/>
      <c r="E44" s="11" t="n"/>
      <c r="F44" s="46" t="inlineStr">
        <is>
          <t>E. 非機能・ユーザビリティ</t>
        </is>
      </c>
      <c r="G44" s="10" t="n"/>
      <c r="H44" s="10" t="n"/>
      <c r="I44" s="10" t="n"/>
      <c r="J44" s="10" t="n"/>
      <c r="K44" s="10" t="n"/>
      <c r="L44" s="11" t="n"/>
      <c r="M44" s="46" t="inlineStr">
        <is>
          <t>レイアウト／デザイントークン</t>
        </is>
      </c>
      <c r="N44" s="10" t="n"/>
      <c r="O44" s="10" t="n"/>
      <c r="P44" s="10" t="n"/>
      <c r="Q44" s="10" t="n"/>
      <c r="R44" s="10" t="n"/>
      <c r="S44" s="10" t="n"/>
      <c r="T44" s="11" t="n"/>
      <c r="U44" s="49" t="inlineStr">
        <is>
          <t>低</t>
        </is>
      </c>
      <c r="V44" s="11" t="n"/>
      <c r="W44" s="46" t="inlineStr">
        <is>
          <t>全画面</t>
        </is>
      </c>
      <c r="X44" s="10" t="n"/>
      <c r="Y44" s="10" t="n"/>
      <c r="Z44" s="10" t="n"/>
      <c r="AA44" s="10" t="n"/>
      <c r="AB44" s="10" t="n"/>
      <c r="AC44" s="11" t="n"/>
      <c r="AD44" s="45" t="n">
        <v>60</v>
      </c>
      <c r="AE44" s="10" t="n"/>
      <c r="AF44" s="11" t="n"/>
    </row>
    <row r="45" ht="36" customHeight="1">
      <c r="B45" s="44" t="n">
        <v>38</v>
      </c>
      <c r="C45" s="45" t="inlineStr">
        <is>
          <t>VP-E-02</t>
        </is>
      </c>
      <c r="D45" s="10" t="n"/>
      <c r="E45" s="11" t="n"/>
      <c r="F45" s="46" t="inlineStr">
        <is>
          <t>E. 非機能・ユーザビリティ</t>
        </is>
      </c>
      <c r="G45" s="10" t="n"/>
      <c r="H45" s="10" t="n"/>
      <c r="I45" s="10" t="n"/>
      <c r="J45" s="10" t="n"/>
      <c r="K45" s="10" t="n"/>
      <c r="L45" s="11" t="n"/>
      <c r="M45" s="46" t="inlineStr">
        <is>
          <t>レスポンシブ（モバイル／タブレット）</t>
        </is>
      </c>
      <c r="N45" s="10" t="n"/>
      <c r="O45" s="10" t="n"/>
      <c r="P45" s="10" t="n"/>
      <c r="Q45" s="10" t="n"/>
      <c r="R45" s="10" t="n"/>
      <c r="S45" s="10" t="n"/>
      <c r="T45" s="11" t="n"/>
      <c r="U45" s="49" t="inlineStr">
        <is>
          <t>低</t>
        </is>
      </c>
      <c r="V45" s="11" t="n"/>
      <c r="W45" s="46" t="inlineStr">
        <is>
          <t>全画面</t>
        </is>
      </c>
      <c r="X45" s="10" t="n"/>
      <c r="Y45" s="10" t="n"/>
      <c r="Z45" s="10" t="n"/>
      <c r="AA45" s="10" t="n"/>
      <c r="AB45" s="10" t="n"/>
      <c r="AC45" s="11" t="n"/>
      <c r="AD45" s="45" t="n">
        <v>40</v>
      </c>
      <c r="AE45" s="10" t="n"/>
      <c r="AF45" s="11" t="n"/>
    </row>
    <row r="46" ht="30" customHeight="1">
      <c r="B46" s="44" t="n">
        <v>39</v>
      </c>
      <c r="C46" s="45" t="inlineStr">
        <is>
          <t>VP-E-03</t>
        </is>
      </c>
      <c r="D46" s="10" t="n"/>
      <c r="E46" s="11" t="n"/>
      <c r="F46" s="46" t="inlineStr">
        <is>
          <t>E. 非機能・ユーザビリティ</t>
        </is>
      </c>
      <c r="G46" s="10" t="n"/>
      <c r="H46" s="10" t="n"/>
      <c r="I46" s="10" t="n"/>
      <c r="J46" s="10" t="n"/>
      <c r="K46" s="10" t="n"/>
      <c r="L46" s="11" t="n"/>
      <c r="M46" s="46" t="inlineStr">
        <is>
          <t>キーボード操作</t>
        </is>
      </c>
      <c r="N46" s="10" t="n"/>
      <c r="O46" s="10" t="n"/>
      <c r="P46" s="10" t="n"/>
      <c r="Q46" s="10" t="n"/>
      <c r="R46" s="10" t="n"/>
      <c r="S46" s="10" t="n"/>
      <c r="T46" s="11" t="n"/>
      <c r="U46" s="49" t="inlineStr">
        <is>
          <t>低</t>
        </is>
      </c>
      <c r="V46" s="11" t="n"/>
      <c r="W46" s="46" t="inlineStr">
        <is>
          <t>約25フォーム</t>
        </is>
      </c>
      <c r="X46" s="10" t="n"/>
      <c r="Y46" s="10" t="n"/>
      <c r="Z46" s="10" t="n"/>
      <c r="AA46" s="10" t="n"/>
      <c r="AB46" s="10" t="n"/>
      <c r="AC46" s="11" t="n"/>
      <c r="AD46" s="45" t="n">
        <v>25</v>
      </c>
      <c r="AE46" s="10" t="n"/>
      <c r="AF46" s="11" t="n"/>
    </row>
    <row r="47" ht="30" customHeight="1">
      <c r="B47" s="44" t="n">
        <v>40</v>
      </c>
      <c r="C47" s="45" t="inlineStr">
        <is>
          <t>VP-E-04</t>
        </is>
      </c>
      <c r="D47" s="10" t="n"/>
      <c r="E47" s="11" t="n"/>
      <c r="F47" s="46" t="inlineStr">
        <is>
          <t>E. 非機能・ユーザビリティ</t>
        </is>
      </c>
      <c r="G47" s="10" t="n"/>
      <c r="H47" s="10" t="n"/>
      <c r="I47" s="10" t="n"/>
      <c r="J47" s="10" t="n"/>
      <c r="K47" s="10" t="n"/>
      <c r="L47" s="11" t="n"/>
      <c r="M47" s="46" t="inlineStr">
        <is>
          <t>ブラウザ互換性</t>
        </is>
      </c>
      <c r="N47" s="10" t="n"/>
      <c r="O47" s="10" t="n"/>
      <c r="P47" s="10" t="n"/>
      <c r="Q47" s="10" t="n"/>
      <c r="R47" s="10" t="n"/>
      <c r="S47" s="10" t="n"/>
      <c r="T47" s="11" t="n"/>
      <c r="U47" s="49" t="inlineStr">
        <is>
          <t>低</t>
        </is>
      </c>
      <c r="V47" s="11" t="n"/>
      <c r="W47" s="46" t="inlineStr">
        <is>
          <t>全システム</t>
        </is>
      </c>
      <c r="X47" s="10" t="n"/>
      <c r="Y47" s="10" t="n"/>
      <c r="Z47" s="10" t="n"/>
      <c r="AA47" s="10" t="n"/>
      <c r="AB47" s="10" t="n"/>
      <c r="AC47" s="11" t="n"/>
      <c r="AD47" s="45" t="n">
        <v>5</v>
      </c>
      <c r="AE47" s="10" t="n"/>
      <c r="AF47" s="11" t="n"/>
    </row>
    <row r="48" ht="30" customHeight="1">
      <c r="B48" s="44" t="n">
        <v>41</v>
      </c>
      <c r="C48" s="45" t="inlineStr">
        <is>
          <t>VP-E-05</t>
        </is>
      </c>
      <c r="D48" s="10" t="n"/>
      <c r="E48" s="11" t="n"/>
      <c r="F48" s="46" t="inlineStr">
        <is>
          <t>E. 非機能・ユーザビリティ</t>
        </is>
      </c>
      <c r="G48" s="10" t="n"/>
      <c r="H48" s="10" t="n"/>
      <c r="I48" s="10" t="n"/>
      <c r="J48" s="10" t="n"/>
      <c r="K48" s="10" t="n"/>
      <c r="L48" s="11" t="n"/>
      <c r="M48" s="46" t="inlineStr">
        <is>
          <t>マルチタブセッション同期</t>
        </is>
      </c>
      <c r="N48" s="10" t="n"/>
      <c r="O48" s="10" t="n"/>
      <c r="P48" s="10" t="n"/>
      <c r="Q48" s="10" t="n"/>
      <c r="R48" s="10" t="n"/>
      <c r="S48" s="10" t="n"/>
      <c r="T48" s="11" t="n"/>
      <c r="U48" s="47" t="inlineStr">
        <is>
          <t>高</t>
        </is>
      </c>
      <c r="V48" s="11" t="n"/>
      <c r="W48" s="46" t="inlineStr">
        <is>
          <t>全システム</t>
        </is>
      </c>
      <c r="X48" s="10" t="n"/>
      <c r="Y48" s="10" t="n"/>
      <c r="Z48" s="10" t="n"/>
      <c r="AA48" s="10" t="n"/>
      <c r="AB48" s="10" t="n"/>
      <c r="AC48" s="11" t="n"/>
      <c r="AD48" s="45" t="n">
        <v>5</v>
      </c>
      <c r="AE48" s="10" t="n"/>
      <c r="AF48" s="11" t="n"/>
    </row>
    <row r="49" ht="30" customHeight="1">
      <c r="B49" s="44" t="n">
        <v>42</v>
      </c>
      <c r="C49" s="45" t="inlineStr">
        <is>
          <t>VP-E-07</t>
        </is>
      </c>
      <c r="D49" s="10" t="n"/>
      <c r="E49" s="11" t="n"/>
      <c r="F49" s="46" t="inlineStr">
        <is>
          <t>E. 非機能・ユーザビリティ</t>
        </is>
      </c>
      <c r="G49" s="10" t="n"/>
      <c r="H49" s="10" t="n"/>
      <c r="I49" s="10" t="n"/>
      <c r="J49" s="10" t="n"/>
      <c r="K49" s="10" t="n"/>
      <c r="L49" s="11" t="n"/>
      <c r="M49" s="46" t="inlineStr">
        <is>
          <t>未保存変更ガード・ブラウザ離脱</t>
        </is>
      </c>
      <c r="N49" s="10" t="n"/>
      <c r="O49" s="10" t="n"/>
      <c r="P49" s="10" t="n"/>
      <c r="Q49" s="10" t="n"/>
      <c r="R49" s="10" t="n"/>
      <c r="S49" s="10" t="n"/>
      <c r="T49" s="11" t="n"/>
      <c r="U49" s="48" t="inlineStr">
        <is>
          <t>中</t>
        </is>
      </c>
      <c r="V49" s="11" t="n"/>
      <c r="W49" s="46" t="inlineStr">
        <is>
          <t>全 CRUD 編集フォーム</t>
        </is>
      </c>
      <c r="X49" s="10" t="n"/>
      <c r="Y49" s="10" t="n"/>
      <c r="Z49" s="10" t="n"/>
      <c r="AA49" s="10" t="n"/>
      <c r="AB49" s="10" t="n"/>
      <c r="AC49" s="11" t="n"/>
      <c r="AD49" s="45" t="n">
        <v>8</v>
      </c>
      <c r="AE49" s="10" t="n"/>
      <c r="AF49" s="11" t="n"/>
    </row>
    <row r="50" ht="30" customHeight="1">
      <c r="B50" s="44" t="n">
        <v>43</v>
      </c>
      <c r="C50" s="45" t="inlineStr">
        <is>
          <t>VP-F-01</t>
        </is>
      </c>
      <c r="D50" s="10" t="n"/>
      <c r="E50" s="11" t="n"/>
      <c r="F50" s="46" t="inlineStr">
        <is>
          <t>F. 性能</t>
        </is>
      </c>
      <c r="G50" s="10" t="n"/>
      <c r="H50" s="10" t="n"/>
      <c r="I50" s="10" t="n"/>
      <c r="J50" s="10" t="n"/>
      <c r="K50" s="10" t="n"/>
      <c r="L50" s="11" t="n"/>
      <c r="M50" s="46" t="inlineStr">
        <is>
          <t>性能ベンチマーク</t>
        </is>
      </c>
      <c r="N50" s="10" t="n"/>
      <c r="O50" s="10" t="n"/>
      <c r="P50" s="10" t="n"/>
      <c r="Q50" s="10" t="n"/>
      <c r="R50" s="10" t="n"/>
      <c r="S50" s="10" t="n"/>
      <c r="T50" s="11" t="n"/>
      <c r="U50" s="48" t="inlineStr">
        <is>
          <t>中</t>
        </is>
      </c>
      <c r="V50" s="11" t="n"/>
      <c r="W50" s="46" t="inlineStr">
        <is>
          <t>全画面パフォーマンス計測対象</t>
        </is>
      </c>
      <c r="X50" s="10" t="n"/>
      <c r="Y50" s="10" t="n"/>
      <c r="Z50" s="10" t="n"/>
      <c r="AA50" s="10" t="n"/>
      <c r="AB50" s="10" t="n"/>
      <c r="AC50" s="11" t="n"/>
      <c r="AD50" s="45" t="n">
        <v>12</v>
      </c>
      <c r="AE50" s="10" t="n"/>
      <c r="AF50" s="11" t="n"/>
    </row>
    <row r="51" ht="30" customHeight="1">
      <c r="B51" s="44" t="n">
        <v>44</v>
      </c>
      <c r="C51" s="45" t="inlineStr">
        <is>
          <t>VP-F-02</t>
        </is>
      </c>
      <c r="D51" s="10" t="n"/>
      <c r="E51" s="11" t="n"/>
      <c r="F51" s="46" t="inlineStr">
        <is>
          <t>F. 性能</t>
        </is>
      </c>
      <c r="G51" s="10" t="n"/>
      <c r="H51" s="10" t="n"/>
      <c r="I51" s="10" t="n"/>
      <c r="J51" s="10" t="n"/>
      <c r="K51" s="10" t="n"/>
      <c r="L51" s="11" t="n"/>
      <c r="M51" s="46" t="inlineStr">
        <is>
          <t>大量データ表示性能</t>
        </is>
      </c>
      <c r="N51" s="10" t="n"/>
      <c r="O51" s="10" t="n"/>
      <c r="P51" s="10" t="n"/>
      <c r="Q51" s="10" t="n"/>
      <c r="R51" s="10" t="n"/>
      <c r="S51" s="10" t="n"/>
      <c r="T51" s="11" t="n"/>
      <c r="U51" s="48" t="inlineStr">
        <is>
          <t>中</t>
        </is>
      </c>
      <c r="V51" s="11" t="n"/>
      <c r="W51" s="46" t="inlineStr">
        <is>
          <t>一覧／レポート画面</t>
        </is>
      </c>
      <c r="X51" s="10" t="n"/>
      <c r="Y51" s="10" t="n"/>
      <c r="Z51" s="10" t="n"/>
      <c r="AA51" s="10" t="n"/>
      <c r="AB51" s="10" t="n"/>
      <c r="AC51" s="11" t="n"/>
      <c r="AD51" s="45" t="n">
        <v>8</v>
      </c>
      <c r="AE51" s="10" t="n"/>
      <c r="AF51" s="11" t="n"/>
    </row>
    <row r="52" ht="22.5" customHeight="1">
      <c r="B52" s="50" t="inlineStr">
        <is>
          <t>合計</t>
        </is>
      </c>
      <c r="C52" s="10" t="n"/>
      <c r="D52" s="10" t="n"/>
      <c r="E52" s="10" t="n"/>
      <c r="F52" s="10" t="n"/>
      <c r="G52" s="10" t="n"/>
      <c r="H52" s="10" t="n"/>
      <c r="I52" s="10" t="n"/>
      <c r="J52" s="10" t="n"/>
      <c r="K52" s="10" t="n"/>
      <c r="L52" s="10" t="n"/>
      <c r="M52" s="10" t="n"/>
      <c r="N52" s="10" t="n"/>
      <c r="O52" s="10" t="n"/>
      <c r="P52" s="10" t="n"/>
      <c r="Q52" s="10" t="n"/>
      <c r="R52" s="10" t="n"/>
      <c r="S52" s="10" t="n"/>
      <c r="T52" s="11" t="n"/>
      <c r="U52" s="36" t="inlineStr"/>
      <c r="V52" s="11" t="n"/>
      <c r="W52" s="36" t="inlineStr"/>
      <c r="X52" s="10" t="n"/>
      <c r="Y52" s="10" t="n"/>
      <c r="Z52" s="10" t="n"/>
      <c r="AA52" s="10" t="n"/>
      <c r="AB52" s="10" t="n"/>
      <c r="AC52" s="11" t="n"/>
      <c r="AD52" s="36">
        <f>SUM(AD8:AD51)</f>
        <v/>
      </c>
      <c r="AE52" s="10" t="n"/>
      <c r="AF52" s="11" t="n"/>
    </row>
    <row r="54" ht="19.5" customHeight="1">
      <c r="B54" s="28" t="inlineStr">
        <is>
          <t>2. 観点ID 命名規約・グループ凡例</t>
        </is>
      </c>
    </row>
    <row r="56" ht="28.5" customHeight="1">
      <c r="B56" s="43" t="inlineStr">
        <is>
          <t>グループ</t>
        </is>
      </c>
      <c r="C56" s="11" t="n"/>
      <c r="D56" s="43" t="inlineStr">
        <is>
          <t>接頭辞</t>
        </is>
      </c>
      <c r="E56" s="10" t="n"/>
      <c r="F56" s="11" t="n"/>
      <c r="G56" s="43" t="inlineStr">
        <is>
          <t>名称</t>
        </is>
      </c>
      <c r="H56" s="10" t="n"/>
      <c r="I56" s="10" t="n"/>
      <c r="J56" s="10" t="n"/>
      <c r="K56" s="10" t="n"/>
      <c r="L56" s="11" t="n"/>
      <c r="M56" s="43" t="inlineStr">
        <is>
          <t>観点数</t>
        </is>
      </c>
      <c r="N56" s="11" t="n"/>
      <c r="O56" s="43" t="inlineStr">
        <is>
          <t>リスク傾向</t>
        </is>
      </c>
      <c r="P56" s="10" t="n"/>
      <c r="Q56" s="11" t="n"/>
      <c r="R56" s="43" t="inlineStr">
        <is>
          <t>代表的なテスト観点</t>
        </is>
      </c>
      <c r="S56" s="10" t="n"/>
      <c r="T56" s="10" t="n"/>
      <c r="U56" s="10" t="n"/>
      <c r="V56" s="10" t="n"/>
      <c r="W56" s="10" t="n"/>
      <c r="X56" s="10" t="n"/>
      <c r="Y56" s="10" t="n"/>
      <c r="Z56" s="10" t="n"/>
      <c r="AA56" s="10" t="n"/>
      <c r="AB56" s="10" t="n"/>
      <c r="AC56" s="10" t="n"/>
      <c r="AD56" s="10" t="n"/>
      <c r="AE56" s="10" t="n"/>
      <c r="AF56" s="10" t="n"/>
      <c r="AG56" s="10" t="n"/>
      <c r="AH56" s="10" t="n"/>
      <c r="AI56" s="10" t="n"/>
      <c r="AJ56" s="10" t="n"/>
      <c r="AK56" s="11" t="n"/>
    </row>
    <row r="57" ht="36" customHeight="1">
      <c r="B57" s="51" t="inlineStr">
        <is>
          <t>A</t>
        </is>
      </c>
      <c r="C57" s="11" t="n"/>
      <c r="D57" s="45" t="inlineStr">
        <is>
          <t>VP-A-NN</t>
        </is>
      </c>
      <c r="E57" s="10" t="n"/>
      <c r="F57" s="11" t="n"/>
      <c r="G57" s="46" t="inlineStr">
        <is>
          <t>セキュリティ・権限</t>
        </is>
      </c>
      <c r="H57" s="10" t="n"/>
      <c r="I57" s="10" t="n"/>
      <c r="J57" s="10" t="n"/>
      <c r="K57" s="10" t="n"/>
      <c r="L57" s="11" t="n"/>
      <c r="M57" s="45" t="n">
        <v>10</v>
      </c>
      <c r="N57" s="11" t="n"/>
      <c r="O57" s="45" t="inlineStr">
        <is>
          <t>高</t>
        </is>
      </c>
      <c r="P57" s="10" t="n"/>
      <c r="Q57" s="11" t="n"/>
      <c r="R57" s="46" t="inlineStr">
        <is>
          <t>RBAC、DataScope、項目レベル制限、URL直接攻撃、セッション失効、XSS、CSRF、レート制限、アカウントロック、SQL注入</t>
        </is>
      </c>
      <c r="S57" s="10" t="n"/>
      <c r="T57" s="10" t="n"/>
      <c r="U57" s="10" t="n"/>
      <c r="V57" s="10" t="n"/>
      <c r="W57" s="10" t="n"/>
      <c r="X57" s="10" t="n"/>
      <c r="Y57" s="10" t="n"/>
      <c r="Z57" s="10" t="n"/>
      <c r="AA57" s="10" t="n"/>
      <c r="AB57" s="10" t="n"/>
      <c r="AC57" s="10" t="n"/>
      <c r="AD57" s="10" t="n"/>
      <c r="AE57" s="10" t="n"/>
      <c r="AF57" s="10" t="n"/>
      <c r="AG57" s="10" t="n"/>
      <c r="AH57" s="10" t="n"/>
      <c r="AI57" s="10" t="n"/>
      <c r="AJ57" s="10" t="n"/>
      <c r="AK57" s="11" t="n"/>
    </row>
    <row r="58" ht="30" customHeight="1">
      <c r="B58" s="51" t="inlineStr">
        <is>
          <t>B</t>
        </is>
      </c>
      <c r="C58" s="11" t="n"/>
      <c r="D58" s="45" t="inlineStr">
        <is>
          <t>VP-B-NN</t>
        </is>
      </c>
      <c r="E58" s="10" t="n"/>
      <c r="F58" s="11" t="n"/>
      <c r="G58" s="46" t="inlineStr">
        <is>
          <t>データバリデーション</t>
        </is>
      </c>
      <c r="H58" s="10" t="n"/>
      <c r="I58" s="10" t="n"/>
      <c r="J58" s="10" t="n"/>
      <c r="K58" s="10" t="n"/>
      <c r="L58" s="11" t="n"/>
      <c r="M58" s="45" t="n">
        <v>9</v>
      </c>
      <c r="N58" s="11" t="n"/>
      <c r="O58" s="45" t="inlineStr">
        <is>
          <t>中</t>
        </is>
      </c>
      <c r="P58" s="10" t="n"/>
      <c r="Q58" s="11" t="n"/>
      <c r="R58" s="46" t="inlineStr">
        <is>
          <t>必須／長さ／形式／半角全角／日付／通貨／m_code／重複キー／IME・貼付ハンドリング</t>
        </is>
      </c>
      <c r="S58" s="10" t="n"/>
      <c r="T58" s="10" t="n"/>
      <c r="U58" s="10" t="n"/>
      <c r="V58" s="10" t="n"/>
      <c r="W58" s="10" t="n"/>
      <c r="X58" s="10" t="n"/>
      <c r="Y58" s="10" t="n"/>
      <c r="Z58" s="10" t="n"/>
      <c r="AA58" s="10" t="n"/>
      <c r="AB58" s="10" t="n"/>
      <c r="AC58" s="10" t="n"/>
      <c r="AD58" s="10" t="n"/>
      <c r="AE58" s="10" t="n"/>
      <c r="AF58" s="10" t="n"/>
      <c r="AG58" s="10" t="n"/>
      <c r="AH58" s="10" t="n"/>
      <c r="AI58" s="10" t="n"/>
      <c r="AJ58" s="10" t="n"/>
      <c r="AK58" s="11" t="n"/>
    </row>
    <row r="59" ht="36" customHeight="1">
      <c r="B59" s="51" t="inlineStr">
        <is>
          <t>C</t>
        </is>
      </c>
      <c r="C59" s="11" t="n"/>
      <c r="D59" s="45" t="inlineStr">
        <is>
          <t>VP-C-NN</t>
        </is>
      </c>
      <c r="E59" s="10" t="n"/>
      <c r="F59" s="11" t="n"/>
      <c r="G59" s="46" t="inlineStr">
        <is>
          <t>業務ロジック</t>
        </is>
      </c>
      <c r="H59" s="10" t="n"/>
      <c r="I59" s="10" t="n"/>
      <c r="J59" s="10" t="n"/>
      <c r="K59" s="10" t="n"/>
      <c r="L59" s="11" t="n"/>
      <c r="M59" s="45" t="n">
        <v>8</v>
      </c>
      <c r="N59" s="11" t="n"/>
      <c r="O59" s="45" t="inlineStr">
        <is>
          <t>高</t>
        </is>
      </c>
      <c r="P59" s="10" t="n"/>
      <c r="Q59" s="11" t="n"/>
      <c r="R59" s="46" t="inlineStr">
        <is>
          <t>CRUD 永続化、同時編集競合、論理削除＋FK、税計算、購読者ルール、Excel 取込、レポート集計</t>
        </is>
      </c>
      <c r="S59" s="10" t="n"/>
      <c r="T59" s="10" t="n"/>
      <c r="U59" s="10" t="n"/>
      <c r="V59" s="10" t="n"/>
      <c r="W59" s="10" t="n"/>
      <c r="X59" s="10" t="n"/>
      <c r="Y59" s="10" t="n"/>
      <c r="Z59" s="10" t="n"/>
      <c r="AA59" s="10" t="n"/>
      <c r="AB59" s="10" t="n"/>
      <c r="AC59" s="10" t="n"/>
      <c r="AD59" s="10" t="n"/>
      <c r="AE59" s="10" t="n"/>
      <c r="AF59" s="10" t="n"/>
      <c r="AG59" s="10" t="n"/>
      <c r="AH59" s="10" t="n"/>
      <c r="AI59" s="10" t="n"/>
      <c r="AJ59" s="10" t="n"/>
      <c r="AK59" s="11" t="n"/>
    </row>
    <row r="60" ht="36" customHeight="1">
      <c r="B60" s="51" t="inlineStr">
        <is>
          <t>D</t>
        </is>
      </c>
      <c r="C60" s="11" t="n"/>
      <c r="D60" s="45" t="inlineStr">
        <is>
          <t>VP-D-NN</t>
        </is>
      </c>
      <c r="E60" s="10" t="n"/>
      <c r="F60" s="11" t="n"/>
      <c r="G60" s="46" t="inlineStr">
        <is>
          <t>統合・システム</t>
        </is>
      </c>
      <c r="H60" s="10" t="n"/>
      <c r="I60" s="10" t="n"/>
      <c r="J60" s="10" t="n"/>
      <c r="K60" s="10" t="n"/>
      <c r="L60" s="11" t="n"/>
      <c r="M60" s="45" t="n">
        <v>9</v>
      </c>
      <c r="N60" s="11" t="n"/>
      <c r="O60" s="45" t="inlineStr">
        <is>
          <t>高</t>
        </is>
      </c>
      <c r="P60" s="10" t="n"/>
      <c r="Q60" s="11" t="n"/>
      <c r="R60" s="46" t="inlineStr">
        <is>
          <t>ログイン＋MFA、セッション管理、パスワード再発行、監査ログ、S3、メール、CSV 準拠、ネットワーク／500</t>
        </is>
      </c>
      <c r="S60" s="10" t="n"/>
      <c r="T60" s="10" t="n"/>
      <c r="U60" s="10" t="n"/>
      <c r="V60" s="10" t="n"/>
      <c r="W60" s="10" t="n"/>
      <c r="X60" s="10" t="n"/>
      <c r="Y60" s="10" t="n"/>
      <c r="Z60" s="10" t="n"/>
      <c r="AA60" s="10" t="n"/>
      <c r="AB60" s="10" t="n"/>
      <c r="AC60" s="10" t="n"/>
      <c r="AD60" s="10" t="n"/>
      <c r="AE60" s="10" t="n"/>
      <c r="AF60" s="10" t="n"/>
      <c r="AG60" s="10" t="n"/>
      <c r="AH60" s="10" t="n"/>
      <c r="AI60" s="10" t="n"/>
      <c r="AJ60" s="10" t="n"/>
      <c r="AK60" s="11" t="n"/>
    </row>
    <row r="61" ht="36" customHeight="1">
      <c r="B61" s="51" t="inlineStr">
        <is>
          <t>E</t>
        </is>
      </c>
      <c r="C61" s="11" t="n"/>
      <c r="D61" s="45" t="inlineStr">
        <is>
          <t>VP-E-NN</t>
        </is>
      </c>
      <c r="E61" s="10" t="n"/>
      <c r="F61" s="11" t="n"/>
      <c r="G61" s="46" t="inlineStr">
        <is>
          <t>非機能・ユーザビリティ</t>
        </is>
      </c>
      <c r="H61" s="10" t="n"/>
      <c r="I61" s="10" t="n"/>
      <c r="J61" s="10" t="n"/>
      <c r="K61" s="10" t="n"/>
      <c r="L61" s="11" t="n"/>
      <c r="M61" s="45" t="n">
        <v>6</v>
      </c>
      <c r="N61" s="11" t="n"/>
      <c r="O61" s="45" t="inlineStr">
        <is>
          <t>低〜中</t>
        </is>
      </c>
      <c r="P61" s="10" t="n"/>
      <c r="Q61" s="11" t="n"/>
      <c r="R61" s="46" t="inlineStr">
        <is>
          <t>レイアウト、レスポンシブ、キーボード操作、ブラウザ互換、マルチタブ同期、未保存変更ガード</t>
        </is>
      </c>
      <c r="S61" s="10" t="n"/>
      <c r="T61" s="10" t="n"/>
      <c r="U61" s="10" t="n"/>
      <c r="V61" s="10" t="n"/>
      <c r="W61" s="10" t="n"/>
      <c r="X61" s="10" t="n"/>
      <c r="Y61" s="10" t="n"/>
      <c r="Z61" s="10" t="n"/>
      <c r="AA61" s="10" t="n"/>
      <c r="AB61" s="10" t="n"/>
      <c r="AC61" s="10" t="n"/>
      <c r="AD61" s="10" t="n"/>
      <c r="AE61" s="10" t="n"/>
      <c r="AF61" s="10" t="n"/>
      <c r="AG61" s="10" t="n"/>
      <c r="AH61" s="10" t="n"/>
      <c r="AI61" s="10" t="n"/>
      <c r="AJ61" s="10" t="n"/>
      <c r="AK61" s="11" t="n"/>
    </row>
    <row r="62" ht="30" customHeight="1">
      <c r="B62" s="51" t="inlineStr">
        <is>
          <t>F</t>
        </is>
      </c>
      <c r="C62" s="11" t="n"/>
      <c r="D62" s="45" t="inlineStr">
        <is>
          <t>VP-F-NN</t>
        </is>
      </c>
      <c r="E62" s="10" t="n"/>
      <c r="F62" s="11" t="n"/>
      <c r="G62" s="46" t="inlineStr">
        <is>
          <t>性能</t>
        </is>
      </c>
      <c r="H62" s="10" t="n"/>
      <c r="I62" s="10" t="n"/>
      <c r="J62" s="10" t="n"/>
      <c r="K62" s="10" t="n"/>
      <c r="L62" s="11" t="n"/>
      <c r="M62" s="45" t="n">
        <v>2</v>
      </c>
      <c r="N62" s="11" t="n"/>
      <c r="O62" s="45" t="inlineStr">
        <is>
          <t>中</t>
        </is>
      </c>
      <c r="P62" s="10" t="n"/>
      <c r="Q62" s="11" t="n"/>
      <c r="R62" s="46" t="inlineStr">
        <is>
          <t>性能ベンチマーク、大量データ表示性能</t>
        </is>
      </c>
      <c r="S62" s="10" t="n"/>
      <c r="T62" s="10" t="n"/>
      <c r="U62" s="10" t="n"/>
      <c r="V62" s="10" t="n"/>
      <c r="W62" s="10" t="n"/>
      <c r="X62" s="10" t="n"/>
      <c r="Y62" s="10" t="n"/>
      <c r="Z62" s="10" t="n"/>
      <c r="AA62" s="10" t="n"/>
      <c r="AB62" s="10" t="n"/>
      <c r="AC62" s="10" t="n"/>
      <c r="AD62" s="10" t="n"/>
      <c r="AE62" s="10" t="n"/>
      <c r="AF62" s="10" t="n"/>
      <c r="AG62" s="10" t="n"/>
      <c r="AH62" s="10" t="n"/>
      <c r="AI62" s="10" t="n"/>
      <c r="AJ62" s="10" t="n"/>
      <c r="AK62" s="11" t="n"/>
    </row>
    <row r="64" ht="30" customHeight="1">
      <c r="B64" s="52" t="inlineStr">
        <is>
          <t>命名規約：VP-{グループ記号}-{NN} 形式（NN はグループ内の2桁連番）。新規観点は同グループの末尾に追加する（例：VP-A-11）。グループ記号はリスク軸による分類で、JSTQB FL の品質特性区分に準拠する。</t>
        </is>
      </c>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c r="AA64" s="10" t="n"/>
      <c r="AB64" s="10" t="n"/>
      <c r="AC64" s="10" t="n"/>
      <c r="AD64" s="10" t="n"/>
      <c r="AE64" s="10" t="n"/>
      <c r="AF64" s="10" t="n"/>
      <c r="AG64" s="10" t="n"/>
      <c r="AH64" s="10" t="n"/>
      <c r="AI64" s="10" t="n"/>
      <c r="AJ64" s="10" t="n"/>
      <c r="AK64" s="11" t="n"/>
    </row>
  </sheetData>
  <mergeCells count="333">
    <mergeCell ref="AD34:AF34"/>
    <mergeCell ref="AD28:AF28"/>
    <mergeCell ref="C21:E21"/>
    <mergeCell ref="AD36:AF36"/>
    <mergeCell ref="AD30:AF30"/>
    <mergeCell ref="M60:N60"/>
    <mergeCell ref="C23:E23"/>
    <mergeCell ref="J1:P1"/>
    <mergeCell ref="AH2:AK3"/>
    <mergeCell ref="M31:T31"/>
    <mergeCell ref="C18:E18"/>
    <mergeCell ref="C34:E34"/>
    <mergeCell ref="F18:L18"/>
    <mergeCell ref="F45:L45"/>
    <mergeCell ref="AD29:AF29"/>
    <mergeCell ref="F17:L17"/>
    <mergeCell ref="U20:V20"/>
    <mergeCell ref="W7:AC7"/>
    <mergeCell ref="U14:V14"/>
    <mergeCell ref="F47:L47"/>
    <mergeCell ref="F46:L46"/>
    <mergeCell ref="U22:V22"/>
    <mergeCell ref="W8:AC8"/>
    <mergeCell ref="F48:L48"/>
    <mergeCell ref="Z1:AC1"/>
    <mergeCell ref="O59:Q59"/>
    <mergeCell ref="AD49:AF49"/>
    <mergeCell ref="O61:Q61"/>
    <mergeCell ref="U13:V13"/>
    <mergeCell ref="U7:V7"/>
    <mergeCell ref="AD50:AF50"/>
    <mergeCell ref="AD42:AF42"/>
    <mergeCell ref="AD52:AF52"/>
    <mergeCell ref="C24:E24"/>
    <mergeCell ref="U8:V8"/>
    <mergeCell ref="C26:E26"/>
    <mergeCell ref="U10:V10"/>
    <mergeCell ref="M32:T32"/>
    <mergeCell ref="W21:AC21"/>
    <mergeCell ref="G62:L62"/>
    <mergeCell ref="AD32:AF32"/>
    <mergeCell ref="AD26:AF26"/>
    <mergeCell ref="W10:AC10"/>
    <mergeCell ref="M16:T16"/>
    <mergeCell ref="C37:E37"/>
    <mergeCell ref="U21:V21"/>
    <mergeCell ref="M27:T27"/>
    <mergeCell ref="M18:T18"/>
    <mergeCell ref="F51:L51"/>
    <mergeCell ref="M45:T45"/>
    <mergeCell ref="AH1:AK1"/>
    <mergeCell ref="C14:E14"/>
    <mergeCell ref="F38:L38"/>
    <mergeCell ref="U35:V35"/>
    <mergeCell ref="AD45:AF45"/>
    <mergeCell ref="W29:AC29"/>
    <mergeCell ref="W23:AC23"/>
    <mergeCell ref="C27:E27"/>
    <mergeCell ref="M40:T40"/>
    <mergeCell ref="AD7:AF7"/>
    <mergeCell ref="W24:AC24"/>
    <mergeCell ref="M12:T12"/>
    <mergeCell ref="O57:Q57"/>
    <mergeCell ref="W51:AC51"/>
    <mergeCell ref="W26:AC26"/>
    <mergeCell ref="M41:T41"/>
    <mergeCell ref="M57:N57"/>
    <mergeCell ref="M24:T24"/>
    <mergeCell ref="C45:E45"/>
    <mergeCell ref="U29:V29"/>
    <mergeCell ref="U23:V23"/>
    <mergeCell ref="C47:E47"/>
    <mergeCell ref="U31:V31"/>
    <mergeCell ref="W42:AC42"/>
    <mergeCell ref="C40:E40"/>
    <mergeCell ref="C51:E51"/>
    <mergeCell ref="W19:AC19"/>
    <mergeCell ref="W37:AC37"/>
    <mergeCell ref="F19:L19"/>
    <mergeCell ref="M37:T37"/>
    <mergeCell ref="U42:V42"/>
    <mergeCell ref="AD48:AF48"/>
    <mergeCell ref="W32:AC32"/>
    <mergeCell ref="R56:AK56"/>
    <mergeCell ref="M14:T14"/>
    <mergeCell ref="M43:T43"/>
    <mergeCell ref="AD10:AF10"/>
    <mergeCell ref="W27:AC27"/>
    <mergeCell ref="F9:L9"/>
    <mergeCell ref="C46:E46"/>
    <mergeCell ref="R59:AK59"/>
    <mergeCell ref="W44:AC44"/>
    <mergeCell ref="C48:E48"/>
    <mergeCell ref="U32:V32"/>
    <mergeCell ref="U47:V47"/>
    <mergeCell ref="M25:T25"/>
    <mergeCell ref="W45:AC45"/>
    <mergeCell ref="M33:T33"/>
    <mergeCell ref="W20:AC20"/>
    <mergeCell ref="B64:AK64"/>
    <mergeCell ref="AD21:AF21"/>
    <mergeCell ref="W47:AC47"/>
    <mergeCell ref="W22:AC22"/>
    <mergeCell ref="AD23:AF23"/>
    <mergeCell ref="U50:V50"/>
    <mergeCell ref="U44:V44"/>
    <mergeCell ref="C16:E16"/>
    <mergeCell ref="F22:L22"/>
    <mergeCell ref="C9:E9"/>
    <mergeCell ref="U45:V45"/>
    <mergeCell ref="B58:C58"/>
    <mergeCell ref="R57:AK57"/>
    <mergeCell ref="C36:E36"/>
    <mergeCell ref="C11:E11"/>
    <mergeCell ref="M51:T51"/>
    <mergeCell ref="F11:L11"/>
    <mergeCell ref="B60:C60"/>
    <mergeCell ref="AD16:AF16"/>
    <mergeCell ref="W33:AC33"/>
    <mergeCell ref="F40:L40"/>
    <mergeCell ref="AD18:AF18"/>
    <mergeCell ref="F12:L12"/>
    <mergeCell ref="W35:AC35"/>
    <mergeCell ref="D59:F59"/>
    <mergeCell ref="V1:Y1"/>
    <mergeCell ref="AD17:AF17"/>
    <mergeCell ref="G59:L59"/>
    <mergeCell ref="F41:L41"/>
    <mergeCell ref="R62:AK62"/>
    <mergeCell ref="F35:L35"/>
    <mergeCell ref="G61:L61"/>
    <mergeCell ref="W46:AC46"/>
    <mergeCell ref="M34:T34"/>
    <mergeCell ref="B59:C59"/>
    <mergeCell ref="D61:F61"/>
    <mergeCell ref="AD31:AF31"/>
    <mergeCell ref="W48:AC48"/>
    <mergeCell ref="M49:T49"/>
    <mergeCell ref="D62:F62"/>
    <mergeCell ref="D56:F56"/>
    <mergeCell ref="C17:E17"/>
    <mergeCell ref="F34:L34"/>
    <mergeCell ref="O60:Q60"/>
    <mergeCell ref="F25:L25"/>
    <mergeCell ref="C19:E19"/>
    <mergeCell ref="F30:L30"/>
    <mergeCell ref="B52:T52"/>
    <mergeCell ref="G56:L56"/>
    <mergeCell ref="W41:AC41"/>
    <mergeCell ref="W43:AC43"/>
    <mergeCell ref="AD44:AF44"/>
    <mergeCell ref="AD19:AF19"/>
    <mergeCell ref="F13:L13"/>
    <mergeCell ref="M59:N59"/>
    <mergeCell ref="F43:L43"/>
    <mergeCell ref="AD27:AF27"/>
    <mergeCell ref="M9:T9"/>
    <mergeCell ref="M20:T20"/>
    <mergeCell ref="O62:Q62"/>
    <mergeCell ref="M11:T11"/>
    <mergeCell ref="O56:Q56"/>
    <mergeCell ref="U16:V16"/>
    <mergeCell ref="B61:C61"/>
    <mergeCell ref="C7:E7"/>
    <mergeCell ref="AD22:AF22"/>
    <mergeCell ref="M22:T22"/>
    <mergeCell ref="AD37:AF37"/>
    <mergeCell ref="M15:T15"/>
    <mergeCell ref="U28:V28"/>
    <mergeCell ref="AD9:AF9"/>
    <mergeCell ref="AD47:AF47"/>
    <mergeCell ref="J2:P3"/>
    <mergeCell ref="F33:L33"/>
    <mergeCell ref="F8:L8"/>
    <mergeCell ref="AD38:AF38"/>
    <mergeCell ref="W16:AC16"/>
    <mergeCell ref="C20:E20"/>
    <mergeCell ref="C25:E25"/>
    <mergeCell ref="D57:F57"/>
    <mergeCell ref="F31:L31"/>
    <mergeCell ref="F28:L28"/>
    <mergeCell ref="G57:L57"/>
    <mergeCell ref="W18:AC18"/>
    <mergeCell ref="C22:E22"/>
    <mergeCell ref="F39:L39"/>
    <mergeCell ref="W17:AC17"/>
    <mergeCell ref="W11:AC11"/>
    <mergeCell ref="M35:T35"/>
    <mergeCell ref="G58:L58"/>
    <mergeCell ref="Z2:AC3"/>
    <mergeCell ref="AD2:AG3"/>
    <mergeCell ref="C38:E38"/>
    <mergeCell ref="C13:E13"/>
    <mergeCell ref="M30:T30"/>
    <mergeCell ref="F21:L21"/>
    <mergeCell ref="U24:V24"/>
    <mergeCell ref="M46:T46"/>
    <mergeCell ref="D60:F60"/>
    <mergeCell ref="U18:V18"/>
    <mergeCell ref="C15:E15"/>
    <mergeCell ref="C33:E33"/>
    <mergeCell ref="F50:L50"/>
    <mergeCell ref="A1:I1"/>
    <mergeCell ref="W12:AC12"/>
    <mergeCell ref="U19:V19"/>
    <mergeCell ref="C35:E35"/>
    <mergeCell ref="C10:E10"/>
    <mergeCell ref="AD46:AF46"/>
    <mergeCell ref="AD40:AF40"/>
    <mergeCell ref="F49:L49"/>
    <mergeCell ref="F14:L14"/>
    <mergeCell ref="Q2:U3"/>
    <mergeCell ref="AD41:AF41"/>
    <mergeCell ref="D58:F58"/>
    <mergeCell ref="U37:V37"/>
    <mergeCell ref="M13:T13"/>
    <mergeCell ref="M7:T7"/>
    <mergeCell ref="C28:E28"/>
    <mergeCell ref="U12:V12"/>
    <mergeCell ref="AD43:AF43"/>
    <mergeCell ref="G60:L60"/>
    <mergeCell ref="C30:E30"/>
    <mergeCell ref="M36:T36"/>
    <mergeCell ref="M8:T8"/>
    <mergeCell ref="B54:AK54"/>
    <mergeCell ref="U26:V26"/>
    <mergeCell ref="AD25:AF25"/>
    <mergeCell ref="C41:E41"/>
    <mergeCell ref="W9:AC9"/>
    <mergeCell ref="F37:L37"/>
    <mergeCell ref="C43:E43"/>
    <mergeCell ref="U27:V27"/>
    <mergeCell ref="W14:AC14"/>
    <mergeCell ref="W38:AC38"/>
    <mergeCell ref="W13:AC13"/>
    <mergeCell ref="U25:V25"/>
    <mergeCell ref="O58:Q58"/>
    <mergeCell ref="W40:AC40"/>
    <mergeCell ref="W15:AC15"/>
    <mergeCell ref="M21:T21"/>
    <mergeCell ref="F15:L15"/>
    <mergeCell ref="M61:N61"/>
    <mergeCell ref="AD1:AG1"/>
    <mergeCell ref="F42:L42"/>
    <mergeCell ref="M26:T26"/>
    <mergeCell ref="AD51:AF51"/>
    <mergeCell ref="U38:V38"/>
    <mergeCell ref="C29:E29"/>
    <mergeCell ref="M56:N56"/>
    <mergeCell ref="U40:V40"/>
    <mergeCell ref="C44:E44"/>
    <mergeCell ref="C31:E31"/>
    <mergeCell ref="U15:V15"/>
    <mergeCell ref="M39:T39"/>
    <mergeCell ref="AD11:AF11"/>
    <mergeCell ref="W28:AC28"/>
    <mergeCell ref="F10:L10"/>
    <mergeCell ref="Q1:U1"/>
    <mergeCell ref="M28:T28"/>
    <mergeCell ref="C49:E49"/>
    <mergeCell ref="U33:V33"/>
    <mergeCell ref="AD39:AF39"/>
    <mergeCell ref="C42:E42"/>
    <mergeCell ref="AD24:AF24"/>
    <mergeCell ref="M62:N62"/>
    <mergeCell ref="M29:T29"/>
    <mergeCell ref="M23:T23"/>
    <mergeCell ref="U46:V46"/>
    <mergeCell ref="C12:E12"/>
    <mergeCell ref="U48:V48"/>
    <mergeCell ref="C39:E39"/>
    <mergeCell ref="W34:AC34"/>
    <mergeCell ref="U41:V41"/>
    <mergeCell ref="W25:AC25"/>
    <mergeCell ref="C32:E32"/>
    <mergeCell ref="W36:AC36"/>
    <mergeCell ref="U43:V43"/>
    <mergeCell ref="F7:L7"/>
    <mergeCell ref="W30:AC30"/>
    <mergeCell ref="AD12:AF12"/>
    <mergeCell ref="M42:T42"/>
    <mergeCell ref="A2:I3"/>
    <mergeCell ref="M17:T17"/>
    <mergeCell ref="F36:L36"/>
    <mergeCell ref="AD20:AF20"/>
    <mergeCell ref="M47:T47"/>
    <mergeCell ref="AD14:AF14"/>
    <mergeCell ref="W31:AC31"/>
    <mergeCell ref="M19:T19"/>
    <mergeCell ref="AD13:AF13"/>
    <mergeCell ref="C50:E50"/>
    <mergeCell ref="U34:V34"/>
    <mergeCell ref="U9:V9"/>
    <mergeCell ref="R58:AK58"/>
    <mergeCell ref="AD15:AF15"/>
    <mergeCell ref="M44:T44"/>
    <mergeCell ref="U49:V49"/>
    <mergeCell ref="U36:V36"/>
    <mergeCell ref="B56:C56"/>
    <mergeCell ref="R60:AK60"/>
    <mergeCell ref="U30:V30"/>
    <mergeCell ref="F29:L29"/>
    <mergeCell ref="W49:AC49"/>
    <mergeCell ref="M10:T10"/>
    <mergeCell ref="B57:C57"/>
    <mergeCell ref="F24:L24"/>
    <mergeCell ref="AD8:AF8"/>
    <mergeCell ref="F32:L32"/>
    <mergeCell ref="F26:L26"/>
    <mergeCell ref="U51:V51"/>
    <mergeCell ref="V2:Y3"/>
    <mergeCell ref="M50:T50"/>
    <mergeCell ref="M58:N58"/>
    <mergeCell ref="B62:C62"/>
    <mergeCell ref="R61:AK61"/>
    <mergeCell ref="F27:L27"/>
    <mergeCell ref="W52:AC52"/>
    <mergeCell ref="W39:AC39"/>
    <mergeCell ref="M48:T48"/>
    <mergeCell ref="U17:V17"/>
    <mergeCell ref="U11:V11"/>
    <mergeCell ref="F44:L44"/>
    <mergeCell ref="C8:E8"/>
    <mergeCell ref="F16:L16"/>
    <mergeCell ref="F20:L20"/>
    <mergeCell ref="U52:V52"/>
    <mergeCell ref="B5:AK5"/>
    <mergeCell ref="U39:V39"/>
    <mergeCell ref="AD33:AF33"/>
    <mergeCell ref="W50:AC50"/>
    <mergeCell ref="M38:T38"/>
    <mergeCell ref="AD35:AF35"/>
    <mergeCell ref="F23:L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Q64"/>
  <sheetViews>
    <sheetView showGridLines="0" workbookViewId="0">
      <selection activeCell="A1" sqref="A1"/>
    </sheetView>
  </sheetViews>
  <sheetFormatPr baseColWidth="8" defaultColWidth="12.63" defaultRowHeight="15"/>
  <cols>
    <col width="4" customWidth="1" min="1" max="1"/>
    <col width="4" customWidth="1" min="2" max="2"/>
    <col width="4" customWidth="1" min="3" max="3"/>
    <col width="4" customWidth="1" min="4" max="4"/>
    <col width="4" customWidth="1" min="5" max="5"/>
    <col width="4" customWidth="1" min="6" max="6"/>
    <col width="4" customWidth="1" min="7" max="7"/>
    <col width="4" customWidth="1" min="8" max="8"/>
    <col width="4" customWidth="1" min="9" max="9"/>
    <col width="4" customWidth="1" min="10" max="10"/>
    <col width="4" customWidth="1" min="11" max="11"/>
    <col width="4" customWidth="1" min="12" max="12"/>
    <col width="4" customWidth="1" min="13" max="13"/>
    <col width="4" customWidth="1" min="14" max="14"/>
    <col width="4" customWidth="1" min="15" max="15"/>
    <col width="4" customWidth="1" min="16" max="16"/>
    <col width="4" customWidth="1" min="17" max="17"/>
    <col width="4" customWidth="1" min="18" max="18"/>
    <col width="4"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4" customWidth="1" min="34" max="34"/>
    <col width="4" customWidth="1" min="35" max="35"/>
    <col width="4" customWidth="1" min="36" max="36"/>
    <col width="4" customWidth="1" min="37" max="37"/>
    <col width="4" customWidth="1" min="38" max="38"/>
    <col width="4" customWidth="1" min="39" max="39"/>
    <col width="4" customWidth="1" min="40" max="40"/>
    <col width="4" customWidth="1" min="41" max="41"/>
    <col width="4" customWidth="1" min="42" max="42"/>
    <col width="4" customWidth="1" min="43" max="43"/>
    <col width="4" customWidth="1" min="44" max="44"/>
    <col width="4" customWidth="1" min="45" max="45"/>
    <col width="4" customWidth="1" min="46" max="46"/>
    <col width="4" customWidth="1" min="47" max="47"/>
    <col width="4" customWidth="1" min="48" max="48"/>
    <col width="4" customWidth="1" min="49" max="49"/>
    <col width="4" customWidth="1" min="50" max="50"/>
    <col width="4" customWidth="1" min="51" max="51"/>
    <col width="4" customWidth="1" min="52" max="52"/>
    <col width="4" customWidth="1" min="53" max="53"/>
    <col width="4" customWidth="1" min="54" max="54"/>
    <col width="4" customWidth="1" min="55" max="55"/>
    <col width="4" customWidth="1" min="56" max="56"/>
    <col width="4" customWidth="1" min="57" max="57"/>
    <col width="4" customWidth="1" min="58" max="58"/>
    <col width="4" customWidth="1" min="59" max="59"/>
    <col width="4" customWidth="1" min="60" max="60"/>
    <col width="4" customWidth="1" min="61" max="61"/>
    <col width="4" customWidth="1" min="62" max="62"/>
    <col width="4" customWidth="1" min="63" max="63"/>
    <col width="4" customWidth="1" min="64" max="64"/>
    <col width="4" customWidth="1" min="65" max="65"/>
    <col width="4" customWidth="1" min="66" max="66"/>
    <col width="4" customWidth="1" min="67" max="67"/>
    <col width="4" customWidth="1" min="68" max="68"/>
    <col width="4" customWidth="1" min="69" max="69"/>
  </cols>
  <sheetData>
    <row r="1" ht="22.5" customHeight="1">
      <c r="A1" s="43" t="inlineStr">
        <is>
          <t>テストレベル</t>
        </is>
      </c>
      <c r="B1" s="10" t="n"/>
      <c r="C1" s="10" t="n"/>
      <c r="D1" s="10" t="n"/>
      <c r="E1" s="11" t="n"/>
      <c r="F1" s="20" t="inlineStr">
        <is>
          <t>結合テスト</t>
        </is>
      </c>
      <c r="G1" s="10" t="n"/>
      <c r="H1" s="10" t="n"/>
      <c r="I1" s="10" t="n"/>
      <c r="J1" s="10" t="n"/>
      <c r="K1" s="10" t="n"/>
      <c r="L1" s="10" t="n"/>
      <c r="M1" s="10" t="n"/>
      <c r="N1" s="10" t="n"/>
      <c r="O1" s="10" t="n"/>
      <c r="P1" s="10" t="n"/>
      <c r="Q1" s="11" t="n"/>
      <c r="R1" s="43" t="inlineStr">
        <is>
          <t>機能／モジュール</t>
        </is>
      </c>
      <c r="S1" s="10" t="n"/>
      <c r="T1" s="10" t="n"/>
      <c r="U1" s="10" t="n"/>
      <c r="V1" s="11" t="n"/>
      <c r="W1" s="20" t="inlineStr">
        <is>
          <t>ACSMS-SCR-011_購読者情報登録画面</t>
        </is>
      </c>
      <c r="X1" s="10" t="n"/>
      <c r="Y1" s="10" t="n"/>
      <c r="Z1" s="10" t="n"/>
      <c r="AA1" s="10" t="n"/>
      <c r="AB1" s="10" t="n"/>
      <c r="AC1" s="10" t="n"/>
      <c r="AD1" s="10" t="n"/>
      <c r="AE1" s="10" t="n"/>
      <c r="AF1" s="10" t="n"/>
      <c r="AG1" s="10" t="n"/>
      <c r="AH1" s="11" t="n"/>
    </row>
    <row r="2" ht="22.5" customHeight="1">
      <c r="A2" s="43" t="inlineStr">
        <is>
          <t>作成者</t>
        </is>
      </c>
      <c r="B2" s="10" t="n"/>
      <c r="C2" s="10" t="n"/>
      <c r="D2" s="10" t="n"/>
      <c r="E2" s="11" t="n"/>
      <c r="F2" s="20" t="inlineStr">
        <is>
          <t>Kieu Thi Diem</t>
        </is>
      </c>
      <c r="G2" s="10" t="n"/>
      <c r="H2" s="10" t="n"/>
      <c r="I2" s="10" t="n"/>
      <c r="J2" s="10" t="n"/>
      <c r="K2" s="10" t="n"/>
      <c r="L2" s="10" t="n"/>
      <c r="M2" s="10" t="n"/>
      <c r="N2" s="10" t="n"/>
      <c r="O2" s="10" t="n"/>
      <c r="P2" s="10" t="n"/>
      <c r="Q2" s="11" t="n"/>
      <c r="R2" s="43" t="inlineStr">
        <is>
          <t>作成日</t>
        </is>
      </c>
      <c r="S2" s="10" t="n"/>
      <c r="T2" s="10" t="n"/>
      <c r="U2" s="10" t="n"/>
      <c r="V2" s="11" t="n"/>
      <c r="W2" s="33" t="inlineStr">
        <is>
          <t>2026/06/03</t>
        </is>
      </c>
      <c r="X2" s="10" t="n"/>
      <c r="Y2" s="10" t="n"/>
      <c r="Z2" s="10" t="n"/>
      <c r="AA2" s="10" t="n"/>
      <c r="AB2" s="10" t="n"/>
      <c r="AC2" s="10" t="n"/>
      <c r="AD2" s="10" t="n"/>
      <c r="AE2" s="10" t="n"/>
      <c r="AF2" s="10" t="n"/>
      <c r="AG2" s="10" t="n"/>
      <c r="AH2" s="11" t="n"/>
    </row>
    <row r="3" ht="22.5" customHeight="1">
      <c r="A3" s="43" t="inlineStr">
        <is>
          <t>確認者</t>
        </is>
      </c>
      <c r="B3" s="10" t="n"/>
      <c r="C3" s="10" t="n"/>
      <c r="D3" s="10" t="n"/>
      <c r="E3" s="11" t="n"/>
      <c r="F3" s="20" t="inlineStr">
        <is>
          <t>Nguyen Huy Dat</t>
        </is>
      </c>
      <c r="G3" s="10" t="n"/>
      <c r="H3" s="10" t="n"/>
      <c r="I3" s="10" t="n"/>
      <c r="J3" s="10" t="n"/>
      <c r="K3" s="10" t="n"/>
      <c r="L3" s="10" t="n"/>
      <c r="M3" s="10" t="n"/>
      <c r="N3" s="10" t="n"/>
      <c r="O3" s="10" t="n"/>
      <c r="P3" s="10" t="n"/>
      <c r="Q3" s="11" t="n"/>
      <c r="R3" s="43" t="inlineStr">
        <is>
          <t>確認日</t>
        </is>
      </c>
      <c r="S3" s="10" t="n"/>
      <c r="T3" s="10" t="n"/>
      <c r="U3" s="10" t="n"/>
      <c r="V3" s="11" t="n"/>
      <c r="W3" s="33" t="inlineStr"/>
      <c r="X3" s="10" t="n"/>
      <c r="Y3" s="10" t="n"/>
      <c r="Z3" s="10" t="n"/>
      <c r="AA3" s="10" t="n"/>
      <c r="AB3" s="10" t="n"/>
      <c r="AC3" s="10" t="n"/>
      <c r="AD3" s="10" t="n"/>
      <c r="AE3" s="10" t="n"/>
      <c r="AF3" s="10" t="n"/>
      <c r="AG3" s="10" t="n"/>
      <c r="AH3" s="11" t="n"/>
    </row>
    <row r="4" ht="22.5" customHeight="1">
      <c r="A4" s="43" t="inlineStr">
        <is>
          <t>テスト環境</t>
        </is>
      </c>
      <c r="B4" s="10" t="n"/>
      <c r="C4" s="10" t="n"/>
      <c r="D4" s="10" t="n"/>
      <c r="E4" s="11" t="n"/>
      <c r="F4" s="20" t="inlineStr">
        <is>
          <t>Windows 10/11, Chrome, Edge</t>
        </is>
      </c>
      <c r="G4" s="10" t="n"/>
      <c r="H4" s="10" t="n"/>
      <c r="I4" s="10" t="n"/>
      <c r="J4" s="10" t="n"/>
      <c r="K4" s="10" t="n"/>
      <c r="L4" s="10" t="n"/>
      <c r="M4" s="10" t="n"/>
      <c r="N4" s="10" t="n"/>
      <c r="O4" s="10" t="n"/>
      <c r="P4" s="10" t="n"/>
      <c r="Q4" s="10" t="n"/>
      <c r="R4" s="10" t="n"/>
      <c r="S4" s="10" t="n"/>
      <c r="T4" s="10" t="n"/>
      <c r="U4" s="10" t="n"/>
      <c r="V4" s="10" t="n"/>
      <c r="W4" s="10" t="n"/>
      <c r="X4" s="10" t="n"/>
      <c r="Y4" s="10" t="n"/>
      <c r="Z4" s="10" t="n"/>
      <c r="AA4" s="10" t="n"/>
      <c r="AB4" s="10" t="n"/>
      <c r="AC4" s="10" t="n"/>
      <c r="AD4" s="10" t="n"/>
      <c r="AE4" s="10" t="n"/>
      <c r="AF4" s="10" t="n"/>
      <c r="AG4" s="10" t="n"/>
      <c r="AH4" s="11" t="n"/>
    </row>
    <row r="5" ht="22.5" customHeight="1">
      <c r="A5" s="43" t="inlineStr">
        <is>
          <t>分類</t>
        </is>
      </c>
      <c r="B5" s="10" t="n"/>
      <c r="C5" s="10" t="n"/>
      <c r="D5" s="10" t="n"/>
      <c r="E5" s="10" t="n"/>
      <c r="F5" s="10" t="n"/>
      <c r="G5" s="10" t="n"/>
      <c r="H5" s="10" t="n"/>
      <c r="I5" s="10" t="n"/>
      <c r="J5" s="10" t="n"/>
      <c r="K5" s="10" t="n"/>
      <c r="L5" s="10" t="n"/>
      <c r="M5" s="10" t="n"/>
      <c r="N5" s="10" t="n"/>
      <c r="O5" s="10" t="n"/>
      <c r="P5" s="10" t="n"/>
      <c r="Q5" s="10" t="n"/>
      <c r="R5" s="10" t="n"/>
      <c r="S5" s="11" t="n"/>
      <c r="T5" s="43" t="inlineStr">
        <is>
          <t>テスト結果</t>
        </is>
      </c>
      <c r="U5" s="10" t="n"/>
      <c r="V5" s="10" t="n"/>
      <c r="W5" s="10" t="n"/>
      <c r="X5" s="10" t="n"/>
      <c r="Y5" s="10" t="n"/>
      <c r="Z5" s="10" t="n"/>
      <c r="AA5" s="10" t="n"/>
      <c r="AB5" s="10" t="n"/>
      <c r="AC5" s="10" t="n"/>
      <c r="AD5" s="10" t="n"/>
      <c r="AE5" s="10" t="n"/>
      <c r="AF5" s="10" t="n"/>
      <c r="AG5" s="10" t="n"/>
      <c r="AH5" s="11" t="n"/>
    </row>
    <row r="6" ht="22.5" customHeight="1">
      <c r="A6" s="43" t="inlineStr">
        <is>
          <t>回目</t>
        </is>
      </c>
      <c r="B6" s="10" t="n"/>
      <c r="C6" s="10" t="n"/>
      <c r="D6" s="10" t="n"/>
      <c r="E6" s="10" t="n"/>
      <c r="F6" s="10" t="n"/>
      <c r="G6" s="11" t="n"/>
      <c r="H6" s="43" t="inlineStr">
        <is>
          <t>正常</t>
        </is>
      </c>
      <c r="I6" s="10" t="n"/>
      <c r="J6" s="11" t="n"/>
      <c r="K6" s="43" t="inlineStr">
        <is>
          <t>異常</t>
        </is>
      </c>
      <c r="L6" s="10" t="n"/>
      <c r="M6" s="11" t="n"/>
      <c r="N6" s="43" t="inlineStr">
        <is>
          <t>境界値</t>
        </is>
      </c>
      <c r="O6" s="10" t="n"/>
      <c r="P6" s="11" t="n"/>
      <c r="Q6" s="43" t="inlineStr">
        <is>
          <t>合計</t>
        </is>
      </c>
      <c r="R6" s="10" t="n"/>
      <c r="S6" s="11" t="n"/>
      <c r="T6" s="43" t="inlineStr">
        <is>
          <t>合格</t>
        </is>
      </c>
      <c r="U6" s="10" t="n"/>
      <c r="V6" s="11" t="n"/>
      <c r="W6" s="43" t="inlineStr">
        <is>
          <t>不合格</t>
        </is>
      </c>
      <c r="X6" s="10" t="n"/>
      <c r="Y6" s="11" t="n"/>
      <c r="Z6" s="43" t="inlineStr">
        <is>
          <t>未テスト</t>
        </is>
      </c>
      <c r="AA6" s="10" t="n"/>
      <c r="AB6" s="11" t="n"/>
      <c r="AC6" s="43" t="inlineStr">
        <is>
          <t>N/A</t>
        </is>
      </c>
      <c r="AD6" s="10" t="n"/>
      <c r="AE6" s="11" t="n"/>
      <c r="AF6" s="43" t="inlineStr">
        <is>
          <t>合計</t>
        </is>
      </c>
      <c r="AG6" s="10" t="n"/>
      <c r="AH6" s="11" t="n"/>
    </row>
    <row r="7" ht="22.5" customHeight="1">
      <c r="A7" s="43" t="inlineStr">
        <is>
          <t>1回目</t>
        </is>
      </c>
      <c r="B7" s="10" t="n"/>
      <c r="C7" s="10" t="n"/>
      <c r="D7" s="10" t="n"/>
      <c r="E7" s="10" t="n"/>
      <c r="F7" s="10" t="n"/>
      <c r="G7" s="11" t="n"/>
      <c r="H7" s="19">
        <f>COUNTIF($AE$12:$AF$1049,"N")</f>
        <v/>
      </c>
      <c r="I7" s="10" t="n"/>
      <c r="J7" s="11" t="n"/>
      <c r="K7" s="19">
        <f>COUNTIF($AE$12:$AF$1049,"A")</f>
        <v/>
      </c>
      <c r="L7" s="10" t="n"/>
      <c r="M7" s="11" t="n"/>
      <c r="N7" s="19">
        <f>COUNTIF($AE$12:$AF$1049,"B")</f>
        <v/>
      </c>
      <c r="O7" s="10" t="n"/>
      <c r="P7" s="11" t="n"/>
      <c r="Q7" s="40">
        <f>SUM(H7:P7)</f>
        <v/>
      </c>
      <c r="R7" s="10" t="n"/>
      <c r="S7" s="11" t="n"/>
      <c r="T7" s="19">
        <f>COUNTIF($AG$12:$AI$1049,T$6)</f>
        <v/>
      </c>
      <c r="U7" s="10" t="n"/>
      <c r="V7" s="11" t="n"/>
      <c r="W7" s="19">
        <f>COUNTIF($AG$12:$AI$1049,W$6)</f>
        <v/>
      </c>
      <c r="X7" s="10" t="n"/>
      <c r="Y7" s="11" t="n"/>
      <c r="Z7" s="19">
        <f>COUNTIF($AG$12:$AI$1049,Z$6)</f>
        <v/>
      </c>
      <c r="AA7" s="10" t="n"/>
      <c r="AB7" s="11" t="n"/>
      <c r="AC7" s="19">
        <f>COUNTIF($AG$12:$AI$1049,AC$6)</f>
        <v/>
      </c>
      <c r="AD7" s="10" t="n"/>
      <c r="AE7" s="11" t="n"/>
      <c r="AF7" s="40">
        <f>SUM(T7:AE7)</f>
        <v/>
      </c>
      <c r="AG7" s="10" t="n"/>
      <c r="AH7" s="11" t="n"/>
    </row>
    <row r="8" ht="22.5" customHeight="1">
      <c r="A8" s="43" t="inlineStr">
        <is>
          <t>2回目</t>
        </is>
      </c>
      <c r="B8" s="10" t="n"/>
      <c r="C8" s="10" t="n"/>
      <c r="D8" s="10" t="n"/>
      <c r="E8" s="10" t="n"/>
      <c r="F8" s="10" t="n"/>
      <c r="G8" s="11" t="n"/>
      <c r="H8" s="19">
        <f>COUNTIF($AE$12:$AF$1049,"N")</f>
        <v/>
      </c>
      <c r="I8" s="10" t="n"/>
      <c r="J8" s="11" t="n"/>
      <c r="K8" s="19">
        <f>COUNTIF($AE$12:$AF$1049,"A")</f>
        <v/>
      </c>
      <c r="L8" s="10" t="n"/>
      <c r="M8" s="11" t="n"/>
      <c r="N8" s="19">
        <f>COUNTIF($AE$12:$AF$1049,"B")</f>
        <v/>
      </c>
      <c r="O8" s="10" t="n"/>
      <c r="P8" s="11" t="n"/>
      <c r="Q8" s="40">
        <f>SUM(H8:P8)</f>
        <v/>
      </c>
      <c r="R8" s="10" t="n"/>
      <c r="S8" s="11" t="n"/>
      <c r="T8" s="19">
        <f>COUNTIF($AV$12:$AX$1049,T$6)</f>
        <v/>
      </c>
      <c r="U8" s="10" t="n"/>
      <c r="V8" s="11" t="n"/>
      <c r="W8" s="19">
        <f>COUNTIF($AV$12:$AX$1049,W$6)</f>
        <v/>
      </c>
      <c r="X8" s="10" t="n"/>
      <c r="Y8" s="11" t="n"/>
      <c r="Z8" s="19">
        <f>COUNTIF($AV$12:$AX$1049,Z$6)</f>
        <v/>
      </c>
      <c r="AA8" s="10" t="n"/>
      <c r="AB8" s="11" t="n"/>
      <c r="AC8" s="19">
        <f>COUNTIF($AV$12:$AX$1049,AC$6)</f>
        <v/>
      </c>
      <c r="AD8" s="10" t="n"/>
      <c r="AE8" s="11" t="n"/>
      <c r="AF8" s="40">
        <f>SUM(T8:AE8)</f>
        <v/>
      </c>
      <c r="AG8" s="10" t="n"/>
      <c r="AH8" s="11" t="n"/>
    </row>
    <row r="9" ht="12.75" customHeight="1"/>
    <row r="10" ht="36" customHeight="1">
      <c r="A10" s="53" t="inlineStr">
        <is>
          <t>#</t>
        </is>
      </c>
      <c r="B10" s="54" t="inlineStr">
        <is>
          <t>要件ID</t>
        </is>
      </c>
      <c r="C10" s="22" t="n"/>
      <c r="D10" s="23" t="n"/>
      <c r="E10" s="54" t="inlineStr">
        <is>
          <t>説明</t>
        </is>
      </c>
      <c r="F10" s="22" t="n"/>
      <c r="G10" s="22" t="n"/>
      <c r="H10" s="22" t="n"/>
      <c r="I10" s="23" t="n"/>
      <c r="J10" s="54" t="inlineStr">
        <is>
          <t>前提条件</t>
        </is>
      </c>
      <c r="K10" s="22" t="n"/>
      <c r="L10" s="22" t="n"/>
      <c r="M10" s="22" t="n"/>
      <c r="N10" s="22" t="n"/>
      <c r="O10" s="22" t="n"/>
      <c r="P10" s="23" t="n"/>
      <c r="Q10" s="54" t="inlineStr">
        <is>
          <t>ステップ／手順</t>
        </is>
      </c>
      <c r="R10" s="22" t="n"/>
      <c r="S10" s="22" t="n"/>
      <c r="T10" s="22" t="n"/>
      <c r="U10" s="22" t="n"/>
      <c r="V10" s="22" t="n"/>
      <c r="W10" s="23" t="n"/>
      <c r="X10" s="54" t="inlineStr">
        <is>
          <t>期待結果／アウトプット</t>
        </is>
      </c>
      <c r="Y10" s="22" t="n"/>
      <c r="Z10" s="22" t="n"/>
      <c r="AA10" s="22" t="n"/>
      <c r="AB10" s="22" t="n"/>
      <c r="AC10" s="22" t="n"/>
      <c r="AD10" s="23" t="n"/>
      <c r="AE10" s="54" t="inlineStr">
        <is>
          <t>種類</t>
        </is>
      </c>
      <c r="AF10" s="23" t="n"/>
      <c r="AG10" s="43" t="inlineStr">
        <is>
          <t>テスト1回目の結果</t>
        </is>
      </c>
      <c r="AH10" s="10" t="n"/>
      <c r="AI10" s="10" t="n"/>
      <c r="AJ10" s="10" t="n"/>
      <c r="AK10" s="10" t="n"/>
      <c r="AL10" s="10" t="n"/>
      <c r="AM10" s="10" t="n"/>
      <c r="AN10" s="10" t="n"/>
      <c r="AO10" s="10" t="n"/>
      <c r="AP10" s="10" t="n"/>
      <c r="AQ10" s="10" t="n"/>
      <c r="AR10" s="10" t="n"/>
      <c r="AS10" s="10" t="n"/>
      <c r="AT10" s="10" t="n"/>
      <c r="AU10" s="11" t="n"/>
      <c r="AV10" s="43" t="inlineStr">
        <is>
          <t>テスト2回目の結果</t>
        </is>
      </c>
      <c r="AW10" s="10" t="n"/>
      <c r="AX10" s="10" t="n"/>
      <c r="AY10" s="10" t="n"/>
      <c r="AZ10" s="10" t="n"/>
      <c r="BA10" s="10" t="n"/>
      <c r="BB10" s="10" t="n"/>
      <c r="BC10" s="10" t="n"/>
      <c r="BD10" s="10" t="n"/>
      <c r="BE10" s="10" t="n"/>
      <c r="BF10" s="10" t="n"/>
      <c r="BG10" s="10" t="n"/>
      <c r="BH10" s="10" t="n"/>
      <c r="BI10" s="10" t="n"/>
      <c r="BJ10" s="11" t="n"/>
      <c r="BK10" s="54" t="inlineStr">
        <is>
          <t>備考</t>
        </is>
      </c>
      <c r="BL10" s="22" t="n"/>
      <c r="BM10" s="22" t="n"/>
      <c r="BN10" s="22" t="n"/>
      <c r="BO10" s="22" t="n"/>
      <c r="BP10" s="22" t="n"/>
      <c r="BQ10" s="23" t="n"/>
    </row>
    <row r="11" ht="36" customHeight="1">
      <c r="A11" s="37" t="n"/>
      <c r="B11" s="25" t="n"/>
      <c r="C11" s="26" t="n"/>
      <c r="D11" s="27" t="n"/>
      <c r="E11" s="25" t="n"/>
      <c r="F11" s="26" t="n"/>
      <c r="G11" s="26" t="n"/>
      <c r="H11" s="26" t="n"/>
      <c r="I11" s="27" t="n"/>
      <c r="J11" s="25" t="n"/>
      <c r="K11" s="26" t="n"/>
      <c r="L11" s="26" t="n"/>
      <c r="M11" s="26" t="n"/>
      <c r="N11" s="26" t="n"/>
      <c r="O11" s="26" t="n"/>
      <c r="P11" s="27" t="n"/>
      <c r="Q11" s="25" t="n"/>
      <c r="R11" s="26" t="n"/>
      <c r="S11" s="26" t="n"/>
      <c r="T11" s="26" t="n"/>
      <c r="U11" s="26" t="n"/>
      <c r="V11" s="26" t="n"/>
      <c r="W11" s="27" t="n"/>
      <c r="X11" s="25" t="n"/>
      <c r="Y11" s="26" t="n"/>
      <c r="Z11" s="26" t="n"/>
      <c r="AA11" s="26" t="n"/>
      <c r="AB11" s="26" t="n"/>
      <c r="AC11" s="26" t="n"/>
      <c r="AD11" s="27" t="n"/>
      <c r="AE11" s="25" t="n"/>
      <c r="AF11" s="27" t="n"/>
      <c r="AG11" s="43" t="inlineStr">
        <is>
          <t>結果</t>
        </is>
      </c>
      <c r="AH11" s="10" t="n"/>
      <c r="AI11" s="11" t="n"/>
      <c r="AJ11" s="43" t="inlineStr">
        <is>
          <t>実績／
アウトプット</t>
        </is>
      </c>
      <c r="AK11" s="10" t="n"/>
      <c r="AL11" s="11" t="n"/>
      <c r="AM11" s="43" t="inlineStr">
        <is>
          <t>担当者</t>
        </is>
      </c>
      <c r="AN11" s="10" t="n"/>
      <c r="AO11" s="11" t="n"/>
      <c r="AP11" s="43" t="inlineStr">
        <is>
          <t>確認日付
（MM/DD）</t>
        </is>
      </c>
      <c r="AQ11" s="10" t="n"/>
      <c r="AR11" s="11" t="n"/>
      <c r="AS11" s="43" t="inlineStr">
        <is>
          <t>バグID</t>
        </is>
      </c>
      <c r="AT11" s="10" t="n"/>
      <c r="AU11" s="11" t="n"/>
      <c r="AV11" s="43" t="inlineStr">
        <is>
          <t>結果</t>
        </is>
      </c>
      <c r="AW11" s="10" t="n"/>
      <c r="AX11" s="11" t="n"/>
      <c r="AY11" s="43" t="inlineStr">
        <is>
          <t>実績／
アウトプット</t>
        </is>
      </c>
      <c r="AZ11" s="10" t="n"/>
      <c r="BA11" s="11" t="n"/>
      <c r="BB11" s="43" t="inlineStr">
        <is>
          <t>担当者</t>
        </is>
      </c>
      <c r="BC11" s="10" t="n"/>
      <c r="BD11" s="11" t="n"/>
      <c r="BE11" s="43" t="inlineStr">
        <is>
          <t>確認日付
（MM/DD）</t>
        </is>
      </c>
      <c r="BF11" s="10" t="n"/>
      <c r="BG11" s="11" t="n"/>
      <c r="BH11" s="43" t="inlineStr">
        <is>
          <t>バグID</t>
        </is>
      </c>
      <c r="BI11" s="10" t="n"/>
      <c r="BJ11" s="11" t="n"/>
      <c r="BK11" s="25" t="n"/>
      <c r="BL11" s="26" t="n"/>
      <c r="BM11" s="26" t="n"/>
      <c r="BN11" s="26" t="n"/>
      <c r="BO11" s="26" t="n"/>
      <c r="BP11" s="26" t="n"/>
      <c r="BQ11" s="27" t="n"/>
    </row>
    <row r="12" ht="22.5" customHeight="1">
      <c r="A12" s="32" t="inlineStr">
        <is>
          <t>アクセス権限制御（Access Control）</t>
        </is>
      </c>
      <c r="B12" s="10" t="n"/>
      <c r="C12" s="10" t="n"/>
      <c r="D12" s="10" t="n"/>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c r="AA12" s="10" t="n"/>
      <c r="AB12" s="10" t="n"/>
      <c r="AC12" s="10" t="n"/>
      <c r="AD12" s="10" t="n"/>
      <c r="AE12" s="10" t="n"/>
      <c r="AF12" s="10" t="n"/>
      <c r="AG12" s="10" t="n"/>
      <c r="AH12" s="10" t="n"/>
      <c r="AI12" s="10" t="n"/>
      <c r="AJ12" s="10" t="n"/>
      <c r="AK12" s="10" t="n"/>
      <c r="AL12" s="10" t="n"/>
      <c r="AM12" s="10" t="n"/>
      <c r="AN12" s="10" t="n"/>
      <c r="AO12" s="10" t="n"/>
      <c r="AP12" s="10" t="n"/>
      <c r="AQ12" s="10" t="n"/>
      <c r="AR12" s="10" t="n"/>
      <c r="AS12" s="10" t="n"/>
      <c r="AT12" s="10" t="n"/>
      <c r="AU12" s="10" t="n"/>
      <c r="AV12" s="10" t="n"/>
      <c r="AW12" s="10" t="n"/>
      <c r="AX12" s="10" t="n"/>
      <c r="AY12" s="10" t="n"/>
      <c r="AZ12" s="10" t="n"/>
      <c r="BA12" s="10" t="n"/>
      <c r="BB12" s="10" t="n"/>
      <c r="BC12" s="10" t="n"/>
      <c r="BD12" s="10" t="n"/>
      <c r="BE12" s="10" t="n"/>
      <c r="BF12" s="10" t="n"/>
      <c r="BG12" s="10" t="n"/>
      <c r="BH12" s="10" t="n"/>
      <c r="BI12" s="10" t="n"/>
      <c r="BJ12" s="10" t="n"/>
      <c r="BK12" s="10" t="n"/>
      <c r="BL12" s="10" t="n"/>
      <c r="BM12" s="10" t="n"/>
      <c r="BN12" s="10" t="n"/>
      <c r="BO12" s="10" t="n"/>
      <c r="BP12" s="10" t="n"/>
      <c r="BQ12" s="11" t="n"/>
    </row>
    <row r="13" ht="352" customHeight="1">
      <c r="A13" s="44" t="n">
        <v>1</v>
      </c>
      <c r="B13" s="46" t="inlineStr">
        <is>
          <t>ACSMS-TC-011-001</t>
        </is>
      </c>
      <c r="C13" s="10" t="n"/>
      <c r="D13" s="11" t="n"/>
      <c r="E13" s="46" t="inlineStr">
        <is>
          <t>未認証ユーザーによる購読者情報登録画面アクセス禁止</t>
        </is>
      </c>
      <c r="F13" s="10" t="n"/>
      <c r="G13" s="10" t="n"/>
      <c r="H13" s="10" t="n"/>
      <c r="I13" s="11" t="n"/>
      <c r="J13" s="46" t="inlineStr">
        <is>
          <t>・未ログイン（セッションCookieなし、または失効済）</t>
        </is>
      </c>
      <c r="K13" s="10" t="n"/>
      <c r="L13" s="10" t="n"/>
      <c r="M13" s="10" t="n"/>
      <c r="N13" s="10" t="n"/>
      <c r="O13" s="10" t="n"/>
      <c r="P13" s="11" t="n"/>
      <c r="Q13" s="46" t="inlineStr">
        <is>
          <r>
            <rPr>
              <rFont val="メイリオ"/>
              <b val="1"/>
              <sz val="10"/>
            </rPr>
            <t xml:space="preserve">ステップ1：
</t>
          </r>
          <r>
            <rPr>
              <rFont val="メイリオ"/>
              <sz val="10"/>
            </rPr>
            <t xml:space="preserve">ブラウザのアドレスバーに `/dokusya/create` を入力し、直接アクセス
</t>
          </r>
          <r>
            <rPr>
              <rFont val="メイリオ"/>
              <b val="1"/>
              <sz val="10"/>
            </rPr>
            <t xml:space="preserve">ステップ2：
</t>
          </r>
          <r>
            <rPr>
              <rFont val="メイリオ"/>
              <sz val="10"/>
            </rPr>
            <t>DevTools の Network タブで GET `/api/v1/dokusya/1` を直接呼び出し</t>
          </r>
        </is>
      </c>
      <c r="R13" s="10" t="n"/>
      <c r="S13" s="10" t="n"/>
      <c r="T13" s="10" t="n"/>
      <c r="U13" s="10" t="n"/>
      <c r="V13" s="10" t="n"/>
      <c r="W13" s="11" t="n"/>
      <c r="X13" s="46" t="inlineStr">
        <is>
          <r>
            <rPr>
              <rFont val="メイリオ"/>
              <b val="1"/>
              <sz val="10"/>
            </rPr>
            <t xml:space="preserve">ステップ1：
</t>
          </r>
          <r>
            <rPr>
              <rFont val="メイリオ"/>
              <sz val="10"/>
            </rPr>
            <t xml:space="preserve">購読者情報登録画面が表示されないこと、`/login` へ遷移すること（クエリ `?redirect=/dokusya/create` が付与されること）
</t>
          </r>
          <r>
            <rPr>
              <rFont val="メイリオ"/>
              <b val="1"/>
              <sz val="10"/>
            </rPr>
            <t xml:space="preserve">ステップ2：
</t>
          </r>
          <r>
            <rPr>
              <rFont val="メイリオ"/>
              <sz val="10"/>
            </rPr>
            <t xml:space="preserve">HTTPステータスコード401が返却されること（`error_code: UNAUTHORIZED`、メッセージ `セッションが切れました。再度ログインしてください。`）
</t>
          </r>
          <r>
            <rPr>
              <rFont val="メイリオ"/>
              <b val="1"/>
              <sz val="10"/>
            </rPr>
            <t xml:space="preserve">補足：
</t>
          </r>
          <r>
            <rPr>
              <rFont val="メイリオ"/>
              <sz val="10"/>
            </rPr>
            <t xml:space="preserve">・購読者情報登録画面は認証必須画面であり、未認証時はフロントエンド側ルーターガードでログイン画面へ誘導されること
</t>
          </r>
          <r>
            <rPr>
              <rFont val="メイリオ"/>
              <sz val="10"/>
            </rPr>
            <t>・バックエンド側 SessionAuthGuard でも401が返却されること</t>
          </r>
        </is>
      </c>
      <c r="Y13" s="10" t="n"/>
      <c r="Z13" s="10" t="n"/>
      <c r="AA13" s="10" t="n"/>
      <c r="AB13" s="10" t="n"/>
      <c r="AC13" s="10" t="n"/>
      <c r="AD13" s="11" t="n"/>
      <c r="AE13" s="45" t="inlineStr">
        <is>
          <t>A</t>
        </is>
      </c>
      <c r="AF13" s="11" t="n"/>
      <c r="AG13" s="45" t="inlineStr"/>
      <c r="AH13" s="10" t="n"/>
      <c r="AI13" s="11" t="n"/>
      <c r="AJ13" s="45" t="inlineStr"/>
      <c r="AK13" s="10" t="n"/>
      <c r="AL13" s="11" t="n"/>
      <c r="AM13" s="45" t="inlineStr"/>
      <c r="AN13" s="10" t="n"/>
      <c r="AO13" s="11" t="n"/>
      <c r="AP13" s="45" t="inlineStr"/>
      <c r="AQ13" s="10" t="n"/>
      <c r="AR13" s="11" t="n"/>
      <c r="AS13" s="45" t="inlineStr"/>
      <c r="AT13" s="10" t="n"/>
      <c r="AU13" s="11" t="n"/>
      <c r="AV13" s="45" t="inlineStr"/>
      <c r="AW13" s="10" t="n"/>
      <c r="AX13" s="11" t="n"/>
      <c r="AY13" s="45" t="inlineStr"/>
      <c r="AZ13" s="10" t="n"/>
      <c r="BA13" s="11" t="n"/>
      <c r="BB13" s="45" t="inlineStr"/>
      <c r="BC13" s="10" t="n"/>
      <c r="BD13" s="11" t="n"/>
      <c r="BE13" s="45" t="inlineStr"/>
      <c r="BF13" s="10" t="n"/>
      <c r="BG13" s="11" t="n"/>
      <c r="BH13" s="45" t="inlineStr"/>
      <c r="BI13" s="10" t="n"/>
      <c r="BJ13" s="11" t="n"/>
      <c r="BK13" s="46" t="inlineStr"/>
      <c r="BL13" s="10" t="n"/>
      <c r="BM13" s="10" t="n"/>
      <c r="BN13" s="10" t="n"/>
      <c r="BO13" s="10" t="n"/>
      <c r="BP13" s="10" t="n"/>
      <c r="BQ13" s="11" t="n"/>
    </row>
    <row r="14" ht="450" customHeight="1">
      <c r="A14" s="44" t="n">
        <v>2</v>
      </c>
      <c r="B14" s="46" t="inlineStr">
        <is>
          <t>ACSMS-TC-011-002</t>
        </is>
      </c>
      <c r="C14" s="10" t="n"/>
      <c r="D14" s="11" t="n"/>
      <c r="E14" s="46" t="inlineStr">
        <is>
          <t>NICHINO_ADMIN による購読者情報登録画面アクセス禁止</t>
        </is>
      </c>
      <c r="F14" s="10" t="n"/>
      <c r="G14" s="10" t="n"/>
      <c r="H14" s="10" t="n"/>
      <c r="I14" s="11" t="n"/>
      <c r="J14" s="46" t="inlineStr">
        <is>
          <t>・role: NICHINO_ADMIN
・ログイン済 + MFA認証済
・権限「dokusya.create」「dokusya.view」「dokusya.update」をいずれも持たない</t>
        </is>
      </c>
      <c r="K14" s="10" t="n"/>
      <c r="L14" s="10" t="n"/>
      <c r="M14" s="10" t="n"/>
      <c r="N14" s="10" t="n"/>
      <c r="O14" s="10" t="n"/>
      <c r="P14" s="11" t="n"/>
      <c r="Q14" s="46" t="inlineStr">
        <is>
          <r>
            <rPr>
              <rFont val="メイリオ"/>
              <b val="1"/>
              <sz val="10"/>
            </rPr>
            <t xml:space="preserve">ステップ1：
</t>
          </r>
          <r>
            <rPr>
              <rFont val="メイリオ"/>
              <sz val="10"/>
            </rPr>
            <t xml:space="preserve">メニュー画面を開き、購読者管理メニューが表示されないことを確認
</t>
          </r>
          <r>
            <rPr>
              <rFont val="メイリオ"/>
              <b val="1"/>
              <sz val="10"/>
            </rPr>
            <t xml:space="preserve">ステップ2：
</t>
          </r>
          <r>
            <rPr>
              <rFont val="メイリオ"/>
              <sz val="10"/>
            </rPr>
            <t xml:space="preserve">ブラウザのアドレスバーに `/dokusya/create` を入力し、直接アクセス
</t>
          </r>
          <r>
            <rPr>
              <rFont val="メイリオ"/>
              <b val="1"/>
              <sz val="10"/>
            </rPr>
            <t xml:space="preserve">ステップ3：
</t>
          </r>
          <r>
            <rPr>
              <rFont val="メイリオ"/>
              <sz val="10"/>
            </rPr>
            <t xml:space="preserve">DevTools の Network タブで POST `/api/v1/dokusya` を有効なリクエストボディで送信
</t>
          </r>
          <r>
            <rPr>
              <rFont val="メイリオ"/>
              <b val="1"/>
              <sz val="10"/>
            </rPr>
            <t xml:space="preserve">ステップ4：
</t>
          </r>
          <r>
            <rPr>
              <rFont val="メイリオ"/>
              <sz val="10"/>
            </rPr>
            <t xml:space="preserve">DBで以下クエリを実行し、ログを確認
</t>
          </r>
          <r>
            <rPr>
              <rFont val="メイリオ"/>
              <sz val="10"/>
            </rPr>
            <t xml:space="preserve">```sql
</t>
          </r>
          <r>
            <rPr>
              <rFont val="メイリオ"/>
              <sz val="10"/>
            </rPr>
            <t xml:space="preserve">SELECT * FROM t_log
</t>
          </r>
          <r>
            <rPr>
              <rFont val="メイリオ"/>
              <sz val="10"/>
            </rPr>
            <t xml:space="preserve">WHERE result_status = 2
</t>
          </r>
          <r>
            <rPr>
              <rFont val="メイリオ"/>
              <sz val="10"/>
            </rPr>
            <t xml:space="preserve">AND target_table = 't_dokusya'
</t>
          </r>
          <r>
            <rPr>
              <rFont val="メイリオ"/>
              <sz val="10"/>
            </rPr>
            <t xml:space="preserve">ORDER BY log_datetime DESC
</t>
          </r>
          <r>
            <rPr>
              <rFont val="メイリオ"/>
              <sz val="10"/>
            </rPr>
            <t xml:space="preserve">LIMIT 1;
</t>
          </r>
          <r>
            <rPr>
              <rFont val="メイリオ"/>
              <sz val="10"/>
            </rPr>
            <t>```</t>
          </r>
        </is>
      </c>
      <c r="R14" s="10" t="n"/>
      <c r="S14" s="10" t="n"/>
      <c r="T14" s="10" t="n"/>
      <c r="U14" s="10" t="n"/>
      <c r="V14" s="10" t="n"/>
      <c r="W14" s="11" t="n"/>
      <c r="X14" s="46" t="inlineStr">
        <is>
          <r>
            <rPr>
              <rFont val="メイリオ"/>
              <b val="1"/>
              <sz val="10"/>
            </rPr>
            <t xml:space="preserve">ステップ1：
</t>
          </r>
          <r>
            <rPr>
              <rFont val="メイリオ"/>
              <sz val="10"/>
            </rPr>
            <t xml:space="preserve">購読者管理メニューが表示されないこと
</t>
          </r>
          <r>
            <rPr>
              <rFont val="メイリオ"/>
              <b val="1"/>
              <sz val="10"/>
            </rPr>
            <t xml:space="preserve">ステップ2：
</t>
          </r>
          <r>
            <rPr>
              <rFont val="メイリオ"/>
              <sz val="10"/>
            </rPr>
            <t xml:space="preserve">トースト `アクセス権がありません。` が表示されること、かつ `/dashboard` へ遷移すること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ステップ4：
</t>
          </r>
          <r>
            <rPr>
              <rFont val="メイリオ"/>
              <sz val="10"/>
            </rPr>
            <t xml:space="preserve">・t_dokusya に新規データが登録されないこと
</t>
          </r>
          <r>
            <rPr>
              <rFont val="メイリオ"/>
              <sz val="10"/>
            </rPr>
            <t xml:space="preserve">・権限のないユーザーはアクセスできないこと
</t>
          </r>
          <r>
            <rPr>
              <rFont val="メイリオ"/>
              <b val="1"/>
              <sz val="10"/>
            </rPr>
            <t xml:space="preserve">補足：
</t>
          </r>
          <r>
            <rPr>
              <rFont val="メイリオ"/>
              <sz val="10"/>
            </rPr>
            <t xml:space="preserve">・フロントエンド側メニュー、フロントエンド側ルーターガード、バックエンド側 API ガードの3層すべてでアクセスが制御されること
</t>
          </r>
          <r>
            <rPr>
              <rFont val="メイリオ"/>
              <sz val="10"/>
            </rPr>
            <t>・`account_concept.md` 権限マトリクスにより NICHINO_ADMIN は購読者管理 ×</t>
          </r>
        </is>
      </c>
      <c r="Y14" s="10" t="n"/>
      <c r="Z14" s="10" t="n"/>
      <c r="AA14" s="10" t="n"/>
      <c r="AB14" s="10" t="n"/>
      <c r="AC14" s="10" t="n"/>
      <c r="AD14" s="11" t="n"/>
      <c r="AE14" s="45" t="inlineStr">
        <is>
          <t>A</t>
        </is>
      </c>
      <c r="AF14" s="11" t="n"/>
      <c r="AG14" s="45" t="inlineStr"/>
      <c r="AH14" s="10" t="n"/>
      <c r="AI14" s="11" t="n"/>
      <c r="AJ14" s="45" t="inlineStr"/>
      <c r="AK14" s="10" t="n"/>
      <c r="AL14" s="11" t="n"/>
      <c r="AM14" s="45" t="inlineStr"/>
      <c r="AN14" s="10" t="n"/>
      <c r="AO14" s="11" t="n"/>
      <c r="AP14" s="45" t="inlineStr"/>
      <c r="AQ14" s="10" t="n"/>
      <c r="AR14" s="11" t="n"/>
      <c r="AS14" s="45" t="inlineStr"/>
      <c r="AT14" s="10" t="n"/>
      <c r="AU14" s="11" t="n"/>
      <c r="AV14" s="45" t="inlineStr"/>
      <c r="AW14" s="10" t="n"/>
      <c r="AX14" s="11" t="n"/>
      <c r="AY14" s="45" t="inlineStr"/>
      <c r="AZ14" s="10" t="n"/>
      <c r="BA14" s="11" t="n"/>
      <c r="BB14" s="45" t="inlineStr"/>
      <c r="BC14" s="10" t="n"/>
      <c r="BD14" s="11" t="n"/>
      <c r="BE14" s="45" t="inlineStr"/>
      <c r="BF14" s="10" t="n"/>
      <c r="BG14" s="11" t="n"/>
      <c r="BH14" s="45" t="inlineStr"/>
      <c r="BI14" s="10" t="n"/>
      <c r="BJ14" s="11" t="n"/>
      <c r="BK14" s="46" t="inlineStr"/>
      <c r="BL14" s="10" t="n"/>
      <c r="BM14" s="10" t="n"/>
      <c r="BN14" s="10" t="n"/>
      <c r="BO14" s="10" t="n"/>
      <c r="BP14" s="10" t="n"/>
      <c r="BQ14" s="11" t="n"/>
    </row>
    <row r="15" ht="450" customHeight="1">
      <c r="A15" s="44" t="n">
        <v>3</v>
      </c>
      <c r="B15" s="46" t="inlineStr">
        <is>
          <t>ACSMS-TC-011-003</t>
        </is>
      </c>
      <c r="C15" s="10" t="n"/>
      <c r="D15" s="11" t="n"/>
      <c r="E15" s="46" t="inlineStr">
        <is>
          <t>NICHINO_STAFF による購読者情報登録画面アクセス禁止</t>
        </is>
      </c>
      <c r="F15" s="10" t="n"/>
      <c r="G15" s="10" t="n"/>
      <c r="H15" s="10" t="n"/>
      <c r="I15" s="11" t="n"/>
      <c r="J15" s="46" t="inlineStr">
        <is>
          <t>・role: NICHINO_STAFF
・ログイン済 + MFA認証済
・権限「dokusya.create」「dokusya.view」「dokusya.update」をいずれも持たない</t>
        </is>
      </c>
      <c r="K15" s="10" t="n"/>
      <c r="L15" s="10" t="n"/>
      <c r="M15" s="10" t="n"/>
      <c r="N15" s="10" t="n"/>
      <c r="O15" s="10" t="n"/>
      <c r="P15" s="11" t="n"/>
      <c r="Q15" s="46" t="inlineStr">
        <is>
          <r>
            <rPr>
              <rFont val="メイリオ"/>
              <b val="1"/>
              <sz val="10"/>
            </rPr>
            <t xml:space="preserve">ステップ1：
</t>
          </r>
          <r>
            <rPr>
              <rFont val="メイリオ"/>
              <sz val="10"/>
            </rPr>
            <t xml:space="preserve">ブラウザのアドレスバーに `/dokusya/create` を入力し、直接アクセス
</t>
          </r>
          <r>
            <rPr>
              <rFont val="メイリオ"/>
              <b val="1"/>
              <sz val="10"/>
            </rPr>
            <t xml:space="preserve">ステップ2：
</t>
          </r>
          <r>
            <rPr>
              <rFont val="メイリオ"/>
              <sz val="10"/>
            </rPr>
            <t xml:space="preserve">DevTools の Network タブで GET `/api/v1/dokusya/1` を直接呼び出し
</t>
          </r>
          <r>
            <rPr>
              <rFont val="メイリオ"/>
              <b val="1"/>
              <sz val="10"/>
            </rPr>
            <t xml:space="preserve">ステップ3：
</t>
          </r>
          <r>
            <rPr>
              <rFont val="メイリオ"/>
              <sz val="10"/>
            </rPr>
            <t>DevTools の Network タブで POST `/api/v1/dokusya` を有効なリクエストボディで送信</t>
          </r>
        </is>
      </c>
      <c r="R15" s="10" t="n"/>
      <c r="S15" s="10" t="n"/>
      <c r="T15" s="10" t="n"/>
      <c r="U15" s="10" t="n"/>
      <c r="V15" s="10" t="n"/>
      <c r="W15" s="11" t="n"/>
      <c r="X15" s="46" t="inlineStr">
        <is>
          <r>
            <rPr>
              <rFont val="メイリオ"/>
              <b val="1"/>
              <sz val="10"/>
            </rPr>
            <t xml:space="preserve">ステップ1：
</t>
          </r>
          <r>
            <rPr>
              <rFont val="メイリオ"/>
              <sz val="10"/>
            </rPr>
            <t xml:space="preserve">トースト `アクセス権がありません。` が表示されること、かつ `/dashboard` へ遷移すること
</t>
          </r>
          <r>
            <rPr>
              <rFont val="メイリオ"/>
              <b val="1"/>
              <sz val="10"/>
            </rPr>
            <t xml:space="preserve">ステップ2：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ステップ3：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 xml:space="preserve">・NICHINO_STAFF 自身は `dokusya.create` / `dokusya.view` / `dokusya.update` を持たないため本画面を直接利用できないこと
</t>
          </r>
          <r>
            <rPr>
              <rFont val="メイリオ"/>
              <sz val="10"/>
            </rPr>
            <t>・NICHINO_STAFF が販売店代行入力を行う場合はJAのアカウントを借りて操作する運用であり、本画面への直接アクセスは権限の対象外であること</t>
          </r>
        </is>
      </c>
      <c r="Y15" s="10" t="n"/>
      <c r="Z15" s="10" t="n"/>
      <c r="AA15" s="10" t="n"/>
      <c r="AB15" s="10" t="n"/>
      <c r="AC15" s="10" t="n"/>
      <c r="AD15" s="11" t="n"/>
      <c r="AE15" s="45" t="inlineStr">
        <is>
          <t>A</t>
        </is>
      </c>
      <c r="AF15" s="11" t="n"/>
      <c r="AG15" s="45" t="inlineStr"/>
      <c r="AH15" s="10" t="n"/>
      <c r="AI15" s="11" t="n"/>
      <c r="AJ15" s="45" t="inlineStr"/>
      <c r="AK15" s="10" t="n"/>
      <c r="AL15" s="11" t="n"/>
      <c r="AM15" s="45" t="inlineStr"/>
      <c r="AN15" s="10" t="n"/>
      <c r="AO15" s="11" t="n"/>
      <c r="AP15" s="45" t="inlineStr"/>
      <c r="AQ15" s="10" t="n"/>
      <c r="AR15" s="11" t="n"/>
      <c r="AS15" s="45" t="inlineStr"/>
      <c r="AT15" s="10" t="n"/>
      <c r="AU15" s="11" t="n"/>
      <c r="AV15" s="45" t="inlineStr"/>
      <c r="AW15" s="10" t="n"/>
      <c r="AX15" s="11" t="n"/>
      <c r="AY15" s="45" t="inlineStr"/>
      <c r="AZ15" s="10" t="n"/>
      <c r="BA15" s="11" t="n"/>
      <c r="BB15" s="45" t="inlineStr"/>
      <c r="BC15" s="10" t="n"/>
      <c r="BD15" s="11" t="n"/>
      <c r="BE15" s="45" t="inlineStr"/>
      <c r="BF15" s="10" t="n"/>
      <c r="BG15" s="11" t="n"/>
      <c r="BH15" s="45" t="inlineStr"/>
      <c r="BI15" s="10" t="n"/>
      <c r="BJ15" s="11" t="n"/>
      <c r="BK15" s="46" t="inlineStr"/>
      <c r="BL15" s="10" t="n"/>
      <c r="BM15" s="10" t="n"/>
      <c r="BN15" s="10" t="n"/>
      <c r="BO15" s="10" t="n"/>
      <c r="BP15" s="10" t="n"/>
      <c r="BQ15" s="11" t="n"/>
    </row>
    <row r="16" ht="450" customHeight="1">
      <c r="A16" s="44" t="n">
        <v>4</v>
      </c>
      <c r="B16" s="46" t="inlineStr">
        <is>
          <t>ACSMS-TC-011-004</t>
        </is>
      </c>
      <c r="C16" s="10" t="n"/>
      <c r="D16" s="11" t="n"/>
      <c r="E16" s="46" t="inlineStr">
        <is>
          <t>CHUOKAI による購読者登録・参照（自中央会スコープ）</t>
        </is>
      </c>
      <c r="F16" s="10" t="n"/>
      <c r="G16" s="10" t="n"/>
      <c r="H16" s="10" t="n"/>
      <c r="I16" s="11" t="n"/>
      <c r="J16" s="46" t="inlineStr">
        <is>
          <t>・role: CHUOKAI（chuokai-001 所属, ja_id=100）
・権限「dokusya.create」「dokusya.view」「dokusya.update」を持つ
・自中央会管轄JA（ja_id=100）の購読者が存在
・他中央会管轄JA（ja_id=200）の購読者が存在</t>
        </is>
      </c>
      <c r="K16" s="10" t="n"/>
      <c r="L16" s="10" t="n"/>
      <c r="M16" s="10" t="n"/>
      <c r="N16" s="10" t="n"/>
      <c r="O16" s="10" t="n"/>
      <c r="P16" s="11" t="n"/>
      <c r="Q16" s="46" t="inlineStr">
        <is>
          <r>
            <rPr>
              <rFont val="メイリオ"/>
              <b val="1"/>
              <sz val="10"/>
            </rPr>
            <t xml:space="preserve">ステップ1：
</t>
          </r>
          <r>
            <rPr>
              <rFont val="メイリオ"/>
              <sz val="10"/>
            </rPr>
            <t xml:space="preserve">ログイン後、購読者情報登録画面（新規作成モード）を開く
</t>
          </r>
          <r>
            <rPr>
              <rFont val="メイリオ"/>
              <b val="1"/>
              <sz val="10"/>
            </rPr>
            <t xml:space="preserve">ステップ2：
</t>
          </r>
          <r>
            <rPr>
              <rFont val="メイリオ"/>
              <sz val="10"/>
            </rPr>
            <t xml:space="preserve">管理支店・販売店プルダウンの選択肢を確認
</t>
          </r>
          <r>
            <rPr>
              <rFont val="メイリオ"/>
              <b val="1"/>
              <sz val="10"/>
            </rPr>
            <t xml:space="preserve">ステップ3：
</t>
          </r>
          <r>
            <rPr>
              <rFont val="メイリオ"/>
              <sz val="10"/>
            </rPr>
            <t xml:space="preserve">自中央会管轄JA（ja_id=100）の購読者を GET `/api/v1/dokusya/{dokusya_id}` で取得
</t>
          </r>
          <r>
            <rPr>
              <rFont val="メイリオ"/>
              <b val="1"/>
              <sz val="10"/>
            </rPr>
            <t xml:space="preserve">ステップ4：
</t>
          </r>
          <r>
            <rPr>
              <rFont val="メイリオ"/>
              <sz val="10"/>
            </rPr>
            <t>他中央会管轄JA（ja_id=200）の購読者IDで GET `/api/v1/dokusya/{他中央会dokusya_id}` を呼び出し</t>
          </r>
        </is>
      </c>
      <c r="R16" s="10" t="n"/>
      <c r="S16" s="10" t="n"/>
      <c r="T16" s="10" t="n"/>
      <c r="U16" s="10" t="n"/>
      <c r="V16" s="10" t="n"/>
      <c r="W16" s="11" t="n"/>
      <c r="X16" s="46" t="inlineStr">
        <is>
          <r>
            <rPr>
              <rFont val="メイリオ"/>
              <b val="1"/>
              <sz val="10"/>
            </rPr>
            <t xml:space="preserve">ステップ1：
</t>
          </r>
          <r>
            <rPr>
              <rFont val="メイリオ"/>
              <sz val="10"/>
            </rPr>
            <t xml:space="preserve">購読者情報登録画面が表示されること
</t>
          </r>
          <r>
            <rPr>
              <rFont val="メイリオ"/>
              <b val="1"/>
              <sz val="10"/>
            </rPr>
            <t xml:space="preserve">ステップ2：
</t>
          </r>
          <r>
            <rPr>
              <rFont val="メイリオ"/>
              <sz val="10"/>
            </rPr>
            <t xml:space="preserve">自中央会管轄の管理支店・販売店のみが選択肢に表示されること
</t>
          </r>
          <r>
            <rPr>
              <rFont val="メイリオ"/>
              <b val="1"/>
              <sz val="10"/>
            </rPr>
            <t xml:space="preserve">ステップ3：
</t>
          </r>
          <r>
            <rPr>
              <rFont val="メイリオ"/>
              <sz val="10"/>
            </rPr>
            <t xml:space="preserve">HTTPステータスコード200が返却されること（自中央会管轄JAの購読者データが取得できること）
</t>
          </r>
          <r>
            <rPr>
              <rFont val="メイリオ"/>
              <b val="1"/>
              <sz val="10"/>
            </rPr>
            <t xml:space="preserve">ステップ4：
</t>
          </r>
          <r>
            <rPr>
              <rFont val="メイリオ"/>
              <sz val="10"/>
            </rPr>
            <t xml:space="preserve">HTTPステータスコード404が返却されること（`error_code: NOT_FOUND`、メッセージ `指定された購読者が見つかりません。`）（他中央会のレコードは存在隠蔽されること）
</t>
          </r>
          <r>
            <rPr>
              <rFont val="メイリオ"/>
              <b val="1"/>
              <sz val="10"/>
            </rPr>
            <t xml:space="preserve">補足：
</t>
          </r>
          <r>
            <rPr>
              <rFont val="メイリオ"/>
              <sz val="10"/>
            </rPr>
            <t xml:space="preserve">・CHUOKAI は自中央会のみ参照・登録可能であること（管轄JAの読者個人情報は直接参照しない運用だが、システム上のスコープは自中央会管轄JAに限定）
</t>
          </r>
          <r>
            <rPr>
              <rFont val="メイリオ"/>
              <sz val="10"/>
            </rPr>
            <t>・DataScope 違反（他中央会のレコードへの参照アクセス）は404で存在隠蔽されること</t>
          </r>
        </is>
      </c>
      <c r="Y16" s="10" t="n"/>
      <c r="Z16" s="10" t="n"/>
      <c r="AA16" s="10" t="n"/>
      <c r="AB16" s="10" t="n"/>
      <c r="AC16" s="10" t="n"/>
      <c r="AD16" s="11" t="n"/>
      <c r="AE16" s="45" t="inlineStr">
        <is>
          <t>N</t>
        </is>
      </c>
      <c r="AF16" s="11" t="n"/>
      <c r="AG16" s="45" t="inlineStr"/>
      <c r="AH16" s="10" t="n"/>
      <c r="AI16" s="11" t="n"/>
      <c r="AJ16" s="45" t="inlineStr"/>
      <c r="AK16" s="10" t="n"/>
      <c r="AL16" s="11" t="n"/>
      <c r="AM16" s="45" t="inlineStr"/>
      <c r="AN16" s="10" t="n"/>
      <c r="AO16" s="11" t="n"/>
      <c r="AP16" s="45" t="inlineStr"/>
      <c r="AQ16" s="10" t="n"/>
      <c r="AR16" s="11" t="n"/>
      <c r="AS16" s="45" t="inlineStr"/>
      <c r="AT16" s="10" t="n"/>
      <c r="AU16" s="11" t="n"/>
      <c r="AV16" s="45" t="inlineStr"/>
      <c r="AW16" s="10" t="n"/>
      <c r="AX16" s="11" t="n"/>
      <c r="AY16" s="45" t="inlineStr"/>
      <c r="AZ16" s="10" t="n"/>
      <c r="BA16" s="11" t="n"/>
      <c r="BB16" s="45" t="inlineStr"/>
      <c r="BC16" s="10" t="n"/>
      <c r="BD16" s="11" t="n"/>
      <c r="BE16" s="45" t="inlineStr"/>
      <c r="BF16" s="10" t="n"/>
      <c r="BG16" s="11" t="n"/>
      <c r="BH16" s="45" t="inlineStr"/>
      <c r="BI16" s="10" t="n"/>
      <c r="BJ16" s="11" t="n"/>
      <c r="BK16" s="46" t="inlineStr"/>
      <c r="BL16" s="10" t="n"/>
      <c r="BM16" s="10" t="n"/>
      <c r="BN16" s="10" t="n"/>
      <c r="BO16" s="10" t="n"/>
      <c r="BP16" s="10" t="n"/>
      <c r="BQ16" s="11" t="n"/>
    </row>
    <row r="17" ht="450" customHeight="1">
      <c r="A17" s="44" t="n">
        <v>5</v>
      </c>
      <c r="B17" s="46" t="inlineStr">
        <is>
          <t>ACSMS-TC-011-005</t>
        </is>
      </c>
      <c r="C17" s="10" t="n"/>
      <c r="D17" s="11" t="n"/>
      <c r="E17" s="46" t="inlineStr">
        <is>
          <t>JA_HONTEN による購読者登録・参照（自JAスコープ）</t>
        </is>
      </c>
      <c r="F17" s="10" t="n"/>
      <c r="G17" s="10" t="n"/>
      <c r="H17" s="10" t="n"/>
      <c r="I17" s="11" t="n"/>
      <c r="J17" s="46" t="inlineStr">
        <is>
          <t>・role: JA_HONTEN（ja_id=100 所属）
・権限「dokusya.create」「dokusya.view」「dokusya.update」を持つ
・自JA（ja_id=100）の購読者が存在
・他JA（ja_id=200）の購読者が存在</t>
        </is>
      </c>
      <c r="K17" s="10" t="n"/>
      <c r="L17" s="10" t="n"/>
      <c r="M17" s="10" t="n"/>
      <c r="N17" s="10" t="n"/>
      <c r="O17" s="10" t="n"/>
      <c r="P17" s="11" t="n"/>
      <c r="Q17" s="46" t="inlineStr">
        <is>
          <r>
            <rPr>
              <rFont val="メイリオ"/>
              <b val="1"/>
              <sz val="10"/>
            </rPr>
            <t xml:space="preserve">ステップ1：
</t>
          </r>
          <r>
            <rPr>
              <rFont val="メイリオ"/>
              <sz val="10"/>
            </rPr>
            <t xml:space="preserve">ログイン後、購読者情報登録画面（新規作成モード）を開く
</t>
          </r>
          <r>
            <rPr>
              <rFont val="メイリオ"/>
              <b val="1"/>
              <sz val="10"/>
            </rPr>
            <t xml:space="preserve">ステップ2：
</t>
          </r>
          <r>
            <rPr>
              <rFont val="メイリオ"/>
              <sz val="10"/>
            </rPr>
            <t xml:space="preserve">自JA（ja_id=100）の購読者を GET `/api/v1/dokusya/{dokusya_id}` で取得
</t>
          </r>
          <r>
            <rPr>
              <rFont val="メイリオ"/>
              <b val="1"/>
              <sz val="10"/>
            </rPr>
            <t xml:space="preserve">ステップ3：
</t>
          </r>
          <r>
            <rPr>
              <rFont val="メイリオ"/>
              <sz val="10"/>
            </rPr>
            <t xml:space="preserve">他JA（ja_id=200）の購読者IDで GET `/api/v1/dokusya/{他JAdokusya_id}` を呼び出し
</t>
          </r>
          <r>
            <rPr>
              <rFont val="メイリオ"/>
              <b val="1"/>
              <sz val="10"/>
            </rPr>
            <t xml:space="preserve">ステップ4：
</t>
          </r>
          <r>
            <rPr>
              <rFont val="メイリオ"/>
              <sz val="10"/>
            </rPr>
            <t xml:space="preserve">DBで以下クエリを実行し、取得対象のスコープを確認
</t>
          </r>
          <r>
            <rPr>
              <rFont val="メイリオ"/>
              <sz val="10"/>
            </rPr>
            <t xml:space="preserve">```sql
</t>
          </r>
          <r>
            <rPr>
              <rFont val="メイリオ"/>
              <sz val="10"/>
            </rPr>
            <t xml:space="preserve">SELECT dokusya_id, ja_id FROM t_dokusya
</t>
          </r>
          <r>
            <rPr>
              <rFont val="メイリオ"/>
              <sz val="10"/>
            </rPr>
            <t xml:space="preserve">WHERE dokusya_id = :dokusya_id
</t>
          </r>
          <r>
            <rPr>
              <rFont val="メイリオ"/>
              <sz val="10"/>
            </rPr>
            <t xml:space="preserve">AND deleted_at IS NULL;
</t>
          </r>
          <r>
            <rPr>
              <rFont val="メイリオ"/>
              <sz val="10"/>
            </rPr>
            <t>```</t>
          </r>
        </is>
      </c>
      <c r="R17" s="10" t="n"/>
      <c r="S17" s="10" t="n"/>
      <c r="T17" s="10" t="n"/>
      <c r="U17" s="10" t="n"/>
      <c r="V17" s="10" t="n"/>
      <c r="W17" s="11" t="n"/>
      <c r="X17" s="46" t="inlineStr">
        <is>
          <r>
            <rPr>
              <rFont val="メイリオ"/>
              <b val="1"/>
              <sz val="10"/>
            </rPr>
            <t xml:space="preserve">ステップ1：
</t>
          </r>
          <r>
            <rPr>
              <rFont val="メイリオ"/>
              <sz val="10"/>
            </rPr>
            <t xml:space="preserve">購読者情報登録画面が表示されること
</t>
          </r>
          <r>
            <rPr>
              <rFont val="メイリオ"/>
              <b val="1"/>
              <sz val="10"/>
            </rPr>
            <t xml:space="preserve">ステップ2：
</t>
          </r>
          <r>
            <rPr>
              <rFont val="メイリオ"/>
              <sz val="10"/>
            </rPr>
            <t xml:space="preserve">HTTPステータスコード200が返却されること（自JA（ja_id=100）の購読者データが取得できること）
</t>
          </r>
          <r>
            <rPr>
              <rFont val="メイリオ"/>
              <b val="1"/>
              <sz val="10"/>
            </rPr>
            <t xml:space="preserve">ステップ3：
</t>
          </r>
          <r>
            <rPr>
              <rFont val="メイリオ"/>
              <sz val="10"/>
            </rPr>
            <t xml:space="preserve">HTTPステータスコード404が返却されること（`error_code: NOT_FOUND`、メッセージ `指定された購読者が見つかりません。`）（他JAのレコードは存在隠蔽されること）
</t>
          </r>
          <r>
            <rPr>
              <rFont val="メイリオ"/>
              <b val="1"/>
              <sz val="10"/>
            </rPr>
            <t xml:space="preserve">ステップ4：
</t>
          </r>
          <r>
            <rPr>
              <rFont val="メイリオ"/>
              <sz val="10"/>
            </rPr>
            <t xml:space="preserve">取得対象レコードの `ja_id` が 100（自JA）であること
</t>
          </r>
          <r>
            <rPr>
              <rFont val="メイリオ"/>
              <b val="1"/>
              <sz val="10"/>
            </rPr>
            <t xml:space="preserve">補足：
</t>
          </r>
          <r>
            <rPr>
              <rFont val="メイリオ"/>
              <sz val="10"/>
            </rPr>
            <t xml:space="preserve">・JA_HONTEN は自JA（`ja_id = user.ja_id`）のみ参照・登録可能であること
</t>
          </r>
          <r>
            <rPr>
              <rFont val="メイリオ"/>
              <sz val="10"/>
            </rPr>
            <t>・他JA（ja_id=200）のレコードへの参照アクセスは404で存在隠蔽されること</t>
          </r>
        </is>
      </c>
      <c r="Y17" s="10" t="n"/>
      <c r="Z17" s="10" t="n"/>
      <c r="AA17" s="10" t="n"/>
      <c r="AB17" s="10" t="n"/>
      <c r="AC17" s="10" t="n"/>
      <c r="AD17" s="11" t="n"/>
      <c r="AE17" s="45" t="inlineStr">
        <is>
          <t>N</t>
        </is>
      </c>
      <c r="AF17" s="11" t="n"/>
      <c r="AG17" s="45" t="inlineStr"/>
      <c r="AH17" s="10" t="n"/>
      <c r="AI17" s="11" t="n"/>
      <c r="AJ17" s="45" t="inlineStr"/>
      <c r="AK17" s="10" t="n"/>
      <c r="AL17" s="11" t="n"/>
      <c r="AM17" s="45" t="inlineStr"/>
      <c r="AN17" s="10" t="n"/>
      <c r="AO17" s="11" t="n"/>
      <c r="AP17" s="45" t="inlineStr"/>
      <c r="AQ17" s="10" t="n"/>
      <c r="AR17" s="11" t="n"/>
      <c r="AS17" s="45" t="inlineStr"/>
      <c r="AT17" s="10" t="n"/>
      <c r="AU17" s="11" t="n"/>
      <c r="AV17" s="45" t="inlineStr"/>
      <c r="AW17" s="10" t="n"/>
      <c r="AX17" s="11" t="n"/>
      <c r="AY17" s="45" t="inlineStr"/>
      <c r="AZ17" s="10" t="n"/>
      <c r="BA17" s="11" t="n"/>
      <c r="BB17" s="45" t="inlineStr"/>
      <c r="BC17" s="10" t="n"/>
      <c r="BD17" s="11" t="n"/>
      <c r="BE17" s="45" t="inlineStr"/>
      <c r="BF17" s="10" t="n"/>
      <c r="BG17" s="11" t="n"/>
      <c r="BH17" s="45" t="inlineStr"/>
      <c r="BI17" s="10" t="n"/>
      <c r="BJ17" s="11" t="n"/>
      <c r="BK17" s="46" t="inlineStr"/>
      <c r="BL17" s="10" t="n"/>
      <c r="BM17" s="10" t="n"/>
      <c r="BN17" s="10" t="n"/>
      <c r="BO17" s="10" t="n"/>
      <c r="BP17" s="10" t="n"/>
      <c r="BQ17" s="11" t="n"/>
    </row>
    <row r="18" ht="450" customHeight="1">
      <c r="A18" s="44" t="n">
        <v>6</v>
      </c>
      <c r="B18" s="46" t="inlineStr">
        <is>
          <t>ACSMS-TC-011-006</t>
        </is>
      </c>
      <c r="C18" s="10" t="n"/>
      <c r="D18" s="11" t="n"/>
      <c r="E18" s="46" t="inlineStr">
        <is>
          <t>JA_KANRI_SHITEN による購読者登録・参照（自管理支店スコープ）</t>
        </is>
      </c>
      <c r="F18" s="10" t="n"/>
      <c r="G18" s="10" t="n"/>
      <c r="H18" s="10" t="n"/>
      <c r="I18" s="11" t="n"/>
      <c r="J18" s="46" t="inlineStr">
        <is>
          <t>・role: JA_KANRI_SHITEN（ja_id=100 / kanri_shiten_id=10 所属）
・権限「dokusya.create」「dokusya.view」「dokusya.update」を持つ
・自管理支店（kanri_shiten_id=10）の購読者が存在
・他管理支店（kanri_shiten_id=11、同JA配下）の購読者が存在</t>
        </is>
      </c>
      <c r="K18" s="10" t="n"/>
      <c r="L18" s="10" t="n"/>
      <c r="M18" s="10" t="n"/>
      <c r="N18" s="10" t="n"/>
      <c r="O18" s="10" t="n"/>
      <c r="P18" s="11" t="n"/>
      <c r="Q18" s="46" t="inlineStr">
        <is>
          <r>
            <rPr>
              <rFont val="メイリオ"/>
              <b val="1"/>
              <sz val="10"/>
            </rPr>
            <t xml:space="preserve">ステップ1：
</t>
          </r>
          <r>
            <rPr>
              <rFont val="メイリオ"/>
              <sz val="10"/>
            </rPr>
            <t xml:space="preserve">ログイン後、購読者情報登録画面（新規作成モード）を開く
</t>
          </r>
          <r>
            <rPr>
              <rFont val="メイリオ"/>
              <b val="1"/>
              <sz val="10"/>
            </rPr>
            <t xml:space="preserve">ステップ2：
</t>
          </r>
          <r>
            <rPr>
              <rFont val="メイリオ"/>
              <sz val="10"/>
            </rPr>
            <t xml:space="preserve">自管理支店（kanri_shiten_id=10）の購読者を GET `/api/v1/dokusya/{dokusya_id}` で取得
</t>
          </r>
          <r>
            <rPr>
              <rFont val="メイリオ"/>
              <b val="1"/>
              <sz val="10"/>
            </rPr>
            <t xml:space="preserve">ステップ3：
</t>
          </r>
          <r>
            <rPr>
              <rFont val="メイリオ"/>
              <sz val="10"/>
            </rPr>
            <t xml:space="preserve">他管理支店（kanri_shiten_id=11）の購読者IDで GET `/api/v1/dokusya/{他管理支店dokusya_id}` を呼び出し
</t>
          </r>
          <r>
            <rPr>
              <rFont val="メイリオ"/>
              <b val="1"/>
              <sz val="10"/>
            </rPr>
            <t xml:space="preserve">ステップ4：
</t>
          </r>
          <r>
            <rPr>
              <rFont val="メイリオ"/>
              <sz val="10"/>
            </rPr>
            <t xml:space="preserve">DBで以下クエリを実行し、取得対象のスコープを確認
</t>
          </r>
          <r>
            <rPr>
              <rFont val="メイリオ"/>
              <sz val="10"/>
            </rPr>
            <t xml:space="preserve">```sql
</t>
          </r>
          <r>
            <rPr>
              <rFont val="メイリオ"/>
              <sz val="10"/>
            </rPr>
            <t xml:space="preserve">SELECT dokusya_id, ja_id, kanri_shiten_id FROM t_dokusya
</t>
          </r>
          <r>
            <rPr>
              <rFont val="メイリオ"/>
              <sz val="10"/>
            </rPr>
            <t xml:space="preserve">WHERE dokusya_id = :dokusya_id
</t>
          </r>
          <r>
            <rPr>
              <rFont val="メイリオ"/>
              <sz val="10"/>
            </rPr>
            <t xml:space="preserve">AND deleted_at IS NULL;
</t>
          </r>
          <r>
            <rPr>
              <rFont val="メイリオ"/>
              <sz val="10"/>
            </rPr>
            <t>```</t>
          </r>
        </is>
      </c>
      <c r="R18" s="10" t="n"/>
      <c r="S18" s="10" t="n"/>
      <c r="T18" s="10" t="n"/>
      <c r="U18" s="10" t="n"/>
      <c r="V18" s="10" t="n"/>
      <c r="W18" s="11" t="n"/>
      <c r="X18" s="46" t="inlineStr">
        <is>
          <r>
            <rPr>
              <rFont val="メイリオ"/>
              <b val="1"/>
              <sz val="10"/>
            </rPr>
            <t xml:space="preserve">ステップ1：
</t>
          </r>
          <r>
            <rPr>
              <rFont val="メイリオ"/>
              <sz val="10"/>
            </rPr>
            <t xml:space="preserve">購読者情報登録画面が表示されること
</t>
          </r>
          <r>
            <rPr>
              <rFont val="メイリオ"/>
              <b val="1"/>
              <sz val="10"/>
            </rPr>
            <t xml:space="preserve">ステップ2：
</t>
          </r>
          <r>
            <rPr>
              <rFont val="メイリオ"/>
              <sz val="10"/>
            </rPr>
            <t xml:space="preserve">HTTPステータスコード200が返却されること（自管理支店（kanri_shiten_id=10）の購読者データが取得できること）
</t>
          </r>
          <r>
            <rPr>
              <rFont val="メイリオ"/>
              <b val="1"/>
              <sz val="10"/>
            </rPr>
            <t xml:space="preserve">ステップ3：
</t>
          </r>
          <r>
            <rPr>
              <rFont val="メイリオ"/>
              <sz val="10"/>
            </rPr>
            <t xml:space="preserve">HTTPステータスコード404が返却されること（`error_code: NOT_FOUND`、メッセージ `指定された購読者が見つかりません。`）（他管理支店のレコードは存在隠蔽されること）
</t>
          </r>
          <r>
            <rPr>
              <rFont val="メイリオ"/>
              <b val="1"/>
              <sz val="10"/>
            </rPr>
            <t xml:space="preserve">ステップ4：
</t>
          </r>
          <r>
            <rPr>
              <rFont val="メイリオ"/>
              <sz val="10"/>
            </rPr>
            <t xml:space="preserve">取得対象レコードの `ja_id` が 100 かつ `kanri_shiten_id` が 10 であること
</t>
          </r>
          <r>
            <rPr>
              <rFont val="メイリオ"/>
              <b val="1"/>
              <sz val="10"/>
            </rPr>
            <t xml:space="preserve">補足：
</t>
          </r>
          <r>
            <rPr>
              <rFont val="メイリオ"/>
              <sz val="10"/>
            </rPr>
            <t xml:space="preserve">・JA_KANRI_SHITEN は自JA かつ自管理支店（`ja_id = user.ja_id AND kanri_shiten_id = user.kanri_shiten_id`）のみ参照・登録可能であること
</t>
          </r>
          <r>
            <rPr>
              <rFont val="メイリオ"/>
              <sz val="10"/>
            </rPr>
            <t>・他管理支店（kanri_shiten_id=11）のレコードへの参照アクセスは404で存在隠蔽されること</t>
          </r>
        </is>
      </c>
      <c r="Y18" s="10" t="n"/>
      <c r="Z18" s="10" t="n"/>
      <c r="AA18" s="10" t="n"/>
      <c r="AB18" s="10" t="n"/>
      <c r="AC18" s="10" t="n"/>
      <c r="AD18" s="11" t="n"/>
      <c r="AE18" s="45" t="inlineStr">
        <is>
          <t>N</t>
        </is>
      </c>
      <c r="AF18" s="11" t="n"/>
      <c r="AG18" s="45" t="inlineStr"/>
      <c r="AH18" s="10" t="n"/>
      <c r="AI18" s="11" t="n"/>
      <c r="AJ18" s="45" t="inlineStr"/>
      <c r="AK18" s="10" t="n"/>
      <c r="AL18" s="11" t="n"/>
      <c r="AM18" s="45" t="inlineStr"/>
      <c r="AN18" s="10" t="n"/>
      <c r="AO18" s="11" t="n"/>
      <c r="AP18" s="45" t="inlineStr"/>
      <c r="AQ18" s="10" t="n"/>
      <c r="AR18" s="11" t="n"/>
      <c r="AS18" s="45" t="inlineStr"/>
      <c r="AT18" s="10" t="n"/>
      <c r="AU18" s="11" t="n"/>
      <c r="AV18" s="45" t="inlineStr"/>
      <c r="AW18" s="10" t="n"/>
      <c r="AX18" s="11" t="n"/>
      <c r="AY18" s="45" t="inlineStr"/>
      <c r="AZ18" s="10" t="n"/>
      <c r="BA18" s="11" t="n"/>
      <c r="BB18" s="45" t="inlineStr"/>
      <c r="BC18" s="10" t="n"/>
      <c r="BD18" s="11" t="n"/>
      <c r="BE18" s="45" t="inlineStr"/>
      <c r="BF18" s="10" t="n"/>
      <c r="BG18" s="11" t="n"/>
      <c r="BH18" s="45" t="inlineStr"/>
      <c r="BI18" s="10" t="n"/>
      <c r="BJ18" s="11" t="n"/>
      <c r="BK18" s="46" t="inlineStr">
        <is>
          <t>(なし)
---</t>
        </is>
      </c>
      <c r="BL18" s="10" t="n"/>
      <c r="BM18" s="10" t="n"/>
      <c r="BN18" s="10" t="n"/>
      <c r="BO18" s="10" t="n"/>
      <c r="BP18" s="10" t="n"/>
      <c r="BQ18" s="11" t="n"/>
    </row>
    <row r="19" ht="22.5" customHeight="1">
      <c r="A19" s="32" t="inlineStr">
        <is>
          <t>画面表示（Layout &amp; Rendering）</t>
        </is>
      </c>
      <c r="B19" s="10" t="n"/>
      <c r="C19" s="10" t="n"/>
      <c r="D19" s="10" t="n"/>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c r="AA19" s="10" t="n"/>
      <c r="AB19" s="10" t="n"/>
      <c r="AC19" s="10" t="n"/>
      <c r="AD19" s="10" t="n"/>
      <c r="AE19" s="10" t="n"/>
      <c r="AF19" s="10" t="n"/>
      <c r="AG19" s="10" t="n"/>
      <c r="AH19" s="10" t="n"/>
      <c r="AI19" s="10" t="n"/>
      <c r="AJ19" s="10" t="n"/>
      <c r="AK19" s="10" t="n"/>
      <c r="AL19" s="10" t="n"/>
      <c r="AM19" s="10" t="n"/>
      <c r="AN19" s="10" t="n"/>
      <c r="AO19" s="10" t="n"/>
      <c r="AP19" s="10" t="n"/>
      <c r="AQ19" s="10" t="n"/>
      <c r="AR19" s="10" t="n"/>
      <c r="AS19" s="10" t="n"/>
      <c r="AT19" s="10" t="n"/>
      <c r="AU19" s="10" t="n"/>
      <c r="AV19" s="10" t="n"/>
      <c r="AW19" s="10" t="n"/>
      <c r="AX19" s="10" t="n"/>
      <c r="AY19" s="10" t="n"/>
      <c r="AZ19" s="10" t="n"/>
      <c r="BA19" s="10" t="n"/>
      <c r="BB19" s="10" t="n"/>
      <c r="BC19" s="10" t="n"/>
      <c r="BD19" s="10" t="n"/>
      <c r="BE19" s="10" t="n"/>
      <c r="BF19" s="10" t="n"/>
      <c r="BG19" s="10" t="n"/>
      <c r="BH19" s="10" t="n"/>
      <c r="BI19" s="10" t="n"/>
      <c r="BJ19" s="10" t="n"/>
      <c r="BK19" s="10" t="n"/>
      <c r="BL19" s="10" t="n"/>
      <c r="BM19" s="10" t="n"/>
      <c r="BN19" s="10" t="n"/>
      <c r="BO19" s="10" t="n"/>
      <c r="BP19" s="10" t="n"/>
      <c r="BQ19" s="11" t="n"/>
    </row>
    <row r="20" ht="384" customHeight="1">
      <c r="A20" s="44" t="n">
        <v>7</v>
      </c>
      <c r="B20" s="46" t="inlineStr">
        <is>
          <t>ACSMS-TC-011-007</t>
        </is>
      </c>
      <c r="C20" s="10" t="n"/>
      <c r="D20" s="11" t="n"/>
      <c r="E20" s="46" t="inlineStr">
        <is>
          <t>新規作成モード 全体レイアウトが設計仕様に一致</t>
        </is>
      </c>
      <c r="F20" s="10" t="n"/>
      <c r="G20" s="10" t="n"/>
      <c r="H20" s="10" t="n"/>
      <c r="I20" s="11" t="n"/>
      <c r="J20" s="46" t="inlineStr">
        <is>
          <t>・role: JA_HONTEN（ja_id=100 所属）
・ブラウザ: Chrome (latest), 解像度 1920×1080</t>
        </is>
      </c>
      <c r="K20" s="10" t="n"/>
      <c r="L20" s="10" t="n"/>
      <c r="M20" s="10" t="n"/>
      <c r="N20" s="10" t="n"/>
      <c r="O20" s="10" t="n"/>
      <c r="P20" s="11" t="n"/>
      <c r="Q20" s="46" t="inlineStr">
        <is>
          <r>
            <rPr>
              <rFont val="メイリオ"/>
              <b val="1"/>
              <sz val="10"/>
            </rPr>
            <t xml:space="preserve">ステップ1：
</t>
          </r>
          <r>
            <rPr>
              <rFont val="メイリオ"/>
              <sz val="10"/>
            </rPr>
            <t xml:space="preserve">ログイン後、購読者情報登録画面（新規作成モード）を開く
</t>
          </r>
          <r>
            <rPr>
              <rFont val="メイリオ"/>
              <b val="1"/>
              <sz val="10"/>
            </rPr>
            <t xml:space="preserve">ステップ2：
</t>
          </r>
          <r>
            <rPr>
              <rFont val="メイリオ"/>
              <sz val="10"/>
            </rPr>
            <t xml:space="preserve">設計仕様書（screen-design.md / index.html）と画面を並べて比較
</t>
          </r>
          <r>
            <rPr>
              <rFont val="メイリオ"/>
              <b val="1"/>
              <sz val="10"/>
            </rPr>
            <t xml:space="preserve">ステップ3：
</t>
          </r>
          <r>
            <rPr>
              <rFont val="メイリオ"/>
              <sz val="10"/>
            </rPr>
            <t>各セクション（基本情報・管理情報・購読者氏名・購読者情報・配達先情報・販売店郵送区分・支払方法・購読者層分類・購読期間・その他）の配置と各項目の表示を確認</t>
          </r>
        </is>
      </c>
      <c r="R20" s="10" t="n"/>
      <c r="S20" s="10" t="n"/>
      <c r="T20" s="10" t="n"/>
      <c r="U20" s="10" t="n"/>
      <c r="V20" s="10" t="n"/>
      <c r="W20" s="11" t="n"/>
      <c r="X20" s="46" t="inlineStr">
        <is>
          <r>
            <rPr>
              <rFont val="メイリオ"/>
              <b val="1"/>
              <sz val="10"/>
            </rPr>
            <t xml:space="preserve">ステップ1：
</t>
          </r>
          <r>
            <rPr>
              <rFont val="メイリオ"/>
              <sz val="10"/>
            </rPr>
            <t xml:space="preserve">購読者情報登録画面が表示されること
</t>
          </r>
          <r>
            <rPr>
              <rFont val="メイリオ"/>
              <b val="1"/>
              <sz val="10"/>
            </rPr>
            <t xml:space="preserve">ステップ2：
</t>
          </r>
          <r>
            <rPr>
              <rFont val="メイリオ"/>
              <sz val="10"/>
            </rPr>
            <t xml:space="preserve">背景色、フォント、フォントサイズ、padding/margin、ボタン色、カードスタイルがすべて設計仕様に一致すること
</t>
          </r>
          <r>
            <rPr>
              <rFont val="メイリオ"/>
              <b val="1"/>
              <sz val="10"/>
            </rPr>
            <t xml:space="preserve">ステップ3：
</t>
          </r>
          <r>
            <rPr>
              <rFont val="メイリオ"/>
              <sz val="10"/>
            </rPr>
            <t xml:space="preserve">設計仕様通りに各セクション・各項目が配置されていること
</t>
          </r>
          <r>
            <rPr>
              <rFont val="メイリオ"/>
              <b val="1"/>
              <sz val="10"/>
            </rPr>
            <t xml:space="preserve">補足：
</t>
          </r>
          <r>
            <rPr>
              <rFont val="メイリオ"/>
              <sz val="10"/>
            </rPr>
            <t xml:space="preserve">・新規作成モードでは電子版読者種別（denshi_dokusya_shubetsu）・履歴No（rireki_no）・ID（dokusya_rireki_id）が非表示であること
</t>
          </r>
          <r>
            <rPr>
              <rFont val="メイリオ"/>
              <sz val="10"/>
            </rPr>
            <t>・design tokens（`design-tokens.ts`）が適用されていること（ハードコードされた色がないこと）</t>
          </r>
        </is>
      </c>
      <c r="Y20" s="10" t="n"/>
      <c r="Z20" s="10" t="n"/>
      <c r="AA20" s="10" t="n"/>
      <c r="AB20" s="10" t="n"/>
      <c r="AC20" s="10" t="n"/>
      <c r="AD20" s="11" t="n"/>
      <c r="AE20" s="45" t="inlineStr">
        <is>
          <t>N</t>
        </is>
      </c>
      <c r="AF20" s="11" t="n"/>
      <c r="AG20" s="45" t="inlineStr"/>
      <c r="AH20" s="10" t="n"/>
      <c r="AI20" s="11" t="n"/>
      <c r="AJ20" s="45" t="inlineStr"/>
      <c r="AK20" s="10" t="n"/>
      <c r="AL20" s="11" t="n"/>
      <c r="AM20" s="45" t="inlineStr"/>
      <c r="AN20" s="10" t="n"/>
      <c r="AO20" s="11" t="n"/>
      <c r="AP20" s="45" t="inlineStr"/>
      <c r="AQ20" s="10" t="n"/>
      <c r="AR20" s="11" t="n"/>
      <c r="AS20" s="45" t="inlineStr"/>
      <c r="AT20" s="10" t="n"/>
      <c r="AU20" s="11" t="n"/>
      <c r="AV20" s="45" t="inlineStr"/>
      <c r="AW20" s="10" t="n"/>
      <c r="AX20" s="11" t="n"/>
      <c r="AY20" s="45" t="inlineStr"/>
      <c r="AZ20" s="10" t="n"/>
      <c r="BA20" s="11" t="n"/>
      <c r="BB20" s="45" t="inlineStr"/>
      <c r="BC20" s="10" t="n"/>
      <c r="BD20" s="11" t="n"/>
      <c r="BE20" s="45" t="inlineStr"/>
      <c r="BF20" s="10" t="n"/>
      <c r="BG20" s="11" t="n"/>
      <c r="BH20" s="45" t="inlineStr"/>
      <c r="BI20" s="10" t="n"/>
      <c r="BJ20" s="11" t="n"/>
      <c r="BK20" s="46" t="inlineStr"/>
      <c r="BL20" s="10" t="n"/>
      <c r="BM20" s="10" t="n"/>
      <c r="BN20" s="10" t="n"/>
      <c r="BO20" s="10" t="n"/>
      <c r="BP20" s="10" t="n"/>
      <c r="BQ20" s="11" t="n"/>
    </row>
    <row r="21" ht="272" customHeight="1">
      <c r="A21" s="44" t="n">
        <v>8</v>
      </c>
      <c r="B21" s="46" t="inlineStr">
        <is>
          <t>ACSMS-TC-011-008</t>
        </is>
      </c>
      <c r="C21" s="10" t="n"/>
      <c r="D21" s="11" t="n"/>
      <c r="E21" s="46" t="inlineStr">
        <is>
          <t>ヘッダー・パンくず表示</t>
        </is>
      </c>
      <c r="F21" s="10" t="n"/>
      <c r="G21" s="10" t="n"/>
      <c r="H21" s="10" t="n"/>
      <c r="I21" s="11" t="n"/>
      <c r="J21" s="46" t="inlineStr">
        <is>
          <t>・role: JA_HONTEN（ja_id=100 所属）
・ログイン済 + MFA認証済</t>
        </is>
      </c>
      <c r="K21" s="10" t="n"/>
      <c r="L21" s="10" t="n"/>
      <c r="M21" s="10" t="n"/>
      <c r="N21" s="10" t="n"/>
      <c r="O21" s="10" t="n"/>
      <c r="P21" s="11" t="n"/>
      <c r="Q21" s="46" t="inlineStr">
        <is>
          <r>
            <rPr>
              <rFont val="メイリオ"/>
              <b val="1"/>
              <sz val="10"/>
            </rPr>
            <t xml:space="preserve">ステップ1：
</t>
          </r>
          <r>
            <rPr>
              <rFont val="メイリオ"/>
              <sz val="10"/>
            </rPr>
            <t xml:space="preserve">画面上部のヘッダータイトルとパンくずリストを確認
</t>
          </r>
          <r>
            <rPr>
              <rFont val="メイリオ"/>
              <b val="1"/>
              <sz val="10"/>
            </rPr>
            <t xml:space="preserve">ステップ2：
</t>
          </r>
          <r>
            <rPr>
              <rFont val="メイリオ"/>
              <sz val="10"/>
            </rPr>
            <t>パンくずの中間ノード（購読者明細検索）を押下</t>
          </r>
        </is>
      </c>
      <c r="R21" s="10" t="n"/>
      <c r="S21" s="10" t="n"/>
      <c r="T21" s="10" t="n"/>
      <c r="U21" s="10" t="n"/>
      <c r="V21" s="10" t="n"/>
      <c r="W21" s="11" t="n"/>
      <c r="X21" s="46" t="inlineStr">
        <is>
          <r>
            <rPr>
              <rFont val="メイリオ"/>
              <b val="1"/>
              <sz val="10"/>
            </rPr>
            <t xml:space="preserve">ステップ1：
</t>
          </r>
          <r>
            <rPr>
              <rFont val="メイリオ"/>
              <sz val="10"/>
            </rPr>
            <t xml:space="preserve">ヘッダーに「購読者情報登録画面」が表示されること、パンくずに「ホーム &gt; 購読者明細検索 &gt; 購読者情報登録画面」が表示されること
</t>
          </r>
          <r>
            <rPr>
              <rFont val="メイリオ"/>
              <b val="1"/>
              <sz val="10"/>
            </rPr>
            <t xml:space="preserve">ステップ2：
</t>
          </r>
          <r>
            <rPr>
              <rFont val="メイリオ"/>
              <sz val="10"/>
            </rPr>
            <t xml:space="preserve">購読者明細検索画面へ遷移すること
</t>
          </r>
          <r>
            <rPr>
              <rFont val="メイリオ"/>
              <b val="1"/>
              <sz val="10"/>
            </rPr>
            <t xml:space="preserve">補足：
</t>
          </r>
          <r>
            <rPr>
              <rFont val="メイリオ"/>
              <sz val="10"/>
            </rPr>
            <t xml:space="preserve">・パンくずの中間ノード（購読者明細検索）はリンクであり押下可能であること
</t>
          </r>
          <r>
            <rPr>
              <rFont val="メイリオ"/>
              <sz val="10"/>
            </rPr>
            <t>・現在ページ（購読者情報登録画面）はリンクではないこと</t>
          </r>
        </is>
      </c>
      <c r="Y21" s="10" t="n"/>
      <c r="Z21" s="10" t="n"/>
      <c r="AA21" s="10" t="n"/>
      <c r="AB21" s="10" t="n"/>
      <c r="AC21" s="10" t="n"/>
      <c r="AD21" s="11" t="n"/>
      <c r="AE21" s="45" t="inlineStr">
        <is>
          <t>N</t>
        </is>
      </c>
      <c r="AF21" s="11" t="n"/>
      <c r="AG21" s="45" t="inlineStr"/>
      <c r="AH21" s="10" t="n"/>
      <c r="AI21" s="11" t="n"/>
      <c r="AJ21" s="45" t="inlineStr"/>
      <c r="AK21" s="10" t="n"/>
      <c r="AL21" s="11" t="n"/>
      <c r="AM21" s="45" t="inlineStr"/>
      <c r="AN21" s="10" t="n"/>
      <c r="AO21" s="11" t="n"/>
      <c r="AP21" s="45" t="inlineStr"/>
      <c r="AQ21" s="10" t="n"/>
      <c r="AR21" s="11" t="n"/>
      <c r="AS21" s="45" t="inlineStr"/>
      <c r="AT21" s="10" t="n"/>
      <c r="AU21" s="11" t="n"/>
      <c r="AV21" s="45" t="inlineStr"/>
      <c r="AW21" s="10" t="n"/>
      <c r="AX21" s="11" t="n"/>
      <c r="AY21" s="45" t="inlineStr"/>
      <c r="AZ21" s="10" t="n"/>
      <c r="BA21" s="11" t="n"/>
      <c r="BB21" s="45" t="inlineStr"/>
      <c r="BC21" s="10" t="n"/>
      <c r="BD21" s="11" t="n"/>
      <c r="BE21" s="45" t="inlineStr"/>
      <c r="BF21" s="10" t="n"/>
      <c r="BG21" s="11" t="n"/>
      <c r="BH21" s="45" t="inlineStr"/>
      <c r="BI21" s="10" t="n"/>
      <c r="BJ21" s="11" t="n"/>
      <c r="BK21" s="46" t="inlineStr"/>
      <c r="BL21" s="10" t="n"/>
      <c r="BM21" s="10" t="n"/>
      <c r="BN21" s="10" t="n"/>
      <c r="BO21" s="10" t="n"/>
      <c r="BP21" s="10" t="n"/>
      <c r="BQ21" s="11" t="n"/>
    </row>
    <row r="22" ht="450" customHeight="1">
      <c r="A22" s="44" t="n">
        <v>9</v>
      </c>
      <c r="B22" s="46" t="inlineStr">
        <is>
          <t>ACSMS-TC-011-009</t>
        </is>
      </c>
      <c r="C22" s="10" t="n"/>
      <c r="D22" s="11" t="n"/>
      <c r="E22" s="46" t="inlineStr">
        <is>
          <t>購読種別・支払方法による配達先／口座入力エリアの表示切替</t>
        </is>
      </c>
      <c r="F22" s="10" t="n"/>
      <c r="G22" s="10" t="n"/>
      <c r="H22" s="10" t="n"/>
      <c r="I22" s="11" t="n"/>
      <c r="J22" s="46" t="inlineStr">
        <is>
          <t>・role: JA_HONTEN（ja_id=100 所属）
・購読者情報登録画面（新規作成モード）を開いた状態</t>
        </is>
      </c>
      <c r="K22" s="10" t="n"/>
      <c r="L22" s="10" t="n"/>
      <c r="M22" s="10" t="n"/>
      <c r="N22" s="10" t="n"/>
      <c r="O22" s="10" t="n"/>
      <c r="P22" s="11" t="n"/>
      <c r="Q22" s="46" t="inlineStr">
        <is>
          <r>
            <rPr>
              <rFont val="メイリオ"/>
              <b val="1"/>
              <sz val="10"/>
            </rPr>
            <t xml:space="preserve">ステップ1：
</t>
          </r>
          <r>
            <rPr>
              <rFont val="メイリオ"/>
              <sz val="10"/>
            </rPr>
            <t xml:space="preserve">購読種別（dokusya_shubetsu）で「電子版」を選択
</t>
          </r>
          <r>
            <rPr>
              <rFont val="メイリオ"/>
              <b val="1"/>
              <sz val="10"/>
            </rPr>
            <t xml:space="preserve">ステップ2：
</t>
          </r>
          <r>
            <rPr>
              <rFont val="メイリオ"/>
              <sz val="10"/>
            </rPr>
            <t xml:space="preserve">購読種別で「紙版」を選択し直し、支払方法（shiharai_hoho）で「口座引落」を選択
</t>
          </r>
          <r>
            <rPr>
              <rFont val="メイリオ"/>
              <b val="1"/>
              <sz val="10"/>
            </rPr>
            <t xml:space="preserve">ステップ3：
</t>
          </r>
          <r>
            <rPr>
              <rFont val="メイリオ"/>
              <sz val="10"/>
            </rPr>
            <t>支払方法を「現金集金」に変更</t>
          </r>
        </is>
      </c>
      <c r="R22" s="10" t="n"/>
      <c r="S22" s="10" t="n"/>
      <c r="T22" s="10" t="n"/>
      <c r="U22" s="10" t="n"/>
      <c r="V22" s="10" t="n"/>
      <c r="W22" s="11" t="n"/>
      <c r="X22" s="46" t="inlineStr">
        <is>
          <r>
            <rPr>
              <rFont val="メイリオ"/>
              <b val="1"/>
              <sz val="10"/>
            </rPr>
            <t xml:space="preserve">ステップ1：
</t>
          </r>
          <r>
            <rPr>
              <rFont val="メイリオ"/>
              <sz val="10"/>
            </rPr>
            <t xml:space="preserve">配達先情報エリアが非活性状態で表示されること、メールアドレス（email）が必須項目として表示されること
</t>
          </r>
          <r>
            <rPr>
              <rFont val="メイリオ"/>
              <b val="1"/>
              <sz val="10"/>
            </rPr>
            <t xml:space="preserve">ステップ2：
</t>
          </r>
          <r>
            <rPr>
              <rFont val="メイリオ"/>
              <sz val="10"/>
            </rPr>
            <t xml:space="preserve">配達先情報エリアが活性状態で表示されること、引落口座支店（bank_shiten_id）・引落口座貯金種目（hikiotoshi_yokin_shubetsu）・引落口座番号（hikiotoshi_koza_no）・引落口座名義（hikiotoshi_koza_meigi）が必須項目として表示されること
</t>
          </r>
          <r>
            <rPr>
              <rFont val="メイリオ"/>
              <b val="1"/>
              <sz val="10"/>
            </rPr>
            <t xml:space="preserve">ステップ3：
</t>
          </r>
          <r>
            <rPr>
              <rFont val="メイリオ"/>
              <sz val="10"/>
            </rPr>
            <t xml:space="preserve">引落口座支店・引落口座貯金種目・引落口座番号・引落口座名義が任意項目として表示されること
</t>
          </r>
          <r>
            <rPr>
              <rFont val="メイリオ"/>
              <b val="1"/>
              <sz val="10"/>
            </rPr>
            <t xml:space="preserve">補足：
</t>
          </r>
          <r>
            <rPr>
              <rFont val="メイリオ"/>
              <sz val="10"/>
            </rPr>
            <t xml:space="preserve">・購読種別が「電子版」または「併読」の場合、配達先情報エリアを非活性化すること（機能定義 §7.5）
</t>
          </r>
          <r>
            <rPr>
              <rFont val="メイリオ"/>
              <sz val="10"/>
            </rPr>
            <t>・支払方法=口座引落（shiharai_hoho=1）の場合のみ引落口座クラスタが必須となること（機能定義 §10.1）</t>
          </r>
        </is>
      </c>
      <c r="Y22" s="10" t="n"/>
      <c r="Z22" s="10" t="n"/>
      <c r="AA22" s="10" t="n"/>
      <c r="AB22" s="10" t="n"/>
      <c r="AC22" s="10" t="n"/>
      <c r="AD22" s="11" t="n"/>
      <c r="AE22" s="45" t="inlineStr">
        <is>
          <t>N</t>
        </is>
      </c>
      <c r="AF22" s="11" t="n"/>
      <c r="AG22" s="45" t="inlineStr"/>
      <c r="AH22" s="10" t="n"/>
      <c r="AI22" s="11" t="n"/>
      <c r="AJ22" s="45" t="inlineStr"/>
      <c r="AK22" s="10" t="n"/>
      <c r="AL22" s="11" t="n"/>
      <c r="AM22" s="45" t="inlineStr"/>
      <c r="AN22" s="10" t="n"/>
      <c r="AO22" s="11" t="n"/>
      <c r="AP22" s="45" t="inlineStr"/>
      <c r="AQ22" s="10" t="n"/>
      <c r="AR22" s="11" t="n"/>
      <c r="AS22" s="45" t="inlineStr"/>
      <c r="AT22" s="10" t="n"/>
      <c r="AU22" s="11" t="n"/>
      <c r="AV22" s="45" t="inlineStr"/>
      <c r="AW22" s="10" t="n"/>
      <c r="AX22" s="11" t="n"/>
      <c r="AY22" s="45" t="inlineStr"/>
      <c r="AZ22" s="10" t="n"/>
      <c r="BA22" s="11" t="n"/>
      <c r="BB22" s="45" t="inlineStr"/>
      <c r="BC22" s="10" t="n"/>
      <c r="BD22" s="11" t="n"/>
      <c r="BE22" s="45" t="inlineStr"/>
      <c r="BF22" s="10" t="n"/>
      <c r="BG22" s="11" t="n"/>
      <c r="BH22" s="45" t="inlineStr"/>
      <c r="BI22" s="10" t="n"/>
      <c r="BJ22" s="11" t="n"/>
      <c r="BK22" s="46" t="inlineStr"/>
      <c r="BL22" s="10" t="n"/>
      <c r="BM22" s="10" t="n"/>
      <c r="BN22" s="10" t="n"/>
      <c r="BO22" s="10" t="n"/>
      <c r="BP22" s="10" t="n"/>
      <c r="BQ22" s="11" t="n"/>
    </row>
    <row r="23" ht="352" customHeight="1">
      <c r="A23" s="44" t="n">
        <v>10</v>
      </c>
      <c r="B23" s="46" t="inlineStr">
        <is>
          <t>ACSMS-TC-011-010</t>
        </is>
      </c>
      <c r="C23" s="10" t="n"/>
      <c r="D23" s="11" t="n"/>
      <c r="E23" s="46" t="inlineStr">
        <is>
          <t>手続種類「解約」選択時の購読部数固定表示</t>
        </is>
      </c>
      <c r="F23" s="10" t="n"/>
      <c r="G23" s="10" t="n"/>
      <c r="H23" s="10" t="n"/>
      <c r="I23" s="11" t="n"/>
      <c r="J23" s="46" t="inlineStr">
        <is>
          <t>・role: JA_HONTEN（ja_id=100 所属）
・購読者情報登録画面（新規作成モード）を開いた状態</t>
        </is>
      </c>
      <c r="K23" s="10" t="n"/>
      <c r="L23" s="10" t="n"/>
      <c r="M23" s="10" t="n"/>
      <c r="N23" s="10" t="n"/>
      <c r="O23" s="10" t="n"/>
      <c r="P23" s="11" t="n"/>
      <c r="Q23" s="46" t="inlineStr">
        <is>
          <r>
            <rPr>
              <rFont val="メイリオ"/>
              <b val="1"/>
              <sz val="10"/>
            </rPr>
            <t xml:space="preserve">ステップ1：
</t>
          </r>
          <r>
            <rPr>
              <rFont val="メイリオ"/>
              <sz val="10"/>
            </rPr>
            <t xml:space="preserve">手続種類（tetsuzuki_shurui）で「解約」を選択
</t>
          </r>
          <r>
            <rPr>
              <rFont val="メイリオ"/>
              <b val="1"/>
              <sz val="10"/>
            </rPr>
            <t xml:space="preserve">ステップ2：
</t>
          </r>
          <r>
            <rPr>
              <rFont val="メイリオ"/>
              <sz val="10"/>
            </rPr>
            <t xml:space="preserve">購読部数（dokusya_busu）と購読中止日（dokusya_chushi_date）の表示・入力可否を確認
</t>
          </r>
          <r>
            <rPr>
              <rFont val="メイリオ"/>
              <b val="1"/>
              <sz val="10"/>
            </rPr>
            <t xml:space="preserve">ステップ3：
</t>
          </r>
          <r>
            <rPr>
              <rFont val="メイリオ"/>
              <sz val="10"/>
            </rPr>
            <t>手続種類で「新規」を選択し直し、購読部数の入力可否を確認</t>
          </r>
        </is>
      </c>
      <c r="R23" s="10" t="n"/>
      <c r="S23" s="10" t="n"/>
      <c r="T23" s="10" t="n"/>
      <c r="U23" s="10" t="n"/>
      <c r="V23" s="10" t="n"/>
      <c r="W23" s="11" t="n"/>
      <c r="X23" s="46" t="inlineStr">
        <is>
          <r>
            <rPr>
              <rFont val="メイリオ"/>
              <b val="1"/>
              <sz val="10"/>
            </rPr>
            <t xml:space="preserve">ステップ1：
</t>
          </r>
          <r>
            <rPr>
              <rFont val="メイリオ"/>
              <sz val="10"/>
            </rPr>
            <t xml:space="preserve">手続種類が「解約」として選択されること
</t>
          </r>
          <r>
            <rPr>
              <rFont val="メイリオ"/>
              <b val="1"/>
              <sz val="10"/>
            </rPr>
            <t xml:space="preserve">ステップ2：
</t>
          </r>
          <r>
            <rPr>
              <rFont val="メイリオ"/>
              <sz val="10"/>
            </rPr>
            <t xml:space="preserve">購読部数（dokusya_busu）が0かつ読み取り専用で表示されること、購読中止日（dokusya_chushi_date）が入力可能で表示されること
</t>
          </r>
          <r>
            <rPr>
              <rFont val="メイリオ"/>
              <b val="1"/>
              <sz val="10"/>
            </rPr>
            <t xml:space="preserve">ステップ3：
</t>
          </r>
          <r>
            <rPr>
              <rFont val="メイリオ"/>
              <sz val="10"/>
            </rPr>
            <t xml:space="preserve">購読部数（dokusya_busu）が入力可能で表示されること
</t>
          </r>
          <r>
            <rPr>
              <rFont val="メイリオ"/>
              <b val="1"/>
              <sz val="10"/>
            </rPr>
            <t xml:space="preserve">補足：
</t>
          </r>
          <r>
            <rPr>
              <rFont val="メイリオ"/>
              <sz val="10"/>
            </rPr>
            <t xml:space="preserve">・手続種類=解約（tetsuzuki_shurui=0）の場合、購読部数を0に固定すること（機能定義 §8.1）
</t>
          </r>
          <r>
            <rPr>
              <rFont val="メイリオ"/>
              <sz val="10"/>
            </rPr>
            <t>・登録時に解約の場合は kaiyaku_flg=TRUE が設定されること</t>
          </r>
        </is>
      </c>
      <c r="Y23" s="10" t="n"/>
      <c r="Z23" s="10" t="n"/>
      <c r="AA23" s="10" t="n"/>
      <c r="AB23" s="10" t="n"/>
      <c r="AC23" s="10" t="n"/>
      <c r="AD23" s="11" t="n"/>
      <c r="AE23" s="45" t="inlineStr">
        <is>
          <t>N</t>
        </is>
      </c>
      <c r="AF23" s="11" t="n"/>
      <c r="AG23" s="45" t="inlineStr"/>
      <c r="AH23" s="10" t="n"/>
      <c r="AI23" s="11" t="n"/>
      <c r="AJ23" s="45" t="inlineStr"/>
      <c r="AK23" s="10" t="n"/>
      <c r="AL23" s="11" t="n"/>
      <c r="AM23" s="45" t="inlineStr"/>
      <c r="AN23" s="10" t="n"/>
      <c r="AO23" s="11" t="n"/>
      <c r="AP23" s="45" t="inlineStr"/>
      <c r="AQ23" s="10" t="n"/>
      <c r="AR23" s="11" t="n"/>
      <c r="AS23" s="45" t="inlineStr"/>
      <c r="AT23" s="10" t="n"/>
      <c r="AU23" s="11" t="n"/>
      <c r="AV23" s="45" t="inlineStr"/>
      <c r="AW23" s="10" t="n"/>
      <c r="AX23" s="11" t="n"/>
      <c r="AY23" s="45" t="inlineStr"/>
      <c r="AZ23" s="10" t="n"/>
      <c r="BA23" s="11" t="n"/>
      <c r="BB23" s="45" t="inlineStr"/>
      <c r="BC23" s="10" t="n"/>
      <c r="BD23" s="11" t="n"/>
      <c r="BE23" s="45" t="inlineStr"/>
      <c r="BF23" s="10" t="n"/>
      <c r="BG23" s="11" t="n"/>
      <c r="BH23" s="45" t="inlineStr"/>
      <c r="BI23" s="10" t="n"/>
      <c r="BJ23" s="11" t="n"/>
      <c r="BK23" s="46" t="inlineStr"/>
      <c r="BL23" s="10" t="n"/>
      <c r="BM23" s="10" t="n"/>
      <c r="BN23" s="10" t="n"/>
      <c r="BO23" s="10" t="n"/>
      <c r="BP23" s="10" t="n"/>
      <c r="BQ23" s="11" t="n"/>
    </row>
    <row r="24" ht="432" customHeight="1">
      <c r="A24" s="44" t="n">
        <v>11</v>
      </c>
      <c r="B24" s="46" t="inlineStr">
        <is>
          <t>ACSMS-TC-011-011</t>
        </is>
      </c>
      <c r="C24" s="10" t="n"/>
      <c r="D24" s="11" t="n"/>
      <c r="E24" s="46" t="inlineStr">
        <is>
          <t>「購読者情報と同じ」チェックによる配達先項目の非活性化とクリア</t>
        </is>
      </c>
      <c r="F24" s="10" t="n"/>
      <c r="G24" s="10" t="n"/>
      <c r="H24" s="10" t="n"/>
      <c r="I24" s="11" t="n"/>
      <c r="J24" s="46" t="inlineStr">
        <is>
          <t>・role: JA_HONTEN（ja_id=100 所属）
・購読種別=紙版
・配達先項目（haitatsu_yubin_no 等）に値が入力済み</t>
        </is>
      </c>
      <c r="K24" s="10" t="n"/>
      <c r="L24" s="10" t="n"/>
      <c r="M24" s="10" t="n"/>
      <c r="N24" s="10" t="n"/>
      <c r="O24" s="10" t="n"/>
      <c r="P24" s="11" t="n"/>
      <c r="Q24" s="46" t="inlineStr">
        <is>
          <r>
            <rPr>
              <rFont val="メイリオ"/>
              <b val="1"/>
              <sz val="10"/>
            </rPr>
            <t xml:space="preserve">ステップ1：
</t>
          </r>
          <r>
            <rPr>
              <rFont val="メイリオ"/>
              <sz val="10"/>
            </rPr>
            <t xml:space="preserve">「購読者情報と同じ」（haitatsu_same_flg）チェックボックスをチェック
</t>
          </r>
          <r>
            <rPr>
              <rFont val="メイリオ"/>
              <b val="1"/>
              <sz val="10"/>
            </rPr>
            <t xml:space="preserve">ステップ2：
</t>
          </r>
          <r>
            <rPr>
              <rFont val="メイリオ"/>
              <sz val="10"/>
            </rPr>
            <t xml:space="preserve">配達先郵便番号（haitatsu_yubin_no）・配達先都道府県（haitatsu_todofuken_code）・配達先苗字漢字（haitatsu_shimei_sei）等の表示・値を確認
</t>
          </r>
          <r>
            <rPr>
              <rFont val="メイリオ"/>
              <b val="1"/>
              <sz val="10"/>
            </rPr>
            <t xml:space="preserve">ステップ3：
</t>
          </r>
          <r>
            <rPr>
              <rFont val="メイリオ"/>
              <sz val="10"/>
            </rPr>
            <t>チェックを解除し、各配達先項目の活性状態を確認</t>
          </r>
        </is>
      </c>
      <c r="R24" s="10" t="n"/>
      <c r="S24" s="10" t="n"/>
      <c r="T24" s="10" t="n"/>
      <c r="U24" s="10" t="n"/>
      <c r="V24" s="10" t="n"/>
      <c r="W24" s="11" t="n"/>
      <c r="X24" s="46" t="inlineStr">
        <is>
          <r>
            <rPr>
              <rFont val="メイリオ"/>
              <b val="1"/>
              <sz val="10"/>
            </rPr>
            <t xml:space="preserve">ステップ1：
</t>
          </r>
          <r>
            <rPr>
              <rFont val="メイリオ"/>
              <sz val="10"/>
            </rPr>
            <t xml:space="preserve">「購読者情報と同じ」がチェック状態となること
</t>
          </r>
          <r>
            <rPr>
              <rFont val="メイリオ"/>
              <b val="1"/>
              <sz val="10"/>
            </rPr>
            <t xml:space="preserve">ステップ2：
</t>
          </r>
          <r>
            <rPr>
              <rFont val="メイリオ"/>
              <sz val="10"/>
            </rPr>
            <t xml:space="preserve">配達先項目（haitatsu_yubin_no 等）が非活性状態で表示されること、入力済みの値がクリアされること
</t>
          </r>
          <r>
            <rPr>
              <rFont val="メイリオ"/>
              <b val="1"/>
              <sz val="10"/>
            </rPr>
            <t xml:space="preserve">ステップ3：
</t>
          </r>
          <r>
            <rPr>
              <rFont val="メイリオ"/>
              <sz val="10"/>
            </rPr>
            <t xml:space="preserve">配達先項目（haitatsu_yubin_no 等）が活性状態で表示されること、配達先郵便番号・都道府県・市町村郡・丁目番地・配達先氏名（漢字・かな）が必須項目となること
</t>
          </r>
          <r>
            <rPr>
              <rFont val="メイリオ"/>
              <b val="1"/>
              <sz val="10"/>
            </rPr>
            <t xml:space="preserve">補足：
</t>
          </r>
          <r>
            <rPr>
              <rFont val="メイリオ"/>
              <sz val="10"/>
            </rPr>
            <t xml:space="preserve">・チェック時は配達先項目を非活性化し、入力済みデータをクリアすること（機能定義 §9.1）
</t>
          </r>
          <r>
            <rPr>
              <rFont val="メイリオ"/>
              <sz val="10"/>
            </rPr>
            <t>・未チェック時は配達先郵便番号〜丁目番地および配達先氏名（漢字・かな）が必須となること（機能定義 §9.2）</t>
          </r>
        </is>
      </c>
      <c r="Y24" s="10" t="n"/>
      <c r="Z24" s="10" t="n"/>
      <c r="AA24" s="10" t="n"/>
      <c r="AB24" s="10" t="n"/>
      <c r="AC24" s="10" t="n"/>
      <c r="AD24" s="11" t="n"/>
      <c r="AE24" s="45" t="inlineStr">
        <is>
          <t>N</t>
        </is>
      </c>
      <c r="AF24" s="11" t="n"/>
      <c r="AG24" s="45" t="inlineStr"/>
      <c r="AH24" s="10" t="n"/>
      <c r="AI24" s="11" t="n"/>
      <c r="AJ24" s="45" t="inlineStr"/>
      <c r="AK24" s="10" t="n"/>
      <c r="AL24" s="11" t="n"/>
      <c r="AM24" s="45" t="inlineStr"/>
      <c r="AN24" s="10" t="n"/>
      <c r="AO24" s="11" t="n"/>
      <c r="AP24" s="45" t="inlineStr"/>
      <c r="AQ24" s="10" t="n"/>
      <c r="AR24" s="11" t="n"/>
      <c r="AS24" s="45" t="inlineStr"/>
      <c r="AT24" s="10" t="n"/>
      <c r="AU24" s="11" t="n"/>
      <c r="AV24" s="45" t="inlineStr"/>
      <c r="AW24" s="10" t="n"/>
      <c r="AX24" s="11" t="n"/>
      <c r="AY24" s="45" t="inlineStr"/>
      <c r="AZ24" s="10" t="n"/>
      <c r="BA24" s="11" t="n"/>
      <c r="BB24" s="45" t="inlineStr"/>
      <c r="BC24" s="10" t="n"/>
      <c r="BD24" s="11" t="n"/>
      <c r="BE24" s="45" t="inlineStr"/>
      <c r="BF24" s="10" t="n"/>
      <c r="BG24" s="11" t="n"/>
      <c r="BH24" s="45" t="inlineStr"/>
      <c r="BI24" s="10" t="n"/>
      <c r="BJ24" s="11" t="n"/>
      <c r="BK24" s="46" t="inlineStr"/>
      <c r="BL24" s="10" t="n"/>
      <c r="BM24" s="10" t="n"/>
      <c r="BN24" s="10" t="n"/>
      <c r="BO24" s="10" t="n"/>
      <c r="BP24" s="10" t="n"/>
      <c r="BQ24" s="11" t="n"/>
    </row>
    <row r="25" ht="368" customHeight="1">
      <c r="A25" s="44" t="n">
        <v>12</v>
      </c>
      <c r="B25" s="46" t="inlineStr">
        <is>
          <t>ACSMS-TC-011-012</t>
        </is>
      </c>
      <c r="C25" s="10" t="n"/>
      <c r="D25" s="11" t="n"/>
      <c r="E25" s="46" t="inlineStr">
        <is>
          <t>購読者層分類「農業者」選択時の農業者分類表示</t>
        </is>
      </c>
      <c r="F25" s="10" t="n"/>
      <c r="G25" s="10" t="n"/>
      <c r="H25" s="10" t="n"/>
      <c r="I25" s="11" t="n"/>
      <c r="J25" s="46" t="inlineStr">
        <is>
          <t>・role: JA_HONTEN（ja_id=100 所属）
・購読者情報登録画面（新規作成モード）を開いた状態</t>
        </is>
      </c>
      <c r="K25" s="10" t="n"/>
      <c r="L25" s="10" t="n"/>
      <c r="M25" s="10" t="n"/>
      <c r="N25" s="10" t="n"/>
      <c r="O25" s="10" t="n"/>
      <c r="P25" s="11" t="n"/>
      <c r="Q25" s="46" t="inlineStr">
        <is>
          <r>
            <rPr>
              <rFont val="メイリオ"/>
              <b val="1"/>
              <sz val="10"/>
            </rPr>
            <t xml:space="preserve">ステップ1：
</t>
          </r>
          <r>
            <rPr>
              <rFont val="メイリオ"/>
              <sz val="10"/>
            </rPr>
            <t xml:space="preserve">購読者層分類（dokusyaso_bunrui）で「農業者」をチェック
</t>
          </r>
          <r>
            <rPr>
              <rFont val="メイリオ"/>
              <b val="1"/>
              <sz val="10"/>
            </rPr>
            <t xml:space="preserve">ステップ2：
</t>
          </r>
          <r>
            <rPr>
              <rFont val="メイリオ"/>
              <sz val="10"/>
            </rPr>
            <t xml:space="preserve">農業者分類（nogyosya_bunrui）の表示と選択肢を確認
</t>
          </r>
          <r>
            <rPr>
              <rFont val="メイリオ"/>
              <b val="1"/>
              <sz val="10"/>
            </rPr>
            <t xml:space="preserve">ステップ3：
</t>
          </r>
          <r>
            <rPr>
              <rFont val="メイリオ"/>
              <sz val="10"/>
            </rPr>
            <t>購読者層分類「農業者」のチェックを解除し、農業者分類の表示と値を確認</t>
          </r>
        </is>
      </c>
      <c r="R25" s="10" t="n"/>
      <c r="S25" s="10" t="n"/>
      <c r="T25" s="10" t="n"/>
      <c r="U25" s="10" t="n"/>
      <c r="V25" s="10" t="n"/>
      <c r="W25" s="11" t="n"/>
      <c r="X25" s="46" t="inlineStr">
        <is>
          <r>
            <rPr>
              <rFont val="メイリオ"/>
              <b val="1"/>
              <sz val="10"/>
            </rPr>
            <t xml:space="preserve">ステップ1：
</t>
          </r>
          <r>
            <rPr>
              <rFont val="メイリオ"/>
              <sz val="10"/>
            </rPr>
            <t xml:space="preserve">購読者層分類「農業者」がチェック状態となること
</t>
          </r>
          <r>
            <rPr>
              <rFont val="メイリオ"/>
              <b val="1"/>
              <sz val="10"/>
            </rPr>
            <t xml:space="preserve">ステップ2：
</t>
          </r>
          <r>
            <rPr>
              <rFont val="メイリオ"/>
              <sz val="10"/>
            </rPr>
            <t xml:space="preserve">農業者分類（nogyosya_bunrui）が表示されること（水稲／野菜／果樹／畜産／その他）
</t>
          </r>
          <r>
            <rPr>
              <rFont val="メイリオ"/>
              <b val="1"/>
              <sz val="10"/>
            </rPr>
            <t xml:space="preserve">ステップ3：
</t>
          </r>
          <r>
            <rPr>
              <rFont val="メイリオ"/>
              <sz val="10"/>
            </rPr>
            <t xml:space="preserve">農業者分類（nogyosya_bunrui）が非表示となること、選択値がクリアされること
</t>
          </r>
          <r>
            <rPr>
              <rFont val="メイリオ"/>
              <b val="1"/>
              <sz val="10"/>
            </rPr>
            <t xml:space="preserve">補足：
</t>
          </r>
          <r>
            <rPr>
              <rFont val="メイリオ"/>
              <sz val="10"/>
            </rPr>
            <t xml:space="preserve">・購読者層分類で「農業者」を選択した場合に農業者分類を表示すること（機能定義 §11.1）
</t>
          </r>
          <r>
            <rPr>
              <rFont val="メイリオ"/>
              <sz val="10"/>
            </rPr>
            <t>・「農業者」を未チェックまたはチェック解除した場合は農業者分類を非表示とし、選択値をクリアすること（機能定義 §11.2）</t>
          </r>
        </is>
      </c>
      <c r="Y25" s="10" t="n"/>
      <c r="Z25" s="10" t="n"/>
      <c r="AA25" s="10" t="n"/>
      <c r="AB25" s="10" t="n"/>
      <c r="AC25" s="10" t="n"/>
      <c r="AD25" s="11" t="n"/>
      <c r="AE25" s="45" t="inlineStr">
        <is>
          <t>N</t>
        </is>
      </c>
      <c r="AF25" s="11" t="n"/>
      <c r="AG25" s="45" t="inlineStr"/>
      <c r="AH25" s="10" t="n"/>
      <c r="AI25" s="11" t="n"/>
      <c r="AJ25" s="45" t="inlineStr"/>
      <c r="AK25" s="10" t="n"/>
      <c r="AL25" s="11" t="n"/>
      <c r="AM25" s="45" t="inlineStr"/>
      <c r="AN25" s="10" t="n"/>
      <c r="AO25" s="11" t="n"/>
      <c r="AP25" s="45" t="inlineStr"/>
      <c r="AQ25" s="10" t="n"/>
      <c r="AR25" s="11" t="n"/>
      <c r="AS25" s="45" t="inlineStr"/>
      <c r="AT25" s="10" t="n"/>
      <c r="AU25" s="11" t="n"/>
      <c r="AV25" s="45" t="inlineStr"/>
      <c r="AW25" s="10" t="n"/>
      <c r="AX25" s="11" t="n"/>
      <c r="AY25" s="45" t="inlineStr"/>
      <c r="AZ25" s="10" t="n"/>
      <c r="BA25" s="11" t="n"/>
      <c r="BB25" s="45" t="inlineStr"/>
      <c r="BC25" s="10" t="n"/>
      <c r="BD25" s="11" t="n"/>
      <c r="BE25" s="45" t="inlineStr"/>
      <c r="BF25" s="10" t="n"/>
      <c r="BG25" s="11" t="n"/>
      <c r="BH25" s="45" t="inlineStr"/>
      <c r="BI25" s="10" t="n"/>
      <c r="BJ25" s="11" t="n"/>
      <c r="BK25" s="46" t="inlineStr"/>
      <c r="BL25" s="10" t="n"/>
      <c r="BM25" s="10" t="n"/>
      <c r="BN25" s="10" t="n"/>
      <c r="BO25" s="10" t="n"/>
      <c r="BP25" s="10" t="n"/>
      <c r="BQ25" s="11" t="n"/>
    </row>
    <row r="26" ht="432" customHeight="1">
      <c r="A26" s="44" t="n">
        <v>13</v>
      </c>
      <c r="B26" s="46" t="inlineStr">
        <is>
          <t>ACSMS-TC-011-013</t>
        </is>
      </c>
      <c r="C26" s="10" t="n"/>
      <c r="D26" s="11" t="n"/>
      <c r="E26" s="46" t="inlineStr">
        <is>
          <t>編集モード 読取専用項目の表示（電子版読者種別・履歴No・請求開始月）</t>
        </is>
      </c>
      <c r="F26" s="10" t="n"/>
      <c r="G26" s="10" t="n"/>
      <c r="H26" s="10" t="n"/>
      <c r="I26" s="11" t="n"/>
      <c r="J26" s="46" t="inlineStr">
        <is>
          <t>・role: JA_HONTEN（ja_id=100 所属）
・購読種別=電子版 かつ denshi_shonin_status=1（承認済み）の購読者が存在
・対象購読者の dokusya_id を保持</t>
        </is>
      </c>
      <c r="K26" s="10" t="n"/>
      <c r="L26" s="10" t="n"/>
      <c r="M26" s="10" t="n"/>
      <c r="N26" s="10" t="n"/>
      <c r="O26" s="10" t="n"/>
      <c r="P26" s="11" t="n"/>
      <c r="Q26" s="46" t="inlineStr">
        <is>
          <r>
            <rPr>
              <rFont val="メイリオ"/>
              <b val="1"/>
              <sz val="10"/>
            </rPr>
            <t xml:space="preserve">ステップ1：
</t>
          </r>
          <r>
            <rPr>
              <rFont val="メイリオ"/>
              <sz val="10"/>
            </rPr>
            <t xml:space="preserve">購読者明細検索画面の一覧から対象購読者の行を押下し、編集モードで購読者情報登録画面を開く
</t>
          </r>
          <r>
            <rPr>
              <rFont val="メイリオ"/>
              <b val="1"/>
              <sz val="10"/>
            </rPr>
            <t xml:space="preserve">ステップ2：
</t>
          </r>
          <r>
            <rPr>
              <rFont val="メイリオ"/>
              <sz val="10"/>
            </rPr>
            <t xml:space="preserve">電子版読者種別（denshi_dokusya_shubetsu）・履歴No（rireki_no）・ID（dokusya_rireki_id）の表示と入力可否を確認
</t>
          </r>
          <r>
            <rPr>
              <rFont val="メイリオ"/>
              <b val="1"/>
              <sz val="10"/>
            </rPr>
            <t xml:space="preserve">ステップ3：
</t>
          </r>
          <r>
            <rPr>
              <rFont val="メイリオ"/>
              <sz val="10"/>
            </rPr>
            <t>請求開始月（seikyu_kaishi_month）の表示と入力可否を確認</t>
          </r>
        </is>
      </c>
      <c r="R26" s="10" t="n"/>
      <c r="S26" s="10" t="n"/>
      <c r="T26" s="10" t="n"/>
      <c r="U26" s="10" t="n"/>
      <c r="V26" s="10" t="n"/>
      <c r="W26" s="11" t="n"/>
      <c r="X26" s="46" t="inlineStr">
        <is>
          <r>
            <rPr>
              <rFont val="メイリオ"/>
              <b val="1"/>
              <sz val="10"/>
            </rPr>
            <t xml:space="preserve">ステップ1：
</t>
          </r>
          <r>
            <rPr>
              <rFont val="メイリオ"/>
              <sz val="10"/>
            </rPr>
            <t xml:space="preserve">編集モードで購読者情報登録画面が表示されること、フォームに既存データが反映されること
</t>
          </r>
          <r>
            <rPr>
              <rFont val="メイリオ"/>
              <b val="1"/>
              <sz val="10"/>
            </rPr>
            <t xml:space="preserve">ステップ2：
</t>
          </r>
          <r>
            <rPr>
              <rFont val="メイリオ"/>
              <sz val="10"/>
            </rPr>
            <t xml:space="preserve">電子版読者種別（denshi_dokusya_shubetsu）・履歴No（rireki_no）・ID（dokusya_rireki_id）が読み取り専用で表示されること
</t>
          </r>
          <r>
            <rPr>
              <rFont val="メイリオ"/>
              <b val="1"/>
              <sz val="10"/>
            </rPr>
            <t xml:space="preserve">ステップ3：
</t>
          </r>
          <r>
            <rPr>
              <rFont val="メイリオ"/>
              <sz val="10"/>
            </rPr>
            <t xml:space="preserve">購読種別=電子版のため請求開始月（seikyu_kaishi_month）が読み取り専用ラベルで表示されること
</t>
          </r>
          <r>
            <rPr>
              <rFont val="メイリオ"/>
              <b val="1"/>
              <sz val="10"/>
            </rPr>
            <t xml:space="preserve">補足：
</t>
          </r>
          <r>
            <rPr>
              <rFont val="メイリオ"/>
              <sz val="10"/>
            </rPr>
            <t xml:space="preserve">・電子版読者種別・履歴No・IDは入力不可とし、編集モードのみに読取専用項目として表示されること
</t>
          </r>
          <r>
            <rPr>
              <rFont val="メイリオ"/>
              <sz val="10"/>
            </rPr>
            <t>・請求開始月は購読種別=電子版 または 併読 の場合に読み取り専用で表示されること（電子版読者管理システムで決定）</t>
          </r>
        </is>
      </c>
      <c r="Y26" s="10" t="n"/>
      <c r="Z26" s="10" t="n"/>
      <c r="AA26" s="10" t="n"/>
      <c r="AB26" s="10" t="n"/>
      <c r="AC26" s="10" t="n"/>
      <c r="AD26" s="11" t="n"/>
      <c r="AE26" s="45" t="inlineStr">
        <is>
          <t>N</t>
        </is>
      </c>
      <c r="AF26" s="11" t="n"/>
      <c r="AG26" s="45" t="inlineStr"/>
      <c r="AH26" s="10" t="n"/>
      <c r="AI26" s="11" t="n"/>
      <c r="AJ26" s="45" t="inlineStr"/>
      <c r="AK26" s="10" t="n"/>
      <c r="AL26" s="11" t="n"/>
      <c r="AM26" s="45" t="inlineStr"/>
      <c r="AN26" s="10" t="n"/>
      <c r="AO26" s="11" t="n"/>
      <c r="AP26" s="45" t="inlineStr"/>
      <c r="AQ26" s="10" t="n"/>
      <c r="AR26" s="11" t="n"/>
      <c r="AS26" s="45" t="inlineStr"/>
      <c r="AT26" s="10" t="n"/>
      <c r="AU26" s="11" t="n"/>
      <c r="AV26" s="45" t="inlineStr"/>
      <c r="AW26" s="10" t="n"/>
      <c r="AX26" s="11" t="n"/>
      <c r="AY26" s="45" t="inlineStr"/>
      <c r="AZ26" s="10" t="n"/>
      <c r="BA26" s="11" t="n"/>
      <c r="BB26" s="45" t="inlineStr"/>
      <c r="BC26" s="10" t="n"/>
      <c r="BD26" s="11" t="n"/>
      <c r="BE26" s="45" t="inlineStr"/>
      <c r="BF26" s="10" t="n"/>
      <c r="BG26" s="11" t="n"/>
      <c r="BH26" s="45" t="inlineStr"/>
      <c r="BI26" s="10" t="n"/>
      <c r="BJ26" s="11" t="n"/>
      <c r="BK26" s="46" t="inlineStr">
        <is>
          <t>(なし)
---</t>
        </is>
      </c>
      <c r="BL26" s="10" t="n"/>
      <c r="BM26" s="10" t="n"/>
      <c r="BN26" s="10" t="n"/>
      <c r="BO26" s="10" t="n"/>
      <c r="BP26" s="10" t="n"/>
      <c r="BQ26" s="11" t="n"/>
    </row>
    <row r="27" ht="22.5" customHeight="1">
      <c r="A27" s="32" t="inlineStr">
        <is>
          <t>入力チェック（Input Validation）</t>
        </is>
      </c>
      <c r="B27" s="10" t="n"/>
      <c r="C27" s="10" t="n"/>
      <c r="D27" s="10" t="n"/>
      <c r="E27" s="10" t="n"/>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c r="AA27" s="10" t="n"/>
      <c r="AB27" s="10" t="n"/>
      <c r="AC27" s="10" t="n"/>
      <c r="AD27" s="10" t="n"/>
      <c r="AE27" s="10" t="n"/>
      <c r="AF27" s="10" t="n"/>
      <c r="AG27" s="10" t="n"/>
      <c r="AH27" s="10" t="n"/>
      <c r="AI27" s="10" t="n"/>
      <c r="AJ27" s="10" t="n"/>
      <c r="AK27" s="10" t="n"/>
      <c r="AL27" s="10" t="n"/>
      <c r="AM27" s="10" t="n"/>
      <c r="AN27" s="10" t="n"/>
      <c r="AO27" s="10" t="n"/>
      <c r="AP27" s="10" t="n"/>
      <c r="AQ27" s="10" t="n"/>
      <c r="AR27" s="10" t="n"/>
      <c r="AS27" s="10" t="n"/>
      <c r="AT27" s="10" t="n"/>
      <c r="AU27" s="10" t="n"/>
      <c r="AV27" s="10" t="n"/>
      <c r="AW27" s="10" t="n"/>
      <c r="AX27" s="10" t="n"/>
      <c r="AY27" s="10" t="n"/>
      <c r="AZ27" s="10" t="n"/>
      <c r="BA27" s="10" t="n"/>
      <c r="BB27" s="10" t="n"/>
      <c r="BC27" s="10" t="n"/>
      <c r="BD27" s="10" t="n"/>
      <c r="BE27" s="10" t="n"/>
      <c r="BF27" s="10" t="n"/>
      <c r="BG27" s="10" t="n"/>
      <c r="BH27" s="10" t="n"/>
      <c r="BI27" s="10" t="n"/>
      <c r="BJ27" s="10" t="n"/>
      <c r="BK27" s="10" t="n"/>
      <c r="BL27" s="10" t="n"/>
      <c r="BM27" s="10" t="n"/>
      <c r="BN27" s="10" t="n"/>
      <c r="BO27" s="10" t="n"/>
      <c r="BP27" s="10" t="n"/>
      <c r="BQ27" s="11" t="n"/>
    </row>
    <row r="28" ht="368" customHeight="1">
      <c r="A28" s="44" t="n">
        <v>14</v>
      </c>
      <c r="B28" s="46" t="inlineStr">
        <is>
          <t>ACSMS-TC-011-014</t>
        </is>
      </c>
      <c r="C28" s="10" t="n"/>
      <c r="D28" s="11" t="n"/>
      <c r="E28" s="46" t="inlineStr">
        <is>
          <t>購読者氏名クラスタ 必須チェック（空欄 + 空白文字）</t>
        </is>
      </c>
      <c r="F28" s="10" t="n"/>
      <c r="G28" s="10" t="n"/>
      <c r="H28" s="10" t="n"/>
      <c r="I28" s="11" t="n"/>
      <c r="J28" s="46" t="inlineStr">
        <is>
          <t>・role: JA_HONTEN（ja_id=100 所属）
・購読者情報登録画面（新規作成モード）を開いた状態</t>
        </is>
      </c>
      <c r="K28" s="10" t="n"/>
      <c r="L28" s="10" t="n"/>
      <c r="M28" s="10" t="n"/>
      <c r="N28" s="10" t="n"/>
      <c r="O28" s="10" t="n"/>
      <c r="P28" s="11" t="n"/>
      <c r="Q28" s="46" t="inlineStr">
        <is>
          <r>
            <rPr>
              <rFont val="メイリオ"/>
              <b val="1"/>
              <sz val="10"/>
            </rPr>
            <t xml:space="preserve">ステップ1：
</t>
          </r>
          <r>
            <rPr>
              <rFont val="メイリオ"/>
              <sz val="10"/>
            </rPr>
            <t xml:space="preserve">購読者氏名_氏（shimei_sei）・購読者氏名_名（shimei_mei）・購読者かな_氏（shimei_kana_sei）・購読者かな_名（shimei_kana_mei）を空欄のまま「承認・登録」ボタンを押下
</t>
          </r>
          <r>
            <rPr>
              <rFont val="メイリオ"/>
              <b val="1"/>
              <sz val="10"/>
            </rPr>
            <t xml:space="preserve">ステップ2：
</t>
          </r>
          <r>
            <rPr>
              <rFont val="メイリオ"/>
              <sz val="10"/>
            </rPr>
            <t xml:space="preserve">購読者氏名_氏（shimei_sei）に空白文字のみ（`"   "`）を入力し、再度「承認・登録」ボタンを押下
</t>
          </r>
          <r>
            <rPr>
              <rFont val="メイリオ"/>
              <b val="1"/>
              <sz val="10"/>
            </rPr>
            <t xml:space="preserve">ステップ3：
</t>
          </r>
          <r>
            <rPr>
              <rFont val="メイリオ"/>
              <sz val="10"/>
            </rPr>
            <t>各氏名項目に任意の1文字を入力し、メッセージの表示を確認</t>
          </r>
        </is>
      </c>
      <c r="R28" s="10" t="n"/>
      <c r="S28" s="10" t="n"/>
      <c r="T28" s="10" t="n"/>
      <c r="U28" s="10" t="n"/>
      <c r="V28" s="10" t="n"/>
      <c r="W28" s="11" t="n"/>
      <c r="X28" s="46" t="inlineStr">
        <is>
          <r>
            <rPr>
              <rFont val="メイリオ"/>
              <b val="1"/>
              <sz val="10"/>
            </rPr>
            <t xml:space="preserve">ステップ1：
</t>
          </r>
          <r>
            <rPr>
              <rFont val="メイリオ"/>
              <sz val="10"/>
            </rPr>
            <t xml:space="preserve">各氏名項目の下に必須入力エラーが表示されること（メッセージ `必須項目です。`）
</t>
          </r>
          <r>
            <rPr>
              <rFont val="メイリオ"/>
              <b val="1"/>
              <sz val="10"/>
            </rPr>
            <t xml:space="preserve">ステップ2：
</t>
          </r>
          <r>
            <rPr>
              <rFont val="メイリオ"/>
              <sz val="10"/>
            </rPr>
            <t xml:space="preserve">購読者氏名_氏（shimei_sei）の下に必須入力エラーが表示されること（空白文字のみは空欄として扱われること）
</t>
          </r>
          <r>
            <rPr>
              <rFont val="メイリオ"/>
              <b val="1"/>
              <sz val="10"/>
            </rPr>
            <t xml:space="preserve">ステップ3：
</t>
          </r>
          <r>
            <rPr>
              <rFont val="メイリオ"/>
              <sz val="10"/>
            </rPr>
            <t xml:space="preserve">各氏名項目の必須入力エラーが消えること
</t>
          </r>
          <r>
            <rPr>
              <rFont val="メイリオ"/>
              <b val="1"/>
              <sz val="10"/>
            </rPr>
            <t xml:space="preserve">補足：
</t>
          </r>
          <r>
            <rPr>
              <rFont val="メイリオ"/>
              <sz val="10"/>
            </rPr>
            <t xml:space="preserve">・必須項目を入力しない場合 ACSMS-MSG-011-013 メッセージ `必須項目です。` を表示すること
</t>
          </r>
          <r>
            <rPr>
              <rFont val="メイリオ"/>
              <sz val="10"/>
            </rPr>
            <t>・空白文字のみの入力は前後空白除去後に空欄として扱われること</t>
          </r>
        </is>
      </c>
      <c r="Y28" s="10" t="n"/>
      <c r="Z28" s="10" t="n"/>
      <c r="AA28" s="10" t="n"/>
      <c r="AB28" s="10" t="n"/>
      <c r="AC28" s="10" t="n"/>
      <c r="AD28" s="11" t="n"/>
      <c r="AE28" s="45" t="inlineStr">
        <is>
          <t>A</t>
        </is>
      </c>
      <c r="AF28" s="11" t="n"/>
      <c r="AG28" s="45" t="inlineStr"/>
      <c r="AH28" s="10" t="n"/>
      <c r="AI28" s="11" t="n"/>
      <c r="AJ28" s="45" t="inlineStr"/>
      <c r="AK28" s="10" t="n"/>
      <c r="AL28" s="11" t="n"/>
      <c r="AM28" s="45" t="inlineStr"/>
      <c r="AN28" s="10" t="n"/>
      <c r="AO28" s="11" t="n"/>
      <c r="AP28" s="45" t="inlineStr"/>
      <c r="AQ28" s="10" t="n"/>
      <c r="AR28" s="11" t="n"/>
      <c r="AS28" s="45" t="inlineStr"/>
      <c r="AT28" s="10" t="n"/>
      <c r="AU28" s="11" t="n"/>
      <c r="AV28" s="45" t="inlineStr"/>
      <c r="AW28" s="10" t="n"/>
      <c r="AX28" s="11" t="n"/>
      <c r="AY28" s="45" t="inlineStr"/>
      <c r="AZ28" s="10" t="n"/>
      <c r="BA28" s="11" t="n"/>
      <c r="BB28" s="45" t="inlineStr"/>
      <c r="BC28" s="10" t="n"/>
      <c r="BD28" s="11" t="n"/>
      <c r="BE28" s="45" t="inlineStr"/>
      <c r="BF28" s="10" t="n"/>
      <c r="BG28" s="11" t="n"/>
      <c r="BH28" s="45" t="inlineStr"/>
      <c r="BI28" s="10" t="n"/>
      <c r="BJ28" s="11" t="n"/>
      <c r="BK28" s="46" t="inlineStr"/>
      <c r="BL28" s="10" t="n"/>
      <c r="BM28" s="10" t="n"/>
      <c r="BN28" s="10" t="n"/>
      <c r="BO28" s="10" t="n"/>
      <c r="BP28" s="10" t="n"/>
      <c r="BQ28" s="11" t="n"/>
    </row>
    <row r="29" ht="368" customHeight="1">
      <c r="A29" s="44" t="n">
        <v>15</v>
      </c>
      <c r="B29" s="46" t="inlineStr">
        <is>
          <t>ACSMS-TC-011-015</t>
        </is>
      </c>
      <c r="C29" s="10" t="n"/>
      <c r="D29" s="11" t="n"/>
      <c r="E29" s="46" t="inlineStr">
        <is>
          <t>購読者かな 全角ひらがなチェック</t>
        </is>
      </c>
      <c r="F29" s="10" t="n"/>
      <c r="G29" s="10" t="n"/>
      <c r="H29" s="10" t="n"/>
      <c r="I29" s="11" t="n"/>
      <c r="J29" s="46" t="inlineStr">
        <is>
          <t>・role: JA_HONTEN（ja_id=100 所属）
・購読者情報登録画面（新規作成モード）を開いた状態</t>
        </is>
      </c>
      <c r="K29" s="10" t="n"/>
      <c r="L29" s="10" t="n"/>
      <c r="M29" s="10" t="n"/>
      <c r="N29" s="10" t="n"/>
      <c r="O29" s="10" t="n"/>
      <c r="P29" s="11" t="n"/>
      <c r="Q29" s="46" t="inlineStr">
        <is>
          <r>
            <rPr>
              <rFont val="メイリオ"/>
              <b val="1"/>
              <sz val="10"/>
            </rPr>
            <t xml:space="preserve">ステップ1：
</t>
          </r>
          <r>
            <rPr>
              <rFont val="メイリオ"/>
              <sz val="10"/>
            </rPr>
            <t xml:space="preserve">購読者かな_氏（shimei_kana_sei）に半角英字「yamada」を入力し「承認・登録」ボタンを押下
</t>
          </r>
          <r>
            <rPr>
              <rFont val="メイリオ"/>
              <b val="1"/>
              <sz val="10"/>
            </rPr>
            <t xml:space="preserve">ステップ2：
</t>
          </r>
          <r>
            <rPr>
              <rFont val="メイリオ"/>
              <sz val="10"/>
            </rPr>
            <t xml:space="preserve">購読者かな_氏（shimei_kana_sei）に漢字「山田」を入力し「承認・登録」ボタンを押下
</t>
          </r>
          <r>
            <rPr>
              <rFont val="メイリオ"/>
              <b val="1"/>
              <sz val="10"/>
            </rPr>
            <t xml:space="preserve">ステップ3：
</t>
          </r>
          <r>
            <rPr>
              <rFont val="メイリオ"/>
              <sz val="10"/>
            </rPr>
            <t>購読者かな_氏（shimei_kana_sei）に全角ひらがな「やまだ」を入力し「承認・登録」ボタンを押下</t>
          </r>
        </is>
      </c>
      <c r="R29" s="10" t="n"/>
      <c r="S29" s="10" t="n"/>
      <c r="T29" s="10" t="n"/>
      <c r="U29" s="10" t="n"/>
      <c r="V29" s="10" t="n"/>
      <c r="W29" s="11" t="n"/>
      <c r="X29" s="46" t="inlineStr">
        <is>
          <r>
            <rPr>
              <rFont val="メイリオ"/>
              <b val="1"/>
              <sz val="10"/>
            </rPr>
            <t xml:space="preserve">ステップ1：
</t>
          </r>
          <r>
            <rPr>
              <rFont val="メイリオ"/>
              <sz val="10"/>
            </rPr>
            <t xml:space="preserve">形式エラーが表示されること（メッセージ `ひらがなで入力してください。`）
</t>
          </r>
          <r>
            <rPr>
              <rFont val="メイリオ"/>
              <b val="1"/>
              <sz val="10"/>
            </rPr>
            <t xml:space="preserve">ステップ2：
</t>
          </r>
          <r>
            <rPr>
              <rFont val="メイリオ"/>
              <sz val="10"/>
            </rPr>
            <t xml:space="preserve">形式エラーが表示されること（メッセージ `ひらがなで入力してください。`）
</t>
          </r>
          <r>
            <rPr>
              <rFont val="メイリオ"/>
              <b val="1"/>
              <sz val="10"/>
            </rPr>
            <t xml:space="preserve">ステップ3：
</t>
          </r>
          <r>
            <rPr>
              <rFont val="メイリオ"/>
              <sz val="10"/>
            </rPr>
            <t xml:space="preserve">形式エラーが表示されないこと（全角ひらがなが入力可能であること）
</t>
          </r>
          <r>
            <rPr>
              <rFont val="メイリオ"/>
              <b val="1"/>
              <sz val="10"/>
            </rPr>
            <t xml:space="preserve">補足：
</t>
          </r>
          <r>
            <rPr>
              <rFont val="メイリオ"/>
              <sz val="10"/>
            </rPr>
            <t xml:space="preserve">・購読者かな項目は全角ひらがなのみ入力可能とすること（電子版仕様）
</t>
          </r>
          <r>
            <rPr>
              <rFont val="メイリオ"/>
              <sz val="10"/>
            </rPr>
            <t>・形式不正の場合 ACSMS-MSG-011-002 メッセージ `ひらがなで入力してください。` を表示すること</t>
          </r>
        </is>
      </c>
      <c r="Y29" s="10" t="n"/>
      <c r="Z29" s="10" t="n"/>
      <c r="AA29" s="10" t="n"/>
      <c r="AB29" s="10" t="n"/>
      <c r="AC29" s="10" t="n"/>
      <c r="AD29" s="11" t="n"/>
      <c r="AE29" s="45" t="inlineStr">
        <is>
          <t>A</t>
        </is>
      </c>
      <c r="AF29" s="11" t="n"/>
      <c r="AG29" s="45" t="inlineStr"/>
      <c r="AH29" s="10" t="n"/>
      <c r="AI29" s="11" t="n"/>
      <c r="AJ29" s="45" t="inlineStr"/>
      <c r="AK29" s="10" t="n"/>
      <c r="AL29" s="11" t="n"/>
      <c r="AM29" s="45" t="inlineStr"/>
      <c r="AN29" s="10" t="n"/>
      <c r="AO29" s="11" t="n"/>
      <c r="AP29" s="45" t="inlineStr"/>
      <c r="AQ29" s="10" t="n"/>
      <c r="AR29" s="11" t="n"/>
      <c r="AS29" s="45" t="inlineStr"/>
      <c r="AT29" s="10" t="n"/>
      <c r="AU29" s="11" t="n"/>
      <c r="AV29" s="45" t="inlineStr"/>
      <c r="AW29" s="10" t="n"/>
      <c r="AX29" s="11" t="n"/>
      <c r="AY29" s="45" t="inlineStr"/>
      <c r="AZ29" s="10" t="n"/>
      <c r="BA29" s="11" t="n"/>
      <c r="BB29" s="45" t="inlineStr"/>
      <c r="BC29" s="10" t="n"/>
      <c r="BD29" s="11" t="n"/>
      <c r="BE29" s="45" t="inlineStr"/>
      <c r="BF29" s="10" t="n"/>
      <c r="BG29" s="11" t="n"/>
      <c r="BH29" s="45" t="inlineStr"/>
      <c r="BI29" s="10" t="n"/>
      <c r="BJ29" s="11" t="n"/>
      <c r="BK29" s="46" t="inlineStr"/>
      <c r="BL29" s="10" t="n"/>
      <c r="BM29" s="10" t="n"/>
      <c r="BN29" s="10" t="n"/>
      <c r="BO29" s="10" t="n"/>
      <c r="BP29" s="10" t="n"/>
      <c r="BQ29" s="11" t="n"/>
    </row>
    <row r="30" ht="450" customHeight="1">
      <c r="A30" s="44" t="n">
        <v>16</v>
      </c>
      <c r="B30" s="46" t="inlineStr">
        <is>
          <t>ACSMS-TC-011-015-2</t>
        </is>
      </c>
      <c r="C30" s="10" t="n"/>
      <c r="D30" s="11" t="n"/>
      <c r="E30" s="46" t="inlineStr">
        <is>
          <t>購読者氏名 漢字・ひらがな・カタカナチェック（顧客要件 2026-07）</t>
        </is>
      </c>
      <c r="F30" s="10" t="n"/>
      <c r="G30" s="10" t="n"/>
      <c r="H30" s="10" t="n"/>
      <c r="I30" s="11" t="n"/>
      <c r="J30" s="46" t="inlineStr">
        <is>
          <t>・role: JA_HONTEN（ja_id=100 所属）
・購読者情報登録画面（新規作成モード）を開いた状態</t>
        </is>
      </c>
      <c r="K30" s="10" t="n"/>
      <c r="L30" s="10" t="n"/>
      <c r="M30" s="10" t="n"/>
      <c r="N30" s="10" t="n"/>
      <c r="O30" s="10" t="n"/>
      <c r="P30" s="11" t="n"/>
      <c r="Q30" s="46" t="inlineStr">
        <is>
          <r>
            <rPr>
              <rFont val="メイリオ"/>
              <b val="1"/>
              <sz val="10"/>
            </rPr>
            <t xml:space="preserve">ステップ1：
</t>
          </r>
          <r>
            <rPr>
              <rFont val="メイリオ"/>
              <sz val="10"/>
            </rPr>
            <t xml:space="preserve">購読者氏名_氏（shimei_sei）に半角英数字「Yamada12」を入力し「承認・登録」ボタンを押下
</t>
          </r>
          <r>
            <rPr>
              <rFont val="メイリオ"/>
              <b val="1"/>
              <sz val="10"/>
            </rPr>
            <t xml:space="preserve">ステップ2：
</t>
          </r>
          <r>
            <rPr>
              <rFont val="メイリオ"/>
              <sz val="10"/>
            </rPr>
            <t xml:space="preserve">購読者氏名_氏（shimei_sei）に全角ひらがな「やまだ」を入力し「承認・登録」ボタンを押下
</t>
          </r>
          <r>
            <rPr>
              <rFont val="メイリオ"/>
              <b val="1"/>
              <sz val="10"/>
            </rPr>
            <t xml:space="preserve">ステップ3：
</t>
          </r>
          <r>
            <rPr>
              <rFont val="メイリオ"/>
              <sz val="10"/>
            </rPr>
            <t xml:space="preserve">購読者氏名_名（shimei_mei）に全角カタカナ「タロウ」を入力し「承認・登録」ボタンを押下
</t>
          </r>
          <r>
            <rPr>
              <rFont val="メイリオ"/>
              <b val="1"/>
              <sz val="10"/>
            </rPr>
            <t xml:space="preserve">ステップ4：
</t>
          </r>
          <r>
            <rPr>
              <rFont val="メイリオ"/>
              <sz val="10"/>
            </rPr>
            <t>購読者氏名_氏（shimei_sei）に漢字「山田」を入力し「承認・登録」ボタンを押下</t>
          </r>
        </is>
      </c>
      <c r="R30" s="10" t="n"/>
      <c r="S30" s="10" t="n"/>
      <c r="T30" s="10" t="n"/>
      <c r="U30" s="10" t="n"/>
      <c r="V30" s="10" t="n"/>
      <c r="W30" s="11" t="n"/>
      <c r="X30" s="46" t="inlineStr">
        <is>
          <r>
            <rPr>
              <rFont val="メイリオ"/>
              <b val="1"/>
              <sz val="10"/>
            </rPr>
            <t xml:space="preserve">ステップ1：
</t>
          </r>
          <r>
            <rPr>
              <rFont val="メイリオ"/>
              <sz val="10"/>
            </rPr>
            <t xml:space="preserve">形式エラーが表示されること（メッセージ `漢字・ひらがな・カタカナで入力してください。`）
</t>
          </r>
          <r>
            <rPr>
              <rFont val="メイリオ"/>
              <b val="1"/>
              <sz val="10"/>
            </rPr>
            <t xml:space="preserve">ステップ2：
</t>
          </r>
          <r>
            <rPr>
              <rFont val="メイリオ"/>
              <sz val="10"/>
            </rPr>
            <t xml:space="preserve">形式エラーが表示されないこと（全角ひらがなが入力可能であること）
</t>
          </r>
          <r>
            <rPr>
              <rFont val="メイリオ"/>
              <b val="1"/>
              <sz val="10"/>
            </rPr>
            <t xml:space="preserve">ステップ3：
</t>
          </r>
          <r>
            <rPr>
              <rFont val="メイリオ"/>
              <sz val="10"/>
            </rPr>
            <t xml:space="preserve">形式エラーが表示されないこと（全角カタカナが入力可能であること）
</t>
          </r>
          <r>
            <rPr>
              <rFont val="メイリオ"/>
              <b val="1"/>
              <sz val="10"/>
            </rPr>
            <t xml:space="preserve">ステップ4：
</t>
          </r>
          <r>
            <rPr>
              <rFont val="メイリオ"/>
              <sz val="10"/>
            </rPr>
            <t xml:space="preserve">形式エラーが表示されないこと（漢字が入力可能であること）
</t>
          </r>
          <r>
            <rPr>
              <rFont val="メイリオ"/>
              <b val="1"/>
              <sz val="10"/>
            </rPr>
            <t xml:space="preserve">補足：
</t>
          </r>
          <r>
            <rPr>
              <rFont val="メイリオ"/>
              <sz val="10"/>
            </rPr>
            <t xml:space="preserve">・顧客要件 2026-07：ひらがな/カタカナ表記の氏名の方に対応するため、氏名（漢字）は漢字のみから漢字・ひらがな・カタカナ許容に緩和
</t>
          </r>
          <r>
            <rPr>
              <rFont val="メイリオ"/>
              <sz val="10"/>
            </rPr>
            <t xml:space="preserve">・対象は 購読者氏名_氏/名（shimei_sei/shimei_mei）および配達先氏名_姓/名（haitatsu_shimei_sei/haitatsu_shimei_mei）
</t>
          </r>
          <r>
            <rPr>
              <rFont val="メイリオ"/>
              <sz val="10"/>
            </rPr>
            <t xml:space="preserve">・半角カナ・英数字は引き続き不可。形式不正時は `漢字・ひらがな・カタカナで入力してください。` を表示すること
</t>
          </r>
          <r>
            <rPr>
              <rFont val="メイリオ"/>
              <sz val="10"/>
            </rPr>
            <t>・かな項目（shimei_kana_*）の全角ひらがな形式は変更なし（ACSMS-TC-011-015）</t>
          </r>
        </is>
      </c>
      <c r="Y30" s="10" t="n"/>
      <c r="Z30" s="10" t="n"/>
      <c r="AA30" s="10" t="n"/>
      <c r="AB30" s="10" t="n"/>
      <c r="AC30" s="10" t="n"/>
      <c r="AD30" s="11" t="n"/>
      <c r="AE30" s="45" t="inlineStr">
        <is>
          <t>A</t>
        </is>
      </c>
      <c r="AF30" s="11" t="n"/>
      <c r="AG30" s="45" t="inlineStr"/>
      <c r="AH30" s="10" t="n"/>
      <c r="AI30" s="11" t="n"/>
      <c r="AJ30" s="45" t="inlineStr"/>
      <c r="AK30" s="10" t="n"/>
      <c r="AL30" s="11" t="n"/>
      <c r="AM30" s="45" t="inlineStr"/>
      <c r="AN30" s="10" t="n"/>
      <c r="AO30" s="11" t="n"/>
      <c r="AP30" s="45" t="inlineStr"/>
      <c r="AQ30" s="10" t="n"/>
      <c r="AR30" s="11" t="n"/>
      <c r="AS30" s="45" t="inlineStr"/>
      <c r="AT30" s="10" t="n"/>
      <c r="AU30" s="11" t="n"/>
      <c r="AV30" s="45" t="inlineStr"/>
      <c r="AW30" s="10" t="n"/>
      <c r="AX30" s="11" t="n"/>
      <c r="AY30" s="45" t="inlineStr"/>
      <c r="AZ30" s="10" t="n"/>
      <c r="BA30" s="11" t="n"/>
      <c r="BB30" s="45" t="inlineStr"/>
      <c r="BC30" s="10" t="n"/>
      <c r="BD30" s="11" t="n"/>
      <c r="BE30" s="45" t="inlineStr"/>
      <c r="BF30" s="10" t="n"/>
      <c r="BG30" s="11" t="n"/>
      <c r="BH30" s="45" t="inlineStr"/>
      <c r="BI30" s="10" t="n"/>
      <c r="BJ30" s="11" t="n"/>
      <c r="BK30" s="46" t="inlineStr"/>
      <c r="BL30" s="10" t="n"/>
      <c r="BM30" s="10" t="n"/>
      <c r="BN30" s="10" t="n"/>
      <c r="BO30" s="10" t="n"/>
      <c r="BP30" s="10" t="n"/>
      <c r="BQ30" s="11" t="n"/>
    </row>
    <row r="31" ht="368" customHeight="1">
      <c r="A31" s="44" t="n">
        <v>17</v>
      </c>
      <c r="B31" s="46" t="inlineStr">
        <is>
          <t>ACSMS-TC-011-016</t>
        </is>
      </c>
      <c r="C31" s="10" t="n"/>
      <c r="D31" s="11" t="n"/>
      <c r="E31" s="46" t="inlineStr">
        <is>
          <t>郵便番号 7桁チェック</t>
        </is>
      </c>
      <c r="F31" s="10" t="n"/>
      <c r="G31" s="10" t="n"/>
      <c r="H31" s="10" t="n"/>
      <c r="I31" s="11" t="n"/>
      <c r="J31" s="46" t="inlineStr">
        <is>
          <t>・role: JA_HONTEN（ja_id=100 所属）
・購読者情報登録画面（新規作成モード）を開いた状態</t>
        </is>
      </c>
      <c r="K31" s="10" t="n"/>
      <c r="L31" s="10" t="n"/>
      <c r="M31" s="10" t="n"/>
      <c r="N31" s="10" t="n"/>
      <c r="O31" s="10" t="n"/>
      <c r="P31" s="11" t="n"/>
      <c r="Q31" s="46" t="inlineStr">
        <is>
          <r>
            <rPr>
              <rFont val="メイリオ"/>
              <b val="1"/>
              <sz val="10"/>
            </rPr>
            <t xml:space="preserve">ステップ1：
</t>
          </r>
          <r>
            <rPr>
              <rFont val="メイリオ"/>
              <sz val="10"/>
            </rPr>
            <t xml:space="preserve">郵便番号（yubin_no）に「123」（6桁未満）を入力し「承認・登録」ボタンを押下
</t>
          </r>
          <r>
            <rPr>
              <rFont val="メイリオ"/>
              <b val="1"/>
              <sz val="10"/>
            </rPr>
            <t xml:space="preserve">ステップ2：
</t>
          </r>
          <r>
            <rPr>
              <rFont val="メイリオ"/>
              <sz val="10"/>
            </rPr>
            <t xml:space="preserve">郵便番号（yubin_no）に「123-4567」（ハイフン入り）を入力し「承認・登録」ボタンを押下
</t>
          </r>
          <r>
            <rPr>
              <rFont val="メイリオ"/>
              <b val="1"/>
              <sz val="10"/>
            </rPr>
            <t xml:space="preserve">ステップ3：
</t>
          </r>
          <r>
            <rPr>
              <rFont val="メイリオ"/>
              <sz val="10"/>
            </rPr>
            <t>郵便番号（yubin_no）に「1234567」（半角数字7桁）を入力し「承認・登録」ボタンを押下</t>
          </r>
        </is>
      </c>
      <c r="R31" s="10" t="n"/>
      <c r="S31" s="10" t="n"/>
      <c r="T31" s="10" t="n"/>
      <c r="U31" s="10" t="n"/>
      <c r="V31" s="10" t="n"/>
      <c r="W31" s="11" t="n"/>
      <c r="X31" s="46" t="inlineStr">
        <is>
          <r>
            <rPr>
              <rFont val="メイリオ"/>
              <b val="1"/>
              <sz val="10"/>
            </rPr>
            <t xml:space="preserve">ステップ1：
</t>
          </r>
          <r>
            <rPr>
              <rFont val="メイリオ"/>
              <sz val="10"/>
            </rPr>
            <t xml:space="preserve">形式エラーが表示されること（メッセージ `郵便番号は7桁で入力してください。`）
</t>
          </r>
          <r>
            <rPr>
              <rFont val="メイリオ"/>
              <b val="1"/>
              <sz val="10"/>
            </rPr>
            <t xml:space="preserve">ステップ2：
</t>
          </r>
          <r>
            <rPr>
              <rFont val="メイリオ"/>
              <sz val="10"/>
            </rPr>
            <t xml:space="preserve">形式エラーが表示されること（ハイフン入力不可、メッセージ `郵便番号は7桁で入力してください。`）
</t>
          </r>
          <r>
            <rPr>
              <rFont val="メイリオ"/>
              <b val="1"/>
              <sz val="10"/>
            </rPr>
            <t xml:space="preserve">ステップ3：
</t>
          </r>
          <r>
            <rPr>
              <rFont val="メイリオ"/>
              <sz val="10"/>
            </rPr>
            <t xml:space="preserve">郵便番号の形式エラーが表示されないこと（半角数字7桁が入力可能であること）
</t>
          </r>
          <r>
            <rPr>
              <rFont val="メイリオ"/>
              <b val="1"/>
              <sz val="10"/>
            </rPr>
            <t xml:space="preserve">補足：
</t>
          </r>
          <r>
            <rPr>
              <rFont val="メイリオ"/>
              <sz val="10"/>
            </rPr>
            <t xml:space="preserve">・郵便番号は半角数字7桁固定、ハイフン入力不可とすること
</t>
          </r>
          <r>
            <rPr>
              <rFont val="メイリオ"/>
              <sz val="10"/>
            </rPr>
            <t>・桁数不正の場合 ACSMS-MSG-011-004 メッセージ `郵便番号は7桁で入力してください。` を表示すること</t>
          </r>
        </is>
      </c>
      <c r="Y31" s="10" t="n"/>
      <c r="Z31" s="10" t="n"/>
      <c r="AA31" s="10" t="n"/>
      <c r="AB31" s="10" t="n"/>
      <c r="AC31" s="10" t="n"/>
      <c r="AD31" s="11" t="n"/>
      <c r="AE31" s="45" t="inlineStr">
        <is>
          <t>A</t>
        </is>
      </c>
      <c r="AF31" s="11" t="n"/>
      <c r="AG31" s="45" t="inlineStr"/>
      <c r="AH31" s="10" t="n"/>
      <c r="AI31" s="11" t="n"/>
      <c r="AJ31" s="45" t="inlineStr"/>
      <c r="AK31" s="10" t="n"/>
      <c r="AL31" s="11" t="n"/>
      <c r="AM31" s="45" t="inlineStr"/>
      <c r="AN31" s="10" t="n"/>
      <c r="AO31" s="11" t="n"/>
      <c r="AP31" s="45" t="inlineStr"/>
      <c r="AQ31" s="10" t="n"/>
      <c r="AR31" s="11" t="n"/>
      <c r="AS31" s="45" t="inlineStr"/>
      <c r="AT31" s="10" t="n"/>
      <c r="AU31" s="11" t="n"/>
      <c r="AV31" s="45" t="inlineStr"/>
      <c r="AW31" s="10" t="n"/>
      <c r="AX31" s="11" t="n"/>
      <c r="AY31" s="45" t="inlineStr"/>
      <c r="AZ31" s="10" t="n"/>
      <c r="BA31" s="11" t="n"/>
      <c r="BB31" s="45" t="inlineStr"/>
      <c r="BC31" s="10" t="n"/>
      <c r="BD31" s="11" t="n"/>
      <c r="BE31" s="45" t="inlineStr"/>
      <c r="BF31" s="10" t="n"/>
      <c r="BG31" s="11" t="n"/>
      <c r="BH31" s="45" t="inlineStr"/>
      <c r="BI31" s="10" t="n"/>
      <c r="BJ31" s="11" t="n"/>
      <c r="BK31" s="46" t="inlineStr"/>
      <c r="BL31" s="10" t="n"/>
      <c r="BM31" s="10" t="n"/>
      <c r="BN31" s="10" t="n"/>
      <c r="BO31" s="10" t="n"/>
      <c r="BP31" s="10" t="n"/>
      <c r="BQ31" s="11" t="n"/>
    </row>
    <row r="32" ht="400" customHeight="1">
      <c r="A32" s="44" t="n">
        <v>18</v>
      </c>
      <c r="B32" s="46" t="inlineStr">
        <is>
          <t>ACSMS-TC-011-017</t>
        </is>
      </c>
      <c r="C32" s="10" t="n"/>
      <c r="D32" s="11" t="n"/>
      <c r="E32" s="46" t="inlineStr">
        <is>
          <t>メールアドレス 形式チェック</t>
        </is>
      </c>
      <c r="F32" s="10" t="n"/>
      <c r="G32" s="10" t="n"/>
      <c r="H32" s="10" t="n"/>
      <c r="I32" s="11" t="n"/>
      <c r="J32" s="46" t="inlineStr">
        <is>
          <t>・role: JA_HONTEN（ja_id=100 所属）
・購読者情報登録画面（新規作成モード）を開いた状態</t>
        </is>
      </c>
      <c r="K32" s="10" t="n"/>
      <c r="L32" s="10" t="n"/>
      <c r="M32" s="10" t="n"/>
      <c r="N32" s="10" t="n"/>
      <c r="O32" s="10" t="n"/>
      <c r="P32" s="11" t="n"/>
      <c r="Q32" s="46" t="inlineStr">
        <is>
          <r>
            <rPr>
              <rFont val="メイリオ"/>
              <b val="1"/>
              <sz val="10"/>
            </rPr>
            <t xml:space="preserve">ステップ1：
</t>
          </r>
          <r>
            <rPr>
              <rFont val="メイリオ"/>
              <sz val="10"/>
            </rPr>
            <t xml:space="preserve">メールアドレス（email）に「yamada」（@なし）を入力し「承認・登録」ボタンを押下
</t>
          </r>
          <r>
            <rPr>
              <rFont val="メイリオ"/>
              <b val="1"/>
              <sz val="10"/>
            </rPr>
            <t xml:space="preserve">ステップ2：
</t>
          </r>
          <r>
            <rPr>
              <rFont val="メイリオ"/>
              <sz val="10"/>
            </rPr>
            <t xml:space="preserve">メールアドレス（email）に「yamada@」（ドメインなし）を入力し「承認・登録」ボタンを押下
</t>
          </r>
          <r>
            <rPr>
              <rFont val="メイリオ"/>
              <b val="1"/>
              <sz val="10"/>
            </rPr>
            <t xml:space="preserve">ステップ3：
</t>
          </r>
          <r>
            <rPr>
              <rFont val="メイリオ"/>
              <sz val="10"/>
            </rPr>
            <t>メールアドレス（email）に「yamada@example.com」（正しい形式）を入力し「承認・登録」ボタンを押下</t>
          </r>
        </is>
      </c>
      <c r="R32" s="10" t="n"/>
      <c r="S32" s="10" t="n"/>
      <c r="T32" s="10" t="n"/>
      <c r="U32" s="10" t="n"/>
      <c r="V32" s="10" t="n"/>
      <c r="W32" s="11" t="n"/>
      <c r="X32" s="46" t="inlineStr">
        <is>
          <r>
            <rPr>
              <rFont val="メイリオ"/>
              <b val="1"/>
              <sz val="10"/>
            </rPr>
            <t xml:space="preserve">ステップ1：
</t>
          </r>
          <r>
            <rPr>
              <rFont val="メイリオ"/>
              <sz val="10"/>
            </rPr>
            <t xml:space="preserve">形式エラーが表示されること（メッセージ `正しいメールアドレスを入力してください。`）
</t>
          </r>
          <r>
            <rPr>
              <rFont val="メイリオ"/>
              <b val="1"/>
              <sz val="10"/>
            </rPr>
            <t xml:space="preserve">ステップ2：
</t>
          </r>
          <r>
            <rPr>
              <rFont val="メイリオ"/>
              <sz val="10"/>
            </rPr>
            <t xml:space="preserve">形式エラーが表示されること（メッセージ `正しいメールアドレスを入力してください。`）
</t>
          </r>
          <r>
            <rPr>
              <rFont val="メイリオ"/>
              <b val="1"/>
              <sz val="10"/>
            </rPr>
            <t xml:space="preserve">ステップ3：
</t>
          </r>
          <r>
            <rPr>
              <rFont val="メイリオ"/>
              <sz val="10"/>
            </rPr>
            <t xml:space="preserve">メールアドレスの形式エラーが表示されないこと
</t>
          </r>
          <r>
            <rPr>
              <rFont val="メイリオ"/>
              <b val="1"/>
              <sz val="10"/>
            </rPr>
            <t xml:space="preserve">補足：
</t>
          </r>
          <r>
            <rPr>
              <rFont val="メイリオ"/>
              <sz val="10"/>
            </rPr>
            <t xml:space="preserve">・メールアドレスは RFC 5322 形式チェックを行うこと
</t>
          </r>
          <r>
            <rPr>
              <rFont val="メイリオ"/>
              <sz val="10"/>
            </rPr>
            <t xml:space="preserve">・形式不正の場合 ACSMS-MSG-011-005 メッセージ `正しいメールアドレスを入力してください。` を表示すること
</t>
          </r>
          <r>
            <rPr>
              <rFont val="メイリオ"/>
              <sz val="10"/>
            </rPr>
            <t>・メールアドレス項目は `type="text"` を使用し、ブラウザ標準の英語ポップアップを使用しないこと</t>
          </r>
        </is>
      </c>
      <c r="Y32" s="10" t="n"/>
      <c r="Z32" s="10" t="n"/>
      <c r="AA32" s="10" t="n"/>
      <c r="AB32" s="10" t="n"/>
      <c r="AC32" s="10" t="n"/>
      <c r="AD32" s="11" t="n"/>
      <c r="AE32" s="45" t="inlineStr">
        <is>
          <t>A</t>
        </is>
      </c>
      <c r="AF32" s="11" t="n"/>
      <c r="AG32" s="45" t="inlineStr"/>
      <c r="AH32" s="10" t="n"/>
      <c r="AI32" s="11" t="n"/>
      <c r="AJ32" s="45" t="inlineStr"/>
      <c r="AK32" s="10" t="n"/>
      <c r="AL32" s="11" t="n"/>
      <c r="AM32" s="45" t="inlineStr"/>
      <c r="AN32" s="10" t="n"/>
      <c r="AO32" s="11" t="n"/>
      <c r="AP32" s="45" t="inlineStr"/>
      <c r="AQ32" s="10" t="n"/>
      <c r="AR32" s="11" t="n"/>
      <c r="AS32" s="45" t="inlineStr"/>
      <c r="AT32" s="10" t="n"/>
      <c r="AU32" s="11" t="n"/>
      <c r="AV32" s="45" t="inlineStr"/>
      <c r="AW32" s="10" t="n"/>
      <c r="AX32" s="11" t="n"/>
      <c r="AY32" s="45" t="inlineStr"/>
      <c r="AZ32" s="10" t="n"/>
      <c r="BA32" s="11" t="n"/>
      <c r="BB32" s="45" t="inlineStr"/>
      <c r="BC32" s="10" t="n"/>
      <c r="BD32" s="11" t="n"/>
      <c r="BE32" s="45" t="inlineStr"/>
      <c r="BF32" s="10" t="n"/>
      <c r="BG32" s="11" t="n"/>
      <c r="BH32" s="45" t="inlineStr"/>
      <c r="BI32" s="10" t="n"/>
      <c r="BJ32" s="11" t="n"/>
      <c r="BK32" s="46" t="inlineStr"/>
      <c r="BL32" s="10" t="n"/>
      <c r="BM32" s="10" t="n"/>
      <c r="BN32" s="10" t="n"/>
      <c r="BO32" s="10" t="n"/>
      <c r="BP32" s="10" t="n"/>
      <c r="BQ32" s="11" t="n"/>
    </row>
    <row r="33" ht="384" customHeight="1">
      <c r="A33" s="44" t="n">
        <v>19</v>
      </c>
      <c r="B33" s="46" t="inlineStr">
        <is>
          <t>ACSMS-TC-011-018</t>
        </is>
      </c>
      <c r="C33" s="10" t="n"/>
      <c r="D33" s="11" t="n"/>
      <c r="E33" s="46" t="inlineStr">
        <is>
          <t>メールアドレス 条件付き必須（電子版・併読）</t>
        </is>
      </c>
      <c r="F33" s="10" t="n"/>
      <c r="G33" s="10" t="n"/>
      <c r="H33" s="10" t="n"/>
      <c r="I33" s="11" t="n"/>
      <c r="J33" s="46" t="inlineStr">
        <is>
          <t>・role: JA_HONTEN（ja_id=100 所属）
・購読者情報登録画面（新規作成モード）を開いた状態</t>
        </is>
      </c>
      <c r="K33" s="10" t="n"/>
      <c r="L33" s="10" t="n"/>
      <c r="M33" s="10" t="n"/>
      <c r="N33" s="10" t="n"/>
      <c r="O33" s="10" t="n"/>
      <c r="P33" s="11" t="n"/>
      <c r="Q33" s="46" t="inlineStr">
        <is>
          <r>
            <rPr>
              <rFont val="メイリオ"/>
              <b val="1"/>
              <sz val="10"/>
            </rPr>
            <t xml:space="preserve">ステップ1：
</t>
          </r>
          <r>
            <rPr>
              <rFont val="メイリオ"/>
              <sz val="10"/>
            </rPr>
            <t xml:space="preserve">購読種別（dokusya_shubetsu）で「電子版」を選択し、メールアドレス（email）を空欄のまま「承認・登録」ボタンを押下
</t>
          </r>
          <r>
            <rPr>
              <rFont val="メイリオ"/>
              <b val="1"/>
              <sz val="10"/>
            </rPr>
            <t xml:space="preserve">ステップ2：
</t>
          </r>
          <r>
            <rPr>
              <rFont val="メイリオ"/>
              <sz val="10"/>
            </rPr>
            <t xml:space="preserve">購読種別で「併読」を選択し、メールアドレスを空欄のまま「承認・登録」ボタンを押下
</t>
          </r>
          <r>
            <rPr>
              <rFont val="メイリオ"/>
              <b val="1"/>
              <sz val="10"/>
            </rPr>
            <t xml:space="preserve">ステップ3：
</t>
          </r>
          <r>
            <rPr>
              <rFont val="メイリオ"/>
              <sz val="10"/>
            </rPr>
            <t>購読種別で「紙版」を選択し、メールアドレスを空欄のまま他必須項目を入力して「承認・登録」ボタンを押下</t>
          </r>
        </is>
      </c>
      <c r="R33" s="10" t="n"/>
      <c r="S33" s="10" t="n"/>
      <c r="T33" s="10" t="n"/>
      <c r="U33" s="10" t="n"/>
      <c r="V33" s="10" t="n"/>
      <c r="W33" s="11" t="n"/>
      <c r="X33" s="46" t="inlineStr">
        <is>
          <r>
            <rPr>
              <rFont val="メイリオ"/>
              <b val="1"/>
              <sz val="10"/>
            </rPr>
            <t xml:space="preserve">ステップ1：
</t>
          </r>
          <r>
            <rPr>
              <rFont val="メイリオ"/>
              <sz val="10"/>
            </rPr>
            <t xml:space="preserve">メールアドレス（email）の下に必須入力エラーが表示されること（メッセージ `必須項目です。`）
</t>
          </r>
          <r>
            <rPr>
              <rFont val="メイリオ"/>
              <b val="1"/>
              <sz val="10"/>
            </rPr>
            <t xml:space="preserve">ステップ2：
</t>
          </r>
          <r>
            <rPr>
              <rFont val="メイリオ"/>
              <sz val="10"/>
            </rPr>
            <t xml:space="preserve">メールアドレス（email）の下に必須入力エラーが表示されること（メッセージ `必須項目です。`）
</t>
          </r>
          <r>
            <rPr>
              <rFont val="メイリオ"/>
              <b val="1"/>
              <sz val="10"/>
            </rPr>
            <t xml:space="preserve">ステップ3：
</t>
          </r>
          <r>
            <rPr>
              <rFont val="メイリオ"/>
              <sz val="10"/>
            </rPr>
            <t xml:space="preserve">メールアドレス（email）の必須入力エラーが表示されないこと（紙版の場合は任意であること）
</t>
          </r>
          <r>
            <rPr>
              <rFont val="メイリオ"/>
              <b val="1"/>
              <sz val="10"/>
            </rPr>
            <t xml:space="preserve">補足：
</t>
          </r>
          <r>
            <rPr>
              <rFont val="メイリオ"/>
              <sz val="10"/>
            </rPr>
            <t xml:space="preserve">・購読種別=電子版/併読時はメールアドレスを必須とすること（機能定義 §7.1）
</t>
          </r>
          <r>
            <rPr>
              <rFont val="メイリオ"/>
              <sz val="10"/>
            </rPr>
            <t>・紙版の場合はメールアドレスは任意であること</t>
          </r>
        </is>
      </c>
      <c r="Y33" s="10" t="n"/>
      <c r="Z33" s="10" t="n"/>
      <c r="AA33" s="10" t="n"/>
      <c r="AB33" s="10" t="n"/>
      <c r="AC33" s="10" t="n"/>
      <c r="AD33" s="11" t="n"/>
      <c r="AE33" s="45" t="inlineStr">
        <is>
          <t>A</t>
        </is>
      </c>
      <c r="AF33" s="11" t="n"/>
      <c r="AG33" s="45" t="inlineStr"/>
      <c r="AH33" s="10" t="n"/>
      <c r="AI33" s="11" t="n"/>
      <c r="AJ33" s="45" t="inlineStr"/>
      <c r="AK33" s="10" t="n"/>
      <c r="AL33" s="11" t="n"/>
      <c r="AM33" s="45" t="inlineStr"/>
      <c r="AN33" s="10" t="n"/>
      <c r="AO33" s="11" t="n"/>
      <c r="AP33" s="45" t="inlineStr"/>
      <c r="AQ33" s="10" t="n"/>
      <c r="AR33" s="11" t="n"/>
      <c r="AS33" s="45" t="inlineStr"/>
      <c r="AT33" s="10" t="n"/>
      <c r="AU33" s="11" t="n"/>
      <c r="AV33" s="45" t="inlineStr"/>
      <c r="AW33" s="10" t="n"/>
      <c r="AX33" s="11" t="n"/>
      <c r="AY33" s="45" t="inlineStr"/>
      <c r="AZ33" s="10" t="n"/>
      <c r="BA33" s="11" t="n"/>
      <c r="BB33" s="45" t="inlineStr"/>
      <c r="BC33" s="10" t="n"/>
      <c r="BD33" s="11" t="n"/>
      <c r="BE33" s="45" t="inlineStr"/>
      <c r="BF33" s="10" t="n"/>
      <c r="BG33" s="11" t="n"/>
      <c r="BH33" s="45" t="inlineStr"/>
      <c r="BI33" s="10" t="n"/>
      <c r="BJ33" s="11" t="n"/>
      <c r="BK33" s="46" t="inlineStr"/>
      <c r="BL33" s="10" t="n"/>
      <c r="BM33" s="10" t="n"/>
      <c r="BN33" s="10" t="n"/>
      <c r="BO33" s="10" t="n"/>
      <c r="BP33" s="10" t="n"/>
      <c r="BQ33" s="11" t="n"/>
    </row>
    <row r="34" ht="450" customHeight="1">
      <c r="A34" s="44" t="n">
        <v>20</v>
      </c>
      <c r="B34" s="46" t="inlineStr">
        <is>
          <t>ACSMS-TC-011-019</t>
        </is>
      </c>
      <c r="C34" s="10" t="n"/>
      <c r="D34" s="11" t="n"/>
      <c r="E34" s="46" t="inlineStr">
        <is>
          <t>口座引落時の銀行クラスタ 条件付き必須</t>
        </is>
      </c>
      <c r="F34" s="10" t="n"/>
      <c r="G34" s="10" t="n"/>
      <c r="H34" s="10" t="n"/>
      <c r="I34" s="11" t="n"/>
      <c r="J34" s="46" t="inlineStr">
        <is>
          <t>・role: JA_HONTEN（ja_id=100 所属）
・購読種別=紙版
・支払方法（shiharai_hoho）で「口座引落」を選択した状態</t>
        </is>
      </c>
      <c r="K34" s="10" t="n"/>
      <c r="L34" s="10" t="n"/>
      <c r="M34" s="10" t="n"/>
      <c r="N34" s="10" t="n"/>
      <c r="O34" s="10" t="n"/>
      <c r="P34" s="11" t="n"/>
      <c r="Q34" s="46" t="inlineStr">
        <is>
          <r>
            <rPr>
              <rFont val="メイリオ"/>
              <b val="1"/>
              <sz val="10"/>
            </rPr>
            <t xml:space="preserve">ステップ1：
</t>
          </r>
          <r>
            <rPr>
              <rFont val="メイリオ"/>
              <sz val="10"/>
            </rPr>
            <t xml:space="preserve">引落口座支店（bank_shiten_id）・引落口座貯金種目（hikiotoshi_yokin_shubetsu）・引落口座番号（hikiotoshi_koza_no）・引落口座名義（hikiotoshi_koza_meigi）を空欄のまま「承認・登録」ボタンを押下
</t>
          </r>
          <r>
            <rPr>
              <rFont val="メイリオ"/>
              <b val="1"/>
              <sz val="10"/>
            </rPr>
            <t xml:space="preserve">ステップ2：
</t>
          </r>
          <r>
            <rPr>
              <rFont val="メイリオ"/>
              <sz val="10"/>
            </rPr>
            <t xml:space="preserve">支払方法を「現金集金」に変更し、上記4項目を空欄のまま「承認・登録」ボタンを押下
</t>
          </r>
          <r>
            <rPr>
              <rFont val="メイリオ"/>
              <b val="1"/>
              <sz val="10"/>
            </rPr>
            <t xml:space="preserve">ステップ3：
</t>
          </r>
          <r>
            <rPr>
              <rFont val="メイリオ"/>
              <sz val="10"/>
            </rPr>
            <t>引落口座支店プルダウンの選択肢を確認</t>
          </r>
        </is>
      </c>
      <c r="R34" s="10" t="n"/>
      <c r="S34" s="10" t="n"/>
      <c r="T34" s="10" t="n"/>
      <c r="U34" s="10" t="n"/>
      <c r="V34" s="10" t="n"/>
      <c r="W34" s="11" t="n"/>
      <c r="X34" s="46" t="inlineStr">
        <is>
          <r>
            <rPr>
              <rFont val="メイリオ"/>
              <b val="1"/>
              <sz val="10"/>
            </rPr>
            <t xml:space="preserve">ステップ1：
</t>
          </r>
          <r>
            <rPr>
              <rFont val="メイリオ"/>
              <sz val="10"/>
            </rPr>
            <t xml:space="preserve">引落口座支店・引落口座貯金種目・引落口座番号・引落口座名義の下にエラーが表示されること（メッセージ `口座引落の場合、〇〇は必須です。`）
</t>
          </r>
          <r>
            <rPr>
              <rFont val="メイリオ"/>
              <b val="1"/>
              <sz val="10"/>
            </rPr>
            <t xml:space="preserve">ステップ2：
</t>
          </r>
          <r>
            <rPr>
              <rFont val="メイリオ"/>
              <sz val="10"/>
            </rPr>
            <t xml:space="preserve">上記4項目のエラーが表示されないこと（口座引落以外の支払方法では任意であること）
</t>
          </r>
          <r>
            <rPr>
              <rFont val="メイリオ"/>
              <b val="1"/>
              <sz val="10"/>
            </rPr>
            <t xml:space="preserve">ステップ3：
</t>
          </r>
          <r>
            <rPr>
              <rFont val="メイリオ"/>
              <sz val="10"/>
            </rPr>
            <t xml:space="preserve">金融機関支店フラグ（kinyu_shiten_flg=TRUE）の支店のみが選択肢に表示されること
</t>
          </r>
          <r>
            <rPr>
              <rFont val="メイリオ"/>
              <b val="1"/>
              <sz val="10"/>
            </rPr>
            <t xml:space="preserve">補足：
</t>
          </r>
          <r>
            <rPr>
              <rFont val="メイリオ"/>
              <sz val="10"/>
            </rPr>
            <t xml:space="preserve">・支払方法=口座引落（shiharai_hoho=1）の場合、引落口座クラスタ4項目を必須とすること（機能定義 §10.1）
</t>
          </r>
          <r>
            <rPr>
              <rFont val="メイリオ"/>
              <sz val="10"/>
            </rPr>
            <t xml:space="preserve">・口座引落必須エラーは ACSMS-MSG-011-006 メッセージ `口座引落の場合、〇〇は必須です。` を表示すること
</t>
          </r>
          <r>
            <rPr>
              <rFont val="メイリオ"/>
              <sz val="10"/>
            </rPr>
            <t>・引落口座支店プルダウンは `m_shiten.kinyu_shiten_flg=TRUE` のもののみ表示すること</t>
          </r>
        </is>
      </c>
      <c r="Y34" s="10" t="n"/>
      <c r="Z34" s="10" t="n"/>
      <c r="AA34" s="10" t="n"/>
      <c r="AB34" s="10" t="n"/>
      <c r="AC34" s="10" t="n"/>
      <c r="AD34" s="11" t="n"/>
      <c r="AE34" s="45" t="inlineStr">
        <is>
          <t>A</t>
        </is>
      </c>
      <c r="AF34" s="11" t="n"/>
      <c r="AG34" s="45" t="inlineStr"/>
      <c r="AH34" s="10" t="n"/>
      <c r="AI34" s="11" t="n"/>
      <c r="AJ34" s="45" t="inlineStr"/>
      <c r="AK34" s="10" t="n"/>
      <c r="AL34" s="11" t="n"/>
      <c r="AM34" s="45" t="inlineStr"/>
      <c r="AN34" s="10" t="n"/>
      <c r="AO34" s="11" t="n"/>
      <c r="AP34" s="45" t="inlineStr"/>
      <c r="AQ34" s="10" t="n"/>
      <c r="AR34" s="11" t="n"/>
      <c r="AS34" s="45" t="inlineStr"/>
      <c r="AT34" s="10" t="n"/>
      <c r="AU34" s="11" t="n"/>
      <c r="AV34" s="45" t="inlineStr"/>
      <c r="AW34" s="10" t="n"/>
      <c r="AX34" s="11" t="n"/>
      <c r="AY34" s="45" t="inlineStr"/>
      <c r="AZ34" s="10" t="n"/>
      <c r="BA34" s="11" t="n"/>
      <c r="BB34" s="45" t="inlineStr"/>
      <c r="BC34" s="10" t="n"/>
      <c r="BD34" s="11" t="n"/>
      <c r="BE34" s="45" t="inlineStr"/>
      <c r="BF34" s="10" t="n"/>
      <c r="BG34" s="11" t="n"/>
      <c r="BH34" s="45" t="inlineStr"/>
      <c r="BI34" s="10" t="n"/>
      <c r="BJ34" s="11" t="n"/>
      <c r="BK34" s="46" t="inlineStr"/>
      <c r="BL34" s="10" t="n"/>
      <c r="BM34" s="10" t="n"/>
      <c r="BN34" s="10" t="n"/>
      <c r="BO34" s="10" t="n"/>
      <c r="BP34" s="10" t="n"/>
      <c r="BQ34" s="11" t="n"/>
    </row>
    <row r="35" ht="450" customHeight="1">
      <c r="A35" s="44" t="n">
        <v>21</v>
      </c>
      <c r="B35" s="46" t="inlineStr">
        <is>
          <t>ACSMS-TC-011-020</t>
        </is>
      </c>
      <c r="C35" s="10" t="n"/>
      <c r="D35" s="11" t="n"/>
      <c r="E35" s="46" t="inlineStr">
        <is>
          <t>配達先 条件付き必須（購読者情報と同じが未チェック）</t>
        </is>
      </c>
      <c r="F35" s="10" t="n"/>
      <c r="G35" s="10" t="n"/>
      <c r="H35" s="10" t="n"/>
      <c r="I35" s="11" t="n"/>
      <c r="J35" s="46" t="inlineStr">
        <is>
          <t>・role: JA_HONTEN（ja_id=100 所属）
・購読種別=紙版
・「購読者情報と同じ」（haitatsu_same_flg）が未チェックの状態</t>
        </is>
      </c>
      <c r="K35" s="10" t="n"/>
      <c r="L35" s="10" t="n"/>
      <c r="M35" s="10" t="n"/>
      <c r="N35" s="10" t="n"/>
      <c r="O35" s="10" t="n"/>
      <c r="P35" s="11" t="n"/>
      <c r="Q35" s="46" t="inlineStr">
        <is>
          <r>
            <rPr>
              <rFont val="メイリオ"/>
              <b val="1"/>
              <sz val="10"/>
            </rPr>
            <t xml:space="preserve">ステップ1：
</t>
          </r>
          <r>
            <rPr>
              <rFont val="メイリオ"/>
              <sz val="10"/>
            </rPr>
            <t xml:space="preserve">配達先郵便番号（haitatsu_yubin_no）・配達先都道府県（haitatsu_todofuken_code）・配達先市町村郡（haitatsu_shikuchoson）・配達先丁目番地（haitatsu_chome_banchi）を空欄のまま「承認・登録」ボタンを押下
</t>
          </r>
          <r>
            <rPr>
              <rFont val="メイリオ"/>
              <b val="1"/>
              <sz val="10"/>
            </rPr>
            <t xml:space="preserve">ステップ2：
</t>
          </r>
          <r>
            <rPr>
              <rFont val="メイリオ"/>
              <sz val="10"/>
            </rPr>
            <t xml:space="preserve">配達先苗字漢字（haitatsu_shimei_sei）・配達先名前漢字（haitatsu_shimei_mei）・配達先苗字かな（haitatsu_shimei_kana_sei）・配達先名前かな（haitatsu_shimei_kana_mei）を空欄のまま「承認・登録」ボタンを押下
</t>
          </r>
          <r>
            <rPr>
              <rFont val="メイリオ"/>
              <b val="1"/>
              <sz val="10"/>
            </rPr>
            <t xml:space="preserve">ステップ3：
</t>
          </r>
          <r>
            <rPr>
              <rFont val="メイリオ"/>
              <sz val="10"/>
            </rPr>
            <t>「購読者情報と同じ」をチェックし、配達先項目を空欄のまま「承認・登録」ボタンを押下</t>
          </r>
        </is>
      </c>
      <c r="R35" s="10" t="n"/>
      <c r="S35" s="10" t="n"/>
      <c r="T35" s="10" t="n"/>
      <c r="U35" s="10" t="n"/>
      <c r="V35" s="10" t="n"/>
      <c r="W35" s="11" t="n"/>
      <c r="X35" s="46" t="inlineStr">
        <is>
          <r>
            <rPr>
              <rFont val="メイリオ"/>
              <b val="1"/>
              <sz val="10"/>
            </rPr>
            <t xml:space="preserve">ステップ1：
</t>
          </r>
          <r>
            <rPr>
              <rFont val="メイリオ"/>
              <sz val="10"/>
            </rPr>
            <t xml:space="preserve">配達先郵便番号・配達先都道府県・配達先市町村郡・配達先丁目番地の下に必須入力エラーが表示されること（メッセージ `必須項目です。`）
</t>
          </r>
          <r>
            <rPr>
              <rFont val="メイリオ"/>
              <b val="1"/>
              <sz val="10"/>
            </rPr>
            <t xml:space="preserve">ステップ2：
</t>
          </r>
          <r>
            <rPr>
              <rFont val="メイリオ"/>
              <sz val="10"/>
            </rPr>
            <t xml:space="preserve">配達先苗字漢字・配達先名前漢字・配達先苗字かな・配達先名前かなの下に必須入力エラーが表示されること（メッセージ `必須項目です。`）
</t>
          </r>
          <r>
            <rPr>
              <rFont val="メイリオ"/>
              <b val="1"/>
              <sz val="10"/>
            </rPr>
            <t xml:space="preserve">ステップ3：
</t>
          </r>
          <r>
            <rPr>
              <rFont val="メイリオ"/>
              <sz val="10"/>
            </rPr>
            <t xml:space="preserve">配達先項目の必須入力エラーが表示されないこと（チェック時は購読者情報をコピーするため必須スキップとなること）
</t>
          </r>
          <r>
            <rPr>
              <rFont val="メイリオ"/>
              <b val="1"/>
              <sz val="10"/>
            </rPr>
            <t xml:space="preserve">補足：
</t>
          </r>
          <r>
            <rPr>
              <rFont val="メイリオ"/>
              <sz val="10"/>
            </rPr>
            <t xml:space="preserve">・「購読者情報と同じ」未チェック時は配達先郵便番号〜丁目番地および配達先氏名（漢字・かな）を必須とすること（機能定義 §9.2）
</t>
          </r>
          <r>
            <rPr>
              <rFont val="メイリオ"/>
              <sz val="10"/>
            </rPr>
            <t>・チェック時はDB保存時に購読者情報からコピーすること（機能定義 §9.1）</t>
          </r>
        </is>
      </c>
      <c r="Y35" s="10" t="n"/>
      <c r="Z35" s="10" t="n"/>
      <c r="AA35" s="10" t="n"/>
      <c r="AB35" s="10" t="n"/>
      <c r="AC35" s="10" t="n"/>
      <c r="AD35" s="11" t="n"/>
      <c r="AE35" s="45" t="inlineStr">
        <is>
          <t>A</t>
        </is>
      </c>
      <c r="AF35" s="11" t="n"/>
      <c r="AG35" s="45" t="inlineStr"/>
      <c r="AH35" s="10" t="n"/>
      <c r="AI35" s="11" t="n"/>
      <c r="AJ35" s="45" t="inlineStr"/>
      <c r="AK35" s="10" t="n"/>
      <c r="AL35" s="11" t="n"/>
      <c r="AM35" s="45" t="inlineStr"/>
      <c r="AN35" s="10" t="n"/>
      <c r="AO35" s="11" t="n"/>
      <c r="AP35" s="45" t="inlineStr"/>
      <c r="AQ35" s="10" t="n"/>
      <c r="AR35" s="11" t="n"/>
      <c r="AS35" s="45" t="inlineStr"/>
      <c r="AT35" s="10" t="n"/>
      <c r="AU35" s="11" t="n"/>
      <c r="AV35" s="45" t="inlineStr"/>
      <c r="AW35" s="10" t="n"/>
      <c r="AX35" s="11" t="n"/>
      <c r="AY35" s="45" t="inlineStr"/>
      <c r="AZ35" s="10" t="n"/>
      <c r="BA35" s="11" t="n"/>
      <c r="BB35" s="45" t="inlineStr"/>
      <c r="BC35" s="10" t="n"/>
      <c r="BD35" s="11" t="n"/>
      <c r="BE35" s="45" t="inlineStr"/>
      <c r="BF35" s="10" t="n"/>
      <c r="BG35" s="11" t="n"/>
      <c r="BH35" s="45" t="inlineStr"/>
      <c r="BI35" s="10" t="n"/>
      <c r="BJ35" s="11" t="n"/>
      <c r="BK35" s="46" t="inlineStr"/>
      <c r="BL35" s="10" t="n"/>
      <c r="BM35" s="10" t="n"/>
      <c r="BN35" s="10" t="n"/>
      <c r="BO35" s="10" t="n"/>
      <c r="BP35" s="10" t="n"/>
      <c r="BQ35" s="11" t="n"/>
    </row>
    <row r="36" ht="384" customHeight="1">
      <c r="A36" s="44" t="n">
        <v>22</v>
      </c>
      <c r="B36" s="46" t="inlineStr">
        <is>
          <t>ACSMS-TC-011-021</t>
        </is>
      </c>
      <c r="C36" s="10" t="n"/>
      <c r="D36" s="11" t="n"/>
      <c r="E36" s="46" t="inlineStr">
        <is>
          <t>備考 最大文字数チェック・読者情報変更適用日 未来日チェック</t>
        </is>
      </c>
      <c r="F36" s="10" t="n"/>
      <c r="G36" s="10" t="n"/>
      <c r="H36" s="10" t="n"/>
      <c r="I36" s="11" t="n"/>
      <c r="J36" s="46" t="inlineStr">
        <is>
          <t>・role: JA_HONTEN（ja_id=100 所属）
・購読者情報登録画面（新規作成モード）を開いた状態
・当日: 2026-06-03</t>
        </is>
      </c>
      <c r="K36" s="10" t="n"/>
      <c r="L36" s="10" t="n"/>
      <c r="M36" s="10" t="n"/>
      <c r="N36" s="10" t="n"/>
      <c r="O36" s="10" t="n"/>
      <c r="P36" s="11" t="n"/>
      <c r="Q36" s="46" t="inlineStr">
        <is>
          <r>
            <rPr>
              <rFont val="メイリオ"/>
              <b val="1"/>
              <sz val="10"/>
            </rPr>
            <t xml:space="preserve">ステップ1：
</t>
          </r>
          <r>
            <rPr>
              <rFont val="メイリオ"/>
              <sz val="10"/>
            </rPr>
            <t xml:space="preserve">備考（biko）に501文字を入力し「承認・登録」ボタンを押下
</t>
          </r>
          <r>
            <rPr>
              <rFont val="メイリオ"/>
              <b val="1"/>
              <sz val="10"/>
            </rPr>
            <t xml:space="preserve">ステップ2：
</t>
          </r>
          <r>
            <rPr>
              <rFont val="メイリオ"/>
              <sz val="10"/>
            </rPr>
            <t xml:space="preserve">備考（biko）に500文字を入力し「承認・登録」ボタンを押下
</t>
          </r>
          <r>
            <rPr>
              <rFont val="メイリオ"/>
              <b val="1"/>
              <sz val="10"/>
            </rPr>
            <t xml:space="preserve">ステップ3：
</t>
          </r>
          <r>
            <rPr>
              <rFont val="メイリオ"/>
              <sz val="10"/>
            </rPr>
            <t>読者情報変更適用日（joho_henko_tekiyo_date）に過去日（2026-06-02）を入力し「承認・登録」ボタンを押下</t>
          </r>
        </is>
      </c>
      <c r="R36" s="10" t="n"/>
      <c r="S36" s="10" t="n"/>
      <c r="T36" s="10" t="n"/>
      <c r="U36" s="10" t="n"/>
      <c r="V36" s="10" t="n"/>
      <c r="W36" s="11" t="n"/>
      <c r="X36" s="46" t="inlineStr">
        <is>
          <r>
            <rPr>
              <rFont val="メイリオ"/>
              <b val="1"/>
              <sz val="10"/>
            </rPr>
            <t xml:space="preserve">ステップ1：
</t>
          </r>
          <r>
            <rPr>
              <rFont val="メイリオ"/>
              <sz val="10"/>
            </rPr>
            <t xml:space="preserve">桁数超過エラーが表示されること（メッセージ `備考は500文字以内で入力してください。`）
</t>
          </r>
          <r>
            <rPr>
              <rFont val="メイリオ"/>
              <b val="1"/>
              <sz val="10"/>
            </rPr>
            <t xml:space="preserve">ステップ2：
</t>
          </r>
          <r>
            <rPr>
              <rFont val="メイリオ"/>
              <sz val="10"/>
            </rPr>
            <t xml:space="preserve">備考の桁数超過エラーが表示されないこと（500文字以内で登録できること）
</t>
          </r>
          <r>
            <rPr>
              <rFont val="メイリオ"/>
              <b val="1"/>
              <sz val="10"/>
            </rPr>
            <t xml:space="preserve">ステップ3：
</t>
          </r>
          <r>
            <rPr>
              <rFont val="メイリオ"/>
              <sz val="10"/>
            </rPr>
            <t xml:space="preserve">読者情報変更適用日の下にエラーが表示されること（未来日のみ入力可能であること）
</t>
          </r>
          <r>
            <rPr>
              <rFont val="メイリオ"/>
              <b val="1"/>
              <sz val="10"/>
            </rPr>
            <t xml:space="preserve">補足：
</t>
          </r>
          <r>
            <rPr>
              <rFont val="メイリオ"/>
              <sz val="10"/>
            </rPr>
            <t xml:space="preserve">・備考は500文字以内とすること（ACSMS-MSG-011-010 メッセージ `備考は500文字以内で入力してください。`）
</t>
          </r>
          <r>
            <rPr>
              <rFont val="メイリオ"/>
              <sz val="10"/>
            </rPr>
            <t>・読者情報変更適用日（joho_henko_tekiyo_date）は入力時は未来日であることをチェックすること</t>
          </r>
        </is>
      </c>
      <c r="Y36" s="10" t="n"/>
      <c r="Z36" s="10" t="n"/>
      <c r="AA36" s="10" t="n"/>
      <c r="AB36" s="10" t="n"/>
      <c r="AC36" s="10" t="n"/>
      <c r="AD36" s="11" t="n"/>
      <c r="AE36" s="45" t="inlineStr">
        <is>
          <t>A</t>
        </is>
      </c>
      <c r="AF36" s="11" t="n"/>
      <c r="AG36" s="45" t="inlineStr"/>
      <c r="AH36" s="10" t="n"/>
      <c r="AI36" s="11" t="n"/>
      <c r="AJ36" s="45" t="inlineStr"/>
      <c r="AK36" s="10" t="n"/>
      <c r="AL36" s="11" t="n"/>
      <c r="AM36" s="45" t="inlineStr"/>
      <c r="AN36" s="10" t="n"/>
      <c r="AO36" s="11" t="n"/>
      <c r="AP36" s="45" t="inlineStr"/>
      <c r="AQ36" s="10" t="n"/>
      <c r="AR36" s="11" t="n"/>
      <c r="AS36" s="45" t="inlineStr"/>
      <c r="AT36" s="10" t="n"/>
      <c r="AU36" s="11" t="n"/>
      <c r="AV36" s="45" t="inlineStr"/>
      <c r="AW36" s="10" t="n"/>
      <c r="AX36" s="11" t="n"/>
      <c r="AY36" s="45" t="inlineStr"/>
      <c r="AZ36" s="10" t="n"/>
      <c r="BA36" s="11" t="n"/>
      <c r="BB36" s="45" t="inlineStr"/>
      <c r="BC36" s="10" t="n"/>
      <c r="BD36" s="11" t="n"/>
      <c r="BE36" s="45" t="inlineStr"/>
      <c r="BF36" s="10" t="n"/>
      <c r="BG36" s="11" t="n"/>
      <c r="BH36" s="45" t="inlineStr"/>
      <c r="BI36" s="10" t="n"/>
      <c r="BJ36" s="11" t="n"/>
      <c r="BK36" s="46" t="inlineStr"/>
      <c r="BL36" s="10" t="n"/>
      <c r="BM36" s="10" t="n"/>
      <c r="BN36" s="10" t="n"/>
      <c r="BO36" s="10" t="n"/>
      <c r="BP36" s="10" t="n"/>
      <c r="BQ36" s="11" t="n"/>
    </row>
    <row r="37" ht="368" customHeight="1">
      <c r="A37" s="44" t="n">
        <v>23</v>
      </c>
      <c r="B37" s="46" t="inlineStr">
        <is>
          <t>ACSMS-TC-011-022</t>
        </is>
      </c>
      <c r="C37" s="10" t="n"/>
      <c r="D37" s="11" t="n"/>
      <c r="E37" s="46" t="inlineStr">
        <is>
          <t>農業者分類 条件付き必須（購読者層=農業者）</t>
        </is>
      </c>
      <c r="F37" s="10" t="n"/>
      <c r="G37" s="10" t="n"/>
      <c r="H37" s="10" t="n"/>
      <c r="I37" s="11" t="n"/>
      <c r="J37" s="46" t="inlineStr">
        <is>
          <t>・role: JA_HONTEN（ja_id=100 所属）
・購読者情報登録画面（新規作成モード）を開いた状態</t>
        </is>
      </c>
      <c r="K37" s="10" t="n"/>
      <c r="L37" s="10" t="n"/>
      <c r="M37" s="10" t="n"/>
      <c r="N37" s="10" t="n"/>
      <c r="O37" s="10" t="n"/>
      <c r="P37" s="11" t="n"/>
      <c r="Q37" s="46" t="inlineStr">
        <is>
          <r>
            <rPr>
              <rFont val="メイリオ"/>
              <b val="1"/>
              <sz val="10"/>
            </rPr>
            <t xml:space="preserve">ステップ1：
</t>
          </r>
          <r>
            <rPr>
              <rFont val="メイリオ"/>
              <sz val="10"/>
            </rPr>
            <t xml:space="preserve">購読者層分類（dokusyaso_bunrui）で「農業者」をチェックし、農業者分類（nogyosya_bunrui）を空欄のまま「承認・登録」ボタンを押下
</t>
          </r>
          <r>
            <rPr>
              <rFont val="メイリオ"/>
              <b val="1"/>
              <sz val="10"/>
            </rPr>
            <t xml:space="preserve">ステップ2：
</t>
          </r>
          <r>
            <rPr>
              <rFont val="メイリオ"/>
              <sz val="10"/>
            </rPr>
            <t xml:space="preserve">農業者分類（nogyosya_bunrui）で「水稲」を選択し「承認・登録」ボタンを押下
</t>
          </r>
          <r>
            <rPr>
              <rFont val="メイリオ"/>
              <b val="1"/>
              <sz val="10"/>
            </rPr>
            <t xml:space="preserve">ステップ3：
</t>
          </r>
          <r>
            <rPr>
              <rFont val="メイリオ"/>
              <sz val="10"/>
            </rPr>
            <t>購読者層分類「農業者」のチェックを解除し、農業者分類を空欄のまま「承認・登録」ボタンを押下</t>
          </r>
        </is>
      </c>
      <c r="R37" s="10" t="n"/>
      <c r="S37" s="10" t="n"/>
      <c r="T37" s="10" t="n"/>
      <c r="U37" s="10" t="n"/>
      <c r="V37" s="10" t="n"/>
      <c r="W37" s="11" t="n"/>
      <c r="X37" s="46" t="inlineStr">
        <is>
          <r>
            <rPr>
              <rFont val="メイリオ"/>
              <b val="1"/>
              <sz val="10"/>
            </rPr>
            <t xml:space="preserve">ステップ1：
</t>
          </r>
          <r>
            <rPr>
              <rFont val="メイリオ"/>
              <sz val="10"/>
            </rPr>
            <t xml:space="preserve">農業者分類（nogyosya_bunrui）の下に必須入力エラーが表示されること（メッセージ `必須項目です。`）
</t>
          </r>
          <r>
            <rPr>
              <rFont val="メイリオ"/>
              <b val="1"/>
              <sz val="10"/>
            </rPr>
            <t xml:space="preserve">ステップ2：
</t>
          </r>
          <r>
            <rPr>
              <rFont val="メイリオ"/>
              <sz val="10"/>
            </rPr>
            <t xml:space="preserve">農業者分類の必須入力エラーが表示されないこと
</t>
          </r>
          <r>
            <rPr>
              <rFont val="メイリオ"/>
              <b val="1"/>
              <sz val="10"/>
            </rPr>
            <t xml:space="preserve">ステップ3：
</t>
          </r>
          <r>
            <rPr>
              <rFont val="メイリオ"/>
              <sz val="10"/>
            </rPr>
            <t xml:space="preserve">農業者分類の必須入力エラーが表示されないこと（農業者未選択時は任意であること）
</t>
          </r>
          <r>
            <rPr>
              <rFont val="メイリオ"/>
              <b val="1"/>
              <sz val="10"/>
            </rPr>
            <t xml:space="preserve">補足：
</t>
          </r>
          <r>
            <rPr>
              <rFont val="メイリオ"/>
              <sz val="10"/>
            </rPr>
            <t xml:space="preserve">・購読者層分類で「農業者」を選択した場合、農業者分類（nogyosya_bunrui）を必須とすること（API リクエストパラメータ仕様）
</t>
          </r>
          <r>
            <rPr>
              <rFont val="メイリオ"/>
              <sz val="10"/>
            </rPr>
            <t>・農業者を未選択の場合は農業者分類を任意とすること</t>
          </r>
        </is>
      </c>
      <c r="Y37" s="10" t="n"/>
      <c r="Z37" s="10" t="n"/>
      <c r="AA37" s="10" t="n"/>
      <c r="AB37" s="10" t="n"/>
      <c r="AC37" s="10" t="n"/>
      <c r="AD37" s="11" t="n"/>
      <c r="AE37" s="45" t="inlineStr">
        <is>
          <t>A</t>
        </is>
      </c>
      <c r="AF37" s="11" t="n"/>
      <c r="AG37" s="45" t="inlineStr"/>
      <c r="AH37" s="10" t="n"/>
      <c r="AI37" s="11" t="n"/>
      <c r="AJ37" s="45" t="inlineStr"/>
      <c r="AK37" s="10" t="n"/>
      <c r="AL37" s="11" t="n"/>
      <c r="AM37" s="45" t="inlineStr"/>
      <c r="AN37" s="10" t="n"/>
      <c r="AO37" s="11" t="n"/>
      <c r="AP37" s="45" t="inlineStr"/>
      <c r="AQ37" s="10" t="n"/>
      <c r="AR37" s="11" t="n"/>
      <c r="AS37" s="45" t="inlineStr"/>
      <c r="AT37" s="10" t="n"/>
      <c r="AU37" s="11" t="n"/>
      <c r="AV37" s="45" t="inlineStr"/>
      <c r="AW37" s="10" t="n"/>
      <c r="AX37" s="11" t="n"/>
      <c r="AY37" s="45" t="inlineStr"/>
      <c r="AZ37" s="10" t="n"/>
      <c r="BA37" s="11" t="n"/>
      <c r="BB37" s="45" t="inlineStr"/>
      <c r="BC37" s="10" t="n"/>
      <c r="BD37" s="11" t="n"/>
      <c r="BE37" s="45" t="inlineStr"/>
      <c r="BF37" s="10" t="n"/>
      <c r="BG37" s="11" t="n"/>
      <c r="BH37" s="45" t="inlineStr"/>
      <c r="BI37" s="10" t="n"/>
      <c r="BJ37" s="11" t="n"/>
      <c r="BK37" s="46" t="inlineStr">
        <is>
          <t>(なし)
---</t>
        </is>
      </c>
      <c r="BL37" s="10" t="n"/>
      <c r="BM37" s="10" t="n"/>
      <c r="BN37" s="10" t="n"/>
      <c r="BO37" s="10" t="n"/>
      <c r="BP37" s="10" t="n"/>
      <c r="BQ37" s="11" t="n"/>
    </row>
    <row r="38" ht="22.5" customHeight="1">
      <c r="A38" s="32" t="inlineStr">
        <is>
          <t>業務ロジック登録（Function — Create）</t>
        </is>
      </c>
      <c r="B38" s="10" t="n"/>
      <c r="C38" s="10" t="n"/>
      <c r="D38" s="10" t="n"/>
      <c r="E38" s="10" t="n"/>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c r="AA38" s="10" t="n"/>
      <c r="AB38" s="10" t="n"/>
      <c r="AC38" s="10" t="n"/>
      <c r="AD38" s="10" t="n"/>
      <c r="AE38" s="10" t="n"/>
      <c r="AF38" s="10" t="n"/>
      <c r="AG38" s="10" t="n"/>
      <c r="AH38" s="10" t="n"/>
      <c r="AI38" s="10" t="n"/>
      <c r="AJ38" s="10" t="n"/>
      <c r="AK38" s="10" t="n"/>
      <c r="AL38" s="10" t="n"/>
      <c r="AM38" s="10" t="n"/>
      <c r="AN38" s="10" t="n"/>
      <c r="AO38" s="10" t="n"/>
      <c r="AP38" s="10" t="n"/>
      <c r="AQ38" s="10" t="n"/>
      <c r="AR38" s="10" t="n"/>
      <c r="AS38" s="10" t="n"/>
      <c r="AT38" s="10" t="n"/>
      <c r="AU38" s="10" t="n"/>
      <c r="AV38" s="10" t="n"/>
      <c r="AW38" s="10" t="n"/>
      <c r="AX38" s="10" t="n"/>
      <c r="AY38" s="10" t="n"/>
      <c r="AZ38" s="10" t="n"/>
      <c r="BA38" s="10" t="n"/>
      <c r="BB38" s="10" t="n"/>
      <c r="BC38" s="10" t="n"/>
      <c r="BD38" s="10" t="n"/>
      <c r="BE38" s="10" t="n"/>
      <c r="BF38" s="10" t="n"/>
      <c r="BG38" s="10" t="n"/>
      <c r="BH38" s="10" t="n"/>
      <c r="BI38" s="10" t="n"/>
      <c r="BJ38" s="10" t="n"/>
      <c r="BK38" s="10" t="n"/>
      <c r="BL38" s="10" t="n"/>
      <c r="BM38" s="10" t="n"/>
      <c r="BN38" s="10" t="n"/>
      <c r="BO38" s="10" t="n"/>
      <c r="BP38" s="10" t="n"/>
      <c r="BQ38" s="11" t="n"/>
    </row>
    <row r="39" ht="450" customHeight="1">
      <c r="A39" s="44" t="n">
        <v>24</v>
      </c>
      <c r="B39" s="46" t="inlineStr">
        <is>
          <t>ACSMS-TC-011-023</t>
        </is>
      </c>
      <c r="C39" s="10" t="n"/>
      <c r="D39" s="11" t="n"/>
      <c r="E39" s="46" t="inlineStr">
        <is>
          <t>新規登録 正常系（DB 永続化 + 履歴作成 + 監査ログ）</t>
        </is>
      </c>
      <c r="F39" s="10" t="n"/>
      <c r="G39" s="10" t="n"/>
      <c r="H39" s="10" t="n"/>
      <c r="I39" s="11" t="n"/>
      <c r="J39" s="46" t="inlineStr">
        <is>
          <t>・role: JA_HONTEN（ja_id=100 所属）
・全必須項目に有効な値を入力済み（購読種別=紙版、手続種類=新規、支払方法=口座引落）</t>
        </is>
      </c>
      <c r="K39" s="10" t="n"/>
      <c r="L39" s="10" t="n"/>
      <c r="M39" s="10" t="n"/>
      <c r="N39" s="10" t="n"/>
      <c r="O39" s="10" t="n"/>
      <c r="P39" s="11" t="n"/>
      <c r="Q39" s="46" t="inlineStr">
        <is>
          <r>
            <rPr>
              <rFont val="メイリオ"/>
              <b val="1"/>
              <sz val="10"/>
            </rPr>
            <t xml:space="preserve">ステップ1：
</t>
          </r>
          <r>
            <rPr>
              <rFont val="メイリオ"/>
              <sz val="10"/>
            </rPr>
            <t xml:space="preserve">全必須項目を入力し「承認・登録」ボタンを押下、確認ダイアログで「はい」を押下
</t>
          </r>
          <r>
            <rPr>
              <rFont val="メイリオ"/>
              <b val="1"/>
              <sz val="10"/>
            </rPr>
            <t xml:space="preserve">ステップ2：
</t>
          </r>
          <r>
            <rPr>
              <rFont val="メイリオ"/>
              <sz val="10"/>
            </rPr>
            <t xml:space="preserve">画面遷移とメッセージを確認
</t>
          </r>
          <r>
            <rPr>
              <rFont val="メイリオ"/>
              <b val="1"/>
              <sz val="10"/>
            </rPr>
            <t xml:space="preserve">ステップ3：
</t>
          </r>
          <r>
            <rPr>
              <rFont val="メイリオ"/>
              <sz val="10"/>
            </rPr>
            <t xml:space="preserve">DBで以下クエリを実行し、本体・履歴レコードを確認
</t>
          </r>
          <r>
            <rPr>
              <rFont val="メイリオ"/>
              <sz val="10"/>
            </rPr>
            <t xml:space="preserve">```sql
</t>
          </r>
          <r>
            <rPr>
              <rFont val="メイリオ"/>
              <sz val="10"/>
            </rPr>
            <t xml:space="preserve">SELECT dokusya_id, rireki_no, tetsuzuki_shurui, dokusya_busu
</t>
          </r>
          <r>
            <rPr>
              <rFont val="メイリオ"/>
              <sz val="10"/>
            </rPr>
            <t xml:space="preserve">FROM t_dokusya
</t>
          </r>
          <r>
            <rPr>
              <rFont val="メイリオ"/>
              <sz val="10"/>
            </rPr>
            <t xml:space="preserve">WHERE dokusya_id = :new_dokusya_id;
</t>
          </r>
          <r>
            <rPr>
              <rFont val="メイリオ"/>
              <sz val="10"/>
            </rPr>
            <t xml:space="preserve">SELECT rireki_no, saishin_data_flg, shinki_flg, kaiyaku_flg, zougen_hokoku_flg
</t>
          </r>
          <r>
            <rPr>
              <rFont val="メイリオ"/>
              <sz val="10"/>
            </rPr>
            <t xml:space="preserve">FROM t_dokusya_rireki
</t>
          </r>
          <r>
            <rPr>
              <rFont val="メイリオ"/>
              <sz val="10"/>
            </rPr>
            <t xml:space="preserve">WHERE dokusya_id = :new_dokusya_id;
</t>
          </r>
          <r>
            <rPr>
              <rFont val="メイリオ"/>
              <sz val="10"/>
            </rPr>
            <t xml:space="preserve">```
</t>
          </r>
          <r>
            <rPr>
              <rFont val="メイリオ"/>
              <b val="1"/>
              <sz val="10"/>
            </rPr>
            <t xml:space="preserve">ステップ4：
</t>
          </r>
          <r>
            <rPr>
              <rFont val="メイリオ"/>
              <sz val="10"/>
            </rPr>
            <t xml:space="preserve">DBで以下クエリを実行し、監査ログを確認
</t>
          </r>
          <r>
            <rPr>
              <rFont val="メイリオ"/>
              <sz val="10"/>
            </rPr>
            <t xml:space="preserve">```sql
</t>
          </r>
          <r>
            <rPr>
              <rFont val="メイリオ"/>
              <sz val="10"/>
            </rPr>
            <t xml:space="preserve">SELECT operation, result_status, target_table, ja_id
</t>
          </r>
          <r>
            <rPr>
              <rFont val="メイリオ"/>
              <sz val="10"/>
            </rPr>
            <t xml:space="preserve">FROM t_log
</t>
          </r>
          <r>
            <rPr>
              <rFont val="メイリオ"/>
              <sz val="10"/>
            </rPr>
            <t xml:space="preserve">WHERE target_table = 't_dokusya' AND target_id = :new_dokusya_id
</t>
          </r>
          <r>
            <rPr>
              <rFont val="メイリオ"/>
              <sz val="10"/>
            </rPr>
            <t xml:space="preserve">ORDER BY log_datetime DESC
</t>
          </r>
          <r>
            <rPr>
              <rFont val="メイリオ"/>
              <sz val="10"/>
            </rPr>
            <t xml:space="preserve">LIMIT 1;
</t>
          </r>
          <r>
            <rPr>
              <rFont val="メイリオ"/>
              <sz val="10"/>
            </rPr>
            <t>```</t>
          </r>
        </is>
      </c>
      <c r="R39" s="10" t="n"/>
      <c r="S39" s="10" t="n"/>
      <c r="T39" s="10" t="n"/>
      <c r="U39" s="10" t="n"/>
      <c r="V39" s="10" t="n"/>
      <c r="W39" s="11" t="n"/>
      <c r="X39" s="46" t="inlineStr">
        <is>
          <r>
            <rPr>
              <rFont val="メイリオ"/>
              <b val="1"/>
              <sz val="10"/>
            </rPr>
            <t xml:space="preserve">ステップ1：
</t>
          </r>
          <r>
            <rPr>
              <rFont val="メイリオ"/>
              <sz val="10"/>
            </rPr>
            <t xml:space="preserve">確認ダイアログが表示され「はい」押下で登録処理が実行されること
</t>
          </r>
          <r>
            <rPr>
              <rFont val="メイリオ"/>
              <b val="1"/>
              <sz val="10"/>
            </rPr>
            <t xml:space="preserve">ステップ2：
</t>
          </r>
          <r>
            <rPr>
              <rFont val="メイリオ"/>
              <sz val="10"/>
            </rPr>
            <t xml:space="preserve">HTTPステータスコード201が返却されること、登録完了メッセージ `登録しました。`（ACSMS-MSG-011-011）が表示されること、購読者明細検索画面へ遷移すること
</t>
          </r>
          <r>
            <rPr>
              <rFont val="メイリオ"/>
              <b val="1"/>
              <sz val="10"/>
            </rPr>
            <t xml:space="preserve">ステップ3：
</t>
          </r>
          <r>
            <rPr>
              <rFont val="メイリオ"/>
              <sz val="10"/>
            </rPr>
            <t xml:space="preserve">t_dokusya に新規レコードが登録されること、t_dokusya_rireki に履歴レコード（rireki_no=1, saishin_data_flg=true, shinki_flg=true, kaiyaku_flg=false, zougen_hokoku_flg=true）が登録されること
</t>
          </r>
          <r>
            <rPr>
              <rFont val="メイリオ"/>
              <b val="1"/>
              <sz val="10"/>
            </rPr>
            <t xml:space="preserve">ステップ4：
</t>
          </r>
          <r>
            <rPr>
              <rFont val="メイリオ"/>
              <sz val="10"/>
            </rPr>
            <t xml:space="preserve">t_log に operation=`CREATE`, result_status=1, target_table=`t_dokusya`, ja_id=100 のレコードが記録されること
</t>
          </r>
          <r>
            <rPr>
              <rFont val="メイリオ"/>
              <b val="1"/>
              <sz val="10"/>
            </rPr>
            <t xml:space="preserve">補足：
</t>
          </r>
          <r>
            <rPr>
              <rFont val="メイリオ"/>
              <sz val="10"/>
            </rPr>
            <t xml:space="preserve">・t_dokusya + t_dokusya_rireki を1トランザクションで作成すること（機能定義 §2.6）
</t>
          </r>
          <r>
            <rPr>
              <rFont val="メイリオ"/>
              <sz val="10"/>
            </rPr>
            <t xml:space="preserve">・bank_shiten_id が指定された場合、支払方法を問わず（口座引落以外も含む） `m_shiten.jastem_toriatsukai_tenpo_code` / `jastem_tenpo_name` を逆引きし、`t_dokusya.bank_branch_code` / `bank_branch_name` へ非正規化保存すること（顧客要件 2026-06）
</t>
          </r>
          <r>
            <rPr>
              <rFont val="メイリオ"/>
              <sz val="10"/>
            </rPr>
            <t>・登録（業務書き込み）と監査ログは単一トランザクションで実行されること</t>
          </r>
        </is>
      </c>
      <c r="Y39" s="10" t="n"/>
      <c r="Z39" s="10" t="n"/>
      <c r="AA39" s="10" t="n"/>
      <c r="AB39" s="10" t="n"/>
      <c r="AC39" s="10" t="n"/>
      <c r="AD39" s="11" t="n"/>
      <c r="AE39" s="45" t="inlineStr">
        <is>
          <t>N</t>
        </is>
      </c>
      <c r="AF39" s="11" t="n"/>
      <c r="AG39" s="45" t="inlineStr"/>
      <c r="AH39" s="10" t="n"/>
      <c r="AI39" s="11" t="n"/>
      <c r="AJ39" s="45" t="inlineStr"/>
      <c r="AK39" s="10" t="n"/>
      <c r="AL39" s="11" t="n"/>
      <c r="AM39" s="45" t="inlineStr"/>
      <c r="AN39" s="10" t="n"/>
      <c r="AO39" s="11" t="n"/>
      <c r="AP39" s="45" t="inlineStr"/>
      <c r="AQ39" s="10" t="n"/>
      <c r="AR39" s="11" t="n"/>
      <c r="AS39" s="45" t="inlineStr"/>
      <c r="AT39" s="10" t="n"/>
      <c r="AU39" s="11" t="n"/>
      <c r="AV39" s="45" t="inlineStr"/>
      <c r="AW39" s="10" t="n"/>
      <c r="AX39" s="11" t="n"/>
      <c r="AY39" s="45" t="inlineStr"/>
      <c r="AZ39" s="10" t="n"/>
      <c r="BA39" s="11" t="n"/>
      <c r="BB39" s="45" t="inlineStr"/>
      <c r="BC39" s="10" t="n"/>
      <c r="BD39" s="11" t="n"/>
      <c r="BE39" s="45" t="inlineStr"/>
      <c r="BF39" s="10" t="n"/>
      <c r="BG39" s="11" t="n"/>
      <c r="BH39" s="45" t="inlineStr"/>
      <c r="BI39" s="10" t="n"/>
      <c r="BJ39" s="11" t="n"/>
      <c r="BK39" s="46" t="inlineStr"/>
      <c r="BL39" s="10" t="n"/>
      <c r="BM39" s="10" t="n"/>
      <c r="BN39" s="10" t="n"/>
      <c r="BO39" s="10" t="n"/>
      <c r="BP39" s="10" t="n"/>
      <c r="BQ39" s="11" t="n"/>
    </row>
    <row r="40" ht="336" customHeight="1">
      <c r="A40" s="44" t="n">
        <v>25</v>
      </c>
      <c r="B40" s="46" t="inlineStr">
        <is>
          <t>ACSMS-TC-011-024</t>
        </is>
      </c>
      <c r="C40" s="10" t="n"/>
      <c r="D40" s="11" t="n"/>
      <c r="E40" s="46" t="inlineStr">
        <is>
          <t>新規登録 — 手続種類「解約」時の購読部数0強制</t>
        </is>
      </c>
      <c r="F40" s="10" t="n"/>
      <c r="G40" s="10" t="n"/>
      <c r="H40" s="10" t="n"/>
      <c r="I40" s="11" t="n"/>
      <c r="J40" s="46" t="inlineStr">
        <is>
          <t>・role: JA_HONTEN（ja_id=100 所属）
・手続種類（tetsuzuki_shurui）=解約 を選択</t>
        </is>
      </c>
      <c r="K40" s="10" t="n"/>
      <c r="L40" s="10" t="n"/>
      <c r="M40" s="10" t="n"/>
      <c r="N40" s="10" t="n"/>
      <c r="O40" s="10" t="n"/>
      <c r="P40" s="11" t="n"/>
      <c r="Q40" s="46" t="inlineStr">
        <is>
          <r>
            <rPr>
              <rFont val="メイリオ"/>
              <b val="1"/>
              <sz val="10"/>
            </rPr>
            <t xml:space="preserve">ステップ1：
</t>
          </r>
          <r>
            <rPr>
              <rFont val="メイリオ"/>
              <sz val="10"/>
            </rPr>
            <t xml:space="preserve">手続種類で「解約」を選択し、購読部数（dokusya_busu）に「5」を入力した状態で「承認・登録」ボタンを押下
</t>
          </r>
          <r>
            <rPr>
              <rFont val="メイリオ"/>
              <b val="1"/>
              <sz val="10"/>
            </rPr>
            <t xml:space="preserve">ステップ2：
</t>
          </r>
          <r>
            <rPr>
              <rFont val="メイリオ"/>
              <sz val="10"/>
            </rPr>
            <t xml:space="preserve">DBで以下クエリを実行し、購読部数と解約フラグを確認
</t>
          </r>
          <r>
            <rPr>
              <rFont val="メイリオ"/>
              <sz val="10"/>
            </rPr>
            <t xml:space="preserve">```sql
</t>
          </r>
          <r>
            <rPr>
              <rFont val="メイリオ"/>
              <sz val="10"/>
            </rPr>
            <t xml:space="preserve">SELECT dokusya_busu FROM t_dokusya WHERE dokusya_id = :new_dokusya_id;
</t>
          </r>
          <r>
            <rPr>
              <rFont val="メイリオ"/>
              <sz val="10"/>
            </rPr>
            <t xml:space="preserve">SELECT kaiyaku_flg, shinki_flg
</t>
          </r>
          <r>
            <rPr>
              <rFont val="メイリオ"/>
              <sz val="10"/>
            </rPr>
            <t xml:space="preserve">FROM t_dokusya_rireki
</t>
          </r>
          <r>
            <rPr>
              <rFont val="メイリオ"/>
              <sz val="10"/>
            </rPr>
            <t xml:space="preserve">WHERE dokusya_id = :new_dokusya_id AND saishin_data_flg = TRUE;
</t>
          </r>
          <r>
            <rPr>
              <rFont val="メイリオ"/>
              <sz val="10"/>
            </rPr>
            <t>```</t>
          </r>
        </is>
      </c>
      <c r="R40" s="10" t="n"/>
      <c r="S40" s="10" t="n"/>
      <c r="T40" s="10" t="n"/>
      <c r="U40" s="10" t="n"/>
      <c r="V40" s="10" t="n"/>
      <c r="W40" s="11" t="n"/>
      <c r="X40" s="46" t="inlineStr">
        <is>
          <r>
            <rPr>
              <rFont val="メイリオ"/>
              <b val="1"/>
              <sz val="10"/>
            </rPr>
            <t xml:space="preserve">ステップ1：
</t>
          </r>
          <r>
            <rPr>
              <rFont val="メイリオ"/>
              <sz val="10"/>
            </rPr>
            <t xml:space="preserve">登録処理が実行されること、登録完了メッセージ `登録しました。` が表示されること
</t>
          </r>
          <r>
            <rPr>
              <rFont val="メイリオ"/>
              <b val="1"/>
              <sz val="10"/>
            </rPr>
            <t xml:space="preserve">ステップ2：
</t>
          </r>
          <r>
            <rPr>
              <rFont val="メイリオ"/>
              <sz val="10"/>
            </rPr>
            <t xml:space="preserve">t_dokusya の dokusya_busu が0で保存されること、t_dokusya_rireki の kaiyaku_flg が TRUE、shinki_flg が FALSE で保存されること
</t>
          </r>
          <r>
            <rPr>
              <rFont val="メイリオ"/>
              <b val="1"/>
              <sz val="10"/>
            </rPr>
            <t xml:space="preserve">補足：
</t>
          </r>
          <r>
            <rPr>
              <rFont val="メイリオ"/>
              <sz val="10"/>
            </rPr>
            <t xml:space="preserve">・解約を選んで登録する場合は購読部数を0にし、kaiyaku_flg=TRUE に設定すること（機能定義 §8.1）
</t>
          </r>
          <r>
            <rPr>
              <rFont val="メイリオ"/>
              <sz val="10"/>
            </rPr>
            <t>・二重請求防止のため購読部数は解約時に強制的に0となること</t>
          </r>
        </is>
      </c>
      <c r="Y40" s="10" t="n"/>
      <c r="Z40" s="10" t="n"/>
      <c r="AA40" s="10" t="n"/>
      <c r="AB40" s="10" t="n"/>
      <c r="AC40" s="10" t="n"/>
      <c r="AD40" s="11" t="n"/>
      <c r="AE40" s="45" t="inlineStr">
        <is>
          <t>N</t>
        </is>
      </c>
      <c r="AF40" s="11" t="n"/>
      <c r="AG40" s="45" t="inlineStr"/>
      <c r="AH40" s="10" t="n"/>
      <c r="AI40" s="11" t="n"/>
      <c r="AJ40" s="45" t="inlineStr"/>
      <c r="AK40" s="10" t="n"/>
      <c r="AL40" s="11" t="n"/>
      <c r="AM40" s="45" t="inlineStr"/>
      <c r="AN40" s="10" t="n"/>
      <c r="AO40" s="11" t="n"/>
      <c r="AP40" s="45" t="inlineStr"/>
      <c r="AQ40" s="10" t="n"/>
      <c r="AR40" s="11" t="n"/>
      <c r="AS40" s="45" t="inlineStr"/>
      <c r="AT40" s="10" t="n"/>
      <c r="AU40" s="11" t="n"/>
      <c r="AV40" s="45" t="inlineStr"/>
      <c r="AW40" s="10" t="n"/>
      <c r="AX40" s="11" t="n"/>
      <c r="AY40" s="45" t="inlineStr"/>
      <c r="AZ40" s="10" t="n"/>
      <c r="BA40" s="11" t="n"/>
      <c r="BB40" s="45" t="inlineStr"/>
      <c r="BC40" s="10" t="n"/>
      <c r="BD40" s="11" t="n"/>
      <c r="BE40" s="45" t="inlineStr"/>
      <c r="BF40" s="10" t="n"/>
      <c r="BG40" s="11" t="n"/>
      <c r="BH40" s="45" t="inlineStr"/>
      <c r="BI40" s="10" t="n"/>
      <c r="BJ40" s="11" t="n"/>
      <c r="BK40" s="46" t="inlineStr"/>
      <c r="BL40" s="10" t="n"/>
      <c r="BM40" s="10" t="n"/>
      <c r="BN40" s="10" t="n"/>
      <c r="BO40" s="10" t="n"/>
      <c r="BP40" s="10" t="n"/>
      <c r="BQ40" s="11" t="n"/>
    </row>
    <row r="41" ht="288" customHeight="1">
      <c r="A41" s="44" t="n">
        <v>26</v>
      </c>
      <c r="B41" s="46" t="inlineStr">
        <is>
          <t>ACSMS-TC-011-025</t>
        </is>
      </c>
      <c r="C41" s="10" t="n"/>
      <c r="D41" s="11" t="n"/>
      <c r="E41" s="46" t="inlineStr">
        <is>
          <t>新規登録 — 配達先「購読者情報と同じ」時のコピー保存</t>
        </is>
      </c>
      <c r="F41" s="10" t="n"/>
      <c r="G41" s="10" t="n"/>
      <c r="H41" s="10" t="n"/>
      <c r="I41" s="11" t="n"/>
      <c r="J41" s="46" t="inlineStr">
        <is>
          <t>・role: JA_HONTEN（ja_id=100 所属）
・購読種別=紙版
・「購読者情報と同じ」（haitatsu_same_flg）をチェック</t>
        </is>
      </c>
      <c r="K41" s="10" t="n"/>
      <c r="L41" s="10" t="n"/>
      <c r="M41" s="10" t="n"/>
      <c r="N41" s="10" t="n"/>
      <c r="O41" s="10" t="n"/>
      <c r="P41" s="11" t="n"/>
      <c r="Q41" s="46" t="inlineStr">
        <is>
          <r>
            <rPr>
              <rFont val="メイリオ"/>
              <b val="1"/>
              <sz val="10"/>
            </rPr>
            <t xml:space="preserve">ステップ1：
</t>
          </r>
          <r>
            <rPr>
              <rFont val="メイリオ"/>
              <sz val="10"/>
            </rPr>
            <t xml:space="preserve">購読者氏名・住所等を入力し、「購読者情報と同じ」をチェックして「承認・登録」ボタンを押下
</t>
          </r>
          <r>
            <rPr>
              <rFont val="メイリオ"/>
              <b val="1"/>
              <sz val="10"/>
            </rPr>
            <t xml:space="preserve">ステップ2：
</t>
          </r>
          <r>
            <rPr>
              <rFont val="メイリオ"/>
              <sz val="10"/>
            </rPr>
            <t xml:space="preserve">DBで以下クエリを実行し、配達先情報を確認
</t>
          </r>
          <r>
            <rPr>
              <rFont val="メイリオ"/>
              <sz val="10"/>
            </rPr>
            <t xml:space="preserve">```sql
</t>
          </r>
          <r>
            <rPr>
              <rFont val="メイリオ"/>
              <sz val="10"/>
            </rPr>
            <t xml:space="preserve">SELECT haitatsu_same_flg, haitatsu_yubin_no, haitatsu_shimei_sei
</t>
          </r>
          <r>
            <rPr>
              <rFont val="メイリオ"/>
              <sz val="10"/>
            </rPr>
            <t xml:space="preserve">FROM t_dokusya WHERE dokusya_id = :new_dokusya_id;
</t>
          </r>
          <r>
            <rPr>
              <rFont val="メイリオ"/>
              <sz val="10"/>
            </rPr>
            <t>```</t>
          </r>
        </is>
      </c>
      <c r="R41" s="10" t="n"/>
      <c r="S41" s="10" t="n"/>
      <c r="T41" s="10" t="n"/>
      <c r="U41" s="10" t="n"/>
      <c r="V41" s="10" t="n"/>
      <c r="W41" s="11" t="n"/>
      <c r="X41" s="46" t="inlineStr">
        <is>
          <r>
            <rPr>
              <rFont val="メイリオ"/>
              <b val="1"/>
              <sz val="10"/>
            </rPr>
            <t xml:space="preserve">ステップ1：
</t>
          </r>
          <r>
            <rPr>
              <rFont val="メイリオ"/>
              <sz val="10"/>
            </rPr>
            <t xml:space="preserve">登録処理が実行されること、登録完了メッセージ `登録しました。` が表示されること
</t>
          </r>
          <r>
            <rPr>
              <rFont val="メイリオ"/>
              <b val="1"/>
              <sz val="10"/>
            </rPr>
            <t xml:space="preserve">ステップ2：
</t>
          </r>
          <r>
            <rPr>
              <rFont val="メイリオ"/>
              <sz val="10"/>
            </rPr>
            <t xml:space="preserve">haitatsu_same_flg が true で保存されること、配達先項目（haitatsu_yubin_no・haitatsu_shimei_sei 等）に購読者情報からコピーされた値が保存されること
</t>
          </r>
          <r>
            <rPr>
              <rFont val="メイリオ"/>
              <b val="1"/>
              <sz val="10"/>
            </rPr>
            <t xml:space="preserve">補足：
</t>
          </r>
          <r>
            <rPr>
              <rFont val="メイリオ"/>
              <sz val="10"/>
            </rPr>
            <t>・「購読者情報と同じ」チェック時はDB保存時に購読者情報からコピーすること（機能定義 §9.1）</t>
          </r>
        </is>
      </c>
      <c r="Y41" s="10" t="n"/>
      <c r="Z41" s="10" t="n"/>
      <c r="AA41" s="10" t="n"/>
      <c r="AB41" s="10" t="n"/>
      <c r="AC41" s="10" t="n"/>
      <c r="AD41" s="11" t="n"/>
      <c r="AE41" s="45" t="inlineStr">
        <is>
          <t>N</t>
        </is>
      </c>
      <c r="AF41" s="11" t="n"/>
      <c r="AG41" s="45" t="inlineStr"/>
      <c r="AH41" s="10" t="n"/>
      <c r="AI41" s="11" t="n"/>
      <c r="AJ41" s="45" t="inlineStr"/>
      <c r="AK41" s="10" t="n"/>
      <c r="AL41" s="11" t="n"/>
      <c r="AM41" s="45" t="inlineStr"/>
      <c r="AN41" s="10" t="n"/>
      <c r="AO41" s="11" t="n"/>
      <c r="AP41" s="45" t="inlineStr"/>
      <c r="AQ41" s="10" t="n"/>
      <c r="AR41" s="11" t="n"/>
      <c r="AS41" s="45" t="inlineStr"/>
      <c r="AT41" s="10" t="n"/>
      <c r="AU41" s="11" t="n"/>
      <c r="AV41" s="45" t="inlineStr"/>
      <c r="AW41" s="10" t="n"/>
      <c r="AX41" s="11" t="n"/>
      <c r="AY41" s="45" t="inlineStr"/>
      <c r="AZ41" s="10" t="n"/>
      <c r="BA41" s="11" t="n"/>
      <c r="BB41" s="45" t="inlineStr"/>
      <c r="BC41" s="10" t="n"/>
      <c r="BD41" s="11" t="n"/>
      <c r="BE41" s="45" t="inlineStr"/>
      <c r="BF41" s="10" t="n"/>
      <c r="BG41" s="11" t="n"/>
      <c r="BH41" s="45" t="inlineStr"/>
      <c r="BI41" s="10" t="n"/>
      <c r="BJ41" s="11" t="n"/>
      <c r="BK41" s="46" t="inlineStr"/>
      <c r="BL41" s="10" t="n"/>
      <c r="BM41" s="10" t="n"/>
      <c r="BN41" s="10" t="n"/>
      <c r="BO41" s="10" t="n"/>
      <c r="BP41" s="10" t="n"/>
      <c r="BQ41" s="11" t="n"/>
    </row>
    <row r="42" ht="400" customHeight="1">
      <c r="A42" s="44" t="n">
        <v>27</v>
      </c>
      <c r="B42" s="46" t="inlineStr">
        <is>
          <t>ACSMS-TC-011-026</t>
        </is>
      </c>
      <c r="C42" s="10" t="n"/>
      <c r="D42" s="11" t="n"/>
      <c r="E42" s="46" t="inlineStr">
        <is>
          <t>新規登録 — 全項目未入力時の統合バリデーション</t>
        </is>
      </c>
      <c r="F42" s="10" t="n"/>
      <c r="G42" s="10" t="n"/>
      <c r="H42" s="10" t="n"/>
      <c r="I42" s="11" t="n"/>
      <c r="J42" s="46" t="inlineStr">
        <is>
          <t>・role: JA_HONTEN（ja_id=100 所属）
・購読者情報登録画面（新規作成モード）を開いた状態</t>
        </is>
      </c>
      <c r="K42" s="10" t="n"/>
      <c r="L42" s="10" t="n"/>
      <c r="M42" s="10" t="n"/>
      <c r="N42" s="10" t="n"/>
      <c r="O42" s="10" t="n"/>
      <c r="P42" s="11" t="n"/>
      <c r="Q42" s="46" t="inlineStr">
        <is>
          <r>
            <rPr>
              <rFont val="メイリオ"/>
              <b val="1"/>
              <sz val="10"/>
            </rPr>
            <t xml:space="preserve">ステップ1：
</t>
          </r>
          <r>
            <rPr>
              <rFont val="メイリオ"/>
              <sz val="10"/>
            </rPr>
            <t xml:space="preserve">全項目を空欄のまま「承認・登録」ボタンを押下
</t>
          </r>
          <r>
            <rPr>
              <rFont val="メイリオ"/>
              <b val="1"/>
              <sz val="10"/>
            </rPr>
            <t xml:space="preserve">ステップ2：
</t>
          </r>
          <r>
            <rPr>
              <rFont val="メイリオ"/>
              <sz val="10"/>
            </rPr>
            <t>DevTools の Network タブで POST `/api/v1/dokusya` のレスポンスを確認</t>
          </r>
        </is>
      </c>
      <c r="R42" s="10" t="n"/>
      <c r="S42" s="10" t="n"/>
      <c r="T42" s="10" t="n"/>
      <c r="U42" s="10" t="n"/>
      <c r="V42" s="10" t="n"/>
      <c r="W42" s="11" t="n"/>
      <c r="X42" s="46" t="inlineStr">
        <is>
          <r>
            <rPr>
              <rFont val="メイリオ"/>
              <b val="1"/>
              <sz val="10"/>
            </rPr>
            <t xml:space="preserve">ステップ1：
</t>
          </r>
          <r>
            <rPr>
              <rFont val="メイリオ"/>
              <sz val="10"/>
            </rPr>
            <t xml:space="preserve">各必須項目の下に必須入力エラー `必須項目です。` が表示されること、登録処理が実行されないこと
</t>
          </r>
          <r>
            <rPr>
              <rFont val="メイリオ"/>
              <b val="1"/>
              <sz val="10"/>
            </rPr>
            <t xml:space="preserve">ステップ2：
</t>
          </r>
          <r>
            <rPr>
              <rFont val="メイリオ"/>
              <sz val="10"/>
            </rPr>
            <t xml:space="preserve">HTTPステータスコード400が返却されること（`error_code: VALIDATION_ERROR`、メッセージ `入力値が不正です。詳細はerrorsフィールドを確認してください。`、`errors` 配列に shimei_sei・yubin_no 等の項目別メッセージが含まれること）
</t>
          </r>
          <r>
            <rPr>
              <rFont val="メイリオ"/>
              <b val="1"/>
              <sz val="10"/>
            </rPr>
            <t xml:space="preserve">補足：
</t>
          </r>
          <r>
            <rPr>
              <rFont val="メイリオ"/>
              <sz val="10"/>
            </rPr>
            <t xml:space="preserve">・クライアント側のデータチェック（必須・フォーマット・相関）後、サーバー側でも再度バリデーションを行うこと（機能定義 §2.1, §2.5）
</t>
          </r>
          <r>
            <rPr>
              <rFont val="メイリオ"/>
              <sz val="10"/>
            </rPr>
            <t>・バリデーションエラーは `errors` 配列で項目別に返却されること</t>
          </r>
        </is>
      </c>
      <c r="Y42" s="10" t="n"/>
      <c r="Z42" s="10" t="n"/>
      <c r="AA42" s="10" t="n"/>
      <c r="AB42" s="10" t="n"/>
      <c r="AC42" s="10" t="n"/>
      <c r="AD42" s="11" t="n"/>
      <c r="AE42" s="45" t="inlineStr">
        <is>
          <t>A</t>
        </is>
      </c>
      <c r="AF42" s="11" t="n"/>
      <c r="AG42" s="45" t="inlineStr"/>
      <c r="AH42" s="10" t="n"/>
      <c r="AI42" s="11" t="n"/>
      <c r="AJ42" s="45" t="inlineStr"/>
      <c r="AK42" s="10" t="n"/>
      <c r="AL42" s="11" t="n"/>
      <c r="AM42" s="45" t="inlineStr"/>
      <c r="AN42" s="10" t="n"/>
      <c r="AO42" s="11" t="n"/>
      <c r="AP42" s="45" t="inlineStr"/>
      <c r="AQ42" s="10" t="n"/>
      <c r="AR42" s="11" t="n"/>
      <c r="AS42" s="45" t="inlineStr"/>
      <c r="AT42" s="10" t="n"/>
      <c r="AU42" s="11" t="n"/>
      <c r="AV42" s="45" t="inlineStr"/>
      <c r="AW42" s="10" t="n"/>
      <c r="AX42" s="11" t="n"/>
      <c r="AY42" s="45" t="inlineStr"/>
      <c r="AZ42" s="10" t="n"/>
      <c r="BA42" s="11" t="n"/>
      <c r="BB42" s="45" t="inlineStr"/>
      <c r="BC42" s="10" t="n"/>
      <c r="BD42" s="11" t="n"/>
      <c r="BE42" s="45" t="inlineStr"/>
      <c r="BF42" s="10" t="n"/>
      <c r="BG42" s="11" t="n"/>
      <c r="BH42" s="45" t="inlineStr"/>
      <c r="BI42" s="10" t="n"/>
      <c r="BJ42" s="11" t="n"/>
      <c r="BK42" s="46" t="inlineStr"/>
      <c r="BL42" s="10" t="n"/>
      <c r="BM42" s="10" t="n"/>
      <c r="BN42" s="10" t="n"/>
      <c r="BO42" s="10" t="n"/>
      <c r="BP42" s="10" t="n"/>
      <c r="BQ42" s="11" t="n"/>
    </row>
    <row r="43" ht="256" customHeight="1">
      <c r="A43" s="44" t="n">
        <v>28</v>
      </c>
      <c r="B43" s="46" t="inlineStr">
        <is>
          <t>ACSMS-TC-011-027</t>
        </is>
      </c>
      <c r="C43" s="10" t="n"/>
      <c r="D43" s="11" t="n"/>
      <c r="E43" s="46" t="inlineStr">
        <is>
          <t>新規登録 — 戻るボタンによるキャンセル</t>
        </is>
      </c>
      <c r="F43" s="10" t="n"/>
      <c r="G43" s="10" t="n"/>
      <c r="H43" s="10" t="n"/>
      <c r="I43" s="11" t="n"/>
      <c r="J43" s="46" t="inlineStr">
        <is>
          <t>・role: JA_HONTEN（ja_id=100 所属）
・購読者情報登録画面（新規作成モード）で一部項目を入力済み</t>
        </is>
      </c>
      <c r="K43" s="10" t="n"/>
      <c r="L43" s="10" t="n"/>
      <c r="M43" s="10" t="n"/>
      <c r="N43" s="10" t="n"/>
      <c r="O43" s="10" t="n"/>
      <c r="P43" s="11" t="n"/>
      <c r="Q43" s="46" t="inlineStr">
        <is>
          <r>
            <rPr>
              <rFont val="メイリオ"/>
              <b val="1"/>
              <sz val="10"/>
            </rPr>
            <t xml:space="preserve">ステップ1：
</t>
          </r>
          <r>
            <rPr>
              <rFont val="メイリオ"/>
              <sz val="10"/>
            </rPr>
            <t xml:space="preserve">「前の画面に戻る」ボタンを押下
</t>
          </r>
          <r>
            <rPr>
              <rFont val="メイリオ"/>
              <b val="1"/>
              <sz val="10"/>
            </rPr>
            <t xml:space="preserve">ステップ2：
</t>
          </r>
          <r>
            <rPr>
              <rFont val="メイリオ"/>
              <sz val="10"/>
            </rPr>
            <t>遷移先画面と、入力したデータの保存有無を確認</t>
          </r>
        </is>
      </c>
      <c r="R43" s="10" t="n"/>
      <c r="S43" s="10" t="n"/>
      <c r="T43" s="10" t="n"/>
      <c r="U43" s="10" t="n"/>
      <c r="V43" s="10" t="n"/>
      <c r="W43" s="11" t="n"/>
      <c r="X43" s="46" t="inlineStr">
        <is>
          <r>
            <rPr>
              <rFont val="メイリオ"/>
              <b val="1"/>
              <sz val="10"/>
            </rPr>
            <t xml:space="preserve">ステップ1：
</t>
          </r>
          <r>
            <rPr>
              <rFont val="メイリオ"/>
              <sz val="10"/>
            </rPr>
            <t xml:space="preserve">購読者明細検索画面へ遷移すること
</t>
          </r>
          <r>
            <rPr>
              <rFont val="メイリオ"/>
              <b val="1"/>
              <sz val="10"/>
            </rPr>
            <t xml:space="preserve">ステップ2：
</t>
          </r>
          <r>
            <rPr>
              <rFont val="メイリオ"/>
              <sz val="10"/>
            </rPr>
            <t xml:space="preserve">入力したデータが保存されないこと（t_dokusya に新規データが登録されないこと）
</t>
          </r>
          <r>
            <rPr>
              <rFont val="メイリオ"/>
              <b val="1"/>
              <sz val="10"/>
            </rPr>
            <t xml:space="preserve">補足：
</t>
          </r>
          <r>
            <rPr>
              <rFont val="メイリオ"/>
              <sz val="10"/>
            </rPr>
            <t xml:space="preserve">・「前の画面に戻る」ボタンを押下すると購読者明細検索画面へ遷移すること（機能定義 §16）
</t>
          </r>
          <r>
            <rPr>
              <rFont val="メイリオ"/>
              <sz val="10"/>
            </rPr>
            <t>・フォームに入力されたデータは保存されないこと</t>
          </r>
        </is>
      </c>
      <c r="Y43" s="10" t="n"/>
      <c r="Z43" s="10" t="n"/>
      <c r="AA43" s="10" t="n"/>
      <c r="AB43" s="10" t="n"/>
      <c r="AC43" s="10" t="n"/>
      <c r="AD43" s="11" t="n"/>
      <c r="AE43" s="45" t="inlineStr">
        <is>
          <t>N</t>
        </is>
      </c>
      <c r="AF43" s="11" t="n"/>
      <c r="AG43" s="45" t="inlineStr"/>
      <c r="AH43" s="10" t="n"/>
      <c r="AI43" s="11" t="n"/>
      <c r="AJ43" s="45" t="inlineStr"/>
      <c r="AK43" s="10" t="n"/>
      <c r="AL43" s="11" t="n"/>
      <c r="AM43" s="45" t="inlineStr"/>
      <c r="AN43" s="10" t="n"/>
      <c r="AO43" s="11" t="n"/>
      <c r="AP43" s="45" t="inlineStr"/>
      <c r="AQ43" s="10" t="n"/>
      <c r="AR43" s="11" t="n"/>
      <c r="AS43" s="45" t="inlineStr"/>
      <c r="AT43" s="10" t="n"/>
      <c r="AU43" s="11" t="n"/>
      <c r="AV43" s="45" t="inlineStr"/>
      <c r="AW43" s="10" t="n"/>
      <c r="AX43" s="11" t="n"/>
      <c r="AY43" s="45" t="inlineStr"/>
      <c r="AZ43" s="10" t="n"/>
      <c r="BA43" s="11" t="n"/>
      <c r="BB43" s="45" t="inlineStr"/>
      <c r="BC43" s="10" t="n"/>
      <c r="BD43" s="11" t="n"/>
      <c r="BE43" s="45" t="inlineStr"/>
      <c r="BF43" s="10" t="n"/>
      <c r="BG43" s="11" t="n"/>
      <c r="BH43" s="45" t="inlineStr"/>
      <c r="BI43" s="10" t="n"/>
      <c r="BJ43" s="11" t="n"/>
      <c r="BK43" s="46" t="inlineStr">
        <is>
          <t>(なし)
---</t>
        </is>
      </c>
      <c r="BL43" s="10" t="n"/>
      <c r="BM43" s="10" t="n"/>
      <c r="BN43" s="10" t="n"/>
      <c r="BO43" s="10" t="n"/>
      <c r="BP43" s="10" t="n"/>
      <c r="BQ43" s="11" t="n"/>
    </row>
    <row r="44" ht="22.5" customHeight="1">
      <c r="A44" s="32" t="inlineStr">
        <is>
          <t>業務ロジック更新（編集・承認・否認）</t>
        </is>
      </c>
      <c r="B44" s="10" t="n"/>
      <c r="C44" s="10" t="n"/>
      <c r="D44" s="10" t="n"/>
      <c r="E44" s="10" t="n"/>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c r="AA44" s="10" t="n"/>
      <c r="AB44" s="10" t="n"/>
      <c r="AC44" s="10" t="n"/>
      <c r="AD44" s="10" t="n"/>
      <c r="AE44" s="10" t="n"/>
      <c r="AF44" s="10" t="n"/>
      <c r="AG44" s="10" t="n"/>
      <c r="AH44" s="10" t="n"/>
      <c r="AI44" s="10" t="n"/>
      <c r="AJ44" s="10" t="n"/>
      <c r="AK44" s="10" t="n"/>
      <c r="AL44" s="10" t="n"/>
      <c r="AM44" s="10" t="n"/>
      <c r="AN44" s="10" t="n"/>
      <c r="AO44" s="10" t="n"/>
      <c r="AP44" s="10" t="n"/>
      <c r="AQ44" s="10" t="n"/>
      <c r="AR44" s="10" t="n"/>
      <c r="AS44" s="10" t="n"/>
      <c r="AT44" s="10" t="n"/>
      <c r="AU44" s="10" t="n"/>
      <c r="AV44" s="10" t="n"/>
      <c r="AW44" s="10" t="n"/>
      <c r="AX44" s="10" t="n"/>
      <c r="AY44" s="10" t="n"/>
      <c r="AZ44" s="10" t="n"/>
      <c r="BA44" s="10" t="n"/>
      <c r="BB44" s="10" t="n"/>
      <c r="BC44" s="10" t="n"/>
      <c r="BD44" s="10" t="n"/>
      <c r="BE44" s="10" t="n"/>
      <c r="BF44" s="10" t="n"/>
      <c r="BG44" s="10" t="n"/>
      <c r="BH44" s="10" t="n"/>
      <c r="BI44" s="10" t="n"/>
      <c r="BJ44" s="10" t="n"/>
      <c r="BK44" s="10" t="n"/>
      <c r="BL44" s="10" t="n"/>
      <c r="BM44" s="10" t="n"/>
      <c r="BN44" s="10" t="n"/>
      <c r="BO44" s="10" t="n"/>
      <c r="BP44" s="10" t="n"/>
      <c r="BQ44" s="11" t="n"/>
    </row>
    <row r="45" ht="450" customHeight="1">
      <c r="A45" s="44" t="n">
        <v>29</v>
      </c>
      <c r="B45" s="46" t="inlineStr">
        <is>
          <t>ACSMS-TC-011-028</t>
        </is>
      </c>
      <c r="C45" s="10" t="n"/>
      <c r="D45" s="11" t="n"/>
      <c r="E45" s="46" t="inlineStr">
        <is>
          <t>編集モード フォームロード（既存データ反映）</t>
        </is>
      </c>
      <c r="F45" s="10" t="n"/>
      <c r="G45" s="10" t="n"/>
      <c r="H45" s="10" t="n"/>
      <c r="I45" s="11" t="n"/>
      <c r="J45" s="46" t="inlineStr">
        <is>
          <t>・role: JA_HONTEN（ja_id=100 所属）
・購読種別=紙版 の購読者（dokusya_id=100）が存在</t>
        </is>
      </c>
      <c r="K45" s="10" t="n"/>
      <c r="L45" s="10" t="n"/>
      <c r="M45" s="10" t="n"/>
      <c r="N45" s="10" t="n"/>
      <c r="O45" s="10" t="n"/>
      <c r="P45" s="11" t="n"/>
      <c r="Q45" s="46" t="inlineStr">
        <is>
          <r>
            <rPr>
              <rFont val="メイリオ"/>
              <b val="1"/>
              <sz val="10"/>
            </rPr>
            <t xml:space="preserve">ステップ1：
</t>
          </r>
          <r>
            <rPr>
              <rFont val="メイリオ"/>
              <sz val="10"/>
            </rPr>
            <t xml:space="preserve">購読者明細検索画面の一覧から対象購読者の行を押下し、編集モードで購読者情報登録画面を開く
</t>
          </r>
          <r>
            <rPr>
              <rFont val="メイリオ"/>
              <b val="1"/>
              <sz val="10"/>
            </rPr>
            <t xml:space="preserve">ステップ2：
</t>
          </r>
          <r>
            <rPr>
              <rFont val="メイリオ"/>
              <sz val="10"/>
            </rPr>
            <t xml:space="preserve">DevTools の Network タブで GET `/api/v1/dokusya/100` のレスポンスを確認
</t>
          </r>
          <r>
            <rPr>
              <rFont val="メイリオ"/>
              <b val="1"/>
              <sz val="10"/>
            </rPr>
            <t xml:space="preserve">ステップ3：
</t>
          </r>
          <r>
            <rPr>
              <rFont val="メイリオ"/>
              <sz val="10"/>
            </rPr>
            <t>フォーム各項目の値と、購読者ID（dokusya_id）・履歴No（rireki_no）の表示を確認</t>
          </r>
        </is>
      </c>
      <c r="R45" s="10" t="n"/>
      <c r="S45" s="10" t="n"/>
      <c r="T45" s="10" t="n"/>
      <c r="U45" s="10" t="n"/>
      <c r="V45" s="10" t="n"/>
      <c r="W45" s="11" t="n"/>
      <c r="X45" s="46" t="inlineStr">
        <is>
          <r>
            <rPr>
              <rFont val="メイリオ"/>
              <b val="1"/>
              <sz val="10"/>
            </rPr>
            <t xml:space="preserve">ステップ1：
</t>
          </r>
          <r>
            <rPr>
              <rFont val="メイリオ"/>
              <sz val="10"/>
            </rPr>
            <t xml:space="preserve">編集モードで購読者情報登録画面が表示されること
</t>
          </r>
          <r>
            <rPr>
              <rFont val="メイリオ"/>
              <b val="1"/>
              <sz val="10"/>
            </rPr>
            <t xml:space="preserve">ステップ2：
</t>
          </r>
          <r>
            <rPr>
              <rFont val="メイリオ"/>
              <sz val="10"/>
            </rPr>
            <t xml:space="preserve">HTTPステータスコード200が返却されること（対象購読者の全項目が `data` に含まれること、bank_shiten_id がプルダウン再ハイドレーション用に返却されること）
</t>
          </r>
          <r>
            <rPr>
              <rFont val="メイリオ"/>
              <b val="1"/>
              <sz val="10"/>
            </rPr>
            <t xml:space="preserve">ステップ3：
</t>
          </r>
          <r>
            <rPr>
              <rFont val="メイリオ"/>
              <sz val="10"/>
            </rPr>
            <t xml:space="preserve">フォーム各項目に既存データが反映されること、購読者ID（dokusya_id）が変更不可で表示されること
</t>
          </r>
          <r>
            <rPr>
              <rFont val="メイリオ"/>
              <b val="1"/>
              <sz val="10"/>
            </rPr>
            <t xml:space="preserve">補足：
</t>
          </r>
          <r>
            <rPr>
              <rFont val="メイリオ"/>
              <sz val="10"/>
            </rPr>
            <t xml:space="preserve">・編集モードでは IDで購読者のデータを取得し、フォームに反映すること（機能定義 §15.1）
</t>
          </r>
          <r>
            <rPr>
              <rFont val="メイリオ"/>
              <sz val="10"/>
            </rPr>
            <t xml:space="preserve">・購読者IDは変更不可とすること
</t>
          </r>
          <r>
            <rPr>
              <rFont val="メイリオ"/>
              <sz val="10"/>
            </rPr>
            <t>・データ取得失敗の場合は ACSMS-MSG-011-016 `購読者ID #{id} が見つかりません。` を表示すること</t>
          </r>
        </is>
      </c>
      <c r="Y45" s="10" t="n"/>
      <c r="Z45" s="10" t="n"/>
      <c r="AA45" s="10" t="n"/>
      <c r="AB45" s="10" t="n"/>
      <c r="AC45" s="10" t="n"/>
      <c r="AD45" s="11" t="n"/>
      <c r="AE45" s="45" t="inlineStr">
        <is>
          <t>N</t>
        </is>
      </c>
      <c r="AF45" s="11" t="n"/>
      <c r="AG45" s="45" t="inlineStr"/>
      <c r="AH45" s="10" t="n"/>
      <c r="AI45" s="11" t="n"/>
      <c r="AJ45" s="45" t="inlineStr"/>
      <c r="AK45" s="10" t="n"/>
      <c r="AL45" s="11" t="n"/>
      <c r="AM45" s="45" t="inlineStr"/>
      <c r="AN45" s="10" t="n"/>
      <c r="AO45" s="11" t="n"/>
      <c r="AP45" s="45" t="inlineStr"/>
      <c r="AQ45" s="10" t="n"/>
      <c r="AR45" s="11" t="n"/>
      <c r="AS45" s="45" t="inlineStr"/>
      <c r="AT45" s="10" t="n"/>
      <c r="AU45" s="11" t="n"/>
      <c r="AV45" s="45" t="inlineStr"/>
      <c r="AW45" s="10" t="n"/>
      <c r="AX45" s="11" t="n"/>
      <c r="AY45" s="45" t="inlineStr"/>
      <c r="AZ45" s="10" t="n"/>
      <c r="BA45" s="11" t="n"/>
      <c r="BB45" s="45" t="inlineStr"/>
      <c r="BC45" s="10" t="n"/>
      <c r="BD45" s="11" t="n"/>
      <c r="BE45" s="45" t="inlineStr"/>
      <c r="BF45" s="10" t="n"/>
      <c r="BG45" s="11" t="n"/>
      <c r="BH45" s="45" t="inlineStr"/>
      <c r="BI45" s="10" t="n"/>
      <c r="BJ45" s="11" t="n"/>
      <c r="BK45" s="46" t="inlineStr"/>
      <c r="BL45" s="10" t="n"/>
      <c r="BM45" s="10" t="n"/>
      <c r="BN45" s="10" t="n"/>
      <c r="BO45" s="10" t="n"/>
      <c r="BP45" s="10" t="n"/>
      <c r="BQ45" s="11" t="n"/>
    </row>
    <row r="46" ht="450" customHeight="1">
      <c r="A46" s="44" t="n">
        <v>30</v>
      </c>
      <c r="B46" s="46" t="inlineStr">
        <is>
          <t>ACSMS-TC-011-029</t>
        </is>
      </c>
      <c r="C46" s="10" t="n"/>
      <c r="D46" s="11" t="n"/>
      <c r="E46" s="46" t="inlineStr">
        <is>
          <t>更新 正常系（履歴追記方式 + 監査ログ）</t>
        </is>
      </c>
      <c r="F46" s="10" t="n"/>
      <c r="G46" s="10" t="n"/>
      <c r="H46" s="10" t="n"/>
      <c r="I46" s="11" t="n"/>
      <c r="J46" s="46" t="inlineStr">
        <is>
          <t>・role: JA_HONTEN（ja_id=100 所属）
・購読種別=紙版 の購読者（dokusya_id=100, 現 rireki_no=1）が存在</t>
        </is>
      </c>
      <c r="K46" s="10" t="n"/>
      <c r="L46" s="10" t="n"/>
      <c r="M46" s="10" t="n"/>
      <c r="N46" s="10" t="n"/>
      <c r="O46" s="10" t="n"/>
      <c r="P46" s="11" t="n"/>
      <c r="Q46" s="46" t="inlineStr">
        <is>
          <r>
            <rPr>
              <rFont val="メイリオ"/>
              <b val="1"/>
              <sz val="10"/>
            </rPr>
            <t xml:space="preserve">ステップ1：
</t>
          </r>
          <r>
            <rPr>
              <rFont val="メイリオ"/>
              <sz val="10"/>
            </rPr>
            <t xml:space="preserve">編集モードで購読者情報登録画面を開き、購読部数（dokusya_busu）を1から2へ変更して「承認・登録」ボタンを押下
</t>
          </r>
          <r>
            <rPr>
              <rFont val="メイリオ"/>
              <b val="1"/>
              <sz val="10"/>
            </rPr>
            <t xml:space="preserve">ステップ2：
</t>
          </r>
          <r>
            <rPr>
              <rFont val="メイリオ"/>
              <sz val="10"/>
            </rPr>
            <t xml:space="preserve">画面遷移とメッセージを確認
</t>
          </r>
          <r>
            <rPr>
              <rFont val="メイリオ"/>
              <b val="1"/>
              <sz val="10"/>
            </rPr>
            <t xml:space="preserve">ステップ3：
</t>
          </r>
          <r>
            <rPr>
              <rFont val="メイリオ"/>
              <sz val="10"/>
            </rPr>
            <t xml:space="preserve">DBで以下クエリを実行し、本体・履歴レコードを確認
</t>
          </r>
          <r>
            <rPr>
              <rFont val="メイリオ"/>
              <sz val="10"/>
            </rPr>
            <t xml:space="preserve">```sql
</t>
          </r>
          <r>
            <rPr>
              <rFont val="メイリオ"/>
              <sz val="10"/>
            </rPr>
            <t xml:space="preserve">SELECT rireki_no, dokusya_busu FROM t_dokusya WHERE dokusya_id = 100;
</t>
          </r>
          <r>
            <rPr>
              <rFont val="メイリオ"/>
              <sz val="10"/>
            </rPr>
            <t xml:space="preserve">SELECT rireki_no, saishin_data_flg, zougen_hokoku_flg
</t>
          </r>
          <r>
            <rPr>
              <rFont val="メイリオ"/>
              <sz val="10"/>
            </rPr>
            <t xml:space="preserve">FROM t_dokusya_rireki
</t>
          </r>
          <r>
            <rPr>
              <rFont val="メイリオ"/>
              <sz val="10"/>
            </rPr>
            <t xml:space="preserve">WHERE dokusya_id = 100
</t>
          </r>
          <r>
            <rPr>
              <rFont val="メイリオ"/>
              <sz val="10"/>
            </rPr>
            <t xml:space="preserve">ORDER BY rireki_no DESC;
</t>
          </r>
          <r>
            <rPr>
              <rFont val="メイリオ"/>
              <sz val="10"/>
            </rPr>
            <t xml:space="preserve">```
</t>
          </r>
          <r>
            <rPr>
              <rFont val="メイリオ"/>
              <b val="1"/>
              <sz val="10"/>
            </rPr>
            <t xml:space="preserve">ステップ4：
</t>
          </r>
          <r>
            <rPr>
              <rFont val="メイリオ"/>
              <sz val="10"/>
            </rPr>
            <t xml:space="preserve">DBで以下クエリを実行し、監査ログを確認
</t>
          </r>
          <r>
            <rPr>
              <rFont val="メイリオ"/>
              <sz val="10"/>
            </rPr>
            <t xml:space="preserve">```sql
</t>
          </r>
          <r>
            <rPr>
              <rFont val="メイリオ"/>
              <sz val="10"/>
            </rPr>
            <t xml:space="preserve">SELECT operation, result_status, before_value, after_value
</t>
          </r>
          <r>
            <rPr>
              <rFont val="メイリオ"/>
              <sz val="10"/>
            </rPr>
            <t xml:space="preserve">FROM t_log
</t>
          </r>
          <r>
            <rPr>
              <rFont val="メイリオ"/>
              <sz val="10"/>
            </rPr>
            <t xml:space="preserve">WHERE target_table = 't_dokusya' AND target_id = 100
</t>
          </r>
          <r>
            <rPr>
              <rFont val="メイリオ"/>
              <sz val="10"/>
            </rPr>
            <t xml:space="preserve">ORDER BY log_datetime DESC
</t>
          </r>
          <r>
            <rPr>
              <rFont val="メイリオ"/>
              <sz val="10"/>
            </rPr>
            <t xml:space="preserve">LIMIT 1;
</t>
          </r>
          <r>
            <rPr>
              <rFont val="メイリオ"/>
              <sz val="10"/>
            </rPr>
            <t>```</t>
          </r>
        </is>
      </c>
      <c r="R46" s="10" t="n"/>
      <c r="S46" s="10" t="n"/>
      <c r="T46" s="10" t="n"/>
      <c r="U46" s="10" t="n"/>
      <c r="V46" s="10" t="n"/>
      <c r="W46" s="11" t="n"/>
      <c r="X46" s="46" t="inlineStr">
        <is>
          <r>
            <rPr>
              <rFont val="メイリオ"/>
              <b val="1"/>
              <sz val="10"/>
            </rPr>
            <t xml:space="preserve">ステップ1：
</t>
          </r>
          <r>
            <rPr>
              <rFont val="メイリオ"/>
              <sz val="10"/>
            </rPr>
            <t xml:space="preserve">更新処理が実行されること
</t>
          </r>
          <r>
            <rPr>
              <rFont val="メイリオ"/>
              <b val="1"/>
              <sz val="10"/>
            </rPr>
            <t xml:space="preserve">ステップ2：
</t>
          </r>
          <r>
            <rPr>
              <rFont val="メイリオ"/>
              <sz val="10"/>
            </rPr>
            <t xml:space="preserve">HTTPステータスコード200が返却されること、更新完了メッセージ `更新しました。`（ACSMS-MSG-011-015）が表示されること、購読者明細検索画面へ戻ること
</t>
          </r>
          <r>
            <rPr>
              <rFont val="メイリオ"/>
              <b val="1"/>
              <sz val="10"/>
            </rPr>
            <t xml:space="preserve">ステップ3：
</t>
          </r>
          <r>
            <rPr>
              <rFont val="メイリオ"/>
              <sz val="10"/>
            </rPr>
            <t xml:space="preserve">t_dokusya の rireki_no が2に更新され dokusya_busu が2となること、t_dokusya_rireki に新履歴（rireki_no=2, saishin_data_flg=true, zougen_hokoku_flg=true）が追記され、旧履歴（rireki_no=1）の saishin_data_flg が false に更新されること
</t>
          </r>
          <r>
            <rPr>
              <rFont val="メイリオ"/>
              <b val="1"/>
              <sz val="10"/>
            </rPr>
            <t xml:space="preserve">ステップ4：
</t>
          </r>
          <r>
            <rPr>
              <rFont val="メイリオ"/>
              <sz val="10"/>
            </rPr>
            <t xml:space="preserve">t_log に operation=`UPDATE`, result_status=1 のレコードが記録され、before_value に更新前データ、after_value に更新後データが格納されること
</t>
          </r>
          <r>
            <rPr>
              <rFont val="メイリオ"/>
              <b val="1"/>
              <sz val="10"/>
            </rPr>
            <t xml:space="preserve">補足：
</t>
          </r>
          <r>
            <rPr>
              <rFont val="メイリオ"/>
              <sz val="10"/>
            </rPr>
            <t xml:space="preserve">・更新は既存レコードの物理更新ではなく、新しい履歴番号でのレコード追記を行うこと（機能定義 §15.3）
</t>
          </r>
          <r>
            <rPr>
              <rFont val="メイリオ"/>
              <sz val="10"/>
            </rPr>
            <t xml:space="preserve">・旧履歴の最新データフラグを false に更新し、新履歴の最新データフラグを true とすること
</t>
          </r>
          <r>
            <rPr>
              <rFont val="メイリオ"/>
              <sz val="10"/>
            </rPr>
            <t>・更新（業務書き込み）と監査ログは単一トランザクションで実行されること</t>
          </r>
        </is>
      </c>
      <c r="Y46" s="10" t="n"/>
      <c r="Z46" s="10" t="n"/>
      <c r="AA46" s="10" t="n"/>
      <c r="AB46" s="10" t="n"/>
      <c r="AC46" s="10" t="n"/>
      <c r="AD46" s="11" t="n"/>
      <c r="AE46" s="45" t="inlineStr">
        <is>
          <t>N</t>
        </is>
      </c>
      <c r="AF46" s="11" t="n"/>
      <c r="AG46" s="45" t="inlineStr"/>
      <c r="AH46" s="10" t="n"/>
      <c r="AI46" s="11" t="n"/>
      <c r="AJ46" s="45" t="inlineStr"/>
      <c r="AK46" s="10" t="n"/>
      <c r="AL46" s="11" t="n"/>
      <c r="AM46" s="45" t="inlineStr"/>
      <c r="AN46" s="10" t="n"/>
      <c r="AO46" s="11" t="n"/>
      <c r="AP46" s="45" t="inlineStr"/>
      <c r="AQ46" s="10" t="n"/>
      <c r="AR46" s="11" t="n"/>
      <c r="AS46" s="45" t="inlineStr"/>
      <c r="AT46" s="10" t="n"/>
      <c r="AU46" s="11" t="n"/>
      <c r="AV46" s="45" t="inlineStr"/>
      <c r="AW46" s="10" t="n"/>
      <c r="AX46" s="11" t="n"/>
      <c r="AY46" s="45" t="inlineStr"/>
      <c r="AZ46" s="10" t="n"/>
      <c r="BA46" s="11" t="n"/>
      <c r="BB46" s="45" t="inlineStr"/>
      <c r="BC46" s="10" t="n"/>
      <c r="BD46" s="11" t="n"/>
      <c r="BE46" s="45" t="inlineStr"/>
      <c r="BF46" s="10" t="n"/>
      <c r="BG46" s="11" t="n"/>
      <c r="BH46" s="45" t="inlineStr"/>
      <c r="BI46" s="10" t="n"/>
      <c r="BJ46" s="11" t="n"/>
      <c r="BK46" s="46" t="inlineStr"/>
      <c r="BL46" s="10" t="n"/>
      <c r="BM46" s="10" t="n"/>
      <c r="BN46" s="10" t="n"/>
      <c r="BO46" s="10" t="n"/>
      <c r="BP46" s="10" t="n"/>
      <c r="BQ46" s="11" t="n"/>
    </row>
    <row r="47" ht="448" customHeight="1">
      <c r="A47" s="44" t="n">
        <v>31</v>
      </c>
      <c r="B47" s="46" t="inlineStr">
        <is>
          <t>ACSMS-TC-011-030</t>
        </is>
      </c>
      <c r="C47" s="10" t="n"/>
      <c r="D47" s="11" t="n"/>
      <c r="E47" s="46" t="inlineStr">
        <is>
          <t>純電子版（クレカ決済）・併読読者の読み取り専用制御</t>
        </is>
      </c>
      <c r="F47" s="10" t="n"/>
      <c r="G47" s="10" t="n"/>
      <c r="H47" s="10" t="n"/>
      <c r="I47" s="11" t="n"/>
      <c r="J47" s="46" t="inlineStr">
        <is>
          <t>・role: JA_HONTEN（ja_id=100 所属）
・購読種別=電子版（クレカ決済）の購読者（dokusya_id=300）が存在</t>
        </is>
      </c>
      <c r="K47" s="10" t="n"/>
      <c r="L47" s="10" t="n"/>
      <c r="M47" s="10" t="n"/>
      <c r="N47" s="10" t="n"/>
      <c r="O47" s="10" t="n"/>
      <c r="P47" s="11" t="n"/>
      <c r="Q47" s="46" t="inlineStr">
        <is>
          <r>
            <rPr>
              <rFont val="メイリオ"/>
              <b val="1"/>
              <sz val="10"/>
            </rPr>
            <t xml:space="preserve">ステップ1：
</t>
          </r>
          <r>
            <rPr>
              <rFont val="メイリオ"/>
              <sz val="10"/>
            </rPr>
            <t xml:space="preserve">購読者明細検索画面の一覧から電子版クレカ決済者の行を押下し、編集モードで画面を開く
</t>
          </r>
          <r>
            <rPr>
              <rFont val="メイリオ"/>
              <b val="1"/>
              <sz val="10"/>
            </rPr>
            <t xml:space="preserve">ステップ2：
</t>
          </r>
          <r>
            <rPr>
              <rFont val="メイリオ"/>
              <sz val="10"/>
            </rPr>
            <t xml:space="preserve">フォーム各項目の入力可否を確認
</t>
          </r>
          <r>
            <rPr>
              <rFont val="メイリオ"/>
              <b val="1"/>
              <sz val="10"/>
            </rPr>
            <t xml:space="preserve">ステップ3：
</t>
          </r>
          <r>
            <rPr>
              <rFont val="メイリオ"/>
              <sz val="10"/>
            </rPr>
            <t>DevTools の Network タブで PUT `/api/v1/dokusya/300` に編集内容を含めて直接送信</t>
          </r>
        </is>
      </c>
      <c r="R47" s="10" t="n"/>
      <c r="S47" s="10" t="n"/>
      <c r="T47" s="10" t="n"/>
      <c r="U47" s="10" t="n"/>
      <c r="V47" s="10" t="n"/>
      <c r="W47" s="11" t="n"/>
      <c r="X47" s="46" t="inlineStr">
        <is>
          <r>
            <rPr>
              <rFont val="メイリオ"/>
              <b val="1"/>
              <sz val="10"/>
            </rPr>
            <t xml:space="preserve">ステップ1：
</t>
          </r>
          <r>
            <rPr>
              <rFont val="メイリオ"/>
              <sz val="10"/>
            </rPr>
            <t xml:space="preserve">編集モードで購読者情報登録画面が参照モードで表示されること
</t>
          </r>
          <r>
            <rPr>
              <rFont val="メイリオ"/>
              <b val="1"/>
              <sz val="10"/>
            </rPr>
            <t xml:space="preserve">ステップ2：
</t>
          </r>
          <r>
            <rPr>
              <rFont val="メイリオ"/>
              <sz val="10"/>
            </rPr>
            <t xml:space="preserve">購読開始日（dokusya_kaishi_date）・購読中止日（dokusya_chushi_date）等が読み取り専用で表示されること（電子版読者管理システムからの連携データ）
</t>
          </r>
          <r>
            <rPr>
              <rFont val="メイリオ"/>
              <b val="1"/>
              <sz val="10"/>
            </rPr>
            <t xml:space="preserve">ステップ3：
</t>
          </r>
          <r>
            <rPr>
              <rFont val="メイリオ"/>
              <sz val="10"/>
            </rPr>
            <t xml:space="preserve">バックエンド側で電子版クレカ決済者の編集が拒否されること（業務ルールにより編集不可）
</t>
          </r>
          <r>
            <rPr>
              <rFont val="メイリオ"/>
              <b val="1"/>
              <sz val="10"/>
            </rPr>
            <t xml:space="preserve">補足：
</t>
          </r>
          <r>
            <rPr>
              <rFont val="メイリオ"/>
              <sz val="10"/>
            </rPr>
            <t xml:space="preserve">・純粋な電子版（クレカ決済）読者は読者管理が外部Webシステム側で主導されるため、本画面では参照のみ（読み取り専用）とすること（機能定義 §15.1）
</t>
          </r>
          <r>
            <rPr>
              <rFont val="メイリオ"/>
              <sz val="10"/>
            </rPr>
            <t>・電子版クレカ決済者・併読者は編集・削除不可（業務ルール、機能定義 §1.2）</t>
          </r>
        </is>
      </c>
      <c r="Y47" s="10" t="n"/>
      <c r="Z47" s="10" t="n"/>
      <c r="AA47" s="10" t="n"/>
      <c r="AB47" s="10" t="n"/>
      <c r="AC47" s="10" t="n"/>
      <c r="AD47" s="11" t="n"/>
      <c r="AE47" s="45" t="inlineStr">
        <is>
          <t>A</t>
        </is>
      </c>
      <c r="AF47" s="11" t="n"/>
      <c r="AG47" s="45" t="inlineStr"/>
      <c r="AH47" s="10" t="n"/>
      <c r="AI47" s="11" t="n"/>
      <c r="AJ47" s="45" t="inlineStr"/>
      <c r="AK47" s="10" t="n"/>
      <c r="AL47" s="11" t="n"/>
      <c r="AM47" s="45" t="inlineStr"/>
      <c r="AN47" s="10" t="n"/>
      <c r="AO47" s="11" t="n"/>
      <c r="AP47" s="45" t="inlineStr"/>
      <c r="AQ47" s="10" t="n"/>
      <c r="AR47" s="11" t="n"/>
      <c r="AS47" s="45" t="inlineStr"/>
      <c r="AT47" s="10" t="n"/>
      <c r="AU47" s="11" t="n"/>
      <c r="AV47" s="45" t="inlineStr"/>
      <c r="AW47" s="10" t="n"/>
      <c r="AX47" s="11" t="n"/>
      <c r="AY47" s="45" t="inlineStr"/>
      <c r="AZ47" s="10" t="n"/>
      <c r="BA47" s="11" t="n"/>
      <c r="BB47" s="45" t="inlineStr"/>
      <c r="BC47" s="10" t="n"/>
      <c r="BD47" s="11" t="n"/>
      <c r="BE47" s="45" t="inlineStr"/>
      <c r="BF47" s="10" t="n"/>
      <c r="BG47" s="11" t="n"/>
      <c r="BH47" s="45" t="inlineStr"/>
      <c r="BI47" s="10" t="n"/>
      <c r="BJ47" s="11" t="n"/>
      <c r="BK47" s="46" t="inlineStr"/>
      <c r="BL47" s="10" t="n"/>
      <c r="BM47" s="10" t="n"/>
      <c r="BN47" s="10" t="n"/>
      <c r="BO47" s="10" t="n"/>
      <c r="BP47" s="10" t="n"/>
      <c r="BQ47" s="11" t="n"/>
    </row>
    <row r="48" ht="400" customHeight="1">
      <c r="A48" s="44" t="n">
        <v>32</v>
      </c>
      <c r="B48" s="46" t="inlineStr">
        <is>
          <t>ACSMS-TC-011-031</t>
        </is>
      </c>
      <c r="C48" s="10" t="n"/>
      <c r="D48" s="11" t="n"/>
      <c r="E48" s="46" t="inlineStr">
        <is>
          <t>同時編集競合（楽観ロック）</t>
        </is>
      </c>
      <c r="F48" s="10" t="n"/>
      <c r="G48" s="10" t="n"/>
      <c r="H48" s="10" t="n"/>
      <c r="I48" s="11" t="n"/>
      <c r="J48" s="46" t="inlineStr">
        <is>
          <t>・role: JA_HONTEN（ja_id=100 所属）
・購読者（dokusya_id=100）を2つのブラウザタブで編集モードで開いた状態</t>
        </is>
      </c>
      <c r="K48" s="10" t="n"/>
      <c r="L48" s="10" t="n"/>
      <c r="M48" s="10" t="n"/>
      <c r="N48" s="10" t="n"/>
      <c r="O48" s="10" t="n"/>
      <c r="P48" s="11" t="n"/>
      <c r="Q48" s="46" t="inlineStr">
        <is>
          <r>
            <rPr>
              <rFont val="メイリオ"/>
              <b val="1"/>
              <sz val="10"/>
            </rPr>
            <t xml:space="preserve">ステップ1：
</t>
          </r>
          <r>
            <rPr>
              <rFont val="メイリオ"/>
              <sz val="10"/>
            </rPr>
            <t xml:space="preserve">タブAで購読部数（dokusya_busu）を変更し「承認・登録」ボタンを押下（更新成功）
</t>
          </r>
          <r>
            <rPr>
              <rFont val="メイリオ"/>
              <b val="1"/>
              <sz val="10"/>
            </rPr>
            <t xml:space="preserve">ステップ2：
</t>
          </r>
          <r>
            <rPr>
              <rFont val="メイリオ"/>
              <sz val="10"/>
            </rPr>
            <t xml:space="preserve">タブBで（タブA更新前のデータのまま）市町村郡（shikuchoson）を変更し「承認・登録」ボタンを押下
</t>
          </r>
          <r>
            <rPr>
              <rFont val="メイリオ"/>
              <b val="1"/>
              <sz val="10"/>
            </rPr>
            <t xml:space="preserve">ステップ3：
</t>
          </r>
          <r>
            <rPr>
              <rFont val="メイリオ"/>
              <sz val="10"/>
            </rPr>
            <t xml:space="preserve">DBで以下クエリを実行し、最新履歴の内容を確認
</t>
          </r>
          <r>
            <rPr>
              <rFont val="メイリオ"/>
              <sz val="10"/>
            </rPr>
            <t xml:space="preserve">```sql
</t>
          </r>
          <r>
            <rPr>
              <rFont val="メイリオ"/>
              <sz val="10"/>
            </rPr>
            <t xml:space="preserve">SELECT rireki_no, dokusya_busu, shikuchoson
</t>
          </r>
          <r>
            <rPr>
              <rFont val="メイリオ"/>
              <sz val="10"/>
            </rPr>
            <t xml:space="preserve">FROM t_dokusya_rireki
</t>
          </r>
          <r>
            <rPr>
              <rFont val="メイリオ"/>
              <sz val="10"/>
            </rPr>
            <t xml:space="preserve">WHERE dokusya_id = 100 AND saishin_data_flg = TRUE;
</t>
          </r>
          <r>
            <rPr>
              <rFont val="メイリオ"/>
              <sz val="10"/>
            </rPr>
            <t>```</t>
          </r>
        </is>
      </c>
      <c r="R48" s="10" t="n"/>
      <c r="S48" s="10" t="n"/>
      <c r="T48" s="10" t="n"/>
      <c r="U48" s="10" t="n"/>
      <c r="V48" s="10" t="n"/>
      <c r="W48" s="11" t="n"/>
      <c r="X48" s="46" t="inlineStr">
        <is>
          <r>
            <rPr>
              <rFont val="メイリオ"/>
              <b val="1"/>
              <sz val="10"/>
            </rPr>
            <t xml:space="preserve">ステップ1：
</t>
          </r>
          <r>
            <rPr>
              <rFont val="メイリオ"/>
              <sz val="10"/>
            </rPr>
            <t xml:space="preserve">タブAの更新処理が実行されること、更新完了メッセージ `更新しました。` が表示されること
</t>
          </r>
          <r>
            <rPr>
              <rFont val="メイリオ"/>
              <b val="1"/>
              <sz val="10"/>
            </rPr>
            <t xml:space="preserve">ステップ2：
</t>
          </r>
          <r>
            <rPr>
              <rFont val="メイリオ"/>
              <sz val="10"/>
            </rPr>
            <t xml:space="preserve">タブBの更新時に競合が検知されること（後勝ち更新の場合はタブAの変更が失われないこと）
</t>
          </r>
          <r>
            <rPr>
              <rFont val="メイリオ"/>
              <b val="1"/>
              <sz val="10"/>
            </rPr>
            <t xml:space="preserve">ステップ3：
</t>
          </r>
          <r>
            <rPr>
              <rFont val="メイリオ"/>
              <sz val="10"/>
            </rPr>
            <t xml:space="preserve">データ整合性が保たれること、saishin_data_flg=TRUE の履歴が1件のみであること
</t>
          </r>
          <r>
            <rPr>
              <rFont val="メイリオ"/>
              <b val="1"/>
              <sz val="10"/>
            </rPr>
            <t xml:space="preserve">補足：
</t>
          </r>
          <r>
            <rPr>
              <rFont val="メイリオ"/>
              <sz val="10"/>
            </rPr>
            <t xml:space="preserve">・履歴テーブルは追記専用であり、最新データフラグ（saishin_data_flg）が TRUE のレコードは購読者IDごとに1件のみとすること（機能定義 §14.2）
</t>
          </r>
          <r>
            <rPr>
              <rFont val="メイリオ"/>
              <sz val="10"/>
            </rPr>
            <t>・楽観ロックの実装有無は設計仕様に従い、未実装の場合は別途バグチケットを起票すること</t>
          </r>
        </is>
      </c>
      <c r="Y48" s="10" t="n"/>
      <c r="Z48" s="10" t="n"/>
      <c r="AA48" s="10" t="n"/>
      <c r="AB48" s="10" t="n"/>
      <c r="AC48" s="10" t="n"/>
      <c r="AD48" s="11" t="n"/>
      <c r="AE48" s="45" t="inlineStr">
        <is>
          <t>A</t>
        </is>
      </c>
      <c r="AF48" s="11" t="n"/>
      <c r="AG48" s="45" t="inlineStr"/>
      <c r="AH48" s="10" t="n"/>
      <c r="AI48" s="11" t="n"/>
      <c r="AJ48" s="45" t="inlineStr"/>
      <c r="AK48" s="10" t="n"/>
      <c r="AL48" s="11" t="n"/>
      <c r="AM48" s="45" t="inlineStr"/>
      <c r="AN48" s="10" t="n"/>
      <c r="AO48" s="11" t="n"/>
      <c r="AP48" s="45" t="inlineStr"/>
      <c r="AQ48" s="10" t="n"/>
      <c r="AR48" s="11" t="n"/>
      <c r="AS48" s="45" t="inlineStr"/>
      <c r="AT48" s="10" t="n"/>
      <c r="AU48" s="11" t="n"/>
      <c r="AV48" s="45" t="inlineStr"/>
      <c r="AW48" s="10" t="n"/>
      <c r="AX48" s="11" t="n"/>
      <c r="AY48" s="45" t="inlineStr"/>
      <c r="AZ48" s="10" t="n"/>
      <c r="BA48" s="11" t="n"/>
      <c r="BB48" s="45" t="inlineStr"/>
      <c r="BC48" s="10" t="n"/>
      <c r="BD48" s="11" t="n"/>
      <c r="BE48" s="45" t="inlineStr"/>
      <c r="BF48" s="10" t="n"/>
      <c r="BG48" s="11" t="n"/>
      <c r="BH48" s="45" t="inlineStr"/>
      <c r="BI48" s="10" t="n"/>
      <c r="BJ48" s="11" t="n"/>
      <c r="BK48" s="46" t="inlineStr">
        <is>
          <t>楽観ロック競合時の専用メッセージは設計仕様に未定義のため、本TCではHTTPコードとデータ整合性のみ検証する（メッセージは仕様確認待ち）。</t>
        </is>
      </c>
      <c r="BL48" s="10" t="n"/>
      <c r="BM48" s="10" t="n"/>
      <c r="BN48" s="10" t="n"/>
      <c r="BO48" s="10" t="n"/>
      <c r="BP48" s="10" t="n"/>
      <c r="BQ48" s="11" t="n"/>
    </row>
    <row r="49" ht="450" customHeight="1">
      <c r="A49" s="44" t="n">
        <v>33</v>
      </c>
      <c r="B49" s="46" t="inlineStr">
        <is>
          <t>ACSMS-TC-011-032</t>
        </is>
      </c>
      <c r="C49" s="10" t="n"/>
      <c r="D49" s="11" t="n"/>
      <c r="E49" s="46" t="inlineStr">
        <is>
          <t>電子版承認 正常系（denshi_shonin_status 0→1）</t>
        </is>
      </c>
      <c r="F49" s="10" t="n"/>
      <c r="G49" s="10" t="n"/>
      <c r="H49" s="10" t="n"/>
      <c r="I49" s="11" t="n"/>
      <c r="J49" s="46" t="inlineStr">
        <is>
          <t>・role: JA_HONTEN（ja_id=100 所属、電子版取扱フラグあり）
・購読種別=電子版 かつ denshi_shonin_status=0（承認待ち）の購読者（dokusya_id=200, 現 rireki_no=1）が存在</t>
        </is>
      </c>
      <c r="K49" s="10" t="n"/>
      <c r="L49" s="10" t="n"/>
      <c r="M49" s="10" t="n"/>
      <c r="N49" s="10" t="n"/>
      <c r="O49" s="10" t="n"/>
      <c r="P49" s="11" t="n"/>
      <c r="Q49" s="46" t="inlineStr">
        <is>
          <r>
            <rPr>
              <rFont val="メイリオ"/>
              <b val="1"/>
              <sz val="10"/>
            </rPr>
            <t xml:space="preserve">ステップ1：
</t>
          </r>
          <r>
            <rPr>
              <rFont val="メイリオ"/>
              <sz val="10"/>
            </rPr>
            <t xml:space="preserve">承認待ちの購読者を編集モードで開き、「承認・登録」ボタンを押下
</t>
          </r>
          <r>
            <rPr>
              <rFont val="メイリオ"/>
              <b val="1"/>
              <sz val="10"/>
            </rPr>
            <t xml:space="preserve">ステップ2：
</t>
          </r>
          <r>
            <rPr>
              <rFont val="メイリオ"/>
              <sz val="10"/>
            </rPr>
            <t xml:space="preserve">画面遷移とメッセージを確認
</t>
          </r>
          <r>
            <rPr>
              <rFont val="メイリオ"/>
              <b val="1"/>
              <sz val="10"/>
            </rPr>
            <t xml:space="preserve">ステップ3：
</t>
          </r>
          <r>
            <rPr>
              <rFont val="メイリオ"/>
              <sz val="10"/>
            </rPr>
            <t xml:space="preserve">DBで以下クエリを実行し、ステータスと履歴を確認
</t>
          </r>
          <r>
            <rPr>
              <rFont val="メイリオ"/>
              <sz val="10"/>
            </rPr>
            <t xml:space="preserve">```sql
</t>
          </r>
          <r>
            <rPr>
              <rFont val="メイリオ"/>
              <sz val="10"/>
            </rPr>
            <t xml:space="preserve">SELECT denshi_shonin_status, rireki_no FROM t_dokusya WHERE dokusya_id = 200;
</t>
          </r>
          <r>
            <rPr>
              <rFont val="メイリオ"/>
              <sz val="10"/>
            </rPr>
            <t xml:space="preserve">SELECT rireki_no, denshi_shonin_status, saishin_data_flg, henko_riyu
</t>
          </r>
          <r>
            <rPr>
              <rFont val="メイリオ"/>
              <sz val="10"/>
            </rPr>
            <t xml:space="preserve">FROM t_dokusya_rireki
</t>
          </r>
          <r>
            <rPr>
              <rFont val="メイリオ"/>
              <sz val="10"/>
            </rPr>
            <t xml:space="preserve">WHERE dokusya_id = 200
</t>
          </r>
          <r>
            <rPr>
              <rFont val="メイリオ"/>
              <sz val="10"/>
            </rPr>
            <t xml:space="preserve">ORDER BY rireki_no DESC;
</t>
          </r>
          <r>
            <rPr>
              <rFont val="メイリオ"/>
              <sz val="10"/>
            </rPr>
            <t>```</t>
          </r>
        </is>
      </c>
      <c r="R49" s="10" t="n"/>
      <c r="S49" s="10" t="n"/>
      <c r="T49" s="10" t="n"/>
      <c r="U49" s="10" t="n"/>
      <c r="V49" s="10" t="n"/>
      <c r="W49" s="11" t="n"/>
      <c r="X49" s="46" t="inlineStr">
        <is>
          <r>
            <rPr>
              <rFont val="メイリオ"/>
              <b val="1"/>
              <sz val="10"/>
            </rPr>
            <t xml:space="preserve">ステップ1：
</t>
          </r>
          <r>
            <rPr>
              <rFont val="メイリオ"/>
              <sz val="10"/>
            </rPr>
            <t xml:space="preserve">承認処理が実行されること
</t>
          </r>
          <r>
            <rPr>
              <rFont val="メイリオ"/>
              <b val="1"/>
              <sz val="10"/>
            </rPr>
            <t xml:space="preserve">ステップ2：
</t>
          </r>
          <r>
            <rPr>
              <rFont val="メイリオ"/>
              <sz val="10"/>
            </rPr>
            <t xml:space="preserve">HTTPステータスコード200が返却されること（`data.denshi_shonin_status = 1`）、メッセージ `承認しました。` が表示されること
</t>
          </r>
          <r>
            <rPr>
              <rFont val="メイリオ"/>
              <b val="1"/>
              <sz val="10"/>
            </rPr>
            <t xml:space="preserve">ステップ3：
</t>
          </r>
          <r>
            <rPr>
              <rFont val="メイリオ"/>
              <sz val="10"/>
            </rPr>
            <t xml:space="preserve">t_dokusya の denshi_shonin_status が1に更新されること、t_dokusya_rireki に新履歴（denshi_shonin_status=1, saishin_data_flg=true, henko_riyu=`電子版承認`）が追記されること
</t>
          </r>
          <r>
            <rPr>
              <rFont val="メイリオ"/>
              <b val="1"/>
              <sz val="10"/>
            </rPr>
            <t xml:space="preserve">補足：
</t>
          </r>
          <r>
            <rPr>
              <rFont val="メイリオ"/>
              <sz val="10"/>
            </rPr>
            <t xml:space="preserve">・「承認」ボタン押下で APIが denshi_shonin_status=1（承認済み）に設定し、新規履歴レコードを作成すること（機能定義 §3.3）
</t>
          </r>
          <r>
            <rPr>
              <rFont val="メイリオ"/>
              <sz val="10"/>
            </rPr>
            <t xml:space="preserve">・PUT `/api/v1/dokusya/{dokusya_id}/approve` を呼び出すこと
</t>
          </r>
          <r>
            <rPr>
              <rFont val="メイリオ"/>
              <sz val="10"/>
            </rPr>
            <t>・承認（業務書き込み）と監査ログは単一トランザクションで実行されること</t>
          </r>
        </is>
      </c>
      <c r="Y49" s="10" t="n"/>
      <c r="Z49" s="10" t="n"/>
      <c r="AA49" s="10" t="n"/>
      <c r="AB49" s="10" t="n"/>
      <c r="AC49" s="10" t="n"/>
      <c r="AD49" s="11" t="n"/>
      <c r="AE49" s="45" t="inlineStr">
        <is>
          <t>N</t>
        </is>
      </c>
      <c r="AF49" s="11" t="n"/>
      <c r="AG49" s="45" t="inlineStr"/>
      <c r="AH49" s="10" t="n"/>
      <c r="AI49" s="11" t="n"/>
      <c r="AJ49" s="45" t="inlineStr"/>
      <c r="AK49" s="10" t="n"/>
      <c r="AL49" s="11" t="n"/>
      <c r="AM49" s="45" t="inlineStr"/>
      <c r="AN49" s="10" t="n"/>
      <c r="AO49" s="11" t="n"/>
      <c r="AP49" s="45" t="inlineStr"/>
      <c r="AQ49" s="10" t="n"/>
      <c r="AR49" s="11" t="n"/>
      <c r="AS49" s="45" t="inlineStr"/>
      <c r="AT49" s="10" t="n"/>
      <c r="AU49" s="11" t="n"/>
      <c r="AV49" s="45" t="inlineStr"/>
      <c r="AW49" s="10" t="n"/>
      <c r="AX49" s="11" t="n"/>
      <c r="AY49" s="45" t="inlineStr"/>
      <c r="AZ49" s="10" t="n"/>
      <c r="BA49" s="11" t="n"/>
      <c r="BB49" s="45" t="inlineStr"/>
      <c r="BC49" s="10" t="n"/>
      <c r="BD49" s="11" t="n"/>
      <c r="BE49" s="45" t="inlineStr"/>
      <c r="BF49" s="10" t="n"/>
      <c r="BG49" s="11" t="n"/>
      <c r="BH49" s="45" t="inlineStr"/>
      <c r="BI49" s="10" t="n"/>
      <c r="BJ49" s="11" t="n"/>
      <c r="BK49" s="46" t="inlineStr"/>
      <c r="BL49" s="10" t="n"/>
      <c r="BM49" s="10" t="n"/>
      <c r="BN49" s="10" t="n"/>
      <c r="BO49" s="10" t="n"/>
      <c r="BP49" s="10" t="n"/>
      <c r="BQ49" s="11" t="n"/>
    </row>
    <row r="50" ht="450" customHeight="1">
      <c r="A50" s="44" t="n">
        <v>34</v>
      </c>
      <c r="B50" s="46" t="inlineStr">
        <is>
          <t>ACSMS-TC-011-033</t>
        </is>
      </c>
      <c r="C50" s="10" t="n"/>
      <c r="D50" s="11" t="n"/>
      <c r="E50" s="46" t="inlineStr">
        <is>
          <t>電子版否認 正常系（否認確認 + denshi_shonin_status 0→2）</t>
        </is>
      </c>
      <c r="F50" s="10" t="n"/>
      <c r="G50" s="10" t="n"/>
      <c r="H50" s="10" t="n"/>
      <c r="I50" s="11" t="n"/>
      <c r="J50" s="46" t="inlineStr">
        <is>
          <t>・role: JA_HONTEN（ja_id=100 所属、電子版取扱フラグあり）
・購読種別=電子版 かつ denshi_shonin_status=0（承認待ち）の購読者（dokusya_id=201）が存在</t>
        </is>
      </c>
      <c r="K50" s="10" t="n"/>
      <c r="L50" s="10" t="n"/>
      <c r="M50" s="10" t="n"/>
      <c r="N50" s="10" t="n"/>
      <c r="O50" s="10" t="n"/>
      <c r="P50" s="11" t="n"/>
      <c r="Q50" s="46" t="inlineStr">
        <is>
          <r>
            <rPr>
              <rFont val="メイリオ"/>
              <b val="1"/>
              <sz val="10"/>
            </rPr>
            <t xml:space="preserve">ステップ1：
</t>
          </r>
          <r>
            <rPr>
              <rFont val="メイリオ"/>
              <sz val="10"/>
            </rPr>
            <t xml:space="preserve">承認待ちの購読者を編集モードで開き、「承認しない」ボタンの表示を確認
</t>
          </r>
          <r>
            <rPr>
              <rFont val="メイリオ"/>
              <b val="1"/>
              <sz val="10"/>
            </rPr>
            <t xml:space="preserve">ステップ2：
</t>
          </r>
          <r>
            <rPr>
              <rFont val="メイリオ"/>
              <sz val="10"/>
            </rPr>
            <t xml:space="preserve">「承認しない」ボタンを押下し、否認確認ダイアログで「はい」を押下
</t>
          </r>
          <r>
            <rPr>
              <rFont val="メイリオ"/>
              <b val="1"/>
              <sz val="10"/>
            </rPr>
            <t xml:space="preserve">ステップ3：
</t>
          </r>
          <r>
            <rPr>
              <rFont val="メイリオ"/>
              <sz val="10"/>
            </rPr>
            <t xml:space="preserve">画面遷移とメッセージを確認
</t>
          </r>
          <r>
            <rPr>
              <rFont val="メイリオ"/>
              <b val="1"/>
              <sz val="10"/>
            </rPr>
            <t xml:space="preserve">ステップ4：
</t>
          </r>
          <r>
            <rPr>
              <rFont val="メイリオ"/>
              <sz val="10"/>
            </rPr>
            <t xml:space="preserve">DBで以下クエリを実行し、ステータスと履歴を確認
</t>
          </r>
          <r>
            <rPr>
              <rFont val="メイリオ"/>
              <sz val="10"/>
            </rPr>
            <t xml:space="preserve">```sql
</t>
          </r>
          <r>
            <rPr>
              <rFont val="メイリオ"/>
              <sz val="10"/>
            </rPr>
            <t xml:space="preserve">SELECT denshi_shonin_status FROM t_dokusya WHERE dokusya_id = 201;
</t>
          </r>
          <r>
            <rPr>
              <rFont val="メイリオ"/>
              <sz val="10"/>
            </rPr>
            <t xml:space="preserve">SELECT denshi_shonin_status, henko_riyu
</t>
          </r>
          <r>
            <rPr>
              <rFont val="メイリオ"/>
              <sz val="10"/>
            </rPr>
            <t xml:space="preserve">FROM t_dokusya_rireki
</t>
          </r>
          <r>
            <rPr>
              <rFont val="メイリオ"/>
              <sz val="10"/>
            </rPr>
            <t xml:space="preserve">WHERE dokusya_id = 201 AND saishin_data_flg = TRUE;
</t>
          </r>
          <r>
            <rPr>
              <rFont val="メイリオ"/>
              <sz val="10"/>
            </rPr>
            <t>```</t>
          </r>
        </is>
      </c>
      <c r="R50" s="10" t="n"/>
      <c r="S50" s="10" t="n"/>
      <c r="T50" s="10" t="n"/>
      <c r="U50" s="10" t="n"/>
      <c r="V50" s="10" t="n"/>
      <c r="W50" s="11" t="n"/>
      <c r="X50" s="46" t="inlineStr">
        <is>
          <r>
            <rPr>
              <rFont val="メイリオ"/>
              <b val="1"/>
              <sz val="10"/>
            </rPr>
            <t xml:space="preserve">ステップ1：
</t>
          </r>
          <r>
            <rPr>
              <rFont val="メイリオ"/>
              <sz val="10"/>
            </rPr>
            <t xml:space="preserve">denshi_shonin_status=0（承認待ち）のため「承認しない」ボタンが表示されること
</t>
          </r>
          <r>
            <rPr>
              <rFont val="メイリオ"/>
              <b val="1"/>
              <sz val="10"/>
            </rPr>
            <t xml:space="preserve">ステップ2：
</t>
          </r>
          <r>
            <rPr>
              <rFont val="メイリオ"/>
              <sz val="10"/>
            </rPr>
            <t xml:space="preserve">否認確認ダイアログが表示されること（メッセージ `電子版読者の登録を否認します。よろしいですか？`）、「はい」押下で否認処理が実行されること
</t>
          </r>
          <r>
            <rPr>
              <rFont val="メイリオ"/>
              <b val="1"/>
              <sz val="10"/>
            </rPr>
            <t xml:space="preserve">ステップ3：
</t>
          </r>
          <r>
            <rPr>
              <rFont val="メイリオ"/>
              <sz val="10"/>
            </rPr>
            <t xml:space="preserve">HTTPステータスコード200が返却されること（`data.denshi_shonin_status = 2`）、メッセージ `否認しました。` が表示されること、購読者明細検索画面へ遷移すること
</t>
          </r>
          <r>
            <rPr>
              <rFont val="メイリオ"/>
              <b val="1"/>
              <sz val="10"/>
            </rPr>
            <t xml:space="preserve">ステップ4：
</t>
          </r>
          <r>
            <rPr>
              <rFont val="メイリオ"/>
              <sz val="10"/>
            </rPr>
            <t xml:space="preserve">t_dokusya の denshi_shonin_status が2に更新されること、t_dokusya_rireki の最新履歴に denshi_shonin_status=2, henko_riyu=`電子版否認` が記録されること
</t>
          </r>
          <r>
            <rPr>
              <rFont val="メイリオ"/>
              <b val="1"/>
              <sz val="10"/>
            </rPr>
            <t xml:space="preserve">補足：
</t>
          </r>
          <r>
            <rPr>
              <rFont val="メイリオ"/>
              <sz val="10"/>
            </rPr>
            <t xml:space="preserve">・denshi_shonin_status=0 の場合のみ「承認しない」ボタンを表示すること（機能定義 §4.1）
</t>
          </r>
          <r>
            <rPr>
              <rFont val="メイリオ"/>
              <sz val="10"/>
            </rPr>
            <t xml:space="preserve">・「承認しない」押下で否認確認ダイアログ（ACSMS-MSG-011-014 `電子版読者の登録を否認します。よろしいですか？`）を表示すること（機能定義 §4.2）
</t>
          </r>
          <r>
            <rPr>
              <rFont val="メイリオ"/>
              <sz val="10"/>
            </rPr>
            <t>・「はい」押下で PUT `/api/v1/dokusya/{dokusya_id}/reject` を呼び出し denshi_shonin_status=2 に設定すること（機能定義 §4.3）</t>
          </r>
        </is>
      </c>
      <c r="Y50" s="10" t="n"/>
      <c r="Z50" s="10" t="n"/>
      <c r="AA50" s="10" t="n"/>
      <c r="AB50" s="10" t="n"/>
      <c r="AC50" s="10" t="n"/>
      <c r="AD50" s="11" t="n"/>
      <c r="AE50" s="45" t="inlineStr">
        <is>
          <t>N</t>
        </is>
      </c>
      <c r="AF50" s="11" t="n"/>
      <c r="AG50" s="45" t="inlineStr"/>
      <c r="AH50" s="10" t="n"/>
      <c r="AI50" s="11" t="n"/>
      <c r="AJ50" s="45" t="inlineStr"/>
      <c r="AK50" s="10" t="n"/>
      <c r="AL50" s="11" t="n"/>
      <c r="AM50" s="45" t="inlineStr"/>
      <c r="AN50" s="10" t="n"/>
      <c r="AO50" s="11" t="n"/>
      <c r="AP50" s="45" t="inlineStr"/>
      <c r="AQ50" s="10" t="n"/>
      <c r="AR50" s="11" t="n"/>
      <c r="AS50" s="45" t="inlineStr"/>
      <c r="AT50" s="10" t="n"/>
      <c r="AU50" s="11" t="n"/>
      <c r="AV50" s="45" t="inlineStr"/>
      <c r="AW50" s="10" t="n"/>
      <c r="AX50" s="11" t="n"/>
      <c r="AY50" s="45" t="inlineStr"/>
      <c r="AZ50" s="10" t="n"/>
      <c r="BA50" s="11" t="n"/>
      <c r="BB50" s="45" t="inlineStr"/>
      <c r="BC50" s="10" t="n"/>
      <c r="BD50" s="11" t="n"/>
      <c r="BE50" s="45" t="inlineStr"/>
      <c r="BF50" s="10" t="n"/>
      <c r="BG50" s="11" t="n"/>
      <c r="BH50" s="45" t="inlineStr"/>
      <c r="BI50" s="10" t="n"/>
      <c r="BJ50" s="11" t="n"/>
      <c r="BK50" s="46" t="inlineStr"/>
      <c r="BL50" s="10" t="n"/>
      <c r="BM50" s="10" t="n"/>
      <c r="BN50" s="10" t="n"/>
      <c r="BO50" s="10" t="n"/>
      <c r="BP50" s="10" t="n"/>
      <c r="BQ50" s="11" t="n"/>
    </row>
    <row r="51" ht="288" customHeight="1">
      <c r="A51" s="44" t="n">
        <v>35</v>
      </c>
      <c r="B51" s="46" t="inlineStr">
        <is>
          <t>ACSMS-TC-011-034</t>
        </is>
      </c>
      <c r="C51" s="10" t="n"/>
      <c r="D51" s="11" t="n"/>
      <c r="E51" s="46" t="inlineStr">
        <is>
          <t>否認確認ダイアログ「いいえ」押下時の処理中断</t>
        </is>
      </c>
      <c r="F51" s="10" t="n"/>
      <c r="G51" s="10" t="n"/>
      <c r="H51" s="10" t="n"/>
      <c r="I51" s="11" t="n"/>
      <c r="J51" s="46" t="inlineStr">
        <is>
          <t>・role: JA_HONTEN（ja_id=100 所属、電子版取扱フラグあり）
・denshi_shonin_status=0（承認待ち）の購読者（dokusya_id=202）が存在</t>
        </is>
      </c>
      <c r="K51" s="10" t="n"/>
      <c r="L51" s="10" t="n"/>
      <c r="M51" s="10" t="n"/>
      <c r="N51" s="10" t="n"/>
      <c r="O51" s="10" t="n"/>
      <c r="P51" s="11" t="n"/>
      <c r="Q51" s="46" t="inlineStr">
        <is>
          <r>
            <rPr>
              <rFont val="メイリオ"/>
              <b val="1"/>
              <sz val="10"/>
            </rPr>
            <t xml:space="preserve">ステップ1：
</t>
          </r>
          <r>
            <rPr>
              <rFont val="メイリオ"/>
              <sz val="10"/>
            </rPr>
            <t xml:space="preserve">承認待ちの購読者を編集モードで開き、「承認しない」ボタンを押下
</t>
          </r>
          <r>
            <rPr>
              <rFont val="メイリオ"/>
              <b val="1"/>
              <sz val="10"/>
            </rPr>
            <t xml:space="preserve">ステップ2：
</t>
          </r>
          <r>
            <rPr>
              <rFont val="メイリオ"/>
              <sz val="10"/>
            </rPr>
            <t xml:space="preserve">否認確認ダイアログで「いいえ」を押下
</t>
          </r>
          <r>
            <rPr>
              <rFont val="メイリオ"/>
              <b val="1"/>
              <sz val="10"/>
            </rPr>
            <t xml:space="preserve">ステップ3：
</t>
          </r>
          <r>
            <rPr>
              <rFont val="メイリオ"/>
              <sz val="10"/>
            </rPr>
            <t xml:space="preserve">DBで以下クエリを実行し、ステータスを確認
</t>
          </r>
          <r>
            <rPr>
              <rFont val="メイリオ"/>
              <sz val="10"/>
            </rPr>
            <t xml:space="preserve">```sql
</t>
          </r>
          <r>
            <rPr>
              <rFont val="メイリオ"/>
              <sz val="10"/>
            </rPr>
            <t xml:space="preserve">SELECT denshi_shonin_status FROM t_dokusya WHERE dokusya_id = 202;
</t>
          </r>
          <r>
            <rPr>
              <rFont val="メイリオ"/>
              <sz val="10"/>
            </rPr>
            <t>```</t>
          </r>
        </is>
      </c>
      <c r="R51" s="10" t="n"/>
      <c r="S51" s="10" t="n"/>
      <c r="T51" s="10" t="n"/>
      <c r="U51" s="10" t="n"/>
      <c r="V51" s="10" t="n"/>
      <c r="W51" s="11" t="n"/>
      <c r="X51" s="46" t="inlineStr">
        <is>
          <r>
            <rPr>
              <rFont val="メイリオ"/>
              <b val="1"/>
              <sz val="10"/>
            </rPr>
            <t xml:space="preserve">ステップ1：
</t>
          </r>
          <r>
            <rPr>
              <rFont val="メイリオ"/>
              <sz val="10"/>
            </rPr>
            <t xml:space="preserve">否認確認ダイアログが表示されること
</t>
          </r>
          <r>
            <rPr>
              <rFont val="メイリオ"/>
              <b val="1"/>
              <sz val="10"/>
            </rPr>
            <t xml:space="preserve">ステップ2：
</t>
          </r>
          <r>
            <rPr>
              <rFont val="メイリオ"/>
              <sz val="10"/>
            </rPr>
            <t xml:space="preserve">否認処理が実行されないこと、現在の画面が維持されること
</t>
          </r>
          <r>
            <rPr>
              <rFont val="メイリオ"/>
              <b val="1"/>
              <sz val="10"/>
            </rPr>
            <t xml:space="preserve">ステップ3：
</t>
          </r>
          <r>
            <rPr>
              <rFont val="メイリオ"/>
              <sz val="10"/>
            </rPr>
            <t xml:space="preserve">t_dokusya の denshi_shonin_status が0（承認待ち）のまま変更されないこと
</t>
          </r>
          <r>
            <rPr>
              <rFont val="メイリオ"/>
              <b val="1"/>
              <sz val="10"/>
            </rPr>
            <t xml:space="preserve">補足：
</t>
          </r>
          <r>
            <rPr>
              <rFont val="メイリオ"/>
              <sz val="10"/>
            </rPr>
            <t>・否認確認ダイアログで「いいえ」を押下する場合、何も行わず現在の画面を維持すること（機能定義 §4.4）</t>
          </r>
        </is>
      </c>
      <c r="Y51" s="10" t="n"/>
      <c r="Z51" s="10" t="n"/>
      <c r="AA51" s="10" t="n"/>
      <c r="AB51" s="10" t="n"/>
      <c r="AC51" s="10" t="n"/>
      <c r="AD51" s="11" t="n"/>
      <c r="AE51" s="45" t="inlineStr">
        <is>
          <t>N</t>
        </is>
      </c>
      <c r="AF51" s="11" t="n"/>
      <c r="AG51" s="45" t="inlineStr"/>
      <c r="AH51" s="10" t="n"/>
      <c r="AI51" s="11" t="n"/>
      <c r="AJ51" s="45" t="inlineStr"/>
      <c r="AK51" s="10" t="n"/>
      <c r="AL51" s="11" t="n"/>
      <c r="AM51" s="45" t="inlineStr"/>
      <c r="AN51" s="10" t="n"/>
      <c r="AO51" s="11" t="n"/>
      <c r="AP51" s="45" t="inlineStr"/>
      <c r="AQ51" s="10" t="n"/>
      <c r="AR51" s="11" t="n"/>
      <c r="AS51" s="45" t="inlineStr"/>
      <c r="AT51" s="10" t="n"/>
      <c r="AU51" s="11" t="n"/>
      <c r="AV51" s="45" t="inlineStr"/>
      <c r="AW51" s="10" t="n"/>
      <c r="AX51" s="11" t="n"/>
      <c r="AY51" s="45" t="inlineStr"/>
      <c r="AZ51" s="10" t="n"/>
      <c r="BA51" s="11" t="n"/>
      <c r="BB51" s="45" t="inlineStr"/>
      <c r="BC51" s="10" t="n"/>
      <c r="BD51" s="11" t="n"/>
      <c r="BE51" s="45" t="inlineStr"/>
      <c r="BF51" s="10" t="n"/>
      <c r="BG51" s="11" t="n"/>
      <c r="BH51" s="45" t="inlineStr"/>
      <c r="BI51" s="10" t="n"/>
      <c r="BJ51" s="11" t="n"/>
      <c r="BK51" s="46" t="inlineStr"/>
      <c r="BL51" s="10" t="n"/>
      <c r="BM51" s="10" t="n"/>
      <c r="BN51" s="10" t="n"/>
      <c r="BO51" s="10" t="n"/>
      <c r="BP51" s="10" t="n"/>
      <c r="BQ51" s="11" t="n"/>
    </row>
    <row r="52" ht="450" customHeight="1">
      <c r="A52" s="44" t="n">
        <v>36</v>
      </c>
      <c r="B52" s="46" t="inlineStr">
        <is>
          <t>ACSMS-TC-011-035</t>
        </is>
      </c>
      <c r="C52" s="10" t="n"/>
      <c r="D52" s="11" t="n"/>
      <c r="E52" s="46" t="inlineStr">
        <is>
          <t>変更履歴一覧の取得・表示</t>
        </is>
      </c>
      <c r="F52" s="10" t="n"/>
      <c r="G52" s="10" t="n"/>
      <c r="H52" s="10" t="n"/>
      <c r="I52" s="11" t="n"/>
      <c r="J52" s="46" t="inlineStr">
        <is>
          <t>・role: JA_HONTEN（ja_id=100 所属）
・購読者（dokusya_id=100）に2件以上の履歴（rireki_no=1, 2）が存在</t>
        </is>
      </c>
      <c r="K52" s="10" t="n"/>
      <c r="L52" s="10" t="n"/>
      <c r="M52" s="10" t="n"/>
      <c r="N52" s="10" t="n"/>
      <c r="O52" s="10" t="n"/>
      <c r="P52" s="11" t="n"/>
      <c r="Q52" s="46" t="inlineStr">
        <is>
          <r>
            <rPr>
              <rFont val="メイリオ"/>
              <b val="1"/>
              <sz val="10"/>
            </rPr>
            <t xml:space="preserve">ステップ1：
</t>
          </r>
          <r>
            <rPr>
              <rFont val="メイリオ"/>
              <sz val="10"/>
            </rPr>
            <t xml:space="preserve">編集モードで購読者情報登録画面を開き、「履歴表示」ボタンを押下
</t>
          </r>
          <r>
            <rPr>
              <rFont val="メイリオ"/>
              <b val="1"/>
              <sz val="10"/>
            </rPr>
            <t xml:space="preserve">ステップ2：
</t>
          </r>
          <r>
            <rPr>
              <rFont val="メイリオ"/>
              <sz val="10"/>
            </rPr>
            <t xml:space="preserve">DevTools の Network タブで GET `/api/v1/dokusya/100/history` のレスポンスを確認
</t>
          </r>
          <r>
            <rPr>
              <rFont val="メイリオ"/>
              <b val="1"/>
              <sz val="10"/>
            </rPr>
            <t xml:space="preserve">ステップ3：
</t>
          </r>
          <r>
            <rPr>
              <rFont val="メイリオ"/>
              <sz val="10"/>
            </rPr>
            <t>履歴一覧の並び順と各行の項目（rireki_no・tetsuzuki_shurui_label・henko_riyu・saishin_data_flg）を確認</t>
          </r>
        </is>
      </c>
      <c r="R52" s="10" t="n"/>
      <c r="S52" s="10" t="n"/>
      <c r="T52" s="10" t="n"/>
      <c r="U52" s="10" t="n"/>
      <c r="V52" s="10" t="n"/>
      <c r="W52" s="11" t="n"/>
      <c r="X52" s="46" t="inlineStr">
        <is>
          <r>
            <rPr>
              <rFont val="メイリオ"/>
              <b val="1"/>
              <sz val="10"/>
            </rPr>
            <t xml:space="preserve">ステップ1：
</t>
          </r>
          <r>
            <rPr>
              <rFont val="メイリオ"/>
              <sz val="10"/>
            </rPr>
            <t xml:space="preserve">購読者履歴情報画面（変更履歴一覧）が表示されること
</t>
          </r>
          <r>
            <rPr>
              <rFont val="メイリオ"/>
              <b val="1"/>
              <sz val="10"/>
            </rPr>
            <t xml:space="preserve">ステップ2：
</t>
          </r>
          <r>
            <rPr>
              <rFont val="メイリオ"/>
              <sz val="10"/>
            </rPr>
            <t xml:space="preserve">HTTPステータスコード200が返却されること（`data` 配列に履歴レコードが含まれること）
</t>
          </r>
          <r>
            <rPr>
              <rFont val="メイリオ"/>
              <b val="1"/>
              <sz val="10"/>
            </rPr>
            <t xml:space="preserve">ステップ3：
</t>
          </r>
          <r>
            <rPr>
              <rFont val="メイリオ"/>
              <sz val="10"/>
            </rPr>
            <t xml:space="preserve">履歴一覧が rireki_no の降順で表示されること、各行に手続種類ラベル（tetsuzuki_shurui_label）・変更理由（henko_riyu）・最新データフラグ（saishin_data_flg）が表示されること
</t>
          </r>
          <r>
            <rPr>
              <rFont val="メイリオ"/>
              <b val="1"/>
              <sz val="10"/>
            </rPr>
            <t xml:space="preserve">補足：
</t>
          </r>
          <r>
            <rPr>
              <rFont val="メイリオ"/>
              <sz val="10"/>
            </rPr>
            <t xml:space="preserve">・「履歴表示」ボタン押下で購読者履歴情報画面（ACSMS-SCR-013）へ遷移すること（機能定義 §5.1）
</t>
          </r>
          <r>
            <rPr>
              <rFont val="メイリオ"/>
              <sz val="10"/>
            </rPr>
            <t xml:space="preserve">・履歴一覧は rireki_no 降順で取得すること
</t>
          </r>
          <r>
            <rPr>
              <rFont val="メイリオ"/>
              <sz val="10"/>
            </rPr>
            <t>・tetsuzuki_shurui 値はラベル（m_code.code_category='TETSUZUKI_SHURUI'）にマッピングすること</t>
          </r>
        </is>
      </c>
      <c r="Y52" s="10" t="n"/>
      <c r="Z52" s="10" t="n"/>
      <c r="AA52" s="10" t="n"/>
      <c r="AB52" s="10" t="n"/>
      <c r="AC52" s="10" t="n"/>
      <c r="AD52" s="11" t="n"/>
      <c r="AE52" s="45" t="inlineStr">
        <is>
          <t>N</t>
        </is>
      </c>
      <c r="AF52" s="11" t="n"/>
      <c r="AG52" s="45" t="inlineStr"/>
      <c r="AH52" s="10" t="n"/>
      <c r="AI52" s="11" t="n"/>
      <c r="AJ52" s="45" t="inlineStr"/>
      <c r="AK52" s="10" t="n"/>
      <c r="AL52" s="11" t="n"/>
      <c r="AM52" s="45" t="inlineStr"/>
      <c r="AN52" s="10" t="n"/>
      <c r="AO52" s="11" t="n"/>
      <c r="AP52" s="45" t="inlineStr"/>
      <c r="AQ52" s="10" t="n"/>
      <c r="AR52" s="11" t="n"/>
      <c r="AS52" s="45" t="inlineStr"/>
      <c r="AT52" s="10" t="n"/>
      <c r="AU52" s="11" t="n"/>
      <c r="AV52" s="45" t="inlineStr"/>
      <c r="AW52" s="10" t="n"/>
      <c r="AX52" s="11" t="n"/>
      <c r="AY52" s="45" t="inlineStr"/>
      <c r="AZ52" s="10" t="n"/>
      <c r="BA52" s="11" t="n"/>
      <c r="BB52" s="45" t="inlineStr"/>
      <c r="BC52" s="10" t="n"/>
      <c r="BD52" s="11" t="n"/>
      <c r="BE52" s="45" t="inlineStr"/>
      <c r="BF52" s="10" t="n"/>
      <c r="BG52" s="11" t="n"/>
      <c r="BH52" s="45" t="inlineStr"/>
      <c r="BI52" s="10" t="n"/>
      <c r="BJ52" s="11" t="n"/>
      <c r="BK52" s="46" t="inlineStr">
        <is>
          <t>(なし)
---</t>
        </is>
      </c>
      <c r="BL52" s="10" t="n"/>
      <c r="BM52" s="10" t="n"/>
      <c r="BN52" s="10" t="n"/>
      <c r="BO52" s="10" t="n"/>
      <c r="BP52" s="10" t="n"/>
      <c r="BQ52" s="11" t="n"/>
    </row>
    <row r="53" ht="22.5" customHeight="1">
      <c r="A53" s="32" t="inlineStr">
        <is>
          <t>共通エラーハンドリング（Common Error Handling）</t>
        </is>
      </c>
      <c r="B53" s="10" t="n"/>
      <c r="C53" s="10" t="n"/>
      <c r="D53" s="10" t="n"/>
      <c r="E53" s="10" t="n"/>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c r="AA53" s="10" t="n"/>
      <c r="AB53" s="10" t="n"/>
      <c r="AC53" s="10" t="n"/>
      <c r="AD53" s="10" t="n"/>
      <c r="AE53" s="10" t="n"/>
      <c r="AF53" s="10" t="n"/>
      <c r="AG53" s="10" t="n"/>
      <c r="AH53" s="10" t="n"/>
      <c r="AI53" s="10" t="n"/>
      <c r="AJ53" s="10" t="n"/>
      <c r="AK53" s="10" t="n"/>
      <c r="AL53" s="10" t="n"/>
      <c r="AM53" s="10" t="n"/>
      <c r="AN53" s="10" t="n"/>
      <c r="AO53" s="10" t="n"/>
      <c r="AP53" s="10" t="n"/>
      <c r="AQ53" s="10" t="n"/>
      <c r="AR53" s="10" t="n"/>
      <c r="AS53" s="10" t="n"/>
      <c r="AT53" s="10" t="n"/>
      <c r="AU53" s="10" t="n"/>
      <c r="AV53" s="10" t="n"/>
      <c r="AW53" s="10" t="n"/>
      <c r="AX53" s="10" t="n"/>
      <c r="AY53" s="10" t="n"/>
      <c r="AZ53" s="10" t="n"/>
      <c r="BA53" s="10" t="n"/>
      <c r="BB53" s="10" t="n"/>
      <c r="BC53" s="10" t="n"/>
      <c r="BD53" s="10" t="n"/>
      <c r="BE53" s="10" t="n"/>
      <c r="BF53" s="10" t="n"/>
      <c r="BG53" s="10" t="n"/>
      <c r="BH53" s="10" t="n"/>
      <c r="BI53" s="10" t="n"/>
      <c r="BJ53" s="10" t="n"/>
      <c r="BK53" s="10" t="n"/>
      <c r="BL53" s="10" t="n"/>
      <c r="BM53" s="10" t="n"/>
      <c r="BN53" s="10" t="n"/>
      <c r="BO53" s="10" t="n"/>
      <c r="BP53" s="10" t="n"/>
      <c r="BQ53" s="11" t="n"/>
    </row>
    <row r="54" ht="304" customHeight="1">
      <c r="A54" s="44" t="n">
        <v>37</v>
      </c>
      <c r="B54" s="46" t="inlineStr">
        <is>
          <t>ACSMS-TC-011-036</t>
        </is>
      </c>
      <c r="C54" s="10" t="n"/>
      <c r="D54" s="11" t="n"/>
      <c r="E54" s="46" t="inlineStr">
        <is>
          <t>共通エラー — UNAUTHORIZED — セッション切れ時の処理</t>
        </is>
      </c>
      <c r="F54" s="10" t="n"/>
      <c r="G54" s="10" t="n"/>
      <c r="H54" s="10" t="n"/>
      <c r="I54" s="11" t="n"/>
      <c r="J54" s="46" t="inlineStr">
        <is>
          <t>・role: JA_HONTEN（ja_id=100 所属）
・購読者情報登録画面を表示中
・最終操作から24時間以上経過し、Redis セッション TTL 失効済</t>
        </is>
      </c>
      <c r="K54" s="10" t="n"/>
      <c r="L54" s="10" t="n"/>
      <c r="M54" s="10" t="n"/>
      <c r="N54" s="10" t="n"/>
      <c r="O54" s="10" t="n"/>
      <c r="P54" s="11" t="n"/>
      <c r="Q54" s="46" t="inlineStr">
        <is>
          <r>
            <rPr>
              <rFont val="メイリオ"/>
              <b val="1"/>
              <sz val="10"/>
            </rPr>
            <t xml:space="preserve">ステップ1：
</t>
          </r>
          <r>
            <rPr>
              <rFont val="メイリオ"/>
              <sz val="10"/>
            </rPr>
            <t xml:space="preserve">購読者情報登録画面で「承認・登録」ボタンを押下し、POST `/api/v1/dokusya` リクエストを送信
</t>
          </r>
          <r>
            <rPr>
              <rFont val="メイリオ"/>
              <b val="1"/>
              <sz val="10"/>
            </rPr>
            <t xml:space="preserve">ステップ2：
</t>
          </r>
          <r>
            <rPr>
              <rFont val="メイリオ"/>
              <sz val="10"/>
            </rPr>
            <t>レスポンス内容と画面遷移を確認</t>
          </r>
        </is>
      </c>
      <c r="R54" s="10" t="n"/>
      <c r="S54" s="10" t="n"/>
      <c r="T54" s="10" t="n"/>
      <c r="U54" s="10" t="n"/>
      <c r="V54" s="10" t="n"/>
      <c r="W54" s="11" t="n"/>
      <c r="X54" s="46" t="inlineStr">
        <is>
          <r>
            <rPr>
              <rFont val="メイリオ"/>
              <b val="1"/>
              <sz val="10"/>
            </rPr>
            <t xml:space="preserve">ステップ1：
</t>
          </r>
          <r>
            <rPr>
              <rFont val="メイリオ"/>
              <sz val="10"/>
            </rPr>
            <t xml:space="preserve">HTTPステータスコード401が返却されること（`error_code: UNAUTHORIZED`、メッセージ `セッションが切れました。再度ログインしてください。`）
</t>
          </r>
          <r>
            <rPr>
              <rFont val="メイリオ"/>
              <b val="1"/>
              <sz val="10"/>
            </rPr>
            <t xml:space="preserve">ステップ2：
</t>
          </r>
          <r>
            <rPr>
              <rFont val="メイリオ"/>
              <sz val="10"/>
            </rPr>
            <t xml:space="preserve">フロントエンド側で Pinia auth store の user 状態がクリアされ、`/login?redirect=...` へ自動遷移すること
</t>
          </r>
          <r>
            <rPr>
              <rFont val="メイリオ"/>
              <b val="1"/>
              <sz val="10"/>
            </rPr>
            <t xml:space="preserve">補足：
</t>
          </r>
          <r>
            <rPr>
              <rFont val="メイリオ"/>
              <sz val="10"/>
            </rPr>
            <t>・セッション失効時はバックエンド側の SessionAuthGuard が401を返却し、フロントエンド側 axios インターセプタで一律ログイン画面へ誘導すること</t>
          </r>
        </is>
      </c>
      <c r="Y54" s="10" t="n"/>
      <c r="Z54" s="10" t="n"/>
      <c r="AA54" s="10" t="n"/>
      <c r="AB54" s="10" t="n"/>
      <c r="AC54" s="10" t="n"/>
      <c r="AD54" s="11" t="n"/>
      <c r="AE54" s="45" t="inlineStr">
        <is>
          <t>A</t>
        </is>
      </c>
      <c r="AF54" s="11" t="n"/>
      <c r="AG54" s="45" t="inlineStr"/>
      <c r="AH54" s="10" t="n"/>
      <c r="AI54" s="11" t="n"/>
      <c r="AJ54" s="45" t="inlineStr"/>
      <c r="AK54" s="10" t="n"/>
      <c r="AL54" s="11" t="n"/>
      <c r="AM54" s="45" t="inlineStr"/>
      <c r="AN54" s="10" t="n"/>
      <c r="AO54" s="11" t="n"/>
      <c r="AP54" s="45" t="inlineStr"/>
      <c r="AQ54" s="10" t="n"/>
      <c r="AR54" s="11" t="n"/>
      <c r="AS54" s="45" t="inlineStr"/>
      <c r="AT54" s="10" t="n"/>
      <c r="AU54" s="11" t="n"/>
      <c r="AV54" s="45" t="inlineStr"/>
      <c r="AW54" s="10" t="n"/>
      <c r="AX54" s="11" t="n"/>
      <c r="AY54" s="45" t="inlineStr"/>
      <c r="AZ54" s="10" t="n"/>
      <c r="BA54" s="11" t="n"/>
      <c r="BB54" s="45" t="inlineStr"/>
      <c r="BC54" s="10" t="n"/>
      <c r="BD54" s="11" t="n"/>
      <c r="BE54" s="45" t="inlineStr"/>
      <c r="BF54" s="10" t="n"/>
      <c r="BG54" s="11" t="n"/>
      <c r="BH54" s="45" t="inlineStr"/>
      <c r="BI54" s="10" t="n"/>
      <c r="BJ54" s="11" t="n"/>
      <c r="BK54" s="46" t="inlineStr"/>
      <c r="BL54" s="10" t="n"/>
      <c r="BM54" s="10" t="n"/>
      <c r="BN54" s="10" t="n"/>
      <c r="BO54" s="10" t="n"/>
      <c r="BP54" s="10" t="n"/>
      <c r="BQ54" s="11" t="n"/>
    </row>
    <row r="55" ht="256" customHeight="1">
      <c r="A55" s="44" t="n">
        <v>38</v>
      </c>
      <c r="B55" s="46" t="inlineStr">
        <is>
          <t>ACSMS-TC-011-037</t>
        </is>
      </c>
      <c r="C55" s="10" t="n"/>
      <c r="D55" s="11" t="n"/>
      <c r="E55" s="46" t="inlineStr">
        <is>
          <t>共通エラー — FORBIDDEN — 権限なしでの登録API直接呼び出し</t>
        </is>
      </c>
      <c r="F55" s="10" t="n"/>
      <c r="G55" s="10" t="n"/>
      <c r="H55" s="10" t="n"/>
      <c r="I55" s="11" t="n"/>
      <c r="J55" s="46" t="inlineStr">
        <is>
          <t>・role: NICHINO_ADMIN
・権限「dokusya.create」を持たない</t>
        </is>
      </c>
      <c r="K55" s="10" t="n"/>
      <c r="L55" s="10" t="n"/>
      <c r="M55" s="10" t="n"/>
      <c r="N55" s="10" t="n"/>
      <c r="O55" s="10" t="n"/>
      <c r="P55" s="11" t="n"/>
      <c r="Q55" s="46" t="inlineStr">
        <is>
          <r>
            <rPr>
              <rFont val="メイリオ"/>
              <b val="1"/>
              <sz val="10"/>
            </rPr>
            <t xml:space="preserve">ステップ1：
</t>
          </r>
          <r>
            <rPr>
              <rFont val="メイリオ"/>
              <sz val="10"/>
            </rPr>
            <t xml:space="preserve">DevTools の Console から `fetch('/api/v1/dokusya', { method: 'POST', credentials: 'include', headers: { 'Content-Type': 'application/json' }, body: '{}' })` を実行
</t>
          </r>
          <r>
            <rPr>
              <rFont val="メイリオ"/>
              <b val="1"/>
              <sz val="10"/>
            </rPr>
            <t xml:space="preserve">ステップ2：
</t>
          </r>
          <r>
            <rPr>
              <rFont val="メイリオ"/>
              <sz val="10"/>
            </rPr>
            <t>レスポンスの HTTP ステータスと error_code を確認</t>
          </r>
        </is>
      </c>
      <c r="R55" s="10" t="n"/>
      <c r="S55" s="10" t="n"/>
      <c r="T55" s="10" t="n"/>
      <c r="U55" s="10" t="n"/>
      <c r="V55" s="10" t="n"/>
      <c r="W55" s="11" t="n"/>
      <c r="X55" s="46" t="inlineStr">
        <is>
          <r>
            <rPr>
              <rFont val="メイリオ"/>
              <b val="1"/>
              <sz val="10"/>
            </rPr>
            <t xml:space="preserve">ステップ1：
</t>
          </r>
          <r>
            <rPr>
              <rFont val="メイリオ"/>
              <sz val="10"/>
            </rPr>
            <t xml:space="preserve">リクエストがバックエンド側の権限チェックで拒否されること
</t>
          </r>
          <r>
            <rPr>
              <rFont val="メイリオ"/>
              <b val="1"/>
              <sz val="10"/>
            </rPr>
            <t xml:space="preserve">ステップ2：
</t>
          </r>
          <r>
            <rPr>
              <rFont val="メイリオ"/>
              <sz val="10"/>
            </rPr>
            <t xml:space="preserve">HTTPステータスコード403が返却されること（`error_code: FORBIDDEN`、メッセージ `この画面へのアクセス権限がありません。`）
</t>
          </r>
          <r>
            <rPr>
              <rFont val="メイリオ"/>
              <b val="1"/>
              <sz val="10"/>
            </rPr>
            <t xml:space="preserve">補足：
</t>
          </r>
          <r>
            <rPr>
              <rFont val="メイリオ"/>
              <sz val="10"/>
            </rPr>
            <t>・`dokusya.create` 権限を持たないロールが登録APIを直接呼び出してもバックエンド側で403を返却すること</t>
          </r>
        </is>
      </c>
      <c r="Y55" s="10" t="n"/>
      <c r="Z55" s="10" t="n"/>
      <c r="AA55" s="10" t="n"/>
      <c r="AB55" s="10" t="n"/>
      <c r="AC55" s="10" t="n"/>
      <c r="AD55" s="11" t="n"/>
      <c r="AE55" s="45" t="inlineStr">
        <is>
          <t>A</t>
        </is>
      </c>
      <c r="AF55" s="11" t="n"/>
      <c r="AG55" s="45" t="inlineStr"/>
      <c r="AH55" s="10" t="n"/>
      <c r="AI55" s="11" t="n"/>
      <c r="AJ55" s="45" t="inlineStr"/>
      <c r="AK55" s="10" t="n"/>
      <c r="AL55" s="11" t="n"/>
      <c r="AM55" s="45" t="inlineStr"/>
      <c r="AN55" s="10" t="n"/>
      <c r="AO55" s="11" t="n"/>
      <c r="AP55" s="45" t="inlineStr"/>
      <c r="AQ55" s="10" t="n"/>
      <c r="AR55" s="11" t="n"/>
      <c r="AS55" s="45" t="inlineStr"/>
      <c r="AT55" s="10" t="n"/>
      <c r="AU55" s="11" t="n"/>
      <c r="AV55" s="45" t="inlineStr"/>
      <c r="AW55" s="10" t="n"/>
      <c r="AX55" s="11" t="n"/>
      <c r="AY55" s="45" t="inlineStr"/>
      <c r="AZ55" s="10" t="n"/>
      <c r="BA55" s="11" t="n"/>
      <c r="BB55" s="45" t="inlineStr"/>
      <c r="BC55" s="10" t="n"/>
      <c r="BD55" s="11" t="n"/>
      <c r="BE55" s="45" t="inlineStr"/>
      <c r="BF55" s="10" t="n"/>
      <c r="BG55" s="11" t="n"/>
      <c r="BH55" s="45" t="inlineStr"/>
      <c r="BI55" s="10" t="n"/>
      <c r="BJ55" s="11" t="n"/>
      <c r="BK55" s="46" t="inlineStr"/>
      <c r="BL55" s="10" t="n"/>
      <c r="BM55" s="10" t="n"/>
      <c r="BN55" s="10" t="n"/>
      <c r="BO55" s="10" t="n"/>
      <c r="BP55" s="10" t="n"/>
      <c r="BQ55" s="11" t="n"/>
    </row>
    <row r="56" ht="400" customHeight="1">
      <c r="A56" s="44" t="n">
        <v>39</v>
      </c>
      <c r="B56" s="46" t="inlineStr">
        <is>
          <t>ACSMS-TC-011-038</t>
        </is>
      </c>
      <c r="C56" s="10" t="n"/>
      <c r="D56" s="11" t="n"/>
      <c r="E56" s="46" t="inlineStr">
        <is>
          <t>共通エラー — DATA_SCOPE_VIOLATION — 他JAスコープでの登録試行</t>
        </is>
      </c>
      <c r="F56" s="10" t="n"/>
      <c r="G56" s="10" t="n"/>
      <c r="H56" s="10" t="n"/>
      <c r="I56" s="11" t="n"/>
      <c r="J56" s="46" t="inlineStr">
        <is>
          <t>・role: JA_HONTEN（ja_id=100 所属）
・他JA（ja_id=200）の管理支店ID・販売店IDを保持</t>
        </is>
      </c>
      <c r="K56" s="10" t="n"/>
      <c r="L56" s="10" t="n"/>
      <c r="M56" s="10" t="n"/>
      <c r="N56" s="10" t="n"/>
      <c r="O56" s="10" t="n"/>
      <c r="P56" s="11" t="n"/>
      <c r="Q56" s="46" t="inlineStr">
        <is>
          <r>
            <rPr>
              <rFont val="メイリオ"/>
              <b val="1"/>
              <sz val="10"/>
            </rPr>
            <t xml:space="preserve">ステップ1：
</t>
          </r>
          <r>
            <rPr>
              <rFont val="メイリオ"/>
              <sz val="10"/>
            </rPr>
            <t xml:space="preserve">DevTools の Console から POST `/api/v1/dokusya` を実行し、リクエストボディに他JA（ja_id=200）配下の kanri_shiten_id・hanbaiten_id を指定して送信
</t>
          </r>
          <r>
            <rPr>
              <rFont val="メイリオ"/>
              <b val="1"/>
              <sz val="10"/>
            </rPr>
            <t xml:space="preserve">ステップ2：
</t>
          </r>
          <r>
            <rPr>
              <rFont val="メイリオ"/>
              <sz val="10"/>
            </rPr>
            <t>レスポンスの HTTP ステータスと error_code を確認</t>
          </r>
        </is>
      </c>
      <c r="R56" s="10" t="n"/>
      <c r="S56" s="10" t="n"/>
      <c r="T56" s="10" t="n"/>
      <c r="U56" s="10" t="n"/>
      <c r="V56" s="10" t="n"/>
      <c r="W56" s="11" t="n"/>
      <c r="X56" s="46" t="inlineStr">
        <is>
          <r>
            <rPr>
              <rFont val="メイリオ"/>
              <b val="1"/>
              <sz val="10"/>
            </rPr>
            <t xml:space="preserve">ステップ1：
</t>
          </r>
          <r>
            <rPr>
              <rFont val="メイリオ"/>
              <sz val="10"/>
            </rPr>
            <t xml:space="preserve">リクエストがバックエンド側の DataScope チェックで拒否されること
</t>
          </r>
          <r>
            <rPr>
              <rFont val="メイリオ"/>
              <b val="1"/>
              <sz val="10"/>
            </rPr>
            <t xml:space="preserve">ステップ2：
</t>
          </r>
          <r>
            <rPr>
              <rFont val="メイリオ"/>
              <sz val="10"/>
            </rPr>
            <t xml:space="preserve">HTTPステータスコード403が返却されること（`error_code: DATA_SCOPE_VIOLATION`、メッセージ `このデータへのアクセス権限がありません。`）
</t>
          </r>
          <r>
            <rPr>
              <rFont val="メイリオ"/>
              <b val="1"/>
              <sz val="10"/>
            </rPr>
            <t xml:space="preserve">補足：
</t>
          </r>
          <r>
            <rPr>
              <rFont val="メイリオ"/>
              <sz val="10"/>
            </rPr>
            <t xml:space="preserve">・登録時の ja_id はサーバ側で自動設定し、リクエストボディの ja_id は信頼しないこと
</t>
          </r>
          <r>
            <rPr>
              <rFont val="メイリオ"/>
              <sz val="10"/>
            </rPr>
            <t xml:space="preserve">・他JA配下のFK参照（管理支店・販売店）を指定した登録は DATA_SCOPE_VIOLATION（403）で拒否されること
</t>
          </r>
          <r>
            <rPr>
              <rFont val="メイリオ"/>
              <sz val="10"/>
            </rPr>
            <t>・参照系（詳細・履歴取得）の DataScope 違反は404で存在隠蔽されるが、登録・更新系は403でアクセス拒否を明示すること</t>
          </r>
        </is>
      </c>
      <c r="Y56" s="10" t="n"/>
      <c r="Z56" s="10" t="n"/>
      <c r="AA56" s="10" t="n"/>
      <c r="AB56" s="10" t="n"/>
      <c r="AC56" s="10" t="n"/>
      <c r="AD56" s="11" t="n"/>
      <c r="AE56" s="45" t="inlineStr">
        <is>
          <t>A</t>
        </is>
      </c>
      <c r="AF56" s="11" t="n"/>
      <c r="AG56" s="45" t="inlineStr"/>
      <c r="AH56" s="10" t="n"/>
      <c r="AI56" s="11" t="n"/>
      <c r="AJ56" s="45" t="inlineStr"/>
      <c r="AK56" s="10" t="n"/>
      <c r="AL56" s="11" t="n"/>
      <c r="AM56" s="45" t="inlineStr"/>
      <c r="AN56" s="10" t="n"/>
      <c r="AO56" s="11" t="n"/>
      <c r="AP56" s="45" t="inlineStr"/>
      <c r="AQ56" s="10" t="n"/>
      <c r="AR56" s="11" t="n"/>
      <c r="AS56" s="45" t="inlineStr"/>
      <c r="AT56" s="10" t="n"/>
      <c r="AU56" s="11" t="n"/>
      <c r="AV56" s="45" t="inlineStr"/>
      <c r="AW56" s="10" t="n"/>
      <c r="AX56" s="11" t="n"/>
      <c r="AY56" s="45" t="inlineStr"/>
      <c r="AZ56" s="10" t="n"/>
      <c r="BA56" s="11" t="n"/>
      <c r="BB56" s="45" t="inlineStr"/>
      <c r="BC56" s="10" t="n"/>
      <c r="BD56" s="11" t="n"/>
      <c r="BE56" s="45" t="inlineStr"/>
      <c r="BF56" s="10" t="n"/>
      <c r="BG56" s="11" t="n"/>
      <c r="BH56" s="45" t="inlineStr"/>
      <c r="BI56" s="10" t="n"/>
      <c r="BJ56" s="11" t="n"/>
      <c r="BK56" s="46" t="inlineStr"/>
      <c r="BL56" s="10" t="n"/>
      <c r="BM56" s="10" t="n"/>
      <c r="BN56" s="10" t="n"/>
      <c r="BO56" s="10" t="n"/>
      <c r="BP56" s="10" t="n"/>
      <c r="BQ56" s="11" t="n"/>
    </row>
    <row r="57" ht="352" customHeight="1">
      <c r="A57" s="44" t="n">
        <v>40</v>
      </c>
      <c r="B57" s="46" t="inlineStr">
        <is>
          <t>ACSMS-TC-011-039</t>
        </is>
      </c>
      <c r="C57" s="10" t="n"/>
      <c r="D57" s="11" t="n"/>
      <c r="E57" s="46" t="inlineStr">
        <is>
          <t>共通エラー — VALIDATION_ERROR — 不正値統合送信</t>
        </is>
      </c>
      <c r="F57" s="10" t="n"/>
      <c r="G57" s="10" t="n"/>
      <c r="H57" s="10" t="n"/>
      <c r="I57" s="11" t="n"/>
      <c r="J57" s="46" t="inlineStr">
        <is>
          <t>・role: JA_HONTEN（ja_id=100 所属）
・ブラウザ DevTools の Network タブを開いている</t>
        </is>
      </c>
      <c r="K57" s="10" t="n"/>
      <c r="L57" s="10" t="n"/>
      <c r="M57" s="10" t="n"/>
      <c r="N57" s="10" t="n"/>
      <c r="O57" s="10" t="n"/>
      <c r="P57" s="11" t="n"/>
      <c r="Q57" s="46" t="inlineStr">
        <is>
          <r>
            <rPr>
              <rFont val="メイリオ"/>
              <b val="1"/>
              <sz val="10"/>
            </rPr>
            <t xml:space="preserve">ステップ1：
</t>
          </r>
          <r>
            <rPr>
              <rFont val="メイリオ"/>
              <sz val="10"/>
            </rPr>
            <t xml:space="preserve">DevTools の Console から POST `/api/v1/dokusya` を実行し、shimei_sei を空・yubin_no を「123」（不正桁数）として送信
</t>
          </r>
          <r>
            <rPr>
              <rFont val="メイリオ"/>
              <b val="1"/>
              <sz val="10"/>
            </rPr>
            <t xml:space="preserve">ステップ2：
</t>
          </r>
          <r>
            <rPr>
              <rFont val="メイリオ"/>
              <sz val="10"/>
            </rPr>
            <t>レスポンスの HTTP ステータス・error_code・errors 配列を確認</t>
          </r>
        </is>
      </c>
      <c r="R57" s="10" t="n"/>
      <c r="S57" s="10" t="n"/>
      <c r="T57" s="10" t="n"/>
      <c r="U57" s="10" t="n"/>
      <c r="V57" s="10" t="n"/>
      <c r="W57" s="11" t="n"/>
      <c r="X57" s="46" t="inlineStr">
        <is>
          <r>
            <rPr>
              <rFont val="メイリオ"/>
              <b val="1"/>
              <sz val="10"/>
            </rPr>
            <t xml:space="preserve">ステップ1：
</t>
          </r>
          <r>
            <rPr>
              <rFont val="メイリオ"/>
              <sz val="10"/>
            </rPr>
            <t xml:space="preserve">リクエストがバックエンド側のバリデーションで拒否されること
</t>
          </r>
          <r>
            <rPr>
              <rFont val="メイリオ"/>
              <b val="1"/>
              <sz val="10"/>
            </rPr>
            <t xml:space="preserve">ステップ2：
</t>
          </r>
          <r>
            <rPr>
              <rFont val="メイリオ"/>
              <sz val="10"/>
            </rPr>
            <t xml:space="preserve">HTTPステータスコード400が返却されること（`error_code: VALIDATION_ERROR`、メッセージ `入力値が不正です。詳細はerrorsフィールドを確認してください。`、`errors` 配列に shimei_sei・yubin_no の項目別メッセージが含まれること）
</t>
          </r>
          <r>
            <rPr>
              <rFont val="メイリオ"/>
              <b val="1"/>
              <sz val="10"/>
            </rPr>
            <t xml:space="preserve">補足：
</t>
          </r>
          <r>
            <rPr>
              <rFont val="メイリオ"/>
              <sz val="10"/>
            </rPr>
            <t xml:space="preserve">・バリデーションエラーは `errors` 配列（field + message）形式で返却されること
</t>
          </r>
          <r>
            <rPr>
              <rFont val="メイリオ"/>
              <sz val="10"/>
            </rPr>
            <t>・項目別メッセージはフロントエンド側で各項目下に表示されること</t>
          </r>
        </is>
      </c>
      <c r="Y57" s="10" t="n"/>
      <c r="Z57" s="10" t="n"/>
      <c r="AA57" s="10" t="n"/>
      <c r="AB57" s="10" t="n"/>
      <c r="AC57" s="10" t="n"/>
      <c r="AD57" s="11" t="n"/>
      <c r="AE57" s="45" t="inlineStr">
        <is>
          <t>A</t>
        </is>
      </c>
      <c r="AF57" s="11" t="n"/>
      <c r="AG57" s="45" t="inlineStr"/>
      <c r="AH57" s="10" t="n"/>
      <c r="AI57" s="11" t="n"/>
      <c r="AJ57" s="45" t="inlineStr"/>
      <c r="AK57" s="10" t="n"/>
      <c r="AL57" s="11" t="n"/>
      <c r="AM57" s="45" t="inlineStr"/>
      <c r="AN57" s="10" t="n"/>
      <c r="AO57" s="11" t="n"/>
      <c r="AP57" s="45" t="inlineStr"/>
      <c r="AQ57" s="10" t="n"/>
      <c r="AR57" s="11" t="n"/>
      <c r="AS57" s="45" t="inlineStr"/>
      <c r="AT57" s="10" t="n"/>
      <c r="AU57" s="11" t="n"/>
      <c r="AV57" s="45" t="inlineStr"/>
      <c r="AW57" s="10" t="n"/>
      <c r="AX57" s="11" t="n"/>
      <c r="AY57" s="45" t="inlineStr"/>
      <c r="AZ57" s="10" t="n"/>
      <c r="BA57" s="11" t="n"/>
      <c r="BB57" s="45" t="inlineStr"/>
      <c r="BC57" s="10" t="n"/>
      <c r="BD57" s="11" t="n"/>
      <c r="BE57" s="45" t="inlineStr"/>
      <c r="BF57" s="10" t="n"/>
      <c r="BG57" s="11" t="n"/>
      <c r="BH57" s="45" t="inlineStr"/>
      <c r="BI57" s="10" t="n"/>
      <c r="BJ57" s="11" t="n"/>
      <c r="BK57" s="46" t="inlineStr"/>
      <c r="BL57" s="10" t="n"/>
      <c r="BM57" s="10" t="n"/>
      <c r="BN57" s="10" t="n"/>
      <c r="BO57" s="10" t="n"/>
      <c r="BP57" s="10" t="n"/>
      <c r="BQ57" s="11" t="n"/>
    </row>
    <row r="58" ht="384" customHeight="1">
      <c r="A58" s="44" t="n">
        <v>41</v>
      </c>
      <c r="B58" s="46" t="inlineStr">
        <is>
          <t>ACSMS-TC-011-040</t>
        </is>
      </c>
      <c r="C58" s="10" t="n"/>
      <c r="D58" s="11" t="n"/>
      <c r="E58" s="46" t="inlineStr">
        <is>
          <t>共通エラー — NOT_FOUND — 削除済／存在しない購読者の取得</t>
        </is>
      </c>
      <c r="F58" s="10" t="n"/>
      <c r="G58" s="10" t="n"/>
      <c r="H58" s="10" t="n"/>
      <c r="I58" s="11" t="n"/>
      <c r="J58" s="46" t="inlineStr">
        <is>
          <t>・role: JA_HONTEN（ja_id=100 所属）
・存在しない購読者ID（dokusya_id=999999）</t>
        </is>
      </c>
      <c r="K58" s="10" t="n"/>
      <c r="L58" s="10" t="n"/>
      <c r="M58" s="10" t="n"/>
      <c r="N58" s="10" t="n"/>
      <c r="O58" s="10" t="n"/>
      <c r="P58" s="11" t="n"/>
      <c r="Q58" s="46" t="inlineStr">
        <is>
          <r>
            <rPr>
              <rFont val="メイリオ"/>
              <b val="1"/>
              <sz val="10"/>
            </rPr>
            <t xml:space="preserve">ステップ1：
</t>
          </r>
          <r>
            <rPr>
              <rFont val="メイリオ"/>
              <sz val="10"/>
            </rPr>
            <t xml:space="preserve">ブラウザのアドレスバーに `/dokusya/999999` を入力し、編集モードで直接アクセス
</t>
          </r>
          <r>
            <rPr>
              <rFont val="メイリオ"/>
              <b val="1"/>
              <sz val="10"/>
            </rPr>
            <t xml:space="preserve">ステップ2：
</t>
          </r>
          <r>
            <rPr>
              <rFont val="メイリオ"/>
              <sz val="10"/>
            </rPr>
            <t xml:space="preserve">DevTools の Network タブで GET `/api/v1/dokusya/999999` のレスポンスを確認
</t>
          </r>
          <r>
            <rPr>
              <rFont val="メイリオ"/>
              <b val="1"/>
              <sz val="10"/>
            </rPr>
            <t xml:space="preserve">ステップ3：
</t>
          </r>
          <r>
            <rPr>
              <rFont val="メイリオ"/>
              <sz val="10"/>
            </rPr>
            <t>画面側のメッセージ表示を確認</t>
          </r>
        </is>
      </c>
      <c r="R58" s="10" t="n"/>
      <c r="S58" s="10" t="n"/>
      <c r="T58" s="10" t="n"/>
      <c r="U58" s="10" t="n"/>
      <c r="V58" s="10" t="n"/>
      <c r="W58" s="11" t="n"/>
      <c r="X58" s="46" t="inlineStr">
        <is>
          <r>
            <rPr>
              <rFont val="メイリオ"/>
              <b val="1"/>
              <sz val="10"/>
            </rPr>
            <t xml:space="preserve">ステップ1：
</t>
          </r>
          <r>
            <rPr>
              <rFont val="メイリオ"/>
              <sz val="10"/>
            </rPr>
            <t xml:space="preserve">編集モードの購読者情報登録画面が開くこと
</t>
          </r>
          <r>
            <rPr>
              <rFont val="メイリオ"/>
              <b val="1"/>
              <sz val="10"/>
            </rPr>
            <t xml:space="preserve">ステップ2：
</t>
          </r>
          <r>
            <rPr>
              <rFont val="メイリオ"/>
              <sz val="10"/>
            </rPr>
            <t xml:space="preserve">HTTPステータスコード404が返却されること（`error_code: NOT_FOUND`、メッセージ `指定された購読者が見つかりません。`）
</t>
          </r>
          <r>
            <rPr>
              <rFont val="メイリオ"/>
              <b val="1"/>
              <sz val="10"/>
            </rPr>
            <t xml:space="preserve">ステップ3：
</t>
          </r>
          <r>
            <rPr>
              <rFont val="メイリオ"/>
              <sz val="10"/>
            </rPr>
            <t xml:space="preserve">データ取得失敗のメッセージ ACSMS-MSG-011-016 `購読者ID #{id} が見つかりません。` が表示されること
</t>
          </r>
          <r>
            <rPr>
              <rFont val="メイリオ"/>
              <b val="1"/>
              <sz val="10"/>
            </rPr>
            <t xml:space="preserve">補足：
</t>
          </r>
          <r>
            <rPr>
              <rFont val="メイリオ"/>
              <sz val="10"/>
            </rPr>
            <t xml:space="preserve">・存在しない購読者IDの取得は404（NOT_FOUND）を返却すること
</t>
          </r>
          <r>
            <rPr>
              <rFont val="メイリオ"/>
              <sz val="10"/>
            </rPr>
            <t>・データ取得失敗時はフロントエンド側で ACSMS-MSG-011-016 を表示すること</t>
          </r>
        </is>
      </c>
      <c r="Y58" s="10" t="n"/>
      <c r="Z58" s="10" t="n"/>
      <c r="AA58" s="10" t="n"/>
      <c r="AB58" s="10" t="n"/>
      <c r="AC58" s="10" t="n"/>
      <c r="AD58" s="11" t="n"/>
      <c r="AE58" s="45" t="inlineStr">
        <is>
          <t>A</t>
        </is>
      </c>
      <c r="AF58" s="11" t="n"/>
      <c r="AG58" s="45" t="inlineStr"/>
      <c r="AH58" s="10" t="n"/>
      <c r="AI58" s="11" t="n"/>
      <c r="AJ58" s="45" t="inlineStr"/>
      <c r="AK58" s="10" t="n"/>
      <c r="AL58" s="11" t="n"/>
      <c r="AM58" s="45" t="inlineStr"/>
      <c r="AN58" s="10" t="n"/>
      <c r="AO58" s="11" t="n"/>
      <c r="AP58" s="45" t="inlineStr"/>
      <c r="AQ58" s="10" t="n"/>
      <c r="AR58" s="11" t="n"/>
      <c r="AS58" s="45" t="inlineStr"/>
      <c r="AT58" s="10" t="n"/>
      <c r="AU58" s="11" t="n"/>
      <c r="AV58" s="45" t="inlineStr"/>
      <c r="AW58" s="10" t="n"/>
      <c r="AX58" s="11" t="n"/>
      <c r="AY58" s="45" t="inlineStr"/>
      <c r="AZ58" s="10" t="n"/>
      <c r="BA58" s="11" t="n"/>
      <c r="BB58" s="45" t="inlineStr"/>
      <c r="BC58" s="10" t="n"/>
      <c r="BD58" s="11" t="n"/>
      <c r="BE58" s="45" t="inlineStr"/>
      <c r="BF58" s="10" t="n"/>
      <c r="BG58" s="11" t="n"/>
      <c r="BH58" s="45" t="inlineStr"/>
      <c r="BI58" s="10" t="n"/>
      <c r="BJ58" s="11" t="n"/>
      <c r="BK58" s="46" t="inlineStr"/>
      <c r="BL58" s="10" t="n"/>
      <c r="BM58" s="10" t="n"/>
      <c r="BN58" s="10" t="n"/>
      <c r="BO58" s="10" t="n"/>
      <c r="BP58" s="10" t="n"/>
      <c r="BQ58" s="11" t="n"/>
    </row>
    <row r="59" ht="400" customHeight="1">
      <c r="A59" s="44" t="n">
        <v>42</v>
      </c>
      <c r="B59" s="46" t="inlineStr">
        <is>
          <t>ACSMS-TC-011-041</t>
        </is>
      </c>
      <c r="C59" s="10" t="n"/>
      <c r="D59" s="11" t="n"/>
      <c r="E59" s="46" t="inlineStr">
        <is>
          <t>共通エラー — DUPLICATE_EMAIL — メールアドレス重複</t>
        </is>
      </c>
      <c r="F59" s="10" t="n"/>
      <c r="G59" s="10" t="n"/>
      <c r="H59" s="10" t="n"/>
      <c r="I59" s="11" t="n"/>
      <c r="J59" s="46" t="inlineStr">
        <is>
          <t>・role: JA_HONTEN（ja_id=100 所属）
・自JA内に email=`existing@example.com` の購読者が既に存在</t>
        </is>
      </c>
      <c r="K59" s="10" t="n"/>
      <c r="L59" s="10" t="n"/>
      <c r="M59" s="10" t="n"/>
      <c r="N59" s="10" t="n"/>
      <c r="O59" s="10" t="n"/>
      <c r="P59" s="11" t="n"/>
      <c r="Q59" s="46" t="inlineStr">
        <is>
          <r>
            <rPr>
              <rFont val="メイリオ"/>
              <b val="1"/>
              <sz val="10"/>
            </rPr>
            <t xml:space="preserve">ステップ1：
</t>
          </r>
          <r>
            <rPr>
              <rFont val="メイリオ"/>
              <sz val="10"/>
            </rPr>
            <t xml:space="preserve">新規作成モードで購読種別=電子版を選択し、メールアドレス（email）に `existing@example.com` を入力して全必須項目を入力後「承認・登録」ボタンを押下
</t>
          </r>
          <r>
            <rPr>
              <rFont val="メイリオ"/>
              <b val="1"/>
              <sz val="10"/>
            </rPr>
            <t xml:space="preserve">ステップ2：
</t>
          </r>
          <r>
            <rPr>
              <rFont val="メイリオ"/>
              <sz val="10"/>
            </rPr>
            <t xml:space="preserve">レスポンスの HTTP ステータスと error_code を確認
</t>
          </r>
          <r>
            <rPr>
              <rFont val="メイリオ"/>
              <b val="1"/>
              <sz val="10"/>
            </rPr>
            <t xml:space="preserve">ステップ3：
</t>
          </r>
          <r>
            <rPr>
              <rFont val="メイリオ"/>
              <sz val="10"/>
            </rPr>
            <t>画面側のメッセージ表示を確認</t>
          </r>
        </is>
      </c>
      <c r="R59" s="10" t="n"/>
      <c r="S59" s="10" t="n"/>
      <c r="T59" s="10" t="n"/>
      <c r="U59" s="10" t="n"/>
      <c r="V59" s="10" t="n"/>
      <c r="W59" s="11" t="n"/>
      <c r="X59" s="46" t="inlineStr">
        <is>
          <r>
            <rPr>
              <rFont val="メイリオ"/>
              <b val="1"/>
              <sz val="10"/>
            </rPr>
            <t xml:space="preserve">ステップ1：
</t>
          </r>
          <r>
            <rPr>
              <rFont val="メイリオ"/>
              <sz val="10"/>
            </rPr>
            <t xml:space="preserve">登録処理が拒否されること
</t>
          </r>
          <r>
            <rPr>
              <rFont val="メイリオ"/>
              <b val="1"/>
              <sz val="10"/>
            </rPr>
            <t xml:space="preserve">ステップ2：
</t>
          </r>
          <r>
            <rPr>
              <rFont val="メイリオ"/>
              <sz val="10"/>
            </rPr>
            <t xml:space="preserve">HTTPステータスコード400が返却されること（`error_code: DUPLICATE_EMAIL`、メッセージ `このメールアドレスは既に登録されています。`）
</t>
          </r>
          <r>
            <rPr>
              <rFont val="メイリオ"/>
              <b val="1"/>
              <sz val="10"/>
            </rPr>
            <t xml:space="preserve">ステップ3：
</t>
          </r>
          <r>
            <rPr>
              <rFont val="メイリオ"/>
              <sz val="10"/>
            </rPr>
            <t xml:space="preserve">メッセージ `このメールアドレスは既に登録されています。`（ACSMS-MSG-011-009）が表示されること、重複データが登録されないこと
</t>
          </r>
          <r>
            <rPr>
              <rFont val="メイリオ"/>
              <b val="1"/>
              <sz val="10"/>
            </rPr>
            <t xml:space="preserve">補足：
</t>
          </r>
          <r>
            <rPr>
              <rFont val="メイリオ"/>
              <sz val="10"/>
            </rPr>
            <t xml:space="preserve">・メールアドレスが入力されている場合、自JA内（`ja_id = :ja_id`、空文字除く）で重複チェックを行うこと（機能定義 §2.5）
</t>
          </r>
          <r>
            <rPr>
              <rFont val="メイリオ"/>
              <sz val="10"/>
            </rPr>
            <t>・重複の場合は DUPLICATE_EMAIL（400）を返却すること</t>
          </r>
        </is>
      </c>
      <c r="Y59" s="10" t="n"/>
      <c r="Z59" s="10" t="n"/>
      <c r="AA59" s="10" t="n"/>
      <c r="AB59" s="10" t="n"/>
      <c r="AC59" s="10" t="n"/>
      <c r="AD59" s="11" t="n"/>
      <c r="AE59" s="45" t="inlineStr">
        <is>
          <t>A</t>
        </is>
      </c>
      <c r="AF59" s="11" t="n"/>
      <c r="AG59" s="45" t="inlineStr"/>
      <c r="AH59" s="10" t="n"/>
      <c r="AI59" s="11" t="n"/>
      <c r="AJ59" s="45" t="inlineStr"/>
      <c r="AK59" s="10" t="n"/>
      <c r="AL59" s="11" t="n"/>
      <c r="AM59" s="45" t="inlineStr"/>
      <c r="AN59" s="10" t="n"/>
      <c r="AO59" s="11" t="n"/>
      <c r="AP59" s="45" t="inlineStr"/>
      <c r="AQ59" s="10" t="n"/>
      <c r="AR59" s="11" t="n"/>
      <c r="AS59" s="45" t="inlineStr"/>
      <c r="AT59" s="10" t="n"/>
      <c r="AU59" s="11" t="n"/>
      <c r="AV59" s="45" t="inlineStr"/>
      <c r="AW59" s="10" t="n"/>
      <c r="AX59" s="11" t="n"/>
      <c r="AY59" s="45" t="inlineStr"/>
      <c r="AZ59" s="10" t="n"/>
      <c r="BA59" s="11" t="n"/>
      <c r="BB59" s="45" t="inlineStr"/>
      <c r="BC59" s="10" t="n"/>
      <c r="BD59" s="11" t="n"/>
      <c r="BE59" s="45" t="inlineStr"/>
      <c r="BF59" s="10" t="n"/>
      <c r="BG59" s="11" t="n"/>
      <c r="BH59" s="45" t="inlineStr"/>
      <c r="BI59" s="10" t="n"/>
      <c r="BJ59" s="11" t="n"/>
      <c r="BK59" s="46" t="inlineStr"/>
      <c r="BL59" s="10" t="n"/>
      <c r="BM59" s="10" t="n"/>
      <c r="BN59" s="10" t="n"/>
      <c r="BO59" s="10" t="n"/>
      <c r="BP59" s="10" t="n"/>
      <c r="BQ59" s="11" t="n"/>
    </row>
    <row r="60" ht="368" customHeight="1">
      <c r="A60" s="44" t="n">
        <v>43</v>
      </c>
      <c r="B60" s="46" t="inlineStr">
        <is>
          <t>ACSMS-TC-011-042</t>
        </is>
      </c>
      <c r="C60" s="10" t="n"/>
      <c r="D60" s="11" t="n"/>
      <c r="E60" s="46" t="inlineStr">
        <is>
          <t>共通エラー — INVALID_STATUS — 承認待ち以外の読者への承認試行</t>
        </is>
      </c>
      <c r="F60" s="10" t="n"/>
      <c r="G60" s="10" t="n"/>
      <c r="H60" s="10" t="n"/>
      <c r="I60" s="11" t="n"/>
      <c r="J60" s="46" t="inlineStr">
        <is>
          <t>・role: JA_HONTEN（ja_id=100 所属、電子版取扱フラグあり）
・denshi_shonin_status=1（承認済み）の購読者（dokusya_id=210）が存在</t>
        </is>
      </c>
      <c r="K60" s="10" t="n"/>
      <c r="L60" s="10" t="n"/>
      <c r="M60" s="10" t="n"/>
      <c r="N60" s="10" t="n"/>
      <c r="O60" s="10" t="n"/>
      <c r="P60" s="11" t="n"/>
      <c r="Q60" s="46" t="inlineStr">
        <is>
          <r>
            <rPr>
              <rFont val="メイリオ"/>
              <b val="1"/>
              <sz val="10"/>
            </rPr>
            <t xml:space="preserve">ステップ1：
</t>
          </r>
          <r>
            <rPr>
              <rFont val="メイリオ"/>
              <sz val="10"/>
            </rPr>
            <t xml:space="preserve">DevTools の Console から PUT `/api/v1/dokusya/210/approve` を実行
</t>
          </r>
          <r>
            <rPr>
              <rFont val="メイリオ"/>
              <b val="1"/>
              <sz val="10"/>
            </rPr>
            <t xml:space="preserve">ステップ2：
</t>
          </r>
          <r>
            <rPr>
              <rFont val="メイリオ"/>
              <sz val="10"/>
            </rPr>
            <t xml:space="preserve">レスポンスの HTTP ステータスと error_code を確認
</t>
          </r>
          <r>
            <rPr>
              <rFont val="メイリオ"/>
              <b val="1"/>
              <sz val="10"/>
            </rPr>
            <t xml:space="preserve">ステップ3：
</t>
          </r>
          <r>
            <rPr>
              <rFont val="メイリオ"/>
              <sz val="10"/>
            </rPr>
            <t>DevTools の Console から PUT `/api/v1/dokusya/210/reject` を実行し、レスポンスを確認</t>
          </r>
        </is>
      </c>
      <c r="R60" s="10" t="n"/>
      <c r="S60" s="10" t="n"/>
      <c r="T60" s="10" t="n"/>
      <c r="U60" s="10" t="n"/>
      <c r="V60" s="10" t="n"/>
      <c r="W60" s="11" t="n"/>
      <c r="X60" s="46" t="inlineStr">
        <is>
          <r>
            <rPr>
              <rFont val="メイリオ"/>
              <b val="1"/>
              <sz val="10"/>
            </rPr>
            <t xml:space="preserve">ステップ1：
</t>
          </r>
          <r>
            <rPr>
              <rFont val="メイリオ"/>
              <sz val="10"/>
            </rPr>
            <t xml:space="preserve">承認処理が拒否されること
</t>
          </r>
          <r>
            <rPr>
              <rFont val="メイリオ"/>
              <b val="1"/>
              <sz val="10"/>
            </rPr>
            <t xml:space="preserve">ステップ2：
</t>
          </r>
          <r>
            <rPr>
              <rFont val="メイリオ"/>
              <sz val="10"/>
            </rPr>
            <t xml:space="preserve">HTTPステータスコード400が返却されること（`error_code: INVALID_STATUS`、メッセージ `承認待ちの読者ではありません。`）
</t>
          </r>
          <r>
            <rPr>
              <rFont val="メイリオ"/>
              <b val="1"/>
              <sz val="10"/>
            </rPr>
            <t xml:space="preserve">ステップ3：
</t>
          </r>
          <r>
            <rPr>
              <rFont val="メイリオ"/>
              <sz val="10"/>
            </rPr>
            <t xml:space="preserve">HTTPステータスコード400が返却されること（`error_code: INVALID_STATUS`、メッセージ `承認待ちの読者ではありません。`）
</t>
          </r>
          <r>
            <rPr>
              <rFont val="メイリオ"/>
              <b val="1"/>
              <sz val="10"/>
            </rPr>
            <t xml:space="preserve">補足：
</t>
          </r>
          <r>
            <rPr>
              <rFont val="メイリオ"/>
              <sz val="10"/>
            </rPr>
            <t>・denshi_shonin_status が0でない場合、承認・否認API は INVALID_STATUS（400）を返却すること（機能定義 §3.1, §4.1）</t>
          </r>
        </is>
      </c>
      <c r="Y60" s="10" t="n"/>
      <c r="Z60" s="10" t="n"/>
      <c r="AA60" s="10" t="n"/>
      <c r="AB60" s="10" t="n"/>
      <c r="AC60" s="10" t="n"/>
      <c r="AD60" s="11" t="n"/>
      <c r="AE60" s="45" t="inlineStr">
        <is>
          <t>A</t>
        </is>
      </c>
      <c r="AF60" s="11" t="n"/>
      <c r="AG60" s="45" t="inlineStr"/>
      <c r="AH60" s="10" t="n"/>
      <c r="AI60" s="11" t="n"/>
      <c r="AJ60" s="45" t="inlineStr"/>
      <c r="AK60" s="10" t="n"/>
      <c r="AL60" s="11" t="n"/>
      <c r="AM60" s="45" t="inlineStr"/>
      <c r="AN60" s="10" t="n"/>
      <c r="AO60" s="11" t="n"/>
      <c r="AP60" s="45" t="inlineStr"/>
      <c r="AQ60" s="10" t="n"/>
      <c r="AR60" s="11" t="n"/>
      <c r="AS60" s="45" t="inlineStr"/>
      <c r="AT60" s="10" t="n"/>
      <c r="AU60" s="11" t="n"/>
      <c r="AV60" s="45" t="inlineStr"/>
      <c r="AW60" s="10" t="n"/>
      <c r="AX60" s="11" t="n"/>
      <c r="AY60" s="45" t="inlineStr"/>
      <c r="AZ60" s="10" t="n"/>
      <c r="BA60" s="11" t="n"/>
      <c r="BB60" s="45" t="inlineStr"/>
      <c r="BC60" s="10" t="n"/>
      <c r="BD60" s="11" t="n"/>
      <c r="BE60" s="45" t="inlineStr"/>
      <c r="BF60" s="10" t="n"/>
      <c r="BG60" s="11" t="n"/>
      <c r="BH60" s="45" t="inlineStr"/>
      <c r="BI60" s="10" t="n"/>
      <c r="BJ60" s="11" t="n"/>
      <c r="BK60" s="46" t="inlineStr"/>
      <c r="BL60" s="10" t="n"/>
      <c r="BM60" s="10" t="n"/>
      <c r="BN60" s="10" t="n"/>
      <c r="BO60" s="10" t="n"/>
      <c r="BP60" s="10" t="n"/>
      <c r="BQ60" s="11" t="n"/>
    </row>
    <row r="61" ht="272" customHeight="1">
      <c r="A61" s="44" t="n">
        <v>44</v>
      </c>
      <c r="B61" s="46" t="inlineStr">
        <is>
          <t>ACSMS-TC-011-043</t>
        </is>
      </c>
      <c r="C61" s="10" t="n"/>
      <c r="D61" s="11" t="n"/>
      <c r="E61" s="46" t="inlineStr">
        <is>
          <t>共通エラー — BAD_REQUEST — 不正リクエストパラメータ</t>
        </is>
      </c>
      <c r="F61" s="10" t="n"/>
      <c r="G61" s="10" t="n"/>
      <c r="H61" s="10" t="n"/>
      <c r="I61" s="11" t="n"/>
      <c r="J61" s="46" t="inlineStr">
        <is>
          <t>・role: JA_HONTEN（ja_id=100 所属）
・ブラウザ DevTools の Network タブを開いている</t>
        </is>
      </c>
      <c r="K61" s="10" t="n"/>
      <c r="L61" s="10" t="n"/>
      <c r="M61" s="10" t="n"/>
      <c r="N61" s="10" t="n"/>
      <c r="O61" s="10" t="n"/>
      <c r="P61" s="11" t="n"/>
      <c r="Q61" s="46" t="inlineStr">
        <is>
          <r>
            <rPr>
              <rFont val="メイリオ"/>
              <b val="1"/>
              <sz val="10"/>
            </rPr>
            <t xml:space="preserve">ステップ1：
</t>
          </r>
          <r>
            <rPr>
              <rFont val="メイリオ"/>
              <sz val="10"/>
            </rPr>
            <t xml:space="preserve">DevTools の Console から `fetch('/api/v1/dokusya/abc', { credentials: 'include' })` を実行（dokusya_id に数値以外を指定）
</t>
          </r>
          <r>
            <rPr>
              <rFont val="メイリオ"/>
              <b val="1"/>
              <sz val="10"/>
            </rPr>
            <t xml:space="preserve">ステップ2：
</t>
          </r>
          <r>
            <rPr>
              <rFont val="メイリオ"/>
              <sz val="10"/>
            </rPr>
            <t>レスポンスの HTTP ステータスと error_code を確認</t>
          </r>
        </is>
      </c>
      <c r="R61" s="10" t="n"/>
      <c r="S61" s="10" t="n"/>
      <c r="T61" s="10" t="n"/>
      <c r="U61" s="10" t="n"/>
      <c r="V61" s="10" t="n"/>
      <c r="W61" s="11" t="n"/>
      <c r="X61" s="46" t="inlineStr">
        <is>
          <r>
            <rPr>
              <rFont val="メイリオ"/>
              <b val="1"/>
              <sz val="10"/>
            </rPr>
            <t xml:space="preserve">ステップ1：
</t>
          </r>
          <r>
            <rPr>
              <rFont val="メイリオ"/>
              <sz val="10"/>
            </rPr>
            <t xml:space="preserve">リクエストがバックエンド側のバリデーションで拒否されること
</t>
          </r>
          <r>
            <rPr>
              <rFont val="メイリオ"/>
              <b val="1"/>
              <sz val="10"/>
            </rPr>
            <t xml:space="preserve">ステップ2：
</t>
          </r>
          <r>
            <rPr>
              <rFont val="メイリオ"/>
              <sz val="10"/>
            </rPr>
            <t xml:space="preserve">HTTPステータスコード400が返却されること（`error_code: BAD_REQUEST`、メッセージ `リクエストパラメータが不正です。`）
</t>
          </r>
          <r>
            <rPr>
              <rFont val="メイリオ"/>
              <b val="1"/>
              <sz val="10"/>
            </rPr>
            <t xml:space="preserve">補足：
</t>
          </r>
          <r>
            <rPr>
              <rFont val="メイリオ"/>
              <sz val="10"/>
            </rPr>
            <t>・dokusya_id パスパラメータは数値型の検証が行われ、不正値の場合 BAD_REQUEST にマップされること</t>
          </r>
        </is>
      </c>
      <c r="Y61" s="10" t="n"/>
      <c r="Z61" s="10" t="n"/>
      <c r="AA61" s="10" t="n"/>
      <c r="AB61" s="10" t="n"/>
      <c r="AC61" s="10" t="n"/>
      <c r="AD61" s="11" t="n"/>
      <c r="AE61" s="45" t="inlineStr">
        <is>
          <t>A</t>
        </is>
      </c>
      <c r="AF61" s="11" t="n"/>
      <c r="AG61" s="45" t="inlineStr"/>
      <c r="AH61" s="10" t="n"/>
      <c r="AI61" s="11" t="n"/>
      <c r="AJ61" s="45" t="inlineStr"/>
      <c r="AK61" s="10" t="n"/>
      <c r="AL61" s="11" t="n"/>
      <c r="AM61" s="45" t="inlineStr"/>
      <c r="AN61" s="10" t="n"/>
      <c r="AO61" s="11" t="n"/>
      <c r="AP61" s="45" t="inlineStr"/>
      <c r="AQ61" s="10" t="n"/>
      <c r="AR61" s="11" t="n"/>
      <c r="AS61" s="45" t="inlineStr"/>
      <c r="AT61" s="10" t="n"/>
      <c r="AU61" s="11" t="n"/>
      <c r="AV61" s="45" t="inlineStr"/>
      <c r="AW61" s="10" t="n"/>
      <c r="AX61" s="11" t="n"/>
      <c r="AY61" s="45" t="inlineStr"/>
      <c r="AZ61" s="10" t="n"/>
      <c r="BA61" s="11" t="n"/>
      <c r="BB61" s="45" t="inlineStr"/>
      <c r="BC61" s="10" t="n"/>
      <c r="BD61" s="11" t="n"/>
      <c r="BE61" s="45" t="inlineStr"/>
      <c r="BF61" s="10" t="n"/>
      <c r="BG61" s="11" t="n"/>
      <c r="BH61" s="45" t="inlineStr"/>
      <c r="BI61" s="10" t="n"/>
      <c r="BJ61" s="11" t="n"/>
      <c r="BK61" s="46" t="inlineStr"/>
      <c r="BL61" s="10" t="n"/>
      <c r="BM61" s="10" t="n"/>
      <c r="BN61" s="10" t="n"/>
      <c r="BO61" s="10" t="n"/>
      <c r="BP61" s="10" t="n"/>
      <c r="BQ61" s="11" t="n"/>
    </row>
    <row r="62" ht="416" customHeight="1">
      <c r="A62" s="44" t="n">
        <v>45</v>
      </c>
      <c r="B62" s="46" t="inlineStr">
        <is>
          <t>ACSMS-TC-011-044</t>
        </is>
      </c>
      <c r="C62" s="10" t="n"/>
      <c r="D62" s="11" t="n"/>
      <c r="E62" s="46" t="inlineStr">
        <is>
          <t>共通エラー — TOO_MANY_REQUESTS — レート制限超過</t>
        </is>
      </c>
      <c r="F62" s="10" t="n"/>
      <c r="G62" s="10" t="n"/>
      <c r="H62" s="10" t="n"/>
      <c r="I62" s="11" t="n"/>
      <c r="J62" s="46" t="inlineStr">
        <is>
          <t>・role: JA_HONTEN（ja_id=100 所属）
・テスト用スクリプトで `/api/v1/dokusya/1` GET を1分間に上限超で送信</t>
        </is>
      </c>
      <c r="K62" s="10" t="n"/>
      <c r="L62" s="10" t="n"/>
      <c r="M62" s="10" t="n"/>
      <c r="N62" s="10" t="n"/>
      <c r="O62" s="10" t="n"/>
      <c r="P62" s="11" t="n"/>
      <c r="Q62" s="46" t="inlineStr">
        <is>
          <r>
            <rPr>
              <rFont val="メイリオ"/>
              <b val="1"/>
              <sz val="10"/>
            </rPr>
            <t xml:space="preserve">ステップ1：
</t>
          </r>
          <r>
            <rPr>
              <rFont val="メイリオ"/>
              <sz val="10"/>
            </rPr>
            <t xml:space="preserve">スクリプトを起動、購読者取得APIへ高頻度リクエスト送信
</t>
          </r>
          <r>
            <rPr>
              <rFont val="メイリオ"/>
              <b val="1"/>
              <sz val="10"/>
            </rPr>
            <t xml:space="preserve">ステップ2：
</t>
          </r>
          <r>
            <rPr>
              <rFont val="メイリオ"/>
              <sz val="10"/>
            </rPr>
            <t xml:space="preserve">レスポンスの HTTP ステータスと error_code を確認
</t>
          </r>
          <r>
            <rPr>
              <rFont val="メイリオ"/>
              <b val="1"/>
              <sz val="10"/>
            </rPr>
            <t xml:space="preserve">ステップ3：
</t>
          </r>
          <r>
            <rPr>
              <rFont val="メイリオ"/>
              <sz val="10"/>
            </rPr>
            <t>画面側のトースト表示を確認</t>
          </r>
        </is>
      </c>
      <c r="R62" s="10" t="n"/>
      <c r="S62" s="10" t="n"/>
      <c r="T62" s="10" t="n"/>
      <c r="U62" s="10" t="n"/>
      <c r="V62" s="10" t="n"/>
      <c r="W62" s="11" t="n"/>
      <c r="X62" s="46" t="inlineStr">
        <is>
          <r>
            <rPr>
              <rFont val="メイリオ"/>
              <b val="1"/>
              <sz val="10"/>
            </rPr>
            <t xml:space="preserve">ステップ1：
</t>
          </r>
          <r>
            <rPr>
              <rFont val="メイリオ"/>
              <sz val="10"/>
            </rPr>
            <t xml:space="preserve">上限件数までは正常応答、それ以降は429を返却すること
</t>
          </r>
          <r>
            <rPr>
              <rFont val="メイリオ"/>
              <b val="1"/>
              <sz val="10"/>
            </rPr>
            <t xml:space="preserve">ステップ2：
</t>
          </r>
          <r>
            <rPr>
              <rFont val="メイリオ"/>
              <sz val="10"/>
            </rPr>
            <t xml:space="preserve">HTTPステータスコード429が返却されること（`error_code: TOO_MANY_REQUESTS`、メッセージ `リクエスト回数が上限を超えました。しばらくしてから再度お試しください。`）
</t>
          </r>
          <r>
            <rPr>
              <rFont val="メイリオ"/>
              <b val="1"/>
              <sz val="10"/>
            </rPr>
            <t xml:space="preserve">ステップ3：
</t>
          </r>
          <r>
            <rPr>
              <rFont val="メイリオ"/>
              <sz val="10"/>
            </rPr>
            <t xml:space="preserve">トースト `リクエスト回数が上限を超えました。しばらくしてから再度お試しください。` が表示されること
</t>
          </r>
          <r>
            <rPr>
              <rFont val="メイリオ"/>
              <b val="1"/>
              <sz val="10"/>
            </rPr>
            <t xml:space="preserve">補足：
</t>
          </r>
          <r>
            <rPr>
              <rFont val="メイリオ"/>
              <sz val="10"/>
            </rPr>
            <t xml:space="preserve">・NestJS @Throttle デコレータ + AWS WAF レート制限がインフラ／アプリ両層でブロックすること
</t>
          </r>
          <r>
            <rPr>
              <rFont val="メイリオ"/>
              <sz val="10"/>
            </rPr>
            <t>・観点 VP-A-08「レート制限・Throttling」準拠（testcase-viewpoints.md v1.1）</t>
          </r>
        </is>
      </c>
      <c r="Y62" s="10" t="n"/>
      <c r="Z62" s="10" t="n"/>
      <c r="AA62" s="10" t="n"/>
      <c r="AB62" s="10" t="n"/>
      <c r="AC62" s="10" t="n"/>
      <c r="AD62" s="11" t="n"/>
      <c r="AE62" s="45" t="inlineStr">
        <is>
          <t>A</t>
        </is>
      </c>
      <c r="AF62" s="11" t="n"/>
      <c r="AG62" s="45" t="inlineStr"/>
      <c r="AH62" s="10" t="n"/>
      <c r="AI62" s="11" t="n"/>
      <c r="AJ62" s="45" t="inlineStr"/>
      <c r="AK62" s="10" t="n"/>
      <c r="AL62" s="11" t="n"/>
      <c r="AM62" s="45" t="inlineStr"/>
      <c r="AN62" s="10" t="n"/>
      <c r="AO62" s="11" t="n"/>
      <c r="AP62" s="45" t="inlineStr"/>
      <c r="AQ62" s="10" t="n"/>
      <c r="AR62" s="11" t="n"/>
      <c r="AS62" s="45" t="inlineStr"/>
      <c r="AT62" s="10" t="n"/>
      <c r="AU62" s="11" t="n"/>
      <c r="AV62" s="45" t="inlineStr"/>
      <c r="AW62" s="10" t="n"/>
      <c r="AX62" s="11" t="n"/>
      <c r="AY62" s="45" t="inlineStr"/>
      <c r="AZ62" s="10" t="n"/>
      <c r="BA62" s="11" t="n"/>
      <c r="BB62" s="45" t="inlineStr"/>
      <c r="BC62" s="10" t="n"/>
      <c r="BD62" s="11" t="n"/>
      <c r="BE62" s="45" t="inlineStr"/>
      <c r="BF62" s="10" t="n"/>
      <c r="BG62" s="11" t="n"/>
      <c r="BH62" s="45" t="inlineStr"/>
      <c r="BI62" s="10" t="n"/>
      <c r="BJ62" s="11" t="n"/>
      <c r="BK62" s="46" t="inlineStr"/>
      <c r="BL62" s="10" t="n"/>
      <c r="BM62" s="10" t="n"/>
      <c r="BN62" s="10" t="n"/>
      <c r="BO62" s="10" t="n"/>
      <c r="BP62" s="10" t="n"/>
      <c r="BQ62" s="11" t="n"/>
    </row>
    <row r="63" ht="450" customHeight="1">
      <c r="A63" s="44" t="n">
        <v>46</v>
      </c>
      <c r="B63" s="46" t="inlineStr">
        <is>
          <t>ACSMS-TC-011-045</t>
        </is>
      </c>
      <c r="C63" s="10" t="n"/>
      <c r="D63" s="11" t="n"/>
      <c r="E63" s="46" t="inlineStr">
        <is>
          <t>共通エラー — INTERNAL_SERVER_ERROR — サーバーエラー</t>
        </is>
      </c>
      <c r="F63" s="10" t="n"/>
      <c r="G63" s="10" t="n"/>
      <c r="H63" s="10" t="n"/>
      <c r="I63" s="11" t="n"/>
      <c r="J63" s="46" t="inlineStr">
        <is>
          <t>・role: JA_HONTEN（ja_id=100 所属）
・DB接続エラー等のサーバー障害を模擬できる状態</t>
        </is>
      </c>
      <c r="K63" s="10" t="n"/>
      <c r="L63" s="10" t="n"/>
      <c r="M63" s="10" t="n"/>
      <c r="N63" s="10" t="n"/>
      <c r="O63" s="10" t="n"/>
      <c r="P63" s="11" t="n"/>
      <c r="Q63" s="46" t="inlineStr">
        <is>
          <r>
            <rPr>
              <rFont val="メイリオ"/>
              <b val="1"/>
              <sz val="10"/>
            </rPr>
            <t xml:space="preserve">ステップ1：
</t>
          </r>
          <r>
            <rPr>
              <rFont val="メイリオ"/>
              <sz val="10"/>
            </rPr>
            <t xml:space="preserve">サーバー障害（DB接続エラー等）を模擬した状態で「承認・登録」ボタンを押下
</t>
          </r>
          <r>
            <rPr>
              <rFont val="メイリオ"/>
              <b val="1"/>
              <sz val="10"/>
            </rPr>
            <t xml:space="preserve">ステップ2：
</t>
          </r>
          <r>
            <rPr>
              <rFont val="メイリオ"/>
              <sz val="10"/>
            </rPr>
            <t xml:space="preserve">POST `/api/v1/dokusya` のレスポンスの HTTP ステータスと error_code を確認
</t>
          </r>
          <r>
            <rPr>
              <rFont val="メイリオ"/>
              <b val="1"/>
              <sz val="10"/>
            </rPr>
            <t xml:space="preserve">ステップ3：
</t>
          </r>
          <r>
            <rPr>
              <rFont val="メイリオ"/>
              <sz val="10"/>
            </rPr>
            <t>画面側のメッセージ表示と、エラーログの記録を確認</t>
          </r>
        </is>
      </c>
      <c r="R63" s="10" t="n"/>
      <c r="S63" s="10" t="n"/>
      <c r="T63" s="10" t="n"/>
      <c r="U63" s="10" t="n"/>
      <c r="V63" s="10" t="n"/>
      <c r="W63" s="11" t="n"/>
      <c r="X63" s="46" t="inlineStr">
        <is>
          <r>
            <rPr>
              <rFont val="メイリオ"/>
              <b val="1"/>
              <sz val="10"/>
            </rPr>
            <t xml:space="preserve">ステップ1：
</t>
          </r>
          <r>
            <rPr>
              <rFont val="メイリオ"/>
              <sz val="10"/>
            </rPr>
            <t xml:space="preserve">登録処理が失敗すること
</t>
          </r>
          <r>
            <rPr>
              <rFont val="メイリオ"/>
              <b val="1"/>
              <sz val="10"/>
            </rPr>
            <t xml:space="preserve">ステップ2：
</t>
          </r>
          <r>
            <rPr>
              <rFont val="メイリオ"/>
              <sz val="10"/>
            </rPr>
            <t xml:space="preserve">HTTPステータスコード500が返却されること（`error_code: INTERNAL_SERVER_ERROR`、メッセージ `システムエラーが発生しました。しばらくしてから再度お試しください。`）
</t>
          </r>
          <r>
            <rPr>
              <rFont val="メイリオ"/>
              <b val="1"/>
              <sz val="10"/>
            </rPr>
            <t xml:space="preserve">ステップ3：
</t>
          </r>
          <r>
            <rPr>
              <rFont val="メイリオ"/>
              <sz val="10"/>
            </rPr>
            <t xml:space="preserve">メッセージ `システムエラーが発生しました。しばらくしてから再度お試しください。`（ACSMS-MSG-011-012）が表示されること、t_log にエラーログ（log_type=3, result_status=2）が記録されること、スタックトレースが利用者へ表示されないこと
</t>
          </r>
          <r>
            <rPr>
              <rFont val="メイリオ"/>
              <b val="1"/>
              <sz val="10"/>
            </rPr>
            <t xml:space="preserve">補足：
</t>
          </r>
          <r>
            <rPr>
              <rFont val="メイリオ"/>
              <sz val="10"/>
            </rPr>
            <t xml:space="preserve">・DB接続エラー等のサーバー障害は INTERNAL_SERVER_ERROR にマップされること
</t>
          </r>
          <r>
            <rPr>
              <rFont val="メイリオ"/>
              <sz val="10"/>
            </rPr>
            <t>・エラー発生時はエラーログ（log_type=3）をトランザクション外で記録すること（業務書き込みはロールバックされること）</t>
          </r>
        </is>
      </c>
      <c r="Y63" s="10" t="n"/>
      <c r="Z63" s="10" t="n"/>
      <c r="AA63" s="10" t="n"/>
      <c r="AB63" s="10" t="n"/>
      <c r="AC63" s="10" t="n"/>
      <c r="AD63" s="11" t="n"/>
      <c r="AE63" s="45" t="inlineStr">
        <is>
          <t>A</t>
        </is>
      </c>
      <c r="AF63" s="11" t="n"/>
      <c r="AG63" s="45" t="inlineStr"/>
      <c r="AH63" s="10" t="n"/>
      <c r="AI63" s="11" t="n"/>
      <c r="AJ63" s="45" t="inlineStr"/>
      <c r="AK63" s="10" t="n"/>
      <c r="AL63" s="11" t="n"/>
      <c r="AM63" s="45" t="inlineStr"/>
      <c r="AN63" s="10" t="n"/>
      <c r="AO63" s="11" t="n"/>
      <c r="AP63" s="45" t="inlineStr"/>
      <c r="AQ63" s="10" t="n"/>
      <c r="AR63" s="11" t="n"/>
      <c r="AS63" s="45" t="inlineStr"/>
      <c r="AT63" s="10" t="n"/>
      <c r="AU63" s="11" t="n"/>
      <c r="AV63" s="45" t="inlineStr"/>
      <c r="AW63" s="10" t="n"/>
      <c r="AX63" s="11" t="n"/>
      <c r="AY63" s="45" t="inlineStr"/>
      <c r="AZ63" s="10" t="n"/>
      <c r="BA63" s="11" t="n"/>
      <c r="BB63" s="45" t="inlineStr"/>
      <c r="BC63" s="10" t="n"/>
      <c r="BD63" s="11" t="n"/>
      <c r="BE63" s="45" t="inlineStr"/>
      <c r="BF63" s="10" t="n"/>
      <c r="BG63" s="11" t="n"/>
      <c r="BH63" s="45" t="inlineStr"/>
      <c r="BI63" s="10" t="n"/>
      <c r="BJ63" s="11" t="n"/>
      <c r="BK63" s="46" t="inlineStr"/>
      <c r="BL63" s="10" t="n"/>
      <c r="BM63" s="10" t="n"/>
      <c r="BN63" s="10" t="n"/>
      <c r="BO63" s="10" t="n"/>
      <c r="BP63" s="10" t="n"/>
      <c r="BQ63" s="11" t="n"/>
    </row>
    <row r="64" ht="352" customHeight="1">
      <c r="A64" s="44" t="n">
        <v>47</v>
      </c>
      <c r="B64" s="46" t="inlineStr">
        <is>
          <t>ACSMS-TC-011-046</t>
        </is>
      </c>
      <c r="C64" s="10" t="n"/>
      <c r="D64" s="11" t="n"/>
      <c r="E64" s="46" t="inlineStr">
        <is>
          <t>共通エラー — ネットワーク切断時の処理</t>
        </is>
      </c>
      <c r="F64" s="10" t="n"/>
      <c r="G64" s="10" t="n"/>
      <c r="H64" s="10" t="n"/>
      <c r="I64" s="11" t="n"/>
      <c r="J64" s="46" t="inlineStr">
        <is>
          <t>・role: JA_HONTEN（ja_id=100 所属）
・ブラウザ DevTools の Network タブを開いている</t>
        </is>
      </c>
      <c r="K64" s="10" t="n"/>
      <c r="L64" s="10" t="n"/>
      <c r="M64" s="10" t="n"/>
      <c r="N64" s="10" t="n"/>
      <c r="O64" s="10" t="n"/>
      <c r="P64" s="11" t="n"/>
      <c r="Q64" s="46" t="inlineStr">
        <is>
          <r>
            <rPr>
              <rFont val="メイリオ"/>
              <b val="1"/>
              <sz val="10"/>
            </rPr>
            <t xml:space="preserve">ステップ1：
</t>
          </r>
          <r>
            <rPr>
              <rFont val="メイリオ"/>
              <sz val="10"/>
            </rPr>
            <t xml:space="preserve">DevTools の Network タブでネットワーク切断（offline）を設定
</t>
          </r>
          <r>
            <rPr>
              <rFont val="メイリオ"/>
              <b val="1"/>
              <sz val="10"/>
            </rPr>
            <t xml:space="preserve">ステップ2：
</t>
          </r>
          <r>
            <rPr>
              <rFont val="メイリオ"/>
              <sz val="10"/>
            </rPr>
            <t xml:space="preserve">「承認・登録」ボタンを押下し、POST `/api/v1/dokusya` を送信
</t>
          </r>
          <r>
            <rPr>
              <rFont val="メイリオ"/>
              <b val="1"/>
              <sz val="10"/>
            </rPr>
            <t xml:space="preserve">ステップ3：
</t>
          </r>
          <r>
            <rPr>
              <rFont val="メイリオ"/>
              <sz val="10"/>
            </rPr>
            <t>画面側のトースト表示を確認</t>
          </r>
        </is>
      </c>
      <c r="R64" s="10" t="n"/>
      <c r="S64" s="10" t="n"/>
      <c r="T64" s="10" t="n"/>
      <c r="U64" s="10" t="n"/>
      <c r="V64" s="10" t="n"/>
      <c r="W64" s="11" t="n"/>
      <c r="X64" s="46" t="inlineStr">
        <is>
          <r>
            <rPr>
              <rFont val="メイリオ"/>
              <b val="1"/>
              <sz val="10"/>
            </rPr>
            <t xml:space="preserve">ステップ1：
</t>
          </r>
          <r>
            <rPr>
              <rFont val="メイリオ"/>
              <sz val="10"/>
            </rPr>
            <t xml:space="preserve">ネットワーク切断状態となること
</t>
          </r>
          <r>
            <rPr>
              <rFont val="メイリオ"/>
              <b val="1"/>
              <sz val="10"/>
            </rPr>
            <t xml:space="preserve">ステップ2：
</t>
          </r>
          <r>
            <rPr>
              <rFont val="メイリオ"/>
              <sz val="10"/>
            </rPr>
            <t xml:space="preserve">APIリクエストがネットワークエラーとなること
</t>
          </r>
          <r>
            <rPr>
              <rFont val="メイリオ"/>
              <b val="1"/>
              <sz val="10"/>
            </rPr>
            <t xml:space="preserve">ステップ3：
</t>
          </r>
          <r>
            <rPr>
              <rFont val="メイリオ"/>
              <sz val="10"/>
            </rPr>
            <t xml:space="preserve">トースト `ネットワークエラーが発生しました。しばらくしてから再度お試しください。` が表示されること、入力内容が保存されること
</t>
          </r>
          <r>
            <rPr>
              <rFont val="メイリオ"/>
              <b val="1"/>
              <sz val="10"/>
            </rPr>
            <t xml:space="preserve">補足：
</t>
          </r>
          <r>
            <rPr>
              <rFont val="メイリオ"/>
              <sz val="10"/>
            </rPr>
            <t xml:space="preserve">・ネットワーク切断時はフロントエンド側 axios インターセプタでネットワークエラーのトーストを表示すること
</t>
          </r>
          <r>
            <rPr>
              <rFont val="メイリオ"/>
              <sz val="10"/>
            </rPr>
            <t>・想定外エラーが発生しないこと、入力内容が消えないこと</t>
          </r>
        </is>
      </c>
      <c r="Y64" s="10" t="n"/>
      <c r="Z64" s="10" t="n"/>
      <c r="AA64" s="10" t="n"/>
      <c r="AB64" s="10" t="n"/>
      <c r="AC64" s="10" t="n"/>
      <c r="AD64" s="11" t="n"/>
      <c r="AE64" s="45" t="inlineStr">
        <is>
          <t>A</t>
        </is>
      </c>
      <c r="AF64" s="11" t="n"/>
      <c r="AG64" s="45" t="inlineStr"/>
      <c r="AH64" s="10" t="n"/>
      <c r="AI64" s="11" t="n"/>
      <c r="AJ64" s="45" t="inlineStr"/>
      <c r="AK64" s="10" t="n"/>
      <c r="AL64" s="11" t="n"/>
      <c r="AM64" s="45" t="inlineStr"/>
      <c r="AN64" s="10" t="n"/>
      <c r="AO64" s="11" t="n"/>
      <c r="AP64" s="45" t="inlineStr"/>
      <c r="AQ64" s="10" t="n"/>
      <c r="AR64" s="11" t="n"/>
      <c r="AS64" s="45" t="inlineStr"/>
      <c r="AT64" s="10" t="n"/>
      <c r="AU64" s="11" t="n"/>
      <c r="AV64" s="45" t="inlineStr"/>
      <c r="AW64" s="10" t="n"/>
      <c r="AX64" s="11" t="n"/>
      <c r="AY64" s="45" t="inlineStr"/>
      <c r="AZ64" s="10" t="n"/>
      <c r="BA64" s="11" t="n"/>
      <c r="BB64" s="45" t="inlineStr"/>
      <c r="BC64" s="10" t="n"/>
      <c r="BD64" s="11" t="n"/>
      <c r="BE64" s="45" t="inlineStr"/>
      <c r="BF64" s="10" t="n"/>
      <c r="BG64" s="11" t="n"/>
      <c r="BH64" s="45" t="inlineStr"/>
      <c r="BI64" s="10" t="n"/>
      <c r="BJ64" s="11" t="n"/>
      <c r="BK64" s="46" t="inlineStr">
        <is>
          <t>ネットワークエラーのトースト文言はフロントエンド側 axios インターセプタの実装に準拠。
---</t>
        </is>
      </c>
      <c r="BL64" s="10" t="n"/>
      <c r="BM64" s="10" t="n"/>
      <c r="BN64" s="10" t="n"/>
      <c r="BO64" s="10" t="n"/>
      <c r="BP64" s="10" t="n"/>
      <c r="BQ64" s="11" t="n"/>
    </row>
  </sheetData>
  <mergeCells count="871">
    <mergeCell ref="AS59:AU59"/>
    <mergeCell ref="J31:P31"/>
    <mergeCell ref="B60:D60"/>
    <mergeCell ref="AS46:AU46"/>
    <mergeCell ref="BK58:BQ58"/>
    <mergeCell ref="AP50:AR50"/>
    <mergeCell ref="AE54:AF54"/>
    <mergeCell ref="BH33:BJ33"/>
    <mergeCell ref="BK50:BQ50"/>
    <mergeCell ref="AE41:AF41"/>
    <mergeCell ref="E52:I52"/>
    <mergeCell ref="AV57:AX57"/>
    <mergeCell ref="AP60:AR60"/>
    <mergeCell ref="E39:I39"/>
    <mergeCell ref="E14:I14"/>
    <mergeCell ref="AS61:AU61"/>
    <mergeCell ref="W7:Y7"/>
    <mergeCell ref="AM64:AO64"/>
    <mergeCell ref="AS48:AU48"/>
    <mergeCell ref="J62:P62"/>
    <mergeCell ref="BK16:BQ16"/>
    <mergeCell ref="AE56:AF56"/>
    <mergeCell ref="AE43:AF43"/>
    <mergeCell ref="AM30:AO30"/>
    <mergeCell ref="AP45:AR45"/>
    <mergeCell ref="J64:P64"/>
    <mergeCell ref="BE13:BG13"/>
    <mergeCell ref="W8:Y8"/>
    <mergeCell ref="Q37:W37"/>
    <mergeCell ref="AJ20:AL20"/>
    <mergeCell ref="AM21:AO21"/>
    <mergeCell ref="AG24:AI24"/>
    <mergeCell ref="BH39:BJ39"/>
    <mergeCell ref="J57:P57"/>
    <mergeCell ref="W2:AH2"/>
    <mergeCell ref="X10:AD11"/>
    <mergeCell ref="AG42:AI42"/>
    <mergeCell ref="AJ22:AL22"/>
    <mergeCell ref="AG26:AI26"/>
    <mergeCell ref="AP13:AR13"/>
    <mergeCell ref="BK42:BQ42"/>
    <mergeCell ref="AE34:AF34"/>
    <mergeCell ref="AJ51:AL51"/>
    <mergeCell ref="BK47:BQ47"/>
    <mergeCell ref="E25:I25"/>
    <mergeCell ref="Q40:W40"/>
    <mergeCell ref="AE36:AF36"/>
    <mergeCell ref="AS51:AU51"/>
    <mergeCell ref="Q15:W15"/>
    <mergeCell ref="AV39:AX39"/>
    <mergeCell ref="E58:I58"/>
    <mergeCell ref="BE20:BG20"/>
    <mergeCell ref="BH21:BJ21"/>
    <mergeCell ref="AM34:AO34"/>
    <mergeCell ref="BE35:BG35"/>
    <mergeCell ref="BK48:BQ48"/>
    <mergeCell ref="AM49:AO49"/>
    <mergeCell ref="AE50:AF50"/>
    <mergeCell ref="AG52:AI52"/>
    <mergeCell ref="BE22:BG22"/>
    <mergeCell ref="BH23:BJ23"/>
    <mergeCell ref="BB26:BD26"/>
    <mergeCell ref="AE31:AF31"/>
    <mergeCell ref="H7:J7"/>
    <mergeCell ref="AG45:AI45"/>
    <mergeCell ref="AY29:BA29"/>
    <mergeCell ref="E20:I20"/>
    <mergeCell ref="AJ33:AL33"/>
    <mergeCell ref="AG37:AI37"/>
    <mergeCell ref="J39:P39"/>
    <mergeCell ref="X21:AD21"/>
    <mergeCell ref="AE62:AF62"/>
    <mergeCell ref="AG47:AI47"/>
    <mergeCell ref="AF8:AH8"/>
    <mergeCell ref="AY31:BA31"/>
    <mergeCell ref="AJ35:AL35"/>
    <mergeCell ref="BK37:BQ37"/>
    <mergeCell ref="AM55:AO55"/>
    <mergeCell ref="BH34:BJ34"/>
    <mergeCell ref="X23:AD23"/>
    <mergeCell ref="AE64:AF64"/>
    <mergeCell ref="AS62:AU62"/>
    <mergeCell ref="AV63:AX63"/>
    <mergeCell ref="BH49:BJ49"/>
    <mergeCell ref="R3:V3"/>
    <mergeCell ref="X16:AD16"/>
    <mergeCell ref="AP28:AR28"/>
    <mergeCell ref="AE57:AF57"/>
    <mergeCell ref="BH60:BJ60"/>
    <mergeCell ref="AC7:AE7"/>
    <mergeCell ref="AY26:BA26"/>
    <mergeCell ref="BE15:BG15"/>
    <mergeCell ref="AS64:AU64"/>
    <mergeCell ref="AG63:AI63"/>
    <mergeCell ref="X18:AD18"/>
    <mergeCell ref="BE33:BG33"/>
    <mergeCell ref="BB37:BD37"/>
    <mergeCell ref="AG50:AI50"/>
    <mergeCell ref="BK13:BQ13"/>
    <mergeCell ref="B21:D21"/>
    <mergeCell ref="AY57:BA57"/>
    <mergeCell ref="AM58:AO58"/>
    <mergeCell ref="BE41:BG41"/>
    <mergeCell ref="Q59:W59"/>
    <mergeCell ref="J25:P25"/>
    <mergeCell ref="Q46:W46"/>
    <mergeCell ref="BH55:BJ55"/>
    <mergeCell ref="AM24:AO24"/>
    <mergeCell ref="B23:D23"/>
    <mergeCell ref="AM60:AO60"/>
    <mergeCell ref="AV14:AX14"/>
    <mergeCell ref="Q61:W61"/>
    <mergeCell ref="W3:AH3"/>
    <mergeCell ref="E33:I33"/>
    <mergeCell ref="Q48:W48"/>
    <mergeCell ref="AV13:AX13"/>
    <mergeCell ref="BH42:BJ42"/>
    <mergeCell ref="AS17:AU17"/>
    <mergeCell ref="AS11:AU11"/>
    <mergeCell ref="BB40:BD40"/>
    <mergeCell ref="BH29:BJ29"/>
    <mergeCell ref="Q41:W41"/>
    <mergeCell ref="E35:I35"/>
    <mergeCell ref="Q56:W56"/>
    <mergeCell ref="AE52:AF52"/>
    <mergeCell ref="Q43:W43"/>
    <mergeCell ref="J14:P14"/>
    <mergeCell ref="AE39:AF39"/>
    <mergeCell ref="B51:D51"/>
    <mergeCell ref="AM50:AO50"/>
    <mergeCell ref="AJ54:AL54"/>
    <mergeCell ref="AM15:AO15"/>
    <mergeCell ref="AP16:AR16"/>
    <mergeCell ref="BH24:BJ24"/>
    <mergeCell ref="J13:P13"/>
    <mergeCell ref="BE34:BG34"/>
    <mergeCell ref="BE28:BG28"/>
    <mergeCell ref="AJ41:AL41"/>
    <mergeCell ref="H8:J8"/>
    <mergeCell ref="BK10:BQ11"/>
    <mergeCell ref="AS14:AU14"/>
    <mergeCell ref="AG55:AI55"/>
    <mergeCell ref="AP18:AR18"/>
    <mergeCell ref="AJ56:AL56"/>
    <mergeCell ref="BH26:BJ26"/>
    <mergeCell ref="BE30:BG30"/>
    <mergeCell ref="AJ43:AL43"/>
    <mergeCell ref="AV25:AX25"/>
    <mergeCell ref="W6:Y6"/>
    <mergeCell ref="J55:P55"/>
    <mergeCell ref="BE29:BG29"/>
    <mergeCell ref="BK28:BQ28"/>
    <mergeCell ref="AY32:BA32"/>
    <mergeCell ref="BB33:BD33"/>
    <mergeCell ref="AG46:AI46"/>
    <mergeCell ref="Q34:W34"/>
    <mergeCell ref="AG40:AI40"/>
    <mergeCell ref="X24:AD24"/>
    <mergeCell ref="BB43:BD43"/>
    <mergeCell ref="A44:BQ44"/>
    <mergeCell ref="AY47:BA47"/>
    <mergeCell ref="E21:I21"/>
    <mergeCell ref="BH50:BJ50"/>
    <mergeCell ref="Q36:W36"/>
    <mergeCell ref="BE54:BG54"/>
    <mergeCell ref="Q30:W30"/>
    <mergeCell ref="AE63:AF63"/>
    <mergeCell ref="X26:AD26"/>
    <mergeCell ref="W1:AH1"/>
    <mergeCell ref="AC8:AE8"/>
    <mergeCell ref="E23:I23"/>
    <mergeCell ref="B29:D29"/>
    <mergeCell ref="BE56:BG56"/>
    <mergeCell ref="BE43:BG43"/>
    <mergeCell ref="J33:P33"/>
    <mergeCell ref="AE58:AF58"/>
    <mergeCell ref="BB59:BD59"/>
    <mergeCell ref="AM63:AO63"/>
    <mergeCell ref="BB46:BD46"/>
    <mergeCell ref="BE57:BG57"/>
    <mergeCell ref="B24:D24"/>
    <mergeCell ref="AY60:BA60"/>
    <mergeCell ref="BB61:BD61"/>
    <mergeCell ref="AV15:AX15"/>
    <mergeCell ref="AY16:BA16"/>
    <mergeCell ref="Q62:W62"/>
    <mergeCell ref="E34:I34"/>
    <mergeCell ref="BB48:BD48"/>
    <mergeCell ref="AG43:AI43"/>
    <mergeCell ref="B32:D32"/>
    <mergeCell ref="B26:D26"/>
    <mergeCell ref="E49:I49"/>
    <mergeCell ref="AY18:BA18"/>
    <mergeCell ref="A7:G7"/>
    <mergeCell ref="AY45:BA45"/>
    <mergeCell ref="E36:I36"/>
    <mergeCell ref="Q64:W64"/>
    <mergeCell ref="Q51:W51"/>
    <mergeCell ref="X37:AD37"/>
    <mergeCell ref="BH45:BJ45"/>
    <mergeCell ref="AS20:AU20"/>
    <mergeCell ref="A53:BQ53"/>
    <mergeCell ref="AP24:AR24"/>
    <mergeCell ref="BH32:BJ32"/>
    <mergeCell ref="BK18:BQ18"/>
    <mergeCell ref="A19:BQ19"/>
    <mergeCell ref="AY22:BA22"/>
    <mergeCell ref="BH47:BJ47"/>
    <mergeCell ref="AS22:AU22"/>
    <mergeCell ref="X20:AD20"/>
    <mergeCell ref="AP26:AR26"/>
    <mergeCell ref="X14:AD14"/>
    <mergeCell ref="AY42:BA42"/>
    <mergeCell ref="AE55:AF55"/>
    <mergeCell ref="AG21:AI21"/>
    <mergeCell ref="B42:D42"/>
    <mergeCell ref="BH46:BJ46"/>
    <mergeCell ref="BE50:BG50"/>
    <mergeCell ref="AJ57:AL57"/>
    <mergeCell ref="AG61:AI61"/>
    <mergeCell ref="BE31:BG31"/>
    <mergeCell ref="J21:P21"/>
    <mergeCell ref="A1:E1"/>
    <mergeCell ref="AG48:AI48"/>
    <mergeCell ref="Q17:W17"/>
    <mergeCell ref="BB34:BD34"/>
    <mergeCell ref="E29:I29"/>
    <mergeCell ref="J23:P23"/>
    <mergeCell ref="AV34:AX34"/>
    <mergeCell ref="B37:D37"/>
    <mergeCell ref="BH58:BJ58"/>
    <mergeCell ref="AV28:AX28"/>
    <mergeCell ref="AY48:BA48"/>
    <mergeCell ref="BB49:BD49"/>
    <mergeCell ref="AG62:AI62"/>
    <mergeCell ref="AE33:AF33"/>
    <mergeCell ref="BB36:BD36"/>
    <mergeCell ref="X40:AD40"/>
    <mergeCell ref="E31:I31"/>
    <mergeCell ref="AV36:AX36"/>
    <mergeCell ref="T6:V6"/>
    <mergeCell ref="B20:D20"/>
    <mergeCell ref="AV30:AX30"/>
    <mergeCell ref="Q52:W52"/>
    <mergeCell ref="Q39:W39"/>
    <mergeCell ref="AS33:AU33"/>
    <mergeCell ref="AM36:AO36"/>
    <mergeCell ref="F1:Q1"/>
    <mergeCell ref="AP37:AR37"/>
    <mergeCell ref="J34:P34"/>
    <mergeCell ref="E26:I26"/>
    <mergeCell ref="AY37:BA37"/>
    <mergeCell ref="AS35:AU35"/>
    <mergeCell ref="J49:P49"/>
    <mergeCell ref="J36:P36"/>
    <mergeCell ref="BB62:BD62"/>
    <mergeCell ref="AJ14:AL14"/>
    <mergeCell ref="AY17:BA17"/>
    <mergeCell ref="AV21:AX21"/>
    <mergeCell ref="BK24:BQ24"/>
    <mergeCell ref="X45:AD45"/>
    <mergeCell ref="E50:I50"/>
    <mergeCell ref="AG11:AI11"/>
    <mergeCell ref="BB64:BD64"/>
    <mergeCell ref="AV29:AX29"/>
    <mergeCell ref="A8:G8"/>
    <mergeCell ref="AV23:AX23"/>
    <mergeCell ref="BB51:BD51"/>
    <mergeCell ref="AP63:AR63"/>
    <mergeCell ref="E42:I42"/>
    <mergeCell ref="AY55:BA55"/>
    <mergeCell ref="X59:AD59"/>
    <mergeCell ref="K8:M8"/>
    <mergeCell ref="X46:AD46"/>
    <mergeCell ref="AE21:AF21"/>
    <mergeCell ref="BH48:BJ48"/>
    <mergeCell ref="AV24:AX24"/>
    <mergeCell ref="BE58:BG58"/>
    <mergeCell ref="T8:V8"/>
    <mergeCell ref="AS28:AU28"/>
    <mergeCell ref="AM31:AO31"/>
    <mergeCell ref="BE39:BG39"/>
    <mergeCell ref="J29:P29"/>
    <mergeCell ref="X48:AD48"/>
    <mergeCell ref="AE23:AF23"/>
    <mergeCell ref="AC6:AE6"/>
    <mergeCell ref="AG39:AI39"/>
    <mergeCell ref="BB17:BD17"/>
    <mergeCell ref="AV49:AX49"/>
    <mergeCell ref="BB11:BD11"/>
    <mergeCell ref="AJ25:AL25"/>
    <mergeCell ref="B45:D45"/>
    <mergeCell ref="AJ60:AL60"/>
    <mergeCell ref="AM32:AO32"/>
    <mergeCell ref="AG64:AI64"/>
    <mergeCell ref="Q7:S7"/>
    <mergeCell ref="AM26:AO26"/>
    <mergeCell ref="J24:P24"/>
    <mergeCell ref="AG51:AI51"/>
    <mergeCell ref="Q20:W20"/>
    <mergeCell ref="B47:D47"/>
    <mergeCell ref="Q14:W14"/>
    <mergeCell ref="B59:D59"/>
    <mergeCell ref="E57:I57"/>
    <mergeCell ref="AV50:AX50"/>
    <mergeCell ref="B46:D46"/>
    <mergeCell ref="A38:BQ38"/>
    <mergeCell ref="AS54:AU54"/>
    <mergeCell ref="E32:I32"/>
    <mergeCell ref="J26:P26"/>
    <mergeCell ref="Q60:W60"/>
    <mergeCell ref="AS41:AU41"/>
    <mergeCell ref="AE49:AF49"/>
    <mergeCell ref="AY13:BA13"/>
    <mergeCell ref="Q8:S8"/>
    <mergeCell ref="AV55:AX55"/>
    <mergeCell ref="E47:I47"/>
    <mergeCell ref="BB39:BD39"/>
    <mergeCell ref="B48:D48"/>
    <mergeCell ref="AV52:AX52"/>
    <mergeCell ref="AP55:AR55"/>
    <mergeCell ref="AS56:AU56"/>
    <mergeCell ref="X41:AD41"/>
    <mergeCell ref="AS43:AU43"/>
    <mergeCell ref="AY63:BA63"/>
    <mergeCell ref="BE25:BG25"/>
    <mergeCell ref="F4:AH4"/>
    <mergeCell ref="X51:AD51"/>
    <mergeCell ref="AJ13:AL13"/>
    <mergeCell ref="AM52:AO52"/>
    <mergeCell ref="BH61:BJ61"/>
    <mergeCell ref="AG17:AI17"/>
    <mergeCell ref="AS36:AU36"/>
    <mergeCell ref="J50:P50"/>
    <mergeCell ref="AM39:AO39"/>
    <mergeCell ref="AP40:AR40"/>
    <mergeCell ref="J42:P42"/>
    <mergeCell ref="BK63:BQ63"/>
    <mergeCell ref="AJ15:AL15"/>
    <mergeCell ref="Q13:W13"/>
    <mergeCell ref="X36:AD36"/>
    <mergeCell ref="J52:P52"/>
    <mergeCell ref="Q25:W25"/>
    <mergeCell ref="AV37:AX37"/>
    <mergeCell ref="E60:I60"/>
    <mergeCell ref="J37:P37"/>
    <mergeCell ref="AV60:AX60"/>
    <mergeCell ref="Q33:W33"/>
    <mergeCell ref="X61:AD61"/>
    <mergeCell ref="A2:E2"/>
    <mergeCell ref="AE29:AF29"/>
    <mergeCell ref="B41:D41"/>
    <mergeCell ref="AV45:AX45"/>
    <mergeCell ref="AG14:AI14"/>
    <mergeCell ref="B35:D35"/>
    <mergeCell ref="AV32:AX32"/>
    <mergeCell ref="AV26:AX26"/>
    <mergeCell ref="E45:I45"/>
    <mergeCell ref="AS29:AU29"/>
    <mergeCell ref="AM42:AO42"/>
    <mergeCell ref="X62:AD62"/>
    <mergeCell ref="AE37:AF37"/>
    <mergeCell ref="BH16:BJ16"/>
    <mergeCell ref="AM29:AO29"/>
    <mergeCell ref="AM23:AO23"/>
    <mergeCell ref="AE24:AF24"/>
    <mergeCell ref="BE55:BG55"/>
    <mergeCell ref="AS31:AU31"/>
    <mergeCell ref="X64:AD64"/>
    <mergeCell ref="BH18:BJ18"/>
    <mergeCell ref="J32:P32"/>
    <mergeCell ref="J63:P63"/>
    <mergeCell ref="AE26:AF26"/>
    <mergeCell ref="Q22:W22"/>
    <mergeCell ref="BB58:BD58"/>
    <mergeCell ref="B61:D61"/>
    <mergeCell ref="J47:P47"/>
    <mergeCell ref="AV58:AX58"/>
    <mergeCell ref="BB20:BD20"/>
    <mergeCell ref="BB14:BD14"/>
    <mergeCell ref="AY24:BA24"/>
    <mergeCell ref="AJ28:AL28"/>
    <mergeCell ref="BK17:BQ17"/>
    <mergeCell ref="BK55:BQ55"/>
    <mergeCell ref="BB60:BD60"/>
    <mergeCell ref="AP30:AR30"/>
    <mergeCell ref="AP59:AR59"/>
    <mergeCell ref="AJ30:AL30"/>
    <mergeCell ref="AP46:AR46"/>
    <mergeCell ref="BK59:BQ59"/>
    <mergeCell ref="BK46:BQ46"/>
    <mergeCell ref="BK40:BQ40"/>
    <mergeCell ref="AE42:AF42"/>
    <mergeCell ref="AS57:AU57"/>
    <mergeCell ref="BK25:BQ25"/>
    <mergeCell ref="Q21:W21"/>
    <mergeCell ref="AP61:AR61"/>
    <mergeCell ref="AM16:AO16"/>
    <mergeCell ref="AP48:AR48"/>
    <mergeCell ref="B64:D64"/>
    <mergeCell ref="A27:BQ27"/>
    <mergeCell ref="X57:AD57"/>
    <mergeCell ref="K6:M6"/>
    <mergeCell ref="AP41:AR41"/>
    <mergeCell ref="AM18:AO18"/>
    <mergeCell ref="J60:P60"/>
    <mergeCell ref="BK41:BQ41"/>
    <mergeCell ref="BB13:BD13"/>
    <mergeCell ref="AM17:AO17"/>
    <mergeCell ref="AP56:AR56"/>
    <mergeCell ref="AG20:AI20"/>
    <mergeCell ref="B16:D16"/>
    <mergeCell ref="AP43:AR43"/>
    <mergeCell ref="AM47:AO47"/>
    <mergeCell ref="B10:D11"/>
    <mergeCell ref="J45:P45"/>
    <mergeCell ref="Q35:W35"/>
    <mergeCell ref="AM46:AO46"/>
    <mergeCell ref="AG22:AI22"/>
    <mergeCell ref="B18:D18"/>
    <mergeCell ref="AJ23:AL23"/>
    <mergeCell ref="AM48:AO48"/>
    <mergeCell ref="Q49:W49"/>
    <mergeCell ref="BK43:BQ43"/>
    <mergeCell ref="B57:D57"/>
    <mergeCell ref="AF6:AH6"/>
    <mergeCell ref="E55:I55"/>
    <mergeCell ref="AE32:AF32"/>
    <mergeCell ref="AV48:AX48"/>
    <mergeCell ref="AY14:BA14"/>
    <mergeCell ref="AJ18:AL18"/>
    <mergeCell ref="J51:P51"/>
    <mergeCell ref="F2:Q2"/>
    <mergeCell ref="AS39:AU39"/>
    <mergeCell ref="BH17:BJ17"/>
    <mergeCell ref="E48:I48"/>
    <mergeCell ref="AE47:AF47"/>
    <mergeCell ref="BE21:BG21"/>
    <mergeCell ref="Q6:S6"/>
    <mergeCell ref="AJ34:AL34"/>
    <mergeCell ref="BK34:BQ34"/>
    <mergeCell ref="AY59:BA59"/>
    <mergeCell ref="J58:P58"/>
    <mergeCell ref="AS32:AU32"/>
    <mergeCell ref="AM45:AO45"/>
    <mergeCell ref="AJ49:AL49"/>
    <mergeCell ref="AP11:AR11"/>
    <mergeCell ref="BB22:BD22"/>
    <mergeCell ref="BE23:BG23"/>
    <mergeCell ref="AJ36:AL36"/>
    <mergeCell ref="BK30:BQ30"/>
    <mergeCell ref="BK36:BQ36"/>
    <mergeCell ref="AS47:AU47"/>
    <mergeCell ref="AY54:BA54"/>
    <mergeCell ref="AJ29:AL29"/>
    <mergeCell ref="AG33:AI33"/>
    <mergeCell ref="X17:AD17"/>
    <mergeCell ref="BK61:BQ61"/>
    <mergeCell ref="Q54:W54"/>
    <mergeCell ref="BE18:BG18"/>
    <mergeCell ref="AJ31:AL31"/>
    <mergeCell ref="B62:D62"/>
    <mergeCell ref="Q29:W29"/>
    <mergeCell ref="AG35:AI35"/>
    <mergeCell ref="AM51:AO51"/>
    <mergeCell ref="Q23:W23"/>
    <mergeCell ref="AE60:AF60"/>
    <mergeCell ref="AS58:AU58"/>
    <mergeCell ref="AG34:AI34"/>
    <mergeCell ref="AV59:AX59"/>
    <mergeCell ref="AP62:AR62"/>
    <mergeCell ref="E16:I16"/>
    <mergeCell ref="AV46:AX46"/>
    <mergeCell ref="Q31:W31"/>
    <mergeCell ref="BE49:BG49"/>
    <mergeCell ref="AS50:AU50"/>
    <mergeCell ref="E10:I11"/>
    <mergeCell ref="BK56:BQ56"/>
    <mergeCell ref="BK62:BQ62"/>
    <mergeCell ref="BE36:BG36"/>
    <mergeCell ref="BH37:BJ37"/>
    <mergeCell ref="AE45:AF45"/>
    <mergeCell ref="X58:AD58"/>
    <mergeCell ref="AS60:AU60"/>
    <mergeCell ref="AV61:AX61"/>
    <mergeCell ref="AP64:AR64"/>
    <mergeCell ref="Z7:AB7"/>
    <mergeCell ref="E18:I18"/>
    <mergeCell ref="R1:V1"/>
    <mergeCell ref="AP51:AR51"/>
    <mergeCell ref="AG59:AI59"/>
    <mergeCell ref="BK64:BQ64"/>
    <mergeCell ref="BK51:BQ51"/>
    <mergeCell ref="X60:AD60"/>
    <mergeCell ref="AM61:AO61"/>
    <mergeCell ref="B17:D17"/>
    <mergeCell ref="BB54:BD54"/>
    <mergeCell ref="AE59:AF59"/>
    <mergeCell ref="AE22:AF22"/>
    <mergeCell ref="BB41:BD41"/>
    <mergeCell ref="J46:P46"/>
    <mergeCell ref="AE46:AF46"/>
    <mergeCell ref="BB35:BD35"/>
    <mergeCell ref="BH51:BJ51"/>
    <mergeCell ref="Z8:AB8"/>
    <mergeCell ref="AM20:AO20"/>
    <mergeCell ref="AJ24:AL24"/>
    <mergeCell ref="J61:P61"/>
    <mergeCell ref="AY11:BA11"/>
    <mergeCell ref="Q57:W57"/>
    <mergeCell ref="J48:P48"/>
    <mergeCell ref="AM35:AO35"/>
    <mergeCell ref="AJ26:AL26"/>
    <mergeCell ref="AS13:AU13"/>
    <mergeCell ref="AP17:AR17"/>
    <mergeCell ref="AY40:BA40"/>
    <mergeCell ref="Q42:W42"/>
    <mergeCell ref="A12:BQ12"/>
    <mergeCell ref="AY15:BA15"/>
    <mergeCell ref="AG23:AI23"/>
    <mergeCell ref="BH40:BJ40"/>
    <mergeCell ref="X13:AD13"/>
    <mergeCell ref="AS15:AU15"/>
    <mergeCell ref="AE48:AF48"/>
    <mergeCell ref="AS55:AU55"/>
    <mergeCell ref="BE37:BG37"/>
    <mergeCell ref="AJ50:AL50"/>
    <mergeCell ref="BH20:BJ20"/>
    <mergeCell ref="AG54:AI54"/>
    <mergeCell ref="A4:E4"/>
    <mergeCell ref="BE24:BG24"/>
    <mergeCell ref="BH25:BJ25"/>
    <mergeCell ref="BB28:BD28"/>
    <mergeCell ref="AG41:AI41"/>
    <mergeCell ref="BH35:BJ35"/>
    <mergeCell ref="AP39:AR39"/>
    <mergeCell ref="AP14:AR14"/>
    <mergeCell ref="AJ52:AL52"/>
    <mergeCell ref="BH22:BJ22"/>
    <mergeCell ref="BK52:BQ52"/>
    <mergeCell ref="AG56:AI56"/>
    <mergeCell ref="BE26:BG26"/>
    <mergeCell ref="J16:P16"/>
    <mergeCell ref="AJ39:AL39"/>
    <mergeCell ref="BB30:BD30"/>
    <mergeCell ref="BK39:BQ39"/>
    <mergeCell ref="AM40:AO40"/>
    <mergeCell ref="H6:J6"/>
    <mergeCell ref="J10:P11"/>
    <mergeCell ref="AS25:AU25"/>
    <mergeCell ref="BB42:BD42"/>
    <mergeCell ref="B14:D14"/>
    <mergeCell ref="AG49:AI49"/>
    <mergeCell ref="AE51:AF51"/>
    <mergeCell ref="BB29:BD29"/>
    <mergeCell ref="BB23:BD23"/>
    <mergeCell ref="E24:I24"/>
    <mergeCell ref="AG36:AI36"/>
    <mergeCell ref="B13:D13"/>
    <mergeCell ref="Q45:W45"/>
    <mergeCell ref="E17:I17"/>
    <mergeCell ref="BB31:BD31"/>
    <mergeCell ref="Q32:W32"/>
    <mergeCell ref="AY35:BA35"/>
    <mergeCell ref="X22:AD22"/>
    <mergeCell ref="BE42:BG42"/>
    <mergeCell ref="Q47:W47"/>
    <mergeCell ref="BH13:BJ13"/>
    <mergeCell ref="BE52:BG52"/>
    <mergeCell ref="BK21:BQ21"/>
    <mergeCell ref="BB56:BD56"/>
    <mergeCell ref="AE61:AF61"/>
    <mergeCell ref="AV64:AX64"/>
    <mergeCell ref="AF7:AH7"/>
    <mergeCell ref="BH15:BJ15"/>
    <mergeCell ref="AY30:BA30"/>
    <mergeCell ref="AJ32:AL32"/>
    <mergeCell ref="AJ63:AL63"/>
    <mergeCell ref="AP25:AR25"/>
    <mergeCell ref="A6:G6"/>
    <mergeCell ref="AY46:BA46"/>
    <mergeCell ref="BB57:BD57"/>
    <mergeCell ref="B25:D25"/>
    <mergeCell ref="Q58:W58"/>
    <mergeCell ref="AY61:BA61"/>
    <mergeCell ref="AV16:AX16"/>
    <mergeCell ref="Q63:W63"/>
    <mergeCell ref="AJ40:AL40"/>
    <mergeCell ref="Q50:W50"/>
    <mergeCell ref="B22:D22"/>
    <mergeCell ref="AY41:BA41"/>
    <mergeCell ref="X15:AD15"/>
    <mergeCell ref="AV18:AX18"/>
    <mergeCell ref="E37:I37"/>
    <mergeCell ref="X33:AD33"/>
    <mergeCell ref="AV17:AX17"/>
    <mergeCell ref="AY56:BA56"/>
    <mergeCell ref="AM59:AO59"/>
    <mergeCell ref="AV11:AX11"/>
    <mergeCell ref="AP20:AR20"/>
    <mergeCell ref="AS21:AU21"/>
    <mergeCell ref="AY43:BA43"/>
    <mergeCell ref="BE32:BG32"/>
    <mergeCell ref="BE63:BG63"/>
    <mergeCell ref="BK14:BQ14"/>
    <mergeCell ref="AE16:AF16"/>
    <mergeCell ref="AG32:AI32"/>
    <mergeCell ref="X35:AD35"/>
    <mergeCell ref="AE10:AF11"/>
    <mergeCell ref="BH43:BJ43"/>
    <mergeCell ref="BE47:BG47"/>
    <mergeCell ref="AP22:AR22"/>
    <mergeCell ref="BK60:BQ60"/>
    <mergeCell ref="J18:P18"/>
    <mergeCell ref="AE18:AF18"/>
    <mergeCell ref="BE40:BG40"/>
    <mergeCell ref="AP15:AR15"/>
    <mergeCell ref="AS16:AU16"/>
    <mergeCell ref="AM54:AO54"/>
    <mergeCell ref="AG57:AI57"/>
    <mergeCell ref="AV10:BJ10"/>
    <mergeCell ref="BH28:BJ28"/>
    <mergeCell ref="J17:P17"/>
    <mergeCell ref="AJ45:AL45"/>
    <mergeCell ref="B40:D40"/>
    <mergeCell ref="E63:I63"/>
    <mergeCell ref="B15:D15"/>
    <mergeCell ref="BB52:BD52"/>
    <mergeCell ref="AJ55:AL55"/>
    <mergeCell ref="AY34:BA34"/>
    <mergeCell ref="B33:D33"/>
    <mergeCell ref="BH59:BJ59"/>
    <mergeCell ref="AY25:BA25"/>
    <mergeCell ref="AS34:AU34"/>
    <mergeCell ref="BB45:BD45"/>
    <mergeCell ref="AG58:AI58"/>
    <mergeCell ref="BB32:BD32"/>
    <mergeCell ref="Q55:W55"/>
    <mergeCell ref="AY36:BA36"/>
    <mergeCell ref="AS49:AU49"/>
    <mergeCell ref="X34:AD34"/>
    <mergeCell ref="X28:AD28"/>
    <mergeCell ref="AS30:AU30"/>
    <mergeCell ref="BB47:BD47"/>
    <mergeCell ref="AG60:AI60"/>
    <mergeCell ref="N7:P7"/>
    <mergeCell ref="AS42:AU42"/>
    <mergeCell ref="BH54:BJ54"/>
    <mergeCell ref="AP33:AR33"/>
    <mergeCell ref="BH41:BJ41"/>
    <mergeCell ref="X30:AD30"/>
    <mergeCell ref="BE45:BG45"/>
    <mergeCell ref="AJ58:AL58"/>
    <mergeCell ref="X42:AD42"/>
    <mergeCell ref="E22:I22"/>
    <mergeCell ref="BH56:BJ56"/>
    <mergeCell ref="X29:AD29"/>
    <mergeCell ref="AP35:AR35"/>
    <mergeCell ref="BH31:BJ31"/>
    <mergeCell ref="AJ48:AL48"/>
    <mergeCell ref="AV42:AX42"/>
    <mergeCell ref="BE59:BG59"/>
    <mergeCell ref="AY62:BA62"/>
    <mergeCell ref="BB63:BD63"/>
    <mergeCell ref="BE46:BG46"/>
    <mergeCell ref="BB50:BD50"/>
    <mergeCell ref="X54:AD54"/>
    <mergeCell ref="BK20:BQ20"/>
    <mergeCell ref="AY28:BA28"/>
    <mergeCell ref="B34:D34"/>
    <mergeCell ref="B28:D28"/>
    <mergeCell ref="AY64:BA64"/>
    <mergeCell ref="AS23:AU23"/>
    <mergeCell ref="AY51:BA51"/>
    <mergeCell ref="X56:AD56"/>
    <mergeCell ref="BK22:BQ22"/>
    <mergeCell ref="E13:I13"/>
    <mergeCell ref="X43:AD43"/>
    <mergeCell ref="B30:D30"/>
    <mergeCell ref="E40:I40"/>
    <mergeCell ref="BK15:BQ15"/>
    <mergeCell ref="AE17:AF17"/>
    <mergeCell ref="E15:I15"/>
    <mergeCell ref="AV20:AX20"/>
    <mergeCell ref="BE48:BG48"/>
    <mergeCell ref="AS24:AU24"/>
    <mergeCell ref="AS18:AU18"/>
    <mergeCell ref="BH36:BJ36"/>
    <mergeCell ref="BH11:BJ11"/>
    <mergeCell ref="Z6:AB6"/>
    <mergeCell ref="AJ59:AL59"/>
    <mergeCell ref="AP21:AR21"/>
    <mergeCell ref="AS26:AU26"/>
    <mergeCell ref="B54:D54"/>
    <mergeCell ref="AJ46:AL46"/>
    <mergeCell ref="AJ21:AL21"/>
    <mergeCell ref="AG25:AI25"/>
    <mergeCell ref="AY33:BA33"/>
    <mergeCell ref="T5:AH5"/>
    <mergeCell ref="AM22:AO22"/>
    <mergeCell ref="AP23:AR23"/>
    <mergeCell ref="B56:D56"/>
    <mergeCell ref="J20:P20"/>
    <mergeCell ref="AJ61:AL61"/>
    <mergeCell ref="AV47:AX47"/>
    <mergeCell ref="B43:D43"/>
    <mergeCell ref="BE51:BG51"/>
    <mergeCell ref="AY50:BA50"/>
    <mergeCell ref="BB55:BD55"/>
    <mergeCell ref="BK33:BQ33"/>
    <mergeCell ref="A5:S5"/>
    <mergeCell ref="J22:P22"/>
    <mergeCell ref="BH62:BJ62"/>
    <mergeCell ref="AY52:BA52"/>
    <mergeCell ref="N8:P8"/>
    <mergeCell ref="BK35:BQ35"/>
    <mergeCell ref="AY39:BA39"/>
    <mergeCell ref="AS52:AU52"/>
    <mergeCell ref="AP34:AR34"/>
    <mergeCell ref="AM11:AO11"/>
    <mergeCell ref="X31:AD31"/>
    <mergeCell ref="Q10:W11"/>
    <mergeCell ref="BB25:BD25"/>
    <mergeCell ref="AP49:AR49"/>
    <mergeCell ref="E28:I28"/>
    <mergeCell ref="BH57:BJ57"/>
    <mergeCell ref="AG13:AI13"/>
    <mergeCell ref="AV33:AX33"/>
    <mergeCell ref="BE61:BG61"/>
    <mergeCell ref="AP36:AR36"/>
    <mergeCell ref="AS37:AU37"/>
    <mergeCell ref="AE14:AF14"/>
    <mergeCell ref="X39:AD39"/>
    <mergeCell ref="K7:M7"/>
    <mergeCell ref="A3:E3"/>
    <mergeCell ref="Q28:W28"/>
    <mergeCell ref="E30:I30"/>
    <mergeCell ref="AG15:AI15"/>
    <mergeCell ref="AJ16:AL16"/>
    <mergeCell ref="X32:AD32"/>
    <mergeCell ref="B36:D36"/>
    <mergeCell ref="E59:I59"/>
    <mergeCell ref="E46:I46"/>
    <mergeCell ref="J40:P40"/>
    <mergeCell ref="BE62:BG62"/>
    <mergeCell ref="J15:P15"/>
    <mergeCell ref="AM41:AO41"/>
    <mergeCell ref="A10:A11"/>
    <mergeCell ref="AY21:BA21"/>
    <mergeCell ref="E61:I61"/>
    <mergeCell ref="AV35:AX35"/>
    <mergeCell ref="AJ11:AL11"/>
    <mergeCell ref="B31:D31"/>
    <mergeCell ref="X49:AD49"/>
    <mergeCell ref="E54:I54"/>
    <mergeCell ref="BE64:BG64"/>
    <mergeCell ref="AV22:AX22"/>
    <mergeCell ref="AY23:BA23"/>
    <mergeCell ref="AS63:AU63"/>
    <mergeCell ref="E41:I41"/>
    <mergeCell ref="J35:P35"/>
    <mergeCell ref="AP54:AR54"/>
    <mergeCell ref="B39:D39"/>
    <mergeCell ref="F3:Q3"/>
    <mergeCell ref="E56:I56"/>
    <mergeCell ref="AP29:AR29"/>
    <mergeCell ref="AV51:AX51"/>
    <mergeCell ref="E43:I43"/>
    <mergeCell ref="X63:AD63"/>
    <mergeCell ref="BB15:BD15"/>
    <mergeCell ref="BE16:BG16"/>
    <mergeCell ref="AE20:AF20"/>
    <mergeCell ref="BK23:BQ23"/>
    <mergeCell ref="AE25:AF25"/>
    <mergeCell ref="BK29:BQ29"/>
    <mergeCell ref="AS40:AU40"/>
    <mergeCell ref="X50:AD50"/>
    <mergeCell ref="BH52:BJ52"/>
    <mergeCell ref="AP31:AR31"/>
    <mergeCell ref="AE35:AF35"/>
    <mergeCell ref="BH14:BJ14"/>
    <mergeCell ref="BK54:BQ54"/>
    <mergeCell ref="AJ62:AL62"/>
    <mergeCell ref="AJ37:AL37"/>
    <mergeCell ref="AY49:BA49"/>
    <mergeCell ref="BE11:BG11"/>
    <mergeCell ref="AY20:BA20"/>
    <mergeCell ref="AG28:AI28"/>
    <mergeCell ref="B49:D49"/>
    <mergeCell ref="Q16:W16"/>
    <mergeCell ref="AV40:AX40"/>
    <mergeCell ref="AJ64:AL64"/>
    <mergeCell ref="T7:V7"/>
    <mergeCell ref="J28:P28"/>
    <mergeCell ref="X52:AD52"/>
    <mergeCell ref="Q24:W24"/>
    <mergeCell ref="AG30:AI30"/>
    <mergeCell ref="Q18:W18"/>
    <mergeCell ref="BK49:BQ49"/>
    <mergeCell ref="B63:D63"/>
    <mergeCell ref="AM37:AO37"/>
    <mergeCell ref="AV54:AX54"/>
    <mergeCell ref="B50:D50"/>
    <mergeCell ref="AP57:AR57"/>
    <mergeCell ref="J30:P30"/>
    <mergeCell ref="AV41:AX41"/>
    <mergeCell ref="AE13:AF13"/>
    <mergeCell ref="AS45:AU45"/>
    <mergeCell ref="BK57:BQ57"/>
    <mergeCell ref="AE40:AF40"/>
    <mergeCell ref="X47:AD47"/>
    <mergeCell ref="BH63:BJ63"/>
    <mergeCell ref="AM14:AO14"/>
    <mergeCell ref="AE15:AF15"/>
    <mergeCell ref="AP42:AR42"/>
    <mergeCell ref="AJ42:AL42"/>
    <mergeCell ref="AP58:AR58"/>
    <mergeCell ref="R2:V2"/>
    <mergeCell ref="AM13:AO13"/>
    <mergeCell ref="AP52:AR52"/>
    <mergeCell ref="X55:AD55"/>
    <mergeCell ref="AJ17:AL17"/>
    <mergeCell ref="AM56:AO56"/>
    <mergeCell ref="AM62:AO62"/>
    <mergeCell ref="J54:P54"/>
    <mergeCell ref="AM43:AO43"/>
    <mergeCell ref="J41:P41"/>
    <mergeCell ref="AV43:AX43"/>
    <mergeCell ref="E62:I62"/>
    <mergeCell ref="J56:P56"/>
    <mergeCell ref="AY58:BA58"/>
    <mergeCell ref="J43:P43"/>
    <mergeCell ref="AM57:AO57"/>
    <mergeCell ref="X25:AD25"/>
    <mergeCell ref="AG16:AI16"/>
    <mergeCell ref="E64:I64"/>
    <mergeCell ref="E51:I51"/>
    <mergeCell ref="BK31:BQ31"/>
    <mergeCell ref="AG18:AI18"/>
    <mergeCell ref="BE17:BG17"/>
    <mergeCell ref="B55:D55"/>
    <mergeCell ref="BB21:BD21"/>
    <mergeCell ref="N6:P6"/>
    <mergeCell ref="AM25:AO25"/>
    <mergeCell ref="J59:P59"/>
    <mergeCell ref="AP32:AR32"/>
    <mergeCell ref="BK45:BQ45"/>
    <mergeCell ref="BH64:BJ64"/>
    <mergeCell ref="BK32:BQ32"/>
    <mergeCell ref="AM33:AO33"/>
    <mergeCell ref="BK26:BQ26"/>
    <mergeCell ref="AE28:AF28"/>
    <mergeCell ref="AP47:AR47"/>
    <mergeCell ref="BH30:BJ30"/>
    <mergeCell ref="AV31:AX31"/>
    <mergeCell ref="AJ47:AL47"/>
    <mergeCell ref="BB16:BD16"/>
    <mergeCell ref="AG29:AI29"/>
    <mergeCell ref="AE30:AF30"/>
    <mergeCell ref="Q26:W26"/>
    <mergeCell ref="AG10:AU10"/>
    <mergeCell ref="AV62:AX62"/>
    <mergeCell ref="AM28:AO28"/>
    <mergeCell ref="BE14:BG14"/>
    <mergeCell ref="BB24:BD24"/>
    <mergeCell ref="BB18:BD18"/>
    <mergeCell ref="AG31:AI31"/>
    <mergeCell ref="B52:D52"/>
    <mergeCell ref="AV56:AX56"/>
    <mergeCell ref="B58:D58"/>
    <mergeCell ref="BE60:BG60"/>
  </mergeCells>
  <dataValidations count="4">
    <dataValidation sqref="AE13:AE18 AE20:AE26 AE28:AE37 AE39:AE43 AE45:AE52 AE54:AE64" showDropDown="0" showInputMessage="0" showErrorMessage="0" allowBlank="1" type="list">
      <formula1>"N,A,B"</formula1>
    </dataValidation>
    <dataValidation sqref="AG13:AG18 AG20:AG26 AG28:AG37 AG39:AG43 AG45:AG52 AG54:AG64" showDropDown="0" showInputMessage="0" showErrorMessage="0" allowBlank="1" type="list">
      <formula1>"合格,不合格,未テスト,N/A"</formula1>
    </dataValidation>
    <dataValidation sqref="AV13:AV18 AV20:AV26 AV28:AV37 AV39:AV43 AV45:AV52 AV54:AV64" showDropDown="0" showInputMessage="0" showErrorMessage="0" allowBlank="1" type="list">
      <formula1>"合格,不合格,未テスト,N/A"</formula1>
    </dataValidation>
    <dataValidation sqref="F1" showDropDown="0" showInputMessage="0" showErrorMessage="0" allowBlank="1" type="list">
      <formula1>"単体テスト,結合テスト,システムテスト"</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2026-07-17T06:43:36Z</dcterms:created>
  <dcterms:modified xsi:type="dcterms:W3CDTF">2026-07-17T06:43:37Z</dcterms:modified>
</cp:coreProperties>
</file>