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変更履歴" sheetId="2" state="visible" r:id="rId2"/>
    <sheet name="概要" sheetId="3" state="visible" r:id="rId3"/>
    <sheet name="テスト報告書" sheetId="4" state="visible" r:id="rId4"/>
    <sheet name="テスト観点" sheetId="5" state="visible" r:id="rId5"/>
    <sheet name="機能"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游ゴシック"/>
      <color rgb="FF1F3864"/>
      <sz val="26"/>
    </font>
    <font>
      <name val="游ゴシック"/>
      <color rgb="FF1F3864"/>
      <sz val="24"/>
    </font>
    <font>
      <name val="游ゴシック"/>
      <sz val="15"/>
    </font>
    <font>
      <name val="游ゴシック"/>
      <color rgb="FF000000"/>
      <sz val="10"/>
    </font>
    <font>
      <name val="游ゴシック"/>
      <b val="1"/>
      <color rgb="FF000000"/>
      <sz val="11"/>
    </font>
    <font>
      <name val="游ゴシック"/>
      <color rgb="FF000000"/>
      <sz val="11"/>
    </font>
    <font>
      <name val="游ゴシック"/>
      <b val="1"/>
      <color rgb="FF000000"/>
      <sz val="14"/>
    </font>
    <font>
      <name val="游ゴシック"/>
      <i val="1"/>
      <color rgb="FF000000"/>
      <sz val="11"/>
    </font>
  </fonts>
  <fills count="10">
    <fill>
      <patternFill/>
    </fill>
    <fill>
      <patternFill patternType="gray125"/>
    </fill>
    <fill>
      <patternFill patternType="solid">
        <fgColor rgb="FFD9E2F3"/>
      </patternFill>
    </fill>
    <fill>
      <patternFill patternType="solid">
        <fgColor rgb="FFB4C6E7"/>
      </patternFill>
    </fill>
    <fill>
      <patternFill patternType="solid">
        <fgColor rgb="FFFFFF99"/>
      </patternFill>
    </fill>
    <fill>
      <patternFill patternType="solid">
        <fgColor rgb="FFBDD6EE"/>
      </patternFill>
    </fill>
    <fill>
      <patternFill patternType="solid">
        <fgColor rgb="FFDEEAF6"/>
      </patternFill>
    </fill>
    <fill>
      <patternFill patternType="solid">
        <fgColor rgb="FFFFC7CE"/>
      </patternFill>
    </fill>
    <fill>
      <patternFill patternType="solid">
        <fgColor rgb="FFFFEB9C"/>
      </patternFill>
    </fill>
    <fill>
      <patternFill patternType="solid">
        <fgColor rgb="FFC6EFCE"/>
      </patternFill>
    </fill>
  </fills>
  <borders count="23">
    <border>
      <left/>
      <right/>
      <top/>
      <bottom/>
      <diagonal/>
    </border>
    <border>
      <left style="thin">
        <color rgb="FF000000"/>
      </left>
      <right/>
      <top style="thin">
        <color rgb="FF000000"/>
      </top>
    </border>
    <border>
      <left/>
      <right/>
      <top style="thin">
        <color rgb="FF000000"/>
      </top>
    </border>
    <border>
      <left/>
      <right style="thin">
        <color rgb="FF000000"/>
      </right>
      <top style="thin">
        <color rgb="FF000000"/>
      </top>
    </border>
    <border>
      <left style="thin">
        <color rgb="FF000000"/>
      </left>
    </border>
    <border>
      <right style="thin">
        <color rgb="FF000000"/>
      </right>
    </border>
    <border>
      <left style="thin">
        <color rgb="FF000000"/>
      </left>
      <right/>
      <bottom style="thin">
        <color rgb="FF000000"/>
      </bottom>
    </border>
    <border>
      <left/>
      <right/>
      <bottom style="thin">
        <color rgb="FF000000"/>
      </bottom>
    </border>
    <border>
      <left/>
      <right style="thin">
        <color rgb="FF000000"/>
      </right>
      <bottom style="thin">
        <color rgb="FF000000"/>
      </bottom>
    </border>
    <border>
      <left style="thin">
        <color rgb="FF000000"/>
      </left>
      <right style="thin">
        <color rgb="FF000000"/>
      </right>
    </border>
    <border>
      <left/>
      <right style="thin">
        <color rgb="FF000000"/>
      </right>
      <top/>
      <bottom/>
      <diagonal/>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s>
  <cellStyleXfs count="1">
    <xf numFmtId="0" fontId="0" fillId="0" borderId="0"/>
  </cellStyleXfs>
  <cellXfs count="55">
    <xf numFmtId="0" fontId="0"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1" fillId="0" borderId="4" applyAlignment="1" pivotButton="0" quotePrefix="0" xfId="0">
      <alignment horizontal="center" vertical="center" wrapText="1"/>
    </xf>
    <xf numFmtId="0" fontId="2" fillId="0" borderId="4" applyAlignment="1" pivotButton="0" quotePrefix="0" xfId="0">
      <alignment horizontal="center" vertical="center" wrapText="1"/>
    </xf>
    <xf numFmtId="0" fontId="3" fillId="0" borderId="4" applyAlignment="1" pivotButton="0" quotePrefix="0" xfId="0">
      <alignment horizontal="center" vertical="center" wrapText="1"/>
    </xf>
    <xf numFmtId="0" fontId="4" fillId="2" borderId="11" applyAlignment="1" pivotButton="0" quotePrefix="0" xfId="0">
      <alignment horizontal="center" vertical="center" wrapText="1"/>
    </xf>
    <xf numFmtId="0" fontId="0" fillId="0" borderId="12" pivotButton="0" quotePrefix="0" xfId="0"/>
    <xf numFmtId="0" fontId="0" fillId="0" borderId="13" pivotButton="0" quotePrefix="0" xfId="0"/>
    <xf numFmtId="49" fontId="4" fillId="2" borderId="1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8" pivotButton="0" quotePrefix="0" xfId="0"/>
    <xf numFmtId="0" fontId="5" fillId="3" borderId="14" applyAlignment="1" pivotButton="0" quotePrefix="0" xfId="0">
      <alignment horizontal="center" vertical="center" wrapText="1"/>
    </xf>
    <xf numFmtId="0" fontId="5" fillId="3" borderId="11" applyAlignment="1" pivotButton="0" quotePrefix="0" xfId="0">
      <alignment horizontal="center" vertical="center" wrapText="1"/>
    </xf>
    <xf numFmtId="0" fontId="6" fillId="0" borderId="14" applyAlignment="1" pivotButton="0" quotePrefix="0" xfId="0">
      <alignment horizontal="center" vertical="center" wrapText="1"/>
    </xf>
    <xf numFmtId="0" fontId="6" fillId="0" borderId="11" applyAlignment="1" pivotButton="0" quotePrefix="0" xfId="0">
      <alignment horizontal="center" vertical="center" wrapText="1"/>
    </xf>
    <xf numFmtId="0" fontId="6" fillId="0" borderId="11" applyAlignment="1" pivotButton="0" quotePrefix="0" xfId="0">
      <alignment horizontal="left" vertical="center" wrapText="1"/>
    </xf>
    <xf numFmtId="0" fontId="6" fillId="0" borderId="15" applyAlignment="1" pivotButton="0" quotePrefix="0" xfId="0">
      <alignment horizontal="center" vertical="center" wrapText="1"/>
    </xf>
    <xf numFmtId="0" fontId="0" fillId="0" borderId="16" pivotButton="0" quotePrefix="0" xfId="0"/>
    <xf numFmtId="0" fontId="0" fillId="0" borderId="17" pivotButton="0" quotePrefix="0" xfId="0"/>
    <xf numFmtId="49" fontId="6" fillId="0" borderId="15" applyAlignment="1" pivotButton="0" quotePrefix="0" xfId="0">
      <alignment horizontal="center" vertical="center" wrapText="1"/>
    </xf>
    <xf numFmtId="0" fontId="0" fillId="0" borderId="18" pivotButton="0" quotePrefix="0" xfId="0"/>
    <xf numFmtId="0" fontId="0" fillId="0" borderId="19" pivotButton="0" quotePrefix="0" xfId="0"/>
    <xf numFmtId="0" fontId="0" fillId="0" borderId="20" pivotButton="0" quotePrefix="0" xfId="0"/>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5" fillId="4" borderId="0" applyAlignment="1" pivotButton="0" quotePrefix="0" xfId="0">
      <alignment horizontal="left" vertical="center" wrapText="1"/>
    </xf>
    <xf numFmtId="0" fontId="7" fillId="3" borderId="11" applyAlignment="1" pivotButton="0" quotePrefix="0" xfId="0">
      <alignment horizontal="center" vertical="center" wrapText="1"/>
    </xf>
    <xf numFmtId="0" fontId="5" fillId="5" borderId="11" applyAlignment="1" pivotButton="0" quotePrefix="0" xfId="0">
      <alignment horizontal="left" vertical="center" wrapText="1"/>
    </xf>
    <xf numFmtId="49" fontId="6" fillId="0" borderId="11" applyAlignment="1" pivotButton="0" quotePrefix="0" xfId="0">
      <alignment horizontal="left" vertical="center" wrapText="1"/>
    </xf>
    <xf numFmtId="0" fontId="5" fillId="5" borderId="21" applyAlignment="1" pivotButton="0" quotePrefix="0" xfId="0">
      <alignment horizontal="center" vertical="center" wrapText="1"/>
    </xf>
    <xf numFmtId="0" fontId="5" fillId="5" borderId="15" applyAlignment="1" pivotButton="0" quotePrefix="0" xfId="0">
      <alignment horizontal="center" vertical="center" wrapText="1"/>
    </xf>
    <xf numFmtId="0" fontId="5" fillId="5" borderId="11" applyAlignment="1" pivotButton="0" quotePrefix="0" xfId="0">
      <alignment horizontal="center" vertical="center" wrapText="1"/>
    </xf>
    <xf numFmtId="0" fontId="0" fillId="0" borderId="22" pivotButton="0" quotePrefix="0" xfId="0"/>
    <xf numFmtId="0" fontId="5" fillId="6" borderId="14" applyAlignment="1" pivotButton="0" quotePrefix="0" xfId="0">
      <alignment horizontal="left" vertical="center" wrapText="1"/>
    </xf>
    <xf numFmtId="164" fontId="6" fillId="0" borderId="11" applyAlignment="1" pivotButton="0" quotePrefix="0" xfId="0">
      <alignment horizontal="center" vertical="center" wrapText="1"/>
    </xf>
    <xf numFmtId="0" fontId="5" fillId="0" borderId="11" applyAlignment="1" pivotButton="0" quotePrefix="0" xfId="0">
      <alignment horizontal="center" vertical="center" wrapText="1"/>
    </xf>
    <xf numFmtId="164" fontId="5" fillId="0" borderId="11" applyAlignment="1" pivotButton="0" quotePrefix="0" xfId="0">
      <alignment horizontal="center" vertical="center" wrapText="1"/>
    </xf>
    <xf numFmtId="0" fontId="5" fillId="6" borderId="14" applyAlignment="1" pivotButton="0" quotePrefix="0" xfId="0">
      <alignment horizontal="center" vertical="center" wrapText="1"/>
    </xf>
    <xf numFmtId="0" fontId="5" fillId="6" borderId="11" applyAlignment="1" pivotButton="0" quotePrefix="0" xfId="0">
      <alignment horizontal="center" vertical="center" wrapText="1"/>
    </xf>
    <xf numFmtId="0" fontId="6" fillId="0" borderId="14" applyAlignment="1" pivotButton="0" quotePrefix="0" xfId="0">
      <alignment horizontal="center" vertical="top" wrapText="1"/>
    </xf>
    <xf numFmtId="0" fontId="6" fillId="0" borderId="11" applyAlignment="1" pivotButton="0" quotePrefix="0" xfId="0">
      <alignment horizontal="center" vertical="top" wrapText="1"/>
    </xf>
    <xf numFmtId="0" fontId="6" fillId="0" borderId="11" applyAlignment="1" pivotButton="0" quotePrefix="0" xfId="0">
      <alignment horizontal="left" vertical="top" wrapText="1"/>
    </xf>
    <xf numFmtId="0" fontId="5" fillId="7" borderId="11" applyAlignment="1" pivotButton="0" quotePrefix="0" xfId="0">
      <alignment horizontal="center" vertical="top" wrapText="1"/>
    </xf>
    <xf numFmtId="0" fontId="5" fillId="8" borderId="11" applyAlignment="1" pivotButton="0" quotePrefix="0" xfId="0">
      <alignment horizontal="center" vertical="top" wrapText="1"/>
    </xf>
    <xf numFmtId="0" fontId="5" fillId="9" borderId="11" applyAlignment="1" pivotButton="0" quotePrefix="0" xfId="0">
      <alignment horizontal="center" vertical="top" wrapText="1"/>
    </xf>
    <xf numFmtId="0" fontId="5" fillId="5" borderId="11" applyAlignment="1" pivotButton="0" quotePrefix="0" xfId="0">
      <alignment horizontal="right" vertical="center" wrapText="1"/>
    </xf>
    <xf numFmtId="0" fontId="5" fillId="0" borderId="11" applyAlignment="1" pivotButton="0" quotePrefix="0" xfId="0">
      <alignment horizontal="center" vertical="top" wrapText="1"/>
    </xf>
    <xf numFmtId="0" fontId="8" fillId="0" borderId="11" applyAlignment="1" pivotButton="0" quotePrefix="0" xfId="0">
      <alignment horizontal="left" vertical="top" wrapText="1"/>
    </xf>
    <xf numFmtId="0" fontId="5" fillId="6" borderId="21" applyAlignment="1" pivotButton="0" quotePrefix="0" xfId="0">
      <alignment horizontal="center" vertical="center" wrapText="1"/>
    </xf>
    <xf numFmtId="0" fontId="5" fillId="6" borderId="15"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15</col>
      <colOff>0</colOff>
      <row>2</row>
      <rowOff>0</rowOff>
    </from>
    <ext cx="133350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2:AK34"/>
  <sheetViews>
    <sheetView showGridLines="0" workbookViewId="0">
      <selection activeCell="A1" sqref="A1"/>
    </sheetView>
  </sheetViews>
  <sheetFormatPr baseColWidth="8" defaultColWidth="14.5" defaultRowHeight="12.75" customHeight="1"/>
  <cols>
    <col width="3.66" customWidth="1" min="1" max="1"/>
    <col width="3.25" customWidth="1" min="2" max="2"/>
    <col width="3.25" customWidth="1" min="3" max="3"/>
    <col width="3.25" customWidth="1" min="4" max="4"/>
    <col width="3.25" customWidth="1" min="5" max="5"/>
    <col width="3.25" customWidth="1" min="6" max="6"/>
    <col width="3.25" customWidth="1" min="7" max="7"/>
    <col width="3.25" customWidth="1" min="8" max="8"/>
    <col width="3.25" customWidth="1" min="9" max="9"/>
    <col width="3.25" customWidth="1" min="10" max="10"/>
    <col width="3.25" customWidth="1" min="11" max="11"/>
    <col width="3.25" customWidth="1" min="12" max="12"/>
    <col width="3.25" customWidth="1" min="13" max="13"/>
    <col width="3.25" customWidth="1" min="14" max="14"/>
    <col width="3.25" customWidth="1" min="15" max="15"/>
    <col width="3.25" customWidth="1" min="16" max="16"/>
    <col width="3.25" customWidth="1" min="17" max="17"/>
    <col width="3.25" customWidth="1" min="18" max="18"/>
    <col width="3.25" customWidth="1" min="19" max="19"/>
    <col width="3.25" customWidth="1" min="20" max="20"/>
    <col width="3.25" customWidth="1" min="21" max="21"/>
    <col width="3.25" customWidth="1" min="22" max="22"/>
    <col width="3.25" customWidth="1" min="23" max="23"/>
    <col width="3.25" customWidth="1" min="24" max="24"/>
    <col width="3.25" customWidth="1" min="25" max="25"/>
    <col width="3.25" customWidth="1" min="26" max="26"/>
    <col width="3.25" customWidth="1" min="27" max="27"/>
    <col width="3.25" customWidth="1" min="28" max="28"/>
    <col width="3.25" customWidth="1" min="29" max="29"/>
    <col width="3.25" customWidth="1" min="30" max="30"/>
    <col width="3.25" customWidth="1" min="31" max="31"/>
    <col width="3.25" customWidth="1" min="32" max="32"/>
    <col width="3.25" customWidth="1" min="33" max="33"/>
    <col width="3.25" customWidth="1" min="34" max="34"/>
    <col width="3.25" customWidth="1" min="35" max="35"/>
    <col width="3.25" customWidth="1" min="36" max="36"/>
    <col width="3.25" customWidth="1" min="37" max="37"/>
  </cols>
  <sheetData>
    <row r="1" ht="19.5" customHeight="1"/>
    <row r="2" ht="12.75" customHeight="1">
      <c r="B2" s="1"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3" t="n"/>
    </row>
    <row r="3" ht="12.75" customHeight="1">
      <c r="B3" s="4" t="n"/>
      <c r="AK3" s="5" t="n"/>
    </row>
    <row r="4" ht="12.75" customHeight="1">
      <c r="B4" s="4" t="n"/>
      <c r="AK4" s="5" t="n"/>
    </row>
    <row r="5" ht="12.75" customHeight="1">
      <c r="B5" s="4" t="n"/>
      <c r="AK5" s="5" t="n"/>
    </row>
    <row r="6" ht="12.75" customHeight="1">
      <c r="B6" s="4" t="n"/>
      <c r="AK6" s="5" t="n"/>
    </row>
    <row r="7" ht="12.75" customHeight="1">
      <c r="B7" s="4" t="n"/>
      <c r="AK7" s="5" t="n"/>
    </row>
    <row r="8" ht="12.75" customHeight="1">
      <c r="B8" s="4" t="n"/>
      <c r="AK8" s="5" t="n"/>
    </row>
    <row r="9" ht="12.75" customHeight="1">
      <c r="B9" s="4" t="n"/>
      <c r="AK9" s="5" t="n"/>
    </row>
    <row r="10" ht="29.25" customHeight="1">
      <c r="B10" s="6" t="inlineStr">
        <is>
          <t>クラウド版購読者管理システム</t>
        </is>
      </c>
      <c r="AK10" s="5" t="n"/>
    </row>
    <row r="11" ht="12.75" customHeight="1">
      <c r="B11" s="4" t="n"/>
      <c r="AK11" s="5" t="n"/>
    </row>
    <row r="12" ht="39" customHeight="1">
      <c r="B12" s="7" t="inlineStr">
        <is>
          <t>口座振替データ出力画面</t>
        </is>
      </c>
      <c r="AK12" s="5" t="n"/>
    </row>
    <row r="13" ht="12.75" customHeight="1">
      <c r="B13" s="4" t="n"/>
      <c r="AK13" s="5" t="n"/>
    </row>
    <row r="14" ht="12.75" customHeight="1">
      <c r="B14" s="4" t="n"/>
      <c r="AK14" s="5" t="n"/>
    </row>
    <row r="15" ht="12.75" customHeight="1">
      <c r="B15" s="8" t="inlineStr">
        <is>
          <t>版1.0</t>
        </is>
      </c>
      <c r="AK15" s="5" t="n"/>
    </row>
    <row r="16" ht="12.75" customHeight="1">
      <c r="B16" s="4" t="n"/>
      <c r="AK16" s="5" t="n"/>
    </row>
    <row r="17" ht="12.75" customHeight="1">
      <c r="B17" s="4" t="n"/>
      <c r="AK17" s="5" t="n"/>
    </row>
    <row r="18" ht="12.75" customHeight="1">
      <c r="B18" s="4" t="n"/>
      <c r="N18" s="9" t="inlineStr">
        <is>
          <t>フォーマットコード</t>
        </is>
      </c>
      <c r="O18" s="10" t="n"/>
      <c r="P18" s="10" t="n"/>
      <c r="Q18" s="10" t="n"/>
      <c r="R18" s="11" t="n"/>
      <c r="S18" s="9" t="inlineStr">
        <is>
          <t>16-BM/PM/VTI</t>
        </is>
      </c>
      <c r="T18" s="10" t="n"/>
      <c r="U18" s="10" t="n"/>
      <c r="V18" s="10" t="n"/>
      <c r="W18" s="11" t="n"/>
      <c r="AK18" s="5" t="n"/>
    </row>
    <row r="19" ht="12.75" customHeight="1">
      <c r="B19" s="4" t="n"/>
      <c r="N19" s="9" t="inlineStr">
        <is>
          <t>フォーマットバージョン</t>
        </is>
      </c>
      <c r="O19" s="10" t="n"/>
      <c r="P19" s="10" t="n"/>
      <c r="Q19" s="10" t="n"/>
      <c r="R19" s="11" t="n"/>
      <c r="S19" s="9" t="inlineStr">
        <is>
          <t>1.0</t>
        </is>
      </c>
      <c r="T19" s="10" t="n"/>
      <c r="U19" s="10" t="n"/>
      <c r="V19" s="10" t="n"/>
      <c r="W19" s="11" t="n"/>
      <c r="AK19" s="5" t="n"/>
    </row>
    <row r="20" ht="12.75" customHeight="1">
      <c r="B20" s="4" t="n"/>
      <c r="N20" s="9" t="inlineStr">
        <is>
          <t>発行日</t>
        </is>
      </c>
      <c r="O20" s="10" t="n"/>
      <c r="P20" s="10" t="n"/>
      <c r="Q20" s="10" t="n"/>
      <c r="R20" s="11" t="n"/>
      <c r="S20" s="12" t="inlineStr">
        <is>
          <t>2026/06/17</t>
        </is>
      </c>
      <c r="T20" s="10" t="n"/>
      <c r="U20" s="10" t="n"/>
      <c r="V20" s="10" t="n"/>
      <c r="W20" s="11" t="n"/>
      <c r="AK20" s="5" t="n"/>
    </row>
    <row r="21" ht="12.75" customHeight="1">
      <c r="B21" s="4" t="n"/>
      <c r="AK21" s="5" t="n"/>
    </row>
    <row r="22" ht="12.75" customHeight="1">
      <c r="B22" s="4" t="n"/>
      <c r="AK22" s="5" t="n"/>
    </row>
    <row r="23" ht="12.75" customHeight="1">
      <c r="B23" s="4" t="n"/>
      <c r="AK23" s="5" t="n"/>
    </row>
    <row r="24" ht="12.75" customHeight="1">
      <c r="B24" s="4" t="n"/>
      <c r="AK24" s="5" t="n"/>
    </row>
    <row r="25" ht="12.75" customHeight="1">
      <c r="B25" s="4" t="n"/>
      <c r="AK25" s="5" t="n"/>
    </row>
    <row r="26" ht="12.75" customHeight="1">
      <c r="B26" s="4" t="n"/>
      <c r="AK26" s="5" t="n"/>
    </row>
    <row r="27" ht="12.75" customHeight="1">
      <c r="B27" s="4" t="n"/>
      <c r="AK27" s="5" t="n"/>
    </row>
    <row r="28" ht="12.75" customHeight="1">
      <c r="B28" s="4" t="n"/>
      <c r="AK28" s="5" t="n"/>
    </row>
    <row r="29" ht="12.75" customHeight="1">
      <c r="B29" s="4" t="n"/>
      <c r="AK29" s="5" t="n"/>
    </row>
    <row r="30" ht="12.75" customHeight="1">
      <c r="B30" s="4" t="n"/>
      <c r="AK30" s="5" t="n"/>
    </row>
    <row r="31" ht="12.75" customHeight="1">
      <c r="B31" s="4" t="n"/>
      <c r="AK31" s="5" t="n"/>
    </row>
    <row r="32" ht="12.75" customHeight="1">
      <c r="B32" s="4" t="n"/>
      <c r="AK32" s="5" t="n"/>
    </row>
    <row r="33" ht="12.75" customHeight="1">
      <c r="B33" s="4" t="n"/>
      <c r="AK33" s="5" t="n"/>
    </row>
    <row r="34" ht="12.75" customHeight="1">
      <c r="B34" s="13"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5" t="n"/>
    </row>
    <row r="35" ht="12.75" customHeight="1"/>
  </sheetData>
  <mergeCells count="9">
    <mergeCell ref="N20:R20"/>
    <mergeCell ref="S20:W20"/>
    <mergeCell ref="B12:AK12"/>
    <mergeCell ref="B15:AK15"/>
    <mergeCell ref="B10:AK10"/>
    <mergeCell ref="S19:W19"/>
    <mergeCell ref="N18:R18"/>
    <mergeCell ref="N19:R19"/>
    <mergeCell ref="S18:W1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H2"/>
  <sheetViews>
    <sheetView showGridLines="0" workbookViewId="0">
      <selection activeCell="A1" sqref="A1"/>
    </sheetView>
  </sheetViews>
  <sheetFormatPr baseColWidth="8" defaultColWidth="3.33" defaultRowHeight="15"/>
  <cols>
    <col width="8" customWidth="1" min="1" max="1"/>
    <col width="3.33" customWidth="1" min="2" max="2"/>
    <col width="3.33" customWidth="1" min="3" max="3"/>
    <col width="3.33" customWidth="1" min="4" max="4"/>
    <col width="3.33" customWidth="1" min="5" max="5"/>
    <col width="3.33" customWidth="1" min="6" max="6"/>
    <col width="3.33" customWidth="1" min="7" max="7"/>
    <col width="3.33" customWidth="1" min="8" max="8"/>
    <col width="3.33" customWidth="1" min="9" max="9"/>
    <col width="3.33" customWidth="1" min="10" max="10"/>
    <col width="3.33" customWidth="1" min="11" max="11"/>
    <col width="3.33" customWidth="1" min="12" max="12"/>
    <col width="3.33" customWidth="1" min="13" max="13"/>
    <col width="3.33" customWidth="1" min="14" max="14"/>
    <col width="3.33" customWidth="1" min="15" max="15"/>
    <col width="3.33" customWidth="1" min="16" max="16"/>
    <col width="3.33" customWidth="1" min="17" max="17"/>
    <col width="3.33" customWidth="1" min="18" max="18"/>
    <col width="3.33" customWidth="1" min="19" max="19"/>
    <col width="3.33" customWidth="1" min="20" max="20"/>
    <col width="3.33" customWidth="1" min="21" max="21"/>
    <col width="3.33" customWidth="1" min="22" max="22"/>
    <col width="3.33" customWidth="1" min="23" max="23"/>
    <col width="3.33" customWidth="1" min="24" max="24"/>
    <col width="3.33" customWidth="1" min="25" max="25"/>
    <col width="3.33" customWidth="1" min="26" max="26"/>
    <col width="3.33" customWidth="1" min="27" max="27"/>
    <col width="3.33" customWidth="1" min="28" max="28"/>
    <col width="3.33" customWidth="1" min="29" max="29"/>
    <col width="3.33" customWidth="1" min="30" max="30"/>
    <col width="3.33" customWidth="1" min="31" max="31"/>
    <col width="3.33" customWidth="1" min="32" max="32"/>
    <col width="3.33" customWidth="1" min="33" max="33"/>
    <col width="3.33" customWidth="1" min="34" max="34"/>
  </cols>
  <sheetData>
    <row r="1" ht="22.5" customHeight="1">
      <c r="A1" s="16" t="inlineStr">
        <is>
          <t>項番</t>
        </is>
      </c>
      <c r="B1" s="17" t="inlineStr">
        <is>
          <t>発行日</t>
        </is>
      </c>
      <c r="C1" s="10" t="n"/>
      <c r="D1" s="10" t="n"/>
      <c r="E1" s="11" t="n"/>
      <c r="F1" s="17" t="inlineStr">
        <is>
          <t>バージョン</t>
        </is>
      </c>
      <c r="G1" s="10" t="n"/>
      <c r="H1" s="11" t="n"/>
      <c r="I1" s="17" t="inlineStr">
        <is>
          <t>担当者</t>
        </is>
      </c>
      <c r="J1" s="10" t="n"/>
      <c r="K1" s="10" t="n"/>
      <c r="L1" s="10" t="n"/>
      <c r="M1" s="10" t="n"/>
      <c r="N1" s="11" t="n"/>
      <c r="O1" s="17" t="inlineStr">
        <is>
          <t>変更内容</t>
        </is>
      </c>
      <c r="P1" s="10" t="n"/>
      <c r="Q1" s="10" t="n"/>
      <c r="R1" s="10" t="n"/>
      <c r="S1" s="10" t="n"/>
      <c r="T1" s="10" t="n"/>
      <c r="U1" s="10" t="n"/>
      <c r="V1" s="11" t="n"/>
      <c r="W1" s="17" t="inlineStr">
        <is>
          <t>確認者</t>
        </is>
      </c>
      <c r="X1" s="10" t="n"/>
      <c r="Y1" s="10" t="n"/>
      <c r="Z1" s="10" t="n"/>
      <c r="AA1" s="10" t="n"/>
      <c r="AB1" s="11" t="n"/>
      <c r="AC1" s="17" t="inlineStr">
        <is>
          <t>承認者</t>
        </is>
      </c>
      <c r="AD1" s="10" t="n"/>
      <c r="AE1" s="10" t="n"/>
      <c r="AF1" s="10" t="n"/>
      <c r="AG1" s="10" t="n"/>
      <c r="AH1" s="11" t="n"/>
    </row>
    <row r="2" ht="22.5" customHeight="1">
      <c r="A2" s="18" t="inlineStr"/>
      <c r="B2" s="19" t="inlineStr">
        <is>
          <t>2026/06/17</t>
        </is>
      </c>
      <c r="C2" s="10" t="n"/>
      <c r="D2" s="10" t="n"/>
      <c r="E2" s="11" t="n"/>
      <c r="F2" s="19" t="inlineStr">
        <is>
          <t>1.0</t>
        </is>
      </c>
      <c r="G2" s="10" t="n"/>
      <c r="H2" s="11" t="n"/>
      <c r="I2" s="19" t="inlineStr">
        <is>
          <t>Kieu Thi Diem</t>
        </is>
      </c>
      <c r="J2" s="10" t="n"/>
      <c r="K2" s="10" t="n"/>
      <c r="L2" s="10" t="n"/>
      <c r="M2" s="10" t="n"/>
      <c r="N2" s="11" t="n"/>
      <c r="O2" s="20" t="inlineStr">
        <is>
          <t>初版作成</t>
        </is>
      </c>
      <c r="P2" s="10" t="n"/>
      <c r="Q2" s="10" t="n"/>
      <c r="R2" s="10" t="n"/>
      <c r="S2" s="10" t="n"/>
      <c r="T2" s="10" t="n"/>
      <c r="U2" s="10" t="n"/>
      <c r="V2" s="11" t="n"/>
      <c r="W2" s="19" t="inlineStr">
        <is>
          <t>Nguyen Huy Dat</t>
        </is>
      </c>
      <c r="X2" s="10" t="n"/>
      <c r="Y2" s="10" t="n"/>
      <c r="Z2" s="10" t="n"/>
      <c r="AA2" s="10" t="n"/>
      <c r="AB2" s="11" t="n"/>
      <c r="AC2" s="19" t="inlineStr">
        <is>
          <t>Nguyen Huy Dat</t>
        </is>
      </c>
      <c r="AD2" s="10" t="n"/>
      <c r="AE2" s="10" t="n"/>
      <c r="AF2" s="10" t="n"/>
      <c r="AG2" s="10" t="n"/>
      <c r="AH2" s="11" t="n"/>
    </row>
  </sheetData>
  <mergeCells count="12">
    <mergeCell ref="B1:E1"/>
    <mergeCell ref="AC2:AH2"/>
    <mergeCell ref="AC1:AH1"/>
    <mergeCell ref="I2:N2"/>
    <mergeCell ref="O2:V2"/>
    <mergeCell ref="W1:AB1"/>
    <mergeCell ref="F1:H1"/>
    <mergeCell ref="O1:V1"/>
    <mergeCell ref="I1:N1"/>
    <mergeCell ref="F2:H2"/>
    <mergeCell ref="B2:E2"/>
    <mergeCell ref="W2:AB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17"/>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概要</t>
        </is>
      </c>
      <c r="R2" s="22" t="n"/>
      <c r="S2" s="22" t="n"/>
      <c r="T2" s="22" t="n"/>
      <c r="U2" s="23" t="n"/>
      <c r="V2" s="24" t="inlineStr">
        <is>
          <t>2026/06/17</t>
        </is>
      </c>
      <c r="W2" s="22" t="n"/>
      <c r="X2" s="22" t="n"/>
      <c r="Y2" s="23" t="n"/>
      <c r="Z2" s="21" t="inlineStr">
        <is>
          <t>Kieu Thi Diem</t>
        </is>
      </c>
      <c r="AA2" s="22" t="n"/>
      <c r="AB2" s="22" t="n"/>
      <c r="AC2" s="23" t="n"/>
      <c r="AD2" s="24" t="inlineStr">
        <is>
          <t>2026/06/17</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4" ht="15" customHeight="1"/>
    <row r="5" ht="19.5" customHeight="1">
      <c r="B5" s="28" t="inlineStr">
        <is>
          <t>1.システム概要</t>
        </is>
      </c>
    </row>
    <row r="6" ht="19.5" customHeight="1">
      <c r="C6" s="29" t="inlineStr">
        <is>
          <t>本システムは、JA向けのクラウド型読者管理システムであり、購読者情報の管理、購読履歴の管理、口座振替データの管理などの機能を提供する。</t>
        </is>
      </c>
    </row>
    <row r="7" ht="19.5" customHeight="1">
      <c r="C7" s="29" t="inlineStr">
        <is>
          <t>主な機能として、購読者情報の登録・更新・検索、購読内容の変更履歴管理、口座振替データの作成および管理、ファイルのアップロード・ダウンロード機能、システムのお知らせ管理などを提供する。</t>
        </is>
      </c>
    </row>
    <row r="8" ht="19.5" customHeight="1">
      <c r="C8" s="29" t="inlineStr">
        <is>
          <t>また、ユーザーのログイン管理、ログイン履歴の記録、ユーザー操作ログの記録などのセキュリティ・監査機能をサポートする。</t>
        </is>
      </c>
    </row>
    <row r="9" ht="15" customHeight="1"/>
    <row r="10" ht="19.5" customHeight="1">
      <c r="B10" s="28" t="inlineStr">
        <is>
          <t>2.資料目的</t>
        </is>
      </c>
    </row>
    <row r="11" ht="19.5" customHeight="1">
      <c r="C11" s="30" t="inlineStr">
        <is>
          <t>「口座振替データ出力画面（ACSMS-SCR-020）」において、システム上で新規作成されるテスト仕様書の詳細を記述した資料です。</t>
        </is>
      </c>
    </row>
    <row r="12" ht="15" customHeight="1"/>
    <row r="13" ht="19.5" customHeight="1">
      <c r="B13" s="28" t="inlineStr">
        <is>
          <t>3.関連資料</t>
        </is>
      </c>
    </row>
    <row r="14" ht="15" customHeight="1"/>
    <row r="15" ht="22.5" customHeight="1">
      <c r="C15" s="16" t="inlineStr">
        <is>
          <t>No</t>
        </is>
      </c>
      <c r="D15" s="17" t="inlineStr">
        <is>
          <t>資料コード</t>
        </is>
      </c>
      <c r="E15" s="10" t="n"/>
      <c r="F15" s="10" t="n"/>
      <c r="G15" s="10" t="n"/>
      <c r="H15" s="10" t="n"/>
      <c r="I15" s="10" t="n"/>
      <c r="J15" s="10" t="n"/>
      <c r="K15" s="10" t="n"/>
      <c r="L15" s="10" t="n"/>
      <c r="M15" s="10" t="n"/>
      <c r="N15" s="11" t="n"/>
      <c r="O15" s="17" t="inlineStr">
        <is>
          <t>資料名</t>
        </is>
      </c>
      <c r="P15" s="10" t="n"/>
      <c r="Q15" s="10" t="n"/>
      <c r="R15" s="10" t="n"/>
      <c r="S15" s="10" t="n"/>
      <c r="T15" s="10" t="n"/>
      <c r="U15" s="10" t="n"/>
      <c r="V15" s="10" t="n"/>
      <c r="W15" s="10" t="n"/>
      <c r="X15" s="10" t="n"/>
      <c r="Y15" s="10" t="n"/>
      <c r="Z15" s="10" t="n"/>
      <c r="AA15" s="10" t="n"/>
      <c r="AB15" s="10" t="n"/>
      <c r="AC15" s="10" t="n"/>
      <c r="AD15" s="10" t="n"/>
      <c r="AE15" s="10" t="n"/>
      <c r="AF15" s="10" t="n"/>
      <c r="AG15" s="11" t="n"/>
    </row>
    <row r="16" ht="22.5" customHeight="1">
      <c r="C16" s="18" t="n">
        <v>1</v>
      </c>
      <c r="D16" s="20" t="inlineStr">
        <is>
          <t>ACSMS-SCR-020</t>
        </is>
      </c>
      <c r="E16" s="10" t="n"/>
      <c r="F16" s="10" t="n"/>
      <c r="G16" s="10" t="n"/>
      <c r="H16" s="10" t="n"/>
      <c r="I16" s="10" t="n"/>
      <c r="J16" s="10" t="n"/>
      <c r="K16" s="10" t="n"/>
      <c r="L16" s="10" t="n"/>
      <c r="M16" s="10" t="n"/>
      <c r="N16" s="11" t="n"/>
      <c r="O16" s="20" t="inlineStr">
        <is>
          <t>口座振替データ出力画面 設計書</t>
        </is>
      </c>
      <c r="P16" s="10" t="n"/>
      <c r="Q16" s="10" t="n"/>
      <c r="R16" s="10" t="n"/>
      <c r="S16" s="10" t="n"/>
      <c r="T16" s="10" t="n"/>
      <c r="U16" s="10" t="n"/>
      <c r="V16" s="10" t="n"/>
      <c r="W16" s="10" t="n"/>
      <c r="X16" s="10" t="n"/>
      <c r="Y16" s="10" t="n"/>
      <c r="Z16" s="10" t="n"/>
      <c r="AA16" s="10" t="n"/>
      <c r="AB16" s="10" t="n"/>
      <c r="AC16" s="10" t="n"/>
      <c r="AD16" s="10" t="n"/>
      <c r="AE16" s="10" t="n"/>
      <c r="AF16" s="10" t="n"/>
      <c r="AG16" s="11" t="n"/>
    </row>
    <row r="17" ht="22.5" customHeight="1">
      <c r="C17" s="18" t="n">
        <v>2</v>
      </c>
      <c r="D17" s="20" t="inlineStr">
        <is>
          <t>ACSMS-SCR-020</t>
        </is>
      </c>
      <c r="E17" s="10" t="n"/>
      <c r="F17" s="10" t="n"/>
      <c r="G17" s="10" t="n"/>
      <c r="H17" s="10" t="n"/>
      <c r="I17" s="10" t="n"/>
      <c r="J17" s="10" t="n"/>
      <c r="K17" s="10" t="n"/>
      <c r="L17" s="10" t="n"/>
      <c r="M17" s="10" t="n"/>
      <c r="N17" s="11" t="n"/>
      <c r="O17" s="20" t="inlineStr">
        <is>
          <t>口座振替データ出力画面 API設計書</t>
        </is>
      </c>
      <c r="P17" s="10" t="n"/>
      <c r="Q17" s="10" t="n"/>
      <c r="R17" s="10" t="n"/>
      <c r="S17" s="10" t="n"/>
      <c r="T17" s="10" t="n"/>
      <c r="U17" s="10" t="n"/>
      <c r="V17" s="10" t="n"/>
      <c r="W17" s="10" t="n"/>
      <c r="X17" s="10" t="n"/>
      <c r="Y17" s="10" t="n"/>
      <c r="Z17" s="10" t="n"/>
      <c r="AA17" s="10" t="n"/>
      <c r="AB17" s="10" t="n"/>
      <c r="AC17" s="10" t="n"/>
      <c r="AD17" s="10" t="n"/>
      <c r="AE17" s="10" t="n"/>
      <c r="AF17" s="10" t="n"/>
      <c r="AG17" s="11" t="n"/>
    </row>
  </sheetData>
  <mergeCells count="27">
    <mergeCell ref="Z1:AC1"/>
    <mergeCell ref="O17:AG17"/>
    <mergeCell ref="C6:AK6"/>
    <mergeCell ref="B13:AK13"/>
    <mergeCell ref="Q2:U3"/>
    <mergeCell ref="Z2:AC3"/>
    <mergeCell ref="B10:AK10"/>
    <mergeCell ref="AD2:AG3"/>
    <mergeCell ref="D17:N17"/>
    <mergeCell ref="J1:P1"/>
    <mergeCell ref="AH2:AK3"/>
    <mergeCell ref="O15:AG15"/>
    <mergeCell ref="D16:N16"/>
    <mergeCell ref="Q1:U1"/>
    <mergeCell ref="V1:Y1"/>
    <mergeCell ref="B5:AK5"/>
    <mergeCell ref="AD1:AG1"/>
    <mergeCell ref="J2:P3"/>
    <mergeCell ref="AH1:AK1"/>
    <mergeCell ref="A2:I3"/>
    <mergeCell ref="C11:AK11"/>
    <mergeCell ref="D15:N15"/>
    <mergeCell ref="A1:I1"/>
    <mergeCell ref="V2:Y3"/>
    <mergeCell ref="C8:AK8"/>
    <mergeCell ref="O16:AG16"/>
    <mergeCell ref="C7:AK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15"/>
  <sheetViews>
    <sheetView showGridLines="0" workbookViewId="0">
      <selection activeCell="A1" sqref="A1"/>
    </sheetView>
  </sheetViews>
  <sheetFormatPr baseColWidth="8" defaultColWidth="5" defaultRowHeight="15"/>
  <cols>
    <col width="13"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 width="5" customWidth="1" min="33" max="33"/>
    <col width="5" customWidth="1" min="34" max="34"/>
  </cols>
  <sheetData>
    <row r="1" ht="28.5" customHeight="1">
      <c r="A1" s="31" t="inlineStr">
        <is>
          <t>&lt;単体/結合/システム&gt; テスト報告書</t>
        </is>
      </c>
      <c r="B1" s="10" t="n"/>
      <c r="C1" s="10" t="n"/>
      <c r="D1" s="10" t="n"/>
      <c r="E1" s="10" t="n"/>
      <c r="F1" s="10" t="n"/>
      <c r="G1" s="10" t="n"/>
      <c r="H1" s="10" t="n"/>
      <c r="I1" s="10" t="n"/>
      <c r="J1" s="10" t="n"/>
      <c r="K1" s="10" t="n"/>
      <c r="L1" s="10" t="n"/>
      <c r="M1" s="10" t="n"/>
      <c r="N1" s="10" t="n"/>
      <c r="O1" s="10" t="n"/>
      <c r="P1" s="10" t="n"/>
      <c r="Q1" s="10" t="n"/>
      <c r="R1" s="10" t="n"/>
      <c r="S1" s="10" t="n"/>
      <c r="T1" s="10" t="n"/>
      <c r="U1" s="10" t="n"/>
      <c r="V1" s="10" t="n"/>
      <c r="W1" s="10" t="n"/>
      <c r="X1" s="10" t="n"/>
      <c r="Y1" s="10" t="n"/>
      <c r="Z1" s="10" t="n"/>
      <c r="AA1" s="10" t="n"/>
      <c r="AB1" s="10" t="n"/>
      <c r="AC1" s="10" t="n"/>
      <c r="AD1" s="10" t="n"/>
      <c r="AE1" s="10" t="n"/>
      <c r="AF1" s="10" t="n"/>
      <c r="AG1" s="10" t="n"/>
      <c r="AH1" s="11" t="n"/>
    </row>
    <row r="3" ht="22.5" customHeight="1">
      <c r="A3" s="32" t="inlineStr">
        <is>
          <t>プロジェクト名</t>
        </is>
      </c>
      <c r="B3" s="10" t="n"/>
      <c r="C3" s="10" t="n"/>
      <c r="D3" s="10" t="n"/>
      <c r="E3" s="10" t="n"/>
      <c r="F3" s="11" t="n"/>
      <c r="G3" s="20" t="inlineStr">
        <is>
          <t>クラウド版購読者管理システム</t>
        </is>
      </c>
      <c r="H3" s="10" t="n"/>
      <c r="I3" s="10" t="n"/>
      <c r="J3" s="10" t="n"/>
      <c r="K3" s="10" t="n"/>
      <c r="L3" s="10" t="n"/>
      <c r="M3" s="10" t="n"/>
      <c r="N3" s="10" t="n"/>
      <c r="O3" s="11" t="n"/>
      <c r="P3" s="32" t="inlineStr">
        <is>
          <t>プロジェクトマネージャ</t>
        </is>
      </c>
      <c r="Q3" s="10" t="n"/>
      <c r="R3" s="10" t="n"/>
      <c r="S3" s="10" t="n"/>
      <c r="T3" s="10" t="n"/>
      <c r="U3" s="10" t="n"/>
      <c r="V3" s="10" t="n"/>
      <c r="W3" s="11" t="n"/>
      <c r="X3" s="20" t="inlineStr">
        <is>
          <t>Nguyen Huy Dat</t>
        </is>
      </c>
      <c r="Y3" s="10" t="n"/>
      <c r="Z3" s="10" t="n"/>
      <c r="AA3" s="10" t="n"/>
      <c r="AB3" s="10" t="n"/>
      <c r="AC3" s="10" t="n"/>
      <c r="AD3" s="10" t="n"/>
      <c r="AE3" s="10" t="n"/>
      <c r="AF3" s="10" t="n"/>
      <c r="AG3" s="10" t="n"/>
      <c r="AH3" s="11" t="n"/>
    </row>
    <row r="4" ht="22.5" customHeight="1">
      <c r="A4" s="32" t="inlineStr">
        <is>
          <t>担当者</t>
        </is>
      </c>
      <c r="B4" s="10" t="n"/>
      <c r="C4" s="10" t="n"/>
      <c r="D4" s="10" t="n"/>
      <c r="E4" s="10" t="n"/>
      <c r="F4" s="11" t="n"/>
      <c r="G4" s="20" t="inlineStr">
        <is>
          <t>Kieu Thi Diem</t>
        </is>
      </c>
      <c r="H4" s="10" t="n"/>
      <c r="I4" s="10" t="n"/>
      <c r="J4" s="10" t="n"/>
      <c r="K4" s="10" t="n"/>
      <c r="L4" s="10" t="n"/>
      <c r="M4" s="10" t="n"/>
      <c r="N4" s="10" t="n"/>
      <c r="O4" s="11" t="n"/>
      <c r="P4" s="32" t="inlineStr">
        <is>
          <t>作成日</t>
        </is>
      </c>
      <c r="Q4" s="10" t="n"/>
      <c r="R4" s="10" t="n"/>
      <c r="S4" s="10" t="n"/>
      <c r="T4" s="10" t="n"/>
      <c r="U4" s="10" t="n"/>
      <c r="V4" s="10" t="n"/>
      <c r="W4" s="11" t="n"/>
      <c r="X4" s="33" t="inlineStr">
        <is>
          <t>2026/06/17</t>
        </is>
      </c>
      <c r="Y4" s="10" t="n"/>
      <c r="Z4" s="10" t="n"/>
      <c r="AA4" s="10" t="n"/>
      <c r="AB4" s="10" t="n"/>
      <c r="AC4" s="10" t="n"/>
      <c r="AD4" s="10" t="n"/>
      <c r="AE4" s="10" t="n"/>
      <c r="AF4" s="10" t="n"/>
      <c r="AG4" s="10" t="n"/>
      <c r="AH4" s="11" t="n"/>
    </row>
    <row r="6" ht="22.5" customHeight="1">
      <c r="A6" s="34" t="inlineStr">
        <is>
          <t>#</t>
        </is>
      </c>
      <c r="B6" s="35" t="inlineStr">
        <is>
          <t>機能名</t>
        </is>
      </c>
      <c r="C6" s="22" t="n"/>
      <c r="D6" s="22" t="n"/>
      <c r="E6" s="22" t="n"/>
      <c r="F6" s="22" t="n"/>
      <c r="G6" s="23" t="n"/>
      <c r="H6" s="36" t="inlineStr">
        <is>
          <t>テストケース分類</t>
        </is>
      </c>
      <c r="I6" s="10" t="n"/>
      <c r="J6" s="10" t="n"/>
      <c r="K6" s="10" t="n"/>
      <c r="L6" s="10" t="n"/>
      <c r="M6" s="10" t="n"/>
      <c r="N6" s="10" t="n"/>
      <c r="O6" s="10" t="n"/>
      <c r="P6" s="11" t="n"/>
      <c r="Q6" s="35" t="inlineStr">
        <is>
          <t>合計</t>
        </is>
      </c>
      <c r="R6" s="22" t="n"/>
      <c r="S6" s="23" t="n"/>
      <c r="T6" s="36" t="inlineStr">
        <is>
          <t>テスト結果</t>
        </is>
      </c>
      <c r="U6" s="10" t="n"/>
      <c r="V6" s="10" t="n"/>
      <c r="W6" s="10" t="n"/>
      <c r="X6" s="10" t="n"/>
      <c r="Y6" s="10" t="n"/>
      <c r="Z6" s="10" t="n"/>
      <c r="AA6" s="10" t="n"/>
      <c r="AB6" s="10" t="n"/>
      <c r="AC6" s="10" t="n"/>
      <c r="AD6" s="10" t="n"/>
      <c r="AE6" s="10" t="n"/>
      <c r="AF6" s="10" t="n"/>
      <c r="AG6" s="10" t="n"/>
      <c r="AH6" s="11" t="n"/>
    </row>
    <row r="7" ht="22.5" customHeight="1">
      <c r="A7" s="37" t="n"/>
      <c r="B7" s="25" t="n"/>
      <c r="C7" s="26" t="n"/>
      <c r="D7" s="26" t="n"/>
      <c r="E7" s="26" t="n"/>
      <c r="F7" s="26" t="n"/>
      <c r="G7" s="27" t="n"/>
      <c r="H7" s="36" t="inlineStr">
        <is>
          <t>正常</t>
        </is>
      </c>
      <c r="I7" s="10" t="n"/>
      <c r="J7" s="11" t="n"/>
      <c r="K7" s="36" t="inlineStr">
        <is>
          <t>異常</t>
        </is>
      </c>
      <c r="L7" s="10" t="n"/>
      <c r="M7" s="11" t="n"/>
      <c r="N7" s="36" t="inlineStr">
        <is>
          <t>境界</t>
        </is>
      </c>
      <c r="O7" s="10" t="n"/>
      <c r="P7" s="11" t="n"/>
      <c r="Q7" s="25" t="n"/>
      <c r="R7" s="26" t="n"/>
      <c r="S7" s="27" t="n"/>
      <c r="T7" s="36" t="inlineStr">
        <is>
          <t>合格</t>
        </is>
      </c>
      <c r="U7" s="10" t="n"/>
      <c r="V7" s="11" t="n"/>
      <c r="W7" s="36" t="inlineStr">
        <is>
          <t>不合格</t>
        </is>
      </c>
      <c r="X7" s="10" t="n"/>
      <c r="Y7" s="11" t="n"/>
      <c r="Z7" s="36" t="inlineStr">
        <is>
          <t>未テスト</t>
        </is>
      </c>
      <c r="AA7" s="10" t="n"/>
      <c r="AB7" s="11" t="n"/>
      <c r="AC7" s="36" t="inlineStr">
        <is>
          <t>N/A</t>
        </is>
      </c>
      <c r="AD7" s="10" t="n"/>
      <c r="AE7" s="11" t="n"/>
      <c r="AF7" s="36" t="inlineStr">
        <is>
          <t>進捗（%）</t>
        </is>
      </c>
      <c r="AG7" s="10" t="n"/>
      <c r="AH7" s="11" t="n"/>
    </row>
    <row r="8" ht="22.5" customHeight="1">
      <c r="A8" s="38" t="inlineStr">
        <is>
          <t>テスト1回目</t>
        </is>
      </c>
    </row>
    <row r="9" ht="22.5" customHeight="1">
      <c r="A9" s="18" t="n">
        <v>1</v>
      </c>
      <c r="B9" s="20" t="inlineStr">
        <is>
          <t>機能</t>
        </is>
      </c>
      <c r="C9" s="10" t="n"/>
      <c r="D9" s="10" t="n"/>
      <c r="E9" s="10" t="n"/>
      <c r="F9" s="10" t="n"/>
      <c r="G9" s="11" t="n"/>
      <c r="H9" s="19">
        <f>INDIRECT("'"&amp;$B9&amp;"'!H7",TRUE)</f>
        <v/>
      </c>
      <c r="I9" s="10" t="n"/>
      <c r="J9" s="11" t="n"/>
      <c r="K9" s="19">
        <f>INDIRECT("'"&amp;$B9&amp;"'!K7",TRUE)</f>
        <v/>
      </c>
      <c r="L9" s="10" t="n"/>
      <c r="M9" s="11" t="n"/>
      <c r="N9" s="19">
        <f>INDIRECT("'"&amp;$B9&amp;"'!N7",TRUE)</f>
        <v/>
      </c>
      <c r="O9" s="10" t="n"/>
      <c r="P9" s="11" t="n"/>
      <c r="Q9" s="19">
        <f>INDIRECT("'"&amp;$B9&amp;"'!Q7",TRUE)</f>
        <v/>
      </c>
      <c r="R9" s="10" t="n"/>
      <c r="S9" s="11" t="n"/>
      <c r="T9" s="19">
        <f>INDIRECT("'"&amp;$B9&amp;"'!T7",TRUE)</f>
        <v/>
      </c>
      <c r="U9" s="10" t="n"/>
      <c r="V9" s="11" t="n"/>
      <c r="W9" s="19">
        <f>INDIRECT("'"&amp;$B9&amp;"'!W7",TRUE)</f>
        <v/>
      </c>
      <c r="X9" s="10" t="n"/>
      <c r="Y9" s="11" t="n"/>
      <c r="Z9" s="19">
        <f>INDIRECT("'"&amp;$B9&amp;"'!Z7",TRUE)</f>
        <v/>
      </c>
      <c r="AA9" s="10" t="n"/>
      <c r="AB9" s="11" t="n"/>
      <c r="AC9" s="19">
        <f>INDIRECT("'"&amp;$B9&amp;"'!AC7",TRUE)</f>
        <v/>
      </c>
      <c r="AD9" s="10" t="n"/>
      <c r="AE9" s="11" t="n"/>
      <c r="AF9" s="39">
        <f>IFERROR((T9+W9+AC9)/Q9,0)</f>
        <v/>
      </c>
      <c r="AG9" s="10" t="n"/>
      <c r="AH9" s="11" t="n"/>
    </row>
    <row r="10" ht="22.5" customHeight="1">
      <c r="A10" s="18" t="n">
        <v>2</v>
      </c>
      <c r="B10" s="20" t="inlineStr"/>
      <c r="C10" s="10" t="n"/>
      <c r="D10" s="10" t="n"/>
      <c r="E10" s="10" t="n"/>
      <c r="F10" s="10" t="n"/>
      <c r="G10" s="11" t="n"/>
      <c r="H10" s="19" t="inlineStr"/>
      <c r="I10" s="10" t="n"/>
      <c r="J10" s="11" t="n"/>
      <c r="K10" s="19" t="inlineStr"/>
      <c r="L10" s="10" t="n"/>
      <c r="M10" s="11" t="n"/>
      <c r="N10" s="19" t="inlineStr"/>
      <c r="O10" s="10" t="n"/>
      <c r="P10" s="11" t="n"/>
      <c r="Q10" s="19" t="inlineStr"/>
      <c r="R10" s="10" t="n"/>
      <c r="S10" s="11" t="n"/>
      <c r="T10" s="19" t="inlineStr"/>
      <c r="U10" s="10" t="n"/>
      <c r="V10" s="11" t="n"/>
      <c r="W10" s="19" t="inlineStr"/>
      <c r="X10" s="10" t="n"/>
      <c r="Y10" s="11" t="n"/>
      <c r="Z10" s="19" t="inlineStr"/>
      <c r="AA10" s="10" t="n"/>
      <c r="AB10" s="11" t="n"/>
      <c r="AC10" s="19" t="inlineStr"/>
      <c r="AD10" s="10" t="n"/>
      <c r="AE10" s="11" t="n"/>
      <c r="AF10" s="39" t="inlineStr"/>
      <c r="AG10" s="10" t="n"/>
      <c r="AH10" s="11" t="n"/>
    </row>
    <row r="11" ht="22.5" customHeight="1">
      <c r="A11" s="18" t="inlineStr"/>
      <c r="B11" s="36" t="inlineStr">
        <is>
          <t>合計</t>
        </is>
      </c>
      <c r="C11" s="10" t="n"/>
      <c r="D11" s="10" t="n"/>
      <c r="E11" s="10" t="n"/>
      <c r="F11" s="10" t="n"/>
      <c r="G11" s="11" t="n"/>
      <c r="H11" s="40">
        <f>SUM(H9:J10)</f>
        <v/>
      </c>
      <c r="I11" s="10" t="n"/>
      <c r="J11" s="11" t="n"/>
      <c r="K11" s="40">
        <f>SUM(K9:M10)</f>
        <v/>
      </c>
      <c r="L11" s="10" t="n"/>
      <c r="M11" s="11" t="n"/>
      <c r="N11" s="40">
        <f>SUM(N9:P10)</f>
        <v/>
      </c>
      <c r="O11" s="10" t="n"/>
      <c r="P11" s="11" t="n"/>
      <c r="Q11" s="40">
        <f>SUM(Q9:S10)</f>
        <v/>
      </c>
      <c r="R11" s="10" t="n"/>
      <c r="S11" s="11" t="n"/>
      <c r="T11" s="40">
        <f>SUM(T9:V10)</f>
        <v/>
      </c>
      <c r="U11" s="10" t="n"/>
      <c r="V11" s="11" t="n"/>
      <c r="W11" s="40">
        <f>SUM(W9:Y10)</f>
        <v/>
      </c>
      <c r="X11" s="10" t="n"/>
      <c r="Y11" s="11" t="n"/>
      <c r="Z11" s="40">
        <f>SUM(Z9:AB10)</f>
        <v/>
      </c>
      <c r="AA11" s="10" t="n"/>
      <c r="AB11" s="11" t="n"/>
      <c r="AC11" s="40">
        <f>SUM(AC9:AE10)</f>
        <v/>
      </c>
      <c r="AD11" s="10" t="n"/>
      <c r="AE11" s="11" t="n"/>
      <c r="AF11" s="41">
        <f>IFERROR((T11+W11+AC11)/Q11,0)</f>
        <v/>
      </c>
      <c r="AG11" s="10" t="n"/>
      <c r="AH11" s="11" t="n"/>
    </row>
    <row r="12" ht="22.5" customHeight="1">
      <c r="A12" s="38" t="inlineStr">
        <is>
          <t>テスト2回目</t>
        </is>
      </c>
    </row>
    <row r="13" ht="22.5" customHeight="1">
      <c r="A13" s="18" t="n">
        <v>1</v>
      </c>
      <c r="B13" s="20" t="inlineStr">
        <is>
          <t>機能</t>
        </is>
      </c>
      <c r="C13" s="10" t="n"/>
      <c r="D13" s="10" t="n"/>
      <c r="E13" s="10" t="n"/>
      <c r="F13" s="10" t="n"/>
      <c r="G13" s="11" t="n"/>
      <c r="H13" s="19">
        <f>INDIRECT("'"&amp;$B13&amp;"'!H8",TRUE)</f>
        <v/>
      </c>
      <c r="I13" s="10" t="n"/>
      <c r="J13" s="11" t="n"/>
      <c r="K13" s="19">
        <f>INDIRECT("'"&amp;$B13&amp;"'!K8",TRUE)</f>
        <v/>
      </c>
      <c r="L13" s="10" t="n"/>
      <c r="M13" s="11" t="n"/>
      <c r="N13" s="19">
        <f>INDIRECT("'"&amp;$B13&amp;"'!N8",TRUE)</f>
        <v/>
      </c>
      <c r="O13" s="10" t="n"/>
      <c r="P13" s="11" t="n"/>
      <c r="Q13" s="19">
        <f>INDIRECT("'"&amp;$B13&amp;"'!Q8",TRUE)</f>
        <v/>
      </c>
      <c r="R13" s="10" t="n"/>
      <c r="S13" s="11" t="n"/>
      <c r="T13" s="19">
        <f>INDIRECT("'"&amp;$B13&amp;"'!T8",TRUE)</f>
        <v/>
      </c>
      <c r="U13" s="10" t="n"/>
      <c r="V13" s="11" t="n"/>
      <c r="W13" s="19">
        <f>INDIRECT("'"&amp;$B13&amp;"'!W8",TRUE)</f>
        <v/>
      </c>
      <c r="X13" s="10" t="n"/>
      <c r="Y13" s="11" t="n"/>
      <c r="Z13" s="19">
        <f>INDIRECT("'"&amp;$B13&amp;"'!Z8",TRUE)</f>
        <v/>
      </c>
      <c r="AA13" s="10" t="n"/>
      <c r="AB13" s="11" t="n"/>
      <c r="AC13" s="19">
        <f>INDIRECT("'"&amp;$B13&amp;"'!AC8",TRUE)</f>
        <v/>
      </c>
      <c r="AD13" s="10" t="n"/>
      <c r="AE13" s="11" t="n"/>
      <c r="AF13" s="39">
        <f>IFERROR((T13+W13+AC13)/Q13,0)</f>
        <v/>
      </c>
      <c r="AG13" s="10" t="n"/>
      <c r="AH13" s="11" t="n"/>
    </row>
    <row r="14" ht="22.5" customHeight="1">
      <c r="A14" s="18" t="n">
        <v>2</v>
      </c>
      <c r="B14" s="20" t="inlineStr"/>
      <c r="C14" s="10" t="n"/>
      <c r="D14" s="10" t="n"/>
      <c r="E14" s="10" t="n"/>
      <c r="F14" s="10" t="n"/>
      <c r="G14" s="11" t="n"/>
      <c r="H14" s="19" t="inlineStr"/>
      <c r="I14" s="10" t="n"/>
      <c r="J14" s="11" t="n"/>
      <c r="K14" s="19" t="inlineStr"/>
      <c r="L14" s="10" t="n"/>
      <c r="M14" s="11" t="n"/>
      <c r="N14" s="19" t="inlineStr"/>
      <c r="O14" s="10" t="n"/>
      <c r="P14" s="11" t="n"/>
      <c r="Q14" s="19" t="inlineStr"/>
      <c r="R14" s="10" t="n"/>
      <c r="S14" s="11" t="n"/>
      <c r="T14" s="19" t="inlineStr"/>
      <c r="U14" s="10" t="n"/>
      <c r="V14" s="11" t="n"/>
      <c r="W14" s="19" t="inlineStr"/>
      <c r="X14" s="10" t="n"/>
      <c r="Y14" s="11" t="n"/>
      <c r="Z14" s="19" t="inlineStr"/>
      <c r="AA14" s="10" t="n"/>
      <c r="AB14" s="11" t="n"/>
      <c r="AC14" s="19" t="inlineStr"/>
      <c r="AD14" s="10" t="n"/>
      <c r="AE14" s="11" t="n"/>
      <c r="AF14" s="39" t="inlineStr"/>
      <c r="AG14" s="10" t="n"/>
      <c r="AH14" s="11" t="n"/>
    </row>
    <row r="15" ht="22.5" customHeight="1">
      <c r="A15" s="18" t="inlineStr"/>
      <c r="B15" s="36" t="inlineStr">
        <is>
          <t>合計</t>
        </is>
      </c>
      <c r="C15" s="10" t="n"/>
      <c r="D15" s="10" t="n"/>
      <c r="E15" s="10" t="n"/>
      <c r="F15" s="10" t="n"/>
      <c r="G15" s="11" t="n"/>
      <c r="H15" s="40">
        <f>SUM(H13:J14)</f>
        <v/>
      </c>
      <c r="I15" s="10" t="n"/>
      <c r="J15" s="11" t="n"/>
      <c r="K15" s="40">
        <f>SUM(K13:M14)</f>
        <v/>
      </c>
      <c r="L15" s="10" t="n"/>
      <c r="M15" s="11" t="n"/>
      <c r="N15" s="40">
        <f>SUM(N13:P14)</f>
        <v/>
      </c>
      <c r="O15" s="10" t="n"/>
      <c r="P15" s="11" t="n"/>
      <c r="Q15" s="40">
        <f>SUM(Q13:S14)</f>
        <v/>
      </c>
      <c r="R15" s="10" t="n"/>
      <c r="S15" s="11" t="n"/>
      <c r="T15" s="40">
        <f>SUM(T13:V14)</f>
        <v/>
      </c>
      <c r="U15" s="10" t="n"/>
      <c r="V15" s="11" t="n"/>
      <c r="W15" s="40">
        <f>SUM(W13:Y14)</f>
        <v/>
      </c>
      <c r="X15" s="10" t="n"/>
      <c r="Y15" s="11" t="n"/>
      <c r="Z15" s="40">
        <f>SUM(Z13:AB14)</f>
        <v/>
      </c>
      <c r="AA15" s="10" t="n"/>
      <c r="AB15" s="11" t="n"/>
      <c r="AC15" s="40">
        <f>SUM(AC13:AE14)</f>
        <v/>
      </c>
      <c r="AD15" s="10" t="n"/>
      <c r="AE15" s="11" t="n"/>
      <c r="AF15" s="41">
        <f>IFERROR((T15+W15+AC15)/Q15,0)</f>
        <v/>
      </c>
      <c r="AG15" s="10" t="n"/>
      <c r="AH15" s="11" t="n"/>
    </row>
  </sheetData>
  <mergeCells count="82">
    <mergeCell ref="Q14:S14"/>
    <mergeCell ref="P4:W4"/>
    <mergeCell ref="AC14:AE14"/>
    <mergeCell ref="A3:F3"/>
    <mergeCell ref="W7:Y7"/>
    <mergeCell ref="H11:J11"/>
    <mergeCell ref="Q15:S15"/>
    <mergeCell ref="B10:G10"/>
    <mergeCell ref="AF14:AH14"/>
    <mergeCell ref="N9:P9"/>
    <mergeCell ref="K10:M10"/>
    <mergeCell ref="T14:V14"/>
    <mergeCell ref="K9:M9"/>
    <mergeCell ref="K11:M11"/>
    <mergeCell ref="Z7:AB7"/>
    <mergeCell ref="AF10:AH10"/>
    <mergeCell ref="B14:G14"/>
    <mergeCell ref="B13:G13"/>
    <mergeCell ref="H7:J7"/>
    <mergeCell ref="N10:P10"/>
    <mergeCell ref="K14:M14"/>
    <mergeCell ref="W9:Y9"/>
    <mergeCell ref="K7:M7"/>
    <mergeCell ref="X3:AH3"/>
    <mergeCell ref="Z9:AB9"/>
    <mergeCell ref="Q13:S13"/>
    <mergeCell ref="A1:AH1"/>
    <mergeCell ref="AC7:AE7"/>
    <mergeCell ref="W10:Y10"/>
    <mergeCell ref="Z11:AB11"/>
    <mergeCell ref="X4:AH4"/>
    <mergeCell ref="B11:G11"/>
    <mergeCell ref="Q10:S10"/>
    <mergeCell ref="N14:P14"/>
    <mergeCell ref="A6:A7"/>
    <mergeCell ref="H13:J13"/>
    <mergeCell ref="AC9:AE9"/>
    <mergeCell ref="T13:V13"/>
    <mergeCell ref="T7:V7"/>
    <mergeCell ref="B15:G15"/>
    <mergeCell ref="H15:J15"/>
    <mergeCell ref="AF7:AH7"/>
    <mergeCell ref="Z10:AB10"/>
    <mergeCell ref="AC11:AE11"/>
    <mergeCell ref="W14:Y14"/>
    <mergeCell ref="K13:M13"/>
    <mergeCell ref="W13:Y13"/>
    <mergeCell ref="K15:M15"/>
    <mergeCell ref="N11:P11"/>
    <mergeCell ref="Q6:S7"/>
    <mergeCell ref="H10:J10"/>
    <mergeCell ref="W15:Y15"/>
    <mergeCell ref="AC13:AE13"/>
    <mergeCell ref="H9:J9"/>
    <mergeCell ref="H6:P6"/>
    <mergeCell ref="AC15:AE15"/>
    <mergeCell ref="T9:V9"/>
    <mergeCell ref="AF9:AH9"/>
    <mergeCell ref="G3:O3"/>
    <mergeCell ref="T11:V11"/>
    <mergeCell ref="AF15:AH15"/>
    <mergeCell ref="AC10:AE10"/>
    <mergeCell ref="AF11:AH11"/>
    <mergeCell ref="Z14:AB14"/>
    <mergeCell ref="N13:P13"/>
    <mergeCell ref="B9:G9"/>
    <mergeCell ref="Q9:S9"/>
    <mergeCell ref="A4:F4"/>
    <mergeCell ref="Z13:AB13"/>
    <mergeCell ref="G4:O4"/>
    <mergeCell ref="W11:Y11"/>
    <mergeCell ref="N15:P15"/>
    <mergeCell ref="Q11:S11"/>
    <mergeCell ref="T6:AH6"/>
    <mergeCell ref="H14:J14"/>
    <mergeCell ref="Z15:AB15"/>
    <mergeCell ref="AF13:AH13"/>
    <mergeCell ref="T15:V15"/>
    <mergeCell ref="N7:P7"/>
    <mergeCell ref="P3:W3"/>
    <mergeCell ref="B6:G7"/>
    <mergeCell ref="T10:V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64"/>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テスト観点</t>
        </is>
      </c>
      <c r="R2" s="22" t="n"/>
      <c r="S2" s="22" t="n"/>
      <c r="T2" s="22" t="n"/>
      <c r="U2" s="23" t="n"/>
      <c r="V2" s="24" t="inlineStr">
        <is>
          <t>2026/06/17</t>
        </is>
      </c>
      <c r="W2" s="22" t="n"/>
      <c r="X2" s="22" t="n"/>
      <c r="Y2" s="23" t="n"/>
      <c r="Z2" s="21" t="inlineStr">
        <is>
          <t>Kieu Thi Diem</t>
        </is>
      </c>
      <c r="AA2" s="22" t="n"/>
      <c r="AB2" s="22" t="n"/>
      <c r="AC2" s="23" t="n"/>
      <c r="AD2" s="24" t="inlineStr">
        <is>
          <t>2026/06/17</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5" ht="19.5" customHeight="1">
      <c r="B5" s="28" t="inlineStr">
        <is>
          <t>1. テスト観点一覧</t>
        </is>
      </c>
    </row>
    <row r="7" ht="28.5" customHeight="1">
      <c r="B7" s="42" t="inlineStr">
        <is>
          <t>#</t>
        </is>
      </c>
      <c r="C7" s="43" t="inlineStr">
        <is>
          <t>観点ID</t>
        </is>
      </c>
      <c r="D7" s="10" t="n"/>
      <c r="E7" s="11" t="n"/>
      <c r="F7" s="43" t="inlineStr">
        <is>
          <t>大分類</t>
        </is>
      </c>
      <c r="G7" s="10" t="n"/>
      <c r="H7" s="10" t="n"/>
      <c r="I7" s="10" t="n"/>
      <c r="J7" s="10" t="n"/>
      <c r="K7" s="10" t="n"/>
      <c r="L7" s="11" t="n"/>
      <c r="M7" s="43" t="inlineStr">
        <is>
          <t>観点名</t>
        </is>
      </c>
      <c r="N7" s="10" t="n"/>
      <c r="O7" s="10" t="n"/>
      <c r="P7" s="10" t="n"/>
      <c r="Q7" s="10" t="n"/>
      <c r="R7" s="10" t="n"/>
      <c r="S7" s="10" t="n"/>
      <c r="T7" s="11" t="n"/>
      <c r="U7" s="43" t="inlineStr">
        <is>
          <t>リスク</t>
        </is>
      </c>
      <c r="V7" s="11" t="n"/>
      <c r="W7" s="43" t="inlineStr">
        <is>
          <t>対象画面範囲</t>
        </is>
      </c>
      <c r="X7" s="10" t="n"/>
      <c r="Y7" s="10" t="n"/>
      <c r="Z7" s="10" t="n"/>
      <c r="AA7" s="10" t="n"/>
      <c r="AB7" s="10" t="n"/>
      <c r="AC7" s="11" t="n"/>
      <c r="AD7" s="43" t="inlineStr">
        <is>
          <t>TC見積</t>
        </is>
      </c>
      <c r="AE7" s="10" t="n"/>
      <c r="AF7" s="11" t="n"/>
    </row>
    <row r="8" ht="30" customHeight="1">
      <c r="B8" s="44" t="n">
        <v>1</v>
      </c>
      <c r="C8" s="45" t="inlineStr">
        <is>
          <t>VP-A-01</t>
        </is>
      </c>
      <c r="D8" s="10" t="n"/>
      <c r="E8" s="11" t="n"/>
      <c r="F8" s="46" t="inlineStr">
        <is>
          <t>A. セキュリティ・権限</t>
        </is>
      </c>
      <c r="G8" s="10" t="n"/>
      <c r="H8" s="10" t="n"/>
      <c r="I8" s="10" t="n"/>
      <c r="J8" s="10" t="n"/>
      <c r="K8" s="10" t="n"/>
      <c r="L8" s="11" t="n"/>
      <c r="M8" s="46" t="inlineStr">
        <is>
          <t>ロール別権限制御（RBAC gate）</t>
        </is>
      </c>
      <c r="N8" s="10" t="n"/>
      <c r="O8" s="10" t="n"/>
      <c r="P8" s="10" t="n"/>
      <c r="Q8" s="10" t="n"/>
      <c r="R8" s="10" t="n"/>
      <c r="S8" s="10" t="n"/>
      <c r="T8" s="11" t="n"/>
      <c r="U8" s="47" t="inlineStr">
        <is>
          <t>高</t>
        </is>
      </c>
      <c r="V8" s="11" t="n"/>
      <c r="W8" s="46" t="inlineStr">
        <is>
          <t>約25保護画面</t>
        </is>
      </c>
      <c r="X8" s="10" t="n"/>
      <c r="Y8" s="10" t="n"/>
      <c r="Z8" s="10" t="n"/>
      <c r="AA8" s="10" t="n"/>
      <c r="AB8" s="10" t="n"/>
      <c r="AC8" s="11" t="n"/>
      <c r="AD8" s="45" t="n">
        <v>265</v>
      </c>
      <c r="AE8" s="10" t="n"/>
      <c r="AF8" s="11" t="n"/>
    </row>
    <row r="9" ht="30" customHeight="1">
      <c r="B9" s="44" t="n">
        <v>2</v>
      </c>
      <c r="C9" s="45" t="inlineStr">
        <is>
          <t>VP-A-02</t>
        </is>
      </c>
      <c r="D9" s="10" t="n"/>
      <c r="E9" s="11" t="n"/>
      <c r="F9" s="46" t="inlineStr">
        <is>
          <t>A. セキュリティ・権限</t>
        </is>
      </c>
      <c r="G9" s="10" t="n"/>
      <c r="H9" s="10" t="n"/>
      <c r="I9" s="10" t="n"/>
      <c r="J9" s="10" t="n"/>
      <c r="K9" s="10" t="n"/>
      <c r="L9" s="11" t="n"/>
      <c r="M9" s="46" t="inlineStr">
        <is>
          <t>データ範囲（DataScope）</t>
        </is>
      </c>
      <c r="N9" s="10" t="n"/>
      <c r="O9" s="10" t="n"/>
      <c r="P9" s="10" t="n"/>
      <c r="Q9" s="10" t="n"/>
      <c r="R9" s="10" t="n"/>
      <c r="S9" s="10" t="n"/>
      <c r="T9" s="11" t="n"/>
      <c r="U9" s="47" t="inlineStr">
        <is>
          <t>高</t>
        </is>
      </c>
      <c r="V9" s="11" t="n"/>
      <c r="W9" s="46" t="inlineStr">
        <is>
          <t>約20一覧／詳細画面</t>
        </is>
      </c>
      <c r="X9" s="10" t="n"/>
      <c r="Y9" s="10" t="n"/>
      <c r="Z9" s="10" t="n"/>
      <c r="AA9" s="10" t="n"/>
      <c r="AB9" s="10" t="n"/>
      <c r="AC9" s="11" t="n"/>
      <c r="AD9" s="45" t="n">
        <v>200</v>
      </c>
      <c r="AE9" s="10" t="n"/>
      <c r="AF9" s="11" t="n"/>
    </row>
    <row r="10" ht="36" customHeight="1">
      <c r="B10" s="44" t="n">
        <v>3</v>
      </c>
      <c r="C10" s="45" t="inlineStr">
        <is>
          <t>VP-A-03</t>
        </is>
      </c>
      <c r="D10" s="10" t="n"/>
      <c r="E10" s="11" t="n"/>
      <c r="F10" s="46" t="inlineStr">
        <is>
          <t>A. セキュリティ・権限</t>
        </is>
      </c>
      <c r="G10" s="10" t="n"/>
      <c r="H10" s="10" t="n"/>
      <c r="I10" s="10" t="n"/>
      <c r="J10" s="10" t="n"/>
      <c r="K10" s="10" t="n"/>
      <c r="L10" s="11" t="n"/>
      <c r="M10" s="46" t="inlineStr">
        <is>
          <t>項目レベル制限（Field-level restriction）</t>
        </is>
      </c>
      <c r="N10" s="10" t="n"/>
      <c r="O10" s="10" t="n"/>
      <c r="P10" s="10" t="n"/>
      <c r="Q10" s="10" t="n"/>
      <c r="R10" s="10" t="n"/>
      <c r="S10" s="10" t="n"/>
      <c r="T10" s="11" t="n"/>
      <c r="U10" s="47" t="inlineStr">
        <is>
          <t>高</t>
        </is>
      </c>
      <c r="V10" s="11" t="n"/>
      <c r="W10" s="46" t="inlineStr">
        <is>
          <t>5マスタ</t>
        </is>
      </c>
      <c r="X10" s="10" t="n"/>
      <c r="Y10" s="10" t="n"/>
      <c r="Z10" s="10" t="n"/>
      <c r="AA10" s="10" t="n"/>
      <c r="AB10" s="10" t="n"/>
      <c r="AC10" s="11" t="n"/>
      <c r="AD10" s="45" t="n">
        <v>50</v>
      </c>
      <c r="AE10" s="10" t="n"/>
      <c r="AF10" s="11" t="n"/>
    </row>
    <row r="11" ht="30" customHeight="1">
      <c r="B11" s="44" t="n">
        <v>4</v>
      </c>
      <c r="C11" s="45" t="inlineStr">
        <is>
          <t>VP-A-04</t>
        </is>
      </c>
      <c r="D11" s="10" t="n"/>
      <c r="E11" s="11" t="n"/>
      <c r="F11" s="46" t="inlineStr">
        <is>
          <t>A. セキュリティ・権限</t>
        </is>
      </c>
      <c r="G11" s="10" t="n"/>
      <c r="H11" s="10" t="n"/>
      <c r="I11" s="10" t="n"/>
      <c r="J11" s="10" t="n"/>
      <c r="K11" s="10" t="n"/>
      <c r="L11" s="11" t="n"/>
      <c r="M11" s="46" t="inlineStr">
        <is>
          <t>URL直接アクセス攻撃</t>
        </is>
      </c>
      <c r="N11" s="10" t="n"/>
      <c r="O11" s="10" t="n"/>
      <c r="P11" s="10" t="n"/>
      <c r="Q11" s="10" t="n"/>
      <c r="R11" s="10" t="n"/>
      <c r="S11" s="10" t="n"/>
      <c r="T11" s="11" t="n"/>
      <c r="U11" s="47" t="inlineStr">
        <is>
          <t>高</t>
        </is>
      </c>
      <c r="V11" s="11" t="n"/>
      <c r="W11" s="46" t="inlineStr">
        <is>
          <t>約25保護画面</t>
        </is>
      </c>
      <c r="X11" s="10" t="n"/>
      <c r="Y11" s="10" t="n"/>
      <c r="Z11" s="10" t="n"/>
      <c r="AA11" s="10" t="n"/>
      <c r="AB11" s="10" t="n"/>
      <c r="AC11" s="11" t="n"/>
      <c r="AD11" s="45" t="n">
        <v>75</v>
      </c>
      <c r="AE11" s="10" t="n"/>
      <c r="AF11" s="11" t="n"/>
    </row>
    <row r="12" ht="30" customHeight="1">
      <c r="B12" s="44" t="n">
        <v>5</v>
      </c>
      <c r="C12" s="45" t="inlineStr">
        <is>
          <t>VP-A-05</t>
        </is>
      </c>
      <c r="D12" s="10" t="n"/>
      <c r="E12" s="11" t="n"/>
      <c r="F12" s="46" t="inlineStr">
        <is>
          <t>A. セキュリティ・権限</t>
        </is>
      </c>
      <c r="G12" s="10" t="n"/>
      <c r="H12" s="10" t="n"/>
      <c r="I12" s="10" t="n"/>
      <c r="J12" s="10" t="n"/>
      <c r="K12" s="10" t="n"/>
      <c r="L12" s="11" t="n"/>
      <c r="M12" s="46" t="inlineStr">
        <is>
          <t>セッション失効／401 ハンドリング</t>
        </is>
      </c>
      <c r="N12" s="10" t="n"/>
      <c r="O12" s="10" t="n"/>
      <c r="P12" s="10" t="n"/>
      <c r="Q12" s="10" t="n"/>
      <c r="R12" s="10" t="n"/>
      <c r="S12" s="10" t="n"/>
      <c r="T12" s="11" t="n"/>
      <c r="U12" s="47" t="inlineStr">
        <is>
          <t>高</t>
        </is>
      </c>
      <c r="V12" s="11" t="n"/>
      <c r="W12" s="46" t="inlineStr">
        <is>
          <t>全システム</t>
        </is>
      </c>
      <c r="X12" s="10" t="n"/>
      <c r="Y12" s="10" t="n"/>
      <c r="Z12" s="10" t="n"/>
      <c r="AA12" s="10" t="n"/>
      <c r="AB12" s="10" t="n"/>
      <c r="AC12" s="11" t="n"/>
      <c r="AD12" s="45" t="n">
        <v>30</v>
      </c>
      <c r="AE12" s="10" t="n"/>
      <c r="AF12" s="11" t="n"/>
    </row>
    <row r="13" ht="30" customHeight="1">
      <c r="B13" s="44" t="n">
        <v>6</v>
      </c>
      <c r="C13" s="45" t="inlineStr">
        <is>
          <t>VP-A-06</t>
        </is>
      </c>
      <c r="D13" s="10" t="n"/>
      <c r="E13" s="11" t="n"/>
      <c r="F13" s="46" t="inlineStr">
        <is>
          <t>A. セキュリティ・権限</t>
        </is>
      </c>
      <c r="G13" s="10" t="n"/>
      <c r="H13" s="10" t="n"/>
      <c r="I13" s="10" t="n"/>
      <c r="J13" s="10" t="n"/>
      <c r="K13" s="10" t="n"/>
      <c r="L13" s="11" t="n"/>
      <c r="M13" s="46" t="inlineStr">
        <is>
          <t>XSS／HTML 描画安全性</t>
        </is>
      </c>
      <c r="N13" s="10" t="n"/>
      <c r="O13" s="10" t="n"/>
      <c r="P13" s="10" t="n"/>
      <c r="Q13" s="10" t="n"/>
      <c r="R13" s="10" t="n"/>
      <c r="S13" s="10" t="n"/>
      <c r="T13" s="11" t="n"/>
      <c r="U13" s="47" t="inlineStr">
        <is>
          <t>高</t>
        </is>
      </c>
      <c r="V13" s="11" t="n"/>
      <c r="W13" s="46" t="inlineStr">
        <is>
          <t>約20フォーム</t>
        </is>
      </c>
      <c r="X13" s="10" t="n"/>
      <c r="Y13" s="10" t="n"/>
      <c r="Z13" s="10" t="n"/>
      <c r="AA13" s="10" t="n"/>
      <c r="AB13" s="10" t="n"/>
      <c r="AC13" s="11" t="n"/>
      <c r="AD13" s="45" t="n">
        <v>50</v>
      </c>
      <c r="AE13" s="10" t="n"/>
      <c r="AF13" s="11" t="n"/>
    </row>
    <row r="14" ht="30" customHeight="1">
      <c r="B14" s="44" t="n">
        <v>7</v>
      </c>
      <c r="C14" s="45" t="inlineStr">
        <is>
          <t>VP-A-07</t>
        </is>
      </c>
      <c r="D14" s="10" t="n"/>
      <c r="E14" s="11" t="n"/>
      <c r="F14" s="46" t="inlineStr">
        <is>
          <t>A. セキュリティ・権限</t>
        </is>
      </c>
      <c r="G14" s="10" t="n"/>
      <c r="H14" s="10" t="n"/>
      <c r="I14" s="10" t="n"/>
      <c r="J14" s="10" t="n"/>
      <c r="K14" s="10" t="n"/>
      <c r="L14" s="11" t="n"/>
      <c r="M14" s="46" t="inlineStr">
        <is>
          <t>CSRF／Cookie セキュリティフラグ</t>
        </is>
      </c>
      <c r="N14" s="10" t="n"/>
      <c r="O14" s="10" t="n"/>
      <c r="P14" s="10" t="n"/>
      <c r="Q14" s="10" t="n"/>
      <c r="R14" s="10" t="n"/>
      <c r="S14" s="10" t="n"/>
      <c r="T14" s="11" t="n"/>
      <c r="U14" s="47" t="inlineStr">
        <is>
          <t>高</t>
        </is>
      </c>
      <c r="V14" s="11" t="n"/>
      <c r="W14" s="46" t="inlineStr">
        <is>
          <t>全システム</t>
        </is>
      </c>
      <c r="X14" s="10" t="n"/>
      <c r="Y14" s="10" t="n"/>
      <c r="Z14" s="10" t="n"/>
      <c r="AA14" s="10" t="n"/>
      <c r="AB14" s="10" t="n"/>
      <c r="AC14" s="11" t="n"/>
      <c r="AD14" s="45" t="n">
        <v>10</v>
      </c>
      <c r="AE14" s="10" t="n"/>
      <c r="AF14" s="11" t="n"/>
    </row>
    <row r="15" ht="30" customHeight="1">
      <c r="B15" s="44" t="n">
        <v>8</v>
      </c>
      <c r="C15" s="45" t="inlineStr">
        <is>
          <t>VP-A-08</t>
        </is>
      </c>
      <c r="D15" s="10" t="n"/>
      <c r="E15" s="11" t="n"/>
      <c r="F15" s="46" t="inlineStr">
        <is>
          <t>A. セキュリティ・権限</t>
        </is>
      </c>
      <c r="G15" s="10" t="n"/>
      <c r="H15" s="10" t="n"/>
      <c r="I15" s="10" t="n"/>
      <c r="J15" s="10" t="n"/>
      <c r="K15" s="10" t="n"/>
      <c r="L15" s="11" t="n"/>
      <c r="M15" s="46" t="inlineStr">
        <is>
          <t>レート制限・Throttling</t>
        </is>
      </c>
      <c r="N15" s="10" t="n"/>
      <c r="O15" s="10" t="n"/>
      <c r="P15" s="10" t="n"/>
      <c r="Q15" s="10" t="n"/>
      <c r="R15" s="10" t="n"/>
      <c r="S15" s="10" t="n"/>
      <c r="T15" s="11" t="n"/>
      <c r="U15" s="48" t="inlineStr">
        <is>
          <t>中</t>
        </is>
      </c>
      <c r="V15" s="11" t="n"/>
      <c r="W15" s="46" t="inlineStr">
        <is>
          <t>全公開API＋認証エンドポイント</t>
        </is>
      </c>
      <c r="X15" s="10" t="n"/>
      <c r="Y15" s="10" t="n"/>
      <c r="Z15" s="10" t="n"/>
      <c r="AA15" s="10" t="n"/>
      <c r="AB15" s="10" t="n"/>
      <c r="AC15" s="11" t="n"/>
      <c r="AD15" s="45" t="n">
        <v>20</v>
      </c>
      <c r="AE15" s="10" t="n"/>
      <c r="AF15" s="11" t="n"/>
    </row>
    <row r="16" ht="30" customHeight="1">
      <c r="B16" s="44" t="n">
        <v>9</v>
      </c>
      <c r="C16" s="45" t="inlineStr">
        <is>
          <t>VP-A-09</t>
        </is>
      </c>
      <c r="D16" s="10" t="n"/>
      <c r="E16" s="11" t="n"/>
      <c r="F16" s="46" t="inlineStr">
        <is>
          <t>A. セキュリティ・権限</t>
        </is>
      </c>
      <c r="G16" s="10" t="n"/>
      <c r="H16" s="10" t="n"/>
      <c r="I16" s="10" t="n"/>
      <c r="J16" s="10" t="n"/>
      <c r="K16" s="10" t="n"/>
      <c r="L16" s="11" t="n"/>
      <c r="M16" s="46" t="inlineStr">
        <is>
          <t>アカウントロック・解除運用</t>
        </is>
      </c>
      <c r="N16" s="10" t="n"/>
      <c r="O16" s="10" t="n"/>
      <c r="P16" s="10" t="n"/>
      <c r="Q16" s="10" t="n"/>
      <c r="R16" s="10" t="n"/>
      <c r="S16" s="10" t="n"/>
      <c r="T16" s="11" t="n"/>
      <c r="U16" s="47" t="inlineStr">
        <is>
          <t>高</t>
        </is>
      </c>
      <c r="V16" s="11" t="n"/>
      <c r="W16" s="46" t="inlineStr">
        <is>
          <t>SCR-001／002＋管理機能</t>
        </is>
      </c>
      <c r="X16" s="10" t="n"/>
      <c r="Y16" s="10" t="n"/>
      <c r="Z16" s="10" t="n"/>
      <c r="AA16" s="10" t="n"/>
      <c r="AB16" s="10" t="n"/>
      <c r="AC16" s="11" t="n"/>
      <c r="AD16" s="45" t="n">
        <v>8</v>
      </c>
      <c r="AE16" s="10" t="n"/>
      <c r="AF16" s="11" t="n"/>
    </row>
    <row r="17" ht="30" customHeight="1">
      <c r="B17" s="44" t="n">
        <v>10</v>
      </c>
      <c r="C17" s="45" t="inlineStr">
        <is>
          <t>VP-A-10</t>
        </is>
      </c>
      <c r="D17" s="10" t="n"/>
      <c r="E17" s="11" t="n"/>
      <c r="F17" s="46" t="inlineStr">
        <is>
          <t>A. セキュリティ・権限</t>
        </is>
      </c>
      <c r="G17" s="10" t="n"/>
      <c r="H17" s="10" t="n"/>
      <c r="I17" s="10" t="n"/>
      <c r="J17" s="10" t="n"/>
      <c r="K17" s="10" t="n"/>
      <c r="L17" s="11" t="n"/>
      <c r="M17" s="46" t="inlineStr">
        <is>
          <t>SQL インジェクション</t>
        </is>
      </c>
      <c r="N17" s="10" t="n"/>
      <c r="O17" s="10" t="n"/>
      <c r="P17" s="10" t="n"/>
      <c r="Q17" s="10" t="n"/>
      <c r="R17" s="10" t="n"/>
      <c r="S17" s="10" t="n"/>
      <c r="T17" s="11" t="n"/>
      <c r="U17" s="47" t="inlineStr">
        <is>
          <t>高</t>
        </is>
      </c>
      <c r="V17" s="11" t="n"/>
      <c r="W17" s="46" t="inlineStr">
        <is>
          <t>約20フォーム＋検索</t>
        </is>
      </c>
      <c r="X17" s="10" t="n"/>
      <c r="Y17" s="10" t="n"/>
      <c r="Z17" s="10" t="n"/>
      <c r="AA17" s="10" t="n"/>
      <c r="AB17" s="10" t="n"/>
      <c r="AC17" s="11" t="n"/>
      <c r="AD17" s="45" t="n">
        <v>30</v>
      </c>
      <c r="AE17" s="10" t="n"/>
      <c r="AF17" s="11" t="n"/>
    </row>
    <row r="18" ht="30" customHeight="1">
      <c r="B18" s="44" t="n">
        <v>11</v>
      </c>
      <c r="C18" s="45" t="inlineStr">
        <is>
          <t>VP-B-01</t>
        </is>
      </c>
      <c r="D18" s="10" t="n"/>
      <c r="E18" s="11" t="n"/>
      <c r="F18" s="46" t="inlineStr">
        <is>
          <t>B. データバリデーション</t>
        </is>
      </c>
      <c r="G18" s="10" t="n"/>
      <c r="H18" s="10" t="n"/>
      <c r="I18" s="10" t="n"/>
      <c r="J18" s="10" t="n"/>
      <c r="K18" s="10" t="n"/>
      <c r="L18" s="11" t="n"/>
      <c r="M18" s="46" t="inlineStr">
        <is>
          <t>必須項目チェック</t>
        </is>
      </c>
      <c r="N18" s="10" t="n"/>
      <c r="O18" s="10" t="n"/>
      <c r="P18" s="10" t="n"/>
      <c r="Q18" s="10" t="n"/>
      <c r="R18" s="10" t="n"/>
      <c r="S18" s="10" t="n"/>
      <c r="T18" s="11" t="n"/>
      <c r="U18" s="48" t="inlineStr">
        <is>
          <t>中</t>
        </is>
      </c>
      <c r="V18" s="11" t="n"/>
      <c r="W18" s="46" t="inlineStr">
        <is>
          <t>約25フォーム</t>
        </is>
      </c>
      <c r="X18" s="10" t="n"/>
      <c r="Y18" s="10" t="n"/>
      <c r="Z18" s="10" t="n"/>
      <c r="AA18" s="10" t="n"/>
      <c r="AB18" s="10" t="n"/>
      <c r="AC18" s="11" t="n"/>
      <c r="AD18" s="45" t="n">
        <v>100</v>
      </c>
      <c r="AE18" s="10" t="n"/>
      <c r="AF18" s="11" t="n"/>
    </row>
    <row r="19" ht="30" customHeight="1">
      <c r="B19" s="44" t="n">
        <v>12</v>
      </c>
      <c r="C19" s="45" t="inlineStr">
        <is>
          <t>VP-B-02</t>
        </is>
      </c>
      <c r="D19" s="10" t="n"/>
      <c r="E19" s="11" t="n"/>
      <c r="F19" s="46" t="inlineStr">
        <is>
          <t>B. データバリデーション</t>
        </is>
      </c>
      <c r="G19" s="10" t="n"/>
      <c r="H19" s="10" t="n"/>
      <c r="I19" s="10" t="n"/>
      <c r="J19" s="10" t="n"/>
      <c r="K19" s="10" t="n"/>
      <c r="L19" s="11" t="n"/>
      <c r="M19" s="46" t="inlineStr">
        <is>
          <t>最小／最大長境界</t>
        </is>
      </c>
      <c r="N19" s="10" t="n"/>
      <c r="O19" s="10" t="n"/>
      <c r="P19" s="10" t="n"/>
      <c r="Q19" s="10" t="n"/>
      <c r="R19" s="10" t="n"/>
      <c r="S19" s="10" t="n"/>
      <c r="T19" s="11" t="n"/>
      <c r="U19" s="48" t="inlineStr">
        <is>
          <t>中</t>
        </is>
      </c>
      <c r="V19" s="11" t="n"/>
      <c r="W19" s="46" t="inlineStr">
        <is>
          <t>約25フォーム</t>
        </is>
      </c>
      <c r="X19" s="10" t="n"/>
      <c r="Y19" s="10" t="n"/>
      <c r="Z19" s="10" t="n"/>
      <c r="AA19" s="10" t="n"/>
      <c r="AB19" s="10" t="n"/>
      <c r="AC19" s="11" t="n"/>
      <c r="AD19" s="45" t="n">
        <v>80</v>
      </c>
      <c r="AE19" s="10" t="n"/>
      <c r="AF19" s="11" t="n"/>
    </row>
    <row r="20" ht="30" customHeight="1">
      <c r="B20" s="44" t="n">
        <v>13</v>
      </c>
      <c r="C20" s="45" t="inlineStr">
        <is>
          <t>VP-B-03</t>
        </is>
      </c>
      <c r="D20" s="10" t="n"/>
      <c r="E20" s="11" t="n"/>
      <c r="F20" s="46" t="inlineStr">
        <is>
          <t>B. データバリデーション</t>
        </is>
      </c>
      <c r="G20" s="10" t="n"/>
      <c r="H20" s="10" t="n"/>
      <c r="I20" s="10" t="n"/>
      <c r="J20" s="10" t="n"/>
      <c r="K20" s="10" t="n"/>
      <c r="L20" s="11" t="n"/>
      <c r="M20" s="46" t="inlineStr">
        <is>
          <t>形式正規表現（郵便／電話／コード）</t>
        </is>
      </c>
      <c r="N20" s="10" t="n"/>
      <c r="O20" s="10" t="n"/>
      <c r="P20" s="10" t="n"/>
      <c r="Q20" s="10" t="n"/>
      <c r="R20" s="10" t="n"/>
      <c r="S20" s="10" t="n"/>
      <c r="T20" s="11" t="n"/>
      <c r="U20" s="48" t="inlineStr">
        <is>
          <t>中</t>
        </is>
      </c>
      <c r="V20" s="11" t="n"/>
      <c r="W20" s="46" t="inlineStr">
        <is>
          <t>約20フォーム</t>
        </is>
      </c>
      <c r="X20" s="10" t="n"/>
      <c r="Y20" s="10" t="n"/>
      <c r="Z20" s="10" t="n"/>
      <c r="AA20" s="10" t="n"/>
      <c r="AB20" s="10" t="n"/>
      <c r="AC20" s="11" t="n"/>
      <c r="AD20" s="45" t="n">
        <v>60</v>
      </c>
      <c r="AE20" s="10" t="n"/>
      <c r="AF20" s="11" t="n"/>
    </row>
    <row r="21" ht="30" customHeight="1">
      <c r="B21" s="44" t="n">
        <v>14</v>
      </c>
      <c r="C21" s="45" t="inlineStr">
        <is>
          <t>VP-B-04</t>
        </is>
      </c>
      <c r="D21" s="10" t="n"/>
      <c r="E21" s="11" t="n"/>
      <c r="F21" s="46" t="inlineStr">
        <is>
          <t>B. データバリデーション</t>
        </is>
      </c>
      <c r="G21" s="10" t="n"/>
      <c r="H21" s="10" t="n"/>
      <c r="I21" s="10" t="n"/>
      <c r="J21" s="10" t="n"/>
      <c r="K21" s="10" t="n"/>
      <c r="L21" s="11" t="n"/>
      <c r="M21" s="46" t="inlineStr">
        <is>
          <t>半角／全角ハンドリング</t>
        </is>
      </c>
      <c r="N21" s="10" t="n"/>
      <c r="O21" s="10" t="n"/>
      <c r="P21" s="10" t="n"/>
      <c r="Q21" s="10" t="n"/>
      <c r="R21" s="10" t="n"/>
      <c r="S21" s="10" t="n"/>
      <c r="T21" s="11" t="n"/>
      <c r="U21" s="48" t="inlineStr">
        <is>
          <t>中</t>
        </is>
      </c>
      <c r="V21" s="11" t="n"/>
      <c r="W21" s="46" t="inlineStr">
        <is>
          <t>約25フォーム</t>
        </is>
      </c>
      <c r="X21" s="10" t="n"/>
      <c r="Y21" s="10" t="n"/>
      <c r="Z21" s="10" t="n"/>
      <c r="AA21" s="10" t="n"/>
      <c r="AB21" s="10" t="n"/>
      <c r="AC21" s="11" t="n"/>
      <c r="AD21" s="45" t="n">
        <v>50</v>
      </c>
      <c r="AE21" s="10" t="n"/>
      <c r="AF21" s="11" t="n"/>
    </row>
    <row r="22" ht="30" customHeight="1">
      <c r="B22" s="44" t="n">
        <v>15</v>
      </c>
      <c r="C22" s="45" t="inlineStr">
        <is>
          <t>VP-B-05</t>
        </is>
      </c>
      <c r="D22" s="10" t="n"/>
      <c r="E22" s="11" t="n"/>
      <c r="F22" s="46" t="inlineStr">
        <is>
          <t>B. データバリデーション</t>
        </is>
      </c>
      <c r="G22" s="10" t="n"/>
      <c r="H22" s="10" t="n"/>
      <c r="I22" s="10" t="n"/>
      <c r="J22" s="10" t="n"/>
      <c r="K22" s="10" t="n"/>
      <c r="L22" s="11" t="n"/>
      <c r="M22" s="46" t="inlineStr">
        <is>
          <t>日付ロジック</t>
        </is>
      </c>
      <c r="N22" s="10" t="n"/>
      <c r="O22" s="10" t="n"/>
      <c r="P22" s="10" t="n"/>
      <c r="Q22" s="10" t="n"/>
      <c r="R22" s="10" t="n"/>
      <c r="S22" s="10" t="n"/>
      <c r="T22" s="11" t="n"/>
      <c r="U22" s="48" t="inlineStr">
        <is>
          <t>中</t>
        </is>
      </c>
      <c r="V22" s="11" t="n"/>
      <c r="W22" s="46" t="inlineStr">
        <is>
          <t>約10日付付きフォーム</t>
        </is>
      </c>
      <c r="X22" s="10" t="n"/>
      <c r="Y22" s="10" t="n"/>
      <c r="Z22" s="10" t="n"/>
      <c r="AA22" s="10" t="n"/>
      <c r="AB22" s="10" t="n"/>
      <c r="AC22" s="11" t="n"/>
      <c r="AD22" s="45" t="n">
        <v>30</v>
      </c>
      <c r="AE22" s="10" t="n"/>
      <c r="AF22" s="11" t="n"/>
    </row>
    <row r="23" ht="30" customHeight="1">
      <c r="B23" s="44" t="n">
        <v>16</v>
      </c>
      <c r="C23" s="45" t="inlineStr">
        <is>
          <t>VP-B-06</t>
        </is>
      </c>
      <c r="D23" s="10" t="n"/>
      <c r="E23" s="11" t="n"/>
      <c r="F23" s="46" t="inlineStr">
        <is>
          <t>B. データバリデーション</t>
        </is>
      </c>
      <c r="G23" s="10" t="n"/>
      <c r="H23" s="10" t="n"/>
      <c r="I23" s="10" t="n"/>
      <c r="J23" s="10" t="n"/>
      <c r="K23" s="10" t="n"/>
      <c r="L23" s="11" t="n"/>
      <c r="M23" s="46" t="inlineStr">
        <is>
          <t>通貨／パーセント形式</t>
        </is>
      </c>
      <c r="N23" s="10" t="n"/>
      <c r="O23" s="10" t="n"/>
      <c r="P23" s="10" t="n"/>
      <c r="Q23" s="10" t="n"/>
      <c r="R23" s="10" t="n"/>
      <c r="S23" s="10" t="n"/>
      <c r="T23" s="11" t="n"/>
      <c r="U23" s="47" t="inlineStr">
        <is>
          <t>高</t>
        </is>
      </c>
      <c r="V23" s="11" t="n"/>
      <c r="W23" s="46" t="inlineStr">
        <is>
          <t>2-3フォーム（単価）</t>
        </is>
      </c>
      <c r="X23" s="10" t="n"/>
      <c r="Y23" s="10" t="n"/>
      <c r="Z23" s="10" t="n"/>
      <c r="AA23" s="10" t="n"/>
      <c r="AB23" s="10" t="n"/>
      <c r="AC23" s="11" t="n"/>
      <c r="AD23" s="45" t="n">
        <v>15</v>
      </c>
      <c r="AE23" s="10" t="n"/>
      <c r="AF23" s="11" t="n"/>
    </row>
    <row r="24" ht="36" customHeight="1">
      <c r="B24" s="44" t="n">
        <v>17</v>
      </c>
      <c r="C24" s="45" t="inlineStr">
        <is>
          <t>VP-B-07</t>
        </is>
      </c>
      <c r="D24" s="10" t="n"/>
      <c r="E24" s="11" t="n"/>
      <c r="F24" s="46" t="inlineStr">
        <is>
          <t>B. データバリデーション</t>
        </is>
      </c>
      <c r="G24" s="10" t="n"/>
      <c r="H24" s="10" t="n"/>
      <c r="I24" s="10" t="n"/>
      <c r="J24" s="10" t="n"/>
      <c r="K24" s="10" t="n"/>
      <c r="L24" s="11" t="n"/>
      <c r="M24" s="46" t="inlineStr">
        <is>
          <t>マスタコード（m_code）参照</t>
        </is>
      </c>
      <c r="N24" s="10" t="n"/>
      <c r="O24" s="10" t="n"/>
      <c r="P24" s="10" t="n"/>
      <c r="Q24" s="10" t="n"/>
      <c r="R24" s="10" t="n"/>
      <c r="S24" s="10" t="n"/>
      <c r="T24" s="11" t="n"/>
      <c r="U24" s="48" t="inlineStr">
        <is>
          <t>中</t>
        </is>
      </c>
      <c r="V24" s="11" t="n"/>
      <c r="W24" s="46" t="inlineStr">
        <is>
          <t>約15ドロップダウン付きフォーム</t>
        </is>
      </c>
      <c r="X24" s="10" t="n"/>
      <c r="Y24" s="10" t="n"/>
      <c r="Z24" s="10" t="n"/>
      <c r="AA24" s="10" t="n"/>
      <c r="AB24" s="10" t="n"/>
      <c r="AC24" s="11" t="n"/>
      <c r="AD24" s="45" t="n">
        <v>45</v>
      </c>
      <c r="AE24" s="10" t="n"/>
      <c r="AF24" s="11" t="n"/>
    </row>
    <row r="25" ht="30" customHeight="1">
      <c r="B25" s="44" t="n">
        <v>18</v>
      </c>
      <c r="C25" s="45" t="inlineStr">
        <is>
          <t>VP-B-08</t>
        </is>
      </c>
      <c r="D25" s="10" t="n"/>
      <c r="E25" s="11" t="n"/>
      <c r="F25" s="46" t="inlineStr">
        <is>
          <t>B. データバリデーション</t>
        </is>
      </c>
      <c r="G25" s="10" t="n"/>
      <c r="H25" s="10" t="n"/>
      <c r="I25" s="10" t="n"/>
      <c r="J25" s="10" t="n"/>
      <c r="K25" s="10" t="n"/>
      <c r="L25" s="11" t="n"/>
      <c r="M25" s="46" t="inlineStr">
        <is>
          <t>キー重複（duplicate code）</t>
        </is>
      </c>
      <c r="N25" s="10" t="n"/>
      <c r="O25" s="10" t="n"/>
      <c r="P25" s="10" t="n"/>
      <c r="Q25" s="10" t="n"/>
      <c r="R25" s="10" t="n"/>
      <c r="S25" s="10" t="n"/>
      <c r="T25" s="11" t="n"/>
      <c r="U25" s="48" t="inlineStr">
        <is>
          <t>中</t>
        </is>
      </c>
      <c r="V25" s="11" t="n"/>
      <c r="W25" s="46" t="inlineStr">
        <is>
          <t>約10マスタ</t>
        </is>
      </c>
      <c r="X25" s="10" t="n"/>
      <c r="Y25" s="10" t="n"/>
      <c r="Z25" s="10" t="n"/>
      <c r="AA25" s="10" t="n"/>
      <c r="AB25" s="10" t="n"/>
      <c r="AC25" s="11" t="n"/>
      <c r="AD25" s="45" t="n">
        <v>30</v>
      </c>
      <c r="AE25" s="10" t="n"/>
      <c r="AF25" s="11" t="n"/>
    </row>
    <row r="26" ht="36" customHeight="1">
      <c r="B26" s="44" t="n">
        <v>19</v>
      </c>
      <c r="C26" s="45" t="inlineStr">
        <is>
          <t>VP-B-09</t>
        </is>
      </c>
      <c r="D26" s="10" t="n"/>
      <c r="E26" s="11" t="n"/>
      <c r="F26" s="46" t="inlineStr">
        <is>
          <t>B. データバリデーション</t>
        </is>
      </c>
      <c r="G26" s="10" t="n"/>
      <c r="H26" s="10" t="n"/>
      <c r="I26" s="10" t="n"/>
      <c r="J26" s="10" t="n"/>
      <c r="K26" s="10" t="n"/>
      <c r="L26" s="11" t="n"/>
      <c r="M26" s="46" t="inlineStr">
        <is>
          <t>IME・全角入力・貼付ハンドリング</t>
        </is>
      </c>
      <c r="N26" s="10" t="n"/>
      <c r="O26" s="10" t="n"/>
      <c r="P26" s="10" t="n"/>
      <c r="Q26" s="10" t="n"/>
      <c r="R26" s="10" t="n"/>
      <c r="S26" s="10" t="n"/>
      <c r="T26" s="11" t="n"/>
      <c r="U26" s="48" t="inlineStr">
        <is>
          <t>中</t>
        </is>
      </c>
      <c r="V26" s="11" t="n"/>
      <c r="W26" s="46" t="inlineStr">
        <is>
          <t>全テキスト入力フォーム＋検索画面</t>
        </is>
      </c>
      <c r="X26" s="10" t="n"/>
      <c r="Y26" s="10" t="n"/>
      <c r="Z26" s="10" t="n"/>
      <c r="AA26" s="10" t="n"/>
      <c r="AB26" s="10" t="n"/>
      <c r="AC26" s="11" t="n"/>
      <c r="AD26" s="45" t="n">
        <v>25</v>
      </c>
      <c r="AE26" s="10" t="n"/>
      <c r="AF26" s="11" t="n"/>
    </row>
    <row r="27" ht="30" customHeight="1">
      <c r="B27" s="44" t="n">
        <v>20</v>
      </c>
      <c r="C27" s="45" t="inlineStr">
        <is>
          <t>VP-C-01</t>
        </is>
      </c>
      <c r="D27" s="10" t="n"/>
      <c r="E27" s="11" t="n"/>
      <c r="F27" s="46" t="inlineStr">
        <is>
          <t>C. 業務ロジック</t>
        </is>
      </c>
      <c r="G27" s="10" t="n"/>
      <c r="H27" s="10" t="n"/>
      <c r="I27" s="10" t="n"/>
      <c r="J27" s="10" t="n"/>
      <c r="K27" s="10" t="n"/>
      <c r="L27" s="11" t="n"/>
      <c r="M27" s="46" t="inlineStr">
        <is>
          <t>CRUD 正常系 + DB 永続化</t>
        </is>
      </c>
      <c r="N27" s="10" t="n"/>
      <c r="O27" s="10" t="n"/>
      <c r="P27" s="10" t="n"/>
      <c r="Q27" s="10" t="n"/>
      <c r="R27" s="10" t="n"/>
      <c r="S27" s="10" t="n"/>
      <c r="T27" s="11" t="n"/>
      <c r="U27" s="47" t="inlineStr">
        <is>
          <t>高</t>
        </is>
      </c>
      <c r="V27" s="11" t="n"/>
      <c r="W27" s="46" t="inlineStr">
        <is>
          <t>約10マスタ</t>
        </is>
      </c>
      <c r="X27" s="10" t="n"/>
      <c r="Y27" s="10" t="n"/>
      <c r="Z27" s="10" t="n"/>
      <c r="AA27" s="10" t="n"/>
      <c r="AB27" s="10" t="n"/>
      <c r="AC27" s="11" t="n"/>
      <c r="AD27" s="45" t="n">
        <v>60</v>
      </c>
      <c r="AE27" s="10" t="n"/>
      <c r="AF27" s="11" t="n"/>
    </row>
    <row r="28" ht="30" customHeight="1">
      <c r="B28" s="44" t="n">
        <v>21</v>
      </c>
      <c r="C28" s="45" t="inlineStr">
        <is>
          <t>VP-C-02</t>
        </is>
      </c>
      <c r="D28" s="10" t="n"/>
      <c r="E28" s="11" t="n"/>
      <c r="F28" s="46" t="inlineStr">
        <is>
          <t>C. 業務ロジック</t>
        </is>
      </c>
      <c r="G28" s="10" t="n"/>
      <c r="H28" s="10" t="n"/>
      <c r="I28" s="10" t="n"/>
      <c r="J28" s="10" t="n"/>
      <c r="K28" s="10" t="n"/>
      <c r="L28" s="11" t="n"/>
      <c r="M28" s="46" t="inlineStr">
        <is>
          <t>同時編集競合</t>
        </is>
      </c>
      <c r="N28" s="10" t="n"/>
      <c r="O28" s="10" t="n"/>
      <c r="P28" s="10" t="n"/>
      <c r="Q28" s="10" t="n"/>
      <c r="R28" s="10" t="n"/>
      <c r="S28" s="10" t="n"/>
      <c r="T28" s="11" t="n"/>
      <c r="U28" s="48" t="inlineStr">
        <is>
          <t>中</t>
        </is>
      </c>
      <c r="V28" s="11" t="n"/>
      <c r="W28" s="46" t="inlineStr">
        <is>
          <t>約8編集画面</t>
        </is>
      </c>
      <c r="X28" s="10" t="n"/>
      <c r="Y28" s="10" t="n"/>
      <c r="Z28" s="10" t="n"/>
      <c r="AA28" s="10" t="n"/>
      <c r="AB28" s="10" t="n"/>
      <c r="AC28" s="11" t="n"/>
      <c r="AD28" s="45" t="n">
        <v>16</v>
      </c>
      <c r="AE28" s="10" t="n"/>
      <c r="AF28" s="11" t="n"/>
    </row>
    <row r="29" ht="30" customHeight="1">
      <c r="B29" s="44" t="n">
        <v>22</v>
      </c>
      <c r="C29" s="45" t="inlineStr">
        <is>
          <t>VP-C-03</t>
        </is>
      </c>
      <c r="D29" s="10" t="n"/>
      <c r="E29" s="11" t="n"/>
      <c r="F29" s="46" t="inlineStr">
        <is>
          <t>C. 業務ロジック</t>
        </is>
      </c>
      <c r="G29" s="10" t="n"/>
      <c r="H29" s="10" t="n"/>
      <c r="I29" s="10" t="n"/>
      <c r="J29" s="10" t="n"/>
      <c r="K29" s="10" t="n"/>
      <c r="L29" s="11" t="n"/>
      <c r="M29" s="46" t="inlineStr">
        <is>
          <t>論理削除 + FK 関連</t>
        </is>
      </c>
      <c r="N29" s="10" t="n"/>
      <c r="O29" s="10" t="n"/>
      <c r="P29" s="10" t="n"/>
      <c r="Q29" s="10" t="n"/>
      <c r="R29" s="10" t="n"/>
      <c r="S29" s="10" t="n"/>
      <c r="T29" s="11" t="n"/>
      <c r="U29" s="47" t="inlineStr">
        <is>
          <t>高</t>
        </is>
      </c>
      <c r="V29" s="11" t="n"/>
      <c r="W29" s="46" t="inlineStr">
        <is>
          <t>約6関連付きマスタ</t>
        </is>
      </c>
      <c r="X29" s="10" t="n"/>
      <c r="Y29" s="10" t="n"/>
      <c r="Z29" s="10" t="n"/>
      <c r="AA29" s="10" t="n"/>
      <c r="AB29" s="10" t="n"/>
      <c r="AC29" s="11" t="n"/>
      <c r="AD29" s="45" t="n">
        <v>18</v>
      </c>
      <c r="AE29" s="10" t="n"/>
      <c r="AF29" s="11" t="n"/>
    </row>
    <row r="30" ht="30" customHeight="1">
      <c r="B30" s="44" t="n">
        <v>23</v>
      </c>
      <c r="C30" s="45" t="inlineStr">
        <is>
          <t>VP-C-04</t>
        </is>
      </c>
      <c r="D30" s="10" t="n"/>
      <c r="E30" s="11" t="n"/>
      <c r="F30" s="46" t="inlineStr">
        <is>
          <t>C. 業務ロジック</t>
        </is>
      </c>
      <c r="G30" s="10" t="n"/>
      <c r="H30" s="10" t="n"/>
      <c r="I30" s="10" t="n"/>
      <c r="J30" s="10" t="n"/>
      <c r="K30" s="10" t="n"/>
      <c r="L30" s="11" t="n"/>
      <c r="M30" s="46" t="inlineStr">
        <is>
          <t>税込／税抜計算</t>
        </is>
      </c>
      <c r="N30" s="10" t="n"/>
      <c r="O30" s="10" t="n"/>
      <c r="P30" s="10" t="n"/>
      <c r="Q30" s="10" t="n"/>
      <c r="R30" s="10" t="n"/>
      <c r="S30" s="10" t="n"/>
      <c r="T30" s="11" t="n"/>
      <c r="U30" s="48" t="inlineStr">
        <is>
          <t>中</t>
        </is>
      </c>
      <c r="V30" s="11" t="n"/>
      <c r="W30" s="46" t="inlineStr">
        <is>
          <t>単価マスタ</t>
        </is>
      </c>
      <c r="X30" s="10" t="n"/>
      <c r="Y30" s="10" t="n"/>
      <c r="Z30" s="10" t="n"/>
      <c r="AA30" s="10" t="n"/>
      <c r="AB30" s="10" t="n"/>
      <c r="AC30" s="11" t="n"/>
      <c r="AD30" s="45" t="n">
        <v>8</v>
      </c>
      <c r="AE30" s="10" t="n"/>
      <c r="AF30" s="11" t="n"/>
    </row>
    <row r="31" ht="30" customHeight="1">
      <c r="B31" s="44" t="n">
        <v>24</v>
      </c>
      <c r="C31" s="45" t="inlineStr">
        <is>
          <t>VP-C-05</t>
        </is>
      </c>
      <c r="D31" s="10" t="n"/>
      <c r="E31" s="11" t="n"/>
      <c r="F31" s="46" t="inlineStr">
        <is>
          <t>C. 業務ロジック</t>
        </is>
      </c>
      <c r="G31" s="10" t="n"/>
      <c r="H31" s="10" t="n"/>
      <c r="I31" s="10" t="n"/>
      <c r="J31" s="10" t="n"/>
      <c r="K31" s="10" t="n"/>
      <c r="L31" s="11" t="n"/>
      <c r="M31" s="46" t="inlineStr">
        <is>
          <t>購読者種別ルール（読み取り専用）</t>
        </is>
      </c>
      <c r="N31" s="10" t="n"/>
      <c r="O31" s="10" t="n"/>
      <c r="P31" s="10" t="n"/>
      <c r="Q31" s="10" t="n"/>
      <c r="R31" s="10" t="n"/>
      <c r="S31" s="10" t="n"/>
      <c r="T31" s="11" t="n"/>
      <c r="U31" s="47" t="inlineStr">
        <is>
          <t>高</t>
        </is>
      </c>
      <c r="V31" s="11" t="n"/>
      <c r="W31" s="46" t="inlineStr">
        <is>
          <t>購読者マスタ</t>
        </is>
      </c>
      <c r="X31" s="10" t="n"/>
      <c r="Y31" s="10" t="n"/>
      <c r="Z31" s="10" t="n"/>
      <c r="AA31" s="10" t="n"/>
      <c r="AB31" s="10" t="n"/>
      <c r="AC31" s="11" t="n"/>
      <c r="AD31" s="45" t="n">
        <v>10</v>
      </c>
      <c r="AE31" s="10" t="n"/>
      <c r="AF31" s="11" t="n"/>
    </row>
    <row r="32" ht="30" customHeight="1">
      <c r="B32" s="44" t="n">
        <v>25</v>
      </c>
      <c r="C32" s="45" t="inlineStr">
        <is>
          <t>VP-C-06</t>
        </is>
      </c>
      <c r="D32" s="10" t="n"/>
      <c r="E32" s="11" t="n"/>
      <c r="F32" s="46" t="inlineStr">
        <is>
          <t>C. 業務ロジック</t>
        </is>
      </c>
      <c r="G32" s="10" t="n"/>
      <c r="H32" s="10" t="n"/>
      <c r="I32" s="10" t="n"/>
      <c r="J32" s="10" t="n"/>
      <c r="K32" s="10" t="n"/>
      <c r="L32" s="11" t="n"/>
      <c r="M32" s="46" t="inlineStr">
        <is>
          <t>Excel取込 部分成功</t>
        </is>
      </c>
      <c r="N32" s="10" t="n"/>
      <c r="O32" s="10" t="n"/>
      <c r="P32" s="10" t="n"/>
      <c r="Q32" s="10" t="n"/>
      <c r="R32" s="10" t="n"/>
      <c r="S32" s="10" t="n"/>
      <c r="T32" s="11" t="n"/>
      <c r="U32" s="48" t="inlineStr">
        <is>
          <t>中</t>
        </is>
      </c>
      <c r="V32" s="11" t="n"/>
      <c r="W32" s="46" t="inlineStr">
        <is>
          <t>2取込画面</t>
        </is>
      </c>
      <c r="X32" s="10" t="n"/>
      <c r="Y32" s="10" t="n"/>
      <c r="Z32" s="10" t="n"/>
      <c r="AA32" s="10" t="n"/>
      <c r="AB32" s="10" t="n"/>
      <c r="AC32" s="11" t="n"/>
      <c r="AD32" s="45" t="n">
        <v>30</v>
      </c>
      <c r="AE32" s="10" t="n"/>
      <c r="AF32" s="11" t="n"/>
    </row>
    <row r="33" ht="30" customHeight="1">
      <c r="B33" s="44" t="n">
        <v>26</v>
      </c>
      <c r="C33" s="45" t="inlineStr">
        <is>
          <t>VP-C-07</t>
        </is>
      </c>
      <c r="D33" s="10" t="n"/>
      <c r="E33" s="11" t="n"/>
      <c r="F33" s="46" t="inlineStr">
        <is>
          <t>C. 業務ロジック</t>
        </is>
      </c>
      <c r="G33" s="10" t="n"/>
      <c r="H33" s="10" t="n"/>
      <c r="I33" s="10" t="n"/>
      <c r="J33" s="10" t="n"/>
      <c r="K33" s="10" t="n"/>
      <c r="L33" s="11" t="n"/>
      <c r="M33" s="46" t="inlineStr">
        <is>
          <t>販売店一括置換</t>
        </is>
      </c>
      <c r="N33" s="10" t="n"/>
      <c r="O33" s="10" t="n"/>
      <c r="P33" s="10" t="n"/>
      <c r="Q33" s="10" t="n"/>
      <c r="R33" s="10" t="n"/>
      <c r="S33" s="10" t="n"/>
      <c r="T33" s="11" t="n"/>
      <c r="U33" s="47" t="inlineStr">
        <is>
          <t>高</t>
        </is>
      </c>
      <c r="V33" s="11" t="n"/>
      <c r="W33" s="46" t="inlineStr">
        <is>
          <t>一括置換</t>
        </is>
      </c>
      <c r="X33" s="10" t="n"/>
      <c r="Y33" s="10" t="n"/>
      <c r="Z33" s="10" t="n"/>
      <c r="AA33" s="10" t="n"/>
      <c r="AB33" s="10" t="n"/>
      <c r="AC33" s="11" t="n"/>
      <c r="AD33" s="45" t="n">
        <v>15</v>
      </c>
      <c r="AE33" s="10" t="n"/>
      <c r="AF33" s="11" t="n"/>
    </row>
    <row r="34" ht="30" customHeight="1">
      <c r="B34" s="44" t="n">
        <v>27</v>
      </c>
      <c r="C34" s="45" t="inlineStr">
        <is>
          <t>VP-C-08</t>
        </is>
      </c>
      <c r="D34" s="10" t="n"/>
      <c r="E34" s="11" t="n"/>
      <c r="F34" s="46" t="inlineStr">
        <is>
          <t>C. 業務ロジック</t>
        </is>
      </c>
      <c r="G34" s="10" t="n"/>
      <c r="H34" s="10" t="n"/>
      <c r="I34" s="10" t="n"/>
      <c r="J34" s="10" t="n"/>
      <c r="K34" s="10" t="n"/>
      <c r="L34" s="11" t="n"/>
      <c r="M34" s="46" t="inlineStr">
        <is>
          <t>レポート集計の正確性</t>
        </is>
      </c>
      <c r="N34" s="10" t="n"/>
      <c r="O34" s="10" t="n"/>
      <c r="P34" s="10" t="n"/>
      <c r="Q34" s="10" t="n"/>
      <c r="R34" s="10" t="n"/>
      <c r="S34" s="10" t="n"/>
      <c r="T34" s="11" t="n"/>
      <c r="U34" s="47" t="inlineStr">
        <is>
          <t>高</t>
        </is>
      </c>
      <c r="V34" s="11" t="n"/>
      <c r="W34" s="46" t="inlineStr">
        <is>
          <t>3レポート</t>
        </is>
      </c>
      <c r="X34" s="10" t="n"/>
      <c r="Y34" s="10" t="n"/>
      <c r="Z34" s="10" t="n"/>
      <c r="AA34" s="10" t="n"/>
      <c r="AB34" s="10" t="n"/>
      <c r="AC34" s="11" t="n"/>
      <c r="AD34" s="45" t="n">
        <v>18</v>
      </c>
      <c r="AE34" s="10" t="n"/>
      <c r="AF34" s="11" t="n"/>
    </row>
    <row r="35" ht="30" customHeight="1">
      <c r="B35" s="44" t="n">
        <v>28</v>
      </c>
      <c r="C35" s="45" t="inlineStr">
        <is>
          <t>VP-D-01</t>
        </is>
      </c>
      <c r="D35" s="10" t="n"/>
      <c r="E35" s="11" t="n"/>
      <c r="F35" s="46" t="inlineStr">
        <is>
          <t>D. 統合・システム</t>
        </is>
      </c>
      <c r="G35" s="10" t="n"/>
      <c r="H35" s="10" t="n"/>
      <c r="I35" s="10" t="n"/>
      <c r="J35" s="10" t="n"/>
      <c r="K35" s="10" t="n"/>
      <c r="L35" s="11" t="n"/>
      <c r="M35" s="46" t="inlineStr">
        <is>
          <t>ログイン + MFA フロー</t>
        </is>
      </c>
      <c r="N35" s="10" t="n"/>
      <c r="O35" s="10" t="n"/>
      <c r="P35" s="10" t="n"/>
      <c r="Q35" s="10" t="n"/>
      <c r="R35" s="10" t="n"/>
      <c r="S35" s="10" t="n"/>
      <c r="T35" s="11" t="n"/>
      <c r="U35" s="47" t="inlineStr">
        <is>
          <t>高</t>
        </is>
      </c>
      <c r="V35" s="11" t="n"/>
      <c r="W35" s="46" t="inlineStr">
        <is>
          <t>SCR-001／002</t>
        </is>
      </c>
      <c r="X35" s="10" t="n"/>
      <c r="Y35" s="10" t="n"/>
      <c r="Z35" s="10" t="n"/>
      <c r="AA35" s="10" t="n"/>
      <c r="AB35" s="10" t="n"/>
      <c r="AC35" s="11" t="n"/>
      <c r="AD35" s="45" t="n">
        <v>25</v>
      </c>
      <c r="AE35" s="10" t="n"/>
      <c r="AF35" s="11" t="n"/>
    </row>
    <row r="36" ht="30" customHeight="1">
      <c r="B36" s="44" t="n">
        <v>29</v>
      </c>
      <c r="C36" s="45" t="inlineStr">
        <is>
          <t>VP-D-02</t>
        </is>
      </c>
      <c r="D36" s="10" t="n"/>
      <c r="E36" s="11" t="n"/>
      <c r="F36" s="46" t="inlineStr">
        <is>
          <t>D. 統合・システム</t>
        </is>
      </c>
      <c r="G36" s="10" t="n"/>
      <c r="H36" s="10" t="n"/>
      <c r="I36" s="10" t="n"/>
      <c r="J36" s="10" t="n"/>
      <c r="K36" s="10" t="n"/>
      <c r="L36" s="11" t="n"/>
      <c r="M36" s="46" t="inlineStr">
        <is>
          <t>セッションスライディング 24h</t>
        </is>
      </c>
      <c r="N36" s="10" t="n"/>
      <c r="O36" s="10" t="n"/>
      <c r="P36" s="10" t="n"/>
      <c r="Q36" s="10" t="n"/>
      <c r="R36" s="10" t="n"/>
      <c r="S36" s="10" t="n"/>
      <c r="T36" s="11" t="n"/>
      <c r="U36" s="47" t="inlineStr">
        <is>
          <t>高</t>
        </is>
      </c>
      <c r="V36" s="11" t="n"/>
      <c r="W36" s="46" t="inlineStr">
        <is>
          <t>全システム</t>
        </is>
      </c>
      <c r="X36" s="10" t="n"/>
      <c r="Y36" s="10" t="n"/>
      <c r="Z36" s="10" t="n"/>
      <c r="AA36" s="10" t="n"/>
      <c r="AB36" s="10" t="n"/>
      <c r="AC36" s="11" t="n"/>
      <c r="AD36" s="45" t="n">
        <v>8</v>
      </c>
      <c r="AE36" s="10" t="n"/>
      <c r="AF36" s="11" t="n"/>
    </row>
    <row r="37" ht="30" customHeight="1">
      <c r="B37" s="44" t="n">
        <v>30</v>
      </c>
      <c r="C37" s="45" t="inlineStr">
        <is>
          <t>VP-D-03</t>
        </is>
      </c>
      <c r="D37" s="10" t="n"/>
      <c r="E37" s="11" t="n"/>
      <c r="F37" s="46" t="inlineStr">
        <is>
          <t>D. 統合・システム</t>
        </is>
      </c>
      <c r="G37" s="10" t="n"/>
      <c r="H37" s="10" t="n"/>
      <c r="I37" s="10" t="n"/>
      <c r="J37" s="10" t="n"/>
      <c r="K37" s="10" t="n"/>
      <c r="L37" s="11" t="n"/>
      <c r="M37" s="46" t="inlineStr">
        <is>
          <t>パスワード再発行フロー</t>
        </is>
      </c>
      <c r="N37" s="10" t="n"/>
      <c r="O37" s="10" t="n"/>
      <c r="P37" s="10" t="n"/>
      <c r="Q37" s="10" t="n"/>
      <c r="R37" s="10" t="n"/>
      <c r="S37" s="10" t="n"/>
      <c r="T37" s="11" t="n"/>
      <c r="U37" s="47" t="inlineStr">
        <is>
          <t>高</t>
        </is>
      </c>
      <c r="V37" s="11" t="n"/>
      <c r="W37" s="46" t="inlineStr">
        <is>
          <t>SCR-007</t>
        </is>
      </c>
      <c r="X37" s="10" t="n"/>
      <c r="Y37" s="10" t="n"/>
      <c r="Z37" s="10" t="n"/>
      <c r="AA37" s="10" t="n"/>
      <c r="AB37" s="10" t="n"/>
      <c r="AC37" s="11" t="n"/>
      <c r="AD37" s="45" t="n">
        <v>15</v>
      </c>
      <c r="AE37" s="10" t="n"/>
      <c r="AF37" s="11" t="n"/>
    </row>
    <row r="38" ht="30" customHeight="1">
      <c r="B38" s="44" t="n">
        <v>31</v>
      </c>
      <c r="C38" s="45" t="inlineStr">
        <is>
          <t>VP-D-04</t>
        </is>
      </c>
      <c r="D38" s="10" t="n"/>
      <c r="E38" s="11" t="n"/>
      <c r="F38" s="46" t="inlineStr">
        <is>
          <t>D. 統合・システム</t>
        </is>
      </c>
      <c r="G38" s="10" t="n"/>
      <c r="H38" s="10" t="n"/>
      <c r="I38" s="10" t="n"/>
      <c r="J38" s="10" t="n"/>
      <c r="K38" s="10" t="n"/>
      <c r="L38" s="11" t="n"/>
      <c r="M38" s="46" t="inlineStr">
        <is>
          <t>監査ログの完全性</t>
        </is>
      </c>
      <c r="N38" s="10" t="n"/>
      <c r="O38" s="10" t="n"/>
      <c r="P38" s="10" t="n"/>
      <c r="Q38" s="10" t="n"/>
      <c r="R38" s="10" t="n"/>
      <c r="S38" s="10" t="n"/>
      <c r="T38" s="11" t="n"/>
      <c r="U38" s="47" t="inlineStr">
        <is>
          <t>高</t>
        </is>
      </c>
      <c r="V38" s="11" t="n"/>
      <c r="W38" s="46" t="inlineStr">
        <is>
          <t>全システム</t>
        </is>
      </c>
      <c r="X38" s="10" t="n"/>
      <c r="Y38" s="10" t="n"/>
      <c r="Z38" s="10" t="n"/>
      <c r="AA38" s="10" t="n"/>
      <c r="AB38" s="10" t="n"/>
      <c r="AC38" s="11" t="n"/>
      <c r="AD38" s="45" t="n">
        <v>40</v>
      </c>
      <c r="AE38" s="10" t="n"/>
      <c r="AF38" s="11" t="n"/>
    </row>
    <row r="39" ht="30" customHeight="1">
      <c r="B39" s="44" t="n">
        <v>32</v>
      </c>
      <c r="C39" s="45" t="inlineStr">
        <is>
          <t>VP-D-05</t>
        </is>
      </c>
      <c r="D39" s="10" t="n"/>
      <c r="E39" s="11" t="n"/>
      <c r="F39" s="46" t="inlineStr">
        <is>
          <t>D. 統合・システム</t>
        </is>
      </c>
      <c r="G39" s="10" t="n"/>
      <c r="H39" s="10" t="n"/>
      <c r="I39" s="10" t="n"/>
      <c r="J39" s="10" t="n"/>
      <c r="K39" s="10" t="n"/>
      <c r="L39" s="11" t="n"/>
      <c r="M39" s="46" t="inlineStr">
        <is>
          <t>ファイルアップロード S3</t>
        </is>
      </c>
      <c r="N39" s="10" t="n"/>
      <c r="O39" s="10" t="n"/>
      <c r="P39" s="10" t="n"/>
      <c r="Q39" s="10" t="n"/>
      <c r="R39" s="10" t="n"/>
      <c r="S39" s="10" t="n"/>
      <c r="T39" s="11" t="n"/>
      <c r="U39" s="48" t="inlineStr">
        <is>
          <t>中</t>
        </is>
      </c>
      <c r="V39" s="11" t="n"/>
      <c r="W39" s="46" t="inlineStr">
        <is>
          <t>SCR-022</t>
        </is>
      </c>
      <c r="X39" s="10" t="n"/>
      <c r="Y39" s="10" t="n"/>
      <c r="Z39" s="10" t="n"/>
      <c r="AA39" s="10" t="n"/>
      <c r="AB39" s="10" t="n"/>
      <c r="AC39" s="11" t="n"/>
      <c r="AD39" s="45" t="n">
        <v>20</v>
      </c>
      <c r="AE39" s="10" t="n"/>
      <c r="AF39" s="11" t="n"/>
    </row>
    <row r="40" ht="30" customHeight="1">
      <c r="B40" s="44" t="n">
        <v>33</v>
      </c>
      <c r="C40" s="45" t="inlineStr">
        <is>
          <t>VP-D-06</t>
        </is>
      </c>
      <c r="D40" s="10" t="n"/>
      <c r="E40" s="11" t="n"/>
      <c r="F40" s="46" t="inlineStr">
        <is>
          <t>D. 統合・システム</t>
        </is>
      </c>
      <c r="G40" s="10" t="n"/>
      <c r="H40" s="10" t="n"/>
      <c r="I40" s="10" t="n"/>
      <c r="J40" s="10" t="n"/>
      <c r="K40" s="10" t="n"/>
      <c r="L40" s="11" t="n"/>
      <c r="M40" s="46" t="inlineStr">
        <is>
          <t>メール通知</t>
        </is>
      </c>
      <c r="N40" s="10" t="n"/>
      <c r="O40" s="10" t="n"/>
      <c r="P40" s="10" t="n"/>
      <c r="Q40" s="10" t="n"/>
      <c r="R40" s="10" t="n"/>
      <c r="S40" s="10" t="n"/>
      <c r="T40" s="11" t="n"/>
      <c r="U40" s="48" t="inlineStr">
        <is>
          <t>中</t>
        </is>
      </c>
      <c r="V40" s="11" t="n"/>
      <c r="W40" s="46" t="inlineStr">
        <is>
          <t>SCR-001／007／お知らせ</t>
        </is>
      </c>
      <c r="X40" s="10" t="n"/>
      <c r="Y40" s="10" t="n"/>
      <c r="Z40" s="10" t="n"/>
      <c r="AA40" s="10" t="n"/>
      <c r="AB40" s="10" t="n"/>
      <c r="AC40" s="11" t="n"/>
      <c r="AD40" s="45" t="n">
        <v>12</v>
      </c>
      <c r="AE40" s="10" t="n"/>
      <c r="AF40" s="11" t="n"/>
    </row>
    <row r="41" ht="30" customHeight="1">
      <c r="B41" s="44" t="n">
        <v>34</v>
      </c>
      <c r="C41" s="45" t="inlineStr">
        <is>
          <t>VP-D-07</t>
        </is>
      </c>
      <c r="D41" s="10" t="n"/>
      <c r="E41" s="11" t="n"/>
      <c r="F41" s="46" t="inlineStr">
        <is>
          <t>D. 統合・システム</t>
        </is>
      </c>
      <c r="G41" s="10" t="n"/>
      <c r="H41" s="10" t="n"/>
      <c r="I41" s="10" t="n"/>
      <c r="J41" s="10" t="n"/>
      <c r="K41" s="10" t="n"/>
      <c r="L41" s="11" t="n"/>
      <c r="M41" s="46" t="inlineStr">
        <is>
          <t>外部 CSV 形式準拠</t>
        </is>
      </c>
      <c r="N41" s="10" t="n"/>
      <c r="O41" s="10" t="n"/>
      <c r="P41" s="10" t="n"/>
      <c r="Q41" s="10" t="n"/>
      <c r="R41" s="10" t="n"/>
      <c r="S41" s="10" t="n"/>
      <c r="T41" s="11" t="n"/>
      <c r="U41" s="47" t="inlineStr">
        <is>
          <t>高</t>
        </is>
      </c>
      <c r="V41" s="11" t="n"/>
      <c r="W41" s="46" t="inlineStr">
        <is>
          <t>SCR-008／009</t>
        </is>
      </c>
      <c r="X41" s="10" t="n"/>
      <c r="Y41" s="10" t="n"/>
      <c r="Z41" s="10" t="n"/>
      <c r="AA41" s="10" t="n"/>
      <c r="AB41" s="10" t="n"/>
      <c r="AC41" s="11" t="n"/>
      <c r="AD41" s="45" t="n">
        <v>15</v>
      </c>
      <c r="AE41" s="10" t="n"/>
      <c r="AF41" s="11" t="n"/>
    </row>
    <row r="42" ht="30" customHeight="1">
      <c r="B42" s="44" t="n">
        <v>35</v>
      </c>
      <c r="C42" s="45" t="inlineStr">
        <is>
          <t>VP-D-08</t>
        </is>
      </c>
      <c r="D42" s="10" t="n"/>
      <c r="E42" s="11" t="n"/>
      <c r="F42" s="46" t="inlineStr">
        <is>
          <t>D. 統合・システム</t>
        </is>
      </c>
      <c r="G42" s="10" t="n"/>
      <c r="H42" s="10" t="n"/>
      <c r="I42" s="10" t="n"/>
      <c r="J42" s="10" t="n"/>
      <c r="K42" s="10" t="n"/>
      <c r="L42" s="11" t="n"/>
      <c r="M42" s="46" t="inlineStr">
        <is>
          <t>ネットワーク／500／タイムアウト</t>
        </is>
      </c>
      <c r="N42" s="10" t="n"/>
      <c r="O42" s="10" t="n"/>
      <c r="P42" s="10" t="n"/>
      <c r="Q42" s="10" t="n"/>
      <c r="R42" s="10" t="n"/>
      <c r="S42" s="10" t="n"/>
      <c r="T42" s="11" t="n"/>
      <c r="U42" s="48" t="inlineStr">
        <is>
          <t>中</t>
        </is>
      </c>
      <c r="V42" s="11" t="n"/>
      <c r="W42" s="46" t="inlineStr">
        <is>
          <t>全システム</t>
        </is>
      </c>
      <c r="X42" s="10" t="n"/>
      <c r="Y42" s="10" t="n"/>
      <c r="Z42" s="10" t="n"/>
      <c r="AA42" s="10" t="n"/>
      <c r="AB42" s="10" t="n"/>
      <c r="AC42" s="11" t="n"/>
      <c r="AD42" s="45" t="n">
        <v>30</v>
      </c>
      <c r="AE42" s="10" t="n"/>
      <c r="AF42" s="11" t="n"/>
    </row>
    <row r="43" ht="36" customHeight="1">
      <c r="B43" s="44" t="n">
        <v>36</v>
      </c>
      <c r="C43" s="45" t="inlineStr">
        <is>
          <t>VP-D-09</t>
        </is>
      </c>
      <c r="D43" s="10" t="n"/>
      <c r="E43" s="11" t="n"/>
      <c r="F43" s="46" t="inlineStr">
        <is>
          <t>D. 統合・システム</t>
        </is>
      </c>
      <c r="G43" s="10" t="n"/>
      <c r="H43" s="10" t="n"/>
      <c r="I43" s="10" t="n"/>
      <c r="J43" s="10" t="n"/>
      <c r="K43" s="10" t="n"/>
      <c r="L43" s="11" t="n"/>
      <c r="M43" s="46" t="inlineStr">
        <is>
          <t>パスワード再発行 旧token無効化＋クールダウン</t>
        </is>
      </c>
      <c r="N43" s="10" t="n"/>
      <c r="O43" s="10" t="n"/>
      <c r="P43" s="10" t="n"/>
      <c r="Q43" s="10" t="n"/>
      <c r="R43" s="10" t="n"/>
      <c r="S43" s="10" t="n"/>
      <c r="T43" s="11" t="n"/>
      <c r="U43" s="47" t="inlineStr">
        <is>
          <t>高</t>
        </is>
      </c>
      <c r="V43" s="11" t="n"/>
      <c r="W43" s="46" t="inlineStr">
        <is>
          <t>SCR-007</t>
        </is>
      </c>
      <c r="X43" s="10" t="n"/>
      <c r="Y43" s="10" t="n"/>
      <c r="Z43" s="10" t="n"/>
      <c r="AA43" s="10" t="n"/>
      <c r="AB43" s="10" t="n"/>
      <c r="AC43" s="11" t="n"/>
      <c r="AD43" s="45" t="n">
        <v>6</v>
      </c>
      <c r="AE43" s="10" t="n"/>
      <c r="AF43" s="11" t="n"/>
    </row>
    <row r="44" ht="30" customHeight="1">
      <c r="B44" s="44" t="n">
        <v>37</v>
      </c>
      <c r="C44" s="45" t="inlineStr">
        <is>
          <t>VP-E-01</t>
        </is>
      </c>
      <c r="D44" s="10" t="n"/>
      <c r="E44" s="11" t="n"/>
      <c r="F44" s="46" t="inlineStr">
        <is>
          <t>E. 非機能・ユーザビリティ</t>
        </is>
      </c>
      <c r="G44" s="10" t="n"/>
      <c r="H44" s="10" t="n"/>
      <c r="I44" s="10" t="n"/>
      <c r="J44" s="10" t="n"/>
      <c r="K44" s="10" t="n"/>
      <c r="L44" s="11" t="n"/>
      <c r="M44" s="46" t="inlineStr">
        <is>
          <t>レイアウト／デザイントークン</t>
        </is>
      </c>
      <c r="N44" s="10" t="n"/>
      <c r="O44" s="10" t="n"/>
      <c r="P44" s="10" t="n"/>
      <c r="Q44" s="10" t="n"/>
      <c r="R44" s="10" t="n"/>
      <c r="S44" s="10" t="n"/>
      <c r="T44" s="11" t="n"/>
      <c r="U44" s="49" t="inlineStr">
        <is>
          <t>低</t>
        </is>
      </c>
      <c r="V44" s="11" t="n"/>
      <c r="W44" s="46" t="inlineStr">
        <is>
          <t>全画面</t>
        </is>
      </c>
      <c r="X44" s="10" t="n"/>
      <c r="Y44" s="10" t="n"/>
      <c r="Z44" s="10" t="n"/>
      <c r="AA44" s="10" t="n"/>
      <c r="AB44" s="10" t="n"/>
      <c r="AC44" s="11" t="n"/>
      <c r="AD44" s="45" t="n">
        <v>60</v>
      </c>
      <c r="AE44" s="10" t="n"/>
      <c r="AF44" s="11" t="n"/>
    </row>
    <row r="45" ht="36" customHeight="1">
      <c r="B45" s="44" t="n">
        <v>38</v>
      </c>
      <c r="C45" s="45" t="inlineStr">
        <is>
          <t>VP-E-02</t>
        </is>
      </c>
      <c r="D45" s="10" t="n"/>
      <c r="E45" s="11" t="n"/>
      <c r="F45" s="46" t="inlineStr">
        <is>
          <t>E. 非機能・ユーザビリティ</t>
        </is>
      </c>
      <c r="G45" s="10" t="n"/>
      <c r="H45" s="10" t="n"/>
      <c r="I45" s="10" t="n"/>
      <c r="J45" s="10" t="n"/>
      <c r="K45" s="10" t="n"/>
      <c r="L45" s="11" t="n"/>
      <c r="M45" s="46" t="inlineStr">
        <is>
          <t>レスポンシブ（モバイル／タブレット）</t>
        </is>
      </c>
      <c r="N45" s="10" t="n"/>
      <c r="O45" s="10" t="n"/>
      <c r="P45" s="10" t="n"/>
      <c r="Q45" s="10" t="n"/>
      <c r="R45" s="10" t="n"/>
      <c r="S45" s="10" t="n"/>
      <c r="T45" s="11" t="n"/>
      <c r="U45" s="49" t="inlineStr">
        <is>
          <t>低</t>
        </is>
      </c>
      <c r="V45" s="11" t="n"/>
      <c r="W45" s="46" t="inlineStr">
        <is>
          <t>全画面</t>
        </is>
      </c>
      <c r="X45" s="10" t="n"/>
      <c r="Y45" s="10" t="n"/>
      <c r="Z45" s="10" t="n"/>
      <c r="AA45" s="10" t="n"/>
      <c r="AB45" s="10" t="n"/>
      <c r="AC45" s="11" t="n"/>
      <c r="AD45" s="45" t="n">
        <v>40</v>
      </c>
      <c r="AE45" s="10" t="n"/>
      <c r="AF45" s="11" t="n"/>
    </row>
    <row r="46" ht="30" customHeight="1">
      <c r="B46" s="44" t="n">
        <v>39</v>
      </c>
      <c r="C46" s="45" t="inlineStr">
        <is>
          <t>VP-E-03</t>
        </is>
      </c>
      <c r="D46" s="10" t="n"/>
      <c r="E46" s="11" t="n"/>
      <c r="F46" s="46" t="inlineStr">
        <is>
          <t>E. 非機能・ユーザビリティ</t>
        </is>
      </c>
      <c r="G46" s="10" t="n"/>
      <c r="H46" s="10" t="n"/>
      <c r="I46" s="10" t="n"/>
      <c r="J46" s="10" t="n"/>
      <c r="K46" s="10" t="n"/>
      <c r="L46" s="11" t="n"/>
      <c r="M46" s="46" t="inlineStr">
        <is>
          <t>キーボード操作</t>
        </is>
      </c>
      <c r="N46" s="10" t="n"/>
      <c r="O46" s="10" t="n"/>
      <c r="P46" s="10" t="n"/>
      <c r="Q46" s="10" t="n"/>
      <c r="R46" s="10" t="n"/>
      <c r="S46" s="10" t="n"/>
      <c r="T46" s="11" t="n"/>
      <c r="U46" s="49" t="inlineStr">
        <is>
          <t>低</t>
        </is>
      </c>
      <c r="V46" s="11" t="n"/>
      <c r="W46" s="46" t="inlineStr">
        <is>
          <t>約25フォーム</t>
        </is>
      </c>
      <c r="X46" s="10" t="n"/>
      <c r="Y46" s="10" t="n"/>
      <c r="Z46" s="10" t="n"/>
      <c r="AA46" s="10" t="n"/>
      <c r="AB46" s="10" t="n"/>
      <c r="AC46" s="11" t="n"/>
      <c r="AD46" s="45" t="n">
        <v>25</v>
      </c>
      <c r="AE46" s="10" t="n"/>
      <c r="AF46" s="11" t="n"/>
    </row>
    <row r="47" ht="30" customHeight="1">
      <c r="B47" s="44" t="n">
        <v>40</v>
      </c>
      <c r="C47" s="45" t="inlineStr">
        <is>
          <t>VP-E-04</t>
        </is>
      </c>
      <c r="D47" s="10" t="n"/>
      <c r="E47" s="11" t="n"/>
      <c r="F47" s="46" t="inlineStr">
        <is>
          <t>E. 非機能・ユーザビリティ</t>
        </is>
      </c>
      <c r="G47" s="10" t="n"/>
      <c r="H47" s="10" t="n"/>
      <c r="I47" s="10" t="n"/>
      <c r="J47" s="10" t="n"/>
      <c r="K47" s="10" t="n"/>
      <c r="L47" s="11" t="n"/>
      <c r="M47" s="46" t="inlineStr">
        <is>
          <t>ブラウザ互換性</t>
        </is>
      </c>
      <c r="N47" s="10" t="n"/>
      <c r="O47" s="10" t="n"/>
      <c r="P47" s="10" t="n"/>
      <c r="Q47" s="10" t="n"/>
      <c r="R47" s="10" t="n"/>
      <c r="S47" s="10" t="n"/>
      <c r="T47" s="11" t="n"/>
      <c r="U47" s="49" t="inlineStr">
        <is>
          <t>低</t>
        </is>
      </c>
      <c r="V47" s="11" t="n"/>
      <c r="W47" s="46" t="inlineStr">
        <is>
          <t>全システム</t>
        </is>
      </c>
      <c r="X47" s="10" t="n"/>
      <c r="Y47" s="10" t="n"/>
      <c r="Z47" s="10" t="n"/>
      <c r="AA47" s="10" t="n"/>
      <c r="AB47" s="10" t="n"/>
      <c r="AC47" s="11" t="n"/>
      <c r="AD47" s="45" t="n">
        <v>5</v>
      </c>
      <c r="AE47" s="10" t="n"/>
      <c r="AF47" s="11" t="n"/>
    </row>
    <row r="48" ht="30" customHeight="1">
      <c r="B48" s="44" t="n">
        <v>41</v>
      </c>
      <c r="C48" s="45" t="inlineStr">
        <is>
          <t>VP-E-05</t>
        </is>
      </c>
      <c r="D48" s="10" t="n"/>
      <c r="E48" s="11" t="n"/>
      <c r="F48" s="46" t="inlineStr">
        <is>
          <t>E. 非機能・ユーザビリティ</t>
        </is>
      </c>
      <c r="G48" s="10" t="n"/>
      <c r="H48" s="10" t="n"/>
      <c r="I48" s="10" t="n"/>
      <c r="J48" s="10" t="n"/>
      <c r="K48" s="10" t="n"/>
      <c r="L48" s="11" t="n"/>
      <c r="M48" s="46" t="inlineStr">
        <is>
          <t>マルチタブセッション同期</t>
        </is>
      </c>
      <c r="N48" s="10" t="n"/>
      <c r="O48" s="10" t="n"/>
      <c r="P48" s="10" t="n"/>
      <c r="Q48" s="10" t="n"/>
      <c r="R48" s="10" t="n"/>
      <c r="S48" s="10" t="n"/>
      <c r="T48" s="11" t="n"/>
      <c r="U48" s="47" t="inlineStr">
        <is>
          <t>高</t>
        </is>
      </c>
      <c r="V48" s="11" t="n"/>
      <c r="W48" s="46" t="inlineStr">
        <is>
          <t>全システム</t>
        </is>
      </c>
      <c r="X48" s="10" t="n"/>
      <c r="Y48" s="10" t="n"/>
      <c r="Z48" s="10" t="n"/>
      <c r="AA48" s="10" t="n"/>
      <c r="AB48" s="10" t="n"/>
      <c r="AC48" s="11" t="n"/>
      <c r="AD48" s="45" t="n">
        <v>5</v>
      </c>
      <c r="AE48" s="10" t="n"/>
      <c r="AF48" s="11" t="n"/>
    </row>
    <row r="49" ht="30" customHeight="1">
      <c r="B49" s="44" t="n">
        <v>42</v>
      </c>
      <c r="C49" s="45" t="inlineStr">
        <is>
          <t>VP-E-07</t>
        </is>
      </c>
      <c r="D49" s="10" t="n"/>
      <c r="E49" s="11" t="n"/>
      <c r="F49" s="46" t="inlineStr">
        <is>
          <t>E. 非機能・ユーザビリティ</t>
        </is>
      </c>
      <c r="G49" s="10" t="n"/>
      <c r="H49" s="10" t="n"/>
      <c r="I49" s="10" t="n"/>
      <c r="J49" s="10" t="n"/>
      <c r="K49" s="10" t="n"/>
      <c r="L49" s="11" t="n"/>
      <c r="M49" s="46" t="inlineStr">
        <is>
          <t>未保存変更ガード・ブラウザ離脱</t>
        </is>
      </c>
      <c r="N49" s="10" t="n"/>
      <c r="O49" s="10" t="n"/>
      <c r="P49" s="10" t="n"/>
      <c r="Q49" s="10" t="n"/>
      <c r="R49" s="10" t="n"/>
      <c r="S49" s="10" t="n"/>
      <c r="T49" s="11" t="n"/>
      <c r="U49" s="48" t="inlineStr">
        <is>
          <t>中</t>
        </is>
      </c>
      <c r="V49" s="11" t="n"/>
      <c r="W49" s="46" t="inlineStr">
        <is>
          <t>全 CRUD 編集フォーム</t>
        </is>
      </c>
      <c r="X49" s="10" t="n"/>
      <c r="Y49" s="10" t="n"/>
      <c r="Z49" s="10" t="n"/>
      <c r="AA49" s="10" t="n"/>
      <c r="AB49" s="10" t="n"/>
      <c r="AC49" s="11" t="n"/>
      <c r="AD49" s="45" t="n">
        <v>8</v>
      </c>
      <c r="AE49" s="10" t="n"/>
      <c r="AF49" s="11" t="n"/>
    </row>
    <row r="50" ht="30" customHeight="1">
      <c r="B50" s="44" t="n">
        <v>43</v>
      </c>
      <c r="C50" s="45" t="inlineStr">
        <is>
          <t>VP-F-01</t>
        </is>
      </c>
      <c r="D50" s="10" t="n"/>
      <c r="E50" s="11" t="n"/>
      <c r="F50" s="46" t="inlineStr">
        <is>
          <t>F. 性能</t>
        </is>
      </c>
      <c r="G50" s="10" t="n"/>
      <c r="H50" s="10" t="n"/>
      <c r="I50" s="10" t="n"/>
      <c r="J50" s="10" t="n"/>
      <c r="K50" s="10" t="n"/>
      <c r="L50" s="11" t="n"/>
      <c r="M50" s="46" t="inlineStr">
        <is>
          <t>性能ベンチマーク</t>
        </is>
      </c>
      <c r="N50" s="10" t="n"/>
      <c r="O50" s="10" t="n"/>
      <c r="P50" s="10" t="n"/>
      <c r="Q50" s="10" t="n"/>
      <c r="R50" s="10" t="n"/>
      <c r="S50" s="10" t="n"/>
      <c r="T50" s="11" t="n"/>
      <c r="U50" s="48" t="inlineStr">
        <is>
          <t>中</t>
        </is>
      </c>
      <c r="V50" s="11" t="n"/>
      <c r="W50" s="46" t="inlineStr">
        <is>
          <t>全画面パフォーマンス計測対象</t>
        </is>
      </c>
      <c r="X50" s="10" t="n"/>
      <c r="Y50" s="10" t="n"/>
      <c r="Z50" s="10" t="n"/>
      <c r="AA50" s="10" t="n"/>
      <c r="AB50" s="10" t="n"/>
      <c r="AC50" s="11" t="n"/>
      <c r="AD50" s="45" t="n">
        <v>12</v>
      </c>
      <c r="AE50" s="10" t="n"/>
      <c r="AF50" s="11" t="n"/>
    </row>
    <row r="51" ht="30" customHeight="1">
      <c r="B51" s="44" t="n">
        <v>44</v>
      </c>
      <c r="C51" s="45" t="inlineStr">
        <is>
          <t>VP-F-02</t>
        </is>
      </c>
      <c r="D51" s="10" t="n"/>
      <c r="E51" s="11" t="n"/>
      <c r="F51" s="46" t="inlineStr">
        <is>
          <t>F. 性能</t>
        </is>
      </c>
      <c r="G51" s="10" t="n"/>
      <c r="H51" s="10" t="n"/>
      <c r="I51" s="10" t="n"/>
      <c r="J51" s="10" t="n"/>
      <c r="K51" s="10" t="n"/>
      <c r="L51" s="11" t="n"/>
      <c r="M51" s="46" t="inlineStr">
        <is>
          <t>大量データ表示性能</t>
        </is>
      </c>
      <c r="N51" s="10" t="n"/>
      <c r="O51" s="10" t="n"/>
      <c r="P51" s="10" t="n"/>
      <c r="Q51" s="10" t="n"/>
      <c r="R51" s="10" t="n"/>
      <c r="S51" s="10" t="n"/>
      <c r="T51" s="11" t="n"/>
      <c r="U51" s="48" t="inlineStr">
        <is>
          <t>中</t>
        </is>
      </c>
      <c r="V51" s="11" t="n"/>
      <c r="W51" s="46" t="inlineStr">
        <is>
          <t>一覧／レポート画面</t>
        </is>
      </c>
      <c r="X51" s="10" t="n"/>
      <c r="Y51" s="10" t="n"/>
      <c r="Z51" s="10" t="n"/>
      <c r="AA51" s="10" t="n"/>
      <c r="AB51" s="10" t="n"/>
      <c r="AC51" s="11" t="n"/>
      <c r="AD51" s="45" t="n">
        <v>8</v>
      </c>
      <c r="AE51" s="10" t="n"/>
      <c r="AF51" s="11" t="n"/>
    </row>
    <row r="52" ht="22.5" customHeight="1">
      <c r="B52" s="50" t="inlineStr">
        <is>
          <t>合計</t>
        </is>
      </c>
      <c r="C52" s="10" t="n"/>
      <c r="D52" s="10" t="n"/>
      <c r="E52" s="10" t="n"/>
      <c r="F52" s="10" t="n"/>
      <c r="G52" s="10" t="n"/>
      <c r="H52" s="10" t="n"/>
      <c r="I52" s="10" t="n"/>
      <c r="J52" s="10" t="n"/>
      <c r="K52" s="10" t="n"/>
      <c r="L52" s="10" t="n"/>
      <c r="M52" s="10" t="n"/>
      <c r="N52" s="10" t="n"/>
      <c r="O52" s="10" t="n"/>
      <c r="P52" s="10" t="n"/>
      <c r="Q52" s="10" t="n"/>
      <c r="R52" s="10" t="n"/>
      <c r="S52" s="10" t="n"/>
      <c r="T52" s="11" t="n"/>
      <c r="U52" s="36" t="inlineStr"/>
      <c r="V52" s="11" t="n"/>
      <c r="W52" s="36" t="inlineStr"/>
      <c r="X52" s="10" t="n"/>
      <c r="Y52" s="10" t="n"/>
      <c r="Z52" s="10" t="n"/>
      <c r="AA52" s="10" t="n"/>
      <c r="AB52" s="10" t="n"/>
      <c r="AC52" s="11" t="n"/>
      <c r="AD52" s="36">
        <f>SUM(AD8:AD51)</f>
        <v/>
      </c>
      <c r="AE52" s="10" t="n"/>
      <c r="AF52" s="11" t="n"/>
    </row>
    <row r="54" ht="19.5" customHeight="1">
      <c r="B54" s="28" t="inlineStr">
        <is>
          <t>2. 観点ID 命名規約・グループ凡例</t>
        </is>
      </c>
    </row>
    <row r="56" ht="28.5" customHeight="1">
      <c r="B56" s="43" t="inlineStr">
        <is>
          <t>グループ</t>
        </is>
      </c>
      <c r="C56" s="11" t="n"/>
      <c r="D56" s="43" t="inlineStr">
        <is>
          <t>接頭辞</t>
        </is>
      </c>
      <c r="E56" s="10" t="n"/>
      <c r="F56" s="11" t="n"/>
      <c r="G56" s="43" t="inlineStr">
        <is>
          <t>名称</t>
        </is>
      </c>
      <c r="H56" s="10" t="n"/>
      <c r="I56" s="10" t="n"/>
      <c r="J56" s="10" t="n"/>
      <c r="K56" s="10" t="n"/>
      <c r="L56" s="11" t="n"/>
      <c r="M56" s="43" t="inlineStr">
        <is>
          <t>観点数</t>
        </is>
      </c>
      <c r="N56" s="11" t="n"/>
      <c r="O56" s="43" t="inlineStr">
        <is>
          <t>リスク傾向</t>
        </is>
      </c>
      <c r="P56" s="10" t="n"/>
      <c r="Q56" s="11" t="n"/>
      <c r="R56" s="43" t="inlineStr">
        <is>
          <t>代表的なテスト観点</t>
        </is>
      </c>
      <c r="S56" s="10" t="n"/>
      <c r="T56" s="10" t="n"/>
      <c r="U56" s="10" t="n"/>
      <c r="V56" s="10" t="n"/>
      <c r="W56" s="10" t="n"/>
      <c r="X56" s="10" t="n"/>
      <c r="Y56" s="10" t="n"/>
      <c r="Z56" s="10" t="n"/>
      <c r="AA56" s="10" t="n"/>
      <c r="AB56" s="10" t="n"/>
      <c r="AC56" s="10" t="n"/>
      <c r="AD56" s="10" t="n"/>
      <c r="AE56" s="10" t="n"/>
      <c r="AF56" s="10" t="n"/>
      <c r="AG56" s="10" t="n"/>
      <c r="AH56" s="10" t="n"/>
      <c r="AI56" s="10" t="n"/>
      <c r="AJ56" s="10" t="n"/>
      <c r="AK56" s="11" t="n"/>
    </row>
    <row r="57" ht="36" customHeight="1">
      <c r="B57" s="51" t="inlineStr">
        <is>
          <t>A</t>
        </is>
      </c>
      <c r="C57" s="11" t="n"/>
      <c r="D57" s="45" t="inlineStr">
        <is>
          <t>VP-A-NN</t>
        </is>
      </c>
      <c r="E57" s="10" t="n"/>
      <c r="F57" s="11" t="n"/>
      <c r="G57" s="46" t="inlineStr">
        <is>
          <t>セキュリティ・権限</t>
        </is>
      </c>
      <c r="H57" s="10" t="n"/>
      <c r="I57" s="10" t="n"/>
      <c r="J57" s="10" t="n"/>
      <c r="K57" s="10" t="n"/>
      <c r="L57" s="11" t="n"/>
      <c r="M57" s="45" t="n">
        <v>10</v>
      </c>
      <c r="N57" s="11" t="n"/>
      <c r="O57" s="45" t="inlineStr">
        <is>
          <t>高</t>
        </is>
      </c>
      <c r="P57" s="10" t="n"/>
      <c r="Q57" s="11" t="n"/>
      <c r="R57" s="46" t="inlineStr">
        <is>
          <t>RBAC、DataScope、項目レベル制限、URL直接攻撃、セッション失効、XSS、CSRF、レート制限、アカウントロック、SQL注入</t>
        </is>
      </c>
      <c r="S57" s="10" t="n"/>
      <c r="T57" s="10" t="n"/>
      <c r="U57" s="10" t="n"/>
      <c r="V57" s="10" t="n"/>
      <c r="W57" s="10" t="n"/>
      <c r="X57" s="10" t="n"/>
      <c r="Y57" s="10" t="n"/>
      <c r="Z57" s="10" t="n"/>
      <c r="AA57" s="10" t="n"/>
      <c r="AB57" s="10" t="n"/>
      <c r="AC57" s="10" t="n"/>
      <c r="AD57" s="10" t="n"/>
      <c r="AE57" s="10" t="n"/>
      <c r="AF57" s="10" t="n"/>
      <c r="AG57" s="10" t="n"/>
      <c r="AH57" s="10" t="n"/>
      <c r="AI57" s="10" t="n"/>
      <c r="AJ57" s="10" t="n"/>
      <c r="AK57" s="11" t="n"/>
    </row>
    <row r="58" ht="30" customHeight="1">
      <c r="B58" s="51" t="inlineStr">
        <is>
          <t>B</t>
        </is>
      </c>
      <c r="C58" s="11" t="n"/>
      <c r="D58" s="45" t="inlineStr">
        <is>
          <t>VP-B-NN</t>
        </is>
      </c>
      <c r="E58" s="10" t="n"/>
      <c r="F58" s="11" t="n"/>
      <c r="G58" s="46" t="inlineStr">
        <is>
          <t>データバリデーション</t>
        </is>
      </c>
      <c r="H58" s="10" t="n"/>
      <c r="I58" s="10" t="n"/>
      <c r="J58" s="10" t="n"/>
      <c r="K58" s="10" t="n"/>
      <c r="L58" s="11" t="n"/>
      <c r="M58" s="45" t="n">
        <v>9</v>
      </c>
      <c r="N58" s="11" t="n"/>
      <c r="O58" s="45" t="inlineStr">
        <is>
          <t>中</t>
        </is>
      </c>
      <c r="P58" s="10" t="n"/>
      <c r="Q58" s="11" t="n"/>
      <c r="R58" s="46" t="inlineStr">
        <is>
          <t>必須／長さ／形式／半角全角／日付／通貨／m_code／重複キー／IME・貼付ハンドリング</t>
        </is>
      </c>
      <c r="S58" s="10" t="n"/>
      <c r="T58" s="10" t="n"/>
      <c r="U58" s="10" t="n"/>
      <c r="V58" s="10" t="n"/>
      <c r="W58" s="10" t="n"/>
      <c r="X58" s="10" t="n"/>
      <c r="Y58" s="10" t="n"/>
      <c r="Z58" s="10" t="n"/>
      <c r="AA58" s="10" t="n"/>
      <c r="AB58" s="10" t="n"/>
      <c r="AC58" s="10" t="n"/>
      <c r="AD58" s="10" t="n"/>
      <c r="AE58" s="10" t="n"/>
      <c r="AF58" s="10" t="n"/>
      <c r="AG58" s="10" t="n"/>
      <c r="AH58" s="10" t="n"/>
      <c r="AI58" s="10" t="n"/>
      <c r="AJ58" s="10" t="n"/>
      <c r="AK58" s="11" t="n"/>
    </row>
    <row r="59" ht="36" customHeight="1">
      <c r="B59" s="51" t="inlineStr">
        <is>
          <t>C</t>
        </is>
      </c>
      <c r="C59" s="11" t="n"/>
      <c r="D59" s="45" t="inlineStr">
        <is>
          <t>VP-C-NN</t>
        </is>
      </c>
      <c r="E59" s="10" t="n"/>
      <c r="F59" s="11" t="n"/>
      <c r="G59" s="46" t="inlineStr">
        <is>
          <t>業務ロジック</t>
        </is>
      </c>
      <c r="H59" s="10" t="n"/>
      <c r="I59" s="10" t="n"/>
      <c r="J59" s="10" t="n"/>
      <c r="K59" s="10" t="n"/>
      <c r="L59" s="11" t="n"/>
      <c r="M59" s="45" t="n">
        <v>8</v>
      </c>
      <c r="N59" s="11" t="n"/>
      <c r="O59" s="45" t="inlineStr">
        <is>
          <t>高</t>
        </is>
      </c>
      <c r="P59" s="10" t="n"/>
      <c r="Q59" s="11" t="n"/>
      <c r="R59" s="46" t="inlineStr">
        <is>
          <t>CRUD 永続化、同時編集競合、論理削除＋FK、税計算、購読者ルール、Excel 取込、レポート集計</t>
        </is>
      </c>
      <c r="S59" s="10" t="n"/>
      <c r="T59" s="10" t="n"/>
      <c r="U59" s="10" t="n"/>
      <c r="V59" s="10" t="n"/>
      <c r="W59" s="10" t="n"/>
      <c r="X59" s="10" t="n"/>
      <c r="Y59" s="10" t="n"/>
      <c r="Z59" s="10" t="n"/>
      <c r="AA59" s="10" t="n"/>
      <c r="AB59" s="10" t="n"/>
      <c r="AC59" s="10" t="n"/>
      <c r="AD59" s="10" t="n"/>
      <c r="AE59" s="10" t="n"/>
      <c r="AF59" s="10" t="n"/>
      <c r="AG59" s="10" t="n"/>
      <c r="AH59" s="10" t="n"/>
      <c r="AI59" s="10" t="n"/>
      <c r="AJ59" s="10" t="n"/>
      <c r="AK59" s="11" t="n"/>
    </row>
    <row r="60" ht="36" customHeight="1">
      <c r="B60" s="51" t="inlineStr">
        <is>
          <t>D</t>
        </is>
      </c>
      <c r="C60" s="11" t="n"/>
      <c r="D60" s="45" t="inlineStr">
        <is>
          <t>VP-D-NN</t>
        </is>
      </c>
      <c r="E60" s="10" t="n"/>
      <c r="F60" s="11" t="n"/>
      <c r="G60" s="46" t="inlineStr">
        <is>
          <t>統合・システム</t>
        </is>
      </c>
      <c r="H60" s="10" t="n"/>
      <c r="I60" s="10" t="n"/>
      <c r="J60" s="10" t="n"/>
      <c r="K60" s="10" t="n"/>
      <c r="L60" s="11" t="n"/>
      <c r="M60" s="45" t="n">
        <v>9</v>
      </c>
      <c r="N60" s="11" t="n"/>
      <c r="O60" s="45" t="inlineStr">
        <is>
          <t>高</t>
        </is>
      </c>
      <c r="P60" s="10" t="n"/>
      <c r="Q60" s="11" t="n"/>
      <c r="R60" s="46" t="inlineStr">
        <is>
          <t>ログイン＋MFA、セッション管理、パスワード再発行、監査ログ、S3、メール、CSV 準拠、ネットワーク／500</t>
        </is>
      </c>
      <c r="S60" s="10" t="n"/>
      <c r="T60" s="10" t="n"/>
      <c r="U60" s="10" t="n"/>
      <c r="V60" s="10" t="n"/>
      <c r="W60" s="10" t="n"/>
      <c r="X60" s="10" t="n"/>
      <c r="Y60" s="10" t="n"/>
      <c r="Z60" s="10" t="n"/>
      <c r="AA60" s="10" t="n"/>
      <c r="AB60" s="10" t="n"/>
      <c r="AC60" s="10" t="n"/>
      <c r="AD60" s="10" t="n"/>
      <c r="AE60" s="10" t="n"/>
      <c r="AF60" s="10" t="n"/>
      <c r="AG60" s="10" t="n"/>
      <c r="AH60" s="10" t="n"/>
      <c r="AI60" s="10" t="n"/>
      <c r="AJ60" s="10" t="n"/>
      <c r="AK60" s="11" t="n"/>
    </row>
    <row r="61" ht="36" customHeight="1">
      <c r="B61" s="51" t="inlineStr">
        <is>
          <t>E</t>
        </is>
      </c>
      <c r="C61" s="11" t="n"/>
      <c r="D61" s="45" t="inlineStr">
        <is>
          <t>VP-E-NN</t>
        </is>
      </c>
      <c r="E61" s="10" t="n"/>
      <c r="F61" s="11" t="n"/>
      <c r="G61" s="46" t="inlineStr">
        <is>
          <t>非機能・ユーザビリティ</t>
        </is>
      </c>
      <c r="H61" s="10" t="n"/>
      <c r="I61" s="10" t="n"/>
      <c r="J61" s="10" t="n"/>
      <c r="K61" s="10" t="n"/>
      <c r="L61" s="11" t="n"/>
      <c r="M61" s="45" t="n">
        <v>6</v>
      </c>
      <c r="N61" s="11" t="n"/>
      <c r="O61" s="45" t="inlineStr">
        <is>
          <t>低〜中</t>
        </is>
      </c>
      <c r="P61" s="10" t="n"/>
      <c r="Q61" s="11" t="n"/>
      <c r="R61" s="46" t="inlineStr">
        <is>
          <t>レイアウト、レスポンシブ、キーボード操作、ブラウザ互換、マルチタブ同期、未保存変更ガード</t>
        </is>
      </c>
      <c r="S61" s="10" t="n"/>
      <c r="T61" s="10" t="n"/>
      <c r="U61" s="10" t="n"/>
      <c r="V61" s="10" t="n"/>
      <c r="W61" s="10" t="n"/>
      <c r="X61" s="10" t="n"/>
      <c r="Y61" s="10" t="n"/>
      <c r="Z61" s="10" t="n"/>
      <c r="AA61" s="10" t="n"/>
      <c r="AB61" s="10" t="n"/>
      <c r="AC61" s="10" t="n"/>
      <c r="AD61" s="10" t="n"/>
      <c r="AE61" s="10" t="n"/>
      <c r="AF61" s="10" t="n"/>
      <c r="AG61" s="10" t="n"/>
      <c r="AH61" s="10" t="n"/>
      <c r="AI61" s="10" t="n"/>
      <c r="AJ61" s="10" t="n"/>
      <c r="AK61" s="11" t="n"/>
    </row>
    <row r="62" ht="30" customHeight="1">
      <c r="B62" s="51" t="inlineStr">
        <is>
          <t>F</t>
        </is>
      </c>
      <c r="C62" s="11" t="n"/>
      <c r="D62" s="45" t="inlineStr">
        <is>
          <t>VP-F-NN</t>
        </is>
      </c>
      <c r="E62" s="10" t="n"/>
      <c r="F62" s="11" t="n"/>
      <c r="G62" s="46" t="inlineStr">
        <is>
          <t>性能</t>
        </is>
      </c>
      <c r="H62" s="10" t="n"/>
      <c r="I62" s="10" t="n"/>
      <c r="J62" s="10" t="n"/>
      <c r="K62" s="10" t="n"/>
      <c r="L62" s="11" t="n"/>
      <c r="M62" s="45" t="n">
        <v>2</v>
      </c>
      <c r="N62" s="11" t="n"/>
      <c r="O62" s="45" t="inlineStr">
        <is>
          <t>中</t>
        </is>
      </c>
      <c r="P62" s="10" t="n"/>
      <c r="Q62" s="11" t="n"/>
      <c r="R62" s="46" t="inlineStr">
        <is>
          <t>性能ベンチマーク、大量データ表示性能</t>
        </is>
      </c>
      <c r="S62" s="10" t="n"/>
      <c r="T62" s="10" t="n"/>
      <c r="U62" s="10" t="n"/>
      <c r="V62" s="10" t="n"/>
      <c r="W62" s="10" t="n"/>
      <c r="X62" s="10" t="n"/>
      <c r="Y62" s="10" t="n"/>
      <c r="Z62" s="10" t="n"/>
      <c r="AA62" s="10" t="n"/>
      <c r="AB62" s="10" t="n"/>
      <c r="AC62" s="10" t="n"/>
      <c r="AD62" s="10" t="n"/>
      <c r="AE62" s="10" t="n"/>
      <c r="AF62" s="10" t="n"/>
      <c r="AG62" s="10" t="n"/>
      <c r="AH62" s="10" t="n"/>
      <c r="AI62" s="10" t="n"/>
      <c r="AJ62" s="10" t="n"/>
      <c r="AK62" s="11" t="n"/>
    </row>
    <row r="64" ht="30" customHeight="1">
      <c r="B64" s="52" t="inlineStr">
        <is>
          <t>命名規約：VP-{グループ記号}-{NN} 形式（NN はグループ内の2桁連番）。新規観点は同グループの末尾に追加する（例：VP-A-11）。グループ記号はリスク軸による分類で、JSTQB FL の品質特性区分に準拠する。</t>
        </is>
      </c>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c r="AH64" s="10" t="n"/>
      <c r="AI64" s="10" t="n"/>
      <c r="AJ64" s="10" t="n"/>
      <c r="AK64" s="11" t="n"/>
    </row>
  </sheetData>
  <mergeCells count="333">
    <mergeCell ref="AD34:AF34"/>
    <mergeCell ref="AD28:AF28"/>
    <mergeCell ref="C21:E21"/>
    <mergeCell ref="AD36:AF36"/>
    <mergeCell ref="AD30:AF30"/>
    <mergeCell ref="M60:N60"/>
    <mergeCell ref="C23:E23"/>
    <mergeCell ref="J1:P1"/>
    <mergeCell ref="AH2:AK3"/>
    <mergeCell ref="M31:T31"/>
    <mergeCell ref="C18:E18"/>
    <mergeCell ref="C34:E34"/>
    <mergeCell ref="F18:L18"/>
    <mergeCell ref="F45:L45"/>
    <mergeCell ref="AD29:AF29"/>
    <mergeCell ref="F17:L17"/>
    <mergeCell ref="U20:V20"/>
    <mergeCell ref="W7:AC7"/>
    <mergeCell ref="U14:V14"/>
    <mergeCell ref="F47:L47"/>
    <mergeCell ref="F46:L46"/>
    <mergeCell ref="U22:V22"/>
    <mergeCell ref="W8:AC8"/>
    <mergeCell ref="F48:L48"/>
    <mergeCell ref="Z1:AC1"/>
    <mergeCell ref="O59:Q59"/>
    <mergeCell ref="AD49:AF49"/>
    <mergeCell ref="O61:Q61"/>
    <mergeCell ref="U13:V13"/>
    <mergeCell ref="U7:V7"/>
    <mergeCell ref="AD50:AF50"/>
    <mergeCell ref="AD42:AF42"/>
    <mergeCell ref="AD52:AF52"/>
    <mergeCell ref="C24:E24"/>
    <mergeCell ref="U8:V8"/>
    <mergeCell ref="C26:E26"/>
    <mergeCell ref="U10:V10"/>
    <mergeCell ref="M32:T32"/>
    <mergeCell ref="W21:AC21"/>
    <mergeCell ref="G62:L62"/>
    <mergeCell ref="AD32:AF32"/>
    <mergeCell ref="AD26:AF26"/>
    <mergeCell ref="W10:AC10"/>
    <mergeCell ref="M16:T16"/>
    <mergeCell ref="C37:E37"/>
    <mergeCell ref="U21:V21"/>
    <mergeCell ref="M27:T27"/>
    <mergeCell ref="M18:T18"/>
    <mergeCell ref="F51:L51"/>
    <mergeCell ref="M45:T45"/>
    <mergeCell ref="AH1:AK1"/>
    <mergeCell ref="C14:E14"/>
    <mergeCell ref="F38:L38"/>
    <mergeCell ref="U35:V35"/>
    <mergeCell ref="AD45:AF45"/>
    <mergeCell ref="W29:AC29"/>
    <mergeCell ref="W23:AC23"/>
    <mergeCell ref="C27:E27"/>
    <mergeCell ref="M40:T40"/>
    <mergeCell ref="AD7:AF7"/>
    <mergeCell ref="W24:AC24"/>
    <mergeCell ref="M12:T12"/>
    <mergeCell ref="O57:Q57"/>
    <mergeCell ref="W51:AC51"/>
    <mergeCell ref="W26:AC26"/>
    <mergeCell ref="M41:T41"/>
    <mergeCell ref="M57:N57"/>
    <mergeCell ref="M24:T24"/>
    <mergeCell ref="C45:E45"/>
    <mergeCell ref="U29:V29"/>
    <mergeCell ref="U23:V23"/>
    <mergeCell ref="C47:E47"/>
    <mergeCell ref="U31:V31"/>
    <mergeCell ref="W42:AC42"/>
    <mergeCell ref="C40:E40"/>
    <mergeCell ref="C51:E51"/>
    <mergeCell ref="W19:AC19"/>
    <mergeCell ref="W37:AC37"/>
    <mergeCell ref="F19:L19"/>
    <mergeCell ref="M37:T37"/>
    <mergeCell ref="U42:V42"/>
    <mergeCell ref="AD48:AF48"/>
    <mergeCell ref="W32:AC32"/>
    <mergeCell ref="R56:AK56"/>
    <mergeCell ref="M14:T14"/>
    <mergeCell ref="M43:T43"/>
    <mergeCell ref="AD10:AF10"/>
    <mergeCell ref="W27:AC27"/>
    <mergeCell ref="F9:L9"/>
    <mergeCell ref="C46:E46"/>
    <mergeCell ref="R59:AK59"/>
    <mergeCell ref="W44:AC44"/>
    <mergeCell ref="C48:E48"/>
    <mergeCell ref="U32:V32"/>
    <mergeCell ref="U47:V47"/>
    <mergeCell ref="M25:T25"/>
    <mergeCell ref="W45:AC45"/>
    <mergeCell ref="M33:T33"/>
    <mergeCell ref="W20:AC20"/>
    <mergeCell ref="B64:AK64"/>
    <mergeCell ref="AD21:AF21"/>
    <mergeCell ref="W47:AC47"/>
    <mergeCell ref="W22:AC22"/>
    <mergeCell ref="AD23:AF23"/>
    <mergeCell ref="U50:V50"/>
    <mergeCell ref="U44:V44"/>
    <mergeCell ref="C16:E16"/>
    <mergeCell ref="F22:L22"/>
    <mergeCell ref="C9:E9"/>
    <mergeCell ref="U45:V45"/>
    <mergeCell ref="B58:C58"/>
    <mergeCell ref="R57:AK57"/>
    <mergeCell ref="C36:E36"/>
    <mergeCell ref="C11:E11"/>
    <mergeCell ref="M51:T51"/>
    <mergeCell ref="F11:L11"/>
    <mergeCell ref="B60:C60"/>
    <mergeCell ref="AD16:AF16"/>
    <mergeCell ref="W33:AC33"/>
    <mergeCell ref="F40:L40"/>
    <mergeCell ref="AD18:AF18"/>
    <mergeCell ref="F12:L12"/>
    <mergeCell ref="W35:AC35"/>
    <mergeCell ref="D59:F59"/>
    <mergeCell ref="V1:Y1"/>
    <mergeCell ref="AD17:AF17"/>
    <mergeCell ref="G59:L59"/>
    <mergeCell ref="F41:L41"/>
    <mergeCell ref="R62:AK62"/>
    <mergeCell ref="F35:L35"/>
    <mergeCell ref="G61:L61"/>
    <mergeCell ref="W46:AC46"/>
    <mergeCell ref="M34:T34"/>
    <mergeCell ref="B59:C59"/>
    <mergeCell ref="D61:F61"/>
    <mergeCell ref="AD31:AF31"/>
    <mergeCell ref="W48:AC48"/>
    <mergeCell ref="M49:T49"/>
    <mergeCell ref="D62:F62"/>
    <mergeCell ref="D56:F56"/>
    <mergeCell ref="C17:E17"/>
    <mergeCell ref="F34:L34"/>
    <mergeCell ref="O60:Q60"/>
    <mergeCell ref="F25:L25"/>
    <mergeCell ref="C19:E19"/>
    <mergeCell ref="F30:L30"/>
    <mergeCell ref="B52:T52"/>
    <mergeCell ref="G56:L56"/>
    <mergeCell ref="W41:AC41"/>
    <mergeCell ref="W43:AC43"/>
    <mergeCell ref="AD44:AF44"/>
    <mergeCell ref="AD19:AF19"/>
    <mergeCell ref="F13:L13"/>
    <mergeCell ref="M59:N59"/>
    <mergeCell ref="F43:L43"/>
    <mergeCell ref="AD27:AF27"/>
    <mergeCell ref="M9:T9"/>
    <mergeCell ref="M20:T20"/>
    <mergeCell ref="O62:Q62"/>
    <mergeCell ref="M11:T11"/>
    <mergeCell ref="O56:Q56"/>
    <mergeCell ref="U16:V16"/>
    <mergeCell ref="B61:C61"/>
    <mergeCell ref="C7:E7"/>
    <mergeCell ref="AD22:AF22"/>
    <mergeCell ref="M22:T22"/>
    <mergeCell ref="AD37:AF37"/>
    <mergeCell ref="M15:T15"/>
    <mergeCell ref="U28:V28"/>
    <mergeCell ref="AD9:AF9"/>
    <mergeCell ref="AD47:AF47"/>
    <mergeCell ref="J2:P3"/>
    <mergeCell ref="F33:L33"/>
    <mergeCell ref="F8:L8"/>
    <mergeCell ref="AD38:AF38"/>
    <mergeCell ref="W16:AC16"/>
    <mergeCell ref="C20:E20"/>
    <mergeCell ref="C25:E25"/>
    <mergeCell ref="D57:F57"/>
    <mergeCell ref="F31:L31"/>
    <mergeCell ref="F28:L28"/>
    <mergeCell ref="G57:L57"/>
    <mergeCell ref="W18:AC18"/>
    <mergeCell ref="C22:E22"/>
    <mergeCell ref="F39:L39"/>
    <mergeCell ref="W17:AC17"/>
    <mergeCell ref="W11:AC11"/>
    <mergeCell ref="M35:T35"/>
    <mergeCell ref="G58:L58"/>
    <mergeCell ref="Z2:AC3"/>
    <mergeCell ref="AD2:AG3"/>
    <mergeCell ref="C38:E38"/>
    <mergeCell ref="C13:E13"/>
    <mergeCell ref="M30:T30"/>
    <mergeCell ref="F21:L21"/>
    <mergeCell ref="U24:V24"/>
    <mergeCell ref="M46:T46"/>
    <mergeCell ref="D60:F60"/>
    <mergeCell ref="U18:V18"/>
    <mergeCell ref="C15:E15"/>
    <mergeCell ref="C33:E33"/>
    <mergeCell ref="F50:L50"/>
    <mergeCell ref="A1:I1"/>
    <mergeCell ref="W12:AC12"/>
    <mergeCell ref="U19:V19"/>
    <mergeCell ref="C35:E35"/>
    <mergeCell ref="C10:E10"/>
    <mergeCell ref="AD46:AF46"/>
    <mergeCell ref="AD40:AF40"/>
    <mergeCell ref="F49:L49"/>
    <mergeCell ref="F14:L14"/>
    <mergeCell ref="Q2:U3"/>
    <mergeCell ref="AD41:AF41"/>
    <mergeCell ref="D58:F58"/>
    <mergeCell ref="U37:V37"/>
    <mergeCell ref="M13:T13"/>
    <mergeCell ref="M7:T7"/>
    <mergeCell ref="C28:E28"/>
    <mergeCell ref="U12:V12"/>
    <mergeCell ref="AD43:AF43"/>
    <mergeCell ref="G60:L60"/>
    <mergeCell ref="C30:E30"/>
    <mergeCell ref="M36:T36"/>
    <mergeCell ref="M8:T8"/>
    <mergeCell ref="B54:AK54"/>
    <mergeCell ref="U26:V26"/>
    <mergeCell ref="AD25:AF25"/>
    <mergeCell ref="C41:E41"/>
    <mergeCell ref="W9:AC9"/>
    <mergeCell ref="F37:L37"/>
    <mergeCell ref="C43:E43"/>
    <mergeCell ref="U27:V27"/>
    <mergeCell ref="W14:AC14"/>
    <mergeCell ref="W38:AC38"/>
    <mergeCell ref="W13:AC13"/>
    <mergeCell ref="U25:V25"/>
    <mergeCell ref="O58:Q58"/>
    <mergeCell ref="W40:AC40"/>
    <mergeCell ref="W15:AC15"/>
    <mergeCell ref="M21:T21"/>
    <mergeCell ref="F15:L15"/>
    <mergeCell ref="M61:N61"/>
    <mergeCell ref="AD1:AG1"/>
    <mergeCell ref="F42:L42"/>
    <mergeCell ref="M26:T26"/>
    <mergeCell ref="AD51:AF51"/>
    <mergeCell ref="U38:V38"/>
    <mergeCell ref="C29:E29"/>
    <mergeCell ref="M56:N56"/>
    <mergeCell ref="U40:V40"/>
    <mergeCell ref="C44:E44"/>
    <mergeCell ref="C31:E31"/>
    <mergeCell ref="U15:V15"/>
    <mergeCell ref="M39:T39"/>
    <mergeCell ref="AD11:AF11"/>
    <mergeCell ref="W28:AC28"/>
    <mergeCell ref="F10:L10"/>
    <mergeCell ref="Q1:U1"/>
    <mergeCell ref="M28:T28"/>
    <mergeCell ref="C49:E49"/>
    <mergeCell ref="U33:V33"/>
    <mergeCell ref="AD39:AF39"/>
    <mergeCell ref="C42:E42"/>
    <mergeCell ref="AD24:AF24"/>
    <mergeCell ref="M62:N62"/>
    <mergeCell ref="M29:T29"/>
    <mergeCell ref="M23:T23"/>
    <mergeCell ref="U46:V46"/>
    <mergeCell ref="C12:E12"/>
    <mergeCell ref="U48:V48"/>
    <mergeCell ref="C39:E39"/>
    <mergeCell ref="W34:AC34"/>
    <mergeCell ref="U41:V41"/>
    <mergeCell ref="W25:AC25"/>
    <mergeCell ref="C32:E32"/>
    <mergeCell ref="W36:AC36"/>
    <mergeCell ref="U43:V43"/>
    <mergeCell ref="F7:L7"/>
    <mergeCell ref="W30:AC30"/>
    <mergeCell ref="AD12:AF12"/>
    <mergeCell ref="M42:T42"/>
    <mergeCell ref="A2:I3"/>
    <mergeCell ref="M17:T17"/>
    <mergeCell ref="F36:L36"/>
    <mergeCell ref="AD20:AF20"/>
    <mergeCell ref="M47:T47"/>
    <mergeCell ref="AD14:AF14"/>
    <mergeCell ref="W31:AC31"/>
    <mergeCell ref="M19:T19"/>
    <mergeCell ref="AD13:AF13"/>
    <mergeCell ref="C50:E50"/>
    <mergeCell ref="U34:V34"/>
    <mergeCell ref="U9:V9"/>
    <mergeCell ref="R58:AK58"/>
    <mergeCell ref="AD15:AF15"/>
    <mergeCell ref="M44:T44"/>
    <mergeCell ref="U49:V49"/>
    <mergeCell ref="U36:V36"/>
    <mergeCell ref="B56:C56"/>
    <mergeCell ref="R60:AK60"/>
    <mergeCell ref="U30:V30"/>
    <mergeCell ref="F29:L29"/>
    <mergeCell ref="W49:AC49"/>
    <mergeCell ref="M10:T10"/>
    <mergeCell ref="B57:C57"/>
    <mergeCell ref="F24:L24"/>
    <mergeCell ref="AD8:AF8"/>
    <mergeCell ref="F32:L32"/>
    <mergeCell ref="F26:L26"/>
    <mergeCell ref="U51:V51"/>
    <mergeCell ref="V2:Y3"/>
    <mergeCell ref="M50:T50"/>
    <mergeCell ref="M58:N58"/>
    <mergeCell ref="B62:C62"/>
    <mergeCell ref="R61:AK61"/>
    <mergeCell ref="F27:L27"/>
    <mergeCell ref="W52:AC52"/>
    <mergeCell ref="W39:AC39"/>
    <mergeCell ref="M48:T48"/>
    <mergeCell ref="U17:V17"/>
    <mergeCell ref="U11:V11"/>
    <mergeCell ref="F44:L44"/>
    <mergeCell ref="C8:E8"/>
    <mergeCell ref="F16:L16"/>
    <mergeCell ref="F20:L20"/>
    <mergeCell ref="U52:V52"/>
    <mergeCell ref="B5:AK5"/>
    <mergeCell ref="U39:V39"/>
    <mergeCell ref="AD33:AF33"/>
    <mergeCell ref="W50:AC50"/>
    <mergeCell ref="M38:T38"/>
    <mergeCell ref="AD35:AF35"/>
    <mergeCell ref="F23:L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Q63"/>
  <sheetViews>
    <sheetView showGridLines="0" workbookViewId="0">
      <selection activeCell="A1" sqref="A1"/>
    </sheetView>
  </sheetViews>
  <sheetFormatPr baseColWidth="8" defaultColWidth="12.63" defaultRowHeight="15"/>
  <cols>
    <col width="4" customWidth="1" min="1" max="1"/>
    <col width="4" customWidth="1" min="2" max="2"/>
    <col width="4" customWidth="1" min="3" max="3"/>
    <col width="4" customWidth="1" min="4" max="4"/>
    <col width="4" customWidth="1" min="5" max="5"/>
    <col width="4" customWidth="1" min="6" max="6"/>
    <col width="4" customWidth="1" min="7" max="7"/>
    <col width="4" customWidth="1" min="8" max="8"/>
    <col width="4" customWidth="1" min="9" max="9"/>
    <col width="4" customWidth="1" min="10" max="10"/>
    <col width="4" customWidth="1" min="11" max="11"/>
    <col width="4" customWidth="1" min="12" max="12"/>
    <col width="4"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4" customWidth="1" min="27" max="27"/>
    <col width="4" customWidth="1" min="28" max="28"/>
    <col width="4" customWidth="1" min="29" max="29"/>
    <col width="4" customWidth="1" min="30" max="30"/>
    <col width="4" customWidth="1" min="31" max="31"/>
    <col width="4" customWidth="1" min="32" max="32"/>
    <col width="4" customWidth="1" min="33" max="33"/>
    <col width="4" customWidth="1" min="34" max="34"/>
    <col width="4" customWidth="1" min="35" max="35"/>
    <col width="4" customWidth="1" min="36" max="36"/>
    <col width="4" customWidth="1" min="37" max="37"/>
    <col width="4" customWidth="1" min="38" max="38"/>
    <col width="4" customWidth="1" min="39" max="39"/>
    <col width="4" customWidth="1" min="40" max="40"/>
    <col width="4" customWidth="1" min="41" max="41"/>
    <col width="4" customWidth="1" min="42" max="42"/>
    <col width="4" customWidth="1" min="43" max="43"/>
    <col width="4" customWidth="1" min="44" max="44"/>
    <col width="4" customWidth="1" min="45" max="45"/>
    <col width="4" customWidth="1" min="46" max="46"/>
    <col width="4" customWidth="1" min="47" max="47"/>
    <col width="4" customWidth="1" min="48" max="48"/>
    <col width="4" customWidth="1" min="49" max="49"/>
    <col width="4" customWidth="1" min="50" max="50"/>
    <col width="4" customWidth="1" min="51" max="51"/>
    <col width="4" customWidth="1" min="52" max="52"/>
    <col width="4" customWidth="1" min="53" max="53"/>
    <col width="4" customWidth="1" min="54" max="54"/>
    <col width="4" customWidth="1" min="55" max="55"/>
    <col width="4" customWidth="1" min="56" max="56"/>
    <col width="4" customWidth="1" min="57" max="57"/>
    <col width="4" customWidth="1" min="58" max="58"/>
    <col width="4" customWidth="1" min="59" max="59"/>
    <col width="4" customWidth="1" min="60" max="60"/>
    <col width="4" customWidth="1" min="61" max="61"/>
    <col width="4" customWidth="1" min="62" max="62"/>
    <col width="4" customWidth="1" min="63" max="63"/>
    <col width="4" customWidth="1" min="64" max="64"/>
    <col width="4" customWidth="1" min="65" max="65"/>
    <col width="4" customWidth="1" min="66" max="66"/>
    <col width="4" customWidth="1" min="67" max="67"/>
    <col width="4" customWidth="1" min="68" max="68"/>
    <col width="4" customWidth="1" min="69" max="69"/>
  </cols>
  <sheetData>
    <row r="1" ht="22.5" customHeight="1">
      <c r="A1" s="43" t="inlineStr">
        <is>
          <t>テストレベル</t>
        </is>
      </c>
      <c r="B1" s="10" t="n"/>
      <c r="C1" s="10" t="n"/>
      <c r="D1" s="10" t="n"/>
      <c r="E1" s="11" t="n"/>
      <c r="F1" s="20" t="inlineStr">
        <is>
          <t>結合テスト</t>
        </is>
      </c>
      <c r="G1" s="10" t="n"/>
      <c r="H1" s="10" t="n"/>
      <c r="I1" s="10" t="n"/>
      <c r="J1" s="10" t="n"/>
      <c r="K1" s="10" t="n"/>
      <c r="L1" s="10" t="n"/>
      <c r="M1" s="10" t="n"/>
      <c r="N1" s="10" t="n"/>
      <c r="O1" s="10" t="n"/>
      <c r="P1" s="10" t="n"/>
      <c r="Q1" s="11" t="n"/>
      <c r="R1" s="43" t="inlineStr">
        <is>
          <t>機能／モジュール</t>
        </is>
      </c>
      <c r="S1" s="10" t="n"/>
      <c r="T1" s="10" t="n"/>
      <c r="U1" s="10" t="n"/>
      <c r="V1" s="11" t="n"/>
      <c r="W1" s="20" t="inlineStr">
        <is>
          <t>ACSMS-SCR-020_口座振替データ出力画面</t>
        </is>
      </c>
      <c r="X1" s="10" t="n"/>
      <c r="Y1" s="10" t="n"/>
      <c r="Z1" s="10" t="n"/>
      <c r="AA1" s="10" t="n"/>
      <c r="AB1" s="10" t="n"/>
      <c r="AC1" s="10" t="n"/>
      <c r="AD1" s="10" t="n"/>
      <c r="AE1" s="10" t="n"/>
      <c r="AF1" s="10" t="n"/>
      <c r="AG1" s="10" t="n"/>
      <c r="AH1" s="11" t="n"/>
    </row>
    <row r="2" ht="22.5" customHeight="1">
      <c r="A2" s="43" t="inlineStr">
        <is>
          <t>作成者</t>
        </is>
      </c>
      <c r="B2" s="10" t="n"/>
      <c r="C2" s="10" t="n"/>
      <c r="D2" s="10" t="n"/>
      <c r="E2" s="11" t="n"/>
      <c r="F2" s="20" t="inlineStr">
        <is>
          <t>Kieu Thi Diem</t>
        </is>
      </c>
      <c r="G2" s="10" t="n"/>
      <c r="H2" s="10" t="n"/>
      <c r="I2" s="10" t="n"/>
      <c r="J2" s="10" t="n"/>
      <c r="K2" s="10" t="n"/>
      <c r="L2" s="10" t="n"/>
      <c r="M2" s="10" t="n"/>
      <c r="N2" s="10" t="n"/>
      <c r="O2" s="10" t="n"/>
      <c r="P2" s="10" t="n"/>
      <c r="Q2" s="11" t="n"/>
      <c r="R2" s="43" t="inlineStr">
        <is>
          <t>作成日</t>
        </is>
      </c>
      <c r="S2" s="10" t="n"/>
      <c r="T2" s="10" t="n"/>
      <c r="U2" s="10" t="n"/>
      <c r="V2" s="11" t="n"/>
      <c r="W2" s="33" t="inlineStr">
        <is>
          <t>2026/06/17</t>
        </is>
      </c>
      <c r="X2" s="10" t="n"/>
      <c r="Y2" s="10" t="n"/>
      <c r="Z2" s="10" t="n"/>
      <c r="AA2" s="10" t="n"/>
      <c r="AB2" s="10" t="n"/>
      <c r="AC2" s="10" t="n"/>
      <c r="AD2" s="10" t="n"/>
      <c r="AE2" s="10" t="n"/>
      <c r="AF2" s="10" t="n"/>
      <c r="AG2" s="10" t="n"/>
      <c r="AH2" s="11" t="n"/>
    </row>
    <row r="3" ht="22.5" customHeight="1">
      <c r="A3" s="43" t="inlineStr">
        <is>
          <t>確認者</t>
        </is>
      </c>
      <c r="B3" s="10" t="n"/>
      <c r="C3" s="10" t="n"/>
      <c r="D3" s="10" t="n"/>
      <c r="E3" s="11" t="n"/>
      <c r="F3" s="20" t="inlineStr">
        <is>
          <t>Nguyen Huy Dat</t>
        </is>
      </c>
      <c r="G3" s="10" t="n"/>
      <c r="H3" s="10" t="n"/>
      <c r="I3" s="10" t="n"/>
      <c r="J3" s="10" t="n"/>
      <c r="K3" s="10" t="n"/>
      <c r="L3" s="10" t="n"/>
      <c r="M3" s="10" t="n"/>
      <c r="N3" s="10" t="n"/>
      <c r="O3" s="10" t="n"/>
      <c r="P3" s="10" t="n"/>
      <c r="Q3" s="11" t="n"/>
      <c r="R3" s="43" t="inlineStr">
        <is>
          <t>確認日</t>
        </is>
      </c>
      <c r="S3" s="10" t="n"/>
      <c r="T3" s="10" t="n"/>
      <c r="U3" s="10" t="n"/>
      <c r="V3" s="11" t="n"/>
      <c r="W3" s="33" t="inlineStr"/>
      <c r="X3" s="10" t="n"/>
      <c r="Y3" s="10" t="n"/>
      <c r="Z3" s="10" t="n"/>
      <c r="AA3" s="10" t="n"/>
      <c r="AB3" s="10" t="n"/>
      <c r="AC3" s="10" t="n"/>
      <c r="AD3" s="10" t="n"/>
      <c r="AE3" s="10" t="n"/>
      <c r="AF3" s="10" t="n"/>
      <c r="AG3" s="10" t="n"/>
      <c r="AH3" s="11" t="n"/>
    </row>
    <row r="4" ht="22.5" customHeight="1">
      <c r="A4" s="43" t="inlineStr">
        <is>
          <t>テスト環境</t>
        </is>
      </c>
      <c r="B4" s="10" t="n"/>
      <c r="C4" s="10" t="n"/>
      <c r="D4" s="10" t="n"/>
      <c r="E4" s="11" t="n"/>
      <c r="F4" s="20" t="inlineStr">
        <is>
          <t>Windows 10/11, Chrome, Edge</t>
        </is>
      </c>
      <c r="G4" s="10" t="n"/>
      <c r="H4" s="10" t="n"/>
      <c r="I4" s="10" t="n"/>
      <c r="J4" s="10" t="n"/>
      <c r="K4" s="10" t="n"/>
      <c r="L4" s="10" t="n"/>
      <c r="M4" s="10" t="n"/>
      <c r="N4" s="10" t="n"/>
      <c r="O4" s="10" t="n"/>
      <c r="P4" s="10" t="n"/>
      <c r="Q4" s="10" t="n"/>
      <c r="R4" s="10" t="n"/>
      <c r="S4" s="10" t="n"/>
      <c r="T4" s="10" t="n"/>
      <c r="U4" s="10" t="n"/>
      <c r="V4" s="10" t="n"/>
      <c r="W4" s="10" t="n"/>
      <c r="X4" s="10" t="n"/>
      <c r="Y4" s="10" t="n"/>
      <c r="Z4" s="10" t="n"/>
      <c r="AA4" s="10" t="n"/>
      <c r="AB4" s="10" t="n"/>
      <c r="AC4" s="10" t="n"/>
      <c r="AD4" s="10" t="n"/>
      <c r="AE4" s="10" t="n"/>
      <c r="AF4" s="10" t="n"/>
      <c r="AG4" s="10" t="n"/>
      <c r="AH4" s="11" t="n"/>
    </row>
    <row r="5" ht="22.5" customHeight="1">
      <c r="A5" s="43" t="inlineStr">
        <is>
          <t>分類</t>
        </is>
      </c>
      <c r="B5" s="10" t="n"/>
      <c r="C5" s="10" t="n"/>
      <c r="D5" s="10" t="n"/>
      <c r="E5" s="10" t="n"/>
      <c r="F5" s="10" t="n"/>
      <c r="G5" s="10" t="n"/>
      <c r="H5" s="10" t="n"/>
      <c r="I5" s="10" t="n"/>
      <c r="J5" s="10" t="n"/>
      <c r="K5" s="10" t="n"/>
      <c r="L5" s="10" t="n"/>
      <c r="M5" s="10" t="n"/>
      <c r="N5" s="10" t="n"/>
      <c r="O5" s="10" t="n"/>
      <c r="P5" s="10" t="n"/>
      <c r="Q5" s="10" t="n"/>
      <c r="R5" s="10" t="n"/>
      <c r="S5" s="11" t="n"/>
      <c r="T5" s="43" t="inlineStr">
        <is>
          <t>テスト結果</t>
        </is>
      </c>
      <c r="U5" s="10" t="n"/>
      <c r="V5" s="10" t="n"/>
      <c r="W5" s="10" t="n"/>
      <c r="X5" s="10" t="n"/>
      <c r="Y5" s="10" t="n"/>
      <c r="Z5" s="10" t="n"/>
      <c r="AA5" s="10" t="n"/>
      <c r="AB5" s="10" t="n"/>
      <c r="AC5" s="10" t="n"/>
      <c r="AD5" s="10" t="n"/>
      <c r="AE5" s="10" t="n"/>
      <c r="AF5" s="10" t="n"/>
      <c r="AG5" s="10" t="n"/>
      <c r="AH5" s="11" t="n"/>
    </row>
    <row r="6" ht="22.5" customHeight="1">
      <c r="A6" s="43" t="inlineStr">
        <is>
          <t>回目</t>
        </is>
      </c>
      <c r="B6" s="10" t="n"/>
      <c r="C6" s="10" t="n"/>
      <c r="D6" s="10" t="n"/>
      <c r="E6" s="10" t="n"/>
      <c r="F6" s="10" t="n"/>
      <c r="G6" s="11" t="n"/>
      <c r="H6" s="43" t="inlineStr">
        <is>
          <t>正常</t>
        </is>
      </c>
      <c r="I6" s="10" t="n"/>
      <c r="J6" s="11" t="n"/>
      <c r="K6" s="43" t="inlineStr">
        <is>
          <t>異常</t>
        </is>
      </c>
      <c r="L6" s="10" t="n"/>
      <c r="M6" s="11" t="n"/>
      <c r="N6" s="43" t="inlineStr">
        <is>
          <t>境界値</t>
        </is>
      </c>
      <c r="O6" s="10" t="n"/>
      <c r="P6" s="11" t="n"/>
      <c r="Q6" s="43" t="inlineStr">
        <is>
          <t>合計</t>
        </is>
      </c>
      <c r="R6" s="10" t="n"/>
      <c r="S6" s="11" t="n"/>
      <c r="T6" s="43" t="inlineStr">
        <is>
          <t>合格</t>
        </is>
      </c>
      <c r="U6" s="10" t="n"/>
      <c r="V6" s="11" t="n"/>
      <c r="W6" s="43" t="inlineStr">
        <is>
          <t>不合格</t>
        </is>
      </c>
      <c r="X6" s="10" t="n"/>
      <c r="Y6" s="11" t="n"/>
      <c r="Z6" s="43" t="inlineStr">
        <is>
          <t>未テスト</t>
        </is>
      </c>
      <c r="AA6" s="10" t="n"/>
      <c r="AB6" s="11" t="n"/>
      <c r="AC6" s="43" t="inlineStr">
        <is>
          <t>N/A</t>
        </is>
      </c>
      <c r="AD6" s="10" t="n"/>
      <c r="AE6" s="11" t="n"/>
      <c r="AF6" s="43" t="inlineStr">
        <is>
          <t>合計</t>
        </is>
      </c>
      <c r="AG6" s="10" t="n"/>
      <c r="AH6" s="11" t="n"/>
    </row>
    <row r="7" ht="22.5" customHeight="1">
      <c r="A7" s="43" t="inlineStr">
        <is>
          <t>1回目</t>
        </is>
      </c>
      <c r="B7" s="10" t="n"/>
      <c r="C7" s="10" t="n"/>
      <c r="D7" s="10" t="n"/>
      <c r="E7" s="10" t="n"/>
      <c r="F7" s="10" t="n"/>
      <c r="G7" s="11" t="n"/>
      <c r="H7" s="19">
        <f>COUNTIF($AE$12:$AF$1049,"N")</f>
        <v/>
      </c>
      <c r="I7" s="10" t="n"/>
      <c r="J7" s="11" t="n"/>
      <c r="K7" s="19">
        <f>COUNTIF($AE$12:$AF$1049,"A")</f>
        <v/>
      </c>
      <c r="L7" s="10" t="n"/>
      <c r="M7" s="11" t="n"/>
      <c r="N7" s="19">
        <f>COUNTIF($AE$12:$AF$1049,"B")</f>
        <v/>
      </c>
      <c r="O7" s="10" t="n"/>
      <c r="P7" s="11" t="n"/>
      <c r="Q7" s="40">
        <f>SUM(H7:P7)</f>
        <v/>
      </c>
      <c r="R7" s="10" t="n"/>
      <c r="S7" s="11" t="n"/>
      <c r="T7" s="19">
        <f>COUNTIF($AG$12:$AI$1049,T$6)</f>
        <v/>
      </c>
      <c r="U7" s="10" t="n"/>
      <c r="V7" s="11" t="n"/>
      <c r="W7" s="19">
        <f>COUNTIF($AG$12:$AI$1049,W$6)</f>
        <v/>
      </c>
      <c r="X7" s="10" t="n"/>
      <c r="Y7" s="11" t="n"/>
      <c r="Z7" s="19">
        <f>COUNTIF($AG$12:$AI$1049,Z$6)</f>
        <v/>
      </c>
      <c r="AA7" s="10" t="n"/>
      <c r="AB7" s="11" t="n"/>
      <c r="AC7" s="19">
        <f>COUNTIF($AG$12:$AI$1049,AC$6)</f>
        <v/>
      </c>
      <c r="AD7" s="10" t="n"/>
      <c r="AE7" s="11" t="n"/>
      <c r="AF7" s="40">
        <f>SUM(T7:AE7)</f>
        <v/>
      </c>
      <c r="AG7" s="10" t="n"/>
      <c r="AH7" s="11" t="n"/>
    </row>
    <row r="8" ht="22.5" customHeight="1">
      <c r="A8" s="43" t="inlineStr">
        <is>
          <t>2回目</t>
        </is>
      </c>
      <c r="B8" s="10" t="n"/>
      <c r="C8" s="10" t="n"/>
      <c r="D8" s="10" t="n"/>
      <c r="E8" s="10" t="n"/>
      <c r="F8" s="10" t="n"/>
      <c r="G8" s="11" t="n"/>
      <c r="H8" s="19">
        <f>COUNTIF($AE$12:$AF$1049,"N")</f>
        <v/>
      </c>
      <c r="I8" s="10" t="n"/>
      <c r="J8" s="11" t="n"/>
      <c r="K8" s="19">
        <f>COUNTIF($AE$12:$AF$1049,"A")</f>
        <v/>
      </c>
      <c r="L8" s="10" t="n"/>
      <c r="M8" s="11" t="n"/>
      <c r="N8" s="19">
        <f>COUNTIF($AE$12:$AF$1049,"B")</f>
        <v/>
      </c>
      <c r="O8" s="10" t="n"/>
      <c r="P8" s="11" t="n"/>
      <c r="Q8" s="40">
        <f>SUM(H8:P8)</f>
        <v/>
      </c>
      <c r="R8" s="10" t="n"/>
      <c r="S8" s="11" t="n"/>
      <c r="T8" s="19">
        <f>COUNTIF($AV$12:$AX$1049,T$6)</f>
        <v/>
      </c>
      <c r="U8" s="10" t="n"/>
      <c r="V8" s="11" t="n"/>
      <c r="W8" s="19">
        <f>COUNTIF($AV$12:$AX$1049,W$6)</f>
        <v/>
      </c>
      <c r="X8" s="10" t="n"/>
      <c r="Y8" s="11" t="n"/>
      <c r="Z8" s="19">
        <f>COUNTIF($AV$12:$AX$1049,Z$6)</f>
        <v/>
      </c>
      <c r="AA8" s="10" t="n"/>
      <c r="AB8" s="11" t="n"/>
      <c r="AC8" s="19">
        <f>COUNTIF($AV$12:$AX$1049,AC$6)</f>
        <v/>
      </c>
      <c r="AD8" s="10" t="n"/>
      <c r="AE8" s="11" t="n"/>
      <c r="AF8" s="40">
        <f>SUM(T8:AE8)</f>
        <v/>
      </c>
      <c r="AG8" s="10" t="n"/>
      <c r="AH8" s="11" t="n"/>
    </row>
    <row r="9" ht="12.75" customHeight="1"/>
    <row r="10" ht="36" customHeight="1">
      <c r="A10" s="53" t="inlineStr">
        <is>
          <t>#</t>
        </is>
      </c>
      <c r="B10" s="54" t="inlineStr">
        <is>
          <t>要件ID</t>
        </is>
      </c>
      <c r="C10" s="22" t="n"/>
      <c r="D10" s="23" t="n"/>
      <c r="E10" s="54" t="inlineStr">
        <is>
          <t>説明</t>
        </is>
      </c>
      <c r="F10" s="22" t="n"/>
      <c r="G10" s="22" t="n"/>
      <c r="H10" s="22" t="n"/>
      <c r="I10" s="23" t="n"/>
      <c r="J10" s="54" t="inlineStr">
        <is>
          <t>前提条件</t>
        </is>
      </c>
      <c r="K10" s="22" t="n"/>
      <c r="L10" s="22" t="n"/>
      <c r="M10" s="22" t="n"/>
      <c r="N10" s="22" t="n"/>
      <c r="O10" s="22" t="n"/>
      <c r="P10" s="23" t="n"/>
      <c r="Q10" s="54" t="inlineStr">
        <is>
          <t>ステップ／手順</t>
        </is>
      </c>
      <c r="R10" s="22" t="n"/>
      <c r="S10" s="22" t="n"/>
      <c r="T10" s="22" t="n"/>
      <c r="U10" s="22" t="n"/>
      <c r="V10" s="22" t="n"/>
      <c r="W10" s="23" t="n"/>
      <c r="X10" s="54" t="inlineStr">
        <is>
          <t>期待結果／アウトプット</t>
        </is>
      </c>
      <c r="Y10" s="22" t="n"/>
      <c r="Z10" s="22" t="n"/>
      <c r="AA10" s="22" t="n"/>
      <c r="AB10" s="22" t="n"/>
      <c r="AC10" s="22" t="n"/>
      <c r="AD10" s="23" t="n"/>
      <c r="AE10" s="54" t="inlineStr">
        <is>
          <t>種類</t>
        </is>
      </c>
      <c r="AF10" s="23" t="n"/>
      <c r="AG10" s="43" t="inlineStr">
        <is>
          <t>テスト1回目の結果</t>
        </is>
      </c>
      <c r="AH10" s="10" t="n"/>
      <c r="AI10" s="10" t="n"/>
      <c r="AJ10" s="10" t="n"/>
      <c r="AK10" s="10" t="n"/>
      <c r="AL10" s="10" t="n"/>
      <c r="AM10" s="10" t="n"/>
      <c r="AN10" s="10" t="n"/>
      <c r="AO10" s="10" t="n"/>
      <c r="AP10" s="10" t="n"/>
      <c r="AQ10" s="10" t="n"/>
      <c r="AR10" s="10" t="n"/>
      <c r="AS10" s="10" t="n"/>
      <c r="AT10" s="10" t="n"/>
      <c r="AU10" s="11" t="n"/>
      <c r="AV10" s="43" t="inlineStr">
        <is>
          <t>テスト2回目の結果</t>
        </is>
      </c>
      <c r="AW10" s="10" t="n"/>
      <c r="AX10" s="10" t="n"/>
      <c r="AY10" s="10" t="n"/>
      <c r="AZ10" s="10" t="n"/>
      <c r="BA10" s="10" t="n"/>
      <c r="BB10" s="10" t="n"/>
      <c r="BC10" s="10" t="n"/>
      <c r="BD10" s="10" t="n"/>
      <c r="BE10" s="10" t="n"/>
      <c r="BF10" s="10" t="n"/>
      <c r="BG10" s="10" t="n"/>
      <c r="BH10" s="10" t="n"/>
      <c r="BI10" s="10" t="n"/>
      <c r="BJ10" s="11" t="n"/>
      <c r="BK10" s="54" t="inlineStr">
        <is>
          <t>備考</t>
        </is>
      </c>
      <c r="BL10" s="22" t="n"/>
      <c r="BM10" s="22" t="n"/>
      <c r="BN10" s="22" t="n"/>
      <c r="BO10" s="22" t="n"/>
      <c r="BP10" s="22" t="n"/>
      <c r="BQ10" s="23" t="n"/>
    </row>
    <row r="11" ht="36" customHeight="1">
      <c r="A11" s="37" t="n"/>
      <c r="B11" s="25" t="n"/>
      <c r="C11" s="26" t="n"/>
      <c r="D11" s="27" t="n"/>
      <c r="E11" s="25" t="n"/>
      <c r="F11" s="26" t="n"/>
      <c r="G11" s="26" t="n"/>
      <c r="H11" s="26" t="n"/>
      <c r="I11" s="27" t="n"/>
      <c r="J11" s="25" t="n"/>
      <c r="K11" s="26" t="n"/>
      <c r="L11" s="26" t="n"/>
      <c r="M11" s="26" t="n"/>
      <c r="N11" s="26" t="n"/>
      <c r="O11" s="26" t="n"/>
      <c r="P11" s="27" t="n"/>
      <c r="Q11" s="25" t="n"/>
      <c r="R11" s="26" t="n"/>
      <c r="S11" s="26" t="n"/>
      <c r="T11" s="26" t="n"/>
      <c r="U11" s="26" t="n"/>
      <c r="V11" s="26" t="n"/>
      <c r="W11" s="27" t="n"/>
      <c r="X11" s="25" t="n"/>
      <c r="Y11" s="26" t="n"/>
      <c r="Z11" s="26" t="n"/>
      <c r="AA11" s="26" t="n"/>
      <c r="AB11" s="26" t="n"/>
      <c r="AC11" s="26" t="n"/>
      <c r="AD11" s="27" t="n"/>
      <c r="AE11" s="25" t="n"/>
      <c r="AF11" s="27" t="n"/>
      <c r="AG11" s="43" t="inlineStr">
        <is>
          <t>結果</t>
        </is>
      </c>
      <c r="AH11" s="10" t="n"/>
      <c r="AI11" s="11" t="n"/>
      <c r="AJ11" s="43" t="inlineStr">
        <is>
          <t>実績／
アウトプット</t>
        </is>
      </c>
      <c r="AK11" s="10" t="n"/>
      <c r="AL11" s="11" t="n"/>
      <c r="AM11" s="43" t="inlineStr">
        <is>
          <t>担当者</t>
        </is>
      </c>
      <c r="AN11" s="10" t="n"/>
      <c r="AO11" s="11" t="n"/>
      <c r="AP11" s="43" t="inlineStr">
        <is>
          <t>確認日付
（MM/DD）</t>
        </is>
      </c>
      <c r="AQ11" s="10" t="n"/>
      <c r="AR11" s="11" t="n"/>
      <c r="AS11" s="43" t="inlineStr">
        <is>
          <t>バグID</t>
        </is>
      </c>
      <c r="AT11" s="10" t="n"/>
      <c r="AU11" s="11" t="n"/>
      <c r="AV11" s="43" t="inlineStr">
        <is>
          <t>結果</t>
        </is>
      </c>
      <c r="AW11" s="10" t="n"/>
      <c r="AX11" s="11" t="n"/>
      <c r="AY11" s="43" t="inlineStr">
        <is>
          <t>実績／
アウトプット</t>
        </is>
      </c>
      <c r="AZ11" s="10" t="n"/>
      <c r="BA11" s="11" t="n"/>
      <c r="BB11" s="43" t="inlineStr">
        <is>
          <t>担当者</t>
        </is>
      </c>
      <c r="BC11" s="10" t="n"/>
      <c r="BD11" s="11" t="n"/>
      <c r="BE11" s="43" t="inlineStr">
        <is>
          <t>確認日付
（MM/DD）</t>
        </is>
      </c>
      <c r="BF11" s="10" t="n"/>
      <c r="BG11" s="11" t="n"/>
      <c r="BH11" s="43" t="inlineStr">
        <is>
          <t>バグID</t>
        </is>
      </c>
      <c r="BI11" s="10" t="n"/>
      <c r="BJ11" s="11" t="n"/>
      <c r="BK11" s="25" t="n"/>
      <c r="BL11" s="26" t="n"/>
      <c r="BM11" s="26" t="n"/>
      <c r="BN11" s="26" t="n"/>
      <c r="BO11" s="26" t="n"/>
      <c r="BP11" s="26" t="n"/>
      <c r="BQ11" s="27" t="n"/>
    </row>
    <row r="12" ht="22.5" customHeight="1">
      <c r="A12" s="32" t="inlineStr">
        <is>
          <t>カテゴリ1: アクセス権限（Access Control）</t>
        </is>
      </c>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0" t="n"/>
      <c r="AL12" s="10" t="n"/>
      <c r="AM12" s="10" t="n"/>
      <c r="AN12" s="10" t="n"/>
      <c r="AO12" s="10" t="n"/>
      <c r="AP12" s="10" t="n"/>
      <c r="AQ12" s="10" t="n"/>
      <c r="AR12" s="10" t="n"/>
      <c r="AS12" s="10" t="n"/>
      <c r="AT12" s="10" t="n"/>
      <c r="AU12" s="10" t="n"/>
      <c r="AV12" s="10" t="n"/>
      <c r="AW12" s="10" t="n"/>
      <c r="AX12" s="10" t="n"/>
      <c r="AY12" s="10" t="n"/>
      <c r="AZ12" s="10" t="n"/>
      <c r="BA12" s="10" t="n"/>
      <c r="BB12" s="10" t="n"/>
      <c r="BC12" s="10" t="n"/>
      <c r="BD12" s="10" t="n"/>
      <c r="BE12" s="10" t="n"/>
      <c r="BF12" s="10" t="n"/>
      <c r="BG12" s="10" t="n"/>
      <c r="BH12" s="10" t="n"/>
      <c r="BI12" s="10" t="n"/>
      <c r="BJ12" s="10" t="n"/>
      <c r="BK12" s="10" t="n"/>
      <c r="BL12" s="10" t="n"/>
      <c r="BM12" s="10" t="n"/>
      <c r="BN12" s="10" t="n"/>
      <c r="BO12" s="10" t="n"/>
      <c r="BP12" s="10" t="n"/>
      <c r="BQ12" s="11" t="n"/>
    </row>
    <row r="13" ht="336" customHeight="1">
      <c r="A13" s="44" t="n">
        <v>1</v>
      </c>
      <c r="B13" s="46" t="inlineStr">
        <is>
          <t>ACSMS-TC-020-001</t>
        </is>
      </c>
      <c r="C13" s="10" t="n"/>
      <c r="D13" s="11" t="n"/>
      <c r="E13" s="46" t="inlineStr">
        <is>
          <t>画面アクセス禁止（NICHINO_ADMIN）</t>
        </is>
      </c>
      <c r="F13" s="10" t="n"/>
      <c r="G13" s="10" t="n"/>
      <c r="H13" s="10" t="n"/>
      <c r="I13" s="11" t="n"/>
      <c r="J13" s="46" t="inlineStr">
        <is>
          <t>・NICHINO_ADMIN でログイン済み（2段階認証済み）
・権限「koza_furikae.export」を持たない</t>
        </is>
      </c>
      <c r="K13" s="10" t="n"/>
      <c r="L13" s="10" t="n"/>
      <c r="M13" s="10" t="n"/>
      <c r="N13" s="10" t="n"/>
      <c r="O13" s="10" t="n"/>
      <c r="P13" s="11" t="n"/>
      <c r="Q13" s="46" t="inlineStr">
        <is>
          <r>
            <rPr>
              <rFont val="メイリオ"/>
              <b val="1"/>
              <sz val="10"/>
            </rPr>
            <t xml:space="preserve">ステップ1：
</t>
          </r>
          <r>
            <rPr>
              <rFont val="メイリオ"/>
              <sz val="10"/>
            </rPr>
            <t xml:space="preserve">ダッシュボードを開き、サイドバーに「口座振替データ出力」項目が表示されないことを確認
</t>
          </r>
          <r>
            <rPr>
              <rFont val="メイリオ"/>
              <b val="1"/>
              <sz val="10"/>
            </rPr>
            <t xml:space="preserve">ステップ2：
</t>
          </r>
          <r>
            <rPr>
              <rFont val="メイリオ"/>
              <sz val="10"/>
            </rPr>
            <t xml:space="preserve">ブラウザのアドレスバーに「/koza-furikae」を入力し、直接アクセス
</t>
          </r>
          <r>
            <rPr>
              <rFont val="メイリオ"/>
              <b val="1"/>
              <sz val="10"/>
            </rPr>
            <t xml:space="preserve">ステップ3：
</t>
          </r>
          <r>
            <rPr>
              <rFont val="メイリオ"/>
              <sz val="10"/>
            </rPr>
            <t>DevToolsのNetworkタブでPOST「/api/v1/koza-furikae/export」を有効なリクエストボディで送信</t>
          </r>
        </is>
      </c>
      <c r="R13" s="10" t="n"/>
      <c r="S13" s="10" t="n"/>
      <c r="T13" s="10" t="n"/>
      <c r="U13" s="10" t="n"/>
      <c r="V13" s="10" t="n"/>
      <c r="W13" s="11" t="n"/>
      <c r="X13" s="46" t="inlineStr">
        <is>
          <r>
            <rPr>
              <rFont val="メイリオ"/>
              <b val="1"/>
              <sz val="10"/>
            </rPr>
            <t xml:space="preserve">ステップ1：
</t>
          </r>
          <r>
            <rPr>
              <rFont val="メイリオ"/>
              <sz val="10"/>
            </rPr>
            <t xml:space="preserve">サイドバーに「口座振替データ出力」項目が表示されないこと
</t>
          </r>
          <r>
            <rPr>
              <rFont val="メイリオ"/>
              <b val="1"/>
              <sz val="10"/>
            </rPr>
            <t xml:space="preserve">ステップ2：
</t>
          </r>
          <r>
            <rPr>
              <rFont val="メイリオ"/>
              <sz val="10"/>
            </rPr>
            <t xml:space="preserve">トースト「アクセス権がありません。」が表示されること、かつ「/dashboard」へ遷移すること
</t>
          </r>
          <r>
            <rPr>
              <rFont val="メイリオ"/>
              <b val="1"/>
              <sz val="10"/>
            </rPr>
            <t xml:space="preserve">ステップ3：
</t>
          </r>
          <r>
            <rPr>
              <rFont val="メイリオ"/>
              <sz val="10"/>
            </rPr>
            <t xml:space="preserve">HTTPステータスコード403が返却されること（`error_code: FORBIDDEN`、メッセージ `この画面へのアクセス権限がありません。`）
</t>
          </r>
          <r>
            <rPr>
              <rFont val="メイリオ"/>
              <b val="1"/>
              <sz val="10"/>
            </rPr>
            <t xml:space="preserve">補足：
</t>
          </r>
          <r>
            <rPr>
              <rFont val="メイリオ"/>
              <sz val="10"/>
            </rPr>
            <t>・FEメニュー、FEルーターガード、BE APIガードの3層すべてでアクセスが制御されること</t>
          </r>
        </is>
      </c>
      <c r="Y13" s="10" t="n"/>
      <c r="Z13" s="10" t="n"/>
      <c r="AA13" s="10" t="n"/>
      <c r="AB13" s="10" t="n"/>
      <c r="AC13" s="10" t="n"/>
      <c r="AD13" s="11" t="n"/>
      <c r="AE13" s="45" t="inlineStr">
        <is>
          <t>A</t>
        </is>
      </c>
      <c r="AF13" s="11" t="n"/>
      <c r="AG13" s="45" t="inlineStr"/>
      <c r="AH13" s="10" t="n"/>
      <c r="AI13" s="11" t="n"/>
      <c r="AJ13" s="45" t="inlineStr"/>
      <c r="AK13" s="10" t="n"/>
      <c r="AL13" s="11" t="n"/>
      <c r="AM13" s="45" t="inlineStr"/>
      <c r="AN13" s="10" t="n"/>
      <c r="AO13" s="11" t="n"/>
      <c r="AP13" s="45" t="inlineStr"/>
      <c r="AQ13" s="10" t="n"/>
      <c r="AR13" s="11" t="n"/>
      <c r="AS13" s="45" t="inlineStr"/>
      <c r="AT13" s="10" t="n"/>
      <c r="AU13" s="11" t="n"/>
      <c r="AV13" s="45" t="inlineStr"/>
      <c r="AW13" s="10" t="n"/>
      <c r="AX13" s="11" t="n"/>
      <c r="AY13" s="45" t="inlineStr"/>
      <c r="AZ13" s="10" t="n"/>
      <c r="BA13" s="11" t="n"/>
      <c r="BB13" s="45" t="inlineStr"/>
      <c r="BC13" s="10" t="n"/>
      <c r="BD13" s="11" t="n"/>
      <c r="BE13" s="45" t="inlineStr"/>
      <c r="BF13" s="10" t="n"/>
      <c r="BG13" s="11" t="n"/>
      <c r="BH13" s="45" t="inlineStr"/>
      <c r="BI13" s="10" t="n"/>
      <c r="BJ13" s="11" t="n"/>
      <c r="BK13" s="46" t="inlineStr"/>
      <c r="BL13" s="10" t="n"/>
      <c r="BM13" s="10" t="n"/>
      <c r="BN13" s="10" t="n"/>
      <c r="BO13" s="10" t="n"/>
      <c r="BP13" s="10" t="n"/>
      <c r="BQ13" s="11" t="n"/>
    </row>
    <row r="14" ht="256" customHeight="1">
      <c r="A14" s="44" t="n">
        <v>2</v>
      </c>
      <c r="B14" s="46" t="inlineStr">
        <is>
          <t>ACSMS-TC-020-002</t>
        </is>
      </c>
      <c r="C14" s="10" t="n"/>
      <c r="D14" s="11" t="n"/>
      <c r="E14" s="46" t="inlineStr">
        <is>
          <t>画面アクセス禁止（NICHINO_STAFF）</t>
        </is>
      </c>
      <c r="F14" s="10" t="n"/>
      <c r="G14" s="10" t="n"/>
      <c r="H14" s="10" t="n"/>
      <c r="I14" s="11" t="n"/>
      <c r="J14" s="46" t="inlineStr">
        <is>
          <t>・NICHINO_STAFF でログイン済み（2段階認証済み）
・権限「koza_furikae.export」を持たない</t>
        </is>
      </c>
      <c r="K14" s="10" t="n"/>
      <c r="L14" s="10" t="n"/>
      <c r="M14" s="10" t="n"/>
      <c r="N14" s="10" t="n"/>
      <c r="O14" s="10" t="n"/>
      <c r="P14" s="11" t="n"/>
      <c r="Q14" s="46" t="inlineStr">
        <is>
          <r>
            <rPr>
              <rFont val="メイリオ"/>
              <b val="1"/>
              <sz val="10"/>
            </rPr>
            <t xml:space="preserve">ステップ1：
</t>
          </r>
          <r>
            <rPr>
              <rFont val="メイリオ"/>
              <sz val="10"/>
            </rPr>
            <t xml:space="preserve">ダッシュボードを開き、サイドバーに「口座振替データ出力」項目が表示されないことを確認
</t>
          </r>
          <r>
            <rPr>
              <rFont val="メイリオ"/>
              <b val="1"/>
              <sz val="10"/>
            </rPr>
            <t xml:space="preserve">ステップ2：
</t>
          </r>
          <r>
            <rPr>
              <rFont val="メイリオ"/>
              <sz val="10"/>
            </rPr>
            <t xml:space="preserve">ブラウザのアドレスバーに「/koza-furikae」を入力し、直接アクセス
</t>
          </r>
          <r>
            <rPr>
              <rFont val="メイリオ"/>
              <b val="1"/>
              <sz val="10"/>
            </rPr>
            <t xml:space="preserve">ステップ3：
</t>
          </r>
          <r>
            <rPr>
              <rFont val="メイリオ"/>
              <sz val="10"/>
            </rPr>
            <t>DevToolsのNetworkタブでPOST「/api/v1/koza-furikae/export」を有効なリクエストボディで送信</t>
          </r>
        </is>
      </c>
      <c r="R14" s="10" t="n"/>
      <c r="S14" s="10" t="n"/>
      <c r="T14" s="10" t="n"/>
      <c r="U14" s="10" t="n"/>
      <c r="V14" s="10" t="n"/>
      <c r="W14" s="11" t="n"/>
      <c r="X14" s="46" t="inlineStr">
        <is>
          <r>
            <rPr>
              <rFont val="メイリオ"/>
              <b val="1"/>
              <sz val="10"/>
            </rPr>
            <t xml:space="preserve">ステップ1：
</t>
          </r>
          <r>
            <rPr>
              <rFont val="メイリオ"/>
              <sz val="10"/>
            </rPr>
            <t xml:space="preserve">サイドバーに「口座振替データ出力」項目が表示されないこと
</t>
          </r>
          <r>
            <rPr>
              <rFont val="メイリオ"/>
              <b val="1"/>
              <sz val="10"/>
            </rPr>
            <t xml:space="preserve">ステップ2：
</t>
          </r>
          <r>
            <rPr>
              <rFont val="メイリオ"/>
              <sz val="10"/>
            </rPr>
            <t xml:space="preserve">トースト「アクセス権がありません。」が表示されること、かつ「/dashboard」へ遷移すること
</t>
          </r>
          <r>
            <rPr>
              <rFont val="メイリオ"/>
              <b val="1"/>
              <sz val="10"/>
            </rPr>
            <t xml:space="preserve">ステップ3：
</t>
          </r>
          <r>
            <rPr>
              <rFont val="メイリオ"/>
              <sz val="10"/>
            </rPr>
            <t>HTTPステータスコード403が返却されること（`error_code: FORBIDDEN`、メッセージ `この画面へのアクセス権限がありません。`）</t>
          </r>
        </is>
      </c>
      <c r="Y14" s="10" t="n"/>
      <c r="Z14" s="10" t="n"/>
      <c r="AA14" s="10" t="n"/>
      <c r="AB14" s="10" t="n"/>
      <c r="AC14" s="10" t="n"/>
      <c r="AD14" s="11" t="n"/>
      <c r="AE14" s="45" t="inlineStr">
        <is>
          <t>A</t>
        </is>
      </c>
      <c r="AF14" s="11" t="n"/>
      <c r="AG14" s="45" t="inlineStr"/>
      <c r="AH14" s="10" t="n"/>
      <c r="AI14" s="11" t="n"/>
      <c r="AJ14" s="45" t="inlineStr"/>
      <c r="AK14" s="10" t="n"/>
      <c r="AL14" s="11" t="n"/>
      <c r="AM14" s="45" t="inlineStr"/>
      <c r="AN14" s="10" t="n"/>
      <c r="AO14" s="11" t="n"/>
      <c r="AP14" s="45" t="inlineStr"/>
      <c r="AQ14" s="10" t="n"/>
      <c r="AR14" s="11" t="n"/>
      <c r="AS14" s="45" t="inlineStr"/>
      <c r="AT14" s="10" t="n"/>
      <c r="AU14" s="11" t="n"/>
      <c r="AV14" s="45" t="inlineStr"/>
      <c r="AW14" s="10" t="n"/>
      <c r="AX14" s="11" t="n"/>
      <c r="AY14" s="45" t="inlineStr"/>
      <c r="AZ14" s="10" t="n"/>
      <c r="BA14" s="11" t="n"/>
      <c r="BB14" s="45" t="inlineStr"/>
      <c r="BC14" s="10" t="n"/>
      <c r="BD14" s="11" t="n"/>
      <c r="BE14" s="45" t="inlineStr"/>
      <c r="BF14" s="10" t="n"/>
      <c r="BG14" s="11" t="n"/>
      <c r="BH14" s="45" t="inlineStr"/>
      <c r="BI14" s="10" t="n"/>
      <c r="BJ14" s="11" t="n"/>
      <c r="BK14" s="46" t="inlineStr"/>
      <c r="BL14" s="10" t="n"/>
      <c r="BM14" s="10" t="n"/>
      <c r="BN14" s="10" t="n"/>
      <c r="BO14" s="10" t="n"/>
      <c r="BP14" s="10" t="n"/>
      <c r="BQ14" s="11" t="n"/>
    </row>
    <row r="15" ht="128" customHeight="1">
      <c r="A15" s="44" t="n">
        <v>3</v>
      </c>
      <c r="B15" s="46" t="inlineStr">
        <is>
          <t>ACSMS-TC-020-003</t>
        </is>
      </c>
      <c r="C15" s="10" t="n"/>
      <c r="D15" s="11" t="n"/>
      <c r="E15" s="46" t="inlineStr">
        <is>
          <t>画面アクセス許可（CHUOKAI）</t>
        </is>
      </c>
      <c r="F15" s="10" t="n"/>
      <c r="G15" s="10" t="n"/>
      <c r="H15" s="10" t="n"/>
      <c r="I15" s="11" t="n"/>
      <c r="J15" s="46" t="inlineStr">
        <is>
          <t>・CHUOKAI でログイン済み（2段階認証済み）
・権限「koza_furikae.export」を保持</t>
        </is>
      </c>
      <c r="K15" s="10" t="n"/>
      <c r="L15" s="10" t="n"/>
      <c r="M15" s="10" t="n"/>
      <c r="N15" s="10" t="n"/>
      <c r="O15" s="10" t="n"/>
      <c r="P15" s="11" t="n"/>
      <c r="Q15" s="46" t="inlineStr">
        <is>
          <r>
            <rPr>
              <rFont val="メイリオ"/>
              <b val="1"/>
              <sz val="10"/>
            </rPr>
            <t xml:space="preserve">ステップ1：
</t>
          </r>
          <r>
            <rPr>
              <rFont val="メイリオ"/>
              <sz val="10"/>
            </rPr>
            <t xml:space="preserve">ダッシュボードを開き、サイドバーに「口座振替データ出力」項目が表示されることを確認
</t>
          </r>
          <r>
            <rPr>
              <rFont val="メイリオ"/>
              <b val="1"/>
              <sz val="10"/>
            </rPr>
            <t xml:space="preserve">ステップ2：
</t>
          </r>
          <r>
            <rPr>
              <rFont val="メイリオ"/>
              <sz val="10"/>
            </rPr>
            <t>「口座振替データ出力」項目をクリック</t>
          </r>
        </is>
      </c>
      <c r="R15" s="10" t="n"/>
      <c r="S15" s="10" t="n"/>
      <c r="T15" s="10" t="n"/>
      <c r="U15" s="10" t="n"/>
      <c r="V15" s="10" t="n"/>
      <c r="W15" s="11" t="n"/>
      <c r="X15" s="46" t="inlineStr">
        <is>
          <r>
            <rPr>
              <rFont val="メイリオ"/>
              <b val="1"/>
              <sz val="10"/>
            </rPr>
            <t xml:space="preserve">ステップ1：
</t>
          </r>
          <r>
            <rPr>
              <rFont val="メイリオ"/>
              <sz val="10"/>
            </rPr>
            <t xml:space="preserve">サイドバーに「口座振替データ出力」項目が表示されること
</t>
          </r>
          <r>
            <rPr>
              <rFont val="メイリオ"/>
              <b val="1"/>
              <sz val="10"/>
            </rPr>
            <t xml:space="preserve">ステップ2：
</t>
          </r>
          <r>
            <rPr>
              <rFont val="メイリオ"/>
              <sz val="10"/>
            </rPr>
            <t>「/koza-furikae」へ遷移し、出力設定フォームが表示されること</t>
          </r>
        </is>
      </c>
      <c r="Y15" s="10" t="n"/>
      <c r="Z15" s="10" t="n"/>
      <c r="AA15" s="10" t="n"/>
      <c r="AB15" s="10" t="n"/>
      <c r="AC15" s="10" t="n"/>
      <c r="AD15" s="11" t="n"/>
      <c r="AE15" s="45" t="inlineStr">
        <is>
          <t>N</t>
        </is>
      </c>
      <c r="AF15" s="11" t="n"/>
      <c r="AG15" s="45" t="inlineStr"/>
      <c r="AH15" s="10" t="n"/>
      <c r="AI15" s="11" t="n"/>
      <c r="AJ15" s="45" t="inlineStr"/>
      <c r="AK15" s="10" t="n"/>
      <c r="AL15" s="11" t="n"/>
      <c r="AM15" s="45" t="inlineStr"/>
      <c r="AN15" s="10" t="n"/>
      <c r="AO15" s="11" t="n"/>
      <c r="AP15" s="45" t="inlineStr"/>
      <c r="AQ15" s="10" t="n"/>
      <c r="AR15" s="11" t="n"/>
      <c r="AS15" s="45" t="inlineStr"/>
      <c r="AT15" s="10" t="n"/>
      <c r="AU15" s="11" t="n"/>
      <c r="AV15" s="45" t="inlineStr"/>
      <c r="AW15" s="10" t="n"/>
      <c r="AX15" s="11" t="n"/>
      <c r="AY15" s="45" t="inlineStr"/>
      <c r="AZ15" s="10" t="n"/>
      <c r="BA15" s="11" t="n"/>
      <c r="BB15" s="45" t="inlineStr"/>
      <c r="BC15" s="10" t="n"/>
      <c r="BD15" s="11" t="n"/>
      <c r="BE15" s="45" t="inlineStr"/>
      <c r="BF15" s="10" t="n"/>
      <c r="BG15" s="11" t="n"/>
      <c r="BH15" s="45" t="inlineStr"/>
      <c r="BI15" s="10" t="n"/>
      <c r="BJ15" s="11" t="n"/>
      <c r="BK15" s="46" t="inlineStr"/>
      <c r="BL15" s="10" t="n"/>
      <c r="BM15" s="10" t="n"/>
      <c r="BN15" s="10" t="n"/>
      <c r="BO15" s="10" t="n"/>
      <c r="BP15" s="10" t="n"/>
      <c r="BQ15" s="11" t="n"/>
    </row>
    <row r="16" ht="128" customHeight="1">
      <c r="A16" s="44" t="n">
        <v>4</v>
      </c>
      <c r="B16" s="46" t="inlineStr">
        <is>
          <t>ACSMS-TC-020-004</t>
        </is>
      </c>
      <c r="C16" s="10" t="n"/>
      <c r="D16" s="11" t="n"/>
      <c r="E16" s="46" t="inlineStr">
        <is>
          <t>画面アクセス許可（JA_HONTEN）</t>
        </is>
      </c>
      <c r="F16" s="10" t="n"/>
      <c r="G16" s="10" t="n"/>
      <c r="H16" s="10" t="n"/>
      <c r="I16" s="11" t="n"/>
      <c r="J16" s="46" t="inlineStr">
        <is>
          <t>・JA_HONTEN でログイン済み（2段階認証済み）
・権限「koza_furikae.export」を保持</t>
        </is>
      </c>
      <c r="K16" s="10" t="n"/>
      <c r="L16" s="10" t="n"/>
      <c r="M16" s="10" t="n"/>
      <c r="N16" s="10" t="n"/>
      <c r="O16" s="10" t="n"/>
      <c r="P16" s="11" t="n"/>
      <c r="Q16" s="46" t="inlineStr">
        <is>
          <r>
            <rPr>
              <rFont val="メイリオ"/>
              <b val="1"/>
              <sz val="10"/>
            </rPr>
            <t xml:space="preserve">ステップ1：
</t>
          </r>
          <r>
            <rPr>
              <rFont val="メイリオ"/>
              <sz val="10"/>
            </rPr>
            <t xml:space="preserve">ダッシュボードを開き、サイドバーに「口座振替データ出力」項目が表示されることを確認
</t>
          </r>
          <r>
            <rPr>
              <rFont val="メイリオ"/>
              <b val="1"/>
              <sz val="10"/>
            </rPr>
            <t xml:space="preserve">ステップ2：
</t>
          </r>
          <r>
            <rPr>
              <rFont val="メイリオ"/>
              <sz val="10"/>
            </rPr>
            <t>「口座振替データ出力」項目をクリック</t>
          </r>
        </is>
      </c>
      <c r="R16" s="10" t="n"/>
      <c r="S16" s="10" t="n"/>
      <c r="T16" s="10" t="n"/>
      <c r="U16" s="10" t="n"/>
      <c r="V16" s="10" t="n"/>
      <c r="W16" s="11" t="n"/>
      <c r="X16" s="46" t="inlineStr">
        <is>
          <r>
            <rPr>
              <rFont val="メイリオ"/>
              <b val="1"/>
              <sz val="10"/>
            </rPr>
            <t xml:space="preserve">ステップ1：
</t>
          </r>
          <r>
            <rPr>
              <rFont val="メイリオ"/>
              <sz val="10"/>
            </rPr>
            <t xml:space="preserve">サイドバーに「口座振替データ出力」項目が表示されること
</t>
          </r>
          <r>
            <rPr>
              <rFont val="メイリオ"/>
              <b val="1"/>
              <sz val="10"/>
            </rPr>
            <t xml:space="preserve">ステップ2：
</t>
          </r>
          <r>
            <rPr>
              <rFont val="メイリオ"/>
              <sz val="10"/>
            </rPr>
            <t>「/koza-furikae」へ遷移し、出力設定フォームが表示されること</t>
          </r>
        </is>
      </c>
      <c r="Y16" s="10" t="n"/>
      <c r="Z16" s="10" t="n"/>
      <c r="AA16" s="10" t="n"/>
      <c r="AB16" s="10" t="n"/>
      <c r="AC16" s="10" t="n"/>
      <c r="AD16" s="11" t="n"/>
      <c r="AE16" s="45" t="inlineStr">
        <is>
          <t>N</t>
        </is>
      </c>
      <c r="AF16" s="11" t="n"/>
      <c r="AG16" s="45" t="inlineStr"/>
      <c r="AH16" s="10" t="n"/>
      <c r="AI16" s="11" t="n"/>
      <c r="AJ16" s="45" t="inlineStr"/>
      <c r="AK16" s="10" t="n"/>
      <c r="AL16" s="11" t="n"/>
      <c r="AM16" s="45" t="inlineStr"/>
      <c r="AN16" s="10" t="n"/>
      <c r="AO16" s="11" t="n"/>
      <c r="AP16" s="45" t="inlineStr"/>
      <c r="AQ16" s="10" t="n"/>
      <c r="AR16" s="11" t="n"/>
      <c r="AS16" s="45" t="inlineStr"/>
      <c r="AT16" s="10" t="n"/>
      <c r="AU16" s="11" t="n"/>
      <c r="AV16" s="45" t="inlineStr"/>
      <c r="AW16" s="10" t="n"/>
      <c r="AX16" s="11" t="n"/>
      <c r="AY16" s="45" t="inlineStr"/>
      <c r="AZ16" s="10" t="n"/>
      <c r="BA16" s="11" t="n"/>
      <c r="BB16" s="45" t="inlineStr"/>
      <c r="BC16" s="10" t="n"/>
      <c r="BD16" s="11" t="n"/>
      <c r="BE16" s="45" t="inlineStr"/>
      <c r="BF16" s="10" t="n"/>
      <c r="BG16" s="11" t="n"/>
      <c r="BH16" s="45" t="inlineStr"/>
      <c r="BI16" s="10" t="n"/>
      <c r="BJ16" s="11" t="n"/>
      <c r="BK16" s="46" t="inlineStr"/>
      <c r="BL16" s="10" t="n"/>
      <c r="BM16" s="10" t="n"/>
      <c r="BN16" s="10" t="n"/>
      <c r="BO16" s="10" t="n"/>
      <c r="BP16" s="10" t="n"/>
      <c r="BQ16" s="11" t="n"/>
    </row>
    <row r="17" ht="224" customHeight="1">
      <c r="A17" s="44" t="n">
        <v>5</v>
      </c>
      <c r="B17" s="46" t="inlineStr">
        <is>
          <t>ACSMS-TC-020-005</t>
        </is>
      </c>
      <c r="C17" s="10" t="n"/>
      <c r="D17" s="11" t="n"/>
      <c r="E17" s="46" t="inlineStr">
        <is>
          <t>画面アクセス許可（JA_KANRI_SHITEN）</t>
        </is>
      </c>
      <c r="F17" s="10" t="n"/>
      <c r="G17" s="10" t="n"/>
      <c r="H17" s="10" t="n"/>
      <c r="I17" s="11" t="n"/>
      <c r="J17" s="46" t="inlineStr">
        <is>
          <t>・JA_KANRI_SHITEN でログイン済み（2段階認証済み）
・権限「koza_furikae.export」を保持</t>
        </is>
      </c>
      <c r="K17" s="10" t="n"/>
      <c r="L17" s="10" t="n"/>
      <c r="M17" s="10" t="n"/>
      <c r="N17" s="10" t="n"/>
      <c r="O17" s="10" t="n"/>
      <c r="P17" s="11" t="n"/>
      <c r="Q17" s="46" t="inlineStr">
        <is>
          <r>
            <rPr>
              <rFont val="メイリオ"/>
              <b val="1"/>
              <sz val="10"/>
            </rPr>
            <t xml:space="preserve">ステップ1：
</t>
          </r>
          <r>
            <rPr>
              <rFont val="メイリオ"/>
              <sz val="10"/>
            </rPr>
            <t xml:space="preserve">ダッシュボードを開き、サイドバーに「口座振替データ出力」項目が表示されることを確認
</t>
          </r>
          <r>
            <rPr>
              <rFont val="メイリオ"/>
              <b val="1"/>
              <sz val="10"/>
            </rPr>
            <t xml:space="preserve">ステップ2：
</t>
          </r>
          <r>
            <rPr>
              <rFont val="メイリオ"/>
              <sz val="10"/>
            </rPr>
            <t>「口座振替データ出力」項目をクリック</t>
          </r>
        </is>
      </c>
      <c r="R17" s="10" t="n"/>
      <c r="S17" s="10" t="n"/>
      <c r="T17" s="10" t="n"/>
      <c r="U17" s="10" t="n"/>
      <c r="V17" s="10" t="n"/>
      <c r="W17" s="11" t="n"/>
      <c r="X17" s="46" t="inlineStr">
        <is>
          <r>
            <rPr>
              <rFont val="メイリオ"/>
              <b val="1"/>
              <sz val="10"/>
            </rPr>
            <t xml:space="preserve">ステップ1：
</t>
          </r>
          <r>
            <rPr>
              <rFont val="メイリオ"/>
              <sz val="10"/>
            </rPr>
            <t xml:space="preserve">サイドバーに「口座振替データ出力」項目が表示されること
</t>
          </r>
          <r>
            <rPr>
              <rFont val="メイリオ"/>
              <b val="1"/>
              <sz val="10"/>
            </rPr>
            <t xml:space="preserve">ステップ2：
</t>
          </r>
          <r>
            <rPr>
              <rFont val="メイリオ"/>
              <sz val="10"/>
            </rPr>
            <t xml:space="preserve">「/koza-furikae」へ遷移し、出力設定フォームが表示されること
</t>
          </r>
          <r>
            <rPr>
              <rFont val="メイリオ"/>
              <b val="1"/>
              <sz val="10"/>
            </rPr>
            <t xml:space="preserve">補足：
</t>
          </r>
          <r>
            <rPr>
              <rFont val="メイリオ"/>
              <sz val="10"/>
            </rPr>
            <t>・出力対象は自管理支店配下の購読者のみに限定されること（DataScope `kanri_shiten_id = user.kanri_shiten_id`）</t>
          </r>
        </is>
      </c>
      <c r="Y17" s="10" t="n"/>
      <c r="Z17" s="10" t="n"/>
      <c r="AA17" s="10" t="n"/>
      <c r="AB17" s="10" t="n"/>
      <c r="AC17" s="10" t="n"/>
      <c r="AD17" s="11" t="n"/>
      <c r="AE17" s="45" t="inlineStr">
        <is>
          <t>N</t>
        </is>
      </c>
      <c r="AF17" s="11" t="n"/>
      <c r="AG17" s="45" t="inlineStr"/>
      <c r="AH17" s="10" t="n"/>
      <c r="AI17" s="11" t="n"/>
      <c r="AJ17" s="45" t="inlineStr"/>
      <c r="AK17" s="10" t="n"/>
      <c r="AL17" s="11" t="n"/>
      <c r="AM17" s="45" t="inlineStr"/>
      <c r="AN17" s="10" t="n"/>
      <c r="AO17" s="11" t="n"/>
      <c r="AP17" s="45" t="inlineStr"/>
      <c r="AQ17" s="10" t="n"/>
      <c r="AR17" s="11" t="n"/>
      <c r="AS17" s="45" t="inlineStr"/>
      <c r="AT17" s="10" t="n"/>
      <c r="AU17" s="11" t="n"/>
      <c r="AV17" s="45" t="inlineStr"/>
      <c r="AW17" s="10" t="n"/>
      <c r="AX17" s="11" t="n"/>
      <c r="AY17" s="45" t="inlineStr"/>
      <c r="AZ17" s="10" t="n"/>
      <c r="BA17" s="11" t="n"/>
      <c r="BB17" s="45" t="inlineStr"/>
      <c r="BC17" s="10" t="n"/>
      <c r="BD17" s="11" t="n"/>
      <c r="BE17" s="45" t="inlineStr"/>
      <c r="BF17" s="10" t="n"/>
      <c r="BG17" s="11" t="n"/>
      <c r="BH17" s="45" t="inlineStr"/>
      <c r="BI17" s="10" t="n"/>
      <c r="BJ17" s="11" t="n"/>
      <c r="BK17" s="46" t="inlineStr"/>
      <c r="BL17" s="10" t="n"/>
      <c r="BM17" s="10" t="n"/>
      <c r="BN17" s="10" t="n"/>
      <c r="BO17" s="10" t="n"/>
      <c r="BP17" s="10" t="n"/>
      <c r="BQ17" s="11" t="n"/>
    </row>
    <row r="18" ht="208" customHeight="1">
      <c r="A18" s="44" t="n">
        <v>6</v>
      </c>
      <c r="B18" s="46" t="inlineStr">
        <is>
          <t>ACSMS-TC-020-006</t>
        </is>
      </c>
      <c r="C18" s="10" t="n"/>
      <c r="D18" s="11" t="n"/>
      <c r="E18" s="46" t="inlineStr">
        <is>
          <t>他JAの口座支店指定（CHUOKAI）</t>
        </is>
      </c>
      <c r="F18" s="10" t="n"/>
      <c r="G18" s="10" t="n"/>
      <c r="H18" s="10" t="n"/>
      <c r="I18" s="11" t="n"/>
      <c r="J18" s="46" t="inlineStr">
        <is>
          <t>・CHUOKAI（ja_id=1）でログイン済み
・別JA（ja_id=2）配下の口座支店ID（例：99）が存在する</t>
        </is>
      </c>
      <c r="K18" s="10" t="n"/>
      <c r="L18" s="10" t="n"/>
      <c r="M18" s="10" t="n"/>
      <c r="N18" s="10" t="n"/>
      <c r="O18" s="10" t="n"/>
      <c r="P18" s="11" t="n"/>
      <c r="Q18" s="46" t="inlineStr">
        <is>
          <r>
            <rPr>
              <rFont val="メイリオ"/>
              <b val="1"/>
              <sz val="10"/>
            </rPr>
            <t xml:space="preserve">ステップ1：
</t>
          </r>
          <r>
            <rPr>
              <rFont val="メイリオ"/>
              <sz val="10"/>
            </rPr>
            <t xml:space="preserve">口座振替データ出力画面で必須項目を入力する
</t>
          </r>
          <r>
            <rPr>
              <rFont val="メイリオ"/>
              <b val="1"/>
              <sz val="10"/>
            </rPr>
            <t xml:space="preserve">ステップ2：
</t>
          </r>
          <r>
            <rPr>
              <rFont val="メイリオ"/>
              <sz val="10"/>
            </rPr>
            <t>DevToolsのNetworkタブでPOST「/api/v1/koza-furikae/export」に他JA配下の `koza_shiten_ids: [99]` を含むリクエストボディを送信</t>
          </r>
        </is>
      </c>
      <c r="R18" s="10" t="n"/>
      <c r="S18" s="10" t="n"/>
      <c r="T18" s="10" t="n"/>
      <c r="U18" s="10" t="n"/>
      <c r="V18" s="10" t="n"/>
      <c r="W18" s="11" t="n"/>
      <c r="X18" s="46" t="inlineStr">
        <is>
          <r>
            <rPr>
              <rFont val="メイリオ"/>
              <b val="1"/>
              <sz val="10"/>
            </rPr>
            <t xml:space="preserve">ステップ1：
</t>
          </r>
          <r>
            <rPr>
              <rFont val="メイリオ"/>
              <sz val="10"/>
            </rPr>
            <t xml:space="preserve">必須項目が入力できること
</t>
          </r>
          <r>
            <rPr>
              <rFont val="メイリオ"/>
              <b val="1"/>
              <sz val="10"/>
            </rPr>
            <t xml:space="preserve">ステップ2：
</t>
          </r>
          <r>
            <rPr>
              <rFont val="メイリオ"/>
              <sz val="10"/>
            </rPr>
            <t xml:space="preserve">HTTPステータスコード403が返却されること（`error_code: DATA_SCOPE_VIOLATION`、メッセージ `このデータへのアクセス権限がありません。`）
</t>
          </r>
          <r>
            <rPr>
              <rFont val="メイリオ"/>
              <b val="1"/>
              <sz val="10"/>
            </rPr>
            <t xml:space="preserve">補足：
</t>
          </r>
          <r>
            <rPr>
              <rFont val="メイリオ"/>
              <sz val="10"/>
            </rPr>
            <t>・他JAのレコードを含む出力が生成されないこと</t>
          </r>
        </is>
      </c>
      <c r="Y18" s="10" t="n"/>
      <c r="Z18" s="10" t="n"/>
      <c r="AA18" s="10" t="n"/>
      <c r="AB18" s="10" t="n"/>
      <c r="AC18" s="10" t="n"/>
      <c r="AD18" s="11" t="n"/>
      <c r="AE18" s="45" t="inlineStr">
        <is>
          <t>A</t>
        </is>
      </c>
      <c r="AF18" s="11" t="n"/>
      <c r="AG18" s="45" t="inlineStr"/>
      <c r="AH18" s="10" t="n"/>
      <c r="AI18" s="11" t="n"/>
      <c r="AJ18" s="45" t="inlineStr"/>
      <c r="AK18" s="10" t="n"/>
      <c r="AL18" s="11" t="n"/>
      <c r="AM18" s="45" t="inlineStr"/>
      <c r="AN18" s="10" t="n"/>
      <c r="AO18" s="11" t="n"/>
      <c r="AP18" s="45" t="inlineStr"/>
      <c r="AQ18" s="10" t="n"/>
      <c r="AR18" s="11" t="n"/>
      <c r="AS18" s="45" t="inlineStr"/>
      <c r="AT18" s="10" t="n"/>
      <c r="AU18" s="11" t="n"/>
      <c r="AV18" s="45" t="inlineStr"/>
      <c r="AW18" s="10" t="n"/>
      <c r="AX18" s="11" t="n"/>
      <c r="AY18" s="45" t="inlineStr"/>
      <c r="AZ18" s="10" t="n"/>
      <c r="BA18" s="11" t="n"/>
      <c r="BB18" s="45" t="inlineStr"/>
      <c r="BC18" s="10" t="n"/>
      <c r="BD18" s="11" t="n"/>
      <c r="BE18" s="45" t="inlineStr"/>
      <c r="BF18" s="10" t="n"/>
      <c r="BG18" s="11" t="n"/>
      <c r="BH18" s="45" t="inlineStr"/>
      <c r="BI18" s="10" t="n"/>
      <c r="BJ18" s="11" t="n"/>
      <c r="BK18" s="46" t="inlineStr"/>
      <c r="BL18" s="10" t="n"/>
      <c r="BM18" s="10" t="n"/>
      <c r="BN18" s="10" t="n"/>
      <c r="BO18" s="10" t="n"/>
      <c r="BP18" s="10" t="n"/>
      <c r="BQ18" s="11" t="n"/>
    </row>
    <row r="19" ht="160" customHeight="1">
      <c r="A19" s="44" t="n">
        <v>7</v>
      </c>
      <c r="B19" s="46" t="inlineStr">
        <is>
          <t>ACSMS-TC-020-007</t>
        </is>
      </c>
      <c r="C19" s="10" t="n"/>
      <c r="D19" s="11" t="n"/>
      <c r="E19" s="46" t="inlineStr">
        <is>
          <t>自管理支店以外の指定（JA_KANRI_SHITEN）</t>
        </is>
      </c>
      <c r="F19" s="10" t="n"/>
      <c r="G19" s="10" t="n"/>
      <c r="H19" s="10" t="n"/>
      <c r="I19" s="11" t="n"/>
      <c r="J19" s="46" t="inlineStr">
        <is>
          <t>・JA_KANRI_SHITEN（kanri_shiten_id=10）でログイン済み
・自JA配下に別の管理支店ID（例：20）が存在する</t>
        </is>
      </c>
      <c r="K19" s="10" t="n"/>
      <c r="L19" s="10" t="n"/>
      <c r="M19" s="10" t="n"/>
      <c r="N19" s="10" t="n"/>
      <c r="O19" s="10" t="n"/>
      <c r="P19" s="11" t="n"/>
      <c r="Q19" s="46" t="inlineStr">
        <is>
          <r>
            <rPr>
              <rFont val="メイリオ"/>
              <b val="1"/>
              <sz val="10"/>
            </rPr>
            <t xml:space="preserve">ステップ1：
</t>
          </r>
          <r>
            <rPr>
              <rFont val="メイリオ"/>
              <sz val="10"/>
            </rPr>
            <t xml:space="preserve">口座振替データ出力画面で必須項目を入力する
</t>
          </r>
          <r>
            <rPr>
              <rFont val="メイリオ"/>
              <b val="1"/>
              <sz val="10"/>
            </rPr>
            <t xml:space="preserve">ステップ2：
</t>
          </r>
          <r>
            <rPr>
              <rFont val="メイリオ"/>
              <sz val="10"/>
            </rPr>
            <t>DevToolsのNetworkタブでPOST「/api/v1/koza-furikae/export」に自管理支店以外の `kanri_shiten_ids: [20]` を含むリクエストボディを送信</t>
          </r>
        </is>
      </c>
      <c r="R19" s="10" t="n"/>
      <c r="S19" s="10" t="n"/>
      <c r="T19" s="10" t="n"/>
      <c r="U19" s="10" t="n"/>
      <c r="V19" s="10" t="n"/>
      <c r="W19" s="11" t="n"/>
      <c r="X19" s="46" t="inlineStr">
        <is>
          <r>
            <rPr>
              <rFont val="メイリオ"/>
              <b val="1"/>
              <sz val="10"/>
            </rPr>
            <t xml:space="preserve">ステップ1：
</t>
          </r>
          <r>
            <rPr>
              <rFont val="メイリオ"/>
              <sz val="10"/>
            </rPr>
            <t xml:space="preserve">必須項目が入力できること
</t>
          </r>
          <r>
            <rPr>
              <rFont val="メイリオ"/>
              <b val="1"/>
              <sz val="10"/>
            </rPr>
            <t xml:space="preserve">ステップ2：
</t>
          </r>
          <r>
            <rPr>
              <rFont val="メイリオ"/>
              <sz val="10"/>
            </rPr>
            <t>HTTPステータスコード403が返却されること（`error_code: DATA_SCOPE_VIOLATION`、メッセージ `このデータへのアクセス権限がありません。`）</t>
          </r>
        </is>
      </c>
      <c r="Y19" s="10" t="n"/>
      <c r="Z19" s="10" t="n"/>
      <c r="AA19" s="10" t="n"/>
      <c r="AB19" s="10" t="n"/>
      <c r="AC19" s="10" t="n"/>
      <c r="AD19" s="11" t="n"/>
      <c r="AE19" s="45" t="inlineStr">
        <is>
          <t>A</t>
        </is>
      </c>
      <c r="AF19" s="11" t="n"/>
      <c r="AG19" s="45" t="inlineStr"/>
      <c r="AH19" s="10" t="n"/>
      <c r="AI19" s="11" t="n"/>
      <c r="AJ19" s="45" t="inlineStr"/>
      <c r="AK19" s="10" t="n"/>
      <c r="AL19" s="11" t="n"/>
      <c r="AM19" s="45" t="inlineStr"/>
      <c r="AN19" s="10" t="n"/>
      <c r="AO19" s="11" t="n"/>
      <c r="AP19" s="45" t="inlineStr"/>
      <c r="AQ19" s="10" t="n"/>
      <c r="AR19" s="11" t="n"/>
      <c r="AS19" s="45" t="inlineStr"/>
      <c r="AT19" s="10" t="n"/>
      <c r="AU19" s="11" t="n"/>
      <c r="AV19" s="45" t="inlineStr"/>
      <c r="AW19" s="10" t="n"/>
      <c r="AX19" s="11" t="n"/>
      <c r="AY19" s="45" t="inlineStr"/>
      <c r="AZ19" s="10" t="n"/>
      <c r="BA19" s="11" t="n"/>
      <c r="BB19" s="45" t="inlineStr"/>
      <c r="BC19" s="10" t="n"/>
      <c r="BD19" s="11" t="n"/>
      <c r="BE19" s="45" t="inlineStr"/>
      <c r="BF19" s="10" t="n"/>
      <c r="BG19" s="11" t="n"/>
      <c r="BH19" s="45" t="inlineStr"/>
      <c r="BI19" s="10" t="n"/>
      <c r="BJ19" s="11" t="n"/>
      <c r="BK19" s="46" t="inlineStr"/>
      <c r="BL19" s="10" t="n"/>
      <c r="BM19" s="10" t="n"/>
      <c r="BN19" s="10" t="n"/>
      <c r="BO19" s="10" t="n"/>
      <c r="BP19" s="10" t="n"/>
      <c r="BQ19" s="11" t="n"/>
    </row>
    <row r="20" ht="160" customHeight="1">
      <c r="A20" s="44" t="n">
        <v>8</v>
      </c>
      <c r="B20" s="46" t="inlineStr">
        <is>
          <t>ACSMS-TC-020-008</t>
        </is>
      </c>
      <c r="C20" s="10" t="n"/>
      <c r="D20" s="11" t="n"/>
      <c r="E20" s="46" t="inlineStr">
        <is>
          <t>URL直接アクセス（権限なしロール）</t>
        </is>
      </c>
      <c r="F20" s="10" t="n"/>
      <c r="G20" s="10" t="n"/>
      <c r="H20" s="10" t="n"/>
      <c r="I20" s="11" t="n"/>
      <c r="J20" s="46" t="inlineStr">
        <is>
          <t>・NICHINO_ADMIN でログイン済み（権限「koza_furikae.export」なし）</t>
        </is>
      </c>
      <c r="K20" s="10" t="n"/>
      <c r="L20" s="10" t="n"/>
      <c r="M20" s="10" t="n"/>
      <c r="N20" s="10" t="n"/>
      <c r="O20" s="10" t="n"/>
      <c r="P20" s="11" t="n"/>
      <c r="Q20" s="46" t="inlineStr">
        <is>
          <r>
            <rPr>
              <rFont val="メイリオ"/>
              <b val="1"/>
              <sz val="10"/>
            </rPr>
            <t xml:space="preserve">ステップ1：
</t>
          </r>
          <r>
            <rPr>
              <rFont val="メイリオ"/>
              <sz val="10"/>
            </rPr>
            <t xml:space="preserve">アドレスバーに「/koza-furikae」を直接入力してアクセス
</t>
          </r>
          <r>
            <rPr>
              <rFont val="メイリオ"/>
              <b val="1"/>
              <sz val="10"/>
            </rPr>
            <t xml:space="preserve">ステップ2：
</t>
          </r>
          <r>
            <rPr>
              <rFont val="メイリオ"/>
              <sz val="10"/>
            </rPr>
            <t>ブラウザのF5キーで再読み込み</t>
          </r>
        </is>
      </c>
      <c r="R20" s="10" t="n"/>
      <c r="S20" s="10" t="n"/>
      <c r="T20" s="10" t="n"/>
      <c r="U20" s="10" t="n"/>
      <c r="V20" s="10" t="n"/>
      <c r="W20" s="11" t="n"/>
      <c r="X20" s="46" t="inlineStr">
        <is>
          <r>
            <rPr>
              <rFont val="メイリオ"/>
              <b val="1"/>
              <sz val="10"/>
            </rPr>
            <t xml:space="preserve">ステップ1：
</t>
          </r>
          <r>
            <rPr>
              <rFont val="メイリオ"/>
              <sz val="10"/>
            </rPr>
            <t xml:space="preserve">トースト「アクセス権がありません。」が表示されること、かつ「/dashboard」へ遷移すること
</t>
          </r>
          <r>
            <rPr>
              <rFont val="メイリオ"/>
              <b val="1"/>
              <sz val="10"/>
            </rPr>
            <t xml:space="preserve">ステップ2：
</t>
          </r>
          <r>
            <rPr>
              <rFont val="メイリオ"/>
              <sz val="10"/>
            </rPr>
            <t>再読み込み後も画面が表示されず、「/dashboard」へ遷移すること</t>
          </r>
        </is>
      </c>
      <c r="Y20" s="10" t="n"/>
      <c r="Z20" s="10" t="n"/>
      <c r="AA20" s="10" t="n"/>
      <c r="AB20" s="10" t="n"/>
      <c r="AC20" s="10" t="n"/>
      <c r="AD20" s="11" t="n"/>
      <c r="AE20" s="45" t="inlineStr">
        <is>
          <t>A</t>
        </is>
      </c>
      <c r="AF20" s="11" t="n"/>
      <c r="AG20" s="45" t="inlineStr"/>
      <c r="AH20" s="10" t="n"/>
      <c r="AI20" s="11" t="n"/>
      <c r="AJ20" s="45" t="inlineStr"/>
      <c r="AK20" s="10" t="n"/>
      <c r="AL20" s="11" t="n"/>
      <c r="AM20" s="45" t="inlineStr"/>
      <c r="AN20" s="10" t="n"/>
      <c r="AO20" s="11" t="n"/>
      <c r="AP20" s="45" t="inlineStr"/>
      <c r="AQ20" s="10" t="n"/>
      <c r="AR20" s="11" t="n"/>
      <c r="AS20" s="45" t="inlineStr"/>
      <c r="AT20" s="10" t="n"/>
      <c r="AU20" s="11" t="n"/>
      <c r="AV20" s="45" t="inlineStr"/>
      <c r="AW20" s="10" t="n"/>
      <c r="AX20" s="11" t="n"/>
      <c r="AY20" s="45" t="inlineStr"/>
      <c r="AZ20" s="10" t="n"/>
      <c r="BA20" s="11" t="n"/>
      <c r="BB20" s="45" t="inlineStr"/>
      <c r="BC20" s="10" t="n"/>
      <c r="BD20" s="11" t="n"/>
      <c r="BE20" s="45" t="inlineStr"/>
      <c r="BF20" s="10" t="n"/>
      <c r="BG20" s="11" t="n"/>
      <c r="BH20" s="45" t="inlineStr"/>
      <c r="BI20" s="10" t="n"/>
      <c r="BJ20" s="11" t="n"/>
      <c r="BK20" s="46" t="inlineStr">
        <is>
          <t>(なし)
---</t>
        </is>
      </c>
      <c r="BL20" s="10" t="n"/>
      <c r="BM20" s="10" t="n"/>
      <c r="BN20" s="10" t="n"/>
      <c r="BO20" s="10" t="n"/>
      <c r="BP20" s="10" t="n"/>
      <c r="BQ20" s="11" t="n"/>
    </row>
    <row r="21" ht="22.5" customHeight="1">
      <c r="A21" s="32" t="inlineStr">
        <is>
          <t>カテゴリ2: 画面表示（Layout / Rendering）</t>
        </is>
      </c>
      <c r="B21" s="10" t="n"/>
      <c r="C21" s="10" t="n"/>
      <c r="D21" s="10" t="n"/>
      <c r="E21" s="10" t="n"/>
      <c r="F21" s="10" t="n"/>
      <c r="G21" s="10" t="n"/>
      <c r="H21" s="10" t="n"/>
      <c r="I21" s="10" t="n"/>
      <c r="J21" s="10" t="n"/>
      <c r="K21" s="10" t="n"/>
      <c r="L21" s="10" t="n"/>
      <c r="M21" s="10" t="n"/>
      <c r="N21" s="10" t="n"/>
      <c r="O21" s="10" t="n"/>
      <c r="P21" s="10" t="n"/>
      <c r="Q21" s="10" t="n"/>
      <c r="R21" s="10" t="n"/>
      <c r="S21" s="10" t="n"/>
      <c r="T21" s="10" t="n"/>
      <c r="U21" s="10" t="n"/>
      <c r="V21" s="10" t="n"/>
      <c r="W21" s="10" t="n"/>
      <c r="X21" s="10" t="n"/>
      <c r="Y21" s="10" t="n"/>
      <c r="Z21" s="10" t="n"/>
      <c r="AA21" s="10" t="n"/>
      <c r="AB21" s="10" t="n"/>
      <c r="AC21" s="10" t="n"/>
      <c r="AD21" s="10" t="n"/>
      <c r="AE21" s="10" t="n"/>
      <c r="AF21" s="10" t="n"/>
      <c r="AG21" s="10" t="n"/>
      <c r="AH21" s="10" t="n"/>
      <c r="AI21" s="10" t="n"/>
      <c r="AJ21" s="10" t="n"/>
      <c r="AK21" s="10" t="n"/>
      <c r="AL21" s="10" t="n"/>
      <c r="AM21" s="10" t="n"/>
      <c r="AN21" s="10" t="n"/>
      <c r="AO21" s="10" t="n"/>
      <c r="AP21" s="10" t="n"/>
      <c r="AQ21" s="10" t="n"/>
      <c r="AR21" s="10" t="n"/>
      <c r="AS21" s="10" t="n"/>
      <c r="AT21" s="10" t="n"/>
      <c r="AU21" s="10" t="n"/>
      <c r="AV21" s="10" t="n"/>
      <c r="AW21" s="10" t="n"/>
      <c r="AX21" s="10" t="n"/>
      <c r="AY21" s="10" t="n"/>
      <c r="AZ21" s="10" t="n"/>
      <c r="BA21" s="10" t="n"/>
      <c r="BB21" s="10" t="n"/>
      <c r="BC21" s="10" t="n"/>
      <c r="BD21" s="10" t="n"/>
      <c r="BE21" s="10" t="n"/>
      <c r="BF21" s="10" t="n"/>
      <c r="BG21" s="10" t="n"/>
      <c r="BH21" s="10" t="n"/>
      <c r="BI21" s="10" t="n"/>
      <c r="BJ21" s="10" t="n"/>
      <c r="BK21" s="10" t="n"/>
      <c r="BL21" s="10" t="n"/>
      <c r="BM21" s="10" t="n"/>
      <c r="BN21" s="10" t="n"/>
      <c r="BO21" s="10" t="n"/>
      <c r="BP21" s="10" t="n"/>
      <c r="BQ21" s="11" t="n"/>
    </row>
    <row r="22" ht="128" customHeight="1">
      <c r="A22" s="44" t="n">
        <v>9</v>
      </c>
      <c r="B22" s="46" t="inlineStr">
        <is>
          <t>ACSMS-TC-020-009</t>
        </is>
      </c>
      <c r="C22" s="10" t="n"/>
      <c r="D22" s="11" t="n"/>
      <c r="E22" s="46" t="inlineStr">
        <is>
          <t>画面タイトル・パンくず表示</t>
        </is>
      </c>
      <c r="F22" s="10" t="n"/>
      <c r="G22" s="10" t="n"/>
      <c r="H22" s="10" t="n"/>
      <c r="I22" s="11" t="n"/>
      <c r="J22" s="46" t="inlineStr">
        <is>
          <t>・CHUOKAI でログイン済み</t>
        </is>
      </c>
      <c r="K22" s="10" t="n"/>
      <c r="L22" s="10" t="n"/>
      <c r="M22" s="10" t="n"/>
      <c r="N22" s="10" t="n"/>
      <c r="O22" s="10" t="n"/>
      <c r="P22" s="11" t="n"/>
      <c r="Q22" s="46" t="inlineStr">
        <is>
          <r>
            <rPr>
              <rFont val="メイリオ"/>
              <b val="1"/>
              <sz val="10"/>
            </rPr>
            <t xml:space="preserve">ステップ1：
</t>
          </r>
          <r>
            <rPr>
              <rFont val="メイリオ"/>
              <sz val="10"/>
            </rPr>
            <t xml:space="preserve">「/koza-furikae」を開く
</t>
          </r>
          <r>
            <rPr>
              <rFont val="メイリオ"/>
              <b val="1"/>
              <sz val="10"/>
            </rPr>
            <t xml:space="preserve">ステップ2：
</t>
          </r>
          <r>
            <rPr>
              <rFont val="メイリオ"/>
              <sz val="10"/>
            </rPr>
            <t>画面上部のタイトルとパンくずを確認</t>
          </r>
        </is>
      </c>
      <c r="R22" s="10" t="n"/>
      <c r="S22" s="10" t="n"/>
      <c r="T22" s="10" t="n"/>
      <c r="U22" s="10" t="n"/>
      <c r="V22" s="10" t="n"/>
      <c r="W22" s="11" t="n"/>
      <c r="X22" s="46" t="inlineStr">
        <is>
          <r>
            <rPr>
              <rFont val="メイリオ"/>
              <b val="1"/>
              <sz val="10"/>
            </rPr>
            <t xml:space="preserve">ステップ1：
</t>
          </r>
          <r>
            <rPr>
              <rFont val="メイリオ"/>
              <sz val="10"/>
            </rPr>
            <t xml:space="preserve">画面が表示されること
</t>
          </r>
          <r>
            <rPr>
              <rFont val="メイリオ"/>
              <b val="1"/>
              <sz val="10"/>
            </rPr>
            <t xml:space="preserve">ステップ2：
</t>
          </r>
          <r>
            <rPr>
              <rFont val="メイリオ"/>
              <sz val="10"/>
            </rPr>
            <t>画面タイトル「口座振替データ出力」が表示され、パンくずに「ホーム &gt; 口座振替データ出力」が表示されること</t>
          </r>
        </is>
      </c>
      <c r="Y22" s="10" t="n"/>
      <c r="Z22" s="10" t="n"/>
      <c r="AA22" s="10" t="n"/>
      <c r="AB22" s="10" t="n"/>
      <c r="AC22" s="10" t="n"/>
      <c r="AD22" s="11" t="n"/>
      <c r="AE22" s="45" t="inlineStr">
        <is>
          <t>N</t>
        </is>
      </c>
      <c r="AF22" s="11" t="n"/>
      <c r="AG22" s="45" t="inlineStr"/>
      <c r="AH22" s="10" t="n"/>
      <c r="AI22" s="11" t="n"/>
      <c r="AJ22" s="45" t="inlineStr"/>
      <c r="AK22" s="10" t="n"/>
      <c r="AL22" s="11" t="n"/>
      <c r="AM22" s="45" t="inlineStr"/>
      <c r="AN22" s="10" t="n"/>
      <c r="AO22" s="11" t="n"/>
      <c r="AP22" s="45" t="inlineStr"/>
      <c r="AQ22" s="10" t="n"/>
      <c r="AR22" s="11" t="n"/>
      <c r="AS22" s="45" t="inlineStr"/>
      <c r="AT22" s="10" t="n"/>
      <c r="AU22" s="11" t="n"/>
      <c r="AV22" s="45" t="inlineStr"/>
      <c r="AW22" s="10" t="n"/>
      <c r="AX22" s="11" t="n"/>
      <c r="AY22" s="45" t="inlineStr"/>
      <c r="AZ22" s="10" t="n"/>
      <c r="BA22" s="11" t="n"/>
      <c r="BB22" s="45" t="inlineStr"/>
      <c r="BC22" s="10" t="n"/>
      <c r="BD22" s="11" t="n"/>
      <c r="BE22" s="45" t="inlineStr"/>
      <c r="BF22" s="10" t="n"/>
      <c r="BG22" s="11" t="n"/>
      <c r="BH22" s="45" t="inlineStr"/>
      <c r="BI22" s="10" t="n"/>
      <c r="BJ22" s="11" t="n"/>
      <c r="BK22" s="46" t="inlineStr"/>
      <c r="BL22" s="10" t="n"/>
      <c r="BM22" s="10" t="n"/>
      <c r="BN22" s="10" t="n"/>
      <c r="BO22" s="10" t="n"/>
      <c r="BP22" s="10" t="n"/>
      <c r="BQ22" s="11" t="n"/>
    </row>
    <row r="23" ht="192" customHeight="1">
      <c r="A23" s="44" t="n">
        <v>10</v>
      </c>
      <c r="B23" s="46" t="inlineStr">
        <is>
          <t>ACSMS-TC-020-010</t>
        </is>
      </c>
      <c r="C23" s="10" t="n"/>
      <c r="D23" s="11" t="n"/>
      <c r="E23" s="46" t="inlineStr">
        <is>
          <t>初期表示デフォルト値</t>
        </is>
      </c>
      <c r="F23" s="10" t="n"/>
      <c r="G23" s="10" t="n"/>
      <c r="H23" s="10" t="n"/>
      <c r="I23" s="11" t="n"/>
      <c r="J23" s="46" t="inlineStr">
        <is>
          <t>・CHUOKAI でログイン済み
・自JAに金融機関支店（kinyu_shiten_flg=true）のレコードが未登録</t>
        </is>
      </c>
      <c r="K23" s="10" t="n"/>
      <c r="L23" s="10" t="n"/>
      <c r="M23" s="10" t="n"/>
      <c r="N23" s="10" t="n"/>
      <c r="O23" s="10" t="n"/>
      <c r="P23" s="11" t="n"/>
      <c r="Q23" s="46" t="inlineStr">
        <is>
          <r>
            <rPr>
              <rFont val="メイリオ"/>
              <b val="1"/>
              <sz val="10"/>
            </rPr>
            <t xml:space="preserve">ステップ1：
</t>
          </r>
          <r>
            <rPr>
              <rFont val="メイリオ"/>
              <sz val="10"/>
            </rPr>
            <t xml:space="preserve">「/koza-furikae」を開く
</t>
          </r>
          <r>
            <rPr>
              <rFont val="メイリオ"/>
              <b val="1"/>
              <sz val="10"/>
            </rPr>
            <t xml:space="preserve">ステップ2：
</t>
          </r>
          <r>
            <rPr>
              <rFont val="メイリオ"/>
              <sz val="10"/>
            </rPr>
            <t>各入力項目の初期値を確認</t>
          </r>
        </is>
      </c>
      <c r="R23" s="10" t="n"/>
      <c r="S23" s="10" t="n"/>
      <c r="T23" s="10" t="n"/>
      <c r="U23" s="10" t="n"/>
      <c r="V23" s="10" t="n"/>
      <c r="W23" s="11" t="n"/>
      <c r="X23" s="46" t="inlineStr">
        <is>
          <r>
            <rPr>
              <rFont val="メイリオ"/>
              <b val="1"/>
              <sz val="10"/>
            </rPr>
            <t xml:space="preserve">ステップ1：
</t>
          </r>
          <r>
            <rPr>
              <rFont val="メイリオ"/>
              <sz val="10"/>
            </rPr>
            <t xml:space="preserve">画面が表示されること（`GET /api/v1/koza-furikae/initial` でHTTPステータスコード200が返却されること）
</t>
          </r>
          <r>
            <rPr>
              <rFont val="メイリオ"/>
              <b val="1"/>
              <sz val="10"/>
            </rPr>
            <t xml:space="preserve">ステップ2：
</t>
          </r>
          <r>
            <rPr>
              <rFont val="メイリオ"/>
              <sz val="10"/>
            </rPr>
            <t xml:space="preserve">・貯金種目に「普通貯金」（値 `1`）が初期設定されること
</t>
          </r>
          <r>
            <rPr>
              <rFont val="メイリオ"/>
              <sz val="10"/>
            </rPr>
            <t>・年月日・引落日・口座番号等のその他の項目が空欄で表示されること</t>
          </r>
        </is>
      </c>
      <c r="Y23" s="10" t="n"/>
      <c r="Z23" s="10" t="n"/>
      <c r="AA23" s="10" t="n"/>
      <c r="AB23" s="10" t="n"/>
      <c r="AC23" s="10" t="n"/>
      <c r="AD23" s="11" t="n"/>
      <c r="AE23" s="45" t="inlineStr">
        <is>
          <t>N</t>
        </is>
      </c>
      <c r="AF23" s="11" t="n"/>
      <c r="AG23" s="45" t="inlineStr"/>
      <c r="AH23" s="10" t="n"/>
      <c r="AI23" s="11" t="n"/>
      <c r="AJ23" s="45" t="inlineStr"/>
      <c r="AK23" s="10" t="n"/>
      <c r="AL23" s="11" t="n"/>
      <c r="AM23" s="45" t="inlineStr"/>
      <c r="AN23" s="10" t="n"/>
      <c r="AO23" s="11" t="n"/>
      <c r="AP23" s="45" t="inlineStr"/>
      <c r="AQ23" s="10" t="n"/>
      <c r="AR23" s="11" t="n"/>
      <c r="AS23" s="45" t="inlineStr"/>
      <c r="AT23" s="10" t="n"/>
      <c r="AU23" s="11" t="n"/>
      <c r="AV23" s="45" t="inlineStr"/>
      <c r="AW23" s="10" t="n"/>
      <c r="AX23" s="11" t="n"/>
      <c r="AY23" s="45" t="inlineStr"/>
      <c r="AZ23" s="10" t="n"/>
      <c r="BA23" s="11" t="n"/>
      <c r="BB23" s="45" t="inlineStr"/>
      <c r="BC23" s="10" t="n"/>
      <c r="BD23" s="11" t="n"/>
      <c r="BE23" s="45" t="inlineStr"/>
      <c r="BF23" s="10" t="n"/>
      <c r="BG23" s="11" t="n"/>
      <c r="BH23" s="45" t="inlineStr"/>
      <c r="BI23" s="10" t="n"/>
      <c r="BJ23" s="11" t="n"/>
      <c r="BK23" s="46" t="inlineStr"/>
      <c r="BL23" s="10" t="n"/>
      <c r="BM23" s="10" t="n"/>
      <c r="BN23" s="10" t="n"/>
      <c r="BO23" s="10" t="n"/>
      <c r="BP23" s="10" t="n"/>
      <c r="BQ23" s="11" t="n"/>
    </row>
    <row r="24" ht="240" customHeight="1">
      <c r="A24" s="44" t="n">
        <v>11</v>
      </c>
      <c r="B24" s="46" t="inlineStr">
        <is>
          <t>ACSMS-TC-020-011</t>
        </is>
      </c>
      <c r="C24" s="10" t="n"/>
      <c r="D24" s="11" t="n"/>
      <c r="E24" s="46" t="inlineStr">
        <is>
          <t>2回目アクセス時のJASTEM情報初期表示</t>
        </is>
      </c>
      <c r="F24" s="10" t="n"/>
      <c r="G24" s="10" t="n"/>
      <c r="H24" s="10" t="n"/>
      <c r="I24" s="11" t="n"/>
      <c r="J24" s="46" t="inlineStr">
        <is>
          <t>・CHUOKAI でログイン済み
・過去に口座振替データ出力を実行済みで、m_ja・m_shiten にJASTEM情報が保存されている</t>
        </is>
      </c>
      <c r="K24" s="10" t="n"/>
      <c r="L24" s="10" t="n"/>
      <c r="M24" s="10" t="n"/>
      <c r="N24" s="10" t="n"/>
      <c r="O24" s="10" t="n"/>
      <c r="P24" s="11" t="n"/>
      <c r="Q24" s="46" t="inlineStr">
        <is>
          <r>
            <rPr>
              <rFont val="メイリオ"/>
              <b val="1"/>
              <sz val="10"/>
            </rPr>
            <t xml:space="preserve">ステップ1：
</t>
          </r>
          <r>
            <rPr>
              <rFont val="メイリオ"/>
              <sz val="10"/>
            </rPr>
            <t xml:space="preserve">「/koza-furikae」を開く
</t>
          </r>
          <r>
            <rPr>
              <rFont val="メイリオ"/>
              <b val="1"/>
              <sz val="10"/>
            </rPr>
            <t xml:space="preserve">ステップ2：
</t>
          </r>
          <r>
            <rPr>
              <rFont val="メイリオ"/>
              <sz val="10"/>
            </rPr>
            <t>委託者コード・委託者名・農協番号・農協名・データ送信取扱店舗コード・店舗名・口座番号の初期値を確認</t>
          </r>
        </is>
      </c>
      <c r="R24" s="10" t="n"/>
      <c r="S24" s="10" t="n"/>
      <c r="T24" s="10" t="n"/>
      <c r="U24" s="10" t="n"/>
      <c r="V24" s="10" t="n"/>
      <c r="W24" s="11" t="n"/>
      <c r="X24" s="46" t="inlineStr">
        <is>
          <r>
            <rPr>
              <rFont val="メイリオ"/>
              <b val="1"/>
              <sz val="10"/>
            </rPr>
            <t xml:space="preserve">ステップ1：
</t>
          </r>
          <r>
            <rPr>
              <rFont val="メイリオ"/>
              <sz val="10"/>
            </rPr>
            <t xml:space="preserve">画面が表示されること（`GET /api/v1/koza-furikae/initial` でHTTPステータスコード200が返却されること）
</t>
          </r>
          <r>
            <rPr>
              <rFont val="メイリオ"/>
              <b val="1"/>
              <sz val="10"/>
            </rPr>
            <t xml:space="preserve">ステップ2：
</t>
          </r>
          <r>
            <rPr>
              <rFont val="メイリオ"/>
              <sz val="10"/>
            </rPr>
            <t xml:space="preserve">・委託者コード・委託者名・農協番号・農協名が m_ja の保存値で初期表示されること
</t>
          </r>
          <r>
            <rPr>
              <rFont val="メイリオ"/>
              <sz val="10"/>
            </rPr>
            <t xml:space="preserve">・データ送信取扱店舗コード・店舗名・貯金種目・口座番号が最終使用 m_shiten の保存値で初期表示されること
</t>
          </r>
          <r>
            <rPr>
              <rFont val="メイリオ"/>
              <sz val="10"/>
            </rPr>
            <t>・各項目が編集可能であること</t>
          </r>
        </is>
      </c>
      <c r="Y24" s="10" t="n"/>
      <c r="Z24" s="10" t="n"/>
      <c r="AA24" s="10" t="n"/>
      <c r="AB24" s="10" t="n"/>
      <c r="AC24" s="10" t="n"/>
      <c r="AD24" s="11" t="n"/>
      <c r="AE24" s="45" t="inlineStr">
        <is>
          <t>N</t>
        </is>
      </c>
      <c r="AF24" s="11" t="n"/>
      <c r="AG24" s="45" t="inlineStr"/>
      <c r="AH24" s="10" t="n"/>
      <c r="AI24" s="11" t="n"/>
      <c r="AJ24" s="45" t="inlineStr"/>
      <c r="AK24" s="10" t="n"/>
      <c r="AL24" s="11" t="n"/>
      <c r="AM24" s="45" t="inlineStr"/>
      <c r="AN24" s="10" t="n"/>
      <c r="AO24" s="11" t="n"/>
      <c r="AP24" s="45" t="inlineStr"/>
      <c r="AQ24" s="10" t="n"/>
      <c r="AR24" s="11" t="n"/>
      <c r="AS24" s="45" t="inlineStr"/>
      <c r="AT24" s="10" t="n"/>
      <c r="AU24" s="11" t="n"/>
      <c r="AV24" s="45" t="inlineStr"/>
      <c r="AW24" s="10" t="n"/>
      <c r="AX24" s="11" t="n"/>
      <c r="AY24" s="45" t="inlineStr"/>
      <c r="AZ24" s="10" t="n"/>
      <c r="BA24" s="11" t="n"/>
      <c r="BB24" s="45" t="inlineStr"/>
      <c r="BC24" s="10" t="n"/>
      <c r="BD24" s="11" t="n"/>
      <c r="BE24" s="45" t="inlineStr"/>
      <c r="BF24" s="10" t="n"/>
      <c r="BG24" s="11" t="n"/>
      <c r="BH24" s="45" t="inlineStr"/>
      <c r="BI24" s="10" t="n"/>
      <c r="BJ24" s="11" t="n"/>
      <c r="BK24" s="46" t="inlineStr"/>
      <c r="BL24" s="10" t="n"/>
      <c r="BM24" s="10" t="n"/>
      <c r="BN24" s="10" t="n"/>
      <c r="BO24" s="10" t="n"/>
      <c r="BP24" s="10" t="n"/>
      <c r="BQ24" s="11" t="n"/>
    </row>
    <row r="25" ht="272" customHeight="1">
      <c r="A25" s="44" t="n">
        <v>12</v>
      </c>
      <c r="B25" s="46" t="inlineStr">
        <is>
          <t>ACSMS-TC-020-012</t>
        </is>
      </c>
      <c r="C25" s="10" t="n"/>
      <c r="D25" s="11" t="n"/>
      <c r="E25" s="46" t="inlineStr">
        <is>
          <t>管理支店・支店・口座支店プルダウン表示</t>
        </is>
      </c>
      <c r="F25" s="10" t="n"/>
      <c r="G25" s="10" t="n"/>
      <c r="H25" s="10" t="n"/>
      <c r="I25" s="11" t="n"/>
      <c r="J25" s="46" t="inlineStr">
        <is>
          <t>・CHUOKAI でログイン済み
・自JAに管理支店・支店・金融機関支店のレコードが登録済み</t>
        </is>
      </c>
      <c r="K25" s="10" t="n"/>
      <c r="L25" s="10" t="n"/>
      <c r="M25" s="10" t="n"/>
      <c r="N25" s="10" t="n"/>
      <c r="O25" s="10" t="n"/>
      <c r="P25" s="11" t="n"/>
      <c r="Q25" s="46" t="inlineStr">
        <is>
          <r>
            <rPr>
              <rFont val="メイリオ"/>
              <b val="1"/>
              <sz val="10"/>
            </rPr>
            <t xml:space="preserve">ステップ1：
</t>
          </r>
          <r>
            <rPr>
              <rFont val="メイリオ"/>
              <sz val="10"/>
            </rPr>
            <t xml:space="preserve">「/koza-furikae」を開く
</t>
          </r>
          <r>
            <rPr>
              <rFont val="メイリオ"/>
              <b val="1"/>
              <sz val="10"/>
            </rPr>
            <t xml:space="preserve">ステップ2：
</t>
          </r>
          <r>
            <rPr>
              <rFont val="メイリオ"/>
              <sz val="10"/>
            </rPr>
            <t>管理支店・支店・口座支店の各プルダウンを開く</t>
          </r>
        </is>
      </c>
      <c r="R25" s="10" t="n"/>
      <c r="S25" s="10" t="n"/>
      <c r="T25" s="10" t="n"/>
      <c r="U25" s="10" t="n"/>
      <c r="V25" s="10" t="n"/>
      <c r="W25" s="11" t="n"/>
      <c r="X25" s="46" t="inlineStr">
        <is>
          <r>
            <rPr>
              <rFont val="メイリオ"/>
              <b val="1"/>
              <sz val="10"/>
            </rPr>
            <t xml:space="preserve">ステップ1：
</t>
          </r>
          <r>
            <rPr>
              <rFont val="メイリオ"/>
              <sz val="10"/>
            </rPr>
            <t xml:space="preserve">画面が表示されること
</t>
          </r>
          <r>
            <rPr>
              <rFont val="メイリオ"/>
              <b val="1"/>
              <sz val="10"/>
            </rPr>
            <t xml:space="preserve">ステップ2：
</t>
          </r>
          <r>
            <rPr>
              <rFont val="メイリオ"/>
              <sz val="10"/>
            </rPr>
            <t xml:space="preserve">・管理支店プルダウンに自JA配下の管理支店一覧が表示されること
</t>
          </r>
          <r>
            <rPr>
              <rFont val="メイリオ"/>
              <sz val="10"/>
            </rPr>
            <t xml:space="preserve">・支店プルダウンに自JA配下の支店一覧が表示されること
</t>
          </r>
          <r>
            <rPr>
              <rFont val="メイリオ"/>
              <sz val="10"/>
            </rPr>
            <t xml:space="preserve">・口座支店プルダウンに金融機関支店（kinyu_shiten_flg=true）のみが表示されること（`GET /api/v1/shiten/koza-dropdown` でHTTPステータスコード200が返却されること）
</t>
          </r>
          <r>
            <rPr>
              <rFont val="メイリオ"/>
              <sz val="10"/>
            </rPr>
            <t>・各プルダウンが複数選択可能であること</t>
          </r>
        </is>
      </c>
      <c r="Y25" s="10" t="n"/>
      <c r="Z25" s="10" t="n"/>
      <c r="AA25" s="10" t="n"/>
      <c r="AB25" s="10" t="n"/>
      <c r="AC25" s="10" t="n"/>
      <c r="AD25" s="11" t="n"/>
      <c r="AE25" s="45" t="inlineStr">
        <is>
          <t>N</t>
        </is>
      </c>
      <c r="AF25" s="11" t="n"/>
      <c r="AG25" s="45" t="inlineStr"/>
      <c r="AH25" s="10" t="n"/>
      <c r="AI25" s="11" t="n"/>
      <c r="AJ25" s="45" t="inlineStr"/>
      <c r="AK25" s="10" t="n"/>
      <c r="AL25" s="11" t="n"/>
      <c r="AM25" s="45" t="inlineStr"/>
      <c r="AN25" s="10" t="n"/>
      <c r="AO25" s="11" t="n"/>
      <c r="AP25" s="45" t="inlineStr"/>
      <c r="AQ25" s="10" t="n"/>
      <c r="AR25" s="11" t="n"/>
      <c r="AS25" s="45" t="inlineStr"/>
      <c r="AT25" s="10" t="n"/>
      <c r="AU25" s="11" t="n"/>
      <c r="AV25" s="45" t="inlineStr"/>
      <c r="AW25" s="10" t="n"/>
      <c r="AX25" s="11" t="n"/>
      <c r="AY25" s="45" t="inlineStr"/>
      <c r="AZ25" s="10" t="n"/>
      <c r="BA25" s="11" t="n"/>
      <c r="BB25" s="45" t="inlineStr"/>
      <c r="BC25" s="10" t="n"/>
      <c r="BD25" s="11" t="n"/>
      <c r="BE25" s="45" t="inlineStr"/>
      <c r="BF25" s="10" t="n"/>
      <c r="BG25" s="11" t="n"/>
      <c r="BH25" s="45" t="inlineStr"/>
      <c r="BI25" s="10" t="n"/>
      <c r="BJ25" s="11" t="n"/>
      <c r="BK25" s="46" t="inlineStr"/>
      <c r="BL25" s="10" t="n"/>
      <c r="BM25" s="10" t="n"/>
      <c r="BN25" s="10" t="n"/>
      <c r="BO25" s="10" t="n"/>
      <c r="BP25" s="10" t="n"/>
      <c r="BQ25" s="11" t="n"/>
    </row>
    <row r="26" ht="96" customHeight="1">
      <c r="A26" s="44" t="n">
        <v>13</v>
      </c>
      <c r="B26" s="46" t="inlineStr">
        <is>
          <t>ACSMS-TC-020-013</t>
        </is>
      </c>
      <c r="C26" s="10" t="n"/>
      <c r="D26" s="11" t="n"/>
      <c r="E26" s="46" t="inlineStr">
        <is>
          <t>作成開始ボタン表示</t>
        </is>
      </c>
      <c r="F26" s="10" t="n"/>
      <c r="G26" s="10" t="n"/>
      <c r="H26" s="10" t="n"/>
      <c r="I26" s="11" t="n"/>
      <c r="J26" s="46" t="inlineStr">
        <is>
          <t>・CHUOKAI でログイン済み</t>
        </is>
      </c>
      <c r="K26" s="10" t="n"/>
      <c r="L26" s="10" t="n"/>
      <c r="M26" s="10" t="n"/>
      <c r="N26" s="10" t="n"/>
      <c r="O26" s="10" t="n"/>
      <c r="P26" s="11" t="n"/>
      <c r="Q26" s="46" t="inlineStr">
        <is>
          <r>
            <rPr>
              <rFont val="メイリオ"/>
              <b val="1"/>
              <sz val="10"/>
            </rPr>
            <t xml:space="preserve">ステップ1：
</t>
          </r>
          <r>
            <rPr>
              <rFont val="メイリオ"/>
              <sz val="10"/>
            </rPr>
            <t xml:space="preserve">「/koza-furikae」を開く
</t>
          </r>
          <r>
            <rPr>
              <rFont val="メイリオ"/>
              <b val="1"/>
              <sz val="10"/>
            </rPr>
            <t xml:space="preserve">ステップ2：
</t>
          </r>
          <r>
            <rPr>
              <rFont val="メイリオ"/>
              <sz val="10"/>
            </rPr>
            <t>「作成開始」ボタンの表示・活性状態を確認</t>
          </r>
        </is>
      </c>
      <c r="R26" s="10" t="n"/>
      <c r="S26" s="10" t="n"/>
      <c r="T26" s="10" t="n"/>
      <c r="U26" s="10" t="n"/>
      <c r="V26" s="10" t="n"/>
      <c r="W26" s="11" t="n"/>
      <c r="X26" s="46" t="inlineStr">
        <is>
          <r>
            <rPr>
              <rFont val="メイリオ"/>
              <b val="1"/>
              <sz val="10"/>
            </rPr>
            <t xml:space="preserve">ステップ1：
</t>
          </r>
          <r>
            <rPr>
              <rFont val="メイリオ"/>
              <sz val="10"/>
            </rPr>
            <t xml:space="preserve">画面が表示されること
</t>
          </r>
          <r>
            <rPr>
              <rFont val="メイリオ"/>
              <b val="1"/>
              <sz val="10"/>
            </rPr>
            <t xml:space="preserve">ステップ2：
</t>
          </r>
          <r>
            <rPr>
              <rFont val="メイリオ"/>
              <sz val="10"/>
            </rPr>
            <t>「作成開始」ボタンが活性状態で表示されること</t>
          </r>
        </is>
      </c>
      <c r="Y26" s="10" t="n"/>
      <c r="Z26" s="10" t="n"/>
      <c r="AA26" s="10" t="n"/>
      <c r="AB26" s="10" t="n"/>
      <c r="AC26" s="10" t="n"/>
      <c r="AD26" s="11" t="n"/>
      <c r="AE26" s="45" t="inlineStr">
        <is>
          <t>N</t>
        </is>
      </c>
      <c r="AF26" s="11" t="n"/>
      <c r="AG26" s="45" t="inlineStr"/>
      <c r="AH26" s="10" t="n"/>
      <c r="AI26" s="11" t="n"/>
      <c r="AJ26" s="45" t="inlineStr"/>
      <c r="AK26" s="10" t="n"/>
      <c r="AL26" s="11" t="n"/>
      <c r="AM26" s="45" t="inlineStr"/>
      <c r="AN26" s="10" t="n"/>
      <c r="AO26" s="11" t="n"/>
      <c r="AP26" s="45" t="inlineStr"/>
      <c r="AQ26" s="10" t="n"/>
      <c r="AR26" s="11" t="n"/>
      <c r="AS26" s="45" t="inlineStr"/>
      <c r="AT26" s="10" t="n"/>
      <c r="AU26" s="11" t="n"/>
      <c r="AV26" s="45" t="inlineStr"/>
      <c r="AW26" s="10" t="n"/>
      <c r="AX26" s="11" t="n"/>
      <c r="AY26" s="45" t="inlineStr"/>
      <c r="AZ26" s="10" t="n"/>
      <c r="BA26" s="11" t="n"/>
      <c r="BB26" s="45" t="inlineStr"/>
      <c r="BC26" s="10" t="n"/>
      <c r="BD26" s="11" t="n"/>
      <c r="BE26" s="45" t="inlineStr"/>
      <c r="BF26" s="10" t="n"/>
      <c r="BG26" s="11" t="n"/>
      <c r="BH26" s="45" t="inlineStr"/>
      <c r="BI26" s="10" t="n"/>
      <c r="BJ26" s="11" t="n"/>
      <c r="BK26" s="46" t="inlineStr"/>
      <c r="BL26" s="10" t="n"/>
      <c r="BM26" s="10" t="n"/>
      <c r="BN26" s="10" t="n"/>
      <c r="BO26" s="10" t="n"/>
      <c r="BP26" s="10" t="n"/>
      <c r="BQ26" s="11" t="n"/>
    </row>
    <row r="27" ht="160" customHeight="1">
      <c r="A27" s="44" t="n">
        <v>14</v>
      </c>
      <c r="B27" s="46" t="inlineStr">
        <is>
          <t>ACSMS-TC-020-014</t>
        </is>
      </c>
      <c r="C27" s="10" t="n"/>
      <c r="D27" s="11" t="n"/>
      <c r="E27" s="46" t="inlineStr">
        <is>
          <t>キーボード操作</t>
        </is>
      </c>
      <c r="F27" s="10" t="n"/>
      <c r="G27" s="10" t="n"/>
      <c r="H27" s="10" t="n"/>
      <c r="I27" s="11" t="n"/>
      <c r="J27" s="46" t="inlineStr">
        <is>
          <t>・CHUOKAI でログイン済み</t>
        </is>
      </c>
      <c r="K27" s="10" t="n"/>
      <c r="L27" s="10" t="n"/>
      <c r="M27" s="10" t="n"/>
      <c r="N27" s="10" t="n"/>
      <c r="O27" s="10" t="n"/>
      <c r="P27" s="11" t="n"/>
      <c r="Q27" s="46" t="inlineStr">
        <is>
          <r>
            <rPr>
              <rFont val="メイリオ"/>
              <b val="1"/>
              <sz val="10"/>
            </rPr>
            <t xml:space="preserve">ステップ1：
</t>
          </r>
          <r>
            <rPr>
              <rFont val="メイリオ"/>
              <sz val="10"/>
            </rPr>
            <t xml:space="preserve">「/koza-furikae」を開く
</t>
          </r>
          <r>
            <rPr>
              <rFont val="メイリオ"/>
              <b val="1"/>
              <sz val="10"/>
            </rPr>
            <t xml:space="preserve">ステップ2：
</t>
          </r>
          <r>
            <rPr>
              <rFont val="メイリオ"/>
              <sz val="10"/>
            </rPr>
            <t>Tabキーで各入力項目を順に移動し、最後に「作成開始」ボタンへ到達することを確認</t>
          </r>
        </is>
      </c>
      <c r="R27" s="10" t="n"/>
      <c r="S27" s="10" t="n"/>
      <c r="T27" s="10" t="n"/>
      <c r="U27" s="10" t="n"/>
      <c r="V27" s="10" t="n"/>
      <c r="W27" s="11" t="n"/>
      <c r="X27" s="46" t="inlineStr">
        <is>
          <r>
            <rPr>
              <rFont val="メイリオ"/>
              <b val="1"/>
              <sz val="10"/>
            </rPr>
            <t xml:space="preserve">ステップ1：
</t>
          </r>
          <r>
            <rPr>
              <rFont val="メイリオ"/>
              <sz val="10"/>
            </rPr>
            <t xml:space="preserve">画面が表示されること
</t>
          </r>
          <r>
            <rPr>
              <rFont val="メイリオ"/>
              <b val="1"/>
              <sz val="10"/>
            </rPr>
            <t xml:space="preserve">ステップ2：
</t>
          </r>
          <r>
            <rPr>
              <rFont val="メイリオ"/>
              <sz val="10"/>
            </rPr>
            <t xml:space="preserve">・Tabキーで年月日 → 管理支店 → 支店 → 口座支店 → 引落日 → 委託者コード → … → 口座番号 → 作成開始 の順に移動できること
</t>
          </r>
          <r>
            <rPr>
              <rFont val="メイリオ"/>
              <sz val="10"/>
            </rPr>
            <t>・画面崩れが発生しないこと</t>
          </r>
        </is>
      </c>
      <c r="Y27" s="10" t="n"/>
      <c r="Z27" s="10" t="n"/>
      <c r="AA27" s="10" t="n"/>
      <c r="AB27" s="10" t="n"/>
      <c r="AC27" s="10" t="n"/>
      <c r="AD27" s="11" t="n"/>
      <c r="AE27" s="45" t="inlineStr">
        <is>
          <t>N</t>
        </is>
      </c>
      <c r="AF27" s="11" t="n"/>
      <c r="AG27" s="45" t="inlineStr"/>
      <c r="AH27" s="10" t="n"/>
      <c r="AI27" s="11" t="n"/>
      <c r="AJ27" s="45" t="inlineStr"/>
      <c r="AK27" s="10" t="n"/>
      <c r="AL27" s="11" t="n"/>
      <c r="AM27" s="45" t="inlineStr"/>
      <c r="AN27" s="10" t="n"/>
      <c r="AO27" s="11" t="n"/>
      <c r="AP27" s="45" t="inlineStr"/>
      <c r="AQ27" s="10" t="n"/>
      <c r="AR27" s="11" t="n"/>
      <c r="AS27" s="45" t="inlineStr"/>
      <c r="AT27" s="10" t="n"/>
      <c r="AU27" s="11" t="n"/>
      <c r="AV27" s="45" t="inlineStr"/>
      <c r="AW27" s="10" t="n"/>
      <c r="AX27" s="11" t="n"/>
      <c r="AY27" s="45" t="inlineStr"/>
      <c r="AZ27" s="10" t="n"/>
      <c r="BA27" s="11" t="n"/>
      <c r="BB27" s="45" t="inlineStr"/>
      <c r="BC27" s="10" t="n"/>
      <c r="BD27" s="11" t="n"/>
      <c r="BE27" s="45" t="inlineStr"/>
      <c r="BF27" s="10" t="n"/>
      <c r="BG27" s="11" t="n"/>
      <c r="BH27" s="45" t="inlineStr"/>
      <c r="BI27" s="10" t="n"/>
      <c r="BJ27" s="11" t="n"/>
      <c r="BK27" s="46" t="inlineStr">
        <is>
          <t>(なし)
---</t>
        </is>
      </c>
      <c r="BL27" s="10" t="n"/>
      <c r="BM27" s="10" t="n"/>
      <c r="BN27" s="10" t="n"/>
      <c r="BO27" s="10" t="n"/>
      <c r="BP27" s="10" t="n"/>
      <c r="BQ27" s="11" t="n"/>
    </row>
    <row r="28" ht="22.5" customHeight="1">
      <c r="A28" s="32" t="inlineStr">
        <is>
          <t>カテゴリ3: 入力チェック（Input Validation）</t>
        </is>
      </c>
      <c r="B28" s="10" t="n"/>
      <c r="C28" s="10" t="n"/>
      <c r="D28" s="10" t="n"/>
      <c r="E28" s="10" t="n"/>
      <c r="F28" s="10" t="n"/>
      <c r="G28" s="10" t="n"/>
      <c r="H28" s="10" t="n"/>
      <c r="I28" s="10" t="n"/>
      <c r="J28" s="10" t="n"/>
      <c r="K28" s="10" t="n"/>
      <c r="L28" s="10" t="n"/>
      <c r="M28" s="10" t="n"/>
      <c r="N28" s="10" t="n"/>
      <c r="O28" s="10" t="n"/>
      <c r="P28" s="10" t="n"/>
      <c r="Q28" s="10" t="n"/>
      <c r="R28" s="10" t="n"/>
      <c r="S28" s="10" t="n"/>
      <c r="T28" s="10" t="n"/>
      <c r="U28" s="10" t="n"/>
      <c r="V28" s="10" t="n"/>
      <c r="W28" s="10" t="n"/>
      <c r="X28" s="10" t="n"/>
      <c r="Y28" s="10" t="n"/>
      <c r="Z28" s="10" t="n"/>
      <c r="AA28" s="10" t="n"/>
      <c r="AB28" s="10" t="n"/>
      <c r="AC28" s="10" t="n"/>
      <c r="AD28" s="10" t="n"/>
      <c r="AE28" s="10" t="n"/>
      <c r="AF28" s="10" t="n"/>
      <c r="AG28" s="10" t="n"/>
      <c r="AH28" s="10" t="n"/>
      <c r="AI28" s="10" t="n"/>
      <c r="AJ28" s="10" t="n"/>
      <c r="AK28" s="10" t="n"/>
      <c r="AL28" s="10" t="n"/>
      <c r="AM28" s="10" t="n"/>
      <c r="AN28" s="10" t="n"/>
      <c r="AO28" s="10" t="n"/>
      <c r="AP28" s="10" t="n"/>
      <c r="AQ28" s="10" t="n"/>
      <c r="AR28" s="10" t="n"/>
      <c r="AS28" s="10" t="n"/>
      <c r="AT28" s="10" t="n"/>
      <c r="AU28" s="10" t="n"/>
      <c r="AV28" s="10" t="n"/>
      <c r="AW28" s="10" t="n"/>
      <c r="AX28" s="10" t="n"/>
      <c r="AY28" s="10" t="n"/>
      <c r="AZ28" s="10" t="n"/>
      <c r="BA28" s="10" t="n"/>
      <c r="BB28" s="10" t="n"/>
      <c r="BC28" s="10" t="n"/>
      <c r="BD28" s="10" t="n"/>
      <c r="BE28" s="10" t="n"/>
      <c r="BF28" s="10" t="n"/>
      <c r="BG28" s="10" t="n"/>
      <c r="BH28" s="10" t="n"/>
      <c r="BI28" s="10" t="n"/>
      <c r="BJ28" s="10" t="n"/>
      <c r="BK28" s="10" t="n"/>
      <c r="BL28" s="10" t="n"/>
      <c r="BM28" s="10" t="n"/>
      <c r="BN28" s="10" t="n"/>
      <c r="BO28" s="10" t="n"/>
      <c r="BP28" s="10" t="n"/>
      <c r="BQ28" s="11" t="n"/>
    </row>
    <row r="29" ht="160" customHeight="1">
      <c r="A29" s="44" t="n">
        <v>15</v>
      </c>
      <c r="B29" s="46" t="inlineStr">
        <is>
          <t>ACSMS-TC-020-015</t>
        </is>
      </c>
      <c r="C29" s="10" t="n"/>
      <c r="D29" s="11" t="n"/>
      <c r="E29" s="46" t="inlineStr">
        <is>
          <t>年月日 必須チェック</t>
        </is>
      </c>
      <c r="F29" s="10" t="n"/>
      <c r="G29" s="10" t="n"/>
      <c r="H29" s="10" t="n"/>
      <c r="I29" s="11" t="n"/>
      <c r="J29" s="46" t="inlineStr">
        <is>
          <t>・CHUOKAI でログイン済み</t>
        </is>
      </c>
      <c r="K29" s="10" t="n"/>
      <c r="L29" s="10" t="n"/>
      <c r="M29" s="10" t="n"/>
      <c r="N29" s="10" t="n"/>
      <c r="O29" s="10" t="n"/>
      <c r="P29" s="11" t="n"/>
      <c r="Q29" s="46" t="inlineStr">
        <is>
          <r>
            <rPr>
              <rFont val="メイリオ"/>
              <b val="1"/>
              <sz val="10"/>
            </rPr>
            <t xml:space="preserve">ステップ1：
</t>
          </r>
          <r>
            <rPr>
              <rFont val="メイリオ"/>
              <sz val="10"/>
            </rPr>
            <t xml:space="preserve">年月日を未選択のまま、その他の必須項目を入力する
</t>
          </r>
          <r>
            <rPr>
              <rFont val="メイリオ"/>
              <b val="1"/>
              <sz val="10"/>
            </rPr>
            <t xml:space="preserve">ステップ2：
</t>
          </r>
          <r>
            <rPr>
              <rFont val="メイリオ"/>
              <sz val="10"/>
            </rPr>
            <t>「作成開始」ボタンをクリック</t>
          </r>
        </is>
      </c>
      <c r="R29" s="10" t="n"/>
      <c r="S29" s="10" t="n"/>
      <c r="T29" s="10" t="n"/>
      <c r="U29" s="10" t="n"/>
      <c r="V29" s="10" t="n"/>
      <c r="W29" s="11" t="n"/>
      <c r="X29" s="46" t="inlineStr">
        <is>
          <r>
            <rPr>
              <rFont val="メイリオ"/>
              <b val="1"/>
              <sz val="10"/>
            </rPr>
            <t xml:space="preserve">ステップ1：
</t>
          </r>
          <r>
            <rPr>
              <rFont val="メイリオ"/>
              <sz val="10"/>
            </rPr>
            <t xml:space="preserve">年月日が未選択であること
</t>
          </r>
          <r>
            <rPr>
              <rFont val="メイリオ"/>
              <b val="1"/>
              <sz val="10"/>
            </rPr>
            <t xml:space="preserve">ステップ2：
</t>
          </r>
          <r>
            <rPr>
              <rFont val="メイリオ"/>
              <sz val="10"/>
            </rPr>
            <t>年月日項目の下にメッセージ「必須項目です。」が表示されること（ACSMS-MSG-020-004）、かつ `POST /api/v1/koza-furikae/export` が送信されないこと</t>
          </r>
        </is>
      </c>
      <c r="Y29" s="10" t="n"/>
      <c r="Z29" s="10" t="n"/>
      <c r="AA29" s="10" t="n"/>
      <c r="AB29" s="10" t="n"/>
      <c r="AC29" s="10" t="n"/>
      <c r="AD29" s="11" t="n"/>
      <c r="AE29" s="45" t="inlineStr">
        <is>
          <t>A</t>
        </is>
      </c>
      <c r="AF29" s="11" t="n"/>
      <c r="AG29" s="45" t="inlineStr"/>
      <c r="AH29" s="10" t="n"/>
      <c r="AI29" s="11" t="n"/>
      <c r="AJ29" s="45" t="inlineStr"/>
      <c r="AK29" s="10" t="n"/>
      <c r="AL29" s="11" t="n"/>
      <c r="AM29" s="45" t="inlineStr"/>
      <c r="AN29" s="10" t="n"/>
      <c r="AO29" s="11" t="n"/>
      <c r="AP29" s="45" t="inlineStr"/>
      <c r="AQ29" s="10" t="n"/>
      <c r="AR29" s="11" t="n"/>
      <c r="AS29" s="45" t="inlineStr"/>
      <c r="AT29" s="10" t="n"/>
      <c r="AU29" s="11" t="n"/>
      <c r="AV29" s="45" t="inlineStr"/>
      <c r="AW29" s="10" t="n"/>
      <c r="AX29" s="11" t="n"/>
      <c r="AY29" s="45" t="inlineStr"/>
      <c r="AZ29" s="10" t="n"/>
      <c r="BA29" s="11" t="n"/>
      <c r="BB29" s="45" t="inlineStr"/>
      <c r="BC29" s="10" t="n"/>
      <c r="BD29" s="11" t="n"/>
      <c r="BE29" s="45" t="inlineStr"/>
      <c r="BF29" s="10" t="n"/>
      <c r="BG29" s="11" t="n"/>
      <c r="BH29" s="45" t="inlineStr"/>
      <c r="BI29" s="10" t="n"/>
      <c r="BJ29" s="11" t="n"/>
      <c r="BK29" s="46" t="inlineStr"/>
      <c r="BL29" s="10" t="n"/>
      <c r="BM29" s="10" t="n"/>
      <c r="BN29" s="10" t="n"/>
      <c r="BO29" s="10" t="n"/>
      <c r="BP29" s="10" t="n"/>
      <c r="BQ29" s="11" t="n"/>
    </row>
    <row r="30" ht="160" customHeight="1">
      <c r="A30" s="44" t="n">
        <v>16</v>
      </c>
      <c r="B30" s="46" t="inlineStr">
        <is>
          <t>ACSMS-TC-020-016</t>
        </is>
      </c>
      <c r="C30" s="10" t="n"/>
      <c r="D30" s="11" t="n"/>
      <c r="E30" s="46" t="inlineStr">
        <is>
          <t>引落日 必須チェック</t>
        </is>
      </c>
      <c r="F30" s="10" t="n"/>
      <c r="G30" s="10" t="n"/>
      <c r="H30" s="10" t="n"/>
      <c r="I30" s="11" t="n"/>
      <c r="J30" s="46" t="inlineStr">
        <is>
          <t>・CHUOKAI でログイン済み</t>
        </is>
      </c>
      <c r="K30" s="10" t="n"/>
      <c r="L30" s="10" t="n"/>
      <c r="M30" s="10" t="n"/>
      <c r="N30" s="10" t="n"/>
      <c r="O30" s="10" t="n"/>
      <c r="P30" s="11" t="n"/>
      <c r="Q30" s="46" t="inlineStr">
        <is>
          <r>
            <rPr>
              <rFont val="メイリオ"/>
              <b val="1"/>
              <sz val="10"/>
            </rPr>
            <t xml:space="preserve">ステップ1：
</t>
          </r>
          <r>
            <rPr>
              <rFont val="メイリオ"/>
              <sz val="10"/>
            </rPr>
            <t xml:space="preserve">引落日を未選択のまま、その他の必須項目を入力する
</t>
          </r>
          <r>
            <rPr>
              <rFont val="メイリオ"/>
              <b val="1"/>
              <sz val="10"/>
            </rPr>
            <t xml:space="preserve">ステップ2：
</t>
          </r>
          <r>
            <rPr>
              <rFont val="メイリオ"/>
              <sz val="10"/>
            </rPr>
            <t>「作成開始」ボタンをクリック</t>
          </r>
        </is>
      </c>
      <c r="R30" s="10" t="n"/>
      <c r="S30" s="10" t="n"/>
      <c r="T30" s="10" t="n"/>
      <c r="U30" s="10" t="n"/>
      <c r="V30" s="10" t="n"/>
      <c r="W30" s="11" t="n"/>
      <c r="X30" s="46" t="inlineStr">
        <is>
          <r>
            <rPr>
              <rFont val="メイリオ"/>
              <b val="1"/>
              <sz val="10"/>
            </rPr>
            <t xml:space="preserve">ステップ1：
</t>
          </r>
          <r>
            <rPr>
              <rFont val="メイリオ"/>
              <sz val="10"/>
            </rPr>
            <t xml:space="preserve">引落日が未選択であること
</t>
          </r>
          <r>
            <rPr>
              <rFont val="メイリオ"/>
              <b val="1"/>
              <sz val="10"/>
            </rPr>
            <t xml:space="preserve">ステップ2：
</t>
          </r>
          <r>
            <rPr>
              <rFont val="メイリオ"/>
              <sz val="10"/>
            </rPr>
            <t>引落日項目の下にメッセージ「必須項目です。」が表示されること（ACSMS-MSG-020-004）、かつ `POST /api/v1/koza-furikae/export` が送信されないこと</t>
          </r>
        </is>
      </c>
      <c r="Y30" s="10" t="n"/>
      <c r="Z30" s="10" t="n"/>
      <c r="AA30" s="10" t="n"/>
      <c r="AB30" s="10" t="n"/>
      <c r="AC30" s="10" t="n"/>
      <c r="AD30" s="11" t="n"/>
      <c r="AE30" s="45" t="inlineStr">
        <is>
          <t>A</t>
        </is>
      </c>
      <c r="AF30" s="11" t="n"/>
      <c r="AG30" s="45" t="inlineStr"/>
      <c r="AH30" s="10" t="n"/>
      <c r="AI30" s="11" t="n"/>
      <c r="AJ30" s="45" t="inlineStr"/>
      <c r="AK30" s="10" t="n"/>
      <c r="AL30" s="11" t="n"/>
      <c r="AM30" s="45" t="inlineStr"/>
      <c r="AN30" s="10" t="n"/>
      <c r="AO30" s="11" t="n"/>
      <c r="AP30" s="45" t="inlineStr"/>
      <c r="AQ30" s="10" t="n"/>
      <c r="AR30" s="11" t="n"/>
      <c r="AS30" s="45" t="inlineStr"/>
      <c r="AT30" s="10" t="n"/>
      <c r="AU30" s="11" t="n"/>
      <c r="AV30" s="45" t="inlineStr"/>
      <c r="AW30" s="10" t="n"/>
      <c r="AX30" s="11" t="n"/>
      <c r="AY30" s="45" t="inlineStr"/>
      <c r="AZ30" s="10" t="n"/>
      <c r="BA30" s="11" t="n"/>
      <c r="BB30" s="45" t="inlineStr"/>
      <c r="BC30" s="10" t="n"/>
      <c r="BD30" s="11" t="n"/>
      <c r="BE30" s="45" t="inlineStr"/>
      <c r="BF30" s="10" t="n"/>
      <c r="BG30" s="11" t="n"/>
      <c r="BH30" s="45" t="inlineStr"/>
      <c r="BI30" s="10" t="n"/>
      <c r="BJ30" s="11" t="n"/>
      <c r="BK30" s="46" t="inlineStr"/>
      <c r="BL30" s="10" t="n"/>
      <c r="BM30" s="10" t="n"/>
      <c r="BN30" s="10" t="n"/>
      <c r="BO30" s="10" t="n"/>
      <c r="BP30" s="10" t="n"/>
      <c r="BQ30" s="11" t="n"/>
    </row>
    <row r="31" ht="128" customHeight="1">
      <c r="A31" s="44" t="n">
        <v>17</v>
      </c>
      <c r="B31" s="46" t="inlineStr">
        <is>
          <t>ACSMS-TC-020-017</t>
        </is>
      </c>
      <c r="C31" s="10" t="n"/>
      <c r="D31" s="11" t="n"/>
      <c r="E31" s="46" t="inlineStr">
        <is>
          <t>委託者コード 必須チェック</t>
        </is>
      </c>
      <c r="F31" s="10" t="n"/>
      <c r="G31" s="10" t="n"/>
      <c r="H31" s="10" t="n"/>
      <c r="I31" s="11" t="n"/>
      <c r="J31" s="46" t="inlineStr">
        <is>
          <t>・CHUOKAI でログイン済み</t>
        </is>
      </c>
      <c r="K31" s="10" t="n"/>
      <c r="L31" s="10" t="n"/>
      <c r="M31" s="10" t="n"/>
      <c r="N31" s="10" t="n"/>
      <c r="O31" s="10" t="n"/>
      <c r="P31" s="11" t="n"/>
      <c r="Q31" s="46" t="inlineStr">
        <is>
          <r>
            <rPr>
              <rFont val="メイリオ"/>
              <b val="1"/>
              <sz val="10"/>
            </rPr>
            <t xml:space="preserve">ステップ1：
</t>
          </r>
          <r>
            <rPr>
              <rFont val="メイリオ"/>
              <sz val="10"/>
            </rPr>
            <t xml:space="preserve">委託者コードを空欄のまま、その他の必須項目を入力する
</t>
          </r>
          <r>
            <rPr>
              <rFont val="メイリオ"/>
              <b val="1"/>
              <sz val="10"/>
            </rPr>
            <t xml:space="preserve">ステップ2：
</t>
          </r>
          <r>
            <rPr>
              <rFont val="メイリオ"/>
              <sz val="10"/>
            </rPr>
            <t>「作成開始」ボタンをクリック</t>
          </r>
        </is>
      </c>
      <c r="R31" s="10" t="n"/>
      <c r="S31" s="10" t="n"/>
      <c r="T31" s="10" t="n"/>
      <c r="U31" s="10" t="n"/>
      <c r="V31" s="10" t="n"/>
      <c r="W31" s="11" t="n"/>
      <c r="X31" s="46" t="inlineStr">
        <is>
          <r>
            <rPr>
              <rFont val="メイリオ"/>
              <b val="1"/>
              <sz val="10"/>
            </rPr>
            <t xml:space="preserve">ステップ1：
</t>
          </r>
          <r>
            <rPr>
              <rFont val="メイリオ"/>
              <sz val="10"/>
            </rPr>
            <t xml:space="preserve">委託者コードが空欄であること
</t>
          </r>
          <r>
            <rPr>
              <rFont val="メイリオ"/>
              <b val="1"/>
              <sz val="10"/>
            </rPr>
            <t xml:space="preserve">ステップ2：
</t>
          </r>
          <r>
            <rPr>
              <rFont val="メイリオ"/>
              <sz val="10"/>
            </rPr>
            <t>委託者コード項目の下にメッセージ「必須項目です。」が表示されること（ACSMS-MSG-020-004）</t>
          </r>
        </is>
      </c>
      <c r="Y31" s="10" t="n"/>
      <c r="Z31" s="10" t="n"/>
      <c r="AA31" s="10" t="n"/>
      <c r="AB31" s="10" t="n"/>
      <c r="AC31" s="10" t="n"/>
      <c r="AD31" s="11" t="n"/>
      <c r="AE31" s="45" t="inlineStr">
        <is>
          <t>A</t>
        </is>
      </c>
      <c r="AF31" s="11" t="n"/>
      <c r="AG31" s="45" t="inlineStr"/>
      <c r="AH31" s="10" t="n"/>
      <c r="AI31" s="11" t="n"/>
      <c r="AJ31" s="45" t="inlineStr"/>
      <c r="AK31" s="10" t="n"/>
      <c r="AL31" s="11" t="n"/>
      <c r="AM31" s="45" t="inlineStr"/>
      <c r="AN31" s="10" t="n"/>
      <c r="AO31" s="11" t="n"/>
      <c r="AP31" s="45" t="inlineStr"/>
      <c r="AQ31" s="10" t="n"/>
      <c r="AR31" s="11" t="n"/>
      <c r="AS31" s="45" t="inlineStr"/>
      <c r="AT31" s="10" t="n"/>
      <c r="AU31" s="11" t="n"/>
      <c r="AV31" s="45" t="inlineStr"/>
      <c r="AW31" s="10" t="n"/>
      <c r="AX31" s="11" t="n"/>
      <c r="AY31" s="45" t="inlineStr"/>
      <c r="AZ31" s="10" t="n"/>
      <c r="BA31" s="11" t="n"/>
      <c r="BB31" s="45" t="inlineStr"/>
      <c r="BC31" s="10" t="n"/>
      <c r="BD31" s="11" t="n"/>
      <c r="BE31" s="45" t="inlineStr"/>
      <c r="BF31" s="10" t="n"/>
      <c r="BG31" s="11" t="n"/>
      <c r="BH31" s="45" t="inlineStr"/>
      <c r="BI31" s="10" t="n"/>
      <c r="BJ31" s="11" t="n"/>
      <c r="BK31" s="46" t="inlineStr"/>
      <c r="BL31" s="10" t="n"/>
      <c r="BM31" s="10" t="n"/>
      <c r="BN31" s="10" t="n"/>
      <c r="BO31" s="10" t="n"/>
      <c r="BP31" s="10" t="n"/>
      <c r="BQ31" s="11" t="n"/>
    </row>
    <row r="32" ht="224" customHeight="1">
      <c r="A32" s="44" t="n">
        <v>18</v>
      </c>
      <c r="B32" s="46" t="inlineStr">
        <is>
          <t>ACSMS-TC-020-018</t>
        </is>
      </c>
      <c r="C32" s="10" t="n"/>
      <c r="D32" s="11" t="n"/>
      <c r="E32" s="46" t="inlineStr">
        <is>
          <t>委託者コード 形式・桁数チェック</t>
        </is>
      </c>
      <c r="F32" s="10" t="n"/>
      <c r="G32" s="10" t="n"/>
      <c r="H32" s="10" t="n"/>
      <c r="I32" s="11" t="n"/>
      <c r="J32" s="46" t="inlineStr">
        <is>
          <t>・CHUOKAI でログイン済み</t>
        </is>
      </c>
      <c r="K32" s="10" t="n"/>
      <c r="L32" s="10" t="n"/>
      <c r="M32" s="10" t="n"/>
      <c r="N32" s="10" t="n"/>
      <c r="O32" s="10" t="n"/>
      <c r="P32" s="11" t="n"/>
      <c r="Q32" s="46" t="inlineStr">
        <is>
          <r>
            <rPr>
              <rFont val="メイリオ"/>
              <b val="1"/>
              <sz val="10"/>
            </rPr>
            <t xml:space="preserve">ステップ1：
</t>
          </r>
          <r>
            <rPr>
              <rFont val="メイリオ"/>
              <sz val="10"/>
            </rPr>
            <t xml:space="preserve">委託者コードに半角英数字11桁（最大10桁超過）を入力する
</t>
          </r>
          <r>
            <rPr>
              <rFont val="メイリオ"/>
              <b val="1"/>
              <sz val="10"/>
            </rPr>
            <t xml:space="preserve">ステップ2：
</t>
          </r>
          <r>
            <rPr>
              <rFont val="メイリオ"/>
              <sz val="10"/>
            </rPr>
            <t xml:space="preserve">委託者コードに全角文字「アイウ」を入力し、「作成開始」をクリック
</t>
          </r>
          <r>
            <rPr>
              <rFont val="メイリオ"/>
              <b val="1"/>
              <sz val="10"/>
            </rPr>
            <t xml:space="preserve">ステップ3：
</t>
          </r>
          <r>
            <rPr>
              <rFont val="メイリオ"/>
              <sz val="10"/>
            </rPr>
            <t>委託者コードに半角英数字10桁（最大桁）を入力し、その他の必須項目を入力して「作成開始」をクリック</t>
          </r>
        </is>
      </c>
      <c r="R32" s="10" t="n"/>
      <c r="S32" s="10" t="n"/>
      <c r="T32" s="10" t="n"/>
      <c r="U32" s="10" t="n"/>
      <c r="V32" s="10" t="n"/>
      <c r="W32" s="11" t="n"/>
      <c r="X32" s="46" t="inlineStr">
        <is>
          <r>
            <rPr>
              <rFont val="メイリオ"/>
              <b val="1"/>
              <sz val="10"/>
            </rPr>
            <t xml:space="preserve">ステップ1：
</t>
          </r>
          <r>
            <rPr>
              <rFont val="メイリオ"/>
              <sz val="10"/>
            </rPr>
            <t xml:space="preserve">11桁目の入力がブロックされること（最大10桁）
</t>
          </r>
          <r>
            <rPr>
              <rFont val="メイリオ"/>
              <b val="1"/>
              <sz val="10"/>
            </rPr>
            <t xml:space="preserve">ステップ2：
</t>
          </r>
          <r>
            <rPr>
              <rFont val="メイリオ"/>
              <sz val="10"/>
            </rPr>
            <t xml:space="preserve">半角英数字のみ入力可能であること（全角文字は受け付けられないこと）
</t>
          </r>
          <r>
            <rPr>
              <rFont val="メイリオ"/>
              <b val="1"/>
              <sz val="10"/>
            </rPr>
            <t xml:space="preserve">ステップ3：
</t>
          </r>
          <r>
            <rPr>
              <rFont val="メイリオ"/>
              <sz val="10"/>
            </rPr>
            <t>10桁が正常に受け付けられ、`POST /api/v1/koza-furikae/export` が送信されること</t>
          </r>
        </is>
      </c>
      <c r="Y32" s="10" t="n"/>
      <c r="Z32" s="10" t="n"/>
      <c r="AA32" s="10" t="n"/>
      <c r="AB32" s="10" t="n"/>
      <c r="AC32" s="10" t="n"/>
      <c r="AD32" s="11" t="n"/>
      <c r="AE32" s="45" t="inlineStr">
        <is>
          <t>B</t>
        </is>
      </c>
      <c r="AF32" s="11" t="n"/>
      <c r="AG32" s="45" t="inlineStr"/>
      <c r="AH32" s="10" t="n"/>
      <c r="AI32" s="11" t="n"/>
      <c r="AJ32" s="45" t="inlineStr"/>
      <c r="AK32" s="10" t="n"/>
      <c r="AL32" s="11" t="n"/>
      <c r="AM32" s="45" t="inlineStr"/>
      <c r="AN32" s="10" t="n"/>
      <c r="AO32" s="11" t="n"/>
      <c r="AP32" s="45" t="inlineStr"/>
      <c r="AQ32" s="10" t="n"/>
      <c r="AR32" s="11" t="n"/>
      <c r="AS32" s="45" t="inlineStr"/>
      <c r="AT32" s="10" t="n"/>
      <c r="AU32" s="11" t="n"/>
      <c r="AV32" s="45" t="inlineStr"/>
      <c r="AW32" s="10" t="n"/>
      <c r="AX32" s="11" t="n"/>
      <c r="AY32" s="45" t="inlineStr"/>
      <c r="AZ32" s="10" t="n"/>
      <c r="BA32" s="11" t="n"/>
      <c r="BB32" s="45" t="inlineStr"/>
      <c r="BC32" s="10" t="n"/>
      <c r="BD32" s="11" t="n"/>
      <c r="BE32" s="45" t="inlineStr"/>
      <c r="BF32" s="10" t="n"/>
      <c r="BG32" s="11" t="n"/>
      <c r="BH32" s="45" t="inlineStr"/>
      <c r="BI32" s="10" t="n"/>
      <c r="BJ32" s="11" t="n"/>
      <c r="BK32" s="46" t="inlineStr"/>
      <c r="BL32" s="10" t="n"/>
      <c r="BM32" s="10" t="n"/>
      <c r="BN32" s="10" t="n"/>
      <c r="BO32" s="10" t="n"/>
      <c r="BP32" s="10" t="n"/>
      <c r="BQ32" s="11" t="n"/>
    </row>
    <row r="33" ht="192" customHeight="1">
      <c r="A33" s="44" t="n">
        <v>19</v>
      </c>
      <c r="B33" s="46" t="inlineStr">
        <is>
          <t>ACSMS-TC-020-019</t>
        </is>
      </c>
      <c r="C33" s="10" t="n"/>
      <c r="D33" s="11" t="n"/>
      <c r="E33" s="46" t="inlineStr">
        <is>
          <t>委託者名 必須・桁数チェック</t>
        </is>
      </c>
      <c r="F33" s="10" t="n"/>
      <c r="G33" s="10" t="n"/>
      <c r="H33" s="10" t="n"/>
      <c r="I33" s="11" t="n"/>
      <c r="J33" s="46" t="inlineStr">
        <is>
          <t>・CHUOKAI でログイン済み</t>
        </is>
      </c>
      <c r="K33" s="10" t="n"/>
      <c r="L33" s="10" t="n"/>
      <c r="M33" s="10" t="n"/>
      <c r="N33" s="10" t="n"/>
      <c r="O33" s="10" t="n"/>
      <c r="P33" s="11" t="n"/>
      <c r="Q33" s="46" t="inlineStr">
        <is>
          <r>
            <rPr>
              <rFont val="メイリオ"/>
              <b val="1"/>
              <sz val="10"/>
            </rPr>
            <t xml:space="preserve">ステップ1：
</t>
          </r>
          <r>
            <rPr>
              <rFont val="メイリオ"/>
              <sz val="10"/>
            </rPr>
            <t xml:space="preserve">委託者名を空欄にして「作成開始」をクリック
</t>
          </r>
          <r>
            <rPr>
              <rFont val="メイリオ"/>
              <b val="1"/>
              <sz val="10"/>
            </rPr>
            <t xml:space="preserve">ステップ2：
</t>
          </r>
          <r>
            <rPr>
              <rFont val="メイリオ"/>
              <sz val="10"/>
            </rPr>
            <t xml:space="preserve">委託者名に41文字（最大40桁超過）を入力する
</t>
          </r>
          <r>
            <rPr>
              <rFont val="メイリオ"/>
              <b val="1"/>
              <sz val="10"/>
            </rPr>
            <t xml:space="preserve">ステップ3：
</t>
          </r>
          <r>
            <rPr>
              <rFont val="メイリオ"/>
              <sz val="10"/>
            </rPr>
            <t>委託者名に40文字（最大桁）を入力する</t>
          </r>
        </is>
      </c>
      <c r="R33" s="10" t="n"/>
      <c r="S33" s="10" t="n"/>
      <c r="T33" s="10" t="n"/>
      <c r="U33" s="10" t="n"/>
      <c r="V33" s="10" t="n"/>
      <c r="W33" s="11" t="n"/>
      <c r="X33" s="46" t="inlineStr">
        <is>
          <r>
            <rPr>
              <rFont val="メイリオ"/>
              <b val="1"/>
              <sz val="10"/>
            </rPr>
            <t xml:space="preserve">ステップ1：
</t>
          </r>
          <r>
            <rPr>
              <rFont val="メイリオ"/>
              <sz val="10"/>
            </rPr>
            <t xml:space="preserve">委託者名項目の下にメッセージ「必須項目です。」が表示されること（ACSMS-MSG-020-004）
</t>
          </r>
          <r>
            <rPr>
              <rFont val="メイリオ"/>
              <b val="1"/>
              <sz val="10"/>
            </rPr>
            <t xml:space="preserve">ステップ2：
</t>
          </r>
          <r>
            <rPr>
              <rFont val="メイリオ"/>
              <sz val="10"/>
            </rPr>
            <t xml:space="preserve">41文字目の入力がブロックされること（最大40桁）
</t>
          </r>
          <r>
            <rPr>
              <rFont val="メイリオ"/>
              <b val="1"/>
              <sz val="10"/>
            </rPr>
            <t xml:space="preserve">ステップ3：
</t>
          </r>
          <r>
            <rPr>
              <rFont val="メイリオ"/>
              <sz val="10"/>
            </rPr>
            <t>40文字が正常に受け付けられること</t>
          </r>
        </is>
      </c>
      <c r="Y33" s="10" t="n"/>
      <c r="Z33" s="10" t="n"/>
      <c r="AA33" s="10" t="n"/>
      <c r="AB33" s="10" t="n"/>
      <c r="AC33" s="10" t="n"/>
      <c r="AD33" s="11" t="n"/>
      <c r="AE33" s="45" t="inlineStr">
        <is>
          <t>B</t>
        </is>
      </c>
      <c r="AF33" s="11" t="n"/>
      <c r="AG33" s="45" t="inlineStr"/>
      <c r="AH33" s="10" t="n"/>
      <c r="AI33" s="11" t="n"/>
      <c r="AJ33" s="45" t="inlineStr"/>
      <c r="AK33" s="10" t="n"/>
      <c r="AL33" s="11" t="n"/>
      <c r="AM33" s="45" t="inlineStr"/>
      <c r="AN33" s="10" t="n"/>
      <c r="AO33" s="11" t="n"/>
      <c r="AP33" s="45" t="inlineStr"/>
      <c r="AQ33" s="10" t="n"/>
      <c r="AR33" s="11" t="n"/>
      <c r="AS33" s="45" t="inlineStr"/>
      <c r="AT33" s="10" t="n"/>
      <c r="AU33" s="11" t="n"/>
      <c r="AV33" s="45" t="inlineStr"/>
      <c r="AW33" s="10" t="n"/>
      <c r="AX33" s="11" t="n"/>
      <c r="AY33" s="45" t="inlineStr"/>
      <c r="AZ33" s="10" t="n"/>
      <c r="BA33" s="11" t="n"/>
      <c r="BB33" s="45" t="inlineStr"/>
      <c r="BC33" s="10" t="n"/>
      <c r="BD33" s="11" t="n"/>
      <c r="BE33" s="45" t="inlineStr"/>
      <c r="BF33" s="10" t="n"/>
      <c r="BG33" s="11" t="n"/>
      <c r="BH33" s="45" t="inlineStr"/>
      <c r="BI33" s="10" t="n"/>
      <c r="BJ33" s="11" t="n"/>
      <c r="BK33" s="46" t="inlineStr"/>
      <c r="BL33" s="10" t="n"/>
      <c r="BM33" s="10" t="n"/>
      <c r="BN33" s="10" t="n"/>
      <c r="BO33" s="10" t="n"/>
      <c r="BP33" s="10" t="n"/>
      <c r="BQ33" s="11" t="n"/>
    </row>
    <row r="34" ht="256" customHeight="1">
      <c r="A34" s="44" t="n">
        <v>20</v>
      </c>
      <c r="B34" s="46" t="inlineStr">
        <is>
          <t>ACSMS-TC-020-020</t>
        </is>
      </c>
      <c r="C34" s="10" t="n"/>
      <c r="D34" s="11" t="n"/>
      <c r="E34" s="46" t="inlineStr">
        <is>
          <t>農協番号 必須・形式チェック</t>
        </is>
      </c>
      <c r="F34" s="10" t="n"/>
      <c r="G34" s="10" t="n"/>
      <c r="H34" s="10" t="n"/>
      <c r="I34" s="11" t="n"/>
      <c r="J34" s="46" t="inlineStr">
        <is>
          <t>・CHUOKAI でログイン済み</t>
        </is>
      </c>
      <c r="K34" s="10" t="n"/>
      <c r="L34" s="10" t="n"/>
      <c r="M34" s="10" t="n"/>
      <c r="N34" s="10" t="n"/>
      <c r="O34" s="10" t="n"/>
      <c r="P34" s="11" t="n"/>
      <c r="Q34" s="46" t="inlineStr">
        <is>
          <r>
            <rPr>
              <rFont val="メイリオ"/>
              <b val="1"/>
              <sz val="10"/>
            </rPr>
            <t xml:space="preserve">ステップ1：
</t>
          </r>
          <r>
            <rPr>
              <rFont val="メイリオ"/>
              <sz val="10"/>
            </rPr>
            <t xml:space="preserve">農協番号を空欄にして「作成開始」をクリック
</t>
          </r>
          <r>
            <rPr>
              <rFont val="メイリオ"/>
              <b val="1"/>
              <sz val="10"/>
            </rPr>
            <t xml:space="preserve">ステップ2：
</t>
          </r>
          <r>
            <rPr>
              <rFont val="メイリオ"/>
              <sz val="10"/>
            </rPr>
            <t xml:space="preserve">農協番号に5桁（最大4桁超過）を入力する
</t>
          </r>
          <r>
            <rPr>
              <rFont val="メイリオ"/>
              <b val="1"/>
              <sz val="10"/>
            </rPr>
            <t xml:space="preserve">ステップ3：
</t>
          </r>
          <r>
            <rPr>
              <rFont val="メイリオ"/>
              <sz val="10"/>
            </rPr>
            <t xml:space="preserve">農協番号に全角数字「１２３４」を入力し、「作成開始」をクリック
</t>
          </r>
          <r>
            <rPr>
              <rFont val="メイリオ"/>
              <b val="1"/>
              <sz val="10"/>
            </rPr>
            <t xml:space="preserve">ステップ4：
</t>
          </r>
          <r>
            <rPr>
              <rFont val="メイリオ"/>
              <sz val="10"/>
            </rPr>
            <t>農協番号に半角数字4桁（最大桁）を入力する</t>
          </r>
        </is>
      </c>
      <c r="R34" s="10" t="n"/>
      <c r="S34" s="10" t="n"/>
      <c r="T34" s="10" t="n"/>
      <c r="U34" s="10" t="n"/>
      <c r="V34" s="10" t="n"/>
      <c r="W34" s="11" t="n"/>
      <c r="X34" s="46" t="inlineStr">
        <is>
          <r>
            <rPr>
              <rFont val="メイリオ"/>
              <b val="1"/>
              <sz val="10"/>
            </rPr>
            <t xml:space="preserve">ステップ1：
</t>
          </r>
          <r>
            <rPr>
              <rFont val="メイリオ"/>
              <sz val="10"/>
            </rPr>
            <t xml:space="preserve">農協番号項目の下にメッセージ「必須項目です。」が表示されること（ACSMS-MSG-020-004）
</t>
          </r>
          <r>
            <rPr>
              <rFont val="メイリオ"/>
              <b val="1"/>
              <sz val="10"/>
            </rPr>
            <t xml:space="preserve">ステップ2：
</t>
          </r>
          <r>
            <rPr>
              <rFont val="メイリオ"/>
              <sz val="10"/>
            </rPr>
            <t xml:space="preserve">5桁目の入力がブロックされること（最大4桁）
</t>
          </r>
          <r>
            <rPr>
              <rFont val="メイリオ"/>
              <b val="1"/>
              <sz val="10"/>
            </rPr>
            <t xml:space="preserve">ステップ3：
</t>
          </r>
          <r>
            <rPr>
              <rFont val="メイリオ"/>
              <sz val="10"/>
            </rPr>
            <t xml:space="preserve">半角数字のみ入力可能であること
</t>
          </r>
          <r>
            <rPr>
              <rFont val="メイリオ"/>
              <b val="1"/>
              <sz val="10"/>
            </rPr>
            <t xml:space="preserve">ステップ4：
</t>
          </r>
          <r>
            <rPr>
              <rFont val="メイリオ"/>
              <sz val="10"/>
            </rPr>
            <t>半角数字4桁が正常に受け付けられること</t>
          </r>
        </is>
      </c>
      <c r="Y34" s="10" t="n"/>
      <c r="Z34" s="10" t="n"/>
      <c r="AA34" s="10" t="n"/>
      <c r="AB34" s="10" t="n"/>
      <c r="AC34" s="10" t="n"/>
      <c r="AD34" s="11" t="n"/>
      <c r="AE34" s="45" t="inlineStr">
        <is>
          <t>B</t>
        </is>
      </c>
      <c r="AF34" s="11" t="n"/>
      <c r="AG34" s="45" t="inlineStr"/>
      <c r="AH34" s="10" t="n"/>
      <c r="AI34" s="11" t="n"/>
      <c r="AJ34" s="45" t="inlineStr"/>
      <c r="AK34" s="10" t="n"/>
      <c r="AL34" s="11" t="n"/>
      <c r="AM34" s="45" t="inlineStr"/>
      <c r="AN34" s="10" t="n"/>
      <c r="AO34" s="11" t="n"/>
      <c r="AP34" s="45" t="inlineStr"/>
      <c r="AQ34" s="10" t="n"/>
      <c r="AR34" s="11" t="n"/>
      <c r="AS34" s="45" t="inlineStr"/>
      <c r="AT34" s="10" t="n"/>
      <c r="AU34" s="11" t="n"/>
      <c r="AV34" s="45" t="inlineStr"/>
      <c r="AW34" s="10" t="n"/>
      <c r="AX34" s="11" t="n"/>
      <c r="AY34" s="45" t="inlineStr"/>
      <c r="AZ34" s="10" t="n"/>
      <c r="BA34" s="11" t="n"/>
      <c r="BB34" s="45" t="inlineStr"/>
      <c r="BC34" s="10" t="n"/>
      <c r="BD34" s="11" t="n"/>
      <c r="BE34" s="45" t="inlineStr"/>
      <c r="BF34" s="10" t="n"/>
      <c r="BG34" s="11" t="n"/>
      <c r="BH34" s="45" t="inlineStr"/>
      <c r="BI34" s="10" t="n"/>
      <c r="BJ34" s="11" t="n"/>
      <c r="BK34" s="46" t="inlineStr"/>
      <c r="BL34" s="10" t="n"/>
      <c r="BM34" s="10" t="n"/>
      <c r="BN34" s="10" t="n"/>
      <c r="BO34" s="10" t="n"/>
      <c r="BP34" s="10" t="n"/>
      <c r="BQ34" s="11" t="n"/>
    </row>
    <row r="35" ht="192" customHeight="1">
      <c r="A35" s="44" t="n">
        <v>21</v>
      </c>
      <c r="B35" s="46" t="inlineStr">
        <is>
          <t>ACSMS-TC-020-021</t>
        </is>
      </c>
      <c r="C35" s="10" t="n"/>
      <c r="D35" s="11" t="n"/>
      <c r="E35" s="46" t="inlineStr">
        <is>
          <t>農協名 必須・桁数チェック</t>
        </is>
      </c>
      <c r="F35" s="10" t="n"/>
      <c r="G35" s="10" t="n"/>
      <c r="H35" s="10" t="n"/>
      <c r="I35" s="11" t="n"/>
      <c r="J35" s="46" t="inlineStr">
        <is>
          <t>・CHUOKAI でログイン済み</t>
        </is>
      </c>
      <c r="K35" s="10" t="n"/>
      <c r="L35" s="10" t="n"/>
      <c r="M35" s="10" t="n"/>
      <c r="N35" s="10" t="n"/>
      <c r="O35" s="10" t="n"/>
      <c r="P35" s="11" t="n"/>
      <c r="Q35" s="46" t="inlineStr">
        <is>
          <r>
            <rPr>
              <rFont val="メイリオ"/>
              <b val="1"/>
              <sz val="10"/>
            </rPr>
            <t xml:space="preserve">ステップ1：
</t>
          </r>
          <r>
            <rPr>
              <rFont val="メイリオ"/>
              <sz val="10"/>
            </rPr>
            <t xml:space="preserve">農協名を空欄にして「作成開始」をクリック
</t>
          </r>
          <r>
            <rPr>
              <rFont val="メイリオ"/>
              <b val="1"/>
              <sz val="10"/>
            </rPr>
            <t xml:space="preserve">ステップ2：
</t>
          </r>
          <r>
            <rPr>
              <rFont val="メイリオ"/>
              <sz val="10"/>
            </rPr>
            <t xml:space="preserve">農協名に16文字（最大15桁超過）を入力する
</t>
          </r>
          <r>
            <rPr>
              <rFont val="メイリオ"/>
              <b val="1"/>
              <sz val="10"/>
            </rPr>
            <t xml:space="preserve">ステップ3：
</t>
          </r>
          <r>
            <rPr>
              <rFont val="メイリオ"/>
              <sz val="10"/>
            </rPr>
            <t>農協名に15文字（最大桁）を入力する</t>
          </r>
        </is>
      </c>
      <c r="R35" s="10" t="n"/>
      <c r="S35" s="10" t="n"/>
      <c r="T35" s="10" t="n"/>
      <c r="U35" s="10" t="n"/>
      <c r="V35" s="10" t="n"/>
      <c r="W35" s="11" t="n"/>
      <c r="X35" s="46" t="inlineStr">
        <is>
          <r>
            <rPr>
              <rFont val="メイリオ"/>
              <b val="1"/>
              <sz val="10"/>
            </rPr>
            <t xml:space="preserve">ステップ1：
</t>
          </r>
          <r>
            <rPr>
              <rFont val="メイリオ"/>
              <sz val="10"/>
            </rPr>
            <t xml:space="preserve">農協名項目の下にメッセージ「必須項目です。」が表示されること（ACSMS-MSG-020-004）
</t>
          </r>
          <r>
            <rPr>
              <rFont val="メイリオ"/>
              <b val="1"/>
              <sz val="10"/>
            </rPr>
            <t xml:space="preserve">ステップ2：
</t>
          </r>
          <r>
            <rPr>
              <rFont val="メイリオ"/>
              <sz val="10"/>
            </rPr>
            <t xml:space="preserve">16文字目の入力がブロックされること（最大15桁）
</t>
          </r>
          <r>
            <rPr>
              <rFont val="メイリオ"/>
              <b val="1"/>
              <sz val="10"/>
            </rPr>
            <t xml:space="preserve">ステップ3：
</t>
          </r>
          <r>
            <rPr>
              <rFont val="メイリオ"/>
              <sz val="10"/>
            </rPr>
            <t>15文字が正常に受け付けられること</t>
          </r>
        </is>
      </c>
      <c r="Y35" s="10" t="n"/>
      <c r="Z35" s="10" t="n"/>
      <c r="AA35" s="10" t="n"/>
      <c r="AB35" s="10" t="n"/>
      <c r="AC35" s="10" t="n"/>
      <c r="AD35" s="11" t="n"/>
      <c r="AE35" s="45" t="inlineStr">
        <is>
          <t>B</t>
        </is>
      </c>
      <c r="AF35" s="11" t="n"/>
      <c r="AG35" s="45" t="inlineStr"/>
      <c r="AH35" s="10" t="n"/>
      <c r="AI35" s="11" t="n"/>
      <c r="AJ35" s="45" t="inlineStr"/>
      <c r="AK35" s="10" t="n"/>
      <c r="AL35" s="11" t="n"/>
      <c r="AM35" s="45" t="inlineStr"/>
      <c r="AN35" s="10" t="n"/>
      <c r="AO35" s="11" t="n"/>
      <c r="AP35" s="45" t="inlineStr"/>
      <c r="AQ35" s="10" t="n"/>
      <c r="AR35" s="11" t="n"/>
      <c r="AS35" s="45" t="inlineStr"/>
      <c r="AT35" s="10" t="n"/>
      <c r="AU35" s="11" t="n"/>
      <c r="AV35" s="45" t="inlineStr"/>
      <c r="AW35" s="10" t="n"/>
      <c r="AX35" s="11" t="n"/>
      <c r="AY35" s="45" t="inlineStr"/>
      <c r="AZ35" s="10" t="n"/>
      <c r="BA35" s="11" t="n"/>
      <c r="BB35" s="45" t="inlineStr"/>
      <c r="BC35" s="10" t="n"/>
      <c r="BD35" s="11" t="n"/>
      <c r="BE35" s="45" t="inlineStr"/>
      <c r="BF35" s="10" t="n"/>
      <c r="BG35" s="11" t="n"/>
      <c r="BH35" s="45" t="inlineStr"/>
      <c r="BI35" s="10" t="n"/>
      <c r="BJ35" s="11" t="n"/>
      <c r="BK35" s="46" t="inlineStr"/>
      <c r="BL35" s="10" t="n"/>
      <c r="BM35" s="10" t="n"/>
      <c r="BN35" s="10" t="n"/>
      <c r="BO35" s="10" t="n"/>
      <c r="BP35" s="10" t="n"/>
      <c r="BQ35" s="11" t="n"/>
    </row>
    <row r="36" ht="208" customHeight="1">
      <c r="A36" s="44" t="n">
        <v>22</v>
      </c>
      <c r="B36" s="46" t="inlineStr">
        <is>
          <t>ACSMS-TC-020-022</t>
        </is>
      </c>
      <c r="C36" s="10" t="n"/>
      <c r="D36" s="11" t="n"/>
      <c r="E36" s="46" t="inlineStr">
        <is>
          <t>データ送信取扱店舗コード 必須・形式チェック</t>
        </is>
      </c>
      <c r="F36" s="10" t="n"/>
      <c r="G36" s="10" t="n"/>
      <c r="H36" s="10" t="n"/>
      <c r="I36" s="11" t="n"/>
      <c r="J36" s="46" t="inlineStr">
        <is>
          <t>・CHUOKAI でログイン済み</t>
        </is>
      </c>
      <c r="K36" s="10" t="n"/>
      <c r="L36" s="10" t="n"/>
      <c r="M36" s="10" t="n"/>
      <c r="N36" s="10" t="n"/>
      <c r="O36" s="10" t="n"/>
      <c r="P36" s="11" t="n"/>
      <c r="Q36" s="46" t="inlineStr">
        <is>
          <r>
            <rPr>
              <rFont val="メイリオ"/>
              <b val="1"/>
              <sz val="10"/>
            </rPr>
            <t xml:space="preserve">ステップ1：
</t>
          </r>
          <r>
            <rPr>
              <rFont val="メイリオ"/>
              <sz val="10"/>
            </rPr>
            <t xml:space="preserve">データ送信取扱店舗コードを空欄にして「作成開始」をクリック
</t>
          </r>
          <r>
            <rPr>
              <rFont val="メイリオ"/>
              <b val="1"/>
              <sz val="10"/>
            </rPr>
            <t xml:space="preserve">ステップ2：
</t>
          </r>
          <r>
            <rPr>
              <rFont val="メイリオ"/>
              <sz val="10"/>
            </rPr>
            <t xml:space="preserve">データ送信取扱店舗コードに4桁（最大3桁超過）を入力する
</t>
          </r>
          <r>
            <rPr>
              <rFont val="メイリオ"/>
              <b val="1"/>
              <sz val="10"/>
            </rPr>
            <t xml:space="preserve">ステップ3：
</t>
          </r>
          <r>
            <rPr>
              <rFont val="メイリオ"/>
              <sz val="10"/>
            </rPr>
            <t>データ送信取扱店舗コードに半角数字3桁（最大桁）を入力する</t>
          </r>
        </is>
      </c>
      <c r="R36" s="10" t="n"/>
      <c r="S36" s="10" t="n"/>
      <c r="T36" s="10" t="n"/>
      <c r="U36" s="10" t="n"/>
      <c r="V36" s="10" t="n"/>
      <c r="W36" s="11" t="n"/>
      <c r="X36" s="46" t="inlineStr">
        <is>
          <r>
            <rPr>
              <rFont val="メイリオ"/>
              <b val="1"/>
              <sz val="10"/>
            </rPr>
            <t xml:space="preserve">ステップ1：
</t>
          </r>
          <r>
            <rPr>
              <rFont val="メイリオ"/>
              <sz val="10"/>
            </rPr>
            <t xml:space="preserve">データ送信取扱店舗コード項目の下にメッセージ「必須項目です。」が表示されること（ACSMS-MSG-020-004）
</t>
          </r>
          <r>
            <rPr>
              <rFont val="メイリオ"/>
              <b val="1"/>
              <sz val="10"/>
            </rPr>
            <t xml:space="preserve">ステップ2：
</t>
          </r>
          <r>
            <rPr>
              <rFont val="メイリオ"/>
              <sz val="10"/>
            </rPr>
            <t xml:space="preserve">4桁目の入力がブロックされること（最大3桁）
</t>
          </r>
          <r>
            <rPr>
              <rFont val="メイリオ"/>
              <b val="1"/>
              <sz val="10"/>
            </rPr>
            <t xml:space="preserve">ステップ3：
</t>
          </r>
          <r>
            <rPr>
              <rFont val="メイリオ"/>
              <sz val="10"/>
            </rPr>
            <t>半角数字3桁が正常に受け付けられること</t>
          </r>
        </is>
      </c>
      <c r="Y36" s="10" t="n"/>
      <c r="Z36" s="10" t="n"/>
      <c r="AA36" s="10" t="n"/>
      <c r="AB36" s="10" t="n"/>
      <c r="AC36" s="10" t="n"/>
      <c r="AD36" s="11" t="n"/>
      <c r="AE36" s="45" t="inlineStr">
        <is>
          <t>B</t>
        </is>
      </c>
      <c r="AF36" s="11" t="n"/>
      <c r="AG36" s="45" t="inlineStr"/>
      <c r="AH36" s="10" t="n"/>
      <c r="AI36" s="11" t="n"/>
      <c r="AJ36" s="45" t="inlineStr"/>
      <c r="AK36" s="10" t="n"/>
      <c r="AL36" s="11" t="n"/>
      <c r="AM36" s="45" t="inlineStr"/>
      <c r="AN36" s="10" t="n"/>
      <c r="AO36" s="11" t="n"/>
      <c r="AP36" s="45" t="inlineStr"/>
      <c r="AQ36" s="10" t="n"/>
      <c r="AR36" s="11" t="n"/>
      <c r="AS36" s="45" t="inlineStr"/>
      <c r="AT36" s="10" t="n"/>
      <c r="AU36" s="11" t="n"/>
      <c r="AV36" s="45" t="inlineStr"/>
      <c r="AW36" s="10" t="n"/>
      <c r="AX36" s="11" t="n"/>
      <c r="AY36" s="45" t="inlineStr"/>
      <c r="AZ36" s="10" t="n"/>
      <c r="BA36" s="11" t="n"/>
      <c r="BB36" s="45" t="inlineStr"/>
      <c r="BC36" s="10" t="n"/>
      <c r="BD36" s="11" t="n"/>
      <c r="BE36" s="45" t="inlineStr"/>
      <c r="BF36" s="10" t="n"/>
      <c r="BG36" s="11" t="n"/>
      <c r="BH36" s="45" t="inlineStr"/>
      <c r="BI36" s="10" t="n"/>
      <c r="BJ36" s="11" t="n"/>
      <c r="BK36" s="46" t="inlineStr"/>
      <c r="BL36" s="10" t="n"/>
      <c r="BM36" s="10" t="n"/>
      <c r="BN36" s="10" t="n"/>
      <c r="BO36" s="10" t="n"/>
      <c r="BP36" s="10" t="n"/>
      <c r="BQ36" s="11" t="n"/>
    </row>
    <row r="37" ht="192" customHeight="1">
      <c r="A37" s="44" t="n">
        <v>23</v>
      </c>
      <c r="B37" s="46" t="inlineStr">
        <is>
          <t>ACSMS-TC-020-023</t>
        </is>
      </c>
      <c r="C37" s="10" t="n"/>
      <c r="D37" s="11" t="n"/>
      <c r="E37" s="46" t="inlineStr">
        <is>
          <t>店舗名 必須・桁数チェック</t>
        </is>
      </c>
      <c r="F37" s="10" t="n"/>
      <c r="G37" s="10" t="n"/>
      <c r="H37" s="10" t="n"/>
      <c r="I37" s="11" t="n"/>
      <c r="J37" s="46" t="inlineStr">
        <is>
          <t>・CHUOKAI でログイン済み</t>
        </is>
      </c>
      <c r="K37" s="10" t="n"/>
      <c r="L37" s="10" t="n"/>
      <c r="M37" s="10" t="n"/>
      <c r="N37" s="10" t="n"/>
      <c r="O37" s="10" t="n"/>
      <c r="P37" s="11" t="n"/>
      <c r="Q37" s="46" t="inlineStr">
        <is>
          <r>
            <rPr>
              <rFont val="メイリオ"/>
              <b val="1"/>
              <sz val="10"/>
            </rPr>
            <t xml:space="preserve">ステップ1：
</t>
          </r>
          <r>
            <rPr>
              <rFont val="メイリオ"/>
              <sz val="10"/>
            </rPr>
            <t xml:space="preserve">店舗名を空欄にして「作成開始」をクリック
</t>
          </r>
          <r>
            <rPr>
              <rFont val="メイリオ"/>
              <b val="1"/>
              <sz val="10"/>
            </rPr>
            <t xml:space="preserve">ステップ2：
</t>
          </r>
          <r>
            <rPr>
              <rFont val="メイリオ"/>
              <sz val="10"/>
            </rPr>
            <t xml:space="preserve">店舗名に16文字（最大15桁超過）を入力する
</t>
          </r>
          <r>
            <rPr>
              <rFont val="メイリオ"/>
              <b val="1"/>
              <sz val="10"/>
            </rPr>
            <t xml:space="preserve">ステップ3：
</t>
          </r>
          <r>
            <rPr>
              <rFont val="メイリオ"/>
              <sz val="10"/>
            </rPr>
            <t>店舗名に15文字（最大桁）を入力する</t>
          </r>
        </is>
      </c>
      <c r="R37" s="10" t="n"/>
      <c r="S37" s="10" t="n"/>
      <c r="T37" s="10" t="n"/>
      <c r="U37" s="10" t="n"/>
      <c r="V37" s="10" t="n"/>
      <c r="W37" s="11" t="n"/>
      <c r="X37" s="46" t="inlineStr">
        <is>
          <r>
            <rPr>
              <rFont val="メイリオ"/>
              <b val="1"/>
              <sz val="10"/>
            </rPr>
            <t xml:space="preserve">ステップ1：
</t>
          </r>
          <r>
            <rPr>
              <rFont val="メイリオ"/>
              <sz val="10"/>
            </rPr>
            <t xml:space="preserve">店舗名項目の下にメッセージ「必須項目です。」が表示されること（ACSMS-MSG-020-004）
</t>
          </r>
          <r>
            <rPr>
              <rFont val="メイリオ"/>
              <b val="1"/>
              <sz val="10"/>
            </rPr>
            <t xml:space="preserve">ステップ2：
</t>
          </r>
          <r>
            <rPr>
              <rFont val="メイリオ"/>
              <sz val="10"/>
            </rPr>
            <t xml:space="preserve">16文字目の入力がブロックされること（最大15桁）
</t>
          </r>
          <r>
            <rPr>
              <rFont val="メイリオ"/>
              <b val="1"/>
              <sz val="10"/>
            </rPr>
            <t xml:space="preserve">ステップ3：
</t>
          </r>
          <r>
            <rPr>
              <rFont val="メイリオ"/>
              <sz val="10"/>
            </rPr>
            <t>15文字が正常に受け付けられること</t>
          </r>
        </is>
      </c>
      <c r="Y37" s="10" t="n"/>
      <c r="Z37" s="10" t="n"/>
      <c r="AA37" s="10" t="n"/>
      <c r="AB37" s="10" t="n"/>
      <c r="AC37" s="10" t="n"/>
      <c r="AD37" s="11" t="n"/>
      <c r="AE37" s="45" t="inlineStr">
        <is>
          <t>B</t>
        </is>
      </c>
      <c r="AF37" s="11" t="n"/>
      <c r="AG37" s="45" t="inlineStr"/>
      <c r="AH37" s="10" t="n"/>
      <c r="AI37" s="11" t="n"/>
      <c r="AJ37" s="45" t="inlineStr"/>
      <c r="AK37" s="10" t="n"/>
      <c r="AL37" s="11" t="n"/>
      <c r="AM37" s="45" t="inlineStr"/>
      <c r="AN37" s="10" t="n"/>
      <c r="AO37" s="11" t="n"/>
      <c r="AP37" s="45" t="inlineStr"/>
      <c r="AQ37" s="10" t="n"/>
      <c r="AR37" s="11" t="n"/>
      <c r="AS37" s="45" t="inlineStr"/>
      <c r="AT37" s="10" t="n"/>
      <c r="AU37" s="11" t="n"/>
      <c r="AV37" s="45" t="inlineStr"/>
      <c r="AW37" s="10" t="n"/>
      <c r="AX37" s="11" t="n"/>
      <c r="AY37" s="45" t="inlineStr"/>
      <c r="AZ37" s="10" t="n"/>
      <c r="BA37" s="11" t="n"/>
      <c r="BB37" s="45" t="inlineStr"/>
      <c r="BC37" s="10" t="n"/>
      <c r="BD37" s="11" t="n"/>
      <c r="BE37" s="45" t="inlineStr"/>
      <c r="BF37" s="10" t="n"/>
      <c r="BG37" s="11" t="n"/>
      <c r="BH37" s="45" t="inlineStr"/>
      <c r="BI37" s="10" t="n"/>
      <c r="BJ37" s="11" t="n"/>
      <c r="BK37" s="46" t="inlineStr"/>
      <c r="BL37" s="10" t="n"/>
      <c r="BM37" s="10" t="n"/>
      <c r="BN37" s="10" t="n"/>
      <c r="BO37" s="10" t="n"/>
      <c r="BP37" s="10" t="n"/>
      <c r="BQ37" s="11" t="n"/>
    </row>
    <row r="38" ht="128" customHeight="1">
      <c r="A38" s="44" t="n">
        <v>24</v>
      </c>
      <c r="B38" s="46" t="inlineStr">
        <is>
          <t>ACSMS-TC-020-024</t>
        </is>
      </c>
      <c r="C38" s="10" t="n"/>
      <c r="D38" s="11" t="n"/>
      <c r="E38" s="46" t="inlineStr">
        <is>
          <t>貯金種目 必須・値チェック</t>
        </is>
      </c>
      <c r="F38" s="10" t="n"/>
      <c r="G38" s="10" t="n"/>
      <c r="H38" s="10" t="n"/>
      <c r="I38" s="11" t="n"/>
      <c r="J38" s="46" t="inlineStr">
        <is>
          <t>・CHUOKAI でログイン済み</t>
        </is>
      </c>
      <c r="K38" s="10" t="n"/>
      <c r="L38" s="10" t="n"/>
      <c r="M38" s="10" t="n"/>
      <c r="N38" s="10" t="n"/>
      <c r="O38" s="10" t="n"/>
      <c r="P38" s="11" t="n"/>
      <c r="Q38" s="46" t="inlineStr">
        <is>
          <r>
            <rPr>
              <rFont val="メイリオ"/>
              <b val="1"/>
              <sz val="10"/>
            </rPr>
            <t xml:space="preserve">ステップ1：
</t>
          </r>
          <r>
            <rPr>
              <rFont val="メイリオ"/>
              <sz val="10"/>
            </rPr>
            <t xml:space="preserve">貯金種目プルダウンの選択肢を確認する
</t>
          </r>
          <r>
            <rPr>
              <rFont val="メイリオ"/>
              <b val="1"/>
              <sz val="10"/>
            </rPr>
            <t xml:space="preserve">ステップ2：
</t>
          </r>
          <r>
            <rPr>
              <rFont val="メイリオ"/>
              <sz val="10"/>
            </rPr>
            <t>貯金種目で「普通貯金」「当座貯金」「その他」をそれぞれ選択する</t>
          </r>
        </is>
      </c>
      <c r="R38" s="10" t="n"/>
      <c r="S38" s="10" t="n"/>
      <c r="T38" s="10" t="n"/>
      <c r="U38" s="10" t="n"/>
      <c r="V38" s="10" t="n"/>
      <c r="W38" s="11" t="n"/>
      <c r="X38" s="46" t="inlineStr">
        <is>
          <r>
            <rPr>
              <rFont val="メイリオ"/>
              <b val="1"/>
              <sz val="10"/>
            </rPr>
            <t xml:space="preserve">ステップ1：
</t>
          </r>
          <r>
            <rPr>
              <rFont val="メイリオ"/>
              <sz val="10"/>
            </rPr>
            <t xml:space="preserve">貯金種目に「普通貯金」（値 `1`）「当座貯金」（値 `2`）「その他」（値 `9`）が表示されること
</t>
          </r>
          <r>
            <rPr>
              <rFont val="メイリオ"/>
              <b val="1"/>
              <sz val="10"/>
            </rPr>
            <t xml:space="preserve">ステップ2：
</t>
          </r>
          <r>
            <rPr>
              <rFont val="メイリオ"/>
              <sz val="10"/>
            </rPr>
            <t>選択した値が保持されること</t>
          </r>
        </is>
      </c>
      <c r="Y38" s="10" t="n"/>
      <c r="Z38" s="10" t="n"/>
      <c r="AA38" s="10" t="n"/>
      <c r="AB38" s="10" t="n"/>
      <c r="AC38" s="10" t="n"/>
      <c r="AD38" s="11" t="n"/>
      <c r="AE38" s="45" t="inlineStr">
        <is>
          <t>N</t>
        </is>
      </c>
      <c r="AF38" s="11" t="n"/>
      <c r="AG38" s="45" t="inlineStr"/>
      <c r="AH38" s="10" t="n"/>
      <c r="AI38" s="11" t="n"/>
      <c r="AJ38" s="45" t="inlineStr"/>
      <c r="AK38" s="10" t="n"/>
      <c r="AL38" s="11" t="n"/>
      <c r="AM38" s="45" t="inlineStr"/>
      <c r="AN38" s="10" t="n"/>
      <c r="AO38" s="11" t="n"/>
      <c r="AP38" s="45" t="inlineStr"/>
      <c r="AQ38" s="10" t="n"/>
      <c r="AR38" s="11" t="n"/>
      <c r="AS38" s="45" t="inlineStr"/>
      <c r="AT38" s="10" t="n"/>
      <c r="AU38" s="11" t="n"/>
      <c r="AV38" s="45" t="inlineStr"/>
      <c r="AW38" s="10" t="n"/>
      <c r="AX38" s="11" t="n"/>
      <c r="AY38" s="45" t="inlineStr"/>
      <c r="AZ38" s="10" t="n"/>
      <c r="BA38" s="11" t="n"/>
      <c r="BB38" s="45" t="inlineStr"/>
      <c r="BC38" s="10" t="n"/>
      <c r="BD38" s="11" t="n"/>
      <c r="BE38" s="45" t="inlineStr"/>
      <c r="BF38" s="10" t="n"/>
      <c r="BG38" s="11" t="n"/>
      <c r="BH38" s="45" t="inlineStr"/>
      <c r="BI38" s="10" t="n"/>
      <c r="BJ38" s="11" t="n"/>
      <c r="BK38" s="46" t="inlineStr"/>
      <c r="BL38" s="10" t="n"/>
      <c r="BM38" s="10" t="n"/>
      <c r="BN38" s="10" t="n"/>
      <c r="BO38" s="10" t="n"/>
      <c r="BP38" s="10" t="n"/>
      <c r="BQ38" s="11" t="n"/>
    </row>
    <row r="39" ht="192" customHeight="1">
      <c r="A39" s="44" t="n">
        <v>25</v>
      </c>
      <c r="B39" s="46" t="inlineStr">
        <is>
          <t>ACSMS-TC-020-025</t>
        </is>
      </c>
      <c r="C39" s="10" t="n"/>
      <c r="D39" s="11" t="n"/>
      <c r="E39" s="46" t="inlineStr">
        <is>
          <t>口座番号 必須・形式チェック</t>
        </is>
      </c>
      <c r="F39" s="10" t="n"/>
      <c r="G39" s="10" t="n"/>
      <c r="H39" s="10" t="n"/>
      <c r="I39" s="11" t="n"/>
      <c r="J39" s="46" t="inlineStr">
        <is>
          <t>・CHUOKAI でログイン済み</t>
        </is>
      </c>
      <c r="K39" s="10" t="n"/>
      <c r="L39" s="10" t="n"/>
      <c r="M39" s="10" t="n"/>
      <c r="N39" s="10" t="n"/>
      <c r="O39" s="10" t="n"/>
      <c r="P39" s="11" t="n"/>
      <c r="Q39" s="46" t="inlineStr">
        <is>
          <r>
            <rPr>
              <rFont val="メイリオ"/>
              <b val="1"/>
              <sz val="10"/>
            </rPr>
            <t xml:space="preserve">ステップ1：
</t>
          </r>
          <r>
            <rPr>
              <rFont val="メイリオ"/>
              <sz val="10"/>
            </rPr>
            <t xml:space="preserve">口座番号を空欄にして「作成開始」をクリック
</t>
          </r>
          <r>
            <rPr>
              <rFont val="メイリオ"/>
              <b val="1"/>
              <sz val="10"/>
            </rPr>
            <t xml:space="preserve">ステップ2：
</t>
          </r>
          <r>
            <rPr>
              <rFont val="メイリオ"/>
              <sz val="10"/>
            </rPr>
            <t xml:space="preserve">口座番号に8桁（最大7桁超過）を入力する
</t>
          </r>
          <r>
            <rPr>
              <rFont val="メイリオ"/>
              <b val="1"/>
              <sz val="10"/>
            </rPr>
            <t xml:space="preserve">ステップ3：
</t>
          </r>
          <r>
            <rPr>
              <rFont val="メイリオ"/>
              <sz val="10"/>
            </rPr>
            <t>口座番号に半角数字7桁（最大桁）を入力する</t>
          </r>
        </is>
      </c>
      <c r="R39" s="10" t="n"/>
      <c r="S39" s="10" t="n"/>
      <c r="T39" s="10" t="n"/>
      <c r="U39" s="10" t="n"/>
      <c r="V39" s="10" t="n"/>
      <c r="W39" s="11" t="n"/>
      <c r="X39" s="46" t="inlineStr">
        <is>
          <r>
            <rPr>
              <rFont val="メイリオ"/>
              <b val="1"/>
              <sz val="10"/>
            </rPr>
            <t xml:space="preserve">ステップ1：
</t>
          </r>
          <r>
            <rPr>
              <rFont val="メイリオ"/>
              <sz val="10"/>
            </rPr>
            <t xml:space="preserve">口座番号項目の下にメッセージ「必須項目です。」が表示されること（ACSMS-MSG-020-004）
</t>
          </r>
          <r>
            <rPr>
              <rFont val="メイリオ"/>
              <b val="1"/>
              <sz val="10"/>
            </rPr>
            <t xml:space="preserve">ステップ2：
</t>
          </r>
          <r>
            <rPr>
              <rFont val="メイリオ"/>
              <sz val="10"/>
            </rPr>
            <t xml:space="preserve">8桁目の入力がブロックされること（最大7桁）
</t>
          </r>
          <r>
            <rPr>
              <rFont val="メイリオ"/>
              <b val="1"/>
              <sz val="10"/>
            </rPr>
            <t xml:space="preserve">ステップ3：
</t>
          </r>
          <r>
            <rPr>
              <rFont val="メイリオ"/>
              <sz val="10"/>
            </rPr>
            <t>半角数字7桁が正常に受け付けられること</t>
          </r>
        </is>
      </c>
      <c r="Y39" s="10" t="n"/>
      <c r="Z39" s="10" t="n"/>
      <c r="AA39" s="10" t="n"/>
      <c r="AB39" s="10" t="n"/>
      <c r="AC39" s="10" t="n"/>
      <c r="AD39" s="11" t="n"/>
      <c r="AE39" s="45" t="inlineStr">
        <is>
          <t>B</t>
        </is>
      </c>
      <c r="AF39" s="11" t="n"/>
      <c r="AG39" s="45" t="inlineStr"/>
      <c r="AH39" s="10" t="n"/>
      <c r="AI39" s="11" t="n"/>
      <c r="AJ39" s="45" t="inlineStr"/>
      <c r="AK39" s="10" t="n"/>
      <c r="AL39" s="11" t="n"/>
      <c r="AM39" s="45" t="inlineStr"/>
      <c r="AN39" s="10" t="n"/>
      <c r="AO39" s="11" t="n"/>
      <c r="AP39" s="45" t="inlineStr"/>
      <c r="AQ39" s="10" t="n"/>
      <c r="AR39" s="11" t="n"/>
      <c r="AS39" s="45" t="inlineStr"/>
      <c r="AT39" s="10" t="n"/>
      <c r="AU39" s="11" t="n"/>
      <c r="AV39" s="45" t="inlineStr"/>
      <c r="AW39" s="10" t="n"/>
      <c r="AX39" s="11" t="n"/>
      <c r="AY39" s="45" t="inlineStr"/>
      <c r="AZ39" s="10" t="n"/>
      <c r="BA39" s="11" t="n"/>
      <c r="BB39" s="45" t="inlineStr"/>
      <c r="BC39" s="10" t="n"/>
      <c r="BD39" s="11" t="n"/>
      <c r="BE39" s="45" t="inlineStr"/>
      <c r="BF39" s="10" t="n"/>
      <c r="BG39" s="11" t="n"/>
      <c r="BH39" s="45" t="inlineStr"/>
      <c r="BI39" s="10" t="n"/>
      <c r="BJ39" s="11" t="n"/>
      <c r="BK39" s="46" t="inlineStr"/>
      <c r="BL39" s="10" t="n"/>
      <c r="BM39" s="10" t="n"/>
      <c r="BN39" s="10" t="n"/>
      <c r="BO39" s="10" t="n"/>
      <c r="BP39" s="10" t="n"/>
      <c r="BQ39" s="11" t="n"/>
    </row>
    <row r="40" ht="176" customHeight="1">
      <c r="A40" s="44" t="n">
        <v>26</v>
      </c>
      <c r="B40" s="46" t="inlineStr">
        <is>
          <t>ACSMS-TC-020-026</t>
        </is>
      </c>
      <c r="C40" s="10" t="n"/>
      <c r="D40" s="11" t="n"/>
      <c r="E40" s="46" t="inlineStr">
        <is>
          <t>半角・全角ハンドリング（数値項目）</t>
        </is>
      </c>
      <c r="F40" s="10" t="n"/>
      <c r="G40" s="10" t="n"/>
      <c r="H40" s="10" t="n"/>
      <c r="I40" s="11" t="n"/>
      <c r="J40" s="46" t="inlineStr">
        <is>
          <t>・CHUOKAI でログイン済み</t>
        </is>
      </c>
      <c r="K40" s="10" t="n"/>
      <c r="L40" s="10" t="n"/>
      <c r="M40" s="10" t="n"/>
      <c r="N40" s="10" t="n"/>
      <c r="O40" s="10" t="n"/>
      <c r="P40" s="11" t="n"/>
      <c r="Q40" s="46" t="inlineStr">
        <is>
          <r>
            <rPr>
              <rFont val="メイリオ"/>
              <b val="1"/>
              <sz val="10"/>
            </rPr>
            <t xml:space="preserve">ステップ1：
</t>
          </r>
          <r>
            <rPr>
              <rFont val="メイリオ"/>
              <sz val="10"/>
            </rPr>
            <t xml:space="preserve">農協番号・データ送信取扱店舗コード・口座番号に全角数字を入力する
</t>
          </r>
          <r>
            <rPr>
              <rFont val="メイリオ"/>
              <b val="1"/>
              <sz val="10"/>
            </rPr>
            <t xml:space="preserve">ステップ2：
</t>
          </r>
          <r>
            <rPr>
              <rFont val="メイリオ"/>
              <sz val="10"/>
            </rPr>
            <t>DevToolsのNetworkタブで全角数字を含むリクエストボディを直接送信する</t>
          </r>
        </is>
      </c>
      <c r="R40" s="10" t="n"/>
      <c r="S40" s="10" t="n"/>
      <c r="T40" s="10" t="n"/>
      <c r="U40" s="10" t="n"/>
      <c r="V40" s="10" t="n"/>
      <c r="W40" s="11" t="n"/>
      <c r="X40" s="46" t="inlineStr">
        <is>
          <r>
            <rPr>
              <rFont val="メイリオ"/>
              <b val="1"/>
              <sz val="10"/>
            </rPr>
            <t xml:space="preserve">ステップ1：
</t>
          </r>
          <r>
            <rPr>
              <rFont val="メイリオ"/>
              <sz val="10"/>
            </rPr>
            <t xml:space="preserve">数値項目に半角数字のみ入力可能であること
</t>
          </r>
          <r>
            <rPr>
              <rFont val="メイリオ"/>
              <b val="1"/>
              <sz val="10"/>
            </rPr>
            <t xml:space="preserve">ステップ2：
</t>
          </r>
          <r>
            <rPr>
              <rFont val="メイリオ"/>
              <sz val="10"/>
            </rPr>
            <t>HTTPステータスコード400が返却されること（`error_code: VALIDATION_ERROR`、メッセージ `入力値が不正です。詳細はerrorsフィールドを確認してください。`）</t>
          </r>
        </is>
      </c>
      <c r="Y40" s="10" t="n"/>
      <c r="Z40" s="10" t="n"/>
      <c r="AA40" s="10" t="n"/>
      <c r="AB40" s="10" t="n"/>
      <c r="AC40" s="10" t="n"/>
      <c r="AD40" s="11" t="n"/>
      <c r="AE40" s="45" t="inlineStr">
        <is>
          <t>A</t>
        </is>
      </c>
      <c r="AF40" s="11" t="n"/>
      <c r="AG40" s="45" t="inlineStr"/>
      <c r="AH40" s="10" t="n"/>
      <c r="AI40" s="11" t="n"/>
      <c r="AJ40" s="45" t="inlineStr"/>
      <c r="AK40" s="10" t="n"/>
      <c r="AL40" s="11" t="n"/>
      <c r="AM40" s="45" t="inlineStr"/>
      <c r="AN40" s="10" t="n"/>
      <c r="AO40" s="11" t="n"/>
      <c r="AP40" s="45" t="inlineStr"/>
      <c r="AQ40" s="10" t="n"/>
      <c r="AR40" s="11" t="n"/>
      <c r="AS40" s="45" t="inlineStr"/>
      <c r="AT40" s="10" t="n"/>
      <c r="AU40" s="11" t="n"/>
      <c r="AV40" s="45" t="inlineStr"/>
      <c r="AW40" s="10" t="n"/>
      <c r="AX40" s="11" t="n"/>
      <c r="AY40" s="45" t="inlineStr"/>
      <c r="AZ40" s="10" t="n"/>
      <c r="BA40" s="11" t="n"/>
      <c r="BB40" s="45" t="inlineStr"/>
      <c r="BC40" s="10" t="n"/>
      <c r="BD40" s="11" t="n"/>
      <c r="BE40" s="45" t="inlineStr"/>
      <c r="BF40" s="10" t="n"/>
      <c r="BG40" s="11" t="n"/>
      <c r="BH40" s="45" t="inlineStr"/>
      <c r="BI40" s="10" t="n"/>
      <c r="BJ40" s="11" t="n"/>
      <c r="BK40" s="46" t="inlineStr"/>
      <c r="BL40" s="10" t="n"/>
      <c r="BM40" s="10" t="n"/>
      <c r="BN40" s="10" t="n"/>
      <c r="BO40" s="10" t="n"/>
      <c r="BP40" s="10" t="n"/>
      <c r="BQ40" s="11" t="n"/>
    </row>
    <row r="41" ht="160" customHeight="1">
      <c r="A41" s="44" t="n">
        <v>27</v>
      </c>
      <c r="B41" s="46" t="inlineStr">
        <is>
          <t>ACSMS-TC-020-027</t>
        </is>
      </c>
      <c r="C41" s="10" t="n"/>
      <c r="D41" s="11" t="n"/>
      <c r="E41" s="46" t="inlineStr">
        <is>
          <t>複数必須項目未入力 統合送信</t>
        </is>
      </c>
      <c r="F41" s="10" t="n"/>
      <c r="G41" s="10" t="n"/>
      <c r="H41" s="10" t="n"/>
      <c r="I41" s="11" t="n"/>
      <c r="J41" s="46" t="inlineStr">
        <is>
          <t>・CHUOKAI でログイン済み</t>
        </is>
      </c>
      <c r="K41" s="10" t="n"/>
      <c r="L41" s="10" t="n"/>
      <c r="M41" s="10" t="n"/>
      <c r="N41" s="10" t="n"/>
      <c r="O41" s="10" t="n"/>
      <c r="P41" s="11" t="n"/>
      <c r="Q41" s="46" t="inlineStr">
        <is>
          <r>
            <rPr>
              <rFont val="メイリオ"/>
              <b val="1"/>
              <sz val="10"/>
            </rPr>
            <t xml:space="preserve">ステップ1：
</t>
          </r>
          <r>
            <rPr>
              <rFont val="メイリオ"/>
              <sz val="10"/>
            </rPr>
            <t>DevToolsのNetworkタブでPOST「/api/v1/koza-furikae/export」に target_month・hikiotoshi_date・jastem_itakusha_code を空にしたリクエストボディを送信</t>
          </r>
        </is>
      </c>
      <c r="R41" s="10" t="n"/>
      <c r="S41" s="10" t="n"/>
      <c r="T41" s="10" t="n"/>
      <c r="U41" s="10" t="n"/>
      <c r="V41" s="10" t="n"/>
      <c r="W41" s="11" t="n"/>
      <c r="X41" s="46" t="inlineStr">
        <is>
          <r>
            <rPr>
              <rFont val="メイリオ"/>
              <b val="1"/>
              <sz val="10"/>
            </rPr>
            <t xml:space="preserve">ステップ1：
</t>
          </r>
          <r>
            <rPr>
              <rFont val="メイリオ"/>
              <sz val="10"/>
            </rPr>
            <t>HTTPステータスコード400が返却されること（`error_code: VALIDATION_ERROR`、メッセージ `入力値が不正です。詳細はerrorsフィールドを確認してください。`）、かつ `errors` 配列に各項目の `{ field, message: '必須項目です。' }` が含まれること</t>
          </r>
        </is>
      </c>
      <c r="Y41" s="10" t="n"/>
      <c r="Z41" s="10" t="n"/>
      <c r="AA41" s="10" t="n"/>
      <c r="AB41" s="10" t="n"/>
      <c r="AC41" s="10" t="n"/>
      <c r="AD41" s="11" t="n"/>
      <c r="AE41" s="45" t="inlineStr">
        <is>
          <t>A</t>
        </is>
      </c>
      <c r="AF41" s="11" t="n"/>
      <c r="AG41" s="45" t="inlineStr"/>
      <c r="AH41" s="10" t="n"/>
      <c r="AI41" s="11" t="n"/>
      <c r="AJ41" s="45" t="inlineStr"/>
      <c r="AK41" s="10" t="n"/>
      <c r="AL41" s="11" t="n"/>
      <c r="AM41" s="45" t="inlineStr"/>
      <c r="AN41" s="10" t="n"/>
      <c r="AO41" s="11" t="n"/>
      <c r="AP41" s="45" t="inlineStr"/>
      <c r="AQ41" s="10" t="n"/>
      <c r="AR41" s="11" t="n"/>
      <c r="AS41" s="45" t="inlineStr"/>
      <c r="AT41" s="10" t="n"/>
      <c r="AU41" s="11" t="n"/>
      <c r="AV41" s="45" t="inlineStr"/>
      <c r="AW41" s="10" t="n"/>
      <c r="AX41" s="11" t="n"/>
      <c r="AY41" s="45" t="inlineStr"/>
      <c r="AZ41" s="10" t="n"/>
      <c r="BA41" s="11" t="n"/>
      <c r="BB41" s="45" t="inlineStr"/>
      <c r="BC41" s="10" t="n"/>
      <c r="BD41" s="11" t="n"/>
      <c r="BE41" s="45" t="inlineStr"/>
      <c r="BF41" s="10" t="n"/>
      <c r="BG41" s="11" t="n"/>
      <c r="BH41" s="45" t="inlineStr"/>
      <c r="BI41" s="10" t="n"/>
      <c r="BJ41" s="11" t="n"/>
      <c r="BK41" s="46" t="inlineStr">
        <is>
          <t>(なし)
---</t>
        </is>
      </c>
      <c r="BL41" s="10" t="n"/>
      <c r="BM41" s="10" t="n"/>
      <c r="BN41" s="10" t="n"/>
      <c r="BO41" s="10" t="n"/>
      <c r="BP41" s="10" t="n"/>
      <c r="BQ41" s="11" t="n"/>
    </row>
    <row r="42" ht="22.5" customHeight="1">
      <c r="A42" s="32" t="inlineStr">
        <is>
          <t>カテゴリ4: 業務ロジック（Business Logic）</t>
        </is>
      </c>
      <c r="B42" s="10" t="n"/>
      <c r="C42" s="10" t="n"/>
      <c r="D42" s="10" t="n"/>
      <c r="E42" s="10" t="n"/>
      <c r="F42" s="10" t="n"/>
      <c r="G42" s="10" t="n"/>
      <c r="H42" s="10" t="n"/>
      <c r="I42" s="10" t="n"/>
      <c r="J42" s="10" t="n"/>
      <c r="K42" s="10" t="n"/>
      <c r="L42" s="10" t="n"/>
      <c r="M42" s="10" t="n"/>
      <c r="N42" s="10" t="n"/>
      <c r="O42" s="10" t="n"/>
      <c r="P42" s="10" t="n"/>
      <c r="Q42" s="10" t="n"/>
      <c r="R42" s="10" t="n"/>
      <c r="S42" s="10" t="n"/>
      <c r="T42" s="10" t="n"/>
      <c r="U42" s="10" t="n"/>
      <c r="V42" s="10" t="n"/>
      <c r="W42" s="10" t="n"/>
      <c r="X42" s="10" t="n"/>
      <c r="Y42" s="10" t="n"/>
      <c r="Z42" s="10" t="n"/>
      <c r="AA42" s="10" t="n"/>
      <c r="AB42" s="10" t="n"/>
      <c r="AC42" s="10" t="n"/>
      <c r="AD42" s="10" t="n"/>
      <c r="AE42" s="10" t="n"/>
      <c r="AF42" s="10" t="n"/>
      <c r="AG42" s="10" t="n"/>
      <c r="AH42" s="10" t="n"/>
      <c r="AI42" s="10" t="n"/>
      <c r="AJ42" s="10" t="n"/>
      <c r="AK42" s="10" t="n"/>
      <c r="AL42" s="10" t="n"/>
      <c r="AM42" s="10" t="n"/>
      <c r="AN42" s="10" t="n"/>
      <c r="AO42" s="10" t="n"/>
      <c r="AP42" s="10" t="n"/>
      <c r="AQ42" s="10" t="n"/>
      <c r="AR42" s="10" t="n"/>
      <c r="AS42" s="10" t="n"/>
      <c r="AT42" s="10" t="n"/>
      <c r="AU42" s="10" t="n"/>
      <c r="AV42" s="10" t="n"/>
      <c r="AW42" s="10" t="n"/>
      <c r="AX42" s="10" t="n"/>
      <c r="AY42" s="10" t="n"/>
      <c r="AZ42" s="10" t="n"/>
      <c r="BA42" s="10" t="n"/>
      <c r="BB42" s="10" t="n"/>
      <c r="BC42" s="10" t="n"/>
      <c r="BD42" s="10" t="n"/>
      <c r="BE42" s="10" t="n"/>
      <c r="BF42" s="10" t="n"/>
      <c r="BG42" s="10" t="n"/>
      <c r="BH42" s="10" t="n"/>
      <c r="BI42" s="10" t="n"/>
      <c r="BJ42" s="10" t="n"/>
      <c r="BK42" s="10" t="n"/>
      <c r="BL42" s="10" t="n"/>
      <c r="BM42" s="10" t="n"/>
      <c r="BN42" s="10" t="n"/>
      <c r="BO42" s="10" t="n"/>
      <c r="BP42" s="10" t="n"/>
      <c r="BQ42" s="11" t="n"/>
    </row>
    <row r="43" ht="240" customHeight="1">
      <c r="A43" s="44" t="n">
        <v>28</v>
      </c>
      <c r="B43" s="46" t="inlineStr">
        <is>
          <t>ACSMS-TC-020-028</t>
        </is>
      </c>
      <c r="C43" s="10" t="n"/>
      <c r="D43" s="11" t="n"/>
      <c r="E43" s="46" t="inlineStr">
        <is>
          <t>口座振替データ出力 正常系</t>
        </is>
      </c>
      <c r="F43" s="10" t="n"/>
      <c r="G43" s="10" t="n"/>
      <c r="H43" s="10" t="n"/>
      <c r="I43" s="11" t="n"/>
      <c r="J43" s="46" t="inlineStr">
        <is>
          <t>・CHUOKAI でログイン済み
・対象年月に集計対象となる口座引落（shiharai_hoho=1）の購読者が存在する</t>
        </is>
      </c>
      <c r="K43" s="10" t="n"/>
      <c r="L43" s="10" t="n"/>
      <c r="M43" s="10" t="n"/>
      <c r="N43" s="10" t="n"/>
      <c r="O43" s="10" t="n"/>
      <c r="P43" s="11" t="n"/>
      <c r="Q43" s="46" t="inlineStr">
        <is>
          <r>
            <rPr>
              <rFont val="メイリオ"/>
              <b val="1"/>
              <sz val="10"/>
            </rPr>
            <t xml:space="preserve">ステップ1：
</t>
          </r>
          <r>
            <rPr>
              <rFont val="メイリオ"/>
              <sz val="10"/>
            </rPr>
            <t xml:space="preserve">年月日・引落日・委託者コード・委託者名・農協番号・農協名・データ送信取扱店舗コード・店舗名・貯金種目・口座番号を入力する
</t>
          </r>
          <r>
            <rPr>
              <rFont val="メイリオ"/>
              <b val="1"/>
              <sz val="10"/>
            </rPr>
            <t xml:space="preserve">ステップ2：
</t>
          </r>
          <r>
            <rPr>
              <rFont val="メイリオ"/>
              <sz val="10"/>
            </rPr>
            <t>「作成開始」ボタンをクリック</t>
          </r>
        </is>
      </c>
      <c r="R43" s="10" t="n"/>
      <c r="S43" s="10" t="n"/>
      <c r="T43" s="10" t="n"/>
      <c r="U43" s="10" t="n"/>
      <c r="V43" s="10" t="n"/>
      <c r="W43" s="11" t="n"/>
      <c r="X43" s="46" t="inlineStr">
        <is>
          <r>
            <rPr>
              <rFont val="メイリオ"/>
              <b val="1"/>
              <sz val="10"/>
            </rPr>
            <t xml:space="preserve">ステップ1：
</t>
          </r>
          <r>
            <rPr>
              <rFont val="メイリオ"/>
              <sz val="10"/>
            </rPr>
            <t xml:space="preserve">全必須項目が入力できること
</t>
          </r>
          <r>
            <rPr>
              <rFont val="メイリオ"/>
              <b val="1"/>
              <sz val="10"/>
            </rPr>
            <t xml:space="preserve">ステップ2：
</t>
          </r>
          <r>
            <rPr>
              <rFont val="メイリオ"/>
              <sz val="10"/>
            </rPr>
            <t xml:space="preserve">・HTTPステータスコード200が返却されること
</t>
          </r>
          <r>
            <rPr>
              <rFont val="メイリオ"/>
              <sz val="10"/>
            </rPr>
            <t xml:space="preserve">・CSVファイルがダウンロードされること（`Content-Type: text/csv; charset=Shift_JIS`、ファイル名 `koza_furikae_YYYYMMDD_HHmmss.csv`）
</t>
          </r>
          <r>
            <rPr>
              <rFont val="メイリオ"/>
              <sz val="10"/>
            </rPr>
            <t>・トースト「口座振替データの作成が完了しました。」が表示されること（ACSMS-MSG-020-001）</t>
          </r>
        </is>
      </c>
      <c r="Y43" s="10" t="n"/>
      <c r="Z43" s="10" t="n"/>
      <c r="AA43" s="10" t="n"/>
      <c r="AB43" s="10" t="n"/>
      <c r="AC43" s="10" t="n"/>
      <c r="AD43" s="11" t="n"/>
      <c r="AE43" s="45" t="inlineStr">
        <is>
          <t>N</t>
        </is>
      </c>
      <c r="AF43" s="11" t="n"/>
      <c r="AG43" s="45" t="inlineStr"/>
      <c r="AH43" s="10" t="n"/>
      <c r="AI43" s="11" t="n"/>
      <c r="AJ43" s="45" t="inlineStr"/>
      <c r="AK43" s="10" t="n"/>
      <c r="AL43" s="11" t="n"/>
      <c r="AM43" s="45" t="inlineStr"/>
      <c r="AN43" s="10" t="n"/>
      <c r="AO43" s="11" t="n"/>
      <c r="AP43" s="45" t="inlineStr"/>
      <c r="AQ43" s="10" t="n"/>
      <c r="AR43" s="11" t="n"/>
      <c r="AS43" s="45" t="inlineStr"/>
      <c r="AT43" s="10" t="n"/>
      <c r="AU43" s="11" t="n"/>
      <c r="AV43" s="45" t="inlineStr"/>
      <c r="AW43" s="10" t="n"/>
      <c r="AX43" s="11" t="n"/>
      <c r="AY43" s="45" t="inlineStr"/>
      <c r="AZ43" s="10" t="n"/>
      <c r="BA43" s="11" t="n"/>
      <c r="BB43" s="45" t="inlineStr"/>
      <c r="BC43" s="10" t="n"/>
      <c r="BD43" s="11" t="n"/>
      <c r="BE43" s="45" t="inlineStr"/>
      <c r="BF43" s="10" t="n"/>
      <c r="BG43" s="11" t="n"/>
      <c r="BH43" s="45" t="inlineStr"/>
      <c r="BI43" s="10" t="n"/>
      <c r="BJ43" s="11" t="n"/>
      <c r="BK43" s="46" t="inlineStr"/>
      <c r="BL43" s="10" t="n"/>
      <c r="BM43" s="10" t="n"/>
      <c r="BN43" s="10" t="n"/>
      <c r="BO43" s="10" t="n"/>
      <c r="BP43" s="10" t="n"/>
      <c r="BQ43" s="11" t="n"/>
    </row>
    <row r="44" ht="256" customHeight="1">
      <c r="A44" s="44" t="n">
        <v>29</v>
      </c>
      <c r="B44" s="46" t="inlineStr">
        <is>
          <t>ACSMS-TC-020-029</t>
        </is>
      </c>
      <c r="C44" s="10" t="n"/>
      <c r="D44" s="11" t="n"/>
      <c r="E44" s="46" t="inlineStr">
        <is>
          <t>t_koza_furikae スナップショット登録</t>
        </is>
      </c>
      <c r="F44" s="10" t="n"/>
      <c r="G44" s="10" t="n"/>
      <c r="H44" s="10" t="n"/>
      <c r="I44" s="11" t="n"/>
      <c r="J44" s="46" t="inlineStr">
        <is>
          <t>・CHUOKAI でログイン済み
・対象年月に集計対象となる購読者が2件存在する</t>
        </is>
      </c>
      <c r="K44" s="10" t="n"/>
      <c r="L44" s="10" t="n"/>
      <c r="M44" s="10" t="n"/>
      <c r="N44" s="10" t="n"/>
      <c r="O44" s="10" t="n"/>
      <c r="P44" s="11" t="n"/>
      <c r="Q44" s="46" t="inlineStr">
        <is>
          <r>
            <rPr>
              <rFont val="メイリオ"/>
              <b val="1"/>
              <sz val="10"/>
            </rPr>
            <t xml:space="preserve">ステップ1：
</t>
          </r>
          <r>
            <rPr>
              <rFont val="メイリオ"/>
              <sz val="10"/>
            </rPr>
            <t xml:space="preserve">正常な条件で「作成開始」を実行する
</t>
          </r>
          <r>
            <rPr>
              <rFont val="メイリオ"/>
              <b val="1"/>
              <sz val="10"/>
            </rPr>
            <t xml:space="preserve">ステップ2：
</t>
          </r>
          <r>
            <rPr>
              <rFont val="メイリオ"/>
              <sz val="10"/>
            </rPr>
            <t xml:space="preserve">DBで以下クエリを実行し、登録内容を確認
</t>
          </r>
          <r>
            <rPr>
              <rFont val="メイリオ"/>
              <sz val="10"/>
            </rPr>
            <t xml:space="preserve">```sql
</t>
          </r>
          <r>
            <rPr>
              <rFont val="メイリオ"/>
              <sz val="10"/>
            </rPr>
            <t xml:space="preserve">SELECT dokusya_id, target_month, furikae_date, furikae_kingaku
</t>
          </r>
          <r>
            <rPr>
              <rFont val="メイリオ"/>
              <sz val="10"/>
            </rPr>
            <t xml:space="preserve">FROM t_koza_furikae
</t>
          </r>
          <r>
            <rPr>
              <rFont val="メイリオ"/>
              <sz val="10"/>
            </rPr>
            <t xml:space="preserve">WHERE ja_id = 1 AND target_month = '2026-05-01'
</t>
          </r>
          <r>
            <rPr>
              <rFont val="メイリオ"/>
              <sz val="10"/>
            </rPr>
            <t xml:space="preserve">ORDER BY dokusya_id;
</t>
          </r>
          <r>
            <rPr>
              <rFont val="メイリオ"/>
              <sz val="10"/>
            </rPr>
            <t>```</t>
          </r>
        </is>
      </c>
      <c r="R44" s="10" t="n"/>
      <c r="S44" s="10" t="n"/>
      <c r="T44" s="10" t="n"/>
      <c r="U44" s="10" t="n"/>
      <c r="V44" s="10" t="n"/>
      <c r="W44" s="11" t="n"/>
      <c r="X44" s="46" t="inlineStr">
        <is>
          <r>
            <rPr>
              <rFont val="メイリオ"/>
              <b val="1"/>
              <sz val="10"/>
            </rPr>
            <t xml:space="preserve">ステップ1：
</t>
          </r>
          <r>
            <rPr>
              <rFont val="メイリオ"/>
              <sz val="10"/>
            </rPr>
            <t xml:space="preserve">CSVがダウンロードされること
</t>
          </r>
          <r>
            <rPr>
              <rFont val="メイリオ"/>
              <b val="1"/>
              <sz val="10"/>
            </rPr>
            <t xml:space="preserve">ステップ2：
</t>
          </r>
          <r>
            <rPr>
              <rFont val="メイリオ"/>
              <sz val="10"/>
            </rPr>
            <t xml:space="preserve">・t_koza_furikae に対象購読者×対象年月で2件登録されること
</t>
          </r>
          <r>
            <rPr>
              <rFont val="メイリオ"/>
              <sz val="10"/>
            </rPr>
            <t>・furikae_date に引落日が、furikae_kingaku に単価税込金額が格納されること</t>
          </r>
        </is>
      </c>
      <c r="Y44" s="10" t="n"/>
      <c r="Z44" s="10" t="n"/>
      <c r="AA44" s="10" t="n"/>
      <c r="AB44" s="10" t="n"/>
      <c r="AC44" s="10" t="n"/>
      <c r="AD44" s="11" t="n"/>
      <c r="AE44" s="45" t="inlineStr">
        <is>
          <t>N</t>
        </is>
      </c>
      <c r="AF44" s="11" t="n"/>
      <c r="AG44" s="45" t="inlineStr"/>
      <c r="AH44" s="10" t="n"/>
      <c r="AI44" s="11" t="n"/>
      <c r="AJ44" s="45" t="inlineStr"/>
      <c r="AK44" s="10" t="n"/>
      <c r="AL44" s="11" t="n"/>
      <c r="AM44" s="45" t="inlineStr"/>
      <c r="AN44" s="10" t="n"/>
      <c r="AO44" s="11" t="n"/>
      <c r="AP44" s="45" t="inlineStr"/>
      <c r="AQ44" s="10" t="n"/>
      <c r="AR44" s="11" t="n"/>
      <c r="AS44" s="45" t="inlineStr"/>
      <c r="AT44" s="10" t="n"/>
      <c r="AU44" s="11" t="n"/>
      <c r="AV44" s="45" t="inlineStr"/>
      <c r="AW44" s="10" t="n"/>
      <c r="AX44" s="11" t="n"/>
      <c r="AY44" s="45" t="inlineStr"/>
      <c r="AZ44" s="10" t="n"/>
      <c r="BA44" s="11" t="n"/>
      <c r="BB44" s="45" t="inlineStr"/>
      <c r="BC44" s="10" t="n"/>
      <c r="BD44" s="11" t="n"/>
      <c r="BE44" s="45" t="inlineStr"/>
      <c r="BF44" s="10" t="n"/>
      <c r="BG44" s="11" t="n"/>
      <c r="BH44" s="45" t="inlineStr"/>
      <c r="BI44" s="10" t="n"/>
      <c r="BJ44" s="11" t="n"/>
      <c r="BK44" s="46" t="inlineStr"/>
      <c r="BL44" s="10" t="n"/>
      <c r="BM44" s="10" t="n"/>
      <c r="BN44" s="10" t="n"/>
      <c r="BO44" s="10" t="n"/>
      <c r="BP44" s="10" t="n"/>
      <c r="BQ44" s="11" t="n"/>
    </row>
    <row r="45" ht="240" customHeight="1">
      <c r="A45" s="44" t="n">
        <v>30</v>
      </c>
      <c r="B45" s="46" t="inlineStr">
        <is>
          <t>ACSMS-TC-020-030</t>
        </is>
      </c>
      <c r="C45" s="10" t="n"/>
      <c r="D45" s="11" t="n"/>
      <c r="E45" s="46" t="inlineStr">
        <is>
          <t>m_ja JASTEM委託者情報の更新</t>
        </is>
      </c>
      <c r="F45" s="10" t="n"/>
      <c r="G45" s="10" t="n"/>
      <c r="H45" s="10" t="n"/>
      <c r="I45" s="11" t="n"/>
      <c r="J45" s="46" t="inlineStr">
        <is>
          <t>・CHUOKAI でログイン済み</t>
        </is>
      </c>
      <c r="K45" s="10" t="n"/>
      <c r="L45" s="10" t="n"/>
      <c r="M45" s="10" t="n"/>
      <c r="N45" s="10" t="n"/>
      <c r="O45" s="10" t="n"/>
      <c r="P45" s="11" t="n"/>
      <c r="Q45" s="46" t="inlineStr">
        <is>
          <r>
            <rPr>
              <rFont val="メイリオ"/>
              <b val="1"/>
              <sz val="10"/>
            </rPr>
            <t xml:space="preserve">ステップ1：
</t>
          </r>
          <r>
            <rPr>
              <rFont val="メイリオ"/>
              <sz val="10"/>
            </rPr>
            <t xml:space="preserve">委託者コード・委託者名・農協番号・農協名に新しい値を入力して「作成開始」を実行する
</t>
          </r>
          <r>
            <rPr>
              <rFont val="メイリオ"/>
              <b val="1"/>
              <sz val="10"/>
            </rPr>
            <t xml:space="preserve">ステップ2：
</t>
          </r>
          <r>
            <rPr>
              <rFont val="メイリオ"/>
              <sz val="10"/>
            </rPr>
            <t xml:space="preserve">DBで以下クエリを実行し、更新内容を確認
</t>
          </r>
          <r>
            <rPr>
              <rFont val="メイリオ"/>
              <sz val="10"/>
            </rPr>
            <t xml:space="preserve">```sql
</t>
          </r>
          <r>
            <rPr>
              <rFont val="メイリオ"/>
              <sz val="10"/>
            </rPr>
            <t xml:space="preserve">SELECT jastem_itakusha_code, jastem_itakusha_name, jastem_ja_code, jastem_ja_name
</t>
          </r>
          <r>
            <rPr>
              <rFont val="メイリオ"/>
              <sz val="10"/>
            </rPr>
            <t xml:space="preserve">FROM m_ja
</t>
          </r>
          <r>
            <rPr>
              <rFont val="メイリオ"/>
              <sz val="10"/>
            </rPr>
            <t xml:space="preserve">WHERE ja_id = 1;
</t>
          </r>
          <r>
            <rPr>
              <rFont val="メイリオ"/>
              <sz val="10"/>
            </rPr>
            <t>```</t>
          </r>
        </is>
      </c>
      <c r="R45" s="10" t="n"/>
      <c r="S45" s="10" t="n"/>
      <c r="T45" s="10" t="n"/>
      <c r="U45" s="10" t="n"/>
      <c r="V45" s="10" t="n"/>
      <c r="W45" s="11" t="n"/>
      <c r="X45" s="46" t="inlineStr">
        <is>
          <r>
            <rPr>
              <rFont val="メイリオ"/>
              <b val="1"/>
              <sz val="10"/>
            </rPr>
            <t xml:space="preserve">ステップ1：
</t>
          </r>
          <r>
            <rPr>
              <rFont val="メイリオ"/>
              <sz val="10"/>
            </rPr>
            <t xml:space="preserve">CSVがダウンロードされること
</t>
          </r>
          <r>
            <rPr>
              <rFont val="メイリオ"/>
              <b val="1"/>
              <sz val="10"/>
            </rPr>
            <t xml:space="preserve">ステップ2：
</t>
          </r>
          <r>
            <rPr>
              <rFont val="メイリオ"/>
              <sz val="10"/>
            </rPr>
            <t>m_ja の jastem_itakusha_code / jastem_itakusha_name / jastem_ja_code / jastem_ja_name が入力値で更新されること</t>
          </r>
        </is>
      </c>
      <c r="Y45" s="10" t="n"/>
      <c r="Z45" s="10" t="n"/>
      <c r="AA45" s="10" t="n"/>
      <c r="AB45" s="10" t="n"/>
      <c r="AC45" s="10" t="n"/>
      <c r="AD45" s="11" t="n"/>
      <c r="AE45" s="45" t="inlineStr">
        <is>
          <t>N</t>
        </is>
      </c>
      <c r="AF45" s="11" t="n"/>
      <c r="AG45" s="45" t="inlineStr"/>
      <c r="AH45" s="10" t="n"/>
      <c r="AI45" s="11" t="n"/>
      <c r="AJ45" s="45" t="inlineStr"/>
      <c r="AK45" s="10" t="n"/>
      <c r="AL45" s="11" t="n"/>
      <c r="AM45" s="45" t="inlineStr"/>
      <c r="AN45" s="10" t="n"/>
      <c r="AO45" s="11" t="n"/>
      <c r="AP45" s="45" t="inlineStr"/>
      <c r="AQ45" s="10" t="n"/>
      <c r="AR45" s="11" t="n"/>
      <c r="AS45" s="45" t="inlineStr"/>
      <c r="AT45" s="10" t="n"/>
      <c r="AU45" s="11" t="n"/>
      <c r="AV45" s="45" t="inlineStr"/>
      <c r="AW45" s="10" t="n"/>
      <c r="AX45" s="11" t="n"/>
      <c r="AY45" s="45" t="inlineStr"/>
      <c r="AZ45" s="10" t="n"/>
      <c r="BA45" s="11" t="n"/>
      <c r="BB45" s="45" t="inlineStr"/>
      <c r="BC45" s="10" t="n"/>
      <c r="BD45" s="11" t="n"/>
      <c r="BE45" s="45" t="inlineStr"/>
      <c r="BF45" s="10" t="n"/>
      <c r="BG45" s="11" t="n"/>
      <c r="BH45" s="45" t="inlineStr"/>
      <c r="BI45" s="10" t="n"/>
      <c r="BJ45" s="11" t="n"/>
      <c r="BK45" s="46" t="inlineStr"/>
      <c r="BL45" s="10" t="n"/>
      <c r="BM45" s="10" t="n"/>
      <c r="BN45" s="10" t="n"/>
      <c r="BO45" s="10" t="n"/>
      <c r="BP45" s="10" t="n"/>
      <c r="BQ45" s="11" t="n"/>
    </row>
    <row r="46" ht="288" customHeight="1">
      <c r="A46" s="44" t="n">
        <v>31</v>
      </c>
      <c r="B46" s="46" t="inlineStr">
        <is>
          <t>ACSMS-TC-020-031</t>
        </is>
      </c>
      <c r="C46" s="10" t="n"/>
      <c r="D46" s="11" t="n"/>
      <c r="E46" s="46" t="inlineStr">
        <is>
          <t>m_shiten JASTEM金融機関支店情報の更新</t>
        </is>
      </c>
      <c r="F46" s="10" t="n"/>
      <c r="G46" s="10" t="n"/>
      <c r="H46" s="10" t="n"/>
      <c r="I46" s="11" t="n"/>
      <c r="J46" s="46" t="inlineStr">
        <is>
          <t>・CHUOKAI でログイン済み
・口座支店を1件選択している</t>
        </is>
      </c>
      <c r="K46" s="10" t="n"/>
      <c r="L46" s="10" t="n"/>
      <c r="M46" s="10" t="n"/>
      <c r="N46" s="10" t="n"/>
      <c r="O46" s="10" t="n"/>
      <c r="P46" s="11" t="n"/>
      <c r="Q46" s="46" t="inlineStr">
        <is>
          <r>
            <rPr>
              <rFont val="メイリオ"/>
              <b val="1"/>
              <sz val="10"/>
            </rPr>
            <t xml:space="preserve">ステップ1：
</t>
          </r>
          <r>
            <rPr>
              <rFont val="メイリオ"/>
              <sz val="10"/>
            </rPr>
            <t xml:space="preserve">データ送信取扱店舗コード・店舗名・貯金種目・口座番号に新しい値を入力して「作成開始」を実行する
</t>
          </r>
          <r>
            <rPr>
              <rFont val="メイリオ"/>
              <b val="1"/>
              <sz val="10"/>
            </rPr>
            <t xml:space="preserve">ステップ2：
</t>
          </r>
          <r>
            <rPr>
              <rFont val="メイリオ"/>
              <sz val="10"/>
            </rPr>
            <t xml:space="preserve">DBで以下クエリを実行し、更新内容を確認
</t>
          </r>
          <r>
            <rPr>
              <rFont val="メイリオ"/>
              <sz val="10"/>
            </rPr>
            <t xml:space="preserve">```sql
</t>
          </r>
          <r>
            <rPr>
              <rFont val="メイリオ"/>
              <sz val="10"/>
            </rPr>
            <t xml:space="preserve">SELECT jastem_toriatsukai_tenpo_code, jastem_tenpo_name,
</t>
          </r>
          <r>
            <rPr>
              <rFont val="メイリオ"/>
              <sz val="10"/>
            </rPr>
            <t xml:space="preserve">jastem_tyokin_shubetsu, jastem_koza_no
</t>
          </r>
          <r>
            <rPr>
              <rFont val="メイリオ"/>
              <sz val="10"/>
            </rPr>
            <t xml:space="preserve">FROM m_shiten
</t>
          </r>
          <r>
            <rPr>
              <rFont val="メイリオ"/>
              <sz val="10"/>
            </rPr>
            <t xml:space="preserve">WHERE ja_id = 1 AND kinyu_shiten_flg = TRUE;
</t>
          </r>
          <r>
            <rPr>
              <rFont val="メイリオ"/>
              <sz val="10"/>
            </rPr>
            <t>```</t>
          </r>
        </is>
      </c>
      <c r="R46" s="10" t="n"/>
      <c r="S46" s="10" t="n"/>
      <c r="T46" s="10" t="n"/>
      <c r="U46" s="10" t="n"/>
      <c r="V46" s="10" t="n"/>
      <c r="W46" s="11" t="n"/>
      <c r="X46" s="46" t="inlineStr">
        <is>
          <r>
            <rPr>
              <rFont val="メイリオ"/>
              <b val="1"/>
              <sz val="10"/>
            </rPr>
            <t xml:space="preserve">ステップ1：
</t>
          </r>
          <r>
            <rPr>
              <rFont val="メイリオ"/>
              <sz val="10"/>
            </rPr>
            <t xml:space="preserve">CSVがダウンロードされること
</t>
          </r>
          <r>
            <rPr>
              <rFont val="メイリオ"/>
              <b val="1"/>
              <sz val="10"/>
            </rPr>
            <t xml:space="preserve">ステップ2：
</t>
          </r>
          <r>
            <rPr>
              <rFont val="メイリオ"/>
              <sz val="10"/>
            </rPr>
            <t>選択した口座支店の m_shiten レコードの jastem_toriatsukai_tenpo_code / jastem_tenpo_name / jastem_tyokin_shubetsu / jastem_koza_no が入力値で更新されること</t>
          </r>
        </is>
      </c>
      <c r="Y46" s="10" t="n"/>
      <c r="Z46" s="10" t="n"/>
      <c r="AA46" s="10" t="n"/>
      <c r="AB46" s="10" t="n"/>
      <c r="AC46" s="10" t="n"/>
      <c r="AD46" s="11" t="n"/>
      <c r="AE46" s="45" t="inlineStr">
        <is>
          <t>N</t>
        </is>
      </c>
      <c r="AF46" s="11" t="n"/>
      <c r="AG46" s="45" t="inlineStr"/>
      <c r="AH46" s="10" t="n"/>
      <c r="AI46" s="11" t="n"/>
      <c r="AJ46" s="45" t="inlineStr"/>
      <c r="AK46" s="10" t="n"/>
      <c r="AL46" s="11" t="n"/>
      <c r="AM46" s="45" t="inlineStr"/>
      <c r="AN46" s="10" t="n"/>
      <c r="AO46" s="11" t="n"/>
      <c r="AP46" s="45" t="inlineStr"/>
      <c r="AQ46" s="10" t="n"/>
      <c r="AR46" s="11" t="n"/>
      <c r="AS46" s="45" t="inlineStr"/>
      <c r="AT46" s="10" t="n"/>
      <c r="AU46" s="11" t="n"/>
      <c r="AV46" s="45" t="inlineStr"/>
      <c r="AW46" s="10" t="n"/>
      <c r="AX46" s="11" t="n"/>
      <c r="AY46" s="45" t="inlineStr"/>
      <c r="AZ46" s="10" t="n"/>
      <c r="BA46" s="11" t="n"/>
      <c r="BB46" s="45" t="inlineStr"/>
      <c r="BC46" s="10" t="n"/>
      <c r="BD46" s="11" t="n"/>
      <c r="BE46" s="45" t="inlineStr"/>
      <c r="BF46" s="10" t="n"/>
      <c r="BG46" s="11" t="n"/>
      <c r="BH46" s="45" t="inlineStr"/>
      <c r="BI46" s="10" t="n"/>
      <c r="BJ46" s="11" t="n"/>
      <c r="BK46" s="46" t="inlineStr"/>
      <c r="BL46" s="10" t="n"/>
      <c r="BM46" s="10" t="n"/>
      <c r="BN46" s="10" t="n"/>
      <c r="BO46" s="10" t="n"/>
      <c r="BP46" s="10" t="n"/>
      <c r="BQ46" s="11" t="n"/>
    </row>
    <row r="47" ht="272" customHeight="1">
      <c r="A47" s="44" t="n">
        <v>32</v>
      </c>
      <c r="B47" s="46" t="inlineStr">
        <is>
          <t>ACSMS-TC-020-032</t>
        </is>
      </c>
      <c r="C47" s="10" t="n"/>
      <c r="D47" s="11" t="n"/>
      <c r="E47" s="46" t="inlineStr">
        <is>
          <t>t_file_download 登録</t>
        </is>
      </c>
      <c r="F47" s="10" t="n"/>
      <c r="G47" s="10" t="n"/>
      <c r="H47" s="10" t="n"/>
      <c r="I47" s="11" t="n"/>
      <c r="J47" s="46" t="inlineStr">
        <is>
          <t>・CHUOKAI でログイン済み</t>
        </is>
      </c>
      <c r="K47" s="10" t="n"/>
      <c r="L47" s="10" t="n"/>
      <c r="M47" s="10" t="n"/>
      <c r="N47" s="10" t="n"/>
      <c r="O47" s="10" t="n"/>
      <c r="P47" s="11" t="n"/>
      <c r="Q47" s="46" t="inlineStr">
        <is>
          <r>
            <rPr>
              <rFont val="メイリオ"/>
              <b val="1"/>
              <sz val="10"/>
            </rPr>
            <t xml:space="preserve">ステップ1：
</t>
          </r>
          <r>
            <rPr>
              <rFont val="メイリオ"/>
              <sz val="10"/>
            </rPr>
            <t xml:space="preserve">正常な条件で「作成開始」を実行する
</t>
          </r>
          <r>
            <rPr>
              <rFont val="メイリオ"/>
              <b val="1"/>
              <sz val="10"/>
            </rPr>
            <t xml:space="preserve">ステップ2：
</t>
          </r>
          <r>
            <rPr>
              <rFont val="メイリオ"/>
              <sz val="10"/>
            </rPr>
            <t xml:space="preserve">DBで以下クエリを実行し、ダウンロード履歴を確認
</t>
          </r>
          <r>
            <rPr>
              <rFont val="メイリオ"/>
              <sz val="10"/>
            </rPr>
            <t xml:space="preserve">```sql
</t>
          </r>
          <r>
            <rPr>
              <rFont val="メイリオ"/>
              <sz val="10"/>
            </rPr>
            <t xml:space="preserve">SELECT download_type, file_name, record_count, target_month
</t>
          </r>
          <r>
            <rPr>
              <rFont val="メイリオ"/>
              <sz val="10"/>
            </rPr>
            <t xml:space="preserve">FROM t_file_download
</t>
          </r>
          <r>
            <rPr>
              <rFont val="メイリオ"/>
              <sz val="10"/>
            </rPr>
            <t xml:space="preserve">WHERE ja_id = 1
</t>
          </r>
          <r>
            <rPr>
              <rFont val="メイリオ"/>
              <sz val="10"/>
            </rPr>
            <t xml:space="preserve">ORDER BY download_datetime DESC
</t>
          </r>
          <r>
            <rPr>
              <rFont val="メイリオ"/>
              <sz val="10"/>
            </rPr>
            <t xml:space="preserve">LIMIT 1;
</t>
          </r>
          <r>
            <rPr>
              <rFont val="メイリオ"/>
              <sz val="10"/>
            </rPr>
            <t>```</t>
          </r>
        </is>
      </c>
      <c r="R47" s="10" t="n"/>
      <c r="S47" s="10" t="n"/>
      <c r="T47" s="10" t="n"/>
      <c r="U47" s="10" t="n"/>
      <c r="V47" s="10" t="n"/>
      <c r="W47" s="11" t="n"/>
      <c r="X47" s="46" t="inlineStr">
        <is>
          <r>
            <rPr>
              <rFont val="メイリオ"/>
              <b val="1"/>
              <sz val="10"/>
            </rPr>
            <t xml:space="preserve">ステップ1：
</t>
          </r>
          <r>
            <rPr>
              <rFont val="メイリオ"/>
              <sz val="10"/>
            </rPr>
            <t xml:space="preserve">CSVがダウンロードされること
</t>
          </r>
          <r>
            <rPr>
              <rFont val="メイリオ"/>
              <b val="1"/>
              <sz val="10"/>
            </rPr>
            <t xml:space="preserve">ステップ2：
</t>
          </r>
          <r>
            <rPr>
              <rFont val="メイリオ"/>
              <sz val="10"/>
            </rPr>
            <t>t_file_download に1件登録されること（file_name にCSVファイル名、record_count に出力件数、target_month に対象年月が格納されること）</t>
          </r>
        </is>
      </c>
      <c r="Y47" s="10" t="n"/>
      <c r="Z47" s="10" t="n"/>
      <c r="AA47" s="10" t="n"/>
      <c r="AB47" s="10" t="n"/>
      <c r="AC47" s="10" t="n"/>
      <c r="AD47" s="11" t="n"/>
      <c r="AE47" s="45" t="inlineStr">
        <is>
          <t>N</t>
        </is>
      </c>
      <c r="AF47" s="11" t="n"/>
      <c r="AG47" s="45" t="inlineStr"/>
      <c r="AH47" s="10" t="n"/>
      <c r="AI47" s="11" t="n"/>
      <c r="AJ47" s="45" t="inlineStr"/>
      <c r="AK47" s="10" t="n"/>
      <c r="AL47" s="11" t="n"/>
      <c r="AM47" s="45" t="inlineStr"/>
      <c r="AN47" s="10" t="n"/>
      <c r="AO47" s="11" t="n"/>
      <c r="AP47" s="45" t="inlineStr"/>
      <c r="AQ47" s="10" t="n"/>
      <c r="AR47" s="11" t="n"/>
      <c r="AS47" s="45" t="inlineStr"/>
      <c r="AT47" s="10" t="n"/>
      <c r="AU47" s="11" t="n"/>
      <c r="AV47" s="45" t="inlineStr"/>
      <c r="AW47" s="10" t="n"/>
      <c r="AX47" s="11" t="n"/>
      <c r="AY47" s="45" t="inlineStr"/>
      <c r="AZ47" s="10" t="n"/>
      <c r="BA47" s="11" t="n"/>
      <c r="BB47" s="45" t="inlineStr"/>
      <c r="BC47" s="10" t="n"/>
      <c r="BD47" s="11" t="n"/>
      <c r="BE47" s="45" t="inlineStr"/>
      <c r="BF47" s="10" t="n"/>
      <c r="BG47" s="11" t="n"/>
      <c r="BH47" s="45" t="inlineStr"/>
      <c r="BI47" s="10" t="n"/>
      <c r="BJ47" s="11" t="n"/>
      <c r="BK47" s="46" t="inlineStr"/>
      <c r="BL47" s="10" t="n"/>
      <c r="BM47" s="10" t="n"/>
      <c r="BN47" s="10" t="n"/>
      <c r="BO47" s="10" t="n"/>
      <c r="BP47" s="10" t="n"/>
      <c r="BQ47" s="11" t="n"/>
    </row>
    <row r="48" ht="288" customHeight="1">
      <c r="A48" s="44" t="n">
        <v>33</v>
      </c>
      <c r="B48" s="46" t="inlineStr">
        <is>
          <t>ACSMS-TC-020-033</t>
        </is>
      </c>
      <c r="C48" s="10" t="n"/>
      <c r="D48" s="11" t="n"/>
      <c r="E48" s="46" t="inlineStr">
        <is>
          <t>操作ログ記録（t_log）</t>
        </is>
      </c>
      <c r="F48" s="10" t="n"/>
      <c r="G48" s="10" t="n"/>
      <c r="H48" s="10" t="n"/>
      <c r="I48" s="11" t="n"/>
      <c r="J48" s="46" t="inlineStr">
        <is>
          <t>・CHUOKAI でログイン済み</t>
        </is>
      </c>
      <c r="K48" s="10" t="n"/>
      <c r="L48" s="10" t="n"/>
      <c r="M48" s="10" t="n"/>
      <c r="N48" s="10" t="n"/>
      <c r="O48" s="10" t="n"/>
      <c r="P48" s="11" t="n"/>
      <c r="Q48" s="46" t="inlineStr">
        <is>
          <r>
            <rPr>
              <rFont val="メイリオ"/>
              <b val="1"/>
              <sz val="10"/>
            </rPr>
            <t xml:space="preserve">ステップ1：
</t>
          </r>
          <r>
            <rPr>
              <rFont val="メイリオ"/>
              <sz val="10"/>
            </rPr>
            <t xml:space="preserve">正常な条件で「作成開始」を実行する
</t>
          </r>
          <r>
            <rPr>
              <rFont val="メイリオ"/>
              <b val="1"/>
              <sz val="10"/>
            </rPr>
            <t xml:space="preserve">ステップ2：
</t>
          </r>
          <r>
            <rPr>
              <rFont val="メイリオ"/>
              <sz val="10"/>
            </rPr>
            <t xml:space="preserve">DBで以下クエリを実行し、操作ログを確認
</t>
          </r>
          <r>
            <rPr>
              <rFont val="メイリオ"/>
              <sz val="10"/>
            </rPr>
            <t xml:space="preserve">```sql
</t>
          </r>
          <r>
            <rPr>
              <rFont val="メイリオ"/>
              <sz val="10"/>
            </rPr>
            <t xml:space="preserve">SELECT log_type, operation, result_status, target_table, after_value
</t>
          </r>
          <r>
            <rPr>
              <rFont val="メイリオ"/>
              <sz val="10"/>
            </rPr>
            <t xml:space="preserve">FROM t_log
</t>
          </r>
          <r>
            <rPr>
              <rFont val="メイリオ"/>
              <sz val="10"/>
            </rPr>
            <t xml:space="preserve">WHERE ja_id = 1 AND gamen_name = '口座振替データ出力画面 (ACSMS-SCR-020)'
</t>
          </r>
          <r>
            <rPr>
              <rFont val="メイリオ"/>
              <sz val="10"/>
            </rPr>
            <t xml:space="preserve">ORDER BY log_datetime DESC
</t>
          </r>
          <r>
            <rPr>
              <rFont val="メイリオ"/>
              <sz val="10"/>
            </rPr>
            <t xml:space="preserve">LIMIT 1;
</t>
          </r>
          <r>
            <rPr>
              <rFont val="メイリオ"/>
              <sz val="10"/>
            </rPr>
            <t>```</t>
          </r>
        </is>
      </c>
      <c r="R48" s="10" t="n"/>
      <c r="S48" s="10" t="n"/>
      <c r="T48" s="10" t="n"/>
      <c r="U48" s="10" t="n"/>
      <c r="V48" s="10" t="n"/>
      <c r="W48" s="11" t="n"/>
      <c r="X48" s="46" t="inlineStr">
        <is>
          <r>
            <rPr>
              <rFont val="メイリオ"/>
              <b val="1"/>
              <sz val="10"/>
            </rPr>
            <t xml:space="preserve">ステップ1：
</t>
          </r>
          <r>
            <rPr>
              <rFont val="メイリオ"/>
              <sz val="10"/>
            </rPr>
            <t xml:space="preserve">CSVがダウンロードされること
</t>
          </r>
          <r>
            <rPr>
              <rFont val="メイリオ"/>
              <b val="1"/>
              <sz val="10"/>
            </rPr>
            <t xml:space="preserve">ステップ2：
</t>
          </r>
          <r>
            <rPr>
              <rFont val="メイリオ"/>
              <sz val="10"/>
            </rPr>
            <t xml:space="preserve">・t_log に監査ログが1件記録されること（log_type=1、operation=`CREATE`、result_status=1、target_table=`t_file_download`）
</t>
          </r>
          <r>
            <rPr>
              <rFont val="メイリオ"/>
              <sz val="10"/>
            </rPr>
            <t xml:space="preserve">・after_value にエクスポート条件と件数がJSON形式で格納されること
</t>
          </r>
          <r>
            <rPr>
              <rFont val="メイリオ"/>
              <sz val="10"/>
            </rPr>
            <t>・JASTEM口座番号がマスクされていること</t>
          </r>
        </is>
      </c>
      <c r="Y48" s="10" t="n"/>
      <c r="Z48" s="10" t="n"/>
      <c r="AA48" s="10" t="n"/>
      <c r="AB48" s="10" t="n"/>
      <c r="AC48" s="10" t="n"/>
      <c r="AD48" s="11" t="n"/>
      <c r="AE48" s="45" t="inlineStr">
        <is>
          <t>N</t>
        </is>
      </c>
      <c r="AF48" s="11" t="n"/>
      <c r="AG48" s="45" t="inlineStr"/>
      <c r="AH48" s="10" t="n"/>
      <c r="AI48" s="11" t="n"/>
      <c r="AJ48" s="45" t="inlineStr"/>
      <c r="AK48" s="10" t="n"/>
      <c r="AL48" s="11" t="n"/>
      <c r="AM48" s="45" t="inlineStr"/>
      <c r="AN48" s="10" t="n"/>
      <c r="AO48" s="11" t="n"/>
      <c r="AP48" s="45" t="inlineStr"/>
      <c r="AQ48" s="10" t="n"/>
      <c r="AR48" s="11" t="n"/>
      <c r="AS48" s="45" t="inlineStr"/>
      <c r="AT48" s="10" t="n"/>
      <c r="AU48" s="11" t="n"/>
      <c r="AV48" s="45" t="inlineStr"/>
      <c r="AW48" s="10" t="n"/>
      <c r="AX48" s="11" t="n"/>
      <c r="AY48" s="45" t="inlineStr"/>
      <c r="AZ48" s="10" t="n"/>
      <c r="BA48" s="11" t="n"/>
      <c r="BB48" s="45" t="inlineStr"/>
      <c r="BC48" s="10" t="n"/>
      <c r="BD48" s="11" t="n"/>
      <c r="BE48" s="45" t="inlineStr"/>
      <c r="BF48" s="10" t="n"/>
      <c r="BG48" s="11" t="n"/>
      <c r="BH48" s="45" t="inlineStr"/>
      <c r="BI48" s="10" t="n"/>
      <c r="BJ48" s="11" t="n"/>
      <c r="BK48" s="46" t="inlineStr"/>
      <c r="BL48" s="10" t="n"/>
      <c r="BM48" s="10" t="n"/>
      <c r="BN48" s="10" t="n"/>
      <c r="BO48" s="10" t="n"/>
      <c r="BP48" s="10" t="n"/>
      <c r="BQ48" s="11" t="n"/>
    </row>
    <row r="49" ht="128" customHeight="1">
      <c r="A49" s="44" t="n">
        <v>34</v>
      </c>
      <c r="B49" s="46" t="inlineStr">
        <is>
          <t>ACSMS-TC-020-034</t>
        </is>
      </c>
      <c r="C49" s="10" t="n"/>
      <c r="D49" s="11" t="n"/>
      <c r="E49" s="46" t="inlineStr">
        <is>
          <t>絞込条件による出力データの絞込</t>
        </is>
      </c>
      <c r="F49" s="10" t="n"/>
      <c r="G49" s="10" t="n"/>
      <c r="H49" s="10" t="n"/>
      <c r="I49" s="11" t="n"/>
      <c r="J49" s="46" t="inlineStr">
        <is>
          <t>・CHUOKAI でログイン済み
・複数の管理支店・支店配下に購読者が存在する</t>
        </is>
      </c>
      <c r="K49" s="10" t="n"/>
      <c r="L49" s="10" t="n"/>
      <c r="M49" s="10" t="n"/>
      <c r="N49" s="10" t="n"/>
      <c r="O49" s="10" t="n"/>
      <c r="P49" s="11" t="n"/>
      <c r="Q49" s="46" t="inlineStr">
        <is>
          <r>
            <rPr>
              <rFont val="メイリオ"/>
              <b val="1"/>
              <sz val="10"/>
            </rPr>
            <t xml:space="preserve">ステップ1：
</t>
          </r>
          <r>
            <rPr>
              <rFont val="メイリオ"/>
              <sz val="10"/>
            </rPr>
            <t xml:space="preserve">管理支店・支店・口座支店プルダウンで特定の値を選択する
</t>
          </r>
          <r>
            <rPr>
              <rFont val="メイリオ"/>
              <b val="1"/>
              <sz val="10"/>
            </rPr>
            <t xml:space="preserve">ステップ2：
</t>
          </r>
          <r>
            <rPr>
              <rFont val="メイリオ"/>
              <sz val="10"/>
            </rPr>
            <t>「作成開始」を実行し、ダウンロードされたCSVの明細件数を確認</t>
          </r>
        </is>
      </c>
      <c r="R49" s="10" t="n"/>
      <c r="S49" s="10" t="n"/>
      <c r="T49" s="10" t="n"/>
      <c r="U49" s="10" t="n"/>
      <c r="V49" s="10" t="n"/>
      <c r="W49" s="11" t="n"/>
      <c r="X49" s="46" t="inlineStr">
        <is>
          <r>
            <rPr>
              <rFont val="メイリオ"/>
              <b val="1"/>
              <sz val="10"/>
            </rPr>
            <t xml:space="preserve">ステップ1：
</t>
          </r>
          <r>
            <rPr>
              <rFont val="メイリオ"/>
              <sz val="10"/>
            </rPr>
            <t xml:space="preserve">選択した絞込条件が保持されること
</t>
          </r>
          <r>
            <rPr>
              <rFont val="メイリオ"/>
              <b val="1"/>
              <sz val="10"/>
            </rPr>
            <t xml:space="preserve">ステップ2：
</t>
          </r>
          <r>
            <rPr>
              <rFont val="メイリオ"/>
              <sz val="10"/>
            </rPr>
            <t>選択した管理支店・支店・口座支店に一致する購読者のみがCSVに出力されること</t>
          </r>
        </is>
      </c>
      <c r="Y49" s="10" t="n"/>
      <c r="Z49" s="10" t="n"/>
      <c r="AA49" s="10" t="n"/>
      <c r="AB49" s="10" t="n"/>
      <c r="AC49" s="10" t="n"/>
      <c r="AD49" s="11" t="n"/>
      <c r="AE49" s="45" t="inlineStr">
        <is>
          <t>N</t>
        </is>
      </c>
      <c r="AF49" s="11" t="n"/>
      <c r="AG49" s="45" t="inlineStr"/>
      <c r="AH49" s="10" t="n"/>
      <c r="AI49" s="11" t="n"/>
      <c r="AJ49" s="45" t="inlineStr"/>
      <c r="AK49" s="10" t="n"/>
      <c r="AL49" s="11" t="n"/>
      <c r="AM49" s="45" t="inlineStr"/>
      <c r="AN49" s="10" t="n"/>
      <c r="AO49" s="11" t="n"/>
      <c r="AP49" s="45" t="inlineStr"/>
      <c r="AQ49" s="10" t="n"/>
      <c r="AR49" s="11" t="n"/>
      <c r="AS49" s="45" t="inlineStr"/>
      <c r="AT49" s="10" t="n"/>
      <c r="AU49" s="11" t="n"/>
      <c r="AV49" s="45" t="inlineStr"/>
      <c r="AW49" s="10" t="n"/>
      <c r="AX49" s="11" t="n"/>
      <c r="AY49" s="45" t="inlineStr"/>
      <c r="AZ49" s="10" t="n"/>
      <c r="BA49" s="11" t="n"/>
      <c r="BB49" s="45" t="inlineStr"/>
      <c r="BC49" s="10" t="n"/>
      <c r="BD49" s="11" t="n"/>
      <c r="BE49" s="45" t="inlineStr"/>
      <c r="BF49" s="10" t="n"/>
      <c r="BG49" s="11" t="n"/>
      <c r="BH49" s="45" t="inlineStr"/>
      <c r="BI49" s="10" t="n"/>
      <c r="BJ49" s="11" t="n"/>
      <c r="BK49" s="46" t="inlineStr"/>
      <c r="BL49" s="10" t="n"/>
      <c r="BM49" s="10" t="n"/>
      <c r="BN49" s="10" t="n"/>
      <c r="BO49" s="10" t="n"/>
      <c r="BP49" s="10" t="n"/>
      <c r="BQ49" s="11" t="n"/>
    </row>
    <row r="50" ht="160" customHeight="1">
      <c r="A50" s="44" t="n">
        <v>35</v>
      </c>
      <c r="B50" s="46" t="inlineStr">
        <is>
          <t>ACSMS-TC-020-035</t>
        </is>
      </c>
      <c r="C50" s="10" t="n"/>
      <c r="D50" s="11" t="n"/>
      <c r="E50" s="46" t="inlineStr">
        <is>
          <t>対象データなし</t>
        </is>
      </c>
      <c r="F50" s="10" t="n"/>
      <c r="G50" s="10" t="n"/>
      <c r="H50" s="10" t="n"/>
      <c r="I50" s="11" t="n"/>
      <c r="J50" s="46" t="inlineStr">
        <is>
          <t>・CHUOKAI でログイン済み
・指定した対象年月・絞込条件に集計対象の購読者が存在しない</t>
        </is>
      </c>
      <c r="K50" s="10" t="n"/>
      <c r="L50" s="10" t="n"/>
      <c r="M50" s="10" t="n"/>
      <c r="N50" s="10" t="n"/>
      <c r="O50" s="10" t="n"/>
      <c r="P50" s="11" t="n"/>
      <c r="Q50" s="46" t="inlineStr">
        <is>
          <r>
            <rPr>
              <rFont val="メイリオ"/>
              <b val="1"/>
              <sz val="10"/>
            </rPr>
            <t xml:space="preserve">ステップ1：
</t>
          </r>
          <r>
            <rPr>
              <rFont val="メイリオ"/>
              <sz val="10"/>
            </rPr>
            <t>集計対象が存在しない年月・条件を入力して「作成開始」を実行する</t>
          </r>
        </is>
      </c>
      <c r="R50" s="10" t="n"/>
      <c r="S50" s="10" t="n"/>
      <c r="T50" s="10" t="n"/>
      <c r="U50" s="10" t="n"/>
      <c r="V50" s="10" t="n"/>
      <c r="W50" s="11" t="n"/>
      <c r="X50" s="46" t="inlineStr">
        <is>
          <r>
            <rPr>
              <rFont val="メイリオ"/>
              <b val="1"/>
              <sz val="10"/>
            </rPr>
            <t xml:space="preserve">ステップ1：
</t>
          </r>
          <r>
            <rPr>
              <rFont val="メイリオ"/>
              <sz val="10"/>
            </rPr>
            <t xml:space="preserve">・HTTPステータスコード404が返却されること（`error_code: NO_TARGET_DATA`、メッセージ `対象データがありません。`）
</t>
          </r>
          <r>
            <rPr>
              <rFont val="メイリオ"/>
              <sz val="10"/>
            </rPr>
            <t xml:space="preserve">・トースト「対象データがありません。」が表示されること（ACSMS-MSG-020-002）
</t>
          </r>
          <r>
            <rPr>
              <rFont val="メイリオ"/>
              <sz val="10"/>
            </rPr>
            <t>・CSVファイルがダウンロードされないこと</t>
          </r>
        </is>
      </c>
      <c r="Y50" s="10" t="n"/>
      <c r="Z50" s="10" t="n"/>
      <c r="AA50" s="10" t="n"/>
      <c r="AB50" s="10" t="n"/>
      <c r="AC50" s="10" t="n"/>
      <c r="AD50" s="11" t="n"/>
      <c r="AE50" s="45" t="inlineStr">
        <is>
          <t>A</t>
        </is>
      </c>
      <c r="AF50" s="11" t="n"/>
      <c r="AG50" s="45" t="inlineStr"/>
      <c r="AH50" s="10" t="n"/>
      <c r="AI50" s="11" t="n"/>
      <c r="AJ50" s="45" t="inlineStr"/>
      <c r="AK50" s="10" t="n"/>
      <c r="AL50" s="11" t="n"/>
      <c r="AM50" s="45" t="inlineStr"/>
      <c r="AN50" s="10" t="n"/>
      <c r="AO50" s="11" t="n"/>
      <c r="AP50" s="45" t="inlineStr"/>
      <c r="AQ50" s="10" t="n"/>
      <c r="AR50" s="11" t="n"/>
      <c r="AS50" s="45" t="inlineStr"/>
      <c r="AT50" s="10" t="n"/>
      <c r="AU50" s="11" t="n"/>
      <c r="AV50" s="45" t="inlineStr"/>
      <c r="AW50" s="10" t="n"/>
      <c r="AX50" s="11" t="n"/>
      <c r="AY50" s="45" t="inlineStr"/>
      <c r="AZ50" s="10" t="n"/>
      <c r="BA50" s="11" t="n"/>
      <c r="BB50" s="45" t="inlineStr"/>
      <c r="BC50" s="10" t="n"/>
      <c r="BD50" s="11" t="n"/>
      <c r="BE50" s="45" t="inlineStr"/>
      <c r="BF50" s="10" t="n"/>
      <c r="BG50" s="11" t="n"/>
      <c r="BH50" s="45" t="inlineStr"/>
      <c r="BI50" s="10" t="n"/>
      <c r="BJ50" s="11" t="n"/>
      <c r="BK50" s="46" t="inlineStr"/>
      <c r="BL50" s="10" t="n"/>
      <c r="BM50" s="10" t="n"/>
      <c r="BN50" s="10" t="n"/>
      <c r="BO50" s="10" t="n"/>
      <c r="BP50" s="10" t="n"/>
      <c r="BQ50" s="11" t="n"/>
    </row>
    <row r="51" ht="208" customHeight="1">
      <c r="A51" s="44" t="n">
        <v>36</v>
      </c>
      <c r="B51" s="46" t="inlineStr">
        <is>
          <t>ACSMS-TC-020-036</t>
        </is>
      </c>
      <c r="C51" s="10" t="n"/>
      <c r="D51" s="11" t="n"/>
      <c r="E51" s="46" t="inlineStr">
        <is>
          <t>全銀フォーマットCSVの構造</t>
        </is>
      </c>
      <c r="F51" s="10" t="n"/>
      <c r="G51" s="10" t="n"/>
      <c r="H51" s="10" t="n"/>
      <c r="I51" s="11" t="n"/>
      <c r="J51" s="46" t="inlineStr">
        <is>
          <t>・CHUOKAI でログイン済み
・対象年月に集計対象の購読者が存在する</t>
        </is>
      </c>
      <c r="K51" s="10" t="n"/>
      <c r="L51" s="10" t="n"/>
      <c r="M51" s="10" t="n"/>
      <c r="N51" s="10" t="n"/>
      <c r="O51" s="10" t="n"/>
      <c r="P51" s="11" t="n"/>
      <c r="Q51" s="46" t="inlineStr">
        <is>
          <r>
            <rPr>
              <rFont val="メイリオ"/>
              <b val="1"/>
              <sz val="10"/>
            </rPr>
            <t xml:space="preserve">ステップ1：
</t>
          </r>
          <r>
            <rPr>
              <rFont val="メイリオ"/>
              <sz val="10"/>
            </rPr>
            <t xml:space="preserve">正常な条件で「作成開始」を実行し、CSVをダウンロードする
</t>
          </r>
          <r>
            <rPr>
              <rFont val="メイリオ"/>
              <b val="1"/>
              <sz val="10"/>
            </rPr>
            <t xml:space="preserve">ステップ2：
</t>
          </r>
          <r>
            <rPr>
              <rFont val="メイリオ"/>
              <sz val="10"/>
            </rPr>
            <t>ダウンロードしたCSVの文字コードとレコード構成を確認</t>
          </r>
        </is>
      </c>
      <c r="R51" s="10" t="n"/>
      <c r="S51" s="10" t="n"/>
      <c r="T51" s="10" t="n"/>
      <c r="U51" s="10" t="n"/>
      <c r="V51" s="10" t="n"/>
      <c r="W51" s="11" t="n"/>
      <c r="X51" s="46" t="inlineStr">
        <is>
          <r>
            <rPr>
              <rFont val="メイリオ"/>
              <b val="1"/>
              <sz val="10"/>
            </rPr>
            <t xml:space="preserve">ステップ1：
</t>
          </r>
          <r>
            <rPr>
              <rFont val="メイリオ"/>
              <sz val="10"/>
            </rPr>
            <t xml:space="preserve">CSVがダウンロードされること
</t>
          </r>
          <r>
            <rPr>
              <rFont val="メイリオ"/>
              <b val="1"/>
              <sz val="10"/>
            </rPr>
            <t xml:space="preserve">ステップ2：
</t>
          </r>
          <r>
            <rPr>
              <rFont val="メイリオ"/>
              <sz val="10"/>
            </rPr>
            <t xml:space="preserve">・文字コードがShift_JISであること
</t>
          </r>
          <r>
            <rPr>
              <rFont val="メイリオ"/>
              <sz val="10"/>
            </rPr>
            <t xml:space="preserve">・ヘッダーレコード（1=ヘッダ）、データレコード（2=データ）、トレーラーレコード（8=トレーラ）、エンドレコード（9=エンド）の順で構成されること
</t>
          </r>
          <r>
            <rPr>
              <rFont val="メイリオ"/>
              <sz val="10"/>
            </rPr>
            <t>・データレコードが購読者1件につき1レコード出力されること</t>
          </r>
        </is>
      </c>
      <c r="Y51" s="10" t="n"/>
      <c r="Z51" s="10" t="n"/>
      <c r="AA51" s="10" t="n"/>
      <c r="AB51" s="10" t="n"/>
      <c r="AC51" s="10" t="n"/>
      <c r="AD51" s="11" t="n"/>
      <c r="AE51" s="45" t="inlineStr">
        <is>
          <t>N</t>
        </is>
      </c>
      <c r="AF51" s="11" t="n"/>
      <c r="AG51" s="45" t="inlineStr"/>
      <c r="AH51" s="10" t="n"/>
      <c r="AI51" s="11" t="n"/>
      <c r="AJ51" s="45" t="inlineStr"/>
      <c r="AK51" s="10" t="n"/>
      <c r="AL51" s="11" t="n"/>
      <c r="AM51" s="45" t="inlineStr"/>
      <c r="AN51" s="10" t="n"/>
      <c r="AO51" s="11" t="n"/>
      <c r="AP51" s="45" t="inlineStr"/>
      <c r="AQ51" s="10" t="n"/>
      <c r="AR51" s="11" t="n"/>
      <c r="AS51" s="45" t="inlineStr"/>
      <c r="AT51" s="10" t="n"/>
      <c r="AU51" s="11" t="n"/>
      <c r="AV51" s="45" t="inlineStr"/>
      <c r="AW51" s="10" t="n"/>
      <c r="AX51" s="11" t="n"/>
      <c r="AY51" s="45" t="inlineStr"/>
      <c r="AZ51" s="10" t="n"/>
      <c r="BA51" s="11" t="n"/>
      <c r="BB51" s="45" t="inlineStr"/>
      <c r="BC51" s="10" t="n"/>
      <c r="BD51" s="11" t="n"/>
      <c r="BE51" s="45" t="inlineStr"/>
      <c r="BF51" s="10" t="n"/>
      <c r="BG51" s="11" t="n"/>
      <c r="BH51" s="45" t="inlineStr"/>
      <c r="BI51" s="10" t="n"/>
      <c r="BJ51" s="11" t="n"/>
      <c r="BK51" s="46" t="inlineStr"/>
      <c r="BL51" s="10" t="n"/>
      <c r="BM51" s="10" t="n"/>
      <c r="BN51" s="10" t="n"/>
      <c r="BO51" s="10" t="n"/>
      <c r="BP51" s="10" t="n"/>
      <c r="BQ51" s="11" t="n"/>
    </row>
    <row r="52" ht="160" customHeight="1">
      <c r="A52" s="44" t="n">
        <v>37</v>
      </c>
      <c r="B52" s="46" t="inlineStr">
        <is>
          <t>ACSMS-TC-020-037</t>
        </is>
      </c>
      <c r="C52" s="10" t="n"/>
      <c r="D52" s="11" t="n"/>
      <c r="E52" s="46" t="inlineStr">
        <is>
          <t>トレーラーレコードの集計正確性</t>
        </is>
      </c>
      <c r="F52" s="10" t="n"/>
      <c r="G52" s="10" t="n"/>
      <c r="H52" s="10" t="n"/>
      <c r="I52" s="11" t="n"/>
      <c r="J52" s="46" t="inlineStr">
        <is>
          <t>・CHUOKAI でログイン済み
・対象年月に集計対象の購読者が複数存在する</t>
        </is>
      </c>
      <c r="K52" s="10" t="n"/>
      <c r="L52" s="10" t="n"/>
      <c r="M52" s="10" t="n"/>
      <c r="N52" s="10" t="n"/>
      <c r="O52" s="10" t="n"/>
      <c r="P52" s="11" t="n"/>
      <c r="Q52" s="46" t="inlineStr">
        <is>
          <r>
            <rPr>
              <rFont val="メイリオ"/>
              <b val="1"/>
              <sz val="10"/>
            </rPr>
            <t xml:space="preserve">ステップ1：
</t>
          </r>
          <r>
            <rPr>
              <rFont val="メイリオ"/>
              <sz val="10"/>
            </rPr>
            <t xml:space="preserve">正常な条件で「作成開始」を実行し、CSVをダウンロードする
</t>
          </r>
          <r>
            <rPr>
              <rFont val="メイリオ"/>
              <b val="1"/>
              <sz val="10"/>
            </rPr>
            <t xml:space="preserve">ステップ2：
</t>
          </r>
          <r>
            <rPr>
              <rFont val="メイリオ"/>
              <sz val="10"/>
            </rPr>
            <t>トレーラーレコード（8=トレーラ）の件数・合計金額と、データレコードの明細を照合する</t>
          </r>
        </is>
      </c>
      <c r="R52" s="10" t="n"/>
      <c r="S52" s="10" t="n"/>
      <c r="T52" s="10" t="n"/>
      <c r="U52" s="10" t="n"/>
      <c r="V52" s="10" t="n"/>
      <c r="W52" s="11" t="n"/>
      <c r="X52" s="46" t="inlineStr">
        <is>
          <r>
            <rPr>
              <rFont val="メイリオ"/>
              <b val="1"/>
              <sz val="10"/>
            </rPr>
            <t xml:space="preserve">ステップ1：
</t>
          </r>
          <r>
            <rPr>
              <rFont val="メイリオ"/>
              <sz val="10"/>
            </rPr>
            <t xml:space="preserve">CSVがダウンロードされること
</t>
          </r>
          <r>
            <rPr>
              <rFont val="メイリオ"/>
              <b val="1"/>
              <sz val="10"/>
            </rPr>
            <t xml:space="preserve">ステップ2：
</t>
          </r>
          <r>
            <rPr>
              <rFont val="メイリオ"/>
              <sz val="10"/>
            </rPr>
            <t xml:space="preserve">・トレーラーレコードの件数がデータレコード件数と一致すること
</t>
          </r>
          <r>
            <rPr>
              <rFont val="メイリオ"/>
              <sz val="10"/>
            </rPr>
            <t>・トレーラーレコードの合計金額が各データレコードの引落金額の総和と一致すること</t>
          </r>
        </is>
      </c>
      <c r="Y52" s="10" t="n"/>
      <c r="Z52" s="10" t="n"/>
      <c r="AA52" s="10" t="n"/>
      <c r="AB52" s="10" t="n"/>
      <c r="AC52" s="10" t="n"/>
      <c r="AD52" s="11" t="n"/>
      <c r="AE52" s="45" t="inlineStr">
        <is>
          <t>N</t>
        </is>
      </c>
      <c r="AF52" s="11" t="n"/>
      <c r="AG52" s="45" t="inlineStr"/>
      <c r="AH52" s="10" t="n"/>
      <c r="AI52" s="11" t="n"/>
      <c r="AJ52" s="45" t="inlineStr"/>
      <c r="AK52" s="10" t="n"/>
      <c r="AL52" s="11" t="n"/>
      <c r="AM52" s="45" t="inlineStr"/>
      <c r="AN52" s="10" t="n"/>
      <c r="AO52" s="11" t="n"/>
      <c r="AP52" s="45" t="inlineStr"/>
      <c r="AQ52" s="10" t="n"/>
      <c r="AR52" s="11" t="n"/>
      <c r="AS52" s="45" t="inlineStr"/>
      <c r="AT52" s="10" t="n"/>
      <c r="AU52" s="11" t="n"/>
      <c r="AV52" s="45" t="inlineStr"/>
      <c r="AW52" s="10" t="n"/>
      <c r="AX52" s="11" t="n"/>
      <c r="AY52" s="45" t="inlineStr"/>
      <c r="AZ52" s="10" t="n"/>
      <c r="BA52" s="11" t="n"/>
      <c r="BB52" s="45" t="inlineStr"/>
      <c r="BC52" s="10" t="n"/>
      <c r="BD52" s="11" t="n"/>
      <c r="BE52" s="45" t="inlineStr"/>
      <c r="BF52" s="10" t="n"/>
      <c r="BG52" s="11" t="n"/>
      <c r="BH52" s="45" t="inlineStr"/>
      <c r="BI52" s="10" t="n"/>
      <c r="BJ52" s="11" t="n"/>
      <c r="BK52" s="46" t="inlineStr"/>
      <c r="BL52" s="10" t="n"/>
      <c r="BM52" s="10" t="n"/>
      <c r="BN52" s="10" t="n"/>
      <c r="BO52" s="10" t="n"/>
      <c r="BP52" s="10" t="n"/>
      <c r="BQ52" s="11" t="n"/>
    </row>
    <row r="53" ht="256" customHeight="1">
      <c r="A53" s="44" t="n">
        <v>38</v>
      </c>
      <c r="B53" s="46" t="inlineStr">
        <is>
          <t>ACSMS-TC-020-038</t>
        </is>
      </c>
      <c r="C53" s="10" t="n"/>
      <c r="D53" s="11" t="n"/>
      <c r="E53" s="46" t="inlineStr">
        <is>
          <t>トランザクション ロールバック</t>
        </is>
      </c>
      <c r="F53" s="10" t="n"/>
      <c r="G53" s="10" t="n"/>
      <c r="H53" s="10" t="n"/>
      <c r="I53" s="11" t="n"/>
      <c r="J53" s="46" t="inlineStr">
        <is>
          <t>・CHUOKAI でログイン済み
・t_koza_furikae 登録時にDBエラーを発生させる準備ができている</t>
        </is>
      </c>
      <c r="K53" s="10" t="n"/>
      <c r="L53" s="10" t="n"/>
      <c r="M53" s="10" t="n"/>
      <c r="N53" s="10" t="n"/>
      <c r="O53" s="10" t="n"/>
      <c r="P53" s="11" t="n"/>
      <c r="Q53" s="46" t="inlineStr">
        <is>
          <r>
            <rPr>
              <rFont val="メイリオ"/>
              <b val="1"/>
              <sz val="10"/>
            </rPr>
            <t xml:space="preserve">ステップ1：
</t>
          </r>
          <r>
            <rPr>
              <rFont val="メイリオ"/>
              <sz val="10"/>
            </rPr>
            <t xml:space="preserve">正常な条件で「作成開始」を実行する（DB更新の途中でエラーを注入する）
</t>
          </r>
          <r>
            <rPr>
              <rFont val="メイリオ"/>
              <b val="1"/>
              <sz val="10"/>
            </rPr>
            <t xml:space="preserve">ステップ2：
</t>
          </r>
          <r>
            <rPr>
              <rFont val="メイリオ"/>
              <sz val="10"/>
            </rPr>
            <t>DBで m_ja・m_shiten・t_koza_furikae・t_file_download の状態を確認</t>
          </r>
        </is>
      </c>
      <c r="R53" s="10" t="n"/>
      <c r="S53" s="10" t="n"/>
      <c r="T53" s="10" t="n"/>
      <c r="U53" s="10" t="n"/>
      <c r="V53" s="10" t="n"/>
      <c r="W53" s="11" t="n"/>
      <c r="X53" s="46" t="inlineStr">
        <is>
          <r>
            <rPr>
              <rFont val="メイリオ"/>
              <b val="1"/>
              <sz val="10"/>
            </rPr>
            <t xml:space="preserve">ステップ1：
</t>
          </r>
          <r>
            <rPr>
              <rFont val="メイリオ"/>
              <sz val="10"/>
            </rPr>
            <t xml:space="preserve">HTTPステータスコード500が返却されること（`error_code: INTERNAL_SERVER_ERROR`、メッセージ `システムエラーが発生しました。しばらくしてから再度お試しください。`）
</t>
          </r>
          <r>
            <rPr>
              <rFont val="メイリオ"/>
              <b val="1"/>
              <sz val="10"/>
            </rPr>
            <t xml:space="preserve">ステップ2：
</t>
          </r>
          <r>
            <rPr>
              <rFont val="メイリオ"/>
              <sz val="10"/>
            </rPr>
            <t xml:space="preserve">・m_ja・m_shiten・t_koza_furikae・t_file_download のいずれも更新・登録されないこと（ロールバックされること）
</t>
          </r>
          <r>
            <rPr>
              <rFont val="メイリオ"/>
              <sz val="10"/>
            </rPr>
            <t>・t_log にエラーログが1件記録されること（log_type=3、result_status=2）</t>
          </r>
        </is>
      </c>
      <c r="Y53" s="10" t="n"/>
      <c r="Z53" s="10" t="n"/>
      <c r="AA53" s="10" t="n"/>
      <c r="AB53" s="10" t="n"/>
      <c r="AC53" s="10" t="n"/>
      <c r="AD53" s="11" t="n"/>
      <c r="AE53" s="45" t="inlineStr">
        <is>
          <t>A</t>
        </is>
      </c>
      <c r="AF53" s="11" t="n"/>
      <c r="AG53" s="45" t="inlineStr"/>
      <c r="AH53" s="10" t="n"/>
      <c r="AI53" s="11" t="n"/>
      <c r="AJ53" s="45" t="inlineStr"/>
      <c r="AK53" s="10" t="n"/>
      <c r="AL53" s="11" t="n"/>
      <c r="AM53" s="45" t="inlineStr"/>
      <c r="AN53" s="10" t="n"/>
      <c r="AO53" s="11" t="n"/>
      <c r="AP53" s="45" t="inlineStr"/>
      <c r="AQ53" s="10" t="n"/>
      <c r="AR53" s="11" t="n"/>
      <c r="AS53" s="45" t="inlineStr"/>
      <c r="AT53" s="10" t="n"/>
      <c r="AU53" s="11" t="n"/>
      <c r="AV53" s="45" t="inlineStr"/>
      <c r="AW53" s="10" t="n"/>
      <c r="AX53" s="11" t="n"/>
      <c r="AY53" s="45" t="inlineStr"/>
      <c r="AZ53" s="10" t="n"/>
      <c r="BA53" s="11" t="n"/>
      <c r="BB53" s="45" t="inlineStr"/>
      <c r="BC53" s="10" t="n"/>
      <c r="BD53" s="11" t="n"/>
      <c r="BE53" s="45" t="inlineStr"/>
      <c r="BF53" s="10" t="n"/>
      <c r="BG53" s="11" t="n"/>
      <c r="BH53" s="45" t="inlineStr"/>
      <c r="BI53" s="10" t="n"/>
      <c r="BJ53" s="11" t="n"/>
      <c r="BK53" s="46" t="inlineStr"/>
      <c r="BL53" s="10" t="n"/>
      <c r="BM53" s="10" t="n"/>
      <c r="BN53" s="10" t="n"/>
      <c r="BO53" s="10" t="n"/>
      <c r="BP53" s="10" t="n"/>
      <c r="BQ53" s="11" t="n"/>
    </row>
    <row r="54" ht="144" customHeight="1">
      <c r="A54" s="44" t="n">
        <v>39</v>
      </c>
      <c r="B54" s="46" t="inlineStr">
        <is>
          <t>ACSMS-TC-020-039</t>
        </is>
      </c>
      <c r="C54" s="10" t="n"/>
      <c r="D54" s="11" t="n"/>
      <c r="E54" s="46" t="inlineStr">
        <is>
          <t>同月再出力（重複登録の更新）</t>
        </is>
      </c>
      <c r="F54" s="10" t="n"/>
      <c r="G54" s="10" t="n"/>
      <c r="H54" s="10" t="n"/>
      <c r="I54" s="11" t="n"/>
      <c r="J54" s="46" t="inlineStr">
        <is>
          <t>・CHUOKAI でログイン済み
・同一対象年月で既に t_koza_furikae にスナップショットが登録済み</t>
        </is>
      </c>
      <c r="K54" s="10" t="n"/>
      <c r="L54" s="10" t="n"/>
      <c r="M54" s="10" t="n"/>
      <c r="N54" s="10" t="n"/>
      <c r="O54" s="10" t="n"/>
      <c r="P54" s="11" t="n"/>
      <c r="Q54" s="46" t="inlineStr">
        <is>
          <r>
            <rPr>
              <rFont val="メイリオ"/>
              <b val="1"/>
              <sz val="10"/>
            </rPr>
            <t xml:space="preserve">ステップ1：
</t>
          </r>
          <r>
            <rPr>
              <rFont val="メイリオ"/>
              <sz val="10"/>
            </rPr>
            <t xml:space="preserve">同一対象年月で「作成開始」を再度実行する
</t>
          </r>
          <r>
            <rPr>
              <rFont val="メイリオ"/>
              <b val="1"/>
              <sz val="10"/>
            </rPr>
            <t xml:space="preserve">ステップ2：
</t>
          </r>
          <r>
            <rPr>
              <rFont val="メイリオ"/>
              <sz val="10"/>
            </rPr>
            <t>DBで t_koza_furikae の該当購読者×対象年月のレコード件数を確認</t>
          </r>
        </is>
      </c>
      <c r="R54" s="10" t="n"/>
      <c r="S54" s="10" t="n"/>
      <c r="T54" s="10" t="n"/>
      <c r="U54" s="10" t="n"/>
      <c r="V54" s="10" t="n"/>
      <c r="W54" s="11" t="n"/>
      <c r="X54" s="46" t="inlineStr">
        <is>
          <r>
            <rPr>
              <rFont val="メイリオ"/>
              <b val="1"/>
              <sz val="10"/>
            </rPr>
            <t xml:space="preserve">ステップ1：
</t>
          </r>
          <r>
            <rPr>
              <rFont val="メイリオ"/>
              <sz val="10"/>
            </rPr>
            <t xml:space="preserve">CSVがダウンロードされること
</t>
          </r>
          <r>
            <rPr>
              <rFont val="メイリオ"/>
              <b val="1"/>
              <sz val="10"/>
            </rPr>
            <t xml:space="preserve">ステップ2：
</t>
          </r>
          <r>
            <rPr>
              <rFont val="メイリオ"/>
              <sz val="10"/>
            </rPr>
            <t xml:space="preserve">・購読者×対象年月のレコードが重複登録されず1件に保たれること（更新されること）
</t>
          </r>
          <r>
            <rPr>
              <rFont val="メイリオ"/>
              <sz val="10"/>
            </rPr>
            <t>・furikae_kingaku 等が最新の集計値で更新されること</t>
          </r>
        </is>
      </c>
      <c r="Y54" s="10" t="n"/>
      <c r="Z54" s="10" t="n"/>
      <c r="AA54" s="10" t="n"/>
      <c r="AB54" s="10" t="n"/>
      <c r="AC54" s="10" t="n"/>
      <c r="AD54" s="11" t="n"/>
      <c r="AE54" s="45" t="inlineStr">
        <is>
          <t>N</t>
        </is>
      </c>
      <c r="AF54" s="11" t="n"/>
      <c r="AG54" s="45" t="inlineStr"/>
      <c r="AH54" s="10" t="n"/>
      <c r="AI54" s="11" t="n"/>
      <c r="AJ54" s="45" t="inlineStr"/>
      <c r="AK54" s="10" t="n"/>
      <c r="AL54" s="11" t="n"/>
      <c r="AM54" s="45" t="inlineStr"/>
      <c r="AN54" s="10" t="n"/>
      <c r="AO54" s="11" t="n"/>
      <c r="AP54" s="45" t="inlineStr"/>
      <c r="AQ54" s="10" t="n"/>
      <c r="AR54" s="11" t="n"/>
      <c r="AS54" s="45" t="inlineStr"/>
      <c r="AT54" s="10" t="n"/>
      <c r="AU54" s="11" t="n"/>
      <c r="AV54" s="45" t="inlineStr"/>
      <c r="AW54" s="10" t="n"/>
      <c r="AX54" s="11" t="n"/>
      <c r="AY54" s="45" t="inlineStr"/>
      <c r="AZ54" s="10" t="n"/>
      <c r="BA54" s="11" t="n"/>
      <c r="BB54" s="45" t="inlineStr"/>
      <c r="BC54" s="10" t="n"/>
      <c r="BD54" s="11" t="n"/>
      <c r="BE54" s="45" t="inlineStr"/>
      <c r="BF54" s="10" t="n"/>
      <c r="BG54" s="11" t="n"/>
      <c r="BH54" s="45" t="inlineStr"/>
      <c r="BI54" s="10" t="n"/>
      <c r="BJ54" s="11" t="n"/>
      <c r="BK54" s="46" t="inlineStr">
        <is>
          <t>(なし)
---</t>
        </is>
      </c>
      <c r="BL54" s="10" t="n"/>
      <c r="BM54" s="10" t="n"/>
      <c r="BN54" s="10" t="n"/>
      <c r="BO54" s="10" t="n"/>
      <c r="BP54" s="10" t="n"/>
      <c r="BQ54" s="11" t="n"/>
    </row>
    <row r="55" ht="22.5" customHeight="1">
      <c r="A55" s="32" t="inlineStr">
        <is>
          <t>カテゴリ5: 共通エラーハンドリング（Common Error Handling）</t>
        </is>
      </c>
      <c r="B55" s="10" t="n"/>
      <c r="C55" s="10" t="n"/>
      <c r="D55" s="10" t="n"/>
      <c r="E55" s="10" t="n"/>
      <c r="F55" s="10" t="n"/>
      <c r="G55" s="10" t="n"/>
      <c r="H55" s="10" t="n"/>
      <c r="I55" s="10" t="n"/>
      <c r="J55" s="10" t="n"/>
      <c r="K55" s="10" t="n"/>
      <c r="L55" s="10" t="n"/>
      <c r="M55" s="10" t="n"/>
      <c r="N55" s="10" t="n"/>
      <c r="O55" s="10" t="n"/>
      <c r="P55" s="10" t="n"/>
      <c r="Q55" s="10" t="n"/>
      <c r="R55" s="10" t="n"/>
      <c r="S55" s="10" t="n"/>
      <c r="T55" s="10" t="n"/>
      <c r="U55" s="10" t="n"/>
      <c r="V55" s="10" t="n"/>
      <c r="W55" s="10" t="n"/>
      <c r="X55" s="10" t="n"/>
      <c r="Y55" s="10" t="n"/>
      <c r="Z55" s="10" t="n"/>
      <c r="AA55" s="10" t="n"/>
      <c r="AB55" s="10" t="n"/>
      <c r="AC55" s="10" t="n"/>
      <c r="AD55" s="10" t="n"/>
      <c r="AE55" s="10" t="n"/>
      <c r="AF55" s="10" t="n"/>
      <c r="AG55" s="10" t="n"/>
      <c r="AH55" s="10" t="n"/>
      <c r="AI55" s="10" t="n"/>
      <c r="AJ55" s="10" t="n"/>
      <c r="AK55" s="10" t="n"/>
      <c r="AL55" s="10" t="n"/>
      <c r="AM55" s="10" t="n"/>
      <c r="AN55" s="10" t="n"/>
      <c r="AO55" s="10" t="n"/>
      <c r="AP55" s="10" t="n"/>
      <c r="AQ55" s="10" t="n"/>
      <c r="AR55" s="10" t="n"/>
      <c r="AS55" s="10" t="n"/>
      <c r="AT55" s="10" t="n"/>
      <c r="AU55" s="10" t="n"/>
      <c r="AV55" s="10" t="n"/>
      <c r="AW55" s="10" t="n"/>
      <c r="AX55" s="10" t="n"/>
      <c r="AY55" s="10" t="n"/>
      <c r="AZ55" s="10" t="n"/>
      <c r="BA55" s="10" t="n"/>
      <c r="BB55" s="10" t="n"/>
      <c r="BC55" s="10" t="n"/>
      <c r="BD55" s="10" t="n"/>
      <c r="BE55" s="10" t="n"/>
      <c r="BF55" s="10" t="n"/>
      <c r="BG55" s="10" t="n"/>
      <c r="BH55" s="10" t="n"/>
      <c r="BI55" s="10" t="n"/>
      <c r="BJ55" s="10" t="n"/>
      <c r="BK55" s="10" t="n"/>
      <c r="BL55" s="10" t="n"/>
      <c r="BM55" s="10" t="n"/>
      <c r="BN55" s="10" t="n"/>
      <c r="BO55" s="10" t="n"/>
      <c r="BP55" s="10" t="n"/>
      <c r="BQ55" s="11" t="n"/>
    </row>
    <row r="56" ht="96" customHeight="1">
      <c r="A56" s="44" t="n">
        <v>40</v>
      </c>
      <c r="B56" s="46" t="inlineStr">
        <is>
          <t>ACSMS-TC-020-040</t>
        </is>
      </c>
      <c r="C56" s="10" t="n"/>
      <c r="D56" s="11" t="n"/>
      <c r="E56" s="46" t="inlineStr">
        <is>
          <t>不正リクエストパラメータ（BAD_REQUEST）</t>
        </is>
      </c>
      <c r="F56" s="10" t="n"/>
      <c r="G56" s="10" t="n"/>
      <c r="H56" s="10" t="n"/>
      <c r="I56" s="11" t="n"/>
      <c r="J56" s="46" t="inlineStr">
        <is>
          <t>・CHUOKAI でログイン済み</t>
        </is>
      </c>
      <c r="K56" s="10" t="n"/>
      <c r="L56" s="10" t="n"/>
      <c r="M56" s="10" t="n"/>
      <c r="N56" s="10" t="n"/>
      <c r="O56" s="10" t="n"/>
      <c r="P56" s="11" t="n"/>
      <c r="Q56" s="46" t="inlineStr">
        <is>
          <r>
            <rPr>
              <rFont val="メイリオ"/>
              <b val="1"/>
              <sz val="10"/>
            </rPr>
            <t xml:space="preserve">ステップ1：
</t>
          </r>
          <r>
            <rPr>
              <rFont val="メイリオ"/>
              <sz val="10"/>
            </rPr>
            <t>DevToolsのNetworkタブでGET「/api/v1/shiten/koza-dropdown?kanri_shiten_ids=abc」（数値配列に文字列）を送信</t>
          </r>
        </is>
      </c>
      <c r="R56" s="10" t="n"/>
      <c r="S56" s="10" t="n"/>
      <c r="T56" s="10" t="n"/>
      <c r="U56" s="10" t="n"/>
      <c r="V56" s="10" t="n"/>
      <c r="W56" s="11" t="n"/>
      <c r="X56" s="46" t="inlineStr">
        <is>
          <r>
            <rPr>
              <rFont val="メイリオ"/>
              <b val="1"/>
              <sz val="10"/>
            </rPr>
            <t xml:space="preserve">ステップ1：
</t>
          </r>
          <r>
            <rPr>
              <rFont val="メイリオ"/>
              <sz val="10"/>
            </rPr>
            <t>HTTPステータスコード400が返却されること（`error_code: BAD_REQUEST`、メッセージ `リクエストパラメータが不正です。`）</t>
          </r>
        </is>
      </c>
      <c r="Y56" s="10" t="n"/>
      <c r="Z56" s="10" t="n"/>
      <c r="AA56" s="10" t="n"/>
      <c r="AB56" s="10" t="n"/>
      <c r="AC56" s="10" t="n"/>
      <c r="AD56" s="11" t="n"/>
      <c r="AE56" s="45" t="inlineStr">
        <is>
          <t>A</t>
        </is>
      </c>
      <c r="AF56" s="11" t="n"/>
      <c r="AG56" s="45" t="inlineStr"/>
      <c r="AH56" s="10" t="n"/>
      <c r="AI56" s="11" t="n"/>
      <c r="AJ56" s="45" t="inlineStr"/>
      <c r="AK56" s="10" t="n"/>
      <c r="AL56" s="11" t="n"/>
      <c r="AM56" s="45" t="inlineStr"/>
      <c r="AN56" s="10" t="n"/>
      <c r="AO56" s="11" t="n"/>
      <c r="AP56" s="45" t="inlineStr"/>
      <c r="AQ56" s="10" t="n"/>
      <c r="AR56" s="11" t="n"/>
      <c r="AS56" s="45" t="inlineStr"/>
      <c r="AT56" s="10" t="n"/>
      <c r="AU56" s="11" t="n"/>
      <c r="AV56" s="45" t="inlineStr"/>
      <c r="AW56" s="10" t="n"/>
      <c r="AX56" s="11" t="n"/>
      <c r="AY56" s="45" t="inlineStr"/>
      <c r="AZ56" s="10" t="n"/>
      <c r="BA56" s="11" t="n"/>
      <c r="BB56" s="45" t="inlineStr"/>
      <c r="BC56" s="10" t="n"/>
      <c r="BD56" s="11" t="n"/>
      <c r="BE56" s="45" t="inlineStr"/>
      <c r="BF56" s="10" t="n"/>
      <c r="BG56" s="11" t="n"/>
      <c r="BH56" s="45" t="inlineStr"/>
      <c r="BI56" s="10" t="n"/>
      <c r="BJ56" s="11" t="n"/>
      <c r="BK56" s="46" t="inlineStr"/>
      <c r="BL56" s="10" t="n"/>
      <c r="BM56" s="10" t="n"/>
      <c r="BN56" s="10" t="n"/>
      <c r="BO56" s="10" t="n"/>
      <c r="BP56" s="10" t="n"/>
      <c r="BQ56" s="11" t="n"/>
    </row>
    <row r="57" ht="208" customHeight="1">
      <c r="A57" s="44" t="n">
        <v>41</v>
      </c>
      <c r="B57" s="46" t="inlineStr">
        <is>
          <t>ACSMS-TC-020-041</t>
        </is>
      </c>
      <c r="C57" s="10" t="n"/>
      <c r="D57" s="11" t="n"/>
      <c r="E57" s="46" t="inlineStr">
        <is>
          <t>セッション切れ（UNAUTHORIZED）</t>
        </is>
      </c>
      <c r="F57" s="10" t="n"/>
      <c r="G57" s="10" t="n"/>
      <c r="H57" s="10" t="n"/>
      <c r="I57" s="11" t="n"/>
      <c r="J57" s="46" t="inlineStr">
        <is>
          <t>・CHUOKAI でログイン済み
・管理ツールでセッションを強制失効させる準備ができている</t>
        </is>
      </c>
      <c r="K57" s="10" t="n"/>
      <c r="L57" s="10" t="n"/>
      <c r="M57" s="10" t="n"/>
      <c r="N57" s="10" t="n"/>
      <c r="O57" s="10" t="n"/>
      <c r="P57" s="11" t="n"/>
      <c r="Q57" s="46" t="inlineStr">
        <is>
          <r>
            <rPr>
              <rFont val="メイリオ"/>
              <b val="1"/>
              <sz val="10"/>
            </rPr>
            <t xml:space="preserve">ステップ1：
</t>
          </r>
          <r>
            <rPr>
              <rFont val="メイリオ"/>
              <sz val="10"/>
            </rPr>
            <t xml:space="preserve">口座振替データ出力画面を開いた状態でセッションを強制失効させる
</t>
          </r>
          <r>
            <rPr>
              <rFont val="メイリオ"/>
              <b val="1"/>
              <sz val="10"/>
            </rPr>
            <t xml:space="preserve">ステップ2：
</t>
          </r>
          <r>
            <rPr>
              <rFont val="メイリオ"/>
              <sz val="10"/>
            </rPr>
            <t>「作成開始」ボタンをクリックする</t>
          </r>
        </is>
      </c>
      <c r="R57" s="10" t="n"/>
      <c r="S57" s="10" t="n"/>
      <c r="T57" s="10" t="n"/>
      <c r="U57" s="10" t="n"/>
      <c r="V57" s="10" t="n"/>
      <c r="W57" s="11" t="n"/>
      <c r="X57" s="46" t="inlineStr">
        <is>
          <r>
            <rPr>
              <rFont val="メイリオ"/>
              <b val="1"/>
              <sz val="10"/>
            </rPr>
            <t xml:space="preserve">ステップ1：
</t>
          </r>
          <r>
            <rPr>
              <rFont val="メイリオ"/>
              <sz val="10"/>
            </rPr>
            <t xml:space="preserve">画面が表示された状態であること
</t>
          </r>
          <r>
            <rPr>
              <rFont val="メイリオ"/>
              <b val="1"/>
              <sz val="10"/>
            </rPr>
            <t xml:space="preserve">ステップ2：
</t>
          </r>
          <r>
            <rPr>
              <rFont val="メイリオ"/>
              <sz val="10"/>
            </rPr>
            <t xml:space="preserve">・HTTPステータスコード401が返却されること（`error_code: UNAUTHORIZED`、メッセージ `セッションが切れました。再度ログインしてください。`）
</t>
          </r>
          <r>
            <rPr>
              <rFont val="メイリオ"/>
              <sz val="10"/>
            </rPr>
            <t>・「/login」へ遷移すること（クエリに `redirect` が付与されること）</t>
          </r>
        </is>
      </c>
      <c r="Y57" s="10" t="n"/>
      <c r="Z57" s="10" t="n"/>
      <c r="AA57" s="10" t="n"/>
      <c r="AB57" s="10" t="n"/>
      <c r="AC57" s="10" t="n"/>
      <c r="AD57" s="11" t="n"/>
      <c r="AE57" s="45" t="inlineStr">
        <is>
          <t>A</t>
        </is>
      </c>
      <c r="AF57" s="11" t="n"/>
      <c r="AG57" s="45" t="inlineStr"/>
      <c r="AH57" s="10" t="n"/>
      <c r="AI57" s="11" t="n"/>
      <c r="AJ57" s="45" t="inlineStr"/>
      <c r="AK57" s="10" t="n"/>
      <c r="AL57" s="11" t="n"/>
      <c r="AM57" s="45" t="inlineStr"/>
      <c r="AN57" s="10" t="n"/>
      <c r="AO57" s="11" t="n"/>
      <c r="AP57" s="45" t="inlineStr"/>
      <c r="AQ57" s="10" t="n"/>
      <c r="AR57" s="11" t="n"/>
      <c r="AS57" s="45" t="inlineStr"/>
      <c r="AT57" s="10" t="n"/>
      <c r="AU57" s="11" t="n"/>
      <c r="AV57" s="45" t="inlineStr"/>
      <c r="AW57" s="10" t="n"/>
      <c r="AX57" s="11" t="n"/>
      <c r="AY57" s="45" t="inlineStr"/>
      <c r="AZ57" s="10" t="n"/>
      <c r="BA57" s="11" t="n"/>
      <c r="BB57" s="45" t="inlineStr"/>
      <c r="BC57" s="10" t="n"/>
      <c r="BD57" s="11" t="n"/>
      <c r="BE57" s="45" t="inlineStr"/>
      <c r="BF57" s="10" t="n"/>
      <c r="BG57" s="11" t="n"/>
      <c r="BH57" s="45" t="inlineStr"/>
      <c r="BI57" s="10" t="n"/>
      <c r="BJ57" s="11" t="n"/>
      <c r="BK57" s="46" t="inlineStr"/>
      <c r="BL57" s="10" t="n"/>
      <c r="BM57" s="10" t="n"/>
      <c r="BN57" s="10" t="n"/>
      <c r="BO57" s="10" t="n"/>
      <c r="BP57" s="10" t="n"/>
      <c r="BQ57" s="11" t="n"/>
    </row>
    <row r="58" ht="160" customHeight="1">
      <c r="A58" s="44" t="n">
        <v>42</v>
      </c>
      <c r="B58" s="46" t="inlineStr">
        <is>
          <t>ACSMS-TC-020-042</t>
        </is>
      </c>
      <c r="C58" s="10" t="n"/>
      <c r="D58" s="11" t="n"/>
      <c r="E58" s="46" t="inlineStr">
        <is>
          <t>バリデーションエラー応答形状（VALIDATION_ERROR）</t>
        </is>
      </c>
      <c r="F58" s="10" t="n"/>
      <c r="G58" s="10" t="n"/>
      <c r="H58" s="10" t="n"/>
      <c r="I58" s="11" t="n"/>
      <c r="J58" s="46" t="inlineStr">
        <is>
          <t>・CHUOKAI でログイン済み</t>
        </is>
      </c>
      <c r="K58" s="10" t="n"/>
      <c r="L58" s="10" t="n"/>
      <c r="M58" s="10" t="n"/>
      <c r="N58" s="10" t="n"/>
      <c r="O58" s="10" t="n"/>
      <c r="P58" s="11" t="n"/>
      <c r="Q58" s="46" t="inlineStr">
        <is>
          <r>
            <rPr>
              <rFont val="メイリオ"/>
              <b val="1"/>
              <sz val="10"/>
            </rPr>
            <t xml:space="preserve">ステップ1：
</t>
          </r>
          <r>
            <rPr>
              <rFont val="メイリオ"/>
              <sz val="10"/>
            </rPr>
            <t>DevToolsのNetworkタブでPOST「/api/v1/koza-furikae/export」に必須項目を欠落させたリクエストボディを送信</t>
          </r>
        </is>
      </c>
      <c r="R58" s="10" t="n"/>
      <c r="S58" s="10" t="n"/>
      <c r="T58" s="10" t="n"/>
      <c r="U58" s="10" t="n"/>
      <c r="V58" s="10" t="n"/>
      <c r="W58" s="11" t="n"/>
      <c r="X58" s="46" t="inlineStr">
        <is>
          <r>
            <rPr>
              <rFont val="メイリオ"/>
              <b val="1"/>
              <sz val="10"/>
            </rPr>
            <t xml:space="preserve">ステップ1：
</t>
          </r>
          <r>
            <rPr>
              <rFont val="メイリオ"/>
              <sz val="10"/>
            </rPr>
            <t xml:space="preserve">・HTTPステータスコード400が返却されること（`error_code: VALIDATION_ERROR`、メッセージ `入力値が不正です。詳細はerrorsフィールドを確認してください。`）
</t>
          </r>
          <r>
            <rPr>
              <rFont val="メイリオ"/>
              <sz val="10"/>
            </rPr>
            <t>・レスポンスに `errors` 配列が含まれ、各要素が `{ field, message }` の形状であること</t>
          </r>
        </is>
      </c>
      <c r="Y58" s="10" t="n"/>
      <c r="Z58" s="10" t="n"/>
      <c r="AA58" s="10" t="n"/>
      <c r="AB58" s="10" t="n"/>
      <c r="AC58" s="10" t="n"/>
      <c r="AD58" s="11" t="n"/>
      <c r="AE58" s="45" t="inlineStr">
        <is>
          <t>A</t>
        </is>
      </c>
      <c r="AF58" s="11" t="n"/>
      <c r="AG58" s="45" t="inlineStr"/>
      <c r="AH58" s="10" t="n"/>
      <c r="AI58" s="11" t="n"/>
      <c r="AJ58" s="45" t="inlineStr"/>
      <c r="AK58" s="10" t="n"/>
      <c r="AL58" s="11" t="n"/>
      <c r="AM58" s="45" t="inlineStr"/>
      <c r="AN58" s="10" t="n"/>
      <c r="AO58" s="11" t="n"/>
      <c r="AP58" s="45" t="inlineStr"/>
      <c r="AQ58" s="10" t="n"/>
      <c r="AR58" s="11" t="n"/>
      <c r="AS58" s="45" t="inlineStr"/>
      <c r="AT58" s="10" t="n"/>
      <c r="AU58" s="11" t="n"/>
      <c r="AV58" s="45" t="inlineStr"/>
      <c r="AW58" s="10" t="n"/>
      <c r="AX58" s="11" t="n"/>
      <c r="AY58" s="45" t="inlineStr"/>
      <c r="AZ58" s="10" t="n"/>
      <c r="BA58" s="11" t="n"/>
      <c r="BB58" s="45" t="inlineStr"/>
      <c r="BC58" s="10" t="n"/>
      <c r="BD58" s="11" t="n"/>
      <c r="BE58" s="45" t="inlineStr"/>
      <c r="BF58" s="10" t="n"/>
      <c r="BG58" s="11" t="n"/>
      <c r="BH58" s="45" t="inlineStr"/>
      <c r="BI58" s="10" t="n"/>
      <c r="BJ58" s="11" t="n"/>
      <c r="BK58" s="46" t="inlineStr"/>
      <c r="BL58" s="10" t="n"/>
      <c r="BM58" s="10" t="n"/>
      <c r="BN58" s="10" t="n"/>
      <c r="BO58" s="10" t="n"/>
      <c r="BP58" s="10" t="n"/>
      <c r="BQ58" s="11" t="n"/>
    </row>
    <row r="59" ht="176" customHeight="1">
      <c r="A59" s="44" t="n">
        <v>43</v>
      </c>
      <c r="B59" s="46" t="inlineStr">
        <is>
          <t>ACSMS-TC-020-043</t>
        </is>
      </c>
      <c r="C59" s="10" t="n"/>
      <c r="D59" s="11" t="n"/>
      <c r="E59" s="46" t="inlineStr">
        <is>
          <t>レート制限超過（TOO_MANY_REQUESTS）</t>
        </is>
      </c>
      <c r="F59" s="10" t="n"/>
      <c r="G59" s="10" t="n"/>
      <c r="H59" s="10" t="n"/>
      <c r="I59" s="11" t="n"/>
      <c r="J59" s="46" t="inlineStr">
        <is>
          <t>・CHUOKAI でログイン済み</t>
        </is>
      </c>
      <c r="K59" s="10" t="n"/>
      <c r="L59" s="10" t="n"/>
      <c r="M59" s="10" t="n"/>
      <c r="N59" s="10" t="n"/>
      <c r="O59" s="10" t="n"/>
      <c r="P59" s="11" t="n"/>
      <c r="Q59" s="46" t="inlineStr">
        <is>
          <r>
            <rPr>
              <rFont val="メイリオ"/>
              <b val="1"/>
              <sz val="10"/>
            </rPr>
            <t xml:space="preserve">ステップ1：
</t>
          </r>
          <r>
            <rPr>
              <rFont val="メイリオ"/>
              <sz val="10"/>
            </rPr>
            <t xml:space="preserve">「作成開始」相当のリクエストを上限回数まで連続送信する
</t>
          </r>
          <r>
            <rPr>
              <rFont val="メイリオ"/>
              <b val="1"/>
              <sz val="10"/>
            </rPr>
            <t xml:space="preserve">ステップ2：
</t>
          </r>
          <r>
            <rPr>
              <rFont val="メイリオ"/>
              <sz val="10"/>
            </rPr>
            <t>上限を超えて追加のリクエストを送信する</t>
          </r>
        </is>
      </c>
      <c r="R59" s="10" t="n"/>
      <c r="S59" s="10" t="n"/>
      <c r="T59" s="10" t="n"/>
      <c r="U59" s="10" t="n"/>
      <c r="V59" s="10" t="n"/>
      <c r="W59" s="11" t="n"/>
      <c r="X59" s="46" t="inlineStr">
        <is>
          <r>
            <rPr>
              <rFont val="メイリオ"/>
              <b val="1"/>
              <sz val="10"/>
            </rPr>
            <t xml:space="preserve">ステップ1：
</t>
          </r>
          <r>
            <rPr>
              <rFont val="メイリオ"/>
              <sz val="10"/>
            </rPr>
            <t xml:space="preserve">上限回数までのリクエストが正常に処理されること
</t>
          </r>
          <r>
            <rPr>
              <rFont val="メイリオ"/>
              <b val="1"/>
              <sz val="10"/>
            </rPr>
            <t xml:space="preserve">ステップ2：
</t>
          </r>
          <r>
            <rPr>
              <rFont val="メイリオ"/>
              <sz val="10"/>
            </rPr>
            <t>HTTPステータスコード429が返却されること（`error_code: TOO_MANY_REQUESTS`、メッセージ `リクエスト回数が上限を超えました。しばらくしてから再度お試しください。`）</t>
          </r>
        </is>
      </c>
      <c r="Y59" s="10" t="n"/>
      <c r="Z59" s="10" t="n"/>
      <c r="AA59" s="10" t="n"/>
      <c r="AB59" s="10" t="n"/>
      <c r="AC59" s="10" t="n"/>
      <c r="AD59" s="11" t="n"/>
      <c r="AE59" s="45" t="inlineStr">
        <is>
          <t>A</t>
        </is>
      </c>
      <c r="AF59" s="11" t="n"/>
      <c r="AG59" s="45" t="inlineStr"/>
      <c r="AH59" s="10" t="n"/>
      <c r="AI59" s="11" t="n"/>
      <c r="AJ59" s="45" t="inlineStr"/>
      <c r="AK59" s="10" t="n"/>
      <c r="AL59" s="11" t="n"/>
      <c r="AM59" s="45" t="inlineStr"/>
      <c r="AN59" s="10" t="n"/>
      <c r="AO59" s="11" t="n"/>
      <c r="AP59" s="45" t="inlineStr"/>
      <c r="AQ59" s="10" t="n"/>
      <c r="AR59" s="11" t="n"/>
      <c r="AS59" s="45" t="inlineStr"/>
      <c r="AT59" s="10" t="n"/>
      <c r="AU59" s="11" t="n"/>
      <c r="AV59" s="45" t="inlineStr"/>
      <c r="AW59" s="10" t="n"/>
      <c r="AX59" s="11" t="n"/>
      <c r="AY59" s="45" t="inlineStr"/>
      <c r="AZ59" s="10" t="n"/>
      <c r="BA59" s="11" t="n"/>
      <c r="BB59" s="45" t="inlineStr"/>
      <c r="BC59" s="10" t="n"/>
      <c r="BD59" s="11" t="n"/>
      <c r="BE59" s="45" t="inlineStr"/>
      <c r="BF59" s="10" t="n"/>
      <c r="BG59" s="11" t="n"/>
      <c r="BH59" s="45" t="inlineStr"/>
      <c r="BI59" s="10" t="n"/>
      <c r="BJ59" s="11" t="n"/>
      <c r="BK59" s="46" t="inlineStr"/>
      <c r="BL59" s="10" t="n"/>
      <c r="BM59" s="10" t="n"/>
      <c r="BN59" s="10" t="n"/>
      <c r="BO59" s="10" t="n"/>
      <c r="BP59" s="10" t="n"/>
      <c r="BQ59" s="11" t="n"/>
    </row>
    <row r="60" ht="192" customHeight="1">
      <c r="A60" s="44" t="n">
        <v>44</v>
      </c>
      <c r="B60" s="46" t="inlineStr">
        <is>
          <t>ACSMS-TC-020-044</t>
        </is>
      </c>
      <c r="C60" s="10" t="n"/>
      <c r="D60" s="11" t="n"/>
      <c r="E60" s="46" t="inlineStr">
        <is>
          <t>システムエラー（INTERNAL_SERVER_ERROR）</t>
        </is>
      </c>
      <c r="F60" s="10" t="n"/>
      <c r="G60" s="10" t="n"/>
      <c r="H60" s="10" t="n"/>
      <c r="I60" s="11" t="n"/>
      <c r="J60" s="46" t="inlineStr">
        <is>
          <t>・CHUOKAI でログイン済み
・サーバー側で例外を発生させる準備ができている</t>
        </is>
      </c>
      <c r="K60" s="10" t="n"/>
      <c r="L60" s="10" t="n"/>
      <c r="M60" s="10" t="n"/>
      <c r="N60" s="10" t="n"/>
      <c r="O60" s="10" t="n"/>
      <c r="P60" s="11" t="n"/>
      <c r="Q60" s="46" t="inlineStr">
        <is>
          <r>
            <rPr>
              <rFont val="メイリオ"/>
              <b val="1"/>
              <sz val="10"/>
            </rPr>
            <t xml:space="preserve">ステップ1：
</t>
          </r>
          <r>
            <rPr>
              <rFont val="メイリオ"/>
              <sz val="10"/>
            </rPr>
            <t>サーバー側でDB接続エラー等を発生させた状態で「作成開始」を実行する</t>
          </r>
        </is>
      </c>
      <c r="R60" s="10" t="n"/>
      <c r="S60" s="10" t="n"/>
      <c r="T60" s="10" t="n"/>
      <c r="U60" s="10" t="n"/>
      <c r="V60" s="10" t="n"/>
      <c r="W60" s="11" t="n"/>
      <c r="X60" s="46" t="inlineStr">
        <is>
          <r>
            <rPr>
              <rFont val="メイリオ"/>
              <b val="1"/>
              <sz val="10"/>
            </rPr>
            <t xml:space="preserve">ステップ1：
</t>
          </r>
          <r>
            <rPr>
              <rFont val="メイリオ"/>
              <sz val="10"/>
            </rPr>
            <t xml:space="preserve">・HTTPステータスコード500が返却されること（`error_code: INTERNAL_SERVER_ERROR`、メッセージ `システムエラーが発生しました。しばらくしてから再度お試しください。`）
</t>
          </r>
          <r>
            <rPr>
              <rFont val="メイリオ"/>
              <sz val="10"/>
            </rPr>
            <t>・トースト「システムエラーが発生しました。しばらくしてから再度お試しください。」が表示されること（ACSMS-MSG-020-003）</t>
          </r>
        </is>
      </c>
      <c r="Y60" s="10" t="n"/>
      <c r="Z60" s="10" t="n"/>
      <c r="AA60" s="10" t="n"/>
      <c r="AB60" s="10" t="n"/>
      <c r="AC60" s="10" t="n"/>
      <c r="AD60" s="11" t="n"/>
      <c r="AE60" s="45" t="inlineStr">
        <is>
          <t>A</t>
        </is>
      </c>
      <c r="AF60" s="11" t="n"/>
      <c r="AG60" s="45" t="inlineStr"/>
      <c r="AH60" s="10" t="n"/>
      <c r="AI60" s="11" t="n"/>
      <c r="AJ60" s="45" t="inlineStr"/>
      <c r="AK60" s="10" t="n"/>
      <c r="AL60" s="11" t="n"/>
      <c r="AM60" s="45" t="inlineStr"/>
      <c r="AN60" s="10" t="n"/>
      <c r="AO60" s="11" t="n"/>
      <c r="AP60" s="45" t="inlineStr"/>
      <c r="AQ60" s="10" t="n"/>
      <c r="AR60" s="11" t="n"/>
      <c r="AS60" s="45" t="inlineStr"/>
      <c r="AT60" s="10" t="n"/>
      <c r="AU60" s="11" t="n"/>
      <c r="AV60" s="45" t="inlineStr"/>
      <c r="AW60" s="10" t="n"/>
      <c r="AX60" s="11" t="n"/>
      <c r="AY60" s="45" t="inlineStr"/>
      <c r="AZ60" s="10" t="n"/>
      <c r="BA60" s="11" t="n"/>
      <c r="BB60" s="45" t="inlineStr"/>
      <c r="BC60" s="10" t="n"/>
      <c r="BD60" s="11" t="n"/>
      <c r="BE60" s="45" t="inlineStr"/>
      <c r="BF60" s="10" t="n"/>
      <c r="BG60" s="11" t="n"/>
      <c r="BH60" s="45" t="inlineStr"/>
      <c r="BI60" s="10" t="n"/>
      <c r="BJ60" s="11" t="n"/>
      <c r="BK60" s="46" t="inlineStr"/>
      <c r="BL60" s="10" t="n"/>
      <c r="BM60" s="10" t="n"/>
      <c r="BN60" s="10" t="n"/>
      <c r="BO60" s="10" t="n"/>
      <c r="BP60" s="10" t="n"/>
      <c r="BQ60" s="11" t="n"/>
    </row>
    <row r="61" ht="128" customHeight="1">
      <c r="A61" s="44" t="n">
        <v>45</v>
      </c>
      <c r="B61" s="46" t="inlineStr">
        <is>
          <t>ACSMS-TC-020-045</t>
        </is>
      </c>
      <c r="C61" s="10" t="n"/>
      <c r="D61" s="11" t="n"/>
      <c r="E61" s="46" t="inlineStr">
        <is>
          <t>ネットワーク切断</t>
        </is>
      </c>
      <c r="F61" s="10" t="n"/>
      <c r="G61" s="10" t="n"/>
      <c r="H61" s="10" t="n"/>
      <c r="I61" s="11" t="n"/>
      <c r="J61" s="46" t="inlineStr">
        <is>
          <t>・CHUOKAI でログイン済み</t>
        </is>
      </c>
      <c r="K61" s="10" t="n"/>
      <c r="L61" s="10" t="n"/>
      <c r="M61" s="10" t="n"/>
      <c r="N61" s="10" t="n"/>
      <c r="O61" s="10" t="n"/>
      <c r="P61" s="11" t="n"/>
      <c r="Q61" s="46" t="inlineStr">
        <is>
          <r>
            <rPr>
              <rFont val="メイリオ"/>
              <b val="1"/>
              <sz val="10"/>
            </rPr>
            <t xml:space="preserve">ステップ1：
</t>
          </r>
          <r>
            <rPr>
              <rFont val="メイリオ"/>
              <sz val="10"/>
            </rPr>
            <t xml:space="preserve">DevToolsのNetworkタブで「Offline」を選択し、ネットワークを切断する
</t>
          </r>
          <r>
            <rPr>
              <rFont val="メイリオ"/>
              <b val="1"/>
              <sz val="10"/>
            </rPr>
            <t xml:space="preserve">ステップ2：
</t>
          </r>
          <r>
            <rPr>
              <rFont val="メイリオ"/>
              <sz val="10"/>
            </rPr>
            <t>「作成開始」ボタンをクリックする</t>
          </r>
        </is>
      </c>
      <c r="R61" s="10" t="n"/>
      <c r="S61" s="10" t="n"/>
      <c r="T61" s="10" t="n"/>
      <c r="U61" s="10" t="n"/>
      <c r="V61" s="10" t="n"/>
      <c r="W61" s="11" t="n"/>
      <c r="X61" s="46" t="inlineStr">
        <is>
          <r>
            <rPr>
              <rFont val="メイリオ"/>
              <b val="1"/>
              <sz val="10"/>
            </rPr>
            <t xml:space="preserve">ステップ1：
</t>
          </r>
          <r>
            <rPr>
              <rFont val="メイリオ"/>
              <sz val="10"/>
            </rPr>
            <t xml:space="preserve">ネットワークが切断されること
</t>
          </r>
          <r>
            <rPr>
              <rFont val="メイリオ"/>
              <b val="1"/>
              <sz val="10"/>
            </rPr>
            <t xml:space="preserve">ステップ2：
</t>
          </r>
          <r>
            <rPr>
              <rFont val="メイリオ"/>
              <sz val="10"/>
            </rPr>
            <t xml:space="preserve">・ネットワークエラーのトーストが表示されること
</t>
          </r>
          <r>
            <rPr>
              <rFont val="メイリオ"/>
              <sz val="10"/>
            </rPr>
            <t>・異常終了しないこと</t>
          </r>
        </is>
      </c>
      <c r="Y61" s="10" t="n"/>
      <c r="Z61" s="10" t="n"/>
      <c r="AA61" s="10" t="n"/>
      <c r="AB61" s="10" t="n"/>
      <c r="AC61" s="10" t="n"/>
      <c r="AD61" s="11" t="n"/>
      <c r="AE61" s="45" t="inlineStr">
        <is>
          <t>A</t>
        </is>
      </c>
      <c r="AF61" s="11" t="n"/>
      <c r="AG61" s="45" t="inlineStr"/>
      <c r="AH61" s="10" t="n"/>
      <c r="AI61" s="11" t="n"/>
      <c r="AJ61" s="45" t="inlineStr"/>
      <c r="AK61" s="10" t="n"/>
      <c r="AL61" s="11" t="n"/>
      <c r="AM61" s="45" t="inlineStr"/>
      <c r="AN61" s="10" t="n"/>
      <c r="AO61" s="11" t="n"/>
      <c r="AP61" s="45" t="inlineStr"/>
      <c r="AQ61" s="10" t="n"/>
      <c r="AR61" s="11" t="n"/>
      <c r="AS61" s="45" t="inlineStr"/>
      <c r="AT61" s="10" t="n"/>
      <c r="AU61" s="11" t="n"/>
      <c r="AV61" s="45" t="inlineStr"/>
      <c r="AW61" s="10" t="n"/>
      <c r="AX61" s="11" t="n"/>
      <c r="AY61" s="45" t="inlineStr"/>
      <c r="AZ61" s="10" t="n"/>
      <c r="BA61" s="11" t="n"/>
      <c r="BB61" s="45" t="inlineStr"/>
      <c r="BC61" s="10" t="n"/>
      <c r="BD61" s="11" t="n"/>
      <c r="BE61" s="45" t="inlineStr"/>
      <c r="BF61" s="10" t="n"/>
      <c r="BG61" s="11" t="n"/>
      <c r="BH61" s="45" t="inlineStr"/>
      <c r="BI61" s="10" t="n"/>
      <c r="BJ61" s="11" t="n"/>
      <c r="BK61" s="46" t="inlineStr"/>
      <c r="BL61" s="10" t="n"/>
      <c r="BM61" s="10" t="n"/>
      <c r="BN61" s="10" t="n"/>
      <c r="BO61" s="10" t="n"/>
      <c r="BP61" s="10" t="n"/>
      <c r="BQ61" s="11" t="n"/>
    </row>
    <row r="62" ht="144" customHeight="1">
      <c r="A62" s="44" t="n">
        <v>46</v>
      </c>
      <c r="B62" s="46" t="inlineStr">
        <is>
          <t>ACSMS-TC-020-046</t>
        </is>
      </c>
      <c r="C62" s="10" t="n"/>
      <c r="D62" s="11" t="n"/>
      <c r="E62" s="46" t="inlineStr">
        <is>
          <t>XSS入力の安全性</t>
        </is>
      </c>
      <c r="F62" s="10" t="n"/>
      <c r="G62" s="10" t="n"/>
      <c r="H62" s="10" t="n"/>
      <c r="I62" s="11" t="n"/>
      <c r="J62" s="46" t="inlineStr">
        <is>
          <t>・CHUOKAI でログイン済み</t>
        </is>
      </c>
      <c r="K62" s="10" t="n"/>
      <c r="L62" s="10" t="n"/>
      <c r="M62" s="10" t="n"/>
      <c r="N62" s="10" t="n"/>
      <c r="O62" s="10" t="n"/>
      <c r="P62" s="11" t="n"/>
      <c r="Q62" s="46" t="inlineStr">
        <is>
          <r>
            <rPr>
              <rFont val="メイリオ"/>
              <b val="1"/>
              <sz val="10"/>
            </rPr>
            <t xml:space="preserve">ステップ1：
</t>
          </r>
          <r>
            <rPr>
              <rFont val="メイリオ"/>
              <sz val="10"/>
            </rPr>
            <t xml:space="preserve">委託者名・店舗名に `&lt;script&gt;alert(1)&lt;/script&gt;` 等のスクリプトを入力して「作成開始」を実行する
</t>
          </r>
          <r>
            <rPr>
              <rFont val="メイリオ"/>
              <b val="1"/>
              <sz val="10"/>
            </rPr>
            <t xml:space="preserve">ステップ2：
</t>
          </r>
          <r>
            <rPr>
              <rFont val="メイリオ"/>
              <sz val="10"/>
            </rPr>
            <t>再度画面を開き、初期表示で当該項目を確認する</t>
          </r>
        </is>
      </c>
      <c r="R62" s="10" t="n"/>
      <c r="S62" s="10" t="n"/>
      <c r="T62" s="10" t="n"/>
      <c r="U62" s="10" t="n"/>
      <c r="V62" s="10" t="n"/>
      <c r="W62" s="11" t="n"/>
      <c r="X62" s="46" t="inlineStr">
        <is>
          <r>
            <rPr>
              <rFont val="メイリオ"/>
              <b val="1"/>
              <sz val="10"/>
            </rPr>
            <t xml:space="preserve">ステップ1：
</t>
          </r>
          <r>
            <rPr>
              <rFont val="メイリオ"/>
              <sz val="10"/>
            </rPr>
            <t xml:space="preserve">スクリプトがそのまま文字列として扱われ、実行されないこと
</t>
          </r>
          <r>
            <rPr>
              <rFont val="メイリオ"/>
              <b val="1"/>
              <sz val="10"/>
            </rPr>
            <t xml:space="preserve">ステップ2：
</t>
          </r>
          <r>
            <rPr>
              <rFont val="メイリオ"/>
              <sz val="10"/>
            </rPr>
            <t>保存後の再表示でもスクリプトが実行されず、plain textとして表示されること</t>
          </r>
        </is>
      </c>
      <c r="Y62" s="10" t="n"/>
      <c r="Z62" s="10" t="n"/>
      <c r="AA62" s="10" t="n"/>
      <c r="AB62" s="10" t="n"/>
      <c r="AC62" s="10" t="n"/>
      <c r="AD62" s="11" t="n"/>
      <c r="AE62" s="45" t="inlineStr">
        <is>
          <t>A</t>
        </is>
      </c>
      <c r="AF62" s="11" t="n"/>
      <c r="AG62" s="45" t="inlineStr"/>
      <c r="AH62" s="10" t="n"/>
      <c r="AI62" s="11" t="n"/>
      <c r="AJ62" s="45" t="inlineStr"/>
      <c r="AK62" s="10" t="n"/>
      <c r="AL62" s="11" t="n"/>
      <c r="AM62" s="45" t="inlineStr"/>
      <c r="AN62" s="10" t="n"/>
      <c r="AO62" s="11" t="n"/>
      <c r="AP62" s="45" t="inlineStr"/>
      <c r="AQ62" s="10" t="n"/>
      <c r="AR62" s="11" t="n"/>
      <c r="AS62" s="45" t="inlineStr"/>
      <c r="AT62" s="10" t="n"/>
      <c r="AU62" s="11" t="n"/>
      <c r="AV62" s="45" t="inlineStr"/>
      <c r="AW62" s="10" t="n"/>
      <c r="AX62" s="11" t="n"/>
      <c r="AY62" s="45" t="inlineStr"/>
      <c r="AZ62" s="10" t="n"/>
      <c r="BA62" s="11" t="n"/>
      <c r="BB62" s="45" t="inlineStr"/>
      <c r="BC62" s="10" t="n"/>
      <c r="BD62" s="11" t="n"/>
      <c r="BE62" s="45" t="inlineStr"/>
      <c r="BF62" s="10" t="n"/>
      <c r="BG62" s="11" t="n"/>
      <c r="BH62" s="45" t="inlineStr"/>
      <c r="BI62" s="10" t="n"/>
      <c r="BJ62" s="11" t="n"/>
      <c r="BK62" s="46" t="inlineStr"/>
      <c r="BL62" s="10" t="n"/>
      <c r="BM62" s="10" t="n"/>
      <c r="BN62" s="10" t="n"/>
      <c r="BO62" s="10" t="n"/>
      <c r="BP62" s="10" t="n"/>
      <c r="BQ62" s="11" t="n"/>
    </row>
    <row r="63" ht="160" customHeight="1">
      <c r="A63" s="44" t="n">
        <v>47</v>
      </c>
      <c r="B63" s="46" t="inlineStr">
        <is>
          <t>ACSMS-TC-020-047</t>
        </is>
      </c>
      <c r="C63" s="10" t="n"/>
      <c r="D63" s="11" t="n"/>
      <c r="E63" s="46" t="inlineStr">
        <is>
          <t>SQLインジェクション入力の安全性</t>
        </is>
      </c>
      <c r="F63" s="10" t="n"/>
      <c r="G63" s="10" t="n"/>
      <c r="H63" s="10" t="n"/>
      <c r="I63" s="11" t="n"/>
      <c r="J63" s="46" t="inlineStr">
        <is>
          <t>・CHUOKAI でログイン済み</t>
        </is>
      </c>
      <c r="K63" s="10" t="n"/>
      <c r="L63" s="10" t="n"/>
      <c r="M63" s="10" t="n"/>
      <c r="N63" s="10" t="n"/>
      <c r="O63" s="10" t="n"/>
      <c r="P63" s="11" t="n"/>
      <c r="Q63" s="46" t="inlineStr">
        <is>
          <r>
            <rPr>
              <rFont val="メイリオ"/>
              <b val="1"/>
              <sz val="10"/>
            </rPr>
            <t xml:space="preserve">ステップ1：
</t>
          </r>
          <r>
            <rPr>
              <rFont val="メイリオ"/>
              <sz val="10"/>
            </rPr>
            <t xml:space="preserve">委託者コード・委託者名に `'; DROP TABLE m_ja; --` 等を入力して「作成開始」を実行する
</t>
          </r>
          <r>
            <rPr>
              <rFont val="メイリオ"/>
              <b val="1"/>
              <sz val="10"/>
            </rPr>
            <t xml:space="preserve">ステップ2：
</t>
          </r>
          <r>
            <rPr>
              <rFont val="メイリオ"/>
              <sz val="10"/>
            </rPr>
            <t>DBで m_ja テーブルが存在することを確認する</t>
          </r>
        </is>
      </c>
      <c r="R63" s="10" t="n"/>
      <c r="S63" s="10" t="n"/>
      <c r="T63" s="10" t="n"/>
      <c r="U63" s="10" t="n"/>
      <c r="V63" s="10" t="n"/>
      <c r="W63" s="11" t="n"/>
      <c r="X63" s="46" t="inlineStr">
        <is>
          <r>
            <rPr>
              <rFont val="メイリオ"/>
              <b val="1"/>
              <sz val="10"/>
            </rPr>
            <t xml:space="preserve">ステップ1：
</t>
          </r>
          <r>
            <rPr>
              <rFont val="メイリオ"/>
              <sz val="10"/>
            </rPr>
            <t xml:space="preserve">入力値がパラメータ化クエリにより literal として扱われ、SQLとして実行されないこと（HTTPステータスコード500が返却されないこと）
</t>
          </r>
          <r>
            <rPr>
              <rFont val="メイリオ"/>
              <b val="1"/>
              <sz val="10"/>
            </rPr>
            <t xml:space="preserve">ステップ2：
</t>
          </r>
          <r>
            <rPr>
              <rFont val="メイリオ"/>
              <sz val="10"/>
            </rPr>
            <t>m_ja テーブルが削除されず存在すること</t>
          </r>
        </is>
      </c>
      <c r="Y63" s="10" t="n"/>
      <c r="Z63" s="10" t="n"/>
      <c r="AA63" s="10" t="n"/>
      <c r="AB63" s="10" t="n"/>
      <c r="AC63" s="10" t="n"/>
      <c r="AD63" s="11" t="n"/>
      <c r="AE63" s="45" t="inlineStr">
        <is>
          <t>A</t>
        </is>
      </c>
      <c r="AF63" s="11" t="n"/>
      <c r="AG63" s="45" t="inlineStr"/>
      <c r="AH63" s="10" t="n"/>
      <c r="AI63" s="11" t="n"/>
      <c r="AJ63" s="45" t="inlineStr"/>
      <c r="AK63" s="10" t="n"/>
      <c r="AL63" s="11" t="n"/>
      <c r="AM63" s="45" t="inlineStr"/>
      <c r="AN63" s="10" t="n"/>
      <c r="AO63" s="11" t="n"/>
      <c r="AP63" s="45" t="inlineStr"/>
      <c r="AQ63" s="10" t="n"/>
      <c r="AR63" s="11" t="n"/>
      <c r="AS63" s="45" t="inlineStr"/>
      <c r="AT63" s="10" t="n"/>
      <c r="AU63" s="11" t="n"/>
      <c r="AV63" s="45" t="inlineStr"/>
      <c r="AW63" s="10" t="n"/>
      <c r="AX63" s="11" t="n"/>
      <c r="AY63" s="45" t="inlineStr"/>
      <c r="AZ63" s="10" t="n"/>
      <c r="BA63" s="11" t="n"/>
      <c r="BB63" s="45" t="inlineStr"/>
      <c r="BC63" s="10" t="n"/>
      <c r="BD63" s="11" t="n"/>
      <c r="BE63" s="45" t="inlineStr"/>
      <c r="BF63" s="10" t="n"/>
      <c r="BG63" s="11" t="n"/>
      <c r="BH63" s="45" t="inlineStr"/>
      <c r="BI63" s="10" t="n"/>
      <c r="BJ63" s="11" t="n"/>
      <c r="BK63" s="46" t="inlineStr"/>
      <c r="BL63" s="10" t="n"/>
      <c r="BM63" s="10" t="n"/>
      <c r="BN63" s="10" t="n"/>
      <c r="BO63" s="10" t="n"/>
      <c r="BP63" s="10" t="n"/>
      <c r="BQ63" s="11" t="n"/>
    </row>
  </sheetData>
  <mergeCells count="870">
    <mergeCell ref="AS59:AU59"/>
    <mergeCell ref="J31:P31"/>
    <mergeCell ref="B60:D60"/>
    <mergeCell ref="Q27:W27"/>
    <mergeCell ref="AS46:AU46"/>
    <mergeCell ref="BK58:BQ58"/>
    <mergeCell ref="AP50:AR50"/>
    <mergeCell ref="AE54:AF54"/>
    <mergeCell ref="BH33:BJ33"/>
    <mergeCell ref="BK50:BQ50"/>
    <mergeCell ref="AE41:AF41"/>
    <mergeCell ref="E52:I52"/>
    <mergeCell ref="B53:D53"/>
    <mergeCell ref="AV57:AX57"/>
    <mergeCell ref="AP60:AR60"/>
    <mergeCell ref="E39:I39"/>
    <mergeCell ref="E14:I14"/>
    <mergeCell ref="AS61:AU61"/>
    <mergeCell ref="W7:Y7"/>
    <mergeCell ref="AS48:AU48"/>
    <mergeCell ref="J62:P62"/>
    <mergeCell ref="BK16:BQ16"/>
    <mergeCell ref="AE56:AF56"/>
    <mergeCell ref="AE43:AF43"/>
    <mergeCell ref="AM30:AO30"/>
    <mergeCell ref="AP45:AR45"/>
    <mergeCell ref="BE13:BG13"/>
    <mergeCell ref="W8:Y8"/>
    <mergeCell ref="Q37:W37"/>
    <mergeCell ref="AJ20:AL20"/>
    <mergeCell ref="AG24:AI24"/>
    <mergeCell ref="BH39:BJ39"/>
    <mergeCell ref="J57:P57"/>
    <mergeCell ref="W2:AH2"/>
    <mergeCell ref="X10:AD11"/>
    <mergeCell ref="AJ22:AL22"/>
    <mergeCell ref="AG26:AI26"/>
    <mergeCell ref="AP13:AR13"/>
    <mergeCell ref="Q38:W38"/>
    <mergeCell ref="AE34:AF34"/>
    <mergeCell ref="AJ51:AL51"/>
    <mergeCell ref="BK47:BQ47"/>
    <mergeCell ref="E25:I25"/>
    <mergeCell ref="Q40:W40"/>
    <mergeCell ref="AE36:AF36"/>
    <mergeCell ref="AS51:AU51"/>
    <mergeCell ref="Q15:W15"/>
    <mergeCell ref="AV39:AX39"/>
    <mergeCell ref="E58:I58"/>
    <mergeCell ref="BE20:BG20"/>
    <mergeCell ref="AM34:AO34"/>
    <mergeCell ref="AJ38:AL38"/>
    <mergeCell ref="BE35:BG35"/>
    <mergeCell ref="BK48:BQ48"/>
    <mergeCell ref="AM49:AO49"/>
    <mergeCell ref="AE50:AF50"/>
    <mergeCell ref="AG52:AI52"/>
    <mergeCell ref="BE22:BG22"/>
    <mergeCell ref="BH23:BJ23"/>
    <mergeCell ref="BB26:BD26"/>
    <mergeCell ref="AE31:AF31"/>
    <mergeCell ref="H7:J7"/>
    <mergeCell ref="AG45:AI45"/>
    <mergeCell ref="AY29:BA29"/>
    <mergeCell ref="E20:I20"/>
    <mergeCell ref="AJ33:AL33"/>
    <mergeCell ref="AG37:AI37"/>
    <mergeCell ref="J39:P39"/>
    <mergeCell ref="AE62:AF62"/>
    <mergeCell ref="AG47:AI47"/>
    <mergeCell ref="AF8:AH8"/>
    <mergeCell ref="BB27:BD27"/>
    <mergeCell ref="AY31:BA31"/>
    <mergeCell ref="AJ35:AL35"/>
    <mergeCell ref="BK37:BQ37"/>
    <mergeCell ref="BH34:BJ34"/>
    <mergeCell ref="X23:AD23"/>
    <mergeCell ref="BE38:BG38"/>
    <mergeCell ref="AS62:AU62"/>
    <mergeCell ref="AV63:AX63"/>
    <mergeCell ref="BH49:BJ49"/>
    <mergeCell ref="R3:V3"/>
    <mergeCell ref="AP53:AR53"/>
    <mergeCell ref="X16:AD16"/>
    <mergeCell ref="AE57:AF57"/>
    <mergeCell ref="BK53:BQ53"/>
    <mergeCell ref="BH60:BJ60"/>
    <mergeCell ref="AC7:AE7"/>
    <mergeCell ref="AY26:BA26"/>
    <mergeCell ref="BE15:BG15"/>
    <mergeCell ref="AG63:AI63"/>
    <mergeCell ref="X18:AD18"/>
    <mergeCell ref="BE33:BG33"/>
    <mergeCell ref="BB37:BD37"/>
    <mergeCell ref="AG50:AI50"/>
    <mergeCell ref="BK13:BQ13"/>
    <mergeCell ref="AY57:BA57"/>
    <mergeCell ref="AM58:AO58"/>
    <mergeCell ref="BE41:BG41"/>
    <mergeCell ref="Q59:W59"/>
    <mergeCell ref="J25:P25"/>
    <mergeCell ref="Q46:W46"/>
    <mergeCell ref="AM24:AO24"/>
    <mergeCell ref="AG27:AI27"/>
    <mergeCell ref="B23:D23"/>
    <mergeCell ref="AM60:AO60"/>
    <mergeCell ref="BB38:BD38"/>
    <mergeCell ref="AV14:AX14"/>
    <mergeCell ref="Q61:W61"/>
    <mergeCell ref="W3:AH3"/>
    <mergeCell ref="E33:I33"/>
    <mergeCell ref="Q48:W48"/>
    <mergeCell ref="AV13:AX13"/>
    <mergeCell ref="AS17:AU17"/>
    <mergeCell ref="AS11:AU11"/>
    <mergeCell ref="BB40:BD40"/>
    <mergeCell ref="BH29:BJ29"/>
    <mergeCell ref="Q41:W41"/>
    <mergeCell ref="E35:I35"/>
    <mergeCell ref="AY44:BA44"/>
    <mergeCell ref="AV53:AX53"/>
    <mergeCell ref="BH44:BJ44"/>
    <mergeCell ref="AS19:AU19"/>
    <mergeCell ref="Q56:W56"/>
    <mergeCell ref="AE52:AF52"/>
    <mergeCell ref="Q43:W43"/>
    <mergeCell ref="J14:P14"/>
    <mergeCell ref="AE39:AF39"/>
    <mergeCell ref="B51:D51"/>
    <mergeCell ref="AM50:AO50"/>
    <mergeCell ref="AJ54:AL54"/>
    <mergeCell ref="AM15:AO15"/>
    <mergeCell ref="AP16:AR16"/>
    <mergeCell ref="BH24:BJ24"/>
    <mergeCell ref="J13:P13"/>
    <mergeCell ref="BE34:BG34"/>
    <mergeCell ref="AJ41:AL41"/>
    <mergeCell ref="H8:J8"/>
    <mergeCell ref="BK10:BQ11"/>
    <mergeCell ref="J53:P53"/>
    <mergeCell ref="AS14:AU14"/>
    <mergeCell ref="AE53:AF53"/>
    <mergeCell ref="AJ56:AL56"/>
    <mergeCell ref="AP18:AR18"/>
    <mergeCell ref="BH26:BJ26"/>
    <mergeCell ref="AG38:AI38"/>
    <mergeCell ref="BE30:BG30"/>
    <mergeCell ref="AJ43:AL43"/>
    <mergeCell ref="AV25:AX25"/>
    <mergeCell ref="W6:Y6"/>
    <mergeCell ref="BE29:BG29"/>
    <mergeCell ref="AY32:BA32"/>
    <mergeCell ref="BB33:BD33"/>
    <mergeCell ref="AG46:AI46"/>
    <mergeCell ref="Q34:W34"/>
    <mergeCell ref="AG40:AI40"/>
    <mergeCell ref="X24:AD24"/>
    <mergeCell ref="BB43:BD43"/>
    <mergeCell ref="AY47:BA47"/>
    <mergeCell ref="BH50:BJ50"/>
    <mergeCell ref="Q36:W36"/>
    <mergeCell ref="BE54:BG54"/>
    <mergeCell ref="Q30:W30"/>
    <mergeCell ref="AE63:AF63"/>
    <mergeCell ref="X26:AD26"/>
    <mergeCell ref="W1:AH1"/>
    <mergeCell ref="AC8:AE8"/>
    <mergeCell ref="AP44:AR44"/>
    <mergeCell ref="E23:I23"/>
    <mergeCell ref="B29:D29"/>
    <mergeCell ref="BE56:BG56"/>
    <mergeCell ref="BE43:BG43"/>
    <mergeCell ref="J33:P33"/>
    <mergeCell ref="AE58:AF58"/>
    <mergeCell ref="BB59:BD59"/>
    <mergeCell ref="AM63:AO63"/>
    <mergeCell ref="X27:AD27"/>
    <mergeCell ref="BB46:BD46"/>
    <mergeCell ref="BE57:BG57"/>
    <mergeCell ref="B24:D24"/>
    <mergeCell ref="AY60:BA60"/>
    <mergeCell ref="BB61:BD61"/>
    <mergeCell ref="AV15:AX15"/>
    <mergeCell ref="AY16:BA16"/>
    <mergeCell ref="Q62:W62"/>
    <mergeCell ref="E34:I34"/>
    <mergeCell ref="BB48:BD48"/>
    <mergeCell ref="AG43:AI43"/>
    <mergeCell ref="B32:D32"/>
    <mergeCell ref="B26:D26"/>
    <mergeCell ref="E49:I49"/>
    <mergeCell ref="AY18:BA18"/>
    <mergeCell ref="A7:G7"/>
    <mergeCell ref="AY45:BA45"/>
    <mergeCell ref="E36:I36"/>
    <mergeCell ref="Q51:W51"/>
    <mergeCell ref="X37:AD37"/>
    <mergeCell ref="BH45:BJ45"/>
    <mergeCell ref="AS20:AU20"/>
    <mergeCell ref="AP24:AR24"/>
    <mergeCell ref="BH32:BJ32"/>
    <mergeCell ref="BK18:BQ18"/>
    <mergeCell ref="B27:D27"/>
    <mergeCell ref="AY22:BA22"/>
    <mergeCell ref="BH47:BJ47"/>
    <mergeCell ref="AS22:AU22"/>
    <mergeCell ref="X20:AD20"/>
    <mergeCell ref="AP26:AR26"/>
    <mergeCell ref="X14:AD14"/>
    <mergeCell ref="X38:AD38"/>
    <mergeCell ref="BH46:BJ46"/>
    <mergeCell ref="BE50:BG50"/>
    <mergeCell ref="BE44:BG44"/>
    <mergeCell ref="AP19:AR19"/>
    <mergeCell ref="AJ57:AL57"/>
    <mergeCell ref="AG61:AI61"/>
    <mergeCell ref="BE31:BG31"/>
    <mergeCell ref="A1:E1"/>
    <mergeCell ref="AG48:AI48"/>
    <mergeCell ref="Q17:W17"/>
    <mergeCell ref="B44:D44"/>
    <mergeCell ref="BB34:BD34"/>
    <mergeCell ref="E29:I29"/>
    <mergeCell ref="J23:P23"/>
    <mergeCell ref="AV34:AX34"/>
    <mergeCell ref="B37:D37"/>
    <mergeCell ref="BH58:BJ58"/>
    <mergeCell ref="BK44:BQ44"/>
    <mergeCell ref="AY48:BA48"/>
    <mergeCell ref="BB49:BD49"/>
    <mergeCell ref="AG62:AI62"/>
    <mergeCell ref="AE33:AF33"/>
    <mergeCell ref="BB36:BD36"/>
    <mergeCell ref="X40:AD40"/>
    <mergeCell ref="E31:I31"/>
    <mergeCell ref="AV36:AX36"/>
    <mergeCell ref="T6:V6"/>
    <mergeCell ref="B20:D20"/>
    <mergeCell ref="AV30:AX30"/>
    <mergeCell ref="Q52:W52"/>
    <mergeCell ref="Q39:W39"/>
    <mergeCell ref="AS33:AU33"/>
    <mergeCell ref="AM36:AO36"/>
    <mergeCell ref="F1:Q1"/>
    <mergeCell ref="AP37:AR37"/>
    <mergeCell ref="J34:P34"/>
    <mergeCell ref="E26:I26"/>
    <mergeCell ref="AY37:BA37"/>
    <mergeCell ref="AS35:AU35"/>
    <mergeCell ref="J49:P49"/>
    <mergeCell ref="J36:P36"/>
    <mergeCell ref="BB62:BD62"/>
    <mergeCell ref="AJ14:AL14"/>
    <mergeCell ref="AY17:BA17"/>
    <mergeCell ref="AY53:BA53"/>
    <mergeCell ref="BK24:BQ24"/>
    <mergeCell ref="X45:AD45"/>
    <mergeCell ref="E50:I50"/>
    <mergeCell ref="AG11:AI11"/>
    <mergeCell ref="BH53:BJ53"/>
    <mergeCell ref="AV29:AX29"/>
    <mergeCell ref="A8:G8"/>
    <mergeCell ref="AV23:AX23"/>
    <mergeCell ref="BB51:BD51"/>
    <mergeCell ref="AP63:AR63"/>
    <mergeCell ref="X59:AD59"/>
    <mergeCell ref="K8:M8"/>
    <mergeCell ref="E44:I44"/>
    <mergeCell ref="BK19:BQ19"/>
    <mergeCell ref="X46:AD46"/>
    <mergeCell ref="BH48:BJ48"/>
    <mergeCell ref="AV24:AX24"/>
    <mergeCell ref="BE58:BG58"/>
    <mergeCell ref="T8:V8"/>
    <mergeCell ref="AP27:AR27"/>
    <mergeCell ref="AM31:AO31"/>
    <mergeCell ref="BE39:BG39"/>
    <mergeCell ref="J29:P29"/>
    <mergeCell ref="X48:AD48"/>
    <mergeCell ref="AE23:AF23"/>
    <mergeCell ref="AC6:AE6"/>
    <mergeCell ref="AG39:AI39"/>
    <mergeCell ref="BB17:BD17"/>
    <mergeCell ref="AV49:AX49"/>
    <mergeCell ref="BB11:BD11"/>
    <mergeCell ref="AJ25:AL25"/>
    <mergeCell ref="B45:D45"/>
    <mergeCell ref="BE53:BG53"/>
    <mergeCell ref="AJ60:AL60"/>
    <mergeCell ref="AM32:AO32"/>
    <mergeCell ref="Q7:S7"/>
    <mergeCell ref="AM26:AO26"/>
    <mergeCell ref="J24:P24"/>
    <mergeCell ref="AG51:AI51"/>
    <mergeCell ref="Q20:W20"/>
    <mergeCell ref="B47:D47"/>
    <mergeCell ref="Q14:W14"/>
    <mergeCell ref="B59:D59"/>
    <mergeCell ref="E57:I57"/>
    <mergeCell ref="AV50:AX50"/>
    <mergeCell ref="B46:D46"/>
    <mergeCell ref="Q60:W60"/>
    <mergeCell ref="AS54:AU54"/>
    <mergeCell ref="E32:I32"/>
    <mergeCell ref="J26:P26"/>
    <mergeCell ref="AS41:AU41"/>
    <mergeCell ref="AE49:AF49"/>
    <mergeCell ref="AY13:BA13"/>
    <mergeCell ref="Q8:S8"/>
    <mergeCell ref="E47:I47"/>
    <mergeCell ref="BB39:BD39"/>
    <mergeCell ref="B48:D48"/>
    <mergeCell ref="AV52:AX52"/>
    <mergeCell ref="AS56:AU56"/>
    <mergeCell ref="AP38:AR38"/>
    <mergeCell ref="X41:AD41"/>
    <mergeCell ref="AS43:AU43"/>
    <mergeCell ref="AY63:BA63"/>
    <mergeCell ref="BE25:BG25"/>
    <mergeCell ref="BK38:BQ38"/>
    <mergeCell ref="F4:AH4"/>
    <mergeCell ref="X51:AD51"/>
    <mergeCell ref="AJ13:AL13"/>
    <mergeCell ref="AM52:AO52"/>
    <mergeCell ref="BH61:BJ61"/>
    <mergeCell ref="AG17:AI17"/>
    <mergeCell ref="AS36:AU36"/>
    <mergeCell ref="J50:P50"/>
    <mergeCell ref="AM39:AO39"/>
    <mergeCell ref="AP40:AR40"/>
    <mergeCell ref="BK63:BQ63"/>
    <mergeCell ref="AJ15:AL15"/>
    <mergeCell ref="Q13:W13"/>
    <mergeCell ref="AG19:AI19"/>
    <mergeCell ref="X36:AD36"/>
    <mergeCell ref="J52:P52"/>
    <mergeCell ref="J44:P44"/>
    <mergeCell ref="Q25:W25"/>
    <mergeCell ref="AV37:AX37"/>
    <mergeCell ref="E60:I60"/>
    <mergeCell ref="J37:P37"/>
    <mergeCell ref="AV60:AX60"/>
    <mergeCell ref="Q33:W33"/>
    <mergeCell ref="X61:AD61"/>
    <mergeCell ref="BK27:BQ27"/>
    <mergeCell ref="A2:E2"/>
    <mergeCell ref="AE29:AF29"/>
    <mergeCell ref="B41:D41"/>
    <mergeCell ref="AV45:AX45"/>
    <mergeCell ref="AG14:AI14"/>
    <mergeCell ref="B35:D35"/>
    <mergeCell ref="AV32:AX32"/>
    <mergeCell ref="AV26:AX26"/>
    <mergeCell ref="E45:I45"/>
    <mergeCell ref="AS29:AU29"/>
    <mergeCell ref="X62:AD62"/>
    <mergeCell ref="AE37:AF37"/>
    <mergeCell ref="BH16:BJ16"/>
    <mergeCell ref="AM29:AO29"/>
    <mergeCell ref="BB19:BD19"/>
    <mergeCell ref="AM23:AO23"/>
    <mergeCell ref="AE24:AF24"/>
    <mergeCell ref="A28:BQ28"/>
    <mergeCell ref="AS44:AU44"/>
    <mergeCell ref="AV27:AX27"/>
    <mergeCell ref="AS31:AU31"/>
    <mergeCell ref="BH18:BJ18"/>
    <mergeCell ref="J32:P32"/>
    <mergeCell ref="J63:P63"/>
    <mergeCell ref="AE26:AF26"/>
    <mergeCell ref="AY38:BA38"/>
    <mergeCell ref="Q22:W22"/>
    <mergeCell ref="BB58:BD58"/>
    <mergeCell ref="B61:D61"/>
    <mergeCell ref="J47:P47"/>
    <mergeCell ref="AV58:AX58"/>
    <mergeCell ref="BB20:BD20"/>
    <mergeCell ref="BB14:BD14"/>
    <mergeCell ref="AY24:BA24"/>
    <mergeCell ref="BK17:BQ17"/>
    <mergeCell ref="BB60:BD60"/>
    <mergeCell ref="AP30:AR30"/>
    <mergeCell ref="AP59:AR59"/>
    <mergeCell ref="AJ30:AL30"/>
    <mergeCell ref="AP46:AR46"/>
    <mergeCell ref="BK59:BQ59"/>
    <mergeCell ref="BK46:BQ46"/>
    <mergeCell ref="BK40:BQ40"/>
    <mergeCell ref="AS57:AU57"/>
    <mergeCell ref="AY19:BA19"/>
    <mergeCell ref="BK25:BQ25"/>
    <mergeCell ref="AP61:AR61"/>
    <mergeCell ref="AM16:AO16"/>
    <mergeCell ref="AP48:AR48"/>
    <mergeCell ref="AE44:AF44"/>
    <mergeCell ref="X57:AD57"/>
    <mergeCell ref="K6:M6"/>
    <mergeCell ref="AP41:AR41"/>
    <mergeCell ref="AM18:AO18"/>
    <mergeCell ref="J60:P60"/>
    <mergeCell ref="BK41:BQ41"/>
    <mergeCell ref="BB13:BD13"/>
    <mergeCell ref="AM17:AO17"/>
    <mergeCell ref="AP56:AR56"/>
    <mergeCell ref="AG20:AI20"/>
    <mergeCell ref="B16:D16"/>
    <mergeCell ref="AP43:AR43"/>
    <mergeCell ref="AM53:AO53"/>
    <mergeCell ref="AM47:AO47"/>
    <mergeCell ref="B10:D11"/>
    <mergeCell ref="J45:P45"/>
    <mergeCell ref="Q35:W35"/>
    <mergeCell ref="AM19:AO19"/>
    <mergeCell ref="AM46:AO46"/>
    <mergeCell ref="AG22:AI22"/>
    <mergeCell ref="B18:D18"/>
    <mergeCell ref="AJ23:AL23"/>
    <mergeCell ref="E53:I53"/>
    <mergeCell ref="AM48:AO48"/>
    <mergeCell ref="Q49:W49"/>
    <mergeCell ref="BK43:BQ43"/>
    <mergeCell ref="AM44:AO44"/>
    <mergeCell ref="B57:D57"/>
    <mergeCell ref="AF6:AH6"/>
    <mergeCell ref="AE32:AF32"/>
    <mergeCell ref="AV48:AX48"/>
    <mergeCell ref="AY14:BA14"/>
    <mergeCell ref="AJ18:AL18"/>
    <mergeCell ref="J51:P51"/>
    <mergeCell ref="F2:Q2"/>
    <mergeCell ref="AS39:AU39"/>
    <mergeCell ref="BH17:BJ17"/>
    <mergeCell ref="E48:I48"/>
    <mergeCell ref="AE47:AF47"/>
    <mergeCell ref="AJ34:AL34"/>
    <mergeCell ref="Q6:S6"/>
    <mergeCell ref="BK34:BQ34"/>
    <mergeCell ref="AY59:BA59"/>
    <mergeCell ref="J58:P58"/>
    <mergeCell ref="AS32:AU32"/>
    <mergeCell ref="AM45:AO45"/>
    <mergeCell ref="AJ49:AL49"/>
    <mergeCell ref="AP11:AR11"/>
    <mergeCell ref="BH19:BJ19"/>
    <mergeCell ref="BB22:BD22"/>
    <mergeCell ref="BE23:BG23"/>
    <mergeCell ref="AJ36:AL36"/>
    <mergeCell ref="BK30:BQ30"/>
    <mergeCell ref="BK36:BQ36"/>
    <mergeCell ref="AS47:AU47"/>
    <mergeCell ref="AY54:BA54"/>
    <mergeCell ref="AJ29:AL29"/>
    <mergeCell ref="AG33:AI33"/>
    <mergeCell ref="X17:AD17"/>
    <mergeCell ref="BK61:BQ61"/>
    <mergeCell ref="AJ44:AL44"/>
    <mergeCell ref="Q54:W54"/>
    <mergeCell ref="BE18:BG18"/>
    <mergeCell ref="AY27:BA27"/>
    <mergeCell ref="AJ31:AL31"/>
    <mergeCell ref="Q29:W29"/>
    <mergeCell ref="AG35:AI35"/>
    <mergeCell ref="AM51:AO51"/>
    <mergeCell ref="Q23:W23"/>
    <mergeCell ref="B62:D62"/>
    <mergeCell ref="X19:AD19"/>
    <mergeCell ref="AE60:AF60"/>
    <mergeCell ref="AS58:AU58"/>
    <mergeCell ref="AG34:AI34"/>
    <mergeCell ref="AV59:AX59"/>
    <mergeCell ref="AP62:AR62"/>
    <mergeCell ref="E16:I16"/>
    <mergeCell ref="AV46:AX46"/>
    <mergeCell ref="Q31:W31"/>
    <mergeCell ref="BE49:BG49"/>
    <mergeCell ref="AS50:AU50"/>
    <mergeCell ref="E10:I11"/>
    <mergeCell ref="BK56:BQ56"/>
    <mergeCell ref="BK62:BQ62"/>
    <mergeCell ref="BE36:BG36"/>
    <mergeCell ref="BH37:BJ37"/>
    <mergeCell ref="AE45:AF45"/>
    <mergeCell ref="X58:AD58"/>
    <mergeCell ref="AS60:AU60"/>
    <mergeCell ref="AV61:AX61"/>
    <mergeCell ref="Z7:AB7"/>
    <mergeCell ref="E18:I18"/>
    <mergeCell ref="R1:V1"/>
    <mergeCell ref="AP51:AR51"/>
    <mergeCell ref="AG59:AI59"/>
    <mergeCell ref="BK51:BQ51"/>
    <mergeCell ref="X60:AD60"/>
    <mergeCell ref="AM61:AO61"/>
    <mergeCell ref="B17:D17"/>
    <mergeCell ref="BB54:BD54"/>
    <mergeCell ref="AE59:AF59"/>
    <mergeCell ref="AE22:AF22"/>
    <mergeCell ref="BB41:BD41"/>
    <mergeCell ref="J46:P46"/>
    <mergeCell ref="AE46:AF46"/>
    <mergeCell ref="BB35:BD35"/>
    <mergeCell ref="BH51:BJ51"/>
    <mergeCell ref="Z8:AB8"/>
    <mergeCell ref="AM20:AO20"/>
    <mergeCell ref="AJ24:AL24"/>
    <mergeCell ref="B19:D19"/>
    <mergeCell ref="J61:P61"/>
    <mergeCell ref="AY11:BA11"/>
    <mergeCell ref="Q57:W57"/>
    <mergeCell ref="J48:P48"/>
    <mergeCell ref="AM35:AO35"/>
    <mergeCell ref="AJ26:AL26"/>
    <mergeCell ref="AS13:AU13"/>
    <mergeCell ref="AP17:AR17"/>
    <mergeCell ref="AY40:BA40"/>
    <mergeCell ref="A12:BQ12"/>
    <mergeCell ref="AY15:BA15"/>
    <mergeCell ref="AS53:AU53"/>
    <mergeCell ref="AG23:AI23"/>
    <mergeCell ref="BH40:BJ40"/>
    <mergeCell ref="X13:AD13"/>
    <mergeCell ref="AS15:AU15"/>
    <mergeCell ref="AE48:AF48"/>
    <mergeCell ref="BH27:BJ27"/>
    <mergeCell ref="BE37:BG37"/>
    <mergeCell ref="AJ50:AL50"/>
    <mergeCell ref="BH20:BJ20"/>
    <mergeCell ref="AG54:AI54"/>
    <mergeCell ref="A4:E4"/>
    <mergeCell ref="BE24:BG24"/>
    <mergeCell ref="BH25:BJ25"/>
    <mergeCell ref="AM38:AO38"/>
    <mergeCell ref="AG41:AI41"/>
    <mergeCell ref="BH35:BJ35"/>
    <mergeCell ref="AP39:AR39"/>
    <mergeCell ref="AP14:AR14"/>
    <mergeCell ref="AJ52:AL52"/>
    <mergeCell ref="BH22:BJ22"/>
    <mergeCell ref="BK52:BQ52"/>
    <mergeCell ref="AG56:AI56"/>
    <mergeCell ref="BE26:BG26"/>
    <mergeCell ref="J16:P16"/>
    <mergeCell ref="AJ39:AL39"/>
    <mergeCell ref="BB30:BD30"/>
    <mergeCell ref="BK39:BQ39"/>
    <mergeCell ref="AM40:AO40"/>
    <mergeCell ref="H6:J6"/>
    <mergeCell ref="J10:P11"/>
    <mergeCell ref="AS25:AU25"/>
    <mergeCell ref="B14:D14"/>
    <mergeCell ref="AG49:AI49"/>
    <mergeCell ref="AE51:AF51"/>
    <mergeCell ref="BB29:BD29"/>
    <mergeCell ref="BB23:BD23"/>
    <mergeCell ref="E24:I24"/>
    <mergeCell ref="AG36:AI36"/>
    <mergeCell ref="B13:D13"/>
    <mergeCell ref="Q45:W45"/>
    <mergeCell ref="E17:I17"/>
    <mergeCell ref="BB31:BD31"/>
    <mergeCell ref="Q32:W32"/>
    <mergeCell ref="AY35:BA35"/>
    <mergeCell ref="X22:AD22"/>
    <mergeCell ref="BH38:BJ38"/>
    <mergeCell ref="Q47:W47"/>
    <mergeCell ref="BH13:BJ13"/>
    <mergeCell ref="E19:I19"/>
    <mergeCell ref="BE52:BG52"/>
    <mergeCell ref="BB56:BD56"/>
    <mergeCell ref="AE61:AF61"/>
    <mergeCell ref="AF7:AH7"/>
    <mergeCell ref="BH15:BJ15"/>
    <mergeCell ref="AY30:BA30"/>
    <mergeCell ref="AJ32:AL32"/>
    <mergeCell ref="AJ63:AL63"/>
    <mergeCell ref="AP25:AR25"/>
    <mergeCell ref="A6:G6"/>
    <mergeCell ref="AY46:BA46"/>
    <mergeCell ref="BB57:BD57"/>
    <mergeCell ref="B25:D25"/>
    <mergeCell ref="Q58:W58"/>
    <mergeCell ref="AY61:BA61"/>
    <mergeCell ref="AV16:AX16"/>
    <mergeCell ref="Q63:W63"/>
    <mergeCell ref="AJ40:AL40"/>
    <mergeCell ref="Q50:W50"/>
    <mergeCell ref="AJ27:AL27"/>
    <mergeCell ref="B22:D22"/>
    <mergeCell ref="AY41:BA41"/>
    <mergeCell ref="X15:AD15"/>
    <mergeCell ref="AV18:AX18"/>
    <mergeCell ref="E37:I37"/>
    <mergeCell ref="X33:AD33"/>
    <mergeCell ref="AV17:AX17"/>
    <mergeCell ref="AY56:BA56"/>
    <mergeCell ref="AM59:AO59"/>
    <mergeCell ref="AV11:AX11"/>
    <mergeCell ref="AP20:AR20"/>
    <mergeCell ref="AY43:BA43"/>
    <mergeCell ref="BE32:BG32"/>
    <mergeCell ref="BE63:BG63"/>
    <mergeCell ref="BK14:BQ14"/>
    <mergeCell ref="AE16:AF16"/>
    <mergeCell ref="AG32:AI32"/>
    <mergeCell ref="X35:AD35"/>
    <mergeCell ref="AE10:AF11"/>
    <mergeCell ref="BH43:BJ43"/>
    <mergeCell ref="BE47:BG47"/>
    <mergeCell ref="AP22:AR22"/>
    <mergeCell ref="BK60:BQ60"/>
    <mergeCell ref="B38:D38"/>
    <mergeCell ref="J18:P18"/>
    <mergeCell ref="AE18:AF18"/>
    <mergeCell ref="BE40:BG40"/>
    <mergeCell ref="AP15:AR15"/>
    <mergeCell ref="AS16:AU16"/>
    <mergeCell ref="BB44:BD44"/>
    <mergeCell ref="AJ53:AL53"/>
    <mergeCell ref="AV10:BJ10"/>
    <mergeCell ref="BE27:BG27"/>
    <mergeCell ref="J17:P17"/>
    <mergeCell ref="AM54:AO54"/>
    <mergeCell ref="AV44:AX44"/>
    <mergeCell ref="B40:D40"/>
    <mergeCell ref="AJ45:AL45"/>
    <mergeCell ref="AG57:AI57"/>
    <mergeCell ref="E63:I63"/>
    <mergeCell ref="B15:D15"/>
    <mergeCell ref="BB52:BD52"/>
    <mergeCell ref="AY34:BA34"/>
    <mergeCell ref="B33:D33"/>
    <mergeCell ref="J19:P19"/>
    <mergeCell ref="BH59:BJ59"/>
    <mergeCell ref="AY25:BA25"/>
    <mergeCell ref="AS34:AU34"/>
    <mergeCell ref="BB45:BD45"/>
    <mergeCell ref="AG58:AI58"/>
    <mergeCell ref="BB32:BD32"/>
    <mergeCell ref="AY36:BA36"/>
    <mergeCell ref="E27:I27"/>
    <mergeCell ref="AS49:AU49"/>
    <mergeCell ref="X34:AD34"/>
    <mergeCell ref="AS30:AU30"/>
    <mergeCell ref="BB47:BD47"/>
    <mergeCell ref="AG60:AI60"/>
    <mergeCell ref="N7:P7"/>
    <mergeCell ref="BH54:BJ54"/>
    <mergeCell ref="AP33:AR33"/>
    <mergeCell ref="BH41:BJ41"/>
    <mergeCell ref="X30:AD30"/>
    <mergeCell ref="BE45:BG45"/>
    <mergeCell ref="AJ58:AL58"/>
    <mergeCell ref="E22:I22"/>
    <mergeCell ref="BH56:BJ56"/>
    <mergeCell ref="X29:AD29"/>
    <mergeCell ref="AP35:AR35"/>
    <mergeCell ref="BH31:BJ31"/>
    <mergeCell ref="AJ48:AL48"/>
    <mergeCell ref="BE59:BG59"/>
    <mergeCell ref="AY62:BA62"/>
    <mergeCell ref="BB63:BD63"/>
    <mergeCell ref="BE46:BG46"/>
    <mergeCell ref="BB50:BD50"/>
    <mergeCell ref="X54:AD54"/>
    <mergeCell ref="BK20:BQ20"/>
    <mergeCell ref="B34:D34"/>
    <mergeCell ref="AV19:AX19"/>
    <mergeCell ref="AS23:AU23"/>
    <mergeCell ref="E38:I38"/>
    <mergeCell ref="AY51:BA51"/>
    <mergeCell ref="Q53:W53"/>
    <mergeCell ref="X56:AD56"/>
    <mergeCell ref="BK22:BQ22"/>
    <mergeCell ref="E13:I13"/>
    <mergeCell ref="X43:AD43"/>
    <mergeCell ref="B30:D30"/>
    <mergeCell ref="E40:I40"/>
    <mergeCell ref="BK15:BQ15"/>
    <mergeCell ref="AE17:AF17"/>
    <mergeCell ref="A21:BQ21"/>
    <mergeCell ref="E15:I15"/>
    <mergeCell ref="AV20:AX20"/>
    <mergeCell ref="BE48:BG48"/>
    <mergeCell ref="AS24:AU24"/>
    <mergeCell ref="AS18:AU18"/>
    <mergeCell ref="AM27:AO27"/>
    <mergeCell ref="BH36:BJ36"/>
    <mergeCell ref="BH11:BJ11"/>
    <mergeCell ref="AE19:AF19"/>
    <mergeCell ref="Z6:AB6"/>
    <mergeCell ref="AJ59:AL59"/>
    <mergeCell ref="B54:D54"/>
    <mergeCell ref="AS26:AU26"/>
    <mergeCell ref="AJ46:AL46"/>
    <mergeCell ref="J27:P27"/>
    <mergeCell ref="AG25:AI25"/>
    <mergeCell ref="AY33:BA33"/>
    <mergeCell ref="BB53:BD53"/>
    <mergeCell ref="T5:AH5"/>
    <mergeCell ref="AM22:AO22"/>
    <mergeCell ref="AP23:AR23"/>
    <mergeCell ref="B56:D56"/>
    <mergeCell ref="J20:P20"/>
    <mergeCell ref="AJ61:AL61"/>
    <mergeCell ref="AV47:AX47"/>
    <mergeCell ref="B43:D43"/>
    <mergeCell ref="BE51:BG51"/>
    <mergeCell ref="AY50:BA50"/>
    <mergeCell ref="BK33:BQ33"/>
    <mergeCell ref="A5:S5"/>
    <mergeCell ref="J22:P22"/>
    <mergeCell ref="BH62:BJ62"/>
    <mergeCell ref="AV38:AX38"/>
    <mergeCell ref="AY52:BA52"/>
    <mergeCell ref="N8:P8"/>
    <mergeCell ref="BK35:BQ35"/>
    <mergeCell ref="AY39:BA39"/>
    <mergeCell ref="AS52:AU52"/>
    <mergeCell ref="AG53:AI53"/>
    <mergeCell ref="X44:AD44"/>
    <mergeCell ref="AP34:AR34"/>
    <mergeCell ref="AM11:AO11"/>
    <mergeCell ref="X31:AD31"/>
    <mergeCell ref="Q10:W11"/>
    <mergeCell ref="BB25:BD25"/>
    <mergeCell ref="AP49:AR49"/>
    <mergeCell ref="BH57:BJ57"/>
    <mergeCell ref="AG13:AI13"/>
    <mergeCell ref="AV33:AX33"/>
    <mergeCell ref="BE61:BG61"/>
    <mergeCell ref="AP36:AR36"/>
    <mergeCell ref="AS37:AU37"/>
    <mergeCell ref="AE14:AF14"/>
    <mergeCell ref="X39:AD39"/>
    <mergeCell ref="J38:P38"/>
    <mergeCell ref="K7:M7"/>
    <mergeCell ref="A3:E3"/>
    <mergeCell ref="E30:I30"/>
    <mergeCell ref="AG15:AI15"/>
    <mergeCell ref="AJ16:AL16"/>
    <mergeCell ref="X32:AD32"/>
    <mergeCell ref="B36:D36"/>
    <mergeCell ref="A55:BQ55"/>
    <mergeCell ref="E59:I59"/>
    <mergeCell ref="E46:I46"/>
    <mergeCell ref="J40:P40"/>
    <mergeCell ref="BE62:BG62"/>
    <mergeCell ref="J15:P15"/>
    <mergeCell ref="AM41:AO41"/>
    <mergeCell ref="A10:A11"/>
    <mergeCell ref="E61:I61"/>
    <mergeCell ref="AV35:AX35"/>
    <mergeCell ref="AJ11:AL11"/>
    <mergeCell ref="B31:D31"/>
    <mergeCell ref="X49:AD49"/>
    <mergeCell ref="E54:I54"/>
    <mergeCell ref="AV22:AX22"/>
    <mergeCell ref="AY23:BA23"/>
    <mergeCell ref="AS63:AU63"/>
    <mergeCell ref="E41:I41"/>
    <mergeCell ref="J35:P35"/>
    <mergeCell ref="AE27:AF27"/>
    <mergeCell ref="AP54:AR54"/>
    <mergeCell ref="B39:D39"/>
    <mergeCell ref="F3:Q3"/>
    <mergeCell ref="E56:I56"/>
    <mergeCell ref="AP29:AR29"/>
    <mergeCell ref="AV51:AX51"/>
    <mergeCell ref="E43:I43"/>
    <mergeCell ref="X63:AD63"/>
    <mergeCell ref="BB15:BD15"/>
    <mergeCell ref="BE16:BG16"/>
    <mergeCell ref="AE20:AF20"/>
    <mergeCell ref="BK23:BQ23"/>
    <mergeCell ref="AE25:AF25"/>
    <mergeCell ref="BK29:BQ29"/>
    <mergeCell ref="AS40:AU40"/>
    <mergeCell ref="X50:AD50"/>
    <mergeCell ref="BH52:BJ52"/>
    <mergeCell ref="AS27:AU27"/>
    <mergeCell ref="AP31:AR31"/>
    <mergeCell ref="AE35:AF35"/>
    <mergeCell ref="BH14:BJ14"/>
    <mergeCell ref="BK54:BQ54"/>
    <mergeCell ref="AJ62:AL62"/>
    <mergeCell ref="AJ37:AL37"/>
    <mergeCell ref="AY49:BA49"/>
    <mergeCell ref="BE11:BG11"/>
    <mergeCell ref="AY20:BA20"/>
    <mergeCell ref="B49:D49"/>
    <mergeCell ref="Q16:W16"/>
    <mergeCell ref="AV40:AX40"/>
    <mergeCell ref="T7:V7"/>
    <mergeCell ref="X52:AD52"/>
    <mergeCell ref="Q24:W24"/>
    <mergeCell ref="AG30:AI30"/>
    <mergeCell ref="Q18:W18"/>
    <mergeCell ref="BK49:BQ49"/>
    <mergeCell ref="B63:D63"/>
    <mergeCell ref="AM37:AO37"/>
    <mergeCell ref="AE38:AF38"/>
    <mergeCell ref="AV54:AX54"/>
    <mergeCell ref="B50:D50"/>
    <mergeCell ref="A42:BQ42"/>
    <mergeCell ref="AP57:AR57"/>
    <mergeCell ref="J30:P30"/>
    <mergeCell ref="AV41:AX41"/>
    <mergeCell ref="AE13:AF13"/>
    <mergeCell ref="AS45:AU45"/>
    <mergeCell ref="BK57:BQ57"/>
    <mergeCell ref="AE40:AF40"/>
    <mergeCell ref="X53:AD53"/>
    <mergeCell ref="X47:AD47"/>
    <mergeCell ref="Q19:W19"/>
    <mergeCell ref="AS38:AU38"/>
    <mergeCell ref="AM14:AO14"/>
    <mergeCell ref="AE15:AF15"/>
    <mergeCell ref="BH63:BJ63"/>
    <mergeCell ref="AP58:AR58"/>
    <mergeCell ref="R2:V2"/>
    <mergeCell ref="AM13:AO13"/>
    <mergeCell ref="AP52:AR52"/>
    <mergeCell ref="AM62:AO62"/>
    <mergeCell ref="AJ17:AL17"/>
    <mergeCell ref="AM56:AO56"/>
    <mergeCell ref="J54:P54"/>
    <mergeCell ref="AM43:AO43"/>
    <mergeCell ref="J41:P41"/>
    <mergeCell ref="Q44:W44"/>
    <mergeCell ref="AV43:AX43"/>
    <mergeCell ref="AJ19:AL19"/>
    <mergeCell ref="E62:I62"/>
    <mergeCell ref="J56:P56"/>
    <mergeCell ref="AY58:BA58"/>
    <mergeCell ref="J43:P43"/>
    <mergeCell ref="AM57:AO57"/>
    <mergeCell ref="X25:AD25"/>
    <mergeCell ref="AG16:AI16"/>
    <mergeCell ref="E51:I51"/>
    <mergeCell ref="BK31:BQ31"/>
    <mergeCell ref="AG18:AI18"/>
    <mergeCell ref="BE17:BG17"/>
    <mergeCell ref="AM25:AO25"/>
    <mergeCell ref="N6:P6"/>
    <mergeCell ref="J59:P59"/>
    <mergeCell ref="AP32:AR32"/>
    <mergeCell ref="BK45:BQ45"/>
    <mergeCell ref="BE19:BG19"/>
    <mergeCell ref="BK32:BQ32"/>
    <mergeCell ref="AM33:AO33"/>
    <mergeCell ref="BK26:BQ26"/>
    <mergeCell ref="AP47:AR47"/>
    <mergeCell ref="BH30:BJ30"/>
    <mergeCell ref="AV31:AX31"/>
    <mergeCell ref="AJ47:AL47"/>
    <mergeCell ref="BB16:BD16"/>
    <mergeCell ref="AG29:AI29"/>
    <mergeCell ref="AE30:AF30"/>
    <mergeCell ref="Q26:W26"/>
    <mergeCell ref="AG10:AU10"/>
    <mergeCell ref="AG44:AI44"/>
    <mergeCell ref="AV62:AX62"/>
    <mergeCell ref="BE14:BG14"/>
    <mergeCell ref="BB24:BD24"/>
    <mergeCell ref="AV56:AX56"/>
    <mergeCell ref="BB18:BD18"/>
    <mergeCell ref="AG31:AI31"/>
    <mergeCell ref="B52:D52"/>
    <mergeCell ref="B58:D58"/>
    <mergeCell ref="BE60:BG60"/>
  </mergeCells>
  <dataValidations count="4">
    <dataValidation sqref="AE13:AE20 AE22:AE27 AE29:AE41 AE43:AE54 AE56:AE63" showDropDown="0" showInputMessage="0" showErrorMessage="0" allowBlank="1" type="list">
      <formula1>"N,A,B"</formula1>
    </dataValidation>
    <dataValidation sqref="AG13:AG20 AG22:AG27 AG29:AG41 AG43:AG54 AG56:AG63" showDropDown="0" showInputMessage="0" showErrorMessage="0" allowBlank="1" type="list">
      <formula1>"合格,不合格,未テスト,N/A"</formula1>
    </dataValidation>
    <dataValidation sqref="AV13:AV20 AV22:AV27 AV29:AV41 AV43:AV54 AV56:AV63" showDropDown="0" showInputMessage="0" showErrorMessage="0" allowBlank="1" type="list">
      <formula1>"合格,不合格,未テスト,N/A"</formula1>
    </dataValidation>
    <dataValidation sqref="F1" showDropDown="0" showInputMessage="0" showErrorMessage="0" allowBlank="1" type="list">
      <formula1>"単体テスト,結合テスト,システムテスト"</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2026-06-17T08:58:27Z</dcterms:created>
  <dcterms:modified xsi:type="dcterms:W3CDTF">2026-06-17T08:58:28Z</dcterms:modified>
</cp:coreProperties>
</file>