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activeTab="5"/>
  </bookViews>
  <sheets>
    <sheet name="表紙" sheetId="1" r:id="rId1"/>
    <sheet name="変更履歴" sheetId="2" r:id="rId2"/>
    <sheet name="概要" sheetId="3" r:id="rId3"/>
    <sheet name="テスト報告書" sheetId="4" r:id="rId4"/>
    <sheet name="テスト観点" sheetId="5" r:id="rId5"/>
    <sheet name="機能"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<sst xmlns="http://schemas.openxmlformats.org/spreadsheetml/2006/main" count="1204" uniqueCount="636">
  <si>
    <t>クラウド版購読者管理システム</t>
  </si>
  <si>
    <t>単価マスタ登録画面</t>
  </si>
  <si>
    <t>版1.0</t>
  </si>
  <si>
    <t>フォーマットコード</t>
  </si>
  <si>
    <t>16-BM/PM/VTI</t>
  </si>
  <si>
    <t>フォーマットバージョン</t>
  </si>
  <si>
    <t>1.0</t>
  </si>
  <si>
    <t>発行日</t>
  </si>
  <si>
    <t>2026/04/27</t>
  </si>
  <si>
    <t>項番</t>
  </si>
  <si>
    <t>バージョン</t>
  </si>
  <si>
    <t>担当者</t>
  </si>
  <si>
    <t>変更内容</t>
  </si>
  <si>
    <t>確認者</t>
  </si>
  <si>
    <t>承認者</t>
  </si>
  <si>
    <t>2026-04-21</t>
  </si>
  <si>
    <t>Kieu Thi Diem</t>
  </si>
  <si>
    <t>Tạo mới</t>
  </si>
  <si>
    <t>Nguyen Huy Dat</t>
  </si>
  <si>
    <t>システム・アプリケーション名</t>
  </si>
  <si>
    <t>ドキュメント</t>
  </si>
  <si>
    <t>シート名</t>
  </si>
  <si>
    <t>作成日</t>
  </si>
  <si>
    <t>作成者</t>
  </si>
  <si>
    <t>更新日</t>
  </si>
  <si>
    <t>更新者</t>
  </si>
  <si>
    <t>テスト仕様書</t>
  </si>
  <si>
    <t>概要</t>
  </si>
  <si>
    <t>1.システム概要</t>
  </si>
  <si>
    <t>本システムは、JA向けのクラウド型読者管理システムであり、</t>
  </si>
  <si>
    <t>購読者情報の管理、購読履歴の管理、口座振替データの管理などの機能を提供する。</t>
  </si>
  <si>
    <t>主な機能として、購読者情報の登録・更新・検索、</t>
  </si>
  <si>
    <t>購読内容の変更履歴管理、口座振替データの作成および管理、</t>
  </si>
  <si>
    <t>ファイルのアップロード・ダウンロード機能、システムのお知らせ管理などを提供する。</t>
  </si>
  <si>
    <t>また、ユーザーのログイン管理、ログイン履歴の記録、</t>
  </si>
  <si>
    <t>ユーザー操作ログの記録などのセキュリティ・監査機能をサポートする。</t>
  </si>
  <si>
    <t>2.資料目的</t>
  </si>
  <si>
    <t>Tài liệu này mô tả chi tiết test specification cho "Màn hình đăng ký Master Đơn giá (ACSMS-SCR-003)" được tạo mới trên hệ thống. Tài liệu tham khảo ISTQB và IEEE 829, đảm bảo các tiêu chuẩn chất lượng sau.</t>
  </si>
  <si>
    <t>- Mỗi test case được tạo dựa trên một kịch bản duy nhất (single responsibility).</t>
  </si>
  <si>
    <t>- Mô tả các bước với độ mịn có thể tái hiện được, chỉ rõ test data.</t>
  </si>
  <si>
    <t>- Kỳ vọng kết quả phải đo lường được (nội dung message, kết quả query DB, HTTP status code...).</t>
  </si>
  <si>
    <t>- Đặt mức độ ưu tiên (P0: Release blocker / P1: Cao / P2: Trung bình).</t>
  </si>
  <si>
    <t>3.関連資料</t>
  </si>
  <si>
    <t>No</t>
  </si>
  <si>
    <t>資料コード</t>
  </si>
  <si>
    <t>資料名</t>
  </si>
  <si>
    <t>ACSMS-SCR-003</t>
  </si>
  <si>
    <t>Tài liệu thiết kế Màn hình đăng ký Master Đơn giá</t>
  </si>
  <si>
    <t>ACSMS-SCR-003-api</t>
  </si>
  <si>
    <t>Tài liệu thiết kế API đăng ký Đơn giá</t>
  </si>
  <si>
    <t>testcase-viewpoints</t>
  </si>
  <si>
    <t>Danh sách quan điểm test chung toàn hệ thống</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</si>
  <si>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</si>
  <si>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</si>
  <si>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</si>
  <si>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</si>
  <si>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</si>
  <si>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</si>
  <si>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</si>
  <si>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</si>
  <si>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</si>
  <si>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</si>
  <si>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</si>
  <si>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</si>
  <si>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</si>
  <si>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</si>
  <si>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</si>
  <si>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</si>
  <si>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</si>
  <si>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</si>
  <si>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</si>
  <si>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</si>
  <si>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</si>
  <si>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</si>
  <si>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</si>
  <si>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</si>
  <si>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</si>
  <si>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</si>
  <si>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</si>
  <si>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</si>
  <si>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</si>
  <si>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</si>
  <si>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</si>
  <si>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</si>
  <si>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</si>
  <si>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</si>
  <si>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</si>
  <si>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</si>
  <si>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</si>
  <si>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</si>
  <si>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</si>
  <si>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</si>
  <si>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</si>
  <si>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</si>
  <si>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</si>
  <si>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</si>
  <si>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</si>
  <si>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</si>
  <si>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</si>
  <si>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</si>
  <si>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</si>
  <si>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</si>
  <si>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</si>
  <si>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</si>
  <si>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</si>
  <si>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</si>
  <si>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</si>
  <si>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</si>
  <si>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</si>
  <si>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</si>
  <si>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</si>
  <si>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</si>
  <si>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</si>
  <si>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</si>
  <si>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</si>
  <si>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</si>
  <si>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</si>
  <si>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</si>
  <si>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</si>
  <si>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</si>
  <si>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</si>
  <si>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</si>
  <si>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</si>
  <si>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</si>
  <si>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</si>
  <si>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</si>
  <si>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</si>
  <si>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</si>
  <si>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</si>
  <si>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</si>
  <si>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</si>
  <si>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</si>
  <si>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</si>
  <si>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</si>
  <si>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</si>
  <si>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</si>
  <si>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</si>
  <si>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</si>
  <si>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</si>
  <si>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</si>
  <si>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</si>
  <si>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</si>
  <si>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</si>
  <si>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</si>
  <si>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</si>
  <si>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</si>
  <si>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</si>
  <si>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</si>
  <si>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</si>
  <si>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</si>
  <si>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</si>
  <si>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</si>
  <si>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</si>
  <si>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</si>
  <si>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</si>
  <si>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</si>
  <si>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</si>
  <si>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</si>
  <si>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</si>
  <si>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</si>
  <si>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</si>
  <si>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</si>
  <si>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</si>
  <si>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</si>
  <si>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</si>
  <si>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</si>
  <si>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</si>
  <si>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</si>
  <si>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</si>
  <si>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</si>
  <si>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</si>
  <si>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</si>
  <si>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</si>
  <si>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</si>
  <si>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</si>
  <si>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</si>
  <si>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</si>
  <si>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</si>
  <si>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</si>
  <si>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</si>
  <si>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</si>
  <si>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</si>
  <si>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</si>
  <si>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</si>
  <si>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</si>
  <si>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</si>
  <si>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</si>
  <si>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</si>
  <si>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</si>
  <si>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</si>
  <si>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</si>
  <si>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</si>
  <si>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</si>
  <si>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</si>
  <si>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</si>
  <si>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</si>
  <si>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</si>
  <si>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</si>
  <si>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</si>
  <si>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</si>
  <si>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</si>
  <si>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</si>
  <si>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</si>
  <si>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</si>
  <si>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</si>
  <si>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</si>
  <si>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</si>
  <si>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</si>
  <si>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</si>
  <si>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</si>
  <si>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</si>
  <si>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</si>
  <si>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</si>
  <si>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</si>
  <si>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</si>
  <si>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</si>
  <si>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</si>
  <si>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</si>
  <si>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</si>
  <si>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</si>
  <si>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</si>
  <si>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</si>
  <si>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</si>
  <si>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</si>
  <si>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</si>
  <si>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</si>
  <si>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</si>
  <si>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</si>
  <si>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</si>
  <si>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</si>
  <si>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</si>
  <si>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</si>
  <si>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</si>
  <si>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</si>
  <si>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</si>
  <si>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</si>
  <si>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</si>
  <si>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</si>
  <si>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</si>
  <si>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</si>
  <si>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</si>
  <si>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</si>
  <si>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ACSMS-SCR-003_単価マスタ登録画面</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</si>
  <si>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</si>
  <si>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</si>
  <si>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</si>
  <si>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</si>
  <si>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</si>
  <si>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</si>
  <si>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</si>
  <si>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</si>
  <si>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</si>
  <si>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</si>
  <si>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</si>
  <si>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</si>
  <si>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</si>
  <si>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</si>
  <si>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</si>
  <si>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</si>
  <si>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</si>
  <si>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</si>
  <si>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</si>
  <si>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</si>
  <si>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</si>
  <si>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Kiểm soát quyền truy cập (Access Control)</t>
  </si>
  <si>
    <t>ACSMS-TC-003-001</t>
  </si>
  <si>
    <t>Cấm truy cập màn đăng ký Master Đơn giá với role NICHINO_ADMIN</t>
  </si>
  <si>
    <t>・role: NICHINO_ADMIN
・Đã login + đã xác thực MFA</t>
  </si>
  <si>
    <r>
      <rPr>
        <b/>
        <sz val="10"/>
        <color rgb="FF000000"/>
        <rFont val="游ゴシック"/>
        <charset val="134"/>
      </rPr>
      <t xml:space="preserve">ステップ1：
</t>
    </r>
    <r>
      <rPr>
        <sz val="10"/>
        <color rgb="FF000000"/>
        <rFont val="游ゴシック"/>
        <charset val="134"/>
      </rPr>
      <t xml:space="preserve">Mở dashboard, kiểm tra item "単価マスタ" trên sidebar
</t>
    </r>
    <r>
      <rPr>
        <b/>
        <sz val="10"/>
        <color rgb="FF000000"/>
        <rFont val="游ゴシック"/>
        <charset val="134"/>
      </rPr>
      <t xml:space="preserve">ステップ2：
</t>
    </r>
    <r>
      <rPr>
        <sz val="10"/>
        <color rgb="FF000000"/>
        <rFont val="游ゴシック"/>
        <charset val="134"/>
      </rPr>
      <t xml:space="preserve">Truy cập trực tiếp URL `/tanka/create`
</t>
    </r>
    <r>
      <rPr>
        <b/>
        <sz val="10"/>
        <color rgb="FF000000"/>
        <rFont val="游ゴシック"/>
        <charset val="134"/>
      </rPr>
      <t xml:space="preserve">ステップ3：
</t>
    </r>
    <r>
      <rPr>
        <sz val="10"/>
        <color rgb="FF000000"/>
        <rFont val="游ゴシック"/>
        <charset val="134"/>
      </rPr>
      <t xml:space="preserve">Dùng DevTools gửi POST `/api/v1/tanka` với request body hợp lệ
</t>
    </r>
  </si>
  <si>
    <r>
      <rPr>
        <b/>
        <sz val="10"/>
        <color rgb="FF000000"/>
        <rFont val="游ゴシック"/>
        <charset val="134"/>
      </rPr>
      <t xml:space="preserve">ステップ1：
</t>
    </r>
    <r>
      <rPr>
        <sz val="10"/>
        <color rgb="FF000000"/>
        <rFont val="游ゴシック"/>
        <charset val="134"/>
      </rPr>
      <t xml:space="preserve">Sidebar KHÔNG hiển thị item "単価マスタ" (do không có quyền `tanka.view`)
</t>
    </r>
    <r>
      <rPr>
        <b/>
        <sz val="10"/>
        <color rgb="FF000000"/>
        <rFont val="游ゴシック"/>
        <charset val="134"/>
      </rPr>
      <t xml:space="preserve">ステップ2：
</t>
    </r>
    <r>
      <rPr>
        <sz val="10"/>
        <color rgb="FF000000"/>
        <rFont val="游ゴシック"/>
        <charset val="134"/>
      </rPr>
      <t xml:space="preserve">Hiển thị toast `アクセス権がありません。` + chuyển về `/dashboard`
</t>
    </r>
    <r>
      <rPr>
        <b/>
        <sz val="10"/>
        <color rgb="FF000000"/>
        <rFont val="游ゴシック"/>
        <charset val="134"/>
      </rPr>
      <t xml:space="preserve">ステップ3：
</t>
    </r>
    <r>
      <rPr>
        <sz val="10"/>
        <color rgb="FF000000"/>
        <rFont val="游ゴシック"/>
        <charset val="134"/>
      </rPr>
      <t xml:space="preserve">Trả về HTTP 403 (`error_code: FORBIDDEN`, message `この画面へのアクセス権限がありません。`)
</t>
    </r>
    <r>
      <rPr>
        <b/>
        <sz val="10"/>
        <color rgb="FF000000"/>
        <rFont val="游ゴシック"/>
        <charset val="134"/>
      </rPr>
      <t xml:space="preserve">ステップ4：
</t>
    </r>
    <r>
      <rPr>
        <sz val="10"/>
        <color rgb="FF000000"/>
        <rFont val="游ゴシック"/>
        <charset val="134"/>
      </rPr>
      <t xml:space="preserve">Có ≥1 dòng error log, `account_id` khớp với test account
</t>
    </r>
    <r>
      <rPr>
        <b/>
        <sz val="10"/>
        <color rgb="FF000000"/>
        <rFont val="游ゴシック"/>
        <charset val="134"/>
      </rPr>
      <t xml:space="preserve">補足：
</t>
    </r>
    <r>
      <rPr>
        <sz val="10"/>
        <color rgb="FF000000"/>
        <rFont val="游ゴシック"/>
        <charset val="134"/>
      </rPr>
      <t>・Cả 3 tầng FE menu / FE router guard / BE API guard đều block
・Không có row mới trong `m_tanka`
・Có ghi error log vào `t_log`</t>
    </r>
  </si>
  <si>
    <t>diem.kieuthi</t>
  </si>
  <si>
    <t>mai.tranthi1</t>
  </si>
  <si>
    <t>Critical — Nếu fail, đồng nghĩa với việc bypass RBAC, xử lý như security incident.</t>
  </si>
  <si>
    <t>ACSMS-TC-003-002</t>
  </si>
  <si>
    <t>Cấm truy cập màn đăng ký Master Đơn giá với role NICHINO_STAFF</t>
  </si>
  <si>
    <t>・role: NICHINO_STAFF
・Đã login + đã xác thực MFA</t>
  </si>
  <si>
    <r>
      <rPr>
        <b/>
        <sz val="10"/>
        <color rgb="FF000000"/>
        <rFont val="游ゴシック"/>
        <charset val="134"/>
      </rPr>
      <t xml:space="preserve">ステップ1：
</t>
    </r>
    <r>
      <rPr>
        <sz val="10"/>
        <color rgb="FF000000"/>
        <rFont val="游ゴシック"/>
        <charset val="134"/>
      </rPr>
      <t xml:space="preserve">Kiểm tra item "単価マスタ" trên sidebar
</t>
    </r>
    <r>
      <rPr>
        <b/>
        <sz val="10"/>
        <color rgb="FF000000"/>
        <rFont val="游ゴシック"/>
        <charset val="134"/>
      </rPr>
      <t xml:space="preserve">ステップ2：
</t>
    </r>
    <r>
      <rPr>
        <sz val="10"/>
        <color rgb="FF000000"/>
        <rFont val="游ゴシック"/>
        <charset val="134"/>
      </rPr>
      <t xml:space="preserve">Truy cập trực tiếp URL `/tanka/create`
</t>
    </r>
    <r>
      <rPr>
        <b/>
        <sz val="10"/>
        <color rgb="FF000000"/>
        <rFont val="游ゴシック"/>
        <charset val="134"/>
      </rPr>
      <t xml:space="preserve">ステップ3：
</t>
    </r>
    <r>
      <rPr>
        <sz val="10"/>
        <color rgb="FF000000"/>
        <rFont val="游ゴシック"/>
        <charset val="134"/>
      </rPr>
      <t>Gọi trực tiếp POST `/api/v1/tanka`</t>
    </r>
  </si>
  <si>
    <r>
      <rPr>
        <b/>
        <sz val="10"/>
        <color rgb="FF000000"/>
        <rFont val="メイリオ"/>
        <charset val="134"/>
      </rPr>
      <t xml:space="preserve">ステップ1：
</t>
    </r>
    <r>
      <rPr>
        <sz val="10"/>
        <color rgb="FF000000"/>
        <rFont val="メイリオ"/>
        <charset val="134"/>
      </rPr>
      <t xml:space="preserve">Sidebar không hiển thị (NICHINO_STAFF không có quyền `tanka.view`)
</t>
    </r>
    <r>
      <rPr>
        <b/>
        <sz val="10"/>
        <color rgb="FF000000"/>
        <rFont val="メイリオ"/>
        <charset val="134"/>
      </rPr>
      <t xml:space="preserve">ステップ2：
</t>
    </r>
    <r>
      <rPr>
        <sz val="10"/>
        <color rgb="FF000000"/>
        <rFont val="メイリオ"/>
        <charset val="134"/>
      </rPr>
      <t xml:space="preserve">Toast `アクセス権がありません。` + redirect `/dashboard`
</t>
    </r>
    <r>
      <rPr>
        <b/>
        <sz val="10"/>
        <color rgb="FF000000"/>
        <rFont val="メイリオ"/>
        <charset val="134"/>
      </rPr>
      <t xml:space="preserve">ステップ3：
</t>
    </r>
    <r>
      <rPr>
        <sz val="10"/>
        <color rgb="FF000000"/>
        <rFont val="メイリオ"/>
        <charset val="134"/>
      </rPr>
      <t xml:space="preserve">Trả về HTTP 403 (`error_code: FORBIDDEN`)
</t>
    </r>
    <r>
      <rPr>
        <b/>
        <sz val="10"/>
        <color rgb="FF000000"/>
        <rFont val="メイリオ"/>
        <charset val="134"/>
      </rPr>
      <t xml:space="preserve">補足：
</t>
    </r>
    <r>
      <rPr>
        <sz val="10"/>
        <color rgb="FF000000"/>
        <rFont val="メイリオ"/>
        <charset val="134"/>
      </rPr>
      <t xml:space="preserve">・Cả 3 tầng đều block
</t>
    </r>
    <r>
      <rPr>
        <sz val="10"/>
        <color rgb="FF000000"/>
        <rFont val="メイリオ"/>
        <charset val="134"/>
      </rPr>
      <t>・Không có thay đổi DB, có ghi error log</t>
    </r>
  </si>
  <si>
    <t>Theo `account_concept.md ※4`, 単価マスタ chỉ cho phép CHUOKAI/JA_HONTEN/JA_KANRI_SHITEN thao tác. NICHINO_STAFF không thuộc đối tượng.</t>
  </si>
  <si>
    <t>ACSMS-TC-003-003</t>
  </si>
  <si>
    <t>Đăng ký Master Đơn giá bởi CHUOKAI — chỉ thao tác trong phạm vi 中央会 quản lý</t>
  </si>
  <si>
    <t>・role: CHUOKAI (thuộc chuokai-001)
・JA quản lý: ja-001, ja-002 (dưới chuokai-001)
・JA ngoài quyền: ja-101 (dưới chuokai-002)</t>
  </si>
  <si>
    <r>
      <rPr>
        <b/>
        <sz val="10"/>
        <color rgb="FF000000"/>
        <rFont val="游ゴシック"/>
        <charset val="134"/>
      </rPr>
      <t xml:space="preserve">ステップ1：
</t>
    </r>
    <r>
      <rPr>
        <sz val="10"/>
        <color rgb="FF000000"/>
        <rFont val="游ゴシック"/>
        <charset val="134"/>
      </rPr>
      <t xml:space="preserve">Kiểm tra item "単価マスタ" trên sidebar
</t>
    </r>
    <r>
      <rPr>
        <b/>
        <sz val="10"/>
        <color rgb="FF000000"/>
        <rFont val="游ゴシック"/>
        <charset val="134"/>
      </rPr>
      <t xml:space="preserve">ステップ2：
</t>
    </r>
    <r>
      <rPr>
        <sz val="10"/>
        <color rgb="FF000000"/>
        <rFont val="游ゴシック"/>
        <charset val="134"/>
      </rPr>
      <t xml:space="preserve">Click "単価マスタ" → mở màn `/tanka`
</t>
    </r>
    <r>
      <rPr>
        <b/>
        <sz val="10"/>
        <color rgb="FF000000"/>
        <rFont val="游ゴシック"/>
        <charset val="134"/>
      </rPr>
      <t xml:space="preserve">ステップ3：
</t>
    </r>
    <r>
      <rPr>
        <sz val="10"/>
        <color rgb="FF000000"/>
        <rFont val="游ゴシック"/>
        <charset val="134"/>
      </rPr>
      <t xml:space="preserve">Click nút "新規登録"
</t>
    </r>
    <r>
      <rPr>
        <b/>
        <sz val="10"/>
        <color rgb="FF000000"/>
        <rFont val="游ゴシック"/>
        <charset val="134"/>
      </rPr>
      <t xml:space="preserve">ステップ4：
</t>
    </r>
    <r>
      <rPr>
        <sz val="10"/>
        <color rgb="FF000000"/>
        <rFont val="游ゴシック"/>
        <charset val="134"/>
      </rPr>
      <t xml:space="preserve">Nhập trực tiếp URL chi tiết đơn giá của JA ngoài quyền (ja-101) `/tanka/{id}/edit`
</t>
    </r>
    <r>
      <rPr>
        <b/>
        <sz val="10"/>
        <color rgb="FF000000"/>
        <rFont val="游ゴシック"/>
        <charset val="134"/>
      </rPr>
      <t xml:space="preserve">ステップ5：
</t>
    </r>
    <r>
      <rPr>
        <sz val="10"/>
        <color rgb="FF000000"/>
        <rFont val="游ゴシック"/>
        <charset val="134"/>
      </rPr>
      <t>Dùng DevTools gọi trực tiếp PATCH `/api/v1/tanka/{id_ngoài_quyền}`</t>
    </r>
  </si>
  <si>
    <r>
      <rPr>
        <b/>
        <sz val="10"/>
        <color rgb="FF000000"/>
        <rFont val="游ゴシック"/>
        <charset val="134"/>
      </rPr>
      <t xml:space="preserve">ステップ1：
</t>
    </r>
    <r>
      <rPr>
        <sz val="10"/>
        <color rgb="FF000000"/>
        <rFont val="游ゴシック"/>
        <charset val="134"/>
      </rPr>
      <t xml:space="preserve">Hiển thị (có quyền `tanka.view`)
</t>
    </r>
    <r>
      <rPr>
        <b/>
        <sz val="10"/>
        <color rgb="FF000000"/>
        <rFont val="游ゴシック"/>
        <charset val="134"/>
      </rPr>
      <t xml:space="preserve">ステップ2：
</t>
    </r>
    <r>
      <rPr>
        <sz val="10"/>
        <color rgb="FF000000"/>
        <rFont val="游ゴシック"/>
        <charset val="134"/>
      </rPr>
      <t xml:space="preserve">Hiển thị bình thường. Danh sách chỉ hiển thị các đơn giá thuộc ja-001 / ja-002
</t>
    </r>
    <r>
      <rPr>
        <b/>
        <sz val="10"/>
        <color rgb="FF000000"/>
        <rFont val="游ゴシック"/>
        <charset val="134"/>
      </rPr>
      <t xml:space="preserve">ステップ3：
</t>
    </r>
    <r>
      <rPr>
        <sz val="10"/>
        <color rgb="FF000000"/>
        <rFont val="游ゴシック"/>
        <charset val="134"/>
      </rPr>
      <t xml:space="preserve">Mở màn form `/tanka/create`
</t>
    </r>
    <r>
      <rPr>
        <b/>
        <sz val="10"/>
        <color rgb="FF000000"/>
        <rFont val="游ゴシック"/>
        <charset val="134"/>
      </rPr>
      <t xml:space="preserve">ステップ4：
</t>
    </r>
    <r>
      <rPr>
        <sz val="10"/>
        <color rgb="FF000000"/>
        <rFont val="游ゴシック"/>
        <charset val="134"/>
      </rPr>
      <t xml:space="preserve">404 NotFound (DataScope coi như không tồn tại)
</t>
    </r>
    <r>
      <rPr>
        <b/>
        <sz val="10"/>
        <color rgb="FF000000"/>
        <rFont val="游ゴシック"/>
        <charset val="134"/>
      </rPr>
      <t xml:space="preserve">ステップ5：
</t>
    </r>
    <r>
      <rPr>
        <sz val="10"/>
        <color rgb="FF000000"/>
        <rFont val="游ゴシック"/>
        <charset val="134"/>
      </rPr>
      <t xml:space="preserve">Trả về HTTP 404 (`error_code: NOT_FOUND` (không phải 403 — out-of-scope ẩn sự tồn tại))
</t>
    </r>
    <r>
      <rPr>
        <b/>
        <sz val="10"/>
        <color rgb="FF000000"/>
        <rFont val="游ゴシック"/>
        <charset val="134"/>
      </rPr>
      <t xml:space="preserve">補足：
</t>
    </r>
    <r>
      <rPr>
        <sz val="10"/>
        <color rgb="FF000000"/>
        <rFont val="游ゴシック"/>
        <charset val="134"/>
      </rPr>
      <t>・Có thể xem/tạo/sửa/xóa đơn giá của JA trong phạm vi quản lý
・Truy cập trực tiếp đơn giá của JA ngoài quyền sẽ bị chặn bằng 404
・DataScope policy được áp dụng nhất quán bằng helper `assertJaScope`
・Truy cập out-of-scope được trả về HTTP 404 (NOT_FOUND) để ẩn sự tồn tại. Trong api.md error list định nghĩa là DATA_SCOPE_VIOLATION (403), nhưng trong implementation theo quy tắc `assertJaScope` của security.md, masking 404 được ưu tiên.</t>
    </r>
  </si>
  <si>
    <t>N</t>
  </si>
  <si>
    <t>ACSMS-TC-003-004</t>
  </si>
  <si>
    <t>Đăng ký Master Đơn giá bởi JA_HONTEN — chỉ thao tác trong phạm vi JA của mình</t>
  </si>
  <si>
    <t>・role: JA_HONTEN (thuộc ja-001)
・JA của mình: ja-001
・JA khác: ja-002</t>
  </si>
  <si>
    <r>
      <rPr>
        <b/>
        <sz val="10"/>
        <color rgb="FF000000"/>
        <rFont val="游ゴシック"/>
        <charset val="134"/>
      </rPr>
      <t xml:space="preserve">ステップ1：
</t>
    </r>
    <r>
      <rPr>
        <sz val="10"/>
        <color rgb="FF000000"/>
        <rFont val="游ゴシック"/>
        <charset val="134"/>
      </rPr>
      <t xml:space="preserve">Mở màn danh sách "単価マスタ"
</t>
    </r>
    <r>
      <rPr>
        <b/>
        <sz val="10"/>
        <color rgb="FF000000"/>
        <rFont val="游ゴシック"/>
        <charset val="134"/>
      </rPr>
      <t xml:space="preserve">ステップ2：
</t>
    </r>
    <r>
      <rPr>
        <sz val="10"/>
        <color rgb="FF000000"/>
        <rFont val="游ゴシック"/>
        <charset val="134"/>
      </rPr>
      <t xml:space="preserve">"新規登録" đơn giá của JA mình
</t>
    </r>
    <r>
      <rPr>
        <b/>
        <sz val="10"/>
        <color rgb="FF000000"/>
        <rFont val="游ゴシック"/>
        <charset val="134"/>
      </rPr>
      <t xml:space="preserve">ステップ3：
</t>
    </r>
    <r>
      <rPr>
        <sz val="10"/>
        <color rgb="FF000000"/>
        <rFont val="游ゴシック"/>
        <charset val="134"/>
      </rPr>
      <t>Truy cập trực tiếp URL chỉnh sửa đơn giá của JA khác (ja-002)</t>
    </r>
  </si>
  <si>
    <r>
      <rPr>
        <b/>
        <sz val="10"/>
        <color rgb="FF000000"/>
        <rFont val="メイリオ"/>
        <charset val="134"/>
      </rPr>
      <t xml:space="preserve">ステップ1：
</t>
    </r>
    <r>
      <rPr>
        <sz val="10"/>
        <color rgb="FF000000"/>
        <rFont val="メイリオ"/>
        <charset val="134"/>
      </rPr>
      <t xml:space="preserve">Chỉ hiển thị đơn giá thuộc ja-001. Đơn giá của ja-002 không hiển thị
</t>
    </r>
    <r>
      <rPr>
        <b/>
        <sz val="10"/>
        <color rgb="FF000000"/>
        <rFont val="メイリオ"/>
        <charset val="134"/>
      </rPr>
      <t xml:space="preserve">ステップ2：
</t>
    </r>
    <r>
      <rPr>
        <sz val="10"/>
        <color rgb="FF000000"/>
        <rFont val="メイリオ"/>
        <charset val="134"/>
      </rPr>
      <t xml:space="preserve">Đăng ký thành công, record được đăng ký có `ja_id = 1`
</t>
    </r>
    <r>
      <rPr>
        <b/>
        <sz val="10"/>
        <color rgb="FF000000"/>
        <rFont val="メイリオ"/>
        <charset val="134"/>
      </rPr>
      <t xml:space="preserve">ステップ3：
</t>
    </r>
    <r>
      <rPr>
        <sz val="10"/>
        <color rgb="FF000000"/>
        <rFont val="メイリオ"/>
        <charset val="134"/>
      </rPr>
      <t xml:space="preserve">404 NotFound
</t>
    </r>
    <r>
      <rPr>
        <b/>
        <sz val="10"/>
        <color rgb="FF000000"/>
        <rFont val="メイリオ"/>
        <charset val="134"/>
      </rPr>
      <t xml:space="preserve">補足：
</t>
    </r>
    <r>
      <rPr>
        <sz val="10"/>
        <color rgb="FF000000"/>
        <rFont val="メイリオ"/>
        <charset val="134"/>
      </rPr>
      <t xml:space="preserve">・Chỉ có thể tạo/sửa/xóa đơn giá của JA mình
</t>
    </r>
    <r>
      <rPr>
        <sz val="10"/>
        <color rgb="FF000000"/>
        <rFont val="メイリオ"/>
        <charset val="134"/>
      </rPr>
      <t xml:space="preserve">・Truy cập trực tiếp đơn giá của JA khác bị chặn 404
</t>
    </r>
    <r>
      <rPr>
        <sz val="10"/>
        <color rgb="FF000000"/>
        <rFont val="メイリオ"/>
        <charset val="134"/>
      </rPr>
      <t>・Truy cập out-of-scope được trả về HTTP 404 (NOT_FOUND) để ẩn sự tồn tại. Trong api.md error list định nghĩa là DATA_SCOPE_VIOLATION (403), nhưng trong implementation theo quy tắc `assertJaScope` của security.md, masking 404 được ưu tiên.</t>
    </r>
  </si>
  <si>
    <t>ACSMS-TC-003-005</t>
  </si>
  <si>
    <t>Đăng ký Master Đơn giá bởi JA_KANRI_SHITEN — chỉ thao tác trong phạm vi JA và 管理支店 của mình</t>
  </si>
  <si>
    <t>・role: JA_KANRI_SHITEN (thuộc ja-001 / branch-001)
・JA của mình: ja-001 / 管理支店 của mình: branch-001
・管理支店 khác: branch-002 (cùng dưới ja-001)</t>
  </si>
  <si>
    <r>
      <rPr>
        <b/>
        <sz val="10"/>
        <color rgb="FF000000"/>
        <rFont val="游ゴシック"/>
        <charset val="134"/>
      </rPr>
      <t xml:space="preserve">ステップ1：
</t>
    </r>
    <r>
      <rPr>
        <sz val="10"/>
        <color rgb="FF000000"/>
        <rFont val="游ゴシック"/>
        <charset val="134"/>
      </rPr>
      <t xml:space="preserve">Mở màn danh sách "単価マスタ"
</t>
    </r>
    <r>
      <rPr>
        <b/>
        <sz val="10"/>
        <color rgb="FF000000"/>
        <rFont val="游ゴシック"/>
        <charset val="134"/>
      </rPr>
      <t xml:space="preserve">ステップ2：
</t>
    </r>
    <r>
      <rPr>
        <sz val="10"/>
        <color rgb="FF000000"/>
        <rFont val="游ゴシック"/>
        <charset val="134"/>
      </rPr>
      <t xml:space="preserve">"新規登録" đơn giá
</t>
    </r>
    <r>
      <rPr>
        <b/>
        <sz val="10"/>
        <color rgb="FF000000"/>
        <rFont val="游ゴシック"/>
        <charset val="134"/>
      </rPr>
      <t xml:space="preserve">ステップ3：
</t>
    </r>
    <r>
      <rPr>
        <sz val="10"/>
        <color rgb="FF000000"/>
        <rFont val="游ゴシック"/>
        <charset val="134"/>
      </rPr>
      <t>Truy cập trực tiếp URL đơn giá của JA khác (ja-002)</t>
    </r>
  </si>
  <si>
    <r>
      <rPr>
        <b/>
        <sz val="10"/>
        <color rgb="FF000000"/>
        <rFont val="メイリオ"/>
        <charset val="134"/>
      </rPr>
      <t xml:space="preserve">ステップ1：
</t>
    </r>
    <r>
      <rPr>
        <sz val="10"/>
        <color rgb="FF000000"/>
        <rFont val="メイリオ"/>
        <charset val="134"/>
      </rPr>
      <t xml:space="preserve">Hiển thị các đơn giá thuộc ja-001 (gồm branch-001 + branch-002) — đơn giá quản lý theo đơn vị JA chứ không theo chi nhánh
</t>
    </r>
    <r>
      <rPr>
        <b/>
        <sz val="10"/>
        <color rgb="FF000000"/>
        <rFont val="メイリオ"/>
        <charset val="134"/>
      </rPr>
      <t xml:space="preserve">ステップ2：
</t>
    </r>
    <r>
      <rPr>
        <sz val="10"/>
        <color rgb="FF000000"/>
        <rFont val="メイリオ"/>
        <charset val="134"/>
      </rPr>
      <t xml:space="preserve">Đăng ký thành công, `ja_id = 1`
</t>
    </r>
    <r>
      <rPr>
        <b/>
        <sz val="10"/>
        <color rgb="FF000000"/>
        <rFont val="メイリオ"/>
        <charset val="134"/>
      </rPr>
      <t xml:space="preserve">ステップ3：
</t>
    </r>
    <r>
      <rPr>
        <sz val="10"/>
        <color rgb="FF000000"/>
        <rFont val="メイリオ"/>
        <charset val="134"/>
      </rPr>
      <t xml:space="preserve">404 NotFound
</t>
    </r>
    <r>
      <rPr>
        <b/>
        <sz val="10"/>
        <color rgb="FF000000"/>
        <rFont val="メイリオ"/>
        <charset val="134"/>
      </rPr>
      <t xml:space="preserve">補足：
</t>
    </r>
    <r>
      <rPr>
        <sz val="10"/>
        <color rgb="FF000000"/>
        <rFont val="メイリオ"/>
        <charset val="134"/>
      </rPr>
      <t xml:space="preserve">・Chỉ thao tác được đơn giá thuộc JA mình (theo đơn vị JA chứ không theo 管理支店)
</t>
    </r>
    <r>
      <rPr>
        <sz val="10"/>
        <color rgb="FF000000"/>
        <rFont val="メイリオ"/>
        <charset val="134"/>
      </rPr>
      <t xml:space="preserve">・Truy cập đơn giá của JA khác bị chặn 404
</t>
    </r>
    <r>
      <rPr>
        <sz val="10"/>
        <color rgb="FF000000"/>
        <rFont val="メイリオ"/>
        <charset val="134"/>
      </rPr>
      <t>・Truy cập out-of-scope được trả về HTTP 404 (NOT_FOUND) để ẩn sự tồn tại. Trong api.md error list định nghĩa là DATA_SCOPE_VIOLATION (403), nhưng trong implementation theo quy tắc `assertJaScope` của security.md, masking 404 được ưu tiên.</t>
    </r>
  </si>
  <si>
    <t>Master Đơn giá quản lý theo đơn vị JA. 管理支店 chỉ phân chia scope ở mức độc giả / hanbaiten.
---</t>
  </si>
  <si>
    <t>Hiển thị màn hình &amp; Responsive (Layout &amp; Responsive)</t>
  </si>
  <si>
    <t>ACSMS-TC-003-006</t>
  </si>
  <si>
    <t>Layout tổng thể màn đăng ký khớp với spec thiết kế</t>
  </si>
  <si>
    <t>・role: JA_HONTEN (thuộc ja-001)
・Browser: Chrome (latest), độ phân giải 1920×1080</t>
  </si>
  <si>
    <r>
      <rPr>
        <b/>
        <sz val="10"/>
        <color rgb="FF000000"/>
        <rFont val="游ゴシック"/>
        <charset val="134"/>
      </rPr>
      <t xml:space="preserve">ステップ1：
</t>
    </r>
    <r>
      <rPr>
        <sz val="10"/>
        <color rgb="FF000000"/>
        <rFont val="游ゴシック"/>
        <charset val="134"/>
      </rPr>
      <t xml:space="preserve">Click nút "単価マスタ" → "新規登録"
</t>
    </r>
    <r>
      <rPr>
        <b/>
        <sz val="10"/>
        <color rgb="FF000000"/>
        <rFont val="游ゴシック"/>
        <charset val="134"/>
      </rPr>
      <t xml:space="preserve">ステップ2：
</t>
    </r>
    <r>
      <rPr>
        <sz val="10"/>
        <color rgb="FF000000"/>
        <rFont val="游ゴシック"/>
        <charset val="134"/>
      </rPr>
      <t xml:space="preserve">Đặt tài liệu thiết kế cạnh màn hình thực tế để so sánh
</t>
    </r>
    <r>
      <rPr>
        <b/>
        <sz val="10"/>
        <color rgb="FF000000"/>
        <rFont val="游ゴシック"/>
        <charset val="134"/>
      </rPr>
      <t xml:space="preserve">ステップ3：
</t>
    </r>
    <r>
      <rPr>
        <sz val="10"/>
        <color rgb="FF000000"/>
        <rFont val="游ゴシック"/>
        <charset val="134"/>
      </rPr>
      <t>Kiểm tra vị trí từng element (vị trí thanh title, bố cục form, vị trí button)</t>
    </r>
  </si>
  <si>
    <r>
      <rPr>
        <b/>
        <sz val="10"/>
        <color rgb="FF000000"/>
        <rFont val="メイリオ"/>
        <charset val="134"/>
      </rPr>
      <t xml:space="preserve">ステップ1：
</t>
    </r>
    <r>
      <rPr>
        <sz val="10"/>
        <color rgb="FF000000"/>
        <rFont val="メイリオ"/>
        <charset val="134"/>
      </rPr>
      <t xml:space="preserve">Mở màn `/tanka/create`
</t>
    </r>
    <r>
      <rPr>
        <b/>
        <sz val="10"/>
        <color rgb="FF000000"/>
        <rFont val="メイリオ"/>
        <charset val="134"/>
      </rPr>
      <t xml:space="preserve">ステップ2：
</t>
    </r>
    <r>
      <rPr>
        <sz val="10"/>
        <color rgb="FF000000"/>
        <rFont val="メイリオ"/>
        <charset val="134"/>
      </rPr>
      <t xml:space="preserve">Màu nền, font, font size, padding/margin, màu button, style ô input đều khớp
</t>
    </r>
    <r>
      <rPr>
        <b/>
        <sz val="10"/>
        <color rgb="FF000000"/>
        <rFont val="メイリオ"/>
        <charset val="134"/>
      </rPr>
      <t xml:space="preserve">ステップ3：
</t>
    </r>
    <r>
      <rPr>
        <sz val="10"/>
        <color rgb="FF000000"/>
        <rFont val="メイリオ"/>
        <charset val="134"/>
      </rPr>
      <t xml:space="preserve">Đúng spec thiết kế
</t>
    </r>
    <r>
      <rPr>
        <b/>
        <sz val="10"/>
        <color rgb="FF000000"/>
        <rFont val="メイリオ"/>
        <charset val="134"/>
      </rPr>
      <t xml:space="preserve">補足：
</t>
    </r>
    <r>
      <rPr>
        <sz val="10"/>
        <color rgb="FF000000"/>
        <rFont val="メイリオ"/>
        <charset val="134"/>
      </rPr>
      <t xml:space="preserve">・Không có sai khác visual với spec thiết kế
</t>
    </r>
    <r>
      <rPr>
        <sz val="10"/>
        <color rgb="FF000000"/>
        <rFont val="メイリオ"/>
        <charset val="134"/>
      </rPr>
      <t>・Design tokens (`design-tokens.ts`) đã được áp dụng (không có hardcoded color)</t>
    </r>
  </si>
  <si>
    <t>ACSMS-TC-003-007</t>
  </si>
  <si>
    <t>Layout tổng thể màn chỉnh sửa khớp với spec thiết kế</t>
  </si>
  <si>
    <t>・role: JA_HONTEN (thuộc ja-001)
・Đã có record đơn giá `tanka_id = 1`</t>
  </si>
  <si>
    <r>
      <rPr>
        <b/>
        <sz val="10"/>
        <color rgb="FF000000"/>
        <rFont val="游ゴシック"/>
        <charset val="134"/>
      </rPr>
      <t xml:space="preserve">ステップ1：
</t>
    </r>
    <r>
      <rPr>
        <sz val="10"/>
        <color rgb="FF000000"/>
        <rFont val="游ゴシック"/>
        <charset val="134"/>
      </rPr>
      <t xml:space="preserve">Click link "編集" của record có sẵn từ danh sách đơn giá
</t>
    </r>
    <r>
      <rPr>
        <b/>
        <sz val="10"/>
        <color rgb="FF000000"/>
        <rFont val="游ゴシック"/>
        <charset val="134"/>
      </rPr>
      <t xml:space="preserve">ステップ2：
</t>
    </r>
    <r>
      <rPr>
        <sz val="10"/>
        <color rgb="FF000000"/>
        <rFont val="游ゴシック"/>
        <charset val="134"/>
      </rPr>
      <t>So sánh với spec thiết kế</t>
    </r>
  </si>
  <si>
    <r>
      <rPr>
        <b/>
        <sz val="10"/>
        <color rgb="FF000000"/>
        <rFont val="メイリオ"/>
        <charset val="134"/>
      </rPr>
      <t xml:space="preserve">ステップ1：
</t>
    </r>
    <r>
      <rPr>
        <sz val="10"/>
        <color rgb="FF000000"/>
        <rFont val="メイリオ"/>
        <charset val="134"/>
      </rPr>
      <t xml:space="preserve">Mở màn `/tanka/1/edit`, các giá trị có sẵn được hiển thị trong form
</t>
    </r>
    <r>
      <rPr>
        <b/>
        <sz val="10"/>
        <color rgb="FF000000"/>
        <rFont val="メイリオ"/>
        <charset val="134"/>
      </rPr>
      <t xml:space="preserve">ステップ2：
</t>
    </r>
    <r>
      <rPr>
        <sz val="10"/>
        <color rgb="FF000000"/>
        <rFont val="メイリオ"/>
        <charset val="134"/>
      </rPr>
      <t xml:space="preserve">Layout giống màn đăng ký + trạng thái chỉ đọc đúng đắn
</t>
    </r>
    <r>
      <rPr>
        <b/>
        <sz val="10"/>
        <color rgb="FF000000"/>
        <rFont val="メイリオ"/>
        <charset val="134"/>
      </rPr>
      <t xml:space="preserve">補足：
</t>
    </r>
    <r>
      <rPr>
        <sz val="10"/>
        <color rgb="FF000000"/>
        <rFont val="メイリオ"/>
        <charset val="134"/>
      </rPr>
      <t>・Màn chỉnh sửa có visual consistency tương đương màn đăng ký</t>
    </r>
  </si>
  <si>
    <t>ACSMS-TC-003-008</t>
  </si>
  <si>
    <t>Hành vi responsive — breakpoint PC / Tablet / Mobile</t>
  </si>
  <si>
    <t>・Đang mở màn đăng ký</t>
  </si>
  <si>
    <r>
      <rPr>
        <b/>
        <sz val="10"/>
        <color rgb="FF000000"/>
        <rFont val="游ゴシック"/>
        <charset val="134"/>
      </rPr>
      <t xml:space="preserve">ステップ1：
</t>
    </r>
    <r>
      <rPr>
        <sz val="10"/>
        <color rgb="FF000000"/>
        <rFont val="游ゴシック"/>
        <charset val="134"/>
      </rPr>
      <t xml:space="preserve">Đặt kích thước cửa sổ 1920×1080 (PC)
</t>
    </r>
    <r>
      <rPr>
        <b/>
        <sz val="10"/>
        <color rgb="FF000000"/>
        <rFont val="游ゴシック"/>
        <charset val="134"/>
      </rPr>
      <t xml:space="preserve">ステップ2：
</t>
    </r>
    <r>
      <rPr>
        <sz val="10"/>
        <color rgb="FF000000"/>
        <rFont val="游ゴシック"/>
        <charset val="134"/>
      </rPr>
      <t xml:space="preserve">Đổi sang 768×1024 (Tablet)
</t>
    </r>
    <r>
      <rPr>
        <b/>
        <sz val="10"/>
        <color rgb="FF000000"/>
        <rFont val="游ゴシック"/>
        <charset val="134"/>
      </rPr>
      <t xml:space="preserve">ステップ3：
</t>
    </r>
    <r>
      <rPr>
        <sz val="10"/>
        <color rgb="FF000000"/>
        <rFont val="游ゴシック"/>
        <charset val="134"/>
      </rPr>
      <t>Đổi sang 375×667 (Mobile)</t>
    </r>
  </si>
  <si>
    <r>
      <rPr>
        <b/>
        <sz val="10"/>
        <color rgb="FF000000"/>
        <rFont val="メイリオ"/>
        <charset val="134"/>
      </rPr>
      <t xml:space="preserve">ステップ1：
</t>
    </r>
    <r>
      <rPr>
        <sz val="10"/>
        <color rgb="FF000000"/>
        <rFont val="メイリオ"/>
        <charset val="134"/>
      </rPr>
      <t xml:space="preserve">Sidebar hiển thị cố định, form 1 cột
</t>
    </r>
    <r>
      <rPr>
        <b/>
        <sz val="10"/>
        <color rgb="FF000000"/>
        <rFont val="メイリオ"/>
        <charset val="134"/>
      </rPr>
      <t xml:space="preserve">ステップ2：
</t>
    </r>
    <r>
      <rPr>
        <sz val="10"/>
        <color rgb="FF000000"/>
        <rFont val="メイリオ"/>
        <charset val="134"/>
      </rPr>
      <t xml:space="preserve">Sidebar gập lại, form giữ nguyên
</t>
    </r>
    <r>
      <rPr>
        <b/>
        <sz val="10"/>
        <color rgb="FF000000"/>
        <rFont val="メイリオ"/>
        <charset val="134"/>
      </rPr>
      <t xml:space="preserve">ステップ3：
</t>
    </r>
    <r>
      <rPr>
        <sz val="10"/>
        <color rgb="FF000000"/>
        <rFont val="メイリオ"/>
        <charset val="134"/>
      </rPr>
      <t xml:space="preserve">Sidebar overlay, các element form xếp dọc, không có scroll ngang
</t>
    </r>
    <r>
      <rPr>
        <b/>
        <sz val="10"/>
        <color rgb="FF000000"/>
        <rFont val="メイリオ"/>
        <charset val="134"/>
      </rPr>
      <t xml:space="preserve">補足：
</t>
    </r>
    <r>
      <rPr>
        <sz val="10"/>
        <color rgb="FF000000"/>
        <rFont val="メイリオ"/>
        <charset val="134"/>
      </rPr>
      <t xml:space="preserve">・Không vỡ layout ở cả 3 breakpoint, không phát sinh scroll ngang
</t>
    </r>
    <r>
      <rPr>
        <sz val="10"/>
        <color rgb="FF000000"/>
        <rFont val="メイリオ"/>
        <charset val="134"/>
      </rPr>
      <t>・Tất cả element form đều có thể thao tác</t>
    </r>
  </si>
  <si>
    <t>ACSMS-TC-003-009</t>
  </si>
  <si>
    <t>Hiển thị element form — textbox / dropdown / radio / button đúng spec thiết kế</t>
  </si>
  <si>
    <r>
      <rPr>
        <b/>
        <sz val="10"/>
        <color rgb="FF000000"/>
        <rFont val="メイリオ"/>
        <charset val="134"/>
      </rPr>
      <t xml:space="preserve">ステップ1：
</t>
    </r>
    <r>
      <rPr>
        <sz val="10"/>
        <color rgb="FF000000"/>
        <rFont val="メイリオ"/>
        <charset val="134"/>
      </rPr>
      <t xml:space="preserve">Kiểm tra placeholder, format, trạng thái (enabled / focus / disabled) của từng textbox
</t>
    </r>
    <r>
      <rPr>
        <b/>
        <sz val="10"/>
        <color rgb="FF000000"/>
        <rFont val="メイリオ"/>
        <charset val="134"/>
      </rPr>
      <t xml:space="preserve">ステップ2：
</t>
    </r>
    <r>
      <rPr>
        <sz val="10"/>
        <color rgb="FF000000"/>
        <rFont val="メイリオ"/>
        <charset val="134"/>
      </rPr>
      <t xml:space="preserve">Kiểm tra hiển thị radio button 単価種別
</t>
    </r>
    <r>
      <rPr>
        <b/>
        <sz val="10"/>
        <color rgb="FF000000"/>
        <rFont val="メイリオ"/>
        <charset val="134"/>
      </rPr>
      <t xml:space="preserve">ステップ3：
</t>
    </r>
    <r>
      <rPr>
        <sz val="10"/>
        <color rgb="FF000000"/>
        <rFont val="メイリオ"/>
        <charset val="134"/>
      </rPr>
      <t>Kiểm tra size, location, icon, color của button 登録 / 前の画面に戻る</t>
    </r>
  </si>
  <si>
    <r>
      <rPr>
        <b/>
        <sz val="10"/>
        <color rgb="FF000000"/>
        <rFont val="メイリオ"/>
        <charset val="134"/>
      </rPr>
      <t xml:space="preserve">ステップ1：
</t>
    </r>
    <r>
      <rPr>
        <sz val="10"/>
        <color rgb="FF000000"/>
        <rFont val="メイリオ"/>
        <charset val="134"/>
      </rPr>
      <t xml:space="preserve">Đúng spec — placeholder khớp, viền đổi màu khi focus, grey-out khi disabled
</t>
    </r>
    <r>
      <rPr>
        <b/>
        <sz val="10"/>
        <color rgb="FF000000"/>
        <rFont val="メイリオ"/>
        <charset val="134"/>
      </rPr>
      <t xml:space="preserve">ステップ2：
</t>
    </r>
    <r>
      <rPr>
        <sz val="10"/>
        <color rgb="FF000000"/>
        <rFont val="メイリオ"/>
        <charset val="134"/>
      </rPr>
      <t xml:space="preserve">Lựa chọn: `購読料` (1) và `配達手数料` (2), 2 option, mặc định `購読料`
</t>
    </r>
    <r>
      <rPr>
        <b/>
        <sz val="10"/>
        <color rgb="FF000000"/>
        <rFont val="メイリオ"/>
        <charset val="134"/>
      </rPr>
      <t xml:space="preserve">ステップ3：
</t>
    </r>
    <r>
      <rPr>
        <sz val="10"/>
        <color rgb="FF000000"/>
        <rFont val="メイリオ"/>
        <charset val="134"/>
      </rPr>
      <t xml:space="preserve">Đúng spec. Button 登録 là button chính (xanh), button 戻る là button phụ (trắng)
</t>
    </r>
    <r>
      <rPr>
        <b/>
        <sz val="10"/>
        <color rgb="FF000000"/>
        <rFont val="メイリオ"/>
        <charset val="134"/>
      </rPr>
      <t xml:space="preserve">補足：
</t>
    </r>
    <r>
      <rPr>
        <sz val="10"/>
        <color rgb="FF000000"/>
        <rFont val="メイリオ"/>
        <charset val="134"/>
      </rPr>
      <t>・Tất cả element form đều khớp hoàn toàn với spec thiết kế</t>
    </r>
  </si>
  <si>
    <t>ACSMS-TC-003-010</t>
  </si>
  <si>
    <t>Thứ tự Tab và thao tác bàn phím (Tab / Enter)</t>
  </si>
  <si>
    <t>・Đang mở màn đăng ký, focus là body</t>
  </si>
  <si>
    <r>
      <rPr>
        <b/>
        <sz val="10"/>
        <color rgb="FF000000"/>
        <rFont val="メイリオ"/>
        <charset val="134"/>
      </rPr>
      <t xml:space="preserve">ステップ1：
</t>
    </r>
    <r>
      <rPr>
        <sz val="10"/>
        <color rgb="FF000000"/>
        <rFont val="メイリオ"/>
        <charset val="134"/>
      </rPr>
      <t xml:space="preserve">Nhấn phím Tab liên tục, kiểm tra di chuyển focus
</t>
    </r>
    <r>
      <rPr>
        <b/>
        <sz val="10"/>
        <color rgb="FF000000"/>
        <rFont val="メイリオ"/>
        <charset val="134"/>
      </rPr>
      <t xml:space="preserve">ステップ2：
</t>
    </r>
    <r>
      <rPr>
        <sz val="10"/>
        <color rgb="FF000000"/>
        <rFont val="メイリオ"/>
        <charset val="134"/>
      </rPr>
      <t xml:space="preserve">Nhấn phím Enter trong textbox
</t>
    </r>
    <r>
      <rPr>
        <b/>
        <sz val="10"/>
        <color rgb="FF000000"/>
        <rFont val="メイリオ"/>
        <charset val="134"/>
      </rPr>
      <t xml:space="preserve">ステップ3：
</t>
    </r>
    <r>
      <rPr>
        <sz val="10"/>
        <color rgb="FF000000"/>
        <rFont val="メイリオ"/>
        <charset val="134"/>
      </rPr>
      <t>Nhấn phím Escape khi modal đang mở</t>
    </r>
  </si>
  <si>
    <r>
      <rPr>
        <b/>
        <sz val="10"/>
        <color rgb="FF000000"/>
        <rFont val="メイリオ"/>
        <charset val="134"/>
      </rPr>
      <t xml:space="preserve">ステップ1：
</t>
    </r>
    <r>
      <rPr>
        <sz val="10"/>
        <color rgb="FF000000"/>
        <rFont val="メイリオ"/>
        <charset val="134"/>
      </rPr>
      <t xml:space="preserve">Theo thứ tự trên xuống, trái sang phải — 単価種別 → 単価コード → 単価名 → 税率 → 税込 → 税抜 → 開始日 → 終了日 → button 登録 → button 戻る
</t>
    </r>
    <r>
      <rPr>
        <b/>
        <sz val="10"/>
        <color rgb="FF000000"/>
        <rFont val="メイリオ"/>
        <charset val="134"/>
      </rPr>
      <t xml:space="preserve">ステップ2：
</t>
    </r>
    <r>
      <rPr>
        <sz val="10"/>
        <color rgb="FF000000"/>
        <rFont val="メイリオ"/>
        <charset val="134"/>
      </rPr>
      <t xml:space="preserve">Trigger submit form (nhưng validation vẫn chạy)
</t>
    </r>
    <r>
      <rPr>
        <b/>
        <sz val="10"/>
        <color rgb="FF000000"/>
        <rFont val="メイリオ"/>
        <charset val="134"/>
      </rPr>
      <t xml:space="preserve">ステップ3：
</t>
    </r>
    <r>
      <rPr>
        <sz val="10"/>
        <color rgb="FF000000"/>
        <rFont val="メイリオ"/>
        <charset val="134"/>
      </rPr>
      <t xml:space="preserve">Modal đóng
</t>
    </r>
    <r>
      <rPr>
        <b/>
        <sz val="10"/>
        <color rgb="FF000000"/>
        <rFont val="メイリオ"/>
        <charset val="134"/>
      </rPr>
      <t xml:space="preserve">補足：
</t>
    </r>
    <r>
      <rPr>
        <sz val="10"/>
        <color rgb="FF000000"/>
        <rFont val="メイリオ"/>
        <charset val="134"/>
      </rPr>
      <t>・Thứ tự tab đúng spec, có thể thao tác toàn bộ bằng bàn phím</t>
    </r>
  </si>
  <si>
    <t>ACSMS-TC-003-011</t>
  </si>
  <si>
    <t>Độ tin cậy thao tác button (double-click, click liên tục, Enter)</t>
  </si>
  <si>
    <t>・Đã nhập đầy đủ giá trị hợp lệ trên màn đăng ký
・Test data: 単価種別=購読料 (TANKA_TYPE=1), 単価コード=TEST001, 単価名=テスト単価, 税率=10, 単価税込=4400, 単価税抜=4000, 適用開始日=2026-05-01, 適用終了日=2027-04-30</t>
  </si>
  <si>
    <r>
      <rPr>
        <b/>
        <sz val="10"/>
        <color rgb="FF000000"/>
        <rFont val="游ゴシック"/>
        <charset val="134"/>
      </rPr>
      <t xml:space="preserve">ステップ1：
</t>
    </r>
    <r>
      <rPr>
        <sz val="10"/>
        <color rgb="FF000000"/>
        <rFont val="游ゴシック"/>
        <charset val="134"/>
      </rPr>
      <t xml:space="preserve">Double-click button 登録 (trong vòng 200ms)
</t>
    </r>
    <r>
      <rPr>
        <b/>
        <sz val="10"/>
        <color rgb="FF000000"/>
        <rFont val="游ゴシック"/>
        <charset val="134"/>
      </rPr>
      <t xml:space="preserve">ステップ2：
</t>
    </r>
    <r>
      <rPr>
        <sz val="10"/>
        <color rgb="FF000000"/>
        <rFont val="游ゴシック"/>
        <charset val="134"/>
      </rPr>
      <t xml:space="preserve">Click liên tục button 登録 trong 5 giây
</t>
    </r>
    <r>
      <rPr>
        <b/>
        <sz val="10"/>
        <color rgb="FF000000"/>
        <rFont val="游ゴシック"/>
        <charset val="134"/>
      </rPr>
      <t xml:space="preserve">ステップ3：
</t>
    </r>
    <r>
      <rPr>
        <sz val="10"/>
        <color rgb="FF000000"/>
        <rFont val="游ゴシック"/>
        <charset val="134"/>
      </rPr>
      <t>Submit bằng phím Enter (nhấn liên tục)</t>
    </r>
  </si>
  <si>
    <r>
      <rPr>
        <b/>
        <sz val="10"/>
        <color rgb="FF000000"/>
        <rFont val="メイリオ"/>
        <charset val="134"/>
      </rPr>
      <t xml:space="preserve">ステップ1：
</t>
    </r>
    <r>
      <rPr>
        <sz val="10"/>
        <color rgb="FF000000"/>
        <rFont val="メイリオ"/>
        <charset val="134"/>
      </rPr>
      <t xml:space="preserve">Lần 1 bắt đầu submit, lần 2 button bị disable nên bỏ qua — DB chỉ có 1 record duy nhất
</t>
    </r>
    <r>
      <rPr>
        <b/>
        <sz val="10"/>
        <color rgb="FF000000"/>
        <rFont val="メイリオ"/>
        <charset val="134"/>
      </rPr>
      <t xml:space="preserve">ステップ2：
</t>
    </r>
    <r>
      <rPr>
        <sz val="10"/>
        <color rgb="FF000000"/>
        <rFont val="メイリオ"/>
        <charset val="134"/>
      </rPr>
      <t xml:space="preserve">Trong khi submit button bị disable, không có đăng ký trùng — DB chỉ có 1 record duy nhất
</t>
    </r>
    <r>
      <rPr>
        <b/>
        <sz val="10"/>
        <color rgb="FF000000"/>
        <rFont val="メイリオ"/>
        <charset val="134"/>
      </rPr>
      <t xml:space="preserve">ステップ3：
</t>
    </r>
    <r>
      <rPr>
        <sz val="10"/>
        <color rgb="FF000000"/>
        <rFont val="メイリオ"/>
        <charset val="134"/>
      </rPr>
      <t xml:space="preserve">Hành vi tương đương double-click
</t>
    </r>
    <r>
      <rPr>
        <b/>
        <sz val="10"/>
        <color rgb="FF000000"/>
        <rFont val="メイリオ"/>
        <charset val="134"/>
      </rPr>
      <t xml:space="preserve">補足：
</t>
    </r>
    <r>
      <rPr>
        <sz val="10"/>
        <color rgb="FF000000"/>
        <rFont val="メイリオ"/>
        <charset val="134"/>
      </rPr>
      <t xml:space="preserve">・Không phát sinh đăng ký trùng
</t>
    </r>
    <r>
      <rPr>
        <sz val="10"/>
        <color rgb="FF000000"/>
        <rFont val="メイリオ"/>
        <charset val="134"/>
      </rPr>
      <t>・Khi đang submit button hiển thị trạng thái disabled</t>
    </r>
  </si>
  <si>
    <t>Chống double-submit — vùng có tần suất phát hiện bug cao từ tester JA_HONTEN.
---</t>
  </si>
  <si>
    <t>Header &amp; Breadcrumb</t>
  </si>
  <si>
    <t>ACSMS-TC-003-012</t>
  </si>
  <si>
    <t>Hiển thị tiêu đề header</t>
  </si>
  <si>
    <t>・Đang mở màn đăng ký hoặc màn chỉnh sửa</t>
  </si>
  <si>
    <r>
      <rPr>
        <b/>
        <sz val="10"/>
        <color rgb="FF000000"/>
        <rFont val="メイリオ"/>
        <charset val="134"/>
      </rPr>
      <t xml:space="preserve">ステップ1：
</t>
    </r>
    <r>
      <rPr>
        <sz val="10"/>
        <color rgb="FF000000"/>
        <rFont val="メイリオ"/>
        <charset val="134"/>
      </rPr>
      <t>Kiểm tra phía bên trái header phía trên màn hình</t>
    </r>
  </si>
  <si>
    <r>
      <rPr>
        <b/>
        <sz val="10"/>
        <color rgb="FF000000"/>
        <rFont val="メイリオ"/>
        <charset val="134"/>
      </rPr>
      <t xml:space="preserve">ステップ1：
</t>
    </r>
    <r>
      <rPr>
        <sz val="10"/>
        <color rgb="FF000000"/>
        <rFont val="メイリオ"/>
        <charset val="134"/>
      </rPr>
      <t xml:space="preserve">Hiển thị chuỗi "単価マスタ登録画面"
</t>
    </r>
    <r>
      <rPr>
        <b/>
        <sz val="10"/>
        <color rgb="FF000000"/>
        <rFont val="メイリオ"/>
        <charset val="134"/>
      </rPr>
      <t xml:space="preserve">補足：
</t>
    </r>
    <r>
      <rPr>
        <sz val="10"/>
        <color rgb="FF000000"/>
        <rFont val="メイリオ"/>
        <charset val="134"/>
      </rPr>
      <t>・Chuỗi tiêu đề đúng literal theo spec</t>
    </r>
  </si>
  <si>
    <t>ACSMS-TC-003-013</t>
  </si>
  <si>
    <t>Hiển thị icon thông báo + menu user</t>
  </si>
  <si>
    <t>・role: JA_HONTEN (thuộc ja-001)</t>
  </si>
  <si>
    <r>
      <rPr>
        <b/>
        <sz val="10"/>
        <color rgb="FF000000"/>
        <rFont val="メイリオ"/>
        <charset val="134"/>
      </rPr>
      <t xml:space="preserve">ステップ1：
</t>
    </r>
    <r>
      <rPr>
        <sz val="10"/>
        <color rgb="FF000000"/>
        <rFont val="メイリオ"/>
        <charset val="134"/>
      </rPr>
      <t xml:space="preserve">Kiểm tra phía bên phải header
</t>
    </r>
    <r>
      <rPr>
        <b/>
        <sz val="10"/>
        <color rgb="FF000000"/>
        <rFont val="メイリオ"/>
        <charset val="134"/>
      </rPr>
      <t xml:space="preserve">ステップ2：
</t>
    </r>
    <r>
      <rPr>
        <sz val="10"/>
        <color rgb="FF000000"/>
        <rFont val="メイリオ"/>
        <charset val="134"/>
      </rPr>
      <t xml:space="preserve">Hover chuột vào user icon
</t>
    </r>
    <r>
      <rPr>
        <b/>
        <sz val="10"/>
        <color rgb="FF000000"/>
        <rFont val="メイリオ"/>
        <charset val="134"/>
      </rPr>
      <t xml:space="preserve">ステップ3：
</t>
    </r>
    <r>
      <rPr>
        <sz val="10"/>
        <color rgb="FF000000"/>
        <rFont val="メイリオ"/>
        <charset val="134"/>
      </rPr>
      <t>Click user icon</t>
    </r>
  </si>
  <si>
    <r>
      <rPr>
        <b/>
        <sz val="10"/>
        <color rgb="FF000000"/>
        <rFont val="メイリオ"/>
        <charset val="134"/>
      </rPr>
      <t xml:space="preserve">ステップ1：
</t>
    </r>
    <r>
      <rPr>
        <sz val="10"/>
        <color rgb="FF000000"/>
        <rFont val="メイリオ"/>
        <charset val="134"/>
      </rPr>
      <t xml:space="preserve">Theo thứ tự icon thông báo → user icon → tên login (ví dụ: 日裏（管理者）)
</t>
    </r>
    <r>
      <rPr>
        <b/>
        <sz val="10"/>
        <color rgb="FF000000"/>
        <rFont val="メイリオ"/>
        <charset val="134"/>
      </rPr>
      <t xml:space="preserve">ステップ2：
</t>
    </r>
    <r>
      <rPr>
        <sz val="10"/>
        <color rgb="FF000000"/>
        <rFont val="メイリオ"/>
        <charset val="134"/>
      </rPr>
      <t xml:space="preserve">Background đổi màu khi hover
</t>
    </r>
    <r>
      <rPr>
        <b/>
        <sz val="10"/>
        <color rgb="FF000000"/>
        <rFont val="メイリオ"/>
        <charset val="134"/>
      </rPr>
      <t xml:space="preserve">ステップ3：
</t>
    </r>
    <r>
      <rPr>
        <sz val="10"/>
        <color rgb="FF000000"/>
        <rFont val="メイリオ"/>
        <charset val="134"/>
      </rPr>
      <t xml:space="preserve">Dropdown mở ra — hiển thị menu logout v.v.
</t>
    </r>
    <r>
      <rPr>
        <b/>
        <sz val="10"/>
        <color rgb="FF000000"/>
        <rFont val="メイリオ"/>
        <charset val="134"/>
      </rPr>
      <t xml:space="preserve">補足：
</t>
    </r>
    <r>
      <rPr>
        <sz val="10"/>
        <color rgb="FF000000"/>
        <rFont val="メイリオ"/>
        <charset val="134"/>
      </rPr>
      <t>・Mọi tương tác hover/click đều đúng spec thiết kế</t>
    </r>
  </si>
  <si>
    <t>ACSMS-TC-003-014</t>
  </si>
  <si>
    <t>Hiển thị breadcrumb</t>
  </si>
  <si>
    <r>
      <rPr>
        <b/>
        <sz val="10"/>
        <color rgb="FF000000"/>
        <rFont val="メイリオ"/>
        <charset val="134"/>
      </rPr>
      <t xml:space="preserve">ステップ1：
</t>
    </r>
    <r>
      <rPr>
        <sz val="10"/>
        <color rgb="FF000000"/>
        <rFont val="メイリオ"/>
        <charset val="134"/>
      </rPr>
      <t xml:space="preserve">Kiểm tra vùng breadcrumb dưới tiêu đề màn hình
</t>
    </r>
    <r>
      <rPr>
        <b/>
        <sz val="10"/>
        <color rgb="FF000000"/>
        <rFont val="メイリオ"/>
        <charset val="134"/>
      </rPr>
      <t xml:space="preserve">ステップ2：
</t>
    </r>
    <r>
      <rPr>
        <sz val="10"/>
        <color rgb="FF000000"/>
        <rFont val="メイリオ"/>
        <charset val="134"/>
      </rPr>
      <t>So sánh cấu trúc phân cấp breadcrumb với spec thiết kế</t>
    </r>
  </si>
  <si>
    <r>
      <rPr>
        <b/>
        <sz val="10"/>
        <color rgb="FF000000"/>
        <rFont val="游ゴシック"/>
        <charset val="134"/>
      </rPr>
      <t xml:space="preserve">ステップ1：
</t>
    </r>
    <r>
      <rPr>
        <sz val="10"/>
        <color rgb="FF000000"/>
        <rFont val="游ゴシック"/>
        <charset val="134"/>
      </rPr>
      <t xml:space="preserve">Hiển thị phân cấp `ホーム / マスタ管理 / 単価マスタ登録画面`
</t>
    </r>
    <r>
      <rPr>
        <b/>
        <sz val="10"/>
        <color rgb="FF000000"/>
        <rFont val="游ゴシック"/>
        <charset val="134"/>
      </rPr>
      <t xml:space="preserve">ステップ2：
</t>
    </r>
    <r>
      <rPr>
        <sz val="10"/>
        <color rgb="FF000000"/>
        <rFont val="游ゴシック"/>
        <charset val="134"/>
      </rPr>
      <t xml:space="preserve">Ký tự ngăn cách, text, link đều khớp
</t>
    </r>
    <r>
      <rPr>
        <b/>
        <sz val="10"/>
        <color rgb="FF000000"/>
        <rFont val="游ゴシック"/>
        <charset val="134"/>
      </rPr>
      <t xml:space="preserve">補足：
</t>
    </r>
    <r>
      <rPr>
        <sz val="10"/>
        <color rgb="FF000000"/>
        <rFont val="游ゴシック"/>
        <charset val="134"/>
      </rPr>
      <t>・Breadcrumb hiển thị đúng phân cấp + đúng spec thiết kế</t>
    </r>
  </si>
  <si>
    <t>ACSMS-TC-003-015</t>
  </si>
  <si>
    <t>Hành vi điều hướng của từng link breadcrumb</t>
  </si>
  <si>
    <r>
      <rPr>
        <b/>
        <sz val="10"/>
        <color rgb="FF000000"/>
        <rFont val="メイリオ"/>
        <charset val="134"/>
      </rPr>
      <t xml:space="preserve">ステップ1：
</t>
    </r>
    <r>
      <rPr>
        <sz val="10"/>
        <color rgb="FF000000"/>
        <rFont val="メイリオ"/>
        <charset val="134"/>
      </rPr>
      <t xml:space="preserve">Click "ホーム" trên breadcrumb
</t>
    </r>
    <r>
      <rPr>
        <b/>
        <sz val="10"/>
        <color rgb="FF000000"/>
        <rFont val="メイリオ"/>
        <charset val="134"/>
      </rPr>
      <t xml:space="preserve">ステップ2：
</t>
    </r>
    <r>
      <rPr>
        <sz val="10"/>
        <color rgb="FF000000"/>
        <rFont val="メイリオ"/>
        <charset val="134"/>
      </rPr>
      <t xml:space="preserve">Quay về màn đăng ký, click "マスタ管理"
</t>
    </r>
    <r>
      <rPr>
        <b/>
        <sz val="10"/>
        <color rgb="FF000000"/>
        <rFont val="メイリオ"/>
        <charset val="134"/>
      </rPr>
      <t xml:space="preserve">ステップ3：
</t>
    </r>
    <r>
      <rPr>
        <sz val="10"/>
        <color rgb="FF000000"/>
        <rFont val="メイリオ"/>
        <charset val="134"/>
      </rPr>
      <t>Quay về màn đăng ký, click "単価マスタ登録画面" (màn hiện tại)</t>
    </r>
  </si>
  <si>
    <r>
      <rPr>
        <b/>
        <sz val="10"/>
        <color rgb="FF000000"/>
        <rFont val="メイリオ"/>
        <charset val="134"/>
      </rPr>
      <t xml:space="preserve">ステップ1：
</t>
    </r>
    <r>
      <rPr>
        <sz val="10"/>
        <color rgb="FF000000"/>
        <rFont val="メイリオ"/>
        <charset val="134"/>
      </rPr>
      <t xml:space="preserve">Chuyển sang `/dashboard`
</t>
    </r>
    <r>
      <rPr>
        <b/>
        <sz val="10"/>
        <color rgb="FF000000"/>
        <rFont val="メイリオ"/>
        <charset val="134"/>
      </rPr>
      <t xml:space="preserve">ステップ2：
</t>
    </r>
    <r>
      <rPr>
        <sz val="10"/>
        <color rgb="FF000000"/>
        <rFont val="メイリオ"/>
        <charset val="134"/>
      </rPr>
      <t xml:space="preserve">Chuyển sang trang chủ マスタ管理 / menu (hoặc theo spec hiện tại không xảy ra gì)
</t>
    </r>
    <r>
      <rPr>
        <b/>
        <sz val="10"/>
        <color rgb="FF000000"/>
        <rFont val="メイリオ"/>
        <charset val="134"/>
      </rPr>
      <t xml:space="preserve">ステップ3：
</t>
    </r>
    <r>
      <rPr>
        <sz val="10"/>
        <color rgb="FF000000"/>
        <rFont val="メイリオ"/>
        <charset val="134"/>
      </rPr>
      <t xml:space="preserve">Là màn hiện tại nên không có gì xảy ra (không reload)
</t>
    </r>
    <r>
      <rPr>
        <b/>
        <sz val="10"/>
        <color rgb="FF000000"/>
        <rFont val="メイリオ"/>
        <charset val="134"/>
      </rPr>
      <t xml:space="preserve">補足：
</t>
    </r>
    <r>
      <rPr>
        <sz val="10"/>
        <color rgb="FF000000"/>
        <rFont val="メイリオ"/>
        <charset val="134"/>
      </rPr>
      <t>・Mỗi link hoạt động đúng kỳ vọng</t>
    </r>
  </si>
  <si>
    <t>(なし)
---</t>
  </si>
  <si>
    <t>Validation đầu vào — Màn đăng ký</t>
  </si>
  <si>
    <t>ACSMS-TC-003-016</t>
  </si>
  <si>
    <t>単価種別 hiển thị và chọn radio button</t>
  </si>
  <si>
    <r>
      <rPr>
        <b/>
        <sz val="10"/>
        <color rgb="FF000000"/>
        <rFont val="游ゴシック"/>
        <charset val="134"/>
      </rPr>
      <t xml:space="preserve">ステップ1：
</t>
    </r>
    <r>
      <rPr>
        <sz val="10"/>
        <color rgb="FF000000"/>
        <rFont val="游ゴシック"/>
        <charset val="134"/>
      </rPr>
      <t xml:space="preserve">Kiểm tra phần 単価種別
</t>
    </r>
    <r>
      <rPr>
        <b/>
        <sz val="10"/>
        <color rgb="FF000000"/>
        <rFont val="游ゴシック"/>
        <charset val="134"/>
      </rPr>
      <t xml:space="preserve">ステップ2：
</t>
    </r>
    <r>
      <rPr>
        <sz val="10"/>
        <color rgb="FF000000"/>
        <rFont val="游ゴシック"/>
        <charset val="134"/>
      </rPr>
      <t>Chọn `配達手数料` → 登録 → kiểm tra DB</t>
    </r>
  </si>
  <si>
    <r>
      <rPr>
        <b/>
        <sz val="10"/>
        <color rgb="FF000000"/>
        <rFont val="メイリオ"/>
        <charset val="134"/>
      </rPr>
      <t xml:space="preserve">ステップ1：
</t>
    </r>
    <r>
      <rPr>
        <sz val="10"/>
        <color rgb="FF000000"/>
        <rFont val="メイリオ"/>
        <charset val="134"/>
      </rPr>
      <t xml:space="preserve">Radio 2 option: `購読料` (TANKA_TYPE=1, mặc định chọn) / `配達手数料` (TANKA_TYPE=2)
</t>
    </r>
    <r>
      <rPr>
        <b/>
        <sz val="10"/>
        <color rgb="FF000000"/>
        <rFont val="メイリオ"/>
        <charset val="134"/>
      </rPr>
      <t xml:space="preserve">ステップ2：
</t>
    </r>
    <r>
      <rPr>
        <sz val="10"/>
        <color rgb="FF000000"/>
        <rFont val="メイリオ"/>
        <charset val="134"/>
      </rPr>
      <t xml:space="preserve">Record đã save có `tanka_type = 2`
</t>
    </r>
    <r>
      <rPr>
        <b/>
        <sz val="10"/>
        <color rgb="FF000000"/>
        <rFont val="メイリオ"/>
        <charset val="134"/>
      </rPr>
      <t xml:space="preserve">補足：
</t>
    </r>
    <r>
      <rPr>
        <sz val="10"/>
        <color rgb="FF000000"/>
        <rFont val="メイリオ"/>
        <charset val="134"/>
      </rPr>
      <t>・Giá trị mặc định + hành vi chuyển đổi khớp với giá trị seed của bảng m_code</t>
    </r>
  </si>
  <si>
    <t>ACSMS-TC-003-017</t>
  </si>
  <si>
    <t>単価コード — Check bắt buộc (rỗng)</t>
  </si>
  <si>
    <t>・Màn đăng ký, các trường khác đã nhập giá trị hợp lệ
・Test data: 単価種別=購読料 (TANKA_TYPE=1), 単価コード=TEST001, 単価名=テスト単価, 税率=10, 単価税込=4400, 単価税抜=4000, 適用開始日=2026-05-01, 適用終了日=2027-04-30</t>
  </si>
  <si>
    <r>
      <rPr>
        <b/>
        <sz val="10"/>
        <color rgb="FF000000"/>
        <rFont val="游ゴシック"/>
        <charset val="134"/>
      </rPr>
      <t xml:space="preserve">ステップ1：
</t>
    </r>
    <r>
      <rPr>
        <sz val="10"/>
        <color rgb="FF000000"/>
        <rFont val="游ゴシック"/>
        <charset val="134"/>
      </rPr>
      <t xml:space="preserve">Để trống 単価コード rồi nhấn button 登録
</t>
    </r>
  </si>
  <si>
    <r>
      <rPr>
        <b/>
        <sz val="10"/>
        <color rgb="FF000000"/>
        <rFont val="游ゴシック"/>
        <charset val="134"/>
      </rPr>
      <t xml:space="preserve">ステップ1：
</t>
    </r>
    <r>
      <rPr>
        <sz val="10"/>
        <color rgb="FF000000"/>
        <rFont val="游ゴシック"/>
        <charset val="134"/>
      </rPr>
      <t xml:space="preserve">Hiển thị `必須項目です。` ngay dưới trường, submit bị block
</t>
    </r>
  </si>
  <si>
    <t>ACSMS-TC-003-018</t>
  </si>
  <si>
    <t>単価コード — Giới hạn 10 ký tự (giá trị biên)</t>
  </si>
  <si>
    <t>・Màn đăng ký</t>
  </si>
  <si>
    <r>
      <rPr>
        <b/>
        <sz val="10"/>
        <color rgb="FF000000"/>
        <rFont val="游ゴシック"/>
        <charset val="134"/>
      </rPr>
      <t xml:space="preserve">ステップ1：
</t>
    </r>
    <r>
      <rPr>
        <sz val="10"/>
        <color rgb="FF000000"/>
        <rFont val="游ゴシック"/>
        <charset val="134"/>
      </rPr>
      <t xml:space="preserve">Nhập 10 ký tự (ví dụ: TEST123456) vào 単価コード → 登録
</t>
    </r>
    <r>
      <rPr>
        <b/>
        <sz val="10"/>
        <color rgb="FF000000"/>
        <rFont val="游ゴシック"/>
        <charset val="134"/>
      </rPr>
      <t xml:space="preserve">ステップ2：
</t>
    </r>
    <r>
      <rPr>
        <sz val="10"/>
        <color rgb="FF000000"/>
        <rFont val="游ゴシック"/>
        <charset val="134"/>
      </rPr>
      <t xml:space="preserve">Thử nhập ký tự thứ 11 vào 単価コード
</t>
    </r>
    <r>
      <rPr>
        <b/>
        <sz val="10"/>
        <color rgb="FF000000"/>
        <rFont val="游ゴシック"/>
        <charset val="134"/>
      </rPr>
      <t xml:space="preserve">ステップ3：
</t>
    </r>
    <r>
      <rPr>
        <sz val="10"/>
        <color rgb="FF000000"/>
        <rFont val="游ゴシック"/>
        <charset val="134"/>
      </rPr>
      <t>Paste "TESTTESTTEST123" (15 ký tự) vào ô 単価コード</t>
    </r>
  </si>
  <si>
    <r>
      <rPr>
        <b/>
        <sz val="10"/>
        <color rgb="FF000000"/>
        <rFont val="メイリオ"/>
        <charset val="134"/>
      </rPr>
      <t xml:space="preserve">ステップ1：
</t>
    </r>
    <r>
      <rPr>
        <sz val="10"/>
        <color rgb="FF000000"/>
        <rFont val="メイリオ"/>
        <charset val="134"/>
      </rPr>
      <t xml:space="preserve">Nhận bình thường, đăng ký thành công
</t>
    </r>
    <r>
      <rPr>
        <b/>
        <sz val="10"/>
        <color rgb="FF000000"/>
        <rFont val="メイリオ"/>
        <charset val="134"/>
      </rPr>
      <t xml:space="preserve">ステップ2：
</t>
    </r>
    <r>
      <rPr>
        <sz val="10"/>
        <color rgb="FF000000"/>
        <rFont val="メイリオ"/>
        <charset val="134"/>
      </rPr>
      <t xml:space="preserve">Bị chặn nhập do input maxLength (không thể nhập ký tự thứ 11)
</t>
    </r>
    <r>
      <rPr>
        <b/>
        <sz val="10"/>
        <color rgb="FF000000"/>
        <rFont val="メイリオ"/>
        <charset val="134"/>
      </rPr>
      <t xml:space="preserve">ステップ3：
</t>
    </r>
    <r>
      <rPr>
        <sz val="10"/>
        <color rgb="FF000000"/>
        <rFont val="メイリオ"/>
        <charset val="134"/>
      </rPr>
      <t xml:space="preserve">Cắt đến ký tự thứ 10, record đăng ký là 10 ký tự
</t>
    </r>
    <r>
      <rPr>
        <b/>
        <sz val="10"/>
        <color rgb="FF000000"/>
        <rFont val="メイリオ"/>
        <charset val="134"/>
      </rPr>
      <t xml:space="preserve">補足：
</t>
    </r>
    <r>
      <rPr>
        <sz val="10"/>
        <color rgb="FF000000"/>
        <rFont val="メイリオ"/>
        <charset val="134"/>
      </rPr>
      <t>・Giới hạn 10 ký tự được enforced 2 lớp bằng input maxLength và BE validate</t>
    </r>
  </si>
  <si>
    <t>ACSMS-TC-003-019</t>
  </si>
  <si>
    <t>単価コード — Cho phép half-width alphanumeric, kiểm tra phạm vi cho phép các loại ký tự khác</t>
  </si>
  <si>
    <r>
      <rPr>
        <b/>
        <sz val="10"/>
        <color rgb="FF000000"/>
        <rFont val="游ゴシック"/>
        <charset val="134"/>
      </rPr>
      <t xml:space="preserve">ステップ1：
</t>
    </r>
    <r>
      <rPr>
        <sz val="10"/>
        <color rgb="FF000000"/>
        <rFont val="游ゴシック"/>
        <charset val="134"/>
      </rPr>
      <t xml:space="preserve">Nhập half-width alphanumeric `ABC123` → 登録
</t>
    </r>
    <r>
      <rPr>
        <b/>
        <sz val="10"/>
        <color rgb="FF000000"/>
        <rFont val="游ゴシック"/>
        <charset val="134"/>
      </rPr>
      <t xml:space="preserve">ステップ2：
</t>
    </r>
    <r>
      <rPr>
        <sz val="10"/>
        <color rgb="FF000000"/>
        <rFont val="游ゴシック"/>
        <charset val="134"/>
      </rPr>
      <t xml:space="preserve">Thử nhập hiragana `あいう`
</t>
    </r>
    <r>
      <rPr>
        <b/>
        <sz val="10"/>
        <color rgb="FF000000"/>
        <rFont val="游ゴシック"/>
        <charset val="134"/>
      </rPr>
      <t xml:space="preserve">ステップ3：
</t>
    </r>
    <r>
      <rPr>
        <sz val="10"/>
        <color rgb="FF000000"/>
        <rFont val="游ゴシック"/>
        <charset val="134"/>
      </rPr>
      <t>Thử nhập full-width alphanumeric `ＡＢＣ`</t>
    </r>
  </si>
  <si>
    <r>
      <rPr>
        <b/>
        <sz val="10"/>
        <color rgb="FF000000"/>
        <rFont val="メイリオ"/>
        <charset val="134"/>
      </rPr>
      <t xml:space="preserve">ステップ1：
</t>
    </r>
    <r>
      <rPr>
        <sz val="10"/>
        <color rgb="FF000000"/>
        <rFont val="メイリオ"/>
        <charset val="134"/>
      </rPr>
      <t xml:space="preserve">Nhận bình thường
</t>
    </r>
    <r>
      <rPr>
        <b/>
        <sz val="10"/>
        <color rgb="FF000000"/>
        <rFont val="メイリオ"/>
        <charset val="134"/>
      </rPr>
      <t xml:space="preserve">ステップ2：
</t>
    </r>
    <r>
      <rPr>
        <sz val="10"/>
        <color rgb="FF000000"/>
        <rFont val="メイリオ"/>
        <charset val="134"/>
      </rPr>
      <t xml:space="preserve">Bị từ chối bởi regex backend, hoặc kiểm soát IME ở frontend
</t>
    </r>
    <r>
      <rPr>
        <b/>
        <sz val="10"/>
        <color rgb="FF000000"/>
        <rFont val="メイリオ"/>
        <charset val="134"/>
      </rPr>
      <t xml:space="preserve">ステップ3：
</t>
    </r>
    <r>
      <rPr>
        <sz val="10"/>
        <color rgb="FF000000"/>
        <rFont val="メイリオ"/>
        <charset val="134"/>
      </rPr>
      <t xml:space="preserve">Hành vi nhận theo spec, tuân thủ document
</t>
    </r>
    <r>
      <rPr>
        <b/>
        <sz val="10"/>
        <color rgb="FF000000"/>
        <rFont val="メイリオ"/>
        <charset val="134"/>
      </rPr>
      <t xml:space="preserve">補足：
</t>
    </r>
    <r>
      <rPr>
        <sz val="10"/>
        <color rgb="FF000000"/>
        <rFont val="メイリオ"/>
        <charset val="134"/>
      </rPr>
      <t xml:space="preserve">・Half-width alphanumeric chắc chắn được nhận
</t>
    </r>
    <r>
      <rPr>
        <sz val="10"/>
        <color rgb="FF000000"/>
        <rFont val="メイリオ"/>
        <charset val="134"/>
      </rPr>
      <t>・Full-width / hiragana / katakana hoạt động theo spec</t>
    </r>
  </si>
  <si>
    <t>ACSMS-TC-003-020</t>
  </si>
  <si>
    <t>単価コード — Xử lý an toàn ký tự đặc biệt / emoji / HTML / SQL injection</t>
  </si>
  <si>
    <t>・Màn đăng ký, các trường khác đã nhập giá trị hợp lệ</t>
  </si>
  <si>
    <r>
      <rPr>
        <b/>
        <sz val="10"/>
        <color rgb="FF000000"/>
        <rFont val="游ゴシック"/>
        <charset val="134"/>
      </rPr>
      <t xml:space="preserve">ステップ1：
</t>
    </r>
    <r>
      <rPr>
        <sz val="10"/>
        <color rgb="FF000000"/>
        <rFont val="游ゴシック"/>
        <charset val="134"/>
      </rPr>
      <t xml:space="preserve">Nhập ký hiệu thông thường `!@#$%^&amp;*()_+-=` vào 単価コード → 登録
</t>
    </r>
    <r>
      <rPr>
        <b/>
        <sz val="10"/>
        <color rgb="FF000000"/>
        <rFont val="游ゴシック"/>
        <charset val="134"/>
      </rPr>
      <t xml:space="preserve">ステップ2：
</t>
    </r>
    <r>
      <rPr>
        <sz val="10"/>
        <color rgb="FF000000"/>
        <rFont val="游ゴシック"/>
        <charset val="134"/>
      </rPr>
      <t xml:space="preserve">Nhập emoji `①②③` và 外字 `๖ۣۜABC` → 登録
</t>
    </r>
    <r>
      <rPr>
        <b/>
        <sz val="10"/>
        <color rgb="FF000000"/>
        <rFont val="游ゴシック"/>
        <charset val="134"/>
      </rPr>
      <t xml:space="preserve">ステップ3：
</t>
    </r>
    <r>
      <rPr>
        <sz val="10"/>
        <color rgb="FF000000"/>
        <rFont val="游ゴシック"/>
        <charset val="134"/>
      </rPr>
      <t xml:space="preserve">Nhập HTML tag `&lt;script&gt;alert(1)&lt;/script&gt;` → 登録 → kiểm tra hiển thị ở màn danh sách
</t>
    </r>
    <r>
      <rPr>
        <b/>
        <sz val="10"/>
        <color rgb="FF000000"/>
        <rFont val="游ゴシック"/>
        <charset val="134"/>
      </rPr>
      <t xml:space="preserve">ステップ4：
</t>
    </r>
    <r>
      <rPr>
        <sz val="10"/>
        <color rgb="FF000000"/>
        <rFont val="游ゴシック"/>
        <charset val="134"/>
      </rPr>
      <t xml:space="preserve">Nhập SQL injection `T001'; DROP TABLE m_tanka; --` → 登録
</t>
    </r>
    <r>
      <rPr>
        <b/>
        <sz val="10"/>
        <color rgb="FF000000"/>
        <rFont val="游ゴシック"/>
        <charset val="134"/>
      </rPr>
      <t xml:space="preserve">ステップ5：
</t>
    </r>
    <r>
      <rPr>
        <sz val="10"/>
        <color rgb="FF000000"/>
        <rFont val="游ゴシック"/>
        <charset val="134"/>
      </rPr>
      <t>Kiểm tra stored XSS: sau khi đăng ký, mở lại màn chỉnh sửa để hiển thị lại giá trị</t>
    </r>
  </si>
  <si>
    <r>
      <rPr>
        <b/>
        <sz val="10"/>
        <color rgb="FF000000"/>
        <rFont val="メイリオ"/>
        <charset val="134"/>
      </rPr>
      <t xml:space="preserve">ステップ1：
</t>
    </r>
    <r>
      <rPr>
        <sz val="10"/>
        <color rgb="FF000000"/>
        <rFont val="メイリオ"/>
        <charset val="134"/>
      </rPr>
      <t xml:space="preserve">Nhận theo spec. Khi nhận, lưu literal vào DB, hiển thị màn hình không có escape sai
</t>
    </r>
    <r>
      <rPr>
        <b/>
        <sz val="10"/>
        <color rgb="FF000000"/>
        <rFont val="メイリオ"/>
        <charset val="134"/>
      </rPr>
      <t xml:space="preserve">ステップ2：
</t>
    </r>
    <r>
      <rPr>
        <sz val="10"/>
        <color rgb="FF000000"/>
        <rFont val="メイリオ"/>
        <charset val="134"/>
      </rPr>
      <t xml:space="preserve">Nhận hoặc từ chối theo spec. Nếu từ chối thì hiển thị message
</t>
    </r>
    <r>
      <rPr>
        <b/>
        <sz val="10"/>
        <color rgb="FF000000"/>
        <rFont val="メイリオ"/>
        <charset val="134"/>
      </rPr>
      <t xml:space="preserve">ステップ3：
</t>
    </r>
    <r>
      <rPr>
        <sz val="10"/>
        <color rgb="FF000000"/>
        <rFont val="メイリオ"/>
        <charset val="134"/>
      </rPr>
      <t xml:space="preserve">Hiển thị dưới dạng literal text (không execute). Lưu literal vào DB
</t>
    </r>
    <r>
      <rPr>
        <b/>
        <sz val="10"/>
        <color rgb="FF000000"/>
        <rFont val="メイリオ"/>
        <charset val="134"/>
      </rPr>
      <t xml:space="preserve">ステップ4：
</t>
    </r>
    <r>
      <rPr>
        <sz val="10"/>
        <color rgb="FF000000"/>
        <rFont val="メイリオ"/>
        <charset val="134"/>
      </rPr>
      <t xml:space="preserve">Đăng ký bình thường như 単価コード hợp lệ (parameterized query khiến injection không phát huy). Bảng `m_tanka` không bị xóa
</t>
    </r>
    <r>
      <rPr>
        <b/>
        <sz val="10"/>
        <color rgb="FF000000"/>
        <rFont val="メイリオ"/>
        <charset val="134"/>
      </rPr>
      <t xml:space="preserve">ステップ5：
</t>
    </r>
    <r>
      <rPr>
        <sz val="10"/>
        <color rgb="FF000000"/>
        <rFont val="メイリオ"/>
        <charset val="134"/>
      </rPr>
      <t xml:space="preserve">Hiển thị nguyên dạng literal text, JS không execute
</t>
    </r>
    <r>
      <rPr>
        <b/>
        <sz val="10"/>
        <color rgb="FF000000"/>
        <rFont val="メイリオ"/>
        <charset val="134"/>
      </rPr>
      <t xml:space="preserve">補足：
</t>
    </r>
    <r>
      <rPr>
        <sz val="10"/>
        <color rgb="FF000000"/>
        <rFont val="メイリオ"/>
        <charset val="134"/>
      </rPr>
      <t xml:space="preserve">・Auto-escape của Vue khiến XSS không phát huy
</t>
    </r>
    <r>
      <rPr>
        <sz val="10"/>
        <color rgb="FF000000"/>
        <rFont val="メイリオ"/>
        <charset val="134"/>
      </rPr>
      <t xml:space="preserve">・Parameterized query của TypeORM khiến SQL injection không phát huy
</t>
    </r>
    <r>
      <rPr>
        <sz val="10"/>
        <color rgb="FF000000"/>
        <rFont val="メイリオ"/>
        <charset val="134"/>
      </rPr>
      <t>・Lưu literal vào DB (không lưu data đã escape)</t>
    </r>
  </si>
  <si>
    <t>Critical bảo mật — nếu fail thì xử lý như incident.</t>
  </si>
  <si>
    <t>ACSMS-TC-003-021</t>
  </si>
  <si>
    <t>単価コード — Tự động trim whitespace 2 đầu</t>
  </si>
  <si>
    <r>
      <rPr>
        <b/>
        <strike/>
        <sz val="10"/>
        <color rgb="FF000000"/>
        <rFont val="メイリオ"/>
        <charset val="134"/>
      </rPr>
      <t xml:space="preserve">ステップ1：
</t>
    </r>
    <r>
      <rPr>
        <strike/>
        <sz val="10"/>
        <color rgb="FF000000"/>
        <rFont val="メイリオ"/>
        <charset val="134"/>
      </rPr>
      <t xml:space="preserve">Nhập `  TEST001  ` có dấu cách half-width 2 đầu → 登録
</t>
    </r>
    <r>
      <rPr>
        <b/>
        <strike/>
        <sz val="10"/>
        <color rgb="FF000000"/>
        <rFont val="メイリオ"/>
        <charset val="134"/>
      </rPr>
      <t xml:space="preserve">ステップ2：
</t>
    </r>
    <r>
      <rPr>
        <strike/>
        <sz val="10"/>
        <color rgb="FF000000"/>
        <rFont val="メイリオ"/>
        <charset val="134"/>
      </rPr>
      <t>Nhập `　TEST001　` có dấu cách full-width 2 đầu → 登録</t>
    </r>
  </si>
  <si>
    <r>
      <rPr>
        <b/>
        <strike/>
        <sz val="10"/>
        <color rgb="FF000000"/>
        <rFont val="メイリオ"/>
        <charset val="134"/>
      </rPr>
      <t xml:space="preserve">ステップ1：
</t>
    </r>
    <r>
      <rPr>
        <strike/>
        <sz val="10"/>
        <color rgb="FF000000"/>
        <rFont val="メイリオ"/>
        <charset val="134"/>
      </rPr>
      <t xml:space="preserve">Lưu vào DB là `TEST001` (đã trim whitespace 2 đầu)
</t>
    </r>
    <r>
      <rPr>
        <b/>
        <strike/>
        <sz val="10"/>
        <color rgb="FF000000"/>
        <rFont val="メイリオ"/>
        <charset val="134"/>
      </rPr>
      <t xml:space="preserve">ステップ2：
</t>
    </r>
    <r>
      <rPr>
        <strike/>
        <sz val="10"/>
        <color rgb="FF000000"/>
        <rFont val="メイリオ"/>
        <charset val="134"/>
      </rPr>
      <t xml:space="preserve">Lưu vào DB là `TEST001` (đã trim whitespace 2 đầu)
</t>
    </r>
    <r>
      <rPr>
        <b/>
        <strike/>
        <sz val="10"/>
        <color rgb="FF000000"/>
        <rFont val="メイリオ"/>
        <charset val="134"/>
      </rPr>
      <t xml:space="preserve">補足：
</t>
    </r>
    <r>
      <rPr>
        <strike/>
        <sz val="10"/>
        <color rgb="FF000000"/>
        <rFont val="メイリオ"/>
        <charset val="134"/>
      </rPr>
      <t>・Xử lý trim whitespace 2 đầu được áp dụng nhất quán ở backend</t>
    </r>
  </si>
  <si>
    <t>ACSMS-TC-003-022</t>
  </si>
  <si>
    <t>単価コード — Lỗi khi trùng lặp (không phân biệt hoa thường)</t>
  </si>
  <si>
    <t>・role: JA_HONTEN (thuộc ja-001)
・Pre-data: `tanka_id=99, tanka_code='T001', ja_id=1` đã tồn tại trong DB</t>
  </si>
  <si>
    <r>
      <rPr>
        <b/>
        <sz val="10"/>
        <color rgb="FF000000"/>
        <rFont val="游ゴシック"/>
        <charset val="134"/>
      </rPr>
      <t xml:space="preserve">ステップ1：
</t>
    </r>
    <r>
      <rPr>
        <sz val="10"/>
        <color rgb="FF000000"/>
        <rFont val="游ゴシック"/>
        <charset val="134"/>
      </rPr>
      <t xml:space="preserve">Nhập `T001` vào 単価コード → 登録
</t>
    </r>
    <r>
      <rPr>
        <b/>
        <sz val="10"/>
        <color rgb="FF000000"/>
        <rFont val="游ゴシック"/>
        <charset val="134"/>
      </rPr>
      <t xml:space="preserve">ステップ2：
</t>
    </r>
    <r>
      <rPr>
        <sz val="10"/>
        <color rgb="FF000000"/>
        <rFont val="游ゴシック"/>
        <charset val="134"/>
      </rPr>
      <t xml:space="preserve">Nhập `t001` (chữ thường) vào 単価コード → 登録
</t>
    </r>
    <r>
      <rPr>
        <b/>
        <sz val="10"/>
        <color rgb="FF000000"/>
        <rFont val="游ゴシック"/>
        <charset val="134"/>
      </rPr>
      <t xml:space="preserve">ステップ3：
</t>
    </r>
    <r>
      <rPr>
        <sz val="10"/>
        <color rgb="FF000000"/>
        <rFont val="游ゴシック"/>
        <charset val="134"/>
      </rPr>
      <t>Kiểm tra DB: `SELECT COUNT(*) FROM m_tanka WHERE tanka_code IN ('T001', 't001') AND ja_id = 1`</t>
    </r>
  </si>
  <si>
    <r>
      <rPr>
        <b/>
        <sz val="10"/>
        <color rgb="FF000000"/>
        <rFont val="游ゴシック"/>
        <charset val="134"/>
      </rPr>
      <t xml:space="preserve">ステップ1：
</t>
    </r>
    <r>
      <rPr>
        <sz val="10"/>
        <color rgb="FF000000"/>
        <rFont val="游ゴシック"/>
        <charset val="134"/>
      </rPr>
      <t xml:space="preserve">Trả về HTTP 200: Hiển thị Toast message thông báo thành công( 登録しました。)
</t>
    </r>
    <r>
      <rPr>
        <b/>
        <sz val="10"/>
        <color rgb="FF000000"/>
        <rFont val="游ゴシック"/>
        <charset val="134"/>
      </rPr>
      <t xml:space="preserve">ステップ2：
</t>
    </r>
    <r>
      <rPr>
        <sz val="10"/>
        <color rgb="FF000000"/>
        <rFont val="游ゴシック"/>
        <charset val="134"/>
      </rPr>
      <t xml:space="preserve">So sánh không phân biệt hoa thường nên phát hiện trùng, message và error_code giống bước trên
</t>
    </r>
    <r>
      <rPr>
        <b/>
        <sz val="10"/>
        <color rgb="FF000000"/>
        <rFont val="游ゴシック"/>
        <charset val="134"/>
      </rPr>
      <t xml:space="preserve">ステップ3：
</t>
    </r>
    <r>
      <rPr>
        <sz val="10"/>
        <color rgb="FF000000"/>
        <rFont val="游ゴシック"/>
        <charset val="134"/>
      </rPr>
      <t xml:space="preserve">Chỉ có 1 record (không có trùng)
</t>
    </r>
    <r>
      <rPr>
        <b/>
        <sz val="10"/>
        <color rgb="FF000000"/>
        <rFont val="游ゴシック"/>
        <charset val="134"/>
      </rPr>
      <t xml:space="preserve">補足：
</t>
    </r>
    <r>
      <rPr>
        <sz val="10"/>
        <color rgb="FF000000"/>
        <rFont val="游ゴシック"/>
        <charset val="134"/>
      </rPr>
      <t>・DB UNIQUE INDEX được set với collation không phân biệt hoa thường
・Cùng code ở JA khác được cho phép (ja-002 đăng ký `T001` là OK)</t>
    </r>
  </si>
  <si>
    <t>ACSMS-TC-003-023</t>
  </si>
  <si>
    <t>単価名 — Check bắt buộc (rỗng + ký tự khoảng trắng)</t>
  </si>
  <si>
    <r>
      <rPr>
        <b/>
        <sz val="10"/>
        <color rgb="FF000000"/>
        <rFont val="游ゴシック"/>
        <charset val="134"/>
      </rPr>
      <t xml:space="preserve">ステップ1：
</t>
    </r>
    <r>
      <rPr>
        <sz val="10"/>
        <color rgb="FF000000"/>
        <rFont val="游ゴシック"/>
        <charset val="134"/>
      </rPr>
      <t xml:space="preserve">Để trống 単価名 rồi nhấn 登録
</t>
    </r>
    <r>
      <rPr>
        <b/>
        <sz val="10"/>
        <color rgb="FF000000"/>
        <rFont val="游ゴシック"/>
        <charset val="134"/>
      </rPr>
      <t xml:space="preserve">ステップ2：
</t>
    </r>
    <r>
      <rPr>
        <sz val="10"/>
        <color rgb="FF000000"/>
        <rFont val="游ゴシック"/>
        <charset val="134"/>
      </rPr>
      <t>Chỉ nhập dấu cách half-width và full-width → 登録</t>
    </r>
  </si>
  <si>
    <r>
      <rPr>
        <b/>
        <sz val="10"/>
        <color rgb="FF000000"/>
        <rFont val="游ゴシック"/>
        <charset val="134"/>
      </rPr>
      <t xml:space="preserve">ステップ1：
</t>
    </r>
    <r>
      <rPr>
        <sz val="10"/>
        <color rgb="FF000000"/>
        <rFont val="游ゴシック"/>
        <charset val="134"/>
      </rPr>
      <t xml:space="preserve">Hiển thị `必須項目です。`
</t>
    </r>
    <r>
      <rPr>
        <b/>
        <sz val="10"/>
        <color rgb="FF000000"/>
        <rFont val="游ゴシック"/>
        <charset val="134"/>
      </rPr>
      <t xml:space="preserve">ステップ2：
</t>
    </r>
    <r>
      <rPr>
        <sz val="10"/>
        <color rgb="FF000000"/>
        <rFont val="游ゴシック"/>
        <charset val="134"/>
      </rPr>
      <t xml:space="preserve">Hiển thị `必須項目です。`
</t>
    </r>
    <r>
      <rPr>
        <b/>
        <sz val="10"/>
        <color rgb="FF000000"/>
        <rFont val="游ゴシック"/>
        <charset val="134"/>
      </rPr>
      <t xml:space="preserve">補足：
</t>
    </r>
    <r>
      <rPr>
        <sz val="10"/>
        <color rgb="FF000000"/>
        <rFont val="游ゴシック"/>
        <charset val="134"/>
      </rPr>
      <t>・Rỗng / chỉ chứa whitespace đều bị xem là vi phạm bắt buộc</t>
    </r>
  </si>
  <si>
    <t>ACSMS-TC-003-024</t>
  </si>
  <si>
    <t>単価名 — Giới hạn 100 ký tự (giá trị biên)</t>
  </si>
  <si>
    <r>
      <rPr>
        <b/>
        <sz val="10"/>
        <color rgb="FF000000"/>
        <rFont val="メイリオ"/>
        <charset val="134"/>
      </rPr>
      <t xml:space="preserve">ステップ1：
</t>
    </r>
    <r>
      <rPr>
        <sz val="10"/>
        <color rgb="FF000000"/>
        <rFont val="メイリオ"/>
        <charset val="134"/>
      </rPr>
      <t xml:space="preserve">Nhập 100 ký tự half-width → 登録
</t>
    </r>
    <r>
      <rPr>
        <b/>
        <sz val="10"/>
        <color rgb="FF000000"/>
        <rFont val="メイリオ"/>
        <charset val="134"/>
      </rPr>
      <t xml:space="preserve">ステップ2：
</t>
    </r>
    <r>
      <rPr>
        <sz val="10"/>
        <color rgb="FF000000"/>
        <rFont val="メイリオ"/>
        <charset val="134"/>
      </rPr>
      <t xml:space="preserve">Thử nhập ký tự half-width thứ 101
</t>
    </r>
    <r>
      <rPr>
        <b/>
        <sz val="10"/>
        <color rgb="FF000000"/>
        <rFont val="メイリオ"/>
        <charset val="134"/>
      </rPr>
      <t xml:space="preserve">ステップ3：
</t>
    </r>
    <r>
      <rPr>
        <sz val="10"/>
        <color rgb="FF000000"/>
        <rFont val="メイリオ"/>
        <charset val="134"/>
      </rPr>
      <t xml:space="preserve">Nhập 100 ký tự full-width (Hán tự) → 登録
</t>
    </r>
    <r>
      <rPr>
        <b/>
        <sz val="10"/>
        <color rgb="FF000000"/>
        <rFont val="メイリオ"/>
        <charset val="134"/>
      </rPr>
      <t xml:space="preserve">ステップ4：
</t>
    </r>
    <r>
      <rPr>
        <sz val="10"/>
        <color rgb="FF000000"/>
        <rFont val="メイリオ"/>
        <charset val="134"/>
      </rPr>
      <t>Nhập mix 50 half-width + 50 full-width → 登録</t>
    </r>
  </si>
  <si>
    <r>
      <rPr>
        <b/>
        <sz val="10"/>
        <color rgb="FF000000"/>
        <rFont val="メイリオ"/>
        <charset val="134"/>
      </rPr>
      <t xml:space="preserve">ステップ1：
</t>
    </r>
    <r>
      <rPr>
        <sz val="10"/>
        <color rgb="FF000000"/>
        <rFont val="メイリオ"/>
        <charset val="134"/>
      </rPr>
      <t xml:space="preserve">Nhận bình thường
</t>
    </r>
    <r>
      <rPr>
        <b/>
        <sz val="10"/>
        <color rgb="FF000000"/>
        <rFont val="メイリオ"/>
        <charset val="134"/>
      </rPr>
      <t xml:space="preserve">ステップ2：
</t>
    </r>
    <r>
      <rPr>
        <sz val="10"/>
        <color rgb="FF000000"/>
        <rFont val="メイリオ"/>
        <charset val="134"/>
      </rPr>
      <t xml:space="preserve">Không thể nhập ký tự thứ 101 do maxLength
</t>
    </r>
    <r>
      <rPr>
        <b/>
        <sz val="10"/>
        <color rgb="FF000000"/>
        <rFont val="メイリオ"/>
        <charset val="134"/>
      </rPr>
      <t xml:space="preserve">ステップ3：
</t>
    </r>
    <r>
      <rPr>
        <sz val="10"/>
        <color rgb="FF000000"/>
        <rFont val="メイリオ"/>
        <charset val="134"/>
      </rPr>
      <t xml:space="preserve">Nhận bình thường (đếm half-width và full-width như nhau)
</t>
    </r>
    <r>
      <rPr>
        <b/>
        <sz val="10"/>
        <color rgb="FF000000"/>
        <rFont val="メイリオ"/>
        <charset val="134"/>
      </rPr>
      <t xml:space="preserve">ステップ4：
</t>
    </r>
    <r>
      <rPr>
        <sz val="10"/>
        <color rgb="FF000000"/>
        <rFont val="メイリオ"/>
        <charset val="134"/>
      </rPr>
      <t xml:space="preserve">Nhận bình thường
</t>
    </r>
    <r>
      <rPr>
        <b/>
        <sz val="10"/>
        <color rgb="FF000000"/>
        <rFont val="メイリオ"/>
        <charset val="134"/>
      </rPr>
      <t xml:space="preserve">補足：
</t>
    </r>
    <r>
      <rPr>
        <sz val="10"/>
        <color rgb="FF000000"/>
        <rFont val="メイリオ"/>
        <charset val="134"/>
      </rPr>
      <t>・Giới hạn 100 ký tự đếm chung cho cả half-width và full-width</t>
    </r>
  </si>
  <si>
    <t>ACSMS-TC-003-025</t>
  </si>
  <si>
    <t>単価名 — Cho phép ký tự half-width (alphanumeric + ký hiệu)</t>
  </si>
  <si>
    <r>
      <rPr>
        <b/>
        <sz val="10"/>
        <color rgb="FF000000"/>
        <rFont val="游ゴシック"/>
        <charset val="134"/>
      </rPr>
      <t xml:space="preserve">ステップ1：
</t>
    </r>
    <r>
      <rPr>
        <sz val="10"/>
        <color rgb="FF000000"/>
        <rFont val="游ゴシック"/>
        <charset val="134"/>
      </rPr>
      <t>Nhập alphanumeric + ký hiệu `Subscription Fee 2026 (Plan-A)` → 登録</t>
    </r>
  </si>
  <si>
    <r>
      <rPr>
        <b/>
        <sz val="10"/>
        <color rgb="FF000000"/>
        <rFont val="メイリオ"/>
        <charset val="134"/>
      </rPr>
      <t xml:space="preserve">ステップ1：
</t>
    </r>
    <r>
      <rPr>
        <sz val="10"/>
        <color rgb="FF000000"/>
        <rFont val="メイリオ"/>
        <charset val="134"/>
      </rPr>
      <t xml:space="preserve">Nhận bình thường
</t>
    </r>
    <r>
      <rPr>
        <b/>
        <sz val="10"/>
        <color rgb="FF000000"/>
        <rFont val="メイリオ"/>
        <charset val="134"/>
      </rPr>
      <t xml:space="preserve">補足：
</t>
    </r>
    <r>
      <rPr>
        <sz val="10"/>
        <color rgb="FF000000"/>
        <rFont val="メイリオ"/>
        <charset val="134"/>
      </rPr>
      <t>・Cho phép tất cả ký tự half-width</t>
    </r>
  </si>
  <si>
    <t>ACSMS-TC-003-026</t>
  </si>
  <si>
    <t>単価名 — Cho phép ký tự full-width (Hán tự / hiragana / katakana)</t>
  </si>
  <si>
    <r>
      <rPr>
        <b/>
        <sz val="10"/>
        <color rgb="FF000000"/>
        <rFont val="游ゴシック"/>
        <charset val="134"/>
      </rPr>
      <t xml:space="preserve">ステップ1：
</t>
    </r>
    <r>
      <rPr>
        <sz val="10"/>
        <color rgb="FF000000"/>
        <rFont val="游ゴシック"/>
        <charset val="134"/>
      </rPr>
      <t xml:space="preserve">Nhập Hán tự `購読料金 (年間契約)` → 登録
</t>
    </r>
    <r>
      <rPr>
        <b/>
        <sz val="10"/>
        <color rgb="FF000000"/>
        <rFont val="游ゴシック"/>
        <charset val="134"/>
      </rPr>
      <t xml:space="preserve">ステップ2：
</t>
    </r>
    <r>
      <rPr>
        <sz val="10"/>
        <color rgb="FF000000"/>
        <rFont val="游ゴシック"/>
        <charset val="134"/>
      </rPr>
      <t xml:space="preserve">Nhập hiragana `しんぶんりょうきん` → 登録
</t>
    </r>
    <r>
      <rPr>
        <b/>
        <sz val="10"/>
        <color rgb="FF000000"/>
        <rFont val="游ゴシック"/>
        <charset val="134"/>
      </rPr>
      <t xml:space="preserve">ステップ3：
</t>
    </r>
    <r>
      <rPr>
        <sz val="10"/>
        <color rgb="FF000000"/>
        <rFont val="游ゴシック"/>
        <charset val="134"/>
      </rPr>
      <t xml:space="preserve">Nhập katakana `スクリプション` → 登録
</t>
    </r>
    <r>
      <rPr>
        <b/>
        <sz val="10"/>
        <color rgb="FF000000"/>
        <rFont val="游ゴシック"/>
        <charset val="134"/>
      </rPr>
      <t xml:space="preserve">ステップ4：
</t>
    </r>
    <r>
      <rPr>
        <sz val="10"/>
        <color rgb="FF000000"/>
        <rFont val="游ゴシック"/>
        <charset val="134"/>
      </rPr>
      <t>Nhập katakana half-width `ｽｸﾘﾌﾟｼｮﾝ` → 登録</t>
    </r>
  </si>
  <si>
    <r>
      <rPr>
        <b/>
        <sz val="10"/>
        <color rgb="FF000000"/>
        <rFont val="メイリオ"/>
        <charset val="134"/>
      </rPr>
      <t xml:space="preserve">ステップ1：
</t>
    </r>
    <r>
      <rPr>
        <sz val="10"/>
        <color rgb="FF000000"/>
        <rFont val="メイリオ"/>
        <charset val="134"/>
      </rPr>
      <t xml:space="preserve">Nhận bình thường
</t>
    </r>
    <r>
      <rPr>
        <b/>
        <sz val="10"/>
        <color rgb="FF000000"/>
        <rFont val="メイリオ"/>
        <charset val="134"/>
      </rPr>
      <t xml:space="preserve">ステップ2：
</t>
    </r>
    <r>
      <rPr>
        <sz val="10"/>
        <color rgb="FF000000"/>
        <rFont val="メイリオ"/>
        <charset val="134"/>
      </rPr>
      <t xml:space="preserve">Nhận bình thường
</t>
    </r>
    <r>
      <rPr>
        <b/>
        <sz val="10"/>
        <color rgb="FF000000"/>
        <rFont val="メイリオ"/>
        <charset val="134"/>
      </rPr>
      <t xml:space="preserve">ステップ3：
</t>
    </r>
    <r>
      <rPr>
        <sz val="10"/>
        <color rgb="FF000000"/>
        <rFont val="メイリオ"/>
        <charset val="134"/>
      </rPr>
      <t xml:space="preserve">Nhận bình thường
</t>
    </r>
    <r>
      <rPr>
        <b/>
        <sz val="10"/>
        <color rgb="FF000000"/>
        <rFont val="メイリオ"/>
        <charset val="134"/>
      </rPr>
      <t xml:space="preserve">ステップ4：
</t>
    </r>
    <r>
      <rPr>
        <sz val="10"/>
        <color rgb="FF000000"/>
        <rFont val="メイリオ"/>
        <charset val="134"/>
      </rPr>
      <t xml:space="preserve">Nhận bình thường (theo spec)
</t>
    </r>
    <r>
      <rPr>
        <b/>
        <sz val="10"/>
        <color rgb="FF000000"/>
        <rFont val="メイリオ"/>
        <charset val="134"/>
      </rPr>
      <t xml:space="preserve">補足：
</t>
    </r>
    <r>
      <rPr>
        <sz val="10"/>
        <color rgb="FF000000"/>
        <rFont val="メイリオ"/>
        <charset val="134"/>
      </rPr>
      <t>・Cho phép cả full-width và half-width katakana</t>
    </r>
  </si>
  <si>
    <t>ACSMS-TC-003-027</t>
  </si>
  <si>
    <t>単価名 — Xử lý an toàn ký tự đặc biệt / emoji / HTML / SQL injection</t>
  </si>
  <si>
    <r>
      <rPr>
        <b/>
        <sz val="10"/>
        <color rgb="FF000000"/>
        <rFont val="游ゴシック"/>
        <charset val="134"/>
      </rPr>
      <t xml:space="preserve">ステップ1：
</t>
    </r>
    <r>
      <rPr>
        <sz val="10"/>
        <color rgb="FF000000"/>
        <rFont val="游ゴシック"/>
        <charset val="134"/>
      </rPr>
      <t xml:space="preserve">Nhập ký hiệu thông thường `!@#$%^&amp;*` → 登録 → kiểm tra hiển thị danh sách
</t>
    </r>
    <r>
      <rPr>
        <b/>
        <sz val="10"/>
        <color rgb="FF000000"/>
        <rFont val="游ゴシック"/>
        <charset val="134"/>
      </rPr>
      <t xml:space="preserve">ステップ2：
</t>
    </r>
    <r>
      <rPr>
        <sz val="10"/>
        <color rgb="FF000000"/>
        <rFont val="游ゴシック"/>
        <charset val="134"/>
      </rPr>
      <t xml:space="preserve">Nhập emoji `🎉` → 登録
</t>
    </r>
    <r>
      <rPr>
        <b/>
        <sz val="10"/>
        <color rgb="FF000000"/>
        <rFont val="游ゴシック"/>
        <charset val="134"/>
      </rPr>
      <t xml:space="preserve">ステップ3：
</t>
    </r>
    <r>
      <rPr>
        <sz val="10"/>
        <color rgb="FF000000"/>
        <rFont val="游ゴシック"/>
        <charset val="134"/>
      </rPr>
      <t xml:space="preserve">Nhập HTML `&lt;b&gt;BOLD&lt;/b&gt;` → 登録 → mở lại màn chỉnh sửa
</t>
    </r>
    <r>
      <rPr>
        <b/>
        <sz val="10"/>
        <color rgb="FF000000"/>
        <rFont val="游ゴシック"/>
        <charset val="134"/>
      </rPr>
      <t xml:space="preserve">ステップ4：
</t>
    </r>
    <r>
      <rPr>
        <sz val="10"/>
        <color rgb="FF000000"/>
        <rFont val="游ゴシック"/>
        <charset val="134"/>
      </rPr>
      <t>Nhập SQL `'; DROP TABLE m_tanka; --` → 登録</t>
    </r>
  </si>
  <si>
    <r>
      <rPr>
        <b/>
        <sz val="10"/>
        <color rgb="FF000000"/>
        <rFont val="メイリオ"/>
        <charset val="134"/>
      </rPr>
      <t xml:space="preserve">ステップ1：
</t>
    </r>
    <r>
      <rPr>
        <sz val="10"/>
        <color rgb="FF000000"/>
        <rFont val="メイリオ"/>
        <charset val="134"/>
      </rPr>
      <t xml:space="preserve">Hiển thị literal
</t>
    </r>
    <r>
      <rPr>
        <b/>
        <sz val="10"/>
        <color rgb="FF000000"/>
        <rFont val="メイリオ"/>
        <charset val="134"/>
      </rPr>
      <t xml:space="preserve">ステップ2：
</t>
    </r>
    <r>
      <rPr>
        <sz val="10"/>
        <color rgb="FF000000"/>
        <rFont val="メイリオ"/>
        <charset val="134"/>
      </rPr>
      <t xml:space="preserve">Nhận / từ chối theo spec
</t>
    </r>
    <r>
      <rPr>
        <b/>
        <sz val="10"/>
        <color rgb="FF000000"/>
        <rFont val="メイリオ"/>
        <charset val="134"/>
      </rPr>
      <t xml:space="preserve">ステップ3：
</t>
    </r>
    <r>
      <rPr>
        <sz val="10"/>
        <color rgb="FF000000"/>
        <rFont val="メイリオ"/>
        <charset val="134"/>
      </rPr>
      <t xml:space="preserve">Hiển thị dưới dạng literal text (không execute, không in đậm)
</t>
    </r>
    <r>
      <rPr>
        <b/>
        <sz val="10"/>
        <color rgb="FF000000"/>
        <rFont val="メイリオ"/>
        <charset val="134"/>
      </rPr>
      <t xml:space="preserve">ステップ4：
</t>
    </r>
    <r>
      <rPr>
        <sz val="10"/>
        <color rgb="FF000000"/>
        <rFont val="メイリオ"/>
        <charset val="134"/>
      </rPr>
      <t xml:space="preserve">Lưu literal, bảng không bị xóa
</t>
    </r>
    <r>
      <rPr>
        <b/>
        <sz val="10"/>
        <color rgb="FF000000"/>
        <rFont val="メイリオ"/>
        <charset val="134"/>
      </rPr>
      <t xml:space="preserve">補足：
</t>
    </r>
    <r>
      <rPr>
        <sz val="10"/>
        <color rgb="FF000000"/>
        <rFont val="メイリオ"/>
        <charset val="134"/>
      </rPr>
      <t>・XSS / SQL injection không phát huy</t>
    </r>
  </si>
  <si>
    <t>ACSMS-TC-003-028</t>
  </si>
  <si>
    <t>単価名 — Tự động trim whitespace 2 đầu</t>
  </si>
  <si>
    <r>
      <rPr>
        <b/>
        <strike/>
        <sz val="10"/>
        <color rgb="FF000000"/>
        <rFont val="メイリオ"/>
        <charset val="134"/>
      </rPr>
      <t xml:space="preserve">ステップ1：
</t>
    </r>
    <r>
      <rPr>
        <strike/>
        <sz val="10"/>
        <color rgb="FF000000"/>
        <rFont val="メイリオ"/>
        <charset val="134"/>
      </rPr>
      <t>Nhập `  テスト単価名  ` có dấu cách 2 đầu → 登録</t>
    </r>
  </si>
  <si>
    <r>
      <rPr>
        <b/>
        <strike/>
        <sz val="10"/>
        <color rgb="FF000000"/>
        <rFont val="メイリオ"/>
        <charset val="134"/>
      </rPr>
      <t xml:space="preserve">ステップ1：
</t>
    </r>
    <r>
      <rPr>
        <strike/>
        <sz val="10"/>
        <color rgb="FF000000"/>
        <rFont val="メイリオ"/>
        <charset val="134"/>
      </rPr>
      <t xml:space="preserve">Lưu vào DB là `テスト単価名` (đã trim whitespace 2 đầu)
</t>
    </r>
    <r>
      <rPr>
        <b/>
        <strike/>
        <sz val="10"/>
        <color rgb="FF000000"/>
        <rFont val="メイリオ"/>
        <charset val="134"/>
      </rPr>
      <t xml:space="preserve">補足：
</t>
    </r>
    <r>
      <rPr>
        <strike/>
        <sz val="10"/>
        <color rgb="FF000000"/>
        <rFont val="メイリオ"/>
        <charset val="134"/>
      </rPr>
      <t>・Xử lý trim whitespace 2 đầu được áp dụng nhất quán</t>
    </r>
  </si>
  <si>
    <t>ACSMS-TC-003-029</t>
  </si>
  <si>
    <t>税率 — Hiển thị giá trị mặc định 0%</t>
  </si>
  <si>
    <t>・Mở mới màn đăng ký</t>
  </si>
  <si>
    <r>
      <rPr>
        <b/>
        <sz val="10"/>
        <color rgb="FF000000"/>
        <rFont val="メイリオ"/>
        <charset val="134"/>
      </rPr>
      <t xml:space="preserve">ステップ1：
</t>
    </r>
    <r>
      <rPr>
        <sz val="10"/>
        <color rgb="FF000000"/>
        <rFont val="メイリオ"/>
        <charset val="134"/>
      </rPr>
      <t>Kiểm tra hiển thị ban đầu của ô nhập 税率</t>
    </r>
  </si>
  <si>
    <r>
      <rPr>
        <b/>
        <sz val="10"/>
        <color rgb="FF000000"/>
        <rFont val="メイリオ"/>
        <charset val="134"/>
      </rPr>
      <t xml:space="preserve">ステップ1：
</t>
    </r>
    <r>
      <rPr>
        <sz val="10"/>
        <color rgb="FF000000"/>
        <rFont val="メイリオ"/>
        <charset val="134"/>
      </rPr>
      <t xml:space="preserve">Hiển thị `0` hoặc `0%`
</t>
    </r>
    <r>
      <rPr>
        <b/>
        <sz val="10"/>
        <color rgb="FF000000"/>
        <rFont val="メイリオ"/>
        <charset val="134"/>
      </rPr>
      <t xml:space="preserve">補足：
</t>
    </r>
    <r>
      <rPr>
        <sz val="10"/>
        <color rgb="FF000000"/>
        <rFont val="メイリオ"/>
        <charset val="134"/>
      </rPr>
      <t>・Giá trị mặc định 0 chắc chắn được hiển thị</t>
    </r>
  </si>
  <si>
    <t>ACSMS-TC-003-030</t>
  </si>
  <si>
    <t>税率 — Cho phép số half-width, từ chối số full-width</t>
  </si>
  <si>
    <r>
      <rPr>
        <b/>
        <sz val="10"/>
        <color rgb="FF000000"/>
        <rFont val="游ゴシック"/>
        <charset val="134"/>
      </rPr>
      <t xml:space="preserve">ステップ1：
</t>
    </r>
    <r>
      <rPr>
        <sz val="10"/>
        <color rgb="FF000000"/>
        <rFont val="游ゴシック"/>
        <charset val="134"/>
      </rPr>
      <t xml:space="preserve">Nhập số half-width `10` → focus out
</t>
    </r>
    <r>
      <rPr>
        <b/>
        <sz val="10"/>
        <color rgb="FF000000"/>
        <rFont val="游ゴシック"/>
        <charset val="134"/>
      </rPr>
      <t xml:space="preserve">ステップ2：
</t>
    </r>
    <r>
      <rPr>
        <sz val="10"/>
        <color rgb="FF000000"/>
        <rFont val="游ゴシック"/>
        <charset val="134"/>
      </rPr>
      <t>Nhập số full-width `１０` → focus out</t>
    </r>
  </si>
  <si>
    <r>
      <rPr>
        <b/>
        <sz val="10"/>
        <color rgb="FF000000"/>
        <rFont val="メイリオ"/>
        <charset val="134"/>
      </rPr>
      <t xml:space="preserve">ステップ1：
</t>
    </r>
    <r>
      <rPr>
        <sz val="10"/>
        <color rgb="FF000000"/>
        <rFont val="メイリオ"/>
        <charset val="134"/>
      </rPr>
      <t xml:space="preserve">Nhận, giữ hiển thị `10`
</t>
    </r>
    <r>
      <rPr>
        <b/>
        <sz val="10"/>
        <color rgb="FF000000"/>
        <rFont val="メイリオ"/>
        <charset val="134"/>
      </rPr>
      <t xml:space="preserve">ステップ2：
</t>
    </r>
    <r>
      <rPr>
        <sz val="10"/>
        <color rgb="FF000000"/>
        <rFont val="メイリオ"/>
        <charset val="134"/>
      </rPr>
      <t xml:space="preserve">Từ chối (auto-convert sang half-width hoặc hiển thị error)
</t>
    </r>
    <r>
      <rPr>
        <b/>
        <sz val="10"/>
        <color rgb="FF000000"/>
        <rFont val="メイリオ"/>
        <charset val="134"/>
      </rPr>
      <t xml:space="preserve">補足：
</t>
    </r>
    <r>
      <rPr>
        <sz val="10"/>
        <color rgb="FF000000"/>
        <rFont val="メイリオ"/>
        <charset val="134"/>
      </rPr>
      <t>・Chỉ cho phép số half-width</t>
    </r>
  </si>
  <si>
    <t>ACSMS-TC-003-031</t>
  </si>
  <si>
    <t>税率 — Từ chối ký tự (chữ cái)</t>
  </si>
  <si>
    <r>
      <rPr>
        <b/>
        <sz val="10"/>
        <color rgb="FF000000"/>
        <rFont val="メイリオ"/>
        <charset val="134"/>
      </rPr>
      <t xml:space="preserve">ステップ1：
</t>
    </r>
    <r>
      <rPr>
        <sz val="10"/>
        <color rgb="FF000000"/>
        <rFont val="メイリオ"/>
        <charset val="134"/>
      </rPr>
      <t>Thử nhập chữ cái `abc`</t>
    </r>
  </si>
  <si>
    <r>
      <rPr>
        <b/>
        <sz val="10"/>
        <color rgb="FF000000"/>
        <rFont val="メイリオ"/>
        <charset val="134"/>
      </rPr>
      <t xml:space="preserve">ステップ1：
</t>
    </r>
    <r>
      <rPr>
        <sz val="10"/>
        <color rgb="FF000000"/>
        <rFont val="メイリオ"/>
        <charset val="134"/>
      </rPr>
      <t xml:space="preserve">Input từ chối, không thể nhập
</t>
    </r>
    <r>
      <rPr>
        <b/>
        <sz val="10"/>
        <color rgb="FF000000"/>
        <rFont val="メイリオ"/>
        <charset val="134"/>
      </rPr>
      <t xml:space="preserve">補足：
</t>
    </r>
    <r>
      <rPr>
        <sz val="10"/>
        <color rgb="FF000000"/>
        <rFont val="メイリオ"/>
        <charset val="134"/>
      </rPr>
      <t>・Từ chối tất cả ký tự ngoài số</t>
    </r>
  </si>
  <si>
    <t>ACSMS-TC-003-032</t>
  </si>
  <si>
    <t>税率 — Phạm vi (0〜100)</t>
  </si>
  <si>
    <r>
      <rPr>
        <b/>
        <sz val="10"/>
        <color rgb="FF000000"/>
        <rFont val="メイリオ"/>
        <charset val="134"/>
      </rPr>
      <t xml:space="preserve">ステップ1：
</t>
    </r>
    <r>
      <rPr>
        <sz val="10"/>
        <color rgb="FF000000"/>
        <rFont val="メイリオ"/>
        <charset val="134"/>
      </rPr>
      <t xml:space="preserve">Nhập `0` → 登録
</t>
    </r>
    <r>
      <rPr>
        <b/>
        <sz val="10"/>
        <color rgb="FF000000"/>
        <rFont val="メイリオ"/>
        <charset val="134"/>
      </rPr>
      <t xml:space="preserve">ステップ2：
</t>
    </r>
    <r>
      <rPr>
        <sz val="10"/>
        <color rgb="FF000000"/>
        <rFont val="メイリオ"/>
        <charset val="134"/>
      </rPr>
      <t xml:space="preserve">Nhập `100` → 登録
</t>
    </r>
    <r>
      <rPr>
        <b/>
        <sz val="10"/>
        <color rgb="FF000000"/>
        <rFont val="メイリオ"/>
        <charset val="134"/>
      </rPr>
      <t xml:space="preserve">ステップ3：
</t>
    </r>
    <r>
      <rPr>
        <sz val="10"/>
        <color rgb="FF000000"/>
        <rFont val="メイリオ"/>
        <charset val="134"/>
      </rPr>
      <t xml:space="preserve">Thử nhập `101`
</t>
    </r>
    <r>
      <rPr>
        <b/>
        <sz val="10"/>
        <color rgb="FF000000"/>
        <rFont val="メイリオ"/>
        <charset val="134"/>
      </rPr>
      <t xml:space="preserve">ステップ4：
</t>
    </r>
    <r>
      <rPr>
        <sz val="10"/>
        <color rgb="FF000000"/>
        <rFont val="メイリオ"/>
        <charset val="134"/>
      </rPr>
      <t>Thử nhập `-1` (dấu trừ)</t>
    </r>
  </si>
  <si>
    <r>
      <rPr>
        <b/>
        <sz val="10"/>
        <color rgb="FF000000"/>
        <rFont val="メイリオ"/>
        <charset val="134"/>
      </rPr>
      <t xml:space="preserve">ステップ1：
</t>
    </r>
    <r>
      <rPr>
        <sz val="10"/>
        <color rgb="FF000000"/>
        <rFont val="メイリオ"/>
        <charset val="134"/>
      </rPr>
      <t xml:space="preserve">Nhận bình thường (giá trị min)
</t>
    </r>
    <r>
      <rPr>
        <b/>
        <sz val="10"/>
        <color rgb="FF000000"/>
        <rFont val="メイリオ"/>
        <charset val="134"/>
      </rPr>
      <t xml:space="preserve">ステップ2：
</t>
    </r>
    <r>
      <rPr>
        <sz val="10"/>
        <color rgb="FF000000"/>
        <rFont val="メイリオ"/>
        <charset val="134"/>
      </rPr>
      <t xml:space="preserve">Nhận bình thường (giá trị max)
</t>
    </r>
    <r>
      <rPr>
        <b/>
        <sz val="10"/>
        <color rgb="FF000000"/>
        <rFont val="メイリオ"/>
        <charset val="134"/>
      </rPr>
      <t xml:space="preserve">ステップ3：
</t>
    </r>
    <r>
      <rPr>
        <sz val="10"/>
        <color rgb="FF000000"/>
        <rFont val="メイリオ"/>
        <charset val="134"/>
      </rPr>
      <t xml:space="preserve">Ngoài phạm vi, tự động cắt hoặc hiển thị error
</t>
    </r>
    <r>
      <rPr>
        <b/>
        <sz val="10"/>
        <color rgb="FF000000"/>
        <rFont val="メイリオ"/>
        <charset val="134"/>
      </rPr>
      <t xml:space="preserve">ステップ4：
</t>
    </r>
    <r>
      <rPr>
        <sz val="10"/>
        <color rgb="FF000000"/>
        <rFont val="メイリオ"/>
        <charset val="134"/>
      </rPr>
      <t xml:space="preserve">Từ chối
</t>
    </r>
    <r>
      <rPr>
        <b/>
        <sz val="10"/>
        <color rgb="FF000000"/>
        <rFont val="メイリオ"/>
        <charset val="134"/>
      </rPr>
      <t xml:space="preserve">補足：
</t>
    </r>
    <r>
      <rPr>
        <sz val="10"/>
        <color rgb="FF000000"/>
        <rFont val="メイリオ"/>
        <charset val="134"/>
      </rPr>
      <t>・Phạm vi 0〜100 được enforce nghiêm ngặt</t>
    </r>
  </si>
  <si>
    <t>ACSMS-TC-003-033</t>
  </si>
  <si>
    <t>税率 — Giới hạn độ dài tối đa (5 chữ số)</t>
  </si>
  <si>
    <r>
      <rPr>
        <b/>
        <sz val="10"/>
        <color rgb="FF000000"/>
        <rFont val="游ゴシック"/>
        <charset val="134"/>
      </rPr>
      <t xml:space="preserve">ステップ1：
</t>
    </r>
    <r>
      <rPr>
        <sz val="10"/>
        <color rgb="FF000000"/>
        <rFont val="游ゴシック"/>
        <charset val="134"/>
      </rPr>
      <t xml:space="preserve">Nhập `99.99` (5 ký tự) → 登録
</t>
    </r>
    <r>
      <rPr>
        <b/>
        <sz val="10"/>
        <color rgb="FF000000"/>
        <rFont val="游ゴシック"/>
        <charset val="134"/>
      </rPr>
      <t xml:space="preserve">ステップ2：
</t>
    </r>
    <r>
      <rPr>
        <sz val="10"/>
        <color rgb="FF000000"/>
        <rFont val="游ゴシック"/>
        <charset val="134"/>
      </rPr>
      <t>Thử nhập `99.999` (ký tự thứ 6)</t>
    </r>
  </si>
  <si>
    <r>
      <rPr>
        <b/>
        <sz val="10"/>
        <color rgb="FF000000"/>
        <rFont val="メイリオ"/>
        <charset val="134"/>
      </rPr>
      <t xml:space="preserve">ステップ1：
</t>
    </r>
    <r>
      <rPr>
        <sz val="10"/>
        <color rgb="FF000000"/>
        <rFont val="メイリオ"/>
        <charset val="134"/>
      </rPr>
      <t xml:space="preserve">Nhận
</t>
    </r>
    <r>
      <rPr>
        <b/>
        <sz val="10"/>
        <color rgb="FF000000"/>
        <rFont val="メイリオ"/>
        <charset val="134"/>
      </rPr>
      <t xml:space="preserve">ステップ2：
</t>
    </r>
    <r>
      <rPr>
        <sz val="10"/>
        <color rgb="FF000000"/>
        <rFont val="メイリオ"/>
        <charset val="134"/>
      </rPr>
      <t xml:space="preserve">Không thể nhập ký tự thứ 6 do maxLength
</t>
    </r>
    <r>
      <rPr>
        <b/>
        <sz val="10"/>
        <color rgb="FF000000"/>
        <rFont val="メイリオ"/>
        <charset val="134"/>
      </rPr>
      <t xml:space="preserve">補足：
</t>
    </r>
    <r>
      <rPr>
        <sz val="10"/>
        <color rgb="FF000000"/>
        <rFont val="メイリオ"/>
        <charset val="134"/>
      </rPr>
      <t>・maxLength=5 được enforce</t>
    </r>
  </si>
  <si>
    <t>ACSMS-TC-003-034</t>
  </si>
  <si>
    <t>税率 — Độ chính xác 2 chữ số sau dấu thập phân</t>
  </si>
  <si>
    <r>
      <rPr>
        <b/>
        <sz val="10"/>
        <color rgb="FF000000"/>
        <rFont val="游ゴシック"/>
        <charset val="134"/>
      </rPr>
      <t xml:space="preserve">ステップ1：
</t>
    </r>
    <r>
      <rPr>
        <sz val="10"/>
        <color rgb="FF000000"/>
        <rFont val="游ゴシック"/>
        <charset val="134"/>
      </rPr>
      <t xml:space="preserve">Nhập `10.5` → 登録 → kiểm tra DB
</t>
    </r>
    <r>
      <rPr>
        <b/>
        <sz val="10"/>
        <color rgb="FF000000"/>
        <rFont val="游ゴシック"/>
        <charset val="134"/>
      </rPr>
      <t xml:space="preserve">ステップ2：
</t>
    </r>
    <r>
      <rPr>
        <sz val="10"/>
        <color rgb="FF000000"/>
        <rFont val="游ゴシック"/>
        <charset val="134"/>
      </rPr>
      <t>Nhập `10.555` → focus out</t>
    </r>
  </si>
  <si>
    <r>
      <rPr>
        <b/>
        <sz val="10"/>
        <color rgb="FF000000"/>
        <rFont val="メイリオ"/>
        <charset val="134"/>
      </rPr>
      <t xml:space="preserve">ステップ1：
</t>
    </r>
    <r>
      <rPr>
        <sz val="10"/>
        <color rgb="FF000000"/>
        <rFont val="メイリオ"/>
        <charset val="134"/>
      </rPr>
      <t xml:space="preserve">Lưu vào DB là `10.50` (độ chính xác 2 chữ số)
</t>
    </r>
    <r>
      <rPr>
        <b/>
        <sz val="10"/>
        <color rgb="FF000000"/>
        <rFont val="メイリオ"/>
        <charset val="134"/>
      </rPr>
      <t xml:space="preserve">ステップ2：
</t>
    </r>
    <r>
      <rPr>
        <sz val="10"/>
        <color rgb="FF000000"/>
        <rFont val="メイリオ"/>
        <charset val="134"/>
      </rPr>
      <t xml:space="preserve">Cắt hoặc round thành `10.55` hoặc `10.56` (theo spec)
</t>
    </r>
    <r>
      <rPr>
        <b/>
        <sz val="10"/>
        <color rgb="FF000000"/>
        <rFont val="メイリオ"/>
        <charset val="134"/>
      </rPr>
      <t xml:space="preserve">補足：
</t>
    </r>
    <r>
      <rPr>
        <sz val="10"/>
        <color rgb="FF000000"/>
        <rFont val="メイリオ"/>
        <charset val="134"/>
      </rPr>
      <t>・Input vượt độ chính xác 2 chữ số sau thập phân được xử lý theo spec</t>
    </r>
  </si>
  <si>
    <t>ACSMS-TC-003-035</t>
  </si>
  <si>
    <t>税率 — Từ chối ký tự đặc biệt / emoji / số âm</t>
  </si>
  <si>
    <r>
      <rPr>
        <b/>
        <sz val="10"/>
        <color rgb="FF000000"/>
        <rFont val="游ゴシック"/>
        <charset val="134"/>
      </rPr>
      <t xml:space="preserve">ステップ1：
</t>
    </r>
    <r>
      <rPr>
        <sz val="10"/>
        <color rgb="FF000000"/>
        <rFont val="游ゴシック"/>
        <charset val="134"/>
      </rPr>
      <t xml:space="preserve">Thử nhập `!@#`
</t>
    </r>
    <r>
      <rPr>
        <b/>
        <sz val="10"/>
        <color rgb="FF000000"/>
        <rFont val="游ゴシック"/>
        <charset val="134"/>
      </rPr>
      <t xml:space="preserve">ステップ2：
</t>
    </r>
    <r>
      <rPr>
        <sz val="10"/>
        <color rgb="FF000000"/>
        <rFont val="游ゴシック"/>
        <charset val="134"/>
      </rPr>
      <t xml:space="preserve">Thử nhập emoji `🎉`
</t>
    </r>
    <r>
      <rPr>
        <b/>
        <sz val="10"/>
        <color rgb="FF000000"/>
        <rFont val="游ゴシック"/>
        <charset val="134"/>
      </rPr>
      <t xml:space="preserve">ステップ3：
</t>
    </r>
    <r>
      <rPr>
        <sz val="10"/>
        <color rgb="FF000000"/>
        <rFont val="游ゴシック"/>
        <charset val="134"/>
      </rPr>
      <t>Thử nhập `-5`</t>
    </r>
  </si>
  <si>
    <r>
      <rPr>
        <b/>
        <sz val="10"/>
        <color rgb="FF000000"/>
        <rFont val="メイリオ"/>
        <charset val="134"/>
      </rPr>
      <t xml:space="preserve">ステップ1：
</t>
    </r>
    <r>
      <rPr>
        <sz val="10"/>
        <color rgb="FF000000"/>
        <rFont val="メイリオ"/>
        <charset val="134"/>
      </rPr>
      <t xml:space="preserve">Từ chối
</t>
    </r>
    <r>
      <rPr>
        <b/>
        <sz val="10"/>
        <color rgb="FF000000"/>
        <rFont val="メイリオ"/>
        <charset val="134"/>
      </rPr>
      <t xml:space="preserve">ステップ2：
</t>
    </r>
    <r>
      <rPr>
        <sz val="10"/>
        <color rgb="FF000000"/>
        <rFont val="メイリオ"/>
        <charset val="134"/>
      </rPr>
      <t xml:space="preserve">Từ chối
</t>
    </r>
    <r>
      <rPr>
        <b/>
        <sz val="10"/>
        <color rgb="FF000000"/>
        <rFont val="メイリオ"/>
        <charset val="134"/>
      </rPr>
      <t xml:space="preserve">ステップ3：
</t>
    </r>
    <r>
      <rPr>
        <sz val="10"/>
        <color rgb="FF000000"/>
        <rFont val="メイリオ"/>
        <charset val="134"/>
      </rPr>
      <t xml:space="preserve">Từ chối
</t>
    </r>
    <r>
      <rPr>
        <b/>
        <sz val="10"/>
        <color rgb="FF000000"/>
        <rFont val="メイリオ"/>
        <charset val="134"/>
      </rPr>
      <t xml:space="preserve">補足：
</t>
    </r>
    <r>
      <rPr>
        <sz val="10"/>
        <color rgb="FF000000"/>
        <rFont val="メイリオ"/>
        <charset val="134"/>
      </rPr>
      <t>・Chỉ cho phép số + dấu thập phân</t>
    </r>
  </si>
  <si>
    <t>ACSMS-TC-003-036</t>
  </si>
  <si>
    <t>税率 — Tự động trim whitespace 2 đầu</t>
  </si>
  <si>
    <r>
      <rPr>
        <b/>
        <strike/>
        <sz val="10"/>
        <color rgb="FF000000"/>
        <rFont val="メイリオ"/>
        <charset val="134"/>
      </rPr>
      <t xml:space="preserve">ステップ1：
</t>
    </r>
    <r>
      <rPr>
        <strike/>
        <sz val="10"/>
        <color rgb="FF000000"/>
        <rFont val="メイリオ"/>
        <charset val="134"/>
      </rPr>
      <t>Nhập `  10  ` có dấu cách 2 đầu</t>
    </r>
  </si>
  <si>
    <r>
      <rPr>
        <b/>
        <strike/>
        <sz val="10"/>
        <color rgb="FF000000"/>
        <rFont val="メイリオ"/>
        <charset val="134"/>
      </rPr>
      <t xml:space="preserve">ステップ1：
</t>
    </r>
    <r>
      <rPr>
        <strike/>
        <sz val="10"/>
        <color rgb="FF000000"/>
        <rFont val="メイリオ"/>
        <charset val="134"/>
      </rPr>
      <t xml:space="preserve">Sau khi trim whitespace 2 đầu lưu là `10`
</t>
    </r>
    <r>
      <rPr>
        <b/>
        <strike/>
        <sz val="10"/>
        <color rgb="FF000000"/>
        <rFont val="メイリオ"/>
        <charset val="134"/>
      </rPr>
      <t xml:space="preserve">補足：
</t>
    </r>
    <r>
      <rPr>
        <strike/>
        <sz val="10"/>
        <color rgb="FF000000"/>
        <rFont val="メイリオ"/>
        <charset val="134"/>
      </rPr>
      <t>・Xử lý trim whitespace 2 đầu</t>
    </r>
  </si>
  <si>
    <t>ACSMS-TC-003-037</t>
  </si>
  <si>
    <t>単価税込 — Hiển thị giá trị mặc định ¥0</t>
  </si>
  <si>
    <r>
      <rPr>
        <b/>
        <sz val="10"/>
        <color rgb="FF000000"/>
        <rFont val="メイリオ"/>
        <charset val="134"/>
      </rPr>
      <t xml:space="preserve">ステップ1：
</t>
    </r>
    <r>
      <rPr>
        <sz val="10"/>
        <color rgb="FF000000"/>
        <rFont val="メイリオ"/>
        <charset val="134"/>
      </rPr>
      <t>Kiểm tra hiển thị ban đầu</t>
    </r>
  </si>
  <si>
    <r>
      <rPr>
        <b/>
        <sz val="10"/>
        <color rgb="FF000000"/>
        <rFont val="メイリオ"/>
        <charset val="134"/>
      </rPr>
      <t xml:space="preserve">ステップ1：
</t>
    </r>
    <r>
      <rPr>
        <sz val="10"/>
        <color rgb="FF000000"/>
        <rFont val="メイリオ"/>
        <charset val="134"/>
      </rPr>
      <t xml:space="preserve">Hiển thị `¥0` hoặc `0`
</t>
    </r>
    <r>
      <rPr>
        <b/>
        <sz val="10"/>
        <color rgb="FF000000"/>
        <rFont val="メイリオ"/>
        <charset val="134"/>
      </rPr>
      <t xml:space="preserve">補足：
</t>
    </r>
    <r>
      <rPr>
        <sz val="10"/>
        <color rgb="FF000000"/>
        <rFont val="メイリオ"/>
        <charset val="134"/>
      </rPr>
      <t>・Hiển thị mặc định 0</t>
    </r>
  </si>
  <si>
    <t>ACSMS-TC-003-038</t>
  </si>
  <si>
    <t>単価税込 — Chỉ cho phép số half-width, từ chối full-width / chữ cái / ký hiệu</t>
  </si>
  <si>
    <r>
      <rPr>
        <b/>
        <sz val="10"/>
        <color rgb="FF000000"/>
        <rFont val="游ゴシック"/>
        <charset val="134"/>
      </rPr>
      <t xml:space="preserve">ステップ1：
</t>
    </r>
    <r>
      <rPr>
        <sz val="10"/>
        <color rgb="FF000000"/>
        <rFont val="游ゴシック"/>
        <charset val="134"/>
      </rPr>
      <t xml:space="preserve">Nhập số half-width `4400` → focus out
</t>
    </r>
    <r>
      <rPr>
        <b/>
        <sz val="10"/>
        <color rgb="FF000000"/>
        <rFont val="游ゴシック"/>
        <charset val="134"/>
      </rPr>
      <t xml:space="preserve">ステップ2：
</t>
    </r>
    <r>
      <rPr>
        <sz val="10"/>
        <color rgb="FF000000"/>
        <rFont val="游ゴシック"/>
        <charset val="134"/>
      </rPr>
      <t xml:space="preserve">Nhập số full-width `４４００`
</t>
    </r>
    <r>
      <rPr>
        <b/>
        <sz val="10"/>
        <color rgb="FF000000"/>
        <rFont val="游ゴシック"/>
        <charset val="134"/>
      </rPr>
      <t xml:space="preserve">ステップ3：
</t>
    </r>
    <r>
      <rPr>
        <sz val="10"/>
        <color rgb="FF000000"/>
        <rFont val="游ゴシック"/>
        <charset val="134"/>
      </rPr>
      <t xml:space="preserve">Thử nhập chữ cái `abc`
</t>
    </r>
    <r>
      <rPr>
        <b/>
        <sz val="10"/>
        <color rgb="FF000000"/>
        <rFont val="游ゴシック"/>
        <charset val="134"/>
      </rPr>
      <t xml:space="preserve">ステップ4：
</t>
    </r>
    <r>
      <rPr>
        <sz val="10"/>
        <color rgb="FF000000"/>
        <rFont val="游ゴシック"/>
        <charset val="134"/>
      </rPr>
      <t>Thử nhập ký tự đặc biệt `!@#`</t>
    </r>
  </si>
  <si>
    <r>
      <rPr>
        <b/>
        <sz val="10"/>
        <color rgb="FF000000"/>
        <rFont val="メイリオ"/>
        <charset val="134"/>
      </rPr>
      <t xml:space="preserve">ステップ1：
</t>
    </r>
    <r>
      <rPr>
        <sz val="10"/>
        <color rgb="FF000000"/>
        <rFont val="メイリオ"/>
        <charset val="134"/>
      </rPr>
      <t xml:space="preserve">Nhận, hiển thị format `¥4,400`
</t>
    </r>
    <r>
      <rPr>
        <b/>
        <sz val="10"/>
        <color rgb="FF000000"/>
        <rFont val="メイリオ"/>
        <charset val="134"/>
      </rPr>
      <t xml:space="preserve">ステップ2：
</t>
    </r>
    <r>
      <rPr>
        <sz val="10"/>
        <color rgb="FF000000"/>
        <rFont val="メイリオ"/>
        <charset val="134"/>
      </rPr>
      <t xml:space="preserve">Từ chối hoặc auto-convert
</t>
    </r>
    <r>
      <rPr>
        <b/>
        <sz val="10"/>
        <color rgb="FF000000"/>
        <rFont val="メイリオ"/>
        <charset val="134"/>
      </rPr>
      <t xml:space="preserve">ステップ3：
</t>
    </r>
    <r>
      <rPr>
        <sz val="10"/>
        <color rgb="FF000000"/>
        <rFont val="メイリオ"/>
        <charset val="134"/>
      </rPr>
      <t xml:space="preserve">Từ chối
</t>
    </r>
    <r>
      <rPr>
        <b/>
        <sz val="10"/>
        <color rgb="FF000000"/>
        <rFont val="メイリオ"/>
        <charset val="134"/>
      </rPr>
      <t xml:space="preserve">ステップ4：
</t>
    </r>
    <r>
      <rPr>
        <sz val="10"/>
        <color rgb="FF000000"/>
        <rFont val="メイリオ"/>
        <charset val="134"/>
      </rPr>
      <t xml:space="preserve">Từ chối
</t>
    </r>
    <r>
      <rPr>
        <b/>
        <sz val="10"/>
        <color rgb="FF000000"/>
        <rFont val="メイリオ"/>
        <charset val="134"/>
      </rPr>
      <t xml:space="preserve">補足：
</t>
    </r>
    <r>
      <rPr>
        <sz val="10"/>
        <color rgb="FF000000"/>
        <rFont val="メイリオ"/>
        <charset val="134"/>
      </rPr>
      <t>・Chỉ cho phép số half-width</t>
    </r>
  </si>
  <si>
    <t>ACSMS-TC-003-039</t>
  </si>
  <si>
    <t>単価税込 — Phạm vi (≥1) + từ chối số âm</t>
  </si>
  <si>
    <r>
      <rPr>
        <b/>
        <sz val="10"/>
        <color rgb="FF000000"/>
        <rFont val="游ゴシック"/>
        <charset val="134"/>
      </rPr>
      <t xml:space="preserve">ステップ1：
</t>
    </r>
    <r>
      <rPr>
        <sz val="10"/>
        <color rgb="FF000000"/>
        <rFont val="游ゴシック"/>
        <charset val="134"/>
      </rPr>
      <t xml:space="preserve">Nhập `0` → 登録
</t>
    </r>
    <r>
      <rPr>
        <b/>
        <sz val="10"/>
        <color rgb="FF000000"/>
        <rFont val="游ゴシック"/>
        <charset val="134"/>
      </rPr>
      <t xml:space="preserve">ステップ2：
</t>
    </r>
    <r>
      <rPr>
        <sz val="10"/>
        <color rgb="FF000000"/>
        <rFont val="游ゴシック"/>
        <charset val="134"/>
      </rPr>
      <t xml:space="preserve">Thử nhập `-100`
</t>
    </r>
    <r>
      <rPr>
        <b/>
        <sz val="10"/>
        <color rgb="FF000000"/>
        <rFont val="游ゴシック"/>
        <charset val="134"/>
      </rPr>
      <t xml:space="preserve">ステップ3：
</t>
    </r>
    <r>
      <rPr>
        <sz val="10"/>
        <color rgb="FF000000"/>
        <rFont val="游ゴシック"/>
        <charset val="134"/>
      </rPr>
      <t>Nhập `1` → 登録</t>
    </r>
  </si>
  <si>
    <r>
      <rPr>
        <b/>
        <sz val="10"/>
        <color rgb="FF000000"/>
        <rFont val="メイリオ"/>
        <charset val="134"/>
      </rPr>
      <t xml:space="preserve">ステップ1：
</t>
    </r>
    <r>
      <rPr>
        <sz val="10"/>
        <color rgb="FF000000"/>
        <rFont val="メイリオ"/>
        <charset val="134"/>
      </rPr>
      <t xml:space="preserve">Nhận / từ chối theo spec (cần xác nhận spec)
</t>
    </r>
    <r>
      <rPr>
        <b/>
        <sz val="10"/>
        <color rgb="FF000000"/>
        <rFont val="メイリオ"/>
        <charset val="134"/>
      </rPr>
      <t xml:space="preserve">ステップ2：
</t>
    </r>
    <r>
      <rPr>
        <sz val="10"/>
        <color rgb="FF000000"/>
        <rFont val="メイリオ"/>
        <charset val="134"/>
      </rPr>
      <t xml:space="preserve">Từ chối
</t>
    </r>
    <r>
      <rPr>
        <b/>
        <sz val="10"/>
        <color rgb="FF000000"/>
        <rFont val="メイリオ"/>
        <charset val="134"/>
      </rPr>
      <t xml:space="preserve">ステップ3：
</t>
    </r>
    <r>
      <rPr>
        <sz val="10"/>
        <color rgb="FF000000"/>
        <rFont val="メイリオ"/>
        <charset val="134"/>
      </rPr>
      <t xml:space="preserve">Nhận
</t>
    </r>
    <r>
      <rPr>
        <b/>
        <sz val="10"/>
        <color rgb="FF000000"/>
        <rFont val="メイリオ"/>
        <charset val="134"/>
      </rPr>
      <t xml:space="preserve">補足：
</t>
    </r>
    <r>
      <rPr>
        <sz val="10"/>
        <color rgb="FF000000"/>
        <rFont val="メイリオ"/>
        <charset val="134"/>
      </rPr>
      <t>・Từ chối hoàn toàn số âm</t>
    </r>
  </si>
  <si>
    <t>ACSMS-TC-003-040</t>
  </si>
  <si>
    <t>単価税込 — Giới hạn 10 chữ số</t>
  </si>
  <si>
    <r>
      <rPr>
        <b/>
        <sz val="10"/>
        <color rgb="FF000000"/>
        <rFont val="游ゴシック"/>
        <charset val="134"/>
      </rPr>
      <t xml:space="preserve">ステップ1：
</t>
    </r>
    <r>
      <rPr>
        <sz val="10"/>
        <color rgb="FF000000"/>
        <rFont val="游ゴシック"/>
        <charset val="134"/>
      </rPr>
      <t xml:space="preserve">Nhập 10 chữ số `1234567890` → 登録
</t>
    </r>
    <r>
      <rPr>
        <b/>
        <sz val="10"/>
        <color rgb="FF000000"/>
        <rFont val="游ゴシック"/>
        <charset val="134"/>
      </rPr>
      <t xml:space="preserve">ステップ2：
</t>
    </r>
    <r>
      <rPr>
        <sz val="10"/>
        <color rgb="FF000000"/>
        <rFont val="游ゴシック"/>
        <charset val="134"/>
      </rPr>
      <t>Thử nhập chữ số thứ 11</t>
    </r>
  </si>
  <si>
    <r>
      <rPr>
        <b/>
        <sz val="10"/>
        <color rgb="FF000000"/>
        <rFont val="メイリオ"/>
        <charset val="134"/>
      </rPr>
      <t xml:space="preserve">ステップ1：
</t>
    </r>
    <r>
      <rPr>
        <sz val="10"/>
        <color rgb="FF000000"/>
        <rFont val="メイリオ"/>
        <charset val="134"/>
      </rPr>
      <t xml:space="preserve">Nhận
</t>
    </r>
    <r>
      <rPr>
        <b/>
        <sz val="10"/>
        <color rgb="FF000000"/>
        <rFont val="メイリオ"/>
        <charset val="134"/>
      </rPr>
      <t xml:space="preserve">ステップ2：
</t>
    </r>
    <r>
      <rPr>
        <sz val="10"/>
        <color rgb="FF000000"/>
        <rFont val="メイリオ"/>
        <charset val="134"/>
      </rPr>
      <t xml:space="preserve">Không thể nhập do maxLength
</t>
    </r>
    <r>
      <rPr>
        <b/>
        <sz val="10"/>
        <color rgb="FF000000"/>
        <rFont val="メイリオ"/>
        <charset val="134"/>
      </rPr>
      <t xml:space="preserve">補足：
</t>
    </r>
    <r>
      <rPr>
        <sz val="10"/>
        <color rgb="FF000000"/>
        <rFont val="メイリオ"/>
        <charset val="134"/>
      </rPr>
      <t>・Giới hạn 10 chữ số được enforce</t>
    </r>
  </si>
  <si>
    <t>ACSMS-TC-003-041</t>
  </si>
  <si>
    <t>単価税込 — Hiển thị format ¥ và độc lập với 税抜</t>
  </si>
  <si>
    <r>
      <rPr>
        <b/>
        <sz val="10"/>
        <color rgb="FF000000"/>
        <rFont val="游ゴシック"/>
        <charset val="134"/>
      </rPr>
      <t xml:space="preserve">ステップ1：
</t>
    </r>
    <r>
      <rPr>
        <sz val="10"/>
        <color rgb="FF000000"/>
        <rFont val="游ゴシック"/>
        <charset val="134"/>
      </rPr>
      <t xml:space="preserve">Nhập `2426` → focus out
</t>
    </r>
    <r>
      <rPr>
        <b/>
        <sz val="10"/>
        <color rgb="FF000000"/>
        <rFont val="游ゴシック"/>
        <charset val="134"/>
      </rPr>
      <t xml:space="preserve">ステップ2：
</t>
    </r>
    <r>
      <rPr>
        <sz val="10"/>
        <color rgb="FF000000"/>
        <rFont val="游ゴシック"/>
        <charset val="134"/>
      </rPr>
      <t xml:space="preserve">Nhập `1000000`
</t>
    </r>
    <r>
      <rPr>
        <b/>
        <sz val="10"/>
        <color rgb="FF000000"/>
        <rFont val="游ゴシック"/>
        <charset val="134"/>
      </rPr>
      <t xml:space="preserve">ステップ3：
</t>
    </r>
    <r>
      <rPr>
        <sz val="10"/>
        <color rgb="FF000000"/>
        <rFont val="游ゴシック"/>
        <charset val="134"/>
      </rPr>
      <t xml:space="preserve">Nhập `12`
</t>
    </r>
    <r>
      <rPr>
        <b/>
        <sz val="10"/>
        <color rgb="FF000000"/>
        <rFont val="游ゴシック"/>
        <charset val="134"/>
      </rPr>
      <t xml:space="preserve">ステップ4：
</t>
    </r>
    <r>
      <rPr>
        <sz val="10"/>
        <color rgb="FF000000"/>
        <rFont val="游ゴシック"/>
        <charset val="134"/>
      </rPr>
      <t>Sau khi nhập 税込, kiểm tra ô nhập 税抜 không thay đổi giá trị</t>
    </r>
  </si>
  <si>
    <r>
      <rPr>
        <b/>
        <sz val="10"/>
        <color rgb="FF000000"/>
        <rFont val="メイリオ"/>
        <charset val="134"/>
      </rPr>
      <t xml:space="preserve">ステップ1：
</t>
    </r>
    <r>
      <rPr>
        <sz val="10"/>
        <color rgb="FF000000"/>
        <rFont val="メイリオ"/>
        <charset val="134"/>
      </rPr>
      <t xml:space="preserve">Hiển thị format `¥2,426`
</t>
    </r>
    <r>
      <rPr>
        <b/>
        <sz val="10"/>
        <color rgb="FF000000"/>
        <rFont val="メイリオ"/>
        <charset val="134"/>
      </rPr>
      <t xml:space="preserve">ステップ2：
</t>
    </r>
    <r>
      <rPr>
        <sz val="10"/>
        <color rgb="FF000000"/>
        <rFont val="メイリオ"/>
        <charset val="134"/>
      </rPr>
      <t xml:space="preserve">Hiển thị `¥1,000,000` ngăn cách bằng dấu phẩy
</t>
    </r>
    <r>
      <rPr>
        <b/>
        <sz val="10"/>
        <color rgb="FF000000"/>
        <rFont val="メイリオ"/>
        <charset val="134"/>
      </rPr>
      <t xml:space="preserve">ステップ3：
</t>
    </r>
    <r>
      <rPr>
        <sz val="10"/>
        <color rgb="FF000000"/>
        <rFont val="メイリオ"/>
        <charset val="134"/>
      </rPr>
      <t xml:space="preserve">`¥12`
</t>
    </r>
    <r>
      <rPr>
        <b/>
        <sz val="10"/>
        <color rgb="FF000000"/>
        <rFont val="メイリオ"/>
        <charset val="134"/>
      </rPr>
      <t xml:space="preserve">ステップ4：
</t>
    </r>
    <r>
      <rPr>
        <sz val="10"/>
        <color rgb="FF000000"/>
        <rFont val="メイリオ"/>
        <charset val="134"/>
      </rPr>
      <t xml:space="preserve">税抜 = 0 (mặc định) giữ nguyên, không tự động tính từ 税込
</t>
    </r>
    <r>
      <rPr>
        <b/>
        <sz val="10"/>
        <color rgb="FF000000"/>
        <rFont val="メイリオ"/>
        <charset val="134"/>
      </rPr>
      <t xml:space="preserve">補足：
</t>
    </r>
    <r>
      <rPr>
        <sz val="10"/>
        <color rgb="FF000000"/>
        <rFont val="メイリオ"/>
        <charset val="134"/>
      </rPr>
      <t xml:space="preserve">・Format ¥ ngăn cách bằng dấu phẩy
</t>
    </r>
    <r>
      <rPr>
        <sz val="10"/>
        <color rgb="FF000000"/>
        <rFont val="メイリオ"/>
        <charset val="134"/>
      </rPr>
      <t>・税込・税抜 hoàn toàn độc lập (không auto-calc) — đã xác nhận spec</t>
    </r>
  </si>
  <si>
    <t>ACSMS-TC-003-042</t>
  </si>
  <si>
    <t>単価税抜 — Hiển thị giá trị mặc định ¥0</t>
  </si>
  <si>
    <t>ACSMS-TC-003-043</t>
  </si>
  <si>
    <t>単価税抜 — Chỉ cho phép số half-width, từ chối full-width / chữ cái / ký hiệu</t>
  </si>
  <si>
    <r>
      <rPr>
        <b/>
        <sz val="10"/>
        <color rgb="FF000000"/>
        <rFont val="游ゴシック"/>
        <charset val="134"/>
      </rPr>
      <t xml:space="preserve">ステップ1：
</t>
    </r>
    <r>
      <rPr>
        <sz val="10"/>
        <color rgb="FF000000"/>
        <rFont val="游ゴシック"/>
        <charset val="134"/>
      </rPr>
      <t xml:space="preserve">Nhập số half-width `4000` → focus out
</t>
    </r>
    <r>
      <rPr>
        <b/>
        <sz val="10"/>
        <color rgb="FF000000"/>
        <rFont val="游ゴシック"/>
        <charset val="134"/>
      </rPr>
      <t xml:space="preserve">ステップ2：
</t>
    </r>
    <r>
      <rPr>
        <sz val="10"/>
        <color rgb="FF000000"/>
        <rFont val="游ゴシック"/>
        <charset val="134"/>
      </rPr>
      <t xml:space="preserve">Nhập số full-width `４０００`
</t>
    </r>
    <r>
      <rPr>
        <b/>
        <sz val="10"/>
        <color rgb="FF000000"/>
        <rFont val="游ゴシック"/>
        <charset val="134"/>
      </rPr>
      <t xml:space="preserve">ステップ3：
</t>
    </r>
    <r>
      <rPr>
        <sz val="10"/>
        <color rgb="FF000000"/>
        <rFont val="游ゴシック"/>
        <charset val="134"/>
      </rPr>
      <t>Nhập chữ cái / ký tự đặc biệt / emoji</t>
    </r>
  </si>
  <si>
    <r>
      <rPr>
        <b/>
        <sz val="10"/>
        <color rgb="FF000000"/>
        <rFont val="メイリオ"/>
        <charset val="134"/>
      </rPr>
      <t xml:space="preserve">ステップ1：
</t>
    </r>
    <r>
      <rPr>
        <sz val="10"/>
        <color rgb="FF000000"/>
        <rFont val="メイリオ"/>
        <charset val="134"/>
      </rPr>
      <t xml:space="preserve">Hiển thị `¥4,000`
</t>
    </r>
    <r>
      <rPr>
        <b/>
        <sz val="10"/>
        <color rgb="FF000000"/>
        <rFont val="メイリオ"/>
        <charset val="134"/>
      </rPr>
      <t xml:space="preserve">ステップ2：
</t>
    </r>
    <r>
      <rPr>
        <sz val="10"/>
        <color rgb="FF000000"/>
        <rFont val="メイリオ"/>
        <charset val="134"/>
      </rPr>
      <t xml:space="preserve">Từ chối hoặc auto-convert
</t>
    </r>
    <r>
      <rPr>
        <b/>
        <sz val="10"/>
        <color rgb="FF000000"/>
        <rFont val="メイリオ"/>
        <charset val="134"/>
      </rPr>
      <t xml:space="preserve">ステップ3：
</t>
    </r>
    <r>
      <rPr>
        <sz val="10"/>
        <color rgb="FF000000"/>
        <rFont val="メイリオ"/>
        <charset val="134"/>
      </rPr>
      <t xml:space="preserve">Từ chối
</t>
    </r>
    <r>
      <rPr>
        <b/>
        <sz val="10"/>
        <color rgb="FF000000"/>
        <rFont val="メイリオ"/>
        <charset val="134"/>
      </rPr>
      <t xml:space="preserve">補足：
</t>
    </r>
    <r>
      <rPr>
        <sz val="10"/>
        <color rgb="FF000000"/>
        <rFont val="メイリオ"/>
        <charset val="134"/>
      </rPr>
      <t>・Chỉ cho phép số half-width</t>
    </r>
  </si>
  <si>
    <t>ACSMS-TC-003-044</t>
  </si>
  <si>
    <t>単価税抜 — Phạm vi (≥1) + từ chối số âm</t>
  </si>
  <si>
    <r>
      <rPr>
        <b/>
        <sz val="10"/>
        <color rgb="FF000000"/>
        <rFont val="メイリオ"/>
        <charset val="134"/>
      </rPr>
      <t xml:space="preserve">ステップ1：
</t>
    </r>
    <r>
      <rPr>
        <sz val="10"/>
        <color rgb="FF000000"/>
        <rFont val="メイリオ"/>
        <charset val="134"/>
      </rPr>
      <t xml:space="preserve">Nhập `0` → 登録
</t>
    </r>
    <r>
      <rPr>
        <b/>
        <sz val="10"/>
        <color rgb="FF000000"/>
        <rFont val="メイリオ"/>
        <charset val="134"/>
      </rPr>
      <t xml:space="preserve">ステップ2：
</t>
    </r>
    <r>
      <rPr>
        <sz val="10"/>
        <color rgb="FF000000"/>
        <rFont val="メイリオ"/>
        <charset val="134"/>
      </rPr>
      <t>Thử nhập `-100`</t>
    </r>
  </si>
  <si>
    <r>
      <rPr>
        <b/>
        <sz val="10"/>
        <color rgb="FF000000"/>
        <rFont val="メイリオ"/>
        <charset val="134"/>
      </rPr>
      <t xml:space="preserve">ステップ1：
</t>
    </r>
    <r>
      <rPr>
        <sz val="10"/>
        <color rgb="FF000000"/>
        <rFont val="メイリオ"/>
        <charset val="134"/>
      </rPr>
      <t xml:space="preserve">Nhận / từ chối theo spec
</t>
    </r>
    <r>
      <rPr>
        <b/>
        <sz val="10"/>
        <color rgb="FF000000"/>
        <rFont val="メイリオ"/>
        <charset val="134"/>
      </rPr>
      <t xml:space="preserve">ステップ2：
</t>
    </r>
    <r>
      <rPr>
        <sz val="10"/>
        <color rgb="FF000000"/>
        <rFont val="メイリオ"/>
        <charset val="134"/>
      </rPr>
      <t xml:space="preserve">Từ chối
</t>
    </r>
    <r>
      <rPr>
        <b/>
        <sz val="10"/>
        <color rgb="FF000000"/>
        <rFont val="メイリオ"/>
        <charset val="134"/>
      </rPr>
      <t xml:space="preserve">補足：
</t>
    </r>
    <r>
      <rPr>
        <sz val="10"/>
        <color rgb="FF000000"/>
        <rFont val="メイリオ"/>
        <charset val="134"/>
      </rPr>
      <t>・Từ chối hoàn toàn số âm</t>
    </r>
  </si>
  <si>
    <t>ACSMS-TC-003-045</t>
  </si>
  <si>
    <t>単価税抜 — Giới hạn 10 chữ số</t>
  </si>
  <si>
    <r>
      <rPr>
        <b/>
        <sz val="10"/>
        <color rgb="FF000000"/>
        <rFont val="游ゴシック"/>
        <charset val="134"/>
      </rPr>
      <t xml:space="preserve">ステップ1：
</t>
    </r>
    <r>
      <rPr>
        <sz val="10"/>
        <color rgb="FF000000"/>
        <rFont val="游ゴシック"/>
        <charset val="134"/>
      </rPr>
      <t xml:space="preserve">Nhập 10 chữ số `9999999999` → 登録
</t>
    </r>
    <r>
      <rPr>
        <b/>
        <sz val="10"/>
        <color rgb="FF000000"/>
        <rFont val="游ゴシック"/>
        <charset val="134"/>
      </rPr>
      <t xml:space="preserve">ステップ2：
</t>
    </r>
    <r>
      <rPr>
        <sz val="10"/>
        <color rgb="FF000000"/>
        <rFont val="游ゴシック"/>
        <charset val="134"/>
      </rPr>
      <t>Thử nhập chữ số thứ 11</t>
    </r>
  </si>
  <si>
    <r>
      <rPr>
        <b/>
        <sz val="10"/>
        <color rgb="FF000000"/>
        <rFont val="メイリオ"/>
        <charset val="134"/>
      </rPr>
      <t xml:space="preserve">ステップ1：
</t>
    </r>
    <r>
      <rPr>
        <sz val="10"/>
        <color rgb="FF000000"/>
        <rFont val="メイリオ"/>
        <charset val="134"/>
      </rPr>
      <t xml:space="preserve">Nhận
</t>
    </r>
    <r>
      <rPr>
        <b/>
        <sz val="10"/>
        <color rgb="FF000000"/>
        <rFont val="メイリオ"/>
        <charset val="134"/>
      </rPr>
      <t xml:space="preserve">ステップ2：
</t>
    </r>
    <r>
      <rPr>
        <sz val="10"/>
        <color rgb="FF000000"/>
        <rFont val="メイリオ"/>
        <charset val="134"/>
      </rPr>
      <t xml:space="preserve">Từ chối
</t>
    </r>
    <r>
      <rPr>
        <b/>
        <sz val="10"/>
        <color rgb="FF000000"/>
        <rFont val="メイリオ"/>
        <charset val="134"/>
      </rPr>
      <t xml:space="preserve">補足：
</t>
    </r>
    <r>
      <rPr>
        <sz val="10"/>
        <color rgb="FF000000"/>
        <rFont val="メイリオ"/>
        <charset val="134"/>
      </rPr>
      <t>・Giới hạn 10 chữ số được enforce</t>
    </r>
  </si>
  <si>
    <t>ACSMS-TC-003-046</t>
  </si>
  <si>
    <t>単価税抜 — Hiển thị format ¥ và độc lập với 税込</t>
  </si>
  <si>
    <r>
      <rPr>
        <b/>
        <sz val="10"/>
        <color rgb="FF000000"/>
        <rFont val="游ゴシック"/>
        <charset val="134"/>
      </rPr>
      <t xml:space="preserve">ステップ1：
</t>
    </r>
    <r>
      <rPr>
        <sz val="10"/>
        <color rgb="FF000000"/>
        <rFont val="游ゴシック"/>
        <charset val="134"/>
      </rPr>
      <t xml:space="preserve">Nhập `2426` → focus out
</t>
    </r>
    <r>
      <rPr>
        <b/>
        <sz val="10"/>
        <color rgb="FF000000"/>
        <rFont val="游ゴシック"/>
        <charset val="134"/>
      </rPr>
      <t xml:space="preserve">ステップ2：
</t>
    </r>
    <r>
      <rPr>
        <sz val="10"/>
        <color rgb="FF000000"/>
        <rFont val="游ゴシック"/>
        <charset val="134"/>
      </rPr>
      <t>Sau khi nhập 税抜, kiểm tra ô nhập 税込 không thay đổi giá trị</t>
    </r>
  </si>
  <si>
    <r>
      <rPr>
        <b/>
        <sz val="10"/>
        <color rgb="FF000000"/>
        <rFont val="メイリオ"/>
        <charset val="134"/>
      </rPr>
      <t xml:space="preserve">ステップ1：
</t>
    </r>
    <r>
      <rPr>
        <sz val="10"/>
        <color rgb="FF000000"/>
        <rFont val="メイリオ"/>
        <charset val="134"/>
      </rPr>
      <t xml:space="preserve">Hiển thị `¥2,426`
</t>
    </r>
    <r>
      <rPr>
        <b/>
        <sz val="10"/>
        <color rgb="FF000000"/>
        <rFont val="メイリオ"/>
        <charset val="134"/>
      </rPr>
      <t xml:space="preserve">ステップ2：
</t>
    </r>
    <r>
      <rPr>
        <sz val="10"/>
        <color rgb="FF000000"/>
        <rFont val="メイリオ"/>
        <charset val="134"/>
      </rPr>
      <t xml:space="preserve">税込 = 0 giữ nguyên, không auto-calc từ 税抜
</t>
    </r>
    <r>
      <rPr>
        <b/>
        <sz val="10"/>
        <color rgb="FF000000"/>
        <rFont val="メイリオ"/>
        <charset val="134"/>
      </rPr>
      <t xml:space="preserve">補足：
</t>
    </r>
    <r>
      <rPr>
        <sz val="10"/>
        <color rgb="FF000000"/>
        <rFont val="メイリオ"/>
        <charset val="134"/>
      </rPr>
      <t>・税込・税抜 độc lập</t>
    </r>
  </si>
  <si>
    <t>ACSMS-TC-003-047</t>
  </si>
  <si>
    <t>適用開始日 — Format hiển thị và placeholder</t>
  </si>
  <si>
    <r>
      <rPr>
        <b/>
        <sz val="10"/>
        <color rgb="FF000000"/>
        <rFont val="メイリオ"/>
        <charset val="134"/>
      </rPr>
      <t xml:space="preserve">ステップ1：
</t>
    </r>
    <r>
      <rPr>
        <sz val="10"/>
        <color rgb="FF000000"/>
        <rFont val="メイリオ"/>
        <charset val="134"/>
      </rPr>
      <t xml:space="preserve">Hiển thị ban đầu của ô nhập 適用開始日
</t>
    </r>
    <r>
      <rPr>
        <b/>
        <sz val="10"/>
        <color rgb="FF000000"/>
        <rFont val="メイリオ"/>
        <charset val="134"/>
      </rPr>
      <t xml:space="preserve">ステップ2：
</t>
    </r>
    <r>
      <rPr>
        <sz val="10"/>
        <color rgb="FF000000"/>
        <rFont val="メイリオ"/>
        <charset val="134"/>
      </rPr>
      <t>Click date picker</t>
    </r>
  </si>
  <si>
    <r>
      <rPr>
        <b/>
        <sz val="10"/>
        <color rgb="FF000000"/>
        <rFont val="メイリオ"/>
        <charset val="134"/>
      </rPr>
      <t xml:space="preserve">ステップ1：
</t>
    </r>
    <r>
      <rPr>
        <sz val="10"/>
        <color rgb="FF000000"/>
        <rFont val="メイリオ"/>
        <charset val="134"/>
      </rPr>
      <t xml:space="preserve">Hiển thị placeholder `YYYY-MM-DD`
</t>
    </r>
    <r>
      <rPr>
        <b/>
        <sz val="10"/>
        <color rgb="FF000000"/>
        <rFont val="メイリオ"/>
        <charset val="134"/>
      </rPr>
      <t xml:space="preserve">ステップ2：
</t>
    </r>
    <r>
      <rPr>
        <sz val="10"/>
        <color rgb="FF000000"/>
        <rFont val="メイリオ"/>
        <charset val="134"/>
      </rPr>
      <t xml:space="preserve">Hiển thị calendar UI
</t>
    </r>
    <r>
      <rPr>
        <b/>
        <sz val="10"/>
        <color rgb="FF000000"/>
        <rFont val="メイリオ"/>
        <charset val="134"/>
      </rPr>
      <t xml:space="preserve">補足：
</t>
    </r>
    <r>
      <rPr>
        <sz val="10"/>
        <color rgb="FF000000"/>
        <rFont val="メイリオ"/>
        <charset val="134"/>
      </rPr>
      <t>・Format YYYY-MM-DD + date picker UI</t>
    </r>
  </si>
  <si>
    <t>ACSMS-TC-003-048</t>
  </si>
  <si>
    <t>適用開始日 — Auto-set khi không nhập (ngày hiện tại)</t>
  </si>
  <si>
    <r>
      <rPr>
        <b/>
        <sz val="10"/>
        <color rgb="FF000000"/>
        <rFont val="游ゴシック"/>
        <charset val="134"/>
      </rPr>
      <t xml:space="preserve">ステップ1：
</t>
    </r>
    <r>
      <rPr>
        <sz val="10"/>
        <color rgb="FF000000"/>
        <rFont val="游ゴシック"/>
        <charset val="134"/>
      </rPr>
      <t xml:space="preserve">Để trống 適用開始日 rồi 登録
</t>
    </r>
    <r>
      <rPr>
        <b/>
        <sz val="10"/>
        <color rgb="FF000000"/>
        <rFont val="游ゴシック"/>
        <charset val="134"/>
      </rPr>
      <t xml:space="preserve">ステップ2：
</t>
    </r>
    <r>
      <rPr>
        <sz val="10"/>
        <color rgb="FF000000"/>
        <rFont val="游ゴシック"/>
        <charset val="134"/>
      </rPr>
      <t>Kiểm tra DB: `SELECT tekiyo_start_date FROM m_tanka WHERE tanka_code = 'TEST001'`</t>
    </r>
  </si>
  <si>
    <r>
      <rPr>
        <b/>
        <sz val="10"/>
        <color rgb="FF000000"/>
        <rFont val="メイリオ"/>
        <charset val="134"/>
      </rPr>
      <t xml:space="preserve">ステップ1：
</t>
    </r>
    <r>
      <rPr>
        <sz val="10"/>
        <color rgb="FF000000"/>
        <rFont val="メイリオ"/>
        <charset val="134"/>
      </rPr>
      <t xml:space="preserve">Lưu vào DB ngày hiện tại (`CURRENT_DATE`)
</t>
    </r>
    <r>
      <rPr>
        <b/>
        <sz val="10"/>
        <color rgb="FF000000"/>
        <rFont val="メイリオ"/>
        <charset val="134"/>
      </rPr>
      <t xml:space="preserve">ステップ2：
</t>
    </r>
    <r>
      <rPr>
        <sz val="10"/>
        <color rgb="FF000000"/>
        <rFont val="メイリオ"/>
        <charset val="134"/>
      </rPr>
      <t xml:space="preserve">Khớp với ngày đăng ký
</t>
    </r>
    <r>
      <rPr>
        <b/>
        <sz val="10"/>
        <color rgb="FF000000"/>
        <rFont val="メイリオ"/>
        <charset val="134"/>
      </rPr>
      <t xml:space="preserve">補足：
</t>
    </r>
    <r>
      <rPr>
        <sz val="10"/>
        <color rgb="FF000000"/>
        <rFont val="メイリオ"/>
        <charset val="134"/>
      </rPr>
      <t>・Không nhập → auto-set ngày hiện tại</t>
    </r>
  </si>
  <si>
    <t>ACSMS-TC-003-049</t>
  </si>
  <si>
    <t>適用開始日 — Không thể chọn ngày trong quá khứ</t>
  </si>
  <si>
    <t>・Màn đăng ký, giả sử ngày hiện tại là 2026-04-27</t>
  </si>
  <si>
    <r>
      <rPr>
        <b/>
        <sz val="10"/>
        <color rgb="FF000000"/>
        <rFont val="メイリオ"/>
        <charset val="134"/>
      </rPr>
      <t xml:space="preserve">ステップ1：
</t>
    </r>
    <r>
      <rPr>
        <sz val="10"/>
        <color rgb="FF000000"/>
        <rFont val="メイリオ"/>
        <charset val="134"/>
      </rPr>
      <t xml:space="preserve">Thử chọn `2026-04-26` (hôm trước) bằng date picker
</t>
    </r>
    <r>
      <rPr>
        <b/>
        <sz val="10"/>
        <color rgb="FF000000"/>
        <rFont val="メイリオ"/>
        <charset val="134"/>
      </rPr>
      <t xml:space="preserve">ステップ2：
</t>
    </r>
    <r>
      <rPr>
        <sz val="10"/>
        <color rgb="FF000000"/>
        <rFont val="メイリオ"/>
        <charset val="134"/>
      </rPr>
      <t>Nhập trực tiếp text `2026-04-26` → 登録</t>
    </r>
  </si>
  <si>
    <r>
      <rPr>
        <b/>
        <sz val="10"/>
        <color rgb="FF000000"/>
        <rFont val="メイリオ"/>
        <charset val="134"/>
      </rPr>
      <t xml:space="preserve">ステップ1：
</t>
    </r>
    <r>
      <rPr>
        <sz val="10"/>
        <color rgb="FF000000"/>
        <rFont val="メイリオ"/>
        <charset val="134"/>
      </rPr>
      <t xml:space="preserve">Không thể chọn (grey out)
</t>
    </r>
    <r>
      <rPr>
        <b/>
        <sz val="10"/>
        <color rgb="FF000000"/>
        <rFont val="メイリオ"/>
        <charset val="134"/>
      </rPr>
      <t xml:space="preserve">ステップ2：
</t>
    </r>
    <r>
      <rPr>
        <sz val="10"/>
        <color rgb="FF000000"/>
        <rFont val="メイリオ"/>
        <charset val="134"/>
      </rPr>
      <t xml:space="preserve">Backend từ chối, hiển thị message
</t>
    </r>
    <r>
      <rPr>
        <b/>
        <sz val="10"/>
        <color rgb="FF000000"/>
        <rFont val="メイリオ"/>
        <charset val="134"/>
      </rPr>
      <t xml:space="preserve">補足：
</t>
    </r>
    <r>
      <rPr>
        <sz val="10"/>
        <color rgb="FF000000"/>
        <rFont val="メイリオ"/>
        <charset val="134"/>
      </rPr>
      <t>・Từ chối hoàn toàn ngày trong quá khứ</t>
    </r>
  </si>
  <si>
    <t>ACSMS-TC-003-050</t>
  </si>
  <si>
    <t>適用開始日 — Từ chối input format không hợp lệ</t>
  </si>
  <si>
    <r>
      <rPr>
        <b/>
        <sz val="10"/>
        <color rgb="FF000000"/>
        <rFont val="游ゴシック"/>
        <charset val="134"/>
      </rPr>
      <t xml:space="preserve">ステップ1：
</t>
    </r>
    <r>
      <rPr>
        <sz val="10"/>
        <color rgb="FF000000"/>
        <rFont val="游ゴシック"/>
        <charset val="134"/>
      </rPr>
      <t xml:space="preserve">Nhập `2026/04/27` (slash) → focus out
</t>
    </r>
    <r>
      <rPr>
        <b/>
        <sz val="10"/>
        <color rgb="FF000000"/>
        <rFont val="游ゴシック"/>
        <charset val="134"/>
      </rPr>
      <t xml:space="preserve">ステップ2：
</t>
    </r>
    <r>
      <rPr>
        <sz val="10"/>
        <color rgb="FF000000"/>
        <rFont val="游ゴシック"/>
        <charset val="134"/>
      </rPr>
      <t xml:space="preserve">Nhập `27-04-2026` (DMY) → focus out
</t>
    </r>
    <r>
      <rPr>
        <b/>
        <sz val="10"/>
        <color rgb="FF000000"/>
        <rFont val="游ゴシック"/>
        <charset val="134"/>
      </rPr>
      <t xml:space="preserve">ステップ3：
</t>
    </r>
    <r>
      <rPr>
        <sz val="10"/>
        <color rgb="FF000000"/>
        <rFont val="游ゴシック"/>
        <charset val="134"/>
      </rPr>
      <t>Thử nhập `abc`</t>
    </r>
  </si>
  <si>
    <r>
      <rPr>
        <b/>
        <sz val="10"/>
        <color rgb="FF000000"/>
        <rFont val="メイリオ"/>
        <charset val="134"/>
      </rPr>
      <t xml:space="preserve">ステップ1：
</t>
    </r>
    <r>
      <rPr>
        <sz val="10"/>
        <color rgb="FF000000"/>
        <rFont val="メイリオ"/>
        <charset val="134"/>
      </rPr>
      <t xml:space="preserve">Hiển thị message lỗi format
</t>
    </r>
    <r>
      <rPr>
        <b/>
        <sz val="10"/>
        <color rgb="FF000000"/>
        <rFont val="メイリオ"/>
        <charset val="134"/>
      </rPr>
      <t xml:space="preserve">ステップ2：
</t>
    </r>
    <r>
      <rPr>
        <sz val="10"/>
        <color rgb="FF000000"/>
        <rFont val="メイリオ"/>
        <charset val="134"/>
      </rPr>
      <t xml:space="preserve">Lỗi format
</t>
    </r>
    <r>
      <rPr>
        <b/>
        <sz val="10"/>
        <color rgb="FF000000"/>
        <rFont val="メイリオ"/>
        <charset val="134"/>
      </rPr>
      <t xml:space="preserve">ステップ3：
</t>
    </r>
    <r>
      <rPr>
        <sz val="10"/>
        <color rgb="FF000000"/>
        <rFont val="メイリオ"/>
        <charset val="134"/>
      </rPr>
      <t xml:space="preserve">Từ chối
</t>
    </r>
    <r>
      <rPr>
        <b/>
        <sz val="10"/>
        <color rgb="FF000000"/>
        <rFont val="メイリオ"/>
        <charset val="134"/>
      </rPr>
      <t xml:space="preserve">補足：
</t>
    </r>
    <r>
      <rPr>
        <sz val="10"/>
        <color rgb="FF000000"/>
        <rFont val="メイリオ"/>
        <charset val="134"/>
      </rPr>
      <t>・Chỉ nhận format YYYY-MM-DD</t>
    </r>
  </si>
  <si>
    <t>ACSMS-TC-003-051</t>
  </si>
  <si>
    <t>適用終了日 — Format hiển thị và placeholder</t>
  </si>
  <si>
    <r>
      <rPr>
        <b/>
        <sz val="10"/>
        <color rgb="FF000000"/>
        <rFont val="メイリオ"/>
        <charset val="134"/>
      </rPr>
      <t xml:space="preserve">ステップ1：
</t>
    </r>
    <r>
      <rPr>
        <sz val="10"/>
        <color rgb="FF000000"/>
        <rFont val="メイリオ"/>
        <charset val="134"/>
      </rPr>
      <t xml:space="preserve">Placeholder `YYYY-MM-DD`
</t>
    </r>
    <r>
      <rPr>
        <b/>
        <sz val="10"/>
        <color rgb="FF000000"/>
        <rFont val="メイリオ"/>
        <charset val="134"/>
      </rPr>
      <t xml:space="preserve">補足：
</t>
    </r>
    <r>
      <rPr>
        <sz val="10"/>
        <color rgb="FF000000"/>
        <rFont val="メイリオ"/>
        <charset val="134"/>
      </rPr>
      <t>・Format khớp</t>
    </r>
  </si>
  <si>
    <t>ACSMS-TC-003-052</t>
  </si>
  <si>
    <t>適用終了日 — Cho phép nhập rỗng (xem là vô thời hạn)</t>
  </si>
  <si>
    <t>・Màn đăng ký, đã nhập giá trị hợp lệ cho 単価種別 / 単価コード / 単価名 và các mục bắt buộc khác
・適用開始日 = 2026-05-06 (ngày hiện tại) đã nhập</t>
  </si>
  <si>
    <r>
      <rPr>
        <b/>
        <strike/>
        <sz val="10"/>
        <color rgb="FF000000"/>
        <rFont val="メイリオ"/>
        <charset val="134"/>
      </rPr>
      <t xml:space="preserve">ステップ1：
</t>
    </r>
    <r>
      <rPr>
        <strike/>
        <sz val="10"/>
        <color rgb="FF000000"/>
        <rFont val="メイリオ"/>
        <charset val="134"/>
      </rPr>
      <t xml:space="preserve">Để trống 適用終了日 rồi nhấn button "登録"
</t>
    </r>
    <r>
      <rPr>
        <b/>
        <strike/>
        <sz val="10"/>
        <color rgb="FF000000"/>
        <rFont val="メイリオ"/>
        <charset val="134"/>
      </rPr>
      <t xml:space="preserve">ステップ2：
</t>
    </r>
    <r>
      <rPr>
        <strike/>
        <sz val="10"/>
        <color rgb="FF000000"/>
        <rFont val="メイリオ"/>
        <charset val="134"/>
      </rPr>
      <t xml:space="preserve">Kiểm tra DB: `SELECT tekiyo_end_date FROM m_tanka WHERE tanka_code='T-OPEN'`
</t>
    </r>
    <r>
      <rPr>
        <b/>
        <strike/>
        <sz val="10"/>
        <color rgb="FF000000"/>
        <rFont val="メイリオ"/>
        <charset val="134"/>
      </rPr>
      <t xml:space="preserve">ステップ3：
</t>
    </r>
    <r>
      <rPr>
        <strike/>
        <sz val="10"/>
        <color rgb="FF000000"/>
        <rFont val="メイリオ"/>
        <charset val="134"/>
      </rPr>
      <t>Kiểm tra audit log: `SELECT result_status, after_value FROM t_log WHERE target_table='m_tanka' ORDER BY log_datetime DESC LIMIT 1`</t>
    </r>
  </si>
  <si>
    <r>
      <rPr>
        <b/>
        <strike/>
        <sz val="10"/>
        <color rgb="FF000000"/>
        <rFont val="メイリオ"/>
        <charset val="134"/>
      </rPr>
      <t xml:space="preserve">ステップ1：
</t>
    </r>
    <r>
      <rPr>
        <strike/>
        <sz val="10"/>
        <color rgb="FF000000"/>
        <rFont val="メイリオ"/>
        <charset val="134"/>
      </rPr>
      <t xml:space="preserve">Đăng ký thành công, hiển thị toast `登録しました。`, chuyển đến màn tìm kiếm
</t>
    </r>
    <r>
      <rPr>
        <b/>
        <strike/>
        <sz val="10"/>
        <color rgb="FF000000"/>
        <rFont val="メイリオ"/>
        <charset val="134"/>
      </rPr>
      <t xml:space="preserve">ステップ2：
</t>
    </r>
    <r>
      <rPr>
        <strike/>
        <sz val="10"/>
        <color rgb="FF000000"/>
        <rFont val="メイリオ"/>
        <charset val="134"/>
      </rPr>
      <t xml:space="preserve">Cột `tekiyo_end_date` là `NULL` (xem là vô thời hạn)
</t>
    </r>
    <r>
      <rPr>
        <b/>
        <strike/>
        <sz val="10"/>
        <color rgb="FF000000"/>
        <rFont val="メイリオ"/>
        <charset val="134"/>
      </rPr>
      <t xml:space="preserve">ステップ3：
</t>
    </r>
    <r>
      <rPr>
        <strike/>
        <sz val="10"/>
        <color rgb="FF000000"/>
        <rFont val="メイリオ"/>
        <charset val="134"/>
      </rPr>
      <t xml:space="preserve">result_status = 1 (thành công), trong JSON after_value key `tekiyo_end_date` là null
</t>
    </r>
    <r>
      <rPr>
        <b/>
        <strike/>
        <sz val="10"/>
        <color rgb="FF000000"/>
        <rFont val="メイリオ"/>
        <charset val="134"/>
      </rPr>
      <t xml:space="preserve">補足：
</t>
    </r>
    <r>
      <rPr>
        <strike/>
        <sz val="10"/>
        <color rgb="FF000000"/>
        <rFont val="メイリオ"/>
        <charset val="134"/>
      </rPr>
      <t xml:space="preserve">・適用終了日 là trường tùy chọn. Để trống = vô thời hạn, theo screen-design.md L96 "②Trường hợp để trống xem là vô thời hạn"
</t>
    </r>
    <r>
      <rPr>
        <strike/>
        <sz val="10"/>
        <color rgb="FF000000"/>
        <rFont val="メイリオ"/>
        <charset val="134"/>
      </rPr>
      <t>・Cột DB `tekiyo_end_date` cho phép NULL. Phải xác nhận persist là `NULL` chứ không phải chuỗi rỗng `""`</t>
    </r>
  </si>
  <si>
    <t>ACSMS-TC-003-053</t>
  </si>
  <si>
    <t>適用終了日 — Chỉ chọn được ngày sau ngày bắt đầu</t>
  </si>
  <si>
    <t>・Màn đăng ký, 適用開始日 = 2026-05-05 đã nhập</t>
  </si>
  <si>
    <r>
      <rPr>
        <b/>
        <sz val="10"/>
        <color rgb="FF000000"/>
        <rFont val="游ゴシック"/>
        <charset val="134"/>
      </rPr>
      <t xml:space="preserve">ステップ1：
</t>
    </r>
    <r>
      <rPr>
        <sz val="10"/>
        <color rgb="FF000000"/>
        <rFont val="游ゴシック"/>
        <charset val="134"/>
      </rPr>
      <t xml:space="preserve">Chọn `2026-05-05` (cùng ngày) bằng date picker → 登録
</t>
    </r>
    <r>
      <rPr>
        <b/>
        <sz val="10"/>
        <color rgb="FF000000"/>
        <rFont val="游ゴシック"/>
        <charset val="134"/>
      </rPr>
      <t xml:space="preserve">ステップ2：
</t>
    </r>
    <r>
      <rPr>
        <sz val="10"/>
        <color rgb="FF000000"/>
        <rFont val="游ゴシック"/>
        <charset val="134"/>
      </rPr>
      <t xml:space="preserve">Thử chọn `2026-05-04` (hôm trước ngày bắt đầu) bằng date picker
</t>
    </r>
    <r>
      <rPr>
        <b/>
        <sz val="10"/>
        <color rgb="FF000000"/>
        <rFont val="游ゴシック"/>
        <charset val="134"/>
      </rPr>
      <t xml:space="preserve">ステップ3：
</t>
    </r>
    <r>
      <rPr>
        <sz val="10"/>
        <color rgb="FF000000"/>
        <rFont val="游ゴシック"/>
        <charset val="134"/>
      </rPr>
      <t>Nhập trực tiếp text `2026-05-04` → 登録</t>
    </r>
  </si>
  <si>
    <r>
      <rPr>
        <b/>
        <sz val="10"/>
        <color rgb="FF000000"/>
        <rFont val="メイリオ"/>
        <charset val="134"/>
      </rPr>
      <t xml:space="preserve">ステップ1：
</t>
    </r>
    <r>
      <rPr>
        <sz val="10"/>
        <color rgb="FF000000"/>
        <rFont val="メイリオ"/>
        <charset val="134"/>
      </rPr>
      <t xml:space="preserve">Nhận bình thường (≥ ngày bắt đầu OK)
</t>
    </r>
    <r>
      <rPr>
        <b/>
        <sz val="10"/>
        <color rgb="FF000000"/>
        <rFont val="メイリオ"/>
        <charset val="134"/>
      </rPr>
      <t xml:space="preserve">ステップ2：
</t>
    </r>
    <r>
      <rPr>
        <sz val="10"/>
        <color rgb="FF000000"/>
        <rFont val="メイリオ"/>
        <charset val="134"/>
      </rPr>
      <t xml:space="preserve">Không thể chọn (grey out)
</t>
    </r>
    <r>
      <rPr>
        <b/>
        <sz val="10"/>
        <color rgb="FF000000"/>
        <rFont val="メイリオ"/>
        <charset val="134"/>
      </rPr>
      <t xml:space="preserve">ステップ3：
</t>
    </r>
    <r>
      <rPr>
        <sz val="10"/>
        <color rgb="FF000000"/>
        <rFont val="メイリオ"/>
        <charset val="134"/>
      </rPr>
      <t xml:space="preserve">Backend từ chối
</t>
    </r>
    <r>
      <rPr>
        <b/>
        <sz val="10"/>
        <color rgb="FF000000"/>
        <rFont val="メイリオ"/>
        <charset val="134"/>
      </rPr>
      <t xml:space="preserve">補足：
</t>
    </r>
    <r>
      <rPr>
        <sz val="10"/>
        <color rgb="FF000000"/>
        <rFont val="メイリオ"/>
        <charset val="134"/>
      </rPr>
      <t>・Ngày kết thúc ≥ ngày bắt đầu được enforce</t>
    </r>
  </si>
  <si>
    <t>ACSMS-TC-003-054</t>
  </si>
  <si>
    <t>適用終了日 — Từ chối input format không hợp lệ</t>
  </si>
  <si>
    <r>
      <rPr>
        <b/>
        <sz val="10"/>
        <color rgb="FF000000"/>
        <rFont val="游ゴシック"/>
        <charset val="134"/>
      </rPr>
      <t xml:space="preserve">ステップ1：
</t>
    </r>
    <r>
      <rPr>
        <sz val="10"/>
        <color rgb="FF000000"/>
        <rFont val="游ゴシック"/>
        <charset val="134"/>
      </rPr>
      <t xml:space="preserve">Nhập `2027/04/30` (slash) → focus out
</t>
    </r>
    <r>
      <rPr>
        <b/>
        <sz val="10"/>
        <color rgb="FF000000"/>
        <rFont val="游ゴシック"/>
        <charset val="134"/>
      </rPr>
      <t xml:space="preserve">ステップ2：
</t>
    </r>
    <r>
      <rPr>
        <sz val="10"/>
        <color rgb="FF000000"/>
        <rFont val="游ゴシック"/>
        <charset val="134"/>
      </rPr>
      <t>Thử nhập `abc`</t>
    </r>
  </si>
  <si>
    <r>
      <rPr>
        <b/>
        <sz val="10"/>
        <color rgb="FF000000"/>
        <rFont val="メイリオ"/>
        <charset val="134"/>
      </rPr>
      <t xml:space="preserve">ステップ1：
</t>
    </r>
    <r>
      <rPr>
        <sz val="10"/>
        <color rgb="FF000000"/>
        <rFont val="メイリオ"/>
        <charset val="134"/>
      </rPr>
      <t xml:space="preserve">Lỗi format
</t>
    </r>
    <r>
      <rPr>
        <b/>
        <sz val="10"/>
        <color rgb="FF000000"/>
        <rFont val="メイリオ"/>
        <charset val="134"/>
      </rPr>
      <t xml:space="preserve">ステップ2：
</t>
    </r>
    <r>
      <rPr>
        <sz val="10"/>
        <color rgb="FF000000"/>
        <rFont val="メイリオ"/>
        <charset val="134"/>
      </rPr>
      <t xml:space="preserve">Từ chối
</t>
    </r>
    <r>
      <rPr>
        <b/>
        <sz val="10"/>
        <color rgb="FF000000"/>
        <rFont val="メイリオ"/>
        <charset val="134"/>
      </rPr>
      <t xml:space="preserve">補足：
</t>
    </r>
    <r>
      <rPr>
        <sz val="10"/>
        <color rgb="FF000000"/>
        <rFont val="メイリオ"/>
        <charset val="134"/>
      </rPr>
      <t>・Chỉ nhận format YYYY-MM-DD</t>
    </r>
  </si>
  <si>
    <t>ACSMS-TC-003-055</t>
  </si>
  <si>
    <t>適用終了日 — Xác nhận tính nhất quán: ngày bắt đầu &lt; ngày kết thúc</t>
  </si>
  <si>
    <r>
      <rPr>
        <b/>
        <sz val="10"/>
        <color rgb="FF000000"/>
        <rFont val="メイリオ"/>
        <charset val="134"/>
      </rPr>
      <t xml:space="preserve">ステップ1：
</t>
    </r>
    <r>
      <rPr>
        <sz val="10"/>
        <color rgb="FF000000"/>
        <rFont val="メイリオ"/>
        <charset val="134"/>
      </rPr>
      <t xml:space="preserve">Nhập ngày bắt đầu `2026-05-01`, ngày kết thúc `2027-04-30` → 登録
</t>
    </r>
    <r>
      <rPr>
        <b/>
        <sz val="10"/>
        <color rgb="FF000000"/>
        <rFont val="メイリオ"/>
        <charset val="134"/>
      </rPr>
      <t xml:space="preserve">ステップ2：
</t>
    </r>
    <r>
      <rPr>
        <sz val="10"/>
        <color rgb="FF000000"/>
        <rFont val="メイリオ"/>
        <charset val="134"/>
      </rPr>
      <t>Kiểm tra DB</t>
    </r>
  </si>
  <si>
    <r>
      <rPr>
        <b/>
        <sz val="10"/>
        <color rgb="FF000000"/>
        <rFont val="メイリオ"/>
        <charset val="134"/>
      </rPr>
      <t xml:space="preserve">ステップ1：
</t>
    </r>
    <r>
      <rPr>
        <sz val="10"/>
        <color rgb="FF000000"/>
        <rFont val="メイリオ"/>
        <charset val="134"/>
      </rPr>
      <t xml:space="preserve">Nhận bình thường
</t>
    </r>
    <r>
      <rPr>
        <b/>
        <sz val="10"/>
        <color rgb="FF000000"/>
        <rFont val="メイリオ"/>
        <charset val="134"/>
      </rPr>
      <t xml:space="preserve">ステップ2：
</t>
    </r>
    <r>
      <rPr>
        <sz val="10"/>
        <color rgb="FF000000"/>
        <rFont val="メイリオ"/>
        <charset val="134"/>
      </rPr>
      <t xml:space="preserve">Thỏa mãn `tekiyo_start_date &lt; tekiyo_end_date`
</t>
    </r>
    <r>
      <rPr>
        <b/>
        <sz val="10"/>
        <color rgb="FF000000"/>
        <rFont val="メイリオ"/>
        <charset val="134"/>
      </rPr>
      <t xml:space="preserve">補足：
</t>
    </r>
    <r>
      <rPr>
        <sz val="10"/>
        <color rgb="FF000000"/>
        <rFont val="メイリオ"/>
        <charset val="134"/>
      </rPr>
      <t>・Xác nhận tính nhất quán logic</t>
    </r>
  </si>
  <si>
    <t>Logic nghiệp vụ — Đăng ký (Function — Create)</t>
  </si>
  <si>
    <t>ACSMS-TC-003-056</t>
  </si>
  <si>
    <t>Đăng ký mới — Trường hợp normal (persist DB + audit log)</t>
  </si>
  <si>
    <t>・role: JA_HONTEN (thuộc ja-001)
・Test data: 単価種別=購読料 (TANKA_TYPE=1), 単価コード=TEST001, 単価名=テスト単価, 税率=10, 単価税込=4400, 単価税抜=4000, 適用開始日=2026-05-01, 適用終了日=2027-04-30</t>
  </si>
  <si>
    <r>
      <rPr>
        <b/>
        <sz val="10"/>
        <color rgb="FF000000"/>
        <rFont val="游ゴシック"/>
        <charset val="134"/>
      </rPr>
      <t xml:space="preserve">ステップ1：
</t>
    </r>
    <r>
      <rPr>
        <sz val="10"/>
        <color rgb="FF000000"/>
        <rFont val="游ゴシック"/>
        <charset val="134"/>
      </rPr>
      <t xml:space="preserve">Mở màn đăng ký, nhập tất cả giá trị test data
</t>
    </r>
    <r>
      <rPr>
        <b/>
        <sz val="10"/>
        <color rgb="FF000000"/>
        <rFont val="游ゴシック"/>
        <charset val="134"/>
      </rPr>
      <t xml:space="preserve">ステップ2：
</t>
    </r>
    <r>
      <rPr>
        <sz val="10"/>
        <color rgb="FF000000"/>
        <rFont val="游ゴシック"/>
        <charset val="134"/>
      </rPr>
      <t xml:space="preserve">Click button 登録
</t>
    </r>
    <r>
      <rPr>
        <b/>
        <sz val="10"/>
        <color rgb="FF000000"/>
        <rFont val="游ゴシック"/>
        <charset val="134"/>
      </rPr>
      <t xml:space="preserve">ステップ3：
</t>
    </r>
    <r>
      <rPr>
        <sz val="10"/>
        <color rgb="FF000000"/>
        <rFont val="游ゴシック"/>
        <charset val="134"/>
      </rPr>
      <t xml:space="preserve">Kiểm tra DB: `SELECT * FROM m_tanka WHERE tanka_code = 'TEST001' AND ja_id = 1`
</t>
    </r>
    <r>
      <rPr>
        <b/>
        <sz val="10"/>
        <color rgb="FF000000"/>
        <rFont val="游ゴシック"/>
        <charset val="134"/>
      </rPr>
      <t xml:space="preserve">ステップ4：
</t>
    </r>
    <r>
      <rPr>
        <sz val="10"/>
        <color rgb="FF000000"/>
        <rFont val="游ゴシック"/>
        <charset val="134"/>
      </rPr>
      <t xml:space="preserve">Kiểm tra DB: `SELECT * FROM t_log WHERE target_table = 'm_tanka' AND operation = 'CREATE' ORDER BY log_datetime DESC LIMIT 1`
</t>
    </r>
    <r>
      <rPr>
        <b/>
        <sz val="10"/>
        <color rgb="FF000000"/>
        <rFont val="游ゴシック"/>
        <charset val="134"/>
      </rPr>
      <t xml:space="preserve">ステップ5：
</t>
    </r>
    <r>
      <rPr>
        <sz val="10"/>
        <color rgb="FF000000"/>
        <rFont val="游ゴシック"/>
        <charset val="134"/>
      </rPr>
      <t>Chuyển sang màn danh sách, kiểm tra hiển thị đơn giá đã đăng ký</t>
    </r>
  </si>
  <si>
    <r>
      <rPr>
        <b/>
        <sz val="10"/>
        <color rgb="FF000000"/>
        <rFont val="游ゴシック"/>
        <charset val="134"/>
      </rPr>
      <t xml:space="preserve">ステップ1：
</t>
    </r>
    <r>
      <rPr>
        <sz val="10"/>
        <color rgb="FF000000"/>
        <rFont val="游ゴシック"/>
        <charset val="134"/>
      </rPr>
      <t xml:space="preserve">Nhận input hoàn tất
</t>
    </r>
    <r>
      <rPr>
        <b/>
        <sz val="10"/>
        <color rgb="FF000000"/>
        <rFont val="游ゴシック"/>
        <charset val="134"/>
      </rPr>
      <t xml:space="preserve">ステップ2：
</t>
    </r>
    <r>
      <rPr>
        <sz val="10"/>
        <color rgb="FF000000"/>
        <rFont val="游ゴシック"/>
        <charset val="134"/>
      </rPr>
      <t xml:space="preserve">Hiển thị toast thành công `登録しました。` + chuyển về màn danh sách `/tanka`
</t>
    </r>
    <r>
      <rPr>
        <b/>
        <sz val="10"/>
        <color rgb="FF000000"/>
        <rFont val="游ゴシック"/>
        <charset val="134"/>
      </rPr>
      <t xml:space="preserve">ステップ3：
</t>
    </r>
    <r>
      <rPr>
        <sz val="10"/>
        <color rgb="FF000000"/>
        <rFont val="游ゴシック"/>
        <charset val="134"/>
      </rPr>
      <t xml:space="preserve">1 dòng, tất cả các trường khớp với giá trị input, `deleted_at IS NULL`
</t>
    </r>
    <r>
      <rPr>
        <b/>
        <sz val="10"/>
        <color rgb="FF000000"/>
        <rFont val="游ゴシック"/>
        <charset val="134"/>
      </rPr>
      <t xml:space="preserve">ステップ4：
</t>
    </r>
    <r>
      <rPr>
        <sz val="10"/>
        <color rgb="FF000000"/>
        <rFont val="游ゴシック"/>
        <charset val="134"/>
      </rPr>
      <t xml:space="preserve">1 dòng, `account_id` khớp test account, `result_status = 1`, JSON `after_value` ghi đầy đủ giá trị đăng ký
</t>
    </r>
    <r>
      <rPr>
        <b/>
        <sz val="10"/>
        <color rgb="FF000000"/>
        <rFont val="游ゴシック"/>
        <charset val="134"/>
      </rPr>
      <t xml:space="preserve">ステップ5：
</t>
    </r>
    <r>
      <rPr>
        <sz val="10"/>
        <color rgb="FF000000"/>
        <rFont val="游ゴシック"/>
        <charset val="134"/>
      </rPr>
      <t xml:space="preserve">Row mới hiển thị, giá trị khớp
</t>
    </r>
    <r>
      <rPr>
        <b/>
        <sz val="10"/>
        <color rgb="FF000000"/>
        <rFont val="游ゴシック"/>
        <charset val="134"/>
      </rPr>
      <t xml:space="preserve">補足：
</t>
    </r>
    <r>
      <rPr>
        <sz val="10"/>
        <color rgb="FF000000"/>
        <rFont val="游ゴシック"/>
        <charset val="134"/>
      </rPr>
      <t>・Persist đúng vào DB
・Audit log ghi event CREATE (before_value rỗng, after_value JSON đầy đủ)
・Main DML + audit log commit trong cùng 1 transaction</t>
    </r>
  </si>
  <si>
    <t>ACSMS-TC-003-057</t>
  </si>
  <si>
    <t>Đăng ký mới — Cho phép cùng code ở JA khác</t>
  </si>
  <si>
    <t>・JA_HONTEN (thuộc ja-002) đã login (đã xác thực MFA)
・Pre-data: ja-001 đã đăng ký `tanka_code='D001'`</t>
  </si>
  <si>
    <r>
      <rPr>
        <b/>
        <sz val="10"/>
        <color rgb="FF000000"/>
        <rFont val="メイリオ"/>
        <charset val="134"/>
      </rPr>
      <t xml:space="preserve">ステップ1：
</t>
    </r>
    <r>
      <rPr>
        <sz val="10"/>
        <color rgb="FF000000"/>
        <rFont val="メイリオ"/>
        <charset val="134"/>
      </rPr>
      <t xml:space="preserve">Login bằng tài khoản ja-002 → màn đăng ký
</t>
    </r>
    <r>
      <rPr>
        <b/>
        <sz val="10"/>
        <color rgb="FF000000"/>
        <rFont val="メイリオ"/>
        <charset val="134"/>
      </rPr>
      <t xml:space="preserve">ステップ2：
</t>
    </r>
    <r>
      <rPr>
        <sz val="10"/>
        <color rgb="FF000000"/>
        <rFont val="メイリオ"/>
        <charset val="134"/>
      </rPr>
      <t xml:space="preserve">Đăng ký với 単価コード `D001`
</t>
    </r>
    <r>
      <rPr>
        <b/>
        <sz val="10"/>
        <color rgb="FF000000"/>
        <rFont val="メイリオ"/>
        <charset val="134"/>
      </rPr>
      <t xml:space="preserve">ステップ3：
</t>
    </r>
    <r>
      <rPr>
        <sz val="10"/>
        <color rgb="FF000000"/>
        <rFont val="メイリオ"/>
        <charset val="134"/>
      </rPr>
      <t>Kiểm tra DB</t>
    </r>
  </si>
  <si>
    <r>
      <rPr>
        <b/>
        <sz val="10"/>
        <color rgb="FF000000"/>
        <rFont val="メイリオ"/>
        <charset val="134"/>
      </rPr>
      <t xml:space="preserve">ステップ1：
</t>
    </r>
    <r>
      <rPr>
        <sz val="10"/>
        <color rgb="FF000000"/>
        <rFont val="メイリオ"/>
        <charset val="134"/>
      </rPr>
      <t xml:space="preserve">Hiển thị bình thường
</t>
    </r>
    <r>
      <rPr>
        <b/>
        <sz val="10"/>
        <color rgb="FF000000"/>
        <rFont val="メイリオ"/>
        <charset val="134"/>
      </rPr>
      <t xml:space="preserve">ステップ2：
</t>
    </r>
    <r>
      <rPr>
        <sz val="10"/>
        <color rgb="FF000000"/>
        <rFont val="メイリオ"/>
        <charset val="134"/>
      </rPr>
      <t xml:space="preserve">Nhận bình thường (cho phép cùng code ở JA khác)
</t>
    </r>
    <r>
      <rPr>
        <b/>
        <sz val="10"/>
        <color rgb="FF000000"/>
        <rFont val="メイリオ"/>
        <charset val="134"/>
      </rPr>
      <t xml:space="preserve">ステップ3：
</t>
    </r>
    <r>
      <rPr>
        <sz val="10"/>
        <color rgb="FF000000"/>
        <rFont val="メイリオ"/>
        <charset val="134"/>
      </rPr>
      <t xml:space="preserve">Cả ja-001 / ja-002 đều có record `tanka_code='D001'`
</t>
    </r>
    <r>
      <rPr>
        <b/>
        <sz val="10"/>
        <color rgb="FF000000"/>
        <rFont val="メイリオ"/>
        <charset val="134"/>
      </rPr>
      <t xml:space="preserve">補足：
</t>
    </r>
    <r>
      <rPr>
        <sz val="10"/>
        <color rgb="FF000000"/>
        <rFont val="メイリオ"/>
        <charset val="134"/>
      </rPr>
      <t>・UNIQUE constraint là composite `(tanka_code, ja_id)` — unique trong JA</t>
    </r>
  </si>
  <si>
    <t>ACSMS-TC-003-058</t>
  </si>
  <si>
    <t>Đăng ký mới — Validation tích hợp khi tất cả field rỗng</t>
  </si>
  <si>
    <t>・Màn đăng ký, tất cả field rỗng</t>
  </si>
  <si>
    <r>
      <rPr>
        <b/>
        <sz val="10"/>
        <color rgb="FF000000"/>
        <rFont val="メイリオ"/>
        <charset val="134"/>
      </rPr>
      <t xml:space="preserve">ステップ1：
</t>
    </r>
    <r>
      <rPr>
        <sz val="10"/>
        <color rgb="FF000000"/>
        <rFont val="メイリオ"/>
        <charset val="134"/>
      </rPr>
      <t xml:space="preserve">Không nhập gì rồi click button 登録
</t>
    </r>
    <r>
      <rPr>
        <b/>
        <sz val="10"/>
        <color rgb="FF000000"/>
        <rFont val="メイリオ"/>
        <charset val="134"/>
      </rPr>
      <t xml:space="preserve">ステップ2：
</t>
    </r>
    <r>
      <rPr>
        <sz val="10"/>
        <color rgb="FF000000"/>
        <rFont val="メイリオ"/>
        <charset val="134"/>
      </rPr>
      <t>Kiểm tra error message của từng mục 単価コード / 単価名</t>
    </r>
  </si>
  <si>
    <r>
      <rPr>
        <b/>
        <sz val="10"/>
        <color rgb="FF000000"/>
        <rFont val="游ゴシック"/>
        <charset val="134"/>
      </rPr>
      <t xml:space="preserve">ステップ1：
</t>
    </r>
    <r>
      <rPr>
        <sz val="10"/>
        <color rgb="FF000000"/>
        <rFont val="游ゴシック"/>
        <charset val="134"/>
      </rPr>
      <t xml:space="preserve">Trả về HTTP 400 (`error_code: VALIDATION_ERROR`, response body chứa array `errors: [{ field, message }]`)
Hiển thị `必須項目です。` ngay dưới mỗi mục bắt buộc, submit bị block
</t>
    </r>
    <r>
      <rPr>
        <b/>
        <sz val="10"/>
        <color rgb="FF000000"/>
        <rFont val="游ゴシック"/>
        <charset val="134"/>
      </rPr>
      <t xml:space="preserve">ステップ2：
</t>
    </r>
    <r>
      <rPr>
        <sz val="10"/>
        <color rgb="FF000000"/>
        <rFont val="游ゴシック"/>
        <charset val="134"/>
      </rPr>
      <t xml:space="preserve">Đối với 2 mục 単価コード / 単価名, error_code: VALIDATION_ERROR trả về tên field tương ứng và message trong array `errors`
</t>
    </r>
    <r>
      <rPr>
        <b/>
        <sz val="10"/>
        <color rgb="FF000000"/>
        <rFont val="游ゴシック"/>
        <charset val="134"/>
      </rPr>
      <t xml:space="preserve">補足：
</t>
    </r>
    <r>
      <rPr>
        <sz val="10"/>
        <color rgb="FF000000"/>
        <rFont val="游ゴシック"/>
        <charset val="134"/>
      </rPr>
      <t xml:space="preserve">・Submit thất bại, hiển thị đồng thời nhiều vi phạm bắt buộc
・Không có row được thêm vào DB
</t>
    </r>
  </si>
  <si>
    <t>ACSMS-TC-003-059</t>
  </si>
  <si>
    <t>Đăng ký mới — Lỗi khi code trùng</t>
  </si>
  <si>
    <t>・Pre-data: ja-001 đã đăng ký `tanka_code='T001'`
・role: JA_HONTEN (thuộc ja-001)</t>
  </si>
  <si>
    <r>
      <rPr>
        <b/>
        <sz val="10"/>
        <color rgb="FF000000"/>
        <rFont val="メイリオ"/>
        <charset val="134"/>
      </rPr>
      <t xml:space="preserve">ステップ1：
</t>
    </r>
    <r>
      <rPr>
        <sz val="10"/>
        <color rgb="FF000000"/>
        <rFont val="メイリオ"/>
        <charset val="134"/>
      </rPr>
      <t xml:space="preserve">Nhập `T001` vào 単価コード, các field khác giá trị hợp lệ rồi 登録
</t>
    </r>
    <r>
      <rPr>
        <b/>
        <sz val="10"/>
        <color rgb="FF000000"/>
        <rFont val="メイリオ"/>
        <charset val="134"/>
      </rPr>
      <t xml:space="preserve">ステップ2：
</t>
    </r>
    <r>
      <rPr>
        <sz val="10"/>
        <color rgb="FF000000"/>
        <rFont val="メイリオ"/>
        <charset val="134"/>
      </rPr>
      <t xml:space="preserve">Kiểm tra DB
</t>
    </r>
    <r>
      <rPr>
        <b/>
        <sz val="10"/>
        <color rgb="FF000000"/>
        <rFont val="メイリオ"/>
        <charset val="134"/>
      </rPr>
      <t xml:space="preserve">ステップ3：
</t>
    </r>
    <r>
      <rPr>
        <sz val="10"/>
        <color rgb="FF000000"/>
        <rFont val="メイリオ"/>
        <charset val="134"/>
      </rPr>
      <t>Kiểm tra audit log: `t_log` có `result_status = 2 OR error log`</t>
    </r>
  </si>
  <si>
    <r>
      <rPr>
        <b/>
        <sz val="10"/>
        <color rgb="FF000000"/>
        <rFont val="游ゴシック"/>
        <charset val="134"/>
      </rPr>
      <t xml:space="preserve">ステップ1：
</t>
    </r>
    <r>
      <rPr>
        <sz val="10"/>
        <color rgb="FF000000"/>
        <rFont val="游ゴシック"/>
        <charset val="134"/>
      </rPr>
      <t xml:space="preserve">Trả về HTTP 400 (`error_code: DUPLICATE_CODE`, hiển thị message `単価コード「{code}」はすでに登録されています。`, đăng ký thất bại)
</t>
    </r>
    <r>
      <rPr>
        <b/>
        <sz val="10"/>
        <color rgb="FF000000"/>
        <rFont val="游ゴシック"/>
        <charset val="134"/>
      </rPr>
      <t xml:space="preserve">ステップ2：
</t>
    </r>
    <r>
      <rPr>
        <sz val="10"/>
        <color rgb="FF000000"/>
        <rFont val="游ゴシック"/>
        <charset val="134"/>
      </rPr>
      <t xml:space="preserve">Không có row mới, `T001` trong `m_tanka` chỉ có 1 dòng
</t>
    </r>
    <r>
      <rPr>
        <b/>
        <sz val="10"/>
        <color rgb="FF000000"/>
        <rFont val="游ゴシック"/>
        <charset val="134"/>
      </rPr>
      <t xml:space="preserve">ステップ3：
</t>
    </r>
    <r>
      <rPr>
        <sz val="10"/>
        <color rgb="FF000000"/>
        <rFont val="游ゴシック"/>
        <charset val="134"/>
      </rPr>
      <t xml:space="preserve">Có ghi failure log (log_type=3)
</t>
    </r>
    <r>
      <rPr>
        <b/>
        <sz val="10"/>
        <color rgb="FF000000"/>
        <rFont val="游ゴシック"/>
        <charset val="134"/>
      </rPr>
      <t xml:space="preserve">補足：
</t>
    </r>
    <r>
      <rPr>
        <sz val="10"/>
        <color rgb="FF000000"/>
        <rFont val="游ゴシック"/>
        <charset val="134"/>
      </rPr>
      <t>・Phát hiện trùng → rollback transaction → ghi failure log</t>
    </r>
  </si>
  <si>
    <t>ACSMS-TC-003-060</t>
  </si>
  <si>
    <t>Đăng ký mới — Xử lý khi system error</t>
  </si>
  <si>
    <t>・Màn đăng ký, đã nhập giá trị hợp lệ
・Backend trigger internal error có chủ đích (chỉ trên test environment)</t>
  </si>
  <si>
    <r>
      <rPr>
        <b/>
        <sz val="10"/>
        <color rgb="FF000000"/>
        <rFont val="メイリオ"/>
        <charset val="134"/>
      </rPr>
      <t xml:space="preserve">ステップ1：
</t>
    </r>
    <r>
      <rPr>
        <sz val="10"/>
        <color rgb="FF000000"/>
        <rFont val="メイリオ"/>
        <charset val="134"/>
      </rPr>
      <t xml:space="preserve">Click button 登録 → BE phát sinh 500 error
</t>
    </r>
    <r>
      <rPr>
        <b/>
        <sz val="10"/>
        <color rgb="FF000000"/>
        <rFont val="メイリオ"/>
        <charset val="134"/>
      </rPr>
      <t xml:space="preserve">ステップ2：
</t>
    </r>
    <r>
      <rPr>
        <sz val="10"/>
        <color rgb="FF000000"/>
        <rFont val="メイリオ"/>
        <charset val="134"/>
      </rPr>
      <t xml:space="preserve">Kiểm tra trạng thái màn hình
</t>
    </r>
    <r>
      <rPr>
        <b/>
        <sz val="10"/>
        <color rgb="FF000000"/>
        <rFont val="メイリオ"/>
        <charset val="134"/>
      </rPr>
      <t xml:space="preserve">ステップ3：
</t>
    </r>
    <r>
      <rPr>
        <sz val="10"/>
        <color rgb="FF000000"/>
        <rFont val="メイリオ"/>
        <charset val="134"/>
      </rPr>
      <t xml:space="preserve">Kiểm tra DB
</t>
    </r>
    <r>
      <rPr>
        <b/>
        <sz val="10"/>
        <color rgb="FF000000"/>
        <rFont val="メイリオ"/>
        <charset val="134"/>
      </rPr>
      <t xml:space="preserve">ステップ4：
</t>
    </r>
    <r>
      <rPr>
        <sz val="10"/>
        <color rgb="FF000000"/>
        <rFont val="メイリオ"/>
        <charset val="134"/>
      </rPr>
      <t>Kiểm tra error log</t>
    </r>
  </si>
  <si>
    <r>
      <rPr>
        <b/>
        <sz val="10"/>
        <color rgb="FF000000"/>
        <rFont val="メイリオ"/>
        <charset val="134"/>
      </rPr>
      <t xml:space="preserve">ステップ1：
</t>
    </r>
    <r>
      <rPr>
        <sz val="10"/>
        <color rgb="FF000000"/>
        <rFont val="メイリオ"/>
        <charset val="134"/>
      </rPr>
      <t xml:space="preserve">Trả về HTTP 500 (`error_code: INTERNAL_SERVER_ERROR`, hiển thị toast `システムエラーが発生しました。しばらくしてから再度お試しください。`)
</t>
    </r>
    <r>
      <rPr>
        <b/>
        <sz val="10"/>
        <color rgb="FF000000"/>
        <rFont val="メイリオ"/>
        <charset val="134"/>
      </rPr>
      <t xml:space="preserve">ステップ2：
</t>
    </r>
    <r>
      <rPr>
        <sz val="10"/>
        <color rgb="FF000000"/>
        <rFont val="メイリオ"/>
        <charset val="134"/>
      </rPr>
      <t xml:space="preserve">Vẫn ở màn đăng ký, giữ giá trị input
</t>
    </r>
    <r>
      <rPr>
        <b/>
        <sz val="10"/>
        <color rgb="FF000000"/>
        <rFont val="メイリオ"/>
        <charset val="134"/>
      </rPr>
      <t xml:space="preserve">ステップ3：
</t>
    </r>
    <r>
      <rPr>
        <sz val="10"/>
        <color rgb="FF000000"/>
        <rFont val="メイリオ"/>
        <charset val="134"/>
      </rPr>
      <t xml:space="preserve">Không có row được thêm
</t>
    </r>
    <r>
      <rPr>
        <b/>
        <sz val="10"/>
        <color rgb="FF000000"/>
        <rFont val="メイリオ"/>
        <charset val="134"/>
      </rPr>
      <t xml:space="preserve">ステップ4：
</t>
    </r>
    <r>
      <rPr>
        <sz val="10"/>
        <color rgb="FF000000"/>
        <rFont val="メイリオ"/>
        <charset val="134"/>
      </rPr>
      <t xml:space="preserve">`t_log` có ghi log_type=3 (error)
</t>
    </r>
    <r>
      <rPr>
        <b/>
        <sz val="10"/>
        <color rgb="FF000000"/>
        <rFont val="メイリオ"/>
        <charset val="134"/>
      </rPr>
      <t xml:space="preserve">補足：
</t>
    </r>
    <r>
      <rPr>
        <sz val="10"/>
        <color rgb="FF000000"/>
        <rFont val="メイリオ"/>
        <charset val="134"/>
      </rPr>
      <t xml:space="preserve">・Hiển thị error message hướng đến người dùng
</t>
    </r>
    <r>
      <rPr>
        <sz val="10"/>
        <color rgb="FF000000"/>
        <rFont val="メイリオ"/>
        <charset val="134"/>
      </rPr>
      <t xml:space="preserve">・Rollback transaction, duy trì tính toàn vẹn dữ liệu
</t>
    </r>
    <r>
      <rPr>
        <sz val="10"/>
        <color rgb="FF000000"/>
        <rFont val="メイリオ"/>
        <charset val="134"/>
      </rPr>
      <t>・Có thể debug qua error log</t>
    </r>
  </si>
  <si>
    <t>ACSMS-TC-003-061</t>
  </si>
  <si>
    <t>Đăng ký mới — Xử lý khi mất kết nối mạng</t>
  </si>
  <si>
    <t>・Màn đăng ký, đã nhập giá trị hợp lệ
・DevTools → Network → chuyển sang chế độ ngắt mạng</t>
  </si>
  <si>
    <r>
      <rPr>
        <b/>
        <sz val="10"/>
        <color rgb="FF000000"/>
        <rFont val="メイリオ"/>
        <charset val="134"/>
      </rPr>
      <t xml:space="preserve">ステップ1：
</t>
    </r>
    <r>
      <rPr>
        <sz val="10"/>
        <color rgb="FF000000"/>
        <rFont val="メイリオ"/>
        <charset val="134"/>
      </rPr>
      <t xml:space="preserve">Click button 登録
</t>
    </r>
    <r>
      <rPr>
        <b/>
        <sz val="10"/>
        <color rgb="FF000000"/>
        <rFont val="メイリオ"/>
        <charset val="134"/>
      </rPr>
      <t xml:space="preserve">ステップ2：
</t>
    </r>
    <r>
      <rPr>
        <sz val="10"/>
        <color rgb="FF000000"/>
        <rFont val="メイリオ"/>
        <charset val="134"/>
      </rPr>
      <t xml:space="preserve">Trạng thái màn hình
</t>
    </r>
    <r>
      <rPr>
        <b/>
        <sz val="10"/>
        <color rgb="FF000000"/>
        <rFont val="メイリオ"/>
        <charset val="134"/>
      </rPr>
      <t xml:space="preserve">ステップ3：
</t>
    </r>
    <r>
      <rPr>
        <sz val="10"/>
        <color rgb="FF000000"/>
        <rFont val="メイリオ"/>
        <charset val="134"/>
      </rPr>
      <t>Bật lại Online rồi click button 登録 lần nữa</t>
    </r>
  </si>
  <si>
    <r>
      <rPr>
        <b/>
        <sz val="10"/>
        <color rgb="FF000000"/>
        <rFont val="メイリオ"/>
        <charset val="134"/>
      </rPr>
      <t xml:space="preserve">ステップ1：
</t>
    </r>
    <r>
      <rPr>
        <sz val="10"/>
        <color rgb="FF000000"/>
        <rFont val="メイリオ"/>
        <charset val="134"/>
      </rPr>
      <t xml:space="preserve">Hiển thị toast `ネットワークエラーが発生しました。接続をご確認ください。`
</t>
    </r>
    <r>
      <rPr>
        <b/>
        <sz val="10"/>
        <color rgb="FF000000"/>
        <rFont val="メイリオ"/>
        <charset val="134"/>
      </rPr>
      <t xml:space="preserve">ステップ2：
</t>
    </r>
    <r>
      <rPr>
        <sz val="10"/>
        <color rgb="FF000000"/>
        <rFont val="メイリオ"/>
        <charset val="134"/>
      </rPr>
      <t xml:space="preserve">Màn đăng ký, giữ giá trị input
</t>
    </r>
    <r>
      <rPr>
        <b/>
        <sz val="10"/>
        <color rgb="FF000000"/>
        <rFont val="メイリオ"/>
        <charset val="134"/>
      </rPr>
      <t xml:space="preserve">ステップ3：
</t>
    </r>
    <r>
      <rPr>
        <sz val="10"/>
        <color rgb="FF000000"/>
        <rFont val="メイリオ"/>
        <charset val="134"/>
      </rPr>
      <t xml:space="preserve">Đăng ký thành công bình thường
</t>
    </r>
    <r>
      <rPr>
        <b/>
        <sz val="10"/>
        <color rgb="FF000000"/>
        <rFont val="メイリオ"/>
        <charset val="134"/>
      </rPr>
      <t xml:space="preserve">補足：
</t>
    </r>
    <r>
      <rPr>
        <sz val="10"/>
        <color rgb="FF000000"/>
        <rFont val="メイリオ"/>
        <charset val="134"/>
      </rPr>
      <t xml:space="preserve">・Phát hiện network error → thông báo cho user
</t>
    </r>
    <r>
      <rPr>
        <sz val="10"/>
        <color rgb="FF000000"/>
        <rFont val="メイリオ"/>
        <charset val="134"/>
      </rPr>
      <t>・Giữ giá trị input, có thể submit lại</t>
    </r>
  </si>
  <si>
    <t>ACSMS-TC-003-062</t>
  </si>
  <si>
    <t>Đăng ký mới — Cancel bằng button quay lại</t>
  </si>
  <si>
    <t>・Màn đăng ký, đã nhập giá trị hợp lệ</t>
  </si>
  <si>
    <r>
      <rPr>
        <b/>
        <sz val="10"/>
        <color rgb="FF000000"/>
        <rFont val="メイリオ"/>
        <charset val="134"/>
      </rPr>
      <t xml:space="preserve">ステップ1：
</t>
    </r>
    <r>
      <rPr>
        <sz val="10"/>
        <color rgb="FF000000"/>
        <rFont val="メイリオ"/>
        <charset val="134"/>
      </rPr>
      <t xml:space="preserve">Click button "前の画面に戻る"
</t>
    </r>
    <r>
      <rPr>
        <b/>
        <sz val="10"/>
        <color rgb="FF000000"/>
        <rFont val="メイリオ"/>
        <charset val="134"/>
      </rPr>
      <t xml:space="preserve">ステップ2：
</t>
    </r>
    <r>
      <rPr>
        <sz val="10"/>
        <color rgb="FF000000"/>
        <rFont val="メイリオ"/>
        <charset val="134"/>
      </rPr>
      <t xml:space="preserve">Kiểm tra DB
</t>
    </r>
    <r>
      <rPr>
        <b/>
        <sz val="10"/>
        <color rgb="FF000000"/>
        <rFont val="メイリオ"/>
        <charset val="134"/>
      </rPr>
      <t xml:space="preserve">ステップ3：
</t>
    </r>
    <r>
      <rPr>
        <sz val="10"/>
        <color rgb="FF000000"/>
        <rFont val="メイリオ"/>
        <charset val="134"/>
      </rPr>
      <t>Kiểm tra audit log</t>
    </r>
  </si>
  <si>
    <r>
      <rPr>
        <b/>
        <sz val="10"/>
        <color rgb="FF000000"/>
        <rFont val="メイリオ"/>
        <charset val="134"/>
      </rPr>
      <t xml:space="preserve">ステップ1：
</t>
    </r>
    <r>
      <rPr>
        <sz val="10"/>
        <color rgb="FF000000"/>
        <rFont val="メイリオ"/>
        <charset val="134"/>
      </rPr>
      <t xml:space="preserve">Chuyển sang màn danh sách `/tanka` không có modal xác nhận
</t>
    </r>
    <r>
      <rPr>
        <b/>
        <sz val="10"/>
        <color rgb="FF000000"/>
        <rFont val="メイリオ"/>
        <charset val="134"/>
      </rPr>
      <t xml:space="preserve">ステップ2：
</t>
    </r>
    <r>
      <rPr>
        <sz val="10"/>
        <color rgb="FF000000"/>
        <rFont val="メイリオ"/>
        <charset val="134"/>
      </rPr>
      <t xml:space="preserve">Không có row được thêm
</t>
    </r>
    <r>
      <rPr>
        <b/>
        <sz val="10"/>
        <color rgb="FF000000"/>
        <rFont val="メイリオ"/>
        <charset val="134"/>
      </rPr>
      <t xml:space="preserve">ステップ3：
</t>
    </r>
    <r>
      <rPr>
        <sz val="10"/>
        <color rgb="FF000000"/>
        <rFont val="メイリオ"/>
        <charset val="134"/>
      </rPr>
      <t xml:space="preserve">Không có log entry (cancel không được ghi log)
</t>
    </r>
    <r>
      <rPr>
        <b/>
        <sz val="10"/>
        <color rgb="FF000000"/>
        <rFont val="メイリオ"/>
        <charset val="134"/>
      </rPr>
      <t xml:space="preserve">補足：
</t>
    </r>
    <r>
      <rPr>
        <sz val="10"/>
        <color rgb="FF000000"/>
        <rFont val="メイリオ"/>
        <charset val="134"/>
      </rPr>
      <t>・Hành vi cancel không thay đổi DB, không ghi log</t>
    </r>
  </si>
  <si>
    <t>ACSMS-TC-003-063</t>
  </si>
  <si>
    <t>Trạng thái DB và log khi đăng ký mới thất bại (chống commit không hợp lệ)</t>
  </si>
  <si>
    <t>・Trên test environment, mock cho audit log INSERT của backend bị fail</t>
  </si>
  <si>
    <r>
      <rPr>
        <b/>
        <sz val="10"/>
        <color rgb="FF000000"/>
        <rFont val="メイリオ"/>
        <charset val="134"/>
      </rPr>
      <t xml:space="preserve">ステップ1：
</t>
    </r>
    <r>
      <rPr>
        <sz val="10"/>
        <color rgb="FF000000"/>
        <rFont val="メイリオ"/>
        <charset val="134"/>
      </rPr>
      <t xml:space="preserve">Click button 登録 với input hợp lệ
</t>
    </r>
    <r>
      <rPr>
        <b/>
        <sz val="10"/>
        <color rgb="FF000000"/>
        <rFont val="メイリオ"/>
        <charset val="134"/>
      </rPr>
      <t xml:space="preserve">ステップ2：
</t>
    </r>
    <r>
      <rPr>
        <sz val="10"/>
        <color rgb="FF000000"/>
        <rFont val="メイリオ"/>
        <charset val="134"/>
      </rPr>
      <t xml:space="preserve">Kiểm tra `m_tanka`
</t>
    </r>
    <r>
      <rPr>
        <b/>
        <sz val="10"/>
        <color rgb="FF000000"/>
        <rFont val="メイリオ"/>
        <charset val="134"/>
      </rPr>
      <t xml:space="preserve">ステップ3：
</t>
    </r>
    <r>
      <rPr>
        <sz val="10"/>
        <color rgb="FF000000"/>
        <rFont val="メイリオ"/>
        <charset val="134"/>
      </rPr>
      <t>Kiểm tra `t_log`</t>
    </r>
  </si>
  <si>
    <r>
      <rPr>
        <b/>
        <sz val="10"/>
        <color rgb="FF000000"/>
        <rFont val="メイリオ"/>
        <charset val="134"/>
      </rPr>
      <t xml:space="preserve">ステップ1：
</t>
    </r>
    <r>
      <rPr>
        <sz val="10"/>
        <color rgb="FF000000"/>
        <rFont val="メイリオ"/>
        <charset val="134"/>
      </rPr>
      <t xml:space="preserve">Audit log INSERT sau main DML fail → rollback transaction
</t>
    </r>
    <r>
      <rPr>
        <b/>
        <sz val="10"/>
        <color rgb="FF000000"/>
        <rFont val="メイリオ"/>
        <charset val="134"/>
      </rPr>
      <t xml:space="preserve">ステップ2：
</t>
    </r>
    <r>
      <rPr>
        <sz val="10"/>
        <color rgb="FF000000"/>
        <rFont val="メイリオ"/>
        <charset val="134"/>
      </rPr>
      <t xml:space="preserve">Không có row được thêm (rollback hoàn tất)
</t>
    </r>
    <r>
      <rPr>
        <b/>
        <sz val="10"/>
        <color rgb="FF000000"/>
        <rFont val="メイリオ"/>
        <charset val="134"/>
      </rPr>
      <t xml:space="preserve">ステップ3：
</t>
    </r>
    <r>
      <rPr>
        <sz val="10"/>
        <color rgb="FF000000"/>
        <rFont val="メイリオ"/>
        <charset val="134"/>
      </rPr>
      <t xml:space="preserve">Không có success log, nhưng có error log (catch ngoài)
</t>
    </r>
    <r>
      <rPr>
        <b/>
        <sz val="10"/>
        <color rgb="FF000000"/>
        <rFont val="メイリオ"/>
        <charset val="134"/>
      </rPr>
      <t xml:space="preserve">補足：
</t>
    </r>
    <r>
      <rPr>
        <sz val="10"/>
        <color rgb="FF000000"/>
        <rFont val="メイリオ"/>
        <charset val="134"/>
      </rPr>
      <t xml:space="preserve">・Audit log fail → rollback business write để duy trì nhất quán
</t>
    </r>
    <r>
      <rPr>
        <sz val="10"/>
        <color rgb="FF000000"/>
        <rFont val="メイリオ"/>
        <charset val="134"/>
      </rPr>
      <t>・Theo rule `nestjs.md §I/O &amp; External Services / Transaction`</t>
    </r>
  </si>
  <si>
    <t>Critical test đảm bảo tính nhất quán giữa audit trail và DB state.
---</t>
  </si>
  <si>
    <t>Logic nghiệp vụ — Cập nhật (Function — Edit)</t>
  </si>
  <si>
    <t>ACSMS-TC-003-064</t>
  </si>
  <si>
    <t>Màn chỉnh sửa — Hiển thị data đã có</t>
  </si>
  <si>
    <t>・role: JA_HONTEN (thuộc ja-001)
・Pre-data: `tanka_id=10, tanka_code='OLD001'` đã tồn tại dưới ja-001</t>
  </si>
  <si>
    <r>
      <rPr>
        <b/>
        <sz val="10"/>
        <color rgb="FF000000"/>
        <rFont val="游ゴシック"/>
        <charset val="134"/>
      </rPr>
      <t xml:space="preserve">ステップ1：
</t>
    </r>
    <r>
      <rPr>
        <sz val="10"/>
        <color rgb="FF000000"/>
        <rFont val="游ゴシック"/>
        <charset val="134"/>
      </rPr>
      <t xml:space="preserve">Click link "編集" của `OLD001` từ màn danh sách
</t>
    </r>
    <r>
      <rPr>
        <b/>
        <sz val="10"/>
        <color rgb="FF000000"/>
        <rFont val="游ゴシック"/>
        <charset val="134"/>
      </rPr>
      <t xml:space="preserve">ステップ2：
</t>
    </r>
    <r>
      <rPr>
        <sz val="10"/>
        <color rgb="FF000000"/>
        <rFont val="游ゴシック"/>
        <charset val="134"/>
      </rPr>
      <t>Kiểm tra giá trị ban đầu của từng field</t>
    </r>
  </si>
  <si>
    <r>
      <rPr>
        <b/>
        <sz val="10"/>
        <color rgb="FF000000"/>
        <rFont val="游ゴシック"/>
        <charset val="134"/>
      </rPr>
      <t xml:space="preserve">ステップ1：
</t>
    </r>
    <r>
      <rPr>
        <sz val="10"/>
        <color rgb="FF000000"/>
        <rFont val="游ゴシック"/>
        <charset val="134"/>
      </rPr>
      <t xml:space="preserve">Mở màn `/tanka/10/edit`
</t>
    </r>
    <r>
      <rPr>
        <b/>
        <sz val="10"/>
        <color rgb="FF000000"/>
        <rFont val="游ゴシック"/>
        <charset val="134"/>
      </rPr>
      <t xml:space="preserve">ステップ2：
</t>
    </r>
    <r>
      <rPr>
        <sz val="10"/>
        <color rgb="FF000000"/>
        <rFont val="游ゴシック"/>
        <charset val="134"/>
      </rPr>
      <t xml:space="preserve">Khớp hoàn toàn giá trị DB — đầy đủ 単価種別 / コード / 名前 / 税率 / 税込 / 税抜 / 開始日 / 終了日
</t>
    </r>
    <r>
      <rPr>
        <b/>
        <sz val="10"/>
        <color rgb="FF000000"/>
        <rFont val="游ゴシック"/>
        <charset val="134"/>
      </rPr>
      <t xml:space="preserve">補足：
</t>
    </r>
    <r>
      <rPr>
        <sz val="10"/>
        <color rgb="FF000000"/>
        <rFont val="游ゴシック"/>
        <charset val="134"/>
      </rPr>
      <t>・Form load hiển thị đúng giá trị DB</t>
    </r>
  </si>
  <si>
    <t>ACSMS-TC-003-065</t>
  </si>
  <si>
    <t>Màn chỉnh sửa — Kiểm tra trạng thái log trước khi chỉnh sửa (audit trước update)</t>
  </si>
  <si>
    <t>・Pre-data: `tanka_id=10` đã đăng ký (có CREATE log), chưa chỉnh sửa</t>
  </si>
  <si>
    <r>
      <rPr>
        <b/>
        <sz val="10"/>
        <color rgb="FF000000"/>
        <rFont val="游ゴシック"/>
        <charset val="134"/>
      </rPr>
      <t xml:space="preserve">ステップ1：
</t>
    </r>
    <r>
      <rPr>
        <sz val="10"/>
        <color rgb="FF000000"/>
        <rFont val="游ゴシック"/>
        <charset val="134"/>
      </rPr>
      <t>Kiểm tra log trước khi chỉnh sửa: `SELECT * FROM t_log WHERE target_id = 10 AND target_table = 'm_tanka'`</t>
    </r>
  </si>
  <si>
    <r>
      <rPr>
        <b/>
        <sz val="10"/>
        <color rgb="FF000000"/>
        <rFont val="メイリオ"/>
        <charset val="134"/>
      </rPr>
      <t xml:space="preserve">ステップ1：
</t>
    </r>
    <r>
      <rPr>
        <sz val="10"/>
        <color rgb="FF000000"/>
        <rFont val="メイリオ"/>
        <charset val="134"/>
      </rPr>
      <t xml:space="preserve">Chỉ tồn tại 1 dòng (CREATE log)
</t>
    </r>
    <r>
      <rPr>
        <b/>
        <sz val="10"/>
        <color rgb="FF000000"/>
        <rFont val="メイリオ"/>
        <charset val="134"/>
      </rPr>
      <t xml:space="preserve">補足：
</t>
    </r>
    <r>
      <rPr>
        <sz val="10"/>
        <color rgb="FF000000"/>
        <rFont val="メイリオ"/>
        <charset val="134"/>
      </rPr>
      <t>・Trước khi chỉnh sửa chỉ có CREATE log, không có UPDATE log</t>
    </r>
  </si>
  <si>
    <t>ACSMS-TC-003-066</t>
  </si>
  <si>
    <t>Màn chỉnh sửa — 適用開始日 với ngày trong quá khứ chỉ đọc</t>
  </si>
  <si>
    <t>・Pre-data: record có `tekiyo_start_date = 2025-01-01` (ngày trong quá khứ)</t>
  </si>
  <si>
    <r>
      <rPr>
        <b/>
        <sz val="10"/>
        <color rgb="FF000000"/>
        <rFont val="游ゴシック"/>
        <charset val="134"/>
      </rPr>
      <t xml:space="preserve">ステップ1：
</t>
    </r>
    <r>
      <rPr>
        <sz val="10"/>
        <color rgb="FF000000"/>
        <rFont val="游ゴシック"/>
        <charset val="134"/>
      </rPr>
      <t xml:space="preserve">Mở màn chỉnh sửa
</t>
    </r>
    <r>
      <rPr>
        <b/>
        <sz val="10"/>
        <color rgb="FF000000"/>
        <rFont val="游ゴシック"/>
        <charset val="134"/>
      </rPr>
      <t xml:space="preserve">ステップ2：
</t>
    </r>
    <r>
      <rPr>
        <sz val="10"/>
        <color rgb="FF000000"/>
        <rFont val="游ゴシック"/>
        <charset val="134"/>
      </rPr>
      <t xml:space="preserve">Thử sửa trực tiếp text
</t>
    </r>
    <r>
      <rPr>
        <b/>
        <sz val="10"/>
        <color rgb="FF000000"/>
        <rFont val="游ゴシック"/>
        <charset val="134"/>
      </rPr>
      <t xml:space="preserve">ステップ3：
</t>
    </r>
    <r>
      <rPr>
        <sz val="10"/>
        <color rgb="FF000000"/>
        <rFont val="游ゴシック"/>
        <charset val="134"/>
      </rPr>
      <t>Dùng DevTools gửi PATCH `/api/v1/tanka/{id}` với body có chứa `tekiyo_start_date`</t>
    </r>
  </si>
  <si>
    <r>
      <rPr>
        <b/>
        <sz val="10"/>
        <color rgb="FF000000"/>
        <rFont val="メイリオ"/>
        <charset val="134"/>
      </rPr>
      <t xml:space="preserve">ステップ1：
</t>
    </r>
    <r>
      <rPr>
        <sz val="10"/>
        <color rgb="FF000000"/>
        <rFont val="メイリオ"/>
        <charset val="134"/>
      </rPr>
      <t xml:space="preserve">Ô nhập 適用開始日 ở trạng thái disabled (chỉ đọc), hiển thị grey-out
</t>
    </r>
    <r>
      <rPr>
        <b/>
        <sz val="10"/>
        <color rgb="FF000000"/>
        <rFont val="メイリオ"/>
        <charset val="134"/>
      </rPr>
      <t xml:space="preserve">ステップ2：
</t>
    </r>
    <r>
      <rPr>
        <sz val="10"/>
        <color rgb="FF000000"/>
        <rFont val="メイリオ"/>
        <charset val="134"/>
      </rPr>
      <t xml:space="preserve">Input không nhận
</t>
    </r>
    <r>
      <rPr>
        <b/>
        <sz val="10"/>
        <color rgb="FF000000"/>
        <rFont val="メイリオ"/>
        <charset val="134"/>
      </rPr>
      <t xml:space="preserve">ステップ3：
</t>
    </r>
    <r>
      <rPr>
        <sz val="10"/>
        <color rgb="FF000000"/>
        <rFont val="メイリオ"/>
        <charset val="134"/>
      </rPr>
      <t xml:space="preserve">Backend từ chối — lỗi field-level restriction
</t>
    </r>
    <r>
      <rPr>
        <b/>
        <sz val="10"/>
        <color rgb="FF000000"/>
        <rFont val="メイリオ"/>
        <charset val="134"/>
      </rPr>
      <t xml:space="preserve">補足：
</t>
    </r>
    <r>
      <rPr>
        <sz val="10"/>
        <color rgb="FF000000"/>
        <rFont val="メイリオ"/>
        <charset val="134"/>
      </rPr>
      <t>・Cả FE / BE đều enforce chỉ đọc cho ngày trong quá khứ</t>
    </r>
  </si>
  <si>
    <t>ACSMS-TC-003-067</t>
  </si>
  <si>
    <t>Màn chỉnh sửa — 適用開始日 với ngày trong tương lai có thể sửa</t>
  </si>
  <si>
    <t>・Pre-data: record có `tekiyo_start_date = 2027-01-01` (ngày trong tương lai)</t>
  </si>
  <si>
    <r>
      <rPr>
        <b/>
        <sz val="10"/>
        <color rgb="FF000000"/>
        <rFont val="メイリオ"/>
        <charset val="134"/>
      </rPr>
      <t xml:space="preserve">ステップ1：
</t>
    </r>
    <r>
      <rPr>
        <sz val="10"/>
        <color rgb="FF000000"/>
        <rFont val="メイリオ"/>
        <charset val="134"/>
      </rPr>
      <t xml:space="preserve">Mở màn chỉnh sửa
</t>
    </r>
    <r>
      <rPr>
        <b/>
        <sz val="10"/>
        <color rgb="FF000000"/>
        <rFont val="メイリオ"/>
        <charset val="134"/>
      </rPr>
      <t xml:space="preserve">ステップ2：
</t>
    </r>
    <r>
      <rPr>
        <sz val="10"/>
        <color rgb="FF000000"/>
        <rFont val="メイリオ"/>
        <charset val="134"/>
      </rPr>
      <t>Đổi sang `2027-02-01` → button cập nhật</t>
    </r>
  </si>
  <si>
    <r>
      <rPr>
        <b/>
        <sz val="10"/>
        <color rgb="FF000000"/>
        <rFont val="メイリオ"/>
        <charset val="134"/>
      </rPr>
      <t xml:space="preserve">ステップ1：
</t>
    </r>
    <r>
      <rPr>
        <sz val="10"/>
        <color rgb="FF000000"/>
        <rFont val="メイリオ"/>
        <charset val="134"/>
      </rPr>
      <t xml:space="preserve">Input 適用開始日 enabled
</t>
    </r>
    <r>
      <rPr>
        <b/>
        <sz val="10"/>
        <color rgb="FF000000"/>
        <rFont val="メイリオ"/>
        <charset val="134"/>
      </rPr>
      <t xml:space="preserve">ステップ2：
</t>
    </r>
    <r>
      <rPr>
        <sz val="10"/>
        <color rgb="FF000000"/>
        <rFont val="メイリオ"/>
        <charset val="134"/>
      </rPr>
      <t xml:space="preserve">Nhận bình thường, DB cập nhật
</t>
    </r>
    <r>
      <rPr>
        <b/>
        <sz val="10"/>
        <color rgb="FF000000"/>
        <rFont val="メイリオ"/>
        <charset val="134"/>
      </rPr>
      <t xml:space="preserve">補足：
</t>
    </r>
    <r>
      <rPr>
        <sz val="10"/>
        <color rgb="FF000000"/>
        <rFont val="メイリオ"/>
        <charset val="134"/>
      </rPr>
      <t>・Ngày trong tương lai có thể thay đổi</t>
    </r>
  </si>
  <si>
    <t>ACSMS-TC-003-068</t>
  </si>
  <si>
    <t>Chỉnh sửa — Cập nhật trường hợp normal (DB + audit log)</t>
  </si>
  <si>
    <t>・Pre-data: `tanka_id=10` ở state có thể chỉnh sửa
・Input chỉnh sửa: 単価名 `更新後の名前`, 税率 `8`</t>
  </si>
  <si>
    <r>
      <rPr>
        <b/>
        <sz val="10"/>
        <color rgb="FF000000"/>
        <rFont val="游ゴシック"/>
        <charset val="134"/>
      </rPr>
      <t xml:space="preserve">ステップ1：
</t>
    </r>
    <r>
      <rPr>
        <sz val="10"/>
        <color rgb="FF000000"/>
        <rFont val="游ゴシック"/>
        <charset val="134"/>
      </rPr>
      <t xml:space="preserve">Đổi giá trị ở màn chỉnh sửa → button cập nhật
</t>
    </r>
    <r>
      <rPr>
        <b/>
        <sz val="10"/>
        <color rgb="FF000000"/>
        <rFont val="游ゴシック"/>
        <charset val="134"/>
      </rPr>
      <t xml:space="preserve">ステップ2：
</t>
    </r>
    <r>
      <rPr>
        <sz val="10"/>
        <color rgb="FF000000"/>
        <rFont val="游ゴシック"/>
        <charset val="134"/>
      </rPr>
      <t xml:space="preserve">Kiểm tra DB
</t>
    </r>
    <r>
      <rPr>
        <b/>
        <sz val="10"/>
        <color rgb="FF000000"/>
        <rFont val="游ゴシック"/>
        <charset val="134"/>
      </rPr>
      <t xml:space="preserve">ステップ3：
</t>
    </r>
    <r>
      <rPr>
        <sz val="10"/>
        <color rgb="FF000000"/>
        <rFont val="游ゴシック"/>
        <charset val="134"/>
      </rPr>
      <t>Kiểm tra audit log: `SELECT * FROM t_log WHERE target_id = 10 AND operation = 'UPDATE' ORDER BY log_datetime DESC LIMIT 1`</t>
    </r>
  </si>
  <si>
    <r>
      <rPr>
        <b/>
        <sz val="10"/>
        <color rgb="FF000000"/>
        <rFont val="游ゴシック"/>
        <charset val="134"/>
      </rPr>
      <t xml:space="preserve">ステップ1：
</t>
    </r>
    <r>
      <rPr>
        <sz val="10"/>
        <color rgb="FF000000"/>
        <rFont val="游ゴシック"/>
        <charset val="134"/>
      </rPr>
      <t xml:space="preserve">Hiển thị toast thành công `更新しました。` + chuyển về danh sách `/tanka`
</t>
    </r>
    <r>
      <rPr>
        <b/>
        <sz val="10"/>
        <color rgb="FF000000"/>
        <rFont val="游ゴシック"/>
        <charset val="134"/>
      </rPr>
      <t xml:space="preserve">ステップ2：
</t>
    </r>
    <r>
      <rPr>
        <sz val="10"/>
        <color rgb="FF000000"/>
        <rFont val="游ゴシック"/>
        <charset val="134"/>
      </rPr>
      <t xml:space="preserve">`tanka_name = '更新後の名前'`, `tax_rate = 8`, `updated_at` là thời gian hiện tại
</t>
    </r>
    <r>
      <rPr>
        <b/>
        <sz val="10"/>
        <color rgb="FF000000"/>
        <rFont val="游ゴシック"/>
        <charset val="134"/>
      </rPr>
      <t xml:space="preserve">ステップ3：
</t>
    </r>
    <r>
      <rPr>
        <sz val="10"/>
        <color rgb="FF000000"/>
        <rFont val="游ゴシック"/>
        <charset val="134"/>
      </rPr>
      <t xml:space="preserve">1 dòng, JSON `before_value` chứa giá trị cũ, JSON `after_value` chứa giá trị mới
</t>
    </r>
    <r>
      <rPr>
        <b/>
        <sz val="10"/>
        <color rgb="FF000000"/>
        <rFont val="游ゴシック"/>
        <charset val="134"/>
      </rPr>
      <t xml:space="preserve">補足：
</t>
    </r>
    <r>
      <rPr>
        <sz val="10"/>
        <color rgb="FF000000"/>
        <rFont val="游ゴシック"/>
        <charset val="134"/>
      </rPr>
      <t>・Cập nhật DB thành công, `updated_at` tự động update
・Có thể so sánh đầy đủ trước/sau update qua audit log</t>
    </r>
  </si>
  <si>
    <t>ACSMS-TC-003-069</t>
  </si>
  <si>
    <t>Chỉnh sửa — Xử lý xung đột khi chỉnh sửa đồng thời (optimistic lock)</t>
  </si>
  <si>
    <t>・Pre-data: `tanka_id=10` đã tồn tại
・User A: mở `/tanka/10/edit` ở browser A và đang nhập
・User B: chỉnh sửa cùng record ở browser B khác, lưu trước</t>
  </si>
  <si>
    <r>
      <rPr>
        <b/>
        <strike/>
        <sz val="10"/>
        <color rgb="FF000000"/>
        <rFont val="メイリオ"/>
        <charset val="134"/>
      </rPr>
      <t xml:space="preserve">ステップ1：
</t>
    </r>
    <r>
      <rPr>
        <strike/>
        <sz val="10"/>
        <color rgb="FF000000"/>
        <rFont val="メイリオ"/>
        <charset val="134"/>
      </rPr>
      <t xml:space="preserve">User B click button cập nhật với giá trị hợp lệ trước → thành công
</t>
    </r>
    <r>
      <rPr>
        <b/>
        <strike/>
        <sz val="10"/>
        <color rgb="FF000000"/>
        <rFont val="メイリオ"/>
        <charset val="134"/>
      </rPr>
      <t xml:space="preserve">ステップ2：
</t>
    </r>
    <r>
      <rPr>
        <strike/>
        <sz val="10"/>
        <color rgb="FF000000"/>
        <rFont val="メイリオ"/>
        <charset val="134"/>
      </rPr>
      <t xml:space="preserve">User A click button cập nhật (với `updated_at` cũ)
</t>
    </r>
    <r>
      <rPr>
        <b/>
        <strike/>
        <sz val="10"/>
        <color rgb="FF000000"/>
        <rFont val="メイリオ"/>
        <charset val="134"/>
      </rPr>
      <t xml:space="preserve">ステップ3：
</t>
    </r>
    <r>
      <rPr>
        <strike/>
        <sz val="10"/>
        <color rgb="FF000000"/>
        <rFont val="メイリオ"/>
        <charset val="134"/>
      </rPr>
      <t>Reload màn của User A</t>
    </r>
  </si>
  <si>
    <r>
      <rPr>
        <b/>
        <strike/>
        <sz val="10"/>
        <color rgb="FF000000"/>
        <rFont val="メイリオ"/>
        <charset val="134"/>
      </rPr>
      <t xml:space="preserve">ステップ1：
</t>
    </r>
    <r>
      <rPr>
        <strike/>
        <sz val="10"/>
        <color rgb="FF000000"/>
        <rFont val="メイリオ"/>
        <charset val="134"/>
      </rPr>
      <t xml:space="preserve">DB `updated_at` được update
</t>
    </r>
    <r>
      <rPr>
        <b/>
        <strike/>
        <sz val="10"/>
        <color rgb="FF000000"/>
        <rFont val="メイリオ"/>
        <charset val="134"/>
      </rPr>
      <t xml:space="preserve">ステップ2：
</t>
    </r>
    <r>
      <rPr>
        <strike/>
        <sz val="10"/>
        <color rgb="FF000000"/>
        <rFont val="メイリオ"/>
        <charset val="134"/>
      </rPr>
      <t xml:space="preserve">Phát hiện conflict, trả về HTTP 409, block submit (`error_code` của optimistic lock conflict (chưa định nghĩa spec / TBD))
</t>
    </r>
    <r>
      <rPr>
        <b/>
        <strike/>
        <sz val="10"/>
        <color rgb="FF000000"/>
        <rFont val="メイリオ"/>
        <charset val="134"/>
      </rPr>
      <t xml:space="preserve">ステップ3：
</t>
    </r>
    <r>
      <rPr>
        <strike/>
        <sz val="10"/>
        <color rgb="FF000000"/>
        <rFont val="メイリオ"/>
        <charset val="134"/>
      </rPr>
      <t xml:space="preserve">Nội dung update của User B được phản ánh, có thể chỉnh sửa lại
</t>
    </r>
    <r>
      <rPr>
        <b/>
        <strike/>
        <sz val="10"/>
        <color rgb="FF000000"/>
        <rFont val="メイリオ"/>
        <charset val="134"/>
      </rPr>
      <t xml:space="preserve">補足：
</t>
    </r>
    <r>
      <rPr>
        <strike/>
        <sz val="10"/>
        <color rgb="FF000000"/>
        <rFont val="メイリオ"/>
        <charset val="134"/>
      </rPr>
      <t xml:space="preserve">・Ngăn lost update bằng optimistic lock
</t>
    </r>
    <r>
      <rPr>
        <strike/>
        <sz val="10"/>
        <color rgb="FF000000"/>
        <rFont val="メイリオ"/>
        <charset val="134"/>
      </rPr>
      <t>・TBD: error_code và toast text khi optimistic lock conflict chưa được định nghĩa trong api.md / screen-design.md. Sẽ update sau khi spec confirmed.</t>
    </r>
  </si>
  <si>
    <t>Ngăn lost update — bắt buộc do ảnh hưởng nghiêm trọng đến tính nhất quán dữ liệu tiền.</t>
  </si>
  <si>
    <t>ACSMS-TC-003-070</t>
  </si>
  <si>
    <t>Chỉnh sửa — Xử lý system / network error</t>
  </si>
  <si>
    <t>・Màn chỉnh sửa, đã nhập giá trị hợp lệ</t>
  </si>
  <si>
    <r>
      <rPr>
        <b/>
        <sz val="10"/>
        <color rgb="FF000000"/>
        <rFont val="メイリオ"/>
        <charset val="134"/>
      </rPr>
      <t xml:space="preserve">ステップ1：
</t>
    </r>
    <r>
      <rPr>
        <sz val="10"/>
        <color rgb="FF000000"/>
        <rFont val="メイリオ"/>
        <charset val="134"/>
      </rPr>
      <t xml:space="preserve">Backend trigger 500 error có chủ đích → button cập nhật
</t>
    </r>
    <r>
      <rPr>
        <b/>
        <sz val="10"/>
        <color rgb="FF000000"/>
        <rFont val="メイリオ"/>
        <charset val="134"/>
      </rPr>
      <t xml:space="preserve">ステップ2：
</t>
    </r>
    <r>
      <rPr>
        <sz val="10"/>
        <color rgb="FF000000"/>
        <rFont val="メイリオ"/>
        <charset val="134"/>
      </rPr>
      <t xml:space="preserve">Ngắt mạng → button cập nhật
</t>
    </r>
    <r>
      <rPr>
        <b/>
        <sz val="10"/>
        <color rgb="FF000000"/>
        <rFont val="メイリオ"/>
        <charset val="134"/>
      </rPr>
      <t xml:space="preserve">ステップ3：
</t>
    </r>
    <r>
      <rPr>
        <sz val="10"/>
        <color rgb="FF000000"/>
        <rFont val="メイリオ"/>
        <charset val="134"/>
      </rPr>
      <t>Kiểm tra DB từng trường hợp</t>
    </r>
  </si>
  <si>
    <r>
      <rPr>
        <b/>
        <sz val="10"/>
        <color rgb="FF000000"/>
        <rFont val="メイリオ"/>
        <charset val="134"/>
      </rPr>
      <t xml:space="preserve">ステップ1：
</t>
    </r>
    <r>
      <rPr>
        <sz val="10"/>
        <color rgb="FF000000"/>
        <rFont val="メイリオ"/>
        <charset val="134"/>
      </rPr>
      <t xml:space="preserve">Toast `システムエラーが発生しました。…`, vẫn ở màn chỉnh sửa, giữ giá trị input
</t>
    </r>
    <r>
      <rPr>
        <b/>
        <sz val="10"/>
        <color rgb="FF000000"/>
        <rFont val="メイリオ"/>
        <charset val="134"/>
      </rPr>
      <t xml:space="preserve">ステップ2：
</t>
    </r>
    <r>
      <rPr>
        <sz val="10"/>
        <color rgb="FF000000"/>
        <rFont val="メイリオ"/>
        <charset val="134"/>
      </rPr>
      <t xml:space="preserve">Hiển thị toast `ネットワークエラーが発生しました。接続をご確認ください。`, giữ giá trị input
</t>
    </r>
    <r>
      <rPr>
        <b/>
        <sz val="10"/>
        <color rgb="FF000000"/>
        <rFont val="メイリオ"/>
        <charset val="134"/>
      </rPr>
      <t xml:space="preserve">ステップ3：
</t>
    </r>
    <r>
      <rPr>
        <sz val="10"/>
        <color rgb="FF000000"/>
        <rFont val="メイリオ"/>
        <charset val="134"/>
      </rPr>
      <t xml:space="preserve">Không update, duy trì tính nhất quán
</t>
    </r>
    <r>
      <rPr>
        <b/>
        <sz val="10"/>
        <color rgb="FF000000"/>
        <rFont val="メイリオ"/>
        <charset val="134"/>
      </rPr>
      <t xml:space="preserve">補足：
</t>
    </r>
    <r>
      <rPr>
        <sz val="10"/>
        <color rgb="FF000000"/>
        <rFont val="メイリオ"/>
        <charset val="134"/>
      </rPr>
      <t>・Cả 2 trường hợp error đều duy trì data integrity</t>
    </r>
  </si>
  <si>
    <t>ACSMS-TC-003-071</t>
  </si>
  <si>
    <t>Chỉnh sửa — Cancel bằng button quay lại</t>
  </si>
  <si>
    <t>・Màn chỉnh sửa, đã nhập thay đổi</t>
  </si>
  <si>
    <r>
      <rPr>
        <b/>
        <sz val="10"/>
        <color rgb="FF000000"/>
        <rFont val="游ゴシック"/>
        <charset val="134"/>
      </rPr>
      <t xml:space="preserve">ステップ1：
</t>
    </r>
    <r>
      <rPr>
        <sz val="10"/>
        <color rgb="FF000000"/>
        <rFont val="游ゴシック"/>
        <charset val="134"/>
      </rPr>
      <t xml:space="preserve">Click button "前の画面に戻る"
</t>
    </r>
    <r>
      <rPr>
        <b/>
        <sz val="10"/>
        <color rgb="FF000000"/>
        <rFont val="游ゴシック"/>
        <charset val="134"/>
      </rPr>
      <t xml:space="preserve">ステップ2：
</t>
    </r>
    <r>
      <rPr>
        <sz val="10"/>
        <color rgb="FF000000"/>
        <rFont val="游ゴシック"/>
        <charset val="134"/>
      </rPr>
      <t xml:space="preserve">Kiểm tra DB
</t>
    </r>
    <r>
      <rPr>
        <b/>
        <sz val="10"/>
        <color rgb="FF000000"/>
        <rFont val="游ゴシック"/>
        <charset val="134"/>
      </rPr>
      <t xml:space="preserve">ステップ3：
</t>
    </r>
    <r>
      <rPr>
        <sz val="10"/>
        <color rgb="FF000000"/>
        <rFont val="游ゴシック"/>
        <charset val="134"/>
      </rPr>
      <t>Kiểm tra audit log</t>
    </r>
  </si>
  <si>
    <r>
      <rPr>
        <b/>
        <sz val="10"/>
        <color rgb="FF000000"/>
        <rFont val="メイリオ"/>
        <charset val="134"/>
      </rPr>
      <t xml:space="preserve">ステップ1：
</t>
    </r>
    <r>
      <rPr>
        <sz val="10"/>
        <color rgb="FF000000"/>
        <rFont val="メイリオ"/>
        <charset val="134"/>
      </rPr>
      <t xml:space="preserve">Chuyển về `/tanka` không có modal xác nhận
</t>
    </r>
    <r>
      <rPr>
        <b/>
        <sz val="10"/>
        <color rgb="FF000000"/>
        <rFont val="メイリオ"/>
        <charset val="134"/>
      </rPr>
      <t xml:space="preserve">ステップ2：
</t>
    </r>
    <r>
      <rPr>
        <sz val="10"/>
        <color rgb="FF000000"/>
        <rFont val="メイリオ"/>
        <charset val="134"/>
      </rPr>
      <t xml:space="preserve">Không update, giữ nguyên giá trị cũ
</t>
    </r>
    <r>
      <rPr>
        <b/>
        <sz val="10"/>
        <color rgb="FF000000"/>
        <rFont val="メイリオ"/>
        <charset val="134"/>
      </rPr>
      <t xml:space="preserve">ステップ3：
</t>
    </r>
    <r>
      <rPr>
        <sz val="10"/>
        <color rgb="FF000000"/>
        <rFont val="メイリオ"/>
        <charset val="134"/>
      </rPr>
      <t xml:space="preserve">Không ghi UPDATE log
</t>
    </r>
    <r>
      <rPr>
        <b/>
        <sz val="10"/>
        <color rgb="FF000000"/>
        <rFont val="メイリオ"/>
        <charset val="134"/>
      </rPr>
      <t xml:space="preserve">補足：
</t>
    </r>
    <r>
      <rPr>
        <sz val="10"/>
        <color rgb="FF000000"/>
        <rFont val="メイリオ"/>
        <charset val="134"/>
      </rPr>
      <t>・Cancel không thay đổi DB, không ghi log</t>
    </r>
  </si>
  <si>
    <t>Xử lý lỗi chung (Common Error Handling)</t>
  </si>
  <si>
    <t>ACSMS-TC-003-072</t>
  </si>
  <si>
    <t>Lỗi chung — UNAUTHORIZED — Xử lý khi session hết hạn</t>
  </si>
  <si>
    <t>・role: JA_HONTEN
・Đã nhập giá trị hợp lệ ở màn đăng ký
・Đã quá 24 giờ kể từ thao tác cuối, Redis session TTL đã hết</t>
  </si>
  <si>
    <r>
      <rPr>
        <b/>
        <sz val="10"/>
        <color rgb="FF000000"/>
        <rFont val="游ゴシック"/>
        <charset val="134"/>
      </rPr>
      <t xml:space="preserve">ステップ1：
</t>
    </r>
    <r>
      <rPr>
        <sz val="10"/>
        <color rgb="FF000000"/>
        <rFont val="游ゴシック"/>
        <charset val="134"/>
      </rPr>
      <t xml:space="preserve">Nhấn button "登録", gửi API request
</t>
    </r>
    <r>
      <rPr>
        <b/>
        <sz val="10"/>
        <color rgb="FF000000"/>
        <rFont val="游ゴシック"/>
        <charset val="134"/>
      </rPr>
      <t xml:space="preserve">ステップ2：
</t>
    </r>
    <r>
      <rPr>
        <sz val="10"/>
        <color rgb="FF000000"/>
        <rFont val="游ゴシック"/>
        <charset val="134"/>
      </rPr>
      <t xml:space="preserve">Kiểm tra nội dung response và chuyển màn
</t>
    </r>
    <r>
      <rPr>
        <b/>
        <sz val="10"/>
        <color rgb="FF000000"/>
        <rFont val="游ゴシック"/>
        <charset val="134"/>
      </rPr>
      <t xml:space="preserve">ステップ3：
</t>
    </r>
    <r>
      <rPr>
        <sz val="10"/>
        <color rgb="FF000000"/>
        <rFont val="游ゴシック"/>
        <charset val="134"/>
      </rPr>
      <t>Kiểm tra DB: `SELECT COUNT(*) FROM m_tanka WHERE tanka_code='T-EXP'`</t>
    </r>
  </si>
  <si>
    <r>
      <rPr>
        <b/>
        <sz val="10"/>
        <color rgb="FF000000"/>
        <rFont val="メイリオ"/>
        <charset val="134"/>
      </rPr>
      <t xml:space="preserve">ステップ1：
</t>
    </r>
    <r>
      <rPr>
        <sz val="10"/>
        <color rgb="FF000000"/>
        <rFont val="メイリオ"/>
        <charset val="134"/>
      </rPr>
      <t xml:space="preserve">Trả về HTTP 401, `error_code: UNAUTHORIZED`, message `セッションが切れました。再度ログインしてください。`
</t>
    </r>
    <r>
      <rPr>
        <b/>
        <sz val="10"/>
        <color rgb="FF000000"/>
        <rFont val="メイリオ"/>
        <charset val="134"/>
      </rPr>
      <t xml:space="preserve">ステップ2：
</t>
    </r>
    <r>
      <rPr>
        <sz val="10"/>
        <color rgb="FF000000"/>
        <rFont val="メイリオ"/>
        <charset val="134"/>
      </rPr>
      <t xml:space="preserve">Frontend clear trạng thái user của Pinia auth store, tự động chuyển sang `/login?redirect=/tanka/create`
</t>
    </r>
    <r>
      <rPr>
        <b/>
        <sz val="10"/>
        <color rgb="FF000000"/>
        <rFont val="メイリオ"/>
        <charset val="134"/>
      </rPr>
      <t xml:space="preserve">ステップ3：
</t>
    </r>
    <r>
      <rPr>
        <sz val="10"/>
        <color rgb="FF000000"/>
        <rFont val="メイリオ"/>
        <charset val="134"/>
      </rPr>
      <t xml:space="preserve">0 record (không có row được thêm)
</t>
    </r>
    <r>
      <rPr>
        <b/>
        <sz val="10"/>
        <color rgb="FF000000"/>
        <rFont val="メイリオ"/>
        <charset val="134"/>
      </rPr>
      <t xml:space="preserve">補足：
</t>
    </r>
    <r>
      <rPr>
        <sz val="10"/>
        <color rgb="FF000000"/>
        <rFont val="メイリオ"/>
        <charset val="134"/>
      </rPr>
      <t xml:space="preserve">・Khi session hết hạn, SessionAuthGuard ở backend trả 401, axios interceptor ở frontend dẫn đồng nhất về màn login
</t>
    </r>
    <r>
      <rPr>
        <sz val="10"/>
        <color rgb="FF000000"/>
        <rFont val="メイリオ"/>
        <charset val="134"/>
      </rPr>
      <t>・Giá trị input bị hủy (cần nhập lại sau khi login lại)</t>
    </r>
  </si>
  <si>
    <t>ACSMS-TC-003-073</t>
  </si>
  <si>
    <t>Lỗi chung — TOO_MANY_REQUESTS — Vượt rate limit</t>
  </si>
  <si>
    <t>・role: JA_HONTEN
・Đã nhập giá trị hợp lệ ở màn đăng ký
・Dùng test script gửi POST `/api/v1/tanka` quá 100 request trong 1 phút</t>
  </si>
  <si>
    <r>
      <rPr>
        <b/>
        <sz val="10"/>
        <color rgb="FF000000"/>
        <rFont val="メイリオ"/>
        <charset val="134"/>
      </rPr>
      <t xml:space="preserve">ステップ1：
</t>
    </r>
    <r>
      <rPr>
        <sz val="10"/>
        <color rgb="FF000000"/>
        <rFont val="メイリオ"/>
        <charset val="134"/>
      </rPr>
      <t xml:space="preserve">Khởi động script, gửi request tần số cao đến API đăng ký
</t>
    </r>
    <r>
      <rPr>
        <b/>
        <sz val="10"/>
        <color rgb="FF000000"/>
        <rFont val="メイリオ"/>
        <charset val="134"/>
      </rPr>
      <t xml:space="preserve">ステップ2：
</t>
    </r>
    <r>
      <rPr>
        <sz val="10"/>
        <color rgb="FF000000"/>
        <rFont val="メイリオ"/>
        <charset val="134"/>
      </rPr>
      <t xml:space="preserve">Kiểm tra HTTP status và error_code của response
</t>
    </r>
    <r>
      <rPr>
        <b/>
        <sz val="10"/>
        <color rgb="FF000000"/>
        <rFont val="メイリオ"/>
        <charset val="134"/>
      </rPr>
      <t xml:space="preserve">ステップ3：
</t>
    </r>
    <r>
      <rPr>
        <sz val="10"/>
        <color rgb="FF000000"/>
        <rFont val="メイリオ"/>
        <charset val="134"/>
      </rPr>
      <t>Kiểm tra hiển thị toast phía màn hình</t>
    </r>
  </si>
  <si>
    <r>
      <rPr>
        <b/>
        <sz val="10"/>
        <color rgb="FF000000"/>
        <rFont val="メイリオ"/>
        <charset val="134"/>
      </rPr>
      <t xml:space="preserve">ステップ1：
</t>
    </r>
    <r>
      <rPr>
        <sz val="10"/>
        <color rgb="FF000000"/>
        <rFont val="メイリオ"/>
        <charset val="134"/>
      </rPr>
      <t xml:space="preserve">100 request đầu tiên response bình thường, sau đó trả về 429
</t>
    </r>
    <r>
      <rPr>
        <b/>
        <sz val="10"/>
        <color rgb="FF000000"/>
        <rFont val="メイリオ"/>
        <charset val="134"/>
      </rPr>
      <t xml:space="preserve">ステップ2：
</t>
    </r>
    <r>
      <rPr>
        <sz val="10"/>
        <color rgb="FF000000"/>
        <rFont val="メイリオ"/>
        <charset val="134"/>
      </rPr>
      <t xml:space="preserve">Trả về HTTP 429 (`error_code: TOO_MANY_REQUESTS`, message `リクエスト回数が上限を超えました。しばらくしてから再度お試しください。`)
</t>
    </r>
    <r>
      <rPr>
        <b/>
        <sz val="10"/>
        <color rgb="FF000000"/>
        <rFont val="メイリオ"/>
        <charset val="134"/>
      </rPr>
      <t xml:space="preserve">ステップ3：
</t>
    </r>
    <r>
      <rPr>
        <sz val="10"/>
        <color rgb="FF000000"/>
        <rFont val="メイリオ"/>
        <charset val="134"/>
      </rPr>
      <t xml:space="preserve">Hiển thị toast `リクエスト回数が上限を超えました。しばらくしてから再度お試しください。`, button 登録 tạm thời disabled
</t>
    </r>
    <r>
      <rPr>
        <b/>
        <sz val="10"/>
        <color rgb="FF000000"/>
        <rFont val="メイリオ"/>
        <charset val="134"/>
      </rPr>
      <t xml:space="preserve">補足：
</t>
    </r>
    <r>
      <rPr>
        <sz val="10"/>
        <color rgb="FF000000"/>
        <rFont val="メイリオ"/>
        <charset val="134"/>
      </rPr>
      <t xml:space="preserve">・@Throttle decorator của NestJS + AWS WAF rate limit block ở cả 2 tầng infra/app
</t>
    </r>
    <r>
      <rPr>
        <sz val="10"/>
        <color rgb="FF000000"/>
        <rFont val="メイリオ"/>
        <charset val="134"/>
      </rPr>
      <t>・Tuân thủ quan điểm VP-A-08 "Rate limit / Throttling" (testcase-viewpoints.md v1.1)</t>
    </r>
  </si>
  <si>
    <t>ACSMS-TC-003-074</t>
  </si>
  <si>
    <t>Lỗi chung — BAD_REQUEST — Request parameter không hợp lệ</t>
  </si>
  <si>
    <t>・role: JA_HONTEN
・Đang mở tab Network của browser DevTools</t>
  </si>
  <si>
    <r>
      <rPr>
        <b/>
        <sz val="10"/>
        <color rgb="FF000000"/>
        <rFont val="游ゴシック"/>
        <charset val="134"/>
      </rPr>
      <t xml:space="preserve">ステップ1：
</t>
    </r>
    <r>
      <rPr>
        <sz val="10"/>
        <color rgb="FF000000"/>
        <rFont val="游ゴシック"/>
        <charset val="134"/>
      </rPr>
      <t xml:space="preserve">Trong Console của DevTools chạy `fetch('/api/v1/tanka', { method: 'POST', body: '{invalid json', headers: { 'Content-Type': 'application/json' }, credentials: 'include' })`
</t>
    </r>
    <r>
      <rPr>
        <b/>
        <sz val="10"/>
        <color rgb="FF000000"/>
        <rFont val="游ゴシック"/>
        <charset val="134"/>
      </rPr>
      <t xml:space="preserve">ステップ2：
</t>
    </r>
    <r>
      <rPr>
        <sz val="10"/>
        <color rgb="FF000000"/>
        <rFont val="游ゴシック"/>
        <charset val="134"/>
      </rPr>
      <t xml:space="preserve">Kiểm tra HTTP status và error_code của response
</t>
    </r>
    <r>
      <rPr>
        <b/>
        <sz val="10"/>
        <color rgb="FF000000"/>
        <rFont val="游ゴシック"/>
        <charset val="134"/>
      </rPr>
      <t xml:space="preserve">ステップ3：
</t>
    </r>
    <r>
      <rPr>
        <sz val="10"/>
        <color rgb="FF000000"/>
        <rFont val="游ゴシック"/>
        <charset val="134"/>
      </rPr>
      <t>Kiểm tra DB: `SELECT COUNT(*) FROM m_tanka WHERE tanka_code='T-MAL'`</t>
    </r>
  </si>
  <si>
    <r>
      <rPr>
        <b/>
        <sz val="10"/>
        <color rgb="FF000000"/>
        <rFont val="メイリオ"/>
        <charset val="134"/>
      </rPr>
      <t xml:space="preserve">ステップ1：
</t>
    </r>
    <r>
      <rPr>
        <sz val="10"/>
        <color rgb="FF000000"/>
        <rFont val="メイリオ"/>
        <charset val="134"/>
      </rPr>
      <t xml:space="preserve">Request bị từ chối bởi body parser của backend
</t>
    </r>
    <r>
      <rPr>
        <b/>
        <sz val="10"/>
        <color rgb="FF000000"/>
        <rFont val="メイリオ"/>
        <charset val="134"/>
      </rPr>
      <t xml:space="preserve">ステップ2：
</t>
    </r>
    <r>
      <rPr>
        <sz val="10"/>
        <color rgb="FF000000"/>
        <rFont val="メイリオ"/>
        <charset val="134"/>
      </rPr>
      <t xml:space="preserve">Trả về HTTP 400 (`error_code: BAD_REQUEST`, message `リクエストパラメータが不正です。`)
</t>
    </r>
    <r>
      <rPr>
        <b/>
        <sz val="10"/>
        <color rgb="FF000000"/>
        <rFont val="メイリオ"/>
        <charset val="134"/>
      </rPr>
      <t xml:space="preserve">ステップ3：
</t>
    </r>
    <r>
      <rPr>
        <sz val="10"/>
        <color rgb="FF000000"/>
        <rFont val="メイリオ"/>
        <charset val="134"/>
      </rPr>
      <t xml:space="preserve">0 record (không có row được thêm)
</t>
    </r>
    <r>
      <rPr>
        <b/>
        <sz val="10"/>
        <color rgb="FF000000"/>
        <rFont val="メイリオ"/>
        <charset val="134"/>
      </rPr>
      <t xml:space="preserve">補足：
</t>
    </r>
    <r>
      <rPr>
        <sz val="10"/>
        <color rgb="FF000000"/>
        <rFont val="メイリオ"/>
        <charset val="134"/>
      </rPr>
      <t xml:space="preserve">・JSON parse error, Content-Type không hợp lệ, parameter không xác định v.v. đều được map về BAD_REQUEST
</t>
    </r>
    <r>
      <rPr>
        <sz val="10"/>
        <color rgb="FF000000"/>
        <rFont val="メイリオ"/>
        <charset val="134"/>
      </rPr>
      <t>・Có ghi error log log_type=3 trong `t_log`</t>
    </r>
  </si>
  <si>
    <t>ACSMS-TC-003-075</t>
  </si>
  <si>
    <t>Chỉnh sửa — 単価コード không thể thay đổi (chỉ đọc)</t>
  </si>
  <si>
    <t>・role: JA_HONTEN (thuộc ja-001)
・Pre-data: `tanka_id=20, tanka_code='T020', ja_id=1`
・Đã hiển thị màn chỉnh sửa `/tanka/20/edit`</t>
  </si>
  <si>
    <r>
      <rPr>
        <b/>
        <sz val="10"/>
        <color rgb="FF000000"/>
        <rFont val="游ゴシック"/>
        <charset val="134"/>
      </rPr>
      <t xml:space="preserve">ステップ1：
</t>
    </r>
    <r>
      <rPr>
        <sz val="10"/>
        <color rgb="FF000000"/>
        <rFont val="游ゴシック"/>
        <charset val="134"/>
      </rPr>
      <t xml:space="preserve">Kiểm tra bằng mắt thường rằng ô nhập "単価コード" trên màn hình bị disabled
</t>
    </r>
    <r>
      <rPr>
        <b/>
        <sz val="10"/>
        <color rgb="FF000000"/>
        <rFont val="游ゴシック"/>
        <charset val="134"/>
      </rPr>
      <t xml:space="preserve">ステップ2：
</t>
    </r>
    <r>
      <rPr>
        <sz val="10"/>
        <color rgb="FF000000"/>
        <rFont val="游ゴシック"/>
        <charset val="134"/>
      </rPr>
      <t xml:space="preserve">Trong DevTools kiểm tra thuộc tính `disabled` và class `ant-input-disabled` của input element
</t>
    </r>
    <r>
      <rPr>
        <b/>
        <sz val="10"/>
        <color rgb="FF000000"/>
        <rFont val="游ゴシック"/>
        <charset val="134"/>
      </rPr>
      <t xml:space="preserve">ステップ3：
</t>
    </r>
    <r>
      <rPr>
        <sz val="10"/>
        <color rgb="FF000000"/>
        <rFont val="游ゴシック"/>
        <charset val="134"/>
      </rPr>
      <t xml:space="preserve">Trong Console của DevTools chạy `fetch('/api/v1/tanka/20', { method: 'PUT', body: JSON.stringify({ tanka_code: 'T020-HACK', tanka_name: 'XXX', tanka_type: 1 }), headers: { 'Content-Type': 'application/json' }, credentials: 'include' })`
</t>
    </r>
    <r>
      <rPr>
        <b/>
        <sz val="10"/>
        <color rgb="FF000000"/>
        <rFont val="游ゴシック"/>
        <charset val="134"/>
      </rPr>
      <t xml:space="preserve">ステップ4：
</t>
    </r>
    <r>
      <rPr>
        <sz val="10"/>
        <color rgb="FF000000"/>
        <rFont val="游ゴシック"/>
        <charset val="134"/>
      </rPr>
      <t>Kiểm tra DB: `SELECT tanka_code FROM m_tanka WHERE tanka_id=20`</t>
    </r>
  </si>
  <si>
    <r>
      <rPr>
        <b/>
        <sz val="10"/>
        <color rgb="FF000000"/>
        <rFont val="メイリオ"/>
        <charset val="134"/>
      </rPr>
      <t xml:space="preserve">ステップ1：
</t>
    </r>
    <r>
      <rPr>
        <sz val="10"/>
        <color rgb="FF000000"/>
        <rFont val="メイリオ"/>
        <charset val="134"/>
      </rPr>
      <t xml:space="preserve">Ô nhập 単価コード hiển thị ở trạng thái disabled, người dùng không thể chỉnh sửa
</t>
    </r>
    <r>
      <rPr>
        <b/>
        <sz val="10"/>
        <color rgb="FF000000"/>
        <rFont val="メイリオ"/>
        <charset val="134"/>
      </rPr>
      <t xml:space="preserve">ステップ2：
</t>
    </r>
    <r>
      <rPr>
        <sz val="10"/>
        <color rgb="FF000000"/>
        <rFont val="メイリオ"/>
        <charset val="134"/>
      </rPr>
      <t xml:space="preserve">Có thuộc tính `disabled`, áp dụng class `ant-input-disabled`
</t>
    </r>
    <r>
      <rPr>
        <b/>
        <sz val="10"/>
        <color rgb="FF000000"/>
        <rFont val="メイリオ"/>
        <charset val="134"/>
      </rPr>
      <t xml:space="preserve">ステップ3：
</t>
    </r>
    <r>
      <rPr>
        <sz val="10"/>
        <color rgb="FF000000"/>
        <rFont val="メイリオ"/>
        <charset val="134"/>
      </rPr>
      <t xml:space="preserve">Trả về HTTP 200 (update tự nó thành công)
</t>
    </r>
    <r>
      <rPr>
        <b/>
        <sz val="10"/>
        <color rgb="FF000000"/>
        <rFont val="メイリオ"/>
        <charset val="134"/>
      </rPr>
      <t xml:space="preserve">ステップ4：
</t>
    </r>
    <r>
      <rPr>
        <sz val="10"/>
        <color rgb="FF000000"/>
        <rFont val="メイリオ"/>
        <charset val="134"/>
      </rPr>
      <t xml:space="preserve">Cột `tanka_code` vẫn là `T020` (Layer 3 field-level allow-list của backend silent drop thay đổi `tanka_code`)
</t>
    </r>
    <r>
      <rPr>
        <b/>
        <sz val="10"/>
        <color rgb="FF000000"/>
        <rFont val="メイリオ"/>
        <charset val="134"/>
      </rPr>
      <t xml:space="preserve">補足：
</t>
    </r>
    <r>
      <rPr>
        <sz val="10"/>
        <color rgb="FF000000"/>
        <rFont val="メイリオ"/>
        <charset val="134"/>
      </rPr>
      <t xml:space="preserve">・Phòng vệ 2 lớp: screen-design.md L90 "Khi update không thể thay đổi" + security.md Layer 3 field allow-list
</t>
    </r>
    <r>
      <rPr>
        <sz val="10"/>
        <color rgb="FF000000"/>
        <rFont val="メイリオ"/>
        <charset val="134"/>
      </rPr>
      <t xml:space="preserve">・FE `:disabled` chỉ là UX. Ranh giới bảo mật thực sự là allow-list của backend
</t>
    </r>
    <r>
      <rPr>
        <sz val="10"/>
        <color rgb="FF000000"/>
        <rFont val="メイリオ"/>
        <charset val="134"/>
      </rPr>
      <t>・Các mục khác (単価名 v.v.) update bình thường</t>
    </r>
  </si>
  <si>
    <t>ACSMS-TC-003-076</t>
  </si>
  <si>
    <t>Màn chỉnh sửa — Cảnh báo unsaved changes khi nhấn back của browser</t>
  </si>
  <si>
    <t>・role: JA_HONTEN (thuộc ja-001)
・Pre-data: `tanka_id=21` đã tồn tại
・Đã hiển thị màn chỉnh sửa `/tanka/21/edit`</t>
  </si>
  <si>
    <r>
      <rPr>
        <b/>
        <strike/>
        <sz val="10"/>
        <color rgb="FF000000"/>
        <rFont val="メイリオ"/>
        <charset val="134"/>
      </rPr>
      <t xml:space="preserve">ステップ1：
</t>
    </r>
    <r>
      <rPr>
        <strike/>
        <sz val="10"/>
        <color rgb="FF000000"/>
        <rFont val="メイリオ"/>
        <charset val="134"/>
      </rPr>
      <t xml:space="preserve">Đổi giá trị field 単価名, đưa form về trạng thái đang chỉnh sửa
</t>
    </r>
    <r>
      <rPr>
        <b/>
        <strike/>
        <sz val="10"/>
        <color rgb="FF000000"/>
        <rFont val="メイリオ"/>
        <charset val="134"/>
      </rPr>
      <t xml:space="preserve">ステップ2：
</t>
    </r>
    <r>
      <rPr>
        <strike/>
        <sz val="10"/>
        <color rgb="FF000000"/>
        <rFont val="メイリオ"/>
        <charset val="134"/>
      </rPr>
      <t xml:space="preserve">Nhấn button back của browser, hoặc đóng tab
</t>
    </r>
    <r>
      <rPr>
        <b/>
        <strike/>
        <sz val="10"/>
        <color rgb="FF000000"/>
        <rFont val="メイリオ"/>
        <charset val="134"/>
      </rPr>
      <t xml:space="preserve">ステップ3：
</t>
    </r>
    <r>
      <rPr>
        <strike/>
        <sz val="10"/>
        <color rgb="FF000000"/>
        <rFont val="メイリオ"/>
        <charset val="134"/>
      </rPr>
      <t xml:space="preserve">Chọn "キャンセル" trong dialog cảnh báo, ở lại màn chỉnh sửa
</t>
    </r>
    <r>
      <rPr>
        <b/>
        <strike/>
        <sz val="10"/>
        <color rgb="FF000000"/>
        <rFont val="メイリオ"/>
        <charset val="134"/>
      </rPr>
      <t xml:space="preserve">ステップ4：
</t>
    </r>
    <r>
      <rPr>
        <strike/>
        <sz val="10"/>
        <color rgb="FF000000"/>
        <rFont val="メイリオ"/>
        <charset val="134"/>
      </rPr>
      <t>Lại nhấn button back của browser, chọn "離れる" trong dialog cảnh báo</t>
    </r>
  </si>
  <si>
    <r>
      <rPr>
        <b/>
        <strike/>
        <sz val="10"/>
        <color rgb="FF000000"/>
        <rFont val="メイリオ"/>
        <charset val="134"/>
      </rPr>
      <t xml:space="preserve">ステップ1：
</t>
    </r>
    <r>
      <rPr>
        <strike/>
        <sz val="10"/>
        <color rgb="FF000000"/>
        <rFont val="メイリオ"/>
        <charset val="134"/>
      </rPr>
      <t xml:space="preserve">Trạng thái form của màn chỉnh sửa được ghi nhận là dirty (đang chỉnh sửa)
</t>
    </r>
    <r>
      <rPr>
        <b/>
        <strike/>
        <sz val="10"/>
        <color rgb="FF000000"/>
        <rFont val="メイリオ"/>
        <charset val="134"/>
      </rPr>
      <t xml:space="preserve">ステップ2：
</t>
    </r>
    <r>
      <rPr>
        <strike/>
        <sz val="10"/>
        <color rgb="FF000000"/>
        <rFont val="メイリオ"/>
        <charset val="134"/>
      </rPr>
      <t xml:space="preserve">Dialog cảnh báo chuẩn của browser được hiển thị bằng event `beforeunload`
</t>
    </r>
    <r>
      <rPr>
        <strike/>
        <sz val="10"/>
        <color rgb="FF000000"/>
        <rFont val="メイリオ"/>
        <charset val="134"/>
      </rPr>
      <t xml:space="preserve">(ví dụ: "Bạn có muốn rời site này? Các thay đổi đã thực hiện có thể không được lưu.")
</t>
    </r>
    <r>
      <rPr>
        <b/>
        <strike/>
        <sz val="10"/>
        <color rgb="FF000000"/>
        <rFont val="メイリオ"/>
        <charset val="134"/>
      </rPr>
      <t xml:space="preserve">ステップ3：
</t>
    </r>
    <r>
      <rPr>
        <strike/>
        <sz val="10"/>
        <color rgb="FF000000"/>
        <rFont val="メイリオ"/>
        <charset val="134"/>
      </rPr>
      <t xml:space="preserve">Ở lại màn chỉnh sửa, giữ giá trị input
</t>
    </r>
    <r>
      <rPr>
        <b/>
        <strike/>
        <sz val="10"/>
        <color rgb="FF000000"/>
        <rFont val="メイリオ"/>
        <charset val="134"/>
      </rPr>
      <t xml:space="preserve">ステップ4：
</t>
    </r>
    <r>
      <rPr>
        <strike/>
        <sz val="10"/>
        <color rgb="FF000000"/>
        <rFont val="メイリオ"/>
        <charset val="134"/>
      </rPr>
      <t xml:space="preserve">Dialog cảnh báo biến mất, chuyển sang màn tìm kiếm `/tanka`, nội dung thay đổi bị hủy
</t>
    </r>
    <r>
      <rPr>
        <b/>
        <strike/>
        <sz val="10"/>
        <color rgb="FF000000"/>
        <rFont val="メイリオ"/>
        <charset val="134"/>
      </rPr>
      <t xml:space="preserve">補足：
</t>
    </r>
    <r>
      <rPr>
        <strike/>
        <sz val="10"/>
        <color rgb="FF000000"/>
        <rFont val="メイリオ"/>
        <charset val="134"/>
      </rPr>
      <t xml:space="preserve">・Chỉ cảnh báo bằng handler `beforeunload` khi có unsaved changes
</t>
    </r>
    <r>
      <rPr>
        <strike/>
        <sz val="10"/>
        <color rgb="FF000000"/>
        <rFont val="メイリオ"/>
        <charset val="134"/>
      </rPr>
      <t>・Khi không có thay đổi thì chuyển không cảnh báo</t>
    </r>
  </si>
  <si>
    <t>Tuân thủ quan điểm VP-E-07 "Unsaved changes guard / Browser leave" (testcase-viewpoints.md v1.1).</t>
  </si>
  <si>
    <t>ACSMS-TC-003-077</t>
  </si>
  <si>
    <t>Lỗi chung — NOT_FOUND — Xử lý khi truy cập chỉnh sửa đơn giá đã xóa</t>
  </si>
  <si>
    <t>・JA_HONTEN (thuộc ja-001) đã login (đã xác thực MFA)
・Pre-data: record đơn giá (tanka_id = 999) đã xóa (hoặc không tồn tại)</t>
  </si>
  <si>
    <r>
      <rPr>
        <b/>
        <sz val="10"/>
        <color rgb="FF000000"/>
        <rFont val="游ゴシック"/>
        <charset val="134"/>
      </rPr>
      <t xml:space="preserve">ステップ1：
</t>
    </r>
    <r>
      <rPr>
        <sz val="10"/>
        <color rgb="FF000000"/>
        <rFont val="游ゴシック"/>
        <charset val="134"/>
      </rPr>
      <t xml:space="preserve">Nhập "/tanka/999/edit" vào address bar của browser, truy cập trực tiếp
</t>
    </r>
    <r>
      <rPr>
        <b/>
        <sz val="10"/>
        <color rgb="FF000000"/>
        <rFont val="游ゴシック"/>
        <charset val="134"/>
      </rPr>
      <t xml:space="preserve">ステップ2：
</t>
    </r>
    <r>
      <rPr>
        <sz val="10"/>
        <color rgb="FF000000"/>
        <rFont val="游ゴシック"/>
        <charset val="134"/>
      </rPr>
      <t>Kiểm tra GET "/api/v1/tanka/999" ở tab Network của DevTools</t>
    </r>
  </si>
  <si>
    <r>
      <rPr>
        <b/>
        <sz val="10"/>
        <color rgb="FF000000"/>
        <rFont val="メイリオ"/>
        <charset val="134"/>
      </rPr>
      <t xml:space="preserve">ステップ1：
</t>
    </r>
    <r>
      <rPr>
        <sz val="10"/>
        <color rgb="FF000000"/>
        <rFont val="メイリオ"/>
        <charset val="134"/>
      </rPr>
      <t xml:space="preserve">Chuyển màn thất bại, hiển thị toast error
</t>
    </r>
    <r>
      <rPr>
        <b/>
        <sz val="10"/>
        <color rgb="FF000000"/>
        <rFont val="メイリオ"/>
        <charset val="134"/>
      </rPr>
      <t xml:space="preserve">ステップ2：
</t>
    </r>
    <r>
      <rPr>
        <sz val="10"/>
        <color rgb="FF000000"/>
        <rFont val="メイリオ"/>
        <charset val="134"/>
      </rPr>
      <t xml:space="preserve">Trả về HTTP 404, `error_code: NOT_FOUND`, message `指定された単価が見つかりません。`
</t>
    </r>
    <r>
      <rPr>
        <b/>
        <sz val="10"/>
        <color rgb="FF000000"/>
        <rFont val="メイリオ"/>
        <charset val="134"/>
      </rPr>
      <t xml:space="preserve">補足：
</t>
    </r>
    <r>
      <rPr>
        <sz val="10"/>
        <color rgb="FF000000"/>
        <rFont val="メイリオ"/>
        <charset val="134"/>
      </rPr>
      <t xml:space="preserve">・Truy cập đến resource không tồn tại / đã xóa đều trả về NOT_FOUND
</t>
    </r>
    <r>
      <rPr>
        <sz val="10"/>
        <color rgb="FF000000"/>
        <rFont val="メイリオ"/>
        <charset val="134"/>
      </rPr>
      <t>・Thuộc ACSMS-MSG-003-005</t>
    </r>
  </si>
  <si>
    <t>ACSMS-TC-003-078</t>
  </si>
  <si>
    <t>Chỉnh sửa — Trường hợp 適用終了日 là ngày trong quá khứ thì chỉ đọc</t>
  </si>
  <si>
    <t>・JA_HONTEN (thuộc ja-001) đã login (đã xác thực MFA)
・Pre-data: record đơn giá (tekiyo_end_date = 2025-12-31, ngày trong quá khứ)</t>
  </si>
  <si>
    <r>
      <rPr>
        <b/>
        <sz val="10"/>
        <color rgb="FF000000"/>
        <rFont val="メイリオ"/>
        <charset val="134"/>
      </rPr>
      <t xml:space="preserve">ステップ1：
</t>
    </r>
    <r>
      <rPr>
        <sz val="10"/>
        <color rgb="FF000000"/>
        <rFont val="メイリオ"/>
        <charset val="134"/>
      </rPr>
      <t xml:space="preserve">Mở màn chỉnh sửa, kiểm tra ô nhập 適用終了日
</t>
    </r>
    <r>
      <rPr>
        <b/>
        <sz val="10"/>
        <color rgb="FF000000"/>
        <rFont val="メイリオ"/>
        <charset val="134"/>
      </rPr>
      <t xml:space="preserve">ステップ2：
</t>
    </r>
    <r>
      <rPr>
        <sz val="10"/>
        <color rgb="FF000000"/>
        <rFont val="メイリオ"/>
        <charset val="134"/>
      </rPr>
      <t xml:space="preserve">Trong DevTools kiểm tra thuộc tính disabled của input element 適用終了日
</t>
    </r>
    <r>
      <rPr>
        <b/>
        <sz val="10"/>
        <color rgb="FF000000"/>
        <rFont val="メイリオ"/>
        <charset val="134"/>
      </rPr>
      <t xml:space="preserve">ステップ3：
</t>
    </r>
    <r>
      <rPr>
        <sz val="10"/>
        <color rgb="FF000000"/>
        <rFont val="メイリオ"/>
        <charset val="134"/>
      </rPr>
      <t>Dùng DevTools gửi PATCH "/api/v1/tanka/{id}" có kèm thay đổi tekiyo_end_date</t>
    </r>
  </si>
  <si>
    <r>
      <rPr>
        <b/>
        <sz val="10"/>
        <color rgb="FF000000"/>
        <rFont val="メイリオ"/>
        <charset val="134"/>
      </rPr>
      <t xml:space="preserve">ステップ1：
</t>
    </r>
    <r>
      <rPr>
        <sz val="10"/>
        <color rgb="FF000000"/>
        <rFont val="メイリオ"/>
        <charset val="134"/>
      </rPr>
      <t xml:space="preserve">Ô nhập 適用終了日 hiển thị ở trạng thái chỉ đọc (disabled)
</t>
    </r>
    <r>
      <rPr>
        <b/>
        <sz val="10"/>
        <color rgb="FF000000"/>
        <rFont val="メイリオ"/>
        <charset val="134"/>
      </rPr>
      <t xml:space="preserve">ステップ2：
</t>
    </r>
    <r>
      <rPr>
        <sz val="10"/>
        <color rgb="FF000000"/>
        <rFont val="メイリオ"/>
        <charset val="134"/>
      </rPr>
      <t xml:space="preserve">Thuộc tính disabled được set là true
</t>
    </r>
    <r>
      <rPr>
        <b/>
        <sz val="10"/>
        <color rgb="FF000000"/>
        <rFont val="メイリオ"/>
        <charset val="134"/>
      </rPr>
      <t xml:space="preserve">ステップ3：
</t>
    </r>
    <r>
      <rPr>
        <sz val="10"/>
        <color rgb="FF000000"/>
        <rFont val="メイリオ"/>
        <charset val="134"/>
      </rPr>
      <t xml:space="preserve">Trả về HTTP 200, nhưng giá trị tekiyo_end_date trong DB không thay đổi (silent drop ở backend)
</t>
    </r>
    <r>
      <rPr>
        <b/>
        <sz val="10"/>
        <color rgb="FF000000"/>
        <rFont val="メイリオ"/>
        <charset val="134"/>
      </rPr>
      <t xml:space="preserve">補足：
</t>
    </r>
    <r>
      <rPr>
        <sz val="10"/>
        <color rgb="FF000000"/>
        <rFont val="メイリオ"/>
        <charset val="134"/>
      </rPr>
      <t xml:space="preserve">・Tuân thủ screen-design.md §定義項目màn hình L96④
</t>
    </r>
    <r>
      <rPr>
        <sz val="10"/>
        <color rgb="FF000000"/>
        <rFont val="メイリオ"/>
        <charset val="134"/>
      </rPr>
      <t>・Cùng pattern với security.md Layer 3 — field-level restriction</t>
    </r>
  </si>
  <si>
    <t>Vốn thuộc カテゴリ 6 (Logic nghiệp vụ — Cập nhật) nhưng do thêm về sau nên đặt cuối. Sẽ phân loại lại ở lần rewrite testcase tổng thể tiếp theo.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</si>
</sst>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yyyy"/>
    <numFmt numFmtId="179" formatCode="0.0%"/>
  </numFmts>
  <fonts count="37">
    <font>
      <sz val="11"/>
      <color theme="1"/>
      <name val="Calibri"/>
      <charset val="134"/>
      <scheme val="minor"/>
    </font>
    <font>
      <b/>
      <sz val="11"/>
      <color rgb="FF000000"/>
      <name val="游ゴシック"/>
      <charset val="134"/>
    </font>
    <font>
      <sz val="11"/>
      <name val="Calibri"/>
      <charset val="134"/>
      <scheme val="minor"/>
    </font>
    <font>
      <sz val="11"/>
      <color rgb="FF000000"/>
      <name val="游ゴシック"/>
      <charset val="134"/>
    </font>
    <font>
      <sz val="11"/>
      <color theme="1"/>
      <name val="Arial"/>
      <charset val="134"/>
    </font>
    <font>
      <sz val="11"/>
      <color theme="1"/>
      <name val="Calibri"/>
      <charset val="134"/>
    </font>
    <font>
      <strike/>
      <sz val="11"/>
      <color rgb="FF000000"/>
      <name val="游ゴシック"/>
      <charset val="134"/>
    </font>
    <font>
      <i/>
      <sz val="11"/>
      <color rgb="FF000000"/>
      <name val="游ゴシック"/>
      <charset val="134"/>
    </font>
    <font>
      <b/>
      <sz val="14"/>
      <color rgb="FF000000"/>
      <name val="游ゴシック"/>
      <charset val="134"/>
    </font>
    <font>
      <sz val="26"/>
      <color rgb="FF1F3864"/>
      <name val="游ゴシック"/>
      <charset val="134"/>
    </font>
    <font>
      <sz val="24"/>
      <color rgb="FF1F3864"/>
      <name val="游ゴシック"/>
      <charset val="134"/>
    </font>
    <font>
      <sz val="15"/>
      <color theme="1"/>
      <name val="游ゴシック"/>
      <charset val="134"/>
    </font>
    <font>
      <sz val="10"/>
      <color rgb="FF000000"/>
      <name val="游ゴシック"/>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000000"/>
      <name val="メイリオ"/>
      <charset val="134"/>
    </font>
    <font>
      <sz val="10"/>
      <color rgb="FF000000"/>
      <name val="メイリオ"/>
      <charset val="134"/>
    </font>
    <font>
      <b/>
      <sz val="10"/>
      <color rgb="FF000000"/>
      <name val="游ゴシック"/>
      <charset val="134"/>
    </font>
    <font>
      <b/>
      <strike/>
      <sz val="10"/>
      <color rgb="FF000000"/>
      <name val="メイリオ"/>
      <charset val="134"/>
    </font>
    <font>
      <strike/>
      <sz val="10"/>
      <color rgb="FF000000"/>
      <name val="メイリオ"/>
      <charset val="134"/>
    </font>
  </fonts>
  <fills count="42">
    <fill>
      <patternFill patternType="none"/>
    </fill>
    <fill>
      <patternFill patternType="gray125"/>
    </fill>
    <fill>
      <patternFill patternType="solid">
        <fgColor rgb="FFDEEAF6"/>
        <bgColor rgb="FFDEEAF6"/>
      </patternFill>
    </fill>
    <fill>
      <patternFill patternType="solid">
        <fgColor rgb="FFBDD6EE"/>
        <bgColor rgb="FFBDD6EE"/>
      </patternFill>
    </fill>
    <fill>
      <patternFill patternType="solid">
        <fgColor rgb="FFFFFF00"/>
        <bgColor rgb="FFFFFF00"/>
      </patternFill>
    </fill>
    <fill>
      <patternFill patternType="solid">
        <fgColor rgb="FFB4C6E7"/>
        <bgColor rgb="FFB4C6E7"/>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FFF99"/>
        <bgColor rgb="FFFFFF99"/>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11" borderId="1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6" applyNumberFormat="0" applyFill="0" applyAlignment="0" applyProtection="0">
      <alignment vertical="center"/>
    </xf>
    <xf numFmtId="0" fontId="19" fillId="0" borderId="16" applyNumberFormat="0" applyFill="0" applyAlignment="0" applyProtection="0">
      <alignment vertical="center"/>
    </xf>
    <xf numFmtId="0" fontId="20" fillId="0" borderId="17" applyNumberFormat="0" applyFill="0" applyAlignment="0" applyProtection="0">
      <alignment vertical="center"/>
    </xf>
    <xf numFmtId="0" fontId="20" fillId="0" borderId="0" applyNumberFormat="0" applyFill="0" applyBorder="0" applyAlignment="0" applyProtection="0">
      <alignment vertical="center"/>
    </xf>
    <xf numFmtId="0" fontId="21" fillId="12" borderId="18" applyNumberFormat="0" applyAlignment="0" applyProtection="0">
      <alignment vertical="center"/>
    </xf>
    <xf numFmtId="0" fontId="22" fillId="13" borderId="19" applyNumberFormat="0" applyAlignment="0" applyProtection="0">
      <alignment vertical="center"/>
    </xf>
    <xf numFmtId="0" fontId="23" fillId="13" borderId="18" applyNumberFormat="0" applyAlignment="0" applyProtection="0">
      <alignment vertical="center"/>
    </xf>
    <xf numFmtId="0" fontId="24" fillId="14" borderId="20" applyNumberFormat="0" applyAlignment="0" applyProtection="0">
      <alignment vertical="center"/>
    </xf>
    <xf numFmtId="0" fontId="25" fillId="0" borderId="21" applyNumberFormat="0" applyFill="0" applyAlignment="0" applyProtection="0">
      <alignment vertical="center"/>
    </xf>
    <xf numFmtId="0" fontId="26" fillId="0" borderId="22" applyNumberFormat="0" applyFill="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31" fillId="39" borderId="0" applyNumberFormat="0" applyBorder="0" applyAlignment="0" applyProtection="0">
      <alignment vertical="center"/>
    </xf>
    <xf numFmtId="0" fontId="31" fillId="40" borderId="0" applyNumberFormat="0" applyBorder="0" applyAlignment="0" applyProtection="0">
      <alignment vertical="center"/>
    </xf>
    <xf numFmtId="0" fontId="30" fillId="41" borderId="0" applyNumberFormat="0" applyBorder="0" applyAlignment="0" applyProtection="0">
      <alignment vertical="center"/>
    </xf>
  </cellStyleXfs>
  <cellXfs count="65">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1" fillId="3" borderId="1" xfId="0" applyFont="1" applyFill="1" applyBorder="1" applyAlignment="1">
      <alignment horizontal="left" vertical="center" wrapText="1"/>
    </xf>
    <xf numFmtId="0" fontId="3" fillId="0" borderId="12" xfId="0" applyFont="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78" fontId="3" fillId="0" borderId="1" xfId="0" applyNumberFormat="1" applyFont="1" applyBorder="1" applyAlignment="1">
      <alignment horizontal="center" vertical="top" wrapText="1"/>
    </xf>
    <xf numFmtId="0" fontId="4" fillId="0" borderId="1" xfId="0" applyFont="1" applyBorder="1" applyAlignment="1">
      <alignment horizontal="center" vertical="top" wrapText="1"/>
    </xf>
    <xf numFmtId="0" fontId="5" fillId="0" borderId="1" xfId="0" applyFont="1" applyBorder="1" applyAlignment="1">
      <alignment vertical="top"/>
    </xf>
    <xf numFmtId="178" fontId="4" fillId="0" borderId="1" xfId="0" applyNumberFormat="1" applyFont="1" applyBorder="1" applyAlignment="1">
      <alignment horizontal="center" vertical="top" wrapText="1"/>
    </xf>
    <xf numFmtId="0" fontId="6" fillId="0" borderId="12" xfId="0" applyFont="1" applyBorder="1" applyAlignment="1">
      <alignment horizontal="center" vertical="top" wrapText="1"/>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0" fontId="3" fillId="4" borderId="1" xfId="0" applyFont="1" applyFill="1" applyBorder="1" applyAlignment="1">
      <alignment horizontal="left" vertical="top" wrapText="1"/>
    </xf>
    <xf numFmtId="0" fontId="1" fillId="5" borderId="1" xfId="0" applyFont="1" applyFill="1" applyBorder="1" applyAlignment="1">
      <alignment horizontal="center" vertical="center" wrapText="1"/>
    </xf>
    <xf numFmtId="0" fontId="3" fillId="0" borderId="5" xfId="0" applyFont="1" applyBorder="1" applyAlignment="1">
      <alignment horizontal="center" vertical="center" wrapText="1"/>
    </xf>
    <xf numFmtId="49" fontId="3" fillId="0" borderId="5" xfId="0" applyNumberFormat="1" applyFont="1" applyBorder="1" applyAlignment="1">
      <alignment horizontal="center" vertical="center" wrapText="1"/>
    </xf>
    <xf numFmtId="0" fontId="1" fillId="0" borderId="0" xfId="0" applyFont="1" applyAlignment="1">
      <alignment horizontal="left" vertical="center" wrapText="1"/>
    </xf>
    <xf numFmtId="0" fontId="1" fillId="2" borderId="12" xfId="0" applyFont="1" applyFill="1" applyBorder="1" applyAlignment="1">
      <alignment horizontal="center" vertical="center" wrapText="1"/>
    </xf>
    <xf numFmtId="0" fontId="1" fillId="6" borderId="1" xfId="0" applyFont="1" applyFill="1" applyBorder="1" applyAlignment="1">
      <alignment horizontal="center" vertical="top" wrapText="1"/>
    </xf>
    <xf numFmtId="0" fontId="1" fillId="7" borderId="1" xfId="0" applyFont="1" applyFill="1" applyBorder="1" applyAlignment="1">
      <alignment horizontal="center" vertical="top" wrapText="1"/>
    </xf>
    <xf numFmtId="0" fontId="1" fillId="8" borderId="1" xfId="0" applyFont="1" applyFill="1" applyBorder="1" applyAlignment="1">
      <alignment horizontal="center" vertical="top" wrapText="1"/>
    </xf>
    <xf numFmtId="0" fontId="1" fillId="3" borderId="1" xfId="0" applyFont="1" applyFill="1" applyBorder="1" applyAlignment="1">
      <alignment horizontal="right"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center" vertical="top" wrapText="1"/>
    </xf>
    <xf numFmtId="0" fontId="7" fillId="0" borderId="1" xfId="0" applyFont="1" applyBorder="1" applyAlignment="1">
      <alignment horizontal="left" vertical="top" wrapText="1"/>
    </xf>
    <xf numFmtId="0" fontId="8" fillId="5"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2" borderId="12" xfId="0" applyFont="1" applyFill="1" applyBorder="1" applyAlignment="1">
      <alignment horizontal="left" vertical="center" wrapText="1"/>
    </xf>
    <xf numFmtId="0" fontId="3" fillId="0" borderId="12" xfId="0" applyFont="1" applyBorder="1" applyAlignment="1">
      <alignment horizontal="center" vertical="center" wrapText="1"/>
    </xf>
    <xf numFmtId="179" fontId="3" fillId="0" borderId="1" xfId="0" applyNumberFormat="1" applyFont="1" applyBorder="1" applyAlignment="1">
      <alignment horizontal="center" vertical="center" wrapText="1"/>
    </xf>
    <xf numFmtId="179" fontId="1" fillId="0" borderId="1" xfId="0" applyNumberFormat="1" applyFont="1" applyBorder="1" applyAlignment="1">
      <alignment horizontal="center" vertical="center" wrapText="1"/>
    </xf>
    <xf numFmtId="0" fontId="3" fillId="0" borderId="0" xfId="0" applyFont="1" applyAlignment="1">
      <alignment horizontal="left" vertical="center" wrapText="1"/>
    </xf>
    <xf numFmtId="0" fontId="1" fillId="9" borderId="0" xfId="0" applyFont="1" applyFill="1" applyBorder="1" applyAlignment="1">
      <alignment horizontal="left" vertical="center" wrapText="1"/>
    </xf>
    <xf numFmtId="0" fontId="2" fillId="0" borderId="0" xfId="0" applyFont="1" applyBorder="1"/>
    <xf numFmtId="0" fontId="1" fillId="5" borderId="12" xfId="0" applyFont="1" applyFill="1" applyBorder="1" applyAlignment="1">
      <alignment horizontal="center" vertical="center" wrapText="1"/>
    </xf>
    <xf numFmtId="0" fontId="5" fillId="0" borderId="5" xfId="0" applyFont="1" applyBorder="1"/>
    <xf numFmtId="0" fontId="5" fillId="0" borderId="6" xfId="0" applyFont="1" applyBorder="1"/>
    <xf numFmtId="0" fontId="5" fillId="0" borderId="7" xfId="0" applyFont="1" applyBorder="1"/>
    <xf numFmtId="0" fontId="5" fillId="0" borderId="13" xfId="0" applyFont="1" applyBorder="1"/>
    <xf numFmtId="0" fontId="5" fillId="0" borderId="14" xfId="0" applyFont="1" applyBorder="1"/>
    <xf numFmtId="0" fontId="9" fillId="0" borderId="13" xfId="0" applyFont="1" applyBorder="1" applyAlignment="1">
      <alignment horizontal="center" vertical="center" wrapText="1"/>
    </xf>
    <xf numFmtId="0" fontId="2" fillId="0" borderId="14" xfId="0" applyFont="1" applyBorder="1"/>
    <xf numFmtId="0" fontId="10" fillId="0" borderId="13" xfId="0" applyFont="1" applyBorder="1" applyAlignment="1">
      <alignment horizontal="center" vertical="center" wrapText="1"/>
    </xf>
    <xf numFmtId="0" fontId="11" fillId="0" borderId="13" xfId="0" applyFont="1" applyBorder="1" applyAlignment="1">
      <alignment horizontal="center" vertical="center" wrapText="1"/>
    </xf>
    <xf numFmtId="0" fontId="12" fillId="10" borderId="1" xfId="0" applyFont="1" applyFill="1" applyBorder="1" applyAlignment="1">
      <alignment horizontal="center" vertical="center" wrapText="1"/>
    </xf>
    <xf numFmtId="49" fontId="12" fillId="10" borderId="1" xfId="0" applyNumberFormat="1" applyFont="1" applyFill="1" applyBorder="1" applyAlignment="1">
      <alignment horizontal="center" vertical="center" wrapText="1"/>
    </xf>
    <xf numFmtId="0" fontId="5" fillId="0" borderId="9" xfId="0" applyFont="1" applyBorder="1"/>
    <xf numFmtId="0" fontId="5" fillId="0" borderId="10" xfId="0" applyFont="1" applyBorder="1"/>
    <xf numFmtId="0" fontId="5" fillId="0" borderId="11"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15</xdr:col>
      <xdr:colOff>0</xdr:colOff>
      <xdr:row>2</xdr:row>
      <xdr:rowOff>0</xdr:rowOff>
    </xdr:from>
    <xdr:ext cx="1333500" cy="514350"/>
    <xdr:pic>
      <xdr:nvPicPr>
        <xdr:cNvPr id="2" name="image1.png" descr="Picture"/>
        <xdr:cNvPicPr preferRelativeResize="0"/>
      </xdr:nvPicPr>
      <xdr:blipFill>
        <a:blip r:embed="rId1" cstate="print"/>
        <a:stretch>
          <a:fillRect/>
        </a:stretch>
      </xdr:blipFill>
      <xdr:spPr>
        <a:xfrm>
          <a:off x="3314700" y="409575"/>
          <a:ext cx="1333500" cy="5143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K1000"/>
  <sheetViews>
    <sheetView showGridLines="0" workbookViewId="0">
      <selection activeCell="A1" sqref="A1"/>
    </sheetView>
  </sheetViews>
  <sheetFormatPr defaultColWidth="14.4285714285714" defaultRowHeight="15" customHeight="1"/>
  <cols>
    <col min="1" max="1" width="3.71428571428571" customWidth="1"/>
    <col min="2" max="37" width="3.28571428571429" customWidth="1"/>
  </cols>
  <sheetData>
    <row r="1" ht="19.5" customHeight="1"/>
    <row r="2" ht="12.75" customHeight="1" spans="2:37">
      <c r="B2" s="51"/>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3"/>
    </row>
    <row r="3" ht="12.75" customHeight="1" spans="2:37">
      <c r="B3" s="54"/>
      <c r="AK3" s="55"/>
    </row>
    <row r="4" ht="12.75" customHeight="1" spans="2:37">
      <c r="B4" s="54"/>
      <c r="AK4" s="55"/>
    </row>
    <row r="5" ht="12.75" customHeight="1" spans="2:37">
      <c r="B5" s="54"/>
      <c r="AK5" s="55"/>
    </row>
    <row r="6" ht="12.75" customHeight="1" spans="2:37">
      <c r="B6" s="54"/>
      <c r="AK6" s="55"/>
    </row>
    <row r="7" ht="12.75" customHeight="1" spans="2:37">
      <c r="B7" s="54"/>
      <c r="AK7" s="55"/>
    </row>
    <row r="8" ht="12.75" customHeight="1" spans="2:37">
      <c r="B8" s="54"/>
      <c r="AK8" s="55"/>
    </row>
    <row r="9" ht="12.75" customHeight="1" spans="2:37">
      <c r="B9" s="54"/>
      <c r="AK9" s="55"/>
    </row>
    <row r="10" ht="29.25" customHeight="1" spans="2:37">
      <c r="B10" s="56" t="s">
        <v>0</v>
      </c>
      <c r="AK10" s="57"/>
    </row>
    <row r="11" ht="12.75" customHeight="1" spans="2:37">
      <c r="B11" s="54"/>
      <c r="AK11" s="55"/>
    </row>
    <row r="12" ht="39" customHeight="1" spans="2:37">
      <c r="B12" s="58" t="s">
        <v>1</v>
      </c>
      <c r="AK12" s="57"/>
    </row>
    <row r="13" ht="12.75" customHeight="1" spans="2:37">
      <c r="B13" s="54"/>
      <c r="AK13" s="55"/>
    </row>
    <row r="14" ht="12.75" customHeight="1" spans="2:37">
      <c r="B14" s="54"/>
      <c r="AK14" s="55"/>
    </row>
    <row r="15" ht="12.75" customHeight="1" spans="2:37">
      <c r="B15" s="59" t="s">
        <v>2</v>
      </c>
      <c r="AK15" s="57"/>
    </row>
    <row r="16" ht="12.75" customHeight="1" spans="2:37">
      <c r="B16" s="54"/>
      <c r="AK16" s="55"/>
    </row>
    <row r="17" ht="12.75" customHeight="1" spans="2:37">
      <c r="B17" s="54"/>
      <c r="AK17" s="55"/>
    </row>
    <row r="18" ht="12.75" customHeight="1" spans="2:37">
      <c r="B18" s="54"/>
      <c r="N18" s="60" t="s">
        <v>3</v>
      </c>
      <c r="O18" s="2"/>
      <c r="P18" s="2"/>
      <c r="Q18" s="2"/>
      <c r="R18" s="3"/>
      <c r="S18" s="60" t="s">
        <v>4</v>
      </c>
      <c r="T18" s="2"/>
      <c r="U18" s="2"/>
      <c r="V18" s="2"/>
      <c r="W18" s="3"/>
      <c r="AK18" s="55"/>
    </row>
    <row r="19" ht="12.75" customHeight="1" spans="2:37">
      <c r="B19" s="54"/>
      <c r="N19" s="60" t="s">
        <v>5</v>
      </c>
      <c r="O19" s="2"/>
      <c r="P19" s="2"/>
      <c r="Q19" s="2"/>
      <c r="R19" s="3"/>
      <c r="S19" s="60" t="s">
        <v>6</v>
      </c>
      <c r="T19" s="2"/>
      <c r="U19" s="2"/>
      <c r="V19" s="2"/>
      <c r="W19" s="3"/>
      <c r="AK19" s="55"/>
    </row>
    <row r="20" ht="12.75" customHeight="1" spans="2:37">
      <c r="B20" s="54"/>
      <c r="N20" s="60" t="s">
        <v>7</v>
      </c>
      <c r="O20" s="2"/>
      <c r="P20" s="2"/>
      <c r="Q20" s="2"/>
      <c r="R20" s="3"/>
      <c r="S20" s="61" t="s">
        <v>8</v>
      </c>
      <c r="T20" s="2"/>
      <c r="U20" s="2"/>
      <c r="V20" s="2"/>
      <c r="W20" s="3"/>
      <c r="AK20" s="55"/>
    </row>
    <row r="21" ht="12.75" customHeight="1" spans="2:37">
      <c r="B21" s="54"/>
      <c r="AK21" s="55"/>
    </row>
    <row r="22" ht="12.75" customHeight="1" spans="2:37">
      <c r="B22" s="54"/>
      <c r="AK22" s="55"/>
    </row>
    <row r="23" ht="12.75" customHeight="1" spans="2:37">
      <c r="B23" s="54"/>
      <c r="AK23" s="55"/>
    </row>
    <row r="24" ht="12.75" customHeight="1" spans="2:37">
      <c r="B24" s="54"/>
      <c r="AK24" s="55"/>
    </row>
    <row r="25" ht="12.75" customHeight="1" spans="2:37">
      <c r="B25" s="54"/>
      <c r="AK25" s="55"/>
    </row>
    <row r="26" ht="12.75" customHeight="1" spans="2:37">
      <c r="B26" s="54"/>
      <c r="AK26" s="55"/>
    </row>
    <row r="27" ht="12.75" customHeight="1" spans="2:37">
      <c r="B27" s="54"/>
      <c r="AK27" s="55"/>
    </row>
    <row r="28" ht="12.75" customHeight="1" spans="2:37">
      <c r="B28" s="54"/>
      <c r="AK28" s="55"/>
    </row>
    <row r="29" ht="12.75" customHeight="1" spans="2:37">
      <c r="B29" s="54"/>
      <c r="AK29" s="55"/>
    </row>
    <row r="30" ht="12.75" customHeight="1" spans="2:37">
      <c r="B30" s="54"/>
      <c r="AK30" s="55"/>
    </row>
    <row r="31" ht="12.75" customHeight="1" spans="2:37">
      <c r="B31" s="54"/>
      <c r="AK31" s="55"/>
    </row>
    <row r="32" ht="12.75" customHeight="1" spans="2:37">
      <c r="B32" s="54"/>
      <c r="AK32" s="55"/>
    </row>
    <row r="33" ht="12.75" customHeight="1" spans="2:37">
      <c r="B33" s="54"/>
      <c r="AK33" s="55"/>
    </row>
    <row r="34" ht="12.75" customHeight="1" spans="2:37">
      <c r="B34" s="62"/>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4"/>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B10:AK10"/>
    <mergeCell ref="B12:AK12"/>
    <mergeCell ref="B15:AK15"/>
    <mergeCell ref="N18:R18"/>
    <mergeCell ref="S18:W18"/>
    <mergeCell ref="N19:R19"/>
    <mergeCell ref="S19:W19"/>
    <mergeCell ref="N20:R20"/>
    <mergeCell ref="S20:W20"/>
  </mergeCells>
  <pageMargins left="0.75" right="0.75" top="1" bottom="1" header="0" footer="0"/>
  <pageSetup paperSize="1"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
    </sheetView>
  </sheetViews>
  <sheetFormatPr defaultColWidth="14.4285714285714" defaultRowHeight="15" customHeight="1"/>
  <cols>
    <col min="1" max="1" width="8" customWidth="1"/>
    <col min="2" max="34" width="3.28571428571429" customWidth="1"/>
  </cols>
  <sheetData>
    <row r="1" ht="22.5" customHeight="1" spans="1:34">
      <c r="A1" s="50" t="s">
        <v>9</v>
      </c>
      <c r="B1" s="28" t="s">
        <v>7</v>
      </c>
      <c r="C1" s="2"/>
      <c r="D1" s="2"/>
      <c r="E1" s="3"/>
      <c r="F1" s="28" t="s">
        <v>10</v>
      </c>
      <c r="G1" s="2"/>
      <c r="H1" s="3"/>
      <c r="I1" s="28" t="s">
        <v>11</v>
      </c>
      <c r="J1" s="2"/>
      <c r="K1" s="2"/>
      <c r="L1" s="2"/>
      <c r="M1" s="2"/>
      <c r="N1" s="3"/>
      <c r="O1" s="28" t="s">
        <v>12</v>
      </c>
      <c r="P1" s="2"/>
      <c r="Q1" s="2"/>
      <c r="R1" s="2"/>
      <c r="S1" s="2"/>
      <c r="T1" s="2"/>
      <c r="U1" s="2"/>
      <c r="V1" s="3"/>
      <c r="W1" s="28" t="s">
        <v>13</v>
      </c>
      <c r="X1" s="2"/>
      <c r="Y1" s="2"/>
      <c r="Z1" s="2"/>
      <c r="AA1" s="2"/>
      <c r="AB1" s="3"/>
      <c r="AC1" s="28" t="s">
        <v>14</v>
      </c>
      <c r="AD1" s="2"/>
      <c r="AE1" s="2"/>
      <c r="AF1" s="2"/>
      <c r="AG1" s="2"/>
      <c r="AH1" s="3"/>
    </row>
    <row r="2" ht="22.5" customHeight="1" spans="1:34">
      <c r="A2" s="44">
        <v>1</v>
      </c>
      <c r="B2" s="6" t="s">
        <v>15</v>
      </c>
      <c r="C2" s="2"/>
      <c r="D2" s="2"/>
      <c r="E2" s="3"/>
      <c r="F2" s="6" t="s">
        <v>6</v>
      </c>
      <c r="G2" s="2"/>
      <c r="H2" s="3"/>
      <c r="I2" s="6" t="s">
        <v>16</v>
      </c>
      <c r="J2" s="2"/>
      <c r="K2" s="2"/>
      <c r="L2" s="2"/>
      <c r="M2" s="2"/>
      <c r="N2" s="3"/>
      <c r="O2" s="4" t="s">
        <v>17</v>
      </c>
      <c r="P2" s="2"/>
      <c r="Q2" s="2"/>
      <c r="R2" s="2"/>
      <c r="S2" s="2"/>
      <c r="T2" s="2"/>
      <c r="U2" s="2"/>
      <c r="V2" s="3"/>
      <c r="W2" s="6" t="s">
        <v>18</v>
      </c>
      <c r="X2" s="2"/>
      <c r="Y2" s="2"/>
      <c r="Z2" s="2"/>
      <c r="AA2" s="2"/>
      <c r="AB2" s="3"/>
      <c r="AC2" s="6"/>
      <c r="AD2" s="2"/>
      <c r="AE2" s="2"/>
      <c r="AF2" s="2"/>
      <c r="AG2" s="2"/>
      <c r="AH2"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1:E1"/>
    <mergeCell ref="F1:H1"/>
    <mergeCell ref="I1:N1"/>
    <mergeCell ref="O1:V1"/>
    <mergeCell ref="W1:AB1"/>
    <mergeCell ref="AC1:AH1"/>
    <mergeCell ref="B2:E2"/>
    <mergeCell ref="F2:H2"/>
    <mergeCell ref="I2:N2"/>
    <mergeCell ref="O2:V2"/>
    <mergeCell ref="W2:AB2"/>
    <mergeCell ref="AC2:AH2"/>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8" t="s">
        <v>19</v>
      </c>
      <c r="B1" s="2"/>
      <c r="C1" s="2"/>
      <c r="D1" s="2"/>
      <c r="E1" s="2"/>
      <c r="F1" s="2"/>
      <c r="G1" s="2"/>
      <c r="H1" s="2"/>
      <c r="I1" s="3"/>
      <c r="J1" s="28" t="s">
        <v>20</v>
      </c>
      <c r="K1" s="2"/>
      <c r="L1" s="2"/>
      <c r="M1" s="2"/>
      <c r="N1" s="2"/>
      <c r="O1" s="2"/>
      <c r="P1" s="3"/>
      <c r="Q1" s="28" t="s">
        <v>21</v>
      </c>
      <c r="R1" s="2"/>
      <c r="S1" s="2"/>
      <c r="T1" s="2"/>
      <c r="U1" s="3"/>
      <c r="V1" s="28" t="s">
        <v>22</v>
      </c>
      <c r="W1" s="2"/>
      <c r="X1" s="2"/>
      <c r="Y1" s="3"/>
      <c r="Z1" s="28" t="s">
        <v>23</v>
      </c>
      <c r="AA1" s="2"/>
      <c r="AB1" s="2"/>
      <c r="AC1" s="3"/>
      <c r="AD1" s="28" t="s">
        <v>24</v>
      </c>
      <c r="AE1" s="2"/>
      <c r="AF1" s="2"/>
      <c r="AG1" s="3"/>
      <c r="AH1" s="28" t="s">
        <v>25</v>
      </c>
      <c r="AI1" s="2"/>
      <c r="AJ1" s="2"/>
      <c r="AK1" s="3"/>
    </row>
    <row r="2" ht="19.5" customHeight="1" spans="1:37">
      <c r="A2" s="29" t="s">
        <v>0</v>
      </c>
      <c r="B2" s="10"/>
      <c r="C2" s="10"/>
      <c r="D2" s="10"/>
      <c r="E2" s="10"/>
      <c r="F2" s="10"/>
      <c r="G2" s="10"/>
      <c r="H2" s="10"/>
      <c r="I2" s="11"/>
      <c r="J2" s="29" t="s">
        <v>26</v>
      </c>
      <c r="K2" s="10"/>
      <c r="L2" s="10"/>
      <c r="M2" s="10"/>
      <c r="N2" s="10"/>
      <c r="O2" s="10"/>
      <c r="P2" s="11"/>
      <c r="Q2" s="29" t="s">
        <v>27</v>
      </c>
      <c r="R2" s="10"/>
      <c r="S2" s="10"/>
      <c r="T2" s="10"/>
      <c r="U2" s="11"/>
      <c r="V2" s="30" t="s">
        <v>8</v>
      </c>
      <c r="W2" s="10"/>
      <c r="X2" s="10"/>
      <c r="Y2" s="11"/>
      <c r="Z2" s="29" t="s">
        <v>16</v>
      </c>
      <c r="AA2" s="10"/>
      <c r="AB2" s="10"/>
      <c r="AC2" s="11"/>
      <c r="AD2" s="30" t="s">
        <v>8</v>
      </c>
      <c r="AE2" s="10"/>
      <c r="AF2" s="10"/>
      <c r="AG2" s="11"/>
      <c r="AH2" s="29"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31" t="s">
        <v>28</v>
      </c>
    </row>
    <row r="6" ht="19.5" customHeight="1" spans="1:37">
      <c r="C6" s="47" t="s">
        <v>29</v>
      </c>
    </row>
    <row r="7" ht="19.5" customHeight="1" spans="1:37">
      <c r="C7" s="47" t="s">
        <v>30</v>
      </c>
    </row>
    <row r="8" ht="19.5" customHeight="1" spans="1:37">
      <c r="C8" s="47" t="s">
        <v>31</v>
      </c>
    </row>
    <row r="9" ht="19.5" customHeight="1" spans="1:37">
      <c r="C9" s="47" t="s">
        <v>32</v>
      </c>
    </row>
    <row r="10" ht="19.5" customHeight="1" spans="1:37">
      <c r="C10" s="47" t="s">
        <v>33</v>
      </c>
    </row>
    <row r="11" ht="19.5" customHeight="1" spans="1:37">
      <c r="C11" s="47" t="s">
        <v>34</v>
      </c>
    </row>
    <row r="12" ht="19.5" customHeight="1" spans="1:37">
      <c r="C12" s="47" t="s">
        <v>35</v>
      </c>
    </row>
    <row r="14" ht="19.5" customHeight="1" spans="1:37">
      <c r="B14" s="31" t="s">
        <v>36</v>
      </c>
    </row>
    <row r="15" ht="19.5" customHeight="1" spans="1:37">
      <c r="C15" s="48" t="s">
        <v>37</v>
      </c>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row>
    <row r="16" ht="19.5" customHeight="1" spans="1:37">
      <c r="C16" s="48" t="s">
        <v>38</v>
      </c>
      <c r="D16" s="49"/>
      <c r="E16" s="49"/>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row>
    <row r="17" ht="19.5" customHeight="1" spans="2:37">
      <c r="C17" s="48" t="s">
        <v>39</v>
      </c>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row>
    <row r="18" ht="19.5" customHeight="1" spans="2:37">
      <c r="C18" s="48" t="s">
        <v>40</v>
      </c>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row>
    <row r="19" ht="19.5" customHeight="1" spans="2:37">
      <c r="C19" s="48" t="s">
        <v>41</v>
      </c>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row>
    <row r="21" ht="19.5" customHeight="1" spans="2:37">
      <c r="B21" s="31" t="s">
        <v>42</v>
      </c>
    </row>
    <row r="23" ht="22.5" customHeight="1" spans="2:37">
      <c r="C23" s="50" t="s">
        <v>43</v>
      </c>
      <c r="D23" s="28" t="s">
        <v>44</v>
      </c>
      <c r="E23" s="2"/>
      <c r="F23" s="2"/>
      <c r="G23" s="2"/>
      <c r="H23" s="2"/>
      <c r="I23" s="2"/>
      <c r="J23" s="2"/>
      <c r="K23" s="2"/>
      <c r="L23" s="2"/>
      <c r="M23" s="2"/>
      <c r="N23" s="3"/>
      <c r="O23" s="28" t="s">
        <v>45</v>
      </c>
      <c r="P23" s="2"/>
      <c r="Q23" s="2"/>
      <c r="R23" s="2"/>
      <c r="S23" s="2"/>
      <c r="T23" s="2"/>
      <c r="U23" s="2"/>
      <c r="V23" s="2"/>
      <c r="W23" s="2"/>
      <c r="X23" s="2"/>
      <c r="Y23" s="2"/>
      <c r="Z23" s="2"/>
      <c r="AA23" s="2"/>
      <c r="AB23" s="2"/>
      <c r="AC23" s="2"/>
      <c r="AD23" s="2"/>
      <c r="AE23" s="2"/>
      <c r="AF23" s="2"/>
      <c r="AG23" s="3"/>
    </row>
    <row r="24" ht="22.5" customHeight="1" spans="2:37">
      <c r="C24" s="44">
        <v>1</v>
      </c>
      <c r="D24" s="4" t="s">
        <v>46</v>
      </c>
      <c r="E24" s="2"/>
      <c r="F24" s="2"/>
      <c r="G24" s="2"/>
      <c r="H24" s="2"/>
      <c r="I24" s="2"/>
      <c r="J24" s="2"/>
      <c r="K24" s="2"/>
      <c r="L24" s="2"/>
      <c r="M24" s="2"/>
      <c r="N24" s="3"/>
      <c r="O24" s="4" t="s">
        <v>47</v>
      </c>
      <c r="P24" s="2"/>
      <c r="Q24" s="2"/>
      <c r="R24" s="2"/>
      <c r="S24" s="2"/>
      <c r="T24" s="2"/>
      <c r="U24" s="2"/>
      <c r="V24" s="2"/>
      <c r="W24" s="2"/>
      <c r="X24" s="2"/>
      <c r="Y24" s="2"/>
      <c r="Z24" s="2"/>
      <c r="AA24" s="2"/>
      <c r="AB24" s="2"/>
      <c r="AC24" s="2"/>
      <c r="AD24" s="2"/>
      <c r="AE24" s="2"/>
      <c r="AF24" s="2"/>
      <c r="AG24" s="3"/>
    </row>
    <row r="25" ht="22.5" customHeight="1" spans="2:37">
      <c r="C25" s="44">
        <v>2</v>
      </c>
      <c r="D25" s="4" t="s">
        <v>48</v>
      </c>
      <c r="E25" s="2"/>
      <c r="F25" s="2"/>
      <c r="G25" s="2"/>
      <c r="H25" s="2"/>
      <c r="I25" s="2"/>
      <c r="J25" s="2"/>
      <c r="K25" s="2"/>
      <c r="L25" s="2"/>
      <c r="M25" s="2"/>
      <c r="N25" s="3"/>
      <c r="O25" s="4" t="s">
        <v>49</v>
      </c>
      <c r="P25" s="2"/>
      <c r="Q25" s="2"/>
      <c r="R25" s="2"/>
      <c r="S25" s="2"/>
      <c r="T25" s="2"/>
      <c r="U25" s="2"/>
      <c r="V25" s="2"/>
      <c r="W25" s="2"/>
      <c r="X25" s="2"/>
      <c r="Y25" s="2"/>
      <c r="Z25" s="2"/>
      <c r="AA25" s="2"/>
      <c r="AB25" s="2"/>
      <c r="AC25" s="2"/>
      <c r="AD25" s="2"/>
      <c r="AE25" s="2"/>
      <c r="AF25" s="2"/>
      <c r="AG25" s="3"/>
    </row>
    <row r="26" ht="22.5" customHeight="1" spans="2:37">
      <c r="C26" s="44">
        <v>3</v>
      </c>
      <c r="D26" s="4" t="s">
        <v>50</v>
      </c>
      <c r="E26" s="2"/>
      <c r="F26" s="2"/>
      <c r="G26" s="2"/>
      <c r="H26" s="2"/>
      <c r="I26" s="2"/>
      <c r="J26" s="2"/>
      <c r="K26" s="2"/>
      <c r="L26" s="2"/>
      <c r="M26" s="2"/>
      <c r="N26" s="3"/>
      <c r="O26" s="4" t="s">
        <v>51</v>
      </c>
      <c r="P26" s="2"/>
      <c r="Q26" s="2"/>
      <c r="R26" s="2"/>
      <c r="S26" s="2"/>
      <c r="T26" s="2"/>
      <c r="U26" s="2"/>
      <c r="V26" s="2"/>
      <c r="W26" s="2"/>
      <c r="X26" s="2"/>
      <c r="Y26" s="2"/>
      <c r="Z26" s="2"/>
      <c r="AA26" s="2"/>
      <c r="AB26" s="2"/>
      <c r="AC26" s="2"/>
      <c r="AD26" s="2"/>
      <c r="AE26" s="2"/>
      <c r="AF26" s="2"/>
      <c r="AG26" s="3"/>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I1"/>
    <mergeCell ref="J1:P1"/>
    <mergeCell ref="Q1:U1"/>
    <mergeCell ref="V1:Y1"/>
    <mergeCell ref="Z1:AC1"/>
    <mergeCell ref="AD1:AG1"/>
    <mergeCell ref="AH1:AK1"/>
    <mergeCell ref="B5:AK5"/>
    <mergeCell ref="C6:AK6"/>
    <mergeCell ref="C7:AK7"/>
    <mergeCell ref="C8:AK8"/>
    <mergeCell ref="C9:AK9"/>
    <mergeCell ref="C10:AK10"/>
    <mergeCell ref="C11:AK11"/>
    <mergeCell ref="C12:AK12"/>
    <mergeCell ref="B14:AK14"/>
    <mergeCell ref="C15:AK15"/>
    <mergeCell ref="C16:AK16"/>
    <mergeCell ref="C17:AK17"/>
    <mergeCell ref="C18:AK18"/>
    <mergeCell ref="C19:AK19"/>
    <mergeCell ref="B21:AK21"/>
    <mergeCell ref="D23:N23"/>
    <mergeCell ref="O23:AG23"/>
    <mergeCell ref="D24:N24"/>
    <mergeCell ref="O24:AG24"/>
    <mergeCell ref="D25:N25"/>
    <mergeCell ref="O25:AG25"/>
    <mergeCell ref="D26:N26"/>
    <mergeCell ref="O26:AG26"/>
    <mergeCell ref="A2:I3"/>
    <mergeCell ref="J2:P3"/>
    <mergeCell ref="Q2:U3"/>
    <mergeCell ref="V2:Y3"/>
    <mergeCell ref="Z2:AC3"/>
    <mergeCell ref="AD2:AG3"/>
    <mergeCell ref="AH2:AK3"/>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AH1"/>
    </sheetView>
  </sheetViews>
  <sheetFormatPr defaultColWidth="14.4285714285714" defaultRowHeight="15" customHeight="1"/>
  <cols>
    <col min="1" max="1" width="13" customWidth="1"/>
    <col min="2" max="34" width="5" customWidth="1"/>
  </cols>
  <sheetData>
    <row r="1" ht="28.5" customHeight="1" spans="1:34">
      <c r="A1" s="40" t="s">
        <v>52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row>
    <row r="3" ht="22.5" customHeight="1" spans="1:34">
      <c r="A3" s="16" t="s">
        <v>53</v>
      </c>
      <c r="B3" s="2"/>
      <c r="C3" s="2"/>
      <c r="D3" s="2"/>
      <c r="E3" s="2"/>
      <c r="F3" s="3"/>
      <c r="G3" s="4" t="s">
        <v>0</v>
      </c>
      <c r="H3" s="2"/>
      <c r="I3" s="2"/>
      <c r="J3" s="2"/>
      <c r="K3" s="2"/>
      <c r="L3" s="2"/>
      <c r="M3" s="2"/>
      <c r="N3" s="2"/>
      <c r="O3" s="3"/>
      <c r="P3" s="16" t="s">
        <v>54</v>
      </c>
      <c r="Q3" s="2"/>
      <c r="R3" s="2"/>
      <c r="S3" s="2"/>
      <c r="T3" s="2"/>
      <c r="U3" s="2"/>
      <c r="V3" s="2"/>
      <c r="W3" s="3"/>
      <c r="X3" s="4" t="s">
        <v>18</v>
      </c>
      <c r="Y3" s="2"/>
      <c r="Z3" s="2"/>
      <c r="AA3" s="2"/>
      <c r="AB3" s="2"/>
      <c r="AC3" s="2"/>
      <c r="AD3" s="2"/>
      <c r="AE3" s="2"/>
      <c r="AF3" s="2"/>
      <c r="AG3" s="2"/>
      <c r="AH3" s="3"/>
    </row>
    <row r="4" ht="22.5" customHeight="1" spans="1:34">
      <c r="A4" s="16" t="s">
        <v>11</v>
      </c>
      <c r="B4" s="2"/>
      <c r="C4" s="2"/>
      <c r="D4" s="2"/>
      <c r="E4" s="2"/>
      <c r="F4" s="3"/>
      <c r="G4" s="4" t="s">
        <v>16</v>
      </c>
      <c r="H4" s="2"/>
      <c r="I4" s="2"/>
      <c r="J4" s="2"/>
      <c r="K4" s="2"/>
      <c r="L4" s="2"/>
      <c r="M4" s="2"/>
      <c r="N4" s="2"/>
      <c r="O4" s="3"/>
      <c r="P4" s="16" t="s">
        <v>22</v>
      </c>
      <c r="Q4" s="2"/>
      <c r="R4" s="2"/>
      <c r="S4" s="2"/>
      <c r="T4" s="2"/>
      <c r="U4" s="2"/>
      <c r="V4" s="2"/>
      <c r="W4" s="3"/>
      <c r="X4" s="5" t="s">
        <v>8</v>
      </c>
      <c r="Y4" s="2"/>
      <c r="Z4" s="2"/>
      <c r="AA4" s="2"/>
      <c r="AB4" s="2"/>
      <c r="AC4" s="2"/>
      <c r="AD4" s="2"/>
      <c r="AE4" s="2"/>
      <c r="AF4" s="2"/>
      <c r="AG4" s="2"/>
      <c r="AH4" s="3"/>
    </row>
    <row r="6" ht="22.5" customHeight="1" spans="1:34">
      <c r="A6" s="41" t="s">
        <v>55</v>
      </c>
      <c r="B6" s="42" t="s">
        <v>56</v>
      </c>
      <c r="C6" s="10"/>
      <c r="D6" s="10"/>
      <c r="E6" s="10"/>
      <c r="F6" s="10"/>
      <c r="G6" s="11"/>
      <c r="H6" s="37" t="s">
        <v>57</v>
      </c>
      <c r="I6" s="2"/>
      <c r="J6" s="2"/>
      <c r="K6" s="2"/>
      <c r="L6" s="2"/>
      <c r="M6" s="2"/>
      <c r="N6" s="2"/>
      <c r="O6" s="2"/>
      <c r="P6" s="3"/>
      <c r="Q6" s="42" t="s">
        <v>58</v>
      </c>
      <c r="R6" s="10"/>
      <c r="S6" s="11"/>
      <c r="T6" s="37" t="s">
        <v>59</v>
      </c>
      <c r="U6" s="2"/>
      <c r="V6" s="2"/>
      <c r="W6" s="2"/>
      <c r="X6" s="2"/>
      <c r="Y6" s="2"/>
      <c r="Z6" s="2"/>
      <c r="AA6" s="2"/>
      <c r="AB6" s="2"/>
      <c r="AC6" s="2"/>
      <c r="AD6" s="2"/>
      <c r="AE6" s="2"/>
      <c r="AF6" s="2"/>
      <c r="AG6" s="2"/>
      <c r="AH6" s="3"/>
    </row>
    <row r="7" ht="22.5" customHeight="1" spans="1:34">
      <c r="A7" s="12"/>
      <c r="B7" s="13"/>
      <c r="C7" s="14"/>
      <c r="D7" s="14"/>
      <c r="E7" s="14"/>
      <c r="F7" s="14"/>
      <c r="G7" s="15"/>
      <c r="H7" s="37" t="s">
        <v>60</v>
      </c>
      <c r="I7" s="2"/>
      <c r="J7" s="3"/>
      <c r="K7" s="37" t="s">
        <v>61</v>
      </c>
      <c r="L7" s="2"/>
      <c r="M7" s="3"/>
      <c r="N7" s="37" t="s">
        <v>62</v>
      </c>
      <c r="O7" s="2"/>
      <c r="P7" s="3"/>
      <c r="Q7" s="13"/>
      <c r="R7" s="14"/>
      <c r="S7" s="15"/>
      <c r="T7" s="37" t="s">
        <v>63</v>
      </c>
      <c r="U7" s="2"/>
      <c r="V7" s="3"/>
      <c r="W7" s="37" t="s">
        <v>64</v>
      </c>
      <c r="X7" s="2"/>
      <c r="Y7" s="3"/>
      <c r="Z7" s="37" t="s">
        <v>65</v>
      </c>
      <c r="AA7" s="2"/>
      <c r="AB7" s="3"/>
      <c r="AC7" s="37" t="s">
        <v>66</v>
      </c>
      <c r="AD7" s="2"/>
      <c r="AE7" s="3"/>
      <c r="AF7" s="37" t="s">
        <v>67</v>
      </c>
      <c r="AG7" s="2"/>
      <c r="AH7" s="3"/>
    </row>
    <row r="8" ht="22.5" customHeight="1" spans="1:34">
      <c r="A8" s="43" t="s">
        <v>68</v>
      </c>
    </row>
    <row r="9" ht="22.5" customHeight="1" spans="1:34">
      <c r="A9" s="44">
        <v>1</v>
      </c>
      <c r="B9" s="4" t="s">
        <v>69</v>
      </c>
      <c r="C9" s="2"/>
      <c r="D9" s="2"/>
      <c r="E9" s="2"/>
      <c r="F9" s="2"/>
      <c r="G9" s="3"/>
      <c r="H9" s="6">
        <f ca="1" t="array" ref="H9">INDIRECT("'"&amp;$B9&amp;"'!H7",TRUE)</f>
        <v>42</v>
      </c>
      <c r="I9" s="2"/>
      <c r="J9" s="3"/>
      <c r="K9" s="6">
        <f ca="1" t="array" ref="K9">INDIRECT("'"&amp;$B9&amp;"'!K7",TRUE)</f>
        <v>30</v>
      </c>
      <c r="L9" s="2"/>
      <c r="M9" s="3"/>
      <c r="N9" s="6">
        <f ca="1" t="array" ref="N9">INDIRECT("'"&amp;$B9&amp;"'!N7",TRUE)</f>
        <v>6</v>
      </c>
      <c r="O9" s="2"/>
      <c r="P9" s="3"/>
      <c r="Q9" s="6">
        <f ca="1" t="array" ref="Q9">INDIRECT("'"&amp;$B9&amp;"'!Q7",TRUE)</f>
        <v>78</v>
      </c>
      <c r="R9" s="2"/>
      <c r="S9" s="3"/>
      <c r="T9" s="6">
        <f ca="1" t="array" ref="T9">INDIRECT("'"&amp;$B9&amp;"'!T7",TRUE)</f>
        <v>69</v>
      </c>
      <c r="U9" s="2"/>
      <c r="V9" s="3"/>
      <c r="W9" s="6">
        <f ca="1" t="array" ref="W9">INDIRECT("'"&amp;$B9&amp;"'!W7",TRUE)</f>
        <v>0</v>
      </c>
      <c r="X9" s="2"/>
      <c r="Y9" s="3"/>
      <c r="Z9" s="6">
        <f ca="1" t="array" ref="Z9">INDIRECT("'"&amp;$B9&amp;"'!Z7",TRUE)</f>
        <v>3</v>
      </c>
      <c r="AA9" s="2"/>
      <c r="AB9" s="3"/>
      <c r="AC9" s="6">
        <f ca="1" t="array" ref="AC9">INDIRECT("'"&amp;$B9&amp;"'!AC7",TRUE)</f>
        <v>6</v>
      </c>
      <c r="AD9" s="2"/>
      <c r="AE9" s="3"/>
      <c r="AF9" s="45">
        <f ca="1">IFERROR((T9+W9+AC9)/Q9,0)</f>
        <v>0.961538461538462</v>
      </c>
      <c r="AG9" s="2"/>
      <c r="AH9" s="3"/>
    </row>
    <row r="10" ht="22.5" customHeight="1" spans="1:34">
      <c r="A10" s="44">
        <v>2</v>
      </c>
      <c r="B10" s="4"/>
      <c r="C10" s="2"/>
      <c r="D10" s="2"/>
      <c r="E10" s="2"/>
      <c r="F10" s="2"/>
      <c r="G10" s="3"/>
      <c r="H10" s="6"/>
      <c r="I10" s="2"/>
      <c r="J10" s="3"/>
      <c r="K10" s="6"/>
      <c r="L10" s="2"/>
      <c r="M10" s="3"/>
      <c r="N10" s="6"/>
      <c r="O10" s="2"/>
      <c r="P10" s="3"/>
      <c r="Q10" s="6"/>
      <c r="R10" s="2"/>
      <c r="S10" s="3"/>
      <c r="T10" s="6"/>
      <c r="U10" s="2"/>
      <c r="V10" s="3"/>
      <c r="W10" s="6"/>
      <c r="X10" s="2"/>
      <c r="Y10" s="3"/>
      <c r="Z10" s="6"/>
      <c r="AA10" s="2"/>
      <c r="AB10" s="3"/>
      <c r="AC10" s="6"/>
      <c r="AD10" s="2"/>
      <c r="AE10" s="3"/>
      <c r="AF10" s="45"/>
      <c r="AG10" s="2"/>
      <c r="AH10" s="3"/>
    </row>
    <row r="11" ht="22.5" customHeight="1" spans="1:34">
      <c r="A11" s="44"/>
      <c r="B11" s="37" t="s">
        <v>58</v>
      </c>
      <c r="C11" s="2"/>
      <c r="D11" s="2"/>
      <c r="E11" s="2"/>
      <c r="F11" s="2"/>
      <c r="G11" s="3"/>
      <c r="H11" s="7">
        <f ca="1">SUM(H9:J10)</f>
        <v>42</v>
      </c>
      <c r="I11" s="2"/>
      <c r="J11" s="3"/>
      <c r="K11" s="7">
        <f ca="1">SUM(K9:M10)</f>
        <v>30</v>
      </c>
      <c r="L11" s="2"/>
      <c r="M11" s="3"/>
      <c r="N11" s="7">
        <f ca="1">SUM(N9:P10)</f>
        <v>6</v>
      </c>
      <c r="O11" s="2"/>
      <c r="P11" s="3"/>
      <c r="Q11" s="7">
        <f ca="1">SUM(Q9:S10)</f>
        <v>78</v>
      </c>
      <c r="R11" s="2"/>
      <c r="S11" s="3"/>
      <c r="T11" s="7">
        <f ca="1">SUM(T9:V10)</f>
        <v>69</v>
      </c>
      <c r="U11" s="2"/>
      <c r="V11" s="3"/>
      <c r="W11" s="7">
        <f ca="1">SUM(W9:Y10)</f>
        <v>0</v>
      </c>
      <c r="X11" s="2"/>
      <c r="Y11" s="3"/>
      <c r="Z11" s="7">
        <f ca="1">SUM(Z9:AB10)</f>
        <v>3</v>
      </c>
      <c r="AA11" s="2"/>
      <c r="AB11" s="3"/>
      <c r="AC11" s="7">
        <f ca="1">SUM(AC9:AE10)</f>
        <v>6</v>
      </c>
      <c r="AD11" s="2"/>
      <c r="AE11" s="3"/>
      <c r="AF11" s="46">
        <f ca="1">IFERROR((T11+W11+AC11)/Q11,0)</f>
        <v>0.961538461538462</v>
      </c>
      <c r="AG11" s="2"/>
      <c r="AH11" s="3"/>
    </row>
    <row r="12" ht="22.5" customHeight="1" spans="1:34">
      <c r="A12" s="43" t="s">
        <v>70</v>
      </c>
    </row>
    <row r="13" ht="22.5" customHeight="1" spans="1:34">
      <c r="A13" s="44">
        <v>1</v>
      </c>
      <c r="B13" s="4" t="s">
        <v>69</v>
      </c>
      <c r="C13" s="2"/>
      <c r="D13" s="2"/>
      <c r="E13" s="2"/>
      <c r="F13" s="2"/>
      <c r="G13" s="3"/>
      <c r="H13" s="6">
        <f ca="1" t="array" ref="H13">INDIRECT("'"&amp;$B13&amp;"'!H8",TRUE)</f>
        <v>42</v>
      </c>
      <c r="I13" s="2"/>
      <c r="J13" s="3"/>
      <c r="K13" s="6">
        <f ca="1" t="array" ref="K13">INDIRECT("'"&amp;$B13&amp;"'!K8",TRUE)</f>
        <v>30</v>
      </c>
      <c r="L13" s="2"/>
      <c r="M13" s="3"/>
      <c r="N13" s="6">
        <f ca="1" t="array" ref="N13">INDIRECT("'"&amp;$B13&amp;"'!N8",TRUE)</f>
        <v>6</v>
      </c>
      <c r="O13" s="2"/>
      <c r="P13" s="3"/>
      <c r="Q13" s="6">
        <f ca="1" t="array" ref="Q13">INDIRECT("'"&amp;$B13&amp;"'!Q8",TRUE)</f>
        <v>78</v>
      </c>
      <c r="R13" s="2"/>
      <c r="S13" s="3"/>
      <c r="T13" s="6">
        <f ca="1" t="array" ref="T13">INDIRECT("'"&amp;$B13&amp;"'!T8",TRUE)</f>
        <v>72</v>
      </c>
      <c r="U13" s="2"/>
      <c r="V13" s="3"/>
      <c r="W13" s="6">
        <f ca="1" t="array" ref="W13">INDIRECT("'"&amp;$B13&amp;"'!W8",TRUE)</f>
        <v>0</v>
      </c>
      <c r="X13" s="2"/>
      <c r="Y13" s="3"/>
      <c r="Z13" s="6">
        <f ca="1" t="array" ref="Z13">INDIRECT("'"&amp;$B13&amp;"'!Z8",TRUE)</f>
        <v>0</v>
      </c>
      <c r="AA13" s="2"/>
      <c r="AB13" s="3"/>
      <c r="AC13" s="6">
        <f ca="1" t="array" ref="AC13">INDIRECT("'"&amp;$B13&amp;"'!AC8",TRUE)</f>
        <v>6</v>
      </c>
      <c r="AD13" s="2"/>
      <c r="AE13" s="3"/>
      <c r="AF13" s="45">
        <f ca="1">IFERROR((T13+W13+AC13)/Q13,0)</f>
        <v>1</v>
      </c>
      <c r="AG13" s="2"/>
      <c r="AH13" s="3"/>
    </row>
    <row r="14" ht="22.5" customHeight="1" spans="1:34">
      <c r="A14" s="44">
        <v>2</v>
      </c>
      <c r="B14" s="4"/>
      <c r="C14" s="2"/>
      <c r="D14" s="2"/>
      <c r="E14" s="2"/>
      <c r="F14" s="2"/>
      <c r="G14" s="3"/>
      <c r="H14" s="6"/>
      <c r="I14" s="2"/>
      <c r="J14" s="3"/>
      <c r="K14" s="6"/>
      <c r="L14" s="2"/>
      <c r="M14" s="3"/>
      <c r="N14" s="6"/>
      <c r="O14" s="2"/>
      <c r="P14" s="3"/>
      <c r="Q14" s="6"/>
      <c r="R14" s="2"/>
      <c r="S14" s="3"/>
      <c r="T14" s="6"/>
      <c r="U14" s="2"/>
      <c r="V14" s="3"/>
      <c r="W14" s="6"/>
      <c r="X14" s="2"/>
      <c r="Y14" s="3"/>
      <c r="Z14" s="6"/>
      <c r="AA14" s="2"/>
      <c r="AB14" s="3"/>
      <c r="AC14" s="6"/>
      <c r="AD14" s="2"/>
      <c r="AE14" s="3"/>
      <c r="AF14" s="45"/>
      <c r="AG14" s="2"/>
      <c r="AH14" s="3"/>
    </row>
    <row r="15" ht="22.5" customHeight="1" spans="1:34">
      <c r="A15" s="44"/>
      <c r="B15" s="37" t="s">
        <v>58</v>
      </c>
      <c r="C15" s="2"/>
      <c r="D15" s="2"/>
      <c r="E15" s="2"/>
      <c r="F15" s="2"/>
      <c r="G15" s="3"/>
      <c r="H15" s="7">
        <f ca="1">SUM(H13:J14)</f>
        <v>42</v>
      </c>
      <c r="I15" s="2"/>
      <c r="J15" s="3"/>
      <c r="K15" s="7">
        <f ca="1">SUM(K13:M14)</f>
        <v>30</v>
      </c>
      <c r="L15" s="2"/>
      <c r="M15" s="3"/>
      <c r="N15" s="7">
        <f ca="1">SUM(N13:P14)</f>
        <v>6</v>
      </c>
      <c r="O15" s="2"/>
      <c r="P15" s="3"/>
      <c r="Q15" s="7">
        <f ca="1">SUM(Q13:S14)</f>
        <v>78</v>
      </c>
      <c r="R15" s="2"/>
      <c r="S15" s="3"/>
      <c r="T15" s="7">
        <f ca="1">SUM(T13:V14)</f>
        <v>72</v>
      </c>
      <c r="U15" s="2"/>
      <c r="V15" s="3"/>
      <c r="W15" s="7">
        <f ca="1">SUM(W13:Y14)</f>
        <v>0</v>
      </c>
      <c r="X15" s="2"/>
      <c r="Y15" s="3"/>
      <c r="Z15" s="7">
        <f ca="1">SUM(Z13:AB14)</f>
        <v>0</v>
      </c>
      <c r="AA15" s="2"/>
      <c r="AB15" s="3"/>
      <c r="AC15" s="7">
        <f ca="1">SUM(AC13:AE14)</f>
        <v>6</v>
      </c>
      <c r="AD15" s="2"/>
      <c r="AE15" s="3"/>
      <c r="AF15" s="46">
        <f ca="1">IFERROR((T15+W15+AC15)/Q15,0)</f>
        <v>1</v>
      </c>
      <c r="AG15" s="2"/>
      <c r="AH1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A1:AH1"/>
    <mergeCell ref="A3:F3"/>
    <mergeCell ref="G3:O3"/>
    <mergeCell ref="P3:W3"/>
    <mergeCell ref="X3:AH3"/>
    <mergeCell ref="A4:F4"/>
    <mergeCell ref="G4:O4"/>
    <mergeCell ref="P4:W4"/>
    <mergeCell ref="X4:AH4"/>
    <mergeCell ref="H6:P6"/>
    <mergeCell ref="T6:AH6"/>
    <mergeCell ref="H7:J7"/>
    <mergeCell ref="K7:M7"/>
    <mergeCell ref="N7:P7"/>
    <mergeCell ref="T7:V7"/>
    <mergeCell ref="W7:Y7"/>
    <mergeCell ref="Z7:AB7"/>
    <mergeCell ref="AC7:AE7"/>
    <mergeCell ref="AF7:AH7"/>
    <mergeCell ref="B9:G9"/>
    <mergeCell ref="H9:J9"/>
    <mergeCell ref="K9:M9"/>
    <mergeCell ref="N9:P9"/>
    <mergeCell ref="Q9:S9"/>
    <mergeCell ref="T9:V9"/>
    <mergeCell ref="W9:Y9"/>
    <mergeCell ref="Z9:AB9"/>
    <mergeCell ref="AC9:AE9"/>
    <mergeCell ref="AF9:AH9"/>
    <mergeCell ref="B10:G10"/>
    <mergeCell ref="H10:J10"/>
    <mergeCell ref="K10:M10"/>
    <mergeCell ref="N10:P10"/>
    <mergeCell ref="Q10:S10"/>
    <mergeCell ref="T10:V10"/>
    <mergeCell ref="W10:Y10"/>
    <mergeCell ref="Z10:AB10"/>
    <mergeCell ref="AC10:AE10"/>
    <mergeCell ref="AF10:AH10"/>
    <mergeCell ref="B11:G11"/>
    <mergeCell ref="H11:J11"/>
    <mergeCell ref="K11:M11"/>
    <mergeCell ref="N11:P11"/>
    <mergeCell ref="Q11:S11"/>
    <mergeCell ref="T11:V11"/>
    <mergeCell ref="W11:Y11"/>
    <mergeCell ref="Z11:AB11"/>
    <mergeCell ref="AC11:AE11"/>
    <mergeCell ref="AF11:AH11"/>
    <mergeCell ref="B13:G13"/>
    <mergeCell ref="H13:J13"/>
    <mergeCell ref="K13:M13"/>
    <mergeCell ref="N13:P13"/>
    <mergeCell ref="Q13:S13"/>
    <mergeCell ref="T13:V13"/>
    <mergeCell ref="W13:Y13"/>
    <mergeCell ref="Z13:AB13"/>
    <mergeCell ref="AC13:AE13"/>
    <mergeCell ref="AF13:AH13"/>
    <mergeCell ref="B14:G14"/>
    <mergeCell ref="H14:J14"/>
    <mergeCell ref="K14:M14"/>
    <mergeCell ref="N14:P14"/>
    <mergeCell ref="Q14:S14"/>
    <mergeCell ref="T14:V14"/>
    <mergeCell ref="W14:Y14"/>
    <mergeCell ref="Z14:AB14"/>
    <mergeCell ref="AC14:AE14"/>
    <mergeCell ref="AF14:AH14"/>
    <mergeCell ref="B15:G15"/>
    <mergeCell ref="H15:J15"/>
    <mergeCell ref="K15:M15"/>
    <mergeCell ref="N15:P15"/>
    <mergeCell ref="Q15:S15"/>
    <mergeCell ref="T15:V15"/>
    <mergeCell ref="W15:Y15"/>
    <mergeCell ref="Z15:AB15"/>
    <mergeCell ref="AC15:AE15"/>
    <mergeCell ref="AF15:AH15"/>
    <mergeCell ref="A6:A7"/>
    <mergeCell ref="B6:G7"/>
    <mergeCell ref="Q6:S7"/>
  </mergeCells>
  <pageMargins left="0.75" right="0.75" top="1" bottom="1"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8" t="s">
        <v>19</v>
      </c>
      <c r="B1" s="2"/>
      <c r="C1" s="2"/>
      <c r="D1" s="2"/>
      <c r="E1" s="2"/>
      <c r="F1" s="2"/>
      <c r="G1" s="2"/>
      <c r="H1" s="2"/>
      <c r="I1" s="3"/>
      <c r="J1" s="28" t="s">
        <v>20</v>
      </c>
      <c r="K1" s="2"/>
      <c r="L1" s="2"/>
      <c r="M1" s="2"/>
      <c r="N1" s="2"/>
      <c r="O1" s="2"/>
      <c r="P1" s="3"/>
      <c r="Q1" s="28" t="s">
        <v>21</v>
      </c>
      <c r="R1" s="2"/>
      <c r="S1" s="2"/>
      <c r="T1" s="2"/>
      <c r="U1" s="3"/>
      <c r="V1" s="28" t="s">
        <v>22</v>
      </c>
      <c r="W1" s="2"/>
      <c r="X1" s="2"/>
      <c r="Y1" s="3"/>
      <c r="Z1" s="28" t="s">
        <v>23</v>
      </c>
      <c r="AA1" s="2"/>
      <c r="AB1" s="2"/>
      <c r="AC1" s="3"/>
      <c r="AD1" s="28" t="s">
        <v>24</v>
      </c>
      <c r="AE1" s="2"/>
      <c r="AF1" s="2"/>
      <c r="AG1" s="3"/>
      <c r="AH1" s="28" t="s">
        <v>25</v>
      </c>
      <c r="AI1" s="2"/>
      <c r="AJ1" s="2"/>
      <c r="AK1" s="3"/>
    </row>
    <row r="2" ht="19.5" customHeight="1" spans="1:37">
      <c r="A2" s="29" t="s">
        <v>0</v>
      </c>
      <c r="B2" s="10"/>
      <c r="C2" s="10"/>
      <c r="D2" s="10"/>
      <c r="E2" s="10"/>
      <c r="F2" s="10"/>
      <c r="G2" s="10"/>
      <c r="H2" s="10"/>
      <c r="I2" s="11"/>
      <c r="J2" s="29" t="s">
        <v>26</v>
      </c>
      <c r="K2" s="10"/>
      <c r="L2" s="10"/>
      <c r="M2" s="10"/>
      <c r="N2" s="10"/>
      <c r="O2" s="10"/>
      <c r="P2" s="11"/>
      <c r="Q2" s="29" t="s">
        <v>71</v>
      </c>
      <c r="R2" s="10"/>
      <c r="S2" s="10"/>
      <c r="T2" s="10"/>
      <c r="U2" s="11"/>
      <c r="V2" s="30" t="s">
        <v>8</v>
      </c>
      <c r="W2" s="10"/>
      <c r="X2" s="10"/>
      <c r="Y2" s="11"/>
      <c r="Z2" s="29" t="s">
        <v>16</v>
      </c>
      <c r="AA2" s="10"/>
      <c r="AB2" s="10"/>
      <c r="AC2" s="11"/>
      <c r="AD2" s="30" t="s">
        <v>8</v>
      </c>
      <c r="AE2" s="10"/>
      <c r="AF2" s="10"/>
      <c r="AG2" s="11"/>
      <c r="AH2" s="29"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31" t="s">
        <v>72</v>
      </c>
    </row>
    <row r="7" ht="28.5" customHeight="1" spans="1:37">
      <c r="B7" s="32" t="s">
        <v>55</v>
      </c>
      <c r="C7" s="1" t="s">
        <v>73</v>
      </c>
      <c r="D7" s="2"/>
      <c r="E7" s="3"/>
      <c r="F7" s="1" t="s">
        <v>74</v>
      </c>
      <c r="G7" s="2"/>
      <c r="H7" s="2"/>
      <c r="I7" s="2"/>
      <c r="J7" s="2"/>
      <c r="K7" s="2"/>
      <c r="L7" s="3"/>
      <c r="M7" s="1" t="s">
        <v>75</v>
      </c>
      <c r="N7" s="2"/>
      <c r="O7" s="2"/>
      <c r="P7" s="2"/>
      <c r="Q7" s="2"/>
      <c r="R7" s="2"/>
      <c r="S7" s="2"/>
      <c r="T7" s="3"/>
      <c r="U7" s="1" t="s">
        <v>76</v>
      </c>
      <c r="V7" s="3"/>
      <c r="W7" s="1" t="s">
        <v>77</v>
      </c>
      <c r="X7" s="2"/>
      <c r="Y7" s="2"/>
      <c r="Z7" s="2"/>
      <c r="AA7" s="2"/>
      <c r="AB7" s="2"/>
      <c r="AC7" s="3"/>
      <c r="AD7" s="1" t="s">
        <v>78</v>
      </c>
      <c r="AE7" s="2"/>
      <c r="AF7" s="3"/>
    </row>
    <row r="8" ht="30" customHeight="1" spans="1:37">
      <c r="B8" s="17">
        <v>1</v>
      </c>
      <c r="C8" s="19" t="s">
        <v>79</v>
      </c>
      <c r="D8" s="2"/>
      <c r="E8" s="3"/>
      <c r="F8" s="18" t="s">
        <v>80</v>
      </c>
      <c r="G8" s="2"/>
      <c r="H8" s="2"/>
      <c r="I8" s="2"/>
      <c r="J8" s="2"/>
      <c r="K8" s="2"/>
      <c r="L8" s="3"/>
      <c r="M8" s="18" t="s">
        <v>81</v>
      </c>
      <c r="N8" s="2"/>
      <c r="O8" s="2"/>
      <c r="P8" s="2"/>
      <c r="Q8" s="2"/>
      <c r="R8" s="2"/>
      <c r="S8" s="2"/>
      <c r="T8" s="3"/>
      <c r="U8" s="33" t="s">
        <v>82</v>
      </c>
      <c r="V8" s="3"/>
      <c r="W8" s="18" t="s">
        <v>83</v>
      </c>
      <c r="X8" s="2"/>
      <c r="Y8" s="2"/>
      <c r="Z8" s="2"/>
      <c r="AA8" s="2"/>
      <c r="AB8" s="2"/>
      <c r="AC8" s="3"/>
      <c r="AD8" s="19">
        <v>265</v>
      </c>
      <c r="AE8" s="2"/>
      <c r="AF8" s="3"/>
    </row>
    <row r="9" ht="30" customHeight="1" spans="1:37">
      <c r="B9" s="17">
        <v>2</v>
      </c>
      <c r="C9" s="19" t="s">
        <v>84</v>
      </c>
      <c r="D9" s="2"/>
      <c r="E9" s="3"/>
      <c r="F9" s="18" t="s">
        <v>80</v>
      </c>
      <c r="G9" s="2"/>
      <c r="H9" s="2"/>
      <c r="I9" s="2"/>
      <c r="J9" s="2"/>
      <c r="K9" s="2"/>
      <c r="L9" s="3"/>
      <c r="M9" s="18" t="s">
        <v>85</v>
      </c>
      <c r="N9" s="2"/>
      <c r="O9" s="2"/>
      <c r="P9" s="2"/>
      <c r="Q9" s="2"/>
      <c r="R9" s="2"/>
      <c r="S9" s="2"/>
      <c r="T9" s="3"/>
      <c r="U9" s="33" t="s">
        <v>82</v>
      </c>
      <c r="V9" s="3"/>
      <c r="W9" s="18" t="s">
        <v>86</v>
      </c>
      <c r="X9" s="2"/>
      <c r="Y9" s="2"/>
      <c r="Z9" s="2"/>
      <c r="AA9" s="2"/>
      <c r="AB9" s="2"/>
      <c r="AC9" s="3"/>
      <c r="AD9" s="19">
        <v>200</v>
      </c>
      <c r="AE9" s="2"/>
      <c r="AF9" s="3"/>
    </row>
    <row r="10" ht="36" customHeight="1" spans="1:37">
      <c r="B10" s="17">
        <v>3</v>
      </c>
      <c r="C10" s="19" t="s">
        <v>87</v>
      </c>
      <c r="D10" s="2"/>
      <c r="E10" s="3"/>
      <c r="F10" s="18" t="s">
        <v>80</v>
      </c>
      <c r="G10" s="2"/>
      <c r="H10" s="2"/>
      <c r="I10" s="2"/>
      <c r="J10" s="2"/>
      <c r="K10" s="2"/>
      <c r="L10" s="3"/>
      <c r="M10" s="18" t="s">
        <v>88</v>
      </c>
      <c r="N10" s="2"/>
      <c r="O10" s="2"/>
      <c r="P10" s="2"/>
      <c r="Q10" s="2"/>
      <c r="R10" s="2"/>
      <c r="S10" s="2"/>
      <c r="T10" s="3"/>
      <c r="U10" s="33" t="s">
        <v>82</v>
      </c>
      <c r="V10" s="3"/>
      <c r="W10" s="18" t="s">
        <v>89</v>
      </c>
      <c r="X10" s="2"/>
      <c r="Y10" s="2"/>
      <c r="Z10" s="2"/>
      <c r="AA10" s="2"/>
      <c r="AB10" s="2"/>
      <c r="AC10" s="3"/>
      <c r="AD10" s="19">
        <v>50</v>
      </c>
      <c r="AE10" s="2"/>
      <c r="AF10" s="3"/>
    </row>
    <row r="11" ht="30" customHeight="1" spans="1:37">
      <c r="B11" s="17">
        <v>4</v>
      </c>
      <c r="C11" s="19" t="s">
        <v>90</v>
      </c>
      <c r="D11" s="2"/>
      <c r="E11" s="3"/>
      <c r="F11" s="18" t="s">
        <v>80</v>
      </c>
      <c r="G11" s="2"/>
      <c r="H11" s="2"/>
      <c r="I11" s="2"/>
      <c r="J11" s="2"/>
      <c r="K11" s="2"/>
      <c r="L11" s="3"/>
      <c r="M11" s="18" t="s">
        <v>91</v>
      </c>
      <c r="N11" s="2"/>
      <c r="O11" s="2"/>
      <c r="P11" s="2"/>
      <c r="Q11" s="2"/>
      <c r="R11" s="2"/>
      <c r="S11" s="2"/>
      <c r="T11" s="3"/>
      <c r="U11" s="33" t="s">
        <v>82</v>
      </c>
      <c r="V11" s="3"/>
      <c r="W11" s="18" t="s">
        <v>83</v>
      </c>
      <c r="X11" s="2"/>
      <c r="Y11" s="2"/>
      <c r="Z11" s="2"/>
      <c r="AA11" s="2"/>
      <c r="AB11" s="2"/>
      <c r="AC11" s="3"/>
      <c r="AD11" s="19">
        <v>75</v>
      </c>
      <c r="AE11" s="2"/>
      <c r="AF11" s="3"/>
    </row>
    <row r="12" ht="30" customHeight="1" spans="1:37">
      <c r="B12" s="17">
        <v>5</v>
      </c>
      <c r="C12" s="19" t="s">
        <v>92</v>
      </c>
      <c r="D12" s="2"/>
      <c r="E12" s="3"/>
      <c r="F12" s="18" t="s">
        <v>80</v>
      </c>
      <c r="G12" s="2"/>
      <c r="H12" s="2"/>
      <c r="I12" s="2"/>
      <c r="J12" s="2"/>
      <c r="K12" s="2"/>
      <c r="L12" s="3"/>
      <c r="M12" s="18" t="s">
        <v>93</v>
      </c>
      <c r="N12" s="2"/>
      <c r="O12" s="2"/>
      <c r="P12" s="2"/>
      <c r="Q12" s="2"/>
      <c r="R12" s="2"/>
      <c r="S12" s="2"/>
      <c r="T12" s="3"/>
      <c r="U12" s="33" t="s">
        <v>82</v>
      </c>
      <c r="V12" s="3"/>
      <c r="W12" s="18" t="s">
        <v>94</v>
      </c>
      <c r="X12" s="2"/>
      <c r="Y12" s="2"/>
      <c r="Z12" s="2"/>
      <c r="AA12" s="2"/>
      <c r="AB12" s="2"/>
      <c r="AC12" s="3"/>
      <c r="AD12" s="19">
        <v>30</v>
      </c>
      <c r="AE12" s="2"/>
      <c r="AF12" s="3"/>
    </row>
    <row r="13" ht="30" customHeight="1" spans="1:37">
      <c r="B13" s="17">
        <v>6</v>
      </c>
      <c r="C13" s="19" t="s">
        <v>95</v>
      </c>
      <c r="D13" s="2"/>
      <c r="E13" s="3"/>
      <c r="F13" s="18" t="s">
        <v>80</v>
      </c>
      <c r="G13" s="2"/>
      <c r="H13" s="2"/>
      <c r="I13" s="2"/>
      <c r="J13" s="2"/>
      <c r="K13" s="2"/>
      <c r="L13" s="3"/>
      <c r="M13" s="18" t="s">
        <v>96</v>
      </c>
      <c r="N13" s="2"/>
      <c r="O13" s="2"/>
      <c r="P13" s="2"/>
      <c r="Q13" s="2"/>
      <c r="R13" s="2"/>
      <c r="S13" s="2"/>
      <c r="T13" s="3"/>
      <c r="U13" s="33" t="s">
        <v>82</v>
      </c>
      <c r="V13" s="3"/>
      <c r="W13" s="18" t="s">
        <v>97</v>
      </c>
      <c r="X13" s="2"/>
      <c r="Y13" s="2"/>
      <c r="Z13" s="2"/>
      <c r="AA13" s="2"/>
      <c r="AB13" s="2"/>
      <c r="AC13" s="3"/>
      <c r="AD13" s="19">
        <v>50</v>
      </c>
      <c r="AE13" s="2"/>
      <c r="AF13" s="3"/>
    </row>
    <row r="14" ht="30" customHeight="1" spans="1:37">
      <c r="B14" s="17">
        <v>7</v>
      </c>
      <c r="C14" s="19" t="s">
        <v>98</v>
      </c>
      <c r="D14" s="2"/>
      <c r="E14" s="3"/>
      <c r="F14" s="18" t="s">
        <v>80</v>
      </c>
      <c r="G14" s="2"/>
      <c r="H14" s="2"/>
      <c r="I14" s="2"/>
      <c r="J14" s="2"/>
      <c r="K14" s="2"/>
      <c r="L14" s="3"/>
      <c r="M14" s="18" t="s">
        <v>99</v>
      </c>
      <c r="N14" s="2"/>
      <c r="O14" s="2"/>
      <c r="P14" s="2"/>
      <c r="Q14" s="2"/>
      <c r="R14" s="2"/>
      <c r="S14" s="2"/>
      <c r="T14" s="3"/>
      <c r="U14" s="33" t="s">
        <v>82</v>
      </c>
      <c r="V14" s="3"/>
      <c r="W14" s="18" t="s">
        <v>94</v>
      </c>
      <c r="X14" s="2"/>
      <c r="Y14" s="2"/>
      <c r="Z14" s="2"/>
      <c r="AA14" s="2"/>
      <c r="AB14" s="2"/>
      <c r="AC14" s="3"/>
      <c r="AD14" s="19">
        <v>10</v>
      </c>
      <c r="AE14" s="2"/>
      <c r="AF14" s="3"/>
    </row>
    <row r="15" ht="30" customHeight="1" spans="1:37">
      <c r="B15" s="17">
        <v>8</v>
      </c>
      <c r="C15" s="19" t="s">
        <v>100</v>
      </c>
      <c r="D15" s="2"/>
      <c r="E15" s="3"/>
      <c r="F15" s="18" t="s">
        <v>80</v>
      </c>
      <c r="G15" s="2"/>
      <c r="H15" s="2"/>
      <c r="I15" s="2"/>
      <c r="J15" s="2"/>
      <c r="K15" s="2"/>
      <c r="L15" s="3"/>
      <c r="M15" s="18" t="s">
        <v>101</v>
      </c>
      <c r="N15" s="2"/>
      <c r="O15" s="2"/>
      <c r="P15" s="2"/>
      <c r="Q15" s="2"/>
      <c r="R15" s="2"/>
      <c r="S15" s="2"/>
      <c r="T15" s="3"/>
      <c r="U15" s="34" t="s">
        <v>102</v>
      </c>
      <c r="V15" s="3"/>
      <c r="W15" s="18" t="s">
        <v>103</v>
      </c>
      <c r="X15" s="2"/>
      <c r="Y15" s="2"/>
      <c r="Z15" s="2"/>
      <c r="AA15" s="2"/>
      <c r="AB15" s="2"/>
      <c r="AC15" s="3"/>
      <c r="AD15" s="19">
        <v>20</v>
      </c>
      <c r="AE15" s="2"/>
      <c r="AF15" s="3"/>
    </row>
    <row r="16" ht="30" customHeight="1" spans="1:37">
      <c r="B16" s="17">
        <v>9</v>
      </c>
      <c r="C16" s="19" t="s">
        <v>104</v>
      </c>
      <c r="D16" s="2"/>
      <c r="E16" s="3"/>
      <c r="F16" s="18" t="s">
        <v>80</v>
      </c>
      <c r="G16" s="2"/>
      <c r="H16" s="2"/>
      <c r="I16" s="2"/>
      <c r="J16" s="2"/>
      <c r="K16" s="2"/>
      <c r="L16" s="3"/>
      <c r="M16" s="18" t="s">
        <v>105</v>
      </c>
      <c r="N16" s="2"/>
      <c r="O16" s="2"/>
      <c r="P16" s="2"/>
      <c r="Q16" s="2"/>
      <c r="R16" s="2"/>
      <c r="S16" s="2"/>
      <c r="T16" s="3"/>
      <c r="U16" s="33" t="s">
        <v>82</v>
      </c>
      <c r="V16" s="3"/>
      <c r="W16" s="18" t="s">
        <v>106</v>
      </c>
      <c r="X16" s="2"/>
      <c r="Y16" s="2"/>
      <c r="Z16" s="2"/>
      <c r="AA16" s="2"/>
      <c r="AB16" s="2"/>
      <c r="AC16" s="3"/>
      <c r="AD16" s="19">
        <v>8</v>
      </c>
      <c r="AE16" s="2"/>
      <c r="AF16" s="3"/>
    </row>
    <row r="17" ht="30" customHeight="1" spans="2:32">
      <c r="B17" s="17">
        <v>10</v>
      </c>
      <c r="C17" s="19" t="s">
        <v>107</v>
      </c>
      <c r="D17" s="2"/>
      <c r="E17" s="3"/>
      <c r="F17" s="18" t="s">
        <v>80</v>
      </c>
      <c r="G17" s="2"/>
      <c r="H17" s="2"/>
      <c r="I17" s="2"/>
      <c r="J17" s="2"/>
      <c r="K17" s="2"/>
      <c r="L17" s="3"/>
      <c r="M17" s="18" t="s">
        <v>108</v>
      </c>
      <c r="N17" s="2"/>
      <c r="O17" s="2"/>
      <c r="P17" s="2"/>
      <c r="Q17" s="2"/>
      <c r="R17" s="2"/>
      <c r="S17" s="2"/>
      <c r="T17" s="3"/>
      <c r="U17" s="33" t="s">
        <v>82</v>
      </c>
      <c r="V17" s="3"/>
      <c r="W17" s="18" t="s">
        <v>109</v>
      </c>
      <c r="X17" s="2"/>
      <c r="Y17" s="2"/>
      <c r="Z17" s="2"/>
      <c r="AA17" s="2"/>
      <c r="AB17" s="2"/>
      <c r="AC17" s="3"/>
      <c r="AD17" s="19">
        <v>30</v>
      </c>
      <c r="AE17" s="2"/>
      <c r="AF17" s="3"/>
    </row>
    <row r="18" ht="30" customHeight="1" spans="2:32">
      <c r="B18" s="17">
        <v>11</v>
      </c>
      <c r="C18" s="19" t="s">
        <v>110</v>
      </c>
      <c r="D18" s="2"/>
      <c r="E18" s="3"/>
      <c r="F18" s="18" t="s">
        <v>111</v>
      </c>
      <c r="G18" s="2"/>
      <c r="H18" s="2"/>
      <c r="I18" s="2"/>
      <c r="J18" s="2"/>
      <c r="K18" s="2"/>
      <c r="L18" s="3"/>
      <c r="M18" s="18" t="s">
        <v>112</v>
      </c>
      <c r="N18" s="2"/>
      <c r="O18" s="2"/>
      <c r="P18" s="2"/>
      <c r="Q18" s="2"/>
      <c r="R18" s="2"/>
      <c r="S18" s="2"/>
      <c r="T18" s="3"/>
      <c r="U18" s="34" t="s">
        <v>102</v>
      </c>
      <c r="V18" s="3"/>
      <c r="W18" s="18" t="s">
        <v>113</v>
      </c>
      <c r="X18" s="2"/>
      <c r="Y18" s="2"/>
      <c r="Z18" s="2"/>
      <c r="AA18" s="2"/>
      <c r="AB18" s="2"/>
      <c r="AC18" s="3"/>
      <c r="AD18" s="19">
        <v>100</v>
      </c>
      <c r="AE18" s="2"/>
      <c r="AF18" s="3"/>
    </row>
    <row r="19" ht="30" customHeight="1" spans="2:32">
      <c r="B19" s="17">
        <v>12</v>
      </c>
      <c r="C19" s="19" t="s">
        <v>114</v>
      </c>
      <c r="D19" s="2"/>
      <c r="E19" s="3"/>
      <c r="F19" s="18" t="s">
        <v>111</v>
      </c>
      <c r="G19" s="2"/>
      <c r="H19" s="2"/>
      <c r="I19" s="2"/>
      <c r="J19" s="2"/>
      <c r="K19" s="2"/>
      <c r="L19" s="3"/>
      <c r="M19" s="18" t="s">
        <v>115</v>
      </c>
      <c r="N19" s="2"/>
      <c r="O19" s="2"/>
      <c r="P19" s="2"/>
      <c r="Q19" s="2"/>
      <c r="R19" s="2"/>
      <c r="S19" s="2"/>
      <c r="T19" s="3"/>
      <c r="U19" s="34" t="s">
        <v>102</v>
      </c>
      <c r="V19" s="3"/>
      <c r="W19" s="18" t="s">
        <v>113</v>
      </c>
      <c r="X19" s="2"/>
      <c r="Y19" s="2"/>
      <c r="Z19" s="2"/>
      <c r="AA19" s="2"/>
      <c r="AB19" s="2"/>
      <c r="AC19" s="3"/>
      <c r="AD19" s="19">
        <v>80</v>
      </c>
      <c r="AE19" s="2"/>
      <c r="AF19" s="3"/>
    </row>
    <row r="20" ht="30" customHeight="1" spans="2:32">
      <c r="B20" s="17">
        <v>13</v>
      </c>
      <c r="C20" s="19" t="s">
        <v>116</v>
      </c>
      <c r="D20" s="2"/>
      <c r="E20" s="3"/>
      <c r="F20" s="18" t="s">
        <v>111</v>
      </c>
      <c r="G20" s="2"/>
      <c r="H20" s="2"/>
      <c r="I20" s="2"/>
      <c r="J20" s="2"/>
      <c r="K20" s="2"/>
      <c r="L20" s="3"/>
      <c r="M20" s="18" t="s">
        <v>117</v>
      </c>
      <c r="N20" s="2"/>
      <c r="O20" s="2"/>
      <c r="P20" s="2"/>
      <c r="Q20" s="2"/>
      <c r="R20" s="2"/>
      <c r="S20" s="2"/>
      <c r="T20" s="3"/>
      <c r="U20" s="34" t="s">
        <v>102</v>
      </c>
      <c r="V20" s="3"/>
      <c r="W20" s="18" t="s">
        <v>97</v>
      </c>
      <c r="X20" s="2"/>
      <c r="Y20" s="2"/>
      <c r="Z20" s="2"/>
      <c r="AA20" s="2"/>
      <c r="AB20" s="2"/>
      <c r="AC20" s="3"/>
      <c r="AD20" s="19">
        <v>60</v>
      </c>
      <c r="AE20" s="2"/>
      <c r="AF20" s="3"/>
    </row>
    <row r="21" ht="30" customHeight="1" spans="2:32">
      <c r="B21" s="17">
        <v>14</v>
      </c>
      <c r="C21" s="19" t="s">
        <v>118</v>
      </c>
      <c r="D21" s="2"/>
      <c r="E21" s="3"/>
      <c r="F21" s="18" t="s">
        <v>111</v>
      </c>
      <c r="G21" s="2"/>
      <c r="H21" s="2"/>
      <c r="I21" s="2"/>
      <c r="J21" s="2"/>
      <c r="K21" s="2"/>
      <c r="L21" s="3"/>
      <c r="M21" s="18" t="s">
        <v>119</v>
      </c>
      <c r="N21" s="2"/>
      <c r="O21" s="2"/>
      <c r="P21" s="2"/>
      <c r="Q21" s="2"/>
      <c r="R21" s="2"/>
      <c r="S21" s="2"/>
      <c r="T21" s="3"/>
      <c r="U21" s="34" t="s">
        <v>102</v>
      </c>
      <c r="V21" s="3"/>
      <c r="W21" s="18" t="s">
        <v>113</v>
      </c>
      <c r="X21" s="2"/>
      <c r="Y21" s="2"/>
      <c r="Z21" s="2"/>
      <c r="AA21" s="2"/>
      <c r="AB21" s="2"/>
      <c r="AC21" s="3"/>
      <c r="AD21" s="19">
        <v>50</v>
      </c>
      <c r="AE21" s="2"/>
      <c r="AF21" s="3"/>
    </row>
    <row r="22" ht="30" customHeight="1" spans="2:32">
      <c r="B22" s="17">
        <v>15</v>
      </c>
      <c r="C22" s="19" t="s">
        <v>120</v>
      </c>
      <c r="D22" s="2"/>
      <c r="E22" s="3"/>
      <c r="F22" s="18" t="s">
        <v>111</v>
      </c>
      <c r="G22" s="2"/>
      <c r="H22" s="2"/>
      <c r="I22" s="2"/>
      <c r="J22" s="2"/>
      <c r="K22" s="2"/>
      <c r="L22" s="3"/>
      <c r="M22" s="18" t="s">
        <v>121</v>
      </c>
      <c r="N22" s="2"/>
      <c r="O22" s="2"/>
      <c r="P22" s="2"/>
      <c r="Q22" s="2"/>
      <c r="R22" s="2"/>
      <c r="S22" s="2"/>
      <c r="T22" s="3"/>
      <c r="U22" s="34" t="s">
        <v>102</v>
      </c>
      <c r="V22" s="3"/>
      <c r="W22" s="18" t="s">
        <v>122</v>
      </c>
      <c r="X22" s="2"/>
      <c r="Y22" s="2"/>
      <c r="Z22" s="2"/>
      <c r="AA22" s="2"/>
      <c r="AB22" s="2"/>
      <c r="AC22" s="3"/>
      <c r="AD22" s="19">
        <v>30</v>
      </c>
      <c r="AE22" s="2"/>
      <c r="AF22" s="3"/>
    </row>
    <row r="23" ht="30" customHeight="1" spans="2:32">
      <c r="B23" s="17">
        <v>16</v>
      </c>
      <c r="C23" s="19" t="s">
        <v>123</v>
      </c>
      <c r="D23" s="2"/>
      <c r="E23" s="3"/>
      <c r="F23" s="18" t="s">
        <v>111</v>
      </c>
      <c r="G23" s="2"/>
      <c r="H23" s="2"/>
      <c r="I23" s="2"/>
      <c r="J23" s="2"/>
      <c r="K23" s="2"/>
      <c r="L23" s="3"/>
      <c r="M23" s="18" t="s">
        <v>124</v>
      </c>
      <c r="N23" s="2"/>
      <c r="O23" s="2"/>
      <c r="P23" s="2"/>
      <c r="Q23" s="2"/>
      <c r="R23" s="2"/>
      <c r="S23" s="2"/>
      <c r="T23" s="3"/>
      <c r="U23" s="33" t="s">
        <v>82</v>
      </c>
      <c r="V23" s="3"/>
      <c r="W23" s="18" t="s">
        <v>125</v>
      </c>
      <c r="X23" s="2"/>
      <c r="Y23" s="2"/>
      <c r="Z23" s="2"/>
      <c r="AA23" s="2"/>
      <c r="AB23" s="2"/>
      <c r="AC23" s="3"/>
      <c r="AD23" s="19">
        <v>15</v>
      </c>
      <c r="AE23" s="2"/>
      <c r="AF23" s="3"/>
    </row>
    <row r="24" ht="36" customHeight="1" spans="2:32">
      <c r="B24" s="17">
        <v>17</v>
      </c>
      <c r="C24" s="19" t="s">
        <v>126</v>
      </c>
      <c r="D24" s="2"/>
      <c r="E24" s="3"/>
      <c r="F24" s="18" t="s">
        <v>111</v>
      </c>
      <c r="G24" s="2"/>
      <c r="H24" s="2"/>
      <c r="I24" s="2"/>
      <c r="J24" s="2"/>
      <c r="K24" s="2"/>
      <c r="L24" s="3"/>
      <c r="M24" s="18" t="s">
        <v>127</v>
      </c>
      <c r="N24" s="2"/>
      <c r="O24" s="2"/>
      <c r="P24" s="2"/>
      <c r="Q24" s="2"/>
      <c r="R24" s="2"/>
      <c r="S24" s="2"/>
      <c r="T24" s="3"/>
      <c r="U24" s="34" t="s">
        <v>102</v>
      </c>
      <c r="V24" s="3"/>
      <c r="W24" s="18" t="s">
        <v>128</v>
      </c>
      <c r="X24" s="2"/>
      <c r="Y24" s="2"/>
      <c r="Z24" s="2"/>
      <c r="AA24" s="2"/>
      <c r="AB24" s="2"/>
      <c r="AC24" s="3"/>
      <c r="AD24" s="19">
        <v>45</v>
      </c>
      <c r="AE24" s="2"/>
      <c r="AF24" s="3"/>
    </row>
    <row r="25" ht="30" customHeight="1" spans="2:32">
      <c r="B25" s="17">
        <v>18</v>
      </c>
      <c r="C25" s="19" t="s">
        <v>129</v>
      </c>
      <c r="D25" s="2"/>
      <c r="E25" s="3"/>
      <c r="F25" s="18" t="s">
        <v>111</v>
      </c>
      <c r="G25" s="2"/>
      <c r="H25" s="2"/>
      <c r="I25" s="2"/>
      <c r="J25" s="2"/>
      <c r="K25" s="2"/>
      <c r="L25" s="3"/>
      <c r="M25" s="18" t="s">
        <v>130</v>
      </c>
      <c r="N25" s="2"/>
      <c r="O25" s="2"/>
      <c r="P25" s="2"/>
      <c r="Q25" s="2"/>
      <c r="R25" s="2"/>
      <c r="S25" s="2"/>
      <c r="T25" s="3"/>
      <c r="U25" s="34" t="s">
        <v>102</v>
      </c>
      <c r="V25" s="3"/>
      <c r="W25" s="18" t="s">
        <v>131</v>
      </c>
      <c r="X25" s="2"/>
      <c r="Y25" s="2"/>
      <c r="Z25" s="2"/>
      <c r="AA25" s="2"/>
      <c r="AB25" s="2"/>
      <c r="AC25" s="3"/>
      <c r="AD25" s="19">
        <v>30</v>
      </c>
      <c r="AE25" s="2"/>
      <c r="AF25" s="3"/>
    </row>
    <row r="26" ht="36" customHeight="1" spans="2:32">
      <c r="B26" s="17">
        <v>19</v>
      </c>
      <c r="C26" s="19" t="s">
        <v>132</v>
      </c>
      <c r="D26" s="2"/>
      <c r="E26" s="3"/>
      <c r="F26" s="18" t="s">
        <v>111</v>
      </c>
      <c r="G26" s="2"/>
      <c r="H26" s="2"/>
      <c r="I26" s="2"/>
      <c r="J26" s="2"/>
      <c r="K26" s="2"/>
      <c r="L26" s="3"/>
      <c r="M26" s="18" t="s">
        <v>133</v>
      </c>
      <c r="N26" s="2"/>
      <c r="O26" s="2"/>
      <c r="P26" s="2"/>
      <c r="Q26" s="2"/>
      <c r="R26" s="2"/>
      <c r="S26" s="2"/>
      <c r="T26" s="3"/>
      <c r="U26" s="34" t="s">
        <v>102</v>
      </c>
      <c r="V26" s="3"/>
      <c r="W26" s="18" t="s">
        <v>134</v>
      </c>
      <c r="X26" s="2"/>
      <c r="Y26" s="2"/>
      <c r="Z26" s="2"/>
      <c r="AA26" s="2"/>
      <c r="AB26" s="2"/>
      <c r="AC26" s="3"/>
      <c r="AD26" s="19">
        <v>25</v>
      </c>
      <c r="AE26" s="2"/>
      <c r="AF26" s="3"/>
    </row>
    <row r="27" ht="30" customHeight="1" spans="2:32">
      <c r="B27" s="17">
        <v>20</v>
      </c>
      <c r="C27" s="19" t="s">
        <v>135</v>
      </c>
      <c r="D27" s="2"/>
      <c r="E27" s="3"/>
      <c r="F27" s="18" t="s">
        <v>136</v>
      </c>
      <c r="G27" s="2"/>
      <c r="H27" s="2"/>
      <c r="I27" s="2"/>
      <c r="J27" s="2"/>
      <c r="K27" s="2"/>
      <c r="L27" s="3"/>
      <c r="M27" s="18" t="s">
        <v>137</v>
      </c>
      <c r="N27" s="2"/>
      <c r="O27" s="2"/>
      <c r="P27" s="2"/>
      <c r="Q27" s="2"/>
      <c r="R27" s="2"/>
      <c r="S27" s="2"/>
      <c r="T27" s="3"/>
      <c r="U27" s="33" t="s">
        <v>82</v>
      </c>
      <c r="V27" s="3"/>
      <c r="W27" s="18" t="s">
        <v>131</v>
      </c>
      <c r="X27" s="2"/>
      <c r="Y27" s="2"/>
      <c r="Z27" s="2"/>
      <c r="AA27" s="2"/>
      <c r="AB27" s="2"/>
      <c r="AC27" s="3"/>
      <c r="AD27" s="19">
        <v>60</v>
      </c>
      <c r="AE27" s="2"/>
      <c r="AF27" s="3"/>
    </row>
    <row r="28" ht="30" customHeight="1" spans="2:32">
      <c r="B28" s="17">
        <v>21</v>
      </c>
      <c r="C28" s="19" t="s">
        <v>138</v>
      </c>
      <c r="D28" s="2"/>
      <c r="E28" s="3"/>
      <c r="F28" s="18" t="s">
        <v>136</v>
      </c>
      <c r="G28" s="2"/>
      <c r="H28" s="2"/>
      <c r="I28" s="2"/>
      <c r="J28" s="2"/>
      <c r="K28" s="2"/>
      <c r="L28" s="3"/>
      <c r="M28" s="18" t="s">
        <v>139</v>
      </c>
      <c r="N28" s="2"/>
      <c r="O28" s="2"/>
      <c r="P28" s="2"/>
      <c r="Q28" s="2"/>
      <c r="R28" s="2"/>
      <c r="S28" s="2"/>
      <c r="T28" s="3"/>
      <c r="U28" s="34" t="s">
        <v>102</v>
      </c>
      <c r="V28" s="3"/>
      <c r="W28" s="18" t="s">
        <v>140</v>
      </c>
      <c r="X28" s="2"/>
      <c r="Y28" s="2"/>
      <c r="Z28" s="2"/>
      <c r="AA28" s="2"/>
      <c r="AB28" s="2"/>
      <c r="AC28" s="3"/>
      <c r="AD28" s="19">
        <v>16</v>
      </c>
      <c r="AE28" s="2"/>
      <c r="AF28" s="3"/>
    </row>
    <row r="29" ht="30" customHeight="1" spans="2:32">
      <c r="B29" s="17">
        <v>22</v>
      </c>
      <c r="C29" s="19" t="s">
        <v>141</v>
      </c>
      <c r="D29" s="2"/>
      <c r="E29" s="3"/>
      <c r="F29" s="18" t="s">
        <v>136</v>
      </c>
      <c r="G29" s="2"/>
      <c r="H29" s="2"/>
      <c r="I29" s="2"/>
      <c r="J29" s="2"/>
      <c r="K29" s="2"/>
      <c r="L29" s="3"/>
      <c r="M29" s="18" t="s">
        <v>142</v>
      </c>
      <c r="N29" s="2"/>
      <c r="O29" s="2"/>
      <c r="P29" s="2"/>
      <c r="Q29" s="2"/>
      <c r="R29" s="2"/>
      <c r="S29" s="2"/>
      <c r="T29" s="3"/>
      <c r="U29" s="33" t="s">
        <v>82</v>
      </c>
      <c r="V29" s="3"/>
      <c r="W29" s="18" t="s">
        <v>143</v>
      </c>
      <c r="X29" s="2"/>
      <c r="Y29" s="2"/>
      <c r="Z29" s="2"/>
      <c r="AA29" s="2"/>
      <c r="AB29" s="2"/>
      <c r="AC29" s="3"/>
      <c r="AD29" s="19">
        <v>18</v>
      </c>
      <c r="AE29" s="2"/>
      <c r="AF29" s="3"/>
    </row>
    <row r="30" ht="30" customHeight="1" spans="2:32">
      <c r="B30" s="17">
        <v>23</v>
      </c>
      <c r="C30" s="19" t="s">
        <v>144</v>
      </c>
      <c r="D30" s="2"/>
      <c r="E30" s="3"/>
      <c r="F30" s="18" t="s">
        <v>136</v>
      </c>
      <c r="G30" s="2"/>
      <c r="H30" s="2"/>
      <c r="I30" s="2"/>
      <c r="J30" s="2"/>
      <c r="K30" s="2"/>
      <c r="L30" s="3"/>
      <c r="M30" s="18" t="s">
        <v>145</v>
      </c>
      <c r="N30" s="2"/>
      <c r="O30" s="2"/>
      <c r="P30" s="2"/>
      <c r="Q30" s="2"/>
      <c r="R30" s="2"/>
      <c r="S30" s="2"/>
      <c r="T30" s="3"/>
      <c r="U30" s="34" t="s">
        <v>102</v>
      </c>
      <c r="V30" s="3"/>
      <c r="W30" s="18" t="s">
        <v>146</v>
      </c>
      <c r="X30" s="2"/>
      <c r="Y30" s="2"/>
      <c r="Z30" s="2"/>
      <c r="AA30" s="2"/>
      <c r="AB30" s="2"/>
      <c r="AC30" s="3"/>
      <c r="AD30" s="19">
        <v>8</v>
      </c>
      <c r="AE30" s="2"/>
      <c r="AF30" s="3"/>
    </row>
    <row r="31" ht="30" customHeight="1" spans="2:32">
      <c r="B31" s="17">
        <v>24</v>
      </c>
      <c r="C31" s="19" t="s">
        <v>147</v>
      </c>
      <c r="D31" s="2"/>
      <c r="E31" s="3"/>
      <c r="F31" s="18" t="s">
        <v>136</v>
      </c>
      <c r="G31" s="2"/>
      <c r="H31" s="2"/>
      <c r="I31" s="2"/>
      <c r="J31" s="2"/>
      <c r="K31" s="2"/>
      <c r="L31" s="3"/>
      <c r="M31" s="18" t="s">
        <v>148</v>
      </c>
      <c r="N31" s="2"/>
      <c r="O31" s="2"/>
      <c r="P31" s="2"/>
      <c r="Q31" s="2"/>
      <c r="R31" s="2"/>
      <c r="S31" s="2"/>
      <c r="T31" s="3"/>
      <c r="U31" s="33" t="s">
        <v>82</v>
      </c>
      <c r="V31" s="3"/>
      <c r="W31" s="18" t="s">
        <v>149</v>
      </c>
      <c r="X31" s="2"/>
      <c r="Y31" s="2"/>
      <c r="Z31" s="2"/>
      <c r="AA31" s="2"/>
      <c r="AB31" s="2"/>
      <c r="AC31" s="3"/>
      <c r="AD31" s="19">
        <v>10</v>
      </c>
      <c r="AE31" s="2"/>
      <c r="AF31" s="3"/>
    </row>
    <row r="32" ht="30" customHeight="1" spans="2:32">
      <c r="B32" s="17">
        <v>25</v>
      </c>
      <c r="C32" s="19" t="s">
        <v>150</v>
      </c>
      <c r="D32" s="2"/>
      <c r="E32" s="3"/>
      <c r="F32" s="18" t="s">
        <v>136</v>
      </c>
      <c r="G32" s="2"/>
      <c r="H32" s="2"/>
      <c r="I32" s="2"/>
      <c r="J32" s="2"/>
      <c r="K32" s="2"/>
      <c r="L32" s="3"/>
      <c r="M32" s="18" t="s">
        <v>151</v>
      </c>
      <c r="N32" s="2"/>
      <c r="O32" s="2"/>
      <c r="P32" s="2"/>
      <c r="Q32" s="2"/>
      <c r="R32" s="2"/>
      <c r="S32" s="2"/>
      <c r="T32" s="3"/>
      <c r="U32" s="34" t="s">
        <v>102</v>
      </c>
      <c r="V32" s="3"/>
      <c r="W32" s="18" t="s">
        <v>152</v>
      </c>
      <c r="X32" s="2"/>
      <c r="Y32" s="2"/>
      <c r="Z32" s="2"/>
      <c r="AA32" s="2"/>
      <c r="AB32" s="2"/>
      <c r="AC32" s="3"/>
      <c r="AD32" s="19">
        <v>30</v>
      </c>
      <c r="AE32" s="2"/>
      <c r="AF32" s="3"/>
    </row>
    <row r="33" ht="30" customHeight="1" spans="2:32">
      <c r="B33" s="17">
        <v>26</v>
      </c>
      <c r="C33" s="19" t="s">
        <v>153</v>
      </c>
      <c r="D33" s="2"/>
      <c r="E33" s="3"/>
      <c r="F33" s="18" t="s">
        <v>136</v>
      </c>
      <c r="G33" s="2"/>
      <c r="H33" s="2"/>
      <c r="I33" s="2"/>
      <c r="J33" s="2"/>
      <c r="K33" s="2"/>
      <c r="L33" s="3"/>
      <c r="M33" s="18" t="s">
        <v>154</v>
      </c>
      <c r="N33" s="2"/>
      <c r="O33" s="2"/>
      <c r="P33" s="2"/>
      <c r="Q33" s="2"/>
      <c r="R33" s="2"/>
      <c r="S33" s="2"/>
      <c r="T33" s="3"/>
      <c r="U33" s="33" t="s">
        <v>82</v>
      </c>
      <c r="V33" s="3"/>
      <c r="W33" s="18" t="s">
        <v>155</v>
      </c>
      <c r="X33" s="2"/>
      <c r="Y33" s="2"/>
      <c r="Z33" s="2"/>
      <c r="AA33" s="2"/>
      <c r="AB33" s="2"/>
      <c r="AC33" s="3"/>
      <c r="AD33" s="19">
        <v>15</v>
      </c>
      <c r="AE33" s="2"/>
      <c r="AF33" s="3"/>
    </row>
    <row r="34" ht="30" customHeight="1" spans="2:32">
      <c r="B34" s="17">
        <v>27</v>
      </c>
      <c r="C34" s="19" t="s">
        <v>156</v>
      </c>
      <c r="D34" s="2"/>
      <c r="E34" s="3"/>
      <c r="F34" s="18" t="s">
        <v>136</v>
      </c>
      <c r="G34" s="2"/>
      <c r="H34" s="2"/>
      <c r="I34" s="2"/>
      <c r="J34" s="2"/>
      <c r="K34" s="2"/>
      <c r="L34" s="3"/>
      <c r="M34" s="18" t="s">
        <v>157</v>
      </c>
      <c r="N34" s="2"/>
      <c r="O34" s="2"/>
      <c r="P34" s="2"/>
      <c r="Q34" s="2"/>
      <c r="R34" s="2"/>
      <c r="S34" s="2"/>
      <c r="T34" s="3"/>
      <c r="U34" s="33" t="s">
        <v>82</v>
      </c>
      <c r="V34" s="3"/>
      <c r="W34" s="18" t="s">
        <v>158</v>
      </c>
      <c r="X34" s="2"/>
      <c r="Y34" s="2"/>
      <c r="Z34" s="2"/>
      <c r="AA34" s="2"/>
      <c r="AB34" s="2"/>
      <c r="AC34" s="3"/>
      <c r="AD34" s="19">
        <v>18</v>
      </c>
      <c r="AE34" s="2"/>
      <c r="AF34" s="3"/>
    </row>
    <row r="35" ht="30" customHeight="1" spans="2:32">
      <c r="B35" s="17">
        <v>28</v>
      </c>
      <c r="C35" s="19" t="s">
        <v>159</v>
      </c>
      <c r="D35" s="2"/>
      <c r="E35" s="3"/>
      <c r="F35" s="18" t="s">
        <v>160</v>
      </c>
      <c r="G35" s="2"/>
      <c r="H35" s="2"/>
      <c r="I35" s="2"/>
      <c r="J35" s="2"/>
      <c r="K35" s="2"/>
      <c r="L35" s="3"/>
      <c r="M35" s="18" t="s">
        <v>161</v>
      </c>
      <c r="N35" s="2"/>
      <c r="O35" s="2"/>
      <c r="P35" s="2"/>
      <c r="Q35" s="2"/>
      <c r="R35" s="2"/>
      <c r="S35" s="2"/>
      <c r="T35" s="3"/>
      <c r="U35" s="33" t="s">
        <v>82</v>
      </c>
      <c r="V35" s="3"/>
      <c r="W35" s="18" t="s">
        <v>162</v>
      </c>
      <c r="X35" s="2"/>
      <c r="Y35" s="2"/>
      <c r="Z35" s="2"/>
      <c r="AA35" s="2"/>
      <c r="AB35" s="2"/>
      <c r="AC35" s="3"/>
      <c r="AD35" s="19">
        <v>25</v>
      </c>
      <c r="AE35" s="2"/>
      <c r="AF35" s="3"/>
    </row>
    <row r="36" ht="30" customHeight="1" spans="2:32">
      <c r="B36" s="17">
        <v>29</v>
      </c>
      <c r="C36" s="19" t="s">
        <v>163</v>
      </c>
      <c r="D36" s="2"/>
      <c r="E36" s="3"/>
      <c r="F36" s="18" t="s">
        <v>160</v>
      </c>
      <c r="G36" s="2"/>
      <c r="H36" s="2"/>
      <c r="I36" s="2"/>
      <c r="J36" s="2"/>
      <c r="K36" s="2"/>
      <c r="L36" s="3"/>
      <c r="M36" s="18" t="s">
        <v>164</v>
      </c>
      <c r="N36" s="2"/>
      <c r="O36" s="2"/>
      <c r="P36" s="2"/>
      <c r="Q36" s="2"/>
      <c r="R36" s="2"/>
      <c r="S36" s="2"/>
      <c r="T36" s="3"/>
      <c r="U36" s="33" t="s">
        <v>82</v>
      </c>
      <c r="V36" s="3"/>
      <c r="W36" s="18" t="s">
        <v>94</v>
      </c>
      <c r="X36" s="2"/>
      <c r="Y36" s="2"/>
      <c r="Z36" s="2"/>
      <c r="AA36" s="2"/>
      <c r="AB36" s="2"/>
      <c r="AC36" s="3"/>
      <c r="AD36" s="19">
        <v>8</v>
      </c>
      <c r="AE36" s="2"/>
      <c r="AF36" s="3"/>
    </row>
    <row r="37" ht="30" customHeight="1" spans="2:32">
      <c r="B37" s="17">
        <v>30</v>
      </c>
      <c r="C37" s="19" t="s">
        <v>165</v>
      </c>
      <c r="D37" s="2"/>
      <c r="E37" s="3"/>
      <c r="F37" s="18" t="s">
        <v>160</v>
      </c>
      <c r="G37" s="2"/>
      <c r="H37" s="2"/>
      <c r="I37" s="2"/>
      <c r="J37" s="2"/>
      <c r="K37" s="2"/>
      <c r="L37" s="3"/>
      <c r="M37" s="18" t="s">
        <v>166</v>
      </c>
      <c r="N37" s="2"/>
      <c r="O37" s="2"/>
      <c r="P37" s="2"/>
      <c r="Q37" s="2"/>
      <c r="R37" s="2"/>
      <c r="S37" s="2"/>
      <c r="T37" s="3"/>
      <c r="U37" s="33" t="s">
        <v>82</v>
      </c>
      <c r="V37" s="3"/>
      <c r="W37" s="18" t="s">
        <v>167</v>
      </c>
      <c r="X37" s="2"/>
      <c r="Y37" s="2"/>
      <c r="Z37" s="2"/>
      <c r="AA37" s="2"/>
      <c r="AB37" s="2"/>
      <c r="AC37" s="3"/>
      <c r="AD37" s="19">
        <v>15</v>
      </c>
      <c r="AE37" s="2"/>
      <c r="AF37" s="3"/>
    </row>
    <row r="38" ht="30" customHeight="1" spans="2:32">
      <c r="B38" s="17">
        <v>31</v>
      </c>
      <c r="C38" s="19" t="s">
        <v>168</v>
      </c>
      <c r="D38" s="2"/>
      <c r="E38" s="3"/>
      <c r="F38" s="18" t="s">
        <v>160</v>
      </c>
      <c r="G38" s="2"/>
      <c r="H38" s="2"/>
      <c r="I38" s="2"/>
      <c r="J38" s="2"/>
      <c r="K38" s="2"/>
      <c r="L38" s="3"/>
      <c r="M38" s="18" t="s">
        <v>169</v>
      </c>
      <c r="N38" s="2"/>
      <c r="O38" s="2"/>
      <c r="P38" s="2"/>
      <c r="Q38" s="2"/>
      <c r="R38" s="2"/>
      <c r="S38" s="2"/>
      <c r="T38" s="3"/>
      <c r="U38" s="33" t="s">
        <v>82</v>
      </c>
      <c r="V38" s="3"/>
      <c r="W38" s="18" t="s">
        <v>94</v>
      </c>
      <c r="X38" s="2"/>
      <c r="Y38" s="2"/>
      <c r="Z38" s="2"/>
      <c r="AA38" s="2"/>
      <c r="AB38" s="2"/>
      <c r="AC38" s="3"/>
      <c r="AD38" s="19">
        <v>40</v>
      </c>
      <c r="AE38" s="2"/>
      <c r="AF38" s="3"/>
    </row>
    <row r="39" ht="30" customHeight="1" spans="2:32">
      <c r="B39" s="17">
        <v>32</v>
      </c>
      <c r="C39" s="19" t="s">
        <v>170</v>
      </c>
      <c r="D39" s="2"/>
      <c r="E39" s="3"/>
      <c r="F39" s="18" t="s">
        <v>160</v>
      </c>
      <c r="G39" s="2"/>
      <c r="H39" s="2"/>
      <c r="I39" s="2"/>
      <c r="J39" s="2"/>
      <c r="K39" s="2"/>
      <c r="L39" s="3"/>
      <c r="M39" s="18" t="s">
        <v>171</v>
      </c>
      <c r="N39" s="2"/>
      <c r="O39" s="2"/>
      <c r="P39" s="2"/>
      <c r="Q39" s="2"/>
      <c r="R39" s="2"/>
      <c r="S39" s="2"/>
      <c r="T39" s="3"/>
      <c r="U39" s="34" t="s">
        <v>102</v>
      </c>
      <c r="V39" s="3"/>
      <c r="W39" s="18" t="s">
        <v>172</v>
      </c>
      <c r="X39" s="2"/>
      <c r="Y39" s="2"/>
      <c r="Z39" s="2"/>
      <c r="AA39" s="2"/>
      <c r="AB39" s="2"/>
      <c r="AC39" s="3"/>
      <c r="AD39" s="19">
        <v>20</v>
      </c>
      <c r="AE39" s="2"/>
      <c r="AF39" s="3"/>
    </row>
    <row r="40" ht="30" customHeight="1" spans="2:32">
      <c r="B40" s="17">
        <v>33</v>
      </c>
      <c r="C40" s="19" t="s">
        <v>173</v>
      </c>
      <c r="D40" s="2"/>
      <c r="E40" s="3"/>
      <c r="F40" s="18" t="s">
        <v>160</v>
      </c>
      <c r="G40" s="2"/>
      <c r="H40" s="2"/>
      <c r="I40" s="2"/>
      <c r="J40" s="2"/>
      <c r="K40" s="2"/>
      <c r="L40" s="3"/>
      <c r="M40" s="18" t="s">
        <v>174</v>
      </c>
      <c r="N40" s="2"/>
      <c r="O40" s="2"/>
      <c r="P40" s="2"/>
      <c r="Q40" s="2"/>
      <c r="R40" s="2"/>
      <c r="S40" s="2"/>
      <c r="T40" s="3"/>
      <c r="U40" s="34" t="s">
        <v>102</v>
      </c>
      <c r="V40" s="3"/>
      <c r="W40" s="18" t="s">
        <v>175</v>
      </c>
      <c r="X40" s="2"/>
      <c r="Y40" s="2"/>
      <c r="Z40" s="2"/>
      <c r="AA40" s="2"/>
      <c r="AB40" s="2"/>
      <c r="AC40" s="3"/>
      <c r="AD40" s="19">
        <v>12</v>
      </c>
      <c r="AE40" s="2"/>
      <c r="AF40" s="3"/>
    </row>
    <row r="41" ht="30" customHeight="1" spans="2:32">
      <c r="B41" s="17">
        <v>34</v>
      </c>
      <c r="C41" s="19" t="s">
        <v>176</v>
      </c>
      <c r="D41" s="2"/>
      <c r="E41" s="3"/>
      <c r="F41" s="18" t="s">
        <v>160</v>
      </c>
      <c r="G41" s="2"/>
      <c r="H41" s="2"/>
      <c r="I41" s="2"/>
      <c r="J41" s="2"/>
      <c r="K41" s="2"/>
      <c r="L41" s="3"/>
      <c r="M41" s="18" t="s">
        <v>177</v>
      </c>
      <c r="N41" s="2"/>
      <c r="O41" s="2"/>
      <c r="P41" s="2"/>
      <c r="Q41" s="2"/>
      <c r="R41" s="2"/>
      <c r="S41" s="2"/>
      <c r="T41" s="3"/>
      <c r="U41" s="33" t="s">
        <v>82</v>
      </c>
      <c r="V41" s="3"/>
      <c r="W41" s="18" t="s">
        <v>178</v>
      </c>
      <c r="X41" s="2"/>
      <c r="Y41" s="2"/>
      <c r="Z41" s="2"/>
      <c r="AA41" s="2"/>
      <c r="AB41" s="2"/>
      <c r="AC41" s="3"/>
      <c r="AD41" s="19">
        <v>15</v>
      </c>
      <c r="AE41" s="2"/>
      <c r="AF41" s="3"/>
    </row>
    <row r="42" ht="30" customHeight="1" spans="2:32">
      <c r="B42" s="17">
        <v>35</v>
      </c>
      <c r="C42" s="19" t="s">
        <v>179</v>
      </c>
      <c r="D42" s="2"/>
      <c r="E42" s="3"/>
      <c r="F42" s="18" t="s">
        <v>160</v>
      </c>
      <c r="G42" s="2"/>
      <c r="H42" s="2"/>
      <c r="I42" s="2"/>
      <c r="J42" s="2"/>
      <c r="K42" s="2"/>
      <c r="L42" s="3"/>
      <c r="M42" s="18" t="s">
        <v>180</v>
      </c>
      <c r="N42" s="2"/>
      <c r="O42" s="2"/>
      <c r="P42" s="2"/>
      <c r="Q42" s="2"/>
      <c r="R42" s="2"/>
      <c r="S42" s="2"/>
      <c r="T42" s="3"/>
      <c r="U42" s="34" t="s">
        <v>102</v>
      </c>
      <c r="V42" s="3"/>
      <c r="W42" s="18" t="s">
        <v>94</v>
      </c>
      <c r="X42" s="2"/>
      <c r="Y42" s="2"/>
      <c r="Z42" s="2"/>
      <c r="AA42" s="2"/>
      <c r="AB42" s="2"/>
      <c r="AC42" s="3"/>
      <c r="AD42" s="19">
        <v>30</v>
      </c>
      <c r="AE42" s="2"/>
      <c r="AF42" s="3"/>
    </row>
    <row r="43" ht="36" customHeight="1" spans="2:32">
      <c r="B43" s="17">
        <v>36</v>
      </c>
      <c r="C43" s="19" t="s">
        <v>181</v>
      </c>
      <c r="D43" s="2"/>
      <c r="E43" s="3"/>
      <c r="F43" s="18" t="s">
        <v>160</v>
      </c>
      <c r="G43" s="2"/>
      <c r="H43" s="2"/>
      <c r="I43" s="2"/>
      <c r="J43" s="2"/>
      <c r="K43" s="2"/>
      <c r="L43" s="3"/>
      <c r="M43" s="18" t="s">
        <v>182</v>
      </c>
      <c r="N43" s="2"/>
      <c r="O43" s="2"/>
      <c r="P43" s="2"/>
      <c r="Q43" s="2"/>
      <c r="R43" s="2"/>
      <c r="S43" s="2"/>
      <c r="T43" s="3"/>
      <c r="U43" s="33" t="s">
        <v>82</v>
      </c>
      <c r="V43" s="3"/>
      <c r="W43" s="18" t="s">
        <v>167</v>
      </c>
      <c r="X43" s="2"/>
      <c r="Y43" s="2"/>
      <c r="Z43" s="2"/>
      <c r="AA43" s="2"/>
      <c r="AB43" s="2"/>
      <c r="AC43" s="3"/>
      <c r="AD43" s="19">
        <v>6</v>
      </c>
      <c r="AE43" s="2"/>
      <c r="AF43" s="3"/>
    </row>
    <row r="44" ht="30" customHeight="1" spans="2:32">
      <c r="B44" s="17">
        <v>37</v>
      </c>
      <c r="C44" s="19" t="s">
        <v>183</v>
      </c>
      <c r="D44" s="2"/>
      <c r="E44" s="3"/>
      <c r="F44" s="18" t="s">
        <v>184</v>
      </c>
      <c r="G44" s="2"/>
      <c r="H44" s="2"/>
      <c r="I44" s="2"/>
      <c r="J44" s="2"/>
      <c r="K44" s="2"/>
      <c r="L44" s="3"/>
      <c r="M44" s="18" t="s">
        <v>185</v>
      </c>
      <c r="N44" s="2"/>
      <c r="O44" s="2"/>
      <c r="P44" s="2"/>
      <c r="Q44" s="2"/>
      <c r="R44" s="2"/>
      <c r="S44" s="2"/>
      <c r="T44" s="3"/>
      <c r="U44" s="35" t="s">
        <v>186</v>
      </c>
      <c r="V44" s="3"/>
      <c r="W44" s="18" t="s">
        <v>187</v>
      </c>
      <c r="X44" s="2"/>
      <c r="Y44" s="2"/>
      <c r="Z44" s="2"/>
      <c r="AA44" s="2"/>
      <c r="AB44" s="2"/>
      <c r="AC44" s="3"/>
      <c r="AD44" s="19">
        <v>60</v>
      </c>
      <c r="AE44" s="2"/>
      <c r="AF44" s="3"/>
    </row>
    <row r="45" ht="36" customHeight="1" spans="2:32">
      <c r="B45" s="17">
        <v>38</v>
      </c>
      <c r="C45" s="19" t="s">
        <v>188</v>
      </c>
      <c r="D45" s="2"/>
      <c r="E45" s="3"/>
      <c r="F45" s="18" t="s">
        <v>184</v>
      </c>
      <c r="G45" s="2"/>
      <c r="H45" s="2"/>
      <c r="I45" s="2"/>
      <c r="J45" s="2"/>
      <c r="K45" s="2"/>
      <c r="L45" s="3"/>
      <c r="M45" s="18" t="s">
        <v>189</v>
      </c>
      <c r="N45" s="2"/>
      <c r="O45" s="2"/>
      <c r="P45" s="2"/>
      <c r="Q45" s="2"/>
      <c r="R45" s="2"/>
      <c r="S45" s="2"/>
      <c r="T45" s="3"/>
      <c r="U45" s="35" t="s">
        <v>186</v>
      </c>
      <c r="V45" s="3"/>
      <c r="W45" s="18" t="s">
        <v>187</v>
      </c>
      <c r="X45" s="2"/>
      <c r="Y45" s="2"/>
      <c r="Z45" s="2"/>
      <c r="AA45" s="2"/>
      <c r="AB45" s="2"/>
      <c r="AC45" s="3"/>
      <c r="AD45" s="19">
        <v>40</v>
      </c>
      <c r="AE45" s="2"/>
      <c r="AF45" s="3"/>
    </row>
    <row r="46" ht="30" customHeight="1" spans="2:32">
      <c r="B46" s="17">
        <v>39</v>
      </c>
      <c r="C46" s="19" t="s">
        <v>190</v>
      </c>
      <c r="D46" s="2"/>
      <c r="E46" s="3"/>
      <c r="F46" s="18" t="s">
        <v>184</v>
      </c>
      <c r="G46" s="2"/>
      <c r="H46" s="2"/>
      <c r="I46" s="2"/>
      <c r="J46" s="2"/>
      <c r="K46" s="2"/>
      <c r="L46" s="3"/>
      <c r="M46" s="18" t="s">
        <v>191</v>
      </c>
      <c r="N46" s="2"/>
      <c r="O46" s="2"/>
      <c r="P46" s="2"/>
      <c r="Q46" s="2"/>
      <c r="R46" s="2"/>
      <c r="S46" s="2"/>
      <c r="T46" s="3"/>
      <c r="U46" s="35" t="s">
        <v>186</v>
      </c>
      <c r="V46" s="3"/>
      <c r="W46" s="18" t="s">
        <v>113</v>
      </c>
      <c r="X46" s="2"/>
      <c r="Y46" s="2"/>
      <c r="Z46" s="2"/>
      <c r="AA46" s="2"/>
      <c r="AB46" s="2"/>
      <c r="AC46" s="3"/>
      <c r="AD46" s="19">
        <v>25</v>
      </c>
      <c r="AE46" s="2"/>
      <c r="AF46" s="3"/>
    </row>
    <row r="47" ht="30" customHeight="1" spans="2:32">
      <c r="B47" s="17">
        <v>40</v>
      </c>
      <c r="C47" s="19" t="s">
        <v>192</v>
      </c>
      <c r="D47" s="2"/>
      <c r="E47" s="3"/>
      <c r="F47" s="18" t="s">
        <v>184</v>
      </c>
      <c r="G47" s="2"/>
      <c r="H47" s="2"/>
      <c r="I47" s="2"/>
      <c r="J47" s="2"/>
      <c r="K47" s="2"/>
      <c r="L47" s="3"/>
      <c r="M47" s="18" t="s">
        <v>193</v>
      </c>
      <c r="N47" s="2"/>
      <c r="O47" s="2"/>
      <c r="P47" s="2"/>
      <c r="Q47" s="2"/>
      <c r="R47" s="2"/>
      <c r="S47" s="2"/>
      <c r="T47" s="3"/>
      <c r="U47" s="35" t="s">
        <v>186</v>
      </c>
      <c r="V47" s="3"/>
      <c r="W47" s="18" t="s">
        <v>94</v>
      </c>
      <c r="X47" s="2"/>
      <c r="Y47" s="2"/>
      <c r="Z47" s="2"/>
      <c r="AA47" s="2"/>
      <c r="AB47" s="2"/>
      <c r="AC47" s="3"/>
      <c r="AD47" s="19">
        <v>5</v>
      </c>
      <c r="AE47" s="2"/>
      <c r="AF47" s="3"/>
    </row>
    <row r="48" ht="30" customHeight="1" spans="2:32">
      <c r="B48" s="17">
        <v>41</v>
      </c>
      <c r="C48" s="19" t="s">
        <v>194</v>
      </c>
      <c r="D48" s="2"/>
      <c r="E48" s="3"/>
      <c r="F48" s="18" t="s">
        <v>184</v>
      </c>
      <c r="G48" s="2"/>
      <c r="H48" s="2"/>
      <c r="I48" s="2"/>
      <c r="J48" s="2"/>
      <c r="K48" s="2"/>
      <c r="L48" s="3"/>
      <c r="M48" s="18" t="s">
        <v>195</v>
      </c>
      <c r="N48" s="2"/>
      <c r="O48" s="2"/>
      <c r="P48" s="2"/>
      <c r="Q48" s="2"/>
      <c r="R48" s="2"/>
      <c r="S48" s="2"/>
      <c r="T48" s="3"/>
      <c r="U48" s="33" t="s">
        <v>82</v>
      </c>
      <c r="V48" s="3"/>
      <c r="W48" s="18" t="s">
        <v>94</v>
      </c>
      <c r="X48" s="2"/>
      <c r="Y48" s="2"/>
      <c r="Z48" s="2"/>
      <c r="AA48" s="2"/>
      <c r="AB48" s="2"/>
      <c r="AC48" s="3"/>
      <c r="AD48" s="19">
        <v>5</v>
      </c>
      <c r="AE48" s="2"/>
      <c r="AF48" s="3"/>
    </row>
    <row r="49" ht="30" customHeight="1" spans="2:37">
      <c r="B49" s="17">
        <v>42</v>
      </c>
      <c r="C49" s="19" t="s">
        <v>196</v>
      </c>
      <c r="D49" s="2"/>
      <c r="E49" s="3"/>
      <c r="F49" s="18" t="s">
        <v>184</v>
      </c>
      <c r="G49" s="2"/>
      <c r="H49" s="2"/>
      <c r="I49" s="2"/>
      <c r="J49" s="2"/>
      <c r="K49" s="2"/>
      <c r="L49" s="3"/>
      <c r="M49" s="18" t="s">
        <v>197</v>
      </c>
      <c r="N49" s="2"/>
      <c r="O49" s="2"/>
      <c r="P49" s="2"/>
      <c r="Q49" s="2"/>
      <c r="R49" s="2"/>
      <c r="S49" s="2"/>
      <c r="T49" s="3"/>
      <c r="U49" s="34" t="s">
        <v>102</v>
      </c>
      <c r="V49" s="3"/>
      <c r="W49" s="18" t="s">
        <v>198</v>
      </c>
      <c r="X49" s="2"/>
      <c r="Y49" s="2"/>
      <c r="Z49" s="2"/>
      <c r="AA49" s="2"/>
      <c r="AB49" s="2"/>
      <c r="AC49" s="3"/>
      <c r="AD49" s="19">
        <v>8</v>
      </c>
      <c r="AE49" s="2"/>
      <c r="AF49" s="3"/>
    </row>
    <row r="50" ht="30" customHeight="1" spans="2:37">
      <c r="B50" s="17">
        <v>43</v>
      </c>
      <c r="C50" s="19" t="s">
        <v>199</v>
      </c>
      <c r="D50" s="2"/>
      <c r="E50" s="3"/>
      <c r="F50" s="18" t="s">
        <v>200</v>
      </c>
      <c r="G50" s="2"/>
      <c r="H50" s="2"/>
      <c r="I50" s="2"/>
      <c r="J50" s="2"/>
      <c r="K50" s="2"/>
      <c r="L50" s="3"/>
      <c r="M50" s="18" t="s">
        <v>201</v>
      </c>
      <c r="N50" s="2"/>
      <c r="O50" s="2"/>
      <c r="P50" s="2"/>
      <c r="Q50" s="2"/>
      <c r="R50" s="2"/>
      <c r="S50" s="2"/>
      <c r="T50" s="3"/>
      <c r="U50" s="34" t="s">
        <v>102</v>
      </c>
      <c r="V50" s="3"/>
      <c r="W50" s="18" t="s">
        <v>202</v>
      </c>
      <c r="X50" s="2"/>
      <c r="Y50" s="2"/>
      <c r="Z50" s="2"/>
      <c r="AA50" s="2"/>
      <c r="AB50" s="2"/>
      <c r="AC50" s="3"/>
      <c r="AD50" s="19">
        <v>12</v>
      </c>
      <c r="AE50" s="2"/>
      <c r="AF50" s="3"/>
    </row>
    <row r="51" ht="30" customHeight="1" spans="2:37">
      <c r="B51" s="17">
        <v>44</v>
      </c>
      <c r="C51" s="19" t="s">
        <v>203</v>
      </c>
      <c r="D51" s="2"/>
      <c r="E51" s="3"/>
      <c r="F51" s="18" t="s">
        <v>200</v>
      </c>
      <c r="G51" s="2"/>
      <c r="H51" s="2"/>
      <c r="I51" s="2"/>
      <c r="J51" s="2"/>
      <c r="K51" s="2"/>
      <c r="L51" s="3"/>
      <c r="M51" s="18" t="s">
        <v>204</v>
      </c>
      <c r="N51" s="2"/>
      <c r="O51" s="2"/>
      <c r="P51" s="2"/>
      <c r="Q51" s="2"/>
      <c r="R51" s="2"/>
      <c r="S51" s="2"/>
      <c r="T51" s="3"/>
      <c r="U51" s="34" t="s">
        <v>102</v>
      </c>
      <c r="V51" s="3"/>
      <c r="W51" s="18" t="s">
        <v>205</v>
      </c>
      <c r="X51" s="2"/>
      <c r="Y51" s="2"/>
      <c r="Z51" s="2"/>
      <c r="AA51" s="2"/>
      <c r="AB51" s="2"/>
      <c r="AC51" s="3"/>
      <c r="AD51" s="19">
        <v>8</v>
      </c>
      <c r="AE51" s="2"/>
      <c r="AF51" s="3"/>
    </row>
    <row r="52" ht="22.5" customHeight="1" spans="2:37">
      <c r="B52" s="36" t="s">
        <v>58</v>
      </c>
      <c r="C52" s="2"/>
      <c r="D52" s="2"/>
      <c r="E52" s="2"/>
      <c r="F52" s="2"/>
      <c r="G52" s="2"/>
      <c r="H52" s="2"/>
      <c r="I52" s="2"/>
      <c r="J52" s="2"/>
      <c r="K52" s="2"/>
      <c r="L52" s="2"/>
      <c r="M52" s="2"/>
      <c r="N52" s="2"/>
      <c r="O52" s="2"/>
      <c r="P52" s="2"/>
      <c r="Q52" s="2"/>
      <c r="R52" s="2"/>
      <c r="S52" s="2"/>
      <c r="T52" s="3"/>
      <c r="U52" s="37"/>
      <c r="V52" s="3"/>
      <c r="W52" s="37"/>
      <c r="X52" s="2"/>
      <c r="Y52" s="2"/>
      <c r="Z52" s="2"/>
      <c r="AA52" s="2"/>
      <c r="AB52" s="2"/>
      <c r="AC52" s="3"/>
      <c r="AD52" s="37">
        <f>SUM(AD8:AD51)</f>
        <v>1682</v>
      </c>
      <c r="AE52" s="2"/>
      <c r="AF52" s="3"/>
    </row>
    <row r="53" ht="15.75" customHeight="1"/>
    <row r="54" ht="19.5" customHeight="1" spans="2:37">
      <c r="B54" s="31" t="s">
        <v>206</v>
      </c>
    </row>
    <row r="55" ht="15.75" customHeight="1"/>
    <row r="56" ht="28.5" customHeight="1" spans="2:37">
      <c r="B56" s="1" t="s">
        <v>207</v>
      </c>
      <c r="C56" s="3"/>
      <c r="D56" s="1" t="s">
        <v>208</v>
      </c>
      <c r="E56" s="2"/>
      <c r="F56" s="3"/>
      <c r="G56" s="1" t="s">
        <v>209</v>
      </c>
      <c r="H56" s="2"/>
      <c r="I56" s="2"/>
      <c r="J56" s="2"/>
      <c r="K56" s="2"/>
      <c r="L56" s="3"/>
      <c r="M56" s="1" t="s">
        <v>210</v>
      </c>
      <c r="N56" s="3"/>
      <c r="O56" s="1" t="s">
        <v>211</v>
      </c>
      <c r="P56" s="2"/>
      <c r="Q56" s="3"/>
      <c r="R56" s="1" t="s">
        <v>212</v>
      </c>
      <c r="S56" s="2"/>
      <c r="T56" s="2"/>
      <c r="U56" s="2"/>
      <c r="V56" s="2"/>
      <c r="W56" s="2"/>
      <c r="X56" s="2"/>
      <c r="Y56" s="2"/>
      <c r="Z56" s="2"/>
      <c r="AA56" s="2"/>
      <c r="AB56" s="2"/>
      <c r="AC56" s="2"/>
      <c r="AD56" s="2"/>
      <c r="AE56" s="2"/>
      <c r="AF56" s="2"/>
      <c r="AG56" s="2"/>
      <c r="AH56" s="2"/>
      <c r="AI56" s="2"/>
      <c r="AJ56" s="2"/>
      <c r="AK56" s="3"/>
    </row>
    <row r="57" ht="36" customHeight="1" spans="2:37">
      <c r="B57" s="38" t="s">
        <v>213</v>
      </c>
      <c r="C57" s="3"/>
      <c r="D57" s="19" t="s">
        <v>214</v>
      </c>
      <c r="E57" s="2"/>
      <c r="F57" s="3"/>
      <c r="G57" s="18" t="s">
        <v>215</v>
      </c>
      <c r="H57" s="2"/>
      <c r="I57" s="2"/>
      <c r="J57" s="2"/>
      <c r="K57" s="2"/>
      <c r="L57" s="3"/>
      <c r="M57" s="19">
        <v>10</v>
      </c>
      <c r="N57" s="3"/>
      <c r="O57" s="19" t="s">
        <v>82</v>
      </c>
      <c r="P57" s="2"/>
      <c r="Q57" s="3"/>
      <c r="R57" s="18" t="s">
        <v>216</v>
      </c>
      <c r="S57" s="2"/>
      <c r="T57" s="2"/>
      <c r="U57" s="2"/>
      <c r="V57" s="2"/>
      <c r="W57" s="2"/>
      <c r="X57" s="2"/>
      <c r="Y57" s="2"/>
      <c r="Z57" s="2"/>
      <c r="AA57" s="2"/>
      <c r="AB57" s="2"/>
      <c r="AC57" s="2"/>
      <c r="AD57" s="2"/>
      <c r="AE57" s="2"/>
      <c r="AF57" s="2"/>
      <c r="AG57" s="2"/>
      <c r="AH57" s="2"/>
      <c r="AI57" s="2"/>
      <c r="AJ57" s="2"/>
      <c r="AK57" s="3"/>
    </row>
    <row r="58" ht="30" customHeight="1" spans="2:37">
      <c r="B58" s="38" t="s">
        <v>217</v>
      </c>
      <c r="C58" s="3"/>
      <c r="D58" s="19" t="s">
        <v>218</v>
      </c>
      <c r="E58" s="2"/>
      <c r="F58" s="3"/>
      <c r="G58" s="18" t="s">
        <v>219</v>
      </c>
      <c r="H58" s="2"/>
      <c r="I58" s="2"/>
      <c r="J58" s="2"/>
      <c r="K58" s="2"/>
      <c r="L58" s="3"/>
      <c r="M58" s="19">
        <v>9</v>
      </c>
      <c r="N58" s="3"/>
      <c r="O58" s="19" t="s">
        <v>102</v>
      </c>
      <c r="P58" s="2"/>
      <c r="Q58" s="3"/>
      <c r="R58" s="18" t="s">
        <v>220</v>
      </c>
      <c r="S58" s="2"/>
      <c r="T58" s="2"/>
      <c r="U58" s="2"/>
      <c r="V58" s="2"/>
      <c r="W58" s="2"/>
      <c r="X58" s="2"/>
      <c r="Y58" s="2"/>
      <c r="Z58" s="2"/>
      <c r="AA58" s="2"/>
      <c r="AB58" s="2"/>
      <c r="AC58" s="2"/>
      <c r="AD58" s="2"/>
      <c r="AE58" s="2"/>
      <c r="AF58" s="2"/>
      <c r="AG58" s="2"/>
      <c r="AH58" s="2"/>
      <c r="AI58" s="2"/>
      <c r="AJ58" s="2"/>
      <c r="AK58" s="3"/>
    </row>
    <row r="59" ht="36" customHeight="1" spans="2:37">
      <c r="B59" s="38" t="s">
        <v>221</v>
      </c>
      <c r="C59" s="3"/>
      <c r="D59" s="19" t="s">
        <v>222</v>
      </c>
      <c r="E59" s="2"/>
      <c r="F59" s="3"/>
      <c r="G59" s="18" t="s">
        <v>223</v>
      </c>
      <c r="H59" s="2"/>
      <c r="I59" s="2"/>
      <c r="J59" s="2"/>
      <c r="K59" s="2"/>
      <c r="L59" s="3"/>
      <c r="M59" s="19">
        <v>8</v>
      </c>
      <c r="N59" s="3"/>
      <c r="O59" s="19" t="s">
        <v>82</v>
      </c>
      <c r="P59" s="2"/>
      <c r="Q59" s="3"/>
      <c r="R59" s="18" t="s">
        <v>224</v>
      </c>
      <c r="S59" s="2"/>
      <c r="T59" s="2"/>
      <c r="U59" s="2"/>
      <c r="V59" s="2"/>
      <c r="W59" s="2"/>
      <c r="X59" s="2"/>
      <c r="Y59" s="2"/>
      <c r="Z59" s="2"/>
      <c r="AA59" s="2"/>
      <c r="AB59" s="2"/>
      <c r="AC59" s="2"/>
      <c r="AD59" s="2"/>
      <c r="AE59" s="2"/>
      <c r="AF59" s="2"/>
      <c r="AG59" s="2"/>
      <c r="AH59" s="2"/>
      <c r="AI59" s="2"/>
      <c r="AJ59" s="2"/>
      <c r="AK59" s="3"/>
    </row>
    <row r="60" ht="36" customHeight="1" spans="2:37">
      <c r="B60" s="38" t="s">
        <v>225</v>
      </c>
      <c r="C60" s="3"/>
      <c r="D60" s="19" t="s">
        <v>226</v>
      </c>
      <c r="E60" s="2"/>
      <c r="F60" s="3"/>
      <c r="G60" s="18" t="s">
        <v>227</v>
      </c>
      <c r="H60" s="2"/>
      <c r="I60" s="2"/>
      <c r="J60" s="2"/>
      <c r="K60" s="2"/>
      <c r="L60" s="3"/>
      <c r="M60" s="19">
        <v>9</v>
      </c>
      <c r="N60" s="3"/>
      <c r="O60" s="19" t="s">
        <v>82</v>
      </c>
      <c r="P60" s="2"/>
      <c r="Q60" s="3"/>
      <c r="R60" s="18" t="s">
        <v>228</v>
      </c>
      <c r="S60" s="2"/>
      <c r="T60" s="2"/>
      <c r="U60" s="2"/>
      <c r="V60" s="2"/>
      <c r="W60" s="2"/>
      <c r="X60" s="2"/>
      <c r="Y60" s="2"/>
      <c r="Z60" s="2"/>
      <c r="AA60" s="2"/>
      <c r="AB60" s="2"/>
      <c r="AC60" s="2"/>
      <c r="AD60" s="2"/>
      <c r="AE60" s="2"/>
      <c r="AF60" s="2"/>
      <c r="AG60" s="2"/>
      <c r="AH60" s="2"/>
      <c r="AI60" s="2"/>
      <c r="AJ60" s="2"/>
      <c r="AK60" s="3"/>
    </row>
    <row r="61" ht="36" customHeight="1" spans="2:37">
      <c r="B61" s="38" t="s">
        <v>229</v>
      </c>
      <c r="C61" s="3"/>
      <c r="D61" s="19" t="s">
        <v>230</v>
      </c>
      <c r="E61" s="2"/>
      <c r="F61" s="3"/>
      <c r="G61" s="18" t="s">
        <v>231</v>
      </c>
      <c r="H61" s="2"/>
      <c r="I61" s="2"/>
      <c r="J61" s="2"/>
      <c r="K61" s="2"/>
      <c r="L61" s="3"/>
      <c r="M61" s="19">
        <v>6</v>
      </c>
      <c r="N61" s="3"/>
      <c r="O61" s="19" t="s">
        <v>232</v>
      </c>
      <c r="P61" s="2"/>
      <c r="Q61" s="3"/>
      <c r="R61" s="18" t="s">
        <v>233</v>
      </c>
      <c r="S61" s="2"/>
      <c r="T61" s="2"/>
      <c r="U61" s="2"/>
      <c r="V61" s="2"/>
      <c r="W61" s="2"/>
      <c r="X61" s="2"/>
      <c r="Y61" s="2"/>
      <c r="Z61" s="2"/>
      <c r="AA61" s="2"/>
      <c r="AB61" s="2"/>
      <c r="AC61" s="2"/>
      <c r="AD61" s="2"/>
      <c r="AE61" s="2"/>
      <c r="AF61" s="2"/>
      <c r="AG61" s="2"/>
      <c r="AH61" s="2"/>
      <c r="AI61" s="2"/>
      <c r="AJ61" s="2"/>
      <c r="AK61" s="3"/>
    </row>
    <row r="62" ht="30" customHeight="1" spans="2:37">
      <c r="B62" s="38" t="s">
        <v>234</v>
      </c>
      <c r="C62" s="3"/>
      <c r="D62" s="19" t="s">
        <v>235</v>
      </c>
      <c r="E62" s="2"/>
      <c r="F62" s="3"/>
      <c r="G62" s="18" t="s">
        <v>236</v>
      </c>
      <c r="H62" s="2"/>
      <c r="I62" s="2"/>
      <c r="J62" s="2"/>
      <c r="K62" s="2"/>
      <c r="L62" s="3"/>
      <c r="M62" s="19">
        <v>2</v>
      </c>
      <c r="N62" s="3"/>
      <c r="O62" s="19" t="s">
        <v>102</v>
      </c>
      <c r="P62" s="2"/>
      <c r="Q62" s="3"/>
      <c r="R62" s="18" t="s">
        <v>237</v>
      </c>
      <c r="S62" s="2"/>
      <c r="T62" s="2"/>
      <c r="U62" s="2"/>
      <c r="V62" s="2"/>
      <c r="W62" s="2"/>
      <c r="X62" s="2"/>
      <c r="Y62" s="2"/>
      <c r="Z62" s="2"/>
      <c r="AA62" s="2"/>
      <c r="AB62" s="2"/>
      <c r="AC62" s="2"/>
      <c r="AD62" s="2"/>
      <c r="AE62" s="2"/>
      <c r="AF62" s="2"/>
      <c r="AG62" s="2"/>
      <c r="AH62" s="2"/>
      <c r="AI62" s="2"/>
      <c r="AJ62" s="2"/>
      <c r="AK62" s="3"/>
    </row>
    <row r="63" ht="15.75" customHeight="1"/>
    <row r="64" ht="30" customHeight="1" spans="2:37">
      <c r="B64" s="39" t="s">
        <v>238</v>
      </c>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3"/>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A1:I1"/>
    <mergeCell ref="J1:P1"/>
    <mergeCell ref="Q1:U1"/>
    <mergeCell ref="V1:Y1"/>
    <mergeCell ref="Z1:AC1"/>
    <mergeCell ref="AD1:AG1"/>
    <mergeCell ref="AH1:AK1"/>
    <mergeCell ref="B5:AK5"/>
    <mergeCell ref="C7:E7"/>
    <mergeCell ref="F7:L7"/>
    <mergeCell ref="M7:T7"/>
    <mergeCell ref="U7:V7"/>
    <mergeCell ref="W7:AC7"/>
    <mergeCell ref="AD7:AF7"/>
    <mergeCell ref="C8:E8"/>
    <mergeCell ref="F8:L8"/>
    <mergeCell ref="M8:T8"/>
    <mergeCell ref="U8:V8"/>
    <mergeCell ref="W8:AC8"/>
    <mergeCell ref="AD8:AF8"/>
    <mergeCell ref="C9:E9"/>
    <mergeCell ref="F9:L9"/>
    <mergeCell ref="M9:T9"/>
    <mergeCell ref="U9:V9"/>
    <mergeCell ref="W9:AC9"/>
    <mergeCell ref="AD9:AF9"/>
    <mergeCell ref="C10:E10"/>
    <mergeCell ref="F10:L10"/>
    <mergeCell ref="M10:T10"/>
    <mergeCell ref="U10:V10"/>
    <mergeCell ref="W10:AC10"/>
    <mergeCell ref="AD10:AF10"/>
    <mergeCell ref="C11:E11"/>
    <mergeCell ref="F11:L11"/>
    <mergeCell ref="M11:T11"/>
    <mergeCell ref="U11:V11"/>
    <mergeCell ref="W11:AC11"/>
    <mergeCell ref="AD11:AF11"/>
    <mergeCell ref="C12:E12"/>
    <mergeCell ref="F12:L12"/>
    <mergeCell ref="M12:T12"/>
    <mergeCell ref="U12:V12"/>
    <mergeCell ref="W12:AC12"/>
    <mergeCell ref="AD12:AF12"/>
    <mergeCell ref="C13:E13"/>
    <mergeCell ref="F13:L13"/>
    <mergeCell ref="M13:T13"/>
    <mergeCell ref="U13:V13"/>
    <mergeCell ref="W13:AC13"/>
    <mergeCell ref="AD13:AF13"/>
    <mergeCell ref="C14:E14"/>
    <mergeCell ref="F14:L14"/>
    <mergeCell ref="M14:T14"/>
    <mergeCell ref="U14:V14"/>
    <mergeCell ref="W14:AC14"/>
    <mergeCell ref="AD14:AF14"/>
    <mergeCell ref="C15:E15"/>
    <mergeCell ref="F15:L15"/>
    <mergeCell ref="M15:T15"/>
    <mergeCell ref="U15:V15"/>
    <mergeCell ref="W15:AC15"/>
    <mergeCell ref="AD15:AF15"/>
    <mergeCell ref="C16:E16"/>
    <mergeCell ref="F16:L16"/>
    <mergeCell ref="M16:T16"/>
    <mergeCell ref="U16:V16"/>
    <mergeCell ref="W16:AC16"/>
    <mergeCell ref="AD16:AF16"/>
    <mergeCell ref="C17:E17"/>
    <mergeCell ref="F17:L17"/>
    <mergeCell ref="M17:T17"/>
    <mergeCell ref="U17:V17"/>
    <mergeCell ref="W17:AC17"/>
    <mergeCell ref="AD17:AF17"/>
    <mergeCell ref="C18:E18"/>
    <mergeCell ref="F18:L18"/>
    <mergeCell ref="M18:T18"/>
    <mergeCell ref="U18:V18"/>
    <mergeCell ref="W18:AC18"/>
    <mergeCell ref="AD18:AF18"/>
    <mergeCell ref="C19:E19"/>
    <mergeCell ref="F19:L19"/>
    <mergeCell ref="M19:T19"/>
    <mergeCell ref="U19:V19"/>
    <mergeCell ref="W19:AC19"/>
    <mergeCell ref="AD19:AF19"/>
    <mergeCell ref="C20:E20"/>
    <mergeCell ref="F20:L20"/>
    <mergeCell ref="M20:T20"/>
    <mergeCell ref="U20:V20"/>
    <mergeCell ref="W20:AC20"/>
    <mergeCell ref="AD20:AF20"/>
    <mergeCell ref="C21:E21"/>
    <mergeCell ref="F21:L21"/>
    <mergeCell ref="M21:T21"/>
    <mergeCell ref="U21:V21"/>
    <mergeCell ref="W21:AC21"/>
    <mergeCell ref="AD21:AF21"/>
    <mergeCell ref="C22:E22"/>
    <mergeCell ref="F22:L22"/>
    <mergeCell ref="M22:T22"/>
    <mergeCell ref="U22:V22"/>
    <mergeCell ref="W22:AC22"/>
    <mergeCell ref="AD22:AF22"/>
    <mergeCell ref="C23:E23"/>
    <mergeCell ref="F23:L23"/>
    <mergeCell ref="M23:T23"/>
    <mergeCell ref="U23:V23"/>
    <mergeCell ref="W23:AC23"/>
    <mergeCell ref="AD23:AF23"/>
    <mergeCell ref="C24:E24"/>
    <mergeCell ref="F24:L24"/>
    <mergeCell ref="M24:T24"/>
    <mergeCell ref="U24:V24"/>
    <mergeCell ref="W24:AC24"/>
    <mergeCell ref="AD24:AF24"/>
    <mergeCell ref="C25:E25"/>
    <mergeCell ref="F25:L25"/>
    <mergeCell ref="M25:T25"/>
    <mergeCell ref="U25:V25"/>
    <mergeCell ref="W25:AC25"/>
    <mergeCell ref="AD25:AF25"/>
    <mergeCell ref="C26:E26"/>
    <mergeCell ref="F26:L26"/>
    <mergeCell ref="M26:T26"/>
    <mergeCell ref="U26:V26"/>
    <mergeCell ref="W26:AC26"/>
    <mergeCell ref="AD26:AF26"/>
    <mergeCell ref="C27:E27"/>
    <mergeCell ref="F27:L27"/>
    <mergeCell ref="M27:T27"/>
    <mergeCell ref="U27:V27"/>
    <mergeCell ref="W27:AC27"/>
    <mergeCell ref="AD27:AF27"/>
    <mergeCell ref="C28:E28"/>
    <mergeCell ref="F28:L28"/>
    <mergeCell ref="M28:T28"/>
    <mergeCell ref="U28:V28"/>
    <mergeCell ref="W28:AC28"/>
    <mergeCell ref="AD28:AF28"/>
    <mergeCell ref="C29:E29"/>
    <mergeCell ref="F29:L29"/>
    <mergeCell ref="M29:T29"/>
    <mergeCell ref="U29:V29"/>
    <mergeCell ref="W29:AC29"/>
    <mergeCell ref="AD29:AF29"/>
    <mergeCell ref="C30:E30"/>
    <mergeCell ref="F30:L30"/>
    <mergeCell ref="M30:T30"/>
    <mergeCell ref="U30:V30"/>
    <mergeCell ref="W30:AC30"/>
    <mergeCell ref="AD30:AF30"/>
    <mergeCell ref="C31:E31"/>
    <mergeCell ref="F31:L31"/>
    <mergeCell ref="M31:T31"/>
    <mergeCell ref="U31:V31"/>
    <mergeCell ref="W31:AC31"/>
    <mergeCell ref="AD31:AF31"/>
    <mergeCell ref="C32:E32"/>
    <mergeCell ref="F32:L32"/>
    <mergeCell ref="M32:T32"/>
    <mergeCell ref="U32:V32"/>
    <mergeCell ref="W32:AC32"/>
    <mergeCell ref="AD32:AF32"/>
    <mergeCell ref="C33:E33"/>
    <mergeCell ref="F33:L33"/>
    <mergeCell ref="M33:T33"/>
    <mergeCell ref="U33:V33"/>
    <mergeCell ref="W33:AC33"/>
    <mergeCell ref="AD33:AF33"/>
    <mergeCell ref="C34:E34"/>
    <mergeCell ref="F34:L34"/>
    <mergeCell ref="M34:T34"/>
    <mergeCell ref="U34:V34"/>
    <mergeCell ref="W34:AC34"/>
    <mergeCell ref="AD34:AF34"/>
    <mergeCell ref="C35:E35"/>
    <mergeCell ref="F35:L35"/>
    <mergeCell ref="M35:T35"/>
    <mergeCell ref="U35:V35"/>
    <mergeCell ref="W35:AC35"/>
    <mergeCell ref="AD35:AF35"/>
    <mergeCell ref="C36:E36"/>
    <mergeCell ref="F36:L36"/>
    <mergeCell ref="M36:T36"/>
    <mergeCell ref="U36:V36"/>
    <mergeCell ref="W36:AC36"/>
    <mergeCell ref="AD36:AF36"/>
    <mergeCell ref="C37:E37"/>
    <mergeCell ref="F37:L37"/>
    <mergeCell ref="M37:T37"/>
    <mergeCell ref="U37:V37"/>
    <mergeCell ref="W37:AC37"/>
    <mergeCell ref="AD37:AF37"/>
    <mergeCell ref="C38:E38"/>
    <mergeCell ref="F38:L38"/>
    <mergeCell ref="M38:T38"/>
    <mergeCell ref="U38:V38"/>
    <mergeCell ref="W38:AC38"/>
    <mergeCell ref="AD38:AF38"/>
    <mergeCell ref="C39:E39"/>
    <mergeCell ref="F39:L39"/>
    <mergeCell ref="M39:T39"/>
    <mergeCell ref="U39:V39"/>
    <mergeCell ref="W39:AC39"/>
    <mergeCell ref="AD39:AF39"/>
    <mergeCell ref="C40:E40"/>
    <mergeCell ref="F40:L40"/>
    <mergeCell ref="M40:T40"/>
    <mergeCell ref="U40:V40"/>
    <mergeCell ref="W40:AC40"/>
    <mergeCell ref="AD40:AF40"/>
    <mergeCell ref="C41:E41"/>
    <mergeCell ref="F41:L41"/>
    <mergeCell ref="M41:T41"/>
    <mergeCell ref="U41:V41"/>
    <mergeCell ref="W41:AC41"/>
    <mergeCell ref="AD41:AF41"/>
    <mergeCell ref="C42:E42"/>
    <mergeCell ref="F42:L42"/>
    <mergeCell ref="M42:T42"/>
    <mergeCell ref="U42:V42"/>
    <mergeCell ref="W42:AC42"/>
    <mergeCell ref="AD42:AF42"/>
    <mergeCell ref="C43:E43"/>
    <mergeCell ref="F43:L43"/>
    <mergeCell ref="M43:T43"/>
    <mergeCell ref="U43:V43"/>
    <mergeCell ref="W43:AC43"/>
    <mergeCell ref="AD43:AF43"/>
    <mergeCell ref="C44:E44"/>
    <mergeCell ref="F44:L44"/>
    <mergeCell ref="M44:T44"/>
    <mergeCell ref="U44:V44"/>
    <mergeCell ref="W44:AC44"/>
    <mergeCell ref="AD44:AF44"/>
    <mergeCell ref="C45:E45"/>
    <mergeCell ref="F45:L45"/>
    <mergeCell ref="M45:T45"/>
    <mergeCell ref="U45:V45"/>
    <mergeCell ref="W45:AC45"/>
    <mergeCell ref="AD45:AF45"/>
    <mergeCell ref="C46:E46"/>
    <mergeCell ref="F46:L46"/>
    <mergeCell ref="M46:T46"/>
    <mergeCell ref="U46:V46"/>
    <mergeCell ref="W46:AC46"/>
    <mergeCell ref="AD46:AF46"/>
    <mergeCell ref="C47:E47"/>
    <mergeCell ref="F47:L47"/>
    <mergeCell ref="M47:T47"/>
    <mergeCell ref="U47:V47"/>
    <mergeCell ref="W47:AC47"/>
    <mergeCell ref="AD47:AF47"/>
    <mergeCell ref="C48:E48"/>
    <mergeCell ref="F48:L48"/>
    <mergeCell ref="M48:T48"/>
    <mergeCell ref="U48:V48"/>
    <mergeCell ref="W48:AC48"/>
    <mergeCell ref="AD48:AF48"/>
    <mergeCell ref="C49:E49"/>
    <mergeCell ref="F49:L49"/>
    <mergeCell ref="M49:T49"/>
    <mergeCell ref="U49:V49"/>
    <mergeCell ref="W49:AC49"/>
    <mergeCell ref="AD49:AF49"/>
    <mergeCell ref="C50:E50"/>
    <mergeCell ref="F50:L50"/>
    <mergeCell ref="M50:T50"/>
    <mergeCell ref="U50:V50"/>
    <mergeCell ref="W50:AC50"/>
    <mergeCell ref="AD50:AF50"/>
    <mergeCell ref="C51:E51"/>
    <mergeCell ref="F51:L51"/>
    <mergeCell ref="M51:T51"/>
    <mergeCell ref="U51:V51"/>
    <mergeCell ref="W51:AC51"/>
    <mergeCell ref="AD51:AF51"/>
    <mergeCell ref="B52:T52"/>
    <mergeCell ref="U52:V52"/>
    <mergeCell ref="W52:AC52"/>
    <mergeCell ref="AD52:AF52"/>
    <mergeCell ref="B54:AK54"/>
    <mergeCell ref="B56:C56"/>
    <mergeCell ref="D56:F56"/>
    <mergeCell ref="G56:L56"/>
    <mergeCell ref="M56:N56"/>
    <mergeCell ref="O56:Q56"/>
    <mergeCell ref="R56:AK56"/>
    <mergeCell ref="B57:C57"/>
    <mergeCell ref="D57:F57"/>
    <mergeCell ref="G57:L57"/>
    <mergeCell ref="M57:N57"/>
    <mergeCell ref="O57:Q57"/>
    <mergeCell ref="R57:AK57"/>
    <mergeCell ref="B58:C58"/>
    <mergeCell ref="D58:F58"/>
    <mergeCell ref="G58:L58"/>
    <mergeCell ref="M58:N58"/>
    <mergeCell ref="O58:Q58"/>
    <mergeCell ref="R58:AK58"/>
    <mergeCell ref="B59:C59"/>
    <mergeCell ref="D59:F59"/>
    <mergeCell ref="G59:L59"/>
    <mergeCell ref="M59:N59"/>
    <mergeCell ref="O59:Q59"/>
    <mergeCell ref="R59:AK59"/>
    <mergeCell ref="B60:C60"/>
    <mergeCell ref="D60:F60"/>
    <mergeCell ref="G60:L60"/>
    <mergeCell ref="M60:N60"/>
    <mergeCell ref="O60:Q60"/>
    <mergeCell ref="R60:AK60"/>
    <mergeCell ref="B61:C61"/>
    <mergeCell ref="D61:F61"/>
    <mergeCell ref="G61:L61"/>
    <mergeCell ref="M61:N61"/>
    <mergeCell ref="O61:Q61"/>
    <mergeCell ref="R61:AK61"/>
    <mergeCell ref="B62:C62"/>
    <mergeCell ref="D62:F62"/>
    <mergeCell ref="G62:L62"/>
    <mergeCell ref="M62:N62"/>
    <mergeCell ref="O62:Q62"/>
    <mergeCell ref="R62:AK62"/>
    <mergeCell ref="B64:AK64"/>
    <mergeCell ref="J2:P3"/>
    <mergeCell ref="Q2:U3"/>
    <mergeCell ref="V2:Y3"/>
    <mergeCell ref="Z2:AC3"/>
    <mergeCell ref="AD2:AG3"/>
    <mergeCell ref="AH2:AK3"/>
    <mergeCell ref="A2:I3"/>
  </mergeCells>
  <pageMargins left="0.75" right="0.75" top="1" bottom="1"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00"/>
  <sheetViews>
    <sheetView showGridLines="0" tabSelected="1" topLeftCell="A66" workbookViewId="0">
      <selection activeCell="AS67" sqref="AS67:AU67"/>
    </sheetView>
  </sheetViews>
  <sheetFormatPr defaultColWidth="14.4285714285714" defaultRowHeight="15" customHeight="1"/>
  <cols>
    <col min="1" max="69" width="4" customWidth="1"/>
  </cols>
  <sheetData>
    <row r="1" ht="22.5" customHeight="1" spans="1:69">
      <c r="A1" s="1" t="s">
        <v>239</v>
      </c>
      <c r="B1" s="2"/>
      <c r="C1" s="2"/>
      <c r="D1" s="2"/>
      <c r="E1" s="3"/>
      <c r="F1" s="4" t="s">
        <v>240</v>
      </c>
      <c r="G1" s="2"/>
      <c r="H1" s="2"/>
      <c r="I1" s="2"/>
      <c r="J1" s="2"/>
      <c r="K1" s="2"/>
      <c r="L1" s="2"/>
      <c r="M1" s="2"/>
      <c r="N1" s="2"/>
      <c r="O1" s="2"/>
      <c r="P1" s="2"/>
      <c r="Q1" s="3"/>
      <c r="R1" s="1" t="s">
        <v>241</v>
      </c>
      <c r="S1" s="2"/>
      <c r="T1" s="2"/>
      <c r="U1" s="2"/>
      <c r="V1" s="3"/>
      <c r="W1" s="4" t="s">
        <v>242</v>
      </c>
      <c r="X1" s="2"/>
      <c r="Y1" s="2"/>
      <c r="Z1" s="2"/>
      <c r="AA1" s="2"/>
      <c r="AB1" s="2"/>
      <c r="AC1" s="2"/>
      <c r="AD1" s="2"/>
      <c r="AE1" s="2"/>
      <c r="AF1" s="2"/>
      <c r="AG1" s="2"/>
      <c r="AH1" s="3"/>
    </row>
    <row r="2" ht="22.5" customHeight="1" spans="1:69">
      <c r="A2" s="1" t="s">
        <v>23</v>
      </c>
      <c r="B2" s="2"/>
      <c r="C2" s="2"/>
      <c r="D2" s="2"/>
      <c r="E2" s="3"/>
      <c r="F2" s="4" t="s">
        <v>16</v>
      </c>
      <c r="G2" s="2"/>
      <c r="H2" s="2"/>
      <c r="I2" s="2"/>
      <c r="J2" s="2"/>
      <c r="K2" s="2"/>
      <c r="L2" s="2"/>
      <c r="M2" s="2"/>
      <c r="N2" s="2"/>
      <c r="O2" s="2"/>
      <c r="P2" s="2"/>
      <c r="Q2" s="3"/>
      <c r="R2" s="1" t="s">
        <v>22</v>
      </c>
      <c r="S2" s="2"/>
      <c r="T2" s="2"/>
      <c r="U2" s="2"/>
      <c r="V2" s="3"/>
      <c r="W2" s="5" t="s">
        <v>8</v>
      </c>
      <c r="X2" s="2"/>
      <c r="Y2" s="2"/>
      <c r="Z2" s="2"/>
      <c r="AA2" s="2"/>
      <c r="AB2" s="2"/>
      <c r="AC2" s="2"/>
      <c r="AD2" s="2"/>
      <c r="AE2" s="2"/>
      <c r="AF2" s="2"/>
      <c r="AG2" s="2"/>
      <c r="AH2" s="3"/>
    </row>
    <row r="3" ht="22.5" customHeight="1" spans="1:69">
      <c r="A3" s="1" t="s">
        <v>13</v>
      </c>
      <c r="B3" s="2"/>
      <c r="C3" s="2"/>
      <c r="D3" s="2"/>
      <c r="E3" s="3"/>
      <c r="F3" s="4" t="s">
        <v>18</v>
      </c>
      <c r="G3" s="2"/>
      <c r="H3" s="2"/>
      <c r="I3" s="2"/>
      <c r="J3" s="2"/>
      <c r="K3" s="2"/>
      <c r="L3" s="2"/>
      <c r="M3" s="2"/>
      <c r="N3" s="2"/>
      <c r="O3" s="2"/>
      <c r="P3" s="2"/>
      <c r="Q3" s="3"/>
      <c r="R3" s="1" t="s">
        <v>243</v>
      </c>
      <c r="S3" s="2"/>
      <c r="T3" s="2"/>
      <c r="U3" s="2"/>
      <c r="V3" s="3"/>
      <c r="W3" s="5"/>
      <c r="X3" s="2"/>
      <c r="Y3" s="2"/>
      <c r="Z3" s="2"/>
      <c r="AA3" s="2"/>
      <c r="AB3" s="2"/>
      <c r="AC3" s="2"/>
      <c r="AD3" s="2"/>
      <c r="AE3" s="2"/>
      <c r="AF3" s="2"/>
      <c r="AG3" s="2"/>
      <c r="AH3" s="3"/>
    </row>
    <row r="4" ht="22.5" customHeight="1" spans="1:69">
      <c r="A4" s="1" t="s">
        <v>244</v>
      </c>
      <c r="B4" s="2"/>
      <c r="C4" s="2"/>
      <c r="D4" s="2"/>
      <c r="E4" s="3"/>
      <c r="F4" s="4" t="s">
        <v>245</v>
      </c>
      <c r="G4" s="2"/>
      <c r="H4" s="2"/>
      <c r="I4" s="2"/>
      <c r="J4" s="2"/>
      <c r="K4" s="2"/>
      <c r="L4" s="2"/>
      <c r="M4" s="2"/>
      <c r="N4" s="2"/>
      <c r="O4" s="2"/>
      <c r="P4" s="2"/>
      <c r="Q4" s="2"/>
      <c r="R4" s="2"/>
      <c r="S4" s="2"/>
      <c r="T4" s="2"/>
      <c r="U4" s="2"/>
      <c r="V4" s="2"/>
      <c r="W4" s="2"/>
      <c r="X4" s="2"/>
      <c r="Y4" s="2"/>
      <c r="Z4" s="2"/>
      <c r="AA4" s="2"/>
      <c r="AB4" s="2"/>
      <c r="AC4" s="2"/>
      <c r="AD4" s="2"/>
      <c r="AE4" s="2"/>
      <c r="AF4" s="2"/>
      <c r="AG4" s="2"/>
      <c r="AH4" s="3"/>
    </row>
    <row r="5" ht="22.5" customHeight="1" spans="1:69">
      <c r="A5" s="1" t="s">
        <v>246</v>
      </c>
      <c r="B5" s="2"/>
      <c r="C5" s="2"/>
      <c r="D5" s="2"/>
      <c r="E5" s="2"/>
      <c r="F5" s="2"/>
      <c r="G5" s="2"/>
      <c r="H5" s="2"/>
      <c r="I5" s="2"/>
      <c r="J5" s="2"/>
      <c r="K5" s="2"/>
      <c r="L5" s="2"/>
      <c r="M5" s="2"/>
      <c r="N5" s="2"/>
      <c r="O5" s="2"/>
      <c r="P5" s="2"/>
      <c r="Q5" s="2"/>
      <c r="R5" s="2"/>
      <c r="S5" s="3"/>
      <c r="T5" s="1" t="s">
        <v>59</v>
      </c>
      <c r="U5" s="2"/>
      <c r="V5" s="2"/>
      <c r="W5" s="2"/>
      <c r="X5" s="2"/>
      <c r="Y5" s="2"/>
      <c r="Z5" s="2"/>
      <c r="AA5" s="2"/>
      <c r="AB5" s="2"/>
      <c r="AC5" s="2"/>
      <c r="AD5" s="2"/>
      <c r="AE5" s="2"/>
      <c r="AF5" s="2"/>
      <c r="AG5" s="2"/>
      <c r="AH5" s="3"/>
    </row>
    <row r="6" ht="22.5" customHeight="1" spans="1:69">
      <c r="A6" s="1" t="s">
        <v>247</v>
      </c>
      <c r="B6" s="2"/>
      <c r="C6" s="2"/>
      <c r="D6" s="2"/>
      <c r="E6" s="2"/>
      <c r="F6" s="2"/>
      <c r="G6" s="3"/>
      <c r="H6" s="1" t="s">
        <v>60</v>
      </c>
      <c r="I6" s="2"/>
      <c r="J6" s="3"/>
      <c r="K6" s="1" t="s">
        <v>61</v>
      </c>
      <c r="L6" s="2"/>
      <c r="M6" s="3"/>
      <c r="N6" s="1" t="s">
        <v>248</v>
      </c>
      <c r="O6" s="2"/>
      <c r="P6" s="3"/>
      <c r="Q6" s="1" t="s">
        <v>58</v>
      </c>
      <c r="R6" s="2"/>
      <c r="S6" s="3"/>
      <c r="T6" s="1" t="s">
        <v>63</v>
      </c>
      <c r="U6" s="2"/>
      <c r="V6" s="3"/>
      <c r="W6" s="1" t="s">
        <v>64</v>
      </c>
      <c r="X6" s="2"/>
      <c r="Y6" s="3"/>
      <c r="Z6" s="1" t="s">
        <v>65</v>
      </c>
      <c r="AA6" s="2"/>
      <c r="AB6" s="3"/>
      <c r="AC6" s="1" t="s">
        <v>66</v>
      </c>
      <c r="AD6" s="2"/>
      <c r="AE6" s="3"/>
      <c r="AF6" s="1" t="s">
        <v>58</v>
      </c>
      <c r="AG6" s="2"/>
      <c r="AH6" s="3"/>
    </row>
    <row r="7" ht="22.5" customHeight="1" spans="1:69">
      <c r="A7" s="1" t="s">
        <v>249</v>
      </c>
      <c r="B7" s="2"/>
      <c r="C7" s="2"/>
      <c r="D7" s="2"/>
      <c r="E7" s="2"/>
      <c r="F7" s="2"/>
      <c r="G7" s="3"/>
      <c r="H7" s="6">
        <f t="shared" ref="H7:H8" si="0">COUNTIF($AE$12:$AF$1049,"N")</f>
        <v>42</v>
      </c>
      <c r="I7" s="2"/>
      <c r="J7" s="3"/>
      <c r="K7" s="6">
        <f t="shared" ref="K7:K8" si="1">COUNTIF($AE$12:$AF$1049,"A")</f>
        <v>30</v>
      </c>
      <c r="L7" s="2"/>
      <c r="M7" s="3"/>
      <c r="N7" s="6">
        <f t="shared" ref="N7:N8" si="2">COUNTIF($AE$12:$AF$1049,"B")</f>
        <v>6</v>
      </c>
      <c r="O7" s="2"/>
      <c r="P7" s="3"/>
      <c r="Q7" s="7">
        <f t="shared" ref="Q7:Q8" si="3">SUM(H7:P7)</f>
        <v>78</v>
      </c>
      <c r="R7" s="2"/>
      <c r="S7" s="3"/>
      <c r="T7" s="6">
        <f>COUNTIF($AG$12:$AI$1049,T$6)</f>
        <v>69</v>
      </c>
      <c r="U7" s="2"/>
      <c r="V7" s="3"/>
      <c r="W7" s="6">
        <f>COUNTIF($AG$12:$AI$1049,W$6)</f>
        <v>0</v>
      </c>
      <c r="X7" s="2"/>
      <c r="Y7" s="3"/>
      <c r="Z7" s="6">
        <f>COUNTIF($AG$12:$AI$1049,Z$6)</f>
        <v>3</v>
      </c>
      <c r="AA7" s="2"/>
      <c r="AB7" s="3"/>
      <c r="AC7" s="6">
        <f>COUNTIF($AG$12:$AI$1049,AC$6)</f>
        <v>6</v>
      </c>
      <c r="AD7" s="2"/>
      <c r="AE7" s="3"/>
      <c r="AF7" s="7">
        <f t="shared" ref="AF7:AF8" si="4">SUM(T7:AE7)</f>
        <v>78</v>
      </c>
      <c r="AG7" s="2"/>
      <c r="AH7" s="3"/>
    </row>
    <row r="8" ht="22.5" customHeight="1" spans="1:69">
      <c r="A8" s="1" t="s">
        <v>250</v>
      </c>
      <c r="B8" s="2"/>
      <c r="C8" s="2"/>
      <c r="D8" s="2"/>
      <c r="E8" s="2"/>
      <c r="F8" s="2"/>
      <c r="G8" s="3"/>
      <c r="H8" s="6">
        <f t="shared" si="0"/>
        <v>42</v>
      </c>
      <c r="I8" s="2"/>
      <c r="J8" s="3"/>
      <c r="K8" s="6">
        <f t="shared" si="1"/>
        <v>30</v>
      </c>
      <c r="L8" s="2"/>
      <c r="M8" s="3"/>
      <c r="N8" s="6">
        <f t="shared" si="2"/>
        <v>6</v>
      </c>
      <c r="O8" s="2"/>
      <c r="P8" s="3"/>
      <c r="Q8" s="7">
        <f t="shared" si="3"/>
        <v>78</v>
      </c>
      <c r="R8" s="2"/>
      <c r="S8" s="3"/>
      <c r="T8" s="6">
        <f>COUNTIF($AV$12:$AX$1049,T$6)</f>
        <v>72</v>
      </c>
      <c r="U8" s="2"/>
      <c r="V8" s="3"/>
      <c r="W8" s="6">
        <f>COUNTIF($AV$12:$AX$1049,W$6)</f>
        <v>0</v>
      </c>
      <c r="X8" s="2"/>
      <c r="Y8" s="3"/>
      <c r="Z8" s="6">
        <f>COUNTIF($AV$12:$AX$1049,Z$6)</f>
        <v>0</v>
      </c>
      <c r="AA8" s="2"/>
      <c r="AB8" s="3"/>
      <c r="AC8" s="6">
        <f>COUNTIF($AV$12:$AX$1049,AC$6)</f>
        <v>6</v>
      </c>
      <c r="AD8" s="2"/>
      <c r="AE8" s="3"/>
      <c r="AF8" s="7">
        <f t="shared" si="4"/>
        <v>78</v>
      </c>
      <c r="AG8" s="2"/>
      <c r="AH8" s="3"/>
    </row>
    <row r="9" ht="12.75" customHeight="1"/>
    <row r="10" ht="36" customHeight="1" spans="1:69">
      <c r="A10" s="8" t="s">
        <v>55</v>
      </c>
      <c r="B10" s="9" t="s">
        <v>251</v>
      </c>
      <c r="C10" s="10"/>
      <c r="D10" s="11"/>
      <c r="E10" s="9" t="s">
        <v>252</v>
      </c>
      <c r="F10" s="10"/>
      <c r="G10" s="10"/>
      <c r="H10" s="10"/>
      <c r="I10" s="11"/>
      <c r="J10" s="9" t="s">
        <v>253</v>
      </c>
      <c r="K10" s="10"/>
      <c r="L10" s="10"/>
      <c r="M10" s="10"/>
      <c r="N10" s="10"/>
      <c r="O10" s="10"/>
      <c r="P10" s="11"/>
      <c r="Q10" s="9" t="s">
        <v>254</v>
      </c>
      <c r="R10" s="10"/>
      <c r="S10" s="10"/>
      <c r="T10" s="10"/>
      <c r="U10" s="10"/>
      <c r="V10" s="10"/>
      <c r="W10" s="11"/>
      <c r="X10" s="9" t="s">
        <v>255</v>
      </c>
      <c r="Y10" s="10"/>
      <c r="Z10" s="10"/>
      <c r="AA10" s="10"/>
      <c r="AB10" s="10"/>
      <c r="AC10" s="10"/>
      <c r="AD10" s="11"/>
      <c r="AE10" s="9" t="s">
        <v>256</v>
      </c>
      <c r="AF10" s="11"/>
      <c r="AG10" s="1" t="s">
        <v>257</v>
      </c>
      <c r="AH10" s="2"/>
      <c r="AI10" s="2"/>
      <c r="AJ10" s="2"/>
      <c r="AK10" s="2"/>
      <c r="AL10" s="2"/>
      <c r="AM10" s="2"/>
      <c r="AN10" s="2"/>
      <c r="AO10" s="2"/>
      <c r="AP10" s="2"/>
      <c r="AQ10" s="2"/>
      <c r="AR10" s="2"/>
      <c r="AS10" s="2"/>
      <c r="AT10" s="2"/>
      <c r="AU10" s="3"/>
      <c r="AV10" s="1" t="s">
        <v>258</v>
      </c>
      <c r="AW10" s="2"/>
      <c r="AX10" s="2"/>
      <c r="AY10" s="2"/>
      <c r="AZ10" s="2"/>
      <c r="BA10" s="2"/>
      <c r="BB10" s="2"/>
      <c r="BC10" s="2"/>
      <c r="BD10" s="2"/>
      <c r="BE10" s="2"/>
      <c r="BF10" s="2"/>
      <c r="BG10" s="2"/>
      <c r="BH10" s="2"/>
      <c r="BI10" s="2"/>
      <c r="BJ10" s="3"/>
      <c r="BK10" s="9" t="s">
        <v>259</v>
      </c>
      <c r="BL10" s="10"/>
      <c r="BM10" s="10"/>
      <c r="BN10" s="10"/>
      <c r="BO10" s="10"/>
      <c r="BP10" s="10"/>
      <c r="BQ10" s="11"/>
    </row>
    <row r="11" ht="36" customHeight="1" spans="1:69">
      <c r="A11" s="12"/>
      <c r="B11" s="13"/>
      <c r="C11" s="14"/>
      <c r="D11" s="15"/>
      <c r="E11" s="13"/>
      <c r="F11" s="14"/>
      <c r="G11" s="14"/>
      <c r="H11" s="14"/>
      <c r="I11" s="15"/>
      <c r="J11" s="13"/>
      <c r="K11" s="14"/>
      <c r="L11" s="14"/>
      <c r="M11" s="14"/>
      <c r="N11" s="14"/>
      <c r="O11" s="14"/>
      <c r="P11" s="15"/>
      <c r="Q11" s="13"/>
      <c r="R11" s="14"/>
      <c r="S11" s="14"/>
      <c r="T11" s="14"/>
      <c r="U11" s="14"/>
      <c r="V11" s="14"/>
      <c r="W11" s="15"/>
      <c r="X11" s="13"/>
      <c r="Y11" s="14"/>
      <c r="Z11" s="14"/>
      <c r="AA11" s="14"/>
      <c r="AB11" s="14"/>
      <c r="AC11" s="14"/>
      <c r="AD11" s="15"/>
      <c r="AE11" s="13"/>
      <c r="AF11" s="15"/>
      <c r="AG11" s="1" t="s">
        <v>260</v>
      </c>
      <c r="AH11" s="2"/>
      <c r="AI11" s="3"/>
      <c r="AJ11" s="1" t="s">
        <v>261</v>
      </c>
      <c r="AK11" s="2"/>
      <c r="AL11" s="3"/>
      <c r="AM11" s="1" t="s">
        <v>11</v>
      </c>
      <c r="AN11" s="2"/>
      <c r="AO11" s="3"/>
      <c r="AP11" s="1" t="s">
        <v>262</v>
      </c>
      <c r="AQ11" s="2"/>
      <c r="AR11" s="3"/>
      <c r="AS11" s="1" t="s">
        <v>263</v>
      </c>
      <c r="AT11" s="2"/>
      <c r="AU11" s="3"/>
      <c r="AV11" s="1" t="s">
        <v>260</v>
      </c>
      <c r="AW11" s="2"/>
      <c r="AX11" s="3"/>
      <c r="AY11" s="1" t="s">
        <v>261</v>
      </c>
      <c r="AZ11" s="2"/>
      <c r="BA11" s="3"/>
      <c r="BB11" s="1" t="s">
        <v>11</v>
      </c>
      <c r="BC11" s="2"/>
      <c r="BD11" s="3"/>
      <c r="BE11" s="1" t="s">
        <v>262</v>
      </c>
      <c r="BF11" s="2"/>
      <c r="BG11" s="3"/>
      <c r="BH11" s="1" t="s">
        <v>263</v>
      </c>
      <c r="BI11" s="2"/>
      <c r="BJ11" s="3"/>
      <c r="BK11" s="13"/>
      <c r="BL11" s="14"/>
      <c r="BM11" s="14"/>
      <c r="BN11" s="14"/>
      <c r="BO11" s="14"/>
      <c r="BP11" s="14"/>
      <c r="BQ11" s="15"/>
    </row>
    <row r="12" ht="22.5" customHeight="1" spans="1:69">
      <c r="A12" s="16" t="s">
        <v>264</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3"/>
    </row>
    <row r="13" ht="409.5" customHeight="1" spans="1:69">
      <c r="A13" s="17">
        <v>1</v>
      </c>
      <c r="B13" s="18" t="s">
        <v>265</v>
      </c>
      <c r="C13" s="2"/>
      <c r="D13" s="3"/>
      <c r="E13" s="18" t="s">
        <v>266</v>
      </c>
      <c r="F13" s="2"/>
      <c r="G13" s="2"/>
      <c r="H13" s="2"/>
      <c r="I13" s="3"/>
      <c r="J13" s="18" t="s">
        <v>267</v>
      </c>
      <c r="K13" s="2"/>
      <c r="L13" s="2"/>
      <c r="M13" s="2"/>
      <c r="N13" s="2"/>
      <c r="O13" s="2"/>
      <c r="P13" s="3"/>
      <c r="Q13" s="18" t="s">
        <v>268</v>
      </c>
      <c r="R13" s="2"/>
      <c r="S13" s="2"/>
      <c r="T13" s="2"/>
      <c r="U13" s="2"/>
      <c r="V13" s="2"/>
      <c r="W13" s="3"/>
      <c r="X13" s="18" t="s">
        <v>269</v>
      </c>
      <c r="Y13" s="2"/>
      <c r="Z13" s="2"/>
      <c r="AA13" s="2"/>
      <c r="AB13" s="2"/>
      <c r="AC13" s="2"/>
      <c r="AD13" s="3"/>
      <c r="AE13" s="19" t="s">
        <v>213</v>
      </c>
      <c r="AF13" s="3"/>
      <c r="AG13" s="19" t="s">
        <v>63</v>
      </c>
      <c r="AH13" s="2"/>
      <c r="AI13" s="3"/>
      <c r="AJ13" s="19"/>
      <c r="AK13" s="2"/>
      <c r="AL13" s="3"/>
      <c r="AM13" s="19" t="s">
        <v>270</v>
      </c>
      <c r="AN13" s="2"/>
      <c r="AO13" s="3"/>
      <c r="AP13" s="20">
        <v>46159</v>
      </c>
      <c r="AQ13" s="2"/>
      <c r="AR13" s="3"/>
      <c r="AS13" s="19"/>
      <c r="AT13" s="2"/>
      <c r="AU13" s="3"/>
      <c r="AV13" s="19" t="s">
        <v>63</v>
      </c>
      <c r="AW13" s="2"/>
      <c r="AX13" s="3"/>
      <c r="AY13" s="19"/>
      <c r="AZ13" s="2"/>
      <c r="BA13" s="3"/>
      <c r="BB13" s="19" t="s">
        <v>271</v>
      </c>
      <c r="BC13" s="2"/>
      <c r="BD13" s="3"/>
      <c r="BE13" s="20">
        <v>46237</v>
      </c>
      <c r="BF13" s="2"/>
      <c r="BG13" s="3"/>
      <c r="BH13" s="19"/>
      <c r="BI13" s="2"/>
      <c r="BJ13" s="3"/>
      <c r="BK13" s="18" t="s">
        <v>272</v>
      </c>
      <c r="BL13" s="2"/>
      <c r="BM13" s="2"/>
      <c r="BN13" s="2"/>
      <c r="BO13" s="2"/>
      <c r="BP13" s="2"/>
      <c r="BQ13" s="3"/>
    </row>
    <row r="14" ht="271.5" customHeight="1" spans="1:69">
      <c r="A14" s="17">
        <v>2</v>
      </c>
      <c r="B14" s="18" t="s">
        <v>273</v>
      </c>
      <c r="C14" s="2"/>
      <c r="D14" s="3"/>
      <c r="E14" s="18" t="s">
        <v>274</v>
      </c>
      <c r="F14" s="2"/>
      <c r="G14" s="2"/>
      <c r="H14" s="2"/>
      <c r="I14" s="3"/>
      <c r="J14" s="18" t="s">
        <v>275</v>
      </c>
      <c r="K14" s="2"/>
      <c r="L14" s="2"/>
      <c r="M14" s="2"/>
      <c r="N14" s="2"/>
      <c r="O14" s="2"/>
      <c r="P14" s="3"/>
      <c r="Q14" s="18" t="s">
        <v>276</v>
      </c>
      <c r="R14" s="2"/>
      <c r="S14" s="2"/>
      <c r="T14" s="2"/>
      <c r="U14" s="2"/>
      <c r="V14" s="2"/>
      <c r="W14" s="3"/>
      <c r="X14" s="18" t="s">
        <v>277</v>
      </c>
      <c r="Y14" s="2"/>
      <c r="Z14" s="2"/>
      <c r="AA14" s="2"/>
      <c r="AB14" s="2"/>
      <c r="AC14" s="2"/>
      <c r="AD14" s="3"/>
      <c r="AE14" s="19" t="s">
        <v>213</v>
      </c>
      <c r="AF14" s="3"/>
      <c r="AG14" s="19" t="s">
        <v>63</v>
      </c>
      <c r="AH14" s="2"/>
      <c r="AI14" s="3"/>
      <c r="AJ14" s="19"/>
      <c r="AK14" s="2"/>
      <c r="AL14" s="3"/>
      <c r="AM14" s="19" t="s">
        <v>270</v>
      </c>
      <c r="AN14" s="2"/>
      <c r="AO14" s="3"/>
      <c r="AP14" s="20">
        <v>46159</v>
      </c>
      <c r="AQ14" s="2"/>
      <c r="AR14" s="3"/>
      <c r="AS14" s="19"/>
      <c r="AT14" s="2"/>
      <c r="AU14" s="3"/>
      <c r="AV14" s="19" t="s">
        <v>63</v>
      </c>
      <c r="AW14" s="2"/>
      <c r="AX14" s="3"/>
      <c r="AY14" s="19"/>
      <c r="AZ14" s="2"/>
      <c r="BA14" s="3"/>
      <c r="BB14" s="19" t="s">
        <v>271</v>
      </c>
      <c r="BC14" s="2"/>
      <c r="BD14" s="3"/>
      <c r="BE14" s="20">
        <v>46237</v>
      </c>
      <c r="BF14" s="2"/>
      <c r="BG14" s="3"/>
      <c r="BH14" s="19"/>
      <c r="BI14" s="2"/>
      <c r="BJ14" s="3"/>
      <c r="BK14" s="18" t="s">
        <v>278</v>
      </c>
      <c r="BL14" s="2"/>
      <c r="BM14" s="2"/>
      <c r="BN14" s="2"/>
      <c r="BO14" s="2"/>
      <c r="BP14" s="2"/>
      <c r="BQ14" s="3"/>
    </row>
    <row r="15" ht="409.5" customHeight="1" spans="1:69">
      <c r="A15" s="17">
        <v>3</v>
      </c>
      <c r="B15" s="18" t="s">
        <v>279</v>
      </c>
      <c r="C15" s="2"/>
      <c r="D15" s="3"/>
      <c r="E15" s="18" t="s">
        <v>280</v>
      </c>
      <c r="F15" s="2"/>
      <c r="G15" s="2"/>
      <c r="H15" s="2"/>
      <c r="I15" s="3"/>
      <c r="J15" s="18" t="s">
        <v>281</v>
      </c>
      <c r="K15" s="2"/>
      <c r="L15" s="2"/>
      <c r="M15" s="2"/>
      <c r="N15" s="2"/>
      <c r="O15" s="2"/>
      <c r="P15" s="3"/>
      <c r="Q15" s="18" t="s">
        <v>282</v>
      </c>
      <c r="R15" s="2"/>
      <c r="S15" s="2"/>
      <c r="T15" s="2"/>
      <c r="U15" s="2"/>
      <c r="V15" s="2"/>
      <c r="W15" s="3"/>
      <c r="X15" s="18" t="s">
        <v>283</v>
      </c>
      <c r="Y15" s="2"/>
      <c r="Z15" s="2"/>
      <c r="AA15" s="2"/>
      <c r="AB15" s="2"/>
      <c r="AC15" s="2"/>
      <c r="AD15" s="3"/>
      <c r="AE15" s="19" t="s">
        <v>284</v>
      </c>
      <c r="AF15" s="3"/>
      <c r="AG15" s="21" t="s">
        <v>63</v>
      </c>
      <c r="AH15" s="2"/>
      <c r="AI15" s="3"/>
      <c r="AJ15" s="22"/>
      <c r="AK15" s="2"/>
      <c r="AL15" s="3"/>
      <c r="AM15" s="21" t="s">
        <v>270</v>
      </c>
      <c r="AN15" s="2"/>
      <c r="AO15" s="3"/>
      <c r="AP15" s="23">
        <v>46159</v>
      </c>
      <c r="AQ15" s="2"/>
      <c r="AR15" s="3"/>
      <c r="AS15" s="19"/>
      <c r="AT15" s="2"/>
      <c r="AU15" s="3"/>
      <c r="AV15" s="19" t="s">
        <v>63</v>
      </c>
      <c r="AW15" s="2"/>
      <c r="AX15" s="3"/>
      <c r="AY15" s="19"/>
      <c r="AZ15" s="2"/>
      <c r="BA15" s="3"/>
      <c r="BB15" s="19" t="s">
        <v>271</v>
      </c>
      <c r="BC15" s="2"/>
      <c r="BD15" s="3"/>
      <c r="BE15" s="20">
        <v>46237</v>
      </c>
      <c r="BF15" s="2"/>
      <c r="BG15" s="3"/>
      <c r="BH15" s="19"/>
      <c r="BI15" s="2"/>
      <c r="BJ15" s="3"/>
      <c r="BK15" s="18"/>
      <c r="BL15" s="2"/>
      <c r="BM15" s="2"/>
      <c r="BN15" s="2"/>
      <c r="BO15" s="2"/>
      <c r="BP15" s="2"/>
      <c r="BQ15" s="3"/>
    </row>
    <row r="16" ht="409.5" customHeight="1" spans="1:69">
      <c r="A16" s="17">
        <v>4</v>
      </c>
      <c r="B16" s="18" t="s">
        <v>285</v>
      </c>
      <c r="C16" s="2"/>
      <c r="D16" s="3"/>
      <c r="E16" s="18" t="s">
        <v>286</v>
      </c>
      <c r="F16" s="2"/>
      <c r="G16" s="2"/>
      <c r="H16" s="2"/>
      <c r="I16" s="3"/>
      <c r="J16" s="18" t="s">
        <v>287</v>
      </c>
      <c r="K16" s="2"/>
      <c r="L16" s="2"/>
      <c r="M16" s="2"/>
      <c r="N16" s="2"/>
      <c r="O16" s="2"/>
      <c r="P16" s="3"/>
      <c r="Q16" s="18" t="s">
        <v>288</v>
      </c>
      <c r="R16" s="2"/>
      <c r="S16" s="2"/>
      <c r="T16" s="2"/>
      <c r="U16" s="2"/>
      <c r="V16" s="2"/>
      <c r="W16" s="3"/>
      <c r="X16" s="18" t="s">
        <v>289</v>
      </c>
      <c r="Y16" s="2"/>
      <c r="Z16" s="2"/>
      <c r="AA16" s="2"/>
      <c r="AB16" s="2"/>
      <c r="AC16" s="2"/>
      <c r="AD16" s="3"/>
      <c r="AE16" s="19" t="s">
        <v>284</v>
      </c>
      <c r="AF16" s="3"/>
      <c r="AG16" s="21" t="s">
        <v>63</v>
      </c>
      <c r="AH16" s="2"/>
      <c r="AI16" s="3"/>
      <c r="AJ16" s="22"/>
      <c r="AK16" s="2"/>
      <c r="AL16" s="3"/>
      <c r="AM16" s="21" t="s">
        <v>270</v>
      </c>
      <c r="AN16" s="2"/>
      <c r="AO16" s="3"/>
      <c r="AP16" s="23">
        <v>46159</v>
      </c>
      <c r="AQ16" s="2"/>
      <c r="AR16" s="3"/>
      <c r="AS16" s="19"/>
      <c r="AT16" s="2"/>
      <c r="AU16" s="3"/>
      <c r="AV16" s="19" t="s">
        <v>63</v>
      </c>
      <c r="AW16" s="2"/>
      <c r="AX16" s="3"/>
      <c r="AY16" s="19"/>
      <c r="AZ16" s="2"/>
      <c r="BA16" s="3"/>
      <c r="BB16" s="19" t="s">
        <v>271</v>
      </c>
      <c r="BC16" s="2"/>
      <c r="BD16" s="3"/>
      <c r="BE16" s="20">
        <v>46237</v>
      </c>
      <c r="BF16" s="2"/>
      <c r="BG16" s="3"/>
      <c r="BH16" s="19"/>
      <c r="BI16" s="2"/>
      <c r="BJ16" s="3"/>
      <c r="BK16" s="18"/>
      <c r="BL16" s="2"/>
      <c r="BM16" s="2"/>
      <c r="BN16" s="2"/>
      <c r="BO16" s="2"/>
      <c r="BP16" s="2"/>
      <c r="BQ16" s="3"/>
    </row>
    <row r="17" ht="409.5" customHeight="1" spans="1:69">
      <c r="A17" s="17">
        <v>5</v>
      </c>
      <c r="B17" s="18" t="s">
        <v>290</v>
      </c>
      <c r="C17" s="2"/>
      <c r="D17" s="3"/>
      <c r="E17" s="18" t="s">
        <v>291</v>
      </c>
      <c r="F17" s="2"/>
      <c r="G17" s="2"/>
      <c r="H17" s="2"/>
      <c r="I17" s="3"/>
      <c r="J17" s="18" t="s">
        <v>292</v>
      </c>
      <c r="K17" s="2"/>
      <c r="L17" s="2"/>
      <c r="M17" s="2"/>
      <c r="N17" s="2"/>
      <c r="O17" s="2"/>
      <c r="P17" s="3"/>
      <c r="Q17" s="18" t="s">
        <v>293</v>
      </c>
      <c r="R17" s="2"/>
      <c r="S17" s="2"/>
      <c r="T17" s="2"/>
      <c r="U17" s="2"/>
      <c r="V17" s="2"/>
      <c r="W17" s="3"/>
      <c r="X17" s="18" t="s">
        <v>294</v>
      </c>
      <c r="Y17" s="2"/>
      <c r="Z17" s="2"/>
      <c r="AA17" s="2"/>
      <c r="AB17" s="2"/>
      <c r="AC17" s="2"/>
      <c r="AD17" s="3"/>
      <c r="AE17" s="19" t="s">
        <v>284</v>
      </c>
      <c r="AF17" s="3"/>
      <c r="AG17" s="21" t="s">
        <v>63</v>
      </c>
      <c r="AH17" s="2"/>
      <c r="AI17" s="3"/>
      <c r="AJ17" s="22"/>
      <c r="AK17" s="2"/>
      <c r="AL17" s="3"/>
      <c r="AM17" s="21" t="s">
        <v>270</v>
      </c>
      <c r="AN17" s="2"/>
      <c r="AO17" s="3"/>
      <c r="AP17" s="23">
        <v>46159</v>
      </c>
      <c r="AQ17" s="2"/>
      <c r="AR17" s="3"/>
      <c r="AS17" s="19"/>
      <c r="AT17" s="2"/>
      <c r="AU17" s="3"/>
      <c r="AV17" s="19" t="s">
        <v>63</v>
      </c>
      <c r="AW17" s="2"/>
      <c r="AX17" s="3"/>
      <c r="AY17" s="19"/>
      <c r="AZ17" s="2"/>
      <c r="BA17" s="3"/>
      <c r="BB17" s="19" t="s">
        <v>271</v>
      </c>
      <c r="BC17" s="2"/>
      <c r="BD17" s="3"/>
      <c r="BE17" s="20">
        <v>46237</v>
      </c>
      <c r="BF17" s="2"/>
      <c r="BG17" s="3"/>
      <c r="BH17" s="19"/>
      <c r="BI17" s="2"/>
      <c r="BJ17" s="3"/>
      <c r="BK17" s="18" t="s">
        <v>295</v>
      </c>
      <c r="BL17" s="2"/>
      <c r="BM17" s="2"/>
      <c r="BN17" s="2"/>
      <c r="BO17" s="2"/>
      <c r="BP17" s="2"/>
      <c r="BQ17" s="3"/>
    </row>
    <row r="18" ht="22.5" customHeight="1" spans="1:69">
      <c r="A18" s="16" t="s">
        <v>296</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3"/>
    </row>
    <row r="19" ht="271.5" customHeight="1" spans="1:69">
      <c r="A19" s="17">
        <v>6</v>
      </c>
      <c r="B19" s="18" t="s">
        <v>297</v>
      </c>
      <c r="C19" s="2"/>
      <c r="D19" s="3"/>
      <c r="E19" s="18" t="s">
        <v>298</v>
      </c>
      <c r="F19" s="2"/>
      <c r="G19" s="2"/>
      <c r="H19" s="2"/>
      <c r="I19" s="3"/>
      <c r="J19" s="18" t="s">
        <v>299</v>
      </c>
      <c r="K19" s="2"/>
      <c r="L19" s="2"/>
      <c r="M19" s="2"/>
      <c r="N19" s="2"/>
      <c r="O19" s="2"/>
      <c r="P19" s="3"/>
      <c r="Q19" s="18" t="s">
        <v>300</v>
      </c>
      <c r="R19" s="2"/>
      <c r="S19" s="2"/>
      <c r="T19" s="2"/>
      <c r="U19" s="2"/>
      <c r="V19" s="2"/>
      <c r="W19" s="3"/>
      <c r="X19" s="18" t="s">
        <v>301</v>
      </c>
      <c r="Y19" s="2"/>
      <c r="Z19" s="2"/>
      <c r="AA19" s="2"/>
      <c r="AB19" s="2"/>
      <c r="AC19" s="2"/>
      <c r="AD19" s="3"/>
      <c r="AE19" s="19" t="s">
        <v>284</v>
      </c>
      <c r="AF19" s="3"/>
      <c r="AG19" s="21" t="s">
        <v>63</v>
      </c>
      <c r="AH19" s="2"/>
      <c r="AI19" s="3"/>
      <c r="AJ19" s="22"/>
      <c r="AK19" s="2"/>
      <c r="AL19" s="3"/>
      <c r="AM19" s="21" t="s">
        <v>270</v>
      </c>
      <c r="AN19" s="2"/>
      <c r="AO19" s="3"/>
      <c r="AP19" s="23">
        <v>46159</v>
      </c>
      <c r="AQ19" s="2"/>
      <c r="AR19" s="3"/>
      <c r="AS19" s="19"/>
      <c r="AT19" s="2"/>
      <c r="AU19" s="3"/>
      <c r="AV19" s="19" t="s">
        <v>63</v>
      </c>
      <c r="AW19" s="2"/>
      <c r="AX19" s="3"/>
      <c r="AY19" s="19"/>
      <c r="AZ19" s="2"/>
      <c r="BA19" s="3"/>
      <c r="BB19" s="19" t="s">
        <v>271</v>
      </c>
      <c r="BC19" s="2"/>
      <c r="BD19" s="3"/>
      <c r="BE19" s="20">
        <v>46237</v>
      </c>
      <c r="BF19" s="2"/>
      <c r="BG19" s="3"/>
      <c r="BH19" s="19"/>
      <c r="BI19" s="2"/>
      <c r="BJ19" s="3"/>
      <c r="BK19" s="18"/>
      <c r="BL19" s="2"/>
      <c r="BM19" s="2"/>
      <c r="BN19" s="2"/>
      <c r="BO19" s="2"/>
      <c r="BP19" s="2"/>
      <c r="BQ19" s="3"/>
    </row>
    <row r="20" ht="207.75" customHeight="1" spans="1:69">
      <c r="A20" s="17">
        <v>7</v>
      </c>
      <c r="B20" s="18" t="s">
        <v>302</v>
      </c>
      <c r="C20" s="2"/>
      <c r="D20" s="3"/>
      <c r="E20" s="18" t="s">
        <v>303</v>
      </c>
      <c r="F20" s="2"/>
      <c r="G20" s="2"/>
      <c r="H20" s="2"/>
      <c r="I20" s="3"/>
      <c r="J20" s="18" t="s">
        <v>304</v>
      </c>
      <c r="K20" s="2"/>
      <c r="L20" s="2"/>
      <c r="M20" s="2"/>
      <c r="N20" s="2"/>
      <c r="O20" s="2"/>
      <c r="P20" s="3"/>
      <c r="Q20" s="18" t="s">
        <v>305</v>
      </c>
      <c r="R20" s="2"/>
      <c r="S20" s="2"/>
      <c r="T20" s="2"/>
      <c r="U20" s="2"/>
      <c r="V20" s="2"/>
      <c r="W20" s="3"/>
      <c r="X20" s="18" t="s">
        <v>306</v>
      </c>
      <c r="Y20" s="2"/>
      <c r="Z20" s="2"/>
      <c r="AA20" s="2"/>
      <c r="AB20" s="2"/>
      <c r="AC20" s="2"/>
      <c r="AD20" s="3"/>
      <c r="AE20" s="19" t="s">
        <v>284</v>
      </c>
      <c r="AF20" s="3"/>
      <c r="AG20" s="21" t="s">
        <v>63</v>
      </c>
      <c r="AH20" s="2"/>
      <c r="AI20" s="3"/>
      <c r="AJ20" s="22"/>
      <c r="AK20" s="2"/>
      <c r="AL20" s="3"/>
      <c r="AM20" s="21" t="s">
        <v>270</v>
      </c>
      <c r="AN20" s="2"/>
      <c r="AO20" s="3"/>
      <c r="AP20" s="23">
        <v>46159</v>
      </c>
      <c r="AQ20" s="2"/>
      <c r="AR20" s="3"/>
      <c r="AS20" s="19"/>
      <c r="AT20" s="2"/>
      <c r="AU20" s="3"/>
      <c r="AV20" s="19" t="s">
        <v>63</v>
      </c>
      <c r="AW20" s="2"/>
      <c r="AX20" s="3"/>
      <c r="AY20" s="19"/>
      <c r="AZ20" s="2"/>
      <c r="BA20" s="3"/>
      <c r="BB20" s="19" t="s">
        <v>271</v>
      </c>
      <c r="BC20" s="2"/>
      <c r="BD20" s="3"/>
      <c r="BE20" s="20">
        <v>46237</v>
      </c>
      <c r="BF20" s="2"/>
      <c r="BG20" s="3"/>
      <c r="BH20" s="19"/>
      <c r="BI20" s="2"/>
      <c r="BJ20" s="3"/>
      <c r="BK20" s="18"/>
      <c r="BL20" s="2"/>
      <c r="BM20" s="2"/>
      <c r="BN20" s="2"/>
      <c r="BO20" s="2"/>
      <c r="BP20" s="2"/>
      <c r="BQ20" s="3"/>
    </row>
    <row r="21" ht="303.75" customHeight="1" spans="1:69">
      <c r="A21" s="17">
        <v>8</v>
      </c>
      <c r="B21" s="18" t="s">
        <v>307</v>
      </c>
      <c r="C21" s="2"/>
      <c r="D21" s="3"/>
      <c r="E21" s="18" t="s">
        <v>308</v>
      </c>
      <c r="F21" s="2"/>
      <c r="G21" s="2"/>
      <c r="H21" s="2"/>
      <c r="I21" s="3"/>
      <c r="J21" s="18" t="s">
        <v>309</v>
      </c>
      <c r="K21" s="2"/>
      <c r="L21" s="2"/>
      <c r="M21" s="2"/>
      <c r="N21" s="2"/>
      <c r="O21" s="2"/>
      <c r="P21" s="3"/>
      <c r="Q21" s="18" t="s">
        <v>310</v>
      </c>
      <c r="R21" s="2"/>
      <c r="S21" s="2"/>
      <c r="T21" s="2"/>
      <c r="U21" s="2"/>
      <c r="V21" s="2"/>
      <c r="W21" s="3"/>
      <c r="X21" s="18" t="s">
        <v>311</v>
      </c>
      <c r="Y21" s="2"/>
      <c r="Z21" s="2"/>
      <c r="AA21" s="2"/>
      <c r="AB21" s="2"/>
      <c r="AC21" s="2"/>
      <c r="AD21" s="3"/>
      <c r="AE21" s="19" t="s">
        <v>284</v>
      </c>
      <c r="AF21" s="3"/>
      <c r="AG21" s="21" t="s">
        <v>63</v>
      </c>
      <c r="AH21" s="2"/>
      <c r="AI21" s="3"/>
      <c r="AJ21" s="22"/>
      <c r="AK21" s="2"/>
      <c r="AL21" s="3"/>
      <c r="AM21" s="21" t="s">
        <v>270</v>
      </c>
      <c r="AN21" s="2"/>
      <c r="AO21" s="3"/>
      <c r="AP21" s="23">
        <v>46159</v>
      </c>
      <c r="AQ21" s="2"/>
      <c r="AR21" s="3"/>
      <c r="AS21" s="19"/>
      <c r="AT21" s="2"/>
      <c r="AU21" s="3"/>
      <c r="AV21" s="19" t="s">
        <v>63</v>
      </c>
      <c r="AW21" s="2"/>
      <c r="AX21" s="3"/>
      <c r="AY21" s="19"/>
      <c r="AZ21" s="2"/>
      <c r="BA21" s="3"/>
      <c r="BB21" s="19" t="s">
        <v>271</v>
      </c>
      <c r="BC21" s="2"/>
      <c r="BD21" s="3"/>
      <c r="BE21" s="20">
        <v>46237</v>
      </c>
      <c r="BF21" s="2"/>
      <c r="BG21" s="3"/>
      <c r="BH21" s="19"/>
      <c r="BI21" s="2"/>
      <c r="BJ21" s="3"/>
      <c r="BK21" s="18"/>
      <c r="BL21" s="2"/>
      <c r="BM21" s="2"/>
      <c r="BN21" s="2"/>
      <c r="BO21" s="2"/>
      <c r="BP21" s="2"/>
      <c r="BQ21" s="3"/>
    </row>
    <row r="22" ht="303.75" customHeight="1" spans="1:69">
      <c r="A22" s="17">
        <v>9</v>
      </c>
      <c r="B22" s="18" t="s">
        <v>312</v>
      </c>
      <c r="C22" s="2"/>
      <c r="D22" s="3"/>
      <c r="E22" s="18" t="s">
        <v>313</v>
      </c>
      <c r="F22" s="2"/>
      <c r="G22" s="2"/>
      <c r="H22" s="2"/>
      <c r="I22" s="3"/>
      <c r="J22" s="18" t="s">
        <v>309</v>
      </c>
      <c r="K22" s="2"/>
      <c r="L22" s="2"/>
      <c r="M22" s="2"/>
      <c r="N22" s="2"/>
      <c r="O22" s="2"/>
      <c r="P22" s="3"/>
      <c r="Q22" s="18" t="s">
        <v>314</v>
      </c>
      <c r="R22" s="2"/>
      <c r="S22" s="2"/>
      <c r="T22" s="2"/>
      <c r="U22" s="2"/>
      <c r="V22" s="2"/>
      <c r="W22" s="3"/>
      <c r="X22" s="18" t="s">
        <v>315</v>
      </c>
      <c r="Y22" s="2"/>
      <c r="Z22" s="2"/>
      <c r="AA22" s="2"/>
      <c r="AB22" s="2"/>
      <c r="AC22" s="2"/>
      <c r="AD22" s="3"/>
      <c r="AE22" s="19" t="s">
        <v>284</v>
      </c>
      <c r="AF22" s="3"/>
      <c r="AG22" s="21" t="s">
        <v>63</v>
      </c>
      <c r="AH22" s="2"/>
      <c r="AI22" s="3"/>
      <c r="AJ22" s="22"/>
      <c r="AK22" s="2"/>
      <c r="AL22" s="3"/>
      <c r="AM22" s="21" t="s">
        <v>270</v>
      </c>
      <c r="AN22" s="2"/>
      <c r="AO22" s="3"/>
      <c r="AP22" s="23">
        <v>46159</v>
      </c>
      <c r="AQ22" s="2"/>
      <c r="AR22" s="3"/>
      <c r="AS22" s="19"/>
      <c r="AT22" s="2"/>
      <c r="AU22" s="3"/>
      <c r="AV22" s="19" t="s">
        <v>63</v>
      </c>
      <c r="AW22" s="2"/>
      <c r="AX22" s="3"/>
      <c r="AY22" s="19"/>
      <c r="AZ22" s="2"/>
      <c r="BA22" s="3"/>
      <c r="BB22" s="19" t="s">
        <v>271</v>
      </c>
      <c r="BC22" s="2"/>
      <c r="BD22" s="3"/>
      <c r="BE22" s="20">
        <v>46237</v>
      </c>
      <c r="BF22" s="2"/>
      <c r="BG22" s="3"/>
      <c r="BH22" s="19"/>
      <c r="BI22" s="2"/>
      <c r="BJ22" s="3"/>
      <c r="BK22" s="18"/>
      <c r="BL22" s="2"/>
      <c r="BM22" s="2"/>
      <c r="BN22" s="2"/>
      <c r="BO22" s="2"/>
      <c r="BP22" s="2"/>
      <c r="BQ22" s="3"/>
    </row>
    <row r="23" ht="288" customHeight="1" spans="1:69">
      <c r="A23" s="17">
        <v>10</v>
      </c>
      <c r="B23" s="18" t="s">
        <v>316</v>
      </c>
      <c r="C23" s="2"/>
      <c r="D23" s="3"/>
      <c r="E23" s="18" t="s">
        <v>317</v>
      </c>
      <c r="F23" s="2"/>
      <c r="G23" s="2"/>
      <c r="H23" s="2"/>
      <c r="I23" s="3"/>
      <c r="J23" s="18" t="s">
        <v>318</v>
      </c>
      <c r="K23" s="2"/>
      <c r="L23" s="2"/>
      <c r="M23" s="2"/>
      <c r="N23" s="2"/>
      <c r="O23" s="2"/>
      <c r="P23" s="3"/>
      <c r="Q23" s="18" t="s">
        <v>319</v>
      </c>
      <c r="R23" s="2"/>
      <c r="S23" s="2"/>
      <c r="T23" s="2"/>
      <c r="U23" s="2"/>
      <c r="V23" s="2"/>
      <c r="W23" s="3"/>
      <c r="X23" s="18" t="s">
        <v>320</v>
      </c>
      <c r="Y23" s="2"/>
      <c r="Z23" s="2"/>
      <c r="AA23" s="2"/>
      <c r="AB23" s="2"/>
      <c r="AC23" s="2"/>
      <c r="AD23" s="3"/>
      <c r="AE23" s="19" t="s">
        <v>284</v>
      </c>
      <c r="AF23" s="3"/>
      <c r="AG23" s="21" t="s">
        <v>63</v>
      </c>
      <c r="AH23" s="2"/>
      <c r="AI23" s="3"/>
      <c r="AJ23" s="22"/>
      <c r="AK23" s="2"/>
      <c r="AL23" s="3"/>
      <c r="AM23" s="21" t="s">
        <v>270</v>
      </c>
      <c r="AN23" s="2"/>
      <c r="AO23" s="3"/>
      <c r="AP23" s="23">
        <v>46159</v>
      </c>
      <c r="AQ23" s="2"/>
      <c r="AR23" s="3"/>
      <c r="AS23" s="19"/>
      <c r="AT23" s="2"/>
      <c r="AU23" s="3"/>
      <c r="AV23" s="19" t="s">
        <v>63</v>
      </c>
      <c r="AW23" s="2"/>
      <c r="AX23" s="3"/>
      <c r="AY23" s="19"/>
      <c r="AZ23" s="2"/>
      <c r="BA23" s="3"/>
      <c r="BB23" s="19" t="s">
        <v>271</v>
      </c>
      <c r="BC23" s="2"/>
      <c r="BD23" s="3"/>
      <c r="BE23" s="20">
        <v>46237</v>
      </c>
      <c r="BF23" s="2"/>
      <c r="BG23" s="3"/>
      <c r="BH23" s="19"/>
      <c r="BI23" s="2"/>
      <c r="BJ23" s="3"/>
      <c r="BK23" s="18"/>
      <c r="BL23" s="2"/>
      <c r="BM23" s="2"/>
      <c r="BN23" s="2"/>
      <c r="BO23" s="2"/>
      <c r="BP23" s="2"/>
      <c r="BQ23" s="3"/>
    </row>
    <row r="24" ht="336" customHeight="1" spans="1:69">
      <c r="A24" s="17">
        <v>11</v>
      </c>
      <c r="B24" s="18" t="s">
        <v>321</v>
      </c>
      <c r="C24" s="2"/>
      <c r="D24" s="3"/>
      <c r="E24" s="18" t="s">
        <v>322</v>
      </c>
      <c r="F24" s="2"/>
      <c r="G24" s="2"/>
      <c r="H24" s="2"/>
      <c r="I24" s="3"/>
      <c r="J24" s="18" t="s">
        <v>323</v>
      </c>
      <c r="K24" s="2"/>
      <c r="L24" s="2"/>
      <c r="M24" s="2"/>
      <c r="N24" s="2"/>
      <c r="O24" s="2"/>
      <c r="P24" s="3"/>
      <c r="Q24" s="18" t="s">
        <v>324</v>
      </c>
      <c r="R24" s="2"/>
      <c r="S24" s="2"/>
      <c r="T24" s="2"/>
      <c r="U24" s="2"/>
      <c r="V24" s="2"/>
      <c r="W24" s="3"/>
      <c r="X24" s="18" t="s">
        <v>325</v>
      </c>
      <c r="Y24" s="2"/>
      <c r="Z24" s="2"/>
      <c r="AA24" s="2"/>
      <c r="AB24" s="2"/>
      <c r="AC24" s="2"/>
      <c r="AD24" s="3"/>
      <c r="AE24" s="19" t="s">
        <v>284</v>
      </c>
      <c r="AF24" s="3"/>
      <c r="AG24" s="21" t="s">
        <v>63</v>
      </c>
      <c r="AH24" s="2"/>
      <c r="AI24" s="3"/>
      <c r="AJ24" s="22"/>
      <c r="AK24" s="2"/>
      <c r="AL24" s="3"/>
      <c r="AM24" s="21" t="s">
        <v>270</v>
      </c>
      <c r="AN24" s="2"/>
      <c r="AO24" s="3"/>
      <c r="AP24" s="23">
        <v>46159</v>
      </c>
      <c r="AQ24" s="2"/>
      <c r="AR24" s="3"/>
      <c r="AS24" s="19"/>
      <c r="AT24" s="2"/>
      <c r="AU24" s="3"/>
      <c r="AV24" s="19" t="s">
        <v>63</v>
      </c>
      <c r="AW24" s="2"/>
      <c r="AX24" s="3"/>
      <c r="AY24" s="19"/>
      <c r="AZ24" s="2"/>
      <c r="BA24" s="3"/>
      <c r="BB24" s="19" t="s">
        <v>271</v>
      </c>
      <c r="BC24" s="2"/>
      <c r="BD24" s="3"/>
      <c r="BE24" s="20">
        <v>46237</v>
      </c>
      <c r="BF24" s="2"/>
      <c r="BG24" s="3"/>
      <c r="BH24" s="19"/>
      <c r="BI24" s="2"/>
      <c r="BJ24" s="3"/>
      <c r="BK24" s="18" t="s">
        <v>326</v>
      </c>
      <c r="BL24" s="2"/>
      <c r="BM24" s="2"/>
      <c r="BN24" s="2"/>
      <c r="BO24" s="2"/>
      <c r="BP24" s="2"/>
      <c r="BQ24" s="3"/>
    </row>
    <row r="25" ht="22.5" customHeight="1" spans="1:69">
      <c r="A25" s="16" t="s">
        <v>327</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3"/>
    </row>
    <row r="26" ht="111.75" customHeight="1" spans="1:69">
      <c r="A26" s="17">
        <v>12</v>
      </c>
      <c r="B26" s="18" t="s">
        <v>328</v>
      </c>
      <c r="C26" s="2"/>
      <c r="D26" s="3"/>
      <c r="E26" s="18" t="s">
        <v>329</v>
      </c>
      <c r="F26" s="2"/>
      <c r="G26" s="2"/>
      <c r="H26" s="2"/>
      <c r="I26" s="3"/>
      <c r="J26" s="18" t="s">
        <v>330</v>
      </c>
      <c r="K26" s="2"/>
      <c r="L26" s="2"/>
      <c r="M26" s="2"/>
      <c r="N26" s="2"/>
      <c r="O26" s="2"/>
      <c r="P26" s="3"/>
      <c r="Q26" s="18" t="s">
        <v>331</v>
      </c>
      <c r="R26" s="2"/>
      <c r="S26" s="2"/>
      <c r="T26" s="2"/>
      <c r="U26" s="2"/>
      <c r="V26" s="2"/>
      <c r="W26" s="3"/>
      <c r="X26" s="18" t="s">
        <v>332</v>
      </c>
      <c r="Y26" s="2"/>
      <c r="Z26" s="2"/>
      <c r="AA26" s="2"/>
      <c r="AB26" s="2"/>
      <c r="AC26" s="2"/>
      <c r="AD26" s="3"/>
      <c r="AE26" s="19" t="s">
        <v>284</v>
      </c>
      <c r="AF26" s="3"/>
      <c r="AG26" s="21" t="s">
        <v>63</v>
      </c>
      <c r="AH26" s="2"/>
      <c r="AI26" s="3"/>
      <c r="AJ26" s="22"/>
      <c r="AK26" s="2"/>
      <c r="AL26" s="3"/>
      <c r="AM26" s="21" t="s">
        <v>270</v>
      </c>
      <c r="AN26" s="2"/>
      <c r="AO26" s="3"/>
      <c r="AP26" s="23">
        <v>46159</v>
      </c>
      <c r="AQ26" s="2"/>
      <c r="AR26" s="3"/>
      <c r="AS26" s="19"/>
      <c r="AT26" s="2"/>
      <c r="AU26" s="3"/>
      <c r="AV26" s="19" t="s">
        <v>63</v>
      </c>
      <c r="AW26" s="2"/>
      <c r="AX26" s="3"/>
      <c r="AY26" s="19"/>
      <c r="AZ26" s="2"/>
      <c r="BA26" s="3"/>
      <c r="BB26" s="19" t="s">
        <v>271</v>
      </c>
      <c r="BC26" s="2"/>
      <c r="BD26" s="3"/>
      <c r="BE26" s="20">
        <v>46237</v>
      </c>
      <c r="BF26" s="2"/>
      <c r="BG26" s="3"/>
      <c r="BH26" s="19"/>
      <c r="BI26" s="2"/>
      <c r="BJ26" s="3"/>
      <c r="BK26" s="18"/>
      <c r="BL26" s="2"/>
      <c r="BM26" s="2"/>
      <c r="BN26" s="2"/>
      <c r="BO26" s="2"/>
      <c r="BP26" s="2"/>
      <c r="BQ26" s="3"/>
    </row>
    <row r="27" ht="240" customHeight="1" spans="1:69">
      <c r="A27" s="17">
        <v>13</v>
      </c>
      <c r="B27" s="18" t="s">
        <v>333</v>
      </c>
      <c r="C27" s="2"/>
      <c r="D27" s="3"/>
      <c r="E27" s="18" t="s">
        <v>334</v>
      </c>
      <c r="F27" s="2"/>
      <c r="G27" s="2"/>
      <c r="H27" s="2"/>
      <c r="I27" s="3"/>
      <c r="J27" s="18" t="s">
        <v>335</v>
      </c>
      <c r="K27" s="2"/>
      <c r="L27" s="2"/>
      <c r="M27" s="2"/>
      <c r="N27" s="2"/>
      <c r="O27" s="2"/>
      <c r="P27" s="3"/>
      <c r="Q27" s="18" t="s">
        <v>336</v>
      </c>
      <c r="R27" s="2"/>
      <c r="S27" s="2"/>
      <c r="T27" s="2"/>
      <c r="U27" s="2"/>
      <c r="V27" s="2"/>
      <c r="W27" s="3"/>
      <c r="X27" s="18" t="s">
        <v>337</v>
      </c>
      <c r="Y27" s="2"/>
      <c r="Z27" s="2"/>
      <c r="AA27" s="2"/>
      <c r="AB27" s="2"/>
      <c r="AC27" s="2"/>
      <c r="AD27" s="3"/>
      <c r="AE27" s="19" t="s">
        <v>284</v>
      </c>
      <c r="AF27" s="3"/>
      <c r="AG27" s="21" t="s">
        <v>63</v>
      </c>
      <c r="AH27" s="2"/>
      <c r="AI27" s="3"/>
      <c r="AJ27" s="22"/>
      <c r="AK27" s="2"/>
      <c r="AL27" s="3"/>
      <c r="AM27" s="21" t="s">
        <v>270</v>
      </c>
      <c r="AN27" s="2"/>
      <c r="AO27" s="3"/>
      <c r="AP27" s="23">
        <v>46159</v>
      </c>
      <c r="AQ27" s="2"/>
      <c r="AR27" s="3"/>
      <c r="AS27" s="19"/>
      <c r="AT27" s="2"/>
      <c r="AU27" s="3"/>
      <c r="AV27" s="19" t="s">
        <v>63</v>
      </c>
      <c r="AW27" s="2"/>
      <c r="AX27" s="3"/>
      <c r="AY27" s="19"/>
      <c r="AZ27" s="2"/>
      <c r="BA27" s="3"/>
      <c r="BB27" s="19" t="s">
        <v>271</v>
      </c>
      <c r="BC27" s="2"/>
      <c r="BD27" s="3"/>
      <c r="BE27" s="20">
        <v>46237</v>
      </c>
      <c r="BF27" s="2"/>
      <c r="BG27" s="3"/>
      <c r="BH27" s="19"/>
      <c r="BI27" s="2"/>
      <c r="BJ27" s="3"/>
      <c r="BK27" s="18"/>
      <c r="BL27" s="2"/>
      <c r="BM27" s="2"/>
      <c r="BN27" s="2"/>
      <c r="BO27" s="2"/>
      <c r="BP27" s="2"/>
      <c r="BQ27" s="3"/>
    </row>
    <row r="28" ht="192" customHeight="1" spans="1:69">
      <c r="A28" s="17">
        <v>14</v>
      </c>
      <c r="B28" s="18" t="s">
        <v>338</v>
      </c>
      <c r="C28" s="2"/>
      <c r="D28" s="3"/>
      <c r="E28" s="18" t="s">
        <v>339</v>
      </c>
      <c r="F28" s="2"/>
      <c r="G28" s="2"/>
      <c r="H28" s="2"/>
      <c r="I28" s="3"/>
      <c r="J28" s="18" t="s">
        <v>309</v>
      </c>
      <c r="K28" s="2"/>
      <c r="L28" s="2"/>
      <c r="M28" s="2"/>
      <c r="N28" s="2"/>
      <c r="O28" s="2"/>
      <c r="P28" s="3"/>
      <c r="Q28" s="18" t="s">
        <v>340</v>
      </c>
      <c r="R28" s="2"/>
      <c r="S28" s="2"/>
      <c r="T28" s="2"/>
      <c r="U28" s="2"/>
      <c r="V28" s="2"/>
      <c r="W28" s="3"/>
      <c r="X28" s="18" t="s">
        <v>341</v>
      </c>
      <c r="Y28" s="2"/>
      <c r="Z28" s="2"/>
      <c r="AA28" s="2"/>
      <c r="AB28" s="2"/>
      <c r="AC28" s="2"/>
      <c r="AD28" s="3"/>
      <c r="AE28" s="19" t="s">
        <v>284</v>
      </c>
      <c r="AF28" s="3"/>
      <c r="AG28" s="21" t="s">
        <v>63</v>
      </c>
      <c r="AH28" s="2"/>
      <c r="AI28" s="3"/>
      <c r="AJ28" s="22"/>
      <c r="AK28" s="2"/>
      <c r="AL28" s="3"/>
      <c r="AM28" s="21" t="s">
        <v>270</v>
      </c>
      <c r="AN28" s="2"/>
      <c r="AO28" s="3"/>
      <c r="AP28" s="23">
        <v>46159</v>
      </c>
      <c r="AQ28" s="2"/>
      <c r="AR28" s="3"/>
      <c r="AS28" s="19"/>
      <c r="AT28" s="2"/>
      <c r="AU28" s="3"/>
      <c r="AV28" s="19" t="s">
        <v>63</v>
      </c>
      <c r="AW28" s="2"/>
      <c r="AX28" s="3"/>
      <c r="AY28" s="19"/>
      <c r="AZ28" s="2"/>
      <c r="BA28" s="3"/>
      <c r="BB28" s="19" t="s">
        <v>271</v>
      </c>
      <c r="BC28" s="2"/>
      <c r="BD28" s="3"/>
      <c r="BE28" s="20">
        <v>46237</v>
      </c>
      <c r="BF28" s="2"/>
      <c r="BG28" s="3"/>
      <c r="BH28" s="19"/>
      <c r="BI28" s="2"/>
      <c r="BJ28" s="3"/>
      <c r="BK28" s="18"/>
      <c r="BL28" s="2"/>
      <c r="BM28" s="2"/>
      <c r="BN28" s="2"/>
      <c r="BO28" s="2"/>
      <c r="BP28" s="2"/>
      <c r="BQ28" s="3"/>
    </row>
    <row r="29" ht="240" customHeight="1" spans="1:69">
      <c r="A29" s="17">
        <v>15</v>
      </c>
      <c r="B29" s="18" t="s">
        <v>342</v>
      </c>
      <c r="C29" s="2"/>
      <c r="D29" s="3"/>
      <c r="E29" s="18" t="s">
        <v>343</v>
      </c>
      <c r="F29" s="2"/>
      <c r="G29" s="2"/>
      <c r="H29" s="2"/>
      <c r="I29" s="3"/>
      <c r="J29" s="18" t="s">
        <v>309</v>
      </c>
      <c r="K29" s="2"/>
      <c r="L29" s="2"/>
      <c r="M29" s="2"/>
      <c r="N29" s="2"/>
      <c r="O29" s="2"/>
      <c r="P29" s="3"/>
      <c r="Q29" s="18" t="s">
        <v>344</v>
      </c>
      <c r="R29" s="2"/>
      <c r="S29" s="2"/>
      <c r="T29" s="2"/>
      <c r="U29" s="2"/>
      <c r="V29" s="2"/>
      <c r="W29" s="3"/>
      <c r="X29" s="18" t="s">
        <v>345</v>
      </c>
      <c r="Y29" s="2"/>
      <c r="Z29" s="2"/>
      <c r="AA29" s="2"/>
      <c r="AB29" s="2"/>
      <c r="AC29" s="2"/>
      <c r="AD29" s="3"/>
      <c r="AE29" s="19" t="s">
        <v>284</v>
      </c>
      <c r="AF29" s="3"/>
      <c r="AG29" s="21" t="s">
        <v>63</v>
      </c>
      <c r="AH29" s="2"/>
      <c r="AI29" s="3"/>
      <c r="AJ29" s="22"/>
      <c r="AK29" s="2"/>
      <c r="AL29" s="3"/>
      <c r="AM29" s="21" t="s">
        <v>270</v>
      </c>
      <c r="AN29" s="2"/>
      <c r="AO29" s="3"/>
      <c r="AP29" s="23">
        <v>46159</v>
      </c>
      <c r="AQ29" s="2"/>
      <c r="AR29" s="3"/>
      <c r="AS29" s="19"/>
      <c r="AT29" s="2"/>
      <c r="AU29" s="3"/>
      <c r="AV29" s="19" t="s">
        <v>63</v>
      </c>
      <c r="AW29" s="2"/>
      <c r="AX29" s="3"/>
      <c r="AY29" s="19"/>
      <c r="AZ29" s="2"/>
      <c r="BA29" s="3"/>
      <c r="BB29" s="19" t="s">
        <v>271</v>
      </c>
      <c r="BC29" s="2"/>
      <c r="BD29" s="3"/>
      <c r="BE29" s="20">
        <v>46237</v>
      </c>
      <c r="BF29" s="2"/>
      <c r="BG29" s="3"/>
      <c r="BH29" s="19"/>
      <c r="BI29" s="2"/>
      <c r="BJ29" s="3"/>
      <c r="BK29" s="18" t="s">
        <v>346</v>
      </c>
      <c r="BL29" s="2"/>
      <c r="BM29" s="2"/>
      <c r="BN29" s="2"/>
      <c r="BO29" s="2"/>
      <c r="BP29" s="2"/>
      <c r="BQ29" s="3"/>
    </row>
    <row r="30" ht="22.5" customHeight="1" spans="1:69">
      <c r="A30" s="16" t="s">
        <v>347</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3"/>
    </row>
    <row r="31" ht="207.75" customHeight="1" spans="1:69">
      <c r="A31" s="17">
        <v>16</v>
      </c>
      <c r="B31" s="18" t="s">
        <v>348</v>
      </c>
      <c r="C31" s="2"/>
      <c r="D31" s="3"/>
      <c r="E31" s="18" t="s">
        <v>349</v>
      </c>
      <c r="F31" s="2"/>
      <c r="G31" s="2"/>
      <c r="H31" s="2"/>
      <c r="I31" s="3"/>
      <c r="J31" s="18" t="s">
        <v>309</v>
      </c>
      <c r="K31" s="2"/>
      <c r="L31" s="2"/>
      <c r="M31" s="2"/>
      <c r="N31" s="2"/>
      <c r="O31" s="2"/>
      <c r="P31" s="3"/>
      <c r="Q31" s="18" t="s">
        <v>350</v>
      </c>
      <c r="R31" s="2"/>
      <c r="S31" s="2"/>
      <c r="T31" s="2"/>
      <c r="U31" s="2"/>
      <c r="V31" s="2"/>
      <c r="W31" s="3"/>
      <c r="X31" s="18" t="s">
        <v>351</v>
      </c>
      <c r="Y31" s="2"/>
      <c r="Z31" s="2"/>
      <c r="AA31" s="2"/>
      <c r="AB31" s="2"/>
      <c r="AC31" s="2"/>
      <c r="AD31" s="3"/>
      <c r="AE31" s="19" t="s">
        <v>284</v>
      </c>
      <c r="AF31" s="3"/>
      <c r="AG31" s="21" t="s">
        <v>63</v>
      </c>
      <c r="AH31" s="2"/>
      <c r="AI31" s="3"/>
      <c r="AJ31" s="22"/>
      <c r="AK31" s="2"/>
      <c r="AL31" s="3"/>
      <c r="AM31" s="21" t="s">
        <v>270</v>
      </c>
      <c r="AN31" s="2"/>
      <c r="AO31" s="3"/>
      <c r="AP31" s="23">
        <v>46159</v>
      </c>
      <c r="AQ31" s="2"/>
      <c r="AR31" s="3"/>
      <c r="AS31" s="19"/>
      <c r="AT31" s="2"/>
      <c r="AU31" s="3"/>
      <c r="AV31" s="19" t="s">
        <v>63</v>
      </c>
      <c r="AW31" s="2"/>
      <c r="AX31" s="3"/>
      <c r="AY31" s="19"/>
      <c r="AZ31" s="2"/>
      <c r="BA31" s="3"/>
      <c r="BB31" s="19" t="s">
        <v>271</v>
      </c>
      <c r="BC31" s="2"/>
      <c r="BD31" s="3"/>
      <c r="BE31" s="20">
        <v>46237</v>
      </c>
      <c r="BF31" s="2"/>
      <c r="BG31" s="3"/>
      <c r="BH31" s="19"/>
      <c r="BI31" s="2"/>
      <c r="BJ31" s="3"/>
      <c r="BK31" s="18"/>
      <c r="BL31" s="2"/>
      <c r="BM31" s="2"/>
      <c r="BN31" s="2"/>
      <c r="BO31" s="2"/>
      <c r="BP31" s="2"/>
      <c r="BQ31" s="3"/>
    </row>
    <row r="32" ht="336" customHeight="1" spans="1:69">
      <c r="A32" s="17">
        <v>17</v>
      </c>
      <c r="B32" s="18" t="s">
        <v>352</v>
      </c>
      <c r="C32" s="2"/>
      <c r="D32" s="3"/>
      <c r="E32" s="18" t="s">
        <v>353</v>
      </c>
      <c r="F32" s="2"/>
      <c r="G32" s="2"/>
      <c r="H32" s="2"/>
      <c r="I32" s="3"/>
      <c r="J32" s="18" t="s">
        <v>354</v>
      </c>
      <c r="K32" s="2"/>
      <c r="L32" s="2"/>
      <c r="M32" s="2"/>
      <c r="N32" s="2"/>
      <c r="O32" s="2"/>
      <c r="P32" s="3"/>
      <c r="Q32" s="18" t="s">
        <v>355</v>
      </c>
      <c r="R32" s="2"/>
      <c r="S32" s="2"/>
      <c r="T32" s="2"/>
      <c r="U32" s="2"/>
      <c r="V32" s="2"/>
      <c r="W32" s="3"/>
      <c r="X32" s="18" t="s">
        <v>356</v>
      </c>
      <c r="Y32" s="2"/>
      <c r="Z32" s="2"/>
      <c r="AA32" s="2"/>
      <c r="AB32" s="2"/>
      <c r="AC32" s="2"/>
      <c r="AD32" s="3"/>
      <c r="AE32" s="19" t="s">
        <v>213</v>
      </c>
      <c r="AF32" s="3"/>
      <c r="AG32" s="21" t="s">
        <v>63</v>
      </c>
      <c r="AH32" s="2"/>
      <c r="AI32" s="3"/>
      <c r="AJ32" s="22"/>
      <c r="AK32" s="2"/>
      <c r="AL32" s="3"/>
      <c r="AM32" s="21" t="s">
        <v>270</v>
      </c>
      <c r="AN32" s="2"/>
      <c r="AO32" s="3"/>
      <c r="AP32" s="23">
        <v>46159</v>
      </c>
      <c r="AQ32" s="2"/>
      <c r="AR32" s="3"/>
      <c r="AS32" s="19"/>
      <c r="AT32" s="2"/>
      <c r="AU32" s="3"/>
      <c r="AV32" s="19" t="s">
        <v>63</v>
      </c>
      <c r="AW32" s="2"/>
      <c r="AX32" s="3"/>
      <c r="AY32" s="19"/>
      <c r="AZ32" s="2"/>
      <c r="BA32" s="3"/>
      <c r="BB32" s="19" t="s">
        <v>271</v>
      </c>
      <c r="BC32" s="2"/>
      <c r="BD32" s="3"/>
      <c r="BE32" s="20">
        <v>46237</v>
      </c>
      <c r="BF32" s="2"/>
      <c r="BG32" s="3"/>
      <c r="BH32" s="19"/>
      <c r="BI32" s="2"/>
      <c r="BJ32" s="3"/>
      <c r="BK32" s="18"/>
      <c r="BL32" s="2"/>
      <c r="BM32" s="2"/>
      <c r="BN32" s="2"/>
      <c r="BO32" s="2"/>
      <c r="BP32" s="2"/>
      <c r="BQ32" s="3"/>
    </row>
    <row r="33" ht="271.5" customHeight="1" spans="1:69">
      <c r="A33" s="17">
        <v>18</v>
      </c>
      <c r="B33" s="18" t="s">
        <v>357</v>
      </c>
      <c r="C33" s="2"/>
      <c r="D33" s="3"/>
      <c r="E33" s="18" t="s">
        <v>358</v>
      </c>
      <c r="F33" s="2"/>
      <c r="G33" s="2"/>
      <c r="H33" s="2"/>
      <c r="I33" s="3"/>
      <c r="J33" s="18" t="s">
        <v>359</v>
      </c>
      <c r="K33" s="2"/>
      <c r="L33" s="2"/>
      <c r="M33" s="2"/>
      <c r="N33" s="2"/>
      <c r="O33" s="2"/>
      <c r="P33" s="3"/>
      <c r="Q33" s="18" t="s">
        <v>360</v>
      </c>
      <c r="R33" s="2"/>
      <c r="S33" s="2"/>
      <c r="T33" s="2"/>
      <c r="U33" s="2"/>
      <c r="V33" s="2"/>
      <c r="W33" s="3"/>
      <c r="X33" s="18" t="s">
        <v>361</v>
      </c>
      <c r="Y33" s="2"/>
      <c r="Z33" s="2"/>
      <c r="AA33" s="2"/>
      <c r="AB33" s="2"/>
      <c r="AC33" s="2"/>
      <c r="AD33" s="3"/>
      <c r="AE33" s="19" t="s">
        <v>217</v>
      </c>
      <c r="AF33" s="3"/>
      <c r="AG33" s="21" t="s">
        <v>63</v>
      </c>
      <c r="AH33" s="2"/>
      <c r="AI33" s="3"/>
      <c r="AJ33" s="22"/>
      <c r="AK33" s="2"/>
      <c r="AL33" s="3"/>
      <c r="AM33" s="21" t="s">
        <v>270</v>
      </c>
      <c r="AN33" s="2"/>
      <c r="AO33" s="3"/>
      <c r="AP33" s="23">
        <v>46159</v>
      </c>
      <c r="AQ33" s="2"/>
      <c r="AR33" s="3"/>
      <c r="AS33" s="19"/>
      <c r="AT33" s="2"/>
      <c r="AU33" s="3"/>
      <c r="AV33" s="19" t="s">
        <v>63</v>
      </c>
      <c r="AW33" s="2"/>
      <c r="AX33" s="3"/>
      <c r="AY33" s="19"/>
      <c r="AZ33" s="2"/>
      <c r="BA33" s="3"/>
      <c r="BB33" s="19" t="s">
        <v>271</v>
      </c>
      <c r="BC33" s="2"/>
      <c r="BD33" s="3"/>
      <c r="BE33" s="20">
        <v>46237</v>
      </c>
      <c r="BF33" s="2"/>
      <c r="BG33" s="3"/>
      <c r="BH33" s="19"/>
      <c r="BI33" s="2"/>
      <c r="BJ33" s="3"/>
      <c r="BK33" s="18"/>
      <c r="BL33" s="2"/>
      <c r="BM33" s="2"/>
      <c r="BN33" s="2"/>
      <c r="BO33" s="2"/>
      <c r="BP33" s="2"/>
      <c r="BQ33" s="3"/>
    </row>
    <row r="34" ht="271.5" customHeight="1" spans="1:69">
      <c r="A34" s="17">
        <v>19</v>
      </c>
      <c r="B34" s="18" t="s">
        <v>362</v>
      </c>
      <c r="C34" s="2"/>
      <c r="D34" s="3"/>
      <c r="E34" s="18" t="s">
        <v>363</v>
      </c>
      <c r="F34" s="2"/>
      <c r="G34" s="2"/>
      <c r="H34" s="2"/>
      <c r="I34" s="3"/>
      <c r="J34" s="18" t="s">
        <v>359</v>
      </c>
      <c r="K34" s="2"/>
      <c r="L34" s="2"/>
      <c r="M34" s="2"/>
      <c r="N34" s="2"/>
      <c r="O34" s="2"/>
      <c r="P34" s="3"/>
      <c r="Q34" s="18" t="s">
        <v>364</v>
      </c>
      <c r="R34" s="2"/>
      <c r="S34" s="2"/>
      <c r="T34" s="2"/>
      <c r="U34" s="2"/>
      <c r="V34" s="2"/>
      <c r="W34" s="3"/>
      <c r="X34" s="18" t="s">
        <v>365</v>
      </c>
      <c r="Y34" s="2"/>
      <c r="Z34" s="2"/>
      <c r="AA34" s="2"/>
      <c r="AB34" s="2"/>
      <c r="AC34" s="2"/>
      <c r="AD34" s="3"/>
      <c r="AE34" s="19" t="s">
        <v>284</v>
      </c>
      <c r="AF34" s="3"/>
      <c r="AG34" s="21" t="s">
        <v>63</v>
      </c>
      <c r="AH34" s="2"/>
      <c r="AI34" s="3"/>
      <c r="AJ34" s="22"/>
      <c r="AK34" s="2"/>
      <c r="AL34" s="3"/>
      <c r="AM34" s="21" t="s">
        <v>270</v>
      </c>
      <c r="AN34" s="2"/>
      <c r="AO34" s="3"/>
      <c r="AP34" s="23">
        <v>46159</v>
      </c>
      <c r="AQ34" s="2"/>
      <c r="AR34" s="3"/>
      <c r="AS34" s="19"/>
      <c r="AT34" s="2"/>
      <c r="AU34" s="3"/>
      <c r="AV34" s="19" t="s">
        <v>63</v>
      </c>
      <c r="AW34" s="2"/>
      <c r="AX34" s="3"/>
      <c r="AY34" s="19"/>
      <c r="AZ34" s="2"/>
      <c r="BA34" s="3"/>
      <c r="BB34" s="19" t="s">
        <v>271</v>
      </c>
      <c r="BC34" s="2"/>
      <c r="BD34" s="3"/>
      <c r="BE34" s="20">
        <v>46237</v>
      </c>
      <c r="BF34" s="2"/>
      <c r="BG34" s="3"/>
      <c r="BH34" s="19"/>
      <c r="BI34" s="2"/>
      <c r="BJ34" s="3"/>
      <c r="BK34" s="18"/>
      <c r="BL34" s="2"/>
      <c r="BM34" s="2"/>
      <c r="BN34" s="2"/>
      <c r="BO34" s="2"/>
      <c r="BP34" s="2"/>
      <c r="BQ34" s="3"/>
    </row>
    <row r="35" ht="409.5" customHeight="1" spans="1:69">
      <c r="A35" s="17">
        <v>20</v>
      </c>
      <c r="B35" s="18" t="s">
        <v>366</v>
      </c>
      <c r="C35" s="2"/>
      <c r="D35" s="3"/>
      <c r="E35" s="18" t="s">
        <v>367</v>
      </c>
      <c r="F35" s="2"/>
      <c r="G35" s="2"/>
      <c r="H35" s="2"/>
      <c r="I35" s="3"/>
      <c r="J35" s="18" t="s">
        <v>368</v>
      </c>
      <c r="K35" s="2"/>
      <c r="L35" s="2"/>
      <c r="M35" s="2"/>
      <c r="N35" s="2"/>
      <c r="O35" s="2"/>
      <c r="P35" s="3"/>
      <c r="Q35" s="18" t="s">
        <v>369</v>
      </c>
      <c r="R35" s="2"/>
      <c r="S35" s="2"/>
      <c r="T35" s="2"/>
      <c r="U35" s="2"/>
      <c r="V35" s="2"/>
      <c r="W35" s="3"/>
      <c r="X35" s="18" t="s">
        <v>370</v>
      </c>
      <c r="Y35" s="2"/>
      <c r="Z35" s="2"/>
      <c r="AA35" s="2"/>
      <c r="AB35" s="2"/>
      <c r="AC35" s="2"/>
      <c r="AD35" s="3"/>
      <c r="AE35" s="19" t="s">
        <v>213</v>
      </c>
      <c r="AF35" s="3"/>
      <c r="AG35" s="21" t="s">
        <v>63</v>
      </c>
      <c r="AH35" s="2"/>
      <c r="AI35" s="3"/>
      <c r="AJ35" s="22"/>
      <c r="AK35" s="2"/>
      <c r="AL35" s="3"/>
      <c r="AM35" s="21" t="s">
        <v>270</v>
      </c>
      <c r="AN35" s="2"/>
      <c r="AO35" s="3"/>
      <c r="AP35" s="23">
        <v>46159</v>
      </c>
      <c r="AQ35" s="2"/>
      <c r="AR35" s="3"/>
      <c r="AS35" s="19"/>
      <c r="AT35" s="2"/>
      <c r="AU35" s="3"/>
      <c r="AV35" s="19" t="s">
        <v>63</v>
      </c>
      <c r="AW35" s="2"/>
      <c r="AX35" s="3"/>
      <c r="AY35" s="19"/>
      <c r="AZ35" s="2"/>
      <c r="BA35" s="3"/>
      <c r="BB35" s="19" t="s">
        <v>271</v>
      </c>
      <c r="BC35" s="2"/>
      <c r="BD35" s="3"/>
      <c r="BE35" s="20">
        <v>46237</v>
      </c>
      <c r="BF35" s="2"/>
      <c r="BG35" s="3"/>
      <c r="BH35" s="19"/>
      <c r="BI35" s="2"/>
      <c r="BJ35" s="3"/>
      <c r="BK35" s="18" t="s">
        <v>371</v>
      </c>
      <c r="BL35" s="2"/>
      <c r="BM35" s="2"/>
      <c r="BN35" s="2"/>
      <c r="BO35" s="2"/>
      <c r="BP35" s="2"/>
      <c r="BQ35" s="3"/>
    </row>
    <row r="36" ht="192" customHeight="1" spans="1:69">
      <c r="A36" s="24">
        <v>21</v>
      </c>
      <c r="B36" s="25" t="s">
        <v>372</v>
      </c>
      <c r="C36" s="2"/>
      <c r="D36" s="3"/>
      <c r="E36" s="25" t="s">
        <v>373</v>
      </c>
      <c r="F36" s="2"/>
      <c r="G36" s="2"/>
      <c r="H36" s="2"/>
      <c r="I36" s="3"/>
      <c r="J36" s="25" t="s">
        <v>359</v>
      </c>
      <c r="K36" s="2"/>
      <c r="L36" s="2"/>
      <c r="M36" s="2"/>
      <c r="N36" s="2"/>
      <c r="O36" s="2"/>
      <c r="P36" s="3"/>
      <c r="Q36" s="25" t="s">
        <v>374</v>
      </c>
      <c r="R36" s="2"/>
      <c r="S36" s="2"/>
      <c r="T36" s="2"/>
      <c r="U36" s="2"/>
      <c r="V36" s="2"/>
      <c r="W36" s="3"/>
      <c r="X36" s="25" t="s">
        <v>375</v>
      </c>
      <c r="Y36" s="2"/>
      <c r="Z36" s="2"/>
      <c r="AA36" s="2"/>
      <c r="AB36" s="2"/>
      <c r="AC36" s="2"/>
      <c r="AD36" s="3"/>
      <c r="AE36" s="26" t="s">
        <v>284</v>
      </c>
      <c r="AF36" s="3"/>
      <c r="AG36" s="19" t="s">
        <v>66</v>
      </c>
      <c r="AH36" s="2"/>
      <c r="AI36" s="3"/>
      <c r="AJ36" s="19"/>
      <c r="AK36" s="2"/>
      <c r="AL36" s="3"/>
      <c r="AM36" s="19"/>
      <c r="AN36" s="2"/>
      <c r="AO36" s="3"/>
      <c r="AP36" s="19"/>
      <c r="AQ36" s="2"/>
      <c r="AR36" s="3"/>
      <c r="AS36" s="19"/>
      <c r="AT36" s="2"/>
      <c r="AU36" s="3"/>
      <c r="AV36" s="19" t="s">
        <v>66</v>
      </c>
      <c r="AW36" s="2"/>
      <c r="AX36" s="3"/>
      <c r="AY36" s="19"/>
      <c r="AZ36" s="2"/>
      <c r="BA36" s="3"/>
      <c r="BB36" s="19"/>
      <c r="BC36" s="2"/>
      <c r="BD36" s="3"/>
      <c r="BE36" s="19"/>
      <c r="BF36" s="2"/>
      <c r="BG36" s="3"/>
      <c r="BH36" s="19"/>
      <c r="BI36" s="2"/>
      <c r="BJ36" s="3"/>
      <c r="BK36" s="18"/>
      <c r="BL36" s="2"/>
      <c r="BM36" s="2"/>
      <c r="BN36" s="2"/>
      <c r="BO36" s="2"/>
      <c r="BP36" s="2"/>
      <c r="BQ36" s="3"/>
    </row>
    <row r="37" ht="384" customHeight="1" spans="1:69">
      <c r="A37" s="17">
        <v>22</v>
      </c>
      <c r="B37" s="18" t="s">
        <v>376</v>
      </c>
      <c r="C37" s="2"/>
      <c r="D37" s="3"/>
      <c r="E37" s="18" t="s">
        <v>377</v>
      </c>
      <c r="F37" s="2"/>
      <c r="G37" s="2"/>
      <c r="H37" s="2"/>
      <c r="I37" s="3"/>
      <c r="J37" s="18" t="s">
        <v>378</v>
      </c>
      <c r="K37" s="2"/>
      <c r="L37" s="2"/>
      <c r="M37" s="2"/>
      <c r="N37" s="2"/>
      <c r="O37" s="2"/>
      <c r="P37" s="3"/>
      <c r="Q37" s="18" t="s">
        <v>379</v>
      </c>
      <c r="R37" s="2"/>
      <c r="S37" s="2"/>
      <c r="T37" s="2"/>
      <c r="U37" s="2"/>
      <c r="V37" s="2"/>
      <c r="W37" s="3"/>
      <c r="X37" s="18" t="s">
        <v>380</v>
      </c>
      <c r="Y37" s="2"/>
      <c r="Z37" s="2"/>
      <c r="AA37" s="2"/>
      <c r="AB37" s="2"/>
      <c r="AC37" s="2"/>
      <c r="AD37" s="3"/>
      <c r="AE37" s="19" t="s">
        <v>213</v>
      </c>
      <c r="AF37" s="3"/>
      <c r="AG37" s="21" t="s">
        <v>63</v>
      </c>
      <c r="AH37" s="2"/>
      <c r="AI37" s="3"/>
      <c r="AJ37" s="22"/>
      <c r="AK37" s="2"/>
      <c r="AL37" s="3"/>
      <c r="AM37" s="21" t="s">
        <v>270</v>
      </c>
      <c r="AN37" s="2"/>
      <c r="AO37" s="3"/>
      <c r="AP37" s="23">
        <v>46159</v>
      </c>
      <c r="AQ37" s="2"/>
      <c r="AR37" s="3"/>
      <c r="AS37" s="19"/>
      <c r="AT37" s="2"/>
      <c r="AU37" s="3"/>
      <c r="AV37" s="19" t="s">
        <v>63</v>
      </c>
      <c r="AW37" s="2"/>
      <c r="AX37" s="3"/>
      <c r="AY37" s="19"/>
      <c r="AZ37" s="2"/>
      <c r="BA37" s="3"/>
      <c r="BB37" s="19" t="s">
        <v>271</v>
      </c>
      <c r="BC37" s="2"/>
      <c r="BD37" s="3"/>
      <c r="BE37" s="20">
        <v>46237</v>
      </c>
      <c r="BF37" s="2"/>
      <c r="BG37" s="3"/>
      <c r="BH37" s="19"/>
      <c r="BI37" s="2"/>
      <c r="BJ37" s="3"/>
      <c r="BK37" s="18"/>
      <c r="BL37" s="2"/>
      <c r="BM37" s="2"/>
      <c r="BN37" s="2"/>
      <c r="BO37" s="2"/>
      <c r="BP37" s="2"/>
      <c r="BQ37" s="3"/>
    </row>
    <row r="38" ht="192" customHeight="1" spans="1:69">
      <c r="A38" s="17">
        <v>23</v>
      </c>
      <c r="B38" s="18" t="s">
        <v>381</v>
      </c>
      <c r="C38" s="2"/>
      <c r="D38" s="3"/>
      <c r="E38" s="18" t="s">
        <v>382</v>
      </c>
      <c r="F38" s="2"/>
      <c r="G38" s="2"/>
      <c r="H38" s="2"/>
      <c r="I38" s="3"/>
      <c r="J38" s="18" t="s">
        <v>368</v>
      </c>
      <c r="K38" s="2"/>
      <c r="L38" s="2"/>
      <c r="M38" s="2"/>
      <c r="N38" s="2"/>
      <c r="O38" s="2"/>
      <c r="P38" s="3"/>
      <c r="Q38" s="18" t="s">
        <v>383</v>
      </c>
      <c r="R38" s="2"/>
      <c r="S38" s="2"/>
      <c r="T38" s="2"/>
      <c r="U38" s="2"/>
      <c r="V38" s="2"/>
      <c r="W38" s="3"/>
      <c r="X38" s="18" t="s">
        <v>384</v>
      </c>
      <c r="Y38" s="2"/>
      <c r="Z38" s="2"/>
      <c r="AA38" s="2"/>
      <c r="AB38" s="2"/>
      <c r="AC38" s="2"/>
      <c r="AD38" s="3"/>
      <c r="AE38" s="19" t="s">
        <v>213</v>
      </c>
      <c r="AF38" s="3"/>
      <c r="AG38" s="21" t="s">
        <v>63</v>
      </c>
      <c r="AH38" s="2"/>
      <c r="AI38" s="3"/>
      <c r="AJ38" s="22"/>
      <c r="AK38" s="2"/>
      <c r="AL38" s="3"/>
      <c r="AM38" s="21" t="s">
        <v>270</v>
      </c>
      <c r="AN38" s="2"/>
      <c r="AO38" s="3"/>
      <c r="AP38" s="23">
        <v>46159</v>
      </c>
      <c r="AQ38" s="2"/>
      <c r="AR38" s="3"/>
      <c r="AS38" s="19"/>
      <c r="AT38" s="2"/>
      <c r="AU38" s="3"/>
      <c r="AV38" s="19" t="s">
        <v>63</v>
      </c>
      <c r="AW38" s="2"/>
      <c r="AX38" s="3"/>
      <c r="AY38" s="19"/>
      <c r="AZ38" s="2"/>
      <c r="BA38" s="3"/>
      <c r="BB38" s="19" t="s">
        <v>271</v>
      </c>
      <c r="BC38" s="2"/>
      <c r="BD38" s="3"/>
      <c r="BE38" s="20">
        <v>46237</v>
      </c>
      <c r="BF38" s="2"/>
      <c r="BG38" s="3"/>
      <c r="BH38" s="19"/>
      <c r="BI38" s="2"/>
      <c r="BJ38" s="3"/>
      <c r="BK38" s="18"/>
      <c r="BL38" s="2"/>
      <c r="BM38" s="2"/>
      <c r="BN38" s="2"/>
      <c r="BO38" s="2"/>
      <c r="BP38" s="2"/>
      <c r="BQ38" s="3"/>
    </row>
    <row r="39" ht="288" customHeight="1" spans="1:69">
      <c r="A39" s="17">
        <v>24</v>
      </c>
      <c r="B39" s="18" t="s">
        <v>385</v>
      </c>
      <c r="C39" s="2"/>
      <c r="D39" s="3"/>
      <c r="E39" s="18" t="s">
        <v>386</v>
      </c>
      <c r="F39" s="2"/>
      <c r="G39" s="2"/>
      <c r="H39" s="2"/>
      <c r="I39" s="3"/>
      <c r="J39" s="18" t="s">
        <v>359</v>
      </c>
      <c r="K39" s="2"/>
      <c r="L39" s="2"/>
      <c r="M39" s="2"/>
      <c r="N39" s="2"/>
      <c r="O39" s="2"/>
      <c r="P39" s="3"/>
      <c r="Q39" s="18" t="s">
        <v>387</v>
      </c>
      <c r="R39" s="2"/>
      <c r="S39" s="2"/>
      <c r="T39" s="2"/>
      <c r="U39" s="2"/>
      <c r="V39" s="2"/>
      <c r="W39" s="3"/>
      <c r="X39" s="18" t="s">
        <v>388</v>
      </c>
      <c r="Y39" s="2"/>
      <c r="Z39" s="2"/>
      <c r="AA39" s="2"/>
      <c r="AB39" s="2"/>
      <c r="AC39" s="2"/>
      <c r="AD39" s="3"/>
      <c r="AE39" s="19" t="s">
        <v>217</v>
      </c>
      <c r="AF39" s="3"/>
      <c r="AG39" s="21" t="s">
        <v>63</v>
      </c>
      <c r="AH39" s="2"/>
      <c r="AI39" s="3"/>
      <c r="AJ39" s="22"/>
      <c r="AK39" s="2"/>
      <c r="AL39" s="3"/>
      <c r="AM39" s="21" t="s">
        <v>270</v>
      </c>
      <c r="AN39" s="2"/>
      <c r="AO39" s="3"/>
      <c r="AP39" s="23">
        <v>46159</v>
      </c>
      <c r="AQ39" s="2"/>
      <c r="AR39" s="3"/>
      <c r="AS39" s="19"/>
      <c r="AT39" s="2"/>
      <c r="AU39" s="3"/>
      <c r="AV39" s="19" t="s">
        <v>63</v>
      </c>
      <c r="AW39" s="2"/>
      <c r="AX39" s="3"/>
      <c r="AY39" s="19"/>
      <c r="AZ39" s="2"/>
      <c r="BA39" s="3"/>
      <c r="BB39" s="19" t="s">
        <v>271</v>
      </c>
      <c r="BC39" s="2"/>
      <c r="BD39" s="3"/>
      <c r="BE39" s="20">
        <v>46237</v>
      </c>
      <c r="BF39" s="2"/>
      <c r="BG39" s="3"/>
      <c r="BH39" s="19"/>
      <c r="BI39" s="2"/>
      <c r="BJ39" s="3"/>
      <c r="BK39" s="18"/>
      <c r="BL39" s="2"/>
      <c r="BM39" s="2"/>
      <c r="BN39" s="2"/>
      <c r="BO39" s="2"/>
      <c r="BP39" s="2"/>
      <c r="BQ39" s="3"/>
    </row>
    <row r="40" ht="96" customHeight="1" spans="1:69">
      <c r="A40" s="17">
        <v>25</v>
      </c>
      <c r="B40" s="18" t="s">
        <v>389</v>
      </c>
      <c r="C40" s="2"/>
      <c r="D40" s="3"/>
      <c r="E40" s="18" t="s">
        <v>390</v>
      </c>
      <c r="F40" s="2"/>
      <c r="G40" s="2"/>
      <c r="H40" s="2"/>
      <c r="I40" s="3"/>
      <c r="J40" s="18" t="s">
        <v>359</v>
      </c>
      <c r="K40" s="2"/>
      <c r="L40" s="2"/>
      <c r="M40" s="2"/>
      <c r="N40" s="2"/>
      <c r="O40" s="2"/>
      <c r="P40" s="3"/>
      <c r="Q40" s="18" t="s">
        <v>391</v>
      </c>
      <c r="R40" s="2"/>
      <c r="S40" s="2"/>
      <c r="T40" s="2"/>
      <c r="U40" s="2"/>
      <c r="V40" s="2"/>
      <c r="W40" s="3"/>
      <c r="X40" s="18" t="s">
        <v>392</v>
      </c>
      <c r="Y40" s="2"/>
      <c r="Z40" s="2"/>
      <c r="AA40" s="2"/>
      <c r="AB40" s="2"/>
      <c r="AC40" s="2"/>
      <c r="AD40" s="3"/>
      <c r="AE40" s="19" t="s">
        <v>284</v>
      </c>
      <c r="AF40" s="3"/>
      <c r="AG40" s="21" t="s">
        <v>63</v>
      </c>
      <c r="AH40" s="2"/>
      <c r="AI40" s="3"/>
      <c r="AJ40" s="22"/>
      <c r="AK40" s="2"/>
      <c r="AL40" s="3"/>
      <c r="AM40" s="21" t="s">
        <v>270</v>
      </c>
      <c r="AN40" s="2"/>
      <c r="AO40" s="3"/>
      <c r="AP40" s="23">
        <v>46159</v>
      </c>
      <c r="AQ40" s="2"/>
      <c r="AR40" s="3"/>
      <c r="AS40" s="19"/>
      <c r="AT40" s="2"/>
      <c r="AU40" s="3"/>
      <c r="AV40" s="19" t="s">
        <v>63</v>
      </c>
      <c r="AW40" s="2"/>
      <c r="AX40" s="3"/>
      <c r="AY40" s="19"/>
      <c r="AZ40" s="2"/>
      <c r="BA40" s="3"/>
      <c r="BB40" s="19" t="s">
        <v>271</v>
      </c>
      <c r="BC40" s="2"/>
      <c r="BD40" s="3"/>
      <c r="BE40" s="20">
        <v>46237</v>
      </c>
      <c r="BF40" s="2"/>
      <c r="BG40" s="3"/>
      <c r="BH40" s="19"/>
      <c r="BI40" s="2"/>
      <c r="BJ40" s="3"/>
      <c r="BK40" s="18"/>
      <c r="BL40" s="2"/>
      <c r="BM40" s="2"/>
      <c r="BN40" s="2"/>
      <c r="BO40" s="2"/>
      <c r="BP40" s="2"/>
      <c r="BQ40" s="3"/>
    </row>
    <row r="41" ht="240" customHeight="1" spans="1:69">
      <c r="A41" s="17">
        <v>26</v>
      </c>
      <c r="B41" s="18" t="s">
        <v>393</v>
      </c>
      <c r="C41" s="2"/>
      <c r="D41" s="3"/>
      <c r="E41" s="18" t="s">
        <v>394</v>
      </c>
      <c r="F41" s="2"/>
      <c r="G41" s="2"/>
      <c r="H41" s="2"/>
      <c r="I41" s="3"/>
      <c r="J41" s="18" t="s">
        <v>359</v>
      </c>
      <c r="K41" s="2"/>
      <c r="L41" s="2"/>
      <c r="M41" s="2"/>
      <c r="N41" s="2"/>
      <c r="O41" s="2"/>
      <c r="P41" s="3"/>
      <c r="Q41" s="18" t="s">
        <v>395</v>
      </c>
      <c r="R41" s="2"/>
      <c r="S41" s="2"/>
      <c r="T41" s="2"/>
      <c r="U41" s="2"/>
      <c r="V41" s="2"/>
      <c r="W41" s="3"/>
      <c r="X41" s="18" t="s">
        <v>396</v>
      </c>
      <c r="Y41" s="2"/>
      <c r="Z41" s="2"/>
      <c r="AA41" s="2"/>
      <c r="AB41" s="2"/>
      <c r="AC41" s="2"/>
      <c r="AD41" s="3"/>
      <c r="AE41" s="19" t="s">
        <v>284</v>
      </c>
      <c r="AF41" s="3"/>
      <c r="AG41" s="21" t="s">
        <v>63</v>
      </c>
      <c r="AH41" s="2"/>
      <c r="AI41" s="3"/>
      <c r="AJ41" s="22"/>
      <c r="AK41" s="2"/>
      <c r="AL41" s="3"/>
      <c r="AM41" s="21" t="s">
        <v>270</v>
      </c>
      <c r="AN41" s="2"/>
      <c r="AO41" s="3"/>
      <c r="AP41" s="23">
        <v>46159</v>
      </c>
      <c r="AQ41" s="2"/>
      <c r="AR41" s="3"/>
      <c r="AS41" s="19"/>
      <c r="AT41" s="2"/>
      <c r="AU41" s="3"/>
      <c r="AV41" s="19" t="s">
        <v>63</v>
      </c>
      <c r="AW41" s="2"/>
      <c r="AX41" s="3"/>
      <c r="AY41" s="19"/>
      <c r="AZ41" s="2"/>
      <c r="BA41" s="3"/>
      <c r="BB41" s="19" t="s">
        <v>271</v>
      </c>
      <c r="BC41" s="2"/>
      <c r="BD41" s="3"/>
      <c r="BE41" s="20">
        <v>46237</v>
      </c>
      <c r="BF41" s="2"/>
      <c r="BG41" s="3"/>
      <c r="BH41" s="19"/>
      <c r="BI41" s="2"/>
      <c r="BJ41" s="3"/>
      <c r="BK41" s="18"/>
      <c r="BL41" s="2"/>
      <c r="BM41" s="2"/>
      <c r="BN41" s="2"/>
      <c r="BO41" s="2"/>
      <c r="BP41" s="2"/>
      <c r="BQ41" s="3"/>
    </row>
    <row r="42" ht="288" customHeight="1" spans="1:69">
      <c r="A42" s="17">
        <v>27</v>
      </c>
      <c r="B42" s="18" t="s">
        <v>397</v>
      </c>
      <c r="C42" s="2"/>
      <c r="D42" s="3"/>
      <c r="E42" s="18" t="s">
        <v>398</v>
      </c>
      <c r="F42" s="2"/>
      <c r="G42" s="2"/>
      <c r="H42" s="2"/>
      <c r="I42" s="3"/>
      <c r="J42" s="18" t="s">
        <v>359</v>
      </c>
      <c r="K42" s="2"/>
      <c r="L42" s="2"/>
      <c r="M42" s="2"/>
      <c r="N42" s="2"/>
      <c r="O42" s="2"/>
      <c r="P42" s="3"/>
      <c r="Q42" s="18" t="s">
        <v>399</v>
      </c>
      <c r="R42" s="2"/>
      <c r="S42" s="2"/>
      <c r="T42" s="2"/>
      <c r="U42" s="2"/>
      <c r="V42" s="2"/>
      <c r="W42" s="3"/>
      <c r="X42" s="18" t="s">
        <v>400</v>
      </c>
      <c r="Y42" s="2"/>
      <c r="Z42" s="2"/>
      <c r="AA42" s="2"/>
      <c r="AB42" s="2"/>
      <c r="AC42" s="2"/>
      <c r="AD42" s="3"/>
      <c r="AE42" s="19" t="s">
        <v>213</v>
      </c>
      <c r="AF42" s="3"/>
      <c r="AG42" s="21" t="s">
        <v>63</v>
      </c>
      <c r="AH42" s="2"/>
      <c r="AI42" s="3"/>
      <c r="AJ42" s="22"/>
      <c r="AK42" s="2"/>
      <c r="AL42" s="3"/>
      <c r="AM42" s="21" t="s">
        <v>270</v>
      </c>
      <c r="AN42" s="2"/>
      <c r="AO42" s="3"/>
      <c r="AP42" s="23">
        <v>46159</v>
      </c>
      <c r="AQ42" s="2"/>
      <c r="AR42" s="3"/>
      <c r="AS42" s="19"/>
      <c r="AT42" s="2"/>
      <c r="AU42" s="3"/>
      <c r="AV42" s="19" t="s">
        <v>63</v>
      </c>
      <c r="AW42" s="2"/>
      <c r="AX42" s="3"/>
      <c r="AY42" s="19"/>
      <c r="AZ42" s="2"/>
      <c r="BA42" s="3"/>
      <c r="BB42" s="19" t="s">
        <v>271</v>
      </c>
      <c r="BC42" s="2"/>
      <c r="BD42" s="3"/>
      <c r="BE42" s="20">
        <v>46237</v>
      </c>
      <c r="BF42" s="2"/>
      <c r="BG42" s="3"/>
      <c r="BH42" s="19"/>
      <c r="BI42" s="2"/>
      <c r="BJ42" s="3"/>
      <c r="BK42" s="18"/>
      <c r="BL42" s="2"/>
      <c r="BM42" s="2"/>
      <c r="BN42" s="2"/>
      <c r="BO42" s="2"/>
      <c r="BP42" s="2"/>
      <c r="BQ42" s="3"/>
    </row>
    <row r="43" ht="111.75" customHeight="1" spans="1:69">
      <c r="A43" s="24">
        <v>28</v>
      </c>
      <c r="B43" s="25" t="s">
        <v>401</v>
      </c>
      <c r="C43" s="2"/>
      <c r="D43" s="3"/>
      <c r="E43" s="25" t="s">
        <v>402</v>
      </c>
      <c r="F43" s="2"/>
      <c r="G43" s="2"/>
      <c r="H43" s="2"/>
      <c r="I43" s="3"/>
      <c r="J43" s="25" t="s">
        <v>359</v>
      </c>
      <c r="K43" s="2"/>
      <c r="L43" s="2"/>
      <c r="M43" s="2"/>
      <c r="N43" s="2"/>
      <c r="O43" s="2"/>
      <c r="P43" s="3"/>
      <c r="Q43" s="25" t="s">
        <v>403</v>
      </c>
      <c r="R43" s="2"/>
      <c r="S43" s="2"/>
      <c r="T43" s="2"/>
      <c r="U43" s="2"/>
      <c r="V43" s="2"/>
      <c r="W43" s="3"/>
      <c r="X43" s="25" t="s">
        <v>404</v>
      </c>
      <c r="Y43" s="2"/>
      <c r="Z43" s="2"/>
      <c r="AA43" s="2"/>
      <c r="AB43" s="2"/>
      <c r="AC43" s="2"/>
      <c r="AD43" s="3"/>
      <c r="AE43" s="26" t="s">
        <v>284</v>
      </c>
      <c r="AF43" s="3"/>
      <c r="AG43" s="19" t="s">
        <v>66</v>
      </c>
      <c r="AH43" s="2"/>
      <c r="AI43" s="3"/>
      <c r="AJ43" s="19"/>
      <c r="AK43" s="2"/>
      <c r="AL43" s="3"/>
      <c r="AM43" s="19"/>
      <c r="AN43" s="2"/>
      <c r="AO43" s="3"/>
      <c r="AP43" s="19"/>
      <c r="AQ43" s="2"/>
      <c r="AR43" s="3"/>
      <c r="AS43" s="19"/>
      <c r="AT43" s="2"/>
      <c r="AU43" s="3"/>
      <c r="AV43" s="19" t="s">
        <v>66</v>
      </c>
      <c r="AW43" s="2"/>
      <c r="AX43" s="3"/>
      <c r="AY43" s="19"/>
      <c r="AZ43" s="2"/>
      <c r="BA43" s="3"/>
      <c r="BB43" s="19"/>
      <c r="BC43" s="2"/>
      <c r="BD43" s="3"/>
      <c r="BE43" s="19"/>
      <c r="BF43" s="2"/>
      <c r="BG43" s="3"/>
      <c r="BH43" s="19"/>
      <c r="BI43" s="2"/>
      <c r="BJ43" s="3"/>
      <c r="BK43" s="18"/>
      <c r="BL43" s="2"/>
      <c r="BM43" s="2"/>
      <c r="BN43" s="2"/>
      <c r="BO43" s="2"/>
      <c r="BP43" s="2"/>
      <c r="BQ43" s="3"/>
    </row>
    <row r="44" ht="96" customHeight="1" spans="1:69">
      <c r="A44" s="17">
        <v>29</v>
      </c>
      <c r="B44" s="18" t="s">
        <v>405</v>
      </c>
      <c r="C44" s="2"/>
      <c r="D44" s="3"/>
      <c r="E44" s="18" t="s">
        <v>406</v>
      </c>
      <c r="F44" s="2"/>
      <c r="G44" s="2"/>
      <c r="H44" s="2"/>
      <c r="I44" s="3"/>
      <c r="J44" s="18" t="s">
        <v>407</v>
      </c>
      <c r="K44" s="2"/>
      <c r="L44" s="2"/>
      <c r="M44" s="2"/>
      <c r="N44" s="2"/>
      <c r="O44" s="2"/>
      <c r="P44" s="3"/>
      <c r="Q44" s="18" t="s">
        <v>408</v>
      </c>
      <c r="R44" s="2"/>
      <c r="S44" s="2"/>
      <c r="T44" s="2"/>
      <c r="U44" s="2"/>
      <c r="V44" s="2"/>
      <c r="W44" s="3"/>
      <c r="X44" s="18" t="s">
        <v>409</v>
      </c>
      <c r="Y44" s="2"/>
      <c r="Z44" s="2"/>
      <c r="AA44" s="2"/>
      <c r="AB44" s="2"/>
      <c r="AC44" s="2"/>
      <c r="AD44" s="3"/>
      <c r="AE44" s="19" t="s">
        <v>284</v>
      </c>
      <c r="AF44" s="3"/>
      <c r="AG44" s="21" t="s">
        <v>63</v>
      </c>
      <c r="AH44" s="2"/>
      <c r="AI44" s="3"/>
      <c r="AJ44" s="22"/>
      <c r="AK44" s="2"/>
      <c r="AL44" s="3"/>
      <c r="AM44" s="21" t="s">
        <v>270</v>
      </c>
      <c r="AN44" s="2"/>
      <c r="AO44" s="3"/>
      <c r="AP44" s="23">
        <v>46159</v>
      </c>
      <c r="AQ44" s="2"/>
      <c r="AR44" s="3"/>
      <c r="AS44" s="19"/>
      <c r="AT44" s="2"/>
      <c r="AU44" s="3"/>
      <c r="AV44" s="19" t="s">
        <v>63</v>
      </c>
      <c r="AW44" s="2"/>
      <c r="AX44" s="3"/>
      <c r="AY44" s="19"/>
      <c r="AZ44" s="2"/>
      <c r="BA44" s="3"/>
      <c r="BB44" s="19" t="s">
        <v>271</v>
      </c>
      <c r="BC44" s="2"/>
      <c r="BD44" s="3"/>
      <c r="BE44" s="20">
        <v>46237</v>
      </c>
      <c r="BF44" s="2"/>
      <c r="BG44" s="3"/>
      <c r="BH44" s="19"/>
      <c r="BI44" s="2"/>
      <c r="BJ44" s="3"/>
      <c r="BK44" s="18"/>
      <c r="BL44" s="2"/>
      <c r="BM44" s="2"/>
      <c r="BN44" s="2"/>
      <c r="BO44" s="2"/>
      <c r="BP44" s="2"/>
      <c r="BQ44" s="3"/>
    </row>
    <row r="45" ht="159.75" customHeight="1" spans="1:69">
      <c r="A45" s="17">
        <v>30</v>
      </c>
      <c r="B45" s="18" t="s">
        <v>410</v>
      </c>
      <c r="C45" s="2"/>
      <c r="D45" s="3"/>
      <c r="E45" s="18" t="s">
        <v>411</v>
      </c>
      <c r="F45" s="2"/>
      <c r="G45" s="2"/>
      <c r="H45" s="2"/>
      <c r="I45" s="3"/>
      <c r="J45" s="18" t="s">
        <v>359</v>
      </c>
      <c r="K45" s="2"/>
      <c r="L45" s="2"/>
      <c r="M45" s="2"/>
      <c r="N45" s="2"/>
      <c r="O45" s="2"/>
      <c r="P45" s="3"/>
      <c r="Q45" s="18" t="s">
        <v>412</v>
      </c>
      <c r="R45" s="2"/>
      <c r="S45" s="2"/>
      <c r="T45" s="2"/>
      <c r="U45" s="2"/>
      <c r="V45" s="2"/>
      <c r="W45" s="3"/>
      <c r="X45" s="18" t="s">
        <v>413</v>
      </c>
      <c r="Y45" s="2"/>
      <c r="Z45" s="2"/>
      <c r="AA45" s="2"/>
      <c r="AB45" s="2"/>
      <c r="AC45" s="2"/>
      <c r="AD45" s="3"/>
      <c r="AE45" s="19" t="s">
        <v>213</v>
      </c>
      <c r="AF45" s="3"/>
      <c r="AG45" s="21" t="s">
        <v>63</v>
      </c>
      <c r="AH45" s="2"/>
      <c r="AI45" s="3"/>
      <c r="AJ45" s="22"/>
      <c r="AK45" s="2"/>
      <c r="AL45" s="3"/>
      <c r="AM45" s="21" t="s">
        <v>270</v>
      </c>
      <c r="AN45" s="2"/>
      <c r="AO45" s="3"/>
      <c r="AP45" s="23">
        <v>46159</v>
      </c>
      <c r="AQ45" s="2"/>
      <c r="AR45" s="3"/>
      <c r="AS45" s="19"/>
      <c r="AT45" s="2"/>
      <c r="AU45" s="3"/>
      <c r="AV45" s="19" t="s">
        <v>63</v>
      </c>
      <c r="AW45" s="2"/>
      <c r="AX45" s="3"/>
      <c r="AY45" s="19"/>
      <c r="AZ45" s="2"/>
      <c r="BA45" s="3"/>
      <c r="BB45" s="19" t="s">
        <v>271</v>
      </c>
      <c r="BC45" s="2"/>
      <c r="BD45" s="3"/>
      <c r="BE45" s="20">
        <v>46237</v>
      </c>
      <c r="BF45" s="2"/>
      <c r="BG45" s="3"/>
      <c r="BH45" s="19"/>
      <c r="BI45" s="2"/>
      <c r="BJ45" s="3"/>
      <c r="BK45" s="18"/>
      <c r="BL45" s="2"/>
      <c r="BM45" s="2"/>
      <c r="BN45" s="2"/>
      <c r="BO45" s="2"/>
      <c r="BP45" s="2"/>
      <c r="BQ45" s="3"/>
    </row>
    <row r="46" ht="111.75" customHeight="1" spans="1:69">
      <c r="A46" s="17">
        <v>31</v>
      </c>
      <c r="B46" s="18" t="s">
        <v>414</v>
      </c>
      <c r="C46" s="2"/>
      <c r="D46" s="3"/>
      <c r="E46" s="18" t="s">
        <v>415</v>
      </c>
      <c r="F46" s="2"/>
      <c r="G46" s="2"/>
      <c r="H46" s="2"/>
      <c r="I46" s="3"/>
      <c r="J46" s="18" t="s">
        <v>359</v>
      </c>
      <c r="K46" s="2"/>
      <c r="L46" s="2"/>
      <c r="M46" s="2"/>
      <c r="N46" s="2"/>
      <c r="O46" s="2"/>
      <c r="P46" s="3"/>
      <c r="Q46" s="18" t="s">
        <v>416</v>
      </c>
      <c r="R46" s="2"/>
      <c r="S46" s="2"/>
      <c r="T46" s="2"/>
      <c r="U46" s="2"/>
      <c r="V46" s="2"/>
      <c r="W46" s="3"/>
      <c r="X46" s="18" t="s">
        <v>417</v>
      </c>
      <c r="Y46" s="2"/>
      <c r="Z46" s="2"/>
      <c r="AA46" s="2"/>
      <c r="AB46" s="2"/>
      <c r="AC46" s="2"/>
      <c r="AD46" s="3"/>
      <c r="AE46" s="19" t="s">
        <v>213</v>
      </c>
      <c r="AF46" s="3"/>
      <c r="AG46" s="21" t="s">
        <v>63</v>
      </c>
      <c r="AH46" s="2"/>
      <c r="AI46" s="3"/>
      <c r="AJ46" s="22"/>
      <c r="AK46" s="2"/>
      <c r="AL46" s="3"/>
      <c r="AM46" s="21" t="s">
        <v>270</v>
      </c>
      <c r="AN46" s="2"/>
      <c r="AO46" s="3"/>
      <c r="AP46" s="23">
        <v>46159</v>
      </c>
      <c r="AQ46" s="2"/>
      <c r="AR46" s="3"/>
      <c r="AS46" s="19"/>
      <c r="AT46" s="2"/>
      <c r="AU46" s="3"/>
      <c r="AV46" s="19" t="s">
        <v>63</v>
      </c>
      <c r="AW46" s="2"/>
      <c r="AX46" s="3"/>
      <c r="AY46" s="19"/>
      <c r="AZ46" s="2"/>
      <c r="BA46" s="3"/>
      <c r="BB46" s="19" t="s">
        <v>271</v>
      </c>
      <c r="BC46" s="2"/>
      <c r="BD46" s="3"/>
      <c r="BE46" s="20">
        <v>46237</v>
      </c>
      <c r="BF46" s="2"/>
      <c r="BG46" s="3"/>
      <c r="BH46" s="19"/>
      <c r="BI46" s="2"/>
      <c r="BJ46" s="3"/>
      <c r="BK46" s="18"/>
      <c r="BL46" s="2"/>
      <c r="BM46" s="2"/>
      <c r="BN46" s="2"/>
      <c r="BO46" s="2"/>
      <c r="BP46" s="2"/>
      <c r="BQ46" s="3"/>
    </row>
    <row r="47" ht="288" customHeight="1" spans="1:69">
      <c r="A47" s="17">
        <v>32</v>
      </c>
      <c r="B47" s="18" t="s">
        <v>418</v>
      </c>
      <c r="C47" s="2"/>
      <c r="D47" s="3"/>
      <c r="E47" s="18" t="s">
        <v>419</v>
      </c>
      <c r="F47" s="2"/>
      <c r="G47" s="2"/>
      <c r="H47" s="2"/>
      <c r="I47" s="3"/>
      <c r="J47" s="18" t="s">
        <v>359</v>
      </c>
      <c r="K47" s="2"/>
      <c r="L47" s="2"/>
      <c r="M47" s="2"/>
      <c r="N47" s="2"/>
      <c r="O47" s="2"/>
      <c r="P47" s="3"/>
      <c r="Q47" s="18" t="s">
        <v>420</v>
      </c>
      <c r="R47" s="2"/>
      <c r="S47" s="2"/>
      <c r="T47" s="2"/>
      <c r="U47" s="2"/>
      <c r="V47" s="2"/>
      <c r="W47" s="3"/>
      <c r="X47" s="18" t="s">
        <v>421</v>
      </c>
      <c r="Y47" s="2"/>
      <c r="Z47" s="2"/>
      <c r="AA47" s="2"/>
      <c r="AB47" s="2"/>
      <c r="AC47" s="2"/>
      <c r="AD47" s="3"/>
      <c r="AE47" s="19" t="s">
        <v>217</v>
      </c>
      <c r="AF47" s="3"/>
      <c r="AG47" s="21" t="s">
        <v>63</v>
      </c>
      <c r="AH47" s="2"/>
      <c r="AI47" s="3"/>
      <c r="AJ47" s="22"/>
      <c r="AK47" s="2"/>
      <c r="AL47" s="3"/>
      <c r="AM47" s="21" t="s">
        <v>270</v>
      </c>
      <c r="AN47" s="2"/>
      <c r="AO47" s="3"/>
      <c r="AP47" s="23">
        <v>46159</v>
      </c>
      <c r="AQ47" s="2"/>
      <c r="AR47" s="3"/>
      <c r="AS47" s="19"/>
      <c r="AT47" s="2"/>
      <c r="AU47" s="3"/>
      <c r="AV47" s="19" t="s">
        <v>63</v>
      </c>
      <c r="AW47" s="2"/>
      <c r="AX47" s="3"/>
      <c r="AY47" s="19"/>
      <c r="AZ47" s="2"/>
      <c r="BA47" s="3"/>
      <c r="BB47" s="19" t="s">
        <v>271</v>
      </c>
      <c r="BC47" s="2"/>
      <c r="BD47" s="3"/>
      <c r="BE47" s="20">
        <v>46237</v>
      </c>
      <c r="BF47" s="2"/>
      <c r="BG47" s="3"/>
      <c r="BH47" s="19"/>
      <c r="BI47" s="2"/>
      <c r="BJ47" s="3"/>
      <c r="BK47" s="18"/>
      <c r="BL47" s="2"/>
      <c r="BM47" s="2"/>
      <c r="BN47" s="2"/>
      <c r="BO47" s="2"/>
      <c r="BP47" s="2"/>
      <c r="BQ47" s="3"/>
    </row>
    <row r="48" ht="144" customHeight="1" spans="1:69">
      <c r="A48" s="17">
        <v>33</v>
      </c>
      <c r="B48" s="18" t="s">
        <v>422</v>
      </c>
      <c r="C48" s="2"/>
      <c r="D48" s="3"/>
      <c r="E48" s="18" t="s">
        <v>423</v>
      </c>
      <c r="F48" s="2"/>
      <c r="G48" s="2"/>
      <c r="H48" s="2"/>
      <c r="I48" s="3"/>
      <c r="J48" s="18" t="s">
        <v>359</v>
      </c>
      <c r="K48" s="2"/>
      <c r="L48" s="2"/>
      <c r="M48" s="2"/>
      <c r="N48" s="2"/>
      <c r="O48" s="2"/>
      <c r="P48" s="3"/>
      <c r="Q48" s="18" t="s">
        <v>424</v>
      </c>
      <c r="R48" s="2"/>
      <c r="S48" s="2"/>
      <c r="T48" s="2"/>
      <c r="U48" s="2"/>
      <c r="V48" s="2"/>
      <c r="W48" s="3"/>
      <c r="X48" s="18" t="s">
        <v>425</v>
      </c>
      <c r="Y48" s="2"/>
      <c r="Z48" s="2"/>
      <c r="AA48" s="2"/>
      <c r="AB48" s="2"/>
      <c r="AC48" s="2"/>
      <c r="AD48" s="3"/>
      <c r="AE48" s="19" t="s">
        <v>217</v>
      </c>
      <c r="AF48" s="3"/>
      <c r="AG48" s="21" t="s">
        <v>63</v>
      </c>
      <c r="AH48" s="2"/>
      <c r="AI48" s="3"/>
      <c r="AJ48" s="22"/>
      <c r="AK48" s="2"/>
      <c r="AL48" s="3"/>
      <c r="AM48" s="21" t="s">
        <v>270</v>
      </c>
      <c r="AN48" s="2"/>
      <c r="AO48" s="3"/>
      <c r="AP48" s="23">
        <v>46159</v>
      </c>
      <c r="AQ48" s="2"/>
      <c r="AR48" s="3"/>
      <c r="AS48" s="19"/>
      <c r="AT48" s="2"/>
      <c r="AU48" s="3"/>
      <c r="AV48" s="19" t="s">
        <v>63</v>
      </c>
      <c r="AW48" s="2"/>
      <c r="AX48" s="3"/>
      <c r="AY48" s="19"/>
      <c r="AZ48" s="2"/>
      <c r="BA48" s="3"/>
      <c r="BB48" s="19" t="s">
        <v>271</v>
      </c>
      <c r="BC48" s="2"/>
      <c r="BD48" s="3"/>
      <c r="BE48" s="20">
        <v>46237</v>
      </c>
      <c r="BF48" s="2"/>
      <c r="BG48" s="3"/>
      <c r="BH48" s="19"/>
      <c r="BI48" s="2"/>
      <c r="BJ48" s="3"/>
      <c r="BK48" s="18"/>
      <c r="BL48" s="2"/>
      <c r="BM48" s="2"/>
      <c r="BN48" s="2"/>
      <c r="BO48" s="2"/>
      <c r="BP48" s="2"/>
      <c r="BQ48" s="3"/>
    </row>
    <row r="49" ht="192" customHeight="1" spans="1:69">
      <c r="A49" s="17">
        <v>34</v>
      </c>
      <c r="B49" s="18" t="s">
        <v>426</v>
      </c>
      <c r="C49" s="2"/>
      <c r="D49" s="3"/>
      <c r="E49" s="18" t="s">
        <v>427</v>
      </c>
      <c r="F49" s="2"/>
      <c r="G49" s="2"/>
      <c r="H49" s="2"/>
      <c r="I49" s="3"/>
      <c r="J49" s="18" t="s">
        <v>359</v>
      </c>
      <c r="K49" s="2"/>
      <c r="L49" s="2"/>
      <c r="M49" s="2"/>
      <c r="N49" s="2"/>
      <c r="O49" s="2"/>
      <c r="P49" s="3"/>
      <c r="Q49" s="18" t="s">
        <v>428</v>
      </c>
      <c r="R49" s="2"/>
      <c r="S49" s="2"/>
      <c r="T49" s="2"/>
      <c r="U49" s="2"/>
      <c r="V49" s="2"/>
      <c r="W49" s="3"/>
      <c r="X49" s="18" t="s">
        <v>429</v>
      </c>
      <c r="Y49" s="2"/>
      <c r="Z49" s="2"/>
      <c r="AA49" s="2"/>
      <c r="AB49" s="2"/>
      <c r="AC49" s="2"/>
      <c r="AD49" s="3"/>
      <c r="AE49" s="19" t="s">
        <v>284</v>
      </c>
      <c r="AF49" s="3"/>
      <c r="AG49" s="21" t="s">
        <v>63</v>
      </c>
      <c r="AH49" s="2"/>
      <c r="AI49" s="3"/>
      <c r="AJ49" s="22"/>
      <c r="AK49" s="2"/>
      <c r="AL49" s="3"/>
      <c r="AM49" s="21" t="s">
        <v>270</v>
      </c>
      <c r="AN49" s="2"/>
      <c r="AO49" s="3"/>
      <c r="AP49" s="23">
        <v>46159</v>
      </c>
      <c r="AQ49" s="2"/>
      <c r="AR49" s="3"/>
      <c r="AS49" s="19"/>
      <c r="AT49" s="2"/>
      <c r="AU49" s="3"/>
      <c r="AV49" s="19" t="s">
        <v>63</v>
      </c>
      <c r="AW49" s="2"/>
      <c r="AX49" s="3"/>
      <c r="AY49" s="19"/>
      <c r="AZ49" s="2"/>
      <c r="BA49" s="3"/>
      <c r="BB49" s="19" t="s">
        <v>271</v>
      </c>
      <c r="BC49" s="2"/>
      <c r="BD49" s="3"/>
      <c r="BE49" s="20">
        <v>46237</v>
      </c>
      <c r="BF49" s="2"/>
      <c r="BG49" s="3"/>
      <c r="BH49" s="19"/>
      <c r="BI49" s="2"/>
      <c r="BJ49" s="3"/>
      <c r="BK49" s="18"/>
      <c r="BL49" s="2"/>
      <c r="BM49" s="2"/>
      <c r="BN49" s="2"/>
      <c r="BO49" s="2"/>
      <c r="BP49" s="2"/>
      <c r="BQ49" s="3"/>
    </row>
    <row r="50" ht="192" customHeight="1" spans="1:69">
      <c r="A50" s="17">
        <v>35</v>
      </c>
      <c r="B50" s="18" t="s">
        <v>430</v>
      </c>
      <c r="C50" s="2"/>
      <c r="D50" s="3"/>
      <c r="E50" s="18" t="s">
        <v>431</v>
      </c>
      <c r="F50" s="2"/>
      <c r="G50" s="2"/>
      <c r="H50" s="2"/>
      <c r="I50" s="3"/>
      <c r="J50" s="18" t="s">
        <v>359</v>
      </c>
      <c r="K50" s="2"/>
      <c r="L50" s="2"/>
      <c r="M50" s="2"/>
      <c r="N50" s="2"/>
      <c r="O50" s="2"/>
      <c r="P50" s="3"/>
      <c r="Q50" s="18" t="s">
        <v>432</v>
      </c>
      <c r="R50" s="2"/>
      <c r="S50" s="2"/>
      <c r="T50" s="2"/>
      <c r="U50" s="2"/>
      <c r="V50" s="2"/>
      <c r="W50" s="3"/>
      <c r="X50" s="18" t="s">
        <v>433</v>
      </c>
      <c r="Y50" s="2"/>
      <c r="Z50" s="2"/>
      <c r="AA50" s="2"/>
      <c r="AB50" s="2"/>
      <c r="AC50" s="2"/>
      <c r="AD50" s="3"/>
      <c r="AE50" s="19" t="s">
        <v>213</v>
      </c>
      <c r="AF50" s="3"/>
      <c r="AG50" s="21" t="s">
        <v>63</v>
      </c>
      <c r="AH50" s="2"/>
      <c r="AI50" s="3"/>
      <c r="AJ50" s="22"/>
      <c r="AK50" s="2"/>
      <c r="AL50" s="3"/>
      <c r="AM50" s="21" t="s">
        <v>270</v>
      </c>
      <c r="AN50" s="2"/>
      <c r="AO50" s="3"/>
      <c r="AP50" s="23">
        <v>46159</v>
      </c>
      <c r="AQ50" s="2"/>
      <c r="AR50" s="3"/>
      <c r="AS50" s="19"/>
      <c r="AT50" s="2"/>
      <c r="AU50" s="3"/>
      <c r="AV50" s="19" t="s">
        <v>63</v>
      </c>
      <c r="AW50" s="2"/>
      <c r="AX50" s="3"/>
      <c r="AY50" s="19"/>
      <c r="AZ50" s="2"/>
      <c r="BA50" s="3"/>
      <c r="BB50" s="19" t="s">
        <v>271</v>
      </c>
      <c r="BC50" s="2"/>
      <c r="BD50" s="3"/>
      <c r="BE50" s="20">
        <v>46237</v>
      </c>
      <c r="BF50" s="2"/>
      <c r="BG50" s="3"/>
      <c r="BH50" s="19"/>
      <c r="BI50" s="2"/>
      <c r="BJ50" s="3"/>
      <c r="BK50" s="18"/>
      <c r="BL50" s="2"/>
      <c r="BM50" s="2"/>
      <c r="BN50" s="2"/>
      <c r="BO50" s="2"/>
      <c r="BP50" s="2"/>
      <c r="BQ50" s="3"/>
    </row>
    <row r="51" ht="111.75" customHeight="1" spans="1:69">
      <c r="A51" s="17">
        <v>36</v>
      </c>
      <c r="B51" s="25" t="s">
        <v>434</v>
      </c>
      <c r="C51" s="2"/>
      <c r="D51" s="3"/>
      <c r="E51" s="25" t="s">
        <v>435</v>
      </c>
      <c r="F51" s="2"/>
      <c r="G51" s="2"/>
      <c r="H51" s="2"/>
      <c r="I51" s="3"/>
      <c r="J51" s="25" t="s">
        <v>359</v>
      </c>
      <c r="K51" s="2"/>
      <c r="L51" s="2"/>
      <c r="M51" s="2"/>
      <c r="N51" s="2"/>
      <c r="O51" s="2"/>
      <c r="P51" s="3"/>
      <c r="Q51" s="25" t="s">
        <v>436</v>
      </c>
      <c r="R51" s="2"/>
      <c r="S51" s="2"/>
      <c r="T51" s="2"/>
      <c r="U51" s="2"/>
      <c r="V51" s="2"/>
      <c r="W51" s="3"/>
      <c r="X51" s="25" t="s">
        <v>437</v>
      </c>
      <c r="Y51" s="2"/>
      <c r="Z51" s="2"/>
      <c r="AA51" s="2"/>
      <c r="AB51" s="2"/>
      <c r="AC51" s="2"/>
      <c r="AD51" s="3"/>
      <c r="AE51" s="26" t="s">
        <v>284</v>
      </c>
      <c r="AF51" s="3"/>
      <c r="AG51" s="19" t="s">
        <v>66</v>
      </c>
      <c r="AH51" s="2"/>
      <c r="AI51" s="3"/>
      <c r="AJ51" s="19"/>
      <c r="AK51" s="2"/>
      <c r="AL51" s="3"/>
      <c r="AM51" s="19"/>
      <c r="AN51" s="2"/>
      <c r="AO51" s="3"/>
      <c r="AP51" s="19"/>
      <c r="AQ51" s="2"/>
      <c r="AR51" s="3"/>
      <c r="AS51" s="19"/>
      <c r="AT51" s="2"/>
      <c r="AU51" s="3"/>
      <c r="AV51" s="19" t="s">
        <v>66</v>
      </c>
      <c r="AW51" s="2"/>
      <c r="AX51" s="3"/>
      <c r="AY51" s="19"/>
      <c r="AZ51" s="2"/>
      <c r="BA51" s="3"/>
      <c r="BB51" s="19"/>
      <c r="BC51" s="2"/>
      <c r="BD51" s="3"/>
      <c r="BE51" s="19"/>
      <c r="BF51" s="2"/>
      <c r="BG51" s="3"/>
      <c r="BH51" s="19"/>
      <c r="BI51" s="2"/>
      <c r="BJ51" s="3"/>
      <c r="BK51" s="18"/>
      <c r="BL51" s="2"/>
      <c r="BM51" s="2"/>
      <c r="BN51" s="2"/>
      <c r="BO51" s="2"/>
      <c r="BP51" s="2"/>
      <c r="BQ51" s="3"/>
    </row>
    <row r="52" ht="79.5" customHeight="1" spans="1:69">
      <c r="A52" s="17">
        <v>37</v>
      </c>
      <c r="B52" s="18" t="s">
        <v>438</v>
      </c>
      <c r="C52" s="2"/>
      <c r="D52" s="3"/>
      <c r="E52" s="18" t="s">
        <v>439</v>
      </c>
      <c r="F52" s="2"/>
      <c r="G52" s="2"/>
      <c r="H52" s="2"/>
      <c r="I52" s="3"/>
      <c r="J52" s="18" t="s">
        <v>359</v>
      </c>
      <c r="K52" s="2"/>
      <c r="L52" s="2"/>
      <c r="M52" s="2"/>
      <c r="N52" s="2"/>
      <c r="O52" s="2"/>
      <c r="P52" s="3"/>
      <c r="Q52" s="18" t="s">
        <v>440</v>
      </c>
      <c r="R52" s="2"/>
      <c r="S52" s="2"/>
      <c r="T52" s="2"/>
      <c r="U52" s="2"/>
      <c r="V52" s="2"/>
      <c r="W52" s="3"/>
      <c r="X52" s="18" t="s">
        <v>441</v>
      </c>
      <c r="Y52" s="2"/>
      <c r="Z52" s="2"/>
      <c r="AA52" s="2"/>
      <c r="AB52" s="2"/>
      <c r="AC52" s="2"/>
      <c r="AD52" s="3"/>
      <c r="AE52" s="19" t="s">
        <v>284</v>
      </c>
      <c r="AF52" s="3"/>
      <c r="AG52" s="21" t="s">
        <v>63</v>
      </c>
      <c r="AH52" s="2"/>
      <c r="AI52" s="3"/>
      <c r="AJ52" s="22"/>
      <c r="AK52" s="2"/>
      <c r="AL52" s="3"/>
      <c r="AM52" s="21" t="s">
        <v>270</v>
      </c>
      <c r="AN52" s="2"/>
      <c r="AO52" s="3"/>
      <c r="AP52" s="23">
        <v>46159</v>
      </c>
      <c r="AQ52" s="2"/>
      <c r="AR52" s="3"/>
      <c r="AS52" s="19"/>
      <c r="AT52" s="2"/>
      <c r="AU52" s="3"/>
      <c r="AV52" s="19" t="s">
        <v>63</v>
      </c>
      <c r="AW52" s="2"/>
      <c r="AX52" s="3"/>
      <c r="AY52" s="19"/>
      <c r="AZ52" s="2"/>
      <c r="BA52" s="3"/>
      <c r="BB52" s="19" t="s">
        <v>271</v>
      </c>
      <c r="BC52" s="2"/>
      <c r="BD52" s="3"/>
      <c r="BE52" s="20">
        <v>46237</v>
      </c>
      <c r="BF52" s="2"/>
      <c r="BG52" s="3"/>
      <c r="BH52" s="19"/>
      <c r="BI52" s="2"/>
      <c r="BJ52" s="3"/>
      <c r="BK52" s="18"/>
      <c r="BL52" s="2"/>
      <c r="BM52" s="2"/>
      <c r="BN52" s="2"/>
      <c r="BO52" s="2"/>
      <c r="BP52" s="2"/>
      <c r="BQ52" s="3"/>
    </row>
    <row r="53" ht="240" customHeight="1" spans="1:69">
      <c r="A53" s="17">
        <v>38</v>
      </c>
      <c r="B53" s="18" t="s">
        <v>442</v>
      </c>
      <c r="C53" s="2"/>
      <c r="D53" s="3"/>
      <c r="E53" s="18" t="s">
        <v>443</v>
      </c>
      <c r="F53" s="2"/>
      <c r="G53" s="2"/>
      <c r="H53" s="2"/>
      <c r="I53" s="3"/>
      <c r="J53" s="18" t="s">
        <v>359</v>
      </c>
      <c r="K53" s="2"/>
      <c r="L53" s="2"/>
      <c r="M53" s="2"/>
      <c r="N53" s="2"/>
      <c r="O53" s="2"/>
      <c r="P53" s="3"/>
      <c r="Q53" s="18" t="s">
        <v>444</v>
      </c>
      <c r="R53" s="2"/>
      <c r="S53" s="2"/>
      <c r="T53" s="2"/>
      <c r="U53" s="2"/>
      <c r="V53" s="2"/>
      <c r="W53" s="3"/>
      <c r="X53" s="18" t="s">
        <v>445</v>
      </c>
      <c r="Y53" s="2"/>
      <c r="Z53" s="2"/>
      <c r="AA53" s="2"/>
      <c r="AB53" s="2"/>
      <c r="AC53" s="2"/>
      <c r="AD53" s="3"/>
      <c r="AE53" s="19" t="s">
        <v>213</v>
      </c>
      <c r="AF53" s="3"/>
      <c r="AG53" s="21" t="s">
        <v>63</v>
      </c>
      <c r="AH53" s="2"/>
      <c r="AI53" s="3"/>
      <c r="AJ53" s="22"/>
      <c r="AK53" s="2"/>
      <c r="AL53" s="3"/>
      <c r="AM53" s="21" t="s">
        <v>270</v>
      </c>
      <c r="AN53" s="2"/>
      <c r="AO53" s="3"/>
      <c r="AP53" s="23">
        <v>46159</v>
      </c>
      <c r="AQ53" s="2"/>
      <c r="AR53" s="3"/>
      <c r="AS53" s="19"/>
      <c r="AT53" s="2"/>
      <c r="AU53" s="3"/>
      <c r="AV53" s="19" t="s">
        <v>63</v>
      </c>
      <c r="AW53" s="2"/>
      <c r="AX53" s="3"/>
      <c r="AY53" s="19"/>
      <c r="AZ53" s="2"/>
      <c r="BA53" s="3"/>
      <c r="BB53" s="19" t="s">
        <v>271</v>
      </c>
      <c r="BC53" s="2"/>
      <c r="BD53" s="3"/>
      <c r="BE53" s="20">
        <v>46237</v>
      </c>
      <c r="BF53" s="2"/>
      <c r="BG53" s="3"/>
      <c r="BH53" s="19"/>
      <c r="BI53" s="2"/>
      <c r="BJ53" s="3"/>
      <c r="BK53" s="18"/>
      <c r="BL53" s="2"/>
      <c r="BM53" s="2"/>
      <c r="BN53" s="2"/>
      <c r="BO53" s="2"/>
      <c r="BP53" s="2"/>
      <c r="BQ53" s="3"/>
    </row>
    <row r="54" ht="192" customHeight="1" spans="1:69">
      <c r="A54" s="17">
        <v>39</v>
      </c>
      <c r="B54" s="18" t="s">
        <v>446</v>
      </c>
      <c r="C54" s="2"/>
      <c r="D54" s="3"/>
      <c r="E54" s="18" t="s">
        <v>447</v>
      </c>
      <c r="F54" s="2"/>
      <c r="G54" s="2"/>
      <c r="H54" s="2"/>
      <c r="I54" s="3"/>
      <c r="J54" s="18" t="s">
        <v>359</v>
      </c>
      <c r="K54" s="2"/>
      <c r="L54" s="2"/>
      <c r="M54" s="2"/>
      <c r="N54" s="2"/>
      <c r="O54" s="2"/>
      <c r="P54" s="3"/>
      <c r="Q54" s="18" t="s">
        <v>448</v>
      </c>
      <c r="R54" s="2"/>
      <c r="S54" s="2"/>
      <c r="T54" s="2"/>
      <c r="U54" s="2"/>
      <c r="V54" s="2"/>
      <c r="W54" s="3"/>
      <c r="X54" s="18" t="s">
        <v>449</v>
      </c>
      <c r="Y54" s="2"/>
      <c r="Z54" s="2"/>
      <c r="AA54" s="2"/>
      <c r="AB54" s="2"/>
      <c r="AC54" s="2"/>
      <c r="AD54" s="3"/>
      <c r="AE54" s="19" t="s">
        <v>213</v>
      </c>
      <c r="AF54" s="3"/>
      <c r="AG54" s="21" t="s">
        <v>63</v>
      </c>
      <c r="AH54" s="2"/>
      <c r="AI54" s="3"/>
      <c r="AJ54" s="22"/>
      <c r="AK54" s="2"/>
      <c r="AL54" s="3"/>
      <c r="AM54" s="21" t="s">
        <v>270</v>
      </c>
      <c r="AN54" s="2"/>
      <c r="AO54" s="3"/>
      <c r="AP54" s="23">
        <v>46159</v>
      </c>
      <c r="AQ54" s="2"/>
      <c r="AR54" s="3"/>
      <c r="AS54" s="19"/>
      <c r="AT54" s="2"/>
      <c r="AU54" s="3"/>
      <c r="AV54" s="19" t="s">
        <v>63</v>
      </c>
      <c r="AW54" s="2"/>
      <c r="AX54" s="3"/>
      <c r="AY54" s="19"/>
      <c r="AZ54" s="2"/>
      <c r="BA54" s="3"/>
      <c r="BB54" s="19" t="s">
        <v>271</v>
      </c>
      <c r="BC54" s="2"/>
      <c r="BD54" s="3"/>
      <c r="BE54" s="20">
        <v>46237</v>
      </c>
      <c r="BF54" s="2"/>
      <c r="BG54" s="3"/>
      <c r="BH54" s="19"/>
      <c r="BI54" s="2"/>
      <c r="BJ54" s="3"/>
      <c r="BK54" s="18"/>
      <c r="BL54" s="2"/>
      <c r="BM54" s="2"/>
      <c r="BN54" s="2"/>
      <c r="BO54" s="2"/>
      <c r="BP54" s="2"/>
      <c r="BQ54" s="3"/>
    </row>
    <row r="55" ht="144" customHeight="1" spans="1:69">
      <c r="A55" s="17">
        <v>40</v>
      </c>
      <c r="B55" s="18" t="s">
        <v>450</v>
      </c>
      <c r="C55" s="2"/>
      <c r="D55" s="3"/>
      <c r="E55" s="18" t="s">
        <v>451</v>
      </c>
      <c r="F55" s="2"/>
      <c r="G55" s="2"/>
      <c r="H55" s="2"/>
      <c r="I55" s="3"/>
      <c r="J55" s="18" t="s">
        <v>359</v>
      </c>
      <c r="K55" s="2"/>
      <c r="L55" s="2"/>
      <c r="M55" s="2"/>
      <c r="N55" s="2"/>
      <c r="O55" s="2"/>
      <c r="P55" s="3"/>
      <c r="Q55" s="18" t="s">
        <v>452</v>
      </c>
      <c r="R55" s="2"/>
      <c r="S55" s="2"/>
      <c r="T55" s="2"/>
      <c r="U55" s="2"/>
      <c r="V55" s="2"/>
      <c r="W55" s="3"/>
      <c r="X55" s="18" t="s">
        <v>453</v>
      </c>
      <c r="Y55" s="2"/>
      <c r="Z55" s="2"/>
      <c r="AA55" s="2"/>
      <c r="AB55" s="2"/>
      <c r="AC55" s="2"/>
      <c r="AD55" s="3"/>
      <c r="AE55" s="19" t="s">
        <v>217</v>
      </c>
      <c r="AF55" s="3"/>
      <c r="AG55" s="21" t="s">
        <v>63</v>
      </c>
      <c r="AH55" s="2"/>
      <c r="AI55" s="3"/>
      <c r="AJ55" s="22"/>
      <c r="AK55" s="2"/>
      <c r="AL55" s="3"/>
      <c r="AM55" s="21" t="s">
        <v>270</v>
      </c>
      <c r="AN55" s="2"/>
      <c r="AO55" s="3"/>
      <c r="AP55" s="23">
        <v>46159</v>
      </c>
      <c r="AQ55" s="2"/>
      <c r="AR55" s="3"/>
      <c r="AS55" s="19"/>
      <c r="AT55" s="2"/>
      <c r="AU55" s="3"/>
      <c r="AV55" s="19" t="s">
        <v>63</v>
      </c>
      <c r="AW55" s="2"/>
      <c r="AX55" s="3"/>
      <c r="AY55" s="19"/>
      <c r="AZ55" s="2"/>
      <c r="BA55" s="3"/>
      <c r="BB55" s="19" t="s">
        <v>271</v>
      </c>
      <c r="BC55" s="2"/>
      <c r="BD55" s="3"/>
      <c r="BE55" s="20">
        <v>46237</v>
      </c>
      <c r="BF55" s="2"/>
      <c r="BG55" s="3"/>
      <c r="BH55" s="19"/>
      <c r="BI55" s="2"/>
      <c r="BJ55" s="3"/>
      <c r="BK55" s="18"/>
      <c r="BL55" s="2"/>
      <c r="BM55" s="2"/>
      <c r="BN55" s="2"/>
      <c r="BO55" s="2"/>
      <c r="BP55" s="2"/>
      <c r="BQ55" s="3"/>
    </row>
    <row r="56" ht="336" customHeight="1" spans="1:69">
      <c r="A56" s="17">
        <v>41</v>
      </c>
      <c r="B56" s="18" t="s">
        <v>454</v>
      </c>
      <c r="C56" s="2"/>
      <c r="D56" s="3"/>
      <c r="E56" s="18" t="s">
        <v>455</v>
      </c>
      <c r="F56" s="2"/>
      <c r="G56" s="2"/>
      <c r="H56" s="2"/>
      <c r="I56" s="3"/>
      <c r="J56" s="18" t="s">
        <v>359</v>
      </c>
      <c r="K56" s="2"/>
      <c r="L56" s="2"/>
      <c r="M56" s="2"/>
      <c r="N56" s="2"/>
      <c r="O56" s="2"/>
      <c r="P56" s="3"/>
      <c r="Q56" s="18" t="s">
        <v>456</v>
      </c>
      <c r="R56" s="2"/>
      <c r="S56" s="2"/>
      <c r="T56" s="2"/>
      <c r="U56" s="2"/>
      <c r="V56" s="2"/>
      <c r="W56" s="3"/>
      <c r="X56" s="18" t="s">
        <v>457</v>
      </c>
      <c r="Y56" s="2"/>
      <c r="Z56" s="2"/>
      <c r="AA56" s="2"/>
      <c r="AB56" s="2"/>
      <c r="AC56" s="2"/>
      <c r="AD56" s="3"/>
      <c r="AE56" s="19" t="s">
        <v>284</v>
      </c>
      <c r="AF56" s="3"/>
      <c r="AG56" s="21" t="s">
        <v>63</v>
      </c>
      <c r="AH56" s="2"/>
      <c r="AI56" s="3"/>
      <c r="AJ56" s="22"/>
      <c r="AK56" s="2"/>
      <c r="AL56" s="3"/>
      <c r="AM56" s="21" t="s">
        <v>270</v>
      </c>
      <c r="AN56" s="2"/>
      <c r="AO56" s="3"/>
      <c r="AP56" s="23">
        <v>46159</v>
      </c>
      <c r="AQ56" s="2"/>
      <c r="AR56" s="3"/>
      <c r="AS56" s="19"/>
      <c r="AT56" s="2"/>
      <c r="AU56" s="3"/>
      <c r="AV56" s="19" t="s">
        <v>63</v>
      </c>
      <c r="AW56" s="2"/>
      <c r="AX56" s="3"/>
      <c r="AY56" s="19"/>
      <c r="AZ56" s="2"/>
      <c r="BA56" s="3"/>
      <c r="BB56" s="19" t="s">
        <v>271</v>
      </c>
      <c r="BC56" s="2"/>
      <c r="BD56" s="3"/>
      <c r="BE56" s="20">
        <v>46237</v>
      </c>
      <c r="BF56" s="2"/>
      <c r="BG56" s="3"/>
      <c r="BH56" s="19"/>
      <c r="BI56" s="2"/>
      <c r="BJ56" s="3"/>
      <c r="BK56" s="18"/>
      <c r="BL56" s="2"/>
      <c r="BM56" s="2"/>
      <c r="BN56" s="2"/>
      <c r="BO56" s="2"/>
      <c r="BP56" s="2"/>
      <c r="BQ56" s="3"/>
    </row>
    <row r="57" ht="79.5" customHeight="1" spans="1:69">
      <c r="A57" s="17">
        <v>42</v>
      </c>
      <c r="B57" s="18" t="s">
        <v>458</v>
      </c>
      <c r="C57" s="2"/>
      <c r="D57" s="3"/>
      <c r="E57" s="18" t="s">
        <v>459</v>
      </c>
      <c r="F57" s="2"/>
      <c r="G57" s="2"/>
      <c r="H57" s="2"/>
      <c r="I57" s="3"/>
      <c r="J57" s="18" t="s">
        <v>359</v>
      </c>
      <c r="K57" s="2"/>
      <c r="L57" s="2"/>
      <c r="M57" s="2"/>
      <c r="N57" s="2"/>
      <c r="O57" s="2"/>
      <c r="P57" s="3"/>
      <c r="Q57" s="18" t="s">
        <v>440</v>
      </c>
      <c r="R57" s="2"/>
      <c r="S57" s="2"/>
      <c r="T57" s="2"/>
      <c r="U57" s="2"/>
      <c r="V57" s="2"/>
      <c r="W57" s="3"/>
      <c r="X57" s="18" t="s">
        <v>441</v>
      </c>
      <c r="Y57" s="2"/>
      <c r="Z57" s="2"/>
      <c r="AA57" s="2"/>
      <c r="AB57" s="2"/>
      <c r="AC57" s="2"/>
      <c r="AD57" s="3"/>
      <c r="AE57" s="19" t="s">
        <v>284</v>
      </c>
      <c r="AF57" s="3"/>
      <c r="AG57" s="21" t="s">
        <v>63</v>
      </c>
      <c r="AH57" s="2"/>
      <c r="AI57" s="3"/>
      <c r="AJ57" s="22"/>
      <c r="AK57" s="2"/>
      <c r="AL57" s="3"/>
      <c r="AM57" s="21" t="s">
        <v>270</v>
      </c>
      <c r="AN57" s="2"/>
      <c r="AO57" s="3"/>
      <c r="AP57" s="23">
        <v>46159</v>
      </c>
      <c r="AQ57" s="2"/>
      <c r="AR57" s="3"/>
      <c r="AS57" s="19"/>
      <c r="AT57" s="2"/>
      <c r="AU57" s="3"/>
      <c r="AV57" s="19" t="s">
        <v>63</v>
      </c>
      <c r="AW57" s="2"/>
      <c r="AX57" s="3"/>
      <c r="AY57" s="19"/>
      <c r="AZ57" s="2"/>
      <c r="BA57" s="3"/>
      <c r="BB57" s="19" t="s">
        <v>271</v>
      </c>
      <c r="BC57" s="2"/>
      <c r="BD57" s="3"/>
      <c r="BE57" s="20">
        <v>46237</v>
      </c>
      <c r="BF57" s="2"/>
      <c r="BG57" s="3"/>
      <c r="BH57" s="19"/>
      <c r="BI57" s="2"/>
      <c r="BJ57" s="3"/>
      <c r="BK57" s="18"/>
      <c r="BL57" s="2"/>
      <c r="BM57" s="2"/>
      <c r="BN57" s="2"/>
      <c r="BO57" s="2"/>
      <c r="BP57" s="2"/>
      <c r="BQ57" s="3"/>
    </row>
    <row r="58" ht="175.5" customHeight="1" spans="1:69">
      <c r="A58" s="17">
        <v>43</v>
      </c>
      <c r="B58" s="18" t="s">
        <v>460</v>
      </c>
      <c r="C58" s="2"/>
      <c r="D58" s="3"/>
      <c r="E58" s="18" t="s">
        <v>461</v>
      </c>
      <c r="F58" s="2"/>
      <c r="G58" s="2"/>
      <c r="H58" s="2"/>
      <c r="I58" s="3"/>
      <c r="J58" s="18" t="s">
        <v>359</v>
      </c>
      <c r="K58" s="2"/>
      <c r="L58" s="2"/>
      <c r="M58" s="2"/>
      <c r="N58" s="2"/>
      <c r="O58" s="2"/>
      <c r="P58" s="3"/>
      <c r="Q58" s="18" t="s">
        <v>462</v>
      </c>
      <c r="R58" s="2"/>
      <c r="S58" s="2"/>
      <c r="T58" s="2"/>
      <c r="U58" s="2"/>
      <c r="V58" s="2"/>
      <c r="W58" s="3"/>
      <c r="X58" s="18" t="s">
        <v>463</v>
      </c>
      <c r="Y58" s="2"/>
      <c r="Z58" s="2"/>
      <c r="AA58" s="2"/>
      <c r="AB58" s="2"/>
      <c r="AC58" s="2"/>
      <c r="AD58" s="3"/>
      <c r="AE58" s="19" t="s">
        <v>213</v>
      </c>
      <c r="AF58" s="3"/>
      <c r="AG58" s="21" t="s">
        <v>63</v>
      </c>
      <c r="AH58" s="2"/>
      <c r="AI58" s="3"/>
      <c r="AJ58" s="22"/>
      <c r="AK58" s="2"/>
      <c r="AL58" s="3"/>
      <c r="AM58" s="21" t="s">
        <v>270</v>
      </c>
      <c r="AN58" s="2"/>
      <c r="AO58" s="3"/>
      <c r="AP58" s="23">
        <v>46159</v>
      </c>
      <c r="AQ58" s="2"/>
      <c r="AR58" s="3"/>
      <c r="AS58" s="19"/>
      <c r="AT58" s="2"/>
      <c r="AU58" s="3"/>
      <c r="AV58" s="19" t="s">
        <v>63</v>
      </c>
      <c r="AW58" s="2"/>
      <c r="AX58" s="3"/>
      <c r="AY58" s="19"/>
      <c r="AZ58" s="2"/>
      <c r="BA58" s="3"/>
      <c r="BB58" s="19" t="s">
        <v>271</v>
      </c>
      <c r="BC58" s="2"/>
      <c r="BD58" s="3"/>
      <c r="BE58" s="20">
        <v>46237</v>
      </c>
      <c r="BF58" s="2"/>
      <c r="BG58" s="3"/>
      <c r="BH58" s="19"/>
      <c r="BI58" s="2"/>
      <c r="BJ58" s="3"/>
      <c r="BK58" s="18"/>
      <c r="BL58" s="2"/>
      <c r="BM58" s="2"/>
      <c r="BN58" s="2"/>
      <c r="BO58" s="2"/>
      <c r="BP58" s="2"/>
      <c r="BQ58" s="3"/>
    </row>
    <row r="59" ht="127.5" customHeight="1" spans="1:69">
      <c r="A59" s="17">
        <v>44</v>
      </c>
      <c r="B59" s="18" t="s">
        <v>464</v>
      </c>
      <c r="C59" s="2"/>
      <c r="D59" s="3"/>
      <c r="E59" s="18" t="s">
        <v>465</v>
      </c>
      <c r="F59" s="2"/>
      <c r="G59" s="2"/>
      <c r="H59" s="2"/>
      <c r="I59" s="3"/>
      <c r="J59" s="18" t="s">
        <v>359</v>
      </c>
      <c r="K59" s="2"/>
      <c r="L59" s="2"/>
      <c r="M59" s="2"/>
      <c r="N59" s="2"/>
      <c r="O59" s="2"/>
      <c r="P59" s="3"/>
      <c r="Q59" s="18" t="s">
        <v>466</v>
      </c>
      <c r="R59" s="2"/>
      <c r="S59" s="2"/>
      <c r="T59" s="2"/>
      <c r="U59" s="2"/>
      <c r="V59" s="2"/>
      <c r="W59" s="3"/>
      <c r="X59" s="18" t="s">
        <v>467</v>
      </c>
      <c r="Y59" s="2"/>
      <c r="Z59" s="2"/>
      <c r="AA59" s="2"/>
      <c r="AB59" s="2"/>
      <c r="AC59" s="2"/>
      <c r="AD59" s="3"/>
      <c r="AE59" s="19" t="s">
        <v>213</v>
      </c>
      <c r="AF59" s="3"/>
      <c r="AG59" s="21" t="s">
        <v>63</v>
      </c>
      <c r="AH59" s="2"/>
      <c r="AI59" s="3"/>
      <c r="AJ59" s="22"/>
      <c r="AK59" s="2"/>
      <c r="AL59" s="3"/>
      <c r="AM59" s="21" t="s">
        <v>270</v>
      </c>
      <c r="AN59" s="2"/>
      <c r="AO59" s="3"/>
      <c r="AP59" s="23">
        <v>46159</v>
      </c>
      <c r="AQ59" s="2"/>
      <c r="AR59" s="3"/>
      <c r="AS59" s="19"/>
      <c r="AT59" s="2"/>
      <c r="AU59" s="3"/>
      <c r="AV59" s="19" t="s">
        <v>63</v>
      </c>
      <c r="AW59" s="2"/>
      <c r="AX59" s="3"/>
      <c r="AY59" s="19"/>
      <c r="AZ59" s="2"/>
      <c r="BA59" s="3"/>
      <c r="BB59" s="19" t="s">
        <v>271</v>
      </c>
      <c r="BC59" s="2"/>
      <c r="BD59" s="3"/>
      <c r="BE59" s="20">
        <v>46237</v>
      </c>
      <c r="BF59" s="2"/>
      <c r="BG59" s="3"/>
      <c r="BH59" s="19"/>
      <c r="BI59" s="2"/>
      <c r="BJ59" s="3"/>
      <c r="BK59" s="18"/>
      <c r="BL59" s="2"/>
      <c r="BM59" s="2"/>
      <c r="BN59" s="2"/>
      <c r="BO59" s="2"/>
      <c r="BP59" s="2"/>
      <c r="BQ59" s="3"/>
    </row>
    <row r="60" ht="144" customHeight="1" spans="1:69">
      <c r="A60" s="17">
        <v>45</v>
      </c>
      <c r="B60" s="18" t="s">
        <v>468</v>
      </c>
      <c r="C60" s="2"/>
      <c r="D60" s="3"/>
      <c r="E60" s="18" t="s">
        <v>469</v>
      </c>
      <c r="F60" s="2"/>
      <c r="G60" s="2"/>
      <c r="H60" s="2"/>
      <c r="I60" s="3"/>
      <c r="J60" s="18" t="s">
        <v>359</v>
      </c>
      <c r="K60" s="2"/>
      <c r="L60" s="2"/>
      <c r="M60" s="2"/>
      <c r="N60" s="2"/>
      <c r="O60" s="2"/>
      <c r="P60" s="3"/>
      <c r="Q60" s="18" t="s">
        <v>470</v>
      </c>
      <c r="R60" s="2"/>
      <c r="S60" s="2"/>
      <c r="T60" s="2"/>
      <c r="U60" s="2"/>
      <c r="V60" s="2"/>
      <c r="W60" s="3"/>
      <c r="X60" s="18" t="s">
        <v>471</v>
      </c>
      <c r="Y60" s="2"/>
      <c r="Z60" s="2"/>
      <c r="AA60" s="2"/>
      <c r="AB60" s="2"/>
      <c r="AC60" s="2"/>
      <c r="AD60" s="3"/>
      <c r="AE60" s="19" t="s">
        <v>217</v>
      </c>
      <c r="AF60" s="3"/>
      <c r="AG60" s="21" t="s">
        <v>63</v>
      </c>
      <c r="AH60" s="2"/>
      <c r="AI60" s="3"/>
      <c r="AJ60" s="22"/>
      <c r="AK60" s="2"/>
      <c r="AL60" s="3"/>
      <c r="AM60" s="21" t="s">
        <v>270</v>
      </c>
      <c r="AN60" s="2"/>
      <c r="AO60" s="3"/>
      <c r="AP60" s="23">
        <v>46159</v>
      </c>
      <c r="AQ60" s="2"/>
      <c r="AR60" s="3"/>
      <c r="AS60" s="19"/>
      <c r="AT60" s="2"/>
      <c r="AU60" s="3"/>
      <c r="AV60" s="19" t="s">
        <v>63</v>
      </c>
      <c r="AW60" s="2"/>
      <c r="AX60" s="3"/>
      <c r="AY60" s="19"/>
      <c r="AZ60" s="2"/>
      <c r="BA60" s="3"/>
      <c r="BB60" s="19" t="s">
        <v>271</v>
      </c>
      <c r="BC60" s="2"/>
      <c r="BD60" s="3"/>
      <c r="BE60" s="20">
        <v>46237</v>
      </c>
      <c r="BF60" s="2"/>
      <c r="BG60" s="3"/>
      <c r="BH60" s="19"/>
      <c r="BI60" s="2"/>
      <c r="BJ60" s="3"/>
      <c r="BK60" s="18"/>
      <c r="BL60" s="2"/>
      <c r="BM60" s="2"/>
      <c r="BN60" s="2"/>
      <c r="BO60" s="2"/>
      <c r="BP60" s="2"/>
      <c r="BQ60" s="3"/>
    </row>
    <row r="61" ht="144" customHeight="1" spans="1:69">
      <c r="A61" s="17">
        <v>46</v>
      </c>
      <c r="B61" s="18" t="s">
        <v>472</v>
      </c>
      <c r="C61" s="2"/>
      <c r="D61" s="3"/>
      <c r="E61" s="18" t="s">
        <v>473</v>
      </c>
      <c r="F61" s="2"/>
      <c r="G61" s="2"/>
      <c r="H61" s="2"/>
      <c r="I61" s="3"/>
      <c r="J61" s="18" t="s">
        <v>359</v>
      </c>
      <c r="K61" s="2"/>
      <c r="L61" s="2"/>
      <c r="M61" s="2"/>
      <c r="N61" s="2"/>
      <c r="O61" s="2"/>
      <c r="P61" s="3"/>
      <c r="Q61" s="18" t="s">
        <v>474</v>
      </c>
      <c r="R61" s="2"/>
      <c r="S61" s="2"/>
      <c r="T61" s="2"/>
      <c r="U61" s="2"/>
      <c r="V61" s="2"/>
      <c r="W61" s="3"/>
      <c r="X61" s="18" t="s">
        <v>475</v>
      </c>
      <c r="Y61" s="2"/>
      <c r="Z61" s="2"/>
      <c r="AA61" s="2"/>
      <c r="AB61" s="2"/>
      <c r="AC61" s="2"/>
      <c r="AD61" s="3"/>
      <c r="AE61" s="19" t="s">
        <v>284</v>
      </c>
      <c r="AF61" s="3"/>
      <c r="AG61" s="21" t="s">
        <v>63</v>
      </c>
      <c r="AH61" s="2"/>
      <c r="AI61" s="3"/>
      <c r="AJ61" s="22"/>
      <c r="AK61" s="2"/>
      <c r="AL61" s="3"/>
      <c r="AM61" s="21" t="s">
        <v>270</v>
      </c>
      <c r="AN61" s="2"/>
      <c r="AO61" s="3"/>
      <c r="AP61" s="23">
        <v>46159</v>
      </c>
      <c r="AQ61" s="2"/>
      <c r="AR61" s="3"/>
      <c r="AS61" s="19"/>
      <c r="AT61" s="2"/>
      <c r="AU61" s="3"/>
      <c r="AV61" s="19" t="s">
        <v>63</v>
      </c>
      <c r="AW61" s="2"/>
      <c r="AX61" s="3"/>
      <c r="AY61" s="19"/>
      <c r="AZ61" s="2"/>
      <c r="BA61" s="3"/>
      <c r="BB61" s="19" t="s">
        <v>271</v>
      </c>
      <c r="BC61" s="2"/>
      <c r="BD61" s="3"/>
      <c r="BE61" s="20">
        <v>46237</v>
      </c>
      <c r="BF61" s="2"/>
      <c r="BG61" s="3"/>
      <c r="BH61" s="19"/>
      <c r="BI61" s="2"/>
      <c r="BJ61" s="3"/>
      <c r="BK61" s="18"/>
      <c r="BL61" s="2"/>
      <c r="BM61" s="2"/>
      <c r="BN61" s="2"/>
      <c r="BO61" s="2"/>
      <c r="BP61" s="2"/>
      <c r="BQ61" s="3"/>
    </row>
    <row r="62" ht="159.75" customHeight="1" spans="1:69">
      <c r="A62" s="17">
        <v>47</v>
      </c>
      <c r="B62" s="18" t="s">
        <v>476</v>
      </c>
      <c r="C62" s="2"/>
      <c r="D62" s="3"/>
      <c r="E62" s="18" t="s">
        <v>477</v>
      </c>
      <c r="F62" s="2"/>
      <c r="G62" s="2"/>
      <c r="H62" s="2"/>
      <c r="I62" s="3"/>
      <c r="J62" s="18" t="s">
        <v>359</v>
      </c>
      <c r="K62" s="2"/>
      <c r="L62" s="2"/>
      <c r="M62" s="2"/>
      <c r="N62" s="2"/>
      <c r="O62" s="2"/>
      <c r="P62" s="3"/>
      <c r="Q62" s="18" t="s">
        <v>478</v>
      </c>
      <c r="R62" s="2"/>
      <c r="S62" s="2"/>
      <c r="T62" s="2"/>
      <c r="U62" s="2"/>
      <c r="V62" s="2"/>
      <c r="W62" s="3"/>
      <c r="X62" s="18" t="s">
        <v>479</v>
      </c>
      <c r="Y62" s="2"/>
      <c r="Z62" s="2"/>
      <c r="AA62" s="2"/>
      <c r="AB62" s="2"/>
      <c r="AC62" s="2"/>
      <c r="AD62" s="3"/>
      <c r="AE62" s="19" t="s">
        <v>284</v>
      </c>
      <c r="AF62" s="3"/>
      <c r="AG62" s="21" t="s">
        <v>63</v>
      </c>
      <c r="AH62" s="2"/>
      <c r="AI62" s="3"/>
      <c r="AJ62" s="22"/>
      <c r="AK62" s="2"/>
      <c r="AL62" s="3"/>
      <c r="AM62" s="21" t="s">
        <v>270</v>
      </c>
      <c r="AN62" s="2"/>
      <c r="AO62" s="3"/>
      <c r="AP62" s="23">
        <v>46159</v>
      </c>
      <c r="AQ62" s="2"/>
      <c r="AR62" s="3"/>
      <c r="AS62" s="19"/>
      <c r="AT62" s="2"/>
      <c r="AU62" s="3"/>
      <c r="AV62" s="19" t="s">
        <v>63</v>
      </c>
      <c r="AW62" s="2"/>
      <c r="AX62" s="3"/>
      <c r="AY62" s="19"/>
      <c r="AZ62" s="2"/>
      <c r="BA62" s="3"/>
      <c r="BB62" s="19" t="s">
        <v>271</v>
      </c>
      <c r="BC62" s="2"/>
      <c r="BD62" s="3"/>
      <c r="BE62" s="20">
        <v>46237</v>
      </c>
      <c r="BF62" s="2"/>
      <c r="BG62" s="3"/>
      <c r="BH62" s="19"/>
      <c r="BI62" s="2"/>
      <c r="BJ62" s="3"/>
      <c r="BK62" s="18"/>
      <c r="BL62" s="2"/>
      <c r="BM62" s="2"/>
      <c r="BN62" s="2"/>
      <c r="BO62" s="2"/>
      <c r="BP62" s="2"/>
      <c r="BQ62" s="3"/>
    </row>
    <row r="63" ht="159.75" customHeight="1" spans="1:69">
      <c r="A63" s="17">
        <v>48</v>
      </c>
      <c r="B63" s="18" t="s">
        <v>480</v>
      </c>
      <c r="C63" s="2"/>
      <c r="D63" s="3"/>
      <c r="E63" s="18" t="s">
        <v>481</v>
      </c>
      <c r="F63" s="2"/>
      <c r="G63" s="2"/>
      <c r="H63" s="2"/>
      <c r="I63" s="3"/>
      <c r="J63" s="18" t="s">
        <v>368</v>
      </c>
      <c r="K63" s="2"/>
      <c r="L63" s="2"/>
      <c r="M63" s="2"/>
      <c r="N63" s="2"/>
      <c r="O63" s="2"/>
      <c r="P63" s="3"/>
      <c r="Q63" s="18" t="s">
        <v>482</v>
      </c>
      <c r="R63" s="2"/>
      <c r="S63" s="2"/>
      <c r="T63" s="2"/>
      <c r="U63" s="2"/>
      <c r="V63" s="2"/>
      <c r="W63" s="3"/>
      <c r="X63" s="18" t="s">
        <v>483</v>
      </c>
      <c r="Y63" s="2"/>
      <c r="Z63" s="2"/>
      <c r="AA63" s="2"/>
      <c r="AB63" s="2"/>
      <c r="AC63" s="2"/>
      <c r="AD63" s="3"/>
      <c r="AE63" s="19" t="s">
        <v>284</v>
      </c>
      <c r="AF63" s="3"/>
      <c r="AG63" s="21" t="s">
        <v>63</v>
      </c>
      <c r="AH63" s="2"/>
      <c r="AI63" s="3"/>
      <c r="AJ63" s="22"/>
      <c r="AK63" s="2"/>
      <c r="AL63" s="3"/>
      <c r="AM63" s="21" t="s">
        <v>270</v>
      </c>
      <c r="AN63" s="2"/>
      <c r="AO63" s="3"/>
      <c r="AP63" s="23">
        <v>46159</v>
      </c>
      <c r="AQ63" s="2"/>
      <c r="AR63" s="3"/>
      <c r="AS63" s="19"/>
      <c r="AT63" s="2"/>
      <c r="AU63" s="3"/>
      <c r="AV63" s="19" t="s">
        <v>63</v>
      </c>
      <c r="AW63" s="2"/>
      <c r="AX63" s="3"/>
      <c r="AY63" s="19"/>
      <c r="AZ63" s="2"/>
      <c r="BA63" s="3"/>
      <c r="BB63" s="19" t="s">
        <v>271</v>
      </c>
      <c r="BC63" s="2"/>
      <c r="BD63" s="3"/>
      <c r="BE63" s="20">
        <v>46237</v>
      </c>
      <c r="BF63" s="2"/>
      <c r="BG63" s="3"/>
      <c r="BH63" s="19"/>
      <c r="BI63" s="2"/>
      <c r="BJ63" s="3"/>
      <c r="BK63" s="18"/>
      <c r="BL63" s="2"/>
      <c r="BM63" s="2"/>
      <c r="BN63" s="2"/>
      <c r="BO63" s="2"/>
      <c r="BP63" s="2"/>
      <c r="BQ63" s="3"/>
    </row>
    <row r="64" ht="159.75" customHeight="1" spans="1:69">
      <c r="A64" s="17">
        <v>49</v>
      </c>
      <c r="B64" s="18" t="s">
        <v>484</v>
      </c>
      <c r="C64" s="2"/>
      <c r="D64" s="3"/>
      <c r="E64" s="18" t="s">
        <v>485</v>
      </c>
      <c r="F64" s="2"/>
      <c r="G64" s="2"/>
      <c r="H64" s="2"/>
      <c r="I64" s="3"/>
      <c r="J64" s="18" t="s">
        <v>486</v>
      </c>
      <c r="K64" s="2"/>
      <c r="L64" s="2"/>
      <c r="M64" s="2"/>
      <c r="N64" s="2"/>
      <c r="O64" s="2"/>
      <c r="P64" s="3"/>
      <c r="Q64" s="18" t="s">
        <v>487</v>
      </c>
      <c r="R64" s="2"/>
      <c r="S64" s="2"/>
      <c r="T64" s="2"/>
      <c r="U64" s="2"/>
      <c r="V64" s="2"/>
      <c r="W64" s="3"/>
      <c r="X64" s="18" t="s">
        <v>488</v>
      </c>
      <c r="Y64" s="2"/>
      <c r="Z64" s="2"/>
      <c r="AA64" s="2"/>
      <c r="AB64" s="2"/>
      <c r="AC64" s="2"/>
      <c r="AD64" s="3"/>
      <c r="AE64" s="19" t="s">
        <v>213</v>
      </c>
      <c r="AF64" s="3"/>
      <c r="AG64" s="21" t="s">
        <v>63</v>
      </c>
      <c r="AH64" s="2"/>
      <c r="AI64" s="3"/>
      <c r="AJ64" s="22"/>
      <c r="AK64" s="2"/>
      <c r="AL64" s="3"/>
      <c r="AM64" s="21" t="s">
        <v>270</v>
      </c>
      <c r="AN64" s="2"/>
      <c r="AO64" s="3"/>
      <c r="AP64" s="23">
        <v>46159</v>
      </c>
      <c r="AQ64" s="2"/>
      <c r="AR64" s="3"/>
      <c r="AS64" s="19"/>
      <c r="AT64" s="2"/>
      <c r="AU64" s="3"/>
      <c r="AV64" s="19" t="s">
        <v>63</v>
      </c>
      <c r="AW64" s="2"/>
      <c r="AX64" s="3"/>
      <c r="AY64" s="19"/>
      <c r="AZ64" s="2"/>
      <c r="BA64" s="3"/>
      <c r="BB64" s="19" t="s">
        <v>271</v>
      </c>
      <c r="BC64" s="2"/>
      <c r="BD64" s="3"/>
      <c r="BE64" s="20">
        <v>46237</v>
      </c>
      <c r="BF64" s="2"/>
      <c r="BG64" s="3"/>
      <c r="BH64" s="19"/>
      <c r="BI64" s="2"/>
      <c r="BJ64" s="3"/>
      <c r="BK64" s="18"/>
      <c r="BL64" s="2"/>
      <c r="BM64" s="2"/>
      <c r="BN64" s="2"/>
      <c r="BO64" s="2"/>
      <c r="BP64" s="2"/>
      <c r="BQ64" s="3"/>
    </row>
    <row r="65" ht="175.5" customHeight="1" spans="1:69">
      <c r="A65" s="17">
        <v>50</v>
      </c>
      <c r="B65" s="18" t="s">
        <v>489</v>
      </c>
      <c r="C65" s="2"/>
      <c r="D65" s="3"/>
      <c r="E65" s="18" t="s">
        <v>490</v>
      </c>
      <c r="F65" s="2"/>
      <c r="G65" s="2"/>
      <c r="H65" s="2"/>
      <c r="I65" s="3"/>
      <c r="J65" s="18" t="s">
        <v>359</v>
      </c>
      <c r="K65" s="2"/>
      <c r="L65" s="2"/>
      <c r="M65" s="2"/>
      <c r="N65" s="2"/>
      <c r="O65" s="2"/>
      <c r="P65" s="3"/>
      <c r="Q65" s="18" t="s">
        <v>491</v>
      </c>
      <c r="R65" s="2"/>
      <c r="S65" s="2"/>
      <c r="T65" s="2"/>
      <c r="U65" s="2"/>
      <c r="V65" s="2"/>
      <c r="W65" s="3"/>
      <c r="X65" s="18" t="s">
        <v>492</v>
      </c>
      <c r="Y65" s="2"/>
      <c r="Z65" s="2"/>
      <c r="AA65" s="2"/>
      <c r="AB65" s="2"/>
      <c r="AC65" s="2"/>
      <c r="AD65" s="3"/>
      <c r="AE65" s="19" t="s">
        <v>213</v>
      </c>
      <c r="AF65" s="3"/>
      <c r="AG65" s="21" t="s">
        <v>63</v>
      </c>
      <c r="AH65" s="2"/>
      <c r="AI65" s="3"/>
      <c r="AJ65" s="22"/>
      <c r="AK65" s="2"/>
      <c r="AL65" s="3"/>
      <c r="AM65" s="21" t="s">
        <v>270</v>
      </c>
      <c r="AN65" s="2"/>
      <c r="AO65" s="3"/>
      <c r="AP65" s="23">
        <v>46159</v>
      </c>
      <c r="AQ65" s="2"/>
      <c r="AR65" s="3"/>
      <c r="AS65" s="19"/>
      <c r="AT65" s="2"/>
      <c r="AU65" s="3"/>
      <c r="AV65" s="19" t="s">
        <v>63</v>
      </c>
      <c r="AW65" s="2"/>
      <c r="AX65" s="3"/>
      <c r="AY65" s="19"/>
      <c r="AZ65" s="2"/>
      <c r="BA65" s="3"/>
      <c r="BB65" s="19" t="s">
        <v>271</v>
      </c>
      <c r="BC65" s="2"/>
      <c r="BD65" s="3"/>
      <c r="BE65" s="20">
        <v>46237</v>
      </c>
      <c r="BF65" s="2"/>
      <c r="BG65" s="3"/>
      <c r="BH65" s="19"/>
      <c r="BI65" s="2"/>
      <c r="BJ65" s="3"/>
      <c r="BK65" s="18"/>
      <c r="BL65" s="2"/>
      <c r="BM65" s="2"/>
      <c r="BN65" s="2"/>
      <c r="BO65" s="2"/>
      <c r="BP65" s="2"/>
      <c r="BQ65" s="3"/>
    </row>
    <row r="66" ht="79.5" customHeight="1" spans="1:69">
      <c r="A66" s="17">
        <v>51</v>
      </c>
      <c r="B66" s="18" t="s">
        <v>493</v>
      </c>
      <c r="C66" s="2"/>
      <c r="D66" s="3"/>
      <c r="E66" s="18" t="s">
        <v>494</v>
      </c>
      <c r="F66" s="2"/>
      <c r="G66" s="2"/>
      <c r="H66" s="2"/>
      <c r="I66" s="3"/>
      <c r="J66" s="18" t="s">
        <v>359</v>
      </c>
      <c r="K66" s="2"/>
      <c r="L66" s="2"/>
      <c r="M66" s="2"/>
      <c r="N66" s="2"/>
      <c r="O66" s="2"/>
      <c r="P66" s="3"/>
      <c r="Q66" s="18" t="s">
        <v>440</v>
      </c>
      <c r="R66" s="2"/>
      <c r="S66" s="2"/>
      <c r="T66" s="2"/>
      <c r="U66" s="2"/>
      <c r="V66" s="2"/>
      <c r="W66" s="3"/>
      <c r="X66" s="18" t="s">
        <v>495</v>
      </c>
      <c r="Y66" s="2"/>
      <c r="Z66" s="2"/>
      <c r="AA66" s="2"/>
      <c r="AB66" s="2"/>
      <c r="AC66" s="2"/>
      <c r="AD66" s="3"/>
      <c r="AE66" s="19" t="s">
        <v>284</v>
      </c>
      <c r="AF66" s="3"/>
      <c r="AG66" s="21" t="s">
        <v>63</v>
      </c>
      <c r="AH66" s="2"/>
      <c r="AI66" s="3"/>
      <c r="AJ66" s="22"/>
      <c r="AK66" s="2"/>
      <c r="AL66" s="3"/>
      <c r="AM66" s="21" t="s">
        <v>270</v>
      </c>
      <c r="AN66" s="2"/>
      <c r="AO66" s="3"/>
      <c r="AP66" s="23">
        <v>46159</v>
      </c>
      <c r="AQ66" s="2"/>
      <c r="AR66" s="3"/>
      <c r="AS66" s="19"/>
      <c r="AT66" s="2"/>
      <c r="AU66" s="3"/>
      <c r="AV66" s="19" t="s">
        <v>63</v>
      </c>
      <c r="AW66" s="2"/>
      <c r="AX66" s="3"/>
      <c r="AY66" s="19"/>
      <c r="AZ66" s="2"/>
      <c r="BA66" s="3"/>
      <c r="BB66" s="19" t="s">
        <v>271</v>
      </c>
      <c r="BC66" s="2"/>
      <c r="BD66" s="3"/>
      <c r="BE66" s="20">
        <v>46237</v>
      </c>
      <c r="BF66" s="2"/>
      <c r="BG66" s="3"/>
      <c r="BH66" s="19"/>
      <c r="BI66" s="2"/>
      <c r="BJ66" s="3"/>
      <c r="BK66" s="18"/>
      <c r="BL66" s="2"/>
      <c r="BM66" s="2"/>
      <c r="BN66" s="2"/>
      <c r="BO66" s="2"/>
      <c r="BP66" s="2"/>
      <c r="BQ66" s="3"/>
    </row>
    <row r="67" ht="384" customHeight="1" spans="1:69">
      <c r="A67" s="17">
        <v>52</v>
      </c>
      <c r="B67" s="25" t="s">
        <v>496</v>
      </c>
      <c r="C67" s="2"/>
      <c r="D67" s="3"/>
      <c r="E67" s="25" t="s">
        <v>497</v>
      </c>
      <c r="F67" s="2"/>
      <c r="G67" s="2"/>
      <c r="H67" s="2"/>
      <c r="I67" s="3"/>
      <c r="J67" s="25" t="s">
        <v>498</v>
      </c>
      <c r="K67" s="2"/>
      <c r="L67" s="2"/>
      <c r="M67" s="2"/>
      <c r="N67" s="2"/>
      <c r="O67" s="2"/>
      <c r="P67" s="3"/>
      <c r="Q67" s="25" t="s">
        <v>499</v>
      </c>
      <c r="R67" s="2"/>
      <c r="S67" s="2"/>
      <c r="T67" s="2"/>
      <c r="U67" s="2"/>
      <c r="V67" s="2"/>
      <c r="W67" s="3"/>
      <c r="X67" s="25" t="s">
        <v>500</v>
      </c>
      <c r="Y67" s="2"/>
      <c r="Z67" s="2"/>
      <c r="AA67" s="2"/>
      <c r="AB67" s="2"/>
      <c r="AC67" s="2"/>
      <c r="AD67" s="3"/>
      <c r="AE67" s="26" t="s">
        <v>284</v>
      </c>
      <c r="AF67" s="3"/>
      <c r="AG67" s="19" t="s">
        <v>66</v>
      </c>
      <c r="AH67" s="2"/>
      <c r="AI67" s="3"/>
      <c r="AJ67" s="19"/>
      <c r="AK67" s="2"/>
      <c r="AL67" s="3"/>
      <c r="AM67" s="21" t="s">
        <v>270</v>
      </c>
      <c r="AN67" s="2"/>
      <c r="AO67" s="3"/>
      <c r="AP67" s="23">
        <v>46159</v>
      </c>
      <c r="AQ67" s="2"/>
      <c r="AR67" s="3"/>
      <c r="AS67" s="19"/>
      <c r="AT67" s="2"/>
      <c r="AU67" s="3"/>
      <c r="AV67" s="19" t="s">
        <v>66</v>
      </c>
      <c r="AW67" s="2"/>
      <c r="AX67" s="3"/>
      <c r="AY67" s="19"/>
      <c r="AZ67" s="2"/>
      <c r="BA67" s="3"/>
      <c r="BB67" s="19" t="s">
        <v>271</v>
      </c>
      <c r="BC67" s="2"/>
      <c r="BD67" s="3"/>
      <c r="BE67" s="20">
        <v>46237</v>
      </c>
      <c r="BF67" s="2"/>
      <c r="BG67" s="3"/>
      <c r="BH67" s="19"/>
      <c r="BI67" s="2"/>
      <c r="BJ67" s="3"/>
      <c r="BK67" s="18"/>
      <c r="BL67" s="2"/>
      <c r="BM67" s="2"/>
      <c r="BN67" s="2"/>
      <c r="BO67" s="2"/>
      <c r="BP67" s="2"/>
      <c r="BQ67" s="3"/>
    </row>
    <row r="68" ht="207.75" customHeight="1" spans="1:69">
      <c r="A68" s="17">
        <v>53</v>
      </c>
      <c r="B68" s="18" t="s">
        <v>501</v>
      </c>
      <c r="C68" s="2"/>
      <c r="D68" s="3"/>
      <c r="E68" s="18" t="s">
        <v>502</v>
      </c>
      <c r="F68" s="2"/>
      <c r="G68" s="2"/>
      <c r="H68" s="2"/>
      <c r="I68" s="3"/>
      <c r="J68" s="18" t="s">
        <v>503</v>
      </c>
      <c r="K68" s="2"/>
      <c r="L68" s="2"/>
      <c r="M68" s="2"/>
      <c r="N68" s="2"/>
      <c r="O68" s="2"/>
      <c r="P68" s="3"/>
      <c r="Q68" s="18" t="s">
        <v>504</v>
      </c>
      <c r="R68" s="2"/>
      <c r="S68" s="2"/>
      <c r="T68" s="2"/>
      <c r="U68" s="2"/>
      <c r="V68" s="2"/>
      <c r="W68" s="3"/>
      <c r="X68" s="18" t="s">
        <v>505</v>
      </c>
      <c r="Y68" s="2"/>
      <c r="Z68" s="2"/>
      <c r="AA68" s="2"/>
      <c r="AB68" s="2"/>
      <c r="AC68" s="2"/>
      <c r="AD68" s="3"/>
      <c r="AE68" s="19" t="s">
        <v>213</v>
      </c>
      <c r="AF68" s="3"/>
      <c r="AG68" s="21" t="s">
        <v>63</v>
      </c>
      <c r="AH68" s="2"/>
      <c r="AI68" s="3"/>
      <c r="AJ68" s="22"/>
      <c r="AK68" s="2"/>
      <c r="AL68" s="3"/>
      <c r="AM68" s="21" t="s">
        <v>270</v>
      </c>
      <c r="AN68" s="2"/>
      <c r="AO68" s="3"/>
      <c r="AP68" s="23">
        <v>46159</v>
      </c>
      <c r="AQ68" s="2"/>
      <c r="AR68" s="3"/>
      <c r="AS68" s="19"/>
      <c r="AT68" s="2"/>
      <c r="AU68" s="3"/>
      <c r="AV68" s="19" t="s">
        <v>63</v>
      </c>
      <c r="AW68" s="2"/>
      <c r="AX68" s="3"/>
      <c r="AY68" s="19"/>
      <c r="AZ68" s="2"/>
      <c r="BA68" s="3"/>
      <c r="BB68" s="19" t="s">
        <v>271</v>
      </c>
      <c r="BC68" s="2"/>
      <c r="BD68" s="3"/>
      <c r="BE68" s="20">
        <v>46237</v>
      </c>
      <c r="BF68" s="2"/>
      <c r="BG68" s="3"/>
      <c r="BH68" s="19"/>
      <c r="BI68" s="2"/>
      <c r="BJ68" s="3"/>
      <c r="BK68" s="18"/>
      <c r="BL68" s="2"/>
      <c r="BM68" s="2"/>
      <c r="BN68" s="2"/>
      <c r="BO68" s="2"/>
      <c r="BP68" s="2"/>
      <c r="BQ68" s="3"/>
    </row>
    <row r="69" ht="127.5" customHeight="1" spans="1:69">
      <c r="A69" s="17">
        <v>54</v>
      </c>
      <c r="B69" s="18" t="s">
        <v>506</v>
      </c>
      <c r="C69" s="2"/>
      <c r="D69" s="3"/>
      <c r="E69" s="18" t="s">
        <v>507</v>
      </c>
      <c r="F69" s="2"/>
      <c r="G69" s="2"/>
      <c r="H69" s="2"/>
      <c r="I69" s="3"/>
      <c r="J69" s="18" t="s">
        <v>359</v>
      </c>
      <c r="K69" s="2"/>
      <c r="L69" s="2"/>
      <c r="M69" s="2"/>
      <c r="N69" s="2"/>
      <c r="O69" s="2"/>
      <c r="P69" s="3"/>
      <c r="Q69" s="18" t="s">
        <v>508</v>
      </c>
      <c r="R69" s="2"/>
      <c r="S69" s="2"/>
      <c r="T69" s="2"/>
      <c r="U69" s="2"/>
      <c r="V69" s="2"/>
      <c r="W69" s="3"/>
      <c r="X69" s="18" t="s">
        <v>509</v>
      </c>
      <c r="Y69" s="2"/>
      <c r="Z69" s="2"/>
      <c r="AA69" s="2"/>
      <c r="AB69" s="2"/>
      <c r="AC69" s="2"/>
      <c r="AD69" s="3"/>
      <c r="AE69" s="19" t="s">
        <v>213</v>
      </c>
      <c r="AF69" s="3"/>
      <c r="AG69" s="21" t="s">
        <v>63</v>
      </c>
      <c r="AH69" s="2"/>
      <c r="AI69" s="3"/>
      <c r="AJ69" s="22"/>
      <c r="AK69" s="2"/>
      <c r="AL69" s="3"/>
      <c r="AM69" s="21" t="s">
        <v>270</v>
      </c>
      <c r="AN69" s="2"/>
      <c r="AO69" s="3"/>
      <c r="AP69" s="23">
        <v>46159</v>
      </c>
      <c r="AQ69" s="2"/>
      <c r="AR69" s="3"/>
      <c r="AS69" s="19"/>
      <c r="AT69" s="2"/>
      <c r="AU69" s="3"/>
      <c r="AV69" s="19" t="s">
        <v>63</v>
      </c>
      <c r="AW69" s="2"/>
      <c r="AX69" s="3"/>
      <c r="AY69" s="19"/>
      <c r="AZ69" s="2"/>
      <c r="BA69" s="3"/>
      <c r="BB69" s="19" t="s">
        <v>271</v>
      </c>
      <c r="BC69" s="2"/>
      <c r="BD69" s="3"/>
      <c r="BE69" s="20">
        <v>46237</v>
      </c>
      <c r="BF69" s="2"/>
      <c r="BG69" s="3"/>
      <c r="BH69" s="19"/>
      <c r="BI69" s="2"/>
      <c r="BJ69" s="3"/>
      <c r="BK69" s="18"/>
      <c r="BL69" s="2"/>
      <c r="BM69" s="2"/>
      <c r="BN69" s="2"/>
      <c r="BO69" s="2"/>
      <c r="BP69" s="2"/>
      <c r="BQ69" s="3"/>
    </row>
    <row r="70" ht="159.75" customHeight="1" spans="1:69">
      <c r="A70" s="17">
        <v>55</v>
      </c>
      <c r="B70" s="18" t="s">
        <v>510</v>
      </c>
      <c r="C70" s="2"/>
      <c r="D70" s="3"/>
      <c r="E70" s="18" t="s">
        <v>511</v>
      </c>
      <c r="F70" s="2"/>
      <c r="G70" s="2"/>
      <c r="H70" s="2"/>
      <c r="I70" s="3"/>
      <c r="J70" s="18" t="s">
        <v>359</v>
      </c>
      <c r="K70" s="2"/>
      <c r="L70" s="2"/>
      <c r="M70" s="2"/>
      <c r="N70" s="2"/>
      <c r="O70" s="2"/>
      <c r="P70" s="3"/>
      <c r="Q70" s="18" t="s">
        <v>512</v>
      </c>
      <c r="R70" s="2"/>
      <c r="S70" s="2"/>
      <c r="T70" s="2"/>
      <c r="U70" s="2"/>
      <c r="V70" s="2"/>
      <c r="W70" s="3"/>
      <c r="X70" s="18" t="s">
        <v>513</v>
      </c>
      <c r="Y70" s="2"/>
      <c r="Z70" s="2"/>
      <c r="AA70" s="2"/>
      <c r="AB70" s="2"/>
      <c r="AC70" s="2"/>
      <c r="AD70" s="3"/>
      <c r="AE70" s="19" t="s">
        <v>284</v>
      </c>
      <c r="AF70" s="3"/>
      <c r="AG70" s="21" t="s">
        <v>63</v>
      </c>
      <c r="AH70" s="2"/>
      <c r="AI70" s="3"/>
      <c r="AJ70" s="22"/>
      <c r="AK70" s="2"/>
      <c r="AL70" s="3"/>
      <c r="AM70" s="21" t="s">
        <v>270</v>
      </c>
      <c r="AN70" s="2"/>
      <c r="AO70" s="3"/>
      <c r="AP70" s="23">
        <v>46159</v>
      </c>
      <c r="AQ70" s="2"/>
      <c r="AR70" s="3"/>
      <c r="AS70" s="19"/>
      <c r="AT70" s="2"/>
      <c r="AU70" s="3"/>
      <c r="AV70" s="19" t="s">
        <v>63</v>
      </c>
      <c r="AW70" s="2"/>
      <c r="AX70" s="3"/>
      <c r="AY70" s="19"/>
      <c r="AZ70" s="2"/>
      <c r="BA70" s="3"/>
      <c r="BB70" s="19" t="s">
        <v>271</v>
      </c>
      <c r="BC70" s="2"/>
      <c r="BD70" s="3"/>
      <c r="BE70" s="20">
        <v>46237</v>
      </c>
      <c r="BF70" s="2"/>
      <c r="BG70" s="3"/>
      <c r="BH70" s="19"/>
      <c r="BI70" s="2"/>
      <c r="BJ70" s="3"/>
      <c r="BK70" s="18" t="s">
        <v>346</v>
      </c>
      <c r="BL70" s="2"/>
      <c r="BM70" s="2"/>
      <c r="BN70" s="2"/>
      <c r="BO70" s="2"/>
      <c r="BP70" s="2"/>
      <c r="BQ70" s="3"/>
    </row>
    <row r="71" ht="22.5" customHeight="1" spans="1:69">
      <c r="A71" s="16" t="s">
        <v>514</v>
      </c>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3"/>
    </row>
    <row r="72" ht="409.5" customHeight="1" spans="1:69">
      <c r="A72" s="17">
        <v>56</v>
      </c>
      <c r="B72" s="18" t="s">
        <v>515</v>
      </c>
      <c r="C72" s="2"/>
      <c r="D72" s="3"/>
      <c r="E72" s="18" t="s">
        <v>516</v>
      </c>
      <c r="F72" s="2"/>
      <c r="G72" s="2"/>
      <c r="H72" s="2"/>
      <c r="I72" s="3"/>
      <c r="J72" s="18" t="s">
        <v>517</v>
      </c>
      <c r="K72" s="2"/>
      <c r="L72" s="2"/>
      <c r="M72" s="2"/>
      <c r="N72" s="2"/>
      <c r="O72" s="2"/>
      <c r="P72" s="3"/>
      <c r="Q72" s="18" t="s">
        <v>518</v>
      </c>
      <c r="R72" s="2"/>
      <c r="S72" s="2"/>
      <c r="T72" s="2"/>
      <c r="U72" s="2"/>
      <c r="V72" s="2"/>
      <c r="W72" s="3"/>
      <c r="X72" s="18" t="s">
        <v>519</v>
      </c>
      <c r="Y72" s="2"/>
      <c r="Z72" s="2"/>
      <c r="AA72" s="2"/>
      <c r="AB72" s="2"/>
      <c r="AC72" s="2"/>
      <c r="AD72" s="3"/>
      <c r="AE72" s="19" t="s">
        <v>284</v>
      </c>
      <c r="AF72" s="3"/>
      <c r="AG72" s="21" t="s">
        <v>63</v>
      </c>
      <c r="AH72" s="2"/>
      <c r="AI72" s="3"/>
      <c r="AJ72" s="22"/>
      <c r="AK72" s="2"/>
      <c r="AL72" s="3"/>
      <c r="AM72" s="21" t="s">
        <v>270</v>
      </c>
      <c r="AN72" s="2"/>
      <c r="AO72" s="3"/>
      <c r="AP72" s="23">
        <v>46159</v>
      </c>
      <c r="AQ72" s="2"/>
      <c r="AR72" s="3"/>
      <c r="AS72" s="19"/>
      <c r="AT72" s="2"/>
      <c r="AU72" s="3"/>
      <c r="AV72" s="19" t="s">
        <v>63</v>
      </c>
      <c r="AW72" s="2"/>
      <c r="AX72" s="3"/>
      <c r="AY72" s="19"/>
      <c r="AZ72" s="2"/>
      <c r="BA72" s="3"/>
      <c r="BB72" s="19" t="s">
        <v>271</v>
      </c>
      <c r="BC72" s="2"/>
      <c r="BD72" s="3"/>
      <c r="BE72" s="20">
        <v>46237</v>
      </c>
      <c r="BF72" s="2"/>
      <c r="BG72" s="3"/>
      <c r="BH72" s="19"/>
      <c r="BI72" s="2"/>
      <c r="BJ72" s="3"/>
      <c r="BK72" s="18"/>
      <c r="BL72" s="2"/>
      <c r="BM72" s="2"/>
      <c r="BN72" s="2"/>
      <c r="BO72" s="2"/>
      <c r="BP72" s="2"/>
      <c r="BQ72" s="3"/>
    </row>
    <row r="73" ht="240" customHeight="1" spans="1:69">
      <c r="A73" s="17">
        <v>57</v>
      </c>
      <c r="B73" s="18" t="s">
        <v>520</v>
      </c>
      <c r="C73" s="2"/>
      <c r="D73" s="3"/>
      <c r="E73" s="18" t="s">
        <v>521</v>
      </c>
      <c r="F73" s="2"/>
      <c r="G73" s="2"/>
      <c r="H73" s="2"/>
      <c r="I73" s="3"/>
      <c r="J73" s="18" t="s">
        <v>522</v>
      </c>
      <c r="K73" s="2"/>
      <c r="L73" s="2"/>
      <c r="M73" s="2"/>
      <c r="N73" s="2"/>
      <c r="O73" s="2"/>
      <c r="P73" s="3"/>
      <c r="Q73" s="18" t="s">
        <v>523</v>
      </c>
      <c r="R73" s="2"/>
      <c r="S73" s="2"/>
      <c r="T73" s="2"/>
      <c r="U73" s="2"/>
      <c r="V73" s="2"/>
      <c r="W73" s="3"/>
      <c r="X73" s="18" t="s">
        <v>524</v>
      </c>
      <c r="Y73" s="2"/>
      <c r="Z73" s="2"/>
      <c r="AA73" s="2"/>
      <c r="AB73" s="2"/>
      <c r="AC73" s="2"/>
      <c r="AD73" s="3"/>
      <c r="AE73" s="19" t="s">
        <v>284</v>
      </c>
      <c r="AF73" s="3"/>
      <c r="AG73" s="21" t="s">
        <v>63</v>
      </c>
      <c r="AH73" s="2"/>
      <c r="AI73" s="3"/>
      <c r="AJ73" s="22"/>
      <c r="AK73" s="2"/>
      <c r="AL73" s="3"/>
      <c r="AM73" s="21" t="s">
        <v>270</v>
      </c>
      <c r="AN73" s="2"/>
      <c r="AO73" s="3"/>
      <c r="AP73" s="23">
        <v>46159</v>
      </c>
      <c r="AQ73" s="2"/>
      <c r="AR73" s="3"/>
      <c r="AS73" s="19"/>
      <c r="AT73" s="2"/>
      <c r="AU73" s="3"/>
      <c r="AV73" s="19" t="s">
        <v>63</v>
      </c>
      <c r="AW73" s="2"/>
      <c r="AX73" s="3"/>
      <c r="AY73" s="19"/>
      <c r="AZ73" s="2"/>
      <c r="BA73" s="3"/>
      <c r="BB73" s="19" t="s">
        <v>271</v>
      </c>
      <c r="BC73" s="2"/>
      <c r="BD73" s="3"/>
      <c r="BE73" s="20">
        <v>46237</v>
      </c>
      <c r="BF73" s="2"/>
      <c r="BG73" s="3"/>
      <c r="BH73" s="19"/>
      <c r="BI73" s="2"/>
      <c r="BJ73" s="3"/>
      <c r="BK73" s="18"/>
      <c r="BL73" s="2"/>
      <c r="BM73" s="2"/>
      <c r="BN73" s="2"/>
      <c r="BO73" s="2"/>
      <c r="BP73" s="2"/>
      <c r="BQ73" s="3"/>
    </row>
    <row r="74" ht="409.5" customHeight="1" spans="1:69">
      <c r="A74" s="17">
        <v>58</v>
      </c>
      <c r="B74" s="18" t="s">
        <v>525</v>
      </c>
      <c r="C74" s="2"/>
      <c r="D74" s="3"/>
      <c r="E74" s="18" t="s">
        <v>526</v>
      </c>
      <c r="F74" s="2"/>
      <c r="G74" s="2"/>
      <c r="H74" s="2"/>
      <c r="I74" s="3"/>
      <c r="J74" s="18" t="s">
        <v>527</v>
      </c>
      <c r="K74" s="2"/>
      <c r="L74" s="2"/>
      <c r="M74" s="2"/>
      <c r="N74" s="2"/>
      <c r="O74" s="2"/>
      <c r="P74" s="3"/>
      <c r="Q74" s="18" t="s">
        <v>528</v>
      </c>
      <c r="R74" s="2"/>
      <c r="S74" s="2"/>
      <c r="T74" s="2"/>
      <c r="U74" s="2"/>
      <c r="V74" s="2"/>
      <c r="W74" s="3"/>
      <c r="X74" s="27" t="s">
        <v>529</v>
      </c>
      <c r="Y74" s="2"/>
      <c r="Z74" s="2"/>
      <c r="AA74" s="2"/>
      <c r="AB74" s="2"/>
      <c r="AC74" s="2"/>
      <c r="AD74" s="3"/>
      <c r="AE74" s="19" t="s">
        <v>213</v>
      </c>
      <c r="AF74" s="3"/>
      <c r="AG74" s="21" t="s">
        <v>63</v>
      </c>
      <c r="AH74" s="2"/>
      <c r="AI74" s="3"/>
      <c r="AJ74" s="22"/>
      <c r="AK74" s="2"/>
      <c r="AL74" s="3"/>
      <c r="AM74" s="21" t="s">
        <v>270</v>
      </c>
      <c r="AN74" s="2"/>
      <c r="AO74" s="3"/>
      <c r="AP74" s="23">
        <v>46159</v>
      </c>
      <c r="AQ74" s="2"/>
      <c r="AR74" s="3"/>
      <c r="AS74" s="19"/>
      <c r="AT74" s="2"/>
      <c r="AU74" s="3"/>
      <c r="AV74" s="19" t="s">
        <v>63</v>
      </c>
      <c r="AW74" s="2"/>
      <c r="AX74" s="3"/>
      <c r="AY74" s="19"/>
      <c r="AZ74" s="2"/>
      <c r="BA74" s="3"/>
      <c r="BB74" s="19" t="s">
        <v>271</v>
      </c>
      <c r="BC74" s="2"/>
      <c r="BD74" s="3"/>
      <c r="BE74" s="20">
        <v>46237</v>
      </c>
      <c r="BF74" s="2"/>
      <c r="BG74" s="3"/>
      <c r="BH74" s="19"/>
      <c r="BI74" s="2"/>
      <c r="BJ74" s="3"/>
      <c r="BK74" s="18"/>
      <c r="BL74" s="2"/>
      <c r="BM74" s="2"/>
      <c r="BN74" s="2"/>
      <c r="BO74" s="2"/>
      <c r="BP74" s="2"/>
      <c r="BQ74" s="3"/>
    </row>
    <row r="75" ht="303.75" customHeight="1" spans="1:69">
      <c r="A75" s="17">
        <v>59</v>
      </c>
      <c r="B75" s="18" t="s">
        <v>530</v>
      </c>
      <c r="C75" s="2"/>
      <c r="D75" s="3"/>
      <c r="E75" s="18" t="s">
        <v>531</v>
      </c>
      <c r="F75" s="2"/>
      <c r="G75" s="2"/>
      <c r="H75" s="2"/>
      <c r="I75" s="3"/>
      <c r="J75" s="18" t="s">
        <v>532</v>
      </c>
      <c r="K75" s="2"/>
      <c r="L75" s="2"/>
      <c r="M75" s="2"/>
      <c r="N75" s="2"/>
      <c r="O75" s="2"/>
      <c r="P75" s="3"/>
      <c r="Q75" s="18" t="s">
        <v>533</v>
      </c>
      <c r="R75" s="2"/>
      <c r="S75" s="2"/>
      <c r="T75" s="2"/>
      <c r="U75" s="2"/>
      <c r="V75" s="2"/>
      <c r="W75" s="3"/>
      <c r="X75" s="18" t="s">
        <v>534</v>
      </c>
      <c r="Y75" s="2"/>
      <c r="Z75" s="2"/>
      <c r="AA75" s="2"/>
      <c r="AB75" s="2"/>
      <c r="AC75" s="2"/>
      <c r="AD75" s="3"/>
      <c r="AE75" s="19" t="s">
        <v>213</v>
      </c>
      <c r="AF75" s="3"/>
      <c r="AG75" s="21" t="s">
        <v>63</v>
      </c>
      <c r="AH75" s="2"/>
      <c r="AI75" s="3"/>
      <c r="AJ75" s="22"/>
      <c r="AK75" s="2"/>
      <c r="AL75" s="3"/>
      <c r="AM75" s="21" t="s">
        <v>270</v>
      </c>
      <c r="AN75" s="2"/>
      <c r="AO75" s="3"/>
      <c r="AP75" s="23">
        <v>46159</v>
      </c>
      <c r="AQ75" s="2"/>
      <c r="AR75" s="3"/>
      <c r="AS75" s="19"/>
      <c r="AT75" s="2"/>
      <c r="AU75" s="3"/>
      <c r="AV75" s="19" t="s">
        <v>63</v>
      </c>
      <c r="AW75" s="2"/>
      <c r="AX75" s="3"/>
      <c r="AY75" s="19"/>
      <c r="AZ75" s="2"/>
      <c r="BA75" s="3"/>
      <c r="BB75" s="19" t="s">
        <v>271</v>
      </c>
      <c r="BC75" s="2"/>
      <c r="BD75" s="3"/>
      <c r="BE75" s="20">
        <v>46237</v>
      </c>
      <c r="BF75" s="2"/>
      <c r="BG75" s="3"/>
      <c r="BH75" s="19"/>
      <c r="BI75" s="2"/>
      <c r="BJ75" s="3"/>
      <c r="BK75" s="18"/>
      <c r="BL75" s="2"/>
      <c r="BM75" s="2"/>
      <c r="BN75" s="2"/>
      <c r="BO75" s="2"/>
      <c r="BP75" s="2"/>
      <c r="BQ75" s="3"/>
    </row>
    <row r="76" ht="384" customHeight="1" spans="1:69">
      <c r="A76" s="17">
        <v>60</v>
      </c>
      <c r="B76" s="18" t="s">
        <v>535</v>
      </c>
      <c r="C76" s="2"/>
      <c r="D76" s="3"/>
      <c r="E76" s="18" t="s">
        <v>536</v>
      </c>
      <c r="F76" s="2"/>
      <c r="G76" s="2"/>
      <c r="H76" s="2"/>
      <c r="I76" s="3"/>
      <c r="J76" s="18" t="s">
        <v>537</v>
      </c>
      <c r="K76" s="2"/>
      <c r="L76" s="2"/>
      <c r="M76" s="2"/>
      <c r="N76" s="2"/>
      <c r="O76" s="2"/>
      <c r="P76" s="3"/>
      <c r="Q76" s="18" t="s">
        <v>538</v>
      </c>
      <c r="R76" s="2"/>
      <c r="S76" s="2"/>
      <c r="T76" s="2"/>
      <c r="U76" s="2"/>
      <c r="V76" s="2"/>
      <c r="W76" s="3"/>
      <c r="X76" s="18" t="s">
        <v>539</v>
      </c>
      <c r="Y76" s="2"/>
      <c r="Z76" s="2"/>
      <c r="AA76" s="2"/>
      <c r="AB76" s="2"/>
      <c r="AC76" s="2"/>
      <c r="AD76" s="3"/>
      <c r="AE76" s="19" t="s">
        <v>213</v>
      </c>
      <c r="AF76" s="3"/>
      <c r="AG76" s="19" t="s">
        <v>65</v>
      </c>
      <c r="AH76" s="2"/>
      <c r="AI76" s="3"/>
      <c r="AJ76" s="19"/>
      <c r="AK76" s="2"/>
      <c r="AL76" s="3"/>
      <c r="AM76" s="19"/>
      <c r="AN76" s="2"/>
      <c r="AO76" s="3"/>
      <c r="AP76" s="19"/>
      <c r="AQ76" s="2"/>
      <c r="AR76" s="3"/>
      <c r="AS76" s="19"/>
      <c r="AT76" s="2"/>
      <c r="AU76" s="3"/>
      <c r="AV76" s="19" t="s">
        <v>63</v>
      </c>
      <c r="AW76" s="2"/>
      <c r="AX76" s="3"/>
      <c r="AY76" s="19"/>
      <c r="AZ76" s="2"/>
      <c r="BA76" s="3"/>
      <c r="BB76" s="19" t="s">
        <v>271</v>
      </c>
      <c r="BC76" s="2"/>
      <c r="BD76" s="3"/>
      <c r="BE76" s="20">
        <v>46237</v>
      </c>
      <c r="BF76" s="2"/>
      <c r="BG76" s="3"/>
      <c r="BH76" s="19"/>
      <c r="BI76" s="2"/>
      <c r="BJ76" s="3"/>
      <c r="BK76" s="18"/>
      <c r="BL76" s="2"/>
      <c r="BM76" s="2"/>
      <c r="BN76" s="2"/>
      <c r="BO76" s="2"/>
      <c r="BP76" s="2"/>
      <c r="BQ76" s="3"/>
    </row>
    <row r="77" ht="288" customHeight="1" spans="1:69">
      <c r="A77" s="17">
        <v>61</v>
      </c>
      <c r="B77" s="18" t="s">
        <v>540</v>
      </c>
      <c r="C77" s="2"/>
      <c r="D77" s="3"/>
      <c r="E77" s="18" t="s">
        <v>541</v>
      </c>
      <c r="F77" s="2"/>
      <c r="G77" s="2"/>
      <c r="H77" s="2"/>
      <c r="I77" s="3"/>
      <c r="J77" s="18" t="s">
        <v>542</v>
      </c>
      <c r="K77" s="2"/>
      <c r="L77" s="2"/>
      <c r="M77" s="2"/>
      <c r="N77" s="2"/>
      <c r="O77" s="2"/>
      <c r="P77" s="3"/>
      <c r="Q77" s="18" t="s">
        <v>543</v>
      </c>
      <c r="R77" s="2"/>
      <c r="S77" s="2"/>
      <c r="T77" s="2"/>
      <c r="U77" s="2"/>
      <c r="V77" s="2"/>
      <c r="W77" s="3"/>
      <c r="X77" s="18" t="s">
        <v>544</v>
      </c>
      <c r="Y77" s="2"/>
      <c r="Z77" s="2"/>
      <c r="AA77" s="2"/>
      <c r="AB77" s="2"/>
      <c r="AC77" s="2"/>
      <c r="AD77" s="3"/>
      <c r="AE77" s="19" t="s">
        <v>213</v>
      </c>
      <c r="AF77" s="3"/>
      <c r="AG77" s="21" t="s">
        <v>63</v>
      </c>
      <c r="AH77" s="2"/>
      <c r="AI77" s="3"/>
      <c r="AJ77" s="22"/>
      <c r="AK77" s="2"/>
      <c r="AL77" s="3"/>
      <c r="AM77" s="21" t="s">
        <v>270</v>
      </c>
      <c r="AN77" s="2"/>
      <c r="AO77" s="3"/>
      <c r="AP77" s="23">
        <v>46159</v>
      </c>
      <c r="AQ77" s="2"/>
      <c r="AR77" s="3"/>
      <c r="AS77" s="19"/>
      <c r="AT77" s="2"/>
      <c r="AU77" s="3"/>
      <c r="AV77" s="19" t="s">
        <v>63</v>
      </c>
      <c r="AW77" s="2"/>
      <c r="AX77" s="3"/>
      <c r="AY77" s="19"/>
      <c r="AZ77" s="2"/>
      <c r="BA77" s="3"/>
      <c r="BB77" s="19" t="s">
        <v>271</v>
      </c>
      <c r="BC77" s="2"/>
      <c r="BD77" s="3"/>
      <c r="BE77" s="20">
        <v>46237</v>
      </c>
      <c r="BF77" s="2"/>
      <c r="BG77" s="3"/>
      <c r="BH77" s="19"/>
      <c r="BI77" s="2"/>
      <c r="BJ77" s="3"/>
      <c r="BK77" s="18"/>
      <c r="BL77" s="2"/>
      <c r="BM77" s="2"/>
      <c r="BN77" s="2"/>
      <c r="BO77" s="2"/>
      <c r="BP77" s="2"/>
      <c r="BQ77" s="3"/>
    </row>
    <row r="78" ht="240" customHeight="1" spans="1:69">
      <c r="A78" s="17">
        <v>62</v>
      </c>
      <c r="B78" s="18" t="s">
        <v>545</v>
      </c>
      <c r="C78" s="2"/>
      <c r="D78" s="3"/>
      <c r="E78" s="18" t="s">
        <v>546</v>
      </c>
      <c r="F78" s="2"/>
      <c r="G78" s="2"/>
      <c r="H78" s="2"/>
      <c r="I78" s="3"/>
      <c r="J78" s="18" t="s">
        <v>547</v>
      </c>
      <c r="K78" s="2"/>
      <c r="L78" s="2"/>
      <c r="M78" s="2"/>
      <c r="N78" s="2"/>
      <c r="O78" s="2"/>
      <c r="P78" s="3"/>
      <c r="Q78" s="18" t="s">
        <v>548</v>
      </c>
      <c r="R78" s="2"/>
      <c r="S78" s="2"/>
      <c r="T78" s="2"/>
      <c r="U78" s="2"/>
      <c r="V78" s="2"/>
      <c r="W78" s="3"/>
      <c r="X78" s="18" t="s">
        <v>549</v>
      </c>
      <c r="Y78" s="2"/>
      <c r="Z78" s="2"/>
      <c r="AA78" s="2"/>
      <c r="AB78" s="2"/>
      <c r="AC78" s="2"/>
      <c r="AD78" s="3"/>
      <c r="AE78" s="19" t="s">
        <v>284</v>
      </c>
      <c r="AF78" s="3"/>
      <c r="AG78" s="21" t="s">
        <v>63</v>
      </c>
      <c r="AH78" s="2"/>
      <c r="AI78" s="3"/>
      <c r="AJ78" s="22"/>
      <c r="AK78" s="2"/>
      <c r="AL78" s="3"/>
      <c r="AM78" s="21" t="s">
        <v>270</v>
      </c>
      <c r="AN78" s="2"/>
      <c r="AO78" s="3"/>
      <c r="AP78" s="23">
        <v>46159</v>
      </c>
      <c r="AQ78" s="2"/>
      <c r="AR78" s="3"/>
      <c r="AS78" s="19"/>
      <c r="AT78" s="2"/>
      <c r="AU78" s="3"/>
      <c r="AV78" s="19" t="s">
        <v>63</v>
      </c>
      <c r="AW78" s="2"/>
      <c r="AX78" s="3"/>
      <c r="AY78" s="19"/>
      <c r="AZ78" s="2"/>
      <c r="BA78" s="3"/>
      <c r="BB78" s="19" t="s">
        <v>271</v>
      </c>
      <c r="BC78" s="2"/>
      <c r="BD78" s="3"/>
      <c r="BE78" s="20">
        <v>46237</v>
      </c>
      <c r="BF78" s="2"/>
      <c r="BG78" s="3"/>
      <c r="BH78" s="19"/>
      <c r="BI78" s="2"/>
      <c r="BJ78" s="3"/>
      <c r="BK78" s="18"/>
      <c r="BL78" s="2"/>
      <c r="BM78" s="2"/>
      <c r="BN78" s="2"/>
      <c r="BO78" s="2"/>
      <c r="BP78" s="2"/>
      <c r="BQ78" s="3"/>
    </row>
    <row r="79" ht="319.5" customHeight="1" spans="1:69">
      <c r="A79" s="17">
        <v>63</v>
      </c>
      <c r="B79" s="18" t="s">
        <v>550</v>
      </c>
      <c r="C79" s="2"/>
      <c r="D79" s="3"/>
      <c r="E79" s="18" t="s">
        <v>551</v>
      </c>
      <c r="F79" s="2"/>
      <c r="G79" s="2"/>
      <c r="H79" s="2"/>
      <c r="I79" s="3"/>
      <c r="J79" s="18" t="s">
        <v>552</v>
      </c>
      <c r="K79" s="2"/>
      <c r="L79" s="2"/>
      <c r="M79" s="2"/>
      <c r="N79" s="2"/>
      <c r="O79" s="2"/>
      <c r="P79" s="3"/>
      <c r="Q79" s="18" t="s">
        <v>553</v>
      </c>
      <c r="R79" s="2"/>
      <c r="S79" s="2"/>
      <c r="T79" s="2"/>
      <c r="U79" s="2"/>
      <c r="V79" s="2"/>
      <c r="W79" s="3"/>
      <c r="X79" s="18" t="s">
        <v>554</v>
      </c>
      <c r="Y79" s="2"/>
      <c r="Z79" s="2"/>
      <c r="AA79" s="2"/>
      <c r="AB79" s="2"/>
      <c r="AC79" s="2"/>
      <c r="AD79" s="3"/>
      <c r="AE79" s="19" t="s">
        <v>213</v>
      </c>
      <c r="AF79" s="3"/>
      <c r="AG79" s="19" t="s">
        <v>65</v>
      </c>
      <c r="AH79" s="2"/>
      <c r="AI79" s="3"/>
      <c r="AJ79" s="19"/>
      <c r="AK79" s="2"/>
      <c r="AL79" s="3"/>
      <c r="AM79" s="19"/>
      <c r="AN79" s="2"/>
      <c r="AO79" s="3"/>
      <c r="AP79" s="19"/>
      <c r="AQ79" s="2"/>
      <c r="AR79" s="3"/>
      <c r="AS79" s="19"/>
      <c r="AT79" s="2"/>
      <c r="AU79" s="3"/>
      <c r="AV79" s="19" t="s">
        <v>63</v>
      </c>
      <c r="AW79" s="2"/>
      <c r="AX79" s="3"/>
      <c r="AY79" s="19"/>
      <c r="AZ79" s="2"/>
      <c r="BA79" s="3"/>
      <c r="BB79" s="19" t="s">
        <v>271</v>
      </c>
      <c r="BC79" s="2"/>
      <c r="BD79" s="3"/>
      <c r="BE79" s="20">
        <v>46237</v>
      </c>
      <c r="BF79" s="2"/>
      <c r="BG79" s="3"/>
      <c r="BH79" s="19"/>
      <c r="BI79" s="2"/>
      <c r="BJ79" s="3"/>
      <c r="BK79" s="18" t="s">
        <v>555</v>
      </c>
      <c r="BL79" s="2"/>
      <c r="BM79" s="2"/>
      <c r="BN79" s="2"/>
      <c r="BO79" s="2"/>
      <c r="BP79" s="2"/>
      <c r="BQ79" s="3"/>
    </row>
    <row r="80" ht="22.5" customHeight="1" spans="1:69">
      <c r="A80" s="16" t="s">
        <v>556</v>
      </c>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3"/>
    </row>
    <row r="81" ht="192" customHeight="1" spans="1:69">
      <c r="A81" s="17">
        <v>64</v>
      </c>
      <c r="B81" s="18" t="s">
        <v>557</v>
      </c>
      <c r="C81" s="2"/>
      <c r="D81" s="3"/>
      <c r="E81" s="18" t="s">
        <v>558</v>
      </c>
      <c r="F81" s="2"/>
      <c r="G81" s="2"/>
      <c r="H81" s="2"/>
      <c r="I81" s="3"/>
      <c r="J81" s="18" t="s">
        <v>559</v>
      </c>
      <c r="K81" s="2"/>
      <c r="L81" s="2"/>
      <c r="M81" s="2"/>
      <c r="N81" s="2"/>
      <c r="O81" s="2"/>
      <c r="P81" s="3"/>
      <c r="Q81" s="18" t="s">
        <v>560</v>
      </c>
      <c r="R81" s="2"/>
      <c r="S81" s="2"/>
      <c r="T81" s="2"/>
      <c r="U81" s="2"/>
      <c r="V81" s="2"/>
      <c r="W81" s="3"/>
      <c r="X81" s="18" t="s">
        <v>561</v>
      </c>
      <c r="Y81" s="2"/>
      <c r="Z81" s="2"/>
      <c r="AA81" s="2"/>
      <c r="AB81" s="2"/>
      <c r="AC81" s="2"/>
      <c r="AD81" s="3"/>
      <c r="AE81" s="19" t="s">
        <v>284</v>
      </c>
      <c r="AF81" s="3"/>
      <c r="AG81" s="21" t="s">
        <v>63</v>
      </c>
      <c r="AH81" s="2"/>
      <c r="AI81" s="3"/>
      <c r="AJ81" s="22"/>
      <c r="AK81" s="2"/>
      <c r="AL81" s="3"/>
      <c r="AM81" s="21" t="s">
        <v>270</v>
      </c>
      <c r="AN81" s="2"/>
      <c r="AO81" s="3"/>
      <c r="AP81" s="23">
        <v>46159</v>
      </c>
      <c r="AQ81" s="2"/>
      <c r="AR81" s="3"/>
      <c r="AS81" s="19"/>
      <c r="AT81" s="2"/>
      <c r="AU81" s="3"/>
      <c r="AV81" s="19" t="s">
        <v>63</v>
      </c>
      <c r="AW81" s="2"/>
      <c r="AX81" s="3"/>
      <c r="AY81" s="19"/>
      <c r="AZ81" s="2"/>
      <c r="BA81" s="3"/>
      <c r="BB81" s="19" t="s">
        <v>271</v>
      </c>
      <c r="BC81" s="2"/>
      <c r="BD81" s="3"/>
      <c r="BE81" s="20">
        <v>46237</v>
      </c>
      <c r="BF81" s="2"/>
      <c r="BG81" s="3"/>
      <c r="BH81" s="19"/>
      <c r="BI81" s="2"/>
      <c r="BJ81" s="3"/>
      <c r="BK81" s="18"/>
      <c r="BL81" s="2"/>
      <c r="BM81" s="2"/>
      <c r="BN81" s="2"/>
      <c r="BO81" s="2"/>
      <c r="BP81" s="2"/>
      <c r="BQ81" s="3"/>
    </row>
    <row r="82" ht="127.5" customHeight="1" spans="1:69">
      <c r="A82" s="17">
        <v>65</v>
      </c>
      <c r="B82" s="18" t="s">
        <v>562</v>
      </c>
      <c r="C82" s="2"/>
      <c r="D82" s="3"/>
      <c r="E82" s="18" t="s">
        <v>563</v>
      </c>
      <c r="F82" s="2"/>
      <c r="G82" s="2"/>
      <c r="H82" s="2"/>
      <c r="I82" s="3"/>
      <c r="J82" s="18" t="s">
        <v>564</v>
      </c>
      <c r="K82" s="2"/>
      <c r="L82" s="2"/>
      <c r="M82" s="2"/>
      <c r="N82" s="2"/>
      <c r="O82" s="2"/>
      <c r="P82" s="3"/>
      <c r="Q82" s="18" t="s">
        <v>565</v>
      </c>
      <c r="R82" s="2"/>
      <c r="S82" s="2"/>
      <c r="T82" s="2"/>
      <c r="U82" s="2"/>
      <c r="V82" s="2"/>
      <c r="W82" s="3"/>
      <c r="X82" s="18" t="s">
        <v>566</v>
      </c>
      <c r="Y82" s="2"/>
      <c r="Z82" s="2"/>
      <c r="AA82" s="2"/>
      <c r="AB82" s="2"/>
      <c r="AC82" s="2"/>
      <c r="AD82" s="3"/>
      <c r="AE82" s="19" t="s">
        <v>284</v>
      </c>
      <c r="AF82" s="3"/>
      <c r="AG82" s="21" t="s">
        <v>63</v>
      </c>
      <c r="AH82" s="2"/>
      <c r="AI82" s="3"/>
      <c r="AJ82" s="22"/>
      <c r="AK82" s="2"/>
      <c r="AL82" s="3"/>
      <c r="AM82" s="21" t="s">
        <v>270</v>
      </c>
      <c r="AN82" s="2"/>
      <c r="AO82" s="3"/>
      <c r="AP82" s="23">
        <v>46159</v>
      </c>
      <c r="AQ82" s="2"/>
      <c r="AR82" s="3"/>
      <c r="AS82" s="19"/>
      <c r="AT82" s="2"/>
      <c r="AU82" s="3"/>
      <c r="AV82" s="19" t="s">
        <v>63</v>
      </c>
      <c r="AW82" s="2"/>
      <c r="AX82" s="3"/>
      <c r="AY82" s="19"/>
      <c r="AZ82" s="2"/>
      <c r="BA82" s="3"/>
      <c r="BB82" s="19" t="s">
        <v>271</v>
      </c>
      <c r="BC82" s="2"/>
      <c r="BD82" s="3"/>
      <c r="BE82" s="20">
        <v>46237</v>
      </c>
      <c r="BF82" s="2"/>
      <c r="BG82" s="3"/>
      <c r="BH82" s="19"/>
      <c r="BI82" s="2"/>
      <c r="BJ82" s="3"/>
      <c r="BK82" s="18"/>
      <c r="BL82" s="2"/>
      <c r="BM82" s="2"/>
      <c r="BN82" s="2"/>
      <c r="BO82" s="2"/>
      <c r="BP82" s="2"/>
      <c r="BQ82" s="3"/>
    </row>
    <row r="83" ht="240" customHeight="1" spans="1:69">
      <c r="A83" s="17">
        <v>66</v>
      </c>
      <c r="B83" s="18" t="s">
        <v>567</v>
      </c>
      <c r="C83" s="2"/>
      <c r="D83" s="3"/>
      <c r="E83" s="18" t="s">
        <v>568</v>
      </c>
      <c r="F83" s="2"/>
      <c r="G83" s="2"/>
      <c r="H83" s="2"/>
      <c r="I83" s="3"/>
      <c r="J83" s="18" t="s">
        <v>569</v>
      </c>
      <c r="K83" s="2"/>
      <c r="L83" s="2"/>
      <c r="M83" s="2"/>
      <c r="N83" s="2"/>
      <c r="O83" s="2"/>
      <c r="P83" s="3"/>
      <c r="Q83" s="18" t="s">
        <v>570</v>
      </c>
      <c r="R83" s="2"/>
      <c r="S83" s="2"/>
      <c r="T83" s="2"/>
      <c r="U83" s="2"/>
      <c r="V83" s="2"/>
      <c r="W83" s="3"/>
      <c r="X83" s="18" t="s">
        <v>571</v>
      </c>
      <c r="Y83" s="2"/>
      <c r="Z83" s="2"/>
      <c r="AA83" s="2"/>
      <c r="AB83" s="2"/>
      <c r="AC83" s="2"/>
      <c r="AD83" s="3"/>
      <c r="AE83" s="19" t="s">
        <v>284</v>
      </c>
      <c r="AF83" s="3"/>
      <c r="AG83" s="21" t="s">
        <v>63</v>
      </c>
      <c r="AH83" s="2"/>
      <c r="AI83" s="3"/>
      <c r="AJ83" s="22"/>
      <c r="AK83" s="2"/>
      <c r="AL83" s="3"/>
      <c r="AM83" s="21" t="s">
        <v>270</v>
      </c>
      <c r="AN83" s="2"/>
      <c r="AO83" s="3"/>
      <c r="AP83" s="23">
        <v>46159</v>
      </c>
      <c r="AQ83" s="2"/>
      <c r="AR83" s="3"/>
      <c r="AS83" s="19"/>
      <c r="AT83" s="2"/>
      <c r="AU83" s="3"/>
      <c r="AV83" s="19" t="s">
        <v>63</v>
      </c>
      <c r="AW83" s="2"/>
      <c r="AX83" s="3"/>
      <c r="AY83" s="19"/>
      <c r="AZ83" s="2"/>
      <c r="BA83" s="3"/>
      <c r="BB83" s="19" t="s">
        <v>271</v>
      </c>
      <c r="BC83" s="2"/>
      <c r="BD83" s="3"/>
      <c r="BE83" s="20">
        <v>46237</v>
      </c>
      <c r="BF83" s="2"/>
      <c r="BG83" s="3"/>
      <c r="BH83" s="19"/>
      <c r="BI83" s="2"/>
      <c r="BJ83" s="3"/>
      <c r="BK83" s="18"/>
      <c r="BL83" s="2"/>
      <c r="BM83" s="2"/>
      <c r="BN83" s="2"/>
      <c r="BO83" s="2"/>
      <c r="BP83" s="2"/>
      <c r="BQ83" s="3"/>
    </row>
    <row r="84" ht="159.75" customHeight="1" spans="1:69">
      <c r="A84" s="17">
        <v>67</v>
      </c>
      <c r="B84" s="18" t="s">
        <v>572</v>
      </c>
      <c r="C84" s="2"/>
      <c r="D84" s="3"/>
      <c r="E84" s="18" t="s">
        <v>573</v>
      </c>
      <c r="F84" s="2"/>
      <c r="G84" s="2"/>
      <c r="H84" s="2"/>
      <c r="I84" s="3"/>
      <c r="J84" s="18" t="s">
        <v>574</v>
      </c>
      <c r="K84" s="2"/>
      <c r="L84" s="2"/>
      <c r="M84" s="2"/>
      <c r="N84" s="2"/>
      <c r="O84" s="2"/>
      <c r="P84" s="3"/>
      <c r="Q84" s="18" t="s">
        <v>575</v>
      </c>
      <c r="R84" s="2"/>
      <c r="S84" s="2"/>
      <c r="T84" s="2"/>
      <c r="U84" s="2"/>
      <c r="V84" s="2"/>
      <c r="W84" s="3"/>
      <c r="X84" s="18" t="s">
        <v>576</v>
      </c>
      <c r="Y84" s="2"/>
      <c r="Z84" s="2"/>
      <c r="AA84" s="2"/>
      <c r="AB84" s="2"/>
      <c r="AC84" s="2"/>
      <c r="AD84" s="3"/>
      <c r="AE84" s="19" t="s">
        <v>284</v>
      </c>
      <c r="AF84" s="3"/>
      <c r="AG84" s="21" t="s">
        <v>63</v>
      </c>
      <c r="AH84" s="2"/>
      <c r="AI84" s="3"/>
      <c r="AJ84" s="22"/>
      <c r="AK84" s="2"/>
      <c r="AL84" s="3"/>
      <c r="AM84" s="21" t="s">
        <v>270</v>
      </c>
      <c r="AN84" s="2"/>
      <c r="AO84" s="3"/>
      <c r="AP84" s="23">
        <v>46159</v>
      </c>
      <c r="AQ84" s="2"/>
      <c r="AR84" s="3"/>
      <c r="AS84" s="19"/>
      <c r="AT84" s="2"/>
      <c r="AU84" s="3"/>
      <c r="AV84" s="19" t="s">
        <v>63</v>
      </c>
      <c r="AW84" s="2"/>
      <c r="AX84" s="3"/>
      <c r="AY84" s="19"/>
      <c r="AZ84" s="2"/>
      <c r="BA84" s="3"/>
      <c r="BB84" s="19" t="s">
        <v>271</v>
      </c>
      <c r="BC84" s="2"/>
      <c r="BD84" s="3"/>
      <c r="BE84" s="20">
        <v>46237</v>
      </c>
      <c r="BF84" s="2"/>
      <c r="BG84" s="3"/>
      <c r="BH84" s="19"/>
      <c r="BI84" s="2"/>
      <c r="BJ84" s="3"/>
      <c r="BK84" s="18"/>
      <c r="BL84" s="2"/>
      <c r="BM84" s="2"/>
      <c r="BN84" s="2"/>
      <c r="BO84" s="2"/>
      <c r="BP84" s="2"/>
      <c r="BQ84" s="3"/>
    </row>
    <row r="85" ht="319.5" customHeight="1" spans="1:69">
      <c r="A85" s="17">
        <v>68</v>
      </c>
      <c r="B85" s="18" t="s">
        <v>577</v>
      </c>
      <c r="C85" s="2"/>
      <c r="D85" s="3"/>
      <c r="E85" s="18" t="s">
        <v>578</v>
      </c>
      <c r="F85" s="2"/>
      <c r="G85" s="2"/>
      <c r="H85" s="2"/>
      <c r="I85" s="3"/>
      <c r="J85" s="18" t="s">
        <v>579</v>
      </c>
      <c r="K85" s="2"/>
      <c r="L85" s="2"/>
      <c r="M85" s="2"/>
      <c r="N85" s="2"/>
      <c r="O85" s="2"/>
      <c r="P85" s="3"/>
      <c r="Q85" s="18" t="s">
        <v>580</v>
      </c>
      <c r="R85" s="2"/>
      <c r="S85" s="2"/>
      <c r="T85" s="2"/>
      <c r="U85" s="2"/>
      <c r="V85" s="2"/>
      <c r="W85" s="3"/>
      <c r="X85" s="18" t="s">
        <v>581</v>
      </c>
      <c r="Y85" s="2"/>
      <c r="Z85" s="2"/>
      <c r="AA85" s="2"/>
      <c r="AB85" s="2"/>
      <c r="AC85" s="2"/>
      <c r="AD85" s="3"/>
      <c r="AE85" s="19" t="s">
        <v>284</v>
      </c>
      <c r="AF85" s="3"/>
      <c r="AG85" s="21" t="s">
        <v>63</v>
      </c>
      <c r="AH85" s="2"/>
      <c r="AI85" s="3"/>
      <c r="AJ85" s="22"/>
      <c r="AK85" s="2"/>
      <c r="AL85" s="3"/>
      <c r="AM85" s="21" t="s">
        <v>270</v>
      </c>
      <c r="AN85" s="2"/>
      <c r="AO85" s="3"/>
      <c r="AP85" s="23">
        <v>46159</v>
      </c>
      <c r="AQ85" s="2"/>
      <c r="AR85" s="3"/>
      <c r="AS85" s="19"/>
      <c r="AT85" s="2"/>
      <c r="AU85" s="3"/>
      <c r="AV85" s="19" t="s">
        <v>63</v>
      </c>
      <c r="AW85" s="2"/>
      <c r="AX85" s="3"/>
      <c r="AY85" s="19"/>
      <c r="AZ85" s="2"/>
      <c r="BA85" s="3"/>
      <c r="BB85" s="19" t="s">
        <v>271</v>
      </c>
      <c r="BC85" s="2"/>
      <c r="BD85" s="3"/>
      <c r="BE85" s="20">
        <v>46237</v>
      </c>
      <c r="BF85" s="2"/>
      <c r="BG85" s="3"/>
      <c r="BH85" s="19"/>
      <c r="BI85" s="2"/>
      <c r="BJ85" s="3"/>
      <c r="BK85" s="18"/>
      <c r="BL85" s="2"/>
      <c r="BM85" s="2"/>
      <c r="BN85" s="2"/>
      <c r="BO85" s="2"/>
      <c r="BP85" s="2"/>
      <c r="BQ85" s="3"/>
    </row>
    <row r="86" ht="384" customHeight="1" spans="1:69">
      <c r="A86" s="17">
        <v>69</v>
      </c>
      <c r="B86" s="25" t="s">
        <v>582</v>
      </c>
      <c r="C86" s="2"/>
      <c r="D86" s="3"/>
      <c r="E86" s="25" t="s">
        <v>583</v>
      </c>
      <c r="F86" s="2"/>
      <c r="G86" s="2"/>
      <c r="H86" s="2"/>
      <c r="I86" s="3"/>
      <c r="J86" s="25" t="s">
        <v>584</v>
      </c>
      <c r="K86" s="2"/>
      <c r="L86" s="2"/>
      <c r="M86" s="2"/>
      <c r="N86" s="2"/>
      <c r="O86" s="2"/>
      <c r="P86" s="3"/>
      <c r="Q86" s="25" t="s">
        <v>585</v>
      </c>
      <c r="R86" s="2"/>
      <c r="S86" s="2"/>
      <c r="T86" s="2"/>
      <c r="U86" s="2"/>
      <c r="V86" s="2"/>
      <c r="W86" s="3"/>
      <c r="X86" s="25" t="s">
        <v>586</v>
      </c>
      <c r="Y86" s="2"/>
      <c r="Z86" s="2"/>
      <c r="AA86" s="2"/>
      <c r="AB86" s="2"/>
      <c r="AC86" s="2"/>
      <c r="AD86" s="3"/>
      <c r="AE86" s="19" t="s">
        <v>213</v>
      </c>
      <c r="AF86" s="3"/>
      <c r="AG86" s="19" t="s">
        <v>66</v>
      </c>
      <c r="AH86" s="2"/>
      <c r="AI86" s="3"/>
      <c r="AJ86" s="19"/>
      <c r="AK86" s="2"/>
      <c r="AL86" s="3"/>
      <c r="AM86" s="21" t="s">
        <v>270</v>
      </c>
      <c r="AN86" s="2"/>
      <c r="AO86" s="3"/>
      <c r="AP86" s="23">
        <v>46159</v>
      </c>
      <c r="AQ86" s="2"/>
      <c r="AR86" s="3"/>
      <c r="AS86" s="19"/>
      <c r="AT86" s="2"/>
      <c r="AU86" s="3"/>
      <c r="AV86" s="19" t="s">
        <v>66</v>
      </c>
      <c r="AW86" s="2"/>
      <c r="AX86" s="3"/>
      <c r="AY86" s="19"/>
      <c r="AZ86" s="2"/>
      <c r="BA86" s="3"/>
      <c r="BB86" s="19" t="s">
        <v>271</v>
      </c>
      <c r="BC86" s="2"/>
      <c r="BD86" s="3"/>
      <c r="BE86" s="20">
        <v>46237</v>
      </c>
      <c r="BF86" s="2"/>
      <c r="BG86" s="3"/>
      <c r="BH86" s="19"/>
      <c r="BI86" s="2"/>
      <c r="BJ86" s="3"/>
      <c r="BK86" s="18" t="s">
        <v>587</v>
      </c>
      <c r="BL86" s="2"/>
      <c r="BM86" s="2"/>
      <c r="BN86" s="2"/>
      <c r="BO86" s="2"/>
      <c r="BP86" s="2"/>
      <c r="BQ86" s="3"/>
    </row>
    <row r="87" ht="288" customHeight="1" spans="1:69">
      <c r="A87" s="17">
        <v>70</v>
      </c>
      <c r="B87" s="18" t="s">
        <v>588</v>
      </c>
      <c r="C87" s="2"/>
      <c r="D87" s="3"/>
      <c r="E87" s="18" t="s">
        <v>589</v>
      </c>
      <c r="F87" s="2"/>
      <c r="G87" s="2"/>
      <c r="H87" s="2"/>
      <c r="I87" s="3"/>
      <c r="J87" s="18" t="s">
        <v>590</v>
      </c>
      <c r="K87" s="2"/>
      <c r="L87" s="2"/>
      <c r="M87" s="2"/>
      <c r="N87" s="2"/>
      <c r="O87" s="2"/>
      <c r="P87" s="3"/>
      <c r="Q87" s="18" t="s">
        <v>591</v>
      </c>
      <c r="R87" s="2"/>
      <c r="S87" s="2"/>
      <c r="T87" s="2"/>
      <c r="U87" s="2"/>
      <c r="V87" s="2"/>
      <c r="W87" s="3"/>
      <c r="X87" s="18" t="s">
        <v>592</v>
      </c>
      <c r="Y87" s="2"/>
      <c r="Z87" s="2"/>
      <c r="AA87" s="2"/>
      <c r="AB87" s="2"/>
      <c r="AC87" s="2"/>
      <c r="AD87" s="3"/>
      <c r="AE87" s="19" t="s">
        <v>213</v>
      </c>
      <c r="AF87" s="3"/>
      <c r="AG87" s="19" t="s">
        <v>65</v>
      </c>
      <c r="AH87" s="2"/>
      <c r="AI87" s="3"/>
      <c r="AJ87" s="19"/>
      <c r="AK87" s="2"/>
      <c r="AL87" s="3"/>
      <c r="AM87" s="21" t="s">
        <v>270</v>
      </c>
      <c r="AN87" s="2"/>
      <c r="AO87" s="3"/>
      <c r="AP87" s="23">
        <v>46159</v>
      </c>
      <c r="AQ87" s="2"/>
      <c r="AR87" s="3"/>
      <c r="AS87" s="19"/>
      <c r="AT87" s="2"/>
      <c r="AU87" s="3"/>
      <c r="AV87" s="19" t="s">
        <v>63</v>
      </c>
      <c r="AW87" s="2"/>
      <c r="AX87" s="3"/>
      <c r="AY87" s="19"/>
      <c r="AZ87" s="2"/>
      <c r="BA87" s="3"/>
      <c r="BB87" s="19" t="s">
        <v>271</v>
      </c>
      <c r="BC87" s="2"/>
      <c r="BD87" s="3"/>
      <c r="BE87" s="20">
        <v>46245</v>
      </c>
      <c r="BF87" s="2"/>
      <c r="BG87" s="3"/>
      <c r="BH87" s="19"/>
      <c r="BI87" s="2"/>
      <c r="BJ87" s="3"/>
      <c r="BK87" s="18"/>
      <c r="BL87" s="2"/>
      <c r="BM87" s="2"/>
      <c r="BN87" s="2"/>
      <c r="BO87" s="2"/>
      <c r="BP87" s="2"/>
      <c r="BQ87" s="3"/>
    </row>
    <row r="88" ht="223.5" customHeight="1" spans="1:69">
      <c r="A88" s="17">
        <v>71</v>
      </c>
      <c r="B88" s="18" t="s">
        <v>593</v>
      </c>
      <c r="C88" s="2"/>
      <c r="D88" s="3"/>
      <c r="E88" s="18" t="s">
        <v>594</v>
      </c>
      <c r="F88" s="2"/>
      <c r="G88" s="2"/>
      <c r="H88" s="2"/>
      <c r="I88" s="3"/>
      <c r="J88" s="18" t="s">
        <v>595</v>
      </c>
      <c r="K88" s="2"/>
      <c r="L88" s="2"/>
      <c r="M88" s="2"/>
      <c r="N88" s="2"/>
      <c r="O88" s="2"/>
      <c r="P88" s="3"/>
      <c r="Q88" s="18" t="s">
        <v>596</v>
      </c>
      <c r="R88" s="2"/>
      <c r="S88" s="2"/>
      <c r="T88" s="2"/>
      <c r="U88" s="2"/>
      <c r="V88" s="2"/>
      <c r="W88" s="3"/>
      <c r="X88" s="18" t="s">
        <v>597</v>
      </c>
      <c r="Y88" s="2"/>
      <c r="Z88" s="2"/>
      <c r="AA88" s="2"/>
      <c r="AB88" s="2"/>
      <c r="AC88" s="2"/>
      <c r="AD88" s="3"/>
      <c r="AE88" s="19" t="s">
        <v>284</v>
      </c>
      <c r="AF88" s="3"/>
      <c r="AG88" s="21" t="s">
        <v>63</v>
      </c>
      <c r="AH88" s="2"/>
      <c r="AI88" s="3"/>
      <c r="AJ88" s="22"/>
      <c r="AK88" s="2"/>
      <c r="AL88" s="3"/>
      <c r="AM88" s="21" t="s">
        <v>270</v>
      </c>
      <c r="AN88" s="2"/>
      <c r="AO88" s="3"/>
      <c r="AP88" s="23">
        <v>46159</v>
      </c>
      <c r="AQ88" s="2"/>
      <c r="AR88" s="3"/>
      <c r="AS88" s="19"/>
      <c r="AT88" s="2"/>
      <c r="AU88" s="3"/>
      <c r="AV88" s="19" t="s">
        <v>63</v>
      </c>
      <c r="AW88" s="2"/>
      <c r="AX88" s="3"/>
      <c r="AY88" s="19"/>
      <c r="AZ88" s="2"/>
      <c r="BA88" s="3"/>
      <c r="BB88" s="19" t="s">
        <v>271</v>
      </c>
      <c r="BC88" s="2"/>
      <c r="BD88" s="3"/>
      <c r="BE88" s="20">
        <v>46237</v>
      </c>
      <c r="BF88" s="2"/>
      <c r="BG88" s="3"/>
      <c r="BH88" s="19"/>
      <c r="BI88" s="2"/>
      <c r="BJ88" s="3"/>
      <c r="BK88" s="18" t="s">
        <v>346</v>
      </c>
      <c r="BL88" s="2"/>
      <c r="BM88" s="2"/>
      <c r="BN88" s="2"/>
      <c r="BO88" s="2"/>
      <c r="BP88" s="2"/>
      <c r="BQ88" s="3"/>
    </row>
    <row r="89" ht="22.5" customHeight="1" spans="1:69">
      <c r="A89" s="16" t="s">
        <v>598</v>
      </c>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3"/>
    </row>
    <row r="90" ht="384" customHeight="1" spans="1:69">
      <c r="A90" s="17">
        <v>72</v>
      </c>
      <c r="B90" s="18" t="s">
        <v>599</v>
      </c>
      <c r="C90" s="2"/>
      <c r="D90" s="3"/>
      <c r="E90" s="18" t="s">
        <v>600</v>
      </c>
      <c r="F90" s="2"/>
      <c r="G90" s="2"/>
      <c r="H90" s="2"/>
      <c r="I90" s="3"/>
      <c r="J90" s="18" t="s">
        <v>601</v>
      </c>
      <c r="K90" s="2"/>
      <c r="L90" s="2"/>
      <c r="M90" s="2"/>
      <c r="N90" s="2"/>
      <c r="O90" s="2"/>
      <c r="P90" s="3"/>
      <c r="Q90" s="18" t="s">
        <v>602</v>
      </c>
      <c r="R90" s="2"/>
      <c r="S90" s="2"/>
      <c r="T90" s="2"/>
      <c r="U90" s="2"/>
      <c r="V90" s="2"/>
      <c r="W90" s="3"/>
      <c r="X90" s="18" t="s">
        <v>603</v>
      </c>
      <c r="Y90" s="2"/>
      <c r="Z90" s="2"/>
      <c r="AA90" s="2"/>
      <c r="AB90" s="2"/>
      <c r="AC90" s="2"/>
      <c r="AD90" s="3"/>
      <c r="AE90" s="19" t="s">
        <v>213</v>
      </c>
      <c r="AF90" s="3"/>
      <c r="AG90" s="21" t="s">
        <v>63</v>
      </c>
      <c r="AH90" s="2"/>
      <c r="AI90" s="3"/>
      <c r="AJ90" s="22"/>
      <c r="AK90" s="2"/>
      <c r="AL90" s="3"/>
      <c r="AM90" s="21" t="s">
        <v>270</v>
      </c>
      <c r="AN90" s="2"/>
      <c r="AO90" s="3"/>
      <c r="AP90" s="23">
        <v>46159</v>
      </c>
      <c r="AQ90" s="2"/>
      <c r="AR90" s="3"/>
      <c r="AS90" s="19"/>
      <c r="AT90" s="2"/>
      <c r="AU90" s="3"/>
      <c r="AV90" s="19" t="s">
        <v>63</v>
      </c>
      <c r="AW90" s="2"/>
      <c r="AX90" s="3"/>
      <c r="AY90" s="19"/>
      <c r="AZ90" s="2"/>
      <c r="BA90" s="3"/>
      <c r="BB90" s="19" t="s">
        <v>271</v>
      </c>
      <c r="BC90" s="2"/>
      <c r="BD90" s="3"/>
      <c r="BE90" s="20">
        <v>46237</v>
      </c>
      <c r="BF90" s="2"/>
      <c r="BG90" s="3"/>
      <c r="BH90" s="19"/>
      <c r="BI90" s="2"/>
      <c r="BJ90" s="3"/>
      <c r="BK90" s="18"/>
      <c r="BL90" s="2"/>
      <c r="BM90" s="2"/>
      <c r="BN90" s="2"/>
      <c r="BO90" s="2"/>
      <c r="BP90" s="2"/>
      <c r="BQ90" s="3"/>
    </row>
    <row r="91" ht="409.5" customHeight="1" spans="1:69">
      <c r="A91" s="17">
        <v>73</v>
      </c>
      <c r="B91" s="18" t="s">
        <v>604</v>
      </c>
      <c r="C91" s="2"/>
      <c r="D91" s="3"/>
      <c r="E91" s="18" t="s">
        <v>605</v>
      </c>
      <c r="F91" s="2"/>
      <c r="G91" s="2"/>
      <c r="H91" s="2"/>
      <c r="I91" s="3"/>
      <c r="J91" s="18" t="s">
        <v>606</v>
      </c>
      <c r="K91" s="2"/>
      <c r="L91" s="2"/>
      <c r="M91" s="2"/>
      <c r="N91" s="2"/>
      <c r="O91" s="2"/>
      <c r="P91" s="3"/>
      <c r="Q91" s="18" t="s">
        <v>607</v>
      </c>
      <c r="R91" s="2"/>
      <c r="S91" s="2"/>
      <c r="T91" s="2"/>
      <c r="U91" s="2"/>
      <c r="V91" s="2"/>
      <c r="W91" s="3"/>
      <c r="X91" s="18" t="s">
        <v>608</v>
      </c>
      <c r="Y91" s="2"/>
      <c r="Z91" s="2"/>
      <c r="AA91" s="2"/>
      <c r="AB91" s="2"/>
      <c r="AC91" s="2"/>
      <c r="AD91" s="3"/>
      <c r="AE91" s="19" t="s">
        <v>213</v>
      </c>
      <c r="AF91" s="3"/>
      <c r="AG91" s="21" t="s">
        <v>63</v>
      </c>
      <c r="AH91" s="2"/>
      <c r="AI91" s="3"/>
      <c r="AJ91" s="22"/>
      <c r="AK91" s="2"/>
      <c r="AL91" s="3"/>
      <c r="AM91" s="21" t="s">
        <v>270</v>
      </c>
      <c r="AN91" s="2"/>
      <c r="AO91" s="3"/>
      <c r="AP91" s="23">
        <v>46159</v>
      </c>
      <c r="AQ91" s="2"/>
      <c r="AR91" s="3"/>
      <c r="AS91" s="19"/>
      <c r="AT91" s="2"/>
      <c r="AU91" s="3"/>
      <c r="AV91" s="19" t="s">
        <v>63</v>
      </c>
      <c r="AW91" s="2"/>
      <c r="AX91" s="3"/>
      <c r="AY91" s="19"/>
      <c r="AZ91" s="2"/>
      <c r="BA91" s="3"/>
      <c r="BB91" s="19" t="s">
        <v>271</v>
      </c>
      <c r="BC91" s="2"/>
      <c r="BD91" s="3"/>
      <c r="BE91" s="20">
        <v>46237</v>
      </c>
      <c r="BF91" s="2"/>
      <c r="BG91" s="3"/>
      <c r="BH91" s="19"/>
      <c r="BI91" s="2"/>
      <c r="BJ91" s="3"/>
      <c r="BK91" s="18"/>
      <c r="BL91" s="2"/>
      <c r="BM91" s="2"/>
      <c r="BN91" s="2"/>
      <c r="BO91" s="2"/>
      <c r="BP91" s="2"/>
      <c r="BQ91" s="3"/>
    </row>
    <row r="92" ht="336" customHeight="1" spans="1:69">
      <c r="A92" s="17">
        <v>74</v>
      </c>
      <c r="B92" s="18" t="s">
        <v>609</v>
      </c>
      <c r="C92" s="2"/>
      <c r="D92" s="3"/>
      <c r="E92" s="18" t="s">
        <v>610</v>
      </c>
      <c r="F92" s="2"/>
      <c r="G92" s="2"/>
      <c r="H92" s="2"/>
      <c r="I92" s="3"/>
      <c r="J92" s="18" t="s">
        <v>611</v>
      </c>
      <c r="K92" s="2"/>
      <c r="L92" s="2"/>
      <c r="M92" s="2"/>
      <c r="N92" s="2"/>
      <c r="O92" s="2"/>
      <c r="P92" s="3"/>
      <c r="Q92" s="18" t="s">
        <v>612</v>
      </c>
      <c r="R92" s="2"/>
      <c r="S92" s="2"/>
      <c r="T92" s="2"/>
      <c r="U92" s="2"/>
      <c r="V92" s="2"/>
      <c r="W92" s="3"/>
      <c r="X92" s="18" t="s">
        <v>613</v>
      </c>
      <c r="Y92" s="2"/>
      <c r="Z92" s="2"/>
      <c r="AA92" s="2"/>
      <c r="AB92" s="2"/>
      <c r="AC92" s="2"/>
      <c r="AD92" s="3"/>
      <c r="AE92" s="19" t="s">
        <v>213</v>
      </c>
      <c r="AF92" s="3"/>
      <c r="AG92" s="21" t="s">
        <v>63</v>
      </c>
      <c r="AH92" s="2"/>
      <c r="AI92" s="3"/>
      <c r="AJ92" s="22"/>
      <c r="AK92" s="2"/>
      <c r="AL92" s="3"/>
      <c r="AM92" s="21" t="s">
        <v>270</v>
      </c>
      <c r="AN92" s="2"/>
      <c r="AO92" s="3"/>
      <c r="AP92" s="23">
        <v>46159</v>
      </c>
      <c r="AQ92" s="2"/>
      <c r="AR92" s="3"/>
      <c r="AS92" s="19"/>
      <c r="AT92" s="2"/>
      <c r="AU92" s="3"/>
      <c r="AV92" s="19" t="s">
        <v>63</v>
      </c>
      <c r="AW92" s="2"/>
      <c r="AX92" s="3"/>
      <c r="AY92" s="19"/>
      <c r="AZ92" s="2"/>
      <c r="BA92" s="3"/>
      <c r="BB92" s="19" t="s">
        <v>271</v>
      </c>
      <c r="BC92" s="2"/>
      <c r="BD92" s="3"/>
      <c r="BE92" s="20">
        <v>46237</v>
      </c>
      <c r="BF92" s="2"/>
      <c r="BG92" s="3"/>
      <c r="BH92" s="19"/>
      <c r="BI92" s="2"/>
      <c r="BJ92" s="3"/>
      <c r="BK92" s="18"/>
      <c r="BL92" s="2"/>
      <c r="BM92" s="2"/>
      <c r="BN92" s="2"/>
      <c r="BO92" s="2"/>
      <c r="BP92" s="2"/>
      <c r="BQ92" s="3"/>
    </row>
    <row r="93" ht="409.5" customHeight="1" spans="1:69">
      <c r="A93" s="17">
        <v>75</v>
      </c>
      <c r="B93" s="18" t="s">
        <v>614</v>
      </c>
      <c r="C93" s="2"/>
      <c r="D93" s="3"/>
      <c r="E93" s="18" t="s">
        <v>615</v>
      </c>
      <c r="F93" s="2"/>
      <c r="G93" s="2"/>
      <c r="H93" s="2"/>
      <c r="I93" s="3"/>
      <c r="J93" s="18" t="s">
        <v>616</v>
      </c>
      <c r="K93" s="2"/>
      <c r="L93" s="2"/>
      <c r="M93" s="2"/>
      <c r="N93" s="2"/>
      <c r="O93" s="2"/>
      <c r="P93" s="3"/>
      <c r="Q93" s="18" t="s">
        <v>617</v>
      </c>
      <c r="R93" s="2"/>
      <c r="S93" s="2"/>
      <c r="T93" s="2"/>
      <c r="U93" s="2"/>
      <c r="V93" s="2"/>
      <c r="W93" s="3"/>
      <c r="X93" s="18" t="s">
        <v>618</v>
      </c>
      <c r="Y93" s="2"/>
      <c r="Z93" s="2"/>
      <c r="AA93" s="2"/>
      <c r="AB93" s="2"/>
      <c r="AC93" s="2"/>
      <c r="AD93" s="3"/>
      <c r="AE93" s="19" t="s">
        <v>213</v>
      </c>
      <c r="AF93" s="3"/>
      <c r="AG93" s="21" t="s">
        <v>63</v>
      </c>
      <c r="AH93" s="2"/>
      <c r="AI93" s="3"/>
      <c r="AJ93" s="22"/>
      <c r="AK93" s="2"/>
      <c r="AL93" s="3"/>
      <c r="AM93" s="21" t="s">
        <v>270</v>
      </c>
      <c r="AN93" s="2"/>
      <c r="AO93" s="3"/>
      <c r="AP93" s="23">
        <v>46159</v>
      </c>
      <c r="AQ93" s="2"/>
      <c r="AR93" s="3"/>
      <c r="AS93" s="19"/>
      <c r="AT93" s="2"/>
      <c r="AU93" s="3"/>
      <c r="AV93" s="19" t="s">
        <v>63</v>
      </c>
      <c r="AW93" s="2"/>
      <c r="AX93" s="3"/>
      <c r="AY93" s="19"/>
      <c r="AZ93" s="2"/>
      <c r="BA93" s="3"/>
      <c r="BB93" s="19" t="s">
        <v>271</v>
      </c>
      <c r="BC93" s="2"/>
      <c r="BD93" s="3"/>
      <c r="BE93" s="20">
        <v>46237</v>
      </c>
      <c r="BF93" s="2"/>
      <c r="BG93" s="3"/>
      <c r="BH93" s="19"/>
      <c r="BI93" s="2"/>
      <c r="BJ93" s="3"/>
      <c r="BK93" s="18"/>
      <c r="BL93" s="2"/>
      <c r="BM93" s="2"/>
      <c r="BN93" s="2"/>
      <c r="BO93" s="2"/>
      <c r="BP93" s="2"/>
      <c r="BQ93" s="3"/>
    </row>
    <row r="94" ht="409.5" customHeight="1" spans="1:69">
      <c r="A94" s="24">
        <v>76</v>
      </c>
      <c r="B94" s="25" t="s">
        <v>619</v>
      </c>
      <c r="C94" s="2"/>
      <c r="D94" s="3"/>
      <c r="E94" s="25" t="s">
        <v>620</v>
      </c>
      <c r="F94" s="2"/>
      <c r="G94" s="2"/>
      <c r="H94" s="2"/>
      <c r="I94" s="3"/>
      <c r="J94" s="25" t="s">
        <v>621</v>
      </c>
      <c r="K94" s="2"/>
      <c r="L94" s="2"/>
      <c r="M94" s="2"/>
      <c r="N94" s="2"/>
      <c r="O94" s="2"/>
      <c r="P94" s="3"/>
      <c r="Q94" s="25" t="s">
        <v>622</v>
      </c>
      <c r="R94" s="2"/>
      <c r="S94" s="2"/>
      <c r="T94" s="2"/>
      <c r="U94" s="2"/>
      <c r="V94" s="2"/>
      <c r="W94" s="3"/>
      <c r="X94" s="25" t="s">
        <v>623</v>
      </c>
      <c r="Y94" s="2"/>
      <c r="Z94" s="2"/>
      <c r="AA94" s="2"/>
      <c r="AB94" s="2"/>
      <c r="AC94" s="2"/>
      <c r="AD94" s="3"/>
      <c r="AE94" s="26" t="s">
        <v>284</v>
      </c>
      <c r="AF94" s="3"/>
      <c r="AG94" s="19" t="s">
        <v>66</v>
      </c>
      <c r="AH94" s="2"/>
      <c r="AI94" s="3"/>
      <c r="AJ94" s="19"/>
      <c r="AK94" s="2"/>
      <c r="AL94" s="3"/>
      <c r="AM94" s="19"/>
      <c r="AN94" s="2"/>
      <c r="AO94" s="3"/>
      <c r="AP94" s="19"/>
      <c r="AQ94" s="2"/>
      <c r="AR94" s="3"/>
      <c r="AS94" s="19"/>
      <c r="AT94" s="2"/>
      <c r="AU94" s="3"/>
      <c r="AV94" s="19" t="s">
        <v>66</v>
      </c>
      <c r="AW94" s="2"/>
      <c r="AX94" s="3"/>
      <c r="AY94" s="19"/>
      <c r="AZ94" s="2"/>
      <c r="BA94" s="3"/>
      <c r="BB94" s="19"/>
      <c r="BC94" s="2"/>
      <c r="BD94" s="3"/>
      <c r="BE94" s="19"/>
      <c r="BF94" s="2"/>
      <c r="BG94" s="3"/>
      <c r="BH94" s="19"/>
      <c r="BI94" s="2"/>
      <c r="BJ94" s="3"/>
      <c r="BK94" s="18" t="s">
        <v>624</v>
      </c>
      <c r="BL94" s="2"/>
      <c r="BM94" s="2"/>
      <c r="BN94" s="2"/>
      <c r="BO94" s="2"/>
      <c r="BP94" s="2"/>
      <c r="BQ94" s="3"/>
    </row>
    <row r="95" ht="223.5" customHeight="1" spans="1:69">
      <c r="A95" s="17">
        <v>77</v>
      </c>
      <c r="B95" s="18" t="s">
        <v>625</v>
      </c>
      <c r="C95" s="2"/>
      <c r="D95" s="3"/>
      <c r="E95" s="18" t="s">
        <v>626</v>
      </c>
      <c r="F95" s="2"/>
      <c r="G95" s="2"/>
      <c r="H95" s="2"/>
      <c r="I95" s="3"/>
      <c r="J95" s="18" t="s">
        <v>627</v>
      </c>
      <c r="K95" s="2"/>
      <c r="L95" s="2"/>
      <c r="M95" s="2"/>
      <c r="N95" s="2"/>
      <c r="O95" s="2"/>
      <c r="P95" s="3"/>
      <c r="Q95" s="18" t="s">
        <v>628</v>
      </c>
      <c r="R95" s="2"/>
      <c r="S95" s="2"/>
      <c r="T95" s="2"/>
      <c r="U95" s="2"/>
      <c r="V95" s="2"/>
      <c r="W95" s="3"/>
      <c r="X95" s="18" t="s">
        <v>629</v>
      </c>
      <c r="Y95" s="2"/>
      <c r="Z95" s="2"/>
      <c r="AA95" s="2"/>
      <c r="AB95" s="2"/>
      <c r="AC95" s="2"/>
      <c r="AD95" s="3"/>
      <c r="AE95" s="19" t="s">
        <v>213</v>
      </c>
      <c r="AF95" s="3"/>
      <c r="AG95" s="21" t="s">
        <v>63</v>
      </c>
      <c r="AH95" s="2"/>
      <c r="AI95" s="3"/>
      <c r="AJ95" s="22"/>
      <c r="AK95" s="2"/>
      <c r="AL95" s="3"/>
      <c r="AM95" s="21" t="s">
        <v>270</v>
      </c>
      <c r="AN95" s="2"/>
      <c r="AO95" s="3"/>
      <c r="AP95" s="23">
        <v>46159</v>
      </c>
      <c r="AQ95" s="2"/>
      <c r="AR95" s="3"/>
      <c r="AS95" s="19"/>
      <c r="AT95" s="2"/>
      <c r="AU95" s="3"/>
      <c r="AV95" s="19" t="s">
        <v>63</v>
      </c>
      <c r="AW95" s="2"/>
      <c r="AX95" s="3"/>
      <c r="AY95" s="19"/>
      <c r="AZ95" s="2"/>
      <c r="BA95" s="3"/>
      <c r="BB95" s="19" t="s">
        <v>271</v>
      </c>
      <c r="BC95" s="2"/>
      <c r="BD95" s="3"/>
      <c r="BE95" s="20">
        <v>46237</v>
      </c>
      <c r="BF95" s="2"/>
      <c r="BG95" s="3"/>
      <c r="BH95" s="19"/>
      <c r="BI95" s="2"/>
      <c r="BJ95" s="3"/>
      <c r="BK95" s="18"/>
      <c r="BL95" s="2"/>
      <c r="BM95" s="2"/>
      <c r="BN95" s="2"/>
      <c r="BO95" s="2"/>
      <c r="BP95" s="2"/>
      <c r="BQ95" s="3"/>
    </row>
    <row r="96" ht="336" customHeight="1" spans="1:69">
      <c r="A96" s="17">
        <v>78</v>
      </c>
      <c r="B96" s="18" t="s">
        <v>630</v>
      </c>
      <c r="C96" s="2"/>
      <c r="D96" s="3"/>
      <c r="E96" s="18" t="s">
        <v>631</v>
      </c>
      <c r="F96" s="2"/>
      <c r="G96" s="2"/>
      <c r="H96" s="2"/>
      <c r="I96" s="3"/>
      <c r="J96" s="18" t="s">
        <v>632</v>
      </c>
      <c r="K96" s="2"/>
      <c r="L96" s="2"/>
      <c r="M96" s="2"/>
      <c r="N96" s="2"/>
      <c r="O96" s="2"/>
      <c r="P96" s="3"/>
      <c r="Q96" s="18" t="s">
        <v>633</v>
      </c>
      <c r="R96" s="2"/>
      <c r="S96" s="2"/>
      <c r="T96" s="2"/>
      <c r="U96" s="2"/>
      <c r="V96" s="2"/>
      <c r="W96" s="3"/>
      <c r="X96" s="18" t="s">
        <v>634</v>
      </c>
      <c r="Y96" s="2"/>
      <c r="Z96" s="2"/>
      <c r="AA96" s="2"/>
      <c r="AB96" s="2"/>
      <c r="AC96" s="2"/>
      <c r="AD96" s="3"/>
      <c r="AE96" s="19" t="s">
        <v>284</v>
      </c>
      <c r="AF96" s="3"/>
      <c r="AG96" s="21" t="s">
        <v>63</v>
      </c>
      <c r="AH96" s="2"/>
      <c r="AI96" s="3"/>
      <c r="AJ96" s="22"/>
      <c r="AK96" s="2"/>
      <c r="AL96" s="3"/>
      <c r="AM96" s="21" t="s">
        <v>270</v>
      </c>
      <c r="AN96" s="2"/>
      <c r="AO96" s="3"/>
      <c r="AP96" s="23">
        <v>46159</v>
      </c>
      <c r="AQ96" s="2"/>
      <c r="AR96" s="3"/>
      <c r="AS96" s="19"/>
      <c r="AT96" s="2"/>
      <c r="AU96" s="3"/>
      <c r="AV96" s="19" t="s">
        <v>63</v>
      </c>
      <c r="AW96" s="2"/>
      <c r="AX96" s="3"/>
      <c r="AY96" s="19"/>
      <c r="AZ96" s="2"/>
      <c r="BA96" s="3"/>
      <c r="BB96" s="19" t="s">
        <v>271</v>
      </c>
      <c r="BC96" s="2"/>
      <c r="BD96" s="3"/>
      <c r="BE96" s="20">
        <v>46237</v>
      </c>
      <c r="BF96" s="2"/>
      <c r="BG96" s="3"/>
      <c r="BH96" s="19"/>
      <c r="BI96" s="2"/>
      <c r="BJ96" s="3"/>
      <c r="BK96" s="18" t="s">
        <v>635</v>
      </c>
      <c r="BL96" s="2"/>
      <c r="BM96" s="2"/>
      <c r="BN96" s="2"/>
      <c r="BO96" s="2"/>
      <c r="BP96" s="2"/>
      <c r="BQ96" s="3"/>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99">
    <mergeCell ref="A1:E1"/>
    <mergeCell ref="F1:Q1"/>
    <mergeCell ref="R1:V1"/>
    <mergeCell ref="W1:AH1"/>
    <mergeCell ref="A2:E2"/>
    <mergeCell ref="F2:Q2"/>
    <mergeCell ref="R2:V2"/>
    <mergeCell ref="W2:AH2"/>
    <mergeCell ref="A3:E3"/>
    <mergeCell ref="F3:Q3"/>
    <mergeCell ref="R3:V3"/>
    <mergeCell ref="W3:AH3"/>
    <mergeCell ref="A4:E4"/>
    <mergeCell ref="F4:AH4"/>
    <mergeCell ref="A5:S5"/>
    <mergeCell ref="T5:AH5"/>
    <mergeCell ref="A6:G6"/>
    <mergeCell ref="H6:J6"/>
    <mergeCell ref="K6:M6"/>
    <mergeCell ref="N6:P6"/>
    <mergeCell ref="Q6:S6"/>
    <mergeCell ref="T6:V6"/>
    <mergeCell ref="W6:Y6"/>
    <mergeCell ref="Z6:AB6"/>
    <mergeCell ref="AC6:AE6"/>
    <mergeCell ref="AF6:AH6"/>
    <mergeCell ref="A7:G7"/>
    <mergeCell ref="H7:J7"/>
    <mergeCell ref="K7:M7"/>
    <mergeCell ref="N7:P7"/>
    <mergeCell ref="Q7:S7"/>
    <mergeCell ref="T7:V7"/>
    <mergeCell ref="W7:Y7"/>
    <mergeCell ref="Z7:AB7"/>
    <mergeCell ref="AC7:AE7"/>
    <mergeCell ref="AF7:AH7"/>
    <mergeCell ref="A8:G8"/>
    <mergeCell ref="H8:J8"/>
    <mergeCell ref="K8:M8"/>
    <mergeCell ref="N8:P8"/>
    <mergeCell ref="Q8:S8"/>
    <mergeCell ref="T8:V8"/>
    <mergeCell ref="W8:Y8"/>
    <mergeCell ref="Z8:AB8"/>
    <mergeCell ref="AC8:AE8"/>
    <mergeCell ref="AF8:AH8"/>
    <mergeCell ref="AG10:AU10"/>
    <mergeCell ref="AV10:BJ10"/>
    <mergeCell ref="AG11:AI11"/>
    <mergeCell ref="AJ11:AL11"/>
    <mergeCell ref="AM11:AO11"/>
    <mergeCell ref="AP11:AR11"/>
    <mergeCell ref="AS11:AU11"/>
    <mergeCell ref="AV11:AX11"/>
    <mergeCell ref="AY11:BA11"/>
    <mergeCell ref="BB11:BD11"/>
    <mergeCell ref="BE11:BG11"/>
    <mergeCell ref="BH11:BJ11"/>
    <mergeCell ref="A12:BQ12"/>
    <mergeCell ref="B13:D13"/>
    <mergeCell ref="E13:I13"/>
    <mergeCell ref="J13:P13"/>
    <mergeCell ref="Q13:W13"/>
    <mergeCell ref="X13:AD13"/>
    <mergeCell ref="AE13:AF13"/>
    <mergeCell ref="AG13:AI13"/>
    <mergeCell ref="AJ13:AL13"/>
    <mergeCell ref="AM13:AO13"/>
    <mergeCell ref="AP13:AR13"/>
    <mergeCell ref="AS13:AU13"/>
    <mergeCell ref="AV13:AX13"/>
    <mergeCell ref="AY13:BA13"/>
    <mergeCell ref="BB13:BD13"/>
    <mergeCell ref="BE13:BG13"/>
    <mergeCell ref="BH13:BJ13"/>
    <mergeCell ref="BK13:BQ13"/>
    <mergeCell ref="B14:D14"/>
    <mergeCell ref="E14:I14"/>
    <mergeCell ref="J14:P14"/>
    <mergeCell ref="Q14:W14"/>
    <mergeCell ref="X14:AD14"/>
    <mergeCell ref="AE14:AF14"/>
    <mergeCell ref="AG14:AI14"/>
    <mergeCell ref="AJ14:AL14"/>
    <mergeCell ref="AM14:AO14"/>
    <mergeCell ref="AP14:AR14"/>
    <mergeCell ref="AS14:AU14"/>
    <mergeCell ref="AV14:AX14"/>
    <mergeCell ref="AY14:BA14"/>
    <mergeCell ref="BB14:BD14"/>
    <mergeCell ref="BE14:BG14"/>
    <mergeCell ref="BH14:BJ14"/>
    <mergeCell ref="BK14:BQ14"/>
    <mergeCell ref="B15:D15"/>
    <mergeCell ref="E15:I15"/>
    <mergeCell ref="J15:P15"/>
    <mergeCell ref="Q15:W15"/>
    <mergeCell ref="X15:AD15"/>
    <mergeCell ref="AE15:AF15"/>
    <mergeCell ref="AG15:AI15"/>
    <mergeCell ref="AJ15:AL15"/>
    <mergeCell ref="AM15:AO15"/>
    <mergeCell ref="AP15:AR15"/>
    <mergeCell ref="AS15:AU15"/>
    <mergeCell ref="AV15:AX15"/>
    <mergeCell ref="AY15:BA15"/>
    <mergeCell ref="BB15:BD15"/>
    <mergeCell ref="BE15:BG15"/>
    <mergeCell ref="BH15:BJ15"/>
    <mergeCell ref="BK15:BQ15"/>
    <mergeCell ref="B16:D16"/>
    <mergeCell ref="E16:I16"/>
    <mergeCell ref="J16:P16"/>
    <mergeCell ref="Q16:W16"/>
    <mergeCell ref="X16:AD16"/>
    <mergeCell ref="AE16:AF16"/>
    <mergeCell ref="AG16:AI16"/>
    <mergeCell ref="AJ16:AL16"/>
    <mergeCell ref="AM16:AO16"/>
    <mergeCell ref="AP16:AR16"/>
    <mergeCell ref="AS16:AU16"/>
    <mergeCell ref="AV16:AX16"/>
    <mergeCell ref="AY16:BA16"/>
    <mergeCell ref="BB16:BD16"/>
    <mergeCell ref="BE16:BG16"/>
    <mergeCell ref="BH16:BJ16"/>
    <mergeCell ref="BK16:BQ16"/>
    <mergeCell ref="B17:D17"/>
    <mergeCell ref="E17:I17"/>
    <mergeCell ref="J17:P17"/>
    <mergeCell ref="Q17:W17"/>
    <mergeCell ref="X17:AD17"/>
    <mergeCell ref="AE17:AF17"/>
    <mergeCell ref="AG17:AI17"/>
    <mergeCell ref="AJ17:AL17"/>
    <mergeCell ref="AM17:AO17"/>
    <mergeCell ref="AP17:AR17"/>
    <mergeCell ref="AS17:AU17"/>
    <mergeCell ref="AV17:AX17"/>
    <mergeCell ref="AY17:BA17"/>
    <mergeCell ref="BB17:BD17"/>
    <mergeCell ref="BE17:BG17"/>
    <mergeCell ref="BH17:BJ17"/>
    <mergeCell ref="BK17:BQ17"/>
    <mergeCell ref="A18:BQ18"/>
    <mergeCell ref="B19:D19"/>
    <mergeCell ref="E19:I19"/>
    <mergeCell ref="J19:P19"/>
    <mergeCell ref="Q19:W19"/>
    <mergeCell ref="X19:AD19"/>
    <mergeCell ref="AE19:AF19"/>
    <mergeCell ref="AG19:AI19"/>
    <mergeCell ref="AJ19:AL19"/>
    <mergeCell ref="AM19:AO19"/>
    <mergeCell ref="AP19:AR19"/>
    <mergeCell ref="AS19:AU19"/>
    <mergeCell ref="AV19:AX19"/>
    <mergeCell ref="AY19:BA19"/>
    <mergeCell ref="BB19:BD19"/>
    <mergeCell ref="BE19:BG19"/>
    <mergeCell ref="BH19:BJ19"/>
    <mergeCell ref="BK19:BQ19"/>
    <mergeCell ref="B20:D20"/>
    <mergeCell ref="E20:I20"/>
    <mergeCell ref="J20:P20"/>
    <mergeCell ref="Q20:W20"/>
    <mergeCell ref="X20:AD20"/>
    <mergeCell ref="AE20:AF20"/>
    <mergeCell ref="AG20:AI20"/>
    <mergeCell ref="AJ20:AL20"/>
    <mergeCell ref="AM20:AO20"/>
    <mergeCell ref="AP20:AR20"/>
    <mergeCell ref="AS20:AU20"/>
    <mergeCell ref="AV20:AX20"/>
    <mergeCell ref="AY20:BA20"/>
    <mergeCell ref="BB20:BD20"/>
    <mergeCell ref="BE20:BG20"/>
    <mergeCell ref="BH20:BJ20"/>
    <mergeCell ref="BK20:BQ20"/>
    <mergeCell ref="B21:D21"/>
    <mergeCell ref="E21:I21"/>
    <mergeCell ref="J21:P21"/>
    <mergeCell ref="Q21:W21"/>
    <mergeCell ref="X21:AD21"/>
    <mergeCell ref="AE21:AF21"/>
    <mergeCell ref="AG21:AI21"/>
    <mergeCell ref="AJ21:AL21"/>
    <mergeCell ref="AM21:AO21"/>
    <mergeCell ref="AP21:AR21"/>
    <mergeCell ref="AS21:AU21"/>
    <mergeCell ref="AV21:AX21"/>
    <mergeCell ref="AY21:BA21"/>
    <mergeCell ref="BB21:BD21"/>
    <mergeCell ref="BE21:BG21"/>
    <mergeCell ref="BH21:BJ21"/>
    <mergeCell ref="BK21:BQ21"/>
    <mergeCell ref="B22:D22"/>
    <mergeCell ref="E22:I22"/>
    <mergeCell ref="J22:P22"/>
    <mergeCell ref="Q22:W22"/>
    <mergeCell ref="X22:AD22"/>
    <mergeCell ref="AE22:AF22"/>
    <mergeCell ref="AG22:AI22"/>
    <mergeCell ref="AJ22:AL22"/>
    <mergeCell ref="AM22:AO22"/>
    <mergeCell ref="AP22:AR22"/>
    <mergeCell ref="AS22:AU22"/>
    <mergeCell ref="AV22:AX22"/>
    <mergeCell ref="AY22:BA22"/>
    <mergeCell ref="BB22:BD22"/>
    <mergeCell ref="BE22:BG22"/>
    <mergeCell ref="BH22:BJ22"/>
    <mergeCell ref="BK22:BQ22"/>
    <mergeCell ref="B23:D23"/>
    <mergeCell ref="E23:I23"/>
    <mergeCell ref="J23:P23"/>
    <mergeCell ref="Q23:W23"/>
    <mergeCell ref="X23:AD23"/>
    <mergeCell ref="AE23:AF23"/>
    <mergeCell ref="AG23:AI23"/>
    <mergeCell ref="AJ23:AL23"/>
    <mergeCell ref="AM23:AO23"/>
    <mergeCell ref="AP23:AR23"/>
    <mergeCell ref="AS23:AU23"/>
    <mergeCell ref="AV23:AX23"/>
    <mergeCell ref="AY23:BA23"/>
    <mergeCell ref="BB23:BD23"/>
    <mergeCell ref="BE23:BG23"/>
    <mergeCell ref="BH23:BJ23"/>
    <mergeCell ref="BK23:BQ23"/>
    <mergeCell ref="B24:D24"/>
    <mergeCell ref="E24:I24"/>
    <mergeCell ref="J24:P24"/>
    <mergeCell ref="Q24:W24"/>
    <mergeCell ref="X24:AD24"/>
    <mergeCell ref="AE24:AF24"/>
    <mergeCell ref="AG24:AI24"/>
    <mergeCell ref="AJ24:AL24"/>
    <mergeCell ref="AM24:AO24"/>
    <mergeCell ref="AP24:AR24"/>
    <mergeCell ref="AS24:AU24"/>
    <mergeCell ref="AV24:AX24"/>
    <mergeCell ref="AY24:BA24"/>
    <mergeCell ref="BB24:BD24"/>
    <mergeCell ref="BE24:BG24"/>
    <mergeCell ref="BH24:BJ24"/>
    <mergeCell ref="BK24:BQ24"/>
    <mergeCell ref="A25:BQ25"/>
    <mergeCell ref="B26:D26"/>
    <mergeCell ref="E26:I26"/>
    <mergeCell ref="J26:P26"/>
    <mergeCell ref="Q26:W26"/>
    <mergeCell ref="X26:AD26"/>
    <mergeCell ref="AE26:AF26"/>
    <mergeCell ref="AG26:AI26"/>
    <mergeCell ref="AJ26:AL26"/>
    <mergeCell ref="AM26:AO26"/>
    <mergeCell ref="AP26:AR26"/>
    <mergeCell ref="AS26:AU26"/>
    <mergeCell ref="AV26:AX26"/>
    <mergeCell ref="AY26:BA26"/>
    <mergeCell ref="BB26:BD26"/>
    <mergeCell ref="BE26:BG26"/>
    <mergeCell ref="BH26:BJ26"/>
    <mergeCell ref="BK26:BQ26"/>
    <mergeCell ref="B27:D27"/>
    <mergeCell ref="E27:I27"/>
    <mergeCell ref="J27:P27"/>
    <mergeCell ref="Q27:W27"/>
    <mergeCell ref="X27:AD27"/>
    <mergeCell ref="AE27:AF27"/>
    <mergeCell ref="AG27:AI27"/>
    <mergeCell ref="AJ27:AL27"/>
    <mergeCell ref="AM27:AO27"/>
    <mergeCell ref="AP27:AR27"/>
    <mergeCell ref="AS27:AU27"/>
    <mergeCell ref="AV27:AX27"/>
    <mergeCell ref="AY27:BA27"/>
    <mergeCell ref="BB27:BD27"/>
    <mergeCell ref="BE27:BG27"/>
    <mergeCell ref="BH27:BJ27"/>
    <mergeCell ref="BK27:BQ27"/>
    <mergeCell ref="B28:D28"/>
    <mergeCell ref="E28:I28"/>
    <mergeCell ref="J28:P28"/>
    <mergeCell ref="Q28:W28"/>
    <mergeCell ref="X28:AD28"/>
    <mergeCell ref="AE28:AF28"/>
    <mergeCell ref="AG28:AI28"/>
    <mergeCell ref="AJ28:AL28"/>
    <mergeCell ref="AM28:AO28"/>
    <mergeCell ref="AP28:AR28"/>
    <mergeCell ref="AS28:AU28"/>
    <mergeCell ref="AV28:AX28"/>
    <mergeCell ref="AY28:BA28"/>
    <mergeCell ref="BB28:BD28"/>
    <mergeCell ref="BE28:BG28"/>
    <mergeCell ref="BH28:BJ28"/>
    <mergeCell ref="BK28:BQ28"/>
    <mergeCell ref="B29:D29"/>
    <mergeCell ref="E29:I29"/>
    <mergeCell ref="J29:P29"/>
    <mergeCell ref="Q29:W29"/>
    <mergeCell ref="X29:AD29"/>
    <mergeCell ref="AE29:AF29"/>
    <mergeCell ref="AG29:AI29"/>
    <mergeCell ref="AJ29:AL29"/>
    <mergeCell ref="AM29:AO29"/>
    <mergeCell ref="AP29:AR29"/>
    <mergeCell ref="AS29:AU29"/>
    <mergeCell ref="AV29:AX29"/>
    <mergeCell ref="AY29:BA29"/>
    <mergeCell ref="BB29:BD29"/>
    <mergeCell ref="BE29:BG29"/>
    <mergeCell ref="BH29:BJ29"/>
    <mergeCell ref="BK29:BQ29"/>
    <mergeCell ref="A30:BQ30"/>
    <mergeCell ref="B31:D31"/>
    <mergeCell ref="E31:I31"/>
    <mergeCell ref="J31:P31"/>
    <mergeCell ref="Q31:W31"/>
    <mergeCell ref="X31:AD31"/>
    <mergeCell ref="AE31:AF31"/>
    <mergeCell ref="AG31:AI31"/>
    <mergeCell ref="AJ31:AL31"/>
    <mergeCell ref="AM31:AO31"/>
    <mergeCell ref="AP31:AR31"/>
    <mergeCell ref="AS31:AU31"/>
    <mergeCell ref="AV31:AX31"/>
    <mergeCell ref="AY31:BA31"/>
    <mergeCell ref="BB31:BD31"/>
    <mergeCell ref="BE31:BG31"/>
    <mergeCell ref="BH31:BJ31"/>
    <mergeCell ref="BK31:BQ31"/>
    <mergeCell ref="B32:D32"/>
    <mergeCell ref="E32:I32"/>
    <mergeCell ref="J32:P32"/>
    <mergeCell ref="Q32:W32"/>
    <mergeCell ref="X32:AD32"/>
    <mergeCell ref="AE32:AF32"/>
    <mergeCell ref="AG32:AI32"/>
    <mergeCell ref="AJ32:AL32"/>
    <mergeCell ref="AM32:AO32"/>
    <mergeCell ref="AP32:AR32"/>
    <mergeCell ref="AS32:AU32"/>
    <mergeCell ref="AV32:AX32"/>
    <mergeCell ref="AY32:BA32"/>
    <mergeCell ref="BB32:BD32"/>
    <mergeCell ref="BE32:BG32"/>
    <mergeCell ref="BH32:BJ32"/>
    <mergeCell ref="BK32:BQ32"/>
    <mergeCell ref="B33:D33"/>
    <mergeCell ref="E33:I33"/>
    <mergeCell ref="J33:P33"/>
    <mergeCell ref="Q33:W33"/>
    <mergeCell ref="X33:AD33"/>
    <mergeCell ref="AE33:AF33"/>
    <mergeCell ref="AG33:AI33"/>
    <mergeCell ref="AJ33:AL33"/>
    <mergeCell ref="AM33:AO33"/>
    <mergeCell ref="AP33:AR33"/>
    <mergeCell ref="AS33:AU33"/>
    <mergeCell ref="AV33:AX33"/>
    <mergeCell ref="AY33:BA33"/>
    <mergeCell ref="BB33:BD33"/>
    <mergeCell ref="BE33:BG33"/>
    <mergeCell ref="BH33:BJ33"/>
    <mergeCell ref="BK33:BQ33"/>
    <mergeCell ref="B34:D34"/>
    <mergeCell ref="E34:I34"/>
    <mergeCell ref="J34:P34"/>
    <mergeCell ref="Q34:W34"/>
    <mergeCell ref="X34:AD34"/>
    <mergeCell ref="AE34:AF34"/>
    <mergeCell ref="AG34:AI34"/>
    <mergeCell ref="AJ34:AL34"/>
    <mergeCell ref="AM34:AO34"/>
    <mergeCell ref="AP34:AR34"/>
    <mergeCell ref="AS34:AU34"/>
    <mergeCell ref="AV34:AX34"/>
    <mergeCell ref="AY34:BA34"/>
    <mergeCell ref="BB34:BD34"/>
    <mergeCell ref="BE34:BG34"/>
    <mergeCell ref="BH34:BJ34"/>
    <mergeCell ref="BK34:BQ34"/>
    <mergeCell ref="B35:D35"/>
    <mergeCell ref="E35:I35"/>
    <mergeCell ref="J35:P35"/>
    <mergeCell ref="Q35:W35"/>
    <mergeCell ref="X35:AD35"/>
    <mergeCell ref="AE35:AF35"/>
    <mergeCell ref="AG35:AI35"/>
    <mergeCell ref="AJ35:AL35"/>
    <mergeCell ref="AM35:AO35"/>
    <mergeCell ref="AP35:AR35"/>
    <mergeCell ref="AS35:AU35"/>
    <mergeCell ref="AV35:AX35"/>
    <mergeCell ref="AY35:BA35"/>
    <mergeCell ref="BB35:BD35"/>
    <mergeCell ref="BE35:BG35"/>
    <mergeCell ref="BH35:BJ35"/>
    <mergeCell ref="BK35:BQ35"/>
    <mergeCell ref="B36:D36"/>
    <mergeCell ref="E36:I36"/>
    <mergeCell ref="J36:P36"/>
    <mergeCell ref="Q36:W36"/>
    <mergeCell ref="X36:AD36"/>
    <mergeCell ref="AE36:AF36"/>
    <mergeCell ref="AG36:AI36"/>
    <mergeCell ref="AJ36:AL36"/>
    <mergeCell ref="AM36:AO36"/>
    <mergeCell ref="AP36:AR36"/>
    <mergeCell ref="AS36:AU36"/>
    <mergeCell ref="AV36:AX36"/>
    <mergeCell ref="AY36:BA36"/>
    <mergeCell ref="BB36:BD36"/>
    <mergeCell ref="BE36:BG36"/>
    <mergeCell ref="BH36:BJ36"/>
    <mergeCell ref="BK36:BQ36"/>
    <mergeCell ref="B37:D37"/>
    <mergeCell ref="E37:I37"/>
    <mergeCell ref="J37:P37"/>
    <mergeCell ref="Q37:W37"/>
    <mergeCell ref="X37:AD37"/>
    <mergeCell ref="AE37:AF37"/>
    <mergeCell ref="AG37:AI37"/>
    <mergeCell ref="AJ37:AL37"/>
    <mergeCell ref="AM37:AO37"/>
    <mergeCell ref="AP37:AR37"/>
    <mergeCell ref="AS37:AU37"/>
    <mergeCell ref="AV37:AX37"/>
    <mergeCell ref="AY37:BA37"/>
    <mergeCell ref="BB37:BD37"/>
    <mergeCell ref="BE37:BG37"/>
    <mergeCell ref="BH37:BJ37"/>
    <mergeCell ref="BK37:BQ37"/>
    <mergeCell ref="B38:D38"/>
    <mergeCell ref="E38:I38"/>
    <mergeCell ref="J38:P38"/>
    <mergeCell ref="Q38:W38"/>
    <mergeCell ref="X38:AD38"/>
    <mergeCell ref="AE38:AF38"/>
    <mergeCell ref="AG38:AI38"/>
    <mergeCell ref="AJ38:AL38"/>
    <mergeCell ref="AM38:AO38"/>
    <mergeCell ref="AP38:AR38"/>
    <mergeCell ref="AS38:AU38"/>
    <mergeCell ref="AV38:AX38"/>
    <mergeCell ref="AY38:BA38"/>
    <mergeCell ref="BB38:BD38"/>
    <mergeCell ref="BE38:BG38"/>
    <mergeCell ref="BH38:BJ38"/>
    <mergeCell ref="BK38:BQ38"/>
    <mergeCell ref="B39:D39"/>
    <mergeCell ref="E39:I39"/>
    <mergeCell ref="J39:P39"/>
    <mergeCell ref="Q39:W39"/>
    <mergeCell ref="X39:AD39"/>
    <mergeCell ref="AE39:AF39"/>
    <mergeCell ref="AG39:AI39"/>
    <mergeCell ref="AJ39:AL39"/>
    <mergeCell ref="AM39:AO39"/>
    <mergeCell ref="AP39:AR39"/>
    <mergeCell ref="AS39:AU39"/>
    <mergeCell ref="AV39:AX39"/>
    <mergeCell ref="AY39:BA39"/>
    <mergeCell ref="BB39:BD39"/>
    <mergeCell ref="BE39:BG39"/>
    <mergeCell ref="BH39:BJ39"/>
    <mergeCell ref="BK39:BQ39"/>
    <mergeCell ref="B40:D40"/>
    <mergeCell ref="E40:I40"/>
    <mergeCell ref="J40:P40"/>
    <mergeCell ref="Q40:W40"/>
    <mergeCell ref="X40:AD40"/>
    <mergeCell ref="AE40:AF40"/>
    <mergeCell ref="AG40:AI40"/>
    <mergeCell ref="AJ40:AL40"/>
    <mergeCell ref="AM40:AO40"/>
    <mergeCell ref="AP40:AR40"/>
    <mergeCell ref="AS40:AU40"/>
    <mergeCell ref="AV40:AX40"/>
    <mergeCell ref="AY40:BA40"/>
    <mergeCell ref="BB40:BD40"/>
    <mergeCell ref="BE40:BG40"/>
    <mergeCell ref="BH40:BJ40"/>
    <mergeCell ref="BK40:BQ40"/>
    <mergeCell ref="B41:D41"/>
    <mergeCell ref="E41:I41"/>
    <mergeCell ref="J41:P41"/>
    <mergeCell ref="Q41:W41"/>
    <mergeCell ref="X41:AD41"/>
    <mergeCell ref="AE41:AF41"/>
    <mergeCell ref="AG41:AI41"/>
    <mergeCell ref="AJ41:AL41"/>
    <mergeCell ref="AM41:AO41"/>
    <mergeCell ref="AP41:AR41"/>
    <mergeCell ref="AS41:AU41"/>
    <mergeCell ref="AV41:AX41"/>
    <mergeCell ref="AY41:BA41"/>
    <mergeCell ref="BB41:BD41"/>
    <mergeCell ref="BE41:BG41"/>
    <mergeCell ref="BH41:BJ41"/>
    <mergeCell ref="BK41:BQ41"/>
    <mergeCell ref="B42:D42"/>
    <mergeCell ref="E42:I42"/>
    <mergeCell ref="J42:P42"/>
    <mergeCell ref="Q42:W42"/>
    <mergeCell ref="X42:AD42"/>
    <mergeCell ref="AE42:AF42"/>
    <mergeCell ref="AG42:AI42"/>
    <mergeCell ref="AJ42:AL42"/>
    <mergeCell ref="AM42:AO42"/>
    <mergeCell ref="AP42:AR42"/>
    <mergeCell ref="AS42:AU42"/>
    <mergeCell ref="AV42:AX42"/>
    <mergeCell ref="AY42:BA42"/>
    <mergeCell ref="BB42:BD42"/>
    <mergeCell ref="BE42:BG42"/>
    <mergeCell ref="BH42:BJ42"/>
    <mergeCell ref="BK42:BQ42"/>
    <mergeCell ref="B43:D43"/>
    <mergeCell ref="E43:I43"/>
    <mergeCell ref="J43:P43"/>
    <mergeCell ref="Q43:W43"/>
    <mergeCell ref="X43:AD43"/>
    <mergeCell ref="AE43:AF43"/>
    <mergeCell ref="AG43:AI43"/>
    <mergeCell ref="AJ43:AL43"/>
    <mergeCell ref="AM43:AO43"/>
    <mergeCell ref="AP43:AR43"/>
    <mergeCell ref="AS43:AU43"/>
    <mergeCell ref="AV43:AX43"/>
    <mergeCell ref="AY43:BA43"/>
    <mergeCell ref="BB43:BD43"/>
    <mergeCell ref="BE43:BG43"/>
    <mergeCell ref="BH43:BJ43"/>
    <mergeCell ref="BK43:BQ43"/>
    <mergeCell ref="B44:D44"/>
    <mergeCell ref="E44:I44"/>
    <mergeCell ref="J44:P44"/>
    <mergeCell ref="Q44:W44"/>
    <mergeCell ref="X44:AD44"/>
    <mergeCell ref="AE44:AF44"/>
    <mergeCell ref="AG44:AI44"/>
    <mergeCell ref="AJ44:AL44"/>
    <mergeCell ref="AM44:AO44"/>
    <mergeCell ref="AP44:AR44"/>
    <mergeCell ref="AS44:AU44"/>
    <mergeCell ref="AV44:AX44"/>
    <mergeCell ref="AY44:BA44"/>
    <mergeCell ref="BB44:BD44"/>
    <mergeCell ref="BE44:BG44"/>
    <mergeCell ref="BH44:BJ44"/>
    <mergeCell ref="BK44:BQ44"/>
    <mergeCell ref="B45:D45"/>
    <mergeCell ref="E45:I45"/>
    <mergeCell ref="J45:P45"/>
    <mergeCell ref="Q45:W45"/>
    <mergeCell ref="X45:AD45"/>
    <mergeCell ref="AE45:AF45"/>
    <mergeCell ref="AG45:AI45"/>
    <mergeCell ref="AJ45:AL45"/>
    <mergeCell ref="AM45:AO45"/>
    <mergeCell ref="AP45:AR45"/>
    <mergeCell ref="AS45:AU45"/>
    <mergeCell ref="AV45:AX45"/>
    <mergeCell ref="AY45:BA45"/>
    <mergeCell ref="BB45:BD45"/>
    <mergeCell ref="BE45:BG45"/>
    <mergeCell ref="BH45:BJ45"/>
    <mergeCell ref="BK45:BQ45"/>
    <mergeCell ref="B46:D46"/>
    <mergeCell ref="E46:I46"/>
    <mergeCell ref="J46:P46"/>
    <mergeCell ref="Q46:W46"/>
    <mergeCell ref="X46:AD46"/>
    <mergeCell ref="AE46:AF46"/>
    <mergeCell ref="AG46:AI46"/>
    <mergeCell ref="AJ46:AL46"/>
    <mergeCell ref="AM46:AO46"/>
    <mergeCell ref="AP46:AR46"/>
    <mergeCell ref="AS46:AU46"/>
    <mergeCell ref="AV46:AX46"/>
    <mergeCell ref="AY46:BA46"/>
    <mergeCell ref="BB46:BD46"/>
    <mergeCell ref="BE46:BG46"/>
    <mergeCell ref="BH46:BJ46"/>
    <mergeCell ref="BK46:BQ46"/>
    <mergeCell ref="B47:D47"/>
    <mergeCell ref="E47:I47"/>
    <mergeCell ref="J47:P47"/>
    <mergeCell ref="Q47:W47"/>
    <mergeCell ref="X47:AD47"/>
    <mergeCell ref="AE47:AF47"/>
    <mergeCell ref="AG47:AI47"/>
    <mergeCell ref="AJ47:AL47"/>
    <mergeCell ref="AM47:AO47"/>
    <mergeCell ref="AP47:AR47"/>
    <mergeCell ref="AS47:AU47"/>
    <mergeCell ref="AV47:AX47"/>
    <mergeCell ref="AY47:BA47"/>
    <mergeCell ref="BB47:BD47"/>
    <mergeCell ref="BE47:BG47"/>
    <mergeCell ref="BH47:BJ47"/>
    <mergeCell ref="BK47:BQ47"/>
    <mergeCell ref="B48:D48"/>
    <mergeCell ref="E48:I48"/>
    <mergeCell ref="J48:P48"/>
    <mergeCell ref="Q48:W48"/>
    <mergeCell ref="X48:AD48"/>
    <mergeCell ref="AE48:AF48"/>
    <mergeCell ref="AG48:AI48"/>
    <mergeCell ref="AJ48:AL48"/>
    <mergeCell ref="AM48:AO48"/>
    <mergeCell ref="AP48:AR48"/>
    <mergeCell ref="AS48:AU48"/>
    <mergeCell ref="AV48:AX48"/>
    <mergeCell ref="AY48:BA48"/>
    <mergeCell ref="BB48:BD48"/>
    <mergeCell ref="BE48:BG48"/>
    <mergeCell ref="BH48:BJ48"/>
    <mergeCell ref="BK48:BQ48"/>
    <mergeCell ref="B49:D49"/>
    <mergeCell ref="E49:I49"/>
    <mergeCell ref="J49:P49"/>
    <mergeCell ref="Q49:W49"/>
    <mergeCell ref="X49:AD49"/>
    <mergeCell ref="AE49:AF49"/>
    <mergeCell ref="AG49:AI49"/>
    <mergeCell ref="AJ49:AL49"/>
    <mergeCell ref="AM49:AO49"/>
    <mergeCell ref="AP49:AR49"/>
    <mergeCell ref="AS49:AU49"/>
    <mergeCell ref="AV49:AX49"/>
    <mergeCell ref="AY49:BA49"/>
    <mergeCell ref="BB49:BD49"/>
    <mergeCell ref="BE49:BG49"/>
    <mergeCell ref="BH49:BJ49"/>
    <mergeCell ref="BK49:BQ49"/>
    <mergeCell ref="B50:D50"/>
    <mergeCell ref="E50:I50"/>
    <mergeCell ref="J50:P50"/>
    <mergeCell ref="Q50:W50"/>
    <mergeCell ref="X50:AD50"/>
    <mergeCell ref="AE50:AF50"/>
    <mergeCell ref="AG50:AI50"/>
    <mergeCell ref="AJ50:AL50"/>
    <mergeCell ref="AM50:AO50"/>
    <mergeCell ref="AP50:AR50"/>
    <mergeCell ref="AS50:AU50"/>
    <mergeCell ref="AV50:AX50"/>
    <mergeCell ref="AY50:BA50"/>
    <mergeCell ref="BB50:BD50"/>
    <mergeCell ref="BE50:BG50"/>
    <mergeCell ref="BH50:BJ50"/>
    <mergeCell ref="BK50:BQ50"/>
    <mergeCell ref="B51:D51"/>
    <mergeCell ref="E51:I51"/>
    <mergeCell ref="J51:P51"/>
    <mergeCell ref="Q51:W51"/>
    <mergeCell ref="X51:AD51"/>
    <mergeCell ref="AE51:AF51"/>
    <mergeCell ref="AG51:AI51"/>
    <mergeCell ref="AJ51:AL51"/>
    <mergeCell ref="AM51:AO51"/>
    <mergeCell ref="AP51:AR51"/>
    <mergeCell ref="AS51:AU51"/>
    <mergeCell ref="AV51:AX51"/>
    <mergeCell ref="AY51:BA51"/>
    <mergeCell ref="BB51:BD51"/>
    <mergeCell ref="BE51:BG51"/>
    <mergeCell ref="BH51:BJ51"/>
    <mergeCell ref="BK51:BQ51"/>
    <mergeCell ref="B52:D52"/>
    <mergeCell ref="E52:I52"/>
    <mergeCell ref="J52:P52"/>
    <mergeCell ref="Q52:W52"/>
    <mergeCell ref="X52:AD52"/>
    <mergeCell ref="AE52:AF52"/>
    <mergeCell ref="AG52:AI52"/>
    <mergeCell ref="AJ52:AL52"/>
    <mergeCell ref="AM52:AO52"/>
    <mergeCell ref="AP52:AR52"/>
    <mergeCell ref="AS52:AU52"/>
    <mergeCell ref="AV52:AX52"/>
    <mergeCell ref="AY52:BA52"/>
    <mergeCell ref="BB52:BD52"/>
    <mergeCell ref="BE52:BG52"/>
    <mergeCell ref="BH52:BJ52"/>
    <mergeCell ref="BK52:BQ52"/>
    <mergeCell ref="B53:D53"/>
    <mergeCell ref="E53:I53"/>
    <mergeCell ref="J53:P53"/>
    <mergeCell ref="Q53:W53"/>
    <mergeCell ref="X53:AD53"/>
    <mergeCell ref="AE53:AF53"/>
    <mergeCell ref="AG53:AI53"/>
    <mergeCell ref="AJ53:AL53"/>
    <mergeCell ref="AM53:AO53"/>
    <mergeCell ref="AP53:AR53"/>
    <mergeCell ref="AS53:AU53"/>
    <mergeCell ref="AV53:AX53"/>
    <mergeCell ref="AY53:BA53"/>
    <mergeCell ref="BB53:BD53"/>
    <mergeCell ref="BE53:BG53"/>
    <mergeCell ref="BH53:BJ53"/>
    <mergeCell ref="BK53:BQ53"/>
    <mergeCell ref="B54:D54"/>
    <mergeCell ref="E54:I54"/>
    <mergeCell ref="J54:P54"/>
    <mergeCell ref="Q54:W54"/>
    <mergeCell ref="X54:AD54"/>
    <mergeCell ref="AE54:AF54"/>
    <mergeCell ref="AG54:AI54"/>
    <mergeCell ref="AJ54:AL54"/>
    <mergeCell ref="AM54:AO54"/>
    <mergeCell ref="AP54:AR54"/>
    <mergeCell ref="AS54:AU54"/>
    <mergeCell ref="AV54:AX54"/>
    <mergeCell ref="AY54:BA54"/>
    <mergeCell ref="BB54:BD54"/>
    <mergeCell ref="BE54:BG54"/>
    <mergeCell ref="BH54:BJ54"/>
    <mergeCell ref="BK54:BQ54"/>
    <mergeCell ref="B55:D55"/>
    <mergeCell ref="E55:I55"/>
    <mergeCell ref="J55:P55"/>
    <mergeCell ref="Q55:W55"/>
    <mergeCell ref="X55:AD55"/>
    <mergeCell ref="AE55:AF55"/>
    <mergeCell ref="AG55:AI55"/>
    <mergeCell ref="AJ55:AL55"/>
    <mergeCell ref="AM55:AO55"/>
    <mergeCell ref="AP55:AR55"/>
    <mergeCell ref="AS55:AU55"/>
    <mergeCell ref="AV55:AX55"/>
    <mergeCell ref="AY55:BA55"/>
    <mergeCell ref="BB55:BD55"/>
    <mergeCell ref="BE55:BG55"/>
    <mergeCell ref="BH55:BJ55"/>
    <mergeCell ref="BK55:BQ55"/>
    <mergeCell ref="B56:D56"/>
    <mergeCell ref="E56:I56"/>
    <mergeCell ref="J56:P56"/>
    <mergeCell ref="Q56:W56"/>
    <mergeCell ref="X56:AD56"/>
    <mergeCell ref="AE56:AF56"/>
    <mergeCell ref="AG56:AI56"/>
    <mergeCell ref="AJ56:AL56"/>
    <mergeCell ref="AM56:AO56"/>
    <mergeCell ref="AP56:AR56"/>
    <mergeCell ref="AS56:AU56"/>
    <mergeCell ref="AV56:AX56"/>
    <mergeCell ref="AY56:BA56"/>
    <mergeCell ref="BB56:BD56"/>
    <mergeCell ref="BE56:BG56"/>
    <mergeCell ref="BH56:BJ56"/>
    <mergeCell ref="BK56:BQ56"/>
    <mergeCell ref="B57:D57"/>
    <mergeCell ref="E57:I57"/>
    <mergeCell ref="J57:P57"/>
    <mergeCell ref="Q57:W57"/>
    <mergeCell ref="X57:AD57"/>
    <mergeCell ref="AE57:AF57"/>
    <mergeCell ref="AG57:AI57"/>
    <mergeCell ref="AJ57:AL57"/>
    <mergeCell ref="AM57:AO57"/>
    <mergeCell ref="AP57:AR57"/>
    <mergeCell ref="AS57:AU57"/>
    <mergeCell ref="AV57:AX57"/>
    <mergeCell ref="AY57:BA57"/>
    <mergeCell ref="BB57:BD57"/>
    <mergeCell ref="BE57:BG57"/>
    <mergeCell ref="BH57:BJ57"/>
    <mergeCell ref="BK57:BQ57"/>
    <mergeCell ref="B58:D58"/>
    <mergeCell ref="E58:I58"/>
    <mergeCell ref="J58:P58"/>
    <mergeCell ref="Q58:W58"/>
    <mergeCell ref="X58:AD58"/>
    <mergeCell ref="AE58:AF58"/>
    <mergeCell ref="AG58:AI58"/>
    <mergeCell ref="AJ58:AL58"/>
    <mergeCell ref="AM58:AO58"/>
    <mergeCell ref="AP58:AR58"/>
    <mergeCell ref="AS58:AU58"/>
    <mergeCell ref="AV58:AX58"/>
    <mergeCell ref="AY58:BA58"/>
    <mergeCell ref="BB58:BD58"/>
    <mergeCell ref="BE58:BG58"/>
    <mergeCell ref="BH58:BJ58"/>
    <mergeCell ref="BK58:BQ58"/>
    <mergeCell ref="B59:D59"/>
    <mergeCell ref="E59:I59"/>
    <mergeCell ref="J59:P59"/>
    <mergeCell ref="Q59:W59"/>
    <mergeCell ref="X59:AD59"/>
    <mergeCell ref="AE59:AF59"/>
    <mergeCell ref="AG59:AI59"/>
    <mergeCell ref="AJ59:AL59"/>
    <mergeCell ref="AM59:AO59"/>
    <mergeCell ref="AP59:AR59"/>
    <mergeCell ref="AS59:AU59"/>
    <mergeCell ref="AV59:AX59"/>
    <mergeCell ref="AY59:BA59"/>
    <mergeCell ref="BB59:BD59"/>
    <mergeCell ref="BE59:BG59"/>
    <mergeCell ref="BH59:BJ59"/>
    <mergeCell ref="BK59:BQ59"/>
    <mergeCell ref="B60:D60"/>
    <mergeCell ref="E60:I60"/>
    <mergeCell ref="J60:P60"/>
    <mergeCell ref="Q60:W60"/>
    <mergeCell ref="X60:AD60"/>
    <mergeCell ref="AE60:AF60"/>
    <mergeCell ref="AG60:AI60"/>
    <mergeCell ref="AJ60:AL60"/>
    <mergeCell ref="AM60:AO60"/>
    <mergeCell ref="AP60:AR60"/>
    <mergeCell ref="AS60:AU60"/>
    <mergeCell ref="AV60:AX60"/>
    <mergeCell ref="AY60:BA60"/>
    <mergeCell ref="BB60:BD60"/>
    <mergeCell ref="BE60:BG60"/>
    <mergeCell ref="BH60:BJ60"/>
    <mergeCell ref="BK60:BQ60"/>
    <mergeCell ref="B61:D61"/>
    <mergeCell ref="E61:I61"/>
    <mergeCell ref="J61:P61"/>
    <mergeCell ref="Q61:W61"/>
    <mergeCell ref="X61:AD61"/>
    <mergeCell ref="AE61:AF61"/>
    <mergeCell ref="AG61:AI61"/>
    <mergeCell ref="AJ61:AL61"/>
    <mergeCell ref="AM61:AO61"/>
    <mergeCell ref="AP61:AR61"/>
    <mergeCell ref="AS61:AU61"/>
    <mergeCell ref="AV61:AX61"/>
    <mergeCell ref="AY61:BA61"/>
    <mergeCell ref="BB61:BD61"/>
    <mergeCell ref="BE61:BG61"/>
    <mergeCell ref="BH61:BJ61"/>
    <mergeCell ref="BK61:BQ61"/>
    <mergeCell ref="B62:D62"/>
    <mergeCell ref="E62:I62"/>
    <mergeCell ref="J62:P62"/>
    <mergeCell ref="Q62:W62"/>
    <mergeCell ref="X62:AD62"/>
    <mergeCell ref="AE62:AF62"/>
    <mergeCell ref="AG62:AI62"/>
    <mergeCell ref="AJ62:AL62"/>
    <mergeCell ref="AM62:AO62"/>
    <mergeCell ref="AP62:AR62"/>
    <mergeCell ref="AS62:AU62"/>
    <mergeCell ref="AV62:AX62"/>
    <mergeCell ref="AY62:BA62"/>
    <mergeCell ref="BB62:BD62"/>
    <mergeCell ref="BE62:BG62"/>
    <mergeCell ref="BH62:BJ62"/>
    <mergeCell ref="BK62:BQ62"/>
    <mergeCell ref="B63:D63"/>
    <mergeCell ref="E63:I63"/>
    <mergeCell ref="J63:P63"/>
    <mergeCell ref="Q63:W63"/>
    <mergeCell ref="X63:AD63"/>
    <mergeCell ref="AE63:AF63"/>
    <mergeCell ref="AG63:AI63"/>
    <mergeCell ref="AJ63:AL63"/>
    <mergeCell ref="AM63:AO63"/>
    <mergeCell ref="AP63:AR63"/>
    <mergeCell ref="AS63:AU63"/>
    <mergeCell ref="AV63:AX63"/>
    <mergeCell ref="AY63:BA63"/>
    <mergeCell ref="BB63:BD63"/>
    <mergeCell ref="BE63:BG63"/>
    <mergeCell ref="BH63:BJ63"/>
    <mergeCell ref="BK63:BQ63"/>
    <mergeCell ref="B64:D64"/>
    <mergeCell ref="E64:I64"/>
    <mergeCell ref="J64:P64"/>
    <mergeCell ref="Q64:W64"/>
    <mergeCell ref="X64:AD64"/>
    <mergeCell ref="AE64:AF64"/>
    <mergeCell ref="AG64:AI64"/>
    <mergeCell ref="AJ64:AL64"/>
    <mergeCell ref="AM64:AO64"/>
    <mergeCell ref="AP64:AR64"/>
    <mergeCell ref="AS64:AU64"/>
    <mergeCell ref="AV64:AX64"/>
    <mergeCell ref="AY64:BA64"/>
    <mergeCell ref="BB64:BD64"/>
    <mergeCell ref="BE64:BG64"/>
    <mergeCell ref="BH64:BJ64"/>
    <mergeCell ref="BK64:BQ64"/>
    <mergeCell ref="B65:D65"/>
    <mergeCell ref="E65:I65"/>
    <mergeCell ref="J65:P65"/>
    <mergeCell ref="Q65:W65"/>
    <mergeCell ref="X65:AD65"/>
    <mergeCell ref="AE65:AF65"/>
    <mergeCell ref="AG65:AI65"/>
    <mergeCell ref="AJ65:AL65"/>
    <mergeCell ref="AM65:AO65"/>
    <mergeCell ref="AP65:AR65"/>
    <mergeCell ref="AS65:AU65"/>
    <mergeCell ref="AV65:AX65"/>
    <mergeCell ref="AY65:BA65"/>
    <mergeCell ref="BB65:BD65"/>
    <mergeCell ref="BE65:BG65"/>
    <mergeCell ref="BH65:BJ65"/>
    <mergeCell ref="BK65:BQ65"/>
    <mergeCell ref="B66:D66"/>
    <mergeCell ref="E66:I66"/>
    <mergeCell ref="J66:P66"/>
    <mergeCell ref="Q66:W66"/>
    <mergeCell ref="X66:AD66"/>
    <mergeCell ref="AE66:AF66"/>
    <mergeCell ref="AG66:AI66"/>
    <mergeCell ref="AJ66:AL66"/>
    <mergeCell ref="AM66:AO66"/>
    <mergeCell ref="AP66:AR66"/>
    <mergeCell ref="AS66:AU66"/>
    <mergeCell ref="AV66:AX66"/>
    <mergeCell ref="AY66:BA66"/>
    <mergeCell ref="BB66:BD66"/>
    <mergeCell ref="BE66:BG66"/>
    <mergeCell ref="BH66:BJ66"/>
    <mergeCell ref="BK66:BQ66"/>
    <mergeCell ref="B67:D67"/>
    <mergeCell ref="E67:I67"/>
    <mergeCell ref="J67:P67"/>
    <mergeCell ref="Q67:W67"/>
    <mergeCell ref="X67:AD67"/>
    <mergeCell ref="AE67:AF67"/>
    <mergeCell ref="AG67:AI67"/>
    <mergeCell ref="AJ67:AL67"/>
    <mergeCell ref="AM67:AO67"/>
    <mergeCell ref="AP67:AR67"/>
    <mergeCell ref="AS67:AU67"/>
    <mergeCell ref="AV67:AX67"/>
    <mergeCell ref="AY67:BA67"/>
    <mergeCell ref="BB67:BD67"/>
    <mergeCell ref="BE67:BG67"/>
    <mergeCell ref="BH67:BJ67"/>
    <mergeCell ref="BK67:BQ67"/>
    <mergeCell ref="B68:D68"/>
    <mergeCell ref="E68:I68"/>
    <mergeCell ref="J68:P68"/>
    <mergeCell ref="Q68:W68"/>
    <mergeCell ref="X68:AD68"/>
    <mergeCell ref="AE68:AF68"/>
    <mergeCell ref="AG68:AI68"/>
    <mergeCell ref="AJ68:AL68"/>
    <mergeCell ref="AM68:AO68"/>
    <mergeCell ref="AP68:AR68"/>
    <mergeCell ref="AS68:AU68"/>
    <mergeCell ref="AV68:AX68"/>
    <mergeCell ref="AY68:BA68"/>
    <mergeCell ref="BB68:BD68"/>
    <mergeCell ref="BE68:BG68"/>
    <mergeCell ref="BH68:BJ68"/>
    <mergeCell ref="BK68:BQ68"/>
    <mergeCell ref="B69:D69"/>
    <mergeCell ref="E69:I69"/>
    <mergeCell ref="J69:P69"/>
    <mergeCell ref="Q69:W69"/>
    <mergeCell ref="X69:AD69"/>
    <mergeCell ref="AE69:AF69"/>
    <mergeCell ref="AG69:AI69"/>
    <mergeCell ref="AJ69:AL69"/>
    <mergeCell ref="AM69:AO69"/>
    <mergeCell ref="AP69:AR69"/>
    <mergeCell ref="AS69:AU69"/>
    <mergeCell ref="AV69:AX69"/>
    <mergeCell ref="AY69:BA69"/>
    <mergeCell ref="BB69:BD69"/>
    <mergeCell ref="BE69:BG69"/>
    <mergeCell ref="BH69:BJ69"/>
    <mergeCell ref="BK69:BQ69"/>
    <mergeCell ref="B70:D70"/>
    <mergeCell ref="E70:I70"/>
    <mergeCell ref="J70:P70"/>
    <mergeCell ref="Q70:W70"/>
    <mergeCell ref="X70:AD70"/>
    <mergeCell ref="AE70:AF70"/>
    <mergeCell ref="AG70:AI70"/>
    <mergeCell ref="AJ70:AL70"/>
    <mergeCell ref="AM70:AO70"/>
    <mergeCell ref="AP70:AR70"/>
    <mergeCell ref="AS70:AU70"/>
    <mergeCell ref="AV70:AX70"/>
    <mergeCell ref="AY70:BA70"/>
    <mergeCell ref="BB70:BD70"/>
    <mergeCell ref="BE70:BG70"/>
    <mergeCell ref="BH70:BJ70"/>
    <mergeCell ref="BK70:BQ70"/>
    <mergeCell ref="A71:BQ71"/>
    <mergeCell ref="B72:D72"/>
    <mergeCell ref="E72:I72"/>
    <mergeCell ref="J72:P72"/>
    <mergeCell ref="Q72:W72"/>
    <mergeCell ref="X72:AD72"/>
    <mergeCell ref="AE72:AF72"/>
    <mergeCell ref="AG72:AI72"/>
    <mergeCell ref="AJ72:AL72"/>
    <mergeCell ref="AM72:AO72"/>
    <mergeCell ref="AP72:AR72"/>
    <mergeCell ref="AS72:AU72"/>
    <mergeCell ref="AV72:AX72"/>
    <mergeCell ref="AY72:BA72"/>
    <mergeCell ref="BB72:BD72"/>
    <mergeCell ref="BE72:BG72"/>
    <mergeCell ref="BH72:BJ72"/>
    <mergeCell ref="BK72:BQ72"/>
    <mergeCell ref="B73:D73"/>
    <mergeCell ref="E73:I73"/>
    <mergeCell ref="J73:P73"/>
    <mergeCell ref="Q73:W73"/>
    <mergeCell ref="X73:AD73"/>
    <mergeCell ref="AE73:AF73"/>
    <mergeCell ref="AG73:AI73"/>
    <mergeCell ref="AJ73:AL73"/>
    <mergeCell ref="AM73:AO73"/>
    <mergeCell ref="AP73:AR73"/>
    <mergeCell ref="AS73:AU73"/>
    <mergeCell ref="AV73:AX73"/>
    <mergeCell ref="AY73:BA73"/>
    <mergeCell ref="BB73:BD73"/>
    <mergeCell ref="BE73:BG73"/>
    <mergeCell ref="BH73:BJ73"/>
    <mergeCell ref="BK73:BQ73"/>
    <mergeCell ref="B74:D74"/>
    <mergeCell ref="E74:I74"/>
    <mergeCell ref="J74:P74"/>
    <mergeCell ref="Q74:W74"/>
    <mergeCell ref="X74:AD74"/>
    <mergeCell ref="AE74:AF74"/>
    <mergeCell ref="AG74:AI74"/>
    <mergeCell ref="AJ74:AL74"/>
    <mergeCell ref="AM74:AO74"/>
    <mergeCell ref="AP74:AR74"/>
    <mergeCell ref="AS74:AU74"/>
    <mergeCell ref="AV74:AX74"/>
    <mergeCell ref="AY74:BA74"/>
    <mergeCell ref="BB74:BD74"/>
    <mergeCell ref="BE74:BG74"/>
    <mergeCell ref="BH74:BJ74"/>
    <mergeCell ref="BK74:BQ74"/>
    <mergeCell ref="B75:D75"/>
    <mergeCell ref="E75:I75"/>
    <mergeCell ref="J75:P75"/>
    <mergeCell ref="Q75:W75"/>
    <mergeCell ref="X75:AD75"/>
    <mergeCell ref="AE75:AF75"/>
    <mergeCell ref="AG75:AI75"/>
    <mergeCell ref="AJ75:AL75"/>
    <mergeCell ref="AM75:AO75"/>
    <mergeCell ref="AP75:AR75"/>
    <mergeCell ref="AS75:AU75"/>
    <mergeCell ref="AV75:AX75"/>
    <mergeCell ref="AY75:BA75"/>
    <mergeCell ref="BB75:BD75"/>
    <mergeCell ref="BE75:BG75"/>
    <mergeCell ref="BH75:BJ75"/>
    <mergeCell ref="BK75:BQ75"/>
    <mergeCell ref="B76:D76"/>
    <mergeCell ref="E76:I76"/>
    <mergeCell ref="J76:P76"/>
    <mergeCell ref="Q76:W76"/>
    <mergeCell ref="X76:AD76"/>
    <mergeCell ref="AE76:AF76"/>
    <mergeCell ref="AG76:AI76"/>
    <mergeCell ref="AJ76:AL76"/>
    <mergeCell ref="AM76:AO76"/>
    <mergeCell ref="AP76:AR76"/>
    <mergeCell ref="AS76:AU76"/>
    <mergeCell ref="AV76:AX76"/>
    <mergeCell ref="AY76:BA76"/>
    <mergeCell ref="BB76:BD76"/>
    <mergeCell ref="BE76:BG76"/>
    <mergeCell ref="BH76:BJ76"/>
    <mergeCell ref="BK76:BQ76"/>
    <mergeCell ref="B77:D77"/>
    <mergeCell ref="E77:I77"/>
    <mergeCell ref="J77:P77"/>
    <mergeCell ref="Q77:W77"/>
    <mergeCell ref="X77:AD77"/>
    <mergeCell ref="AE77:AF77"/>
    <mergeCell ref="AG77:AI77"/>
    <mergeCell ref="AJ77:AL77"/>
    <mergeCell ref="AM77:AO77"/>
    <mergeCell ref="AP77:AR77"/>
    <mergeCell ref="AS77:AU77"/>
    <mergeCell ref="AV77:AX77"/>
    <mergeCell ref="AY77:BA77"/>
    <mergeCell ref="BB77:BD77"/>
    <mergeCell ref="BE77:BG77"/>
    <mergeCell ref="BH77:BJ77"/>
    <mergeCell ref="BK77:BQ77"/>
    <mergeCell ref="B78:D78"/>
    <mergeCell ref="E78:I78"/>
    <mergeCell ref="J78:P78"/>
    <mergeCell ref="Q78:W78"/>
    <mergeCell ref="X78:AD78"/>
    <mergeCell ref="AE78:AF78"/>
    <mergeCell ref="AG78:AI78"/>
    <mergeCell ref="AJ78:AL78"/>
    <mergeCell ref="AM78:AO78"/>
    <mergeCell ref="AP78:AR78"/>
    <mergeCell ref="AS78:AU78"/>
    <mergeCell ref="AV78:AX78"/>
    <mergeCell ref="AY78:BA78"/>
    <mergeCell ref="BB78:BD78"/>
    <mergeCell ref="BE78:BG78"/>
    <mergeCell ref="BH78:BJ78"/>
    <mergeCell ref="BK78:BQ78"/>
    <mergeCell ref="B79:D79"/>
    <mergeCell ref="E79:I79"/>
    <mergeCell ref="J79:P79"/>
    <mergeCell ref="Q79:W79"/>
    <mergeCell ref="X79:AD79"/>
    <mergeCell ref="AE79:AF79"/>
    <mergeCell ref="AG79:AI79"/>
    <mergeCell ref="AJ79:AL79"/>
    <mergeCell ref="AM79:AO79"/>
    <mergeCell ref="AP79:AR79"/>
    <mergeCell ref="AS79:AU79"/>
    <mergeCell ref="AV79:AX79"/>
    <mergeCell ref="AY79:BA79"/>
    <mergeCell ref="BB79:BD79"/>
    <mergeCell ref="BE79:BG79"/>
    <mergeCell ref="BH79:BJ79"/>
    <mergeCell ref="BK79:BQ79"/>
    <mergeCell ref="A80:BQ80"/>
    <mergeCell ref="B81:D81"/>
    <mergeCell ref="E81:I81"/>
    <mergeCell ref="J81:P81"/>
    <mergeCell ref="Q81:W81"/>
    <mergeCell ref="X81:AD81"/>
    <mergeCell ref="AE81:AF81"/>
    <mergeCell ref="AG81:AI81"/>
    <mergeCell ref="AJ81:AL81"/>
    <mergeCell ref="AM81:AO81"/>
    <mergeCell ref="AP81:AR81"/>
    <mergeCell ref="AS81:AU81"/>
    <mergeCell ref="AV81:AX81"/>
    <mergeCell ref="AY81:BA81"/>
    <mergeCell ref="BB81:BD81"/>
    <mergeCell ref="BE81:BG81"/>
    <mergeCell ref="BH81:BJ81"/>
    <mergeCell ref="BK81:BQ81"/>
    <mergeCell ref="B82:D82"/>
    <mergeCell ref="E82:I82"/>
    <mergeCell ref="J82:P82"/>
    <mergeCell ref="Q82:W82"/>
    <mergeCell ref="X82:AD82"/>
    <mergeCell ref="AE82:AF82"/>
    <mergeCell ref="AG82:AI82"/>
    <mergeCell ref="AJ82:AL82"/>
    <mergeCell ref="AM82:AO82"/>
    <mergeCell ref="AP82:AR82"/>
    <mergeCell ref="AS82:AU82"/>
    <mergeCell ref="AV82:AX82"/>
    <mergeCell ref="AY82:BA82"/>
    <mergeCell ref="BB82:BD82"/>
    <mergeCell ref="BE82:BG82"/>
    <mergeCell ref="BH82:BJ82"/>
    <mergeCell ref="BK82:BQ82"/>
    <mergeCell ref="B83:D83"/>
    <mergeCell ref="E83:I83"/>
    <mergeCell ref="J83:P83"/>
    <mergeCell ref="Q83:W83"/>
    <mergeCell ref="X83:AD83"/>
    <mergeCell ref="AE83:AF83"/>
    <mergeCell ref="AG83:AI83"/>
    <mergeCell ref="AJ83:AL83"/>
    <mergeCell ref="AM83:AO83"/>
    <mergeCell ref="AP83:AR83"/>
    <mergeCell ref="AS83:AU83"/>
    <mergeCell ref="AV83:AX83"/>
    <mergeCell ref="AY83:BA83"/>
    <mergeCell ref="BB83:BD83"/>
    <mergeCell ref="BE83:BG83"/>
    <mergeCell ref="BH83:BJ83"/>
    <mergeCell ref="BK83:BQ83"/>
    <mergeCell ref="B84:D84"/>
    <mergeCell ref="E84:I84"/>
    <mergeCell ref="J84:P84"/>
    <mergeCell ref="Q84:W84"/>
    <mergeCell ref="X84:AD84"/>
    <mergeCell ref="AE84:AF84"/>
    <mergeCell ref="AG84:AI84"/>
    <mergeCell ref="AJ84:AL84"/>
    <mergeCell ref="AM84:AO84"/>
    <mergeCell ref="AP84:AR84"/>
    <mergeCell ref="AS84:AU84"/>
    <mergeCell ref="AV84:AX84"/>
    <mergeCell ref="AY84:BA84"/>
    <mergeCell ref="BB84:BD84"/>
    <mergeCell ref="BE84:BG84"/>
    <mergeCell ref="BH84:BJ84"/>
    <mergeCell ref="BK84:BQ84"/>
    <mergeCell ref="B85:D85"/>
    <mergeCell ref="E85:I85"/>
    <mergeCell ref="J85:P85"/>
    <mergeCell ref="Q85:W85"/>
    <mergeCell ref="X85:AD85"/>
    <mergeCell ref="AE85:AF85"/>
    <mergeCell ref="AG85:AI85"/>
    <mergeCell ref="AJ85:AL85"/>
    <mergeCell ref="AM85:AO85"/>
    <mergeCell ref="AP85:AR85"/>
    <mergeCell ref="AS85:AU85"/>
    <mergeCell ref="AV85:AX85"/>
    <mergeCell ref="AY85:BA85"/>
    <mergeCell ref="BB85:BD85"/>
    <mergeCell ref="BE85:BG85"/>
    <mergeCell ref="BH85:BJ85"/>
    <mergeCell ref="BK85:BQ85"/>
    <mergeCell ref="B86:D86"/>
    <mergeCell ref="E86:I86"/>
    <mergeCell ref="J86:P86"/>
    <mergeCell ref="Q86:W86"/>
    <mergeCell ref="X86:AD86"/>
    <mergeCell ref="AE86:AF86"/>
    <mergeCell ref="AG86:AI86"/>
    <mergeCell ref="AJ86:AL86"/>
    <mergeCell ref="AM86:AO86"/>
    <mergeCell ref="AP86:AR86"/>
    <mergeCell ref="AS86:AU86"/>
    <mergeCell ref="AV86:AX86"/>
    <mergeCell ref="AY86:BA86"/>
    <mergeCell ref="BB86:BD86"/>
    <mergeCell ref="BE86:BG86"/>
    <mergeCell ref="BH86:BJ86"/>
    <mergeCell ref="BK86:BQ86"/>
    <mergeCell ref="B87:D87"/>
    <mergeCell ref="E87:I87"/>
    <mergeCell ref="J87:P87"/>
    <mergeCell ref="Q87:W87"/>
    <mergeCell ref="X87:AD87"/>
    <mergeCell ref="AE87:AF87"/>
    <mergeCell ref="AG87:AI87"/>
    <mergeCell ref="AJ87:AL87"/>
    <mergeCell ref="AM87:AO87"/>
    <mergeCell ref="AP87:AR87"/>
    <mergeCell ref="AS87:AU87"/>
    <mergeCell ref="AV87:AX87"/>
    <mergeCell ref="AY87:BA87"/>
    <mergeCell ref="BB87:BD87"/>
    <mergeCell ref="BE87:BG87"/>
    <mergeCell ref="BH87:BJ87"/>
    <mergeCell ref="BK87:BQ87"/>
    <mergeCell ref="B88:D88"/>
    <mergeCell ref="E88:I88"/>
    <mergeCell ref="J88:P88"/>
    <mergeCell ref="Q88:W88"/>
    <mergeCell ref="X88:AD88"/>
    <mergeCell ref="AE88:AF88"/>
    <mergeCell ref="AG88:AI88"/>
    <mergeCell ref="AJ88:AL88"/>
    <mergeCell ref="AM88:AO88"/>
    <mergeCell ref="AP88:AR88"/>
    <mergeCell ref="AS88:AU88"/>
    <mergeCell ref="AV88:AX88"/>
    <mergeCell ref="AY88:BA88"/>
    <mergeCell ref="BB88:BD88"/>
    <mergeCell ref="BE88:BG88"/>
    <mergeCell ref="BH88:BJ88"/>
    <mergeCell ref="BK88:BQ88"/>
    <mergeCell ref="A89:BQ89"/>
    <mergeCell ref="B90:D90"/>
    <mergeCell ref="E90:I90"/>
    <mergeCell ref="J90:P90"/>
    <mergeCell ref="Q90:W90"/>
    <mergeCell ref="X90:AD90"/>
    <mergeCell ref="AE90:AF90"/>
    <mergeCell ref="AG90:AI90"/>
    <mergeCell ref="AJ90:AL90"/>
    <mergeCell ref="AM90:AO90"/>
    <mergeCell ref="AP90:AR90"/>
    <mergeCell ref="AS90:AU90"/>
    <mergeCell ref="AV90:AX90"/>
    <mergeCell ref="AY90:BA90"/>
    <mergeCell ref="BB90:BD90"/>
    <mergeCell ref="BE90:BG90"/>
    <mergeCell ref="BH90:BJ90"/>
    <mergeCell ref="BK90:BQ90"/>
    <mergeCell ref="B91:D91"/>
    <mergeCell ref="E91:I91"/>
    <mergeCell ref="J91:P91"/>
    <mergeCell ref="Q91:W91"/>
    <mergeCell ref="X91:AD91"/>
    <mergeCell ref="AE91:AF91"/>
    <mergeCell ref="AG91:AI91"/>
    <mergeCell ref="AJ91:AL91"/>
    <mergeCell ref="AM91:AO91"/>
    <mergeCell ref="AP91:AR91"/>
    <mergeCell ref="AS91:AU91"/>
    <mergeCell ref="AV91:AX91"/>
    <mergeCell ref="AY91:BA91"/>
    <mergeCell ref="BB91:BD91"/>
    <mergeCell ref="BE91:BG91"/>
    <mergeCell ref="BH91:BJ91"/>
    <mergeCell ref="BK91:BQ91"/>
    <mergeCell ref="B92:D92"/>
    <mergeCell ref="E92:I92"/>
    <mergeCell ref="J92:P92"/>
    <mergeCell ref="Q92:W92"/>
    <mergeCell ref="X92:AD92"/>
    <mergeCell ref="AE92:AF92"/>
    <mergeCell ref="AG92:AI92"/>
    <mergeCell ref="AJ92:AL92"/>
    <mergeCell ref="AM92:AO92"/>
    <mergeCell ref="AP92:AR92"/>
    <mergeCell ref="AS92:AU92"/>
    <mergeCell ref="AV92:AX92"/>
    <mergeCell ref="AY92:BA92"/>
    <mergeCell ref="BB92:BD92"/>
    <mergeCell ref="BE92:BG92"/>
    <mergeCell ref="BH92:BJ92"/>
    <mergeCell ref="BK92:BQ92"/>
    <mergeCell ref="B93:D93"/>
    <mergeCell ref="E93:I93"/>
    <mergeCell ref="J93:P93"/>
    <mergeCell ref="Q93:W93"/>
    <mergeCell ref="X93:AD93"/>
    <mergeCell ref="AE93:AF93"/>
    <mergeCell ref="AG93:AI93"/>
    <mergeCell ref="AJ93:AL93"/>
    <mergeCell ref="AM93:AO93"/>
    <mergeCell ref="AP93:AR93"/>
    <mergeCell ref="AS93:AU93"/>
    <mergeCell ref="AV93:AX93"/>
    <mergeCell ref="AY93:BA93"/>
    <mergeCell ref="BB93:BD93"/>
    <mergeCell ref="BE93:BG93"/>
    <mergeCell ref="BH93:BJ93"/>
    <mergeCell ref="BK93:BQ93"/>
    <mergeCell ref="B94:D94"/>
    <mergeCell ref="E94:I94"/>
    <mergeCell ref="J94:P94"/>
    <mergeCell ref="Q94:W94"/>
    <mergeCell ref="X94:AD94"/>
    <mergeCell ref="AE94:AF94"/>
    <mergeCell ref="AG94:AI94"/>
    <mergeCell ref="AJ94:AL94"/>
    <mergeCell ref="AM94:AO94"/>
    <mergeCell ref="AP94:AR94"/>
    <mergeCell ref="AS94:AU94"/>
    <mergeCell ref="AV94:AX94"/>
    <mergeCell ref="AY94:BA94"/>
    <mergeCell ref="BB94:BD94"/>
    <mergeCell ref="BE94:BG94"/>
    <mergeCell ref="BH94:BJ94"/>
    <mergeCell ref="BK94:BQ94"/>
    <mergeCell ref="B95:D95"/>
    <mergeCell ref="E95:I95"/>
    <mergeCell ref="J95:P95"/>
    <mergeCell ref="Q95:W95"/>
    <mergeCell ref="X95:AD95"/>
    <mergeCell ref="AE95:AF95"/>
    <mergeCell ref="AG95:AI95"/>
    <mergeCell ref="AJ95:AL95"/>
    <mergeCell ref="AM95:AO95"/>
    <mergeCell ref="AP95:AR95"/>
    <mergeCell ref="AS95:AU95"/>
    <mergeCell ref="AV95:AX95"/>
    <mergeCell ref="AY95:BA95"/>
    <mergeCell ref="BB95:BD95"/>
    <mergeCell ref="BE95:BG95"/>
    <mergeCell ref="BH95:BJ95"/>
    <mergeCell ref="BK95:BQ95"/>
    <mergeCell ref="B96:D96"/>
    <mergeCell ref="E96:I96"/>
    <mergeCell ref="J96:P96"/>
    <mergeCell ref="Q96:W96"/>
    <mergeCell ref="X96:AD96"/>
    <mergeCell ref="AE96:AF96"/>
    <mergeCell ref="AG96:AI96"/>
    <mergeCell ref="AJ96:AL96"/>
    <mergeCell ref="AM96:AO96"/>
    <mergeCell ref="AP96:AR96"/>
    <mergeCell ref="AS96:AU96"/>
    <mergeCell ref="AV96:AX96"/>
    <mergeCell ref="AY96:BA96"/>
    <mergeCell ref="BB96:BD96"/>
    <mergeCell ref="BE96:BG96"/>
    <mergeCell ref="BH96:BJ96"/>
    <mergeCell ref="BK96:BQ96"/>
    <mergeCell ref="A10:A11"/>
    <mergeCell ref="BK10:BQ11"/>
    <mergeCell ref="B10:D11"/>
    <mergeCell ref="E10:I11"/>
    <mergeCell ref="J10:P11"/>
    <mergeCell ref="Q10:W11"/>
    <mergeCell ref="X10:AD11"/>
    <mergeCell ref="AE10:AF11"/>
  </mergeCells>
  <dataValidations count="3">
    <dataValidation type="list" allowBlank="1" sqref="F1">
      <formula1>"単体テスト,結合テスト,システムテスト"</formula1>
    </dataValidation>
    <dataValidation type="list" allowBlank="1" sqref="AV67 AG13:AG17 AG19:AG24 AG26:AG29 AG31:AG70 AG72:AG79 AG81:AG88 AG90:AG96 AV13:AV17 AV19:AV24 AV26:AV29 AV31:AV66 AV68:AV70 AV72:AV79 AV81:AV88 AV90:AV96">
      <formula1>"合格,不合格,未テスト,N/A"</formula1>
    </dataValidation>
    <dataValidation type="list" allowBlank="1" sqref="AE13:AE17 AE19:AE24 AE26:AE29 AE31:AE70 AE72:AE79 AE81:AE88 AE90:AE96">
      <formula1>"N,A,B"</formula1>
    </dataValidation>
  </dataValidation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表紙</vt:lpstr>
      <vt:lpstr>変更履歴</vt:lpstr>
      <vt:lpstr>概要</vt:lpstr>
      <vt:lpstr>テスト報告書</vt:lpstr>
      <vt:lpstr>テスト観点</vt:lpstr>
      <vt:lpstr>機能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anh.vuquang</cp:lastModifiedBy>
  <dcterms:created xsi:type="dcterms:W3CDTF">2026-05-13T04:01:00Z</dcterms:created>
  <dcterms:modified xsi:type="dcterms:W3CDTF">2026-08-28T10:20:33Z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F7FCD2DDA4944B99BB4E2D2E67724CCD_12</vt:lpwstr>
  </property>
  <property fmtid="{D5CDD505-2E9C-101B-9397-08002B2CF9AE}" pid="3" name="KSOProductBuildVer">
    <vt:lpwstr>1033-12.1.0.28032</vt:lpwstr>
  </property>
  <property fmtid="{D5CDD505-2E9C-101B-9397-08002B2CF9AE}" pid="4" name="CalculationRule">
    <vt:i4>0</vt:i4>
  </property>
</Properties>
</file>