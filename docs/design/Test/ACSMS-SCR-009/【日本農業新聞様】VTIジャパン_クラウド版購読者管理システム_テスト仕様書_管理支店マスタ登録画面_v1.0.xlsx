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概要" sheetId="3" r:id="rId6"/>
    <sheet state="visible" name="テスト報告書" sheetId="4" r:id="rId7"/>
    <sheet state="visible" name="テスト観点" sheetId="5" r:id="rId8"/>
    <sheet state="visible" name="機能" sheetId="6" r:id="rId9"/>
  </sheets>
  <definedNames/>
  <calcPr/>
  <extLst>
    <ext uri="GoogleSheetsCustomDataVersion2">
      <go:sheetsCustomData xmlns:go="http://customooxmlschemas.google.com/" r:id="rId10" roundtripDataChecksum="Ueeaxpo2xCeRTZuCVx7TPqeKbKocPqm7EWk/oQdhLgI="/>
    </ext>
  </extLst>
</workbook>
</file>

<file path=xl/sharedStrings.xml><?xml version="1.0" encoding="utf-8"?>
<sst xmlns="http://schemas.openxmlformats.org/spreadsheetml/2006/main" count="1155" uniqueCount="615">
  <si>
    <t>項番</t>
  </si>
  <si>
    <t>システム・アプリケーション名</t>
  </si>
  <si>
    <t>&lt;単体/結合/システム&gt; テスト報告書</t>
  </si>
  <si>
    <t>発行日</t>
  </si>
  <si>
    <t>ドキュメント</t>
  </si>
  <si>
    <t>バージョン</t>
  </si>
  <si>
    <t>シート名</t>
  </si>
  <si>
    <t>担当者</t>
  </si>
  <si>
    <t>作成日</t>
  </si>
  <si>
    <t>変更内容</t>
  </si>
  <si>
    <t>作成者</t>
  </si>
  <si>
    <t>更新日</t>
  </si>
  <si>
    <t>確認者</t>
  </si>
  <si>
    <t>更新者</t>
  </si>
  <si>
    <t>プロジェクト名</t>
  </si>
  <si>
    <t>承認者</t>
  </si>
  <si>
    <t>クラウド版購読者管理システム</t>
  </si>
  <si>
    <t>2026-05-14</t>
  </si>
  <si>
    <t>1.0</t>
  </si>
  <si>
    <t>テスト仕様書</t>
  </si>
  <si>
    <t>プロジェクトマネージャ</t>
  </si>
  <si>
    <t>Kieu Thi Diem</t>
  </si>
  <si>
    <t>概要</t>
  </si>
  <si>
    <t>Tạo mới</t>
  </si>
  <si>
    <t>2026/05/14</t>
  </si>
  <si>
    <t>Nguyen Huy Dat</t>
  </si>
  <si>
    <t>管理支店マスタ登録画面</t>
  </si>
  <si>
    <t>版1.0</t>
  </si>
  <si>
    <t>1.システム概要</t>
  </si>
  <si>
    <t>本システムは、JA向けのクラウド型読者管理システムであり、</t>
  </si>
  <si>
    <t>購読者情報の管理、購読履歴の管理、口座振替データの管理などの機能を提供する。</t>
  </si>
  <si>
    <t>#</t>
  </si>
  <si>
    <t>フォーマットコード</t>
  </si>
  <si>
    <t>主な機能として、購読者情報の登録・更新・検索、</t>
  </si>
  <si>
    <t>機能名</t>
  </si>
  <si>
    <t>購読内容の変更履歴管理、口座振替データの作成および管理、</t>
  </si>
  <si>
    <t>ファイルのアップロード・ダウンロード機能、システムのお知らせ管理などを提供する。</t>
  </si>
  <si>
    <t>16-BM/PM/VTI</t>
  </si>
  <si>
    <t>また、ユーザーのログイン管理、ログイン履歴の記録、</t>
  </si>
  <si>
    <t>テストケース分類</t>
  </si>
  <si>
    <t>ユーザー操作ログの記録などのセキュリティ・監査機能をサポートする。</t>
  </si>
  <si>
    <t>2.資料目的</t>
  </si>
  <si>
    <t>フォーマットバージョン</t>
  </si>
  <si>
    <t>Tài liệu này mô tả chi tiết test specification cho "Màn hình đăng ký Master Chi nhánh Quản lý (ACSMS-SCR-009)" được tạo mới trên hệ thống. Tài liệu tham khảo ISTQB và IEEE 829, đảm bảo các tiêu chuẩn chất lượng sau.</t>
  </si>
  <si>
    <t>合計</t>
  </si>
  <si>
    <t>テスト結果</t>
  </si>
  <si>
    <t>- Mỗi test case được tạo dựa trên một kịch bản duy nhất (single responsibility).</t>
  </si>
  <si>
    <t>正常</t>
  </si>
  <si>
    <t>異常</t>
  </si>
  <si>
    <t>境界</t>
  </si>
  <si>
    <t>- Mô tả các bước với độ mịn có thể tái hiện được, chỉ rõ test data.</t>
  </si>
  <si>
    <t>合格</t>
  </si>
  <si>
    <t>不合格</t>
  </si>
  <si>
    <t>未テスト</t>
  </si>
  <si>
    <t>N/A</t>
  </si>
  <si>
    <t>進捗（%）</t>
  </si>
  <si>
    <t>- Kỳ vọng kết quả phải đo lường được (nội dung message, kết quả query DB, HTTP status code...).</t>
  </si>
  <si>
    <t>テスト1回目</t>
  </si>
  <si>
    <t>- Đặt mức độ ưu tiên (P0: Release blocker / P1: Cao / P2: Trung bình).</t>
  </si>
  <si>
    <t>機能</t>
  </si>
  <si>
    <t>3.関連資料</t>
  </si>
  <si>
    <t>No</t>
  </si>
  <si>
    <t>資料コード</t>
  </si>
  <si>
    <t>資料名</t>
  </si>
  <si>
    <t>ACSMS-SCR-009</t>
  </si>
  <si>
    <t>Tài liệu thiết kế Màn hình đăng ký Master Chi nhánh Quản lý</t>
  </si>
  <si>
    <t>ACSMS-SCR-009-api</t>
  </si>
  <si>
    <t>Tài liệu thiết kế API đăng ký Chi nhánh Quản lý</t>
  </si>
  <si>
    <t>testcase-viewpoints</t>
  </si>
  <si>
    <t>Danh sách quan điểm test chung toàn hệ thống</t>
  </si>
  <si>
    <t>テスト2回目</t>
  </si>
  <si>
    <t>テスト観点</t>
  </si>
  <si>
    <t>1. テスト観点一覧</t>
  </si>
  <si>
    <t>観点ID</t>
  </si>
  <si>
    <t>大分類</t>
  </si>
  <si>
    <t>観点名</t>
  </si>
  <si>
    <t>リスク</t>
  </si>
  <si>
    <t>対象画面範囲</t>
  </si>
  <si>
    <t>TC見積</t>
  </si>
  <si>
    <t>VP-A-01</t>
  </si>
  <si>
    <t>A. セキュリティ・権限</t>
  </si>
  <si>
    <t>ロール別権限制御（RBAC gate）</t>
  </si>
  <si>
    <t>高</t>
  </si>
  <si>
    <t>約25保護画面</t>
  </si>
  <si>
    <t>VP-A-02</t>
  </si>
  <si>
    <t>データ範囲（DataScope）</t>
  </si>
  <si>
    <t>約20一覧／詳細画面</t>
  </si>
  <si>
    <t>VP-A-03</t>
  </si>
  <si>
    <t>項目レベル制限（Field-level restriction）</t>
  </si>
  <si>
    <t>5マスタ</t>
  </si>
  <si>
    <t>VP-A-04</t>
  </si>
  <si>
    <t>URL直接アクセス攻撃</t>
  </si>
  <si>
    <t>VP-A-05</t>
  </si>
  <si>
    <t>セッション失効／401 ハンドリング</t>
  </si>
  <si>
    <t>全システム</t>
  </si>
  <si>
    <t>VP-A-06</t>
  </si>
  <si>
    <t>XSS／HTML 描画安全性</t>
  </si>
  <si>
    <t>約20フォーム</t>
  </si>
  <si>
    <t>VP-A-07</t>
  </si>
  <si>
    <t>CSRF／Cookie セキュリティフラグ</t>
  </si>
  <si>
    <t>VP-A-08</t>
  </si>
  <si>
    <t>レート制限・Throttling</t>
  </si>
  <si>
    <t>中</t>
  </si>
  <si>
    <t>全公開API＋認証エンドポイント</t>
  </si>
  <si>
    <t>テストレベル</t>
  </si>
  <si>
    <t>結合テスト</t>
  </si>
  <si>
    <t>VP-A-09</t>
  </si>
  <si>
    <t>機能／モジュール</t>
  </si>
  <si>
    <t>ACSMS-SCR-009_管理支店マスタ登録画面</t>
  </si>
  <si>
    <t>アカウントロック・解除運用</t>
  </si>
  <si>
    <t>SCR-001／002＋管理機能</t>
  </si>
  <si>
    <t>VP-A-10</t>
  </si>
  <si>
    <t>SQL インジェクション</t>
  </si>
  <si>
    <t>約20フォーム＋検索</t>
  </si>
  <si>
    <t>VP-B-01</t>
  </si>
  <si>
    <t>確認日</t>
  </si>
  <si>
    <t>B. データバリデーション</t>
  </si>
  <si>
    <t>必須項目チェック</t>
  </si>
  <si>
    <t>テスト環境</t>
  </si>
  <si>
    <t>約25フォーム</t>
  </si>
  <si>
    <t>Windows 10/11, Chrome, Edge</t>
  </si>
  <si>
    <t>VP-B-02</t>
  </si>
  <si>
    <t>最小／最大長境界</t>
  </si>
  <si>
    <t>分類</t>
  </si>
  <si>
    <t>VP-B-03</t>
  </si>
  <si>
    <t>形式正規表現（郵便／電話／コード）</t>
  </si>
  <si>
    <t>回目</t>
  </si>
  <si>
    <t>境界値</t>
  </si>
  <si>
    <t>VP-B-04</t>
  </si>
  <si>
    <t>半角／全角ハンドリング</t>
  </si>
  <si>
    <t>VP-B-05</t>
  </si>
  <si>
    <t>1回目</t>
  </si>
  <si>
    <t>日付ロジック</t>
  </si>
  <si>
    <t>約10日付付きフォーム</t>
  </si>
  <si>
    <t>VP-B-06</t>
  </si>
  <si>
    <t>通貨／パーセント形式</t>
  </si>
  <si>
    <t>2-3フォーム（単価）</t>
  </si>
  <si>
    <t>VP-B-07</t>
  </si>
  <si>
    <t>マスタコード（m_code）参照</t>
  </si>
  <si>
    <t>約15ドロップダウン付きフォーム</t>
  </si>
  <si>
    <t>VP-B-08</t>
  </si>
  <si>
    <t>キー重複（duplicate code）</t>
  </si>
  <si>
    <t>約10マスタ</t>
  </si>
  <si>
    <t>2回目</t>
  </si>
  <si>
    <t>VP-B-09</t>
  </si>
  <si>
    <t>IME・全角入力・貼付ハンドリング</t>
  </si>
  <si>
    <t>全テキスト入力フォーム＋検索画面</t>
  </si>
  <si>
    <t>VP-C-01</t>
  </si>
  <si>
    <t>C. 業務ロジック</t>
  </si>
  <si>
    <t>CRUD 正常系 + DB 永続化</t>
  </si>
  <si>
    <t>VP-C-02</t>
  </si>
  <si>
    <t>要件ID</t>
  </si>
  <si>
    <t>同時編集競合</t>
  </si>
  <si>
    <t>説明</t>
  </si>
  <si>
    <t>約8編集画面</t>
  </si>
  <si>
    <t>前提条件</t>
  </si>
  <si>
    <t>ステップ／手順</t>
  </si>
  <si>
    <t>期待結果／アウトプット</t>
  </si>
  <si>
    <t>種類</t>
  </si>
  <si>
    <t>VP-C-03</t>
  </si>
  <si>
    <t>テスト1回目の結果</t>
  </si>
  <si>
    <t>論理削除 + FK 関連</t>
  </si>
  <si>
    <t>テスト2回目の結果</t>
  </si>
  <si>
    <t>約6関連付きマスタ</t>
  </si>
  <si>
    <t>備考</t>
  </si>
  <si>
    <t>VP-C-04</t>
  </si>
  <si>
    <t>税込／税抜計算</t>
  </si>
  <si>
    <t>結果</t>
  </si>
  <si>
    <t>実績／
アウトプット</t>
  </si>
  <si>
    <t>単価マスタ</t>
  </si>
  <si>
    <t>VP-C-05</t>
  </si>
  <si>
    <t>確認日付
（MM/DD）</t>
  </si>
  <si>
    <t>バグID</t>
  </si>
  <si>
    <t>購読者種別ルール（読み取り専用）</t>
  </si>
  <si>
    <t>購読者マスタ</t>
  </si>
  <si>
    <t>VP-C-06</t>
  </si>
  <si>
    <t>Kiểm soát quyền truy cập (Access Control)</t>
  </si>
  <si>
    <t>Excel取込 部分成功</t>
  </si>
  <si>
    <t>2取込画面</t>
  </si>
  <si>
    <t>VP-C-07</t>
  </si>
  <si>
    <t>販売店一括置換</t>
  </si>
  <si>
    <t>ACSMS-TC-009-001</t>
  </si>
  <si>
    <t>Truy cập màn đăng ký Master Chi nhánh Quản lý bởi NICHINO_ADMIN (Normal)</t>
  </si>
  <si>
    <t>・role: NICHINO_ADMIN
・Đã login + đã xác thực MFA
・Có quyền `kanri_shiten.view` / `kanri_shiten.create` / `kanri_shiten.update`</t>
  </si>
  <si>
    <t>一括置換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</si>
  <si>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Mở dashboard, kiểm tra item "管理支店マスタ" trên sidebar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Click item "管理支店マスタ", mở màn list `/kanri-shiten`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Click button "新規登録", mở màn `/kanri-shiten/create`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>Dùng DevTools gửi POST `/api/v1/kanri-shiten` với request body hợp lệ</t>
    </r>
  </si>
  <si>
    <t>VP-C-08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</si>
  <si>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Item "管理支店マスタ" được hiển thị trên sidebar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Màn hình tìm kiếm chi tiết Master Chi nhánh Quản lý được hiển thị (hiển thị record chi nhánh quản lý dưới toàn bộ JA)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Màn đăng ký Master Chi nhánh Quản lý được hiển thị (form ở trạng thái có thể nhập)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 xml:space="preserve">Trả về HTTP 201 (`message: 登録しました。`, thêm 1 row vào `m_kanri_shiten`)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>・NICHINO_ADMIN có thể thực hiện toàn bộ chức năng Master Chi nhánh Quản lý (xem/đăng ký/cập nhật/xóa)
・Không có giới hạn data scope (truy cập được Chi nhánh Quản lý của toàn bộ JA)</t>
    </r>
  </si>
  <si>
    <t>レポート集計の正確性</t>
  </si>
  <si>
    <t>N</t>
  </si>
  <si>
    <t>3レポート</t>
  </si>
  <si>
    <t>diem.kieuthi</t>
  </si>
  <si>
    <t>VP-D-01</t>
  </si>
  <si>
    <t>D. 統合・システム</t>
  </si>
  <si>
    <t>ログイン + MFA フロー</t>
  </si>
  <si>
    <t>mai.tranthi1</t>
  </si>
  <si>
    <t>SCR-001／002</t>
  </si>
  <si>
    <t>ACSMS-TC-009-002</t>
  </si>
  <si>
    <t>Cấm truy cập màn đăng ký Master Chi nhánh Quản lý bởi NICHINO_STAFF</t>
  </si>
  <si>
    <t>・role: NICHINO_STAFF
・Đã login + đã xác thực MFA
・Không có quyền `kanri_shiten.view` / `kanri_shiten.create`</t>
  </si>
  <si>
    <t>VP-D-02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</si>
  <si>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Mở dashboard, kiểm tra item "管理支店マスタ" trên sidebar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Nhập `/kanri-shiten/create` vào address bar trình duyệt, truy cập trực tiếp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Từ Console DevTools gửi POST `/api/v1/kanri-shiten` với request body hợp lệ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>Kiểm tra DB: `SELECT * FROM t_log WHERE result_status = 2 AND target_table = 'm_kanri_shiten' ORDER BY log_datetime DESC LIMIT 1`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</si>
  <si>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Item "管理支店マスタ" không được hiển thị trên sidebar (do không có quyền `kanri_shiten.view`)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Hiển thị toast `アクセス権がありません。` + chuyển về `/dashboard`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Trả về HTTP 403 (`error_code: FORBIDDEN`, message `この画面へのアクセス権限がありません。`)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Có ≥1 dòng error log được ghi, `account_id` khớp với test account, không có row mới được thêm vào `m_kanri_shiten`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・Cả 3 tầng FE menu / FE router guard / BE API guard đều block truy cập
</t>
    </r>
    <r>
      <rPr>
        <rFont val="メイリオ"/>
        <color rgb="FF000000"/>
        <sz val="10.0"/>
      </rPr>
      <t>・Theo ma trận account_concept.md, Master Chi nhánh Quản lý chỉ NICHINO_ADMIN thao tác được. NICHINO_STAFF không thuộc đối tượng.</t>
    </r>
  </si>
  <si>
    <t>セッションスライディング 24h</t>
  </si>
  <si>
    <t>A</t>
  </si>
  <si>
    <t>VP-D-03</t>
  </si>
  <si>
    <t>パスワード再発行フロー</t>
  </si>
  <si>
    <t>SCR-007</t>
  </si>
  <si>
    <t>VP-D-04</t>
  </si>
  <si>
    <t>Critical — Nếu fail, đồng nghĩa với việc bypass RBAC, xử lý như security incident.</t>
  </si>
  <si>
    <t>ACSMS-TC-009-003</t>
  </si>
  <si>
    <t>監査ログの完全性</t>
  </si>
  <si>
    <t>Cấm truy cập màn đăng ký Master Chi nhánh Quản lý bởi CHUOKAI</t>
  </si>
  <si>
    <t>・role: CHUOKAI (thuộc chuokai-001)
・Đã login + đã xác thực MFA
・Không có quyền `kanri_shiten.view`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</si>
  <si>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Mở dashboard, kiểm tra item "管理支店マスタ" trên sidebar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Truy cập trực tiếp URL `/kanri-shiten/create`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>Từ Console DevTools gọi trực tiếp POST `/api/v1/kanri-shiten`</t>
    </r>
  </si>
  <si>
    <t>VP-D-05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</si>
  <si>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Item "管理支店マスタ" không được hiển thị trên sidebar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Hiển thị toast `アクセス権がありません。` + chuyển về `/dashboard`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Trả về HTTP 403 (`error_code: FORBIDDEN`, message `この画面へのアクセス権限がありません。`)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>・Theo ma trận account_concept.md, Master Chi nhánh Quản lý chỉ NICHINO_ADMIN thao tác được. CHUOKAI không thuộc đối tượng.
・Không có thay đổi DB, có ghi error log</t>
    </r>
  </si>
  <si>
    <t>ファイルアップロード S3</t>
  </si>
  <si>
    <t>SCR-022</t>
  </si>
  <si>
    <t>VP-D-06</t>
  </si>
  <si>
    <t>メール通知</t>
  </si>
  <si>
    <t>SCR-001／007／お知らせ</t>
  </si>
  <si>
    <t>VP-D-07</t>
  </si>
  <si>
    <t>ACSMS-TC-009-004</t>
  </si>
  <si>
    <t>外部 CSV 形式準拠</t>
  </si>
  <si>
    <t>Cấm truy cập màn đăng ký Master Chi nhánh Quản lý bởi JA_HONTEN</t>
  </si>
  <si>
    <t>・role: JA_HONTEN (thuộc ja-001)
・Đã login + đã xác thực MFA
・Không có quyền `kanri_shiten.view`</t>
  </si>
  <si>
    <t>SCR-008／009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</si>
  <si>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Kiểm tra item "管理支店マスタ" trên sidebar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Truy cập trực tiếp URL `/kanri-shiten`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Truy cập trực tiếp URL `/kanri-shiten/1/edit` (record của JA khác)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>Từ Console DevTools gọi trực tiếp PUT `/api/v1/kanri-shiten/1`</t>
    </r>
  </si>
  <si>
    <t>VP-D-08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</si>
  <si>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Item "管理支店マスタ" không được hiển thị trên sidebar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Hiển thị toast `アクセス権がありません。` + chuyển về `/dashboard`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Hiển thị toast `アクセス権がありません。` + chuyển về `/dashboard`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Trả về HTTP 403 (`error_code: FORBIDDEN`, message `この画面へのアクセス権限がありません。`)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・Theo ma trận account_concept.md, Master Chi nhánh Quản lý chỉ NICHINO_ADMIN thao tác được. JA_HONTEN không thuộc đối tượng.
</t>
    </r>
    <r>
      <rPr>
        <rFont val="メイリオ"/>
        <color rgb="FF000000"/>
        <sz val="10.0"/>
      </rPr>
      <t>・Cả 3 tầng đều block truy cập</t>
    </r>
  </si>
  <si>
    <t>ネットワーク／500／タイムアウト</t>
  </si>
  <si>
    <t>VP-D-09</t>
  </si>
  <si>
    <t>パスワード再発行 旧token無効化＋クールダウン</t>
  </si>
  <si>
    <t>VP-E-01</t>
  </si>
  <si>
    <t>E. 非機能・ユーザビリティ</t>
  </si>
  <si>
    <t>ACSMS-TC-009-005</t>
  </si>
  <si>
    <t>レイアウト／デザイントークン</t>
  </si>
  <si>
    <t>Cấm truy cập màn đăng ký Master Chi nhánh Quản lý bởi JA_KANRI_SHITEN</t>
  </si>
  <si>
    <t>低</t>
  </si>
  <si>
    <t>・role: JA_KANRI_SHITEN (thuộc ja-001 / branch-001)
・Đã login + đã xác thực MFA
・Không có quyền `kanri_shiten.view`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</si>
  <si>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Kiểm tra item "管理支店マスタ" trên sidebar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Truy cập trực tiếp URL `/kanri-shiten`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Truy cập trực tiếp URL `/kanri-shiten/create`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>Từ Console DevTools gọi trực tiếp GET `/api/v1/kanri-shiten`</t>
    </r>
  </si>
  <si>
    <t>全画面</t>
  </si>
  <si>
    <t>VP-E-02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</si>
  <si>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Item "管理支店マスタ" không được hiển thị trên sidebar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Hiển thị toast `アクセス権がありません。` + chuyển về `/dashboard`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Hiển thị toast `アクセス権がありません。` + chuyển về `/dashboard`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Trả về HTTP 403 (`error_code: FORBIDDEN`, message `この画面へのアクセス権限がありません。`)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・Theo ma trận account_concept.md, Master Chi nhánh Quản lý chỉ NICHINO_ADMIN thao tác được. JA_KANRI_SHITEN không thuộc đối tượng.
</t>
    </r>
    <r>
      <rPr>
        <rFont val="メイリオ"/>
        <color rgb="FF000000"/>
        <sz val="10.0"/>
      </rPr>
      <t>・Đối với tấn công truy cập URL trực tiếp, BE API guard chặn được</t>
    </r>
  </si>
  <si>
    <t>レスポンシブ（モバイル／タブレット）</t>
  </si>
  <si>
    <t>VP-E-03</t>
  </si>
  <si>
    <t>キーボード操作</t>
  </si>
  <si>
    <t>(なし)
---</t>
  </si>
  <si>
    <t>VP-E-04</t>
  </si>
  <si>
    <t>Hiển thị màn hình &amp; Responsive (Layout &amp; Responsive)</t>
  </si>
  <si>
    <t>ブラウザ互換性</t>
  </si>
  <si>
    <t>VP-E-05</t>
  </si>
  <si>
    <t>マルチタブセッション同期</t>
  </si>
  <si>
    <t>ACSMS-TC-009-006</t>
  </si>
  <si>
    <t>Layout tổng thể màn đăng ký khớp với thiết kế</t>
  </si>
  <si>
    <t>・role: NICHINO_ADMIN
・Trình duyệt: Chrome (latest), độ phân giải 1920×1080</t>
  </si>
  <si>
    <t>VP-E-07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</si>
  <si>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Click "管理支店マスタ" → button "新規登録"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So sánh tài liệu thiết kế (screen-design.md / index.html) với màn hình hiển thị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vị trí từng phần tử (title bar, layout form, layout button)</t>
    </r>
  </si>
  <si>
    <t>未保存変更ガード・ブラウザ離脱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</si>
  <si>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Màn `/kanri-shiten/create`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Màu nền, font, font size, padding/margin, màu button, style ô input đều khớp với thiết kế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Được hiển thị đúng theo thiết kế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・Không có sai khác hình ảnh so với thiết kế
</t>
    </r>
    <r>
      <rPr>
        <rFont val="メイリオ"/>
        <color rgb="FF000000"/>
        <sz val="10.0"/>
      </rPr>
      <t>・Design tokens (`design-tokens.ts`) được áp dụng (không có màu hardcode)</t>
    </r>
  </si>
  <si>
    <t>全 CRUD 編集フォーム</t>
  </si>
  <si>
    <t>VP-F-01</t>
  </si>
  <si>
    <t>F. 性能</t>
  </si>
  <si>
    <t>性能ベンチマーク</t>
  </si>
  <si>
    <t>全画面パフォーマンス計測対象</t>
  </si>
  <si>
    <t>VP-F-02</t>
  </si>
  <si>
    <t>大量データ表示性能</t>
  </si>
  <si>
    <t>一覧／レポート画面</t>
  </si>
  <si>
    <t>ACSMS-TC-009-007</t>
  </si>
  <si>
    <t>Layout tổng thể màn chỉnh sửa khớp với thiết kế</t>
  </si>
  <si>
    <t>・role: NICHINO_ADMIN
・Tồn tại record chi nhánh quản lý `kanri_shiten_id = 1`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</si>
  <si>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Tại màn list chi nhánh quản lý, click cột mã chi nhánh quản lý của record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So sánh với thiết kế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</si>
  <si>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Màn `/kanri-shiten/1/edit` được hiển thị, giá trị cũ được hiển thị trên form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Layout giống màn đăng ký + có trạng thái disable phù hợp (mã chi nhánh quản lý / tên JA bị disable)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・Màn chỉnh sửa có tính nhất quán hình ảnh tương đương màn đăng ký</t>
    </r>
  </si>
  <si>
    <t>2. 観点ID 命名規約・グループ凡例</t>
  </si>
  <si>
    <t>グループ</t>
  </si>
  <si>
    <t>接頭辞</t>
  </si>
  <si>
    <t>名称</t>
  </si>
  <si>
    <t>観点数</t>
  </si>
  <si>
    <t>リスク傾向</t>
  </si>
  <si>
    <t>代表的なテスト観点</t>
  </si>
  <si>
    <t>ACSMS-TC-009-008</t>
  </si>
  <si>
    <t>Responsive — Breakpoint PC / Tablet / Mobile</t>
  </si>
  <si>
    <t>・Đang ở trạng thái mở màn đăng ký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</si>
  <si>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Set kích thước cửa sổ thành 1920×1080 (PC)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Đổi thành 768×1024 (Tablet)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Đổi thành 375×667 (Mobile)</t>
    </r>
  </si>
  <si>
    <t>VP-A-NN</t>
  </si>
  <si>
    <t>セキュリティ・権限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</si>
  <si>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Sidebar hiển thị cố định, form được hiển thị với layout 3 cột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Sidebar gấp gọn, layout form được giữ nguyên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Sidebar hiển thị overlay, phần tử form xếp dọc, không phát sinh scroll ngang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・Không vỡ layout ở cả 3 breakpoint, không phát sinh scroll ngang
</t>
    </r>
    <r>
      <rPr>
        <rFont val="メイリオ"/>
        <color rgb="FF000000"/>
        <sz val="10.0"/>
      </rPr>
      <t>・Toàn bộ phần tử form đều thao tác được</t>
    </r>
  </si>
  <si>
    <t>RBAC、DataScope、項目レベル制限、URL直接攻撃、セッション失効、XSS、CSRF、レート制限、アカウントロック、SQL注入</t>
  </si>
  <si>
    <t>B</t>
  </si>
  <si>
    <t>VP-B-NN</t>
  </si>
  <si>
    <t>ACSMS-TC-009-009</t>
  </si>
  <si>
    <t>データバリデーション</t>
  </si>
  <si>
    <t>Hiển thị phần tử form — Textbox / Dropdown / Checkbox / Button đúng theo thiết kế</t>
  </si>
  <si>
    <t>必須／長さ／形式／半角全角／日付／通貨／m_code／重複キー／IME・貼付ハンドリング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</si>
  <si>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Kiểm tra placeholder, format, trạng thái (active / focus / disable) của từng textbox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hiển thị dropdown tên JA / 都道府県 và checkbox cờ bản giấy / cờ bản điện tử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kích thước, vị trí, màu button "登録" / "前の画面に戻る"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</si>
  <si>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Đúng theo thiết kế — placeholder khớp, khi focus thì màu viền đổi, khi disable thì hiển thị xám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Tên JA là dropdown có placeholder "JAを選択してください", 都道府県 là dropdown có placeholder "選択してください" và hiển thị 47 都道府県 làm lựa chọn, cờ bản giấy / điện tử được hiển thị ở trạng thái chưa check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Đúng theo thiết kế. Button đăng ký là primary (xanh), button quay lại là secondary (trắng), căn trái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・Toàn bộ phần tử form khớp hoàn toàn với thiết kế</t>
    </r>
  </si>
  <si>
    <t>C</t>
  </si>
  <si>
    <t>VP-C-NN</t>
  </si>
  <si>
    <t>業務ロジック</t>
  </si>
  <si>
    <t>CRUD 永続化、同時編集競合、論理削除＋FK、税計算、購読者ルール、Excel 取込、レポート集計</t>
  </si>
  <si>
    <t>D</t>
  </si>
  <si>
    <t>VP-D-NN</t>
  </si>
  <si>
    <t>統合・システム</t>
  </si>
  <si>
    <t>ログイン＋MFA、セッション管理、パスワード再発行、監査ログ、S3、メール、CSV 準拠、ネットワーク／500</t>
  </si>
  <si>
    <t>E</t>
  </si>
  <si>
    <t>ACSMS-TC-009-010</t>
  </si>
  <si>
    <t>Tab order và thao tác bàn phím (Tab / Enter)</t>
  </si>
  <si>
    <t>VP-E-NN</t>
  </si>
  <si>
    <t>・Đang ở trạng thái mở màn đăng ký, focus ở body</t>
  </si>
  <si>
    <t>非機能・ユーザビリティ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</si>
  <si>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Nhấn phím Tab liên tục, kiểm tra focus transition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Nhấn phím Enter trong textbox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Double-click / nhấn liên tục button đăng ký</t>
    </r>
  </si>
  <si>
    <t>低〜中</t>
  </si>
  <si>
    <t>レイアウト、レスポンシブ、キーボード操作、ブラウザ互換、マルチタブ同期、未保存変更ガード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</si>
  <si>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Theo thứ tự trên xuống dưới, trái sang phải — Tên JA → Mã chi nhánh quản lý → Tên chi nhánh quản lý → Tên chi nhánh quản lý (kana) → Mã bưu điện → 都道府県 → Địa chỉ → Số điện thoại → FAX → Cờ bản giấy → Cờ bản điện tử → Biko → Button đăng ký → Button quay lại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Không trigger submit form (`preventEnterImplicitSubmit` utility chặn submit ngầm bằng Enter)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Lần nhấn đầu tiên bắt đầu submit, trong khi gửi thì button hiển thị disable, các lần nhấn sau bị bỏ qua, chỉ 1 record được đăng ký vào DB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・Tab order đúng theo thiết kế, toàn bộ có thể thao tác bằng bàn phím
</t>
    </r>
    <r>
      <rPr>
        <rFont val="メイリオ"/>
        <color rgb="FF000000"/>
        <sz val="10.0"/>
      </rPr>
      <t>・Theo vue.md §Block Enter implicit submit, form CRUD có ≥4 trường thì chặn submit ngầm bằng Enter</t>
    </r>
  </si>
  <si>
    <t>F</t>
  </si>
  <si>
    <t>VP-F-NN</t>
  </si>
  <si>
    <t>性能</t>
  </si>
  <si>
    <t>性能ベンチマーク、大量データ表示性能</t>
  </si>
  <si>
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</si>
  <si>
    <t>Chống double-submit — đảm bảo disable button khi đang submit là yếu tố cốt lõi của chất lượng UX.</t>
  </si>
  <si>
    <t>ACSMS-TC-009-011</t>
  </si>
  <si>
    <t>Kiểm tra giá trị default khi hiển thị màn đăng ký lần đầu</t>
  </si>
  <si>
    <t>・role: NICHINO_ADMIN
・Vừa mở màn đăng ký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</si>
  <si>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Kiểm tra dropdown Tên JA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Kiểm tra các ô textbox Mã chi nhánh quản lý / Tên chi nhánh quản lý / Tên chi nhánh quản lý (kana) / Mã bưu điện / Địa chỉ / Số điện thoại / FAX / Biko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Kiểm tra trạng thái check của cờ bản giấy / cờ bản điện tử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>Kiểm tra dropdown 都道府県</t>
    </r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</si>
  <si>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Chưa chọn (hiển thị placeholder "JAを選択してください")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Toàn bộ các trường được hiển thị rỗng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Cả hai được hiển thị ở trạng thái chưa check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 xml:space="preserve">Chưa chọn (hiển thị placeholder "選択してください")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>・Tuân thủ hoàn toàn quy cách giá trị default tại screen-design.md §1.2</t>
    </r>
  </si>
  <si>
    <t>Header &amp; Breadcrumb</t>
  </si>
  <si>
    <t>ACSMS-TC-009-012</t>
  </si>
  <si>
    <t>Hiển thị title header</t>
  </si>
  <si>
    <t>・Đang ở trạng thái mở màn đăng ký hoặc màn chỉnh sửa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</si>
  <si>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>Kiểm tra phía trái header phía trên màn hình</t>
    </r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</si>
  <si>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Chữ "管理支店マスタ登録画面" được hiển thị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>・Chuỗi title được hiển thị đúng literal theo quy cách</t>
    </r>
  </si>
  <si>
    <t>ACSMS-TC-009-013</t>
  </si>
  <si>
    <t>Hiển thị icon thông báo + menu user</t>
  </si>
  <si>
    <t>・role: NICHINO_ADMIN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</si>
  <si>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Kiểm tra phía phải header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Hover chuột lên icon user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Click icon user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</si>
  <si>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Hiển thị theo thứ tự icon thông báo → icon user → tên login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Khi hover thì màu nền thay đổi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Dropdown được mở ra, hiển thị các menu như logout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・Toàn bộ hover / click interaction hoạt động đúng theo thiết kế</t>
    </r>
  </si>
  <si>
    <t>ACSMS-TC-009-014</t>
  </si>
  <si>
    <t>Hiển thị breadcrumb (màn đăng ký)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</si>
  <si>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Kiểm tra vùng breadcrumb dưới title màn hình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So sánh phân cấp breadcrumb với thiết kế</t>
    </r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</si>
  <si>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Cấp `ホーム / 管理支店マスタ明細検索 / 管理支店マスタ登録画面` được hiển thị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Ký tự phân cách, text, có / không có link đều khớp (mục giữa "管理支店マスタ明細検索" là link click được, màn hiện tại hiển thị không link)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>・Breadcrumb được hiển thị đúng cấp + đúng theo thiết kế
・Theo vue.md §Project breadcrumb convention, gồm 3 cấp (ホーム → list → đăng ký / chỉnh sửa)</t>
    </r>
  </si>
  <si>
    <t>ACSMS-TC-009-015</t>
  </si>
  <si>
    <t>Hoạt động chuyển trang của từng link trong breadcrumb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</si>
  <si>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Click "ホーム" trong breadcrumb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Quay lại màn đăng ký, click "管理支店マスタ明細検索"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>Quay lại màn đăng ký, click "管理支店マスタ登録画面" (màn hiện tại)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</si>
  <si>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Chuyển về `/dashboard`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Chuyển về màn list `/kanri-shiten`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Do là màn hiện tại, không có gì xảy ra (không reload)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・Từng link hoạt động đúng như mong đợi</t>
    </r>
  </si>
  <si>
    <t>Validation đầu vào — Màn đăng ký</t>
  </si>
  <si>
    <t>ACSMS-TC-009-016</t>
  </si>
  <si>
    <t>Tên JA — Check required</t>
  </si>
  <si>
    <t>・Màn đăng ký, các trường ngoài Tên JA đã nhập giá trị hợp lệ
・Test data: mã chi nhánh quản lý `1AA-3300-001`, tên chi nhánh quản lý `テスト管理支店`, 都道府県 東京都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</si>
  <si>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Để dropdown Tên JA chưa chọn, nhấn button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Chọn dropdown Tên JA rồi click × để clear, nhấn button đăng ký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</si>
  <si>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Hiển thị `必須項目です。` ngay dưới trường, submit bị chặn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Hiển thị `必須項目です。` ngay dưới trường (giá trị `undefined` sau khi click × ở `allow-clear` được check required bằng Number check thay vì `?.trim()`)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・Giá trị `undefined` khi clear `&lt;a-select allow-clear&gt;` của antd được xử lý đúng thành lỗi required</t>
    </r>
  </si>
  <si>
    <t>ACSMS-TC-009-017</t>
  </si>
  <si>
    <t>Mã chi nhánh quản lý — Check required (rỗng + chỉ space)</t>
  </si>
  <si>
    <t>・Màn đăng ký, các trường khác đã nhập giá trị hợp lệ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</si>
  <si>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Để Mã chi nhánh quản lý rỗng, nhấn button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Nhập 3 space nửa thân → nhấn button đăng ký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Nhập 3 space toàn thân → nhấn button đăng ký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</si>
  <si>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Hiển thị `必須項目です。` ngay dưới trường, submit bị chặn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Sau khi BE trim space, được xử lý như rỗng và hiển thị `必須項目です。`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Space toàn thân cũng thuộc đối tượng trim, hiển thị `必須項目です。`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・Cả rỗng lẫn chỉ space được xử lý như vi phạm required
</t>
    </r>
    <r>
      <rPr>
        <rFont val="メイリオ"/>
        <color rgb="FF000000"/>
        <sz val="10.0"/>
      </rPr>
      <t>・BE trim space xong xử lý như rỗng</t>
    </r>
  </si>
  <si>
    <t>ACSMS-TC-009-018</t>
  </si>
  <si>
    <t>Mã chi nhánh quản lý — Check format (XXX-XXXX-XXX)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</si>
  <si>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Nhập `ABC` (chỉ 3 ký tự) vào Mã chi nhánh quản lý → nhấn button đăng ký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Nhập `113-330-001` (giữa chỉ 3 chữ số) vào Mã chi nhánh quản lý → nhấn button đăng ký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Nhập `１１３-３３００-００１` (chữ số toàn thân) vào Mã chi nhánh quản lý → nhấn button đăng ký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>Nhập `113_3300_001` (phân cách bằng underscore) vào Mã chi nhánh quản lý → nhấn button đăng ký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</si>
  <si>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Hiển thị `管理支店コードは「XXX-XXXX-XXX」の形式（半角英数字、特殊文字なし）で入力してください。` ngay dưới trường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Cùng message như trên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Cùng message như trên (ký tự toàn thân không phải ký tự half-width nên bị reject)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Cùng message như trên (chỉ cho phép phân cách bằng dấu gạch ngang)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・Mã chi nhánh quản lý có dạng 3 ký tự alphanumeric nửa thân + dấu - + 4 ký tự alphanumeric nửa thân + dấu - + 3 ký tự alphanumeric nửa thân (tổng 12 ký tự)</t>
    </r>
  </si>
  <si>
    <t>ACSMS-TC-009-019</t>
  </si>
  <si>
    <t>Mã chi nhánh quản lý — Tự động bổ sung dấu gạch ngang (khi nhập 10 ký tự)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</si>
  <si>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Nhập `1AA3300001` (10 ký tự, không có dấu gạch ngang) vào Mã chi nhánh quản lý, blur focus (@blur)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Kiểm tra giá trị nhập ở bước 1, nhấn button đăng ký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>Sau khi đăng ký, kiểm tra cột `kanri_shiten_code` trong DB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</si>
  <si>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Giá trị trong ô input được tự động format thành `1AA-3300-001`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Được tiếp nhận bình thường, trả về HTTP 201 (`message: 登録しました。`)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`kanri_shiten_code` trong DB lưu `1AA-3300-001` (đã chèn dấu gạch ngang)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・Chuẩn hóa 2 tầng: FE `formatKanriShitenCode` utility + BE `normalizeKanriShitenCode` Transform
</t>
    </r>
    <r>
      <rPr>
        <rFont val="メイリオ"/>
        <color rgb="FF000000"/>
        <sz val="10.0"/>
      </rPr>
      <t>・Khi nhập 10 ký tự alphanumeric half-width, dấu gạch ngang tự động được chèn tại vị trí 3 / 7</t>
    </r>
  </si>
  <si>
    <t>ACSMS-TC-009-020</t>
  </si>
  <si>
    <t>Mã chi nhánh quản lý — Số ký tự tối đa (giá trị biên)</t>
  </si>
  <si>
    <t>・Màn đăng ký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</si>
  <si>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Nhập `1AA-3300-001` (12 ký tự, format chuẩn) vào Mã chi nhánh quản lý →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Thử nhập ký tự thứ 13 trở đi vào ô Mã chi nhánh quản lý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Paste "1AA-3300-001-EXTRA" (17 ký tự) vào ô Mã chi nhánh quản lý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</si>
  <si>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Tiếp nhận bình thường, đăng ký thành công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Input bị block bởi maxlength=12 (không nhập được ký tự thứ 13)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Bị cắt tại ký tự thứ 12, record đăng ký là 12 ký tự đúng format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・Giới hạn 12 ký tự được enforce 2 lớp bởi input maxlength và BE @MaxLength</t>
    </r>
  </si>
  <si>
    <t>ACSMS-TC-009-021</t>
  </si>
  <si>
    <t>Mã chi nhánh quản lý — Lỗi khi trùng (DUPLICATE_CODE)</t>
  </si>
  <si>
    <t>・role: NICHINO_ADMIN
・Data sẵn có: `kanri_shiten_id=99, kanri_shiten_code='1AA-3300-999'` tồn tại trong DB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</si>
  <si>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Nhập `1AA-3300-999` vào Mã chi nhánh quản lý, các trường khác nhập giá trị hợp lệ → nhấn button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HTTP status và error_code của response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DB: `SELECT COUNT(*) FROM m_kanri_shiten WHERE kanri_shiten_code='1AA-3300-999' AND deleted_at IS NULL`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</si>
  <si>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Đăng ký thất bại, hiển thị toast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400 (`error_code: DUPLICATE_CODE`, message `管理支店コード「1AA-3300-999」はすでに登録されています。`)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Chỉ 1 record (không bị đăng ký trùng)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・Tính duy nhất được enforce bởi UNIQUE INDEX `UQ_m_kanri_shiten_code` của DB
</t>
    </r>
    <r>
      <rPr>
        <rFont val="メイリオ"/>
        <color rgb="FF000000"/>
        <sz val="10.0"/>
      </rPr>
      <t>・Record đã xóa logical không thuộc đối tượng UNIQUE (có thể tái sử dụng cùng mã)</t>
    </r>
  </si>
  <si>
    <t>ACSMS-TC-009-022</t>
  </si>
  <si>
    <t>Tên chi nhánh quản lý — Check required (rỗng + chỉ space)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</si>
  <si>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Để Tên chi nhánh quản lý rỗng, nhấn button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Chỉ nhập space nửa thân / toàn thân → nhấn button đăng ký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</si>
  <si>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Hiển thị `必須項目です。` ngay dưới trường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Sau khi trim space, được xử lý như rỗng, hiển thị `必須項目です。`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・Rỗng / chỉ space đều được xử lý như vi phạm required</t>
    </r>
  </si>
  <si>
    <t>ACSMS-TC-009-023</t>
  </si>
  <si>
    <t>Tên chi nhánh quản lý — Giới hạn tối đa 100 ký tự (giá trị biên)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</si>
  <si>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Nhập 100 ký tự (chuỗi mix toàn thân / nửa thân tùy ý) vào Tên chi nhánh quản lý →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Thử nhập ký tự thứ 101 vào Tên chi nhánh quản lý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Paste chuỗi 110 ký tự vào Tên chi nhánh quản lý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</si>
  <si>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Tiếp nhận bình thường, đăng ký thành công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Input bị block bởi maxlength (không nhập được ký tự thứ 101)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Bị cắt tại ký tự thứ 100, record đăng ký là 100 ký tự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・Giới hạn 100 ký tự được enforce 2 lớp bởi input maxlength và BE @MaxLength</t>
    </r>
  </si>
  <si>
    <t>ACSMS-TC-009-024</t>
  </si>
  <si>
    <t>Tên chi nhánh quản lý — Xử lý an toàn ký tự đặc biệt / HTML / SQL injection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</si>
  <si>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Nhập HTML tag `&lt;script&gt;alert(1)&lt;/script&gt;` vào Tên chi nhánh quản lý → đăng ký → kiểm tra hiển thị ở màn list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Nhập SQL injection `テスト'; DROP TABLE m_kanri_shiten; --` vào Tên chi nhánh quản lý → đăng ký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>Kiểm tra stored XSS: sau khi đăng ký, hiển thị lại giá trị tại màn chỉnh sửa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</si>
  <si>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Được hiển thị dưới dạng literal text (không bị execute), DB lưu chuỗi literal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Được đăng ký như tên chi nhánh quản lý bình thường (injection bị vô hiệu bởi parameterized query), bảng `m_kanri_shiten` không bị xóa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Được hiển thị nguyên dưới dạng literal text, JS không execute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・Vue auto-escape làm XSS không phát huy tác dụng
</t>
    </r>
    <r>
      <rPr>
        <rFont val="メイリオ"/>
        <color rgb="FF000000"/>
        <sz val="10.0"/>
      </rPr>
      <t xml:space="preserve">・Parameterized query của TypeORM làm SQL injection không phát huy tác dụng
</t>
    </r>
    <r>
      <rPr>
        <rFont val="メイリオ"/>
        <color rgb="FF000000"/>
        <sz val="10.0"/>
      </rPr>
      <t>・DB lưu literal (không giữ data đã escape)</t>
    </r>
  </si>
  <si>
    <t>Security critical — Nếu fail thì xử lý theo quy trình incident response.</t>
  </si>
  <si>
    <t>ACSMS-TC-009-025</t>
  </si>
  <si>
    <t>Tên chi nhánh quản lý (kana) — Check katakana nửa thân (pattern hợp lệ)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</si>
  <si>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Nhập `ﾄｳｷｮｳﾁｭｳｵｳｼﾃﾝ` (katakana nửa thân) vào Tên chi nhánh quản lý (kana) → đăng ký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Nhập `ｻｯﾎﾟﾛ ｼﾃﾝ` (katakana nửa thân + space nửa thân) vào Tên chi nhánh quản lý (kana) → đăng ký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>Nhập `ｶﾞｯｺｳ` (katakana nửa thân kèm dakuten / handakuten) vào Tên chi nhánh quản lý (kana) → đăng ký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</si>
  <si>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Tiếp nhận bình thường, đăng ký thành công, `kanri_shiten_name_kana` trong DB lưu literal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Tiếp nhận bình thường, space nửa thân được cho phép bởi `\s` của regex `/^[ｦ-ﾟ\s]+$/u`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Tiếp nhận bình thường, dakuten `ﾞ` (U+FF9E) / handakuten `ﾟ` (U+FF9F) nằm trong phạm vi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・Phạm vi katakana nửa thân U+FF66 ｦ – U+FF9F ﾟ đều được cho phép
</t>
    </r>
    <r>
      <rPr>
        <rFont val="メイリオ"/>
        <color rgb="FF000000"/>
        <sz val="10.0"/>
      </rPr>
      <t>・Space (U+0020 nửa thân / U+3000 toàn thân) cũng được cover bởi regex `\s`</t>
    </r>
  </si>
  <si>
    <t>ACSMS-TC-009-026</t>
  </si>
  <si>
    <t>Tên chi nhánh quản lý (kana) — Check katakana nửa thân (pattern bị reject)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</si>
  <si>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Nhập `トウキョウ` (katakana toàn thân) vào Tên chi nhánh quản lý (kana) → đăng ký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Nhập `とうきょう` (hiragana) vào Tên chi nhánh quản lý (kana) → đăng ký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Nhập `東京` (kanji) vào Tên chi nhánh quản lý (kana) → đăng ký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>Nhập `TOKYO` (chữ và số nửa thân) vào Tên chi nhánh quản lý (kana) → đăng ký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</si>
  <si>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Hiển thị `管理支店名(カナ)は半角カタカナで入力してください。` ngay dưới trường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Cùng message như trên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Cùng message như trên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Cùng message như trên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・Bất cứ gì khác katakana nửa thân đều bị reject
</t>
    </r>
    <r>
      <rPr>
        <rFont val="メイリオ"/>
        <color rgb="FF000000"/>
        <sz val="10.0"/>
      </rPr>
      <t>・Regex `/^[ｦ-ﾟ\s]+$/u` validate ở cả 2 tầng FE / BE</t>
    </r>
  </si>
  <si>
    <t>ACSMS-TC-009-027</t>
  </si>
  <si>
    <t>Tên chi nhánh quản lý (kana) — Giới hạn tối đa 100 ký tự (giá trị biên)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</si>
  <si>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Nhập 100 ký tự katakana nửa thân vào Tên chi nhánh quản lý (kana) →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Thử nhập ký tự thứ 101 vào Tên chi nhánh quản lý (kana)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</si>
  <si>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Tiếp nhận bình thường, đăng ký thành công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Input bị block bởi maxlength=100 (không nhập được ký tự thứ 101)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・Là trường optional, nhưng khi nhập thì áp dụng katakana nửa thân + giới hạn tối đa 100 ký tự</t>
    </r>
  </si>
  <si>
    <t>ACSMS-TC-009-028</t>
  </si>
  <si>
    <t>都道府県 — Check required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</si>
  <si>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Để dropdown 都道府県 chưa chọn, nhấn button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Chọn 都道府県 rồi click × để clear, nhấn button đăng ký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</si>
  <si>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Hiển thị `必須項目です。` ngay dưới trường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Hiển thị `必須項目です。` ngay dưới trường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・Chỉ tiếp nhận mã tồn tại trong master 47 都道府県 (m_todofuken)
</t>
    </r>
    <r>
      <rPr>
        <rFont val="メイリオ"/>
        <color rgb="FF000000"/>
        <sz val="10.0"/>
      </rPr>
      <t>・Giá trị `undefined` khi clear `&lt;a-select allow-clear&gt;` của antd được xử lý như lỗi required</t>
    </r>
  </si>
  <si>
    <t>ACSMS-TC-009-029</t>
  </si>
  <si>
    <t>都道府県 — Check tính nhất quán với master (gửi mã không hợp lệ)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</si>
  <si>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Từ Console DevTools gửi POST `/api/v1/kanri-shiten` với `todofuken_code: "99"` (mã không tồn tại)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Kiểm tra HTTP status của response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>Kiểm tra DB: `SELECT COUNT(*) FROM m_kanri_shiten WHERE todofuken_code='99'`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</si>
  <si>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Request bị reject bởi check tính nhất quán với master ở BE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400 (`error_code: BAD_REQUEST`, message `リクエストパラメータが不正です。`)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0 record (không bị đăng ký)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・Mã không tồn tại trong master 47 都道府県 (m_todofuken) bị BE §4.3 reject</t>
    </r>
  </si>
  <si>
    <t>ACSMS-TC-009-030</t>
  </si>
  <si>
    <t>Mã bưu điện — Optional (cho phép rỗng)</t>
  </si>
  <si>
    <t>・Màn đăng ký, Tên JA / Mã chi nhánh quản lý / Tên chi nhánh quản lý / 都道府県 đã nhập giá trị hợp lệ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</si>
  <si>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Để Mã bưu điện rỗng, nhấn button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DB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</si>
  <si>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Tiếp nhận bình thường, trả về HTTP 201 (`message: 登録しました。`)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`yubin_no` trong DB lưu chuỗi rỗng (BE @Transform(blankToUndef) chuyển thành `undefined`, column DEFAULT là chuỗi rỗng)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・Vì là trường optional nên nhập rỗng được cho phép</t>
    </r>
  </si>
  <si>
    <t>ACSMS-TC-009-031</t>
  </si>
  <si>
    <t>Mã bưu điện — Check 7 chữ số nửa thân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</si>
  <si>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Nhập `1000001` (7 chữ số nửa thân) vào Mã bưu điện → đăng ký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Nhập `100-0001` (có dấu gạch ngang) vào Mã bưu điện → đăng ký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Nhập `100000` (6 chữ số) vào Mã bưu điện → đăng ký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 xml:space="preserve">Nhập `１２３４５６７` (chữ số toàn thân) vào Mã bưu điện → đăng ký
</t>
    </r>
    <r>
      <rPr>
        <rFont val="游ゴシック"/>
        <b/>
        <color rgb="FF000000"/>
        <sz val="10.0"/>
      </rPr>
      <t xml:space="preserve">ステップ5：
</t>
    </r>
    <r>
      <rPr>
        <rFont val="游ゴシック"/>
        <color rgb="FF000000"/>
        <sz val="10.0"/>
      </rPr>
      <t>Nhập `ABC1234` (mix chữ cái) vào Mã bưu điện → đăng ký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</si>
  <si>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Tiếp nhận bình thường, đăng ký thành công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Hiển thị `郵便番号は半角数字のみ（ハイフンなし）入力可能です。` ngay dưới trường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Cùng message như trên (dưới 7 chữ số)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Cùng message như trên
</t>
    </r>
    <r>
      <rPr>
        <rFont val="メイリオ"/>
        <b/>
        <color rgb="FF000000"/>
        <sz val="10.0"/>
      </rPr>
      <t xml:space="preserve">ステップ5：
</t>
    </r>
    <r>
      <rPr>
        <rFont val="メイリオ"/>
        <color rgb="FF000000"/>
        <sz val="10.0"/>
      </rPr>
      <t xml:space="preserve">Cùng message như trên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・Regex `/^\d{7}$/` chỉ cho phép đúng 7 chữ số nửa thân</t>
    </r>
  </si>
  <si>
    <t>ACSMS-TC-009-032</t>
  </si>
  <si>
    <t>Địa chỉ — Optional + giới hạn tối đa 200 ký tự (giá trị biên)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</si>
  <si>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Để Địa chỉ rỗng và đăng ký → hoàn tất bình thường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Nhập 200 ký tự (chuỗi mix toàn thân / nửa thân tùy ý) vào Địa chỉ → đăng ký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Thử nhập ký tự thứ 201 vào Địa chỉ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</si>
  <si>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Tiếp nhận bình thường, lưu chuỗi rỗng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Tiếp nhận bình thường, đăng ký thành công, `address` trong DB lưu 200 ký tự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Input bị block bởi maxlength=200 (không nhập được ký tự thứ 201)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・Trường optional nên cho phép rỗng, khi nhập thì áp dụng giới hạn tối đa 200 ký tự</t>
    </r>
  </si>
  <si>
    <t>ACSMS-TC-009-033</t>
  </si>
  <si>
    <t>Số điện thoại — Check chữ số nửa thân + tối đa 15 ký tự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</si>
  <si>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Nhập `0312345678` (10 chữ số nửa thân) vào Số điện thoại → đăng ký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Nhập `03-1234-5678` (có dấu gạch ngang) vào Số điện thoại → đăng ký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Nhập `０３１２３４５６７８` (chữ số toàn thân) vào Số điện thoại → đăng ký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>Thử nhập ký tự thứ 16 vào Số điện thoại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</si>
  <si>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Tiếp nhận bình thường, đăng ký thành công, `tel` trong DB lưu literal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Hiển thị `電話番号は半角数字のみ（ハイフンなし）入力可能です。` ngay dưới trường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Cùng message như trên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Input bị block bởi maxlength=15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・Regex `/^\d{1,15}$/` chỉ cho phép tối đa 15 chữ số nửa thân
</t>
    </r>
    <r>
      <rPr>
        <rFont val="メイリオ"/>
        <color rgb="FF000000"/>
        <sz val="10.0"/>
      </rPr>
      <t>・Trường optional nên cho phép rỗng</t>
    </r>
  </si>
  <si>
    <t>ACSMS-TC-009-034</t>
  </si>
  <si>
    <t>FAX — Check chữ số nửa thân + tối đa 15 ký tự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</si>
  <si>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Nhập `0312345679` (10 chữ số nửa thân) vào FAX → đăng ký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Nhập `03-1234-5679` (có dấu gạch ngang) vào FAX → đăng ký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Nhập `０３１２３４５６７９` (chữ số toàn thân) vào FAX → đăng ký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>Thử nhập ký tự thứ 16 vào FAX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</si>
  <si>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Tiếp nhận bình thường, đăng ký thành công, `fax` trong DB lưu literal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Hiển thị `FAXは半角数字のみ（ハイフンなし）入力可能です。` ngay dưới trường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Cùng message như trên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Input bị block bởi maxlength=15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・Regex `/^\d{1,15}$/` chỉ cho phép tối đa 15 chữ số nửa thân
</t>
    </r>
    <r>
      <rPr>
        <rFont val="メイリオ"/>
        <color rgb="FF000000"/>
        <sz val="10.0"/>
      </rPr>
      <t>・Trường optional nên cho phép rỗng</t>
    </r>
  </si>
  <si>
    <t>ACSMS-TC-009-035</t>
  </si>
  <si>
    <t>Cờ bản giấy — Toggle (check / uncheck)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</si>
  <si>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Để Cờ bản giấy uncheck rồi đăng ký → kiểm tra DB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Check Cờ bản giấy → đăng ký → kiểm tra DB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</si>
  <si>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Cột `paper_flg` trong DB lưu `false`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Cột `paper_flg` trong DB lưu `true`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・Giá trị default là `false` (xem screen-design.md §1.2)
</t>
    </r>
    <r>
      <rPr>
        <rFont val="メイリオ"/>
        <color rgb="FF000000"/>
        <sz val="10.0"/>
      </rPr>
      <t>・Được lưu đúng dưới dạng boolean true / false</t>
    </r>
  </si>
  <si>
    <t>ACSMS-TC-009-036</t>
  </si>
  <si>
    <t>Cờ bản điện tử — Toggle (check / uncheck)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</si>
  <si>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Để Cờ bản điện tử uncheck rồi đăng ký → kiểm tra DB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Check Cờ bản điện tử → đăng ký → kiểm tra DB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</si>
  <si>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Cột `denshi_flg` trong DB lưu `false`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Cột `denshi_flg` trong DB lưu `true`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・Giá trị default là `false` (xem screen-design.md §1.2)</t>
    </r>
  </si>
  <si>
    <t>ACSMS-TC-009-037</t>
  </si>
  <si>
    <t>Biko — Optional + giới hạn tối đa 500 ký tự (giá trị biên)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</si>
  <si>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Để Biko rỗng rồi đăng ký → hoàn tất bình thường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Nhập 500 ký tự (chuỗi mix toàn thân / nửa thân tùy ý) vào Biko → đăng ký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Thử nhập ký tự thứ 501 vào Biko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>Nhập text nhiều dòng có chứa xuống dòng vào Biko → đăng ký</t>
    </r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</si>
  <si>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Tiếp nhận bình thường, lưu chuỗi rỗng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Tiếp nhận bình thường, đăng ký thành công, `biko` trong DB lưu 500 ký tự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Input bị block bởi textarea maxlength=500 (không nhập được ký tự thứ 501)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 xml:space="preserve">Đăng ký được bao gồm cả xuống dòng, DB lưu literal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>・Trường optional, giới hạn tối đa 500 ký tự
・Vì là textarea nên có thể đăng ký bao gồm xuống dòng</t>
    </r>
  </si>
  <si>
    <t>ACSMS-TC-009-038</t>
  </si>
  <si>
    <t>Auto-focus khi có lỗi nhập (trường lỗi đầu tiên)</t>
  </si>
  <si>
    <t>・Màn đăng ký, có nhiều trường chứa giá trị không hợp lệ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</si>
  <si>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Trạng thái Tên JA chưa chọn, Mã chi nhánh quản lý `INVALID`, Tên chi nhánh quản lý rỗng, 都道府県 chưa chọn → nhấn button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vị trí focus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Chọn Tên JA rồi nhấn lại button đăng ký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>Kiểm tra vị trí focus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</si>
  <si>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Nhiều lỗi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Focus vào dropdown Tên JA (trường lỗi đầu tiên trong mảng `FIELD_ORDER`)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Hiển thị lỗi của Mã chi nhánh quản lý, Tên chi nhánh quản lý và 都道府県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Focus vào ô Mã chi nhánh quản lý (trường lỗi đầu tiên kế tiếp trong FIELD_ORDER)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・Theo vue.md §Auto-focus the first error on submit, auto-focus vào trường lỗi đầu tiên theo thứ tự template + scrollIntoView</t>
    </r>
  </si>
  <si>
    <t>ACSMS-TC-009-039</t>
  </si>
  <si>
    <t>Chặn submit ngầm bằng phím Enter</t>
  </si>
  <si>
    <t>・Màn đăng ký, đã nhập giá trị hợp lệ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</si>
  <si>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Đặt focus vào ô Tên chi nhánh quản lý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Nhấn phím Enter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Đặt focus vào textarea Biko, nhấn phím Enter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>Đặt focus vào button đăng ký, nhấn phím Enter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</si>
  <si>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Trạng thái focus đặt ở ô Tên chi nhánh quản lý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Không trigger submit form (chặn submit ngầm)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Trong textarea được xử lý như xuống dòng (không thuộc đối tượng chặn submit ngầm)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Submit form được thực hiện như là button đăng ký đã bị click (phím Enter trên button submit được giữ lại vì accessibility)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・Utility preventEnterImplicitSubmit giữ ngoại lệ cho phép Enter qua khi ở trong textarea / trên button submit / trong antd combobox
</t>
    </r>
    <r>
      <rPr>
        <rFont val="メイリオ"/>
        <color rgb="FF000000"/>
        <sz val="10.0"/>
      </rPr>
      <t>・Tuân thủ vue.md §Block Enter implicit submit</t>
    </r>
  </si>
  <si>
    <t>ACSMS-TC-009-040</t>
  </si>
  <si>
    <t>JA ID — Check tính nhất quán với master (gửi JA ID không hợp lệ)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</si>
  <si>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Từ Console DevTools gửi POST `/api/v1/kanri-shiten` với `ja_id: 99999` (ID không tồn tại)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HTTP status của response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DB: `SELECT COUNT(*) FROM m_kanri_shiten WHERE ja_id=99999`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</si>
  <si>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Request bị reject bởi check tính nhất quán với master ở BE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400 (`error_code: BAD_REQUEST`, message `リクエストパラメータが不正です。`)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0 record (không bị đăng ký)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・`ja_id` không tồn tại / đã xóa logical trong `m_ja` bị BE §4.4 reject</t>
    </r>
  </si>
  <si>
    <t>ACSMS-TC-009-041</t>
  </si>
  <si>
    <t>Mã chi nhánh quản lý — Tự động trim space đầu / cuối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</si>
  <si>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Nhập `  1AA-3300-002  ` (space nửa thân ở đầu / cuối) vào Mã chi nhánh quản lý →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Nhập `　1AA-3300-003　` (space toàn thân ở đầu / cuối) vào Mã chi nhánh quản lý → đăng ký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</si>
  <si>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DB lưu `1AA-3300-002` (đã trim space đầu / cuối)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DB lưu `1AA-3300-003` (đã trim space đầu / cuối)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・Xử lý `trim()` được áp dụng nhất quán ở BE `normalizeKanriShitenCode` Transform</t>
    </r>
  </si>
  <si>
    <t>ACSMS-TC-009-042</t>
  </si>
  <si>
    <t>Kiểm tra shape response VALIDATION_ERROR (lỗi nhiều trường đồng thời)</t>
  </si>
  <si>
    <t>・Màn đăng ký, Tên JA / Mã chi nhánh quản lý / Tên chi nhánh quản lý / 都道府県 đều chưa nhập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</si>
  <si>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Trong khi mở tab Network của DevTools, nhấn button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cấu trúc JSON của response body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Xác nhận có hiển thị message lỗi dưới từng trường form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</si>
  <si>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Gửi request đến BE, trả về HTTP 400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Response shape có cấu trúc như sau:
</t>
    </r>
    <r>
      <rPr>
        <rFont val="メイリオ"/>
        <color rgb="FF000000"/>
        <sz val="10.0"/>
      </rPr>
      <t xml:space="preserve">`{ error_code: "VALIDATION_ERROR", message: "入力値が不正です。詳細はerrorsフィールドを確認してください", errors: [{ field, message }, …] }`, mảng `errors` chứa các phần tử tương ứng với các trường chưa nhập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Hiển thị message tương ứng (như `必須項目です。`) ngay dưới từng trường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・BE GlobalExceptionFilter trả VALIDATION_ERROR theo shape chung
</t>
    </r>
    <r>
      <rPr>
        <rFont val="メイリオ"/>
        <color rgb="FF000000"/>
        <sz val="10.0"/>
      </rPr>
      <t>・FE `useApiForm` map `errors[]` vào `fieldErrors`</t>
    </r>
  </si>
  <si>
    <t>ACSMS-TC-009-043</t>
  </si>
  <si>
    <t>Mã chi nhánh quản lý — Trùng (tái sử dụng mã của record đã xóa logical)</t>
  </si>
  <si>
    <t>・role: NICHINO_ADMIN
・Data sẵn có: `kanri_shiten_id=88, kanri_shiten_code='1AA-3300-888', deleted_at IS NOT NULL` (đã xóa logical)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</si>
  <si>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Nhập `1AA-3300-888` vào Mã chi nhánh quản lý, các trường khác nhập giá trị hợp lệ → nhấn button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DB: `SELECT kanri_shiten_id, kanri_shiten_code, deleted_at FROM m_kanri_shiten WHERE kanri_shiten_code='1AA-3300-888'`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</si>
  <si>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Tiếp nhận bình thường, trả về HTTP 201 (`message: 登録しました。`)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Record với `kanri_shiten_id` mới được thêm (`deleted_at IS NULL`), record cũ đã xóa logical vẫn còn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・Check tính duy nhất loại trừ record đã xóa logical bằng `WHERE deleted_at IS NULL`
</t>
    </r>
    <r>
      <rPr>
        <rFont val="メイリオ"/>
        <color rgb="FF000000"/>
        <sz val="10.0"/>
      </rPr>
      <t>・Mã đã xóa có thể tái sử dụng</t>
    </r>
  </si>
  <si>
    <t>ACSMS-TC-009-044</t>
  </si>
  <si>
    <t>Đăng ký với input tối thiểu toàn trường (chỉ trường required)</t>
  </si>
  <si>
    <t>・Màn đăng ký
・Test data: Tên JA `ja-001`, Mã chi nhánh quản lý `1AA-3300-100`, Tên chi nhánh quản lý `テスト管理支店`, 都道府県 `東京都`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</si>
  <si>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Chỉ nhập trường required (các trường optional để rỗng / uncheck) →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DB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</si>
  <si>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Tiếp nhận bình thường, trả về HTTP 201 (`message: 登録しました。`, chuyển về màn list `/kanri-shiten`)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Record được đăng ký, trường optional được lưu dưới dạng chuỗi rỗng / `false` (boolean)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・Có thể đăng ký chỉ với trường required, trường optional được lưu giá trị default</t>
    </r>
  </si>
  <si>
    <t>ACSMS-TC-009-045</t>
  </si>
  <si>
    <t>Đăng ký với input đầy đủ toàn trường</t>
  </si>
  <si>
    <t>・Màn đăng ký
・Test data: toàn trường giá trị hợp lệ (Tên JA ja-001, Mã chi nhánh quản lý `1AA-3300-200`, Tên chi nhánh quản lý `フル入力テスト管理支店`, Tên chi nhánh quản lý (kana) `ﾌﾙﾆｭｳﾘｮｸﾃｽﾄ`, 都道府県 東京都, Mã bưu điện `1000001`, Địa chỉ `千代田区千代田1-1-1`, Số điện thoại `0312345678`, FAX `0312345679`, check bản giấy, check bản điện tử, Biko `テスト備考`)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</si>
  <si>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Nhập giá trị hợp lệ vào toàn trường → nhấn button đăng ký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>Kiểm tra DB: `SELECT * FROM m_kanri_shiten WHERE kanri_shiten_code='1AA-3300-200'`</t>
    </r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</si>
  <si>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Tiếp nhận bình thường, trả về HTTP 201 (`message: 登録しました。`, chuyển về màn list)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Toàn trường được lưu đúng giá trị nhập, `created_at` ghi thời điểm hiện tại, `created_by` ghi account_id của user đang login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>・Toàn trường được persist chính xác
・Cột timestamp được lưu theo timezone JST</t>
    </r>
  </si>
  <si>
    <t>ACSMS-TC-009-046</t>
  </si>
  <si>
    <t>Dropdown Tên JA — Hiển thị toàn bộ JA</t>
  </si>
  <si>
    <t>・Màn đăng ký
・Data sẵn có: nhiều record JA tồn tại trong `m_ja` (ja-001, ja-002, ja-003, …)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</si>
  <si>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Click dropdown Tên JA, kiểm tra các lựa chọn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format hiển thị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</si>
  <si>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Toàn bộ JA (chưa bị xóa logical)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Được hiển thị theo format `{ja_code} - {ja_name}`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・NICHINO_ADMIN truy cập được toàn bộ JA, không có giới hạn data scope
</t>
    </r>
    <r>
      <rPr>
        <rFont val="メイリオ"/>
        <color rgb="FF000000"/>
        <sz val="10.0"/>
      </rPr>
      <t>・Tối đa lấy 100 dòng (per_page=100)</t>
    </r>
  </si>
  <si>
    <t>ACSMS-TC-009-047</t>
  </si>
  <si>
    <t>Dropdown 都道府県 — Hiển thị 47 dòng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</si>
  <si>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Click dropdown 都道府県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thứ tự hiển thị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</si>
  <si>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47 都道府県 được hiển thị làm lựa chọn (北海道〜沖縄県)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Sắp xếp theo `todofuken_code` tăng dần (01〜47)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・Lấy từ master 都道府県 thông qua API GET `/api/v1/todofuken`
</t>
    </r>
    <r>
      <rPr>
        <rFont val="メイリオ"/>
        <color rgb="FF000000"/>
        <sz val="10.0"/>
      </rPr>
      <t>・Hiển thị toàn bộ 47 dòng</t>
    </r>
  </si>
  <si>
    <t>Logic nghiệp vụ — Đăng ký (Function — Create)</t>
  </si>
  <si>
    <t>ACSMS-TC-009-048</t>
  </si>
  <si>
    <t>Đăng ký Normal (DB persist + audit log)</t>
  </si>
  <si>
    <t>・role: NICHINO_ADMIN
・Test data: Tên JA ja-001, Mã chi nhánh quản lý `1AA-3300-300`, Tên chi nhánh quản lý `業務ロジックテスト管理支店`, 都道府県 東京都, các trường optional khác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</si>
  <si>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Nhập giá trị hợp lệ vào toàn trường → nhấn button đăng ký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Kiểm tra DB: `SELECT * FROM m_kanri_shiten WHERE kanri_shiten_code='1AA-3300-300'`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>Kiểm tra audit log: `SELECT * FROM t_log WHERE target_table='m_kanri_shiten' AND operation='CREATE' ORDER BY log_datetime DESC LIMIT 1`</t>
    </r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</si>
  <si>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Trả về HTTP 201 (`message: 登録しました。`), hiển thị toast thành công `登録しました。`, chuyển về màn list `/kanri-shiten`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1 record được INSERT, từng cột đúng giá trị nhập, `created_at` ghi thời điểm hiện tại, `created_by` ghi account_id của user đang login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1 dòng audit log được ghi, `log_type=1`, `result_status=1`, `gamen_name='管理支店マスタ登録画面(ACSMS-SCR-009)'`, `operation='CREATE'`, `target_id` chứa `kanri_shiten_id` mới, `after_value` chứa JSON data đăng ký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>・Xử lý chính + audit log được thực hiện trong một transaction duy nhất (tuân thủ nestjs.md §Audit Log)
・Tính nhất quán được đảm bảo</t>
    </r>
  </si>
  <si>
    <t>ACSMS-TC-009-049</t>
  </si>
  <si>
    <t>Đăng ký — Ghi audit log khi thất bại (đường DUPLICATE_CODE)</t>
  </si>
  <si>
    <t>・role: NICHINO_ADMIN
・Data sẵn có: `kanri_shiten_code='1AA-3300-999'` đã đăng ký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</si>
  <si>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Nhập mã trùng `1AA-3300-999` vào Mã chi nhánh quản lý →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audit log: `SELECT * FROM t_log WHERE target_table='m_kanri_shiten' AND result_status=2 ORDER BY log_datetime DESC LIMIT 1`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</si>
  <si>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400 (`error_code: DUPLICATE_CODE`), không có row mới được thêm vào `m_kanri_shiten`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1 dòng error log được ghi, `log_type=3`, `result_status=2`, `error_message` chứa nội dung lỗi DUPLICATE_CODE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・Error log được ghi ngoài transaction của xử lý chính (không thuộc đối tượng rollback)
</t>
    </r>
    <r>
      <rPr>
        <rFont val="メイリオ"/>
        <color rgb="FF000000"/>
        <sz val="10.0"/>
      </rPr>
      <t>・Tuân thủ nestjs.md §Audit Log "Error log (log_type=3) được ghi riêng ngoài transaction"</t>
    </r>
  </si>
  <si>
    <t>ACSMS-TC-009-050</t>
  </si>
  <si>
    <t>Đăng ký — Ranh giới transaction (DB INSERT + audit log)</t>
  </si>
  <si>
    <t>・role: NICHINO_ADMIN
・Setup DB sao cho INSERT audit log thất bại (vd: cài đặt vi phạm constraint NOT NULL trên bảng `t_log`)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</si>
  <si>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Nhấn button đăng ký với giá trị hợp lệ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DB: `SELECT COUNT(*) FROM m_kanri_shiten WHERE kanri_shiten_code='トランザクションテスト'`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audit log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</si>
  <si>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500 (`error_code: INTERNAL_SERVER_ERROR`)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0 record (business write đã được rollback)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Audit log (log_type=1) không được ghi, error log (log_type=3) được ghi sau rollback ngoài transaction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・Audit log fail → rollback business write để duy trì data integrity
</t>
    </r>
    <r>
      <rPr>
        <rFont val="メイリオ"/>
        <color rgb="FF000000"/>
        <sz val="10.0"/>
      </rPr>
      <t>・Tuân thủ rule `nestjs.md §I/O &amp; External Services / Transaction`</t>
    </r>
  </si>
  <si>
    <t>Test quan trọng đảm bảo tính nhất quán giữa audit trail và state DB.</t>
  </si>
  <si>
    <t>ACSMS-TC-009-051</t>
  </si>
  <si>
    <t>Đăng ký — Hành vi khi nhấn button quay lại</t>
  </si>
  <si>
    <t>・Màn đăng ký, đang nhập (có giá trị)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</si>
  <si>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Nhập giá trị vào từng trường tại màn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Nhấn button "前の画面に戻る"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DB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</si>
  <si>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Giá trị nhập được giữ trong state form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Chuyển về màn list `/kanri-shiten` mà không có modal xác nhận (popup xác nhận trong screen-design.md §4 đã được drop ở implementation)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Không bị đăng ký (không có record mới trong DB)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・Khi cancel không có thay đổi DB, không có ghi log
</t>
    </r>
    <r>
      <rPr>
        <rFont val="メイリオ"/>
        <color rgb="FF000000"/>
        <sz val="10.0"/>
      </rPr>
      <t>・Implementation theo phương châm không hiển thị dialog xác nhận</t>
    </r>
  </si>
  <si>
    <t>Popup xác nhận (ACSMS-MSG-009-008) ghi trong screen-design.md §4.1 đã được drop ở implementation hiện hành. Đã xác nhận phương châm implementation.</t>
  </si>
  <si>
    <t>ACSMS-TC-009-052</t>
  </si>
  <si>
    <t>Đăng ký — Chống double-submit (nhấn liên tục cùng data)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</si>
  <si>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Nhấn liên tục button đăng ký (khoảng 10 lần trong 5 giây)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>Kiểm tra DB: `SELECT COUNT(*) FROM m_kanri_shiten WHERE kanri_shiten_code='連打テスト'`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</si>
  <si>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Lần nhấn đầu tiên bắt đầu submit, trong khi gửi thì button hiển thị disable (`:loading="submitting"`), các lần nhấn sau bị bỏ qua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Chỉ 1 record được đăng ký (không có đăng ký trùng)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・`submitting` state management của `useApiForm` chặn double-submit
</t>
    </r>
    <r>
      <rPr>
        <rFont val="メイリオ"/>
        <color rgb="FF000000"/>
        <sz val="10.0"/>
      </rPr>
      <t>・Sau khi submit hoàn tất / sau khi lỗi, trạng thái button trở lại như cũ</t>
    </r>
  </si>
  <si>
    <t>ACSMS-TC-009-053</t>
  </si>
  <si>
    <t>Đăng ký — Kiểm tra điểm đến khi thành công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</si>
  <si>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Nhấn button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URL điểm đến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Xác nhận record chi nhánh quản lý đã đăng ký được hiển thị trên màn list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</si>
  <si>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201, hiển thị toast thành công `登録しました。`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Chuyển về màn list `/kanri-shiten` (router.push name: 'KanriShitenList')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Record mới được hiển thị ở đầu list (default sort `updated_at DESC`)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・Sau khi đăng ký, record mới được hiển thị ở đầu màn list
</t>
    </r>
    <r>
      <rPr>
        <rFont val="メイリオ"/>
        <color rgb="FF000000"/>
        <sz val="10.0"/>
      </rPr>
      <t>・Tuân thủ vue.md §default list sort</t>
    </r>
  </si>
  <si>
    <t>ACSMS-TC-009-054</t>
  </si>
  <si>
    <t>Đăng ký — Kiểm tra timestamp JST</t>
  </si>
  <si>
    <t>・Đăng ký trong giờ làm việc JST 9:00 〜 18:00
・Server timezone=Asia/Tokyo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</si>
  <si>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Nhấn button đăng ký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Kiểm tra DB: `SELECT created_at, updated_at FROM m_kanri_shiten WHERE kanri_shiten_id={ID mới}`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>Kiểm tra `created_at` trong response API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</si>
  <si>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Tiếp nhận bình thường, đăng ký thành công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`created_at` / `updated_at` được ghi với timezone JST (offset `+09:00`)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`created_at` trong response được trả về theo format ISO 8601 kèm offset `+09:00` (vd: `2026-05-14T10:00:00+09:00`)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・Tuân thủ nestjs.md §Timestamp policy
</t>
    </r>
    <r>
      <rPr>
        <rFont val="メイリオ"/>
        <color rgb="FF000000"/>
        <sz val="10.0"/>
      </rPr>
      <t>・Vận hành nhất quán JST với TIMESTAMPTZ + server TZ=Asia/Tokyo</t>
    </r>
  </si>
  <si>
    <t>ACSMS-TC-009-055</t>
  </si>
  <si>
    <t>Đăng ký — Lưu an toàn thông tin nhạy cảm (before_value/after_value)</t>
  </si>
  <si>
    <t>・role: NICHINO_ADMIN
・Màn đăng ký, đã nhập giá trị hợp lệ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</si>
  <si>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Nhấn button đăng ký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>Kiểm tra audit log: `SELECT after_value FROM t_log WHERE target_id={ID mới} AND operation='CREATE'`</t>
    </r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</si>
  <si>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Tiếp nhận bình thường, đăng ký thành công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`after_value` chứa JSON data đăng ký, `before_value` là chuỗi rỗng (vì là CREATE), không chứa thông tin nhạy cảm như password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>・Tuân thủ nestjs.md §Audit Log "Không include thông tin nhạy cảm như password"
・before_value được set chuỗi rỗng vì là INSERT</t>
    </r>
  </si>
  <si>
    <t>Logic nghiệp vụ — Cập nhật (Function — Edit)</t>
  </si>
  <si>
    <t>ACSMS-TC-009-056</t>
  </si>
  <si>
    <t>Màn chỉnh sửa — Hiển thị data có sẵn</t>
  </si>
  <si>
    <t>・role: NICHINO_ADMIN
・Data sẵn có: `kanri_shiten_id=10, kanri_shiten_code='1AA-3300-010'` tồn tại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</si>
  <si>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Tại màn list, click cột mã chi nhánh quản lý `1AA-3300-010`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giá trị khởi tạo của từng field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</si>
  <si>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Màn `/kanri-shiten/10/edit`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Khớp hoàn toàn với giá trị DB — Tên JA / Mã chi nhánh quản lý / Tên chi nhánh quản lý / Tên chi nhánh quản lý (kana) / 都道府県 / Mã bưu điện / Địa chỉ / Số điện thoại / FAX / Cờ bản giấy / Cờ bản điện tử / Biko đều khớp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・Data lấy từ GET /api/v1/kanri-shiten/{id} được phản ánh vào form
</t>
    </r>
    <r>
      <rPr>
        <rFont val="メイリオ"/>
        <color rgb="FF000000"/>
        <sz val="10.0"/>
      </rPr>
      <t>・Tên 都道府県 lấy từ JOIN cũng được hiển thị kèm</t>
    </r>
  </si>
  <si>
    <t>ACSMS-TC-009-057</t>
  </si>
  <si>
    <t>Màn chỉnh sửa — Mã chi nhánh quản lý không thể thay đổi (read-only)</t>
  </si>
  <si>
    <t>・role: NICHINO_ADMIN
・Data sẵn có: `kanri_shiten_id=20, kanri_shiten_code='1AA-3300-020', ja_id=1`
・Màn chỉnh sửa `/kanri-shiten/20/edit` đã hiển thị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</si>
  <si>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Xác nhận bằng mắt ô input "Mã chi nhánh quản lý" trên màn đang bị disable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Kiểm tra attribute `disabled` của phần tử input bằng DevTools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Thực thi `fetch('/api/v1/kanri-shiten/20', { method: 'PUT', body: JSON.stringify({ kanri_shiten_code: '1AA-3300-HACK', kanri_shiten_name: 'XXX', todofuken_code: '13' }), headers: { 'Content-Type': 'application/json' }, credentials: 'include' })` từ Console DevTools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>Kiểm tra DB: `SELECT kanri_shiten_code FROM m_kanri_shiten WHERE kanri_shiten_id=20`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</si>
  <si>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Ô input Mã chi nhánh quản lý hiển thị ở trạng thái disable, user không chỉnh sửa được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Có attribute `disabled`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Trả về HTTP 200 (bản thân update vẫn thành công)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Cột `kanri_shiten_code` vẫn là `1AA-3300-020` (do BE loại `kanri_shiten_code` khỏi update body nên không bị thay đổi)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・Tuân thủ api.md §ghi chú update body "không include `kanri_shiten_code` và `ja_id` vào update body"
</t>
    </r>
    <r>
      <rPr>
        <rFont val="メイリオ"/>
        <color rgb="FF000000"/>
        <sz val="10.0"/>
      </rPr>
      <t>・FE `:disabled="isEdit"` chỉ là UX. Ranh giới security thực sự là thiết kế DTO của BE</t>
    </r>
  </si>
  <si>
    <t>ACSMS-TC-009-058</t>
  </si>
  <si>
    <t>Màn chỉnh sửa — Tên JA không thể thay đổi (read-only)</t>
  </si>
  <si>
    <t>・role: NICHINO_ADMIN
・Data sẵn có: `kanri_shiten_id=21, ja_id=1`
・Màn chỉnh sửa `/kanri-shiten/21/edit` đã hiển thị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</si>
  <si>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Xác nhận bằng mắt dropdown "Tên JA" trên màn đang bị disable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Thực thi `fetch('/api/v1/kanri-shiten/21', { method: 'PUT', body: JSON.stringify({ ja_id: 99, kanri_shiten_name: 'XXX', todofuken_code: '13' }), headers: { 'Content-Type': 'application/json' }, credentials: 'include' })` từ Console DevTools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DB: `SELECT ja_id FROM m_kanri_shiten WHERE kanri_shiten_id=21`</t>
    </r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</si>
  <si>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Dropdown Tên JA hiển thị ở trạng thái disable, user không chỉnh sửa được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Trả về HTTP 200 (bản thân update vẫn thành công)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Cột `ja_id` vẫn là `1` (do BE loại `ja_id` khỏi update body nên không bị thay đổi)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>・Tên JA không thể thay đổi sau khi đăng ký (JA thuộc của chi nhánh quản lý là cố định)
・Tuân thủ api.md §ghi chú update body</t>
    </r>
  </si>
  <si>
    <t>ACSMS-TC-009-059</t>
  </si>
  <si>
    <t>Chỉnh sửa Normal update (DB + audit log)</t>
  </si>
  <si>
    <t>・role: NICHINO_ADMIN
・Data sẵn có: `kanri_shiten_id=10` ở state có thể chỉnh sửa
・Input chỉnh sửa: Tên chi nhánh quản lý `更新後の名前`, Địa chỉ `更新後の住所`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</si>
  <si>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Tại màn chỉnh sửa thay đổi giá trị → nhấn button update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Kiểm tra DB: `SELECT kanri_shiten_name, address, updated_at FROM m_kanri_shiten WHERE kanri_shiten_id=10`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>Kiểm tra audit log: `SELECT * FROM t_log WHERE target_id=10 AND operation='UPDATE' ORDER BY log_datetime DESC LIMIT 1`</t>
    </r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</si>
  <si>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Trả về HTTP 200 (`message: 更新しました。`), hiển thị toast thành công `更新しました。`, chuyển về màn list `/kanri-shiten`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`kanri_shiten_name` là `更新後の名前`, `address` là `更新後の住所`, `updated_at` được update thành thời điểm hiện tại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1 dòng được ghi, JSON `before_value` chứa giá trị cũ, JSON `after_value` chứa giá trị mới, `log_type=1`, `result_status=1`, `operation='UPDATE'`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>・DB update thành công, `updated_at` tự động update
・Có thể so sánh đầy đủ trước / sau update trong audit log</t>
    </r>
  </si>
  <si>
    <t>ACSMS-TC-009-060</t>
  </si>
  <si>
    <t>Chỉnh sửa — Xử lý conflict khi edit đồng thời (optimistic lock)</t>
  </si>
  <si>
    <t>・Data sẵn có: `kanri_shiten_id=10` tồn tại
・User A: tại trình duyệt A đang mở `/kanri-shiten/10/edit` và nhập
・User B: tại trình duyệt B khác chỉnh sửa cùng record và lưu trước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</si>
  <si>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User B nhấn button update với giá trị hợp lệ trước → thành công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User A nhấn button update (với `updated_at` cũ)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User A reload màn hình</t>
    </r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</si>
  <si>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`updated_at` của DB được update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Conflict được phát hiện, submit bị chặn (`error_code` cho conflict optimistic lock chưa định nghĩa quy cách (TBD))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Nội dung update của User B được phản ánh, có thể chỉnh sửa lại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>・Optimistic lock chống mất update
・TBD: error_code và text toast khi conflict optimistic lock chưa định nghĩa trong api.md / screen-design.md. Sẽ update sau khi thiết kế xong.</t>
    </r>
  </si>
  <si>
    <t>Chống mất update — bắt buộc vì có ảnh hưởng nghiêm trọng đến tính nhất quán của data master quan trọng.</t>
  </si>
  <si>
    <t>ACSMS-TC-009-061</t>
  </si>
  <si>
    <t>Chỉnh sửa — Hành vi khi nhấn button quay lại</t>
  </si>
  <si>
    <t>・Màn chỉnh sửa, đã nhập thay đổi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</si>
  <si>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Tại màn chỉnh sửa, nhập thay đổi giá trị cho từng trường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Nhấn button "前の画面に戻る"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Kiểm tra DB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>Kiểm tra audit log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</si>
  <si>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Giá trị nhập được giữ trong state form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Chuyển về màn list `/kanri-shiten` mà không có modal xác nhận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Không bị update, giữ nguyên giá trị cũ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Không có UPDATE log được ghi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・Khi cancel không có thay đổi DB, không có ghi log</t>
    </r>
  </si>
  <si>
    <t>ACSMS-TC-009-062</t>
  </si>
  <si>
    <t>Chỉnh sửa — Update từng phần (chỉ update trường đã thay đổi)</t>
  </si>
  <si>
    <t>・role: NICHINO_ADMIN
・Data sẵn có: `kanri_shiten_id=11` có giá trị cũ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</si>
  <si>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Mở màn chỉnh sửa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Chỉ thay đổi Số điện thoại thành `0399999999` → nhấn button update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>Kiểm tra DB: `SELECT * FROM m_kanri_shiten WHERE kanri_shiten_id=11`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</si>
  <si>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Data sẵn có được hiển thị trên form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Update thành công, `updated_at` được update thành thời điểm hiện tại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Chỉ `tel` được đổi thành `0399999999`, các trường khác giữ nguyên giá trị cũ (Tên chi nhánh quản lý / Địa chỉ / Mã bưu điện / FAX / Biko v.v.)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・Khi update từng phần cũng gửi toàn bộ trường bằng PUT, nhưng nếu không thay đổi thì giá trị DB thực chất không thay đổi
</t>
    </r>
    <r>
      <rPr>
        <rFont val="メイリオ"/>
        <color rgb="FF000000"/>
        <sz val="10.0"/>
      </rPr>
      <t>・`updated_by` được update thành account_id của user đang login</t>
    </r>
  </si>
  <si>
    <t>ACSMS-TC-009-063</t>
  </si>
  <si>
    <t>Chỉnh sửa — Validation đầu vào (thử update với trường required rỗng)</t>
  </si>
  <si>
    <t>・role: NICHINO_ADMIN
・Màn chỉnh sửa, đang hiển thị data sẵn có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</si>
  <si>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Đổi Tên chi nhánh quản lý thành rỗng → nhấn button update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Clear dropdown 都道府県 bằng × → nhấn button update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DB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</si>
  <si>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Hiển thị `必須項目です。` ngay dưới trường, submit bị chặn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Hiển thị `必須項目です。` ngay dưới trường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Không bị update, giữ nguyên giá trị cũ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・Màn chỉnh sửa áp dụng check required tương đương màn đăng ký
</t>
    </r>
    <r>
      <rPr>
        <rFont val="メイリオ"/>
        <color rgb="FF000000"/>
        <sz val="10.0"/>
      </rPr>
      <t>・BE PUT DTO có `kanri_shiten_name` / `todofuken_code` là required</t>
    </r>
  </si>
  <si>
    <t>ACSMS-TC-009-064</t>
  </si>
  <si>
    <t>Màn chỉnh sửa — Truy cập trực tiếp record đã xóa (NOT_FOUND)</t>
  </si>
  <si>
    <t>・role: NICHINO_ADMIN
・Data sẵn có: record chi nhánh quản lý (`kanri_shiten_id=999`) đã xóa (hoặc không tồn tại)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</si>
  <si>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Nhập `/kanri-shiten/999/edit` vào address bar trình duyệt, truy cập trực tiếp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>Kiểm tra GET `/api/v1/kanri-shiten/999` trong tab Network của DevTools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</si>
  <si>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Chuyển trang thất bại, bị bounce về `/dashboard`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404 (`error_code: NOT_FOUND`, message `指定された管理支店が見つかりません。`)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・Truy cập đến resource không tồn tại / đã xóa đều trả về NOT_FOUND
</t>
    </r>
    <r>
      <rPr>
        <rFont val="メイリオ"/>
        <color rgb="FF000000"/>
        <sz val="10.0"/>
      </rPr>
      <t>・Tương ứng ACSMS-MSG-009-005</t>
    </r>
  </si>
  <si>
    <t>Xử lý lỗi chung (Common Error Handling)</t>
  </si>
  <si>
    <t>ACSMS-TC-009-065</t>
  </si>
  <si>
    <t>Lỗi chung UNAUTHORIZED — Xử lý khi session hết hạn</t>
  </si>
  <si>
    <t>・role: NICHINO_ADMIN
・Đã nhập giá trị hợp lệ tại màn đăng ký
・Đã quá 24h kể từ thao tác cuối, TTL session Redis đã hết hạn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</si>
  <si>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Nhấn button "登録", gửi API request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Kiểm tra nội dung response và chuyển trang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>Kiểm tra DB: `SELECT COUNT(*) FROM m_kanri_shiten WHERE kanri_shiten_code='SESSION-TEST'`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</si>
  <si>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401 (`error_code: UNAUTHORIZED`, message `セッションが切れました。再度ログインしてください。`)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Phía FE state user trong Pinia auth store được clear, tự động chuyển về `/login?redirect=/kanri-shiten/create`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0 record (không bị đăng ký)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・Khi session hết hạn, BE SessionAuthGuard trả 401, axios interceptor phía FE thống nhất chuyển về màn login
</t>
    </r>
    <r>
      <rPr>
        <rFont val="メイリオ"/>
        <color rgb="FF000000"/>
        <sz val="10.0"/>
      </rPr>
      <t>・Giá trị nhập bị bỏ (cần nhập lại sau khi login lại)</t>
    </r>
  </si>
  <si>
    <t>ACSMS-TC-009-066</t>
  </si>
  <si>
    <t>Lỗi chung BAD_REQUEST — Request param không hợp lệ</t>
  </si>
  <si>
    <t>・role: NICHINO_ADMIN
・Đang mở tab Network của DevTools trình duyệt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</si>
  <si>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Thực thi `fetch('/api/v1/kanri-shiten', { method: 'POST', body: '{invalid json', headers: { 'Content-Type': 'application/json' }, credentials: 'include' })` từ Console DevTools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Kiểm tra HTTP status và error_code của response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>Kiểm tra DB: `SELECT COUNT(*) FROM m_kanri_shiten WHERE kanri_shiten_code='BAD-REQ-TEST'`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</si>
  <si>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Request bị reject bởi body parser của BE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400 (`error_code: BAD_REQUEST`, message `リクエストパラメータが不正です。`)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0 record (không bị đăng ký)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・Lỗi parse JSON, Content-Type không hợp lệ, param không xác định đều map vào BAD_REQUEST
</t>
    </r>
    <r>
      <rPr>
        <rFont val="メイリオ"/>
        <color rgb="FF000000"/>
        <sz val="10.0"/>
      </rPr>
      <t>・Error log với `log_type=3` được ghi vào `t_log`</t>
    </r>
  </si>
  <si>
    <t>ACSMS-TC-009-067</t>
  </si>
  <si>
    <t>Lỗi chung VALIDATION_ERROR — Kiểm tra shape response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</si>
  <si>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Tại màn đăng ký, để trống toàn bộ trường required (Tên JA, Mã chi nhánh quản lý, Tên chi nhánh quản lý, 都道府県) rồi nhấn button đăng ký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>Kiểm tra cấu trúc JSON của response body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</si>
  <si>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400 (`error_code: VALIDATION_ERROR`, message `入力値が不正です。詳細はerrorsフィールドを確認してください`)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Response shape có chứa mảng `errors` như sau:
</t>
    </r>
    <r>
      <rPr>
        <rFont val="メイリオ"/>
        <color rgb="FF000000"/>
        <sz val="10.0"/>
      </rPr>
      <t xml:space="preserve">`{ error_code: "VALIDATION_ERROR", message: "...", errors: [{ field: "ja_id", message: "JAを選択してください。" }, { field: "kanri_shiten_code", message: "管理支店コードを入力してください。" }, …] }`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・ValidationPipe + GlobalExceptionFilter phía BE trả VALIDATION_ERROR theo shape chung
</t>
    </r>
    <r>
      <rPr>
        <rFont val="メイリオ"/>
        <color rgb="FF000000"/>
        <sz val="10.0"/>
      </rPr>
      <t>・`useApiForm` phía FE map `errors[]` vào `&lt;a-form-item :help&gt;`</t>
    </r>
  </si>
  <si>
    <t>ACSMS-TC-009-068</t>
  </si>
  <si>
    <t>Lỗi chung TOO_MANY_REQUESTS — Vượt quá rate limit</t>
  </si>
  <si>
    <t>・role: NICHINO_ADMIN
・Đã nhập giá trị hợp lệ tại màn đăng ký
・Script test gửi &gt;100 request POST `/api/v1/kanri-shiten` trong 1 phút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</si>
  <si>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Khởi chạy script, gửi request tần suất cao đến API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HTTP status và error_code của response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hiển thị toast phía màn hình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</si>
  <si>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100 request đầu response bình thường, từ đó trở đi trả về 429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429 (`error_code: TOO_MANY_REQUESTS`, message `リクエスト回数が上限を超えました。しばらくしてから再度お試しください。`)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Hiển thị toast `リクエスト回数が上限を超えました。しばらくしてから再度お試しください。`, button đăng ký bị tạm disable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・NestJS @Throttle decorator + AWS WAF rate limit block ở cả tầng infra / app
</t>
    </r>
    <r>
      <rPr>
        <rFont val="メイリオ"/>
        <color rgb="FF000000"/>
        <sz val="10.0"/>
      </rPr>
      <t>・Tuân thủ quan điểm VP-A-08 "Rate limit / Throttling"</t>
    </r>
  </si>
  <si>
    <t>ACSMS-TC-009-069</t>
  </si>
  <si>
    <t>Lỗi chung INTERNAL_SERVER_ERROR — Giả lập server crash</t>
  </si>
  <si>
    <t>・role: NICHINO_ADMIN
・Đã nhập giá trị hợp lệ tại màn đăng ký
・Phía BE cố tình ngắt kết nối DB hoặc throw exception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</si>
  <si>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Nhấn button đăng ký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HTTP status và error_code của response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Kiểm tra hiển thị toast phía màn hình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Kiểm tra DB: `SELECT COUNT(*) FROM m_kanri_shiten WHERE kanri_shiten_code='SERVER-ERR-TEST'`
</t>
    </r>
    <r>
      <rPr>
        <rFont val="メイリオ"/>
        <b/>
        <color rgb="FF000000"/>
        <sz val="10.0"/>
      </rPr>
      <t xml:space="preserve">ステップ5：
</t>
    </r>
    <r>
      <rPr>
        <rFont val="メイリオ"/>
        <color rgb="FF000000"/>
        <sz val="10.0"/>
      </rPr>
      <t>Kiểm tra error log: `SELECT * FROM t_log WHERE log_type=3 AND target_table='m_kanri_shiten' ORDER BY log_datetime DESC LIMIT 1`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</si>
  <si>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500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`error_code: INTERNAL_SERVER_ERROR`, message `システムエラーが発生しました。しばらくしてから再度お試しください。`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Hiển thị toast `システムエラーが発生しました。しばらくしてから再度お試しください。`, vẫn ở màn đăng ký, giá trị nhập được giữ lại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0 record (đã rollback)
</t>
    </r>
    <r>
      <rPr>
        <rFont val="メイリオ"/>
        <b/>
        <color rgb="FF000000"/>
        <sz val="10.0"/>
      </rPr>
      <t xml:space="preserve">ステップ5：
</t>
    </r>
    <r>
      <rPr>
        <rFont val="メイリオ"/>
        <color rgb="FF000000"/>
        <sz val="10.0"/>
      </rPr>
      <t xml:space="preserve">1 dòng error log được ghi, `log_type=3`, `result_status=2`, `error_message` chứa nội dung exception, `stack_trace` chứa stack trace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・Cả hai trường hợp lỗi đều duy trì data integrity
</t>
    </r>
    <r>
      <rPr>
        <rFont val="メイリオ"/>
        <color rgb="FF000000"/>
        <sz val="10.0"/>
      </rPr>
      <t>・Error log được ghi riêng ngoài transaction của xử lý chính nên vẫn còn sau khi rollback</t>
    </r>
  </si>
  <si>
    <t>ACSMS-TC-009-070</t>
  </si>
  <si>
    <t>Lỗi chung NOT_FOUND — Truy cập chỉnh sửa record đã xóa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</si>
  <si>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Nhập `/kanri-shiten/999/edit` vào address bar trình duyệt, truy cập trực tiếp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Kiểm tra GET `/api/v1/kanri-shiten/999` trong tab Network của DevTools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>Thực thi `fetch('/api/v1/kanri-shiten/999', { method: 'PUT', body: JSON.stringify({ kanri_shiten_name: 'X', todofuken_code: '13' }), headers: { 'Content-Type': 'application/json' }, credentials: 'include' })` từ Console DevTools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</si>
  <si>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Chuyển trang thất bại, hiển thị toast lỗi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404 (`error_code: NOT_FOUND`, message `指定された管理支店が見つかりません。`)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Trả về HTTP 404 (cùng error_code và message như trên)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・Truy cập đến resource không tồn tại / đã xóa đều trả về NOT_FOUND
</t>
    </r>
    <r>
      <rPr>
        <rFont val="メイリオ"/>
        <color rgb="FF000000"/>
        <sz val="10.0"/>
      </rPr>
      <t>・Tương ứng ACSMS-MSG-009-005</t>
    </r>
  </si>
  <si>
    <t>ACSMS-TC-009-071</t>
  </si>
  <si>
    <t>Lỗi chung — Xử lý khi mất kết nối mạng</t>
  </si>
  <si>
    <t>・role: NICHINO_ADMIN
・Đã nhập giá trị hợp lệ tại màn đăng ký
・Set Throttling tab Network của DevTools thành "Offline"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</si>
  <si>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Nhấn button đăng ký khi mạng đang ngắt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hiển thị toast phía màn hình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trạng thái giá trị nhập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</si>
  <si>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Request thất bại do không tới được network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Hiển thị toast `ネットワークエラーが発生しました。接続をご確認ください。`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Giá trị nhập được giữ lại (form không bị clear)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・Axios interceptor detect network error và hiển thị toast
</t>
    </r>
    <r>
      <rPr>
        <rFont val="メイリオ"/>
        <color rgb="FF000000"/>
        <sz val="10.0"/>
      </rPr>
      <t>・Vẫn ở màn đăng ký, có thể retry</t>
    </r>
  </si>
  <si>
    <t>ACSMS-TC-009-072</t>
  </si>
  <si>
    <t>Lỗi chung DATA_SCOPE_VIOLATION — Thử truy cập record của JA khác</t>
  </si>
  <si>
    <t>・role: NICHINO_ADMIN (không giới hạn data scope, kiểm tra tham khảo)
・Kịch bản tham khảo cho trường hợp tương lai CHUOKAI / JA_HONTEN / JA_KANRI_SHITEN cũng được cấp quyền chỉnh sửa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</si>
  <si>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Giả định CHUOKAI (thuộc chuokai-001) login và truy cập trực tiếp record chi nhánh quản lý `kanri_shiten_id=50` thuộc chuokai khác qua `/kanri-shiten/50/edit`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Thực thi GET `/api/v1/kanri-shiten/50` từ Console DevTools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</si>
  <si>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Chuyển trang thất bại, bị bounce về `/dashboard`, hiển thị toast `アクセス権がありません。` hoặc NOT_FOUND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404 (`error_code: NOT_FOUND`, message `指定された管理支店が見つかりません。`)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・Vi phạm data scope được trả về dưới dạng HTTP 404 (NOT_FOUND) để che giấu sự tồn tại (không leak việc có row hay không)
</t>
    </r>
    <r>
      <rPr>
        <rFont val="メイリオ"/>
        <color rgb="FF000000"/>
        <sz val="10.0"/>
      </rPr>
      <t xml:space="preserve">・Trong danh sách lỗi của api.md định nghĩa là DATA_SCOPE_VIOLATION (403), nhưng implementation tuân thủ rule `assertJaScope` của security.md, ưu tiên masking 404
</t>
    </r>
    <r>
      <rPr>
        <rFont val="メイリオ"/>
        <color rgb="FF000000"/>
        <sz val="10.0"/>
      </rPr>
      <t>・Seed hiện hành chỉ NICHINO_ADMIN thao tác được, nhưng TC này giữ lại để kiểm tra cho trường hợp tương lai non-NICHINO_ADMIN được cấp quyền chỉnh sửa</t>
    </r>
  </si>
  <si>
    <t>TC tham khảo cho mở rộng tương lai. Implementation hiện hành theo ma trận account_concept.md chỉ NICHINO_ADMIN thao tác được.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</si>
</sst>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/m/yyyy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游ゴシック"/>
    </font>
    <font/>
    <font>
      <b/>
      <sz val="14.0"/>
      <color rgb="FF000000"/>
      <name val="游ゴシック"/>
    </font>
    <font>
      <sz val="11.0"/>
      <color rgb="FF000000"/>
      <name val="游ゴシック"/>
    </font>
    <font>
      <sz val="26.0"/>
      <color rgb="FF1F3864"/>
      <name val="游ゴシック"/>
    </font>
    <font>
      <sz val="24.0"/>
      <color rgb="FF1F3864"/>
      <name val="游ゴシック"/>
    </font>
    <font>
      <sz val="15.0"/>
      <color theme="1"/>
      <name val="游ゴシック"/>
    </font>
    <font>
      <sz val="10.0"/>
      <color rgb="FF000000"/>
      <name val="游ゴシック"/>
    </font>
    <font>
      <sz val="11.0"/>
      <color theme="1"/>
      <name val="Arial"/>
    </font>
    <font>
      <i/>
      <sz val="11.0"/>
      <color rgb="FF000000"/>
      <name val="游ゴシック"/>
    </font>
  </fonts>
  <fills count="10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BDD6EE"/>
        <bgColor rgb="FFBDD6EE"/>
      </patternFill>
    </fill>
    <fill>
      <patternFill patternType="solid">
        <fgColor rgb="FFD9E2F3"/>
        <bgColor rgb="FFD9E2F3"/>
      </patternFill>
    </fill>
    <fill>
      <patternFill patternType="solid">
        <fgColor rgb="FFFFFF99"/>
        <bgColor rgb="FFFFFF99"/>
      </patternFill>
    </fill>
    <fill>
      <patternFill patternType="solid">
        <fgColor rgb="FFDEEAF6"/>
        <bgColor rgb="FFDEEAF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18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center" shrinkToFit="0" vertical="center" wrapText="1"/>
    </xf>
    <xf borderId="3" fillId="0" fontId="1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1" numFmtId="0" xfId="0" applyBorder="1" applyFont="1"/>
    <xf borderId="4" fillId="3" fontId="2" numFmtId="0" xfId="0" applyAlignment="1" applyBorder="1" applyFill="1" applyFont="1">
      <alignment horizontal="left" shrinkToFit="0" vertical="center" wrapText="1"/>
    </xf>
    <xf borderId="8" fillId="0" fontId="1" numFmtId="0" xfId="0" applyBorder="1" applyFont="1"/>
    <xf borderId="9" fillId="0" fontId="1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1" fillId="0" fontId="5" numFmtId="49" xfId="0" applyAlignment="1" applyBorder="1" applyFont="1" applyNumberForma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8" fillId="0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8" fillId="0" fontId="8" numFmtId="0" xfId="0" applyAlignment="1" applyBorder="1" applyFont="1">
      <alignment horizontal="center" shrinkToFit="0" vertical="center" wrapText="1"/>
    </xf>
    <xf borderId="4" fillId="0" fontId="5" numFmtId="49" xfId="0" applyAlignment="1" applyBorder="1" applyFont="1" applyNumberForma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3" fillId="3" fontId="2" numFmtId="0" xfId="0" applyAlignment="1" applyBorder="1" applyFont="1">
      <alignment horizontal="center" shrinkToFit="0" vertical="center" wrapText="1"/>
    </xf>
    <xf borderId="4" fillId="4" fontId="9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14" fillId="5" fontId="2" numFmtId="0" xfId="0" applyAlignment="1" applyBorder="1" applyFill="1" applyFont="1">
      <alignment horizontal="left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4" fillId="4" fontId="9" numFmtId="49" xfId="0" applyAlignment="1" applyBorder="1" applyFont="1" applyNumberFormat="1">
      <alignment horizontal="center" shrinkToFit="0" vertical="center" wrapText="1"/>
    </xf>
    <xf borderId="2" fillId="6" fontId="2" numFmtId="0" xfId="0" applyAlignment="1" applyBorder="1" applyFill="1" applyFont="1">
      <alignment horizontal="left" shrinkToFit="0" vertical="center" wrapText="1"/>
    </xf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4" fillId="0" fontId="5" numFmtId="164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164" xfId="0" applyAlignment="1" applyBorder="1" applyFont="1" applyNumberFormat="1">
      <alignment horizontal="center" shrinkToFit="0" vertical="center" wrapText="1"/>
    </xf>
    <xf borderId="2" fillId="6" fontId="2" numFmtId="0" xfId="0" applyAlignment="1" applyBorder="1" applyFont="1">
      <alignment horizontal="center" shrinkToFit="0" vertical="center" wrapText="1"/>
    </xf>
    <xf borderId="4" fillId="6" fontId="2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7" fontId="2" numFmtId="0" xfId="0" applyAlignment="1" applyBorder="1" applyFill="1" applyFont="1">
      <alignment horizontal="center" shrinkToFit="0" vertical="top" wrapText="1"/>
    </xf>
    <xf borderId="4" fillId="8" fontId="2" numFmtId="0" xfId="0" applyAlignment="1" applyBorder="1" applyFill="1" applyFont="1">
      <alignment horizontal="center" shrinkToFit="0" vertical="top" wrapText="1"/>
    </xf>
    <xf borderId="13" fillId="6" fontId="2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center" readingOrder="0" shrinkToFit="0" vertical="top" wrapText="1"/>
    </xf>
    <xf borderId="4" fillId="0" fontId="10" numFmtId="0" xfId="0" applyAlignment="1" applyBorder="1" applyFont="1">
      <alignment horizontal="center" shrinkToFit="0" vertical="top" wrapText="1"/>
    </xf>
    <xf borderId="4" fillId="0" fontId="10" numFmtId="165" xfId="0" applyAlignment="1" applyBorder="1" applyFont="1" applyNumberFormat="1">
      <alignment horizontal="center" readingOrder="0" shrinkToFit="0" vertical="top" wrapText="1"/>
    </xf>
    <xf borderId="4" fillId="9" fontId="2" numFmtId="0" xfId="0" applyAlignment="1" applyBorder="1" applyFill="1" applyFont="1">
      <alignment horizontal="center" shrinkToFit="0" vertical="top" wrapText="1"/>
    </xf>
    <xf borderId="4" fillId="3" fontId="2" numFmtId="0" xfId="0" applyAlignment="1" applyBorder="1" applyFont="1">
      <alignment horizontal="right" shrinkToFit="0" vertical="center" wrapText="1"/>
    </xf>
    <xf borderId="4" fillId="0" fontId="2" numFmtId="0" xfId="0" applyAlignment="1" applyBorder="1" applyFont="1">
      <alignment horizontal="center" shrinkToFit="0" vertical="top" wrapText="1"/>
    </xf>
    <xf borderId="4" fillId="0" fontId="11" numFmtId="0" xfId="0" applyAlignment="1" applyBorder="1" applyFont="1">
      <alignment horizontal="left" shrinkToFit="0" vertical="top" wrapText="1"/>
    </xf>
    <xf borderId="4" fillId="0" fontId="5" numFmtId="165" xfId="0" applyAlignment="1" applyBorder="1" applyFont="1" applyNumberForma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2</xdr:row>
      <xdr:rowOff>0</xdr:rowOff>
    </xdr:from>
    <xdr:ext cx="1333500" cy="51435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37" width="3.29"/>
  </cols>
  <sheetData>
    <row r="1" ht="19.5" customHeight="1"/>
    <row r="2" ht="12.75" customHeight="1"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8"/>
    </row>
    <row r="3" ht="12.75" customHeight="1">
      <c r="B3" s="10"/>
      <c r="AK3" s="11"/>
    </row>
    <row r="4" ht="12.75" customHeight="1">
      <c r="B4" s="10"/>
      <c r="AK4" s="11"/>
    </row>
    <row r="5" ht="12.75" customHeight="1">
      <c r="B5" s="10"/>
      <c r="AK5" s="11"/>
    </row>
    <row r="6" ht="12.75" customHeight="1">
      <c r="B6" s="10"/>
      <c r="AK6" s="11"/>
    </row>
    <row r="7" ht="12.75" customHeight="1">
      <c r="B7" s="10"/>
      <c r="AK7" s="11"/>
    </row>
    <row r="8" ht="12.75" customHeight="1">
      <c r="B8" s="10"/>
      <c r="AK8" s="11"/>
    </row>
    <row r="9" ht="12.75" customHeight="1">
      <c r="B9" s="10"/>
      <c r="AK9" s="11"/>
    </row>
    <row r="10" ht="29.25" customHeight="1">
      <c r="B10" s="19" t="s">
        <v>16</v>
      </c>
      <c r="AK10" s="20"/>
    </row>
    <row r="11" ht="12.75" customHeight="1">
      <c r="B11" s="10"/>
      <c r="AK11" s="11"/>
    </row>
    <row r="12" ht="39.0" customHeight="1">
      <c r="B12" s="23" t="s">
        <v>26</v>
      </c>
      <c r="AK12" s="20"/>
    </row>
    <row r="13" ht="12.75" customHeight="1">
      <c r="B13" s="10"/>
      <c r="AK13" s="11"/>
    </row>
    <row r="14" ht="12.75" customHeight="1">
      <c r="B14" s="10"/>
      <c r="AK14" s="11"/>
    </row>
    <row r="15" ht="12.75" customHeight="1">
      <c r="B15" s="25" t="s">
        <v>27</v>
      </c>
      <c r="AK15" s="20"/>
    </row>
    <row r="16" ht="12.75" customHeight="1">
      <c r="B16" s="10"/>
      <c r="AK16" s="11"/>
    </row>
    <row r="17" ht="12.75" customHeight="1">
      <c r="B17" s="10"/>
      <c r="AK17" s="11"/>
    </row>
    <row r="18" ht="12.75" customHeight="1">
      <c r="B18" s="10"/>
      <c r="N18" s="30" t="s">
        <v>32</v>
      </c>
      <c r="O18" s="5"/>
      <c r="P18" s="5"/>
      <c r="Q18" s="5"/>
      <c r="R18" s="7"/>
      <c r="S18" s="30" t="s">
        <v>37</v>
      </c>
      <c r="T18" s="5"/>
      <c r="U18" s="5"/>
      <c r="V18" s="5"/>
      <c r="W18" s="7"/>
      <c r="AK18" s="11"/>
    </row>
    <row r="19" ht="12.75" customHeight="1">
      <c r="B19" s="10"/>
      <c r="N19" s="30" t="s">
        <v>42</v>
      </c>
      <c r="O19" s="5"/>
      <c r="P19" s="5"/>
      <c r="Q19" s="5"/>
      <c r="R19" s="7"/>
      <c r="S19" s="30" t="s">
        <v>18</v>
      </c>
      <c r="T19" s="5"/>
      <c r="U19" s="5"/>
      <c r="V19" s="5"/>
      <c r="W19" s="7"/>
      <c r="AK19" s="11"/>
    </row>
    <row r="20" ht="12.75" customHeight="1">
      <c r="B20" s="10"/>
      <c r="N20" s="30" t="s">
        <v>3</v>
      </c>
      <c r="O20" s="5"/>
      <c r="P20" s="5"/>
      <c r="Q20" s="5"/>
      <c r="R20" s="7"/>
      <c r="S20" s="37" t="s">
        <v>24</v>
      </c>
      <c r="T20" s="5"/>
      <c r="U20" s="5"/>
      <c r="V20" s="5"/>
      <c r="W20" s="7"/>
      <c r="AK20" s="11"/>
    </row>
    <row r="21" ht="12.75" customHeight="1">
      <c r="B21" s="10"/>
      <c r="AK21" s="11"/>
    </row>
    <row r="22" ht="12.75" customHeight="1">
      <c r="B22" s="10"/>
      <c r="AK22" s="11"/>
    </row>
    <row r="23" ht="12.75" customHeight="1">
      <c r="B23" s="10"/>
      <c r="AK23" s="11"/>
    </row>
    <row r="24" ht="12.75" customHeight="1">
      <c r="B24" s="10"/>
      <c r="AK24" s="11"/>
    </row>
    <row r="25" ht="12.75" customHeight="1">
      <c r="B25" s="10"/>
      <c r="AK25" s="11"/>
    </row>
    <row r="26" ht="12.75" customHeight="1">
      <c r="B26" s="10"/>
      <c r="AK26" s="11"/>
    </row>
    <row r="27" ht="12.75" customHeight="1">
      <c r="B27" s="10"/>
      <c r="AK27" s="11"/>
    </row>
    <row r="28" ht="12.75" customHeight="1">
      <c r="B28" s="10"/>
      <c r="AK28" s="11"/>
    </row>
    <row r="29" ht="12.75" customHeight="1">
      <c r="B29" s="10"/>
      <c r="AK29" s="11"/>
    </row>
    <row r="30" ht="12.75" customHeight="1">
      <c r="B30" s="10"/>
      <c r="AK30" s="11"/>
    </row>
    <row r="31" ht="12.75" customHeight="1">
      <c r="B31" s="10"/>
      <c r="AK31" s="11"/>
    </row>
    <row r="32" ht="12.75" customHeight="1">
      <c r="B32" s="10"/>
      <c r="AK32" s="11"/>
    </row>
    <row r="33" ht="12.75" customHeight="1">
      <c r="B33" s="10"/>
      <c r="AK33" s="11"/>
    </row>
    <row r="34" ht="12.75" customHeight="1"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1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N20:R20"/>
    <mergeCell ref="S20:W20"/>
    <mergeCell ref="B10:AK10"/>
    <mergeCell ref="B12:AK12"/>
    <mergeCell ref="B15:AK15"/>
    <mergeCell ref="N18:R18"/>
    <mergeCell ref="S18:W18"/>
    <mergeCell ref="N19:R19"/>
    <mergeCell ref="S19:W1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34" width="3.29"/>
  </cols>
  <sheetData>
    <row r="1" ht="22.5" customHeight="1">
      <c r="A1" s="2" t="s">
        <v>0</v>
      </c>
      <c r="B1" s="4" t="s">
        <v>3</v>
      </c>
      <c r="C1" s="5"/>
      <c r="D1" s="5"/>
      <c r="E1" s="7"/>
      <c r="F1" s="4" t="s">
        <v>5</v>
      </c>
      <c r="G1" s="5"/>
      <c r="H1" s="7"/>
      <c r="I1" s="4" t="s">
        <v>7</v>
      </c>
      <c r="J1" s="5"/>
      <c r="K1" s="5"/>
      <c r="L1" s="5"/>
      <c r="M1" s="5"/>
      <c r="N1" s="7"/>
      <c r="O1" s="4" t="s">
        <v>9</v>
      </c>
      <c r="P1" s="5"/>
      <c r="Q1" s="5"/>
      <c r="R1" s="5"/>
      <c r="S1" s="5"/>
      <c r="T1" s="5"/>
      <c r="U1" s="5"/>
      <c r="V1" s="7"/>
      <c r="W1" s="4" t="s">
        <v>12</v>
      </c>
      <c r="X1" s="5"/>
      <c r="Y1" s="5"/>
      <c r="Z1" s="5"/>
      <c r="AA1" s="5"/>
      <c r="AB1" s="7"/>
      <c r="AC1" s="4" t="s">
        <v>15</v>
      </c>
      <c r="AD1" s="5"/>
      <c r="AE1" s="5"/>
      <c r="AF1" s="5"/>
      <c r="AG1" s="5"/>
      <c r="AH1" s="7"/>
    </row>
    <row r="2" ht="22.5" customHeight="1">
      <c r="A2" s="13">
        <v>1.0</v>
      </c>
      <c r="B2" s="16" t="s">
        <v>17</v>
      </c>
      <c r="C2" s="5"/>
      <c r="D2" s="5"/>
      <c r="E2" s="7"/>
      <c r="F2" s="16" t="s">
        <v>18</v>
      </c>
      <c r="G2" s="5"/>
      <c r="H2" s="7"/>
      <c r="I2" s="16" t="s">
        <v>21</v>
      </c>
      <c r="J2" s="5"/>
      <c r="K2" s="5"/>
      <c r="L2" s="5"/>
      <c r="M2" s="5"/>
      <c r="N2" s="7"/>
      <c r="O2" s="15" t="s">
        <v>23</v>
      </c>
      <c r="P2" s="5"/>
      <c r="Q2" s="5"/>
      <c r="R2" s="5"/>
      <c r="S2" s="5"/>
      <c r="T2" s="5"/>
      <c r="U2" s="5"/>
      <c r="V2" s="7"/>
      <c r="W2" s="16" t="s">
        <v>25</v>
      </c>
      <c r="X2" s="5"/>
      <c r="Y2" s="5"/>
      <c r="Z2" s="5"/>
      <c r="AA2" s="5"/>
      <c r="AB2" s="7"/>
      <c r="AC2" s="16"/>
      <c r="AD2" s="5"/>
      <c r="AE2" s="5"/>
      <c r="AF2" s="5"/>
      <c r="AG2" s="5"/>
      <c r="AH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2:H2"/>
    <mergeCell ref="I2:N2"/>
    <mergeCell ref="O2:V2"/>
    <mergeCell ref="W2:AB2"/>
    <mergeCell ref="B1:E1"/>
    <mergeCell ref="F1:H1"/>
    <mergeCell ref="I1:N1"/>
    <mergeCell ref="O1:V1"/>
    <mergeCell ref="W1:AB1"/>
    <mergeCell ref="AC1:AH1"/>
    <mergeCell ref="B2:E2"/>
    <mergeCell ref="AC2:AH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29"/>
  </cols>
  <sheetData>
    <row r="1" ht="19.5" customHeight="1">
      <c r="A1" s="4" t="s">
        <v>1</v>
      </c>
      <c r="B1" s="5"/>
      <c r="C1" s="5"/>
      <c r="D1" s="5"/>
      <c r="E1" s="5"/>
      <c r="F1" s="5"/>
      <c r="G1" s="5"/>
      <c r="H1" s="5"/>
      <c r="I1" s="7"/>
      <c r="J1" s="4" t="s">
        <v>4</v>
      </c>
      <c r="K1" s="5"/>
      <c r="L1" s="5"/>
      <c r="M1" s="5"/>
      <c r="N1" s="5"/>
      <c r="O1" s="5"/>
      <c r="P1" s="7"/>
      <c r="Q1" s="4" t="s">
        <v>6</v>
      </c>
      <c r="R1" s="5"/>
      <c r="S1" s="5"/>
      <c r="T1" s="5"/>
      <c r="U1" s="7"/>
      <c r="V1" s="4" t="s">
        <v>8</v>
      </c>
      <c r="W1" s="5"/>
      <c r="X1" s="5"/>
      <c r="Y1" s="7"/>
      <c r="Z1" s="4" t="s">
        <v>10</v>
      </c>
      <c r="AA1" s="5"/>
      <c r="AB1" s="5"/>
      <c r="AC1" s="7"/>
      <c r="AD1" s="4" t="s">
        <v>11</v>
      </c>
      <c r="AE1" s="5"/>
      <c r="AF1" s="5"/>
      <c r="AG1" s="7"/>
      <c r="AH1" s="4" t="s">
        <v>13</v>
      </c>
      <c r="AI1" s="5"/>
      <c r="AJ1" s="5"/>
      <c r="AK1" s="7"/>
    </row>
    <row r="2" ht="19.5" customHeight="1">
      <c r="A2" s="12" t="s">
        <v>16</v>
      </c>
      <c r="B2" s="14"/>
      <c r="C2" s="14"/>
      <c r="D2" s="14"/>
      <c r="E2" s="14"/>
      <c r="F2" s="14"/>
      <c r="G2" s="14"/>
      <c r="H2" s="14"/>
      <c r="I2" s="17"/>
      <c r="J2" s="12" t="s">
        <v>19</v>
      </c>
      <c r="K2" s="14"/>
      <c r="L2" s="14"/>
      <c r="M2" s="14"/>
      <c r="N2" s="14"/>
      <c r="O2" s="14"/>
      <c r="P2" s="17"/>
      <c r="Q2" s="12" t="s">
        <v>22</v>
      </c>
      <c r="R2" s="14"/>
      <c r="S2" s="14"/>
      <c r="T2" s="14"/>
      <c r="U2" s="17"/>
      <c r="V2" s="18" t="s">
        <v>24</v>
      </c>
      <c r="W2" s="14"/>
      <c r="X2" s="14"/>
      <c r="Y2" s="17"/>
      <c r="Z2" s="12" t="s">
        <v>21</v>
      </c>
      <c r="AA2" s="14"/>
      <c r="AB2" s="14"/>
      <c r="AC2" s="17"/>
      <c r="AD2" s="18" t="s">
        <v>24</v>
      </c>
      <c r="AE2" s="14"/>
      <c r="AF2" s="14"/>
      <c r="AG2" s="17"/>
      <c r="AH2" s="12" t="s">
        <v>21</v>
      </c>
      <c r="AI2" s="14"/>
      <c r="AJ2" s="14"/>
      <c r="AK2" s="17"/>
    </row>
    <row r="3" ht="19.5" customHeight="1">
      <c r="A3" s="21"/>
      <c r="B3" s="22"/>
      <c r="C3" s="22"/>
      <c r="D3" s="22"/>
      <c r="E3" s="22"/>
      <c r="F3" s="22"/>
      <c r="G3" s="22"/>
      <c r="H3" s="22"/>
      <c r="I3" s="24"/>
      <c r="J3" s="21"/>
      <c r="K3" s="22"/>
      <c r="L3" s="22"/>
      <c r="M3" s="22"/>
      <c r="N3" s="22"/>
      <c r="O3" s="22"/>
      <c r="P3" s="24"/>
      <c r="Q3" s="21"/>
      <c r="R3" s="22"/>
      <c r="S3" s="22"/>
      <c r="T3" s="22"/>
      <c r="U3" s="24"/>
      <c r="V3" s="21"/>
      <c r="W3" s="22"/>
      <c r="X3" s="22"/>
      <c r="Y3" s="24"/>
      <c r="Z3" s="21"/>
      <c r="AA3" s="22"/>
      <c r="AB3" s="22"/>
      <c r="AC3" s="24"/>
      <c r="AD3" s="21"/>
      <c r="AE3" s="22"/>
      <c r="AF3" s="22"/>
      <c r="AG3" s="24"/>
      <c r="AH3" s="21"/>
      <c r="AI3" s="22"/>
      <c r="AJ3" s="22"/>
      <c r="AK3" s="24"/>
    </row>
    <row r="4" ht="15.0" customHeight="1"/>
    <row r="5" ht="19.5" customHeight="1">
      <c r="B5" s="27" t="s">
        <v>28</v>
      </c>
    </row>
    <row r="6" ht="19.5" customHeight="1">
      <c r="C6" s="28" t="s">
        <v>29</v>
      </c>
    </row>
    <row r="7" ht="19.5" customHeight="1">
      <c r="C7" s="28" t="s">
        <v>30</v>
      </c>
    </row>
    <row r="8" ht="19.5" customHeight="1">
      <c r="C8" s="28" t="s">
        <v>33</v>
      </c>
    </row>
    <row r="9" ht="19.5" customHeight="1">
      <c r="C9" s="28" t="s">
        <v>35</v>
      </c>
    </row>
    <row r="10" ht="19.5" customHeight="1">
      <c r="C10" s="28" t="s">
        <v>36</v>
      </c>
    </row>
    <row r="11" ht="19.5" customHeight="1">
      <c r="C11" s="28" t="s">
        <v>38</v>
      </c>
    </row>
    <row r="12" ht="19.5" customHeight="1">
      <c r="C12" s="28" t="s">
        <v>40</v>
      </c>
    </row>
    <row r="13" ht="15.0" customHeight="1"/>
    <row r="14" ht="19.5" customHeight="1">
      <c r="B14" s="27" t="s">
        <v>41</v>
      </c>
    </row>
    <row r="15" ht="19.5" customHeight="1">
      <c r="C15" s="33" t="s">
        <v>43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6"/>
    </row>
    <row r="16" ht="19.5" customHeight="1">
      <c r="C16" s="33" t="s">
        <v>46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6"/>
    </row>
    <row r="17" ht="19.5" customHeight="1">
      <c r="C17" s="33" t="s">
        <v>50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6"/>
    </row>
    <row r="18" ht="19.5" customHeight="1">
      <c r="C18" s="33" t="s">
        <v>56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6"/>
    </row>
    <row r="19" ht="19.5" customHeight="1">
      <c r="C19" s="33" t="s">
        <v>58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6"/>
    </row>
    <row r="20" ht="15.0" customHeight="1"/>
    <row r="21" ht="19.5" customHeight="1">
      <c r="B21" s="27" t="s">
        <v>60</v>
      </c>
    </row>
    <row r="22" ht="15.0" customHeight="1"/>
    <row r="23" ht="22.5" customHeight="1">
      <c r="C23" s="2" t="s">
        <v>61</v>
      </c>
      <c r="D23" s="4" t="s">
        <v>62</v>
      </c>
      <c r="E23" s="5"/>
      <c r="F23" s="5"/>
      <c r="G23" s="5"/>
      <c r="H23" s="5"/>
      <c r="I23" s="5"/>
      <c r="J23" s="5"/>
      <c r="K23" s="5"/>
      <c r="L23" s="5"/>
      <c r="M23" s="5"/>
      <c r="N23" s="7"/>
      <c r="O23" s="4" t="s">
        <v>63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7"/>
    </row>
    <row r="24" ht="22.5" customHeight="1">
      <c r="C24" s="13">
        <v>1.0</v>
      </c>
      <c r="D24" s="15" t="s">
        <v>64</v>
      </c>
      <c r="E24" s="5"/>
      <c r="F24" s="5"/>
      <c r="G24" s="5"/>
      <c r="H24" s="5"/>
      <c r="I24" s="5"/>
      <c r="J24" s="5"/>
      <c r="K24" s="5"/>
      <c r="L24" s="5"/>
      <c r="M24" s="5"/>
      <c r="N24" s="7"/>
      <c r="O24" s="15" t="s">
        <v>65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7"/>
    </row>
    <row r="25" ht="22.5" customHeight="1">
      <c r="C25" s="13">
        <v>2.0</v>
      </c>
      <c r="D25" s="15" t="s">
        <v>66</v>
      </c>
      <c r="E25" s="5"/>
      <c r="F25" s="5"/>
      <c r="G25" s="5"/>
      <c r="H25" s="5"/>
      <c r="I25" s="5"/>
      <c r="J25" s="5"/>
      <c r="K25" s="5"/>
      <c r="L25" s="5"/>
      <c r="M25" s="5"/>
      <c r="N25" s="7"/>
      <c r="O25" s="15" t="s">
        <v>67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7"/>
    </row>
    <row r="26" ht="22.5" customHeight="1">
      <c r="C26" s="13">
        <v>3.0</v>
      </c>
      <c r="D26" s="15" t="s">
        <v>68</v>
      </c>
      <c r="E26" s="5"/>
      <c r="F26" s="5"/>
      <c r="G26" s="5"/>
      <c r="H26" s="5"/>
      <c r="I26" s="5"/>
      <c r="J26" s="5"/>
      <c r="K26" s="5"/>
      <c r="L26" s="5"/>
      <c r="M26" s="5"/>
      <c r="N26" s="7"/>
      <c r="O26" s="15" t="s">
        <v>69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AK5"/>
    <mergeCell ref="C6:AK6"/>
    <mergeCell ref="C7:AK7"/>
    <mergeCell ref="C8:AK8"/>
    <mergeCell ref="C9:AK9"/>
    <mergeCell ref="C10:AK10"/>
    <mergeCell ref="C11:AK11"/>
    <mergeCell ref="C12:AK12"/>
    <mergeCell ref="B14:AK14"/>
    <mergeCell ref="C15:AK15"/>
    <mergeCell ref="C16:AK16"/>
    <mergeCell ref="C17:AK17"/>
    <mergeCell ref="C18:AK18"/>
    <mergeCell ref="C19:AK19"/>
    <mergeCell ref="D26:N26"/>
    <mergeCell ref="O26:AG26"/>
    <mergeCell ref="B21:AK21"/>
    <mergeCell ref="D23:N23"/>
    <mergeCell ref="O23:AG23"/>
    <mergeCell ref="D24:N24"/>
    <mergeCell ref="O24:AG24"/>
    <mergeCell ref="D25:N25"/>
    <mergeCell ref="O25:AG2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34" width="5.0"/>
  </cols>
  <sheetData>
    <row r="1" ht="28.5" customHeight="1">
      <c r="A1" s="6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7"/>
    </row>
    <row r="3" ht="22.5" customHeight="1">
      <c r="A3" s="9" t="s">
        <v>14</v>
      </c>
      <c r="B3" s="5"/>
      <c r="C3" s="5"/>
      <c r="D3" s="5"/>
      <c r="E3" s="5"/>
      <c r="F3" s="7"/>
      <c r="G3" s="15" t="s">
        <v>16</v>
      </c>
      <c r="H3" s="5"/>
      <c r="I3" s="5"/>
      <c r="J3" s="5"/>
      <c r="K3" s="5"/>
      <c r="L3" s="5"/>
      <c r="M3" s="5"/>
      <c r="N3" s="5"/>
      <c r="O3" s="7"/>
      <c r="P3" s="9" t="s">
        <v>20</v>
      </c>
      <c r="Q3" s="5"/>
      <c r="R3" s="5"/>
      <c r="S3" s="5"/>
      <c r="T3" s="5"/>
      <c r="U3" s="5"/>
      <c r="V3" s="5"/>
      <c r="W3" s="7"/>
      <c r="X3" s="15" t="s">
        <v>25</v>
      </c>
      <c r="Y3" s="5"/>
      <c r="Z3" s="5"/>
      <c r="AA3" s="5"/>
      <c r="AB3" s="5"/>
      <c r="AC3" s="5"/>
      <c r="AD3" s="5"/>
      <c r="AE3" s="5"/>
      <c r="AF3" s="5"/>
      <c r="AG3" s="5"/>
      <c r="AH3" s="7"/>
    </row>
    <row r="4" ht="22.5" customHeight="1">
      <c r="A4" s="9" t="s">
        <v>7</v>
      </c>
      <c r="B4" s="5"/>
      <c r="C4" s="5"/>
      <c r="D4" s="5"/>
      <c r="E4" s="5"/>
      <c r="F4" s="7"/>
      <c r="G4" s="15" t="s">
        <v>21</v>
      </c>
      <c r="H4" s="5"/>
      <c r="I4" s="5"/>
      <c r="J4" s="5"/>
      <c r="K4" s="5"/>
      <c r="L4" s="5"/>
      <c r="M4" s="5"/>
      <c r="N4" s="5"/>
      <c r="O4" s="7"/>
      <c r="P4" s="9" t="s">
        <v>8</v>
      </c>
      <c r="Q4" s="5"/>
      <c r="R4" s="5"/>
      <c r="S4" s="5"/>
      <c r="T4" s="5"/>
      <c r="U4" s="5"/>
      <c r="V4" s="5"/>
      <c r="W4" s="7"/>
      <c r="X4" s="26" t="s">
        <v>24</v>
      </c>
      <c r="Y4" s="5"/>
      <c r="Z4" s="5"/>
      <c r="AA4" s="5"/>
      <c r="AB4" s="5"/>
      <c r="AC4" s="5"/>
      <c r="AD4" s="5"/>
      <c r="AE4" s="5"/>
      <c r="AF4" s="5"/>
      <c r="AG4" s="5"/>
      <c r="AH4" s="7"/>
    </row>
    <row r="6" ht="22.5" customHeight="1">
      <c r="A6" s="29" t="s">
        <v>31</v>
      </c>
      <c r="B6" s="31" t="s">
        <v>34</v>
      </c>
      <c r="C6" s="14"/>
      <c r="D6" s="14"/>
      <c r="E6" s="14"/>
      <c r="F6" s="14"/>
      <c r="G6" s="17"/>
      <c r="H6" s="32" t="s">
        <v>39</v>
      </c>
      <c r="I6" s="5"/>
      <c r="J6" s="5"/>
      <c r="K6" s="5"/>
      <c r="L6" s="5"/>
      <c r="M6" s="5"/>
      <c r="N6" s="5"/>
      <c r="O6" s="5"/>
      <c r="P6" s="7"/>
      <c r="Q6" s="31" t="s">
        <v>44</v>
      </c>
      <c r="R6" s="14"/>
      <c r="S6" s="17"/>
      <c r="T6" s="32" t="s">
        <v>45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7"/>
    </row>
    <row r="7" ht="22.5" customHeight="1">
      <c r="A7" s="35"/>
      <c r="B7" s="21"/>
      <c r="C7" s="22"/>
      <c r="D7" s="22"/>
      <c r="E7" s="22"/>
      <c r="F7" s="22"/>
      <c r="G7" s="24"/>
      <c r="H7" s="32" t="s">
        <v>47</v>
      </c>
      <c r="I7" s="5"/>
      <c r="J7" s="7"/>
      <c r="K7" s="32" t="s">
        <v>48</v>
      </c>
      <c r="L7" s="5"/>
      <c r="M7" s="7"/>
      <c r="N7" s="32" t="s">
        <v>49</v>
      </c>
      <c r="O7" s="5"/>
      <c r="P7" s="7"/>
      <c r="Q7" s="21"/>
      <c r="R7" s="22"/>
      <c r="S7" s="24"/>
      <c r="T7" s="32" t="s">
        <v>51</v>
      </c>
      <c r="U7" s="5"/>
      <c r="V7" s="7"/>
      <c r="W7" s="32" t="s">
        <v>52</v>
      </c>
      <c r="X7" s="5"/>
      <c r="Y7" s="7"/>
      <c r="Z7" s="32" t="s">
        <v>53</v>
      </c>
      <c r="AA7" s="5"/>
      <c r="AB7" s="7"/>
      <c r="AC7" s="32" t="s">
        <v>54</v>
      </c>
      <c r="AD7" s="5"/>
      <c r="AE7" s="7"/>
      <c r="AF7" s="32" t="s">
        <v>55</v>
      </c>
      <c r="AG7" s="5"/>
      <c r="AH7" s="7"/>
    </row>
    <row r="8" ht="22.5" customHeight="1">
      <c r="A8" s="38" t="s">
        <v>57</v>
      </c>
    </row>
    <row r="9" ht="22.5" customHeight="1">
      <c r="A9" s="13">
        <v>1.0</v>
      </c>
      <c r="B9" s="15" t="s">
        <v>59</v>
      </c>
      <c r="C9" s="5"/>
      <c r="D9" s="5"/>
      <c r="E9" s="5"/>
      <c r="F9" s="5"/>
      <c r="G9" s="7"/>
      <c r="H9" s="16">
        <f t="array" ref="H9">INDIRECT("'"&amp;$B9&amp;"'!H7",TRUE)</f>
        <v>34</v>
      </c>
      <c r="I9" s="5"/>
      <c r="J9" s="7"/>
      <c r="K9" s="16">
        <f t="array" ref="K9">INDIRECT("'"&amp;$B9&amp;"'!K7",TRUE)</f>
        <v>33</v>
      </c>
      <c r="L9" s="5"/>
      <c r="M9" s="7"/>
      <c r="N9" s="16">
        <f t="array" ref="N9">INDIRECT("'"&amp;$B9&amp;"'!N7",TRUE)</f>
        <v>5</v>
      </c>
      <c r="O9" s="5"/>
      <c r="P9" s="7"/>
      <c r="Q9" s="16">
        <f t="array" ref="Q9">INDIRECT("'"&amp;$B9&amp;"'!Q7",TRUE)</f>
        <v>72</v>
      </c>
      <c r="R9" s="5"/>
      <c r="S9" s="7"/>
      <c r="T9" s="16">
        <f t="array" ref="T9">INDIRECT("'"&amp;$B9&amp;"'!T7",TRUE)</f>
        <v>72</v>
      </c>
      <c r="U9" s="5"/>
      <c r="V9" s="7"/>
      <c r="W9" s="16">
        <f t="array" ref="W9">INDIRECT("'"&amp;$B9&amp;"'!W7",TRUE)</f>
        <v>0</v>
      </c>
      <c r="X9" s="5"/>
      <c r="Y9" s="7"/>
      <c r="Z9" s="16">
        <f t="array" ref="Z9">INDIRECT("'"&amp;$B9&amp;"'!Z7",TRUE)</f>
        <v>0</v>
      </c>
      <c r="AA9" s="5"/>
      <c r="AB9" s="7"/>
      <c r="AC9" s="16">
        <f t="array" ref="AC9">INDIRECT("'"&amp;$B9&amp;"'!AC7",TRUE)</f>
        <v>0</v>
      </c>
      <c r="AD9" s="5"/>
      <c r="AE9" s="7"/>
      <c r="AF9" s="42">
        <f>IFERROR((T9+W9+AC9)/Q9,0)</f>
        <v>1</v>
      </c>
      <c r="AG9" s="5"/>
      <c r="AH9" s="7"/>
    </row>
    <row r="10" ht="22.5" customHeight="1">
      <c r="A10" s="13">
        <v>2.0</v>
      </c>
      <c r="B10" s="15"/>
      <c r="C10" s="5"/>
      <c r="D10" s="5"/>
      <c r="E10" s="5"/>
      <c r="F10" s="5"/>
      <c r="G10" s="7"/>
      <c r="H10" s="16"/>
      <c r="I10" s="5"/>
      <c r="J10" s="7"/>
      <c r="K10" s="16"/>
      <c r="L10" s="5"/>
      <c r="M10" s="7"/>
      <c r="N10" s="16"/>
      <c r="O10" s="5"/>
      <c r="P10" s="7"/>
      <c r="Q10" s="16"/>
      <c r="R10" s="5"/>
      <c r="S10" s="7"/>
      <c r="T10" s="16"/>
      <c r="U10" s="5"/>
      <c r="V10" s="7"/>
      <c r="W10" s="16"/>
      <c r="X10" s="5"/>
      <c r="Y10" s="7"/>
      <c r="Z10" s="16"/>
      <c r="AA10" s="5"/>
      <c r="AB10" s="7"/>
      <c r="AC10" s="16"/>
      <c r="AD10" s="5"/>
      <c r="AE10" s="7"/>
      <c r="AF10" s="42"/>
      <c r="AG10" s="5"/>
      <c r="AH10" s="7"/>
    </row>
    <row r="11" ht="22.5" customHeight="1">
      <c r="A11" s="13"/>
      <c r="B11" s="32" t="s">
        <v>44</v>
      </c>
      <c r="C11" s="5"/>
      <c r="D11" s="5"/>
      <c r="E11" s="5"/>
      <c r="F11" s="5"/>
      <c r="G11" s="7"/>
      <c r="H11" s="43">
        <f>SUM(H9:J10)</f>
        <v>34</v>
      </c>
      <c r="I11" s="5"/>
      <c r="J11" s="7"/>
      <c r="K11" s="43">
        <f>SUM(K9:M10)</f>
        <v>33</v>
      </c>
      <c r="L11" s="5"/>
      <c r="M11" s="7"/>
      <c r="N11" s="43">
        <f>SUM(N9:P10)</f>
        <v>5</v>
      </c>
      <c r="O11" s="5"/>
      <c r="P11" s="7"/>
      <c r="Q11" s="43">
        <f>SUM(Q9:S10)</f>
        <v>72</v>
      </c>
      <c r="R11" s="5"/>
      <c r="S11" s="7"/>
      <c r="T11" s="43">
        <f>SUM(T9:V10)</f>
        <v>72</v>
      </c>
      <c r="U11" s="5"/>
      <c r="V11" s="7"/>
      <c r="W11" s="43">
        <f>SUM(W9:Y10)</f>
        <v>0</v>
      </c>
      <c r="X11" s="5"/>
      <c r="Y11" s="7"/>
      <c r="Z11" s="43">
        <f>SUM(Z9:AB10)</f>
        <v>0</v>
      </c>
      <c r="AA11" s="5"/>
      <c r="AB11" s="7"/>
      <c r="AC11" s="43">
        <f>SUM(AC9:AE10)</f>
        <v>0</v>
      </c>
      <c r="AD11" s="5"/>
      <c r="AE11" s="7"/>
      <c r="AF11" s="44">
        <f>IFERROR((T11+W11+AC11)/Q11,0)</f>
        <v>1</v>
      </c>
      <c r="AG11" s="5"/>
      <c r="AH11" s="7"/>
    </row>
    <row r="12" ht="22.5" customHeight="1">
      <c r="A12" s="38" t="s">
        <v>70</v>
      </c>
    </row>
    <row r="13" ht="22.5" customHeight="1">
      <c r="A13" s="13">
        <v>1.0</v>
      </c>
      <c r="B13" s="15" t="s">
        <v>59</v>
      </c>
      <c r="C13" s="5"/>
      <c r="D13" s="5"/>
      <c r="E13" s="5"/>
      <c r="F13" s="5"/>
      <c r="G13" s="7"/>
      <c r="H13" s="16">
        <f t="array" ref="H13">INDIRECT("'"&amp;$B13&amp;"'!H8",TRUE)</f>
        <v>34</v>
      </c>
      <c r="I13" s="5"/>
      <c r="J13" s="7"/>
      <c r="K13" s="16">
        <f t="array" ref="K13">INDIRECT("'"&amp;$B13&amp;"'!K8",TRUE)</f>
        <v>33</v>
      </c>
      <c r="L13" s="5"/>
      <c r="M13" s="7"/>
      <c r="N13" s="16">
        <f t="array" ref="N13">INDIRECT("'"&amp;$B13&amp;"'!N8",TRUE)</f>
        <v>5</v>
      </c>
      <c r="O13" s="5"/>
      <c r="P13" s="7"/>
      <c r="Q13" s="16">
        <f t="array" ref="Q13">INDIRECT("'"&amp;$B13&amp;"'!Q8",TRUE)</f>
        <v>72</v>
      </c>
      <c r="R13" s="5"/>
      <c r="S13" s="7"/>
      <c r="T13" s="16">
        <f t="array" ref="T13">INDIRECT("'"&amp;$B13&amp;"'!T8",TRUE)</f>
        <v>72</v>
      </c>
      <c r="U13" s="5"/>
      <c r="V13" s="7"/>
      <c r="W13" s="16">
        <f t="array" ref="W13">INDIRECT("'"&amp;$B13&amp;"'!W8",TRUE)</f>
        <v>0</v>
      </c>
      <c r="X13" s="5"/>
      <c r="Y13" s="7"/>
      <c r="Z13" s="16">
        <f t="array" ref="Z13">INDIRECT("'"&amp;$B13&amp;"'!Z8",TRUE)</f>
        <v>0</v>
      </c>
      <c r="AA13" s="5"/>
      <c r="AB13" s="7"/>
      <c r="AC13" s="16">
        <f t="array" ref="AC13">INDIRECT("'"&amp;$B13&amp;"'!AC8",TRUE)</f>
        <v>0</v>
      </c>
      <c r="AD13" s="5"/>
      <c r="AE13" s="7"/>
      <c r="AF13" s="42">
        <f>IFERROR((T13+W13+AC13)/Q13,0)</f>
        <v>1</v>
      </c>
      <c r="AG13" s="5"/>
      <c r="AH13" s="7"/>
    </row>
    <row r="14" ht="22.5" customHeight="1">
      <c r="A14" s="13">
        <v>2.0</v>
      </c>
      <c r="B14" s="15"/>
      <c r="C14" s="5"/>
      <c r="D14" s="5"/>
      <c r="E14" s="5"/>
      <c r="F14" s="5"/>
      <c r="G14" s="7"/>
      <c r="H14" s="16"/>
      <c r="I14" s="5"/>
      <c r="J14" s="7"/>
      <c r="K14" s="16"/>
      <c r="L14" s="5"/>
      <c r="M14" s="7"/>
      <c r="N14" s="16"/>
      <c r="O14" s="5"/>
      <c r="P14" s="7"/>
      <c r="Q14" s="16"/>
      <c r="R14" s="5"/>
      <c r="S14" s="7"/>
      <c r="T14" s="16"/>
      <c r="U14" s="5"/>
      <c r="V14" s="7"/>
      <c r="W14" s="16"/>
      <c r="X14" s="5"/>
      <c r="Y14" s="7"/>
      <c r="Z14" s="16"/>
      <c r="AA14" s="5"/>
      <c r="AB14" s="7"/>
      <c r="AC14" s="16"/>
      <c r="AD14" s="5"/>
      <c r="AE14" s="7"/>
      <c r="AF14" s="42"/>
      <c r="AG14" s="5"/>
      <c r="AH14" s="7"/>
    </row>
    <row r="15" ht="22.5" customHeight="1">
      <c r="A15" s="13"/>
      <c r="B15" s="32" t="s">
        <v>44</v>
      </c>
      <c r="C15" s="5"/>
      <c r="D15" s="5"/>
      <c r="E15" s="5"/>
      <c r="F15" s="5"/>
      <c r="G15" s="7"/>
      <c r="H15" s="43">
        <f>SUM(H13:J14)</f>
        <v>34</v>
      </c>
      <c r="I15" s="5"/>
      <c r="J15" s="7"/>
      <c r="K15" s="43">
        <f>SUM(K13:M14)</f>
        <v>33</v>
      </c>
      <c r="L15" s="5"/>
      <c r="M15" s="7"/>
      <c r="N15" s="43">
        <f>SUM(N13:P14)</f>
        <v>5</v>
      </c>
      <c r="O15" s="5"/>
      <c r="P15" s="7"/>
      <c r="Q15" s="43">
        <f>SUM(Q13:S14)</f>
        <v>72</v>
      </c>
      <c r="R15" s="5"/>
      <c r="S15" s="7"/>
      <c r="T15" s="43">
        <f>SUM(T13:V14)</f>
        <v>72</v>
      </c>
      <c r="U15" s="5"/>
      <c r="V15" s="7"/>
      <c r="W15" s="43">
        <f>SUM(W13:Y14)</f>
        <v>0</v>
      </c>
      <c r="X15" s="5"/>
      <c r="Y15" s="7"/>
      <c r="Z15" s="43">
        <f>SUM(Z13:AB14)</f>
        <v>0</v>
      </c>
      <c r="AA15" s="5"/>
      <c r="AB15" s="7"/>
      <c r="AC15" s="43">
        <f>SUM(AC13:AE14)</f>
        <v>0</v>
      </c>
      <c r="AD15" s="5"/>
      <c r="AE15" s="7"/>
      <c r="AF15" s="44">
        <f>IFERROR((T15+W15+AC15)/Q15,0)</f>
        <v>1</v>
      </c>
      <c r="AG15" s="5"/>
      <c r="AH1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2">
    <mergeCell ref="P4:W4"/>
    <mergeCell ref="X4:AH4"/>
    <mergeCell ref="A1:AH1"/>
    <mergeCell ref="A3:F3"/>
    <mergeCell ref="G3:O3"/>
    <mergeCell ref="P3:W3"/>
    <mergeCell ref="X3:AH3"/>
    <mergeCell ref="A4:F4"/>
    <mergeCell ref="G4:O4"/>
    <mergeCell ref="W7:Y7"/>
    <mergeCell ref="Z7:AB7"/>
    <mergeCell ref="AC7:AE7"/>
    <mergeCell ref="AF7:AH7"/>
    <mergeCell ref="A6:A7"/>
    <mergeCell ref="B6:G7"/>
    <mergeCell ref="H6:P6"/>
    <mergeCell ref="Q6:S7"/>
    <mergeCell ref="T6:AH6"/>
    <mergeCell ref="H7:J7"/>
    <mergeCell ref="K7:M7"/>
    <mergeCell ref="T9:V9"/>
    <mergeCell ref="W9:Y9"/>
    <mergeCell ref="Z9:AB9"/>
    <mergeCell ref="AC9:AE9"/>
    <mergeCell ref="AF9:AH9"/>
    <mergeCell ref="N7:P7"/>
    <mergeCell ref="T7:V7"/>
    <mergeCell ref="B9:G9"/>
    <mergeCell ref="H9:J9"/>
    <mergeCell ref="K9:M9"/>
    <mergeCell ref="N9:P9"/>
    <mergeCell ref="Q9:S9"/>
    <mergeCell ref="Z14:AB14"/>
    <mergeCell ref="AC14:AE14"/>
    <mergeCell ref="AF14:AH14"/>
    <mergeCell ref="B14:G14"/>
    <mergeCell ref="H14:J14"/>
    <mergeCell ref="K14:M14"/>
    <mergeCell ref="N14:P14"/>
    <mergeCell ref="Q14:S14"/>
    <mergeCell ref="T14:V14"/>
    <mergeCell ref="W14:Y14"/>
    <mergeCell ref="Z10:AB10"/>
    <mergeCell ref="AC10:AE10"/>
    <mergeCell ref="AF10:AH10"/>
    <mergeCell ref="B10:G10"/>
    <mergeCell ref="H10:J10"/>
    <mergeCell ref="K10:M10"/>
    <mergeCell ref="N10:P10"/>
    <mergeCell ref="Q10:S10"/>
    <mergeCell ref="T10:V10"/>
    <mergeCell ref="W10:Y10"/>
    <mergeCell ref="Z11:AB11"/>
    <mergeCell ref="AC11:AE11"/>
    <mergeCell ref="AF11:AH11"/>
    <mergeCell ref="B11:G11"/>
    <mergeCell ref="H11:J11"/>
    <mergeCell ref="K11:M11"/>
    <mergeCell ref="N11:P11"/>
    <mergeCell ref="Q11:S11"/>
    <mergeCell ref="T11:V11"/>
    <mergeCell ref="W11:Y11"/>
    <mergeCell ref="Z13:AB13"/>
    <mergeCell ref="AC13:AE13"/>
    <mergeCell ref="AF13:AH13"/>
    <mergeCell ref="B13:G13"/>
    <mergeCell ref="H13:J13"/>
    <mergeCell ref="K13:M13"/>
    <mergeCell ref="N13:P13"/>
    <mergeCell ref="Q13:S13"/>
    <mergeCell ref="T13:V13"/>
    <mergeCell ref="W13:Y13"/>
    <mergeCell ref="Z15:AB15"/>
    <mergeCell ref="AC15:AE15"/>
    <mergeCell ref="AF15:AH15"/>
    <mergeCell ref="B15:G15"/>
    <mergeCell ref="H15:J15"/>
    <mergeCell ref="K15:M15"/>
    <mergeCell ref="N15:P15"/>
    <mergeCell ref="Q15:S15"/>
    <mergeCell ref="T15:V15"/>
    <mergeCell ref="W15:Y1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29"/>
  </cols>
  <sheetData>
    <row r="1" ht="19.5" customHeight="1">
      <c r="A1" s="4" t="s">
        <v>1</v>
      </c>
      <c r="B1" s="5"/>
      <c r="C1" s="5"/>
      <c r="D1" s="5"/>
      <c r="E1" s="5"/>
      <c r="F1" s="5"/>
      <c r="G1" s="5"/>
      <c r="H1" s="5"/>
      <c r="I1" s="7"/>
      <c r="J1" s="4" t="s">
        <v>4</v>
      </c>
      <c r="K1" s="5"/>
      <c r="L1" s="5"/>
      <c r="M1" s="5"/>
      <c r="N1" s="5"/>
      <c r="O1" s="5"/>
      <c r="P1" s="7"/>
      <c r="Q1" s="4" t="s">
        <v>6</v>
      </c>
      <c r="R1" s="5"/>
      <c r="S1" s="5"/>
      <c r="T1" s="5"/>
      <c r="U1" s="7"/>
      <c r="V1" s="4" t="s">
        <v>8</v>
      </c>
      <c r="W1" s="5"/>
      <c r="X1" s="5"/>
      <c r="Y1" s="7"/>
      <c r="Z1" s="4" t="s">
        <v>10</v>
      </c>
      <c r="AA1" s="5"/>
      <c r="AB1" s="5"/>
      <c r="AC1" s="7"/>
      <c r="AD1" s="4" t="s">
        <v>11</v>
      </c>
      <c r="AE1" s="5"/>
      <c r="AF1" s="5"/>
      <c r="AG1" s="7"/>
      <c r="AH1" s="4" t="s">
        <v>13</v>
      </c>
      <c r="AI1" s="5"/>
      <c r="AJ1" s="5"/>
      <c r="AK1" s="7"/>
    </row>
    <row r="2" ht="19.5" customHeight="1">
      <c r="A2" s="12" t="s">
        <v>16</v>
      </c>
      <c r="B2" s="14"/>
      <c r="C2" s="14"/>
      <c r="D2" s="14"/>
      <c r="E2" s="14"/>
      <c r="F2" s="14"/>
      <c r="G2" s="14"/>
      <c r="H2" s="14"/>
      <c r="I2" s="17"/>
      <c r="J2" s="12" t="s">
        <v>19</v>
      </c>
      <c r="K2" s="14"/>
      <c r="L2" s="14"/>
      <c r="M2" s="14"/>
      <c r="N2" s="14"/>
      <c r="O2" s="14"/>
      <c r="P2" s="17"/>
      <c r="Q2" s="12" t="s">
        <v>71</v>
      </c>
      <c r="R2" s="14"/>
      <c r="S2" s="14"/>
      <c r="T2" s="14"/>
      <c r="U2" s="17"/>
      <c r="V2" s="18" t="s">
        <v>24</v>
      </c>
      <c r="W2" s="14"/>
      <c r="X2" s="14"/>
      <c r="Y2" s="17"/>
      <c r="Z2" s="12" t="s">
        <v>21</v>
      </c>
      <c r="AA2" s="14"/>
      <c r="AB2" s="14"/>
      <c r="AC2" s="17"/>
      <c r="AD2" s="18" t="s">
        <v>24</v>
      </c>
      <c r="AE2" s="14"/>
      <c r="AF2" s="14"/>
      <c r="AG2" s="17"/>
      <c r="AH2" s="12" t="s">
        <v>21</v>
      </c>
      <c r="AI2" s="14"/>
      <c r="AJ2" s="14"/>
      <c r="AK2" s="17"/>
    </row>
    <row r="3" ht="19.5" customHeight="1">
      <c r="A3" s="21"/>
      <c r="B3" s="22"/>
      <c r="C3" s="22"/>
      <c r="D3" s="22"/>
      <c r="E3" s="22"/>
      <c r="F3" s="22"/>
      <c r="G3" s="22"/>
      <c r="H3" s="22"/>
      <c r="I3" s="24"/>
      <c r="J3" s="21"/>
      <c r="K3" s="22"/>
      <c r="L3" s="22"/>
      <c r="M3" s="22"/>
      <c r="N3" s="22"/>
      <c r="O3" s="22"/>
      <c r="P3" s="24"/>
      <c r="Q3" s="21"/>
      <c r="R3" s="22"/>
      <c r="S3" s="22"/>
      <c r="T3" s="22"/>
      <c r="U3" s="24"/>
      <c r="V3" s="21"/>
      <c r="W3" s="22"/>
      <c r="X3" s="22"/>
      <c r="Y3" s="24"/>
      <c r="Z3" s="21"/>
      <c r="AA3" s="22"/>
      <c r="AB3" s="22"/>
      <c r="AC3" s="24"/>
      <c r="AD3" s="21"/>
      <c r="AE3" s="22"/>
      <c r="AF3" s="22"/>
      <c r="AG3" s="24"/>
      <c r="AH3" s="21"/>
      <c r="AI3" s="22"/>
      <c r="AJ3" s="22"/>
      <c r="AK3" s="24"/>
    </row>
    <row r="5" ht="19.5" customHeight="1">
      <c r="B5" s="27" t="s">
        <v>72</v>
      </c>
    </row>
    <row r="7" ht="28.5" customHeight="1">
      <c r="B7" s="45" t="s">
        <v>31</v>
      </c>
      <c r="C7" s="46" t="s">
        <v>73</v>
      </c>
      <c r="D7" s="5"/>
      <c r="E7" s="7"/>
      <c r="F7" s="46" t="s">
        <v>74</v>
      </c>
      <c r="G7" s="5"/>
      <c r="H7" s="5"/>
      <c r="I7" s="5"/>
      <c r="J7" s="5"/>
      <c r="K7" s="5"/>
      <c r="L7" s="7"/>
      <c r="M7" s="46" t="s">
        <v>75</v>
      </c>
      <c r="N7" s="5"/>
      <c r="O7" s="5"/>
      <c r="P7" s="5"/>
      <c r="Q7" s="5"/>
      <c r="R7" s="5"/>
      <c r="S7" s="5"/>
      <c r="T7" s="7"/>
      <c r="U7" s="46" t="s">
        <v>76</v>
      </c>
      <c r="V7" s="7"/>
      <c r="W7" s="46" t="s">
        <v>77</v>
      </c>
      <c r="X7" s="5"/>
      <c r="Y7" s="5"/>
      <c r="Z7" s="5"/>
      <c r="AA7" s="5"/>
      <c r="AB7" s="5"/>
      <c r="AC7" s="7"/>
      <c r="AD7" s="46" t="s">
        <v>78</v>
      </c>
      <c r="AE7" s="5"/>
      <c r="AF7" s="7"/>
    </row>
    <row r="8" ht="30.0" customHeight="1">
      <c r="B8" s="47">
        <v>1.0</v>
      </c>
      <c r="C8" s="48" t="s">
        <v>79</v>
      </c>
      <c r="D8" s="5"/>
      <c r="E8" s="7"/>
      <c r="F8" s="49" t="s">
        <v>80</v>
      </c>
      <c r="G8" s="5"/>
      <c r="H8" s="5"/>
      <c r="I8" s="5"/>
      <c r="J8" s="5"/>
      <c r="K8" s="5"/>
      <c r="L8" s="7"/>
      <c r="M8" s="49" t="s">
        <v>81</v>
      </c>
      <c r="N8" s="5"/>
      <c r="O8" s="5"/>
      <c r="P8" s="5"/>
      <c r="Q8" s="5"/>
      <c r="R8" s="5"/>
      <c r="S8" s="5"/>
      <c r="T8" s="7"/>
      <c r="U8" s="50" t="s">
        <v>82</v>
      </c>
      <c r="V8" s="7"/>
      <c r="W8" s="49" t="s">
        <v>83</v>
      </c>
      <c r="X8" s="5"/>
      <c r="Y8" s="5"/>
      <c r="Z8" s="5"/>
      <c r="AA8" s="5"/>
      <c r="AB8" s="5"/>
      <c r="AC8" s="7"/>
      <c r="AD8" s="48">
        <v>265.0</v>
      </c>
      <c r="AE8" s="5"/>
      <c r="AF8" s="7"/>
    </row>
    <row r="9" ht="30.0" customHeight="1">
      <c r="B9" s="47">
        <v>2.0</v>
      </c>
      <c r="C9" s="48" t="s">
        <v>84</v>
      </c>
      <c r="D9" s="5"/>
      <c r="E9" s="7"/>
      <c r="F9" s="49" t="s">
        <v>80</v>
      </c>
      <c r="G9" s="5"/>
      <c r="H9" s="5"/>
      <c r="I9" s="5"/>
      <c r="J9" s="5"/>
      <c r="K9" s="5"/>
      <c r="L9" s="7"/>
      <c r="M9" s="49" t="s">
        <v>85</v>
      </c>
      <c r="N9" s="5"/>
      <c r="O9" s="5"/>
      <c r="P9" s="5"/>
      <c r="Q9" s="5"/>
      <c r="R9" s="5"/>
      <c r="S9" s="5"/>
      <c r="T9" s="7"/>
      <c r="U9" s="50" t="s">
        <v>82</v>
      </c>
      <c r="V9" s="7"/>
      <c r="W9" s="49" t="s">
        <v>86</v>
      </c>
      <c r="X9" s="5"/>
      <c r="Y9" s="5"/>
      <c r="Z9" s="5"/>
      <c r="AA9" s="5"/>
      <c r="AB9" s="5"/>
      <c r="AC9" s="7"/>
      <c r="AD9" s="48">
        <v>200.0</v>
      </c>
      <c r="AE9" s="5"/>
      <c r="AF9" s="7"/>
    </row>
    <row r="10" ht="36.0" customHeight="1">
      <c r="B10" s="47">
        <v>3.0</v>
      </c>
      <c r="C10" s="48" t="s">
        <v>87</v>
      </c>
      <c r="D10" s="5"/>
      <c r="E10" s="7"/>
      <c r="F10" s="49" t="s">
        <v>80</v>
      </c>
      <c r="G10" s="5"/>
      <c r="H10" s="5"/>
      <c r="I10" s="5"/>
      <c r="J10" s="5"/>
      <c r="K10" s="5"/>
      <c r="L10" s="7"/>
      <c r="M10" s="49" t="s">
        <v>88</v>
      </c>
      <c r="N10" s="5"/>
      <c r="O10" s="5"/>
      <c r="P10" s="5"/>
      <c r="Q10" s="5"/>
      <c r="R10" s="5"/>
      <c r="S10" s="5"/>
      <c r="T10" s="7"/>
      <c r="U10" s="50" t="s">
        <v>82</v>
      </c>
      <c r="V10" s="7"/>
      <c r="W10" s="49" t="s">
        <v>89</v>
      </c>
      <c r="X10" s="5"/>
      <c r="Y10" s="5"/>
      <c r="Z10" s="5"/>
      <c r="AA10" s="5"/>
      <c r="AB10" s="5"/>
      <c r="AC10" s="7"/>
      <c r="AD10" s="48">
        <v>50.0</v>
      </c>
      <c r="AE10" s="5"/>
      <c r="AF10" s="7"/>
    </row>
    <row r="11" ht="30.0" customHeight="1">
      <c r="B11" s="47">
        <v>4.0</v>
      </c>
      <c r="C11" s="48" t="s">
        <v>90</v>
      </c>
      <c r="D11" s="5"/>
      <c r="E11" s="7"/>
      <c r="F11" s="49" t="s">
        <v>80</v>
      </c>
      <c r="G11" s="5"/>
      <c r="H11" s="5"/>
      <c r="I11" s="5"/>
      <c r="J11" s="5"/>
      <c r="K11" s="5"/>
      <c r="L11" s="7"/>
      <c r="M11" s="49" t="s">
        <v>91</v>
      </c>
      <c r="N11" s="5"/>
      <c r="O11" s="5"/>
      <c r="P11" s="5"/>
      <c r="Q11" s="5"/>
      <c r="R11" s="5"/>
      <c r="S11" s="5"/>
      <c r="T11" s="7"/>
      <c r="U11" s="50" t="s">
        <v>82</v>
      </c>
      <c r="V11" s="7"/>
      <c r="W11" s="49" t="s">
        <v>83</v>
      </c>
      <c r="X11" s="5"/>
      <c r="Y11" s="5"/>
      <c r="Z11" s="5"/>
      <c r="AA11" s="5"/>
      <c r="AB11" s="5"/>
      <c r="AC11" s="7"/>
      <c r="AD11" s="48">
        <v>75.0</v>
      </c>
      <c r="AE11" s="5"/>
      <c r="AF11" s="7"/>
    </row>
    <row r="12" ht="30.0" customHeight="1">
      <c r="B12" s="47">
        <v>5.0</v>
      </c>
      <c r="C12" s="48" t="s">
        <v>92</v>
      </c>
      <c r="D12" s="5"/>
      <c r="E12" s="7"/>
      <c r="F12" s="49" t="s">
        <v>80</v>
      </c>
      <c r="G12" s="5"/>
      <c r="H12" s="5"/>
      <c r="I12" s="5"/>
      <c r="J12" s="5"/>
      <c r="K12" s="5"/>
      <c r="L12" s="7"/>
      <c r="M12" s="49" t="s">
        <v>93</v>
      </c>
      <c r="N12" s="5"/>
      <c r="O12" s="5"/>
      <c r="P12" s="5"/>
      <c r="Q12" s="5"/>
      <c r="R12" s="5"/>
      <c r="S12" s="5"/>
      <c r="T12" s="7"/>
      <c r="U12" s="50" t="s">
        <v>82</v>
      </c>
      <c r="V12" s="7"/>
      <c r="W12" s="49" t="s">
        <v>94</v>
      </c>
      <c r="X12" s="5"/>
      <c r="Y12" s="5"/>
      <c r="Z12" s="5"/>
      <c r="AA12" s="5"/>
      <c r="AB12" s="5"/>
      <c r="AC12" s="7"/>
      <c r="AD12" s="48">
        <v>30.0</v>
      </c>
      <c r="AE12" s="5"/>
      <c r="AF12" s="7"/>
    </row>
    <row r="13" ht="30.0" customHeight="1">
      <c r="B13" s="47">
        <v>6.0</v>
      </c>
      <c r="C13" s="48" t="s">
        <v>95</v>
      </c>
      <c r="D13" s="5"/>
      <c r="E13" s="7"/>
      <c r="F13" s="49" t="s">
        <v>80</v>
      </c>
      <c r="G13" s="5"/>
      <c r="H13" s="5"/>
      <c r="I13" s="5"/>
      <c r="J13" s="5"/>
      <c r="K13" s="5"/>
      <c r="L13" s="7"/>
      <c r="M13" s="49" t="s">
        <v>96</v>
      </c>
      <c r="N13" s="5"/>
      <c r="O13" s="5"/>
      <c r="P13" s="5"/>
      <c r="Q13" s="5"/>
      <c r="R13" s="5"/>
      <c r="S13" s="5"/>
      <c r="T13" s="7"/>
      <c r="U13" s="50" t="s">
        <v>82</v>
      </c>
      <c r="V13" s="7"/>
      <c r="W13" s="49" t="s">
        <v>97</v>
      </c>
      <c r="X13" s="5"/>
      <c r="Y13" s="5"/>
      <c r="Z13" s="5"/>
      <c r="AA13" s="5"/>
      <c r="AB13" s="5"/>
      <c r="AC13" s="7"/>
      <c r="AD13" s="48">
        <v>50.0</v>
      </c>
      <c r="AE13" s="5"/>
      <c r="AF13" s="7"/>
    </row>
    <row r="14" ht="30.0" customHeight="1">
      <c r="B14" s="47">
        <v>7.0</v>
      </c>
      <c r="C14" s="48" t="s">
        <v>98</v>
      </c>
      <c r="D14" s="5"/>
      <c r="E14" s="7"/>
      <c r="F14" s="49" t="s">
        <v>80</v>
      </c>
      <c r="G14" s="5"/>
      <c r="H14" s="5"/>
      <c r="I14" s="5"/>
      <c r="J14" s="5"/>
      <c r="K14" s="5"/>
      <c r="L14" s="7"/>
      <c r="M14" s="49" t="s">
        <v>99</v>
      </c>
      <c r="N14" s="5"/>
      <c r="O14" s="5"/>
      <c r="P14" s="5"/>
      <c r="Q14" s="5"/>
      <c r="R14" s="5"/>
      <c r="S14" s="5"/>
      <c r="T14" s="7"/>
      <c r="U14" s="50" t="s">
        <v>82</v>
      </c>
      <c r="V14" s="7"/>
      <c r="W14" s="49" t="s">
        <v>94</v>
      </c>
      <c r="X14" s="5"/>
      <c r="Y14" s="5"/>
      <c r="Z14" s="5"/>
      <c r="AA14" s="5"/>
      <c r="AB14" s="5"/>
      <c r="AC14" s="7"/>
      <c r="AD14" s="48">
        <v>10.0</v>
      </c>
      <c r="AE14" s="5"/>
      <c r="AF14" s="7"/>
    </row>
    <row r="15" ht="30.0" customHeight="1">
      <c r="B15" s="47">
        <v>8.0</v>
      </c>
      <c r="C15" s="48" t="s">
        <v>100</v>
      </c>
      <c r="D15" s="5"/>
      <c r="E15" s="7"/>
      <c r="F15" s="49" t="s">
        <v>80</v>
      </c>
      <c r="G15" s="5"/>
      <c r="H15" s="5"/>
      <c r="I15" s="5"/>
      <c r="J15" s="5"/>
      <c r="K15" s="5"/>
      <c r="L15" s="7"/>
      <c r="M15" s="49" t="s">
        <v>101</v>
      </c>
      <c r="N15" s="5"/>
      <c r="O15" s="5"/>
      <c r="P15" s="5"/>
      <c r="Q15" s="5"/>
      <c r="R15" s="5"/>
      <c r="S15" s="5"/>
      <c r="T15" s="7"/>
      <c r="U15" s="51" t="s">
        <v>102</v>
      </c>
      <c r="V15" s="7"/>
      <c r="W15" s="49" t="s">
        <v>103</v>
      </c>
      <c r="X15" s="5"/>
      <c r="Y15" s="5"/>
      <c r="Z15" s="5"/>
      <c r="AA15" s="5"/>
      <c r="AB15" s="5"/>
      <c r="AC15" s="7"/>
      <c r="AD15" s="48">
        <v>20.0</v>
      </c>
      <c r="AE15" s="5"/>
      <c r="AF15" s="7"/>
    </row>
    <row r="16" ht="30.0" customHeight="1">
      <c r="B16" s="47">
        <v>9.0</v>
      </c>
      <c r="C16" s="48" t="s">
        <v>106</v>
      </c>
      <c r="D16" s="5"/>
      <c r="E16" s="7"/>
      <c r="F16" s="49" t="s">
        <v>80</v>
      </c>
      <c r="G16" s="5"/>
      <c r="H16" s="5"/>
      <c r="I16" s="5"/>
      <c r="J16" s="5"/>
      <c r="K16" s="5"/>
      <c r="L16" s="7"/>
      <c r="M16" s="49" t="s">
        <v>109</v>
      </c>
      <c r="N16" s="5"/>
      <c r="O16" s="5"/>
      <c r="P16" s="5"/>
      <c r="Q16" s="5"/>
      <c r="R16" s="5"/>
      <c r="S16" s="5"/>
      <c r="T16" s="7"/>
      <c r="U16" s="50" t="s">
        <v>82</v>
      </c>
      <c r="V16" s="7"/>
      <c r="W16" s="49" t="s">
        <v>110</v>
      </c>
      <c r="X16" s="5"/>
      <c r="Y16" s="5"/>
      <c r="Z16" s="5"/>
      <c r="AA16" s="5"/>
      <c r="AB16" s="5"/>
      <c r="AC16" s="7"/>
      <c r="AD16" s="48">
        <v>8.0</v>
      </c>
      <c r="AE16" s="5"/>
      <c r="AF16" s="7"/>
    </row>
    <row r="17" ht="30.0" customHeight="1">
      <c r="B17" s="47">
        <v>10.0</v>
      </c>
      <c r="C17" s="48" t="s">
        <v>111</v>
      </c>
      <c r="D17" s="5"/>
      <c r="E17" s="7"/>
      <c r="F17" s="49" t="s">
        <v>80</v>
      </c>
      <c r="G17" s="5"/>
      <c r="H17" s="5"/>
      <c r="I17" s="5"/>
      <c r="J17" s="5"/>
      <c r="K17" s="5"/>
      <c r="L17" s="7"/>
      <c r="M17" s="49" t="s">
        <v>112</v>
      </c>
      <c r="N17" s="5"/>
      <c r="O17" s="5"/>
      <c r="P17" s="5"/>
      <c r="Q17" s="5"/>
      <c r="R17" s="5"/>
      <c r="S17" s="5"/>
      <c r="T17" s="7"/>
      <c r="U17" s="50" t="s">
        <v>82</v>
      </c>
      <c r="V17" s="7"/>
      <c r="W17" s="49" t="s">
        <v>113</v>
      </c>
      <c r="X17" s="5"/>
      <c r="Y17" s="5"/>
      <c r="Z17" s="5"/>
      <c r="AA17" s="5"/>
      <c r="AB17" s="5"/>
      <c r="AC17" s="7"/>
      <c r="AD17" s="48">
        <v>30.0</v>
      </c>
      <c r="AE17" s="5"/>
      <c r="AF17" s="7"/>
    </row>
    <row r="18" ht="30.0" customHeight="1">
      <c r="B18" s="47">
        <v>11.0</v>
      </c>
      <c r="C18" s="48" t="s">
        <v>114</v>
      </c>
      <c r="D18" s="5"/>
      <c r="E18" s="7"/>
      <c r="F18" s="49" t="s">
        <v>116</v>
      </c>
      <c r="G18" s="5"/>
      <c r="H18" s="5"/>
      <c r="I18" s="5"/>
      <c r="J18" s="5"/>
      <c r="K18" s="5"/>
      <c r="L18" s="7"/>
      <c r="M18" s="49" t="s">
        <v>117</v>
      </c>
      <c r="N18" s="5"/>
      <c r="O18" s="5"/>
      <c r="P18" s="5"/>
      <c r="Q18" s="5"/>
      <c r="R18" s="5"/>
      <c r="S18" s="5"/>
      <c r="T18" s="7"/>
      <c r="U18" s="51" t="s">
        <v>102</v>
      </c>
      <c r="V18" s="7"/>
      <c r="W18" s="49" t="s">
        <v>119</v>
      </c>
      <c r="X18" s="5"/>
      <c r="Y18" s="5"/>
      <c r="Z18" s="5"/>
      <c r="AA18" s="5"/>
      <c r="AB18" s="5"/>
      <c r="AC18" s="7"/>
      <c r="AD18" s="48">
        <v>100.0</v>
      </c>
      <c r="AE18" s="5"/>
      <c r="AF18" s="7"/>
    </row>
    <row r="19" ht="30.0" customHeight="1">
      <c r="B19" s="47">
        <v>12.0</v>
      </c>
      <c r="C19" s="48" t="s">
        <v>121</v>
      </c>
      <c r="D19" s="5"/>
      <c r="E19" s="7"/>
      <c r="F19" s="49" t="s">
        <v>116</v>
      </c>
      <c r="G19" s="5"/>
      <c r="H19" s="5"/>
      <c r="I19" s="5"/>
      <c r="J19" s="5"/>
      <c r="K19" s="5"/>
      <c r="L19" s="7"/>
      <c r="M19" s="49" t="s">
        <v>122</v>
      </c>
      <c r="N19" s="5"/>
      <c r="O19" s="5"/>
      <c r="P19" s="5"/>
      <c r="Q19" s="5"/>
      <c r="R19" s="5"/>
      <c r="S19" s="5"/>
      <c r="T19" s="7"/>
      <c r="U19" s="51" t="s">
        <v>102</v>
      </c>
      <c r="V19" s="7"/>
      <c r="W19" s="49" t="s">
        <v>119</v>
      </c>
      <c r="X19" s="5"/>
      <c r="Y19" s="5"/>
      <c r="Z19" s="5"/>
      <c r="AA19" s="5"/>
      <c r="AB19" s="5"/>
      <c r="AC19" s="7"/>
      <c r="AD19" s="48">
        <v>80.0</v>
      </c>
      <c r="AE19" s="5"/>
      <c r="AF19" s="7"/>
    </row>
    <row r="20" ht="30.0" customHeight="1">
      <c r="B20" s="47">
        <v>13.0</v>
      </c>
      <c r="C20" s="48" t="s">
        <v>124</v>
      </c>
      <c r="D20" s="5"/>
      <c r="E20" s="7"/>
      <c r="F20" s="49" t="s">
        <v>116</v>
      </c>
      <c r="G20" s="5"/>
      <c r="H20" s="5"/>
      <c r="I20" s="5"/>
      <c r="J20" s="5"/>
      <c r="K20" s="5"/>
      <c r="L20" s="7"/>
      <c r="M20" s="49" t="s">
        <v>125</v>
      </c>
      <c r="N20" s="5"/>
      <c r="O20" s="5"/>
      <c r="P20" s="5"/>
      <c r="Q20" s="5"/>
      <c r="R20" s="5"/>
      <c r="S20" s="5"/>
      <c r="T20" s="7"/>
      <c r="U20" s="51" t="s">
        <v>102</v>
      </c>
      <c r="V20" s="7"/>
      <c r="W20" s="49" t="s">
        <v>97</v>
      </c>
      <c r="X20" s="5"/>
      <c r="Y20" s="5"/>
      <c r="Z20" s="5"/>
      <c r="AA20" s="5"/>
      <c r="AB20" s="5"/>
      <c r="AC20" s="7"/>
      <c r="AD20" s="48">
        <v>60.0</v>
      </c>
      <c r="AE20" s="5"/>
      <c r="AF20" s="7"/>
    </row>
    <row r="21" ht="30.0" customHeight="1">
      <c r="B21" s="47">
        <v>14.0</v>
      </c>
      <c r="C21" s="48" t="s">
        <v>128</v>
      </c>
      <c r="D21" s="5"/>
      <c r="E21" s="7"/>
      <c r="F21" s="49" t="s">
        <v>116</v>
      </c>
      <c r="G21" s="5"/>
      <c r="H21" s="5"/>
      <c r="I21" s="5"/>
      <c r="J21" s="5"/>
      <c r="K21" s="5"/>
      <c r="L21" s="7"/>
      <c r="M21" s="49" t="s">
        <v>129</v>
      </c>
      <c r="N21" s="5"/>
      <c r="O21" s="5"/>
      <c r="P21" s="5"/>
      <c r="Q21" s="5"/>
      <c r="R21" s="5"/>
      <c r="S21" s="5"/>
      <c r="T21" s="7"/>
      <c r="U21" s="51" t="s">
        <v>102</v>
      </c>
      <c r="V21" s="7"/>
      <c r="W21" s="49" t="s">
        <v>119</v>
      </c>
      <c r="X21" s="5"/>
      <c r="Y21" s="5"/>
      <c r="Z21" s="5"/>
      <c r="AA21" s="5"/>
      <c r="AB21" s="5"/>
      <c r="AC21" s="7"/>
      <c r="AD21" s="48">
        <v>50.0</v>
      </c>
      <c r="AE21" s="5"/>
      <c r="AF21" s="7"/>
    </row>
    <row r="22" ht="30.0" customHeight="1">
      <c r="B22" s="47">
        <v>15.0</v>
      </c>
      <c r="C22" s="48" t="s">
        <v>130</v>
      </c>
      <c r="D22" s="5"/>
      <c r="E22" s="7"/>
      <c r="F22" s="49" t="s">
        <v>116</v>
      </c>
      <c r="G22" s="5"/>
      <c r="H22" s="5"/>
      <c r="I22" s="5"/>
      <c r="J22" s="5"/>
      <c r="K22" s="5"/>
      <c r="L22" s="7"/>
      <c r="M22" s="49" t="s">
        <v>132</v>
      </c>
      <c r="N22" s="5"/>
      <c r="O22" s="5"/>
      <c r="P22" s="5"/>
      <c r="Q22" s="5"/>
      <c r="R22" s="5"/>
      <c r="S22" s="5"/>
      <c r="T22" s="7"/>
      <c r="U22" s="51" t="s">
        <v>102</v>
      </c>
      <c r="V22" s="7"/>
      <c r="W22" s="49" t="s">
        <v>133</v>
      </c>
      <c r="X22" s="5"/>
      <c r="Y22" s="5"/>
      <c r="Z22" s="5"/>
      <c r="AA22" s="5"/>
      <c r="AB22" s="5"/>
      <c r="AC22" s="7"/>
      <c r="AD22" s="48">
        <v>30.0</v>
      </c>
      <c r="AE22" s="5"/>
      <c r="AF22" s="7"/>
    </row>
    <row r="23" ht="30.0" customHeight="1">
      <c r="B23" s="47">
        <v>16.0</v>
      </c>
      <c r="C23" s="48" t="s">
        <v>134</v>
      </c>
      <c r="D23" s="5"/>
      <c r="E23" s="7"/>
      <c r="F23" s="49" t="s">
        <v>116</v>
      </c>
      <c r="G23" s="5"/>
      <c r="H23" s="5"/>
      <c r="I23" s="5"/>
      <c r="J23" s="5"/>
      <c r="K23" s="5"/>
      <c r="L23" s="7"/>
      <c r="M23" s="49" t="s">
        <v>135</v>
      </c>
      <c r="N23" s="5"/>
      <c r="O23" s="5"/>
      <c r="P23" s="5"/>
      <c r="Q23" s="5"/>
      <c r="R23" s="5"/>
      <c r="S23" s="5"/>
      <c r="T23" s="7"/>
      <c r="U23" s="50" t="s">
        <v>82</v>
      </c>
      <c r="V23" s="7"/>
      <c r="W23" s="49" t="s">
        <v>136</v>
      </c>
      <c r="X23" s="5"/>
      <c r="Y23" s="5"/>
      <c r="Z23" s="5"/>
      <c r="AA23" s="5"/>
      <c r="AB23" s="5"/>
      <c r="AC23" s="7"/>
      <c r="AD23" s="48">
        <v>15.0</v>
      </c>
      <c r="AE23" s="5"/>
      <c r="AF23" s="7"/>
    </row>
    <row r="24" ht="36.0" customHeight="1">
      <c r="B24" s="47">
        <v>17.0</v>
      </c>
      <c r="C24" s="48" t="s">
        <v>137</v>
      </c>
      <c r="D24" s="5"/>
      <c r="E24" s="7"/>
      <c r="F24" s="49" t="s">
        <v>116</v>
      </c>
      <c r="G24" s="5"/>
      <c r="H24" s="5"/>
      <c r="I24" s="5"/>
      <c r="J24" s="5"/>
      <c r="K24" s="5"/>
      <c r="L24" s="7"/>
      <c r="M24" s="49" t="s">
        <v>138</v>
      </c>
      <c r="N24" s="5"/>
      <c r="O24" s="5"/>
      <c r="P24" s="5"/>
      <c r="Q24" s="5"/>
      <c r="R24" s="5"/>
      <c r="S24" s="5"/>
      <c r="T24" s="7"/>
      <c r="U24" s="51" t="s">
        <v>102</v>
      </c>
      <c r="V24" s="7"/>
      <c r="W24" s="49" t="s">
        <v>139</v>
      </c>
      <c r="X24" s="5"/>
      <c r="Y24" s="5"/>
      <c r="Z24" s="5"/>
      <c r="AA24" s="5"/>
      <c r="AB24" s="5"/>
      <c r="AC24" s="7"/>
      <c r="AD24" s="48">
        <v>45.0</v>
      </c>
      <c r="AE24" s="5"/>
      <c r="AF24" s="7"/>
    </row>
    <row r="25" ht="30.0" customHeight="1">
      <c r="B25" s="47">
        <v>18.0</v>
      </c>
      <c r="C25" s="48" t="s">
        <v>140</v>
      </c>
      <c r="D25" s="5"/>
      <c r="E25" s="7"/>
      <c r="F25" s="49" t="s">
        <v>116</v>
      </c>
      <c r="G25" s="5"/>
      <c r="H25" s="5"/>
      <c r="I25" s="5"/>
      <c r="J25" s="5"/>
      <c r="K25" s="5"/>
      <c r="L25" s="7"/>
      <c r="M25" s="49" t="s">
        <v>141</v>
      </c>
      <c r="N25" s="5"/>
      <c r="O25" s="5"/>
      <c r="P25" s="5"/>
      <c r="Q25" s="5"/>
      <c r="R25" s="5"/>
      <c r="S25" s="5"/>
      <c r="T25" s="7"/>
      <c r="U25" s="51" t="s">
        <v>102</v>
      </c>
      <c r="V25" s="7"/>
      <c r="W25" s="49" t="s">
        <v>142</v>
      </c>
      <c r="X25" s="5"/>
      <c r="Y25" s="5"/>
      <c r="Z25" s="5"/>
      <c r="AA25" s="5"/>
      <c r="AB25" s="5"/>
      <c r="AC25" s="7"/>
      <c r="AD25" s="48">
        <v>30.0</v>
      </c>
      <c r="AE25" s="5"/>
      <c r="AF25" s="7"/>
    </row>
    <row r="26" ht="36.0" customHeight="1">
      <c r="B26" s="47">
        <v>19.0</v>
      </c>
      <c r="C26" s="48" t="s">
        <v>144</v>
      </c>
      <c r="D26" s="5"/>
      <c r="E26" s="7"/>
      <c r="F26" s="49" t="s">
        <v>116</v>
      </c>
      <c r="G26" s="5"/>
      <c r="H26" s="5"/>
      <c r="I26" s="5"/>
      <c r="J26" s="5"/>
      <c r="K26" s="5"/>
      <c r="L26" s="7"/>
      <c r="M26" s="49" t="s">
        <v>145</v>
      </c>
      <c r="N26" s="5"/>
      <c r="O26" s="5"/>
      <c r="P26" s="5"/>
      <c r="Q26" s="5"/>
      <c r="R26" s="5"/>
      <c r="S26" s="5"/>
      <c r="T26" s="7"/>
      <c r="U26" s="51" t="s">
        <v>102</v>
      </c>
      <c r="V26" s="7"/>
      <c r="W26" s="49" t="s">
        <v>146</v>
      </c>
      <c r="X26" s="5"/>
      <c r="Y26" s="5"/>
      <c r="Z26" s="5"/>
      <c r="AA26" s="5"/>
      <c r="AB26" s="5"/>
      <c r="AC26" s="7"/>
      <c r="AD26" s="48">
        <v>25.0</v>
      </c>
      <c r="AE26" s="5"/>
      <c r="AF26" s="7"/>
    </row>
    <row r="27" ht="30.0" customHeight="1">
      <c r="B27" s="47">
        <v>20.0</v>
      </c>
      <c r="C27" s="48" t="s">
        <v>147</v>
      </c>
      <c r="D27" s="5"/>
      <c r="E27" s="7"/>
      <c r="F27" s="49" t="s">
        <v>148</v>
      </c>
      <c r="G27" s="5"/>
      <c r="H27" s="5"/>
      <c r="I27" s="5"/>
      <c r="J27" s="5"/>
      <c r="K27" s="5"/>
      <c r="L27" s="7"/>
      <c r="M27" s="49" t="s">
        <v>149</v>
      </c>
      <c r="N27" s="5"/>
      <c r="O27" s="5"/>
      <c r="P27" s="5"/>
      <c r="Q27" s="5"/>
      <c r="R27" s="5"/>
      <c r="S27" s="5"/>
      <c r="T27" s="7"/>
      <c r="U27" s="50" t="s">
        <v>82</v>
      </c>
      <c r="V27" s="7"/>
      <c r="W27" s="49" t="s">
        <v>142</v>
      </c>
      <c r="X27" s="5"/>
      <c r="Y27" s="5"/>
      <c r="Z27" s="5"/>
      <c r="AA27" s="5"/>
      <c r="AB27" s="5"/>
      <c r="AC27" s="7"/>
      <c r="AD27" s="48">
        <v>60.0</v>
      </c>
      <c r="AE27" s="5"/>
      <c r="AF27" s="7"/>
    </row>
    <row r="28" ht="30.0" customHeight="1">
      <c r="B28" s="47">
        <v>21.0</v>
      </c>
      <c r="C28" s="48" t="s">
        <v>150</v>
      </c>
      <c r="D28" s="5"/>
      <c r="E28" s="7"/>
      <c r="F28" s="49" t="s">
        <v>148</v>
      </c>
      <c r="G28" s="5"/>
      <c r="H28" s="5"/>
      <c r="I28" s="5"/>
      <c r="J28" s="5"/>
      <c r="K28" s="5"/>
      <c r="L28" s="7"/>
      <c r="M28" s="49" t="s">
        <v>152</v>
      </c>
      <c r="N28" s="5"/>
      <c r="O28" s="5"/>
      <c r="P28" s="5"/>
      <c r="Q28" s="5"/>
      <c r="R28" s="5"/>
      <c r="S28" s="5"/>
      <c r="T28" s="7"/>
      <c r="U28" s="51" t="s">
        <v>102</v>
      </c>
      <c r="V28" s="7"/>
      <c r="W28" s="49" t="s">
        <v>154</v>
      </c>
      <c r="X28" s="5"/>
      <c r="Y28" s="5"/>
      <c r="Z28" s="5"/>
      <c r="AA28" s="5"/>
      <c r="AB28" s="5"/>
      <c r="AC28" s="7"/>
      <c r="AD28" s="48">
        <v>16.0</v>
      </c>
      <c r="AE28" s="5"/>
      <c r="AF28" s="7"/>
    </row>
    <row r="29" ht="30.0" customHeight="1">
      <c r="B29" s="47">
        <v>22.0</v>
      </c>
      <c r="C29" s="48" t="s">
        <v>159</v>
      </c>
      <c r="D29" s="5"/>
      <c r="E29" s="7"/>
      <c r="F29" s="49" t="s">
        <v>148</v>
      </c>
      <c r="G29" s="5"/>
      <c r="H29" s="5"/>
      <c r="I29" s="5"/>
      <c r="J29" s="5"/>
      <c r="K29" s="5"/>
      <c r="L29" s="7"/>
      <c r="M29" s="49" t="s">
        <v>161</v>
      </c>
      <c r="N29" s="5"/>
      <c r="O29" s="5"/>
      <c r="P29" s="5"/>
      <c r="Q29" s="5"/>
      <c r="R29" s="5"/>
      <c r="S29" s="5"/>
      <c r="T29" s="7"/>
      <c r="U29" s="50" t="s">
        <v>82</v>
      </c>
      <c r="V29" s="7"/>
      <c r="W29" s="49" t="s">
        <v>163</v>
      </c>
      <c r="X29" s="5"/>
      <c r="Y29" s="5"/>
      <c r="Z29" s="5"/>
      <c r="AA29" s="5"/>
      <c r="AB29" s="5"/>
      <c r="AC29" s="7"/>
      <c r="AD29" s="48">
        <v>18.0</v>
      </c>
      <c r="AE29" s="5"/>
      <c r="AF29" s="7"/>
    </row>
    <row r="30" ht="30.0" customHeight="1">
      <c r="B30" s="47">
        <v>23.0</v>
      </c>
      <c r="C30" s="48" t="s">
        <v>165</v>
      </c>
      <c r="D30" s="5"/>
      <c r="E30" s="7"/>
      <c r="F30" s="49" t="s">
        <v>148</v>
      </c>
      <c r="G30" s="5"/>
      <c r="H30" s="5"/>
      <c r="I30" s="5"/>
      <c r="J30" s="5"/>
      <c r="K30" s="5"/>
      <c r="L30" s="7"/>
      <c r="M30" s="49" t="s">
        <v>166</v>
      </c>
      <c r="N30" s="5"/>
      <c r="O30" s="5"/>
      <c r="P30" s="5"/>
      <c r="Q30" s="5"/>
      <c r="R30" s="5"/>
      <c r="S30" s="5"/>
      <c r="T30" s="7"/>
      <c r="U30" s="51" t="s">
        <v>102</v>
      </c>
      <c r="V30" s="7"/>
      <c r="W30" s="49" t="s">
        <v>169</v>
      </c>
      <c r="X30" s="5"/>
      <c r="Y30" s="5"/>
      <c r="Z30" s="5"/>
      <c r="AA30" s="5"/>
      <c r="AB30" s="5"/>
      <c r="AC30" s="7"/>
      <c r="AD30" s="48">
        <v>8.0</v>
      </c>
      <c r="AE30" s="5"/>
      <c r="AF30" s="7"/>
    </row>
    <row r="31" ht="30.0" customHeight="1">
      <c r="B31" s="47">
        <v>24.0</v>
      </c>
      <c r="C31" s="48" t="s">
        <v>170</v>
      </c>
      <c r="D31" s="5"/>
      <c r="E31" s="7"/>
      <c r="F31" s="49" t="s">
        <v>148</v>
      </c>
      <c r="G31" s="5"/>
      <c r="H31" s="5"/>
      <c r="I31" s="5"/>
      <c r="J31" s="5"/>
      <c r="K31" s="5"/>
      <c r="L31" s="7"/>
      <c r="M31" s="49" t="s">
        <v>173</v>
      </c>
      <c r="N31" s="5"/>
      <c r="O31" s="5"/>
      <c r="P31" s="5"/>
      <c r="Q31" s="5"/>
      <c r="R31" s="5"/>
      <c r="S31" s="5"/>
      <c r="T31" s="7"/>
      <c r="U31" s="50" t="s">
        <v>82</v>
      </c>
      <c r="V31" s="7"/>
      <c r="W31" s="49" t="s">
        <v>174</v>
      </c>
      <c r="X31" s="5"/>
      <c r="Y31" s="5"/>
      <c r="Z31" s="5"/>
      <c r="AA31" s="5"/>
      <c r="AB31" s="5"/>
      <c r="AC31" s="7"/>
      <c r="AD31" s="48">
        <v>10.0</v>
      </c>
      <c r="AE31" s="5"/>
      <c r="AF31" s="7"/>
    </row>
    <row r="32" ht="30.0" customHeight="1">
      <c r="B32" s="47">
        <v>25.0</v>
      </c>
      <c r="C32" s="48" t="s">
        <v>175</v>
      </c>
      <c r="D32" s="5"/>
      <c r="E32" s="7"/>
      <c r="F32" s="49" t="s">
        <v>148</v>
      </c>
      <c r="G32" s="5"/>
      <c r="H32" s="5"/>
      <c r="I32" s="5"/>
      <c r="J32" s="5"/>
      <c r="K32" s="5"/>
      <c r="L32" s="7"/>
      <c r="M32" s="49" t="s">
        <v>177</v>
      </c>
      <c r="N32" s="5"/>
      <c r="O32" s="5"/>
      <c r="P32" s="5"/>
      <c r="Q32" s="5"/>
      <c r="R32" s="5"/>
      <c r="S32" s="5"/>
      <c r="T32" s="7"/>
      <c r="U32" s="51" t="s">
        <v>102</v>
      </c>
      <c r="V32" s="7"/>
      <c r="W32" s="49" t="s">
        <v>178</v>
      </c>
      <c r="X32" s="5"/>
      <c r="Y32" s="5"/>
      <c r="Z32" s="5"/>
      <c r="AA32" s="5"/>
      <c r="AB32" s="5"/>
      <c r="AC32" s="7"/>
      <c r="AD32" s="48">
        <v>30.0</v>
      </c>
      <c r="AE32" s="5"/>
      <c r="AF32" s="7"/>
    </row>
    <row r="33" ht="30.0" customHeight="1">
      <c r="B33" s="47">
        <v>26.0</v>
      </c>
      <c r="C33" s="48" t="s">
        <v>179</v>
      </c>
      <c r="D33" s="5"/>
      <c r="E33" s="7"/>
      <c r="F33" s="49" t="s">
        <v>148</v>
      </c>
      <c r="G33" s="5"/>
      <c r="H33" s="5"/>
      <c r="I33" s="5"/>
      <c r="J33" s="5"/>
      <c r="K33" s="5"/>
      <c r="L33" s="7"/>
      <c r="M33" s="49" t="s">
        <v>180</v>
      </c>
      <c r="N33" s="5"/>
      <c r="O33" s="5"/>
      <c r="P33" s="5"/>
      <c r="Q33" s="5"/>
      <c r="R33" s="5"/>
      <c r="S33" s="5"/>
      <c r="T33" s="7"/>
      <c r="U33" s="50" t="s">
        <v>82</v>
      </c>
      <c r="V33" s="7"/>
      <c r="W33" s="49" t="s">
        <v>184</v>
      </c>
      <c r="X33" s="5"/>
      <c r="Y33" s="5"/>
      <c r="Z33" s="5"/>
      <c r="AA33" s="5"/>
      <c r="AB33" s="5"/>
      <c r="AC33" s="7"/>
      <c r="AD33" s="48">
        <v>15.0</v>
      </c>
      <c r="AE33" s="5"/>
      <c r="AF33" s="7"/>
    </row>
    <row r="34" ht="30.0" customHeight="1">
      <c r="B34" s="47">
        <v>27.0</v>
      </c>
      <c r="C34" s="48" t="s">
        <v>186</v>
      </c>
      <c r="D34" s="5"/>
      <c r="E34" s="7"/>
      <c r="F34" s="49" t="s">
        <v>148</v>
      </c>
      <c r="G34" s="5"/>
      <c r="H34" s="5"/>
      <c r="I34" s="5"/>
      <c r="J34" s="5"/>
      <c r="K34" s="5"/>
      <c r="L34" s="7"/>
      <c r="M34" s="49" t="s">
        <v>188</v>
      </c>
      <c r="N34" s="5"/>
      <c r="O34" s="5"/>
      <c r="P34" s="5"/>
      <c r="Q34" s="5"/>
      <c r="R34" s="5"/>
      <c r="S34" s="5"/>
      <c r="T34" s="7"/>
      <c r="U34" s="50" t="s">
        <v>82</v>
      </c>
      <c r="V34" s="7"/>
      <c r="W34" s="49" t="s">
        <v>190</v>
      </c>
      <c r="X34" s="5"/>
      <c r="Y34" s="5"/>
      <c r="Z34" s="5"/>
      <c r="AA34" s="5"/>
      <c r="AB34" s="5"/>
      <c r="AC34" s="7"/>
      <c r="AD34" s="48">
        <v>18.0</v>
      </c>
      <c r="AE34" s="5"/>
      <c r="AF34" s="7"/>
    </row>
    <row r="35" ht="30.0" customHeight="1">
      <c r="B35" s="47">
        <v>28.0</v>
      </c>
      <c r="C35" s="48" t="s">
        <v>192</v>
      </c>
      <c r="D35" s="5"/>
      <c r="E35" s="7"/>
      <c r="F35" s="49" t="s">
        <v>193</v>
      </c>
      <c r="G35" s="5"/>
      <c r="H35" s="5"/>
      <c r="I35" s="5"/>
      <c r="J35" s="5"/>
      <c r="K35" s="5"/>
      <c r="L35" s="7"/>
      <c r="M35" s="49" t="s">
        <v>194</v>
      </c>
      <c r="N35" s="5"/>
      <c r="O35" s="5"/>
      <c r="P35" s="5"/>
      <c r="Q35" s="5"/>
      <c r="R35" s="5"/>
      <c r="S35" s="5"/>
      <c r="T35" s="7"/>
      <c r="U35" s="50" t="s">
        <v>82</v>
      </c>
      <c r="V35" s="7"/>
      <c r="W35" s="49" t="s">
        <v>196</v>
      </c>
      <c r="X35" s="5"/>
      <c r="Y35" s="5"/>
      <c r="Z35" s="5"/>
      <c r="AA35" s="5"/>
      <c r="AB35" s="5"/>
      <c r="AC35" s="7"/>
      <c r="AD35" s="48">
        <v>25.0</v>
      </c>
      <c r="AE35" s="5"/>
      <c r="AF35" s="7"/>
    </row>
    <row r="36" ht="30.0" customHeight="1">
      <c r="B36" s="47">
        <v>29.0</v>
      </c>
      <c r="C36" s="48" t="s">
        <v>200</v>
      </c>
      <c r="D36" s="5"/>
      <c r="E36" s="7"/>
      <c r="F36" s="49" t="s">
        <v>193</v>
      </c>
      <c r="G36" s="5"/>
      <c r="H36" s="5"/>
      <c r="I36" s="5"/>
      <c r="J36" s="5"/>
      <c r="K36" s="5"/>
      <c r="L36" s="7"/>
      <c r="M36" s="49" t="s">
        <v>203</v>
      </c>
      <c r="N36" s="5"/>
      <c r="O36" s="5"/>
      <c r="P36" s="5"/>
      <c r="Q36" s="5"/>
      <c r="R36" s="5"/>
      <c r="S36" s="5"/>
      <c r="T36" s="7"/>
      <c r="U36" s="50" t="s">
        <v>82</v>
      </c>
      <c r="V36" s="7"/>
      <c r="W36" s="49" t="s">
        <v>94</v>
      </c>
      <c r="X36" s="5"/>
      <c r="Y36" s="5"/>
      <c r="Z36" s="5"/>
      <c r="AA36" s="5"/>
      <c r="AB36" s="5"/>
      <c r="AC36" s="7"/>
      <c r="AD36" s="48">
        <v>8.0</v>
      </c>
      <c r="AE36" s="5"/>
      <c r="AF36" s="7"/>
    </row>
    <row r="37" ht="30.0" customHeight="1">
      <c r="B37" s="47">
        <v>30.0</v>
      </c>
      <c r="C37" s="48" t="s">
        <v>205</v>
      </c>
      <c r="D37" s="5"/>
      <c r="E37" s="7"/>
      <c r="F37" s="49" t="s">
        <v>193</v>
      </c>
      <c r="G37" s="5"/>
      <c r="H37" s="5"/>
      <c r="I37" s="5"/>
      <c r="J37" s="5"/>
      <c r="K37" s="5"/>
      <c r="L37" s="7"/>
      <c r="M37" s="49" t="s">
        <v>206</v>
      </c>
      <c r="N37" s="5"/>
      <c r="O37" s="5"/>
      <c r="P37" s="5"/>
      <c r="Q37" s="5"/>
      <c r="R37" s="5"/>
      <c r="S37" s="5"/>
      <c r="T37" s="7"/>
      <c r="U37" s="50" t="s">
        <v>82</v>
      </c>
      <c r="V37" s="7"/>
      <c r="W37" s="49" t="s">
        <v>207</v>
      </c>
      <c r="X37" s="5"/>
      <c r="Y37" s="5"/>
      <c r="Z37" s="5"/>
      <c r="AA37" s="5"/>
      <c r="AB37" s="5"/>
      <c r="AC37" s="7"/>
      <c r="AD37" s="48">
        <v>15.0</v>
      </c>
      <c r="AE37" s="5"/>
      <c r="AF37" s="7"/>
    </row>
    <row r="38" ht="30.0" customHeight="1">
      <c r="B38" s="47">
        <v>31.0</v>
      </c>
      <c r="C38" s="48" t="s">
        <v>208</v>
      </c>
      <c r="D38" s="5"/>
      <c r="E38" s="7"/>
      <c r="F38" s="49" t="s">
        <v>193</v>
      </c>
      <c r="G38" s="5"/>
      <c r="H38" s="5"/>
      <c r="I38" s="5"/>
      <c r="J38" s="5"/>
      <c r="K38" s="5"/>
      <c r="L38" s="7"/>
      <c r="M38" s="49" t="s">
        <v>211</v>
      </c>
      <c r="N38" s="5"/>
      <c r="O38" s="5"/>
      <c r="P38" s="5"/>
      <c r="Q38" s="5"/>
      <c r="R38" s="5"/>
      <c r="S38" s="5"/>
      <c r="T38" s="7"/>
      <c r="U38" s="50" t="s">
        <v>82</v>
      </c>
      <c r="V38" s="7"/>
      <c r="W38" s="49" t="s">
        <v>94</v>
      </c>
      <c r="X38" s="5"/>
      <c r="Y38" s="5"/>
      <c r="Z38" s="5"/>
      <c r="AA38" s="5"/>
      <c r="AB38" s="5"/>
      <c r="AC38" s="7"/>
      <c r="AD38" s="48">
        <v>40.0</v>
      </c>
      <c r="AE38" s="5"/>
      <c r="AF38" s="7"/>
    </row>
    <row r="39" ht="30.0" customHeight="1">
      <c r="B39" s="47">
        <v>32.0</v>
      </c>
      <c r="C39" s="48" t="s">
        <v>215</v>
      </c>
      <c r="D39" s="5"/>
      <c r="E39" s="7"/>
      <c r="F39" s="49" t="s">
        <v>193</v>
      </c>
      <c r="G39" s="5"/>
      <c r="H39" s="5"/>
      <c r="I39" s="5"/>
      <c r="J39" s="5"/>
      <c r="K39" s="5"/>
      <c r="L39" s="7"/>
      <c r="M39" s="49" t="s">
        <v>217</v>
      </c>
      <c r="N39" s="5"/>
      <c r="O39" s="5"/>
      <c r="P39" s="5"/>
      <c r="Q39" s="5"/>
      <c r="R39" s="5"/>
      <c r="S39" s="5"/>
      <c r="T39" s="7"/>
      <c r="U39" s="51" t="s">
        <v>102</v>
      </c>
      <c r="V39" s="7"/>
      <c r="W39" s="49" t="s">
        <v>218</v>
      </c>
      <c r="X39" s="5"/>
      <c r="Y39" s="5"/>
      <c r="Z39" s="5"/>
      <c r="AA39" s="5"/>
      <c r="AB39" s="5"/>
      <c r="AC39" s="7"/>
      <c r="AD39" s="48">
        <v>20.0</v>
      </c>
      <c r="AE39" s="5"/>
      <c r="AF39" s="7"/>
    </row>
    <row r="40" ht="30.0" customHeight="1">
      <c r="B40" s="47">
        <v>33.0</v>
      </c>
      <c r="C40" s="48" t="s">
        <v>219</v>
      </c>
      <c r="D40" s="5"/>
      <c r="E40" s="7"/>
      <c r="F40" s="49" t="s">
        <v>193</v>
      </c>
      <c r="G40" s="5"/>
      <c r="H40" s="5"/>
      <c r="I40" s="5"/>
      <c r="J40" s="5"/>
      <c r="K40" s="5"/>
      <c r="L40" s="7"/>
      <c r="M40" s="49" t="s">
        <v>220</v>
      </c>
      <c r="N40" s="5"/>
      <c r="O40" s="5"/>
      <c r="P40" s="5"/>
      <c r="Q40" s="5"/>
      <c r="R40" s="5"/>
      <c r="S40" s="5"/>
      <c r="T40" s="7"/>
      <c r="U40" s="51" t="s">
        <v>102</v>
      </c>
      <c r="V40" s="7"/>
      <c r="W40" s="49" t="s">
        <v>221</v>
      </c>
      <c r="X40" s="5"/>
      <c r="Y40" s="5"/>
      <c r="Z40" s="5"/>
      <c r="AA40" s="5"/>
      <c r="AB40" s="5"/>
      <c r="AC40" s="7"/>
      <c r="AD40" s="48">
        <v>12.0</v>
      </c>
      <c r="AE40" s="5"/>
      <c r="AF40" s="7"/>
    </row>
    <row r="41" ht="30.0" customHeight="1">
      <c r="B41" s="47">
        <v>34.0</v>
      </c>
      <c r="C41" s="48" t="s">
        <v>222</v>
      </c>
      <c r="D41" s="5"/>
      <c r="E41" s="7"/>
      <c r="F41" s="49" t="s">
        <v>193</v>
      </c>
      <c r="G41" s="5"/>
      <c r="H41" s="5"/>
      <c r="I41" s="5"/>
      <c r="J41" s="5"/>
      <c r="K41" s="5"/>
      <c r="L41" s="7"/>
      <c r="M41" s="49" t="s">
        <v>224</v>
      </c>
      <c r="N41" s="5"/>
      <c r="O41" s="5"/>
      <c r="P41" s="5"/>
      <c r="Q41" s="5"/>
      <c r="R41" s="5"/>
      <c r="S41" s="5"/>
      <c r="T41" s="7"/>
      <c r="U41" s="50" t="s">
        <v>82</v>
      </c>
      <c r="V41" s="7"/>
      <c r="W41" s="49" t="s">
        <v>227</v>
      </c>
      <c r="X41" s="5"/>
      <c r="Y41" s="5"/>
      <c r="Z41" s="5"/>
      <c r="AA41" s="5"/>
      <c r="AB41" s="5"/>
      <c r="AC41" s="7"/>
      <c r="AD41" s="48">
        <v>15.0</v>
      </c>
      <c r="AE41" s="5"/>
      <c r="AF41" s="7"/>
    </row>
    <row r="42" ht="30.0" customHeight="1">
      <c r="B42" s="47">
        <v>35.0</v>
      </c>
      <c r="C42" s="48" t="s">
        <v>229</v>
      </c>
      <c r="D42" s="5"/>
      <c r="E42" s="7"/>
      <c r="F42" s="49" t="s">
        <v>193</v>
      </c>
      <c r="G42" s="5"/>
      <c r="H42" s="5"/>
      <c r="I42" s="5"/>
      <c r="J42" s="5"/>
      <c r="K42" s="5"/>
      <c r="L42" s="7"/>
      <c r="M42" s="49" t="s">
        <v>231</v>
      </c>
      <c r="N42" s="5"/>
      <c r="O42" s="5"/>
      <c r="P42" s="5"/>
      <c r="Q42" s="5"/>
      <c r="R42" s="5"/>
      <c r="S42" s="5"/>
      <c r="T42" s="7"/>
      <c r="U42" s="51" t="s">
        <v>102</v>
      </c>
      <c r="V42" s="7"/>
      <c r="W42" s="49" t="s">
        <v>94</v>
      </c>
      <c r="X42" s="5"/>
      <c r="Y42" s="5"/>
      <c r="Z42" s="5"/>
      <c r="AA42" s="5"/>
      <c r="AB42" s="5"/>
      <c r="AC42" s="7"/>
      <c r="AD42" s="48">
        <v>30.0</v>
      </c>
      <c r="AE42" s="5"/>
      <c r="AF42" s="7"/>
    </row>
    <row r="43" ht="36.0" customHeight="1">
      <c r="B43" s="47">
        <v>36.0</v>
      </c>
      <c r="C43" s="48" t="s">
        <v>232</v>
      </c>
      <c r="D43" s="5"/>
      <c r="E43" s="7"/>
      <c r="F43" s="49" t="s">
        <v>193</v>
      </c>
      <c r="G43" s="5"/>
      <c r="H43" s="5"/>
      <c r="I43" s="5"/>
      <c r="J43" s="5"/>
      <c r="K43" s="5"/>
      <c r="L43" s="7"/>
      <c r="M43" s="49" t="s">
        <v>233</v>
      </c>
      <c r="N43" s="5"/>
      <c r="O43" s="5"/>
      <c r="P43" s="5"/>
      <c r="Q43" s="5"/>
      <c r="R43" s="5"/>
      <c r="S43" s="5"/>
      <c r="T43" s="7"/>
      <c r="U43" s="50" t="s">
        <v>82</v>
      </c>
      <c r="V43" s="7"/>
      <c r="W43" s="49" t="s">
        <v>207</v>
      </c>
      <c r="X43" s="5"/>
      <c r="Y43" s="5"/>
      <c r="Z43" s="5"/>
      <c r="AA43" s="5"/>
      <c r="AB43" s="5"/>
      <c r="AC43" s="7"/>
      <c r="AD43" s="48">
        <v>6.0</v>
      </c>
      <c r="AE43" s="5"/>
      <c r="AF43" s="7"/>
    </row>
    <row r="44" ht="30.0" customHeight="1">
      <c r="B44" s="47">
        <v>37.0</v>
      </c>
      <c r="C44" s="48" t="s">
        <v>234</v>
      </c>
      <c r="D44" s="5"/>
      <c r="E44" s="7"/>
      <c r="F44" s="49" t="s">
        <v>235</v>
      </c>
      <c r="G44" s="5"/>
      <c r="H44" s="5"/>
      <c r="I44" s="5"/>
      <c r="J44" s="5"/>
      <c r="K44" s="5"/>
      <c r="L44" s="7"/>
      <c r="M44" s="49" t="s">
        <v>237</v>
      </c>
      <c r="N44" s="5"/>
      <c r="O44" s="5"/>
      <c r="P44" s="5"/>
      <c r="Q44" s="5"/>
      <c r="R44" s="5"/>
      <c r="S44" s="5"/>
      <c r="T44" s="7"/>
      <c r="U44" s="58" t="s">
        <v>239</v>
      </c>
      <c r="V44" s="7"/>
      <c r="W44" s="49" t="s">
        <v>242</v>
      </c>
      <c r="X44" s="5"/>
      <c r="Y44" s="5"/>
      <c r="Z44" s="5"/>
      <c r="AA44" s="5"/>
      <c r="AB44" s="5"/>
      <c r="AC44" s="7"/>
      <c r="AD44" s="48">
        <v>60.0</v>
      </c>
      <c r="AE44" s="5"/>
      <c r="AF44" s="7"/>
    </row>
    <row r="45" ht="36.0" customHeight="1">
      <c r="B45" s="47">
        <v>38.0</v>
      </c>
      <c r="C45" s="48" t="s">
        <v>243</v>
      </c>
      <c r="D45" s="5"/>
      <c r="E45" s="7"/>
      <c r="F45" s="49" t="s">
        <v>235</v>
      </c>
      <c r="G45" s="5"/>
      <c r="H45" s="5"/>
      <c r="I45" s="5"/>
      <c r="J45" s="5"/>
      <c r="K45" s="5"/>
      <c r="L45" s="7"/>
      <c r="M45" s="49" t="s">
        <v>245</v>
      </c>
      <c r="N45" s="5"/>
      <c r="O45" s="5"/>
      <c r="P45" s="5"/>
      <c r="Q45" s="5"/>
      <c r="R45" s="5"/>
      <c r="S45" s="5"/>
      <c r="T45" s="7"/>
      <c r="U45" s="58" t="s">
        <v>239</v>
      </c>
      <c r="V45" s="7"/>
      <c r="W45" s="49" t="s">
        <v>242</v>
      </c>
      <c r="X45" s="5"/>
      <c r="Y45" s="5"/>
      <c r="Z45" s="5"/>
      <c r="AA45" s="5"/>
      <c r="AB45" s="5"/>
      <c r="AC45" s="7"/>
      <c r="AD45" s="48">
        <v>40.0</v>
      </c>
      <c r="AE45" s="5"/>
      <c r="AF45" s="7"/>
    </row>
    <row r="46" ht="30.0" customHeight="1">
      <c r="B46" s="47">
        <v>39.0</v>
      </c>
      <c r="C46" s="48" t="s">
        <v>246</v>
      </c>
      <c r="D46" s="5"/>
      <c r="E46" s="7"/>
      <c r="F46" s="49" t="s">
        <v>235</v>
      </c>
      <c r="G46" s="5"/>
      <c r="H46" s="5"/>
      <c r="I46" s="5"/>
      <c r="J46" s="5"/>
      <c r="K46" s="5"/>
      <c r="L46" s="7"/>
      <c r="M46" s="49" t="s">
        <v>247</v>
      </c>
      <c r="N46" s="5"/>
      <c r="O46" s="5"/>
      <c r="P46" s="5"/>
      <c r="Q46" s="5"/>
      <c r="R46" s="5"/>
      <c r="S46" s="5"/>
      <c r="T46" s="7"/>
      <c r="U46" s="58" t="s">
        <v>239</v>
      </c>
      <c r="V46" s="7"/>
      <c r="W46" s="49" t="s">
        <v>119</v>
      </c>
      <c r="X46" s="5"/>
      <c r="Y46" s="5"/>
      <c r="Z46" s="5"/>
      <c r="AA46" s="5"/>
      <c r="AB46" s="5"/>
      <c r="AC46" s="7"/>
      <c r="AD46" s="48">
        <v>25.0</v>
      </c>
      <c r="AE46" s="5"/>
      <c r="AF46" s="7"/>
    </row>
    <row r="47" ht="30.0" customHeight="1">
      <c r="B47" s="47">
        <v>40.0</v>
      </c>
      <c r="C47" s="48" t="s">
        <v>249</v>
      </c>
      <c r="D47" s="5"/>
      <c r="E47" s="7"/>
      <c r="F47" s="49" t="s">
        <v>235</v>
      </c>
      <c r="G47" s="5"/>
      <c r="H47" s="5"/>
      <c r="I47" s="5"/>
      <c r="J47" s="5"/>
      <c r="K47" s="5"/>
      <c r="L47" s="7"/>
      <c r="M47" s="49" t="s">
        <v>251</v>
      </c>
      <c r="N47" s="5"/>
      <c r="O47" s="5"/>
      <c r="P47" s="5"/>
      <c r="Q47" s="5"/>
      <c r="R47" s="5"/>
      <c r="S47" s="5"/>
      <c r="T47" s="7"/>
      <c r="U47" s="58" t="s">
        <v>239</v>
      </c>
      <c r="V47" s="7"/>
      <c r="W47" s="49" t="s">
        <v>94</v>
      </c>
      <c r="X47" s="5"/>
      <c r="Y47" s="5"/>
      <c r="Z47" s="5"/>
      <c r="AA47" s="5"/>
      <c r="AB47" s="5"/>
      <c r="AC47" s="7"/>
      <c r="AD47" s="48">
        <v>5.0</v>
      </c>
      <c r="AE47" s="5"/>
      <c r="AF47" s="7"/>
    </row>
    <row r="48" ht="30.0" customHeight="1">
      <c r="B48" s="47">
        <v>41.0</v>
      </c>
      <c r="C48" s="48" t="s">
        <v>252</v>
      </c>
      <c r="D48" s="5"/>
      <c r="E48" s="7"/>
      <c r="F48" s="49" t="s">
        <v>235</v>
      </c>
      <c r="G48" s="5"/>
      <c r="H48" s="5"/>
      <c r="I48" s="5"/>
      <c r="J48" s="5"/>
      <c r="K48" s="5"/>
      <c r="L48" s="7"/>
      <c r="M48" s="49" t="s">
        <v>253</v>
      </c>
      <c r="N48" s="5"/>
      <c r="O48" s="5"/>
      <c r="P48" s="5"/>
      <c r="Q48" s="5"/>
      <c r="R48" s="5"/>
      <c r="S48" s="5"/>
      <c r="T48" s="7"/>
      <c r="U48" s="50" t="s">
        <v>82</v>
      </c>
      <c r="V48" s="7"/>
      <c r="W48" s="49" t="s">
        <v>94</v>
      </c>
      <c r="X48" s="5"/>
      <c r="Y48" s="5"/>
      <c r="Z48" s="5"/>
      <c r="AA48" s="5"/>
      <c r="AB48" s="5"/>
      <c r="AC48" s="7"/>
      <c r="AD48" s="48">
        <v>5.0</v>
      </c>
      <c r="AE48" s="5"/>
      <c r="AF48" s="7"/>
    </row>
    <row r="49" ht="30.0" customHeight="1">
      <c r="B49" s="47">
        <v>42.0</v>
      </c>
      <c r="C49" s="48" t="s">
        <v>257</v>
      </c>
      <c r="D49" s="5"/>
      <c r="E49" s="7"/>
      <c r="F49" s="49" t="s">
        <v>235</v>
      </c>
      <c r="G49" s="5"/>
      <c r="H49" s="5"/>
      <c r="I49" s="5"/>
      <c r="J49" s="5"/>
      <c r="K49" s="5"/>
      <c r="L49" s="7"/>
      <c r="M49" s="49" t="s">
        <v>259</v>
      </c>
      <c r="N49" s="5"/>
      <c r="O49" s="5"/>
      <c r="P49" s="5"/>
      <c r="Q49" s="5"/>
      <c r="R49" s="5"/>
      <c r="S49" s="5"/>
      <c r="T49" s="7"/>
      <c r="U49" s="51" t="s">
        <v>102</v>
      </c>
      <c r="V49" s="7"/>
      <c r="W49" s="49" t="s">
        <v>261</v>
      </c>
      <c r="X49" s="5"/>
      <c r="Y49" s="5"/>
      <c r="Z49" s="5"/>
      <c r="AA49" s="5"/>
      <c r="AB49" s="5"/>
      <c r="AC49" s="7"/>
      <c r="AD49" s="48">
        <v>8.0</v>
      </c>
      <c r="AE49" s="5"/>
      <c r="AF49" s="7"/>
    </row>
    <row r="50" ht="30.0" customHeight="1">
      <c r="B50" s="47">
        <v>43.0</v>
      </c>
      <c r="C50" s="48" t="s">
        <v>262</v>
      </c>
      <c r="D50" s="5"/>
      <c r="E50" s="7"/>
      <c r="F50" s="49" t="s">
        <v>263</v>
      </c>
      <c r="G50" s="5"/>
      <c r="H50" s="5"/>
      <c r="I50" s="5"/>
      <c r="J50" s="5"/>
      <c r="K50" s="5"/>
      <c r="L50" s="7"/>
      <c r="M50" s="49" t="s">
        <v>264</v>
      </c>
      <c r="N50" s="5"/>
      <c r="O50" s="5"/>
      <c r="P50" s="5"/>
      <c r="Q50" s="5"/>
      <c r="R50" s="5"/>
      <c r="S50" s="5"/>
      <c r="T50" s="7"/>
      <c r="U50" s="51" t="s">
        <v>102</v>
      </c>
      <c r="V50" s="7"/>
      <c r="W50" s="49" t="s">
        <v>265</v>
      </c>
      <c r="X50" s="5"/>
      <c r="Y50" s="5"/>
      <c r="Z50" s="5"/>
      <c r="AA50" s="5"/>
      <c r="AB50" s="5"/>
      <c r="AC50" s="7"/>
      <c r="AD50" s="48">
        <v>12.0</v>
      </c>
      <c r="AE50" s="5"/>
      <c r="AF50" s="7"/>
    </row>
    <row r="51" ht="30.0" customHeight="1">
      <c r="B51" s="47">
        <v>44.0</v>
      </c>
      <c r="C51" s="48" t="s">
        <v>266</v>
      </c>
      <c r="D51" s="5"/>
      <c r="E51" s="7"/>
      <c r="F51" s="49" t="s">
        <v>263</v>
      </c>
      <c r="G51" s="5"/>
      <c r="H51" s="5"/>
      <c r="I51" s="5"/>
      <c r="J51" s="5"/>
      <c r="K51" s="5"/>
      <c r="L51" s="7"/>
      <c r="M51" s="49" t="s">
        <v>267</v>
      </c>
      <c r="N51" s="5"/>
      <c r="O51" s="5"/>
      <c r="P51" s="5"/>
      <c r="Q51" s="5"/>
      <c r="R51" s="5"/>
      <c r="S51" s="5"/>
      <c r="T51" s="7"/>
      <c r="U51" s="51" t="s">
        <v>102</v>
      </c>
      <c r="V51" s="7"/>
      <c r="W51" s="49" t="s">
        <v>268</v>
      </c>
      <c r="X51" s="5"/>
      <c r="Y51" s="5"/>
      <c r="Z51" s="5"/>
      <c r="AA51" s="5"/>
      <c r="AB51" s="5"/>
      <c r="AC51" s="7"/>
      <c r="AD51" s="48">
        <v>8.0</v>
      </c>
      <c r="AE51" s="5"/>
      <c r="AF51" s="7"/>
    </row>
    <row r="52" ht="22.5" customHeight="1">
      <c r="B52" s="59" t="s">
        <v>44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7"/>
      <c r="U52" s="32"/>
      <c r="V52" s="7"/>
      <c r="W52" s="32"/>
      <c r="X52" s="5"/>
      <c r="Y52" s="5"/>
      <c r="Z52" s="5"/>
      <c r="AA52" s="5"/>
      <c r="AB52" s="5"/>
      <c r="AC52" s="7"/>
      <c r="AD52" s="32">
        <f>SUM(AD8:AD51)</f>
        <v>1682</v>
      </c>
      <c r="AE52" s="5"/>
      <c r="AF52" s="7"/>
    </row>
    <row r="53" ht="15.75" customHeight="1"/>
    <row r="54" ht="19.5" customHeight="1">
      <c r="B54" s="27" t="s">
        <v>274</v>
      </c>
    </row>
    <row r="55" ht="15.75" customHeight="1"/>
    <row r="56" ht="28.5" customHeight="1">
      <c r="B56" s="46" t="s">
        <v>275</v>
      </c>
      <c r="C56" s="7"/>
      <c r="D56" s="46" t="s">
        <v>276</v>
      </c>
      <c r="E56" s="5"/>
      <c r="F56" s="7"/>
      <c r="G56" s="46" t="s">
        <v>277</v>
      </c>
      <c r="H56" s="5"/>
      <c r="I56" s="5"/>
      <c r="J56" s="5"/>
      <c r="K56" s="5"/>
      <c r="L56" s="7"/>
      <c r="M56" s="46" t="s">
        <v>278</v>
      </c>
      <c r="N56" s="7"/>
      <c r="O56" s="46" t="s">
        <v>279</v>
      </c>
      <c r="P56" s="5"/>
      <c r="Q56" s="7"/>
      <c r="R56" s="46" t="s">
        <v>280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7"/>
    </row>
    <row r="57" ht="36.0" customHeight="1">
      <c r="B57" s="60" t="s">
        <v>204</v>
      </c>
      <c r="C57" s="7"/>
      <c r="D57" s="48" t="s">
        <v>285</v>
      </c>
      <c r="E57" s="5"/>
      <c r="F57" s="7"/>
      <c r="G57" s="49" t="s">
        <v>286</v>
      </c>
      <c r="H57" s="5"/>
      <c r="I57" s="5"/>
      <c r="J57" s="5"/>
      <c r="K57" s="5"/>
      <c r="L57" s="7"/>
      <c r="M57" s="48">
        <v>10.0</v>
      </c>
      <c r="N57" s="7"/>
      <c r="O57" s="48" t="s">
        <v>82</v>
      </c>
      <c r="P57" s="5"/>
      <c r="Q57" s="7"/>
      <c r="R57" s="49" t="s">
        <v>288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7"/>
    </row>
    <row r="58" ht="30.0" customHeight="1">
      <c r="B58" s="60" t="s">
        <v>289</v>
      </c>
      <c r="C58" s="7"/>
      <c r="D58" s="48" t="s">
        <v>290</v>
      </c>
      <c r="E58" s="5"/>
      <c r="F58" s="7"/>
      <c r="G58" s="49" t="s">
        <v>292</v>
      </c>
      <c r="H58" s="5"/>
      <c r="I58" s="5"/>
      <c r="J58" s="5"/>
      <c r="K58" s="5"/>
      <c r="L58" s="7"/>
      <c r="M58" s="48">
        <v>9.0</v>
      </c>
      <c r="N58" s="7"/>
      <c r="O58" s="48" t="s">
        <v>102</v>
      </c>
      <c r="P58" s="5"/>
      <c r="Q58" s="7"/>
      <c r="R58" s="49" t="s">
        <v>294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7"/>
    </row>
    <row r="59" ht="36.0" customHeight="1">
      <c r="B59" s="60" t="s">
        <v>297</v>
      </c>
      <c r="C59" s="7"/>
      <c r="D59" s="48" t="s">
        <v>298</v>
      </c>
      <c r="E59" s="5"/>
      <c r="F59" s="7"/>
      <c r="G59" s="49" t="s">
        <v>299</v>
      </c>
      <c r="H59" s="5"/>
      <c r="I59" s="5"/>
      <c r="J59" s="5"/>
      <c r="K59" s="5"/>
      <c r="L59" s="7"/>
      <c r="M59" s="48">
        <v>8.0</v>
      </c>
      <c r="N59" s="7"/>
      <c r="O59" s="48" t="s">
        <v>82</v>
      </c>
      <c r="P59" s="5"/>
      <c r="Q59" s="7"/>
      <c r="R59" s="49" t="s">
        <v>300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7"/>
    </row>
    <row r="60" ht="36.0" customHeight="1">
      <c r="B60" s="60" t="s">
        <v>301</v>
      </c>
      <c r="C60" s="7"/>
      <c r="D60" s="48" t="s">
        <v>302</v>
      </c>
      <c r="E60" s="5"/>
      <c r="F60" s="7"/>
      <c r="G60" s="49" t="s">
        <v>303</v>
      </c>
      <c r="H60" s="5"/>
      <c r="I60" s="5"/>
      <c r="J60" s="5"/>
      <c r="K60" s="5"/>
      <c r="L60" s="7"/>
      <c r="M60" s="48">
        <v>9.0</v>
      </c>
      <c r="N60" s="7"/>
      <c r="O60" s="48" t="s">
        <v>82</v>
      </c>
      <c r="P60" s="5"/>
      <c r="Q60" s="7"/>
      <c r="R60" s="49" t="s">
        <v>304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7"/>
    </row>
    <row r="61" ht="36.0" customHeight="1">
      <c r="B61" s="60" t="s">
        <v>305</v>
      </c>
      <c r="C61" s="7"/>
      <c r="D61" s="48" t="s">
        <v>308</v>
      </c>
      <c r="E61" s="5"/>
      <c r="F61" s="7"/>
      <c r="G61" s="49" t="s">
        <v>310</v>
      </c>
      <c r="H61" s="5"/>
      <c r="I61" s="5"/>
      <c r="J61" s="5"/>
      <c r="K61" s="5"/>
      <c r="L61" s="7"/>
      <c r="M61" s="48">
        <v>6.0</v>
      </c>
      <c r="N61" s="7"/>
      <c r="O61" s="48" t="s">
        <v>312</v>
      </c>
      <c r="P61" s="5"/>
      <c r="Q61" s="7"/>
      <c r="R61" s="49" t="s">
        <v>313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7"/>
    </row>
    <row r="62" ht="30.0" customHeight="1">
      <c r="B62" s="60" t="s">
        <v>315</v>
      </c>
      <c r="C62" s="7"/>
      <c r="D62" s="48" t="s">
        <v>316</v>
      </c>
      <c r="E62" s="5"/>
      <c r="F62" s="7"/>
      <c r="G62" s="49" t="s">
        <v>317</v>
      </c>
      <c r="H62" s="5"/>
      <c r="I62" s="5"/>
      <c r="J62" s="5"/>
      <c r="K62" s="5"/>
      <c r="L62" s="7"/>
      <c r="M62" s="48">
        <v>2.0</v>
      </c>
      <c r="N62" s="7"/>
      <c r="O62" s="48" t="s">
        <v>102</v>
      </c>
      <c r="P62" s="5"/>
      <c r="Q62" s="7"/>
      <c r="R62" s="49" t="s">
        <v>318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7"/>
    </row>
    <row r="63" ht="15.75" customHeight="1"/>
    <row r="64" ht="30.0" customHeight="1">
      <c r="B64" s="61" t="s">
        <v>319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7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3">
    <mergeCell ref="F11:L11"/>
    <mergeCell ref="M11:T11"/>
    <mergeCell ref="W11:AC11"/>
    <mergeCell ref="AD11:AF11"/>
    <mergeCell ref="C11:E11"/>
    <mergeCell ref="C12:E12"/>
    <mergeCell ref="F12:L12"/>
    <mergeCell ref="M12:T12"/>
    <mergeCell ref="U12:V12"/>
    <mergeCell ref="W12:AC12"/>
    <mergeCell ref="AD12:AF12"/>
    <mergeCell ref="A1:I1"/>
    <mergeCell ref="J1:P1"/>
    <mergeCell ref="Q1:U1"/>
    <mergeCell ref="V1:Y1"/>
    <mergeCell ref="Z1:AC1"/>
    <mergeCell ref="AD1:AG1"/>
    <mergeCell ref="AH1:AK1"/>
    <mergeCell ref="J2:P3"/>
    <mergeCell ref="Q2:U3"/>
    <mergeCell ref="V2:Y3"/>
    <mergeCell ref="Z2:AC3"/>
    <mergeCell ref="AD2:AG3"/>
    <mergeCell ref="AH2:AK3"/>
    <mergeCell ref="B5:AK5"/>
    <mergeCell ref="A2:I3"/>
    <mergeCell ref="C7:E7"/>
    <mergeCell ref="F7:L7"/>
    <mergeCell ref="M7:T7"/>
    <mergeCell ref="U7:V7"/>
    <mergeCell ref="W7:AC7"/>
    <mergeCell ref="AD7:AF7"/>
    <mergeCell ref="U9:V9"/>
    <mergeCell ref="W9:AC9"/>
    <mergeCell ref="W10:AC10"/>
    <mergeCell ref="AD10:AF10"/>
    <mergeCell ref="C8:E8"/>
    <mergeCell ref="F8:L8"/>
    <mergeCell ref="M8:T8"/>
    <mergeCell ref="U8:V8"/>
    <mergeCell ref="W8:AC8"/>
    <mergeCell ref="AD8:AF8"/>
    <mergeCell ref="C9:E9"/>
    <mergeCell ref="AD9:AF9"/>
    <mergeCell ref="F9:L9"/>
    <mergeCell ref="M9:T9"/>
    <mergeCell ref="C10:E10"/>
    <mergeCell ref="F10:L10"/>
    <mergeCell ref="M10:T10"/>
    <mergeCell ref="U10:V10"/>
    <mergeCell ref="U11:V11"/>
    <mergeCell ref="U14:V14"/>
    <mergeCell ref="W14:AC14"/>
    <mergeCell ref="F20:L20"/>
    <mergeCell ref="M20:T20"/>
    <mergeCell ref="W20:AC20"/>
    <mergeCell ref="AD20:AF20"/>
    <mergeCell ref="C20:E20"/>
    <mergeCell ref="C21:E21"/>
    <mergeCell ref="F21:L21"/>
    <mergeCell ref="M21:T21"/>
    <mergeCell ref="U21:V21"/>
    <mergeCell ref="W21:AC21"/>
    <mergeCell ref="AD21:AF21"/>
    <mergeCell ref="F23:L23"/>
    <mergeCell ref="M23:T23"/>
    <mergeCell ref="C22:E22"/>
    <mergeCell ref="F22:L22"/>
    <mergeCell ref="M22:T22"/>
    <mergeCell ref="U22:V22"/>
    <mergeCell ref="W22:AC22"/>
    <mergeCell ref="AD22:AF22"/>
    <mergeCell ref="C23:E23"/>
    <mergeCell ref="AD23:AF23"/>
    <mergeCell ref="U23:V23"/>
    <mergeCell ref="W23:AC23"/>
    <mergeCell ref="F24:L24"/>
    <mergeCell ref="M24:T24"/>
    <mergeCell ref="U24:V24"/>
    <mergeCell ref="W24:AC24"/>
    <mergeCell ref="AD24:AF24"/>
    <mergeCell ref="C24:E24"/>
    <mergeCell ref="C25:E25"/>
    <mergeCell ref="F25:L25"/>
    <mergeCell ref="M25:T25"/>
    <mergeCell ref="U25:V25"/>
    <mergeCell ref="W25:AC25"/>
    <mergeCell ref="AD25:AF25"/>
    <mergeCell ref="F27:L27"/>
    <mergeCell ref="M27:T27"/>
    <mergeCell ref="C26:E26"/>
    <mergeCell ref="F26:L26"/>
    <mergeCell ref="M26:T26"/>
    <mergeCell ref="U26:V26"/>
    <mergeCell ref="W26:AC26"/>
    <mergeCell ref="AD26:AF26"/>
    <mergeCell ref="C27:E27"/>
    <mergeCell ref="AD27:AF27"/>
    <mergeCell ref="F31:L31"/>
    <mergeCell ref="M31:T31"/>
    <mergeCell ref="C30:E30"/>
    <mergeCell ref="F30:L30"/>
    <mergeCell ref="M30:T30"/>
    <mergeCell ref="U30:V30"/>
    <mergeCell ref="W30:AC30"/>
    <mergeCell ref="AD30:AF30"/>
    <mergeCell ref="C31:E31"/>
    <mergeCell ref="U42:V42"/>
    <mergeCell ref="W42:AC42"/>
    <mergeCell ref="F43:L43"/>
    <mergeCell ref="M43:T43"/>
    <mergeCell ref="U43:V43"/>
    <mergeCell ref="W43:AC43"/>
    <mergeCell ref="AD43:AF43"/>
    <mergeCell ref="C43:E43"/>
    <mergeCell ref="C44:E44"/>
    <mergeCell ref="F44:L44"/>
    <mergeCell ref="M44:T44"/>
    <mergeCell ref="U44:V44"/>
    <mergeCell ref="W44:AC44"/>
    <mergeCell ref="AD44:AF44"/>
    <mergeCell ref="F46:L46"/>
    <mergeCell ref="M46:T46"/>
    <mergeCell ref="C45:E45"/>
    <mergeCell ref="F45:L45"/>
    <mergeCell ref="M45:T45"/>
    <mergeCell ref="U45:V45"/>
    <mergeCell ref="W45:AC45"/>
    <mergeCell ref="AD45:AF45"/>
    <mergeCell ref="C46:E46"/>
    <mergeCell ref="AD46:AF46"/>
    <mergeCell ref="U46:V46"/>
    <mergeCell ref="W46:AC46"/>
    <mergeCell ref="F47:L47"/>
    <mergeCell ref="M47:T47"/>
    <mergeCell ref="U47:V47"/>
    <mergeCell ref="W47:AC47"/>
    <mergeCell ref="AD47:AF47"/>
    <mergeCell ref="C47:E47"/>
    <mergeCell ref="C48:E48"/>
    <mergeCell ref="F48:L48"/>
    <mergeCell ref="M48:T48"/>
    <mergeCell ref="U48:V48"/>
    <mergeCell ref="W48:AC48"/>
    <mergeCell ref="AD48:AF48"/>
    <mergeCell ref="C13:E13"/>
    <mergeCell ref="F13:L13"/>
    <mergeCell ref="M13:T13"/>
    <mergeCell ref="U13:V13"/>
    <mergeCell ref="W13:AC13"/>
    <mergeCell ref="AD13:AF13"/>
    <mergeCell ref="C14:E14"/>
    <mergeCell ref="AD14:AF14"/>
    <mergeCell ref="F14:L14"/>
    <mergeCell ref="M14:T14"/>
    <mergeCell ref="F15:L15"/>
    <mergeCell ref="M15:T15"/>
    <mergeCell ref="U15:V15"/>
    <mergeCell ref="W15:AC15"/>
    <mergeCell ref="AD15:AF15"/>
    <mergeCell ref="C15:E15"/>
    <mergeCell ref="C16:E16"/>
    <mergeCell ref="F16:L16"/>
    <mergeCell ref="M16:T16"/>
    <mergeCell ref="U16:V16"/>
    <mergeCell ref="W16:AC16"/>
    <mergeCell ref="AD16:AF16"/>
    <mergeCell ref="U18:V18"/>
    <mergeCell ref="W18:AC18"/>
    <mergeCell ref="W19:AC19"/>
    <mergeCell ref="AD19:AF19"/>
    <mergeCell ref="C17:E17"/>
    <mergeCell ref="F17:L17"/>
    <mergeCell ref="M17:T17"/>
    <mergeCell ref="U17:V17"/>
    <mergeCell ref="W17:AC17"/>
    <mergeCell ref="AD17:AF17"/>
    <mergeCell ref="C18:E18"/>
    <mergeCell ref="AD18:AF18"/>
    <mergeCell ref="F18:L18"/>
    <mergeCell ref="M18:T18"/>
    <mergeCell ref="C19:E19"/>
    <mergeCell ref="F19:L19"/>
    <mergeCell ref="M19:T19"/>
    <mergeCell ref="U19:V19"/>
    <mergeCell ref="U20:V20"/>
    <mergeCell ref="U50:V50"/>
    <mergeCell ref="W50:AC50"/>
    <mergeCell ref="C51:E51"/>
    <mergeCell ref="F51:L51"/>
    <mergeCell ref="M51:T51"/>
    <mergeCell ref="U51:V51"/>
    <mergeCell ref="W51:AC51"/>
    <mergeCell ref="AD51:AF51"/>
    <mergeCell ref="D61:F61"/>
    <mergeCell ref="G61:L61"/>
    <mergeCell ref="B62:C62"/>
    <mergeCell ref="D62:F62"/>
    <mergeCell ref="G62:L62"/>
    <mergeCell ref="M62:N62"/>
    <mergeCell ref="M61:N61"/>
    <mergeCell ref="O61:Q61"/>
    <mergeCell ref="O62:Q62"/>
    <mergeCell ref="B59:C59"/>
    <mergeCell ref="B60:C60"/>
    <mergeCell ref="D60:F60"/>
    <mergeCell ref="G60:L60"/>
    <mergeCell ref="M60:N60"/>
    <mergeCell ref="O60:Q60"/>
    <mergeCell ref="B61:C61"/>
    <mergeCell ref="C49:E49"/>
    <mergeCell ref="F49:L49"/>
    <mergeCell ref="M49:T49"/>
    <mergeCell ref="U49:V49"/>
    <mergeCell ref="W49:AC49"/>
    <mergeCell ref="AD49:AF49"/>
    <mergeCell ref="C50:E50"/>
    <mergeCell ref="AD50:AF50"/>
    <mergeCell ref="F50:L50"/>
    <mergeCell ref="M50:T50"/>
    <mergeCell ref="B52:T52"/>
    <mergeCell ref="U52:V52"/>
    <mergeCell ref="W52:AC52"/>
    <mergeCell ref="AD52:AF52"/>
    <mergeCell ref="B54:AK54"/>
    <mergeCell ref="M57:N57"/>
    <mergeCell ref="O57:Q57"/>
    <mergeCell ref="O58:Q58"/>
    <mergeCell ref="R57:AK57"/>
    <mergeCell ref="R58:AK58"/>
    <mergeCell ref="B56:C56"/>
    <mergeCell ref="D56:F56"/>
    <mergeCell ref="G56:L56"/>
    <mergeCell ref="M56:N56"/>
    <mergeCell ref="O56:Q56"/>
    <mergeCell ref="R56:AK56"/>
    <mergeCell ref="B57:C57"/>
    <mergeCell ref="D59:F59"/>
    <mergeCell ref="G59:L59"/>
    <mergeCell ref="O59:Q59"/>
    <mergeCell ref="R59:AK59"/>
    <mergeCell ref="R60:AK60"/>
    <mergeCell ref="R61:AK61"/>
    <mergeCell ref="R62:AK62"/>
    <mergeCell ref="B64:AK64"/>
    <mergeCell ref="D57:F57"/>
    <mergeCell ref="G57:L57"/>
    <mergeCell ref="B58:C58"/>
    <mergeCell ref="D58:F58"/>
    <mergeCell ref="G58:L58"/>
    <mergeCell ref="M58:N58"/>
    <mergeCell ref="M59:N59"/>
    <mergeCell ref="U27:V27"/>
    <mergeCell ref="W27:AC27"/>
    <mergeCell ref="F28:L28"/>
    <mergeCell ref="M28:T28"/>
    <mergeCell ref="U28:V28"/>
    <mergeCell ref="W28:AC28"/>
    <mergeCell ref="AD28:AF28"/>
    <mergeCell ref="C28:E28"/>
    <mergeCell ref="C29:E29"/>
    <mergeCell ref="F29:L29"/>
    <mergeCell ref="M29:T29"/>
    <mergeCell ref="U29:V29"/>
    <mergeCell ref="W29:AC29"/>
    <mergeCell ref="AD29:AF29"/>
    <mergeCell ref="W32:AC32"/>
    <mergeCell ref="AD32:AF32"/>
    <mergeCell ref="U31:V31"/>
    <mergeCell ref="W31:AC31"/>
    <mergeCell ref="AD31:AF31"/>
    <mergeCell ref="C32:E32"/>
    <mergeCell ref="F32:L32"/>
    <mergeCell ref="M32:T32"/>
    <mergeCell ref="U32:V32"/>
    <mergeCell ref="F34:L34"/>
    <mergeCell ref="M34:T34"/>
    <mergeCell ref="C33:E33"/>
    <mergeCell ref="F33:L33"/>
    <mergeCell ref="M33:T33"/>
    <mergeCell ref="U33:V33"/>
    <mergeCell ref="W33:AC33"/>
    <mergeCell ref="AD33:AF33"/>
    <mergeCell ref="C34:E34"/>
    <mergeCell ref="AD34:AF34"/>
    <mergeCell ref="U34:V34"/>
    <mergeCell ref="W34:AC34"/>
    <mergeCell ref="F35:L35"/>
    <mergeCell ref="M35:T35"/>
    <mergeCell ref="U35:V35"/>
    <mergeCell ref="W35:AC35"/>
    <mergeCell ref="AD35:AF35"/>
    <mergeCell ref="C35:E35"/>
    <mergeCell ref="C36:E36"/>
    <mergeCell ref="F36:L36"/>
    <mergeCell ref="M36:T36"/>
    <mergeCell ref="U36:V36"/>
    <mergeCell ref="W36:AC36"/>
    <mergeCell ref="AD36:AF36"/>
    <mergeCell ref="F38:L38"/>
    <mergeCell ref="M38:T38"/>
    <mergeCell ref="C37:E37"/>
    <mergeCell ref="F37:L37"/>
    <mergeCell ref="M37:T37"/>
    <mergeCell ref="U37:V37"/>
    <mergeCell ref="W37:AC37"/>
    <mergeCell ref="AD37:AF37"/>
    <mergeCell ref="C38:E38"/>
    <mergeCell ref="AD38:AF38"/>
    <mergeCell ref="U38:V38"/>
    <mergeCell ref="W38:AC38"/>
    <mergeCell ref="F39:L39"/>
    <mergeCell ref="M39:T39"/>
    <mergeCell ref="U39:V39"/>
    <mergeCell ref="W39:AC39"/>
    <mergeCell ref="AD39:AF39"/>
    <mergeCell ref="C39:E39"/>
    <mergeCell ref="C40:E40"/>
    <mergeCell ref="F40:L40"/>
    <mergeCell ref="M40:T40"/>
    <mergeCell ref="U40:V40"/>
    <mergeCell ref="W40:AC40"/>
    <mergeCell ref="AD40:AF40"/>
    <mergeCell ref="F42:L42"/>
    <mergeCell ref="M42:T42"/>
    <mergeCell ref="C41:E41"/>
    <mergeCell ref="F41:L41"/>
    <mergeCell ref="M41:T41"/>
    <mergeCell ref="U41:V41"/>
    <mergeCell ref="W41:AC41"/>
    <mergeCell ref="AD41:AF41"/>
    <mergeCell ref="C42:E42"/>
    <mergeCell ref="AD42:AF4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9" width="4.0"/>
  </cols>
  <sheetData>
    <row r="1" ht="22.5" customHeight="1">
      <c r="A1" s="46" t="s">
        <v>104</v>
      </c>
      <c r="B1" s="5"/>
      <c r="C1" s="5"/>
      <c r="D1" s="5"/>
      <c r="E1" s="7"/>
      <c r="F1" s="15" t="s">
        <v>105</v>
      </c>
      <c r="G1" s="5"/>
      <c r="H1" s="5"/>
      <c r="I1" s="5"/>
      <c r="J1" s="5"/>
      <c r="K1" s="5"/>
      <c r="L1" s="5"/>
      <c r="M1" s="5"/>
      <c r="N1" s="5"/>
      <c r="O1" s="5"/>
      <c r="P1" s="5"/>
      <c r="Q1" s="7"/>
      <c r="R1" s="46" t="s">
        <v>107</v>
      </c>
      <c r="S1" s="5"/>
      <c r="T1" s="5"/>
      <c r="U1" s="5"/>
      <c r="V1" s="7"/>
      <c r="W1" s="15" t="s">
        <v>108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7"/>
    </row>
    <row r="2" ht="22.5" customHeight="1">
      <c r="A2" s="46" t="s">
        <v>10</v>
      </c>
      <c r="B2" s="5"/>
      <c r="C2" s="5"/>
      <c r="D2" s="5"/>
      <c r="E2" s="7"/>
      <c r="F2" s="15" t="s">
        <v>21</v>
      </c>
      <c r="G2" s="5"/>
      <c r="H2" s="5"/>
      <c r="I2" s="5"/>
      <c r="J2" s="5"/>
      <c r="K2" s="5"/>
      <c r="L2" s="5"/>
      <c r="M2" s="5"/>
      <c r="N2" s="5"/>
      <c r="O2" s="5"/>
      <c r="P2" s="5"/>
      <c r="Q2" s="7"/>
      <c r="R2" s="46" t="s">
        <v>8</v>
      </c>
      <c r="S2" s="5"/>
      <c r="T2" s="5"/>
      <c r="U2" s="5"/>
      <c r="V2" s="7"/>
      <c r="W2" s="26" t="s">
        <v>24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7"/>
    </row>
    <row r="3" ht="22.5" customHeight="1">
      <c r="A3" s="46" t="s">
        <v>12</v>
      </c>
      <c r="B3" s="5"/>
      <c r="C3" s="5"/>
      <c r="D3" s="5"/>
      <c r="E3" s="7"/>
      <c r="F3" s="15" t="s">
        <v>25</v>
      </c>
      <c r="G3" s="5"/>
      <c r="H3" s="5"/>
      <c r="I3" s="5"/>
      <c r="J3" s="5"/>
      <c r="K3" s="5"/>
      <c r="L3" s="5"/>
      <c r="M3" s="5"/>
      <c r="N3" s="5"/>
      <c r="O3" s="5"/>
      <c r="P3" s="5"/>
      <c r="Q3" s="7"/>
      <c r="R3" s="46" t="s">
        <v>115</v>
      </c>
      <c r="S3" s="5"/>
      <c r="T3" s="5"/>
      <c r="U3" s="5"/>
      <c r="V3" s="7"/>
      <c r="W3" s="26"/>
      <c r="X3" s="5"/>
      <c r="Y3" s="5"/>
      <c r="Z3" s="5"/>
      <c r="AA3" s="5"/>
      <c r="AB3" s="5"/>
      <c r="AC3" s="5"/>
      <c r="AD3" s="5"/>
      <c r="AE3" s="5"/>
      <c r="AF3" s="5"/>
      <c r="AG3" s="5"/>
      <c r="AH3" s="7"/>
    </row>
    <row r="4" ht="22.5" customHeight="1">
      <c r="A4" s="46" t="s">
        <v>118</v>
      </c>
      <c r="B4" s="5"/>
      <c r="C4" s="5"/>
      <c r="D4" s="5"/>
      <c r="E4" s="7"/>
      <c r="F4" s="15" t="s">
        <v>120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7"/>
    </row>
    <row r="5" ht="22.5" customHeight="1">
      <c r="A5" s="46" t="s">
        <v>123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7"/>
      <c r="T5" s="46" t="s">
        <v>45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7"/>
    </row>
    <row r="6" ht="22.5" customHeight="1">
      <c r="A6" s="46" t="s">
        <v>126</v>
      </c>
      <c r="B6" s="5"/>
      <c r="C6" s="5"/>
      <c r="D6" s="5"/>
      <c r="E6" s="5"/>
      <c r="F6" s="5"/>
      <c r="G6" s="7"/>
      <c r="H6" s="46" t="s">
        <v>47</v>
      </c>
      <c r="I6" s="5"/>
      <c r="J6" s="7"/>
      <c r="K6" s="46" t="s">
        <v>48</v>
      </c>
      <c r="L6" s="5"/>
      <c r="M6" s="7"/>
      <c r="N6" s="46" t="s">
        <v>127</v>
      </c>
      <c r="O6" s="5"/>
      <c r="P6" s="7"/>
      <c r="Q6" s="46" t="s">
        <v>44</v>
      </c>
      <c r="R6" s="5"/>
      <c r="S6" s="7"/>
      <c r="T6" s="46" t="s">
        <v>51</v>
      </c>
      <c r="U6" s="5"/>
      <c r="V6" s="7"/>
      <c r="W6" s="46" t="s">
        <v>52</v>
      </c>
      <c r="X6" s="5"/>
      <c r="Y6" s="7"/>
      <c r="Z6" s="46" t="s">
        <v>53</v>
      </c>
      <c r="AA6" s="5"/>
      <c r="AB6" s="7"/>
      <c r="AC6" s="46" t="s">
        <v>54</v>
      </c>
      <c r="AD6" s="5"/>
      <c r="AE6" s="7"/>
      <c r="AF6" s="46" t="s">
        <v>44</v>
      </c>
      <c r="AG6" s="5"/>
      <c r="AH6" s="7"/>
    </row>
    <row r="7" ht="22.5" customHeight="1">
      <c r="A7" s="46" t="s">
        <v>131</v>
      </c>
      <c r="B7" s="5"/>
      <c r="C7" s="5"/>
      <c r="D7" s="5"/>
      <c r="E7" s="5"/>
      <c r="F7" s="5"/>
      <c r="G7" s="7"/>
      <c r="H7" s="16">
        <f t="shared" ref="H7:H8" si="1">COUNTIF($AE$12:$AF$1049,"N")</f>
        <v>34</v>
      </c>
      <c r="I7" s="5"/>
      <c r="J7" s="7"/>
      <c r="K7" s="16">
        <f t="shared" ref="K7:K8" si="2">COUNTIF($AE$12:$AF$1049,"A")</f>
        <v>33</v>
      </c>
      <c r="L7" s="5"/>
      <c r="M7" s="7"/>
      <c r="N7" s="16">
        <f t="shared" ref="N7:N8" si="3">COUNTIF($AE$12:$AF$1049,"B")</f>
        <v>5</v>
      </c>
      <c r="O7" s="5"/>
      <c r="P7" s="7"/>
      <c r="Q7" s="43">
        <f t="shared" ref="Q7:Q8" si="4">SUM(H7:P7)</f>
        <v>72</v>
      </c>
      <c r="R7" s="5"/>
      <c r="S7" s="7"/>
      <c r="T7" s="16">
        <f>COUNTIF($AG$12:$AI$1049,T$6)</f>
        <v>72</v>
      </c>
      <c r="U7" s="5"/>
      <c r="V7" s="7"/>
      <c r="W7" s="16">
        <f>COUNTIF($AG$12:$AI$1049,W$6)</f>
        <v>0</v>
      </c>
      <c r="X7" s="5"/>
      <c r="Y7" s="7"/>
      <c r="Z7" s="16">
        <f>COUNTIF($AG$12:$AI$1049,Z$6)</f>
        <v>0</v>
      </c>
      <c r="AA7" s="5"/>
      <c r="AB7" s="7"/>
      <c r="AC7" s="16">
        <f>COUNTIF($AG$12:$AI$1049,AC$6)</f>
        <v>0</v>
      </c>
      <c r="AD7" s="5"/>
      <c r="AE7" s="7"/>
      <c r="AF7" s="43">
        <f t="shared" ref="AF7:AF8" si="5">SUM(T7:AE7)</f>
        <v>72</v>
      </c>
      <c r="AG7" s="5"/>
      <c r="AH7" s="7"/>
    </row>
    <row r="8" ht="22.5" customHeight="1">
      <c r="A8" s="46" t="s">
        <v>143</v>
      </c>
      <c r="B8" s="5"/>
      <c r="C8" s="5"/>
      <c r="D8" s="5"/>
      <c r="E8" s="5"/>
      <c r="F8" s="5"/>
      <c r="G8" s="7"/>
      <c r="H8" s="16">
        <f t="shared" si="1"/>
        <v>34</v>
      </c>
      <c r="I8" s="5"/>
      <c r="J8" s="7"/>
      <c r="K8" s="16">
        <f t="shared" si="2"/>
        <v>33</v>
      </c>
      <c r="L8" s="5"/>
      <c r="M8" s="7"/>
      <c r="N8" s="16">
        <f t="shared" si="3"/>
        <v>5</v>
      </c>
      <c r="O8" s="5"/>
      <c r="P8" s="7"/>
      <c r="Q8" s="43">
        <f t="shared" si="4"/>
        <v>72</v>
      </c>
      <c r="R8" s="5"/>
      <c r="S8" s="7"/>
      <c r="T8" s="16">
        <f>COUNTIF($AV$12:$AX$1049,T$6)</f>
        <v>72</v>
      </c>
      <c r="U8" s="5"/>
      <c r="V8" s="7"/>
      <c r="W8" s="16">
        <f>COUNTIF($AV$12:$AX$1049,W$6)</f>
        <v>0</v>
      </c>
      <c r="X8" s="5"/>
      <c r="Y8" s="7"/>
      <c r="Z8" s="16">
        <f>COUNTIF($AV$12:$AX$1049,Z$6)</f>
        <v>0</v>
      </c>
      <c r="AA8" s="5"/>
      <c r="AB8" s="7"/>
      <c r="AC8" s="16">
        <f>COUNTIF($AV$12:$AX$1049,AC$6)</f>
        <v>0</v>
      </c>
      <c r="AD8" s="5"/>
      <c r="AE8" s="7"/>
      <c r="AF8" s="43">
        <f t="shared" si="5"/>
        <v>72</v>
      </c>
      <c r="AG8" s="5"/>
      <c r="AH8" s="7"/>
    </row>
    <row r="9" ht="12.75" customHeight="1"/>
    <row r="10" ht="36.0" customHeight="1">
      <c r="A10" s="52" t="s">
        <v>31</v>
      </c>
      <c r="B10" s="53" t="s">
        <v>151</v>
      </c>
      <c r="C10" s="14"/>
      <c r="D10" s="17"/>
      <c r="E10" s="53" t="s">
        <v>153</v>
      </c>
      <c r="F10" s="14"/>
      <c r="G10" s="14"/>
      <c r="H10" s="14"/>
      <c r="I10" s="17"/>
      <c r="J10" s="53" t="s">
        <v>155</v>
      </c>
      <c r="K10" s="14"/>
      <c r="L10" s="14"/>
      <c r="M10" s="14"/>
      <c r="N10" s="14"/>
      <c r="O10" s="14"/>
      <c r="P10" s="17"/>
      <c r="Q10" s="53" t="s">
        <v>156</v>
      </c>
      <c r="R10" s="14"/>
      <c r="S10" s="14"/>
      <c r="T10" s="14"/>
      <c r="U10" s="14"/>
      <c r="V10" s="14"/>
      <c r="W10" s="17"/>
      <c r="X10" s="53" t="s">
        <v>157</v>
      </c>
      <c r="Y10" s="14"/>
      <c r="Z10" s="14"/>
      <c r="AA10" s="14"/>
      <c r="AB10" s="14"/>
      <c r="AC10" s="14"/>
      <c r="AD10" s="17"/>
      <c r="AE10" s="53" t="s">
        <v>158</v>
      </c>
      <c r="AF10" s="17"/>
      <c r="AG10" s="46" t="s">
        <v>160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7"/>
      <c r="AV10" s="46" t="s">
        <v>162</v>
      </c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7"/>
      <c r="BK10" s="53" t="s">
        <v>164</v>
      </c>
      <c r="BL10" s="14"/>
      <c r="BM10" s="14"/>
      <c r="BN10" s="14"/>
      <c r="BO10" s="14"/>
      <c r="BP10" s="14"/>
      <c r="BQ10" s="17"/>
    </row>
    <row r="11" ht="36.0" customHeight="1">
      <c r="A11" s="35"/>
      <c r="B11" s="21"/>
      <c r="C11" s="22"/>
      <c r="D11" s="24"/>
      <c r="E11" s="21"/>
      <c r="F11" s="22"/>
      <c r="G11" s="22"/>
      <c r="H11" s="22"/>
      <c r="I11" s="24"/>
      <c r="J11" s="21"/>
      <c r="K11" s="22"/>
      <c r="L11" s="22"/>
      <c r="M11" s="22"/>
      <c r="N11" s="22"/>
      <c r="O11" s="22"/>
      <c r="P11" s="24"/>
      <c r="Q11" s="21"/>
      <c r="R11" s="22"/>
      <c r="S11" s="22"/>
      <c r="T11" s="22"/>
      <c r="U11" s="22"/>
      <c r="V11" s="22"/>
      <c r="W11" s="24"/>
      <c r="X11" s="21"/>
      <c r="Y11" s="22"/>
      <c r="Z11" s="22"/>
      <c r="AA11" s="22"/>
      <c r="AB11" s="22"/>
      <c r="AC11" s="22"/>
      <c r="AD11" s="24"/>
      <c r="AE11" s="21"/>
      <c r="AF11" s="24"/>
      <c r="AG11" s="46" t="s">
        <v>167</v>
      </c>
      <c r="AH11" s="5"/>
      <c r="AI11" s="7"/>
      <c r="AJ11" s="46" t="s">
        <v>168</v>
      </c>
      <c r="AK11" s="5"/>
      <c r="AL11" s="7"/>
      <c r="AM11" s="46" t="s">
        <v>7</v>
      </c>
      <c r="AN11" s="5"/>
      <c r="AO11" s="7"/>
      <c r="AP11" s="46" t="s">
        <v>171</v>
      </c>
      <c r="AQ11" s="5"/>
      <c r="AR11" s="7"/>
      <c r="AS11" s="46" t="s">
        <v>172</v>
      </c>
      <c r="AT11" s="5"/>
      <c r="AU11" s="7"/>
      <c r="AV11" s="46" t="s">
        <v>167</v>
      </c>
      <c r="AW11" s="5"/>
      <c r="AX11" s="7"/>
      <c r="AY11" s="46" t="s">
        <v>168</v>
      </c>
      <c r="AZ11" s="5"/>
      <c r="BA11" s="7"/>
      <c r="BB11" s="46" t="s">
        <v>7</v>
      </c>
      <c r="BC11" s="5"/>
      <c r="BD11" s="7"/>
      <c r="BE11" s="46" t="s">
        <v>171</v>
      </c>
      <c r="BF11" s="5"/>
      <c r="BG11" s="7"/>
      <c r="BH11" s="46" t="s">
        <v>172</v>
      </c>
      <c r="BI11" s="5"/>
      <c r="BJ11" s="7"/>
      <c r="BK11" s="21"/>
      <c r="BL11" s="22"/>
      <c r="BM11" s="22"/>
      <c r="BN11" s="22"/>
      <c r="BO11" s="22"/>
      <c r="BP11" s="22"/>
      <c r="BQ11" s="24"/>
    </row>
    <row r="12" ht="22.5" customHeight="1">
      <c r="A12" s="9" t="s">
        <v>176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7"/>
    </row>
    <row r="13" ht="450.0" customHeight="1">
      <c r="A13" s="47">
        <v>1.0</v>
      </c>
      <c r="B13" s="49" t="s">
        <v>181</v>
      </c>
      <c r="C13" s="5"/>
      <c r="D13" s="7"/>
      <c r="E13" s="49" t="s">
        <v>182</v>
      </c>
      <c r="F13" s="5"/>
      <c r="G13" s="5"/>
      <c r="H13" s="5"/>
      <c r="I13" s="7"/>
      <c r="J13" s="49" t="s">
        <v>183</v>
      </c>
      <c r="K13" s="5"/>
      <c r="L13" s="5"/>
      <c r="M13" s="5"/>
      <c r="N13" s="5"/>
      <c r="O13" s="5"/>
      <c r="P13" s="7"/>
      <c r="Q13" s="54" t="s">
        <v>185</v>
      </c>
      <c r="R13" s="5"/>
      <c r="S13" s="5"/>
      <c r="T13" s="5"/>
      <c r="U13" s="5"/>
      <c r="V13" s="5"/>
      <c r="W13" s="7"/>
      <c r="X13" s="54" t="s">
        <v>187</v>
      </c>
      <c r="Y13" s="5"/>
      <c r="Z13" s="5"/>
      <c r="AA13" s="5"/>
      <c r="AB13" s="5"/>
      <c r="AC13" s="5"/>
      <c r="AD13" s="7"/>
      <c r="AE13" s="48" t="s">
        <v>189</v>
      </c>
      <c r="AF13" s="7"/>
      <c r="AG13" s="55" t="s">
        <v>51</v>
      </c>
      <c r="AH13" s="5"/>
      <c r="AI13" s="7"/>
      <c r="AJ13" s="48"/>
      <c r="AK13" s="5"/>
      <c r="AL13" s="7"/>
      <c r="AM13" s="56" t="s">
        <v>191</v>
      </c>
      <c r="AN13" s="5"/>
      <c r="AO13" s="7"/>
      <c r="AP13" s="57">
        <v>46172.0</v>
      </c>
      <c r="AQ13" s="5"/>
      <c r="AR13" s="7"/>
      <c r="AS13" s="48"/>
      <c r="AT13" s="5"/>
      <c r="AU13" s="7"/>
      <c r="AV13" s="55" t="s">
        <v>51</v>
      </c>
      <c r="AW13" s="5"/>
      <c r="AX13" s="7"/>
      <c r="AY13" s="48"/>
      <c r="AZ13" s="5"/>
      <c r="BA13" s="7"/>
      <c r="BB13" s="55" t="s">
        <v>195</v>
      </c>
      <c r="BC13" s="5"/>
      <c r="BD13" s="7"/>
      <c r="BE13" s="57">
        <v>46244.0</v>
      </c>
      <c r="BF13" s="5"/>
      <c r="BG13" s="7"/>
      <c r="BH13" s="48"/>
      <c r="BI13" s="5"/>
      <c r="BJ13" s="7"/>
      <c r="BK13" s="49"/>
      <c r="BL13" s="5"/>
      <c r="BM13" s="5"/>
      <c r="BN13" s="5"/>
      <c r="BO13" s="5"/>
      <c r="BP13" s="5"/>
      <c r="BQ13" s="7"/>
    </row>
    <row r="14" ht="450.0" customHeight="1">
      <c r="A14" s="47">
        <v>2.0</v>
      </c>
      <c r="B14" s="49" t="s">
        <v>197</v>
      </c>
      <c r="C14" s="5"/>
      <c r="D14" s="7"/>
      <c r="E14" s="49" t="s">
        <v>198</v>
      </c>
      <c r="F14" s="5"/>
      <c r="G14" s="5"/>
      <c r="H14" s="5"/>
      <c r="I14" s="7"/>
      <c r="J14" s="49" t="s">
        <v>199</v>
      </c>
      <c r="K14" s="5"/>
      <c r="L14" s="5"/>
      <c r="M14" s="5"/>
      <c r="N14" s="5"/>
      <c r="O14" s="5"/>
      <c r="P14" s="7"/>
      <c r="Q14" s="54" t="s">
        <v>201</v>
      </c>
      <c r="R14" s="5"/>
      <c r="S14" s="5"/>
      <c r="T14" s="5"/>
      <c r="U14" s="5"/>
      <c r="V14" s="5"/>
      <c r="W14" s="7"/>
      <c r="X14" s="49" t="s">
        <v>202</v>
      </c>
      <c r="Y14" s="5"/>
      <c r="Z14" s="5"/>
      <c r="AA14" s="5"/>
      <c r="AB14" s="5"/>
      <c r="AC14" s="5"/>
      <c r="AD14" s="7"/>
      <c r="AE14" s="48" t="s">
        <v>204</v>
      </c>
      <c r="AF14" s="7"/>
      <c r="AG14" s="55" t="s">
        <v>51</v>
      </c>
      <c r="AH14" s="5"/>
      <c r="AI14" s="7"/>
      <c r="AJ14" s="48"/>
      <c r="AK14" s="5"/>
      <c r="AL14" s="7"/>
      <c r="AM14" s="56" t="s">
        <v>191</v>
      </c>
      <c r="AN14" s="5"/>
      <c r="AO14" s="7"/>
      <c r="AP14" s="57">
        <v>46172.0</v>
      </c>
      <c r="AQ14" s="5"/>
      <c r="AR14" s="7"/>
      <c r="AS14" s="48"/>
      <c r="AT14" s="5"/>
      <c r="AU14" s="7"/>
      <c r="AV14" s="55" t="s">
        <v>51</v>
      </c>
      <c r="AW14" s="5"/>
      <c r="AX14" s="7"/>
      <c r="AY14" s="48"/>
      <c r="AZ14" s="5"/>
      <c r="BA14" s="7"/>
      <c r="BB14" s="55" t="s">
        <v>195</v>
      </c>
      <c r="BC14" s="5"/>
      <c r="BD14" s="7"/>
      <c r="BE14" s="57">
        <v>46244.0</v>
      </c>
      <c r="BF14" s="5"/>
      <c r="BG14" s="7"/>
      <c r="BH14" s="48"/>
      <c r="BI14" s="5"/>
      <c r="BJ14" s="7"/>
      <c r="BK14" s="49" t="s">
        <v>209</v>
      </c>
      <c r="BL14" s="5"/>
      <c r="BM14" s="5"/>
      <c r="BN14" s="5"/>
      <c r="BO14" s="5"/>
      <c r="BP14" s="5"/>
      <c r="BQ14" s="7"/>
    </row>
    <row r="15" ht="367.5" customHeight="1">
      <c r="A15" s="47">
        <v>3.0</v>
      </c>
      <c r="B15" s="49" t="s">
        <v>210</v>
      </c>
      <c r="C15" s="5"/>
      <c r="D15" s="7"/>
      <c r="E15" s="49" t="s">
        <v>212</v>
      </c>
      <c r="F15" s="5"/>
      <c r="G15" s="5"/>
      <c r="H15" s="5"/>
      <c r="I15" s="7"/>
      <c r="J15" s="49" t="s">
        <v>213</v>
      </c>
      <c r="K15" s="5"/>
      <c r="L15" s="5"/>
      <c r="M15" s="5"/>
      <c r="N15" s="5"/>
      <c r="O15" s="5"/>
      <c r="P15" s="7"/>
      <c r="Q15" s="54" t="s">
        <v>214</v>
      </c>
      <c r="R15" s="5"/>
      <c r="S15" s="5"/>
      <c r="T15" s="5"/>
      <c r="U15" s="5"/>
      <c r="V15" s="5"/>
      <c r="W15" s="7"/>
      <c r="X15" s="54" t="s">
        <v>216</v>
      </c>
      <c r="Y15" s="5"/>
      <c r="Z15" s="5"/>
      <c r="AA15" s="5"/>
      <c r="AB15" s="5"/>
      <c r="AC15" s="5"/>
      <c r="AD15" s="7"/>
      <c r="AE15" s="48" t="s">
        <v>204</v>
      </c>
      <c r="AF15" s="7"/>
      <c r="AG15" s="55" t="s">
        <v>51</v>
      </c>
      <c r="AH15" s="5"/>
      <c r="AI15" s="7"/>
      <c r="AJ15" s="48"/>
      <c r="AK15" s="5"/>
      <c r="AL15" s="7"/>
      <c r="AM15" s="56" t="s">
        <v>191</v>
      </c>
      <c r="AN15" s="5"/>
      <c r="AO15" s="7"/>
      <c r="AP15" s="57">
        <v>46172.0</v>
      </c>
      <c r="AQ15" s="5"/>
      <c r="AR15" s="7"/>
      <c r="AS15" s="48"/>
      <c r="AT15" s="5"/>
      <c r="AU15" s="7"/>
      <c r="AV15" s="55" t="s">
        <v>51</v>
      </c>
      <c r="AW15" s="5"/>
      <c r="AX15" s="7"/>
      <c r="AY15" s="48"/>
      <c r="AZ15" s="5"/>
      <c r="BA15" s="7"/>
      <c r="BB15" s="55" t="s">
        <v>195</v>
      </c>
      <c r="BC15" s="5"/>
      <c r="BD15" s="7"/>
      <c r="BE15" s="57">
        <v>46244.0</v>
      </c>
      <c r="BF15" s="5"/>
      <c r="BG15" s="7"/>
      <c r="BH15" s="48"/>
      <c r="BI15" s="5"/>
      <c r="BJ15" s="7"/>
      <c r="BK15" s="49"/>
      <c r="BL15" s="5"/>
      <c r="BM15" s="5"/>
      <c r="BN15" s="5"/>
      <c r="BO15" s="5"/>
      <c r="BP15" s="5"/>
      <c r="BQ15" s="7"/>
    </row>
    <row r="16" ht="447.75" customHeight="1">
      <c r="A16" s="47">
        <v>4.0</v>
      </c>
      <c r="B16" s="49" t="s">
        <v>223</v>
      </c>
      <c r="C16" s="5"/>
      <c r="D16" s="7"/>
      <c r="E16" s="49" t="s">
        <v>225</v>
      </c>
      <c r="F16" s="5"/>
      <c r="G16" s="5"/>
      <c r="H16" s="5"/>
      <c r="I16" s="7"/>
      <c r="J16" s="49" t="s">
        <v>226</v>
      </c>
      <c r="K16" s="5"/>
      <c r="L16" s="5"/>
      <c r="M16" s="5"/>
      <c r="N16" s="5"/>
      <c r="O16" s="5"/>
      <c r="P16" s="7"/>
      <c r="Q16" s="54" t="s">
        <v>228</v>
      </c>
      <c r="R16" s="5"/>
      <c r="S16" s="5"/>
      <c r="T16" s="5"/>
      <c r="U16" s="5"/>
      <c r="V16" s="5"/>
      <c r="W16" s="7"/>
      <c r="X16" s="49" t="s">
        <v>230</v>
      </c>
      <c r="Y16" s="5"/>
      <c r="Z16" s="5"/>
      <c r="AA16" s="5"/>
      <c r="AB16" s="5"/>
      <c r="AC16" s="5"/>
      <c r="AD16" s="7"/>
      <c r="AE16" s="48" t="s">
        <v>204</v>
      </c>
      <c r="AF16" s="7"/>
      <c r="AG16" s="55" t="s">
        <v>51</v>
      </c>
      <c r="AH16" s="5"/>
      <c r="AI16" s="7"/>
      <c r="AJ16" s="48"/>
      <c r="AK16" s="5"/>
      <c r="AL16" s="7"/>
      <c r="AM16" s="56" t="s">
        <v>191</v>
      </c>
      <c r="AN16" s="5"/>
      <c r="AO16" s="7"/>
      <c r="AP16" s="57">
        <v>46172.0</v>
      </c>
      <c r="AQ16" s="5"/>
      <c r="AR16" s="7"/>
      <c r="AS16" s="48"/>
      <c r="AT16" s="5"/>
      <c r="AU16" s="7"/>
      <c r="AV16" s="55" t="s">
        <v>51</v>
      </c>
      <c r="AW16" s="5"/>
      <c r="AX16" s="7"/>
      <c r="AY16" s="48"/>
      <c r="AZ16" s="5"/>
      <c r="BA16" s="7"/>
      <c r="BB16" s="55" t="s">
        <v>195</v>
      </c>
      <c r="BC16" s="5"/>
      <c r="BD16" s="7"/>
      <c r="BE16" s="57">
        <v>46244.0</v>
      </c>
      <c r="BF16" s="5"/>
      <c r="BG16" s="7"/>
      <c r="BH16" s="48"/>
      <c r="BI16" s="5"/>
      <c r="BJ16" s="7"/>
      <c r="BK16" s="49"/>
      <c r="BL16" s="5"/>
      <c r="BM16" s="5"/>
      <c r="BN16" s="5"/>
      <c r="BO16" s="5"/>
      <c r="BP16" s="5"/>
      <c r="BQ16" s="7"/>
    </row>
    <row r="17" ht="450.0" customHeight="1">
      <c r="A17" s="47">
        <v>5.0</v>
      </c>
      <c r="B17" s="49" t="s">
        <v>236</v>
      </c>
      <c r="C17" s="5"/>
      <c r="D17" s="7"/>
      <c r="E17" s="49" t="s">
        <v>238</v>
      </c>
      <c r="F17" s="5"/>
      <c r="G17" s="5"/>
      <c r="H17" s="5"/>
      <c r="I17" s="7"/>
      <c r="J17" s="49" t="s">
        <v>240</v>
      </c>
      <c r="K17" s="5"/>
      <c r="L17" s="5"/>
      <c r="M17" s="5"/>
      <c r="N17" s="5"/>
      <c r="O17" s="5"/>
      <c r="P17" s="7"/>
      <c r="Q17" s="54" t="s">
        <v>241</v>
      </c>
      <c r="R17" s="5"/>
      <c r="S17" s="5"/>
      <c r="T17" s="5"/>
      <c r="U17" s="5"/>
      <c r="V17" s="5"/>
      <c r="W17" s="7"/>
      <c r="X17" s="49" t="s">
        <v>244</v>
      </c>
      <c r="Y17" s="5"/>
      <c r="Z17" s="5"/>
      <c r="AA17" s="5"/>
      <c r="AB17" s="5"/>
      <c r="AC17" s="5"/>
      <c r="AD17" s="7"/>
      <c r="AE17" s="48" t="s">
        <v>204</v>
      </c>
      <c r="AF17" s="7"/>
      <c r="AG17" s="55" t="s">
        <v>51</v>
      </c>
      <c r="AH17" s="5"/>
      <c r="AI17" s="7"/>
      <c r="AJ17" s="48"/>
      <c r="AK17" s="5"/>
      <c r="AL17" s="7"/>
      <c r="AM17" s="56" t="s">
        <v>191</v>
      </c>
      <c r="AN17" s="5"/>
      <c r="AO17" s="7"/>
      <c r="AP17" s="57">
        <v>46172.0</v>
      </c>
      <c r="AQ17" s="5"/>
      <c r="AR17" s="7"/>
      <c r="AS17" s="48"/>
      <c r="AT17" s="5"/>
      <c r="AU17" s="7"/>
      <c r="AV17" s="55" t="s">
        <v>51</v>
      </c>
      <c r="AW17" s="5"/>
      <c r="AX17" s="7"/>
      <c r="AY17" s="48"/>
      <c r="AZ17" s="5"/>
      <c r="BA17" s="7"/>
      <c r="BB17" s="55" t="s">
        <v>195</v>
      </c>
      <c r="BC17" s="5"/>
      <c r="BD17" s="7"/>
      <c r="BE17" s="57">
        <v>46244.0</v>
      </c>
      <c r="BF17" s="5"/>
      <c r="BG17" s="7"/>
      <c r="BH17" s="48"/>
      <c r="BI17" s="5"/>
      <c r="BJ17" s="7"/>
      <c r="BK17" s="49" t="s">
        <v>248</v>
      </c>
      <c r="BL17" s="5"/>
      <c r="BM17" s="5"/>
      <c r="BN17" s="5"/>
      <c r="BO17" s="5"/>
      <c r="BP17" s="5"/>
      <c r="BQ17" s="7"/>
    </row>
    <row r="18" ht="22.5" customHeight="1">
      <c r="A18" s="9" t="s">
        <v>250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7"/>
    </row>
    <row r="19" ht="319.5" customHeight="1">
      <c r="A19" s="47">
        <v>6.0</v>
      </c>
      <c r="B19" s="49" t="s">
        <v>254</v>
      </c>
      <c r="C19" s="5"/>
      <c r="D19" s="7"/>
      <c r="E19" s="49" t="s">
        <v>255</v>
      </c>
      <c r="F19" s="5"/>
      <c r="G19" s="5"/>
      <c r="H19" s="5"/>
      <c r="I19" s="7"/>
      <c r="J19" s="49" t="s">
        <v>256</v>
      </c>
      <c r="K19" s="5"/>
      <c r="L19" s="5"/>
      <c r="M19" s="5"/>
      <c r="N19" s="5"/>
      <c r="O19" s="5"/>
      <c r="P19" s="7"/>
      <c r="Q19" s="49" t="s">
        <v>258</v>
      </c>
      <c r="R19" s="5"/>
      <c r="S19" s="5"/>
      <c r="T19" s="5"/>
      <c r="U19" s="5"/>
      <c r="V19" s="5"/>
      <c r="W19" s="7"/>
      <c r="X19" s="49" t="s">
        <v>260</v>
      </c>
      <c r="Y19" s="5"/>
      <c r="Z19" s="5"/>
      <c r="AA19" s="5"/>
      <c r="AB19" s="5"/>
      <c r="AC19" s="5"/>
      <c r="AD19" s="7"/>
      <c r="AE19" s="48" t="s">
        <v>189</v>
      </c>
      <c r="AF19" s="7"/>
      <c r="AG19" s="55" t="s">
        <v>51</v>
      </c>
      <c r="AH19" s="5"/>
      <c r="AI19" s="7"/>
      <c r="AJ19" s="48"/>
      <c r="AK19" s="5"/>
      <c r="AL19" s="7"/>
      <c r="AM19" s="56" t="s">
        <v>191</v>
      </c>
      <c r="AN19" s="5"/>
      <c r="AO19" s="7"/>
      <c r="AP19" s="57">
        <v>46172.0</v>
      </c>
      <c r="AQ19" s="5"/>
      <c r="AR19" s="7"/>
      <c r="AS19" s="48"/>
      <c r="AT19" s="5"/>
      <c r="AU19" s="7"/>
      <c r="AV19" s="55" t="s">
        <v>51</v>
      </c>
      <c r="AW19" s="5"/>
      <c r="AX19" s="7"/>
      <c r="AY19" s="48"/>
      <c r="AZ19" s="5"/>
      <c r="BA19" s="7"/>
      <c r="BB19" s="55" t="s">
        <v>195</v>
      </c>
      <c r="BC19" s="5"/>
      <c r="BD19" s="7"/>
      <c r="BE19" s="57">
        <v>46244.0</v>
      </c>
      <c r="BF19" s="5"/>
      <c r="BG19" s="7"/>
      <c r="BH19" s="48"/>
      <c r="BI19" s="5"/>
      <c r="BJ19" s="7"/>
      <c r="BK19" s="49"/>
      <c r="BL19" s="5"/>
      <c r="BM19" s="5"/>
      <c r="BN19" s="5"/>
      <c r="BO19" s="5"/>
      <c r="BP19" s="5"/>
      <c r="BQ19" s="7"/>
    </row>
    <row r="20" ht="240.0" customHeight="1">
      <c r="A20" s="47">
        <v>7.0</v>
      </c>
      <c r="B20" s="49" t="s">
        <v>269</v>
      </c>
      <c r="C20" s="5"/>
      <c r="D20" s="7"/>
      <c r="E20" s="49" t="s">
        <v>270</v>
      </c>
      <c r="F20" s="5"/>
      <c r="G20" s="5"/>
      <c r="H20" s="5"/>
      <c r="I20" s="7"/>
      <c r="J20" s="49" t="s">
        <v>271</v>
      </c>
      <c r="K20" s="5"/>
      <c r="L20" s="5"/>
      <c r="M20" s="5"/>
      <c r="N20" s="5"/>
      <c r="O20" s="5"/>
      <c r="P20" s="7"/>
      <c r="Q20" s="49" t="s">
        <v>272</v>
      </c>
      <c r="R20" s="5"/>
      <c r="S20" s="5"/>
      <c r="T20" s="5"/>
      <c r="U20" s="5"/>
      <c r="V20" s="5"/>
      <c r="W20" s="7"/>
      <c r="X20" s="49" t="s">
        <v>273</v>
      </c>
      <c r="Y20" s="5"/>
      <c r="Z20" s="5"/>
      <c r="AA20" s="5"/>
      <c r="AB20" s="5"/>
      <c r="AC20" s="5"/>
      <c r="AD20" s="7"/>
      <c r="AE20" s="48" t="s">
        <v>189</v>
      </c>
      <c r="AF20" s="7"/>
      <c r="AG20" s="55" t="s">
        <v>51</v>
      </c>
      <c r="AH20" s="5"/>
      <c r="AI20" s="7"/>
      <c r="AJ20" s="48"/>
      <c r="AK20" s="5"/>
      <c r="AL20" s="7"/>
      <c r="AM20" s="56" t="s">
        <v>191</v>
      </c>
      <c r="AN20" s="5"/>
      <c r="AO20" s="7"/>
      <c r="AP20" s="57">
        <v>46172.0</v>
      </c>
      <c r="AQ20" s="5"/>
      <c r="AR20" s="7"/>
      <c r="AS20" s="48"/>
      <c r="AT20" s="5"/>
      <c r="AU20" s="7"/>
      <c r="AV20" s="55" t="s">
        <v>51</v>
      </c>
      <c r="AW20" s="5"/>
      <c r="AX20" s="7"/>
      <c r="AY20" s="48"/>
      <c r="AZ20" s="5"/>
      <c r="BA20" s="7"/>
      <c r="BB20" s="55" t="s">
        <v>195</v>
      </c>
      <c r="BC20" s="5"/>
      <c r="BD20" s="7"/>
      <c r="BE20" s="57">
        <v>46244.0</v>
      </c>
      <c r="BF20" s="5"/>
      <c r="BG20" s="7"/>
      <c r="BH20" s="48"/>
      <c r="BI20" s="5"/>
      <c r="BJ20" s="7"/>
      <c r="BK20" s="49"/>
      <c r="BL20" s="5"/>
      <c r="BM20" s="5"/>
      <c r="BN20" s="5"/>
      <c r="BO20" s="5"/>
      <c r="BP20" s="5"/>
      <c r="BQ20" s="7"/>
    </row>
    <row r="21" ht="319.5" customHeight="1">
      <c r="A21" s="47">
        <v>8.0</v>
      </c>
      <c r="B21" s="49" t="s">
        <v>281</v>
      </c>
      <c r="C21" s="5"/>
      <c r="D21" s="7"/>
      <c r="E21" s="49" t="s">
        <v>282</v>
      </c>
      <c r="F21" s="5"/>
      <c r="G21" s="5"/>
      <c r="H21" s="5"/>
      <c r="I21" s="7"/>
      <c r="J21" s="49" t="s">
        <v>283</v>
      </c>
      <c r="K21" s="5"/>
      <c r="L21" s="5"/>
      <c r="M21" s="5"/>
      <c r="N21" s="5"/>
      <c r="O21" s="5"/>
      <c r="P21" s="7"/>
      <c r="Q21" s="49" t="s">
        <v>284</v>
      </c>
      <c r="R21" s="5"/>
      <c r="S21" s="5"/>
      <c r="T21" s="5"/>
      <c r="U21" s="5"/>
      <c r="V21" s="5"/>
      <c r="W21" s="7"/>
      <c r="X21" s="49" t="s">
        <v>287</v>
      </c>
      <c r="Y21" s="5"/>
      <c r="Z21" s="5"/>
      <c r="AA21" s="5"/>
      <c r="AB21" s="5"/>
      <c r="AC21" s="5"/>
      <c r="AD21" s="7"/>
      <c r="AE21" s="48" t="s">
        <v>189</v>
      </c>
      <c r="AF21" s="7"/>
      <c r="AG21" s="55" t="s">
        <v>51</v>
      </c>
      <c r="AH21" s="5"/>
      <c r="AI21" s="7"/>
      <c r="AJ21" s="48"/>
      <c r="AK21" s="5"/>
      <c r="AL21" s="7"/>
      <c r="AM21" s="56" t="s">
        <v>191</v>
      </c>
      <c r="AN21" s="5"/>
      <c r="AO21" s="7"/>
      <c r="AP21" s="57">
        <v>46172.0</v>
      </c>
      <c r="AQ21" s="5"/>
      <c r="AR21" s="7"/>
      <c r="AS21" s="48"/>
      <c r="AT21" s="5"/>
      <c r="AU21" s="7"/>
      <c r="AV21" s="55" t="s">
        <v>51</v>
      </c>
      <c r="AW21" s="5"/>
      <c r="AX21" s="7"/>
      <c r="AY21" s="48"/>
      <c r="AZ21" s="5"/>
      <c r="BA21" s="7"/>
      <c r="BB21" s="55" t="s">
        <v>195</v>
      </c>
      <c r="BC21" s="5"/>
      <c r="BD21" s="7"/>
      <c r="BE21" s="57">
        <v>46244.0</v>
      </c>
      <c r="BF21" s="5"/>
      <c r="BG21" s="7"/>
      <c r="BH21" s="48"/>
      <c r="BI21" s="5"/>
      <c r="BJ21" s="7"/>
      <c r="BK21" s="49"/>
      <c r="BL21" s="5"/>
      <c r="BM21" s="5"/>
      <c r="BN21" s="5"/>
      <c r="BO21" s="5"/>
      <c r="BP21" s="5"/>
      <c r="BQ21" s="7"/>
    </row>
    <row r="22" ht="399.75" customHeight="1">
      <c r="A22" s="47">
        <v>9.0</v>
      </c>
      <c r="B22" s="49" t="s">
        <v>291</v>
      </c>
      <c r="C22" s="5"/>
      <c r="D22" s="7"/>
      <c r="E22" s="49" t="s">
        <v>293</v>
      </c>
      <c r="F22" s="5"/>
      <c r="G22" s="5"/>
      <c r="H22" s="5"/>
      <c r="I22" s="7"/>
      <c r="J22" s="49" t="s">
        <v>283</v>
      </c>
      <c r="K22" s="5"/>
      <c r="L22" s="5"/>
      <c r="M22" s="5"/>
      <c r="N22" s="5"/>
      <c r="O22" s="5"/>
      <c r="P22" s="7"/>
      <c r="Q22" s="49" t="s">
        <v>295</v>
      </c>
      <c r="R22" s="5"/>
      <c r="S22" s="5"/>
      <c r="T22" s="5"/>
      <c r="U22" s="5"/>
      <c r="V22" s="5"/>
      <c r="W22" s="7"/>
      <c r="X22" s="49" t="s">
        <v>296</v>
      </c>
      <c r="Y22" s="5"/>
      <c r="Z22" s="5"/>
      <c r="AA22" s="5"/>
      <c r="AB22" s="5"/>
      <c r="AC22" s="5"/>
      <c r="AD22" s="7"/>
      <c r="AE22" s="48" t="s">
        <v>189</v>
      </c>
      <c r="AF22" s="7"/>
      <c r="AG22" s="55" t="s">
        <v>51</v>
      </c>
      <c r="AH22" s="5"/>
      <c r="AI22" s="7"/>
      <c r="AJ22" s="48"/>
      <c r="AK22" s="5"/>
      <c r="AL22" s="7"/>
      <c r="AM22" s="56" t="s">
        <v>191</v>
      </c>
      <c r="AN22" s="5"/>
      <c r="AO22" s="7"/>
      <c r="AP22" s="57">
        <v>46172.0</v>
      </c>
      <c r="AQ22" s="5"/>
      <c r="AR22" s="7"/>
      <c r="AS22" s="48"/>
      <c r="AT22" s="5"/>
      <c r="AU22" s="7"/>
      <c r="AV22" s="55" t="s">
        <v>51</v>
      </c>
      <c r="AW22" s="5"/>
      <c r="AX22" s="7"/>
      <c r="AY22" s="48"/>
      <c r="AZ22" s="5"/>
      <c r="BA22" s="7"/>
      <c r="BB22" s="55" t="s">
        <v>195</v>
      </c>
      <c r="BC22" s="5"/>
      <c r="BD22" s="7"/>
      <c r="BE22" s="57">
        <v>46244.0</v>
      </c>
      <c r="BF22" s="5"/>
      <c r="BG22" s="7"/>
      <c r="BH22" s="48"/>
      <c r="BI22" s="5"/>
      <c r="BJ22" s="7"/>
      <c r="BK22" s="49"/>
      <c r="BL22" s="5"/>
      <c r="BM22" s="5"/>
      <c r="BN22" s="5"/>
      <c r="BO22" s="5"/>
      <c r="BP22" s="5"/>
      <c r="BQ22" s="7"/>
    </row>
    <row r="23" ht="450.0" customHeight="1">
      <c r="A23" s="47">
        <v>10.0</v>
      </c>
      <c r="B23" s="49" t="s">
        <v>306</v>
      </c>
      <c r="C23" s="5"/>
      <c r="D23" s="7"/>
      <c r="E23" s="49" t="s">
        <v>307</v>
      </c>
      <c r="F23" s="5"/>
      <c r="G23" s="5"/>
      <c r="H23" s="5"/>
      <c r="I23" s="7"/>
      <c r="J23" s="49" t="s">
        <v>309</v>
      </c>
      <c r="K23" s="5"/>
      <c r="L23" s="5"/>
      <c r="M23" s="5"/>
      <c r="N23" s="5"/>
      <c r="O23" s="5"/>
      <c r="P23" s="7"/>
      <c r="Q23" s="49" t="s">
        <v>311</v>
      </c>
      <c r="R23" s="5"/>
      <c r="S23" s="5"/>
      <c r="T23" s="5"/>
      <c r="U23" s="5"/>
      <c r="V23" s="5"/>
      <c r="W23" s="7"/>
      <c r="X23" s="49" t="s">
        <v>314</v>
      </c>
      <c r="Y23" s="5"/>
      <c r="Z23" s="5"/>
      <c r="AA23" s="5"/>
      <c r="AB23" s="5"/>
      <c r="AC23" s="5"/>
      <c r="AD23" s="7"/>
      <c r="AE23" s="48" t="s">
        <v>189</v>
      </c>
      <c r="AF23" s="7"/>
      <c r="AG23" s="55" t="s">
        <v>51</v>
      </c>
      <c r="AH23" s="5"/>
      <c r="AI23" s="7"/>
      <c r="AJ23" s="48"/>
      <c r="AK23" s="5"/>
      <c r="AL23" s="7"/>
      <c r="AM23" s="56" t="s">
        <v>191</v>
      </c>
      <c r="AN23" s="5"/>
      <c r="AO23" s="7"/>
      <c r="AP23" s="57">
        <v>46172.0</v>
      </c>
      <c r="AQ23" s="5"/>
      <c r="AR23" s="7"/>
      <c r="AS23" s="48"/>
      <c r="AT23" s="5"/>
      <c r="AU23" s="7"/>
      <c r="AV23" s="55" t="s">
        <v>51</v>
      </c>
      <c r="AW23" s="5"/>
      <c r="AX23" s="7"/>
      <c r="AY23" s="48"/>
      <c r="AZ23" s="5"/>
      <c r="BA23" s="7"/>
      <c r="BB23" s="55" t="s">
        <v>195</v>
      </c>
      <c r="BC23" s="5"/>
      <c r="BD23" s="7"/>
      <c r="BE23" s="57">
        <v>46244.0</v>
      </c>
      <c r="BF23" s="5"/>
      <c r="BG23" s="7"/>
      <c r="BH23" s="48"/>
      <c r="BI23" s="5"/>
      <c r="BJ23" s="7"/>
      <c r="BK23" s="49" t="s">
        <v>320</v>
      </c>
      <c r="BL23" s="5"/>
      <c r="BM23" s="5"/>
      <c r="BN23" s="5"/>
      <c r="BO23" s="5"/>
      <c r="BP23" s="5"/>
      <c r="BQ23" s="7"/>
    </row>
    <row r="24" ht="319.5" customHeight="1">
      <c r="A24" s="47">
        <v>11.0</v>
      </c>
      <c r="B24" s="49" t="s">
        <v>321</v>
      </c>
      <c r="C24" s="5"/>
      <c r="D24" s="7"/>
      <c r="E24" s="49" t="s">
        <v>322</v>
      </c>
      <c r="F24" s="5"/>
      <c r="G24" s="5"/>
      <c r="H24" s="5"/>
      <c r="I24" s="7"/>
      <c r="J24" s="49" t="s">
        <v>323</v>
      </c>
      <c r="K24" s="5"/>
      <c r="L24" s="5"/>
      <c r="M24" s="5"/>
      <c r="N24" s="5"/>
      <c r="O24" s="5"/>
      <c r="P24" s="7"/>
      <c r="Q24" s="54" t="s">
        <v>324</v>
      </c>
      <c r="R24" s="5"/>
      <c r="S24" s="5"/>
      <c r="T24" s="5"/>
      <c r="U24" s="5"/>
      <c r="V24" s="5"/>
      <c r="W24" s="7"/>
      <c r="X24" s="54" t="s">
        <v>325</v>
      </c>
      <c r="Y24" s="5"/>
      <c r="Z24" s="5"/>
      <c r="AA24" s="5"/>
      <c r="AB24" s="5"/>
      <c r="AC24" s="5"/>
      <c r="AD24" s="7"/>
      <c r="AE24" s="48" t="s">
        <v>189</v>
      </c>
      <c r="AF24" s="7"/>
      <c r="AG24" s="55" t="s">
        <v>51</v>
      </c>
      <c r="AH24" s="5"/>
      <c r="AI24" s="7"/>
      <c r="AJ24" s="48"/>
      <c r="AK24" s="5"/>
      <c r="AL24" s="7"/>
      <c r="AM24" s="56" t="s">
        <v>191</v>
      </c>
      <c r="AN24" s="5"/>
      <c r="AO24" s="7"/>
      <c r="AP24" s="57">
        <v>46172.0</v>
      </c>
      <c r="AQ24" s="5"/>
      <c r="AR24" s="7"/>
      <c r="AS24" s="48"/>
      <c r="AT24" s="5"/>
      <c r="AU24" s="7"/>
      <c r="AV24" s="55" t="s">
        <v>51</v>
      </c>
      <c r="AW24" s="5"/>
      <c r="AX24" s="7"/>
      <c r="AY24" s="48"/>
      <c r="AZ24" s="5"/>
      <c r="BA24" s="7"/>
      <c r="BB24" s="55" t="s">
        <v>195</v>
      </c>
      <c r="BC24" s="5"/>
      <c r="BD24" s="7"/>
      <c r="BE24" s="57">
        <v>46244.0</v>
      </c>
      <c r="BF24" s="5"/>
      <c r="BG24" s="7"/>
      <c r="BH24" s="48"/>
      <c r="BI24" s="5"/>
      <c r="BJ24" s="7"/>
      <c r="BK24" s="49" t="s">
        <v>248</v>
      </c>
      <c r="BL24" s="5"/>
      <c r="BM24" s="5"/>
      <c r="BN24" s="5"/>
      <c r="BO24" s="5"/>
      <c r="BP24" s="5"/>
      <c r="BQ24" s="7"/>
    </row>
    <row r="25" ht="22.5" customHeight="1">
      <c r="A25" s="9" t="s">
        <v>326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7"/>
    </row>
    <row r="26" ht="111.75" customHeight="1">
      <c r="A26" s="47">
        <v>12.0</v>
      </c>
      <c r="B26" s="49" t="s">
        <v>327</v>
      </c>
      <c r="C26" s="5"/>
      <c r="D26" s="7"/>
      <c r="E26" s="49" t="s">
        <v>328</v>
      </c>
      <c r="F26" s="5"/>
      <c r="G26" s="5"/>
      <c r="H26" s="5"/>
      <c r="I26" s="7"/>
      <c r="J26" s="49" t="s">
        <v>329</v>
      </c>
      <c r="K26" s="5"/>
      <c r="L26" s="5"/>
      <c r="M26" s="5"/>
      <c r="N26" s="5"/>
      <c r="O26" s="5"/>
      <c r="P26" s="7"/>
      <c r="Q26" s="49" t="s">
        <v>330</v>
      </c>
      <c r="R26" s="5"/>
      <c r="S26" s="5"/>
      <c r="T26" s="5"/>
      <c r="U26" s="5"/>
      <c r="V26" s="5"/>
      <c r="W26" s="7"/>
      <c r="X26" s="54" t="s">
        <v>331</v>
      </c>
      <c r="Y26" s="5"/>
      <c r="Z26" s="5"/>
      <c r="AA26" s="5"/>
      <c r="AB26" s="5"/>
      <c r="AC26" s="5"/>
      <c r="AD26" s="7"/>
      <c r="AE26" s="48" t="s">
        <v>189</v>
      </c>
      <c r="AF26" s="7"/>
      <c r="AG26" s="55" t="s">
        <v>51</v>
      </c>
      <c r="AH26" s="5"/>
      <c r="AI26" s="7"/>
      <c r="AJ26" s="48"/>
      <c r="AK26" s="5"/>
      <c r="AL26" s="7"/>
      <c r="AM26" s="56" t="s">
        <v>191</v>
      </c>
      <c r="AN26" s="5"/>
      <c r="AO26" s="7"/>
      <c r="AP26" s="57">
        <v>46172.0</v>
      </c>
      <c r="AQ26" s="5"/>
      <c r="AR26" s="7"/>
      <c r="AS26" s="48"/>
      <c r="AT26" s="5"/>
      <c r="AU26" s="7"/>
      <c r="AV26" s="55" t="s">
        <v>51</v>
      </c>
      <c r="AW26" s="5"/>
      <c r="AX26" s="7"/>
      <c r="AY26" s="48"/>
      <c r="AZ26" s="5"/>
      <c r="BA26" s="7"/>
      <c r="BB26" s="55" t="s">
        <v>195</v>
      </c>
      <c r="BC26" s="5"/>
      <c r="BD26" s="7"/>
      <c r="BE26" s="62">
        <v>46244.0</v>
      </c>
      <c r="BF26" s="5"/>
      <c r="BG26" s="7"/>
      <c r="BH26" s="48"/>
      <c r="BI26" s="5"/>
      <c r="BJ26" s="7"/>
      <c r="BK26" s="49"/>
      <c r="BL26" s="5"/>
      <c r="BM26" s="5"/>
      <c r="BN26" s="5"/>
      <c r="BO26" s="5"/>
      <c r="BP26" s="5"/>
      <c r="BQ26" s="7"/>
    </row>
    <row r="27" ht="271.5" customHeight="1">
      <c r="A27" s="47">
        <v>13.0</v>
      </c>
      <c r="B27" s="49" t="s">
        <v>332</v>
      </c>
      <c r="C27" s="5"/>
      <c r="D27" s="7"/>
      <c r="E27" s="49" t="s">
        <v>333</v>
      </c>
      <c r="F27" s="5"/>
      <c r="G27" s="5"/>
      <c r="H27" s="5"/>
      <c r="I27" s="7"/>
      <c r="J27" s="49" t="s">
        <v>334</v>
      </c>
      <c r="K27" s="5"/>
      <c r="L27" s="5"/>
      <c r="M27" s="5"/>
      <c r="N27" s="5"/>
      <c r="O27" s="5"/>
      <c r="P27" s="7"/>
      <c r="Q27" s="49" t="s">
        <v>335</v>
      </c>
      <c r="R27" s="5"/>
      <c r="S27" s="5"/>
      <c r="T27" s="5"/>
      <c r="U27" s="5"/>
      <c r="V27" s="5"/>
      <c r="W27" s="7"/>
      <c r="X27" s="49" t="s">
        <v>336</v>
      </c>
      <c r="Y27" s="5"/>
      <c r="Z27" s="5"/>
      <c r="AA27" s="5"/>
      <c r="AB27" s="5"/>
      <c r="AC27" s="5"/>
      <c r="AD27" s="7"/>
      <c r="AE27" s="48" t="s">
        <v>189</v>
      </c>
      <c r="AF27" s="7"/>
      <c r="AG27" s="55" t="s">
        <v>51</v>
      </c>
      <c r="AH27" s="5"/>
      <c r="AI27" s="7"/>
      <c r="AJ27" s="48"/>
      <c r="AK27" s="5"/>
      <c r="AL27" s="7"/>
      <c r="AM27" s="56" t="s">
        <v>191</v>
      </c>
      <c r="AN27" s="5"/>
      <c r="AO27" s="7"/>
      <c r="AP27" s="57">
        <v>46172.0</v>
      </c>
      <c r="AQ27" s="5"/>
      <c r="AR27" s="7"/>
      <c r="AS27" s="48"/>
      <c r="AT27" s="5"/>
      <c r="AU27" s="7"/>
      <c r="AV27" s="55" t="s">
        <v>51</v>
      </c>
      <c r="AW27" s="5"/>
      <c r="AX27" s="7"/>
      <c r="AY27" s="48"/>
      <c r="AZ27" s="5"/>
      <c r="BA27" s="7"/>
      <c r="BB27" s="55" t="s">
        <v>195</v>
      </c>
      <c r="BC27" s="5"/>
      <c r="BD27" s="7"/>
      <c r="BE27" s="62">
        <v>46244.0</v>
      </c>
      <c r="BF27" s="5"/>
      <c r="BG27" s="7"/>
      <c r="BH27" s="48"/>
      <c r="BI27" s="5"/>
      <c r="BJ27" s="7"/>
      <c r="BK27" s="49"/>
      <c r="BL27" s="5"/>
      <c r="BM27" s="5"/>
      <c r="BN27" s="5"/>
      <c r="BO27" s="5"/>
      <c r="BP27" s="5"/>
      <c r="BQ27" s="7"/>
    </row>
    <row r="28" ht="303.75" customHeight="1">
      <c r="A28" s="47">
        <v>14.0</v>
      </c>
      <c r="B28" s="49" t="s">
        <v>337</v>
      </c>
      <c r="C28" s="5"/>
      <c r="D28" s="7"/>
      <c r="E28" s="49" t="s">
        <v>338</v>
      </c>
      <c r="F28" s="5"/>
      <c r="G28" s="5"/>
      <c r="H28" s="5"/>
      <c r="I28" s="7"/>
      <c r="J28" s="49" t="s">
        <v>283</v>
      </c>
      <c r="K28" s="5"/>
      <c r="L28" s="5"/>
      <c r="M28" s="5"/>
      <c r="N28" s="5"/>
      <c r="O28" s="5"/>
      <c r="P28" s="7"/>
      <c r="Q28" s="49" t="s">
        <v>339</v>
      </c>
      <c r="R28" s="5"/>
      <c r="S28" s="5"/>
      <c r="T28" s="5"/>
      <c r="U28" s="5"/>
      <c r="V28" s="5"/>
      <c r="W28" s="7"/>
      <c r="X28" s="54" t="s">
        <v>340</v>
      </c>
      <c r="Y28" s="5"/>
      <c r="Z28" s="5"/>
      <c r="AA28" s="5"/>
      <c r="AB28" s="5"/>
      <c r="AC28" s="5"/>
      <c r="AD28" s="7"/>
      <c r="AE28" s="48" t="s">
        <v>189</v>
      </c>
      <c r="AF28" s="7"/>
      <c r="AG28" s="55" t="s">
        <v>51</v>
      </c>
      <c r="AH28" s="5"/>
      <c r="AI28" s="7"/>
      <c r="AJ28" s="48"/>
      <c r="AK28" s="5"/>
      <c r="AL28" s="7"/>
      <c r="AM28" s="56" t="s">
        <v>191</v>
      </c>
      <c r="AN28" s="5"/>
      <c r="AO28" s="7"/>
      <c r="AP28" s="57">
        <v>46172.0</v>
      </c>
      <c r="AQ28" s="5"/>
      <c r="AR28" s="7"/>
      <c r="AS28" s="48"/>
      <c r="AT28" s="5"/>
      <c r="AU28" s="7"/>
      <c r="AV28" s="55" t="s">
        <v>51</v>
      </c>
      <c r="AW28" s="5"/>
      <c r="AX28" s="7"/>
      <c r="AY28" s="48"/>
      <c r="AZ28" s="5"/>
      <c r="BA28" s="7"/>
      <c r="BB28" s="55" t="s">
        <v>195</v>
      </c>
      <c r="BC28" s="5"/>
      <c r="BD28" s="7"/>
      <c r="BE28" s="62">
        <v>46244.0</v>
      </c>
      <c r="BF28" s="5"/>
      <c r="BG28" s="7"/>
      <c r="BH28" s="48"/>
      <c r="BI28" s="5"/>
      <c r="BJ28" s="7"/>
      <c r="BK28" s="49"/>
      <c r="BL28" s="5"/>
      <c r="BM28" s="5"/>
      <c r="BN28" s="5"/>
      <c r="BO28" s="5"/>
      <c r="BP28" s="5"/>
      <c r="BQ28" s="7"/>
    </row>
    <row r="29" ht="223.5" customHeight="1">
      <c r="A29" s="47">
        <v>15.0</v>
      </c>
      <c r="B29" s="49" t="s">
        <v>341</v>
      </c>
      <c r="C29" s="5"/>
      <c r="D29" s="7"/>
      <c r="E29" s="49" t="s">
        <v>342</v>
      </c>
      <c r="F29" s="5"/>
      <c r="G29" s="5"/>
      <c r="H29" s="5"/>
      <c r="I29" s="7"/>
      <c r="J29" s="49" t="s">
        <v>283</v>
      </c>
      <c r="K29" s="5"/>
      <c r="L29" s="5"/>
      <c r="M29" s="5"/>
      <c r="N29" s="5"/>
      <c r="O29" s="5"/>
      <c r="P29" s="7"/>
      <c r="Q29" s="54" t="s">
        <v>343</v>
      </c>
      <c r="R29" s="5"/>
      <c r="S29" s="5"/>
      <c r="T29" s="5"/>
      <c r="U29" s="5"/>
      <c r="V29" s="5"/>
      <c r="W29" s="7"/>
      <c r="X29" s="49" t="s">
        <v>344</v>
      </c>
      <c r="Y29" s="5"/>
      <c r="Z29" s="5"/>
      <c r="AA29" s="5"/>
      <c r="AB29" s="5"/>
      <c r="AC29" s="5"/>
      <c r="AD29" s="7"/>
      <c r="AE29" s="48" t="s">
        <v>189</v>
      </c>
      <c r="AF29" s="7"/>
      <c r="AG29" s="55" t="s">
        <v>51</v>
      </c>
      <c r="AH29" s="5"/>
      <c r="AI29" s="7"/>
      <c r="AJ29" s="48"/>
      <c r="AK29" s="5"/>
      <c r="AL29" s="7"/>
      <c r="AM29" s="56" t="s">
        <v>191</v>
      </c>
      <c r="AN29" s="5"/>
      <c r="AO29" s="7"/>
      <c r="AP29" s="57">
        <v>46172.0</v>
      </c>
      <c r="AQ29" s="5"/>
      <c r="AR29" s="7"/>
      <c r="AS29" s="48"/>
      <c r="AT29" s="5"/>
      <c r="AU29" s="7"/>
      <c r="AV29" s="55" t="s">
        <v>51</v>
      </c>
      <c r="AW29" s="5"/>
      <c r="AX29" s="7"/>
      <c r="AY29" s="48"/>
      <c r="AZ29" s="5"/>
      <c r="BA29" s="7"/>
      <c r="BB29" s="55" t="s">
        <v>195</v>
      </c>
      <c r="BC29" s="5"/>
      <c r="BD29" s="7"/>
      <c r="BE29" s="62">
        <v>46244.0</v>
      </c>
      <c r="BF29" s="5"/>
      <c r="BG29" s="7"/>
      <c r="BH29" s="48"/>
      <c r="BI29" s="5"/>
      <c r="BJ29" s="7"/>
      <c r="BK29" s="49" t="s">
        <v>248</v>
      </c>
      <c r="BL29" s="5"/>
      <c r="BM29" s="5"/>
      <c r="BN29" s="5"/>
      <c r="BO29" s="5"/>
      <c r="BP29" s="5"/>
      <c r="BQ29" s="7"/>
    </row>
    <row r="30" ht="22.5" customHeight="1">
      <c r="A30" s="9" t="s">
        <v>345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7"/>
    </row>
    <row r="31" ht="288.0" customHeight="1">
      <c r="A31" s="47">
        <v>16.0</v>
      </c>
      <c r="B31" s="49" t="s">
        <v>346</v>
      </c>
      <c r="C31" s="5"/>
      <c r="D31" s="7"/>
      <c r="E31" s="49" t="s">
        <v>347</v>
      </c>
      <c r="F31" s="5"/>
      <c r="G31" s="5"/>
      <c r="H31" s="5"/>
      <c r="I31" s="7"/>
      <c r="J31" s="49" t="s">
        <v>348</v>
      </c>
      <c r="K31" s="5"/>
      <c r="L31" s="5"/>
      <c r="M31" s="5"/>
      <c r="N31" s="5"/>
      <c r="O31" s="5"/>
      <c r="P31" s="7"/>
      <c r="Q31" s="49" t="s">
        <v>349</v>
      </c>
      <c r="R31" s="5"/>
      <c r="S31" s="5"/>
      <c r="T31" s="5"/>
      <c r="U31" s="5"/>
      <c r="V31" s="5"/>
      <c r="W31" s="7"/>
      <c r="X31" s="49" t="s">
        <v>350</v>
      </c>
      <c r="Y31" s="5"/>
      <c r="Z31" s="5"/>
      <c r="AA31" s="5"/>
      <c r="AB31" s="5"/>
      <c r="AC31" s="5"/>
      <c r="AD31" s="7"/>
      <c r="AE31" s="48" t="s">
        <v>204</v>
      </c>
      <c r="AF31" s="7"/>
      <c r="AG31" s="55" t="s">
        <v>51</v>
      </c>
      <c r="AH31" s="5"/>
      <c r="AI31" s="7"/>
      <c r="AJ31" s="48"/>
      <c r="AK31" s="5"/>
      <c r="AL31" s="7"/>
      <c r="AM31" s="56" t="s">
        <v>191</v>
      </c>
      <c r="AN31" s="5"/>
      <c r="AO31" s="7"/>
      <c r="AP31" s="57">
        <v>46172.0</v>
      </c>
      <c r="AQ31" s="5"/>
      <c r="AR31" s="7"/>
      <c r="AS31" s="48"/>
      <c r="AT31" s="5"/>
      <c r="AU31" s="7"/>
      <c r="AV31" s="55" t="s">
        <v>51</v>
      </c>
      <c r="AW31" s="5"/>
      <c r="AX31" s="7"/>
      <c r="AY31" s="48"/>
      <c r="AZ31" s="5"/>
      <c r="BA31" s="7"/>
      <c r="BB31" s="55" t="s">
        <v>195</v>
      </c>
      <c r="BC31" s="5"/>
      <c r="BD31" s="7"/>
      <c r="BE31" s="57">
        <v>46244.0</v>
      </c>
      <c r="BF31" s="5"/>
      <c r="BG31" s="7"/>
      <c r="BH31" s="48"/>
      <c r="BI31" s="5"/>
      <c r="BJ31" s="7"/>
      <c r="BK31" s="49"/>
      <c r="BL31" s="5"/>
      <c r="BM31" s="5"/>
      <c r="BN31" s="5"/>
      <c r="BO31" s="5"/>
      <c r="BP31" s="5"/>
      <c r="BQ31" s="7"/>
    </row>
    <row r="32" ht="319.5" customHeight="1">
      <c r="A32" s="47">
        <v>17.0</v>
      </c>
      <c r="B32" s="49" t="s">
        <v>351</v>
      </c>
      <c r="C32" s="5"/>
      <c r="D32" s="7"/>
      <c r="E32" s="49" t="s">
        <v>352</v>
      </c>
      <c r="F32" s="5"/>
      <c r="G32" s="5"/>
      <c r="H32" s="5"/>
      <c r="I32" s="7"/>
      <c r="J32" s="49" t="s">
        <v>353</v>
      </c>
      <c r="K32" s="5"/>
      <c r="L32" s="5"/>
      <c r="M32" s="5"/>
      <c r="N32" s="5"/>
      <c r="O32" s="5"/>
      <c r="P32" s="7"/>
      <c r="Q32" s="49" t="s">
        <v>354</v>
      </c>
      <c r="R32" s="5"/>
      <c r="S32" s="5"/>
      <c r="T32" s="5"/>
      <c r="U32" s="5"/>
      <c r="V32" s="5"/>
      <c r="W32" s="7"/>
      <c r="X32" s="49" t="s">
        <v>355</v>
      </c>
      <c r="Y32" s="5"/>
      <c r="Z32" s="5"/>
      <c r="AA32" s="5"/>
      <c r="AB32" s="5"/>
      <c r="AC32" s="5"/>
      <c r="AD32" s="7"/>
      <c r="AE32" s="48" t="s">
        <v>204</v>
      </c>
      <c r="AF32" s="7"/>
      <c r="AG32" s="55" t="s">
        <v>51</v>
      </c>
      <c r="AH32" s="5"/>
      <c r="AI32" s="7"/>
      <c r="AJ32" s="48"/>
      <c r="AK32" s="5"/>
      <c r="AL32" s="7"/>
      <c r="AM32" s="56" t="s">
        <v>191</v>
      </c>
      <c r="AN32" s="5"/>
      <c r="AO32" s="7"/>
      <c r="AP32" s="57">
        <v>46172.0</v>
      </c>
      <c r="AQ32" s="5"/>
      <c r="AR32" s="7"/>
      <c r="AS32" s="48"/>
      <c r="AT32" s="5"/>
      <c r="AU32" s="7"/>
      <c r="AV32" s="55" t="s">
        <v>51</v>
      </c>
      <c r="AW32" s="5"/>
      <c r="AX32" s="7"/>
      <c r="AY32" s="48"/>
      <c r="AZ32" s="5"/>
      <c r="BA32" s="7"/>
      <c r="BB32" s="55" t="s">
        <v>195</v>
      </c>
      <c r="BC32" s="5"/>
      <c r="BD32" s="7"/>
      <c r="BE32" s="57">
        <v>46244.0</v>
      </c>
      <c r="BF32" s="5"/>
      <c r="BG32" s="7"/>
      <c r="BH32" s="48"/>
      <c r="BI32" s="5"/>
      <c r="BJ32" s="7"/>
      <c r="BK32" s="49"/>
      <c r="BL32" s="5"/>
      <c r="BM32" s="5"/>
      <c r="BN32" s="5"/>
      <c r="BO32" s="5"/>
      <c r="BP32" s="5"/>
      <c r="BQ32" s="7"/>
    </row>
    <row r="33" ht="432.0" customHeight="1">
      <c r="A33" s="47">
        <v>18.0</v>
      </c>
      <c r="B33" s="49" t="s">
        <v>356</v>
      </c>
      <c r="C33" s="5"/>
      <c r="D33" s="7"/>
      <c r="E33" s="49" t="s">
        <v>357</v>
      </c>
      <c r="F33" s="5"/>
      <c r="G33" s="5"/>
      <c r="H33" s="5"/>
      <c r="I33" s="7"/>
      <c r="J33" s="49" t="s">
        <v>353</v>
      </c>
      <c r="K33" s="5"/>
      <c r="L33" s="5"/>
      <c r="M33" s="5"/>
      <c r="N33" s="5"/>
      <c r="O33" s="5"/>
      <c r="P33" s="7"/>
      <c r="Q33" s="54" t="s">
        <v>358</v>
      </c>
      <c r="R33" s="5"/>
      <c r="S33" s="5"/>
      <c r="T33" s="5"/>
      <c r="U33" s="5"/>
      <c r="V33" s="5"/>
      <c r="W33" s="7"/>
      <c r="X33" s="49" t="s">
        <v>359</v>
      </c>
      <c r="Y33" s="5"/>
      <c r="Z33" s="5"/>
      <c r="AA33" s="5"/>
      <c r="AB33" s="5"/>
      <c r="AC33" s="5"/>
      <c r="AD33" s="7"/>
      <c r="AE33" s="48" t="s">
        <v>204</v>
      </c>
      <c r="AF33" s="7"/>
      <c r="AG33" s="55" t="s">
        <v>51</v>
      </c>
      <c r="AH33" s="5"/>
      <c r="AI33" s="7"/>
      <c r="AJ33" s="48"/>
      <c r="AK33" s="5"/>
      <c r="AL33" s="7"/>
      <c r="AM33" s="56" t="s">
        <v>191</v>
      </c>
      <c r="AN33" s="5"/>
      <c r="AO33" s="7"/>
      <c r="AP33" s="57">
        <v>46172.0</v>
      </c>
      <c r="AQ33" s="5"/>
      <c r="AR33" s="7"/>
      <c r="AS33" s="48"/>
      <c r="AT33" s="5"/>
      <c r="AU33" s="7"/>
      <c r="AV33" s="55" t="s">
        <v>51</v>
      </c>
      <c r="AW33" s="5"/>
      <c r="AX33" s="7"/>
      <c r="AY33" s="48"/>
      <c r="AZ33" s="5"/>
      <c r="BA33" s="7"/>
      <c r="BB33" s="55" t="s">
        <v>195</v>
      </c>
      <c r="BC33" s="5"/>
      <c r="BD33" s="7"/>
      <c r="BE33" s="57">
        <v>46244.0</v>
      </c>
      <c r="BF33" s="5"/>
      <c r="BG33" s="7"/>
      <c r="BH33" s="48"/>
      <c r="BI33" s="5"/>
      <c r="BJ33" s="7"/>
      <c r="BK33" s="49"/>
      <c r="BL33" s="5"/>
      <c r="BM33" s="5"/>
      <c r="BN33" s="5"/>
      <c r="BO33" s="5"/>
      <c r="BP33" s="5"/>
      <c r="BQ33" s="7"/>
    </row>
    <row r="34" ht="384.0" customHeight="1">
      <c r="A34" s="47">
        <v>19.0</v>
      </c>
      <c r="B34" s="49" t="s">
        <v>360</v>
      </c>
      <c r="C34" s="5"/>
      <c r="D34" s="7"/>
      <c r="E34" s="49" t="s">
        <v>361</v>
      </c>
      <c r="F34" s="5"/>
      <c r="G34" s="5"/>
      <c r="H34" s="5"/>
      <c r="I34" s="7"/>
      <c r="J34" s="49" t="s">
        <v>353</v>
      </c>
      <c r="K34" s="5"/>
      <c r="L34" s="5"/>
      <c r="M34" s="5"/>
      <c r="N34" s="5"/>
      <c r="O34" s="5"/>
      <c r="P34" s="7"/>
      <c r="Q34" s="54" t="s">
        <v>362</v>
      </c>
      <c r="R34" s="5"/>
      <c r="S34" s="5"/>
      <c r="T34" s="5"/>
      <c r="U34" s="5"/>
      <c r="V34" s="5"/>
      <c r="W34" s="7"/>
      <c r="X34" s="49" t="s">
        <v>363</v>
      </c>
      <c r="Y34" s="5"/>
      <c r="Z34" s="5"/>
      <c r="AA34" s="5"/>
      <c r="AB34" s="5"/>
      <c r="AC34" s="5"/>
      <c r="AD34" s="7"/>
      <c r="AE34" s="48" t="s">
        <v>189</v>
      </c>
      <c r="AF34" s="7"/>
      <c r="AG34" s="55" t="s">
        <v>51</v>
      </c>
      <c r="AH34" s="5"/>
      <c r="AI34" s="7"/>
      <c r="AJ34" s="48"/>
      <c r="AK34" s="5"/>
      <c r="AL34" s="7"/>
      <c r="AM34" s="56" t="s">
        <v>191</v>
      </c>
      <c r="AN34" s="5"/>
      <c r="AO34" s="7"/>
      <c r="AP34" s="57">
        <v>46172.0</v>
      </c>
      <c r="AQ34" s="5"/>
      <c r="AR34" s="7"/>
      <c r="AS34" s="48"/>
      <c r="AT34" s="5"/>
      <c r="AU34" s="7"/>
      <c r="AV34" s="55" t="s">
        <v>51</v>
      </c>
      <c r="AW34" s="5"/>
      <c r="AX34" s="7"/>
      <c r="AY34" s="48"/>
      <c r="AZ34" s="5"/>
      <c r="BA34" s="7"/>
      <c r="BB34" s="55" t="s">
        <v>195</v>
      </c>
      <c r="BC34" s="5"/>
      <c r="BD34" s="7"/>
      <c r="BE34" s="57">
        <v>46244.0</v>
      </c>
      <c r="BF34" s="5"/>
      <c r="BG34" s="7"/>
      <c r="BH34" s="48"/>
      <c r="BI34" s="5"/>
      <c r="BJ34" s="7"/>
      <c r="BK34" s="49"/>
      <c r="BL34" s="5"/>
      <c r="BM34" s="5"/>
      <c r="BN34" s="5"/>
      <c r="BO34" s="5"/>
      <c r="BP34" s="5"/>
      <c r="BQ34" s="7"/>
    </row>
    <row r="35" ht="288.0" customHeight="1">
      <c r="A35" s="47">
        <v>20.0</v>
      </c>
      <c r="B35" s="49" t="s">
        <v>364</v>
      </c>
      <c r="C35" s="5"/>
      <c r="D35" s="7"/>
      <c r="E35" s="49" t="s">
        <v>365</v>
      </c>
      <c r="F35" s="5"/>
      <c r="G35" s="5"/>
      <c r="H35" s="5"/>
      <c r="I35" s="7"/>
      <c r="J35" s="49" t="s">
        <v>366</v>
      </c>
      <c r="K35" s="5"/>
      <c r="L35" s="5"/>
      <c r="M35" s="5"/>
      <c r="N35" s="5"/>
      <c r="O35" s="5"/>
      <c r="P35" s="7"/>
      <c r="Q35" s="49" t="s">
        <v>367</v>
      </c>
      <c r="R35" s="5"/>
      <c r="S35" s="5"/>
      <c r="T35" s="5"/>
      <c r="U35" s="5"/>
      <c r="V35" s="5"/>
      <c r="W35" s="7"/>
      <c r="X35" s="49" t="s">
        <v>368</v>
      </c>
      <c r="Y35" s="5"/>
      <c r="Z35" s="5"/>
      <c r="AA35" s="5"/>
      <c r="AB35" s="5"/>
      <c r="AC35" s="5"/>
      <c r="AD35" s="7"/>
      <c r="AE35" s="48" t="s">
        <v>289</v>
      </c>
      <c r="AF35" s="7"/>
      <c r="AG35" s="55" t="s">
        <v>51</v>
      </c>
      <c r="AH35" s="5"/>
      <c r="AI35" s="7"/>
      <c r="AJ35" s="48"/>
      <c r="AK35" s="5"/>
      <c r="AL35" s="7"/>
      <c r="AM35" s="56" t="s">
        <v>191</v>
      </c>
      <c r="AN35" s="5"/>
      <c r="AO35" s="7"/>
      <c r="AP35" s="57">
        <v>46172.0</v>
      </c>
      <c r="AQ35" s="5"/>
      <c r="AR35" s="7"/>
      <c r="AS35" s="48"/>
      <c r="AT35" s="5"/>
      <c r="AU35" s="7"/>
      <c r="AV35" s="55" t="s">
        <v>51</v>
      </c>
      <c r="AW35" s="5"/>
      <c r="AX35" s="7"/>
      <c r="AY35" s="48"/>
      <c r="AZ35" s="5"/>
      <c r="BA35" s="7"/>
      <c r="BB35" s="55" t="s">
        <v>195</v>
      </c>
      <c r="BC35" s="5"/>
      <c r="BD35" s="7"/>
      <c r="BE35" s="57">
        <v>46244.0</v>
      </c>
      <c r="BF35" s="5"/>
      <c r="BG35" s="7"/>
      <c r="BH35" s="48"/>
      <c r="BI35" s="5"/>
      <c r="BJ35" s="7"/>
      <c r="BK35" s="49"/>
      <c r="BL35" s="5"/>
      <c r="BM35" s="5"/>
      <c r="BN35" s="5"/>
      <c r="BO35" s="5"/>
      <c r="BP35" s="5"/>
      <c r="BQ35" s="7"/>
    </row>
    <row r="36" ht="351.75" customHeight="1">
      <c r="A36" s="47">
        <v>21.0</v>
      </c>
      <c r="B36" s="49" t="s">
        <v>369</v>
      </c>
      <c r="C36" s="5"/>
      <c r="D36" s="7"/>
      <c r="E36" s="49" t="s">
        <v>370</v>
      </c>
      <c r="F36" s="5"/>
      <c r="G36" s="5"/>
      <c r="H36" s="5"/>
      <c r="I36" s="7"/>
      <c r="J36" s="49" t="s">
        <v>371</v>
      </c>
      <c r="K36" s="5"/>
      <c r="L36" s="5"/>
      <c r="M36" s="5"/>
      <c r="N36" s="5"/>
      <c r="O36" s="5"/>
      <c r="P36" s="7"/>
      <c r="Q36" s="49" t="s">
        <v>372</v>
      </c>
      <c r="R36" s="5"/>
      <c r="S36" s="5"/>
      <c r="T36" s="5"/>
      <c r="U36" s="5"/>
      <c r="V36" s="5"/>
      <c r="W36" s="7"/>
      <c r="X36" s="49" t="s">
        <v>373</v>
      </c>
      <c r="Y36" s="5"/>
      <c r="Z36" s="5"/>
      <c r="AA36" s="5"/>
      <c r="AB36" s="5"/>
      <c r="AC36" s="5"/>
      <c r="AD36" s="7"/>
      <c r="AE36" s="48" t="s">
        <v>204</v>
      </c>
      <c r="AF36" s="7"/>
      <c r="AG36" s="55" t="s">
        <v>51</v>
      </c>
      <c r="AH36" s="5"/>
      <c r="AI36" s="7"/>
      <c r="AJ36" s="48"/>
      <c r="AK36" s="5"/>
      <c r="AL36" s="7"/>
      <c r="AM36" s="56" t="s">
        <v>191</v>
      </c>
      <c r="AN36" s="5"/>
      <c r="AO36" s="7"/>
      <c r="AP36" s="57">
        <v>46172.0</v>
      </c>
      <c r="AQ36" s="5"/>
      <c r="AR36" s="7"/>
      <c r="AS36" s="48"/>
      <c r="AT36" s="5"/>
      <c r="AU36" s="7"/>
      <c r="AV36" s="55" t="s">
        <v>51</v>
      </c>
      <c r="AW36" s="5"/>
      <c r="AX36" s="7"/>
      <c r="AY36" s="48"/>
      <c r="AZ36" s="5"/>
      <c r="BA36" s="7"/>
      <c r="BB36" s="55" t="s">
        <v>195</v>
      </c>
      <c r="BC36" s="5"/>
      <c r="BD36" s="7"/>
      <c r="BE36" s="57">
        <v>46244.0</v>
      </c>
      <c r="BF36" s="5"/>
      <c r="BG36" s="7"/>
      <c r="BH36" s="48"/>
      <c r="BI36" s="5"/>
      <c r="BJ36" s="7"/>
      <c r="BK36" s="49"/>
      <c r="BL36" s="5"/>
      <c r="BM36" s="5"/>
      <c r="BN36" s="5"/>
      <c r="BO36" s="5"/>
      <c r="BP36" s="5"/>
      <c r="BQ36" s="7"/>
    </row>
    <row r="37" ht="192.0" customHeight="1">
      <c r="A37" s="47">
        <v>22.0</v>
      </c>
      <c r="B37" s="49" t="s">
        <v>374</v>
      </c>
      <c r="C37" s="5"/>
      <c r="D37" s="7"/>
      <c r="E37" s="49" t="s">
        <v>375</v>
      </c>
      <c r="F37" s="5"/>
      <c r="G37" s="5"/>
      <c r="H37" s="5"/>
      <c r="I37" s="7"/>
      <c r="J37" s="49" t="s">
        <v>353</v>
      </c>
      <c r="K37" s="5"/>
      <c r="L37" s="5"/>
      <c r="M37" s="5"/>
      <c r="N37" s="5"/>
      <c r="O37" s="5"/>
      <c r="P37" s="7"/>
      <c r="Q37" s="49" t="s">
        <v>376</v>
      </c>
      <c r="R37" s="5"/>
      <c r="S37" s="5"/>
      <c r="T37" s="5"/>
      <c r="U37" s="5"/>
      <c r="V37" s="5"/>
      <c r="W37" s="7"/>
      <c r="X37" s="49" t="s">
        <v>377</v>
      </c>
      <c r="Y37" s="5"/>
      <c r="Z37" s="5"/>
      <c r="AA37" s="5"/>
      <c r="AB37" s="5"/>
      <c r="AC37" s="5"/>
      <c r="AD37" s="7"/>
      <c r="AE37" s="48" t="s">
        <v>204</v>
      </c>
      <c r="AF37" s="7"/>
      <c r="AG37" s="55" t="s">
        <v>51</v>
      </c>
      <c r="AH37" s="5"/>
      <c r="AI37" s="7"/>
      <c r="AJ37" s="48"/>
      <c r="AK37" s="5"/>
      <c r="AL37" s="7"/>
      <c r="AM37" s="56" t="s">
        <v>191</v>
      </c>
      <c r="AN37" s="5"/>
      <c r="AO37" s="7"/>
      <c r="AP37" s="57">
        <v>46172.0</v>
      </c>
      <c r="AQ37" s="5"/>
      <c r="AR37" s="7"/>
      <c r="AS37" s="48"/>
      <c r="AT37" s="5"/>
      <c r="AU37" s="7"/>
      <c r="AV37" s="55" t="s">
        <v>51</v>
      </c>
      <c r="AW37" s="5"/>
      <c r="AX37" s="7"/>
      <c r="AY37" s="48"/>
      <c r="AZ37" s="5"/>
      <c r="BA37" s="7"/>
      <c r="BB37" s="55" t="s">
        <v>195</v>
      </c>
      <c r="BC37" s="5"/>
      <c r="BD37" s="7"/>
      <c r="BE37" s="57">
        <v>46244.0</v>
      </c>
      <c r="BF37" s="5"/>
      <c r="BG37" s="7"/>
      <c r="BH37" s="48"/>
      <c r="BI37" s="5"/>
      <c r="BJ37" s="7"/>
      <c r="BK37" s="49"/>
      <c r="BL37" s="5"/>
      <c r="BM37" s="5"/>
      <c r="BN37" s="5"/>
      <c r="BO37" s="5"/>
      <c r="BP37" s="5"/>
      <c r="BQ37" s="7"/>
    </row>
    <row r="38" ht="271.5" customHeight="1">
      <c r="A38" s="47">
        <v>23.0</v>
      </c>
      <c r="B38" s="49" t="s">
        <v>378</v>
      </c>
      <c r="C38" s="5"/>
      <c r="D38" s="7"/>
      <c r="E38" s="49" t="s">
        <v>379</v>
      </c>
      <c r="F38" s="5"/>
      <c r="G38" s="5"/>
      <c r="H38" s="5"/>
      <c r="I38" s="7"/>
      <c r="J38" s="49" t="s">
        <v>366</v>
      </c>
      <c r="K38" s="5"/>
      <c r="L38" s="5"/>
      <c r="M38" s="5"/>
      <c r="N38" s="5"/>
      <c r="O38" s="5"/>
      <c r="P38" s="7"/>
      <c r="Q38" s="49" t="s">
        <v>380</v>
      </c>
      <c r="R38" s="5"/>
      <c r="S38" s="5"/>
      <c r="T38" s="5"/>
      <c r="U38" s="5"/>
      <c r="V38" s="5"/>
      <c r="W38" s="7"/>
      <c r="X38" s="49" t="s">
        <v>381</v>
      </c>
      <c r="Y38" s="5"/>
      <c r="Z38" s="5"/>
      <c r="AA38" s="5"/>
      <c r="AB38" s="5"/>
      <c r="AC38" s="5"/>
      <c r="AD38" s="7"/>
      <c r="AE38" s="48" t="s">
        <v>289</v>
      </c>
      <c r="AF38" s="7"/>
      <c r="AG38" s="55" t="s">
        <v>51</v>
      </c>
      <c r="AH38" s="5"/>
      <c r="AI38" s="7"/>
      <c r="AJ38" s="48"/>
      <c r="AK38" s="5"/>
      <c r="AL38" s="7"/>
      <c r="AM38" s="56" t="s">
        <v>191</v>
      </c>
      <c r="AN38" s="5"/>
      <c r="AO38" s="7"/>
      <c r="AP38" s="57">
        <v>46172.0</v>
      </c>
      <c r="AQ38" s="5"/>
      <c r="AR38" s="7"/>
      <c r="AS38" s="48"/>
      <c r="AT38" s="5"/>
      <c r="AU38" s="7"/>
      <c r="AV38" s="55" t="s">
        <v>51</v>
      </c>
      <c r="AW38" s="5"/>
      <c r="AX38" s="7"/>
      <c r="AY38" s="48"/>
      <c r="AZ38" s="5"/>
      <c r="BA38" s="7"/>
      <c r="BB38" s="55" t="s">
        <v>195</v>
      </c>
      <c r="BC38" s="5"/>
      <c r="BD38" s="7"/>
      <c r="BE38" s="57">
        <v>46244.0</v>
      </c>
      <c r="BF38" s="5"/>
      <c r="BG38" s="7"/>
      <c r="BH38" s="48"/>
      <c r="BI38" s="5"/>
      <c r="BJ38" s="7"/>
      <c r="BK38" s="49"/>
      <c r="BL38" s="5"/>
      <c r="BM38" s="5"/>
      <c r="BN38" s="5"/>
      <c r="BO38" s="5"/>
      <c r="BP38" s="5"/>
      <c r="BQ38" s="7"/>
    </row>
    <row r="39" ht="399.75" customHeight="1">
      <c r="A39" s="47">
        <v>24.0</v>
      </c>
      <c r="B39" s="49" t="s">
        <v>382</v>
      </c>
      <c r="C39" s="5"/>
      <c r="D39" s="7"/>
      <c r="E39" s="49" t="s">
        <v>383</v>
      </c>
      <c r="F39" s="5"/>
      <c r="G39" s="5"/>
      <c r="H39" s="5"/>
      <c r="I39" s="7"/>
      <c r="J39" s="49" t="s">
        <v>353</v>
      </c>
      <c r="K39" s="5"/>
      <c r="L39" s="5"/>
      <c r="M39" s="5"/>
      <c r="N39" s="5"/>
      <c r="O39" s="5"/>
      <c r="P39" s="7"/>
      <c r="Q39" s="54" t="s">
        <v>384</v>
      </c>
      <c r="R39" s="5"/>
      <c r="S39" s="5"/>
      <c r="T39" s="5"/>
      <c r="U39" s="5"/>
      <c r="V39" s="5"/>
      <c r="W39" s="7"/>
      <c r="X39" s="49" t="s">
        <v>385</v>
      </c>
      <c r="Y39" s="5"/>
      <c r="Z39" s="5"/>
      <c r="AA39" s="5"/>
      <c r="AB39" s="5"/>
      <c r="AC39" s="5"/>
      <c r="AD39" s="7"/>
      <c r="AE39" s="48" t="s">
        <v>204</v>
      </c>
      <c r="AF39" s="7"/>
      <c r="AG39" s="55" t="s">
        <v>51</v>
      </c>
      <c r="AH39" s="5"/>
      <c r="AI39" s="7"/>
      <c r="AJ39" s="48"/>
      <c r="AK39" s="5"/>
      <c r="AL39" s="7"/>
      <c r="AM39" s="56" t="s">
        <v>191</v>
      </c>
      <c r="AN39" s="5"/>
      <c r="AO39" s="7"/>
      <c r="AP39" s="57">
        <v>46172.0</v>
      </c>
      <c r="AQ39" s="5"/>
      <c r="AR39" s="7"/>
      <c r="AS39" s="48"/>
      <c r="AT39" s="5"/>
      <c r="AU39" s="7"/>
      <c r="AV39" s="55" t="s">
        <v>51</v>
      </c>
      <c r="AW39" s="5"/>
      <c r="AX39" s="7"/>
      <c r="AY39" s="48"/>
      <c r="AZ39" s="5"/>
      <c r="BA39" s="7"/>
      <c r="BB39" s="55" t="s">
        <v>195</v>
      </c>
      <c r="BC39" s="5"/>
      <c r="BD39" s="7"/>
      <c r="BE39" s="57">
        <v>46244.0</v>
      </c>
      <c r="BF39" s="5"/>
      <c r="BG39" s="7"/>
      <c r="BH39" s="48"/>
      <c r="BI39" s="5"/>
      <c r="BJ39" s="7"/>
      <c r="BK39" s="49" t="s">
        <v>386</v>
      </c>
      <c r="BL39" s="5"/>
      <c r="BM39" s="5"/>
      <c r="BN39" s="5"/>
      <c r="BO39" s="5"/>
      <c r="BP39" s="5"/>
      <c r="BQ39" s="7"/>
    </row>
    <row r="40" ht="399.75" customHeight="1">
      <c r="A40" s="47">
        <v>25.0</v>
      </c>
      <c r="B40" s="49" t="s">
        <v>387</v>
      </c>
      <c r="C40" s="5"/>
      <c r="D40" s="7"/>
      <c r="E40" s="49" t="s">
        <v>388</v>
      </c>
      <c r="F40" s="5"/>
      <c r="G40" s="5"/>
      <c r="H40" s="5"/>
      <c r="I40" s="7"/>
      <c r="J40" s="49" t="s">
        <v>353</v>
      </c>
      <c r="K40" s="5"/>
      <c r="L40" s="5"/>
      <c r="M40" s="5"/>
      <c r="N40" s="5"/>
      <c r="O40" s="5"/>
      <c r="P40" s="7"/>
      <c r="Q40" s="54" t="s">
        <v>389</v>
      </c>
      <c r="R40" s="5"/>
      <c r="S40" s="5"/>
      <c r="T40" s="5"/>
      <c r="U40" s="5"/>
      <c r="V40" s="5"/>
      <c r="W40" s="7"/>
      <c r="X40" s="49" t="s">
        <v>390</v>
      </c>
      <c r="Y40" s="5"/>
      <c r="Z40" s="5"/>
      <c r="AA40" s="5"/>
      <c r="AB40" s="5"/>
      <c r="AC40" s="5"/>
      <c r="AD40" s="7"/>
      <c r="AE40" s="48" t="s">
        <v>189</v>
      </c>
      <c r="AF40" s="7"/>
      <c r="AG40" s="55" t="s">
        <v>51</v>
      </c>
      <c r="AH40" s="5"/>
      <c r="AI40" s="7"/>
      <c r="AJ40" s="48"/>
      <c r="AK40" s="5"/>
      <c r="AL40" s="7"/>
      <c r="AM40" s="56" t="s">
        <v>191</v>
      </c>
      <c r="AN40" s="5"/>
      <c r="AO40" s="7"/>
      <c r="AP40" s="57">
        <v>46172.0</v>
      </c>
      <c r="AQ40" s="5"/>
      <c r="AR40" s="7"/>
      <c r="AS40" s="48"/>
      <c r="AT40" s="5"/>
      <c r="AU40" s="7"/>
      <c r="AV40" s="55" t="s">
        <v>51</v>
      </c>
      <c r="AW40" s="5"/>
      <c r="AX40" s="7"/>
      <c r="AY40" s="48"/>
      <c r="AZ40" s="5"/>
      <c r="BA40" s="7"/>
      <c r="BB40" s="55" t="s">
        <v>195</v>
      </c>
      <c r="BC40" s="5"/>
      <c r="BD40" s="7"/>
      <c r="BE40" s="57">
        <v>46244.0</v>
      </c>
      <c r="BF40" s="5"/>
      <c r="BG40" s="7"/>
      <c r="BH40" s="48"/>
      <c r="BI40" s="5"/>
      <c r="BJ40" s="7"/>
      <c r="BK40" s="49"/>
      <c r="BL40" s="5"/>
      <c r="BM40" s="5"/>
      <c r="BN40" s="5"/>
      <c r="BO40" s="5"/>
      <c r="BP40" s="5"/>
      <c r="BQ40" s="7"/>
    </row>
    <row r="41" ht="303.75" customHeight="1">
      <c r="A41" s="47">
        <v>26.0</v>
      </c>
      <c r="B41" s="49" t="s">
        <v>391</v>
      </c>
      <c r="C41" s="5"/>
      <c r="D41" s="7"/>
      <c r="E41" s="49" t="s">
        <v>392</v>
      </c>
      <c r="F41" s="5"/>
      <c r="G41" s="5"/>
      <c r="H41" s="5"/>
      <c r="I41" s="7"/>
      <c r="J41" s="49" t="s">
        <v>353</v>
      </c>
      <c r="K41" s="5"/>
      <c r="L41" s="5"/>
      <c r="M41" s="5"/>
      <c r="N41" s="5"/>
      <c r="O41" s="5"/>
      <c r="P41" s="7"/>
      <c r="Q41" s="54" t="s">
        <v>393</v>
      </c>
      <c r="R41" s="5"/>
      <c r="S41" s="5"/>
      <c r="T41" s="5"/>
      <c r="U41" s="5"/>
      <c r="V41" s="5"/>
      <c r="W41" s="7"/>
      <c r="X41" s="49" t="s">
        <v>394</v>
      </c>
      <c r="Y41" s="5"/>
      <c r="Z41" s="5"/>
      <c r="AA41" s="5"/>
      <c r="AB41" s="5"/>
      <c r="AC41" s="5"/>
      <c r="AD41" s="7"/>
      <c r="AE41" s="48" t="s">
        <v>204</v>
      </c>
      <c r="AF41" s="7"/>
      <c r="AG41" s="55" t="s">
        <v>51</v>
      </c>
      <c r="AH41" s="5"/>
      <c r="AI41" s="7"/>
      <c r="AJ41" s="48"/>
      <c r="AK41" s="5"/>
      <c r="AL41" s="7"/>
      <c r="AM41" s="56" t="s">
        <v>191</v>
      </c>
      <c r="AN41" s="5"/>
      <c r="AO41" s="7"/>
      <c r="AP41" s="57">
        <v>46172.0</v>
      </c>
      <c r="AQ41" s="5"/>
      <c r="AR41" s="7"/>
      <c r="AS41" s="48"/>
      <c r="AT41" s="5"/>
      <c r="AU41" s="7"/>
      <c r="AV41" s="55" t="s">
        <v>51</v>
      </c>
      <c r="AW41" s="5"/>
      <c r="AX41" s="7"/>
      <c r="AY41" s="48"/>
      <c r="AZ41" s="5"/>
      <c r="BA41" s="7"/>
      <c r="BB41" s="55" t="s">
        <v>195</v>
      </c>
      <c r="BC41" s="5"/>
      <c r="BD41" s="7"/>
      <c r="BE41" s="57">
        <v>46244.0</v>
      </c>
      <c r="BF41" s="5"/>
      <c r="BG41" s="7"/>
      <c r="BH41" s="48"/>
      <c r="BI41" s="5"/>
      <c r="BJ41" s="7"/>
      <c r="BK41" s="49"/>
      <c r="BL41" s="5"/>
      <c r="BM41" s="5"/>
      <c r="BN41" s="5"/>
      <c r="BO41" s="5"/>
      <c r="BP41" s="5"/>
      <c r="BQ41" s="7"/>
    </row>
    <row r="42" ht="223.5" customHeight="1">
      <c r="A42" s="47">
        <v>27.0</v>
      </c>
      <c r="B42" s="49" t="s">
        <v>395</v>
      </c>
      <c r="C42" s="5"/>
      <c r="D42" s="7"/>
      <c r="E42" s="49" t="s">
        <v>396</v>
      </c>
      <c r="F42" s="5"/>
      <c r="G42" s="5"/>
      <c r="H42" s="5"/>
      <c r="I42" s="7"/>
      <c r="J42" s="49" t="s">
        <v>366</v>
      </c>
      <c r="K42" s="5"/>
      <c r="L42" s="5"/>
      <c r="M42" s="5"/>
      <c r="N42" s="5"/>
      <c r="O42" s="5"/>
      <c r="P42" s="7"/>
      <c r="Q42" s="49" t="s">
        <v>397</v>
      </c>
      <c r="R42" s="5"/>
      <c r="S42" s="5"/>
      <c r="T42" s="5"/>
      <c r="U42" s="5"/>
      <c r="V42" s="5"/>
      <c r="W42" s="7"/>
      <c r="X42" s="49" t="s">
        <v>398</v>
      </c>
      <c r="Y42" s="5"/>
      <c r="Z42" s="5"/>
      <c r="AA42" s="5"/>
      <c r="AB42" s="5"/>
      <c r="AC42" s="5"/>
      <c r="AD42" s="7"/>
      <c r="AE42" s="48" t="s">
        <v>289</v>
      </c>
      <c r="AF42" s="7"/>
      <c r="AG42" s="55" t="s">
        <v>51</v>
      </c>
      <c r="AH42" s="5"/>
      <c r="AI42" s="7"/>
      <c r="AJ42" s="48"/>
      <c r="AK42" s="5"/>
      <c r="AL42" s="7"/>
      <c r="AM42" s="56" t="s">
        <v>191</v>
      </c>
      <c r="AN42" s="5"/>
      <c r="AO42" s="7"/>
      <c r="AP42" s="57">
        <v>46172.0</v>
      </c>
      <c r="AQ42" s="5"/>
      <c r="AR42" s="7"/>
      <c r="AS42" s="48"/>
      <c r="AT42" s="5"/>
      <c r="AU42" s="7"/>
      <c r="AV42" s="55" t="s">
        <v>51</v>
      </c>
      <c r="AW42" s="5"/>
      <c r="AX42" s="7"/>
      <c r="AY42" s="48"/>
      <c r="AZ42" s="5"/>
      <c r="BA42" s="7"/>
      <c r="BB42" s="55" t="s">
        <v>195</v>
      </c>
      <c r="BC42" s="5"/>
      <c r="BD42" s="7"/>
      <c r="BE42" s="57">
        <v>46244.0</v>
      </c>
      <c r="BF42" s="5"/>
      <c r="BG42" s="7"/>
      <c r="BH42" s="48"/>
      <c r="BI42" s="5"/>
      <c r="BJ42" s="7"/>
      <c r="BK42" s="49"/>
      <c r="BL42" s="5"/>
      <c r="BM42" s="5"/>
      <c r="BN42" s="5"/>
      <c r="BO42" s="5"/>
      <c r="BP42" s="5"/>
      <c r="BQ42" s="7"/>
    </row>
    <row r="43" ht="255.75" customHeight="1">
      <c r="A43" s="47">
        <v>28.0</v>
      </c>
      <c r="B43" s="49" t="s">
        <v>399</v>
      </c>
      <c r="C43" s="5"/>
      <c r="D43" s="7"/>
      <c r="E43" s="49" t="s">
        <v>400</v>
      </c>
      <c r="F43" s="5"/>
      <c r="G43" s="5"/>
      <c r="H43" s="5"/>
      <c r="I43" s="7"/>
      <c r="J43" s="49" t="s">
        <v>353</v>
      </c>
      <c r="K43" s="5"/>
      <c r="L43" s="5"/>
      <c r="M43" s="5"/>
      <c r="N43" s="5"/>
      <c r="O43" s="5"/>
      <c r="P43" s="7"/>
      <c r="Q43" s="49" t="s">
        <v>401</v>
      </c>
      <c r="R43" s="5"/>
      <c r="S43" s="5"/>
      <c r="T43" s="5"/>
      <c r="U43" s="5"/>
      <c r="V43" s="5"/>
      <c r="W43" s="7"/>
      <c r="X43" s="49" t="s">
        <v>402</v>
      </c>
      <c r="Y43" s="5"/>
      <c r="Z43" s="5"/>
      <c r="AA43" s="5"/>
      <c r="AB43" s="5"/>
      <c r="AC43" s="5"/>
      <c r="AD43" s="7"/>
      <c r="AE43" s="48" t="s">
        <v>204</v>
      </c>
      <c r="AF43" s="7"/>
      <c r="AG43" s="55" t="s">
        <v>51</v>
      </c>
      <c r="AH43" s="5"/>
      <c r="AI43" s="7"/>
      <c r="AJ43" s="48"/>
      <c r="AK43" s="5"/>
      <c r="AL43" s="7"/>
      <c r="AM43" s="56" t="s">
        <v>191</v>
      </c>
      <c r="AN43" s="5"/>
      <c r="AO43" s="7"/>
      <c r="AP43" s="57">
        <v>46172.0</v>
      </c>
      <c r="AQ43" s="5"/>
      <c r="AR43" s="7"/>
      <c r="AS43" s="48"/>
      <c r="AT43" s="5"/>
      <c r="AU43" s="7"/>
      <c r="AV43" s="55" t="s">
        <v>51</v>
      </c>
      <c r="AW43" s="5"/>
      <c r="AX43" s="7"/>
      <c r="AY43" s="48"/>
      <c r="AZ43" s="5"/>
      <c r="BA43" s="7"/>
      <c r="BB43" s="55" t="s">
        <v>195</v>
      </c>
      <c r="BC43" s="5"/>
      <c r="BD43" s="7"/>
      <c r="BE43" s="57">
        <v>46244.0</v>
      </c>
      <c r="BF43" s="5"/>
      <c r="BG43" s="7"/>
      <c r="BH43" s="48"/>
      <c r="BI43" s="5"/>
      <c r="BJ43" s="7"/>
      <c r="BK43" s="49"/>
      <c r="BL43" s="5"/>
      <c r="BM43" s="5"/>
      <c r="BN43" s="5"/>
      <c r="BO43" s="5"/>
      <c r="BP43" s="5"/>
      <c r="BQ43" s="7"/>
    </row>
    <row r="44" ht="288.0" customHeight="1">
      <c r="A44" s="47">
        <v>29.0</v>
      </c>
      <c r="B44" s="49" t="s">
        <v>403</v>
      </c>
      <c r="C44" s="5"/>
      <c r="D44" s="7"/>
      <c r="E44" s="49" t="s">
        <v>404</v>
      </c>
      <c r="F44" s="5"/>
      <c r="G44" s="5"/>
      <c r="H44" s="5"/>
      <c r="I44" s="7"/>
      <c r="J44" s="49" t="s">
        <v>353</v>
      </c>
      <c r="K44" s="5"/>
      <c r="L44" s="5"/>
      <c r="M44" s="5"/>
      <c r="N44" s="5"/>
      <c r="O44" s="5"/>
      <c r="P44" s="7"/>
      <c r="Q44" s="54" t="s">
        <v>405</v>
      </c>
      <c r="R44" s="5"/>
      <c r="S44" s="5"/>
      <c r="T44" s="5"/>
      <c r="U44" s="5"/>
      <c r="V44" s="5"/>
      <c r="W44" s="7"/>
      <c r="X44" s="49" t="s">
        <v>406</v>
      </c>
      <c r="Y44" s="5"/>
      <c r="Z44" s="5"/>
      <c r="AA44" s="5"/>
      <c r="AB44" s="5"/>
      <c r="AC44" s="5"/>
      <c r="AD44" s="7"/>
      <c r="AE44" s="48" t="s">
        <v>204</v>
      </c>
      <c r="AF44" s="7"/>
      <c r="AG44" s="55" t="s">
        <v>51</v>
      </c>
      <c r="AH44" s="5"/>
      <c r="AI44" s="7"/>
      <c r="AJ44" s="48"/>
      <c r="AK44" s="5"/>
      <c r="AL44" s="7"/>
      <c r="AM44" s="56" t="s">
        <v>191</v>
      </c>
      <c r="AN44" s="5"/>
      <c r="AO44" s="7"/>
      <c r="AP44" s="57">
        <v>46172.0</v>
      </c>
      <c r="AQ44" s="5"/>
      <c r="AR44" s="7"/>
      <c r="AS44" s="48"/>
      <c r="AT44" s="5"/>
      <c r="AU44" s="7"/>
      <c r="AV44" s="55" t="s">
        <v>51</v>
      </c>
      <c r="AW44" s="5"/>
      <c r="AX44" s="7"/>
      <c r="AY44" s="48"/>
      <c r="AZ44" s="5"/>
      <c r="BA44" s="7"/>
      <c r="BB44" s="55" t="s">
        <v>195</v>
      </c>
      <c r="BC44" s="5"/>
      <c r="BD44" s="7"/>
      <c r="BE44" s="57">
        <v>46244.0</v>
      </c>
      <c r="BF44" s="5"/>
      <c r="BG44" s="7"/>
      <c r="BH44" s="48"/>
      <c r="BI44" s="5"/>
      <c r="BJ44" s="7"/>
      <c r="BK44" s="49"/>
      <c r="BL44" s="5"/>
      <c r="BM44" s="5"/>
      <c r="BN44" s="5"/>
      <c r="BO44" s="5"/>
      <c r="BP44" s="5"/>
      <c r="BQ44" s="7"/>
    </row>
    <row r="45" ht="240.0" customHeight="1">
      <c r="A45" s="47">
        <v>30.0</v>
      </c>
      <c r="B45" s="49" t="s">
        <v>407</v>
      </c>
      <c r="C45" s="5"/>
      <c r="D45" s="7"/>
      <c r="E45" s="49" t="s">
        <v>408</v>
      </c>
      <c r="F45" s="5"/>
      <c r="G45" s="5"/>
      <c r="H45" s="5"/>
      <c r="I45" s="7"/>
      <c r="J45" s="49" t="s">
        <v>409</v>
      </c>
      <c r="K45" s="5"/>
      <c r="L45" s="5"/>
      <c r="M45" s="5"/>
      <c r="N45" s="5"/>
      <c r="O45" s="5"/>
      <c r="P45" s="7"/>
      <c r="Q45" s="49" t="s">
        <v>410</v>
      </c>
      <c r="R45" s="5"/>
      <c r="S45" s="5"/>
      <c r="T45" s="5"/>
      <c r="U45" s="5"/>
      <c r="V45" s="5"/>
      <c r="W45" s="7"/>
      <c r="X45" s="49" t="s">
        <v>411</v>
      </c>
      <c r="Y45" s="5"/>
      <c r="Z45" s="5"/>
      <c r="AA45" s="5"/>
      <c r="AB45" s="5"/>
      <c r="AC45" s="5"/>
      <c r="AD45" s="7"/>
      <c r="AE45" s="48" t="s">
        <v>189</v>
      </c>
      <c r="AF45" s="7"/>
      <c r="AG45" s="55" t="s">
        <v>51</v>
      </c>
      <c r="AH45" s="5"/>
      <c r="AI45" s="7"/>
      <c r="AJ45" s="48"/>
      <c r="AK45" s="5"/>
      <c r="AL45" s="7"/>
      <c r="AM45" s="56" t="s">
        <v>191</v>
      </c>
      <c r="AN45" s="5"/>
      <c r="AO45" s="7"/>
      <c r="AP45" s="57">
        <v>46172.0</v>
      </c>
      <c r="AQ45" s="5"/>
      <c r="AR45" s="7"/>
      <c r="AS45" s="48"/>
      <c r="AT45" s="5"/>
      <c r="AU45" s="7"/>
      <c r="AV45" s="55" t="s">
        <v>51</v>
      </c>
      <c r="AW45" s="5"/>
      <c r="AX45" s="7"/>
      <c r="AY45" s="48"/>
      <c r="AZ45" s="5"/>
      <c r="BA45" s="7"/>
      <c r="BB45" s="55" t="s">
        <v>195</v>
      </c>
      <c r="BC45" s="5"/>
      <c r="BD45" s="7"/>
      <c r="BE45" s="57">
        <v>46244.0</v>
      </c>
      <c r="BF45" s="5"/>
      <c r="BG45" s="7"/>
      <c r="BH45" s="48"/>
      <c r="BI45" s="5"/>
      <c r="BJ45" s="7"/>
      <c r="BK45" s="49"/>
      <c r="BL45" s="5"/>
      <c r="BM45" s="5"/>
      <c r="BN45" s="5"/>
      <c r="BO45" s="5"/>
      <c r="BP45" s="5"/>
      <c r="BQ45" s="7"/>
    </row>
    <row r="46" ht="351.75" customHeight="1">
      <c r="A46" s="47">
        <v>31.0</v>
      </c>
      <c r="B46" s="49" t="s">
        <v>412</v>
      </c>
      <c r="C46" s="5"/>
      <c r="D46" s="7"/>
      <c r="E46" s="49" t="s">
        <v>413</v>
      </c>
      <c r="F46" s="5"/>
      <c r="G46" s="5"/>
      <c r="H46" s="5"/>
      <c r="I46" s="7"/>
      <c r="J46" s="49" t="s">
        <v>353</v>
      </c>
      <c r="K46" s="5"/>
      <c r="L46" s="5"/>
      <c r="M46" s="5"/>
      <c r="N46" s="5"/>
      <c r="O46" s="5"/>
      <c r="P46" s="7"/>
      <c r="Q46" s="54" t="s">
        <v>414</v>
      </c>
      <c r="R46" s="5"/>
      <c r="S46" s="5"/>
      <c r="T46" s="5"/>
      <c r="U46" s="5"/>
      <c r="V46" s="5"/>
      <c r="W46" s="7"/>
      <c r="X46" s="49" t="s">
        <v>415</v>
      </c>
      <c r="Y46" s="5"/>
      <c r="Z46" s="5"/>
      <c r="AA46" s="5"/>
      <c r="AB46" s="5"/>
      <c r="AC46" s="5"/>
      <c r="AD46" s="7"/>
      <c r="AE46" s="48" t="s">
        <v>204</v>
      </c>
      <c r="AF46" s="7"/>
      <c r="AG46" s="55" t="s">
        <v>51</v>
      </c>
      <c r="AH46" s="5"/>
      <c r="AI46" s="7"/>
      <c r="AJ46" s="48"/>
      <c r="AK46" s="5"/>
      <c r="AL46" s="7"/>
      <c r="AM46" s="56" t="s">
        <v>191</v>
      </c>
      <c r="AN46" s="5"/>
      <c r="AO46" s="7"/>
      <c r="AP46" s="57">
        <v>46172.0</v>
      </c>
      <c r="AQ46" s="5"/>
      <c r="AR46" s="7"/>
      <c r="AS46" s="48"/>
      <c r="AT46" s="5"/>
      <c r="AU46" s="7"/>
      <c r="AV46" s="55" t="s">
        <v>51</v>
      </c>
      <c r="AW46" s="5"/>
      <c r="AX46" s="7"/>
      <c r="AY46" s="48"/>
      <c r="AZ46" s="5"/>
      <c r="BA46" s="7"/>
      <c r="BB46" s="55" t="s">
        <v>195</v>
      </c>
      <c r="BC46" s="5"/>
      <c r="BD46" s="7"/>
      <c r="BE46" s="57">
        <v>46244.0</v>
      </c>
      <c r="BF46" s="5"/>
      <c r="BG46" s="7"/>
      <c r="BH46" s="48"/>
      <c r="BI46" s="5"/>
      <c r="BJ46" s="7"/>
      <c r="BK46" s="49"/>
      <c r="BL46" s="5"/>
      <c r="BM46" s="5"/>
      <c r="BN46" s="5"/>
      <c r="BO46" s="5"/>
      <c r="BP46" s="5"/>
      <c r="BQ46" s="7"/>
    </row>
    <row r="47" ht="288.0" customHeight="1">
      <c r="A47" s="47">
        <v>32.0</v>
      </c>
      <c r="B47" s="49" t="s">
        <v>416</v>
      </c>
      <c r="C47" s="5"/>
      <c r="D47" s="7"/>
      <c r="E47" s="49" t="s">
        <v>417</v>
      </c>
      <c r="F47" s="5"/>
      <c r="G47" s="5"/>
      <c r="H47" s="5"/>
      <c r="I47" s="7"/>
      <c r="J47" s="49" t="s">
        <v>366</v>
      </c>
      <c r="K47" s="5"/>
      <c r="L47" s="5"/>
      <c r="M47" s="5"/>
      <c r="N47" s="5"/>
      <c r="O47" s="5"/>
      <c r="P47" s="7"/>
      <c r="Q47" s="49" t="s">
        <v>418</v>
      </c>
      <c r="R47" s="5"/>
      <c r="S47" s="5"/>
      <c r="T47" s="5"/>
      <c r="U47" s="5"/>
      <c r="V47" s="5"/>
      <c r="W47" s="7"/>
      <c r="X47" s="49" t="s">
        <v>419</v>
      </c>
      <c r="Y47" s="5"/>
      <c r="Z47" s="5"/>
      <c r="AA47" s="5"/>
      <c r="AB47" s="5"/>
      <c r="AC47" s="5"/>
      <c r="AD47" s="7"/>
      <c r="AE47" s="48" t="s">
        <v>289</v>
      </c>
      <c r="AF47" s="7"/>
      <c r="AG47" s="55" t="s">
        <v>51</v>
      </c>
      <c r="AH47" s="5"/>
      <c r="AI47" s="7"/>
      <c r="AJ47" s="48"/>
      <c r="AK47" s="5"/>
      <c r="AL47" s="7"/>
      <c r="AM47" s="56" t="s">
        <v>191</v>
      </c>
      <c r="AN47" s="5"/>
      <c r="AO47" s="7"/>
      <c r="AP47" s="57">
        <v>46172.0</v>
      </c>
      <c r="AQ47" s="5"/>
      <c r="AR47" s="7"/>
      <c r="AS47" s="48"/>
      <c r="AT47" s="5"/>
      <c r="AU47" s="7"/>
      <c r="AV47" s="55" t="s">
        <v>51</v>
      </c>
      <c r="AW47" s="5"/>
      <c r="AX47" s="7"/>
      <c r="AY47" s="48"/>
      <c r="AZ47" s="5"/>
      <c r="BA47" s="7"/>
      <c r="BB47" s="55" t="s">
        <v>195</v>
      </c>
      <c r="BC47" s="5"/>
      <c r="BD47" s="7"/>
      <c r="BE47" s="57">
        <v>46244.0</v>
      </c>
      <c r="BF47" s="5"/>
      <c r="BG47" s="7"/>
      <c r="BH47" s="48"/>
      <c r="BI47" s="5"/>
      <c r="BJ47" s="7"/>
      <c r="BK47" s="49"/>
      <c r="BL47" s="5"/>
      <c r="BM47" s="5"/>
      <c r="BN47" s="5"/>
      <c r="BO47" s="5"/>
      <c r="BP47" s="5"/>
      <c r="BQ47" s="7"/>
    </row>
    <row r="48" ht="367.5" customHeight="1">
      <c r="A48" s="47">
        <v>33.0</v>
      </c>
      <c r="B48" s="49" t="s">
        <v>420</v>
      </c>
      <c r="C48" s="5"/>
      <c r="D48" s="7"/>
      <c r="E48" s="49" t="s">
        <v>421</v>
      </c>
      <c r="F48" s="5"/>
      <c r="G48" s="5"/>
      <c r="H48" s="5"/>
      <c r="I48" s="7"/>
      <c r="J48" s="49" t="s">
        <v>353</v>
      </c>
      <c r="K48" s="5"/>
      <c r="L48" s="5"/>
      <c r="M48" s="5"/>
      <c r="N48" s="5"/>
      <c r="O48" s="5"/>
      <c r="P48" s="7"/>
      <c r="Q48" s="54" t="s">
        <v>422</v>
      </c>
      <c r="R48" s="5"/>
      <c r="S48" s="5"/>
      <c r="T48" s="5"/>
      <c r="U48" s="5"/>
      <c r="V48" s="5"/>
      <c r="W48" s="7"/>
      <c r="X48" s="49" t="s">
        <v>423</v>
      </c>
      <c r="Y48" s="5"/>
      <c r="Z48" s="5"/>
      <c r="AA48" s="5"/>
      <c r="AB48" s="5"/>
      <c r="AC48" s="5"/>
      <c r="AD48" s="7"/>
      <c r="AE48" s="48" t="s">
        <v>204</v>
      </c>
      <c r="AF48" s="7"/>
      <c r="AG48" s="55" t="s">
        <v>51</v>
      </c>
      <c r="AH48" s="5"/>
      <c r="AI48" s="7"/>
      <c r="AJ48" s="48"/>
      <c r="AK48" s="5"/>
      <c r="AL48" s="7"/>
      <c r="AM48" s="56" t="s">
        <v>191</v>
      </c>
      <c r="AN48" s="5"/>
      <c r="AO48" s="7"/>
      <c r="AP48" s="57">
        <v>46172.0</v>
      </c>
      <c r="AQ48" s="5"/>
      <c r="AR48" s="7"/>
      <c r="AS48" s="48"/>
      <c r="AT48" s="5"/>
      <c r="AU48" s="7"/>
      <c r="AV48" s="55" t="s">
        <v>51</v>
      </c>
      <c r="AW48" s="5"/>
      <c r="AX48" s="7"/>
      <c r="AY48" s="48"/>
      <c r="AZ48" s="5"/>
      <c r="BA48" s="7"/>
      <c r="BB48" s="55" t="s">
        <v>195</v>
      </c>
      <c r="BC48" s="5"/>
      <c r="BD48" s="7"/>
      <c r="BE48" s="57">
        <v>46244.0</v>
      </c>
      <c r="BF48" s="5"/>
      <c r="BG48" s="7"/>
      <c r="BH48" s="48"/>
      <c r="BI48" s="5"/>
      <c r="BJ48" s="7"/>
      <c r="BK48" s="49"/>
      <c r="BL48" s="5"/>
      <c r="BM48" s="5"/>
      <c r="BN48" s="5"/>
      <c r="BO48" s="5"/>
      <c r="BP48" s="5"/>
      <c r="BQ48" s="7"/>
    </row>
    <row r="49" ht="367.5" customHeight="1">
      <c r="A49" s="47">
        <v>34.0</v>
      </c>
      <c r="B49" s="49" t="s">
        <v>424</v>
      </c>
      <c r="C49" s="5"/>
      <c r="D49" s="7"/>
      <c r="E49" s="49" t="s">
        <v>425</v>
      </c>
      <c r="F49" s="5"/>
      <c r="G49" s="5"/>
      <c r="H49" s="5"/>
      <c r="I49" s="7"/>
      <c r="J49" s="49" t="s">
        <v>353</v>
      </c>
      <c r="K49" s="5"/>
      <c r="L49" s="5"/>
      <c r="M49" s="5"/>
      <c r="N49" s="5"/>
      <c r="O49" s="5"/>
      <c r="P49" s="7"/>
      <c r="Q49" s="54" t="s">
        <v>426</v>
      </c>
      <c r="R49" s="5"/>
      <c r="S49" s="5"/>
      <c r="T49" s="5"/>
      <c r="U49" s="5"/>
      <c r="V49" s="5"/>
      <c r="W49" s="7"/>
      <c r="X49" s="49" t="s">
        <v>427</v>
      </c>
      <c r="Y49" s="5"/>
      <c r="Z49" s="5"/>
      <c r="AA49" s="5"/>
      <c r="AB49" s="5"/>
      <c r="AC49" s="5"/>
      <c r="AD49" s="7"/>
      <c r="AE49" s="48" t="s">
        <v>204</v>
      </c>
      <c r="AF49" s="7"/>
      <c r="AG49" s="55" t="s">
        <v>51</v>
      </c>
      <c r="AH49" s="5"/>
      <c r="AI49" s="7"/>
      <c r="AJ49" s="48"/>
      <c r="AK49" s="5"/>
      <c r="AL49" s="7"/>
      <c r="AM49" s="56" t="s">
        <v>191</v>
      </c>
      <c r="AN49" s="5"/>
      <c r="AO49" s="7"/>
      <c r="AP49" s="57">
        <v>46172.0</v>
      </c>
      <c r="AQ49" s="5"/>
      <c r="AR49" s="7"/>
      <c r="AS49" s="48"/>
      <c r="AT49" s="5"/>
      <c r="AU49" s="7"/>
      <c r="AV49" s="55" t="s">
        <v>51</v>
      </c>
      <c r="AW49" s="5"/>
      <c r="AX49" s="7"/>
      <c r="AY49" s="48"/>
      <c r="AZ49" s="5"/>
      <c r="BA49" s="7"/>
      <c r="BB49" s="55" t="s">
        <v>195</v>
      </c>
      <c r="BC49" s="5"/>
      <c r="BD49" s="7"/>
      <c r="BE49" s="57">
        <v>46244.0</v>
      </c>
      <c r="BF49" s="5"/>
      <c r="BG49" s="7"/>
      <c r="BH49" s="48"/>
      <c r="BI49" s="5"/>
      <c r="BJ49" s="7"/>
      <c r="BK49" s="49"/>
      <c r="BL49" s="5"/>
      <c r="BM49" s="5"/>
      <c r="BN49" s="5"/>
      <c r="BO49" s="5"/>
      <c r="BP49" s="5"/>
      <c r="BQ49" s="7"/>
    </row>
    <row r="50" ht="207.75" customHeight="1">
      <c r="A50" s="47">
        <v>35.0</v>
      </c>
      <c r="B50" s="49" t="s">
        <v>428</v>
      </c>
      <c r="C50" s="5"/>
      <c r="D50" s="7"/>
      <c r="E50" s="49" t="s">
        <v>429</v>
      </c>
      <c r="F50" s="5"/>
      <c r="G50" s="5"/>
      <c r="H50" s="5"/>
      <c r="I50" s="7"/>
      <c r="J50" s="49" t="s">
        <v>353</v>
      </c>
      <c r="K50" s="5"/>
      <c r="L50" s="5"/>
      <c r="M50" s="5"/>
      <c r="N50" s="5"/>
      <c r="O50" s="5"/>
      <c r="P50" s="7"/>
      <c r="Q50" s="49" t="s">
        <v>430</v>
      </c>
      <c r="R50" s="5"/>
      <c r="S50" s="5"/>
      <c r="T50" s="5"/>
      <c r="U50" s="5"/>
      <c r="V50" s="5"/>
      <c r="W50" s="7"/>
      <c r="X50" s="49" t="s">
        <v>431</v>
      </c>
      <c r="Y50" s="5"/>
      <c r="Z50" s="5"/>
      <c r="AA50" s="5"/>
      <c r="AB50" s="5"/>
      <c r="AC50" s="5"/>
      <c r="AD50" s="7"/>
      <c r="AE50" s="48" t="s">
        <v>189</v>
      </c>
      <c r="AF50" s="7"/>
      <c r="AG50" s="55" t="s">
        <v>51</v>
      </c>
      <c r="AH50" s="5"/>
      <c r="AI50" s="7"/>
      <c r="AJ50" s="48"/>
      <c r="AK50" s="5"/>
      <c r="AL50" s="7"/>
      <c r="AM50" s="56" t="s">
        <v>191</v>
      </c>
      <c r="AN50" s="5"/>
      <c r="AO50" s="7"/>
      <c r="AP50" s="57">
        <v>46172.0</v>
      </c>
      <c r="AQ50" s="5"/>
      <c r="AR50" s="7"/>
      <c r="AS50" s="48"/>
      <c r="AT50" s="5"/>
      <c r="AU50" s="7"/>
      <c r="AV50" s="55" t="s">
        <v>51</v>
      </c>
      <c r="AW50" s="5"/>
      <c r="AX50" s="7"/>
      <c r="AY50" s="48"/>
      <c r="AZ50" s="5"/>
      <c r="BA50" s="7"/>
      <c r="BB50" s="55" t="s">
        <v>195</v>
      </c>
      <c r="BC50" s="5"/>
      <c r="BD50" s="7"/>
      <c r="BE50" s="57">
        <v>46244.0</v>
      </c>
      <c r="BF50" s="5"/>
      <c r="BG50" s="7"/>
      <c r="BH50" s="48"/>
      <c r="BI50" s="5"/>
      <c r="BJ50" s="7"/>
      <c r="BK50" s="49"/>
      <c r="BL50" s="5"/>
      <c r="BM50" s="5"/>
      <c r="BN50" s="5"/>
      <c r="BO50" s="5"/>
      <c r="BP50" s="5"/>
      <c r="BQ50" s="7"/>
    </row>
    <row r="51" ht="175.5" customHeight="1">
      <c r="A51" s="47">
        <v>36.0</v>
      </c>
      <c r="B51" s="49" t="s">
        <v>432</v>
      </c>
      <c r="C51" s="5"/>
      <c r="D51" s="7"/>
      <c r="E51" s="49" t="s">
        <v>433</v>
      </c>
      <c r="F51" s="5"/>
      <c r="G51" s="5"/>
      <c r="H51" s="5"/>
      <c r="I51" s="7"/>
      <c r="J51" s="49" t="s">
        <v>353</v>
      </c>
      <c r="K51" s="5"/>
      <c r="L51" s="5"/>
      <c r="M51" s="5"/>
      <c r="N51" s="5"/>
      <c r="O51" s="5"/>
      <c r="P51" s="7"/>
      <c r="Q51" s="49" t="s">
        <v>434</v>
      </c>
      <c r="R51" s="5"/>
      <c r="S51" s="5"/>
      <c r="T51" s="5"/>
      <c r="U51" s="5"/>
      <c r="V51" s="5"/>
      <c r="W51" s="7"/>
      <c r="X51" s="49" t="s">
        <v>435</v>
      </c>
      <c r="Y51" s="5"/>
      <c r="Z51" s="5"/>
      <c r="AA51" s="5"/>
      <c r="AB51" s="5"/>
      <c r="AC51" s="5"/>
      <c r="AD51" s="7"/>
      <c r="AE51" s="48" t="s">
        <v>189</v>
      </c>
      <c r="AF51" s="7"/>
      <c r="AG51" s="55" t="s">
        <v>51</v>
      </c>
      <c r="AH51" s="5"/>
      <c r="AI51" s="7"/>
      <c r="AJ51" s="48"/>
      <c r="AK51" s="5"/>
      <c r="AL51" s="7"/>
      <c r="AM51" s="56" t="s">
        <v>191</v>
      </c>
      <c r="AN51" s="5"/>
      <c r="AO51" s="7"/>
      <c r="AP51" s="57">
        <v>46172.0</v>
      </c>
      <c r="AQ51" s="5"/>
      <c r="AR51" s="7"/>
      <c r="AS51" s="48"/>
      <c r="AT51" s="5"/>
      <c r="AU51" s="7"/>
      <c r="AV51" s="55" t="s">
        <v>51</v>
      </c>
      <c r="AW51" s="5"/>
      <c r="AX51" s="7"/>
      <c r="AY51" s="48"/>
      <c r="AZ51" s="5"/>
      <c r="BA51" s="7"/>
      <c r="BB51" s="55" t="s">
        <v>195</v>
      </c>
      <c r="BC51" s="5"/>
      <c r="BD51" s="7"/>
      <c r="BE51" s="57">
        <v>46244.0</v>
      </c>
      <c r="BF51" s="5"/>
      <c r="BG51" s="7"/>
      <c r="BH51" s="48"/>
      <c r="BI51" s="5"/>
      <c r="BJ51" s="7"/>
      <c r="BK51" s="49"/>
      <c r="BL51" s="5"/>
      <c r="BM51" s="5"/>
      <c r="BN51" s="5"/>
      <c r="BO51" s="5"/>
      <c r="BP51" s="5"/>
      <c r="BQ51" s="7"/>
    </row>
    <row r="52" ht="367.5" customHeight="1">
      <c r="A52" s="47">
        <v>37.0</v>
      </c>
      <c r="B52" s="49" t="s">
        <v>436</v>
      </c>
      <c r="C52" s="5"/>
      <c r="D52" s="7"/>
      <c r="E52" s="49" t="s">
        <v>437</v>
      </c>
      <c r="F52" s="5"/>
      <c r="G52" s="5"/>
      <c r="H52" s="5"/>
      <c r="I52" s="7"/>
      <c r="J52" s="49" t="s">
        <v>366</v>
      </c>
      <c r="K52" s="5"/>
      <c r="L52" s="5"/>
      <c r="M52" s="5"/>
      <c r="N52" s="5"/>
      <c r="O52" s="5"/>
      <c r="P52" s="7"/>
      <c r="Q52" s="49" t="s">
        <v>438</v>
      </c>
      <c r="R52" s="5"/>
      <c r="S52" s="5"/>
      <c r="T52" s="5"/>
      <c r="U52" s="5"/>
      <c r="V52" s="5"/>
      <c r="W52" s="7"/>
      <c r="X52" s="54" t="s">
        <v>439</v>
      </c>
      <c r="Y52" s="5"/>
      <c r="Z52" s="5"/>
      <c r="AA52" s="5"/>
      <c r="AB52" s="5"/>
      <c r="AC52" s="5"/>
      <c r="AD52" s="7"/>
      <c r="AE52" s="48" t="s">
        <v>289</v>
      </c>
      <c r="AF52" s="7"/>
      <c r="AG52" s="55" t="s">
        <v>51</v>
      </c>
      <c r="AH52" s="5"/>
      <c r="AI52" s="7"/>
      <c r="AJ52" s="48"/>
      <c r="AK52" s="5"/>
      <c r="AL52" s="7"/>
      <c r="AM52" s="56" t="s">
        <v>191</v>
      </c>
      <c r="AN52" s="5"/>
      <c r="AO52" s="7"/>
      <c r="AP52" s="57">
        <v>46172.0</v>
      </c>
      <c r="AQ52" s="5"/>
      <c r="AR52" s="7"/>
      <c r="AS52" s="48"/>
      <c r="AT52" s="5"/>
      <c r="AU52" s="7"/>
      <c r="AV52" s="55" t="s">
        <v>51</v>
      </c>
      <c r="AW52" s="5"/>
      <c r="AX52" s="7"/>
      <c r="AY52" s="48"/>
      <c r="AZ52" s="5"/>
      <c r="BA52" s="7"/>
      <c r="BB52" s="55" t="s">
        <v>195</v>
      </c>
      <c r="BC52" s="5"/>
      <c r="BD52" s="7"/>
      <c r="BE52" s="57">
        <v>46244.0</v>
      </c>
      <c r="BF52" s="5"/>
      <c r="BG52" s="7"/>
      <c r="BH52" s="48"/>
      <c r="BI52" s="5"/>
      <c r="BJ52" s="7"/>
      <c r="BK52" s="49"/>
      <c r="BL52" s="5"/>
      <c r="BM52" s="5"/>
      <c r="BN52" s="5"/>
      <c r="BO52" s="5"/>
      <c r="BP52" s="5"/>
      <c r="BQ52" s="7"/>
    </row>
    <row r="53" ht="384.0" customHeight="1">
      <c r="A53" s="47">
        <v>38.0</v>
      </c>
      <c r="B53" s="49" t="s">
        <v>440</v>
      </c>
      <c r="C53" s="5"/>
      <c r="D53" s="7"/>
      <c r="E53" s="49" t="s">
        <v>441</v>
      </c>
      <c r="F53" s="5"/>
      <c r="G53" s="5"/>
      <c r="H53" s="5"/>
      <c r="I53" s="7"/>
      <c r="J53" s="49" t="s">
        <v>442</v>
      </c>
      <c r="K53" s="5"/>
      <c r="L53" s="5"/>
      <c r="M53" s="5"/>
      <c r="N53" s="5"/>
      <c r="O53" s="5"/>
      <c r="P53" s="7"/>
      <c r="Q53" s="49" t="s">
        <v>443</v>
      </c>
      <c r="R53" s="5"/>
      <c r="S53" s="5"/>
      <c r="T53" s="5"/>
      <c r="U53" s="5"/>
      <c r="V53" s="5"/>
      <c r="W53" s="7"/>
      <c r="X53" s="49" t="s">
        <v>444</v>
      </c>
      <c r="Y53" s="5"/>
      <c r="Z53" s="5"/>
      <c r="AA53" s="5"/>
      <c r="AB53" s="5"/>
      <c r="AC53" s="5"/>
      <c r="AD53" s="7"/>
      <c r="AE53" s="48" t="s">
        <v>189</v>
      </c>
      <c r="AF53" s="7"/>
      <c r="AG53" s="55" t="s">
        <v>51</v>
      </c>
      <c r="AH53" s="5"/>
      <c r="AI53" s="7"/>
      <c r="AJ53" s="48"/>
      <c r="AK53" s="5"/>
      <c r="AL53" s="7"/>
      <c r="AM53" s="56" t="s">
        <v>191</v>
      </c>
      <c r="AN53" s="5"/>
      <c r="AO53" s="7"/>
      <c r="AP53" s="57">
        <v>46172.0</v>
      </c>
      <c r="AQ53" s="5"/>
      <c r="AR53" s="7"/>
      <c r="AS53" s="48"/>
      <c r="AT53" s="5"/>
      <c r="AU53" s="7"/>
      <c r="AV53" s="55" t="s">
        <v>51</v>
      </c>
      <c r="AW53" s="5"/>
      <c r="AX53" s="7"/>
      <c r="AY53" s="48"/>
      <c r="AZ53" s="5"/>
      <c r="BA53" s="7"/>
      <c r="BB53" s="55" t="s">
        <v>195</v>
      </c>
      <c r="BC53" s="5"/>
      <c r="BD53" s="7"/>
      <c r="BE53" s="57">
        <v>46244.0</v>
      </c>
      <c r="BF53" s="5"/>
      <c r="BG53" s="7"/>
      <c r="BH53" s="48"/>
      <c r="BI53" s="5"/>
      <c r="BJ53" s="7"/>
      <c r="BK53" s="49"/>
      <c r="BL53" s="5"/>
      <c r="BM53" s="5"/>
      <c r="BN53" s="5"/>
      <c r="BO53" s="5"/>
      <c r="BP53" s="5"/>
      <c r="BQ53" s="7"/>
    </row>
    <row r="54" ht="447.75" customHeight="1">
      <c r="A54" s="47">
        <v>39.0</v>
      </c>
      <c r="B54" s="49" t="s">
        <v>445</v>
      </c>
      <c r="C54" s="5"/>
      <c r="D54" s="7"/>
      <c r="E54" s="49" t="s">
        <v>446</v>
      </c>
      <c r="F54" s="5"/>
      <c r="G54" s="5"/>
      <c r="H54" s="5"/>
      <c r="I54" s="7"/>
      <c r="J54" s="49" t="s">
        <v>447</v>
      </c>
      <c r="K54" s="5"/>
      <c r="L54" s="5"/>
      <c r="M54" s="5"/>
      <c r="N54" s="5"/>
      <c r="O54" s="5"/>
      <c r="P54" s="7"/>
      <c r="Q54" s="49" t="s">
        <v>448</v>
      </c>
      <c r="R54" s="5"/>
      <c r="S54" s="5"/>
      <c r="T54" s="5"/>
      <c r="U54" s="5"/>
      <c r="V54" s="5"/>
      <c r="W54" s="7"/>
      <c r="X54" s="49" t="s">
        <v>449</v>
      </c>
      <c r="Y54" s="5"/>
      <c r="Z54" s="5"/>
      <c r="AA54" s="5"/>
      <c r="AB54" s="5"/>
      <c r="AC54" s="5"/>
      <c r="AD54" s="7"/>
      <c r="AE54" s="48" t="s">
        <v>189</v>
      </c>
      <c r="AF54" s="7"/>
      <c r="AG54" s="55" t="s">
        <v>51</v>
      </c>
      <c r="AH54" s="5"/>
      <c r="AI54" s="7"/>
      <c r="AJ54" s="48"/>
      <c r="AK54" s="5"/>
      <c r="AL54" s="7"/>
      <c r="AM54" s="56" t="s">
        <v>191</v>
      </c>
      <c r="AN54" s="5"/>
      <c r="AO54" s="7"/>
      <c r="AP54" s="57">
        <v>46172.0</v>
      </c>
      <c r="AQ54" s="5"/>
      <c r="AR54" s="7"/>
      <c r="AS54" s="48"/>
      <c r="AT54" s="5"/>
      <c r="AU54" s="7"/>
      <c r="AV54" s="55" t="s">
        <v>51</v>
      </c>
      <c r="AW54" s="5"/>
      <c r="AX54" s="7"/>
      <c r="AY54" s="48"/>
      <c r="AZ54" s="5"/>
      <c r="BA54" s="7"/>
      <c r="BB54" s="55" t="s">
        <v>195</v>
      </c>
      <c r="BC54" s="5"/>
      <c r="BD54" s="7"/>
      <c r="BE54" s="57">
        <v>46244.0</v>
      </c>
      <c r="BF54" s="5"/>
      <c r="BG54" s="7"/>
      <c r="BH54" s="48"/>
      <c r="BI54" s="5"/>
      <c r="BJ54" s="7"/>
      <c r="BK54" s="49"/>
      <c r="BL54" s="5"/>
      <c r="BM54" s="5"/>
      <c r="BN54" s="5"/>
      <c r="BO54" s="5"/>
      <c r="BP54" s="5"/>
      <c r="BQ54" s="7"/>
    </row>
    <row r="55" ht="288.0" customHeight="1">
      <c r="A55" s="47">
        <v>40.0</v>
      </c>
      <c r="B55" s="49" t="s">
        <v>450</v>
      </c>
      <c r="C55" s="5"/>
      <c r="D55" s="7"/>
      <c r="E55" s="49" t="s">
        <v>451</v>
      </c>
      <c r="F55" s="5"/>
      <c r="G55" s="5"/>
      <c r="H55" s="5"/>
      <c r="I55" s="7"/>
      <c r="J55" s="49" t="s">
        <v>353</v>
      </c>
      <c r="K55" s="5"/>
      <c r="L55" s="5"/>
      <c r="M55" s="5"/>
      <c r="N55" s="5"/>
      <c r="O55" s="5"/>
      <c r="P55" s="7"/>
      <c r="Q55" s="49" t="s">
        <v>452</v>
      </c>
      <c r="R55" s="5"/>
      <c r="S55" s="5"/>
      <c r="T55" s="5"/>
      <c r="U55" s="5"/>
      <c r="V55" s="5"/>
      <c r="W55" s="7"/>
      <c r="X55" s="49" t="s">
        <v>453</v>
      </c>
      <c r="Y55" s="5"/>
      <c r="Z55" s="5"/>
      <c r="AA55" s="5"/>
      <c r="AB55" s="5"/>
      <c r="AC55" s="5"/>
      <c r="AD55" s="7"/>
      <c r="AE55" s="48" t="s">
        <v>204</v>
      </c>
      <c r="AF55" s="7"/>
      <c r="AG55" s="55" t="s">
        <v>51</v>
      </c>
      <c r="AH55" s="5"/>
      <c r="AI55" s="7"/>
      <c r="AJ55" s="48"/>
      <c r="AK55" s="5"/>
      <c r="AL55" s="7"/>
      <c r="AM55" s="56" t="s">
        <v>191</v>
      </c>
      <c r="AN55" s="5"/>
      <c r="AO55" s="7"/>
      <c r="AP55" s="57">
        <v>46172.0</v>
      </c>
      <c r="AQ55" s="5"/>
      <c r="AR55" s="7"/>
      <c r="AS55" s="48"/>
      <c r="AT55" s="5"/>
      <c r="AU55" s="7"/>
      <c r="AV55" s="55" t="s">
        <v>51</v>
      </c>
      <c r="AW55" s="5"/>
      <c r="AX55" s="7"/>
      <c r="AY55" s="48"/>
      <c r="AZ55" s="5"/>
      <c r="BA55" s="7"/>
      <c r="BB55" s="55" t="s">
        <v>195</v>
      </c>
      <c r="BC55" s="5"/>
      <c r="BD55" s="7"/>
      <c r="BE55" s="57">
        <v>46244.0</v>
      </c>
      <c r="BF55" s="5"/>
      <c r="BG55" s="7"/>
      <c r="BH55" s="48"/>
      <c r="BI55" s="5"/>
      <c r="BJ55" s="7"/>
      <c r="BK55" s="49"/>
      <c r="BL55" s="5"/>
      <c r="BM55" s="5"/>
      <c r="BN55" s="5"/>
      <c r="BO55" s="5"/>
      <c r="BP55" s="5"/>
      <c r="BQ55" s="7"/>
    </row>
    <row r="56" ht="192.0" customHeight="1">
      <c r="A56" s="47">
        <v>41.0</v>
      </c>
      <c r="B56" s="49" t="s">
        <v>454</v>
      </c>
      <c r="C56" s="5"/>
      <c r="D56" s="7"/>
      <c r="E56" s="49" t="s">
        <v>455</v>
      </c>
      <c r="F56" s="5"/>
      <c r="G56" s="5"/>
      <c r="H56" s="5"/>
      <c r="I56" s="7"/>
      <c r="J56" s="49" t="s">
        <v>353</v>
      </c>
      <c r="K56" s="5"/>
      <c r="L56" s="5"/>
      <c r="M56" s="5"/>
      <c r="N56" s="5"/>
      <c r="O56" s="5"/>
      <c r="P56" s="7"/>
      <c r="Q56" s="49" t="s">
        <v>456</v>
      </c>
      <c r="R56" s="5"/>
      <c r="S56" s="5"/>
      <c r="T56" s="5"/>
      <c r="U56" s="5"/>
      <c r="V56" s="5"/>
      <c r="W56" s="7"/>
      <c r="X56" s="49" t="s">
        <v>457</v>
      </c>
      <c r="Y56" s="5"/>
      <c r="Z56" s="5"/>
      <c r="AA56" s="5"/>
      <c r="AB56" s="5"/>
      <c r="AC56" s="5"/>
      <c r="AD56" s="7"/>
      <c r="AE56" s="48" t="s">
        <v>189</v>
      </c>
      <c r="AF56" s="7"/>
      <c r="AG56" s="55" t="s">
        <v>51</v>
      </c>
      <c r="AH56" s="5"/>
      <c r="AI56" s="7"/>
      <c r="AJ56" s="48"/>
      <c r="AK56" s="5"/>
      <c r="AL56" s="7"/>
      <c r="AM56" s="56" t="s">
        <v>191</v>
      </c>
      <c r="AN56" s="5"/>
      <c r="AO56" s="7"/>
      <c r="AP56" s="57">
        <v>46172.0</v>
      </c>
      <c r="AQ56" s="5"/>
      <c r="AR56" s="7"/>
      <c r="AS56" s="48"/>
      <c r="AT56" s="5"/>
      <c r="AU56" s="7"/>
      <c r="AV56" s="55" t="s">
        <v>51</v>
      </c>
      <c r="AW56" s="5"/>
      <c r="AX56" s="7"/>
      <c r="AY56" s="48"/>
      <c r="AZ56" s="5"/>
      <c r="BA56" s="7"/>
      <c r="BB56" s="55" t="s">
        <v>195</v>
      </c>
      <c r="BC56" s="5"/>
      <c r="BD56" s="7"/>
      <c r="BE56" s="57">
        <v>46244.0</v>
      </c>
      <c r="BF56" s="5"/>
      <c r="BG56" s="7"/>
      <c r="BH56" s="48"/>
      <c r="BI56" s="5"/>
      <c r="BJ56" s="7"/>
      <c r="BK56" s="49"/>
      <c r="BL56" s="5"/>
      <c r="BM56" s="5"/>
      <c r="BN56" s="5"/>
      <c r="BO56" s="5"/>
      <c r="BP56" s="5"/>
      <c r="BQ56" s="7"/>
    </row>
    <row r="57" ht="432.0" customHeight="1">
      <c r="A57" s="47">
        <v>42.0</v>
      </c>
      <c r="B57" s="49" t="s">
        <v>458</v>
      </c>
      <c r="C57" s="5"/>
      <c r="D57" s="7"/>
      <c r="E57" s="49" t="s">
        <v>459</v>
      </c>
      <c r="F57" s="5"/>
      <c r="G57" s="5"/>
      <c r="H57" s="5"/>
      <c r="I57" s="7"/>
      <c r="J57" s="49" t="s">
        <v>460</v>
      </c>
      <c r="K57" s="5"/>
      <c r="L57" s="5"/>
      <c r="M57" s="5"/>
      <c r="N57" s="5"/>
      <c r="O57" s="5"/>
      <c r="P57" s="7"/>
      <c r="Q57" s="49" t="s">
        <v>461</v>
      </c>
      <c r="R57" s="5"/>
      <c r="S57" s="5"/>
      <c r="T57" s="5"/>
      <c r="U57" s="5"/>
      <c r="V57" s="5"/>
      <c r="W57" s="7"/>
      <c r="X57" s="49" t="s">
        <v>462</v>
      </c>
      <c r="Y57" s="5"/>
      <c r="Z57" s="5"/>
      <c r="AA57" s="5"/>
      <c r="AB57" s="5"/>
      <c r="AC57" s="5"/>
      <c r="AD57" s="7"/>
      <c r="AE57" s="48" t="s">
        <v>204</v>
      </c>
      <c r="AF57" s="7"/>
      <c r="AG57" s="55" t="s">
        <v>51</v>
      </c>
      <c r="AH57" s="5"/>
      <c r="AI57" s="7"/>
      <c r="AJ57" s="48"/>
      <c r="AK57" s="5"/>
      <c r="AL57" s="7"/>
      <c r="AM57" s="56" t="s">
        <v>191</v>
      </c>
      <c r="AN57" s="5"/>
      <c r="AO57" s="7"/>
      <c r="AP57" s="57">
        <v>46172.0</v>
      </c>
      <c r="AQ57" s="5"/>
      <c r="AR57" s="7"/>
      <c r="AS57" s="48"/>
      <c r="AT57" s="5"/>
      <c r="AU57" s="7"/>
      <c r="AV57" s="55" t="s">
        <v>51</v>
      </c>
      <c r="AW57" s="5"/>
      <c r="AX57" s="7"/>
      <c r="AY57" s="48"/>
      <c r="AZ57" s="5"/>
      <c r="BA57" s="7"/>
      <c r="BB57" s="55" t="s">
        <v>195</v>
      </c>
      <c r="BC57" s="5"/>
      <c r="BD57" s="7"/>
      <c r="BE57" s="57">
        <v>46244.0</v>
      </c>
      <c r="BF57" s="5"/>
      <c r="BG57" s="7"/>
      <c r="BH57" s="48"/>
      <c r="BI57" s="5"/>
      <c r="BJ57" s="7"/>
      <c r="BK57" s="49"/>
      <c r="BL57" s="5"/>
      <c r="BM57" s="5"/>
      <c r="BN57" s="5"/>
      <c r="BO57" s="5"/>
      <c r="BP57" s="5"/>
      <c r="BQ57" s="7"/>
    </row>
    <row r="58" ht="271.5" customHeight="1">
      <c r="A58" s="47">
        <v>43.0</v>
      </c>
      <c r="B58" s="49" t="s">
        <v>463</v>
      </c>
      <c r="C58" s="5"/>
      <c r="D58" s="7"/>
      <c r="E58" s="49" t="s">
        <v>464</v>
      </c>
      <c r="F58" s="5"/>
      <c r="G58" s="5"/>
      <c r="H58" s="5"/>
      <c r="I58" s="7"/>
      <c r="J58" s="49" t="s">
        <v>465</v>
      </c>
      <c r="K58" s="5"/>
      <c r="L58" s="5"/>
      <c r="M58" s="5"/>
      <c r="N58" s="5"/>
      <c r="O58" s="5"/>
      <c r="P58" s="7"/>
      <c r="Q58" s="49" t="s">
        <v>466</v>
      </c>
      <c r="R58" s="5"/>
      <c r="S58" s="5"/>
      <c r="T58" s="5"/>
      <c r="U58" s="5"/>
      <c r="V58" s="5"/>
      <c r="W58" s="7"/>
      <c r="X58" s="49" t="s">
        <v>467</v>
      </c>
      <c r="Y58" s="5"/>
      <c r="Z58" s="5"/>
      <c r="AA58" s="5"/>
      <c r="AB58" s="5"/>
      <c r="AC58" s="5"/>
      <c r="AD58" s="7"/>
      <c r="AE58" s="48" t="s">
        <v>189</v>
      </c>
      <c r="AF58" s="7"/>
      <c r="AG58" s="55" t="s">
        <v>51</v>
      </c>
      <c r="AH58" s="5"/>
      <c r="AI58" s="7"/>
      <c r="AJ58" s="48"/>
      <c r="AK58" s="5"/>
      <c r="AL58" s="7"/>
      <c r="AM58" s="56" t="s">
        <v>191</v>
      </c>
      <c r="AN58" s="5"/>
      <c r="AO58" s="7"/>
      <c r="AP58" s="57">
        <v>46172.0</v>
      </c>
      <c r="AQ58" s="5"/>
      <c r="AR58" s="7"/>
      <c r="AS58" s="48"/>
      <c r="AT58" s="5"/>
      <c r="AU58" s="7"/>
      <c r="AV58" s="55" t="s">
        <v>51</v>
      </c>
      <c r="AW58" s="5"/>
      <c r="AX58" s="7"/>
      <c r="AY58" s="48"/>
      <c r="AZ58" s="5"/>
      <c r="BA58" s="7"/>
      <c r="BB58" s="55" t="s">
        <v>195</v>
      </c>
      <c r="BC58" s="5"/>
      <c r="BD58" s="7"/>
      <c r="BE58" s="57">
        <v>46244.0</v>
      </c>
      <c r="BF58" s="5"/>
      <c r="BG58" s="7"/>
      <c r="BH58" s="48"/>
      <c r="BI58" s="5"/>
      <c r="BJ58" s="7"/>
      <c r="BK58" s="49"/>
      <c r="BL58" s="5"/>
      <c r="BM58" s="5"/>
      <c r="BN58" s="5"/>
      <c r="BO58" s="5"/>
      <c r="BP58" s="5"/>
      <c r="BQ58" s="7"/>
    </row>
    <row r="59" ht="255.75" customHeight="1">
      <c r="A59" s="47">
        <v>44.0</v>
      </c>
      <c r="B59" s="49" t="s">
        <v>468</v>
      </c>
      <c r="C59" s="5"/>
      <c r="D59" s="7"/>
      <c r="E59" s="49" t="s">
        <v>469</v>
      </c>
      <c r="F59" s="5"/>
      <c r="G59" s="5"/>
      <c r="H59" s="5"/>
      <c r="I59" s="7"/>
      <c r="J59" s="49" t="s">
        <v>470</v>
      </c>
      <c r="K59" s="5"/>
      <c r="L59" s="5"/>
      <c r="M59" s="5"/>
      <c r="N59" s="5"/>
      <c r="O59" s="5"/>
      <c r="P59" s="7"/>
      <c r="Q59" s="49" t="s">
        <v>471</v>
      </c>
      <c r="R59" s="5"/>
      <c r="S59" s="5"/>
      <c r="T59" s="5"/>
      <c r="U59" s="5"/>
      <c r="V59" s="5"/>
      <c r="W59" s="7"/>
      <c r="X59" s="49" t="s">
        <v>472</v>
      </c>
      <c r="Y59" s="5"/>
      <c r="Z59" s="5"/>
      <c r="AA59" s="5"/>
      <c r="AB59" s="5"/>
      <c r="AC59" s="5"/>
      <c r="AD59" s="7"/>
      <c r="AE59" s="48" t="s">
        <v>189</v>
      </c>
      <c r="AF59" s="7"/>
      <c r="AG59" s="55" t="s">
        <v>51</v>
      </c>
      <c r="AH59" s="5"/>
      <c r="AI59" s="7"/>
      <c r="AJ59" s="48"/>
      <c r="AK59" s="5"/>
      <c r="AL59" s="7"/>
      <c r="AM59" s="56" t="s">
        <v>191</v>
      </c>
      <c r="AN59" s="5"/>
      <c r="AO59" s="7"/>
      <c r="AP59" s="57">
        <v>46172.0</v>
      </c>
      <c r="AQ59" s="5"/>
      <c r="AR59" s="7"/>
      <c r="AS59" s="48"/>
      <c r="AT59" s="5"/>
      <c r="AU59" s="7"/>
      <c r="AV59" s="55" t="s">
        <v>51</v>
      </c>
      <c r="AW59" s="5"/>
      <c r="AX59" s="7"/>
      <c r="AY59" s="48"/>
      <c r="AZ59" s="5"/>
      <c r="BA59" s="7"/>
      <c r="BB59" s="55" t="s">
        <v>195</v>
      </c>
      <c r="BC59" s="5"/>
      <c r="BD59" s="7"/>
      <c r="BE59" s="57">
        <v>46244.0</v>
      </c>
      <c r="BF59" s="5"/>
      <c r="BG59" s="7"/>
      <c r="BH59" s="48"/>
      <c r="BI59" s="5"/>
      <c r="BJ59" s="7"/>
      <c r="BK59" s="49"/>
      <c r="BL59" s="5"/>
      <c r="BM59" s="5"/>
      <c r="BN59" s="5"/>
      <c r="BO59" s="5"/>
      <c r="BP59" s="5"/>
      <c r="BQ59" s="7"/>
    </row>
    <row r="60" ht="288.0" customHeight="1">
      <c r="A60" s="47">
        <v>45.0</v>
      </c>
      <c r="B60" s="49" t="s">
        <v>473</v>
      </c>
      <c r="C60" s="5"/>
      <c r="D60" s="7"/>
      <c r="E60" s="49" t="s">
        <v>474</v>
      </c>
      <c r="F60" s="5"/>
      <c r="G60" s="5"/>
      <c r="H60" s="5"/>
      <c r="I60" s="7"/>
      <c r="J60" s="49" t="s">
        <v>475</v>
      </c>
      <c r="K60" s="5"/>
      <c r="L60" s="5"/>
      <c r="M60" s="5"/>
      <c r="N60" s="5"/>
      <c r="O60" s="5"/>
      <c r="P60" s="7"/>
      <c r="Q60" s="54" t="s">
        <v>476</v>
      </c>
      <c r="R60" s="5"/>
      <c r="S60" s="5"/>
      <c r="T60" s="5"/>
      <c r="U60" s="5"/>
      <c r="V60" s="5"/>
      <c r="W60" s="7"/>
      <c r="X60" s="54" t="s">
        <v>477</v>
      </c>
      <c r="Y60" s="5"/>
      <c r="Z60" s="5"/>
      <c r="AA60" s="5"/>
      <c r="AB60" s="5"/>
      <c r="AC60" s="5"/>
      <c r="AD60" s="7"/>
      <c r="AE60" s="48" t="s">
        <v>189</v>
      </c>
      <c r="AF60" s="7"/>
      <c r="AG60" s="55" t="s">
        <v>51</v>
      </c>
      <c r="AH60" s="5"/>
      <c r="AI60" s="7"/>
      <c r="AJ60" s="48"/>
      <c r="AK60" s="5"/>
      <c r="AL60" s="7"/>
      <c r="AM60" s="56" t="s">
        <v>191</v>
      </c>
      <c r="AN60" s="5"/>
      <c r="AO60" s="7"/>
      <c r="AP60" s="57">
        <v>46172.0</v>
      </c>
      <c r="AQ60" s="5"/>
      <c r="AR60" s="7"/>
      <c r="AS60" s="48"/>
      <c r="AT60" s="5"/>
      <c r="AU60" s="7"/>
      <c r="AV60" s="55" t="s">
        <v>51</v>
      </c>
      <c r="AW60" s="5"/>
      <c r="AX60" s="7"/>
      <c r="AY60" s="48"/>
      <c r="AZ60" s="5"/>
      <c r="BA60" s="7"/>
      <c r="BB60" s="55" t="s">
        <v>195</v>
      </c>
      <c r="BC60" s="5"/>
      <c r="BD60" s="7"/>
      <c r="BE60" s="57">
        <v>46244.0</v>
      </c>
      <c r="BF60" s="5"/>
      <c r="BG60" s="7"/>
      <c r="BH60" s="48"/>
      <c r="BI60" s="5"/>
      <c r="BJ60" s="7"/>
      <c r="BK60" s="49"/>
      <c r="BL60" s="5"/>
      <c r="BM60" s="5"/>
      <c r="BN60" s="5"/>
      <c r="BO60" s="5"/>
      <c r="BP60" s="5"/>
      <c r="BQ60" s="7"/>
    </row>
    <row r="61" ht="223.5" customHeight="1">
      <c r="A61" s="47">
        <v>46.0</v>
      </c>
      <c r="B61" s="49" t="s">
        <v>478</v>
      </c>
      <c r="C61" s="5"/>
      <c r="D61" s="7"/>
      <c r="E61" s="49" t="s">
        <v>479</v>
      </c>
      <c r="F61" s="5"/>
      <c r="G61" s="5"/>
      <c r="H61" s="5"/>
      <c r="I61" s="7"/>
      <c r="J61" s="49" t="s">
        <v>480</v>
      </c>
      <c r="K61" s="5"/>
      <c r="L61" s="5"/>
      <c r="M61" s="5"/>
      <c r="N61" s="5"/>
      <c r="O61" s="5"/>
      <c r="P61" s="7"/>
      <c r="Q61" s="49" t="s">
        <v>481</v>
      </c>
      <c r="R61" s="5"/>
      <c r="S61" s="5"/>
      <c r="T61" s="5"/>
      <c r="U61" s="5"/>
      <c r="V61" s="5"/>
      <c r="W61" s="7"/>
      <c r="X61" s="49" t="s">
        <v>482</v>
      </c>
      <c r="Y61" s="5"/>
      <c r="Z61" s="5"/>
      <c r="AA61" s="5"/>
      <c r="AB61" s="5"/>
      <c r="AC61" s="5"/>
      <c r="AD61" s="7"/>
      <c r="AE61" s="48" t="s">
        <v>189</v>
      </c>
      <c r="AF61" s="7"/>
      <c r="AG61" s="55" t="s">
        <v>51</v>
      </c>
      <c r="AH61" s="5"/>
      <c r="AI61" s="7"/>
      <c r="AJ61" s="48"/>
      <c r="AK61" s="5"/>
      <c r="AL61" s="7"/>
      <c r="AM61" s="56" t="s">
        <v>191</v>
      </c>
      <c r="AN61" s="5"/>
      <c r="AO61" s="7"/>
      <c r="AP61" s="57">
        <v>46172.0</v>
      </c>
      <c r="AQ61" s="5"/>
      <c r="AR61" s="7"/>
      <c r="AS61" s="48"/>
      <c r="AT61" s="5"/>
      <c r="AU61" s="7"/>
      <c r="AV61" s="55" t="s">
        <v>51</v>
      </c>
      <c r="AW61" s="5"/>
      <c r="AX61" s="7"/>
      <c r="AY61" s="48"/>
      <c r="AZ61" s="5"/>
      <c r="BA61" s="7"/>
      <c r="BB61" s="55" t="s">
        <v>195</v>
      </c>
      <c r="BC61" s="5"/>
      <c r="BD61" s="7"/>
      <c r="BE61" s="57">
        <v>46244.0</v>
      </c>
      <c r="BF61" s="5"/>
      <c r="BG61" s="7"/>
      <c r="BH61" s="48"/>
      <c r="BI61" s="5"/>
      <c r="BJ61" s="7"/>
      <c r="BK61" s="49"/>
      <c r="BL61" s="5"/>
      <c r="BM61" s="5"/>
      <c r="BN61" s="5"/>
      <c r="BO61" s="5"/>
      <c r="BP61" s="5"/>
      <c r="BQ61" s="7"/>
    </row>
    <row r="62" ht="207.75" customHeight="1">
      <c r="A62" s="47">
        <v>47.0</v>
      </c>
      <c r="B62" s="49" t="s">
        <v>483</v>
      </c>
      <c r="C62" s="5"/>
      <c r="D62" s="7"/>
      <c r="E62" s="49" t="s">
        <v>484</v>
      </c>
      <c r="F62" s="5"/>
      <c r="G62" s="5"/>
      <c r="H62" s="5"/>
      <c r="I62" s="7"/>
      <c r="J62" s="49" t="s">
        <v>366</v>
      </c>
      <c r="K62" s="5"/>
      <c r="L62" s="5"/>
      <c r="M62" s="5"/>
      <c r="N62" s="5"/>
      <c r="O62" s="5"/>
      <c r="P62" s="7"/>
      <c r="Q62" s="49" t="s">
        <v>485</v>
      </c>
      <c r="R62" s="5"/>
      <c r="S62" s="5"/>
      <c r="T62" s="5"/>
      <c r="U62" s="5"/>
      <c r="V62" s="5"/>
      <c r="W62" s="7"/>
      <c r="X62" s="49" t="s">
        <v>486</v>
      </c>
      <c r="Y62" s="5"/>
      <c r="Z62" s="5"/>
      <c r="AA62" s="5"/>
      <c r="AB62" s="5"/>
      <c r="AC62" s="5"/>
      <c r="AD62" s="7"/>
      <c r="AE62" s="48" t="s">
        <v>189</v>
      </c>
      <c r="AF62" s="7"/>
      <c r="AG62" s="55" t="s">
        <v>51</v>
      </c>
      <c r="AH62" s="5"/>
      <c r="AI62" s="7"/>
      <c r="AJ62" s="48"/>
      <c r="AK62" s="5"/>
      <c r="AL62" s="7"/>
      <c r="AM62" s="56" t="s">
        <v>191</v>
      </c>
      <c r="AN62" s="5"/>
      <c r="AO62" s="7"/>
      <c r="AP62" s="57">
        <v>46172.0</v>
      </c>
      <c r="AQ62" s="5"/>
      <c r="AR62" s="7"/>
      <c r="AS62" s="48"/>
      <c r="AT62" s="5"/>
      <c r="AU62" s="7"/>
      <c r="AV62" s="55" t="s">
        <v>51</v>
      </c>
      <c r="AW62" s="5"/>
      <c r="AX62" s="7"/>
      <c r="AY62" s="48"/>
      <c r="AZ62" s="5"/>
      <c r="BA62" s="7"/>
      <c r="BB62" s="55" t="s">
        <v>195</v>
      </c>
      <c r="BC62" s="5"/>
      <c r="BD62" s="7"/>
      <c r="BE62" s="57">
        <v>46244.0</v>
      </c>
      <c r="BF62" s="5"/>
      <c r="BG62" s="7"/>
      <c r="BH62" s="48"/>
      <c r="BI62" s="5"/>
      <c r="BJ62" s="7"/>
      <c r="BK62" s="49" t="s">
        <v>248</v>
      </c>
      <c r="BL62" s="5"/>
      <c r="BM62" s="5"/>
      <c r="BN62" s="5"/>
      <c r="BO62" s="5"/>
      <c r="BP62" s="5"/>
      <c r="BQ62" s="7"/>
    </row>
    <row r="63" ht="22.5" customHeight="1">
      <c r="A63" s="9" t="s">
        <v>487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7"/>
    </row>
    <row r="64" ht="450.0" customHeight="1">
      <c r="A64" s="47">
        <v>48.0</v>
      </c>
      <c r="B64" s="49" t="s">
        <v>488</v>
      </c>
      <c r="C64" s="5"/>
      <c r="D64" s="7"/>
      <c r="E64" s="49" t="s">
        <v>489</v>
      </c>
      <c r="F64" s="5"/>
      <c r="G64" s="5"/>
      <c r="H64" s="5"/>
      <c r="I64" s="7"/>
      <c r="J64" s="49" t="s">
        <v>490</v>
      </c>
      <c r="K64" s="5"/>
      <c r="L64" s="5"/>
      <c r="M64" s="5"/>
      <c r="N64" s="5"/>
      <c r="O64" s="5"/>
      <c r="P64" s="7"/>
      <c r="Q64" s="54" t="s">
        <v>491</v>
      </c>
      <c r="R64" s="5"/>
      <c r="S64" s="5"/>
      <c r="T64" s="5"/>
      <c r="U64" s="5"/>
      <c r="V64" s="5"/>
      <c r="W64" s="7"/>
      <c r="X64" s="54" t="s">
        <v>492</v>
      </c>
      <c r="Y64" s="5"/>
      <c r="Z64" s="5"/>
      <c r="AA64" s="5"/>
      <c r="AB64" s="5"/>
      <c r="AC64" s="5"/>
      <c r="AD64" s="7"/>
      <c r="AE64" s="48" t="s">
        <v>189</v>
      </c>
      <c r="AF64" s="7"/>
      <c r="AG64" s="55" t="s">
        <v>51</v>
      </c>
      <c r="AH64" s="5"/>
      <c r="AI64" s="7"/>
      <c r="AJ64" s="48"/>
      <c r="AK64" s="5"/>
      <c r="AL64" s="7"/>
      <c r="AM64" s="56" t="s">
        <v>191</v>
      </c>
      <c r="AN64" s="5"/>
      <c r="AO64" s="7"/>
      <c r="AP64" s="57">
        <v>46172.0</v>
      </c>
      <c r="AQ64" s="5"/>
      <c r="AR64" s="7"/>
      <c r="AS64" s="48"/>
      <c r="AT64" s="5"/>
      <c r="AU64" s="7"/>
      <c r="AV64" s="55" t="s">
        <v>51</v>
      </c>
      <c r="AW64" s="5"/>
      <c r="AX64" s="7"/>
      <c r="AY64" s="48"/>
      <c r="AZ64" s="5"/>
      <c r="BA64" s="7"/>
      <c r="BB64" s="55" t="s">
        <v>195</v>
      </c>
      <c r="BC64" s="5"/>
      <c r="BD64" s="7"/>
      <c r="BE64" s="57">
        <v>46244.0</v>
      </c>
      <c r="BF64" s="5"/>
      <c r="BG64" s="7"/>
      <c r="BH64" s="48"/>
      <c r="BI64" s="5"/>
      <c r="BJ64" s="7"/>
      <c r="BK64" s="49"/>
      <c r="BL64" s="5"/>
      <c r="BM64" s="5"/>
      <c r="BN64" s="5"/>
      <c r="BO64" s="5"/>
      <c r="BP64" s="5"/>
      <c r="BQ64" s="7"/>
    </row>
    <row r="65" ht="336.0" customHeight="1">
      <c r="A65" s="47">
        <v>49.0</v>
      </c>
      <c r="B65" s="49" t="s">
        <v>493</v>
      </c>
      <c r="C65" s="5"/>
      <c r="D65" s="7"/>
      <c r="E65" s="49" t="s">
        <v>494</v>
      </c>
      <c r="F65" s="5"/>
      <c r="G65" s="5"/>
      <c r="H65" s="5"/>
      <c r="I65" s="7"/>
      <c r="J65" s="49" t="s">
        <v>495</v>
      </c>
      <c r="K65" s="5"/>
      <c r="L65" s="5"/>
      <c r="M65" s="5"/>
      <c r="N65" s="5"/>
      <c r="O65" s="5"/>
      <c r="P65" s="7"/>
      <c r="Q65" s="49" t="s">
        <v>496</v>
      </c>
      <c r="R65" s="5"/>
      <c r="S65" s="5"/>
      <c r="T65" s="5"/>
      <c r="U65" s="5"/>
      <c r="V65" s="5"/>
      <c r="W65" s="7"/>
      <c r="X65" s="49" t="s">
        <v>497</v>
      </c>
      <c r="Y65" s="5"/>
      <c r="Z65" s="5"/>
      <c r="AA65" s="5"/>
      <c r="AB65" s="5"/>
      <c r="AC65" s="5"/>
      <c r="AD65" s="7"/>
      <c r="AE65" s="48" t="s">
        <v>204</v>
      </c>
      <c r="AF65" s="7"/>
      <c r="AG65" s="55" t="s">
        <v>51</v>
      </c>
      <c r="AH65" s="5"/>
      <c r="AI65" s="7"/>
      <c r="AJ65" s="48"/>
      <c r="AK65" s="5"/>
      <c r="AL65" s="7"/>
      <c r="AM65" s="56" t="s">
        <v>191</v>
      </c>
      <c r="AN65" s="5"/>
      <c r="AO65" s="7"/>
      <c r="AP65" s="57">
        <v>46172.0</v>
      </c>
      <c r="AQ65" s="5"/>
      <c r="AR65" s="7"/>
      <c r="AS65" s="48"/>
      <c r="AT65" s="5"/>
      <c r="AU65" s="7"/>
      <c r="AV65" s="55" t="s">
        <v>51</v>
      </c>
      <c r="AW65" s="5"/>
      <c r="AX65" s="7"/>
      <c r="AY65" s="48"/>
      <c r="AZ65" s="5"/>
      <c r="BA65" s="7"/>
      <c r="BB65" s="55" t="s">
        <v>195</v>
      </c>
      <c r="BC65" s="5"/>
      <c r="BD65" s="7"/>
      <c r="BE65" s="57">
        <v>46244.0</v>
      </c>
      <c r="BF65" s="5"/>
      <c r="BG65" s="7"/>
      <c r="BH65" s="48"/>
      <c r="BI65" s="5"/>
      <c r="BJ65" s="7"/>
      <c r="BK65" s="49"/>
      <c r="BL65" s="5"/>
      <c r="BM65" s="5"/>
      <c r="BN65" s="5"/>
      <c r="BO65" s="5"/>
      <c r="BP65" s="5"/>
      <c r="BQ65" s="7"/>
    </row>
    <row r="66" ht="336.0" customHeight="1">
      <c r="A66" s="47">
        <v>50.0</v>
      </c>
      <c r="B66" s="49" t="s">
        <v>498</v>
      </c>
      <c r="C66" s="5"/>
      <c r="D66" s="7"/>
      <c r="E66" s="49" t="s">
        <v>499</v>
      </c>
      <c r="F66" s="5"/>
      <c r="G66" s="5"/>
      <c r="H66" s="5"/>
      <c r="I66" s="7"/>
      <c r="J66" s="49" t="s">
        <v>500</v>
      </c>
      <c r="K66" s="5"/>
      <c r="L66" s="5"/>
      <c r="M66" s="5"/>
      <c r="N66" s="5"/>
      <c r="O66" s="5"/>
      <c r="P66" s="7"/>
      <c r="Q66" s="49" t="s">
        <v>501</v>
      </c>
      <c r="R66" s="5"/>
      <c r="S66" s="5"/>
      <c r="T66" s="5"/>
      <c r="U66" s="5"/>
      <c r="V66" s="5"/>
      <c r="W66" s="7"/>
      <c r="X66" s="49" t="s">
        <v>502</v>
      </c>
      <c r="Y66" s="5"/>
      <c r="Z66" s="5"/>
      <c r="AA66" s="5"/>
      <c r="AB66" s="5"/>
      <c r="AC66" s="5"/>
      <c r="AD66" s="7"/>
      <c r="AE66" s="48" t="s">
        <v>189</v>
      </c>
      <c r="AF66" s="7"/>
      <c r="AG66" s="55" t="s">
        <v>51</v>
      </c>
      <c r="AH66" s="5"/>
      <c r="AI66" s="7"/>
      <c r="AJ66" s="48"/>
      <c r="AK66" s="5"/>
      <c r="AL66" s="7"/>
      <c r="AM66" s="56" t="s">
        <v>191</v>
      </c>
      <c r="AN66" s="5"/>
      <c r="AO66" s="7"/>
      <c r="AP66" s="57">
        <v>46172.0</v>
      </c>
      <c r="AQ66" s="5"/>
      <c r="AR66" s="7"/>
      <c r="AS66" s="48"/>
      <c r="AT66" s="5"/>
      <c r="AU66" s="7"/>
      <c r="AV66" s="55" t="s">
        <v>51</v>
      </c>
      <c r="AW66" s="5"/>
      <c r="AX66" s="7"/>
      <c r="AY66" s="48"/>
      <c r="AZ66" s="5"/>
      <c r="BA66" s="7"/>
      <c r="BB66" s="55" t="s">
        <v>195</v>
      </c>
      <c r="BC66" s="5"/>
      <c r="BD66" s="7"/>
      <c r="BE66" s="57">
        <v>46244.0</v>
      </c>
      <c r="BF66" s="5"/>
      <c r="BG66" s="7"/>
      <c r="BH66" s="48"/>
      <c r="BI66" s="5"/>
      <c r="BJ66" s="7"/>
      <c r="BK66" s="49" t="s">
        <v>503</v>
      </c>
      <c r="BL66" s="5"/>
      <c r="BM66" s="5"/>
      <c r="BN66" s="5"/>
      <c r="BO66" s="5"/>
      <c r="BP66" s="5"/>
      <c r="BQ66" s="7"/>
    </row>
    <row r="67" ht="336.0" customHeight="1">
      <c r="A67" s="47">
        <v>51.0</v>
      </c>
      <c r="B67" s="49" t="s">
        <v>504</v>
      </c>
      <c r="C67" s="5"/>
      <c r="D67" s="7"/>
      <c r="E67" s="49" t="s">
        <v>505</v>
      </c>
      <c r="F67" s="5"/>
      <c r="G67" s="5"/>
      <c r="H67" s="5"/>
      <c r="I67" s="7"/>
      <c r="J67" s="49" t="s">
        <v>506</v>
      </c>
      <c r="K67" s="5"/>
      <c r="L67" s="5"/>
      <c r="M67" s="5"/>
      <c r="N67" s="5"/>
      <c r="O67" s="5"/>
      <c r="P67" s="7"/>
      <c r="Q67" s="49" t="s">
        <v>507</v>
      </c>
      <c r="R67" s="5"/>
      <c r="S67" s="5"/>
      <c r="T67" s="5"/>
      <c r="U67" s="5"/>
      <c r="V67" s="5"/>
      <c r="W67" s="7"/>
      <c r="X67" s="49" t="s">
        <v>508</v>
      </c>
      <c r="Y67" s="5"/>
      <c r="Z67" s="5"/>
      <c r="AA67" s="5"/>
      <c r="AB67" s="5"/>
      <c r="AC67" s="5"/>
      <c r="AD67" s="7"/>
      <c r="AE67" s="48" t="s">
        <v>189</v>
      </c>
      <c r="AF67" s="7"/>
      <c r="AG67" s="55" t="s">
        <v>51</v>
      </c>
      <c r="AH67" s="5"/>
      <c r="AI67" s="7"/>
      <c r="AJ67" s="48"/>
      <c r="AK67" s="5"/>
      <c r="AL67" s="7"/>
      <c r="AM67" s="56" t="s">
        <v>191</v>
      </c>
      <c r="AN67" s="5"/>
      <c r="AO67" s="7"/>
      <c r="AP67" s="57">
        <v>46172.0</v>
      </c>
      <c r="AQ67" s="5"/>
      <c r="AR67" s="7"/>
      <c r="AS67" s="48"/>
      <c r="AT67" s="5"/>
      <c r="AU67" s="7"/>
      <c r="AV67" s="55" t="s">
        <v>51</v>
      </c>
      <c r="AW67" s="5"/>
      <c r="AX67" s="7"/>
      <c r="AY67" s="48"/>
      <c r="AZ67" s="5"/>
      <c r="BA67" s="7"/>
      <c r="BB67" s="55" t="s">
        <v>195</v>
      </c>
      <c r="BC67" s="5"/>
      <c r="BD67" s="7"/>
      <c r="BE67" s="57">
        <v>46244.0</v>
      </c>
      <c r="BF67" s="5"/>
      <c r="BG67" s="7"/>
      <c r="BH67" s="48"/>
      <c r="BI67" s="5"/>
      <c r="BJ67" s="7"/>
      <c r="BK67" s="49" t="s">
        <v>509</v>
      </c>
      <c r="BL67" s="5"/>
      <c r="BM67" s="5"/>
      <c r="BN67" s="5"/>
      <c r="BO67" s="5"/>
      <c r="BP67" s="5"/>
      <c r="BQ67" s="7"/>
    </row>
    <row r="68" ht="288.0" customHeight="1">
      <c r="A68" s="47">
        <v>52.0</v>
      </c>
      <c r="B68" s="49" t="s">
        <v>510</v>
      </c>
      <c r="C68" s="5"/>
      <c r="D68" s="7"/>
      <c r="E68" s="49" t="s">
        <v>511</v>
      </c>
      <c r="F68" s="5"/>
      <c r="G68" s="5"/>
      <c r="H68" s="5"/>
      <c r="I68" s="7"/>
      <c r="J68" s="49" t="s">
        <v>447</v>
      </c>
      <c r="K68" s="5"/>
      <c r="L68" s="5"/>
      <c r="M68" s="5"/>
      <c r="N68" s="5"/>
      <c r="O68" s="5"/>
      <c r="P68" s="7"/>
      <c r="Q68" s="54" t="s">
        <v>512</v>
      </c>
      <c r="R68" s="5"/>
      <c r="S68" s="5"/>
      <c r="T68" s="5"/>
      <c r="U68" s="5"/>
      <c r="V68" s="5"/>
      <c r="W68" s="7"/>
      <c r="X68" s="49" t="s">
        <v>513</v>
      </c>
      <c r="Y68" s="5"/>
      <c r="Z68" s="5"/>
      <c r="AA68" s="5"/>
      <c r="AB68" s="5"/>
      <c r="AC68" s="5"/>
      <c r="AD68" s="7"/>
      <c r="AE68" s="48" t="s">
        <v>204</v>
      </c>
      <c r="AF68" s="7"/>
      <c r="AG68" s="55" t="s">
        <v>51</v>
      </c>
      <c r="AH68" s="5"/>
      <c r="AI68" s="7"/>
      <c r="AJ68" s="48"/>
      <c r="AK68" s="5"/>
      <c r="AL68" s="7"/>
      <c r="AM68" s="56" t="s">
        <v>191</v>
      </c>
      <c r="AN68" s="5"/>
      <c r="AO68" s="7"/>
      <c r="AP68" s="57">
        <v>46172.0</v>
      </c>
      <c r="AQ68" s="5"/>
      <c r="AR68" s="7"/>
      <c r="AS68" s="48"/>
      <c r="AT68" s="5"/>
      <c r="AU68" s="7"/>
      <c r="AV68" s="55" t="s">
        <v>51</v>
      </c>
      <c r="AW68" s="5"/>
      <c r="AX68" s="7"/>
      <c r="AY68" s="48"/>
      <c r="AZ68" s="5"/>
      <c r="BA68" s="7"/>
      <c r="BB68" s="55" t="s">
        <v>195</v>
      </c>
      <c r="BC68" s="5"/>
      <c r="BD68" s="7"/>
      <c r="BE68" s="57">
        <v>46244.0</v>
      </c>
      <c r="BF68" s="5"/>
      <c r="BG68" s="7"/>
      <c r="BH68" s="48"/>
      <c r="BI68" s="5"/>
      <c r="BJ68" s="7"/>
      <c r="BK68" s="49"/>
      <c r="BL68" s="5"/>
      <c r="BM68" s="5"/>
      <c r="BN68" s="5"/>
      <c r="BO68" s="5"/>
      <c r="BP68" s="5"/>
      <c r="BQ68" s="7"/>
    </row>
    <row r="69" ht="336.0" customHeight="1">
      <c r="A69" s="47">
        <v>53.0</v>
      </c>
      <c r="B69" s="49" t="s">
        <v>514</v>
      </c>
      <c r="C69" s="5"/>
      <c r="D69" s="7"/>
      <c r="E69" s="49" t="s">
        <v>515</v>
      </c>
      <c r="F69" s="5"/>
      <c r="G69" s="5"/>
      <c r="H69" s="5"/>
      <c r="I69" s="7"/>
      <c r="J69" s="49" t="s">
        <v>447</v>
      </c>
      <c r="K69" s="5"/>
      <c r="L69" s="5"/>
      <c r="M69" s="5"/>
      <c r="N69" s="5"/>
      <c r="O69" s="5"/>
      <c r="P69" s="7"/>
      <c r="Q69" s="49" t="s">
        <v>516</v>
      </c>
      <c r="R69" s="5"/>
      <c r="S69" s="5"/>
      <c r="T69" s="5"/>
      <c r="U69" s="5"/>
      <c r="V69" s="5"/>
      <c r="W69" s="7"/>
      <c r="X69" s="49" t="s">
        <v>517</v>
      </c>
      <c r="Y69" s="5"/>
      <c r="Z69" s="5"/>
      <c r="AA69" s="5"/>
      <c r="AB69" s="5"/>
      <c r="AC69" s="5"/>
      <c r="AD69" s="7"/>
      <c r="AE69" s="48" t="s">
        <v>189</v>
      </c>
      <c r="AF69" s="7"/>
      <c r="AG69" s="55" t="s">
        <v>51</v>
      </c>
      <c r="AH69" s="5"/>
      <c r="AI69" s="7"/>
      <c r="AJ69" s="48"/>
      <c r="AK69" s="5"/>
      <c r="AL69" s="7"/>
      <c r="AM69" s="56" t="s">
        <v>191</v>
      </c>
      <c r="AN69" s="5"/>
      <c r="AO69" s="7"/>
      <c r="AP69" s="57">
        <v>46172.0</v>
      </c>
      <c r="AQ69" s="5"/>
      <c r="AR69" s="7"/>
      <c r="AS69" s="48"/>
      <c r="AT69" s="5"/>
      <c r="AU69" s="7"/>
      <c r="AV69" s="55" t="s">
        <v>51</v>
      </c>
      <c r="AW69" s="5"/>
      <c r="AX69" s="7"/>
      <c r="AY69" s="48"/>
      <c r="AZ69" s="5"/>
      <c r="BA69" s="7"/>
      <c r="BB69" s="55" t="s">
        <v>195</v>
      </c>
      <c r="BC69" s="5"/>
      <c r="BD69" s="7"/>
      <c r="BE69" s="57">
        <v>46244.0</v>
      </c>
      <c r="BF69" s="5"/>
      <c r="BG69" s="7"/>
      <c r="BH69" s="48"/>
      <c r="BI69" s="5"/>
      <c r="BJ69" s="7"/>
      <c r="BK69" s="49"/>
      <c r="BL69" s="5"/>
      <c r="BM69" s="5"/>
      <c r="BN69" s="5"/>
      <c r="BO69" s="5"/>
      <c r="BP69" s="5"/>
      <c r="BQ69" s="7"/>
    </row>
    <row r="70" ht="351.75" customHeight="1">
      <c r="A70" s="47">
        <v>54.0</v>
      </c>
      <c r="B70" s="49" t="s">
        <v>518</v>
      </c>
      <c r="C70" s="5"/>
      <c r="D70" s="7"/>
      <c r="E70" s="49" t="s">
        <v>519</v>
      </c>
      <c r="F70" s="5"/>
      <c r="G70" s="5"/>
      <c r="H70" s="5"/>
      <c r="I70" s="7"/>
      <c r="J70" s="49" t="s">
        <v>520</v>
      </c>
      <c r="K70" s="5"/>
      <c r="L70" s="5"/>
      <c r="M70" s="5"/>
      <c r="N70" s="5"/>
      <c r="O70" s="5"/>
      <c r="P70" s="7"/>
      <c r="Q70" s="54" t="s">
        <v>521</v>
      </c>
      <c r="R70" s="5"/>
      <c r="S70" s="5"/>
      <c r="T70" s="5"/>
      <c r="U70" s="5"/>
      <c r="V70" s="5"/>
      <c r="W70" s="7"/>
      <c r="X70" s="49" t="s">
        <v>522</v>
      </c>
      <c r="Y70" s="5"/>
      <c r="Z70" s="5"/>
      <c r="AA70" s="5"/>
      <c r="AB70" s="5"/>
      <c r="AC70" s="5"/>
      <c r="AD70" s="7"/>
      <c r="AE70" s="48" t="s">
        <v>189</v>
      </c>
      <c r="AF70" s="7"/>
      <c r="AG70" s="55" t="s">
        <v>51</v>
      </c>
      <c r="AH70" s="5"/>
      <c r="AI70" s="7"/>
      <c r="AJ70" s="48"/>
      <c r="AK70" s="5"/>
      <c r="AL70" s="7"/>
      <c r="AM70" s="56" t="s">
        <v>191</v>
      </c>
      <c r="AN70" s="5"/>
      <c r="AO70" s="7"/>
      <c r="AP70" s="57">
        <v>46172.0</v>
      </c>
      <c r="AQ70" s="5"/>
      <c r="AR70" s="7"/>
      <c r="AS70" s="48"/>
      <c r="AT70" s="5"/>
      <c r="AU70" s="7"/>
      <c r="AV70" s="55" t="s">
        <v>51</v>
      </c>
      <c r="AW70" s="5"/>
      <c r="AX70" s="7"/>
      <c r="AY70" s="48"/>
      <c r="AZ70" s="5"/>
      <c r="BA70" s="7"/>
      <c r="BB70" s="55" t="s">
        <v>195</v>
      </c>
      <c r="BC70" s="5"/>
      <c r="BD70" s="7"/>
      <c r="BE70" s="57">
        <v>46244.0</v>
      </c>
      <c r="BF70" s="5"/>
      <c r="BG70" s="7"/>
      <c r="BH70" s="48"/>
      <c r="BI70" s="5"/>
      <c r="BJ70" s="7"/>
      <c r="BK70" s="49"/>
      <c r="BL70" s="5"/>
      <c r="BM70" s="5"/>
      <c r="BN70" s="5"/>
      <c r="BO70" s="5"/>
      <c r="BP70" s="5"/>
      <c r="BQ70" s="7"/>
    </row>
    <row r="71" ht="271.5" customHeight="1">
      <c r="A71" s="47">
        <v>55.0</v>
      </c>
      <c r="B71" s="49" t="s">
        <v>523</v>
      </c>
      <c r="C71" s="5"/>
      <c r="D71" s="7"/>
      <c r="E71" s="49" t="s">
        <v>524</v>
      </c>
      <c r="F71" s="5"/>
      <c r="G71" s="5"/>
      <c r="H71" s="5"/>
      <c r="I71" s="7"/>
      <c r="J71" s="49" t="s">
        <v>525</v>
      </c>
      <c r="K71" s="5"/>
      <c r="L71" s="5"/>
      <c r="M71" s="5"/>
      <c r="N71" s="5"/>
      <c r="O71" s="5"/>
      <c r="P71" s="7"/>
      <c r="Q71" s="54" t="s">
        <v>526</v>
      </c>
      <c r="R71" s="5"/>
      <c r="S71" s="5"/>
      <c r="T71" s="5"/>
      <c r="U71" s="5"/>
      <c r="V71" s="5"/>
      <c r="W71" s="7"/>
      <c r="X71" s="54" t="s">
        <v>527</v>
      </c>
      <c r="Y71" s="5"/>
      <c r="Z71" s="5"/>
      <c r="AA71" s="5"/>
      <c r="AB71" s="5"/>
      <c r="AC71" s="5"/>
      <c r="AD71" s="7"/>
      <c r="AE71" s="48" t="s">
        <v>189</v>
      </c>
      <c r="AF71" s="7"/>
      <c r="AG71" s="55" t="s">
        <v>51</v>
      </c>
      <c r="AH71" s="5"/>
      <c r="AI71" s="7"/>
      <c r="AJ71" s="48"/>
      <c r="AK71" s="5"/>
      <c r="AL71" s="7"/>
      <c r="AM71" s="56" t="s">
        <v>191</v>
      </c>
      <c r="AN71" s="5"/>
      <c r="AO71" s="7"/>
      <c r="AP71" s="57">
        <v>46172.0</v>
      </c>
      <c r="AQ71" s="5"/>
      <c r="AR71" s="7"/>
      <c r="AS71" s="48"/>
      <c r="AT71" s="5"/>
      <c r="AU71" s="7"/>
      <c r="AV71" s="55" t="s">
        <v>51</v>
      </c>
      <c r="AW71" s="5"/>
      <c r="AX71" s="7"/>
      <c r="AY71" s="48"/>
      <c r="AZ71" s="5"/>
      <c r="BA71" s="7"/>
      <c r="BB71" s="55" t="s">
        <v>195</v>
      </c>
      <c r="BC71" s="5"/>
      <c r="BD71" s="7"/>
      <c r="BE71" s="57">
        <v>46244.0</v>
      </c>
      <c r="BF71" s="5"/>
      <c r="BG71" s="7"/>
      <c r="BH71" s="48"/>
      <c r="BI71" s="5"/>
      <c r="BJ71" s="7"/>
      <c r="BK71" s="49" t="s">
        <v>248</v>
      </c>
      <c r="BL71" s="5"/>
      <c r="BM71" s="5"/>
      <c r="BN71" s="5"/>
      <c r="BO71" s="5"/>
      <c r="BP71" s="5"/>
      <c r="BQ71" s="7"/>
    </row>
    <row r="72" ht="22.5" customHeight="1">
      <c r="A72" s="9" t="s">
        <v>528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7"/>
    </row>
    <row r="73" ht="319.5" customHeight="1">
      <c r="A73" s="47">
        <v>56.0</v>
      </c>
      <c r="B73" s="49" t="s">
        <v>529</v>
      </c>
      <c r="C73" s="5"/>
      <c r="D73" s="7"/>
      <c r="E73" s="49" t="s">
        <v>530</v>
      </c>
      <c r="F73" s="5"/>
      <c r="G73" s="5"/>
      <c r="H73" s="5"/>
      <c r="I73" s="7"/>
      <c r="J73" s="49" t="s">
        <v>531</v>
      </c>
      <c r="K73" s="5"/>
      <c r="L73" s="5"/>
      <c r="M73" s="5"/>
      <c r="N73" s="5"/>
      <c r="O73" s="5"/>
      <c r="P73" s="7"/>
      <c r="Q73" s="49" t="s">
        <v>532</v>
      </c>
      <c r="R73" s="5"/>
      <c r="S73" s="5"/>
      <c r="T73" s="5"/>
      <c r="U73" s="5"/>
      <c r="V73" s="5"/>
      <c r="W73" s="7"/>
      <c r="X73" s="49" t="s">
        <v>533</v>
      </c>
      <c r="Y73" s="5"/>
      <c r="Z73" s="5"/>
      <c r="AA73" s="5"/>
      <c r="AB73" s="5"/>
      <c r="AC73" s="5"/>
      <c r="AD73" s="7"/>
      <c r="AE73" s="48" t="s">
        <v>189</v>
      </c>
      <c r="AF73" s="7"/>
      <c r="AG73" s="55" t="s">
        <v>51</v>
      </c>
      <c r="AH73" s="5"/>
      <c r="AI73" s="7"/>
      <c r="AJ73" s="48"/>
      <c r="AK73" s="5"/>
      <c r="AL73" s="7"/>
      <c r="AM73" s="56" t="s">
        <v>191</v>
      </c>
      <c r="AN73" s="5"/>
      <c r="AO73" s="7"/>
      <c r="AP73" s="57">
        <v>46172.0</v>
      </c>
      <c r="AQ73" s="5"/>
      <c r="AR73" s="7"/>
      <c r="AS73" s="48"/>
      <c r="AT73" s="5"/>
      <c r="AU73" s="7"/>
      <c r="AV73" s="55" t="s">
        <v>51</v>
      </c>
      <c r="AW73" s="5"/>
      <c r="AX73" s="7"/>
      <c r="AY73" s="48"/>
      <c r="AZ73" s="5"/>
      <c r="BA73" s="7"/>
      <c r="BB73" s="55" t="s">
        <v>195</v>
      </c>
      <c r="BC73" s="5"/>
      <c r="BD73" s="7"/>
      <c r="BE73" s="57">
        <v>46244.0</v>
      </c>
      <c r="BF73" s="5"/>
      <c r="BG73" s="7"/>
      <c r="BH73" s="48"/>
      <c r="BI73" s="5"/>
      <c r="BJ73" s="7"/>
      <c r="BK73" s="49"/>
      <c r="BL73" s="5"/>
      <c r="BM73" s="5"/>
      <c r="BN73" s="5"/>
      <c r="BO73" s="5"/>
      <c r="BP73" s="5"/>
      <c r="BQ73" s="7"/>
    </row>
    <row r="74" ht="450.0" customHeight="1">
      <c r="A74" s="47">
        <v>57.0</v>
      </c>
      <c r="B74" s="49" t="s">
        <v>534</v>
      </c>
      <c r="C74" s="5"/>
      <c r="D74" s="7"/>
      <c r="E74" s="49" t="s">
        <v>535</v>
      </c>
      <c r="F74" s="5"/>
      <c r="G74" s="5"/>
      <c r="H74" s="5"/>
      <c r="I74" s="7"/>
      <c r="J74" s="49" t="s">
        <v>536</v>
      </c>
      <c r="K74" s="5"/>
      <c r="L74" s="5"/>
      <c r="M74" s="5"/>
      <c r="N74" s="5"/>
      <c r="O74" s="5"/>
      <c r="P74" s="7"/>
      <c r="Q74" s="54" t="s">
        <v>537</v>
      </c>
      <c r="R74" s="5"/>
      <c r="S74" s="5"/>
      <c r="T74" s="5"/>
      <c r="U74" s="5"/>
      <c r="V74" s="5"/>
      <c r="W74" s="7"/>
      <c r="X74" s="49" t="s">
        <v>538</v>
      </c>
      <c r="Y74" s="5"/>
      <c r="Z74" s="5"/>
      <c r="AA74" s="5"/>
      <c r="AB74" s="5"/>
      <c r="AC74" s="5"/>
      <c r="AD74" s="7"/>
      <c r="AE74" s="48" t="s">
        <v>204</v>
      </c>
      <c r="AF74" s="7"/>
      <c r="AG74" s="55" t="s">
        <v>51</v>
      </c>
      <c r="AH74" s="5"/>
      <c r="AI74" s="7"/>
      <c r="AJ74" s="48"/>
      <c r="AK74" s="5"/>
      <c r="AL74" s="7"/>
      <c r="AM74" s="56" t="s">
        <v>191</v>
      </c>
      <c r="AN74" s="5"/>
      <c r="AO74" s="7"/>
      <c r="AP74" s="57">
        <v>46172.0</v>
      </c>
      <c r="AQ74" s="5"/>
      <c r="AR74" s="7"/>
      <c r="AS74" s="48"/>
      <c r="AT74" s="5"/>
      <c r="AU74" s="7"/>
      <c r="AV74" s="55" t="s">
        <v>51</v>
      </c>
      <c r="AW74" s="5"/>
      <c r="AX74" s="7"/>
      <c r="AY74" s="48"/>
      <c r="AZ74" s="5"/>
      <c r="BA74" s="7"/>
      <c r="BB74" s="55" t="s">
        <v>195</v>
      </c>
      <c r="BC74" s="5"/>
      <c r="BD74" s="7"/>
      <c r="BE74" s="57">
        <v>46244.0</v>
      </c>
      <c r="BF74" s="5"/>
      <c r="BG74" s="7"/>
      <c r="BH74" s="48"/>
      <c r="BI74" s="5"/>
      <c r="BJ74" s="7"/>
      <c r="BK74" s="49"/>
      <c r="BL74" s="5"/>
      <c r="BM74" s="5"/>
      <c r="BN74" s="5"/>
      <c r="BO74" s="5"/>
      <c r="BP74" s="5"/>
      <c r="BQ74" s="7"/>
    </row>
    <row r="75" ht="336.0" customHeight="1">
      <c r="A75" s="47">
        <v>58.0</v>
      </c>
      <c r="B75" s="49" t="s">
        <v>539</v>
      </c>
      <c r="C75" s="5"/>
      <c r="D75" s="7"/>
      <c r="E75" s="49" t="s">
        <v>540</v>
      </c>
      <c r="F75" s="5"/>
      <c r="G75" s="5"/>
      <c r="H75" s="5"/>
      <c r="I75" s="7"/>
      <c r="J75" s="49" t="s">
        <v>541</v>
      </c>
      <c r="K75" s="5"/>
      <c r="L75" s="5"/>
      <c r="M75" s="5"/>
      <c r="N75" s="5"/>
      <c r="O75" s="5"/>
      <c r="P75" s="7"/>
      <c r="Q75" s="49" t="s">
        <v>542</v>
      </c>
      <c r="R75" s="5"/>
      <c r="S75" s="5"/>
      <c r="T75" s="5"/>
      <c r="U75" s="5"/>
      <c r="V75" s="5"/>
      <c r="W75" s="7"/>
      <c r="X75" s="54" t="s">
        <v>543</v>
      </c>
      <c r="Y75" s="5"/>
      <c r="Z75" s="5"/>
      <c r="AA75" s="5"/>
      <c r="AB75" s="5"/>
      <c r="AC75" s="5"/>
      <c r="AD75" s="7"/>
      <c r="AE75" s="48" t="s">
        <v>204</v>
      </c>
      <c r="AF75" s="7"/>
      <c r="AG75" s="55" t="s">
        <v>51</v>
      </c>
      <c r="AH75" s="5"/>
      <c r="AI75" s="7"/>
      <c r="AJ75" s="48"/>
      <c r="AK75" s="5"/>
      <c r="AL75" s="7"/>
      <c r="AM75" s="56" t="s">
        <v>191</v>
      </c>
      <c r="AN75" s="5"/>
      <c r="AO75" s="7"/>
      <c r="AP75" s="57">
        <v>46172.0</v>
      </c>
      <c r="AQ75" s="5"/>
      <c r="AR75" s="7"/>
      <c r="AS75" s="48"/>
      <c r="AT75" s="5"/>
      <c r="AU75" s="7"/>
      <c r="AV75" s="55" t="s">
        <v>51</v>
      </c>
      <c r="AW75" s="5"/>
      <c r="AX75" s="7"/>
      <c r="AY75" s="48"/>
      <c r="AZ75" s="5"/>
      <c r="BA75" s="7"/>
      <c r="BB75" s="55" t="s">
        <v>195</v>
      </c>
      <c r="BC75" s="5"/>
      <c r="BD75" s="7"/>
      <c r="BE75" s="57">
        <v>46244.0</v>
      </c>
      <c r="BF75" s="5"/>
      <c r="BG75" s="7"/>
      <c r="BH75" s="48"/>
      <c r="BI75" s="5"/>
      <c r="BJ75" s="7"/>
      <c r="BK75" s="49"/>
      <c r="BL75" s="5"/>
      <c r="BM75" s="5"/>
      <c r="BN75" s="5"/>
      <c r="BO75" s="5"/>
      <c r="BP75" s="5"/>
      <c r="BQ75" s="7"/>
    </row>
    <row r="76" ht="447.75" customHeight="1">
      <c r="A76" s="47">
        <v>59.0</v>
      </c>
      <c r="B76" s="49" t="s">
        <v>544</v>
      </c>
      <c r="C76" s="5"/>
      <c r="D76" s="7"/>
      <c r="E76" s="49" t="s">
        <v>545</v>
      </c>
      <c r="F76" s="5"/>
      <c r="G76" s="5"/>
      <c r="H76" s="5"/>
      <c r="I76" s="7"/>
      <c r="J76" s="49" t="s">
        <v>546</v>
      </c>
      <c r="K76" s="5"/>
      <c r="L76" s="5"/>
      <c r="M76" s="5"/>
      <c r="N76" s="5"/>
      <c r="O76" s="5"/>
      <c r="P76" s="7"/>
      <c r="Q76" s="54" t="s">
        <v>547</v>
      </c>
      <c r="R76" s="5"/>
      <c r="S76" s="5"/>
      <c r="T76" s="5"/>
      <c r="U76" s="5"/>
      <c r="V76" s="5"/>
      <c r="W76" s="7"/>
      <c r="X76" s="54" t="s">
        <v>548</v>
      </c>
      <c r="Y76" s="5"/>
      <c r="Z76" s="5"/>
      <c r="AA76" s="5"/>
      <c r="AB76" s="5"/>
      <c r="AC76" s="5"/>
      <c r="AD76" s="7"/>
      <c r="AE76" s="48" t="s">
        <v>189</v>
      </c>
      <c r="AF76" s="7"/>
      <c r="AG76" s="55" t="s">
        <v>51</v>
      </c>
      <c r="AH76" s="5"/>
      <c r="AI76" s="7"/>
      <c r="AJ76" s="48"/>
      <c r="AK76" s="5"/>
      <c r="AL76" s="7"/>
      <c r="AM76" s="56" t="s">
        <v>191</v>
      </c>
      <c r="AN76" s="5"/>
      <c r="AO76" s="7"/>
      <c r="AP76" s="57">
        <v>46172.0</v>
      </c>
      <c r="AQ76" s="5"/>
      <c r="AR76" s="7"/>
      <c r="AS76" s="48"/>
      <c r="AT76" s="5"/>
      <c r="AU76" s="7"/>
      <c r="AV76" s="55" t="s">
        <v>51</v>
      </c>
      <c r="AW76" s="5"/>
      <c r="AX76" s="7"/>
      <c r="AY76" s="48"/>
      <c r="AZ76" s="5"/>
      <c r="BA76" s="7"/>
      <c r="BB76" s="55" t="s">
        <v>195</v>
      </c>
      <c r="BC76" s="5"/>
      <c r="BD76" s="7"/>
      <c r="BE76" s="57">
        <v>46244.0</v>
      </c>
      <c r="BF76" s="5"/>
      <c r="BG76" s="7"/>
      <c r="BH76" s="48"/>
      <c r="BI76" s="5"/>
      <c r="BJ76" s="7"/>
      <c r="BK76" s="49"/>
      <c r="BL76" s="5"/>
      <c r="BM76" s="5"/>
      <c r="BN76" s="5"/>
      <c r="BO76" s="5"/>
      <c r="BP76" s="5"/>
      <c r="BQ76" s="7"/>
    </row>
    <row r="77" ht="399.75" customHeight="1">
      <c r="A77" s="47">
        <v>60.0</v>
      </c>
      <c r="B77" s="49" t="s">
        <v>549</v>
      </c>
      <c r="C77" s="5"/>
      <c r="D77" s="7"/>
      <c r="E77" s="49" t="s">
        <v>550</v>
      </c>
      <c r="F77" s="5"/>
      <c r="G77" s="5"/>
      <c r="H77" s="5"/>
      <c r="I77" s="7"/>
      <c r="J77" s="49" t="s">
        <v>551</v>
      </c>
      <c r="K77" s="5"/>
      <c r="L77" s="5"/>
      <c r="M77" s="5"/>
      <c r="N77" s="5"/>
      <c r="O77" s="5"/>
      <c r="P77" s="7"/>
      <c r="Q77" s="49" t="s">
        <v>552</v>
      </c>
      <c r="R77" s="5"/>
      <c r="S77" s="5"/>
      <c r="T77" s="5"/>
      <c r="U77" s="5"/>
      <c r="V77" s="5"/>
      <c r="W77" s="7"/>
      <c r="X77" s="54" t="s">
        <v>553</v>
      </c>
      <c r="Y77" s="5"/>
      <c r="Z77" s="5"/>
      <c r="AA77" s="5"/>
      <c r="AB77" s="5"/>
      <c r="AC77" s="5"/>
      <c r="AD77" s="7"/>
      <c r="AE77" s="48" t="s">
        <v>204</v>
      </c>
      <c r="AF77" s="7"/>
      <c r="AG77" s="55" t="s">
        <v>51</v>
      </c>
      <c r="AH77" s="5"/>
      <c r="AI77" s="7"/>
      <c r="AJ77" s="48"/>
      <c r="AK77" s="5"/>
      <c r="AL77" s="7"/>
      <c r="AM77" s="56" t="s">
        <v>191</v>
      </c>
      <c r="AN77" s="5"/>
      <c r="AO77" s="7"/>
      <c r="AP77" s="57">
        <v>46172.0</v>
      </c>
      <c r="AQ77" s="5"/>
      <c r="AR77" s="7"/>
      <c r="AS77" s="48"/>
      <c r="AT77" s="5"/>
      <c r="AU77" s="7"/>
      <c r="AV77" s="55" t="s">
        <v>51</v>
      </c>
      <c r="AW77" s="5"/>
      <c r="AX77" s="7"/>
      <c r="AY77" s="48"/>
      <c r="AZ77" s="5"/>
      <c r="BA77" s="7"/>
      <c r="BB77" s="55" t="s">
        <v>195</v>
      </c>
      <c r="BC77" s="5"/>
      <c r="BD77" s="7"/>
      <c r="BE77" s="57">
        <v>46244.0</v>
      </c>
      <c r="BF77" s="5"/>
      <c r="BG77" s="7"/>
      <c r="BH77" s="48"/>
      <c r="BI77" s="5"/>
      <c r="BJ77" s="7"/>
      <c r="BK77" s="49" t="s">
        <v>554</v>
      </c>
      <c r="BL77" s="5"/>
      <c r="BM77" s="5"/>
      <c r="BN77" s="5"/>
      <c r="BO77" s="5"/>
      <c r="BP77" s="5"/>
      <c r="BQ77" s="7"/>
    </row>
    <row r="78" ht="303.75" customHeight="1">
      <c r="A78" s="47">
        <v>61.0</v>
      </c>
      <c r="B78" s="49" t="s">
        <v>555</v>
      </c>
      <c r="C78" s="5"/>
      <c r="D78" s="7"/>
      <c r="E78" s="49" t="s">
        <v>556</v>
      </c>
      <c r="F78" s="5"/>
      <c r="G78" s="5"/>
      <c r="H78" s="5"/>
      <c r="I78" s="7"/>
      <c r="J78" s="49" t="s">
        <v>557</v>
      </c>
      <c r="K78" s="5"/>
      <c r="L78" s="5"/>
      <c r="M78" s="5"/>
      <c r="N78" s="5"/>
      <c r="O78" s="5"/>
      <c r="P78" s="7"/>
      <c r="Q78" s="49" t="s">
        <v>558</v>
      </c>
      <c r="R78" s="5"/>
      <c r="S78" s="5"/>
      <c r="T78" s="5"/>
      <c r="U78" s="5"/>
      <c r="V78" s="5"/>
      <c r="W78" s="7"/>
      <c r="X78" s="49" t="s">
        <v>559</v>
      </c>
      <c r="Y78" s="5"/>
      <c r="Z78" s="5"/>
      <c r="AA78" s="5"/>
      <c r="AB78" s="5"/>
      <c r="AC78" s="5"/>
      <c r="AD78" s="7"/>
      <c r="AE78" s="48" t="s">
        <v>189</v>
      </c>
      <c r="AF78" s="7"/>
      <c r="AG78" s="55" t="s">
        <v>51</v>
      </c>
      <c r="AH78" s="5"/>
      <c r="AI78" s="7"/>
      <c r="AJ78" s="48"/>
      <c r="AK78" s="5"/>
      <c r="AL78" s="7"/>
      <c r="AM78" s="56" t="s">
        <v>191</v>
      </c>
      <c r="AN78" s="5"/>
      <c r="AO78" s="7"/>
      <c r="AP78" s="57">
        <v>46172.0</v>
      </c>
      <c r="AQ78" s="5"/>
      <c r="AR78" s="7"/>
      <c r="AS78" s="48"/>
      <c r="AT78" s="5"/>
      <c r="AU78" s="7"/>
      <c r="AV78" s="55" t="s">
        <v>51</v>
      </c>
      <c r="AW78" s="5"/>
      <c r="AX78" s="7"/>
      <c r="AY78" s="48"/>
      <c r="AZ78" s="5"/>
      <c r="BA78" s="7"/>
      <c r="BB78" s="55" t="s">
        <v>195</v>
      </c>
      <c r="BC78" s="5"/>
      <c r="BD78" s="7"/>
      <c r="BE78" s="57">
        <v>46244.0</v>
      </c>
      <c r="BF78" s="5"/>
      <c r="BG78" s="7"/>
      <c r="BH78" s="48"/>
      <c r="BI78" s="5"/>
      <c r="BJ78" s="7"/>
      <c r="BK78" s="49"/>
      <c r="BL78" s="5"/>
      <c r="BM78" s="5"/>
      <c r="BN78" s="5"/>
      <c r="BO78" s="5"/>
      <c r="BP78" s="5"/>
      <c r="BQ78" s="7"/>
    </row>
    <row r="79" ht="415.5" customHeight="1">
      <c r="A79" s="47">
        <v>62.0</v>
      </c>
      <c r="B79" s="49" t="s">
        <v>560</v>
      </c>
      <c r="C79" s="5"/>
      <c r="D79" s="7"/>
      <c r="E79" s="49" t="s">
        <v>561</v>
      </c>
      <c r="F79" s="5"/>
      <c r="G79" s="5"/>
      <c r="H79" s="5"/>
      <c r="I79" s="7"/>
      <c r="J79" s="49" t="s">
        <v>562</v>
      </c>
      <c r="K79" s="5"/>
      <c r="L79" s="5"/>
      <c r="M79" s="5"/>
      <c r="N79" s="5"/>
      <c r="O79" s="5"/>
      <c r="P79" s="7"/>
      <c r="Q79" s="54" t="s">
        <v>563</v>
      </c>
      <c r="R79" s="5"/>
      <c r="S79" s="5"/>
      <c r="T79" s="5"/>
      <c r="U79" s="5"/>
      <c r="V79" s="5"/>
      <c r="W79" s="7"/>
      <c r="X79" s="49" t="s">
        <v>564</v>
      </c>
      <c r="Y79" s="5"/>
      <c r="Z79" s="5"/>
      <c r="AA79" s="5"/>
      <c r="AB79" s="5"/>
      <c r="AC79" s="5"/>
      <c r="AD79" s="7"/>
      <c r="AE79" s="48" t="s">
        <v>189</v>
      </c>
      <c r="AF79" s="7"/>
      <c r="AG79" s="55" t="s">
        <v>51</v>
      </c>
      <c r="AH79" s="5"/>
      <c r="AI79" s="7"/>
      <c r="AJ79" s="48"/>
      <c r="AK79" s="5"/>
      <c r="AL79" s="7"/>
      <c r="AM79" s="56" t="s">
        <v>191</v>
      </c>
      <c r="AN79" s="5"/>
      <c r="AO79" s="7"/>
      <c r="AP79" s="57">
        <v>46172.0</v>
      </c>
      <c r="AQ79" s="5"/>
      <c r="AR79" s="7"/>
      <c r="AS79" s="48"/>
      <c r="AT79" s="5"/>
      <c r="AU79" s="7"/>
      <c r="AV79" s="55" t="s">
        <v>51</v>
      </c>
      <c r="AW79" s="5"/>
      <c r="AX79" s="7"/>
      <c r="AY79" s="48"/>
      <c r="AZ79" s="5"/>
      <c r="BA79" s="7"/>
      <c r="BB79" s="55" t="s">
        <v>195</v>
      </c>
      <c r="BC79" s="5"/>
      <c r="BD79" s="7"/>
      <c r="BE79" s="57">
        <v>46244.0</v>
      </c>
      <c r="BF79" s="5"/>
      <c r="BG79" s="7"/>
      <c r="BH79" s="48"/>
      <c r="BI79" s="5"/>
      <c r="BJ79" s="7"/>
      <c r="BK79" s="49"/>
      <c r="BL79" s="5"/>
      <c r="BM79" s="5"/>
      <c r="BN79" s="5"/>
      <c r="BO79" s="5"/>
      <c r="BP79" s="5"/>
      <c r="BQ79" s="7"/>
    </row>
    <row r="80" ht="319.5" customHeight="1">
      <c r="A80" s="47">
        <v>63.0</v>
      </c>
      <c r="B80" s="49" t="s">
        <v>565</v>
      </c>
      <c r="C80" s="5"/>
      <c r="D80" s="7"/>
      <c r="E80" s="49" t="s">
        <v>566</v>
      </c>
      <c r="F80" s="5"/>
      <c r="G80" s="5"/>
      <c r="H80" s="5"/>
      <c r="I80" s="7"/>
      <c r="J80" s="49" t="s">
        <v>567</v>
      </c>
      <c r="K80" s="5"/>
      <c r="L80" s="5"/>
      <c r="M80" s="5"/>
      <c r="N80" s="5"/>
      <c r="O80" s="5"/>
      <c r="P80" s="7"/>
      <c r="Q80" s="49" t="s">
        <v>568</v>
      </c>
      <c r="R80" s="5"/>
      <c r="S80" s="5"/>
      <c r="T80" s="5"/>
      <c r="U80" s="5"/>
      <c r="V80" s="5"/>
      <c r="W80" s="7"/>
      <c r="X80" s="49" t="s">
        <v>569</v>
      </c>
      <c r="Y80" s="5"/>
      <c r="Z80" s="5"/>
      <c r="AA80" s="5"/>
      <c r="AB80" s="5"/>
      <c r="AC80" s="5"/>
      <c r="AD80" s="7"/>
      <c r="AE80" s="48" t="s">
        <v>204</v>
      </c>
      <c r="AF80" s="7"/>
      <c r="AG80" s="55" t="s">
        <v>51</v>
      </c>
      <c r="AH80" s="5"/>
      <c r="AI80" s="7"/>
      <c r="AJ80" s="48"/>
      <c r="AK80" s="5"/>
      <c r="AL80" s="7"/>
      <c r="AM80" s="56" t="s">
        <v>191</v>
      </c>
      <c r="AN80" s="5"/>
      <c r="AO80" s="7"/>
      <c r="AP80" s="57">
        <v>46172.0</v>
      </c>
      <c r="AQ80" s="5"/>
      <c r="AR80" s="7"/>
      <c r="AS80" s="48"/>
      <c r="AT80" s="5"/>
      <c r="AU80" s="7"/>
      <c r="AV80" s="55" t="s">
        <v>51</v>
      </c>
      <c r="AW80" s="5"/>
      <c r="AX80" s="7"/>
      <c r="AY80" s="48"/>
      <c r="AZ80" s="5"/>
      <c r="BA80" s="7"/>
      <c r="BB80" s="55" t="s">
        <v>195</v>
      </c>
      <c r="BC80" s="5"/>
      <c r="BD80" s="7"/>
      <c r="BE80" s="57">
        <v>46244.0</v>
      </c>
      <c r="BF80" s="5"/>
      <c r="BG80" s="7"/>
      <c r="BH80" s="48"/>
      <c r="BI80" s="5"/>
      <c r="BJ80" s="7"/>
      <c r="BK80" s="49"/>
      <c r="BL80" s="5"/>
      <c r="BM80" s="5"/>
      <c r="BN80" s="5"/>
      <c r="BO80" s="5"/>
      <c r="BP80" s="5"/>
      <c r="BQ80" s="7"/>
    </row>
    <row r="81" ht="255.75" customHeight="1">
      <c r="A81" s="47">
        <v>64.0</v>
      </c>
      <c r="B81" s="49" t="s">
        <v>570</v>
      </c>
      <c r="C81" s="5"/>
      <c r="D81" s="7"/>
      <c r="E81" s="49" t="s">
        <v>571</v>
      </c>
      <c r="F81" s="5"/>
      <c r="G81" s="5"/>
      <c r="H81" s="5"/>
      <c r="I81" s="7"/>
      <c r="J81" s="49" t="s">
        <v>572</v>
      </c>
      <c r="K81" s="5"/>
      <c r="L81" s="5"/>
      <c r="M81" s="5"/>
      <c r="N81" s="5"/>
      <c r="O81" s="5"/>
      <c r="P81" s="7"/>
      <c r="Q81" s="54" t="s">
        <v>573</v>
      </c>
      <c r="R81" s="5"/>
      <c r="S81" s="5"/>
      <c r="T81" s="5"/>
      <c r="U81" s="5"/>
      <c r="V81" s="5"/>
      <c r="W81" s="7"/>
      <c r="X81" s="49" t="s">
        <v>574</v>
      </c>
      <c r="Y81" s="5"/>
      <c r="Z81" s="5"/>
      <c r="AA81" s="5"/>
      <c r="AB81" s="5"/>
      <c r="AC81" s="5"/>
      <c r="AD81" s="7"/>
      <c r="AE81" s="48" t="s">
        <v>204</v>
      </c>
      <c r="AF81" s="7"/>
      <c r="AG81" s="55" t="s">
        <v>51</v>
      </c>
      <c r="AH81" s="5"/>
      <c r="AI81" s="7"/>
      <c r="AJ81" s="48"/>
      <c r="AK81" s="5"/>
      <c r="AL81" s="7"/>
      <c r="AM81" s="56" t="s">
        <v>191</v>
      </c>
      <c r="AN81" s="5"/>
      <c r="AO81" s="7"/>
      <c r="AP81" s="57">
        <v>46172.0</v>
      </c>
      <c r="AQ81" s="5"/>
      <c r="AR81" s="7"/>
      <c r="AS81" s="48"/>
      <c r="AT81" s="5"/>
      <c r="AU81" s="7"/>
      <c r="AV81" s="55" t="s">
        <v>51</v>
      </c>
      <c r="AW81" s="5"/>
      <c r="AX81" s="7"/>
      <c r="AY81" s="48"/>
      <c r="AZ81" s="5"/>
      <c r="BA81" s="7"/>
      <c r="BB81" s="55" t="s">
        <v>195</v>
      </c>
      <c r="BC81" s="5"/>
      <c r="BD81" s="7"/>
      <c r="BE81" s="57">
        <v>46244.0</v>
      </c>
      <c r="BF81" s="5"/>
      <c r="BG81" s="7"/>
      <c r="BH81" s="48"/>
      <c r="BI81" s="5"/>
      <c r="BJ81" s="7"/>
      <c r="BK81" s="49" t="s">
        <v>248</v>
      </c>
      <c r="BL81" s="5"/>
      <c r="BM81" s="5"/>
      <c r="BN81" s="5"/>
      <c r="BO81" s="5"/>
      <c r="BP81" s="5"/>
      <c r="BQ81" s="7"/>
    </row>
    <row r="82" ht="22.5" customHeight="1">
      <c r="A82" s="9" t="s">
        <v>575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7"/>
    </row>
    <row r="83" ht="351.75" customHeight="1">
      <c r="A83" s="47">
        <v>65.0</v>
      </c>
      <c r="B83" s="49" t="s">
        <v>576</v>
      </c>
      <c r="C83" s="5"/>
      <c r="D83" s="7"/>
      <c r="E83" s="49" t="s">
        <v>577</v>
      </c>
      <c r="F83" s="5"/>
      <c r="G83" s="5"/>
      <c r="H83" s="5"/>
      <c r="I83" s="7"/>
      <c r="J83" s="49" t="s">
        <v>578</v>
      </c>
      <c r="K83" s="5"/>
      <c r="L83" s="5"/>
      <c r="M83" s="5"/>
      <c r="N83" s="5"/>
      <c r="O83" s="5"/>
      <c r="P83" s="7"/>
      <c r="Q83" s="54" t="s">
        <v>579</v>
      </c>
      <c r="R83" s="5"/>
      <c r="S83" s="5"/>
      <c r="T83" s="5"/>
      <c r="U83" s="5"/>
      <c r="V83" s="5"/>
      <c r="W83" s="7"/>
      <c r="X83" s="49" t="s">
        <v>580</v>
      </c>
      <c r="Y83" s="5"/>
      <c r="Z83" s="5"/>
      <c r="AA83" s="5"/>
      <c r="AB83" s="5"/>
      <c r="AC83" s="5"/>
      <c r="AD83" s="7"/>
      <c r="AE83" s="48" t="s">
        <v>204</v>
      </c>
      <c r="AF83" s="7"/>
      <c r="AG83" s="55" t="s">
        <v>51</v>
      </c>
      <c r="AH83" s="5"/>
      <c r="AI83" s="7"/>
      <c r="AJ83" s="48"/>
      <c r="AK83" s="5"/>
      <c r="AL83" s="7"/>
      <c r="AM83" s="56" t="s">
        <v>191</v>
      </c>
      <c r="AN83" s="5"/>
      <c r="AO83" s="7"/>
      <c r="AP83" s="57">
        <v>46172.0</v>
      </c>
      <c r="AQ83" s="5"/>
      <c r="AR83" s="7"/>
      <c r="AS83" s="48"/>
      <c r="AT83" s="5"/>
      <c r="AU83" s="7"/>
      <c r="AV83" s="55" t="s">
        <v>51</v>
      </c>
      <c r="AW83" s="5"/>
      <c r="AX83" s="7"/>
      <c r="AY83" s="48"/>
      <c r="AZ83" s="5"/>
      <c r="BA83" s="7"/>
      <c r="BB83" s="55" t="s">
        <v>195</v>
      </c>
      <c r="BC83" s="5"/>
      <c r="BD83" s="7"/>
      <c r="BE83" s="57">
        <v>46244.0</v>
      </c>
      <c r="BF83" s="5"/>
      <c r="BG83" s="7"/>
      <c r="BH83" s="48"/>
      <c r="BI83" s="5"/>
      <c r="BJ83" s="7"/>
      <c r="BK83" s="49"/>
      <c r="BL83" s="5"/>
      <c r="BM83" s="5"/>
      <c r="BN83" s="5"/>
      <c r="BO83" s="5"/>
      <c r="BP83" s="5"/>
      <c r="BQ83" s="7"/>
    </row>
    <row r="84" ht="319.5" customHeight="1">
      <c r="A84" s="47">
        <v>66.0</v>
      </c>
      <c r="B84" s="49" t="s">
        <v>581</v>
      </c>
      <c r="C84" s="5"/>
      <c r="D84" s="7"/>
      <c r="E84" s="49" t="s">
        <v>582</v>
      </c>
      <c r="F84" s="5"/>
      <c r="G84" s="5"/>
      <c r="H84" s="5"/>
      <c r="I84" s="7"/>
      <c r="J84" s="49" t="s">
        <v>583</v>
      </c>
      <c r="K84" s="5"/>
      <c r="L84" s="5"/>
      <c r="M84" s="5"/>
      <c r="N84" s="5"/>
      <c r="O84" s="5"/>
      <c r="P84" s="7"/>
      <c r="Q84" s="54" t="s">
        <v>584</v>
      </c>
      <c r="R84" s="5"/>
      <c r="S84" s="5"/>
      <c r="T84" s="5"/>
      <c r="U84" s="5"/>
      <c r="V84" s="5"/>
      <c r="W84" s="7"/>
      <c r="X84" s="49" t="s">
        <v>585</v>
      </c>
      <c r="Y84" s="5"/>
      <c r="Z84" s="5"/>
      <c r="AA84" s="5"/>
      <c r="AB84" s="5"/>
      <c r="AC84" s="5"/>
      <c r="AD84" s="7"/>
      <c r="AE84" s="48" t="s">
        <v>204</v>
      </c>
      <c r="AF84" s="7"/>
      <c r="AG84" s="55" t="s">
        <v>51</v>
      </c>
      <c r="AH84" s="5"/>
      <c r="AI84" s="7"/>
      <c r="AJ84" s="48"/>
      <c r="AK84" s="5"/>
      <c r="AL84" s="7"/>
      <c r="AM84" s="56" t="s">
        <v>191</v>
      </c>
      <c r="AN84" s="5"/>
      <c r="AO84" s="7"/>
      <c r="AP84" s="57">
        <v>46172.0</v>
      </c>
      <c r="AQ84" s="5"/>
      <c r="AR84" s="7"/>
      <c r="AS84" s="48"/>
      <c r="AT84" s="5"/>
      <c r="AU84" s="7"/>
      <c r="AV84" s="55" t="s">
        <v>51</v>
      </c>
      <c r="AW84" s="5"/>
      <c r="AX84" s="7"/>
      <c r="AY84" s="48"/>
      <c r="AZ84" s="5"/>
      <c r="BA84" s="7"/>
      <c r="BB84" s="55" t="s">
        <v>195</v>
      </c>
      <c r="BC84" s="5"/>
      <c r="BD84" s="7"/>
      <c r="BE84" s="57">
        <v>46244.0</v>
      </c>
      <c r="BF84" s="5"/>
      <c r="BG84" s="7"/>
      <c r="BH84" s="48"/>
      <c r="BI84" s="5"/>
      <c r="BJ84" s="7"/>
      <c r="BK84" s="49"/>
      <c r="BL84" s="5"/>
      <c r="BM84" s="5"/>
      <c r="BN84" s="5"/>
      <c r="BO84" s="5"/>
      <c r="BP84" s="5"/>
      <c r="BQ84" s="7"/>
    </row>
    <row r="85" ht="432.0" customHeight="1">
      <c r="A85" s="47">
        <v>67.0</v>
      </c>
      <c r="B85" s="49" t="s">
        <v>586</v>
      </c>
      <c r="C85" s="5"/>
      <c r="D85" s="7"/>
      <c r="E85" s="49" t="s">
        <v>587</v>
      </c>
      <c r="F85" s="5"/>
      <c r="G85" s="5"/>
      <c r="H85" s="5"/>
      <c r="I85" s="7"/>
      <c r="J85" s="49" t="s">
        <v>583</v>
      </c>
      <c r="K85" s="5"/>
      <c r="L85" s="5"/>
      <c r="M85" s="5"/>
      <c r="N85" s="5"/>
      <c r="O85" s="5"/>
      <c r="P85" s="7"/>
      <c r="Q85" s="54" t="s">
        <v>588</v>
      </c>
      <c r="R85" s="5"/>
      <c r="S85" s="5"/>
      <c r="T85" s="5"/>
      <c r="U85" s="5"/>
      <c r="V85" s="5"/>
      <c r="W85" s="7"/>
      <c r="X85" s="49" t="s">
        <v>589</v>
      </c>
      <c r="Y85" s="5"/>
      <c r="Z85" s="5"/>
      <c r="AA85" s="5"/>
      <c r="AB85" s="5"/>
      <c r="AC85" s="5"/>
      <c r="AD85" s="7"/>
      <c r="AE85" s="48" t="s">
        <v>204</v>
      </c>
      <c r="AF85" s="7"/>
      <c r="AG85" s="55" t="s">
        <v>51</v>
      </c>
      <c r="AH85" s="5"/>
      <c r="AI85" s="7"/>
      <c r="AJ85" s="48"/>
      <c r="AK85" s="5"/>
      <c r="AL85" s="7"/>
      <c r="AM85" s="56" t="s">
        <v>191</v>
      </c>
      <c r="AN85" s="5"/>
      <c r="AO85" s="7"/>
      <c r="AP85" s="57">
        <v>46172.0</v>
      </c>
      <c r="AQ85" s="5"/>
      <c r="AR85" s="7"/>
      <c r="AS85" s="48"/>
      <c r="AT85" s="5"/>
      <c r="AU85" s="7"/>
      <c r="AV85" s="55" t="s">
        <v>51</v>
      </c>
      <c r="AW85" s="5"/>
      <c r="AX85" s="7"/>
      <c r="AY85" s="48"/>
      <c r="AZ85" s="5"/>
      <c r="BA85" s="7"/>
      <c r="BB85" s="55" t="s">
        <v>195</v>
      </c>
      <c r="BC85" s="5"/>
      <c r="BD85" s="7"/>
      <c r="BE85" s="57">
        <v>46244.0</v>
      </c>
      <c r="BF85" s="5"/>
      <c r="BG85" s="7"/>
      <c r="BH85" s="48"/>
      <c r="BI85" s="5"/>
      <c r="BJ85" s="7"/>
      <c r="BK85" s="49"/>
      <c r="BL85" s="5"/>
      <c r="BM85" s="5"/>
      <c r="BN85" s="5"/>
      <c r="BO85" s="5"/>
      <c r="BP85" s="5"/>
      <c r="BQ85" s="7"/>
    </row>
    <row r="86" ht="399.75" customHeight="1">
      <c r="A86" s="47">
        <v>68.0</v>
      </c>
      <c r="B86" s="49" t="s">
        <v>590</v>
      </c>
      <c r="C86" s="5"/>
      <c r="D86" s="7"/>
      <c r="E86" s="49" t="s">
        <v>591</v>
      </c>
      <c r="F86" s="5"/>
      <c r="G86" s="5"/>
      <c r="H86" s="5"/>
      <c r="I86" s="7"/>
      <c r="J86" s="49" t="s">
        <v>592</v>
      </c>
      <c r="K86" s="5"/>
      <c r="L86" s="5"/>
      <c r="M86" s="5"/>
      <c r="N86" s="5"/>
      <c r="O86" s="5"/>
      <c r="P86" s="7"/>
      <c r="Q86" s="49" t="s">
        <v>593</v>
      </c>
      <c r="R86" s="5"/>
      <c r="S86" s="5"/>
      <c r="T86" s="5"/>
      <c r="U86" s="5"/>
      <c r="V86" s="5"/>
      <c r="W86" s="7"/>
      <c r="X86" s="49" t="s">
        <v>594</v>
      </c>
      <c r="Y86" s="5"/>
      <c r="Z86" s="5"/>
      <c r="AA86" s="5"/>
      <c r="AB86" s="5"/>
      <c r="AC86" s="5"/>
      <c r="AD86" s="7"/>
      <c r="AE86" s="48" t="s">
        <v>204</v>
      </c>
      <c r="AF86" s="7"/>
      <c r="AG86" s="55" t="s">
        <v>51</v>
      </c>
      <c r="AH86" s="5"/>
      <c r="AI86" s="7"/>
      <c r="AJ86" s="48"/>
      <c r="AK86" s="5"/>
      <c r="AL86" s="7"/>
      <c r="AM86" s="56" t="s">
        <v>191</v>
      </c>
      <c r="AN86" s="5"/>
      <c r="AO86" s="7"/>
      <c r="AP86" s="57">
        <v>46172.0</v>
      </c>
      <c r="AQ86" s="5"/>
      <c r="AR86" s="7"/>
      <c r="AS86" s="48"/>
      <c r="AT86" s="5"/>
      <c r="AU86" s="7"/>
      <c r="AV86" s="55" t="s">
        <v>51</v>
      </c>
      <c r="AW86" s="5"/>
      <c r="AX86" s="7"/>
      <c r="AY86" s="48"/>
      <c r="AZ86" s="5"/>
      <c r="BA86" s="7"/>
      <c r="BB86" s="55" t="s">
        <v>195</v>
      </c>
      <c r="BC86" s="5"/>
      <c r="BD86" s="7"/>
      <c r="BE86" s="57">
        <v>46244.0</v>
      </c>
      <c r="BF86" s="5"/>
      <c r="BG86" s="7"/>
      <c r="BH86" s="48"/>
      <c r="BI86" s="5"/>
      <c r="BJ86" s="7"/>
      <c r="BK86" s="49"/>
      <c r="BL86" s="5"/>
      <c r="BM86" s="5"/>
      <c r="BN86" s="5"/>
      <c r="BO86" s="5"/>
      <c r="BP86" s="5"/>
      <c r="BQ86" s="7"/>
    </row>
    <row r="87" ht="450.0" customHeight="1">
      <c r="A87" s="47">
        <v>69.0</v>
      </c>
      <c r="B87" s="49" t="s">
        <v>595</v>
      </c>
      <c r="C87" s="5"/>
      <c r="D87" s="7"/>
      <c r="E87" s="49" t="s">
        <v>596</v>
      </c>
      <c r="F87" s="5"/>
      <c r="G87" s="5"/>
      <c r="H87" s="5"/>
      <c r="I87" s="7"/>
      <c r="J87" s="49" t="s">
        <v>597</v>
      </c>
      <c r="K87" s="5"/>
      <c r="L87" s="5"/>
      <c r="M87" s="5"/>
      <c r="N87" s="5"/>
      <c r="O87" s="5"/>
      <c r="P87" s="7"/>
      <c r="Q87" s="49" t="s">
        <v>598</v>
      </c>
      <c r="R87" s="5"/>
      <c r="S87" s="5"/>
      <c r="T87" s="5"/>
      <c r="U87" s="5"/>
      <c r="V87" s="5"/>
      <c r="W87" s="7"/>
      <c r="X87" s="49" t="s">
        <v>599</v>
      </c>
      <c r="Y87" s="5"/>
      <c r="Z87" s="5"/>
      <c r="AA87" s="5"/>
      <c r="AB87" s="5"/>
      <c r="AC87" s="5"/>
      <c r="AD87" s="7"/>
      <c r="AE87" s="48" t="s">
        <v>204</v>
      </c>
      <c r="AF87" s="7"/>
      <c r="AG87" s="55" t="s">
        <v>51</v>
      </c>
      <c r="AH87" s="5"/>
      <c r="AI87" s="7"/>
      <c r="AJ87" s="48"/>
      <c r="AK87" s="5"/>
      <c r="AL87" s="7"/>
      <c r="AM87" s="56" t="s">
        <v>191</v>
      </c>
      <c r="AN87" s="5"/>
      <c r="AO87" s="7"/>
      <c r="AP87" s="57">
        <v>46172.0</v>
      </c>
      <c r="AQ87" s="5"/>
      <c r="AR87" s="7"/>
      <c r="AS87" s="48"/>
      <c r="AT87" s="5"/>
      <c r="AU87" s="7"/>
      <c r="AV87" s="55" t="s">
        <v>51</v>
      </c>
      <c r="AW87" s="5"/>
      <c r="AX87" s="7"/>
      <c r="AY87" s="48"/>
      <c r="AZ87" s="5"/>
      <c r="BA87" s="7"/>
      <c r="BB87" s="55" t="s">
        <v>195</v>
      </c>
      <c r="BC87" s="5"/>
      <c r="BD87" s="7"/>
      <c r="BE87" s="57">
        <v>46244.0</v>
      </c>
      <c r="BF87" s="5"/>
      <c r="BG87" s="7"/>
      <c r="BH87" s="48"/>
      <c r="BI87" s="5"/>
      <c r="BJ87" s="7"/>
      <c r="BK87" s="49"/>
      <c r="BL87" s="5"/>
      <c r="BM87" s="5"/>
      <c r="BN87" s="5"/>
      <c r="BO87" s="5"/>
      <c r="BP87" s="5"/>
      <c r="BQ87" s="7"/>
    </row>
    <row r="88" ht="319.5" customHeight="1">
      <c r="A88" s="47">
        <v>70.0</v>
      </c>
      <c r="B88" s="49" t="s">
        <v>600</v>
      </c>
      <c r="C88" s="5"/>
      <c r="D88" s="7"/>
      <c r="E88" s="49" t="s">
        <v>601</v>
      </c>
      <c r="F88" s="5"/>
      <c r="G88" s="5"/>
      <c r="H88" s="5"/>
      <c r="I88" s="7"/>
      <c r="J88" s="49" t="s">
        <v>572</v>
      </c>
      <c r="K88" s="5"/>
      <c r="L88" s="5"/>
      <c r="M88" s="5"/>
      <c r="N88" s="5"/>
      <c r="O88" s="5"/>
      <c r="P88" s="7"/>
      <c r="Q88" s="54" t="s">
        <v>602</v>
      </c>
      <c r="R88" s="5"/>
      <c r="S88" s="5"/>
      <c r="T88" s="5"/>
      <c r="U88" s="5"/>
      <c r="V88" s="5"/>
      <c r="W88" s="7"/>
      <c r="X88" s="49" t="s">
        <v>603</v>
      </c>
      <c r="Y88" s="5"/>
      <c r="Z88" s="5"/>
      <c r="AA88" s="5"/>
      <c r="AB88" s="5"/>
      <c r="AC88" s="5"/>
      <c r="AD88" s="7"/>
      <c r="AE88" s="48" t="s">
        <v>204</v>
      </c>
      <c r="AF88" s="7"/>
      <c r="AG88" s="55" t="s">
        <v>51</v>
      </c>
      <c r="AH88" s="5"/>
      <c r="AI88" s="7"/>
      <c r="AJ88" s="48"/>
      <c r="AK88" s="5"/>
      <c r="AL88" s="7"/>
      <c r="AM88" s="56" t="s">
        <v>191</v>
      </c>
      <c r="AN88" s="5"/>
      <c r="AO88" s="7"/>
      <c r="AP88" s="57">
        <v>46172.0</v>
      </c>
      <c r="AQ88" s="5"/>
      <c r="AR88" s="7"/>
      <c r="AS88" s="48"/>
      <c r="AT88" s="5"/>
      <c r="AU88" s="7"/>
      <c r="AV88" s="55" t="s">
        <v>51</v>
      </c>
      <c r="AW88" s="5"/>
      <c r="AX88" s="7"/>
      <c r="AY88" s="48"/>
      <c r="AZ88" s="5"/>
      <c r="BA88" s="7"/>
      <c r="BB88" s="55" t="s">
        <v>195</v>
      </c>
      <c r="BC88" s="5"/>
      <c r="BD88" s="7"/>
      <c r="BE88" s="57">
        <v>46244.0</v>
      </c>
      <c r="BF88" s="5"/>
      <c r="BG88" s="7"/>
      <c r="BH88" s="48"/>
      <c r="BI88" s="5"/>
      <c r="BJ88" s="7"/>
      <c r="BK88" s="49"/>
      <c r="BL88" s="5"/>
      <c r="BM88" s="5"/>
      <c r="BN88" s="5"/>
      <c r="BO88" s="5"/>
      <c r="BP88" s="5"/>
      <c r="BQ88" s="7"/>
    </row>
    <row r="89" ht="303.75" customHeight="1">
      <c r="A89" s="47">
        <v>71.0</v>
      </c>
      <c r="B89" s="49" t="s">
        <v>604</v>
      </c>
      <c r="C89" s="5"/>
      <c r="D89" s="7"/>
      <c r="E89" s="49" t="s">
        <v>605</v>
      </c>
      <c r="F89" s="5"/>
      <c r="G89" s="5"/>
      <c r="H89" s="5"/>
      <c r="I89" s="7"/>
      <c r="J89" s="49" t="s">
        <v>606</v>
      </c>
      <c r="K89" s="5"/>
      <c r="L89" s="5"/>
      <c r="M89" s="5"/>
      <c r="N89" s="5"/>
      <c r="O89" s="5"/>
      <c r="P89" s="7"/>
      <c r="Q89" s="49" t="s">
        <v>607</v>
      </c>
      <c r="R89" s="5"/>
      <c r="S89" s="5"/>
      <c r="T89" s="5"/>
      <c r="U89" s="5"/>
      <c r="V89" s="5"/>
      <c r="W89" s="7"/>
      <c r="X89" s="49" t="s">
        <v>608</v>
      </c>
      <c r="Y89" s="5"/>
      <c r="Z89" s="5"/>
      <c r="AA89" s="5"/>
      <c r="AB89" s="5"/>
      <c r="AC89" s="5"/>
      <c r="AD89" s="7"/>
      <c r="AE89" s="48" t="s">
        <v>204</v>
      </c>
      <c r="AF89" s="7"/>
      <c r="AG89" s="55" t="s">
        <v>51</v>
      </c>
      <c r="AH89" s="5"/>
      <c r="AI89" s="7"/>
      <c r="AJ89" s="48"/>
      <c r="AK89" s="5"/>
      <c r="AL89" s="7"/>
      <c r="AM89" s="56" t="s">
        <v>191</v>
      </c>
      <c r="AN89" s="5"/>
      <c r="AO89" s="7"/>
      <c r="AP89" s="57">
        <v>46172.0</v>
      </c>
      <c r="AQ89" s="5"/>
      <c r="AR89" s="7"/>
      <c r="AS89" s="48"/>
      <c r="AT89" s="5"/>
      <c r="AU89" s="7"/>
      <c r="AV89" s="55" t="s">
        <v>51</v>
      </c>
      <c r="AW89" s="5"/>
      <c r="AX89" s="7"/>
      <c r="AY89" s="48"/>
      <c r="AZ89" s="5"/>
      <c r="BA89" s="7"/>
      <c r="BB89" s="55" t="s">
        <v>195</v>
      </c>
      <c r="BC89" s="5"/>
      <c r="BD89" s="7"/>
      <c r="BE89" s="57">
        <v>46244.0</v>
      </c>
      <c r="BF89" s="5"/>
      <c r="BG89" s="7"/>
      <c r="BH89" s="48"/>
      <c r="BI89" s="5"/>
      <c r="BJ89" s="7"/>
      <c r="BK89" s="49"/>
      <c r="BL89" s="5"/>
      <c r="BM89" s="5"/>
      <c r="BN89" s="5"/>
      <c r="BO89" s="5"/>
      <c r="BP89" s="5"/>
      <c r="BQ89" s="7"/>
    </row>
    <row r="90" ht="450.0" customHeight="1">
      <c r="A90" s="47">
        <v>72.0</v>
      </c>
      <c r="B90" s="49" t="s">
        <v>609</v>
      </c>
      <c r="C90" s="5"/>
      <c r="D90" s="7"/>
      <c r="E90" s="49" t="s">
        <v>610</v>
      </c>
      <c r="F90" s="5"/>
      <c r="G90" s="5"/>
      <c r="H90" s="5"/>
      <c r="I90" s="7"/>
      <c r="J90" s="49" t="s">
        <v>611</v>
      </c>
      <c r="K90" s="5"/>
      <c r="L90" s="5"/>
      <c r="M90" s="5"/>
      <c r="N90" s="5"/>
      <c r="O90" s="5"/>
      <c r="P90" s="7"/>
      <c r="Q90" s="49" t="s">
        <v>612</v>
      </c>
      <c r="R90" s="5"/>
      <c r="S90" s="5"/>
      <c r="T90" s="5"/>
      <c r="U90" s="5"/>
      <c r="V90" s="5"/>
      <c r="W90" s="7"/>
      <c r="X90" s="49" t="s">
        <v>613</v>
      </c>
      <c r="Y90" s="5"/>
      <c r="Z90" s="5"/>
      <c r="AA90" s="5"/>
      <c r="AB90" s="5"/>
      <c r="AC90" s="5"/>
      <c r="AD90" s="7"/>
      <c r="AE90" s="48" t="s">
        <v>204</v>
      </c>
      <c r="AF90" s="7"/>
      <c r="AG90" s="55" t="s">
        <v>51</v>
      </c>
      <c r="AH90" s="5"/>
      <c r="AI90" s="7"/>
      <c r="AJ90" s="48"/>
      <c r="AK90" s="5"/>
      <c r="AL90" s="7"/>
      <c r="AM90" s="56" t="s">
        <v>191</v>
      </c>
      <c r="AN90" s="5"/>
      <c r="AO90" s="7"/>
      <c r="AP90" s="57">
        <v>46172.0</v>
      </c>
      <c r="AQ90" s="5"/>
      <c r="AR90" s="7"/>
      <c r="AS90" s="48"/>
      <c r="AT90" s="5"/>
      <c r="AU90" s="7"/>
      <c r="AV90" s="55" t="s">
        <v>51</v>
      </c>
      <c r="AW90" s="5"/>
      <c r="AX90" s="7"/>
      <c r="AY90" s="48"/>
      <c r="AZ90" s="5"/>
      <c r="BA90" s="7"/>
      <c r="BB90" s="55" t="s">
        <v>195</v>
      </c>
      <c r="BC90" s="5"/>
      <c r="BD90" s="7"/>
      <c r="BE90" s="57">
        <v>46244.0</v>
      </c>
      <c r="BF90" s="5"/>
      <c r="BG90" s="7"/>
      <c r="BH90" s="48"/>
      <c r="BI90" s="5"/>
      <c r="BJ90" s="7"/>
      <c r="BK90" s="49" t="s">
        <v>614</v>
      </c>
      <c r="BL90" s="5"/>
      <c r="BM90" s="5"/>
      <c r="BN90" s="5"/>
      <c r="BO90" s="5"/>
      <c r="BP90" s="5"/>
      <c r="BQ90" s="7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7">
    <mergeCell ref="AJ59:AL59"/>
    <mergeCell ref="AM59:AO59"/>
    <mergeCell ref="AS59:AU59"/>
    <mergeCell ref="AV59:AX59"/>
    <mergeCell ref="AY59:BA59"/>
    <mergeCell ref="BB59:BD59"/>
    <mergeCell ref="AP59:AR59"/>
    <mergeCell ref="BH59:BJ59"/>
    <mergeCell ref="BE59:BG59"/>
    <mergeCell ref="BH57:BJ57"/>
    <mergeCell ref="BK57:BQ57"/>
    <mergeCell ref="BE57:BG57"/>
    <mergeCell ref="AJ57:AL57"/>
    <mergeCell ref="AM57:AO57"/>
    <mergeCell ref="AS57:AU57"/>
    <mergeCell ref="AV57:AX57"/>
    <mergeCell ref="AY57:BA57"/>
    <mergeCell ref="BB57:BD57"/>
    <mergeCell ref="AP57:AR57"/>
    <mergeCell ref="B57:D57"/>
    <mergeCell ref="E57:I57"/>
    <mergeCell ref="J57:P57"/>
    <mergeCell ref="Q57:W57"/>
    <mergeCell ref="X57:AD57"/>
    <mergeCell ref="AE57:AF57"/>
    <mergeCell ref="AG57:AI57"/>
    <mergeCell ref="BH58:BJ58"/>
    <mergeCell ref="BK58:BQ58"/>
    <mergeCell ref="BK59:BQ59"/>
    <mergeCell ref="BE58:BG58"/>
    <mergeCell ref="AJ58:AL58"/>
    <mergeCell ref="AM58:AO58"/>
    <mergeCell ref="AS58:AU58"/>
    <mergeCell ref="AV58:AX58"/>
    <mergeCell ref="AY58:BA58"/>
    <mergeCell ref="BB58:BD58"/>
    <mergeCell ref="AP58:AR58"/>
    <mergeCell ref="B58:D58"/>
    <mergeCell ref="E58:I58"/>
    <mergeCell ref="J58:P58"/>
    <mergeCell ref="Q58:W58"/>
    <mergeCell ref="X58:AD58"/>
    <mergeCell ref="AE58:AF58"/>
    <mergeCell ref="AG58:AI58"/>
    <mergeCell ref="B59:D59"/>
    <mergeCell ref="E59:I59"/>
    <mergeCell ref="J59:P59"/>
    <mergeCell ref="Q59:W59"/>
    <mergeCell ref="X59:AD59"/>
    <mergeCell ref="AE59:AF59"/>
    <mergeCell ref="AG59:AI59"/>
    <mergeCell ref="B71:D71"/>
    <mergeCell ref="B73:D73"/>
    <mergeCell ref="E73:I73"/>
    <mergeCell ref="J73:P73"/>
    <mergeCell ref="Q73:W73"/>
    <mergeCell ref="X73:AD73"/>
    <mergeCell ref="AE73:AF73"/>
    <mergeCell ref="BH73:BJ73"/>
    <mergeCell ref="BK73:BQ73"/>
    <mergeCell ref="AM73:AO73"/>
    <mergeCell ref="AP73:AR73"/>
    <mergeCell ref="AS73:AU73"/>
    <mergeCell ref="AV73:AX73"/>
    <mergeCell ref="AY73:BA73"/>
    <mergeCell ref="BB73:BD73"/>
    <mergeCell ref="BE73:BG73"/>
    <mergeCell ref="BE71:BG71"/>
    <mergeCell ref="BB71:BD71"/>
    <mergeCell ref="E71:I71"/>
    <mergeCell ref="J71:P71"/>
    <mergeCell ref="Q71:W71"/>
    <mergeCell ref="X71:AD71"/>
    <mergeCell ref="AE71:AF71"/>
    <mergeCell ref="AG71:AI71"/>
    <mergeCell ref="A72:BQ72"/>
    <mergeCell ref="BH69:BJ69"/>
    <mergeCell ref="BK69:BQ69"/>
    <mergeCell ref="BE69:BG69"/>
    <mergeCell ref="AJ69:AL69"/>
    <mergeCell ref="AM69:AO69"/>
    <mergeCell ref="AP69:AR69"/>
    <mergeCell ref="AS69:AU69"/>
    <mergeCell ref="AV69:AX69"/>
    <mergeCell ref="AY69:BA69"/>
    <mergeCell ref="BB69:BD69"/>
    <mergeCell ref="B69:D69"/>
    <mergeCell ref="E69:I69"/>
    <mergeCell ref="J69:P69"/>
    <mergeCell ref="Q69:W69"/>
    <mergeCell ref="X69:AD69"/>
    <mergeCell ref="AE69:AF69"/>
    <mergeCell ref="AG69:AI69"/>
    <mergeCell ref="BH70:BJ70"/>
    <mergeCell ref="BK70:BQ70"/>
    <mergeCell ref="BK71:BQ71"/>
    <mergeCell ref="BE70:BG70"/>
    <mergeCell ref="AJ70:AL70"/>
    <mergeCell ref="AM70:AO70"/>
    <mergeCell ref="AP70:AR70"/>
    <mergeCell ref="AS70:AU70"/>
    <mergeCell ref="AV70:AX70"/>
    <mergeCell ref="AY70:BA70"/>
    <mergeCell ref="BB70:BD70"/>
    <mergeCell ref="B70:D70"/>
    <mergeCell ref="E70:I70"/>
    <mergeCell ref="J70:P70"/>
    <mergeCell ref="Q70:W70"/>
    <mergeCell ref="X70:AD70"/>
    <mergeCell ref="AE70:AF70"/>
    <mergeCell ref="AG70:AI70"/>
    <mergeCell ref="BH74:BJ74"/>
    <mergeCell ref="BK74:BQ74"/>
    <mergeCell ref="BE74:BG74"/>
    <mergeCell ref="AJ74:AL74"/>
    <mergeCell ref="AM74:AO74"/>
    <mergeCell ref="AP74:AR74"/>
    <mergeCell ref="AS74:AU74"/>
    <mergeCell ref="AV74:AX74"/>
    <mergeCell ref="AY74:BA74"/>
    <mergeCell ref="BB74:BD74"/>
    <mergeCell ref="B62:D62"/>
    <mergeCell ref="B64:D64"/>
    <mergeCell ref="E64:I64"/>
    <mergeCell ref="J64:P64"/>
    <mergeCell ref="Q64:W64"/>
    <mergeCell ref="X64:AD64"/>
    <mergeCell ref="AE64:AF64"/>
    <mergeCell ref="BH64:BJ64"/>
    <mergeCell ref="BK64:BQ64"/>
    <mergeCell ref="AM64:AO64"/>
    <mergeCell ref="AP64:AR64"/>
    <mergeCell ref="AS64:AU64"/>
    <mergeCell ref="AV64:AX64"/>
    <mergeCell ref="AY64:BA64"/>
    <mergeCell ref="BE64:BG64"/>
    <mergeCell ref="BB64:BD64"/>
    <mergeCell ref="AP62:AR62"/>
    <mergeCell ref="BE62:BG62"/>
    <mergeCell ref="E62:I62"/>
    <mergeCell ref="J62:P62"/>
    <mergeCell ref="Q62:W62"/>
    <mergeCell ref="X62:AD62"/>
    <mergeCell ref="AE62:AF62"/>
    <mergeCell ref="AG62:AI62"/>
    <mergeCell ref="A63:BQ63"/>
    <mergeCell ref="BH60:BJ60"/>
    <mergeCell ref="BK60:BQ60"/>
    <mergeCell ref="BE60:BG60"/>
    <mergeCell ref="AJ60:AL60"/>
    <mergeCell ref="AM60:AO60"/>
    <mergeCell ref="AS60:AU60"/>
    <mergeCell ref="AV60:AX60"/>
    <mergeCell ref="AY60:BA60"/>
    <mergeCell ref="AP60:AR60"/>
    <mergeCell ref="B60:D60"/>
    <mergeCell ref="E60:I60"/>
    <mergeCell ref="J60:P60"/>
    <mergeCell ref="Q60:W60"/>
    <mergeCell ref="X60:AD60"/>
    <mergeCell ref="AE60:AF60"/>
    <mergeCell ref="AG60:AI60"/>
    <mergeCell ref="BH61:BJ61"/>
    <mergeCell ref="BK61:BQ61"/>
    <mergeCell ref="BK62:BQ62"/>
    <mergeCell ref="BE61:BG61"/>
    <mergeCell ref="AJ61:AL61"/>
    <mergeCell ref="AM61:AO61"/>
    <mergeCell ref="AS61:AU61"/>
    <mergeCell ref="AV61:AX61"/>
    <mergeCell ref="AY61:BA61"/>
    <mergeCell ref="AP61:AR61"/>
    <mergeCell ref="B61:D61"/>
    <mergeCell ref="E61:I61"/>
    <mergeCell ref="J61:P61"/>
    <mergeCell ref="Q61:W61"/>
    <mergeCell ref="X61:AD61"/>
    <mergeCell ref="AE61:AF61"/>
    <mergeCell ref="AG61:AI61"/>
    <mergeCell ref="BH65:BJ65"/>
    <mergeCell ref="BK65:BQ65"/>
    <mergeCell ref="BE65:BG65"/>
    <mergeCell ref="AJ65:AL65"/>
    <mergeCell ref="AM65:AO65"/>
    <mergeCell ref="AP65:AR65"/>
    <mergeCell ref="AS65:AU65"/>
    <mergeCell ref="AV65:AX65"/>
    <mergeCell ref="AY65:BA65"/>
    <mergeCell ref="BB65:BD65"/>
    <mergeCell ref="AJ67:AL67"/>
    <mergeCell ref="AM67:AO67"/>
    <mergeCell ref="AP67:AR67"/>
    <mergeCell ref="AS67:AU67"/>
    <mergeCell ref="AV67:AX67"/>
    <mergeCell ref="AY67:BA67"/>
    <mergeCell ref="BB67:BD67"/>
    <mergeCell ref="B67:D67"/>
    <mergeCell ref="E67:I67"/>
    <mergeCell ref="J67:P67"/>
    <mergeCell ref="Q67:W67"/>
    <mergeCell ref="X67:AD67"/>
    <mergeCell ref="AE67:AF67"/>
    <mergeCell ref="AG67:AI67"/>
    <mergeCell ref="AJ68:AL68"/>
    <mergeCell ref="AM68:AO68"/>
    <mergeCell ref="AP68:AR68"/>
    <mergeCell ref="AS68:AU68"/>
    <mergeCell ref="AV68:AX68"/>
    <mergeCell ref="AY68:BA68"/>
    <mergeCell ref="BB68:BD68"/>
    <mergeCell ref="BH68:BJ68"/>
    <mergeCell ref="BE68:BG68"/>
    <mergeCell ref="AE65:AF65"/>
    <mergeCell ref="AG65:AI65"/>
    <mergeCell ref="AG64:AI64"/>
    <mergeCell ref="AJ64:AL64"/>
    <mergeCell ref="B65:D65"/>
    <mergeCell ref="E65:I65"/>
    <mergeCell ref="J65:P65"/>
    <mergeCell ref="Q65:W65"/>
    <mergeCell ref="X65:AD65"/>
    <mergeCell ref="BH66:BJ66"/>
    <mergeCell ref="BK66:BQ66"/>
    <mergeCell ref="BE66:BG66"/>
    <mergeCell ref="AJ66:AL66"/>
    <mergeCell ref="AM66:AO66"/>
    <mergeCell ref="AP66:AR66"/>
    <mergeCell ref="AS66:AU66"/>
    <mergeCell ref="AV66:AX66"/>
    <mergeCell ref="AY66:BA66"/>
    <mergeCell ref="BB66:BD66"/>
    <mergeCell ref="B66:D66"/>
    <mergeCell ref="E66:I66"/>
    <mergeCell ref="J66:P66"/>
    <mergeCell ref="Q66:W66"/>
    <mergeCell ref="X66:AD66"/>
    <mergeCell ref="AE66:AF66"/>
    <mergeCell ref="AG66:AI66"/>
    <mergeCell ref="BH67:BJ67"/>
    <mergeCell ref="BK67:BQ67"/>
    <mergeCell ref="BK68:BQ68"/>
    <mergeCell ref="BE67:BG67"/>
    <mergeCell ref="B68:D68"/>
    <mergeCell ref="E68:I68"/>
    <mergeCell ref="J68:P68"/>
    <mergeCell ref="Q68:W68"/>
    <mergeCell ref="X68:AD68"/>
    <mergeCell ref="AE68:AF68"/>
    <mergeCell ref="AG68:AI68"/>
    <mergeCell ref="AJ71:AL71"/>
    <mergeCell ref="AM71:AO71"/>
    <mergeCell ref="AP71:AR71"/>
    <mergeCell ref="AS71:AU71"/>
    <mergeCell ref="AV71:AX71"/>
    <mergeCell ref="AY71:BA71"/>
    <mergeCell ref="BH71:BJ71"/>
    <mergeCell ref="AJ77:AL77"/>
    <mergeCell ref="AM77:AO77"/>
    <mergeCell ref="AP77:AR77"/>
    <mergeCell ref="AS77:AU77"/>
    <mergeCell ref="AV77:AX77"/>
    <mergeCell ref="AY77:BA77"/>
    <mergeCell ref="BB77:BD77"/>
    <mergeCell ref="BH77:BJ77"/>
    <mergeCell ref="BB76:BD76"/>
    <mergeCell ref="BB75:BD75"/>
    <mergeCell ref="BE77:BG77"/>
    <mergeCell ref="BE76:BG76"/>
    <mergeCell ref="BE75:BG75"/>
    <mergeCell ref="AJ87:AL87"/>
    <mergeCell ref="AM87:AO87"/>
    <mergeCell ref="AP87:AR87"/>
    <mergeCell ref="AS87:AU87"/>
    <mergeCell ref="AV87:AX87"/>
    <mergeCell ref="AY87:BA87"/>
    <mergeCell ref="BB87:BD87"/>
    <mergeCell ref="BH87:BJ87"/>
    <mergeCell ref="BE87:BG87"/>
    <mergeCell ref="BH85:BJ85"/>
    <mergeCell ref="BK85:BQ85"/>
    <mergeCell ref="BE85:BG85"/>
    <mergeCell ref="AJ85:AL85"/>
    <mergeCell ref="AM85:AO85"/>
    <mergeCell ref="AP85:AR85"/>
    <mergeCell ref="AS85:AU85"/>
    <mergeCell ref="AV85:AX85"/>
    <mergeCell ref="AY85:BA85"/>
    <mergeCell ref="BB85:BD85"/>
    <mergeCell ref="B85:D85"/>
    <mergeCell ref="E85:I85"/>
    <mergeCell ref="J85:P85"/>
    <mergeCell ref="Q85:W85"/>
    <mergeCell ref="X85:AD85"/>
    <mergeCell ref="AE85:AF85"/>
    <mergeCell ref="AG85:AI85"/>
    <mergeCell ref="BH86:BJ86"/>
    <mergeCell ref="BK86:BQ86"/>
    <mergeCell ref="BK87:BQ87"/>
    <mergeCell ref="BE86:BG86"/>
    <mergeCell ref="AJ86:AL86"/>
    <mergeCell ref="AM86:AO86"/>
    <mergeCell ref="AP86:AR86"/>
    <mergeCell ref="AS86:AU86"/>
    <mergeCell ref="AV86:AX86"/>
    <mergeCell ref="AY86:BA86"/>
    <mergeCell ref="BB86:BD86"/>
    <mergeCell ref="B86:D86"/>
    <mergeCell ref="E86:I86"/>
    <mergeCell ref="J86:P86"/>
    <mergeCell ref="Q86:W86"/>
    <mergeCell ref="X86:AD86"/>
    <mergeCell ref="AE86:AF86"/>
    <mergeCell ref="AG86:AI86"/>
    <mergeCell ref="B87:D87"/>
    <mergeCell ref="E87:I87"/>
    <mergeCell ref="J87:P87"/>
    <mergeCell ref="Q87:W87"/>
    <mergeCell ref="X87:AD87"/>
    <mergeCell ref="AE87:AF87"/>
    <mergeCell ref="AG87:AI87"/>
    <mergeCell ref="AJ76:AL76"/>
    <mergeCell ref="AM76:AO76"/>
    <mergeCell ref="AP76:AR76"/>
    <mergeCell ref="AS76:AU76"/>
    <mergeCell ref="AV76:AX76"/>
    <mergeCell ref="AY76:BA76"/>
    <mergeCell ref="B76:D76"/>
    <mergeCell ref="E76:I76"/>
    <mergeCell ref="J76:P76"/>
    <mergeCell ref="Q76:W76"/>
    <mergeCell ref="X76:AD76"/>
    <mergeCell ref="AE76:AF76"/>
    <mergeCell ref="AG76:AI76"/>
    <mergeCell ref="AE74:AF74"/>
    <mergeCell ref="AG74:AI74"/>
    <mergeCell ref="AG73:AI73"/>
    <mergeCell ref="AJ73:AL73"/>
    <mergeCell ref="B74:D74"/>
    <mergeCell ref="E74:I74"/>
    <mergeCell ref="J74:P74"/>
    <mergeCell ref="Q74:W74"/>
    <mergeCell ref="X74:AD74"/>
    <mergeCell ref="BH75:BJ75"/>
    <mergeCell ref="BK75:BQ75"/>
    <mergeCell ref="AJ75:AL75"/>
    <mergeCell ref="AM75:AO75"/>
    <mergeCell ref="AP75:AR75"/>
    <mergeCell ref="AS75:AU75"/>
    <mergeCell ref="AV75:AX75"/>
    <mergeCell ref="AY75:BA75"/>
    <mergeCell ref="B75:D75"/>
    <mergeCell ref="E75:I75"/>
    <mergeCell ref="J75:P75"/>
    <mergeCell ref="Q75:W75"/>
    <mergeCell ref="X75:AD75"/>
    <mergeCell ref="AE75:AF75"/>
    <mergeCell ref="AG75:AI75"/>
    <mergeCell ref="BH76:BJ76"/>
    <mergeCell ref="BK76:BQ76"/>
    <mergeCell ref="BK77:BQ77"/>
    <mergeCell ref="B77:D77"/>
    <mergeCell ref="E77:I77"/>
    <mergeCell ref="J77:P77"/>
    <mergeCell ref="Q77:W77"/>
    <mergeCell ref="X77:AD77"/>
    <mergeCell ref="AE77:AF77"/>
    <mergeCell ref="AG77:AI77"/>
    <mergeCell ref="AJ80:AL80"/>
    <mergeCell ref="AM80:AO80"/>
    <mergeCell ref="AP80:AR80"/>
    <mergeCell ref="AS80:AU80"/>
    <mergeCell ref="AV80:AX80"/>
    <mergeCell ref="AY80:BA80"/>
    <mergeCell ref="BB80:BD80"/>
    <mergeCell ref="BH80:BJ80"/>
    <mergeCell ref="BE80:BG80"/>
    <mergeCell ref="BH78:BJ78"/>
    <mergeCell ref="BK78:BQ78"/>
    <mergeCell ref="BE78:BG78"/>
    <mergeCell ref="AJ78:AL78"/>
    <mergeCell ref="AM78:AO78"/>
    <mergeCell ref="AP78:AR78"/>
    <mergeCell ref="AS78:AU78"/>
    <mergeCell ref="AV78:AX78"/>
    <mergeCell ref="AY78:BA78"/>
    <mergeCell ref="BB78:BD78"/>
    <mergeCell ref="B78:D78"/>
    <mergeCell ref="E78:I78"/>
    <mergeCell ref="J78:P78"/>
    <mergeCell ref="Q78:W78"/>
    <mergeCell ref="X78:AD78"/>
    <mergeCell ref="AE78:AF78"/>
    <mergeCell ref="AG78:AI78"/>
    <mergeCell ref="BH79:BJ79"/>
    <mergeCell ref="BK79:BQ79"/>
    <mergeCell ref="BK80:BQ80"/>
    <mergeCell ref="BE79:BG79"/>
    <mergeCell ref="AJ79:AL79"/>
    <mergeCell ref="AM79:AO79"/>
    <mergeCell ref="AP79:AR79"/>
    <mergeCell ref="AS79:AU79"/>
    <mergeCell ref="AV79:AX79"/>
    <mergeCell ref="AY79:BA79"/>
    <mergeCell ref="BB79:BD79"/>
    <mergeCell ref="B79:D79"/>
    <mergeCell ref="E79:I79"/>
    <mergeCell ref="J79:P79"/>
    <mergeCell ref="Q79:W79"/>
    <mergeCell ref="X79:AD79"/>
    <mergeCell ref="AE79:AF79"/>
    <mergeCell ref="AG79:AI79"/>
    <mergeCell ref="B80:D80"/>
    <mergeCell ref="E80:I80"/>
    <mergeCell ref="J80:P80"/>
    <mergeCell ref="Q80:W80"/>
    <mergeCell ref="X80:AD80"/>
    <mergeCell ref="AE80:AF80"/>
    <mergeCell ref="AG80:AI80"/>
    <mergeCell ref="AJ84:AL84"/>
    <mergeCell ref="AM84:AO84"/>
    <mergeCell ref="AP84:AR84"/>
    <mergeCell ref="AS84:AU84"/>
    <mergeCell ref="AV84:AX84"/>
    <mergeCell ref="AY84:BA84"/>
    <mergeCell ref="BB84:BD84"/>
    <mergeCell ref="BH84:BJ84"/>
    <mergeCell ref="BE84:BG84"/>
    <mergeCell ref="BH81:BJ81"/>
    <mergeCell ref="BK81:BQ81"/>
    <mergeCell ref="BE81:BG81"/>
    <mergeCell ref="AJ81:AL81"/>
    <mergeCell ref="AM81:AO81"/>
    <mergeCell ref="AP81:AR81"/>
    <mergeCell ref="AS81:AU81"/>
    <mergeCell ref="AV81:AX81"/>
    <mergeCell ref="AY81:BA81"/>
    <mergeCell ref="BB81:BD81"/>
    <mergeCell ref="E81:I81"/>
    <mergeCell ref="J81:P81"/>
    <mergeCell ref="Q81:W81"/>
    <mergeCell ref="X81:AD81"/>
    <mergeCell ref="AE81:AF81"/>
    <mergeCell ref="AG81:AI81"/>
    <mergeCell ref="A82:BQ82"/>
    <mergeCell ref="BH83:BJ83"/>
    <mergeCell ref="BK83:BQ83"/>
    <mergeCell ref="BK84:BQ84"/>
    <mergeCell ref="BE83:BG83"/>
    <mergeCell ref="BB83:BD83"/>
    <mergeCell ref="AG83:AI83"/>
    <mergeCell ref="AJ83:AL83"/>
    <mergeCell ref="AM83:AO83"/>
    <mergeCell ref="AP83:AR83"/>
    <mergeCell ref="AS83:AU83"/>
    <mergeCell ref="AV83:AX83"/>
    <mergeCell ref="AY83:BA83"/>
    <mergeCell ref="B81:D81"/>
    <mergeCell ref="B83:D83"/>
    <mergeCell ref="E83:I83"/>
    <mergeCell ref="J83:P83"/>
    <mergeCell ref="Q83:W83"/>
    <mergeCell ref="X83:AD83"/>
    <mergeCell ref="AE83:AF83"/>
    <mergeCell ref="B84:D84"/>
    <mergeCell ref="E84:I84"/>
    <mergeCell ref="J84:P84"/>
    <mergeCell ref="Q84:W84"/>
    <mergeCell ref="X84:AD84"/>
    <mergeCell ref="AE84:AF84"/>
    <mergeCell ref="AG84:AI84"/>
    <mergeCell ref="AJ90:AL90"/>
    <mergeCell ref="AM90:AO90"/>
    <mergeCell ref="AP90:AR90"/>
    <mergeCell ref="AS90:AU90"/>
    <mergeCell ref="AV90:AX90"/>
    <mergeCell ref="AY90:BA90"/>
    <mergeCell ref="BB90:BD90"/>
    <mergeCell ref="BH90:BJ90"/>
    <mergeCell ref="BE90:BG90"/>
    <mergeCell ref="BH88:BJ88"/>
    <mergeCell ref="BK88:BQ88"/>
    <mergeCell ref="BE88:BG88"/>
    <mergeCell ref="AJ88:AL88"/>
    <mergeCell ref="AM88:AO88"/>
    <mergeCell ref="AP88:AR88"/>
    <mergeCell ref="AS88:AU88"/>
    <mergeCell ref="AV88:AX88"/>
    <mergeCell ref="AY88:BA88"/>
    <mergeCell ref="BB88:BD88"/>
    <mergeCell ref="B88:D88"/>
    <mergeCell ref="E88:I88"/>
    <mergeCell ref="J88:P88"/>
    <mergeCell ref="Q88:W88"/>
    <mergeCell ref="X88:AD88"/>
    <mergeCell ref="AE88:AF88"/>
    <mergeCell ref="AG88:AI88"/>
    <mergeCell ref="BH89:BJ89"/>
    <mergeCell ref="BK89:BQ89"/>
    <mergeCell ref="BK90:BQ90"/>
    <mergeCell ref="BE89:BG89"/>
    <mergeCell ref="AJ89:AL89"/>
    <mergeCell ref="AM89:AO89"/>
    <mergeCell ref="AP89:AR89"/>
    <mergeCell ref="AS89:AU89"/>
    <mergeCell ref="AV89:AX89"/>
    <mergeCell ref="AY89:BA89"/>
    <mergeCell ref="BB89:BD89"/>
    <mergeCell ref="B89:D89"/>
    <mergeCell ref="E89:I89"/>
    <mergeCell ref="J89:P89"/>
    <mergeCell ref="Q89:W89"/>
    <mergeCell ref="X89:AD89"/>
    <mergeCell ref="AE89:AF89"/>
    <mergeCell ref="AG89:AI89"/>
    <mergeCell ref="B90:D90"/>
    <mergeCell ref="E90:I90"/>
    <mergeCell ref="J90:P90"/>
    <mergeCell ref="Q90:W90"/>
    <mergeCell ref="X90:AD90"/>
    <mergeCell ref="AE90:AF90"/>
    <mergeCell ref="AG90:AI90"/>
    <mergeCell ref="BB50:BD50"/>
    <mergeCell ref="BB48:BD48"/>
    <mergeCell ref="BB49:BD49"/>
    <mergeCell ref="BE49:BG49"/>
    <mergeCell ref="BE50:BG50"/>
    <mergeCell ref="BE48:BG48"/>
    <mergeCell ref="BB53:BD53"/>
    <mergeCell ref="BB51:BD51"/>
    <mergeCell ref="BB52:BD52"/>
    <mergeCell ref="AP55:AR55"/>
    <mergeCell ref="AP54:AR54"/>
    <mergeCell ref="AP56:AR56"/>
    <mergeCell ref="AP52:AR52"/>
    <mergeCell ref="AP53:AR53"/>
    <mergeCell ref="BB54:BD54"/>
    <mergeCell ref="BE54:BG54"/>
    <mergeCell ref="BE52:BG52"/>
    <mergeCell ref="BE53:BG53"/>
    <mergeCell ref="BH47:BJ47"/>
    <mergeCell ref="BE47:BG47"/>
    <mergeCell ref="BB56:BD56"/>
    <mergeCell ref="BB55:BD55"/>
    <mergeCell ref="AP49:AR49"/>
    <mergeCell ref="AP50:AR50"/>
    <mergeCell ref="AJ47:AL47"/>
    <mergeCell ref="AM47:AO47"/>
    <mergeCell ref="AS47:AU47"/>
    <mergeCell ref="AV47:AX47"/>
    <mergeCell ref="AY47:BA47"/>
    <mergeCell ref="AP51:AR51"/>
    <mergeCell ref="AP48:AR48"/>
    <mergeCell ref="AP47:AR47"/>
    <mergeCell ref="BE55:BG55"/>
    <mergeCell ref="BE56:BG56"/>
    <mergeCell ref="BE51:BG51"/>
    <mergeCell ref="AJ41:AL41"/>
    <mergeCell ref="AM41:AO41"/>
    <mergeCell ref="AS41:AU41"/>
    <mergeCell ref="AV41:AX41"/>
    <mergeCell ref="AY41:BA41"/>
    <mergeCell ref="BB41:BD41"/>
    <mergeCell ref="AP41:AR41"/>
    <mergeCell ref="BH41:BJ41"/>
    <mergeCell ref="BE41:BG41"/>
    <mergeCell ref="BH39:BJ39"/>
    <mergeCell ref="BK39:BQ39"/>
    <mergeCell ref="BE39:BG39"/>
    <mergeCell ref="AJ39:AL39"/>
    <mergeCell ref="AM39:AO39"/>
    <mergeCell ref="AS39:AU39"/>
    <mergeCell ref="AV39:AX39"/>
    <mergeCell ref="AY39:BA39"/>
    <mergeCell ref="BB39:BD39"/>
    <mergeCell ref="AP39:AR39"/>
    <mergeCell ref="B39:D39"/>
    <mergeCell ref="E39:I39"/>
    <mergeCell ref="J39:P39"/>
    <mergeCell ref="Q39:W39"/>
    <mergeCell ref="X39:AD39"/>
    <mergeCell ref="AE39:AF39"/>
    <mergeCell ref="AG39:AI39"/>
    <mergeCell ref="BH40:BJ40"/>
    <mergeCell ref="BK40:BQ40"/>
    <mergeCell ref="BK41:BQ41"/>
    <mergeCell ref="BE40:BG40"/>
    <mergeCell ref="AJ40:AL40"/>
    <mergeCell ref="AM40:AO40"/>
    <mergeCell ref="AS40:AU40"/>
    <mergeCell ref="AV40:AX40"/>
    <mergeCell ref="AY40:BA40"/>
    <mergeCell ref="BB40:BD40"/>
    <mergeCell ref="AP40:AR40"/>
    <mergeCell ref="B40:D40"/>
    <mergeCell ref="E40:I40"/>
    <mergeCell ref="J40:P40"/>
    <mergeCell ref="Q40:W40"/>
    <mergeCell ref="X40:AD40"/>
    <mergeCell ref="AE40:AF40"/>
    <mergeCell ref="AG40:AI40"/>
    <mergeCell ref="B41:D41"/>
    <mergeCell ref="E41:I41"/>
    <mergeCell ref="J41:P41"/>
    <mergeCell ref="Q41:W41"/>
    <mergeCell ref="X41:AD41"/>
    <mergeCell ref="AE41:AF41"/>
    <mergeCell ref="AG41:AI41"/>
    <mergeCell ref="AJ44:AL44"/>
    <mergeCell ref="AM44:AO44"/>
    <mergeCell ref="AS44:AU44"/>
    <mergeCell ref="AV44:AX44"/>
    <mergeCell ref="AY44:BA44"/>
    <mergeCell ref="BB44:BD44"/>
    <mergeCell ref="AP44:AR44"/>
    <mergeCell ref="BH44:BJ44"/>
    <mergeCell ref="BE44:BG44"/>
    <mergeCell ref="BH42:BJ42"/>
    <mergeCell ref="BK42:BQ42"/>
    <mergeCell ref="BE42:BG42"/>
    <mergeCell ref="AJ42:AL42"/>
    <mergeCell ref="AM42:AO42"/>
    <mergeCell ref="AS42:AU42"/>
    <mergeCell ref="AV42:AX42"/>
    <mergeCell ref="AY42:BA42"/>
    <mergeCell ref="BB42:BD42"/>
    <mergeCell ref="AP42:AR42"/>
    <mergeCell ref="B42:D42"/>
    <mergeCell ref="E42:I42"/>
    <mergeCell ref="J42:P42"/>
    <mergeCell ref="Q42:W42"/>
    <mergeCell ref="X42:AD42"/>
    <mergeCell ref="AE42:AF42"/>
    <mergeCell ref="AG42:AI42"/>
    <mergeCell ref="BH43:BJ43"/>
    <mergeCell ref="BK43:BQ43"/>
    <mergeCell ref="BK44:BQ44"/>
    <mergeCell ref="BE43:BG43"/>
    <mergeCell ref="AJ43:AL43"/>
    <mergeCell ref="AM43:AO43"/>
    <mergeCell ref="AS43:AU43"/>
    <mergeCell ref="AV43:AX43"/>
    <mergeCell ref="AY43:BA43"/>
    <mergeCell ref="BB43:BD43"/>
    <mergeCell ref="AP43:AR43"/>
    <mergeCell ref="B43:D43"/>
    <mergeCell ref="E43:I43"/>
    <mergeCell ref="J43:P43"/>
    <mergeCell ref="Q43:W43"/>
    <mergeCell ref="X43:AD43"/>
    <mergeCell ref="AE43:AF43"/>
    <mergeCell ref="AG43:AI43"/>
    <mergeCell ref="B44:D44"/>
    <mergeCell ref="E44:I44"/>
    <mergeCell ref="J44:P44"/>
    <mergeCell ref="Q44:W44"/>
    <mergeCell ref="X44:AD44"/>
    <mergeCell ref="AE44:AF44"/>
    <mergeCell ref="AG44:AI44"/>
    <mergeCell ref="BH45:BJ45"/>
    <mergeCell ref="BK45:BQ45"/>
    <mergeCell ref="BE45:BG45"/>
    <mergeCell ref="AJ45:AL45"/>
    <mergeCell ref="AM45:AO45"/>
    <mergeCell ref="AS45:AU45"/>
    <mergeCell ref="AV45:AX45"/>
    <mergeCell ref="AY45:BA45"/>
    <mergeCell ref="BB45:BD45"/>
    <mergeCell ref="AP45:AR45"/>
    <mergeCell ref="B45:D45"/>
    <mergeCell ref="E45:I45"/>
    <mergeCell ref="J45:P45"/>
    <mergeCell ref="Q45:W45"/>
    <mergeCell ref="X45:AD45"/>
    <mergeCell ref="AE45:AF45"/>
    <mergeCell ref="AG45:AI45"/>
    <mergeCell ref="BH46:BJ46"/>
    <mergeCell ref="BK46:BQ46"/>
    <mergeCell ref="BK47:BQ47"/>
    <mergeCell ref="BB47:BD47"/>
    <mergeCell ref="BE46:BG46"/>
    <mergeCell ref="AJ46:AL46"/>
    <mergeCell ref="AM46:AO46"/>
    <mergeCell ref="AS46:AU46"/>
    <mergeCell ref="AV46:AX46"/>
    <mergeCell ref="AY46:BA46"/>
    <mergeCell ref="BB46:BD46"/>
    <mergeCell ref="AP46:AR46"/>
    <mergeCell ref="B46:D46"/>
    <mergeCell ref="E46:I46"/>
    <mergeCell ref="J46:P46"/>
    <mergeCell ref="Q46:W46"/>
    <mergeCell ref="X46:AD46"/>
    <mergeCell ref="AE46:AF46"/>
    <mergeCell ref="AG46:AI46"/>
    <mergeCell ref="B47:D47"/>
    <mergeCell ref="E47:I47"/>
    <mergeCell ref="J47:P47"/>
    <mergeCell ref="Q47:W47"/>
    <mergeCell ref="X47:AD47"/>
    <mergeCell ref="AE47:AF47"/>
    <mergeCell ref="AG47:AI47"/>
    <mergeCell ref="AJ62:AL62"/>
    <mergeCell ref="AM62:AO62"/>
    <mergeCell ref="AS62:AU62"/>
    <mergeCell ref="AV62:AX62"/>
    <mergeCell ref="AY62:BA62"/>
    <mergeCell ref="BB62:BD62"/>
    <mergeCell ref="BH62:BJ62"/>
    <mergeCell ref="BB60:BD60"/>
    <mergeCell ref="BB61:BD61"/>
    <mergeCell ref="AJ22:AL22"/>
    <mergeCell ref="AP22:AR22"/>
    <mergeCell ref="AS22:AU22"/>
    <mergeCell ref="AV22:AX22"/>
    <mergeCell ref="AY22:BA22"/>
    <mergeCell ref="BB22:BD22"/>
    <mergeCell ref="AM22:AO22"/>
    <mergeCell ref="BH22:BJ22"/>
    <mergeCell ref="BE22:BG22"/>
    <mergeCell ref="BH20:BJ20"/>
    <mergeCell ref="BK20:BQ20"/>
    <mergeCell ref="BE20:BG20"/>
    <mergeCell ref="AJ20:AL20"/>
    <mergeCell ref="AP20:AR20"/>
    <mergeCell ref="AS20:AU20"/>
    <mergeCell ref="AV20:AX20"/>
    <mergeCell ref="AY20:BA20"/>
    <mergeCell ref="BB20:BD20"/>
    <mergeCell ref="AM20:AO20"/>
    <mergeCell ref="B20:D20"/>
    <mergeCell ref="E20:I20"/>
    <mergeCell ref="J20:P20"/>
    <mergeCell ref="Q20:W20"/>
    <mergeCell ref="X20:AD20"/>
    <mergeCell ref="AE20:AF20"/>
    <mergeCell ref="AG20:AI20"/>
    <mergeCell ref="BH21:BJ21"/>
    <mergeCell ref="BK21:BQ21"/>
    <mergeCell ref="BK22:BQ22"/>
    <mergeCell ref="BE21:BG21"/>
    <mergeCell ref="AJ21:AL21"/>
    <mergeCell ref="AP21:AR21"/>
    <mergeCell ref="AS21:AU21"/>
    <mergeCell ref="AV21:AX21"/>
    <mergeCell ref="AY21:BA21"/>
    <mergeCell ref="BB21:BD21"/>
    <mergeCell ref="AM21:AO21"/>
    <mergeCell ref="B21:D21"/>
    <mergeCell ref="E21:I21"/>
    <mergeCell ref="J21:P21"/>
    <mergeCell ref="Q21:W21"/>
    <mergeCell ref="X21:AD21"/>
    <mergeCell ref="AE21:AF21"/>
    <mergeCell ref="AG21:AI21"/>
    <mergeCell ref="B22:D22"/>
    <mergeCell ref="E22:I22"/>
    <mergeCell ref="J22:P22"/>
    <mergeCell ref="Q22:W22"/>
    <mergeCell ref="X22:AD22"/>
    <mergeCell ref="AE22:AF22"/>
    <mergeCell ref="AG22:AI22"/>
    <mergeCell ref="AG26:AI26"/>
    <mergeCell ref="AJ26:AL26"/>
    <mergeCell ref="AP26:AR26"/>
    <mergeCell ref="AS26:AU26"/>
    <mergeCell ref="AV26:AX26"/>
    <mergeCell ref="AY26:BA26"/>
    <mergeCell ref="AM26:AO26"/>
    <mergeCell ref="BE26:BG26"/>
    <mergeCell ref="BB26:BD26"/>
    <mergeCell ref="BH23:BJ23"/>
    <mergeCell ref="BK23:BQ23"/>
    <mergeCell ref="BE23:BG23"/>
    <mergeCell ref="AJ23:AL23"/>
    <mergeCell ref="AP23:AR23"/>
    <mergeCell ref="AS23:AU23"/>
    <mergeCell ref="AV23:AX23"/>
    <mergeCell ref="AY23:BA23"/>
    <mergeCell ref="BB23:BD23"/>
    <mergeCell ref="AM23:AO23"/>
    <mergeCell ref="B23:D23"/>
    <mergeCell ref="E23:I23"/>
    <mergeCell ref="J23:P23"/>
    <mergeCell ref="Q23:W23"/>
    <mergeCell ref="X23:AD23"/>
    <mergeCell ref="AE23:AF23"/>
    <mergeCell ref="AG23:AI23"/>
    <mergeCell ref="BH24:BJ24"/>
    <mergeCell ref="BK24:BQ24"/>
    <mergeCell ref="BH26:BJ26"/>
    <mergeCell ref="BK26:BQ26"/>
    <mergeCell ref="BE24:BG24"/>
    <mergeCell ref="AJ24:AL24"/>
    <mergeCell ref="AP24:AR24"/>
    <mergeCell ref="AS24:AU24"/>
    <mergeCell ref="AV24:AX24"/>
    <mergeCell ref="AY24:BA24"/>
    <mergeCell ref="BB24:BD24"/>
    <mergeCell ref="AM24:AO24"/>
    <mergeCell ref="E24:I24"/>
    <mergeCell ref="J24:P24"/>
    <mergeCell ref="Q24:W24"/>
    <mergeCell ref="X24:AD24"/>
    <mergeCell ref="AE24:AF24"/>
    <mergeCell ref="AG24:AI24"/>
    <mergeCell ref="A25:BQ25"/>
    <mergeCell ref="B24:D24"/>
    <mergeCell ref="B26:D26"/>
    <mergeCell ref="E26:I26"/>
    <mergeCell ref="J26:P26"/>
    <mergeCell ref="Q26:W26"/>
    <mergeCell ref="X26:AD26"/>
    <mergeCell ref="AE26:AF26"/>
    <mergeCell ref="A1:E1"/>
    <mergeCell ref="F1:Q1"/>
    <mergeCell ref="R1:V1"/>
    <mergeCell ref="W1:AH1"/>
    <mergeCell ref="F2:Q2"/>
    <mergeCell ref="R2:V2"/>
    <mergeCell ref="W2:AH2"/>
    <mergeCell ref="A2:E2"/>
    <mergeCell ref="A3:E3"/>
    <mergeCell ref="F3:Q3"/>
    <mergeCell ref="R3:V3"/>
    <mergeCell ref="W3:AH3"/>
    <mergeCell ref="A4:E4"/>
    <mergeCell ref="F4:AH4"/>
    <mergeCell ref="T6:V6"/>
    <mergeCell ref="W6:Y6"/>
    <mergeCell ref="Z6:AB6"/>
    <mergeCell ref="AC6:AE6"/>
    <mergeCell ref="A5:S5"/>
    <mergeCell ref="T5:AH5"/>
    <mergeCell ref="H6:J6"/>
    <mergeCell ref="K6:M6"/>
    <mergeCell ref="N6:P6"/>
    <mergeCell ref="Q6:S6"/>
    <mergeCell ref="AF6:AH6"/>
    <mergeCell ref="W7:Y7"/>
    <mergeCell ref="Z7:AB7"/>
    <mergeCell ref="AC7:AE7"/>
    <mergeCell ref="AF7:AH7"/>
    <mergeCell ref="A6:G6"/>
    <mergeCell ref="A7:G7"/>
    <mergeCell ref="H7:J7"/>
    <mergeCell ref="K7:M7"/>
    <mergeCell ref="N7:P7"/>
    <mergeCell ref="Q7:S7"/>
    <mergeCell ref="T7:V7"/>
    <mergeCell ref="Z8:AB8"/>
    <mergeCell ref="AC8:AE8"/>
    <mergeCell ref="AF8:AH8"/>
    <mergeCell ref="A8:G8"/>
    <mergeCell ref="H8:J8"/>
    <mergeCell ref="K8:M8"/>
    <mergeCell ref="N8:P8"/>
    <mergeCell ref="Q8:S8"/>
    <mergeCell ref="T8:V8"/>
    <mergeCell ref="W8:Y8"/>
    <mergeCell ref="AS11:AU11"/>
    <mergeCell ref="AV11:AX11"/>
    <mergeCell ref="AY11:BA11"/>
    <mergeCell ref="BB11:BD11"/>
    <mergeCell ref="BE11:BG11"/>
    <mergeCell ref="BH11:BJ11"/>
    <mergeCell ref="A12:BQ12"/>
    <mergeCell ref="AG10:AU10"/>
    <mergeCell ref="AV10:BJ10"/>
    <mergeCell ref="BK10:BQ11"/>
    <mergeCell ref="AG11:AI11"/>
    <mergeCell ref="AJ11:AL11"/>
    <mergeCell ref="AM11:AO11"/>
    <mergeCell ref="AP11:AR11"/>
    <mergeCell ref="A10:A11"/>
    <mergeCell ref="B10:D11"/>
    <mergeCell ref="E10:I11"/>
    <mergeCell ref="J10:P11"/>
    <mergeCell ref="Q10:W11"/>
    <mergeCell ref="X10:AD11"/>
    <mergeCell ref="AE10:AF11"/>
    <mergeCell ref="AJ15:AL15"/>
    <mergeCell ref="AP15:AR15"/>
    <mergeCell ref="AS15:AU15"/>
    <mergeCell ref="AY15:BA15"/>
    <mergeCell ref="AV15:AX15"/>
    <mergeCell ref="BB15:BD15"/>
    <mergeCell ref="AM15:AO15"/>
    <mergeCell ref="BH15:BJ15"/>
    <mergeCell ref="BE15:BG15"/>
    <mergeCell ref="BH13:BJ13"/>
    <mergeCell ref="BK13:BQ13"/>
    <mergeCell ref="BE13:BG13"/>
    <mergeCell ref="AJ13:AL13"/>
    <mergeCell ref="AP13:AR13"/>
    <mergeCell ref="AS13:AU13"/>
    <mergeCell ref="AV13:AX13"/>
    <mergeCell ref="AY13:BA13"/>
    <mergeCell ref="BB13:BD13"/>
    <mergeCell ref="AM13:AO13"/>
    <mergeCell ref="B13:D13"/>
    <mergeCell ref="E13:I13"/>
    <mergeCell ref="J13:P13"/>
    <mergeCell ref="Q13:W13"/>
    <mergeCell ref="X13:AD13"/>
    <mergeCell ref="AE13:AF13"/>
    <mergeCell ref="AG13:AI13"/>
    <mergeCell ref="BH14:BJ14"/>
    <mergeCell ref="BK14:BQ14"/>
    <mergeCell ref="BK15:BQ15"/>
    <mergeCell ref="BE14:BG14"/>
    <mergeCell ref="AJ14:AL14"/>
    <mergeCell ref="AP14:AR14"/>
    <mergeCell ref="AS14:AU14"/>
    <mergeCell ref="AY14:BA14"/>
    <mergeCell ref="BB14:BD14"/>
    <mergeCell ref="AV14:AX14"/>
    <mergeCell ref="AM14:AO14"/>
    <mergeCell ref="B14:D14"/>
    <mergeCell ref="E14:I14"/>
    <mergeCell ref="J14:P14"/>
    <mergeCell ref="Q14:W14"/>
    <mergeCell ref="X14:AD14"/>
    <mergeCell ref="AE14:AF14"/>
    <mergeCell ref="AG14:AI14"/>
    <mergeCell ref="B15:D15"/>
    <mergeCell ref="E15:I15"/>
    <mergeCell ref="J15:P15"/>
    <mergeCell ref="Q15:W15"/>
    <mergeCell ref="X15:AD15"/>
    <mergeCell ref="AE15:AF15"/>
    <mergeCell ref="AG15:AI15"/>
    <mergeCell ref="AG19:AI19"/>
    <mergeCell ref="AJ19:AL19"/>
    <mergeCell ref="AP19:AR19"/>
    <mergeCell ref="AS19:AU19"/>
    <mergeCell ref="AV19:AX19"/>
    <mergeCell ref="AY19:BA19"/>
    <mergeCell ref="AM19:AO19"/>
    <mergeCell ref="BB19:BD19"/>
    <mergeCell ref="BE19:BG19"/>
    <mergeCell ref="BH16:BJ16"/>
    <mergeCell ref="BK16:BQ16"/>
    <mergeCell ref="BE16:BG16"/>
    <mergeCell ref="AJ16:AL16"/>
    <mergeCell ref="AP16:AR16"/>
    <mergeCell ref="AS16:AU16"/>
    <mergeCell ref="AY16:BA16"/>
    <mergeCell ref="AV16:AX16"/>
    <mergeCell ref="BB16:BD16"/>
    <mergeCell ref="AM16:AO16"/>
    <mergeCell ref="B16:D16"/>
    <mergeCell ref="E16:I16"/>
    <mergeCell ref="J16:P16"/>
    <mergeCell ref="Q16:W16"/>
    <mergeCell ref="X16:AD16"/>
    <mergeCell ref="AE16:AF16"/>
    <mergeCell ref="AG16:AI16"/>
    <mergeCell ref="BH17:BJ17"/>
    <mergeCell ref="BK17:BQ17"/>
    <mergeCell ref="BH19:BJ19"/>
    <mergeCell ref="BK19:BQ19"/>
    <mergeCell ref="BE17:BG17"/>
    <mergeCell ref="AJ17:AL17"/>
    <mergeCell ref="AP17:AR17"/>
    <mergeCell ref="AS17:AU17"/>
    <mergeCell ref="AY17:BA17"/>
    <mergeCell ref="AV17:AX17"/>
    <mergeCell ref="BB17:BD17"/>
    <mergeCell ref="AM17:AO17"/>
    <mergeCell ref="E17:I17"/>
    <mergeCell ref="J17:P17"/>
    <mergeCell ref="Q17:W17"/>
    <mergeCell ref="X17:AD17"/>
    <mergeCell ref="AE17:AF17"/>
    <mergeCell ref="AG17:AI17"/>
    <mergeCell ref="A18:BQ18"/>
    <mergeCell ref="B17:D17"/>
    <mergeCell ref="B19:D19"/>
    <mergeCell ref="E19:I19"/>
    <mergeCell ref="J19:P19"/>
    <mergeCell ref="Q19:W19"/>
    <mergeCell ref="X19:AD19"/>
    <mergeCell ref="AE19:AF19"/>
    <mergeCell ref="BH29:BJ29"/>
    <mergeCell ref="BE28:BG28"/>
    <mergeCell ref="BE27:BG27"/>
    <mergeCell ref="BE29:BG29"/>
    <mergeCell ref="BB28:BD28"/>
    <mergeCell ref="BB27:BD27"/>
    <mergeCell ref="AJ29:AL29"/>
    <mergeCell ref="AP29:AR29"/>
    <mergeCell ref="AS29:AU29"/>
    <mergeCell ref="AV29:AX29"/>
    <mergeCell ref="AY29:BA29"/>
    <mergeCell ref="BB29:BD29"/>
    <mergeCell ref="AM28:AO28"/>
    <mergeCell ref="AM27:AO27"/>
    <mergeCell ref="AM29:AO29"/>
    <mergeCell ref="E29:I29"/>
    <mergeCell ref="J29:P29"/>
    <mergeCell ref="Q29:W29"/>
    <mergeCell ref="X29:AD29"/>
    <mergeCell ref="AE29:AF29"/>
    <mergeCell ref="AG29:AI29"/>
    <mergeCell ref="A30:BQ30"/>
    <mergeCell ref="B29:D29"/>
    <mergeCell ref="B31:D31"/>
    <mergeCell ref="E31:I31"/>
    <mergeCell ref="J31:P31"/>
    <mergeCell ref="Q31:W31"/>
    <mergeCell ref="X31:AD31"/>
    <mergeCell ref="AE31:AF31"/>
    <mergeCell ref="BH31:BJ31"/>
    <mergeCell ref="BK31:BQ31"/>
    <mergeCell ref="AS31:AU31"/>
    <mergeCell ref="AV31:AX31"/>
    <mergeCell ref="AY31:BA31"/>
    <mergeCell ref="AM31:AO31"/>
    <mergeCell ref="BB31:BD31"/>
    <mergeCell ref="AP31:AR31"/>
    <mergeCell ref="BE31:BG31"/>
    <mergeCell ref="BH27:BJ27"/>
    <mergeCell ref="BK27:BQ27"/>
    <mergeCell ref="AJ27:AL27"/>
    <mergeCell ref="AP27:AR27"/>
    <mergeCell ref="AS27:AU27"/>
    <mergeCell ref="AV27:AX27"/>
    <mergeCell ref="AY27:BA27"/>
    <mergeCell ref="B27:D27"/>
    <mergeCell ref="E27:I27"/>
    <mergeCell ref="J27:P27"/>
    <mergeCell ref="Q27:W27"/>
    <mergeCell ref="X27:AD27"/>
    <mergeCell ref="AE27:AF27"/>
    <mergeCell ref="AG27:AI27"/>
    <mergeCell ref="BH28:BJ28"/>
    <mergeCell ref="BK28:BQ28"/>
    <mergeCell ref="BK29:BQ29"/>
    <mergeCell ref="AJ28:AL28"/>
    <mergeCell ref="AP28:AR28"/>
    <mergeCell ref="AS28:AU28"/>
    <mergeCell ref="AV28:AX28"/>
    <mergeCell ref="AY28:BA28"/>
    <mergeCell ref="B28:D28"/>
    <mergeCell ref="E28:I28"/>
    <mergeCell ref="J28:P28"/>
    <mergeCell ref="Q28:W28"/>
    <mergeCell ref="X28:AD28"/>
    <mergeCell ref="AE28:AF28"/>
    <mergeCell ref="AG28:AI28"/>
    <mergeCell ref="BH32:BJ32"/>
    <mergeCell ref="BK32:BQ32"/>
    <mergeCell ref="BE32:BG32"/>
    <mergeCell ref="AJ32:AL32"/>
    <mergeCell ref="AS32:AU32"/>
    <mergeCell ref="AV32:AX32"/>
    <mergeCell ref="AY32:BA32"/>
    <mergeCell ref="AM32:AO32"/>
    <mergeCell ref="BB32:BD32"/>
    <mergeCell ref="AP32:AR32"/>
    <mergeCell ref="AJ34:AL34"/>
    <mergeCell ref="AS34:AU34"/>
    <mergeCell ref="AV34:AX34"/>
    <mergeCell ref="AY34:BA34"/>
    <mergeCell ref="AM34:AO34"/>
    <mergeCell ref="BB34:BD34"/>
    <mergeCell ref="AP34:AR34"/>
    <mergeCell ref="B34:D34"/>
    <mergeCell ref="E34:I34"/>
    <mergeCell ref="J34:P34"/>
    <mergeCell ref="Q34:W34"/>
    <mergeCell ref="X34:AD34"/>
    <mergeCell ref="AE34:AF34"/>
    <mergeCell ref="AG34:AI34"/>
    <mergeCell ref="AJ35:AL35"/>
    <mergeCell ref="AS35:AU35"/>
    <mergeCell ref="AV35:AX35"/>
    <mergeCell ref="AY35:BA35"/>
    <mergeCell ref="AM35:AO35"/>
    <mergeCell ref="BB35:BD35"/>
    <mergeCell ref="AP35:AR35"/>
    <mergeCell ref="BH35:BJ35"/>
    <mergeCell ref="BE35:BG35"/>
    <mergeCell ref="AE32:AF32"/>
    <mergeCell ref="AG32:AI32"/>
    <mergeCell ref="AG31:AI31"/>
    <mergeCell ref="AJ31:AL31"/>
    <mergeCell ref="B32:D32"/>
    <mergeCell ref="E32:I32"/>
    <mergeCell ref="J32:P32"/>
    <mergeCell ref="Q32:W32"/>
    <mergeCell ref="X32:AD32"/>
    <mergeCell ref="BH33:BJ33"/>
    <mergeCell ref="BK33:BQ33"/>
    <mergeCell ref="BE33:BG33"/>
    <mergeCell ref="AJ33:AL33"/>
    <mergeCell ref="AS33:AU33"/>
    <mergeCell ref="AV33:AX33"/>
    <mergeCell ref="AY33:BA33"/>
    <mergeCell ref="AM33:AO33"/>
    <mergeCell ref="BB33:BD33"/>
    <mergeCell ref="AP33:AR33"/>
    <mergeCell ref="B33:D33"/>
    <mergeCell ref="E33:I33"/>
    <mergeCell ref="J33:P33"/>
    <mergeCell ref="Q33:W33"/>
    <mergeCell ref="X33:AD33"/>
    <mergeCell ref="AE33:AF33"/>
    <mergeCell ref="AG33:AI33"/>
    <mergeCell ref="BH34:BJ34"/>
    <mergeCell ref="BK34:BQ34"/>
    <mergeCell ref="BK35:BQ35"/>
    <mergeCell ref="BE34:BG34"/>
    <mergeCell ref="B35:D35"/>
    <mergeCell ref="E35:I35"/>
    <mergeCell ref="J35:P35"/>
    <mergeCell ref="Q35:W35"/>
    <mergeCell ref="X35:AD35"/>
    <mergeCell ref="AE35:AF35"/>
    <mergeCell ref="AG35:AI35"/>
    <mergeCell ref="AJ38:AL38"/>
    <mergeCell ref="AM38:AO38"/>
    <mergeCell ref="AS38:AU38"/>
    <mergeCell ref="AV38:AX38"/>
    <mergeCell ref="AY38:BA38"/>
    <mergeCell ref="BB38:BD38"/>
    <mergeCell ref="AP38:AR38"/>
    <mergeCell ref="BH38:BJ38"/>
    <mergeCell ref="BE38:BG38"/>
    <mergeCell ref="BH36:BJ36"/>
    <mergeCell ref="BK36:BQ36"/>
    <mergeCell ref="BE36:BG36"/>
    <mergeCell ref="AJ36:AL36"/>
    <mergeCell ref="AM36:AO36"/>
    <mergeCell ref="AS36:AU36"/>
    <mergeCell ref="AV36:AX36"/>
    <mergeCell ref="AY36:BA36"/>
    <mergeCell ref="BB36:BD36"/>
    <mergeCell ref="AP36:AR36"/>
    <mergeCell ref="B36:D36"/>
    <mergeCell ref="E36:I36"/>
    <mergeCell ref="J36:P36"/>
    <mergeCell ref="Q36:W36"/>
    <mergeCell ref="X36:AD36"/>
    <mergeCell ref="AE36:AF36"/>
    <mergeCell ref="AG36:AI36"/>
    <mergeCell ref="BH37:BJ37"/>
    <mergeCell ref="BK37:BQ37"/>
    <mergeCell ref="BK38:BQ38"/>
    <mergeCell ref="BE37:BG37"/>
    <mergeCell ref="AJ37:AL37"/>
    <mergeCell ref="AM37:AO37"/>
    <mergeCell ref="AS37:AU37"/>
    <mergeCell ref="AV37:AX37"/>
    <mergeCell ref="AY37:BA37"/>
    <mergeCell ref="BB37:BD37"/>
    <mergeCell ref="AP37:AR37"/>
    <mergeCell ref="B37:D37"/>
    <mergeCell ref="E37:I37"/>
    <mergeCell ref="J37:P37"/>
    <mergeCell ref="Q37:W37"/>
    <mergeCell ref="X37:AD37"/>
    <mergeCell ref="AE37:AF37"/>
    <mergeCell ref="AG37:AI37"/>
    <mergeCell ref="B38:D38"/>
    <mergeCell ref="E38:I38"/>
    <mergeCell ref="J38:P38"/>
    <mergeCell ref="Q38:W38"/>
    <mergeCell ref="X38:AD38"/>
    <mergeCell ref="AE38:AF38"/>
    <mergeCell ref="AG38:AI38"/>
    <mergeCell ref="AJ50:AL50"/>
    <mergeCell ref="AM50:AO50"/>
    <mergeCell ref="AS50:AU50"/>
    <mergeCell ref="AV50:AX50"/>
    <mergeCell ref="AY50:BA50"/>
    <mergeCell ref="BH50:BJ50"/>
    <mergeCell ref="BH48:BJ48"/>
    <mergeCell ref="BK48:BQ48"/>
    <mergeCell ref="AJ48:AL48"/>
    <mergeCell ref="AM48:AO48"/>
    <mergeCell ref="AS48:AU48"/>
    <mergeCell ref="AV48:AX48"/>
    <mergeCell ref="AY48:BA48"/>
    <mergeCell ref="B48:D48"/>
    <mergeCell ref="E48:I48"/>
    <mergeCell ref="J48:P48"/>
    <mergeCell ref="Q48:W48"/>
    <mergeCell ref="X48:AD48"/>
    <mergeCell ref="AE48:AF48"/>
    <mergeCell ref="AG48:AI48"/>
    <mergeCell ref="BH49:BJ49"/>
    <mergeCell ref="BK49:BQ49"/>
    <mergeCell ref="BK50:BQ50"/>
    <mergeCell ref="AJ49:AL49"/>
    <mergeCell ref="AM49:AO49"/>
    <mergeCell ref="AS49:AU49"/>
    <mergeCell ref="AV49:AX49"/>
    <mergeCell ref="AY49:BA49"/>
    <mergeCell ref="B49:D49"/>
    <mergeCell ref="E49:I49"/>
    <mergeCell ref="J49:P49"/>
    <mergeCell ref="Q49:W49"/>
    <mergeCell ref="X49:AD49"/>
    <mergeCell ref="AE49:AF49"/>
    <mergeCell ref="AG49:AI49"/>
    <mergeCell ref="B50:D50"/>
    <mergeCell ref="E50:I50"/>
    <mergeCell ref="J50:P50"/>
    <mergeCell ref="Q50:W50"/>
    <mergeCell ref="X50:AD50"/>
    <mergeCell ref="AE50:AF50"/>
    <mergeCell ref="AG50:AI50"/>
    <mergeCell ref="AJ53:AL53"/>
    <mergeCell ref="AM53:AO53"/>
    <mergeCell ref="AS53:AU53"/>
    <mergeCell ref="AV53:AX53"/>
    <mergeCell ref="AY53:BA53"/>
    <mergeCell ref="BH53:BJ53"/>
    <mergeCell ref="BH51:BJ51"/>
    <mergeCell ref="BK51:BQ51"/>
    <mergeCell ref="AJ51:AL51"/>
    <mergeCell ref="AM51:AO51"/>
    <mergeCell ref="AS51:AU51"/>
    <mergeCell ref="AV51:AX51"/>
    <mergeCell ref="AY51:BA51"/>
    <mergeCell ref="B51:D51"/>
    <mergeCell ref="E51:I51"/>
    <mergeCell ref="J51:P51"/>
    <mergeCell ref="Q51:W51"/>
    <mergeCell ref="X51:AD51"/>
    <mergeCell ref="AE51:AF51"/>
    <mergeCell ref="AG51:AI51"/>
    <mergeCell ref="BH52:BJ52"/>
    <mergeCell ref="BK52:BQ52"/>
    <mergeCell ref="BK53:BQ53"/>
    <mergeCell ref="AJ52:AL52"/>
    <mergeCell ref="AM52:AO52"/>
    <mergeCell ref="AS52:AU52"/>
    <mergeCell ref="AV52:AX52"/>
    <mergeCell ref="AY52:BA52"/>
    <mergeCell ref="B52:D52"/>
    <mergeCell ref="E52:I52"/>
    <mergeCell ref="J52:P52"/>
    <mergeCell ref="Q52:W52"/>
    <mergeCell ref="X52:AD52"/>
    <mergeCell ref="AE52:AF52"/>
    <mergeCell ref="AG52:AI52"/>
    <mergeCell ref="B53:D53"/>
    <mergeCell ref="E53:I53"/>
    <mergeCell ref="J53:P53"/>
    <mergeCell ref="Q53:W53"/>
    <mergeCell ref="X53:AD53"/>
    <mergeCell ref="AE53:AF53"/>
    <mergeCell ref="AG53:AI53"/>
    <mergeCell ref="AJ56:AL56"/>
    <mergeCell ref="AM56:AO56"/>
    <mergeCell ref="AS56:AU56"/>
    <mergeCell ref="AV56:AX56"/>
    <mergeCell ref="AY56:BA56"/>
    <mergeCell ref="BH56:BJ56"/>
    <mergeCell ref="BH54:BJ54"/>
    <mergeCell ref="BK54:BQ54"/>
    <mergeCell ref="AJ54:AL54"/>
    <mergeCell ref="AM54:AO54"/>
    <mergeCell ref="AS54:AU54"/>
    <mergeCell ref="AV54:AX54"/>
    <mergeCell ref="AY54:BA54"/>
    <mergeCell ref="B54:D54"/>
    <mergeCell ref="E54:I54"/>
    <mergeCell ref="J54:P54"/>
    <mergeCell ref="Q54:W54"/>
    <mergeCell ref="X54:AD54"/>
    <mergeCell ref="AE54:AF54"/>
    <mergeCell ref="AG54:AI54"/>
    <mergeCell ref="BH55:BJ55"/>
    <mergeCell ref="BK55:BQ55"/>
    <mergeCell ref="BK56:BQ56"/>
    <mergeCell ref="AJ55:AL55"/>
    <mergeCell ref="AM55:AO55"/>
    <mergeCell ref="AS55:AU55"/>
    <mergeCell ref="AV55:AX55"/>
    <mergeCell ref="AY55:BA55"/>
    <mergeCell ref="B55:D55"/>
    <mergeCell ref="E55:I55"/>
    <mergeCell ref="J55:P55"/>
    <mergeCell ref="Q55:W55"/>
    <mergeCell ref="X55:AD55"/>
    <mergeCell ref="AE55:AF55"/>
    <mergeCell ref="AG55:AI55"/>
    <mergeCell ref="B56:D56"/>
    <mergeCell ref="E56:I56"/>
    <mergeCell ref="J56:P56"/>
    <mergeCell ref="Q56:W56"/>
    <mergeCell ref="X56:AD56"/>
    <mergeCell ref="AE56:AF56"/>
    <mergeCell ref="AG56:AI56"/>
  </mergeCells>
  <dataValidations>
    <dataValidation type="list" allowBlank="1" sqref="F1">
      <formula1>"単体テスト,結合テスト,システムテスト"</formula1>
    </dataValidation>
    <dataValidation type="list" allowBlank="1" sqref="AG13:AG17 AV13:AV17 AG19:AG24 AV19:AV24 AG26:AG29 AV26:AV29 AG31:AG62 AV31:AV62 AG64:AG71 AV64:AV71 AG73:AG81 AV73:AV81 AG83:AG90 AV83:AV90">
      <formula1>"合格,不合格,未テスト,N/A"</formula1>
    </dataValidation>
    <dataValidation type="list" allowBlank="1" sqref="AE13:AE17 AE19:AE24 AE26:AE29 AE31:AE62 AE64:AE71 AE73:AE81 AE83:AE90">
      <formula1>"N,A,B"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2026-05-14T07:42:24Z</dcterms:created>
  <dc:creator>openpyxl</dc:creator>
</cp:coreProperties>
</file>