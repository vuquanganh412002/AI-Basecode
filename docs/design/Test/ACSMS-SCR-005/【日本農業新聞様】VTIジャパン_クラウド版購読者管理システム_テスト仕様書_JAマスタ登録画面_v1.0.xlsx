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<sst xmlns="http://schemas.openxmlformats.org/spreadsheetml/2006/main" count="1049" uniqueCount="572">
  <si>
    <t>クラウド版購読者管理システム</t>
  </si>
  <si>
    <t>JAマスタ登録画面</t>
  </si>
  <si>
    <t>版1.0</t>
  </si>
  <si>
    <t>フォーマットコード</t>
  </si>
  <si>
    <t>16-BM/PM/VTI</t>
  </si>
  <si>
    <t>フォーマットバージョン</t>
  </si>
  <si>
    <t>1.0</t>
  </si>
  <si>
    <t>発行日</t>
  </si>
  <si>
    <t>2026/05/08</t>
  </si>
  <si>
    <t>項番</t>
  </si>
  <si>
    <t>バージョン</t>
  </si>
  <si>
    <t>担当者</t>
  </si>
  <si>
    <t>変更内容</t>
  </si>
  <si>
    <t>確認者</t>
  </si>
  <si>
    <t>承認者</t>
  </si>
  <si>
    <t>2026-05-08</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</si>
  <si>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</si>
  <si>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</si>
  <si>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</si>
  <si>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</si>
  <si>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</si>
  <si>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</si>
  <si>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</si>
  <si>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</si>
  <si>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</si>
  <si>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</si>
  <si>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</si>
  <si>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</si>
  <si>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</si>
  <si>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phiên bản cloud dành cho JA, cung cấp các chức năng quản lý thông tin độc giả, quản lý lịch sử đặt báo, quản lý dữ liệu chuyển khoản tự động, v.v.</t>
  </si>
  <si>
    <t>Các chức năng chính bao gồm: đăng ký / cập nhật / tìm kiếm thông tin độc giả,</t>
  </si>
  <si>
    <t>quản lý lịch sử thay đổi nội dung đặt báo, tạo và quản lý dữ liệu chuyển khoản tự động,</t>
  </si>
  <si>
    <t>chức năng tải lên / tải xuống file, quản lý thông báo hệ thống.</t>
  </si>
  <si>
    <t>Ngoài ra, hệ thống còn hỗ trợ các chức năng bảo mật / kiểm toán như quản lý đăng nhập của user,</t>
  </si>
  <si>
    <t>ghi lịch sử đăng nhập, ghi log thao tác của user.</t>
  </si>
  <si>
    <t>2.資料目的</t>
  </si>
  <si>
    <t>Tài liệu mô tả chi tiết test specification được tạo mới trên hệ thống tại màn hình "JAマスタ登録画面（ACSMS-SCR-005）".</t>
  </si>
  <si>
    <t>Tài liệu tham khảo ISTQB và IEEE 829, đáp ứng các tiêu chuẩn chất lượng sau:</t>
  </si>
  <si>
    <t>- Mỗi testcase được tạo dựa trên một scenario duy nhất (single responsibility).</t>
  </si>
  <si>
    <t>- Mô tả các bước với mức độ chi tiết có thể tái hiện, làm rõ test data sử dụng.</t>
  </si>
  <si>
    <t>- Kết quả mong đợi phải đo lường được (nội dung message, kết quả query DB, HTTP status code, v.v.).</t>
  </si>
  <si>
    <t>- Thiết lập độ ưu tiên (P0: chặn release / P1: cao / P2: trung bình).</t>
  </si>
  <si>
    <t>3.関連資料</t>
  </si>
  <si>
    <t>No</t>
  </si>
  <si>
    <t>資料コード</t>
  </si>
  <si>
    <t>資料名</t>
  </si>
  <si>
    <t>ACSMS-SCR-005</t>
  </si>
  <si>
    <t>Tài liệu thiết kế màn hình đăng ký JA Master</t>
  </si>
  <si>
    <t>ACSMS-SCR-005-api</t>
  </si>
  <si>
    <t>Tài liệu thiết kế API màn hình đăng ký JA Master</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</si>
  <si>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</si>
  <si>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</si>
  <si>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</si>
  <si>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</si>
  <si>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</si>
  <si>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</si>
  <si>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</si>
  <si>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</si>
  <si>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</si>
  <si>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</si>
  <si>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</si>
  <si>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</si>
  <si>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</si>
  <si>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</si>
  <si>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</si>
  <si>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</si>
  <si>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</si>
  <si>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</si>
  <si>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</si>
  <si>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</si>
  <si>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</si>
  <si>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</si>
  <si>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</si>
  <si>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</si>
  <si>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</si>
  <si>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</si>
  <si>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</si>
  <si>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</si>
  <si>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</si>
  <si>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</si>
  <si>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</si>
  <si>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</si>
  <si>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</si>
  <si>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</si>
  <si>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</si>
  <si>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</si>
  <si>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</si>
  <si>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</si>
  <si>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</si>
  <si>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</si>
  <si>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</si>
  <si>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</si>
  <si>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</si>
  <si>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</si>
  <si>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</si>
  <si>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</si>
  <si>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</si>
  <si>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</si>
  <si>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</si>
  <si>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</si>
  <si>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</si>
  <si>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</si>
  <si>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</si>
  <si>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</si>
  <si>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</si>
  <si>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</si>
  <si>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</si>
  <si>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</si>
  <si>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</si>
  <si>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</si>
  <si>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</si>
  <si>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</si>
  <si>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</si>
  <si>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</si>
  <si>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</si>
  <si>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</si>
  <si>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</si>
  <si>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</si>
  <si>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</si>
  <si>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</si>
  <si>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</si>
  <si>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</si>
  <si>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</si>
  <si>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</si>
  <si>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</si>
  <si>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</si>
  <si>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</si>
  <si>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</si>
  <si>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</si>
  <si>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</si>
  <si>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</si>
  <si>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</si>
  <si>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</si>
  <si>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</si>
  <si>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</si>
  <si>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</si>
  <si>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</si>
  <si>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</si>
  <si>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</si>
  <si>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</si>
  <si>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</si>
  <si>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</si>
  <si>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</si>
  <si>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</si>
  <si>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</si>
  <si>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</si>
  <si>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</si>
  <si>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</si>
  <si>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</si>
  <si>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</si>
  <si>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</si>
  <si>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</si>
  <si>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</si>
  <si>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</si>
  <si>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</si>
  <si>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</si>
  <si>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</si>
  <si>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</si>
  <si>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</si>
  <si>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</si>
  <si>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</si>
  <si>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</si>
  <si>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</si>
  <si>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</si>
  <si>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</si>
  <si>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</si>
  <si>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</si>
  <si>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</si>
  <si>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</si>
  <si>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</si>
  <si>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</si>
  <si>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</si>
  <si>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</si>
  <si>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</si>
  <si>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</si>
  <si>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</si>
  <si>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</si>
  <si>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</si>
  <si>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</si>
  <si>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</si>
  <si>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</si>
  <si>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</si>
  <si>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</si>
  <si>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</si>
  <si>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</si>
  <si>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</si>
  <si>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</si>
  <si>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</si>
  <si>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</si>
  <si>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</si>
  <si>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</si>
  <si>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</si>
  <si>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</si>
  <si>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</si>
  <si>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</si>
  <si>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</si>
  <si>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</si>
  <si>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</si>
  <si>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</si>
  <si>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</si>
  <si>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</si>
  <si>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</si>
  <si>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</si>
  <si>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</si>
  <si>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</si>
  <si>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</si>
  <si>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</si>
  <si>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</si>
  <si>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</si>
  <si>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</si>
  <si>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</si>
  <si>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</si>
  <si>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</si>
  <si>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</si>
  <si>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</si>
  <si>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</si>
  <si>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</si>
  <si>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</si>
  <si>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</si>
  <si>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</si>
  <si>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</si>
  <si>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</si>
  <si>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</si>
  <si>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</si>
  <si>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</si>
  <si>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</si>
  <si>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</si>
  <si>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</si>
  <si>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</si>
  <si>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</si>
  <si>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</si>
  <si>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</si>
  <si>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</si>
  <si>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</si>
  <si>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</si>
  <si>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</si>
  <si>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</si>
  <si>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</si>
  <si>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</si>
  <si>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</si>
  <si>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</si>
  <si>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</si>
  <si>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ACSMS-SCR-005_JAマスタ登録画面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</si>
  <si>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</si>
  <si>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</si>
  <si>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</si>
  <si>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</si>
  <si>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</si>
  <si>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</si>
  <si>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</si>
  <si>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</si>
  <si>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</si>
  <si>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</si>
  <si>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</si>
  <si>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</si>
  <si>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</si>
  <si>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</si>
  <si>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</si>
  <si>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</si>
  <si>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</si>
  <si>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</si>
  <si>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</si>
  <si>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</si>
  <si>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</si>
  <si>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</si>
  <si>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ACSMS-TC-005-001</t>
  </si>
  <si>
    <t>Cho phép NICHINO_ADMIN truy cập màn hình đăng ký / chỉnh sửa</t>
  </si>
  <si>
    <t>・role: NICHINO_ADMIN
・Đã đăng nhập + xác thực MFA
・Quyền: nắm giữ ja.create / ja.view / ja.update</t>
  </si>
  <si>
    <r>
      <rPr>
        <b/>
        <sz val="10"/>
        <color rgb="FF000000"/>
        <rFont val="游ゴシック"/>
        <charset val="134"/>
      </rPr>
      <t xml:space="preserve">ステップ1：
</t>
    </r>
    <r>
      <rPr>
        <sz val="10"/>
        <color rgb="FF000000"/>
        <rFont val="游ゴシック"/>
        <charset val="134"/>
      </rPr>
      <t xml:space="preserve">Mở dashboard, kiểm tra mục「JAマスタ」trên sidebar
</t>
    </r>
    <r>
      <rPr>
        <b/>
        <sz val="10"/>
        <color rgb="FF000000"/>
        <rFont val="游ゴシック"/>
        <charset val="134"/>
      </rPr>
      <t xml:space="preserve">ステップ2：
</t>
    </r>
    <r>
      <rPr>
        <sz val="10"/>
        <color rgb="FF000000"/>
        <rFont val="游ゴシック"/>
        <charset val="134"/>
      </rPr>
      <t xml:space="preserve">Click「JAマスタ」→ click nút「新規登録」trên màn hình danh sách
</t>
    </r>
    <r>
      <rPr>
        <b/>
        <sz val="10"/>
        <color rgb="FF000000"/>
        <rFont val="游ゴシック"/>
        <charset val="134"/>
      </rPr>
      <t xml:space="preserve">ステップ3：
</t>
    </r>
    <r>
      <rPr>
        <sz val="10"/>
        <color rgb="FF000000"/>
        <rFont val="游ゴシック"/>
        <charset val="134"/>
      </rPr>
      <t xml:space="preserve">Truy cập trực tiếp URL `/ja/{ja_id}/edit` để vào màn hình chỉnh sửa JA hiện có
</t>
    </r>
    <r>
      <rPr>
        <b/>
        <sz val="10"/>
        <color rgb="FF000000"/>
        <rFont val="游ゴシック"/>
        <charset val="134"/>
      </rPr>
      <t xml:space="preserve">ステップ4：
</t>
    </r>
    <r>
      <rPr>
        <sz val="10"/>
        <color rgb="FF000000"/>
        <rFont val="游ゴシック"/>
        <charset val="134"/>
      </rPr>
      <t>Trên DevTools, gửi POST `/api/v1/ja` với request body hợp lệ, sau đó gửi PUT `/api/v1/ja/{ja_id}`</t>
    </r>
  </si>
  <si>
    <r>
      <rPr>
        <b/>
        <sz val="10"/>
        <color rgb="FF000000"/>
        <rFont val="游ゴシック"/>
        <charset val="134"/>
      </rPr>
      <t xml:space="preserve">ステップ1：
</t>
    </r>
    <r>
      <rPr>
        <sz val="10"/>
        <color rgb="FF000000"/>
        <rFont val="游ゴシック"/>
        <charset val="134"/>
      </rPr>
      <t xml:space="preserve">Mục「JAマスタ」hiển thị trên sidebar (do nắm giữ quyền `ja.view`)
</t>
    </r>
    <r>
      <rPr>
        <b/>
        <sz val="10"/>
        <color rgb="FF000000"/>
        <rFont val="游ゴシック"/>
        <charset val="134"/>
      </rPr>
      <t xml:space="preserve">ステップ2：
</t>
    </r>
    <r>
      <rPr>
        <sz val="10"/>
        <color rgb="FF000000"/>
        <rFont val="游ゴシック"/>
        <charset val="134"/>
      </rPr>
      <t xml:space="preserve">Mở màn hình `/ja/create`, form được hiển thị
</t>
    </r>
    <r>
      <rPr>
        <b/>
        <sz val="10"/>
        <color rgb="FF000000"/>
        <rFont val="游ゴシック"/>
        <charset val="134"/>
      </rPr>
      <t xml:space="preserve">ステップ3：
</t>
    </r>
    <r>
      <rPr>
        <sz val="10"/>
        <color rgb="FF000000"/>
        <rFont val="游ゴシック"/>
        <charset val="134"/>
      </rPr>
      <t xml:space="preserve">Mở màn hình `/ja/{ja_id}/edit`, giá trị hiện có được hiển thị trên form
</t>
    </r>
    <r>
      <rPr>
        <b/>
        <sz val="10"/>
        <color rgb="FF000000"/>
        <rFont val="游ゴシック"/>
        <charset val="134"/>
      </rPr>
      <t xml:space="preserve">ステップ4：
</t>
    </r>
    <r>
      <rPr>
        <sz val="10"/>
        <color rgb="FF000000"/>
        <rFont val="游ゴシック"/>
        <charset val="134"/>
      </rPr>
      <t xml:space="preserve">Trả về HTTP 201 (đăng ký thành công, HTTP 200 cập nhật thành công)
</t>
    </r>
    <r>
      <rPr>
        <b/>
        <sz val="10"/>
        <color rgb="FF000000"/>
        <rFont val="游ゴシック"/>
        <charset val="134"/>
      </rPr>
      <t xml:space="preserve">補足：
</t>
    </r>
    <r>
      <rPr>
        <sz val="10"/>
        <color rgb="FF000000"/>
        <rFont val="游ゴシック"/>
        <charset val="134"/>
      </rPr>
      <t>・Cả 3 lớp (FE menu, FE router guard, BE API guard) đều cho phép truy cập
・NICHINO_ADMIN nắm giữ quyền đăng ký / chỉnh sửa cho toàn bộ JA
・Có row mới trong `m_ja`, log thành công CREATE / UPDATE được ghi vào `t_log`</t>
    </r>
  </si>
  <si>
    <t>N</t>
  </si>
  <si>
    <t>diem.kieuthi</t>
  </si>
  <si>
    <t>mai.tranthi1</t>
  </si>
  <si>
    <t>ACSMS-TC-005-002</t>
  </si>
  <si>
    <t>Cấm NICHINO_STAFF truy cập màn hình đăng ký / chỉnh sửa</t>
  </si>
  <si>
    <t>・role: NICHINO_STAFF
・Đã đăng nhập + xác thực MFA
・Quyền: không nắm giữ bất kỳ quyền ja.* nào</t>
  </si>
  <si>
    <r>
      <rPr>
        <b/>
        <sz val="10"/>
        <color rgb="FF000000"/>
        <rFont val="游ゴシック"/>
        <charset val="134"/>
      </rPr>
      <t xml:space="preserve">ステップ1：
</t>
    </r>
    <r>
      <rPr>
        <sz val="10"/>
        <color rgb="FF000000"/>
        <rFont val="游ゴシック"/>
        <charset val="134"/>
      </rPr>
      <t xml:space="preserve">Kiểm tra mục「JAマスタ」trên sidebar
</t>
    </r>
    <r>
      <rPr>
        <b/>
        <sz val="10"/>
        <color rgb="FF000000"/>
        <rFont val="游ゴシック"/>
        <charset val="134"/>
      </rPr>
      <t xml:space="preserve">ステップ2：
</t>
    </r>
    <r>
      <rPr>
        <sz val="10"/>
        <color rgb="FF000000"/>
        <rFont val="游ゴシック"/>
        <charset val="134"/>
      </rPr>
      <t xml:space="preserve">Truy cập trực tiếp URL `/ja/create`
</t>
    </r>
    <r>
      <rPr>
        <b/>
        <sz val="10"/>
        <color rgb="FF000000"/>
        <rFont val="游ゴシック"/>
        <charset val="134"/>
      </rPr>
      <t xml:space="preserve">ステップ3：
</t>
    </r>
    <r>
      <rPr>
        <sz val="10"/>
        <color rgb="FF000000"/>
        <rFont val="游ゴシック"/>
        <charset val="134"/>
      </rPr>
      <t xml:space="preserve">Truy cập trực tiếp URL `/ja/1/edit`
</t>
    </r>
    <r>
      <rPr>
        <b/>
        <sz val="10"/>
        <color rgb="FF000000"/>
        <rFont val="游ゴシック"/>
        <charset val="134"/>
      </rPr>
      <t xml:space="preserve">ステップ4：
</t>
    </r>
    <r>
      <rPr>
        <sz val="10"/>
        <color rgb="FF000000"/>
        <rFont val="游ゴシック"/>
        <charset val="134"/>
      </rPr>
      <t>Trên DevTools, gửi POST `/api/v1/ja` với request body hợp lệ</t>
    </r>
  </si>
  <si>
    <r>
      <rPr>
        <b/>
        <sz val="10"/>
        <color rgb="FF000000"/>
        <rFont val="メイリオ"/>
        <charset val="134"/>
      </rPr>
      <t xml:space="preserve">ステップ1：
</t>
    </r>
    <r>
      <rPr>
        <sz val="10"/>
        <color rgb="FF000000"/>
        <rFont val="メイリオ"/>
        <charset val="134"/>
      </rPr>
      <t xml:space="preserve">Mục「JAマスタ」không hiển thị trên sidebar (NICHINO_STAFF không nắm giữ quyền `ja.view`)
</t>
    </r>
    <r>
      <rPr>
        <b/>
        <sz val="10"/>
        <color rgb="FF000000"/>
        <rFont val="メイリオ"/>
        <charset val="134"/>
      </rPr>
      <t xml:space="preserve">ステップ2：
</t>
    </r>
    <r>
      <rPr>
        <sz val="10"/>
        <color rgb="FF000000"/>
        <rFont val="メイリオ"/>
        <charset val="134"/>
      </rPr>
      <t xml:space="preserve">Toast「アクセス権がありません。」hiển thị
</t>
    </r>
    <r>
      <rPr>
        <sz val="10"/>
        <color rgb="FF000000"/>
        <rFont val="メイリオ"/>
        <charset val="134"/>
      </rPr>
      <t xml:space="preserve">và chuyển về「/dashboard」
</t>
    </r>
    <r>
      <rPr>
        <b/>
        <sz val="10"/>
        <color rgb="FF000000"/>
        <rFont val="メイリオ"/>
        <charset val="134"/>
      </rPr>
      <t xml:space="preserve">ステップ3：
</t>
    </r>
    <r>
      <rPr>
        <sz val="10"/>
        <color rgb="FF000000"/>
        <rFont val="メイリオ"/>
        <charset val="134"/>
      </rPr>
      <t xml:space="preserve">Toast「アクセス権がありません。」hiển thị
</t>
    </r>
    <r>
      <rPr>
        <sz val="10"/>
        <color rgb="FF000000"/>
        <rFont val="メイリオ"/>
        <charset val="134"/>
      </rPr>
      <t xml:space="preserve">và chuyển về「/dashboard」
</t>
    </r>
    <r>
      <rPr>
        <b/>
        <sz val="10"/>
        <color rgb="FF000000"/>
        <rFont val="メイリオ"/>
        <charset val="134"/>
      </rPr>
      <t xml:space="preserve">ステップ4：
</t>
    </r>
    <r>
      <rPr>
        <sz val="10"/>
        <color rgb="FF000000"/>
        <rFont val="メイリオ"/>
        <charset val="134"/>
      </rPr>
      <t xml:space="preserve">HTTP status code: 403
</t>
    </r>
    <r>
      <rPr>
        <sz val="10"/>
        <color rgb="FF000000"/>
        <rFont val="メイリオ"/>
        <charset val="134"/>
      </rPr>
      <t xml:space="preserve">error_code: FORBIDDEN
</t>
    </r>
    <r>
      <rPr>
        <sz val="10"/>
        <color rgb="FF000000"/>
        <rFont val="メイリオ"/>
        <charset val="134"/>
      </rPr>
      <t xml:space="preserve">message:「この画面へのアクセス権限がありません。」
</t>
    </r>
    <r>
      <rPr>
        <b/>
        <sz val="10"/>
        <color rgb="FF000000"/>
        <rFont val="メイリオ"/>
        <charset val="134"/>
      </rPr>
      <t xml:space="preserve">補足：
</t>
    </r>
    <r>
      <rPr>
        <sz val="10"/>
        <color rgb="FF000000"/>
        <rFont val="メイリオ"/>
        <charset val="134"/>
      </rPr>
      <t xml:space="preserve">・Cả 3 lớp (FE menu, FE router guard, BE API guard) đều từ chối truy cập
</t>
    </r>
    <r>
      <rPr>
        <sz val="10"/>
        <color rgb="FF000000"/>
        <rFont val="メイリオ"/>
        <charset val="134"/>
      </rPr>
      <t xml:space="preserve">・Không có row mới trong `m_ja`
</t>
    </r>
    <r>
      <rPr>
        <sz val="10"/>
        <color rgb="FF000000"/>
        <rFont val="メイリオ"/>
        <charset val="134"/>
      </rPr>
      <t>・Log lỗi (log_type=3) được ghi vào `t_log`</t>
    </r>
  </si>
  <si>
    <t>Critical — Nếu fail nghĩa là RBAC bị bypass, xử lý như security incident.</t>
  </si>
  <si>
    <t>ACSMS-TC-005-003</t>
  </si>
  <si>
    <t>CHUOKAI truy cập màn hình chỉnh sửa — không thể đăng ký, chỉ chỉnh sửa được JA thuộc phạm vi quản lý</t>
  </si>
  <si>
    <t>・role: CHUOKAI (thuộc chuokai-001)
・Quyền: chỉ nắm giữ ja.view / ja.update (không nắm giữ ja.create)
・JA thuộc phạm vi quản lý: ja-001 / JA ngoài phạm vi: ja-101 (thuộc chuokai-002)</t>
  </si>
  <si>
    <r>
      <rPr>
        <b/>
        <sz val="10"/>
        <color rgb="FF000000"/>
        <rFont val="游ゴシック"/>
        <charset val="134"/>
      </rPr>
      <t xml:space="preserve">ステップ1：
</t>
    </r>
    <r>
      <rPr>
        <sz val="10"/>
        <color rgb="FF000000"/>
        <rFont val="游ゴシック"/>
        <charset val="134"/>
      </rPr>
      <t xml:space="preserve">Kiểm tra mục「JAマスタ」trên sidebar
</t>
    </r>
    <r>
      <rPr>
        <b/>
        <sz val="10"/>
        <color rgb="FF000000"/>
        <rFont val="游ゴシック"/>
        <charset val="134"/>
      </rPr>
      <t xml:space="preserve">ステップ2：
</t>
    </r>
    <r>
      <rPr>
        <sz val="10"/>
        <color rgb="FF000000"/>
        <rFont val="游ゴシック"/>
        <charset val="134"/>
      </rPr>
      <t xml:space="preserve">Truy cập trực tiếp URL `/ja/create`
</t>
    </r>
    <r>
      <rPr>
        <b/>
        <sz val="10"/>
        <color rgb="FF000000"/>
        <rFont val="游ゴシック"/>
        <charset val="134"/>
      </rPr>
      <t xml:space="preserve">ステップ3：
</t>
    </r>
    <r>
      <rPr>
        <sz val="10"/>
        <color rgb="FF000000"/>
        <rFont val="游ゴシック"/>
        <charset val="134"/>
      </rPr>
      <t xml:space="preserve">Trên DevTools, gửi POST `/api/v1/ja` với request body hợp lệ
</t>
    </r>
    <r>
      <rPr>
        <b/>
        <sz val="10"/>
        <color rgb="FF000000"/>
        <rFont val="游ゴシック"/>
        <charset val="134"/>
      </rPr>
      <t xml:space="preserve">ステップ4：
</t>
    </r>
    <r>
      <rPr>
        <sz val="10"/>
        <color rgb="FF000000"/>
        <rFont val="游ゴシック"/>
        <charset val="134"/>
      </rPr>
      <t xml:space="preserve">Truy cập trực tiếp URL `/ja/1/edit` (JA thuộc phạm vi quản lý)
</t>
    </r>
    <r>
      <rPr>
        <b/>
        <sz val="10"/>
        <color rgb="FF000000"/>
        <rFont val="游ゴシック"/>
        <charset val="134"/>
      </rPr>
      <t xml:space="preserve">ステップ5：
</t>
    </r>
    <r>
      <rPr>
        <sz val="10"/>
        <color rgb="FF000000"/>
        <rFont val="游ゴシック"/>
        <charset val="134"/>
      </rPr>
      <t>Truy cập trực tiếp URL `/ja/101/edit` (JA ngoài phạm vi), sau đó gửi PUT `/api/v1/ja/101` qua DevTools</t>
    </r>
  </si>
  <si>
    <r>
      <rPr>
        <b/>
        <sz val="10"/>
        <color rgb="FF000000"/>
        <rFont val="游ゴシック"/>
        <charset val="134"/>
      </rPr>
      <t xml:space="preserve">ステップ1：
</t>
    </r>
    <r>
      <rPr>
        <sz val="10"/>
        <color rgb="FF000000"/>
        <rFont val="游ゴシック"/>
        <charset val="134"/>
      </rPr>
      <t xml:space="preserve">Mục「JAマスタ」hiển thị trên sidebar (do nắm giữ `ja.view`)
</t>
    </r>
    <r>
      <rPr>
        <b/>
        <sz val="10"/>
        <color rgb="FF000000"/>
        <rFont val="游ゴシック"/>
        <charset val="134"/>
      </rPr>
      <t xml:space="preserve">ステップ2：
</t>
    </r>
    <r>
      <rPr>
        <sz val="10"/>
        <color rgb="FF000000"/>
        <rFont val="游ゴシック"/>
        <charset val="134"/>
      </rPr>
      <t xml:space="preserve">Toast「アクセス権がありません。」hiển thị
và chuyển về「/dashboard」
</t>
    </r>
    <r>
      <rPr>
        <b/>
        <sz val="10"/>
        <color rgb="FF000000"/>
        <rFont val="游ゴシック"/>
        <charset val="134"/>
      </rPr>
      <t xml:space="preserve">ステップ3：
</t>
    </r>
    <r>
      <rPr>
        <sz val="10"/>
        <color rgb="FF000000"/>
        <rFont val="游ゴシック"/>
        <charset val="134"/>
      </rPr>
      <t xml:space="preserve">HTTP status code: 403
error_code: FORBIDDEN
message:「この画面へのアクセス権限がありません。」
</t>
    </r>
    <r>
      <rPr>
        <b/>
        <sz val="10"/>
        <color rgb="FF000000"/>
        <rFont val="游ゴシック"/>
        <charset val="134"/>
      </rPr>
      <t xml:space="preserve">ステップ4：
</t>
    </r>
    <r>
      <rPr>
        <sz val="10"/>
        <color rgb="FF000000"/>
        <rFont val="游ゴシック"/>
        <charset val="134"/>
      </rPr>
      <t xml:space="preserve">Mở màn hình chỉnh sửa, giá trị hiện có được hiển thị (chỉ một số mục có thể chỉnh sửa)
</t>
    </r>
    <r>
      <rPr>
        <b/>
        <sz val="10"/>
        <color rgb="FF000000"/>
        <rFont val="游ゴシック"/>
        <charset val="134"/>
      </rPr>
      <t xml:space="preserve">ステップ5：
</t>
    </r>
    <r>
      <rPr>
        <sz val="10"/>
        <color rgb="FF000000"/>
        <rFont val="游ゴシック"/>
        <charset val="134"/>
      </rPr>
      <t xml:space="preserve">HTTP status code: 404
error_code: NOT_FOUND
message:「指定されたJAが見つかりません。」
</t>
    </r>
    <r>
      <rPr>
        <b/>
        <sz val="10"/>
        <color rgb="FF000000"/>
        <rFont val="游ゴシック"/>
        <charset val="134"/>
      </rPr>
      <t xml:space="preserve">補足：
</t>
    </r>
    <r>
      <rPr>
        <sz val="10"/>
        <color rgb="FF000000"/>
        <rFont val="游ゴシック"/>
        <charset val="134"/>
      </rPr>
      <t>・CHUOKAI không thể đăng ký mới, chỉ có thể chỉnh sửa JA thuộc phạm vi quản lý
・Truy cập trực tiếp JA ngoài phạm vi trả về HTTP 404 (NOT_FOUND) để ẩn sự tồn tại
・api.md エラー一覧 định nghĩa DATA_SCOPE_VIOLATION (403), nhưng implementation theo quy tắc `assertJaScope` của security.md, ưu tiên 404 masking</t>
    </r>
  </si>
  <si>
    <t>ACSMS-TC-005-004</t>
  </si>
  <si>
    <t>JA_HONTEN truy cập màn hình chỉnh sửa — không thể đăng ký, chỉ chỉnh sửa được JA của mình</t>
  </si>
  <si>
    <t>・role: JA_HONTEN (thuộc ja-001)
・Quyền: chỉ nắm giữ ja.view / ja.update (không nắm giữ ja.create)
・JA của mình: ja-001 / JA khác: ja-002</t>
  </si>
  <si>
    <r>
      <rPr>
        <b/>
        <sz val="10"/>
        <color rgb="FF000000"/>
        <rFont val="游ゴシック"/>
        <charset val="134"/>
      </rPr>
      <t xml:space="preserve">ステップ1：
</t>
    </r>
    <r>
      <rPr>
        <sz val="10"/>
        <color rgb="FF000000"/>
        <rFont val="游ゴシック"/>
        <charset val="134"/>
      </rPr>
      <t xml:space="preserve">Kiểm tra mục「JAマスタ」trên sidebar
</t>
    </r>
    <r>
      <rPr>
        <b/>
        <sz val="10"/>
        <color rgb="FF000000"/>
        <rFont val="游ゴシック"/>
        <charset val="134"/>
      </rPr>
      <t xml:space="preserve">ステップ2：
</t>
    </r>
    <r>
      <rPr>
        <sz val="10"/>
        <color rgb="FF000000"/>
        <rFont val="游ゴシック"/>
        <charset val="134"/>
      </rPr>
      <t xml:space="preserve">Truy cập trực tiếp URL `/ja/create`, sau đó gửi POST `/api/v1/ja` qua DevTools
</t>
    </r>
    <r>
      <rPr>
        <b/>
        <sz val="10"/>
        <color rgb="FF000000"/>
        <rFont val="游ゴシック"/>
        <charset val="134"/>
      </rPr>
      <t xml:space="preserve">ステップ3：
</t>
    </r>
    <r>
      <rPr>
        <sz val="10"/>
        <color rgb="FF000000"/>
        <rFont val="游ゴシック"/>
        <charset val="134"/>
      </rPr>
      <t xml:space="preserve">Truy cập trực tiếp URL `/ja/1/edit` (JA của mình)
</t>
    </r>
    <r>
      <rPr>
        <b/>
        <sz val="10"/>
        <color rgb="FF000000"/>
        <rFont val="游ゴシック"/>
        <charset val="134"/>
      </rPr>
      <t xml:space="preserve">ステップ4：
</t>
    </r>
    <r>
      <rPr>
        <sz val="10"/>
        <color rgb="FF000000"/>
        <rFont val="游ゴシック"/>
        <charset val="134"/>
      </rPr>
      <t>Truy cập trực tiếp URL `/ja/2/edit` (JA khác), sau đó gửi PUT `/api/v1/ja/2` qua DevTools</t>
    </r>
  </si>
  <si>
    <r>
      <rPr>
        <b/>
        <sz val="10"/>
        <color rgb="FF000000"/>
        <rFont val="メイリオ"/>
        <charset val="134"/>
      </rPr>
      <t xml:space="preserve">ステップ1：
</t>
    </r>
    <r>
      <rPr>
        <sz val="10"/>
        <color rgb="FF000000"/>
        <rFont val="メイリオ"/>
        <charset val="134"/>
      </rPr>
      <t xml:space="preserve">Mục「JAマスタ」hiển thị trên sidebar (do nắm giữ `ja.view`)
</t>
    </r>
    <r>
      <rPr>
        <b/>
        <sz val="10"/>
        <color rgb="FF000000"/>
        <rFont val="メイリオ"/>
        <charset val="134"/>
      </rPr>
      <t xml:space="preserve">ステップ2：
</t>
    </r>
    <r>
      <rPr>
        <sz val="10"/>
        <color rgb="FF000000"/>
        <rFont val="メイリオ"/>
        <charset val="134"/>
      </rPr>
      <t xml:space="preserve">Toast「アクセス権がありません。」hiển thị + chuyển về `/dashboard`
</t>
    </r>
    <r>
      <rPr>
        <sz val="10"/>
        <color rgb="FF000000"/>
        <rFont val="メイリオ"/>
        <charset val="134"/>
      </rPr>
      <t xml:space="preserve">và API trả về HTTP 403, error_code: FORBIDDEN
</t>
    </r>
    <r>
      <rPr>
        <b/>
        <sz val="10"/>
        <color rgb="FF000000"/>
        <rFont val="メイリオ"/>
        <charset val="134"/>
      </rPr>
      <t xml:space="preserve">ステップ3：
</t>
    </r>
    <r>
      <rPr>
        <sz val="10"/>
        <color rgb="FF000000"/>
        <rFont val="メイリオ"/>
        <charset val="134"/>
      </rPr>
      <t xml:space="preserve">Mở màn hình chỉnh sửa, giá trị hiện có được hiển thị (chỉ một số mục có thể chỉnh sửa)
</t>
    </r>
    <r>
      <rPr>
        <b/>
        <sz val="10"/>
        <color rgb="FF000000"/>
        <rFont val="メイリオ"/>
        <charset val="134"/>
      </rPr>
      <t xml:space="preserve">ステップ4：
</t>
    </r>
    <r>
      <rPr>
        <sz val="10"/>
        <color rgb="FF000000"/>
        <rFont val="メイリオ"/>
        <charset val="134"/>
      </rPr>
      <t xml:space="preserve">HTTP status code: 404
</t>
    </r>
    <r>
      <rPr>
        <sz val="10"/>
        <color rgb="FF000000"/>
        <rFont val="メイリオ"/>
        <charset val="134"/>
      </rPr>
      <t xml:space="preserve">error_code: NOT_FOUND
</t>
    </r>
    <r>
      <rPr>
        <sz val="10"/>
        <color rgb="FF000000"/>
        <rFont val="メイリオ"/>
        <charset val="134"/>
      </rPr>
      <t xml:space="preserve">message:「指定されたJAが見つかりません。」
</t>
    </r>
    <r>
      <rPr>
        <b/>
        <sz val="10"/>
        <color rgb="FF000000"/>
        <rFont val="メイリオ"/>
        <charset val="134"/>
      </rPr>
      <t xml:space="preserve">補足：
</t>
    </r>
    <r>
      <rPr>
        <sz val="10"/>
        <color rgb="FF000000"/>
        <rFont val="メイリオ"/>
        <charset val="134"/>
      </rPr>
      <t xml:space="preserve">・JA_HONTEN không thể đăng ký mới, chỉ có thể chỉnh sửa JA của mình
</t>
    </r>
    <r>
      <rPr>
        <sz val="10"/>
        <color rgb="FF000000"/>
        <rFont val="メイリオ"/>
        <charset val="134"/>
      </rPr>
      <t xml:space="preserve">・Truy cập trực tiếp JA khác trả về HTTP 404 (NOT_FOUND) để ẩn sự tồn tại
</t>
    </r>
    <r>
      <rPr>
        <sz val="10"/>
        <color rgb="FF000000"/>
        <rFont val="メイリオ"/>
        <charset val="134"/>
      </rPr>
      <t>・api.md エラー一覧 định nghĩa DATA_SCOPE_VIOLATION (403), nhưng implementation theo quy tắc `assertJaScope` của security.md, ưu tiên 404 masking</t>
    </r>
  </si>
  <si>
    <t>ACSMS-TC-005-005</t>
  </si>
  <si>
    <t>Cấm JA_KANRI_SHITEN truy cập màn hình đăng ký / chỉnh sửa</t>
  </si>
  <si>
    <t>・role: JA_KANRI_SHITEN (thuộc ja-001 / branch-001)
・Đã đăng nhập + xác thực MFA
・Quyền: không nắm giữ bất kỳ quyền ja.* nào</t>
  </si>
  <si>
    <r>
      <rPr>
        <b/>
        <sz val="10"/>
        <color rgb="FF000000"/>
        <rFont val="メイリオ"/>
        <charset val="134"/>
      </rPr>
      <t xml:space="preserve">ステップ1：
</t>
    </r>
    <r>
      <rPr>
        <sz val="10"/>
        <color rgb="FF000000"/>
        <rFont val="メイリオ"/>
        <charset val="134"/>
      </rPr>
      <t xml:space="preserve">Kiểm tra mục「JAマスタ」trên sidebar
</t>
    </r>
    <r>
      <rPr>
        <b/>
        <sz val="10"/>
        <color rgb="FF000000"/>
        <rFont val="メイリオ"/>
        <charset val="134"/>
      </rPr>
      <t xml:space="preserve">ステップ2：
</t>
    </r>
    <r>
      <rPr>
        <sz val="10"/>
        <color rgb="FF000000"/>
        <rFont val="メイリオ"/>
        <charset val="134"/>
      </rPr>
      <t xml:space="preserve">Truy cập trực tiếp URL `/ja/create`
</t>
    </r>
    <r>
      <rPr>
        <b/>
        <sz val="10"/>
        <color rgb="FF000000"/>
        <rFont val="メイリオ"/>
        <charset val="134"/>
      </rPr>
      <t xml:space="preserve">ステップ3：
</t>
    </r>
    <r>
      <rPr>
        <sz val="10"/>
        <color rgb="FF000000"/>
        <rFont val="メイリオ"/>
        <charset val="134"/>
      </rPr>
      <t xml:space="preserve">Truy cập trực tiếp URL `/ja/1/edit`
</t>
    </r>
    <r>
      <rPr>
        <b/>
        <sz val="10"/>
        <color rgb="FF000000"/>
        <rFont val="メイリオ"/>
        <charset val="134"/>
      </rPr>
      <t xml:space="preserve">ステップ4：
</t>
    </r>
    <r>
      <rPr>
        <sz val="10"/>
        <color rgb="FF000000"/>
        <rFont val="メイリオ"/>
        <charset val="134"/>
      </rPr>
      <t>Trên DevTools, gửi PUT `/api/v1/ja/1` với request body hợp lệ</t>
    </r>
  </si>
  <si>
    <r>
      <rPr>
        <b/>
        <sz val="10"/>
        <color rgb="FF000000"/>
        <rFont val="メイリオ"/>
        <charset val="134"/>
      </rPr>
      <t xml:space="preserve">ステップ1：
</t>
    </r>
    <r>
      <rPr>
        <sz val="10"/>
        <color rgb="FF000000"/>
        <rFont val="メイリオ"/>
        <charset val="134"/>
      </rPr>
      <t xml:space="preserve">Mục「JAマスタ」không hiển thị trên sidebar
</t>
    </r>
    <r>
      <rPr>
        <b/>
        <sz val="10"/>
        <color rgb="FF000000"/>
        <rFont val="メイリオ"/>
        <charset val="134"/>
      </rPr>
      <t xml:space="preserve">ステップ2：
</t>
    </r>
    <r>
      <rPr>
        <sz val="10"/>
        <color rgb="FF000000"/>
        <rFont val="メイリオ"/>
        <charset val="134"/>
      </rPr>
      <t xml:space="preserve">Toast「アクセス権がありません。」hiển thị
</t>
    </r>
    <r>
      <rPr>
        <sz val="10"/>
        <color rgb="FF000000"/>
        <rFont val="メイリオ"/>
        <charset val="134"/>
      </rPr>
      <t xml:space="preserve">và chuyển về「/dashboard」
</t>
    </r>
    <r>
      <rPr>
        <b/>
        <sz val="10"/>
        <color rgb="FF000000"/>
        <rFont val="メイリオ"/>
        <charset val="134"/>
      </rPr>
      <t xml:space="preserve">ステップ3：
</t>
    </r>
    <r>
      <rPr>
        <sz val="10"/>
        <color rgb="FF000000"/>
        <rFont val="メイリオ"/>
        <charset val="134"/>
      </rPr>
      <t xml:space="preserve">Toast「アクセス権がありません。」hiển thị
</t>
    </r>
    <r>
      <rPr>
        <sz val="10"/>
        <color rgb="FF000000"/>
        <rFont val="メイリオ"/>
        <charset val="134"/>
      </rPr>
      <t xml:space="preserve">và chuyển về「/dashboard」
</t>
    </r>
    <r>
      <rPr>
        <b/>
        <sz val="10"/>
        <color rgb="FF000000"/>
        <rFont val="メイリオ"/>
        <charset val="134"/>
      </rPr>
      <t xml:space="preserve">ステップ4：
</t>
    </r>
    <r>
      <rPr>
        <sz val="10"/>
        <color rgb="FF000000"/>
        <rFont val="メイリオ"/>
        <charset val="134"/>
      </rPr>
      <t xml:space="preserve">HTTP status code: 403
</t>
    </r>
    <r>
      <rPr>
        <sz val="10"/>
        <color rgb="FF000000"/>
        <rFont val="メイリオ"/>
        <charset val="134"/>
      </rPr>
      <t xml:space="preserve">error_code: FORBIDDEN
</t>
    </r>
    <r>
      <rPr>
        <sz val="10"/>
        <color rgb="FF000000"/>
        <rFont val="メイリオ"/>
        <charset val="134"/>
      </rPr>
      <t xml:space="preserve">message:「この画面へのアクセス権限がありません。」
</t>
    </r>
    <r>
      <rPr>
        <b/>
        <sz val="10"/>
        <color rgb="FF000000"/>
        <rFont val="メイリオ"/>
        <charset val="134"/>
      </rPr>
      <t xml:space="preserve">補足：
</t>
    </r>
    <r>
      <rPr>
        <sz val="10"/>
        <color rgb="FF000000"/>
        <rFont val="メイリオ"/>
        <charset val="134"/>
      </rPr>
      <t xml:space="preserve">・JA_KANRI_SHITEN không thể tham chiếu / đăng ký / chỉnh sửa JA Master
</t>
    </r>
    <r>
      <rPr>
        <sz val="10"/>
        <color rgb="FF000000"/>
        <rFont val="メイリオ"/>
        <charset val="134"/>
      </rPr>
      <t xml:space="preserve">・Cả 3 lớp (FE menu, FE router guard, BE API guard) đều từ chối truy cập
</t>
    </r>
    <r>
      <rPr>
        <sz val="10"/>
        <color rgb="FF000000"/>
        <rFont val="メイリオ"/>
        <charset val="134"/>
      </rPr>
      <t>・Không có thay đổi trong `m_ja`, log lỗi (log_type=3) được ghi vào `t_log`</t>
    </r>
  </si>
  <si>
    <t>(なし)
---</t>
  </si>
  <si>
    <t>Hiển thị màn hình &amp; Responsive (Layout &amp; Responsive)</t>
  </si>
  <si>
    <t>ACSMS-TC-005-006</t>
  </si>
  <si>
    <t>Layout tổng thể màn hình đăng ký khớp với design spec</t>
  </si>
  <si>
    <t>・role: NICHINO_ADMIN
・Browser: Chrome (latest), độ phân giải 1920×1080</t>
  </si>
  <si>
    <r>
      <rPr>
        <b/>
        <sz val="10"/>
        <color rgb="FF000000"/>
        <rFont val="メイリオ"/>
        <charset val="134"/>
      </rPr>
      <t xml:space="preserve">ステップ1：
</t>
    </r>
    <r>
      <rPr>
        <sz val="10"/>
        <color rgb="FF000000"/>
        <rFont val="メイリオ"/>
        <charset val="134"/>
      </rPr>
      <t xml:space="preserve">Click nút「新規登録」trên màn hình danh sách「JAマスタ」
</t>
    </r>
    <r>
      <rPr>
        <b/>
        <sz val="10"/>
        <color rgb="FF000000"/>
        <rFont val="メイリオ"/>
        <charset val="134"/>
      </rPr>
      <t xml:space="preserve">ステップ2：
</t>
    </r>
    <r>
      <rPr>
        <sz val="10"/>
        <color rgb="FF000000"/>
        <rFont val="メイリオ"/>
        <charset val="134"/>
      </rPr>
      <t xml:space="preserve">So sánh màn hình với design spec (screen-design.md / index.html) song song
</t>
    </r>
    <r>
      <rPr>
        <b/>
        <sz val="10"/>
        <color rgb="FF000000"/>
        <rFont val="メイリオ"/>
        <charset val="134"/>
      </rPr>
      <t xml:space="preserve">ステップ3：
</t>
    </r>
    <r>
      <rPr>
        <sz val="10"/>
        <color rgb="FF000000"/>
        <rFont val="メイリオ"/>
        <charset val="134"/>
      </rPr>
      <t>Kiểm tra vị trí từng phần tử (vị trí title bar, bố cục form, bố cục button)</t>
    </r>
  </si>
  <si>
    <r>
      <rPr>
        <b/>
        <sz val="10"/>
        <color rgb="FF000000"/>
        <rFont val="メイリオ"/>
        <charset val="134"/>
      </rPr>
      <t xml:space="preserve">ステップ1：
</t>
    </r>
    <r>
      <rPr>
        <sz val="10"/>
        <color rgb="FF000000"/>
        <rFont val="メイリオ"/>
        <charset val="134"/>
      </rPr>
      <t xml:space="preserve">Mở màn hình `/ja/create`
</t>
    </r>
    <r>
      <rPr>
        <b/>
        <sz val="10"/>
        <color rgb="FF000000"/>
        <rFont val="メイリオ"/>
        <charset val="134"/>
      </rPr>
      <t xml:space="preserve">ステップ2：
</t>
    </r>
    <r>
      <rPr>
        <sz val="10"/>
        <color rgb="FF000000"/>
        <rFont val="メイリオ"/>
        <charset val="134"/>
      </rPr>
      <t xml:space="preserve">Màu nền, font, font size, padding/margin, màu button, style ô input đều khớp
</t>
    </r>
    <r>
      <rPr>
        <b/>
        <sz val="10"/>
        <color rgb="FF000000"/>
        <rFont val="メイリオ"/>
        <charset val="134"/>
      </rPr>
      <t xml:space="preserve">ステップ3：
</t>
    </r>
    <r>
      <rPr>
        <sz val="10"/>
        <color rgb="FF000000"/>
        <rFont val="メイリオ"/>
        <charset val="134"/>
      </rPr>
      <t xml:space="preserve">Theo đúng design spec
</t>
    </r>
    <r>
      <rPr>
        <b/>
        <sz val="10"/>
        <color rgb="FF000000"/>
        <rFont val="メイリオ"/>
        <charset val="134"/>
      </rPr>
      <t xml:space="preserve">補足：
</t>
    </r>
    <r>
      <rPr>
        <sz val="10"/>
        <color rgb="FF000000"/>
        <rFont val="メイリオ"/>
        <charset val="134"/>
      </rPr>
      <t xml:space="preserve">・Không có khác biệt visual với design spec
</t>
    </r>
    <r>
      <rPr>
        <sz val="10"/>
        <color rgb="FF000000"/>
        <rFont val="メイリオ"/>
        <charset val="134"/>
      </rPr>
      <t>・design tokens (`design-tokens.ts`) được áp dụng (không có hardcoded color)</t>
    </r>
  </si>
  <si>
    <t>ACSMS-TC-005-007</t>
  </si>
  <si>
    <t>Layout tổng thể màn hình chỉnh sửa khớp với design spec</t>
  </si>
  <si>
    <t>・role: JA_HONTEN (thuộc ja-001)
・Tồn tại record JA hiện có `ja_id = 1`</t>
  </si>
  <si>
    <r>
      <rPr>
        <b/>
        <sz val="10"/>
        <color rgb="FF000000"/>
        <rFont val="メイリオ"/>
        <charset val="134"/>
      </rPr>
      <t xml:space="preserve">ステップ1：
</t>
    </r>
    <r>
      <rPr>
        <sz val="10"/>
        <color rgb="FF000000"/>
        <rFont val="メイリオ"/>
        <charset val="134"/>
      </rPr>
      <t xml:space="preserve">Click link「編集」của record hiện có từ danh sách JA
</t>
    </r>
    <r>
      <rPr>
        <b/>
        <sz val="10"/>
        <color rgb="FF000000"/>
        <rFont val="メイリオ"/>
        <charset val="134"/>
      </rPr>
      <t xml:space="preserve">ステップ2：
</t>
    </r>
    <r>
      <rPr>
        <sz val="10"/>
        <color rgb="FF000000"/>
        <rFont val="メイリオ"/>
        <charset val="134"/>
      </rPr>
      <t>So sánh với design spec</t>
    </r>
  </si>
  <si>
    <r>
      <rPr>
        <b/>
        <sz val="10"/>
        <color rgb="FF000000"/>
        <rFont val="メイリオ"/>
        <charset val="134"/>
      </rPr>
      <t xml:space="preserve">ステップ1：
</t>
    </r>
    <r>
      <rPr>
        <sz val="10"/>
        <color rgb="FF000000"/>
        <rFont val="メイリオ"/>
        <charset val="134"/>
      </rPr>
      <t xml:space="preserve">Mở màn hình `/ja/1/edit`, giá trị hiện có được hiển thị trên form
</t>
    </r>
    <r>
      <rPr>
        <b/>
        <sz val="10"/>
        <color rgb="FF000000"/>
        <rFont val="メイリオ"/>
        <charset val="134"/>
      </rPr>
      <t xml:space="preserve">ステップ2：
</t>
    </r>
    <r>
      <rPr>
        <sz val="10"/>
        <color rgb="FF000000"/>
        <rFont val="メイリオ"/>
        <charset val="134"/>
      </rPr>
      <t xml:space="preserve">Layout giống màn hình đăng ký + trạng thái read-only phù hợp (ô JAコード ở trạng thái disabled)
</t>
    </r>
    <r>
      <rPr>
        <b/>
        <sz val="10"/>
        <color rgb="FF000000"/>
        <rFont val="メイリオ"/>
        <charset val="134"/>
      </rPr>
      <t xml:space="preserve">補足：
</t>
    </r>
    <r>
      <rPr>
        <sz val="10"/>
        <color rgb="FF000000"/>
        <rFont val="メイリオ"/>
        <charset val="134"/>
      </rPr>
      <t xml:space="preserve">・Màn hình chỉnh sửa có visual consistency tương đương với màn hình đăng ký
</t>
    </r>
    <r>
      <rPr>
        <sz val="10"/>
        <color rgb="FF000000"/>
        <rFont val="メイリオ"/>
        <charset val="134"/>
      </rPr>
      <t>・JAコード là read-only, đối với CHUOKAI / JA_HONTEN, các mục ngoài đối tượng ※4 (JA名, JA名カナ, 都道府県, 中央会フラグ, 金融機関コード, 金融機関名) cũng read-only</t>
    </r>
  </si>
  <si>
    <t>ACSMS-TC-005-008</t>
  </si>
  <si>
    <t>Hoạt động responsive — breakpoint PC / Tablet / Mobile</t>
  </si>
  <si>
    <t>・Đang ở màn hình đăng ký</t>
  </si>
  <si>
    <r>
      <rPr>
        <b/>
        <sz val="10"/>
        <color rgb="FF000000"/>
        <rFont val="メイリオ"/>
        <charset val="134"/>
      </rPr>
      <t xml:space="preserve">ステップ1：
</t>
    </r>
    <r>
      <rPr>
        <sz val="10"/>
        <color rgb="FF000000"/>
        <rFont val="メイリオ"/>
        <charset val="134"/>
      </rPr>
      <t xml:space="preserve">Đặt window size 1920×1080 (PC)
</t>
    </r>
    <r>
      <rPr>
        <b/>
        <sz val="10"/>
        <color rgb="FF000000"/>
        <rFont val="メイリオ"/>
        <charset val="134"/>
      </rPr>
      <t xml:space="preserve">ステップ2：
</t>
    </r>
    <r>
      <rPr>
        <sz val="10"/>
        <color rgb="FF000000"/>
        <rFont val="メイリオ"/>
        <charset val="134"/>
      </rPr>
      <t xml:space="preserve">Đổi sang 768×1024 (Tablet)
</t>
    </r>
    <r>
      <rPr>
        <b/>
        <sz val="10"/>
        <color rgb="FF000000"/>
        <rFont val="メイリオ"/>
        <charset val="134"/>
      </rPr>
      <t xml:space="preserve">ステップ3：
</t>
    </r>
    <r>
      <rPr>
        <sz val="10"/>
        <color rgb="FF000000"/>
        <rFont val="メイリオ"/>
        <charset val="134"/>
      </rPr>
      <t>Đổi sang 375×667 (Mobile)</t>
    </r>
  </si>
  <si>
    <r>
      <rPr>
        <b/>
        <sz val="10"/>
        <color rgb="FF000000"/>
        <rFont val="メイリオ"/>
        <charset val="134"/>
      </rPr>
      <t xml:space="preserve">ステップ1：
</t>
    </r>
    <r>
      <rPr>
        <sz val="10"/>
        <color rgb="FF000000"/>
        <rFont val="メイリオ"/>
        <charset val="134"/>
      </rPr>
      <t xml:space="preserve">Sidebar cố định, form 3 cột grid
</t>
    </r>
    <r>
      <rPr>
        <b/>
        <sz val="10"/>
        <color rgb="FF000000"/>
        <rFont val="メイリオ"/>
        <charset val="134"/>
      </rPr>
      <t xml:space="preserve">ステップ2：
</t>
    </r>
    <r>
      <rPr>
        <sz val="10"/>
        <color rgb="FF000000"/>
        <rFont val="メイリオ"/>
        <charset val="134"/>
      </rPr>
      <t xml:space="preserve">Sidebar gập, form được giữ nguyên
</t>
    </r>
    <r>
      <rPr>
        <b/>
        <sz val="10"/>
        <color rgb="FF000000"/>
        <rFont val="メイリオ"/>
        <charset val="134"/>
      </rPr>
      <t xml:space="preserve">ステップ3：
</t>
    </r>
    <r>
      <rPr>
        <sz val="10"/>
        <color rgb="FF000000"/>
        <rFont val="メイリオ"/>
        <charset val="134"/>
      </rPr>
      <t xml:space="preserve">Sidebar overlay, các phần tử form xếp dọc, không có scroll ngang
</t>
    </r>
    <r>
      <rPr>
        <b/>
        <sz val="10"/>
        <color rgb="FF000000"/>
        <rFont val="メイリオ"/>
        <charset val="134"/>
      </rPr>
      <t xml:space="preserve">補足：
</t>
    </r>
    <r>
      <rPr>
        <sz val="10"/>
        <color rgb="FF000000"/>
        <rFont val="メイリオ"/>
        <charset val="134"/>
      </rPr>
      <t xml:space="preserve">・Không bị vỡ layout ở cả 3 breakpoint, không phát sinh scroll ngang
</t>
    </r>
    <r>
      <rPr>
        <sz val="10"/>
        <color rgb="FF000000"/>
        <rFont val="メイリオ"/>
        <charset val="134"/>
      </rPr>
      <t>・Tất cả phần tử form đều có thể thao tác được</t>
    </r>
  </si>
  <si>
    <t>ACSMS-TC-005-009</t>
  </si>
  <si>
    <t>Hiển thị phần tử form — ô input / dropdown / radio / button đúng design spec</t>
  </si>
  <si>
    <r>
      <rPr>
        <b/>
        <sz val="10"/>
        <color rgb="FF000000"/>
        <rFont val="游ゴシック"/>
        <charset val="134"/>
      </rPr>
      <t xml:space="preserve">ステップ1：
</t>
    </r>
    <r>
      <rPr>
        <sz val="10"/>
        <color rgb="FF000000"/>
        <rFont val="游ゴシック"/>
        <charset val="134"/>
      </rPr>
      <t xml:space="preserve">Kiểm tra placeholder, format, trạng thái (enabled / focus / disabled) của từng textbox
</t>
    </r>
    <r>
      <rPr>
        <b/>
        <sz val="10"/>
        <color rgb="FF000000"/>
        <rFont val="游ゴシック"/>
        <charset val="134"/>
      </rPr>
      <t xml:space="preserve">ステップ2：
</t>
    </r>
    <r>
      <rPr>
        <sz val="10"/>
        <color rgb="FF000000"/>
        <rFont val="游ゴシック"/>
        <charset val="134"/>
      </rPr>
      <t xml:space="preserve">Kiểm tra hiển thị dropdown 都道府県
</t>
    </r>
    <r>
      <rPr>
        <b/>
        <sz val="10"/>
        <color rgb="FF000000"/>
        <rFont val="游ゴシック"/>
        <charset val="134"/>
      </rPr>
      <t xml:space="preserve">ステップ3：
</t>
    </r>
    <r>
      <rPr>
        <sz val="10"/>
        <color rgb="FF000000"/>
        <rFont val="游ゴシック"/>
        <charset val="134"/>
      </rPr>
      <t xml:space="preserve">Kiểm tra hiển thị radio 中央会フラグ
</t>
    </r>
    <r>
      <rPr>
        <b/>
        <sz val="10"/>
        <color rgb="FF000000"/>
        <rFont val="游ゴシック"/>
        <charset val="134"/>
      </rPr>
      <t xml:space="preserve">ステップ4：
</t>
    </r>
    <r>
      <rPr>
        <sz val="10"/>
        <color rgb="FF000000"/>
        <rFont val="游ゴシック"/>
        <charset val="134"/>
      </rPr>
      <t xml:space="preserve">Kiểm tra hiển thị radio 税区分
</t>
    </r>
    <r>
      <rPr>
        <b/>
        <sz val="10"/>
        <color rgb="FF000000"/>
        <rFont val="游ゴシック"/>
        <charset val="134"/>
      </rPr>
      <t xml:space="preserve">ステップ5：
</t>
    </r>
    <r>
      <rPr>
        <sz val="10"/>
        <color rgb="FF000000"/>
        <rFont val="游ゴシック"/>
        <charset val="134"/>
      </rPr>
      <t>Kiểm tra size, location, icon, color của button 登録 / 前の画面に戻る</t>
    </r>
  </si>
  <si>
    <r>
      <rPr>
        <b/>
        <sz val="10"/>
        <color rgb="FF000000"/>
        <rFont val="メイリオ"/>
        <charset val="134"/>
      </rPr>
      <t xml:space="preserve">ステップ1：
</t>
    </r>
    <r>
      <rPr>
        <sz val="10"/>
        <color rgb="FF000000"/>
        <rFont val="メイリオ"/>
        <charset val="134"/>
      </rPr>
      <t xml:space="preserve">Theo design — placeholder khớp, viền focus đổi màu, disabled hiển thị xám
</t>
    </r>
    <r>
      <rPr>
        <b/>
        <sz val="10"/>
        <color rgb="FF000000"/>
        <rFont val="メイリオ"/>
        <charset val="134"/>
      </rPr>
      <t xml:space="preserve">ステップ2：
</t>
    </r>
    <r>
      <rPr>
        <sz val="10"/>
        <color rgb="FF000000"/>
        <rFont val="メイリオ"/>
        <charset val="134"/>
      </rPr>
      <t xml:space="preserve">Dropdown 47 tỉnh hiển thị, giá trị ban đầu chưa chọn
</t>
    </r>
    <r>
      <rPr>
        <b/>
        <sz val="10"/>
        <color rgb="FF000000"/>
        <rFont val="メイリオ"/>
        <charset val="134"/>
      </rPr>
      <t xml:space="preserve">ステップ3：
</t>
    </r>
    <r>
      <rPr>
        <sz val="10"/>
        <color rgb="FF000000"/>
        <rFont val="メイリオ"/>
        <charset val="134"/>
      </rPr>
      <t xml:space="preserve">Lựa chọn:「中央会」(true) /「単協」(false) gồm 2 option, mặc định chưa chọn
</t>
    </r>
    <r>
      <rPr>
        <b/>
        <sz val="10"/>
        <color rgb="FF000000"/>
        <rFont val="メイリオ"/>
        <charset val="134"/>
      </rPr>
      <t xml:space="preserve">ステップ4：
</t>
    </r>
    <r>
      <rPr>
        <sz val="10"/>
        <color rgb="FF000000"/>
        <rFont val="メイリオ"/>
        <charset val="134"/>
      </rPr>
      <t xml:space="preserve">Lựa chọn:「内税」(1) /「外税」(2) gồm 2 option, mặc định chưa chọn
</t>
    </r>
    <r>
      <rPr>
        <b/>
        <sz val="10"/>
        <color rgb="FF000000"/>
        <rFont val="メイリオ"/>
        <charset val="134"/>
      </rPr>
      <t xml:space="preserve">ステップ5：
</t>
    </r>
    <r>
      <rPr>
        <sz val="10"/>
        <color rgb="FF000000"/>
        <rFont val="メイリオ"/>
        <charset val="134"/>
      </rPr>
      <t xml:space="preserve">Theo design. Button đăng ký là 主ボタン (xanh), button quay lại là 副ボタン (trắng)
</t>
    </r>
    <r>
      <rPr>
        <b/>
        <sz val="10"/>
        <color rgb="FF000000"/>
        <rFont val="メイリオ"/>
        <charset val="134"/>
      </rPr>
      <t xml:space="preserve">補足：
</t>
    </r>
    <r>
      <rPr>
        <sz val="10"/>
        <color rgb="FF000000"/>
        <rFont val="メイリオ"/>
        <charset val="134"/>
      </rPr>
      <t>・Tất cả phần tử form khớp hoàn toàn với design spec</t>
    </r>
  </si>
  <si>
    <t>ACSMS-TC-005-010</t>
  </si>
  <si>
    <t>Thứ tự Tab và thao tác bàn phím (Tab / Enter)</t>
  </si>
  <si>
    <t>・Đang ở màn hình đăng ký, focus ở body</t>
  </si>
  <si>
    <r>
      <rPr>
        <b/>
        <sz val="10"/>
        <color rgb="FF000000"/>
        <rFont val="メイリオ"/>
        <charset val="134"/>
      </rPr>
      <t xml:space="preserve">ステップ1：
</t>
    </r>
    <r>
      <rPr>
        <sz val="10"/>
        <color rgb="FF000000"/>
        <rFont val="メイリオ"/>
        <charset val="134"/>
      </rPr>
      <t xml:space="preserve">Nhấn liên tục phím Tab, kiểm tra tiến trình focus
</t>
    </r>
    <r>
      <rPr>
        <b/>
        <sz val="10"/>
        <color rgb="FF000000"/>
        <rFont val="メイリオ"/>
        <charset val="134"/>
      </rPr>
      <t xml:space="preserve">ステップ2：
</t>
    </r>
    <r>
      <rPr>
        <sz val="10"/>
        <color rgb="FF000000"/>
        <rFont val="メイリオ"/>
        <charset val="134"/>
      </rPr>
      <t xml:space="preserve">Nhấn phím Enter trong textbox
</t>
    </r>
    <r>
      <rPr>
        <b/>
        <sz val="10"/>
        <color rgb="FF000000"/>
        <rFont val="メイリオ"/>
        <charset val="134"/>
      </rPr>
      <t xml:space="preserve">ステップ3：
</t>
    </r>
    <r>
      <rPr>
        <sz val="10"/>
        <color rgb="FF000000"/>
        <rFont val="メイリオ"/>
        <charset val="134"/>
      </rPr>
      <t>Nhấn phím Enter trên dropdown</t>
    </r>
  </si>
  <si>
    <r>
      <rPr>
        <b/>
        <sz val="10"/>
        <color rgb="FF000000"/>
        <rFont val="メイリオ"/>
        <charset val="134"/>
      </rPr>
      <t xml:space="preserve">ステップ1：
</t>
    </r>
    <r>
      <rPr>
        <sz val="10"/>
        <color rgb="FF000000"/>
        <rFont val="メイリオ"/>
        <charset val="134"/>
      </rPr>
      <t xml:space="preserve">Thứ tự Tab theo design spec: JAコード → JA名 → JA名カナ → 都道府県 → 中央会フラグ → 金融機関コード → 金融機関名 → 郵便番号 → 住所 → 電話 → FAX → メール → 担当部署 → 担当者 → 税区分 → 備考 → button đăng ký → button quay lại
</t>
    </r>
    <r>
      <rPr>
        <b/>
        <sz val="10"/>
        <color rgb="FF000000"/>
        <rFont val="メイリオ"/>
        <charset val="134"/>
      </rPr>
      <t xml:space="preserve">ステップ2：
</t>
    </r>
    <r>
      <rPr>
        <sz val="10"/>
        <color rgb="FF000000"/>
        <rFont val="メイリオ"/>
        <charset val="134"/>
      </rPr>
      <t xml:space="preserve">送信 ngầm bằng Enter bị vô hiệu hóa (kiểm soát bởi preventEnterImplicitSubmit)
</t>
    </r>
    <r>
      <rPr>
        <b/>
        <sz val="10"/>
        <color rgb="FF000000"/>
        <rFont val="メイリオ"/>
        <charset val="134"/>
      </rPr>
      <t xml:space="preserve">ステップ3：
</t>
    </r>
    <r>
      <rPr>
        <sz val="10"/>
        <color rgb="FF000000"/>
        <rFont val="メイリオ"/>
        <charset val="134"/>
      </rPr>
      <t xml:space="preserve">Dropdown mở ra, Enter để xác nhận lựa chọn
</t>
    </r>
    <r>
      <rPr>
        <b/>
        <sz val="10"/>
        <color rgb="FF000000"/>
        <rFont val="メイリオ"/>
        <charset val="134"/>
      </rPr>
      <t xml:space="preserve">補足：
</t>
    </r>
    <r>
      <rPr>
        <sz val="10"/>
        <color rgb="FF000000"/>
        <rFont val="メイリオ"/>
        <charset val="134"/>
      </rPr>
      <t xml:space="preserve">・Thứ tự Tab theo đúng design spec, có thể thao tác toàn bộ bằng bàn phím
</t>
    </r>
    <r>
      <rPr>
        <sz val="10"/>
        <color rgb="FF000000"/>
        <rFont val="メイリオ"/>
        <charset val="134"/>
      </rPr>
      <t>・Màn hình này có 16 mục form, nên 送信 ngầm bằng Enter bị vô hiệu hóa (theo convention của form CRUD edit)</t>
    </r>
  </si>
  <si>
    <t>ACSMS-TC-005-011</t>
  </si>
  <si>
    <t>Độ tin cậy thao tác button (double-click / nhấn liên tục / Enter)</t>
  </si>
  <si>
    <t>・Màn hình đăng ký với toàn bộ mục đã nhập giá trị hợp lệ
・Test data: JAコード=1301999001, JA名=テストJA, 都道府県=13, 中央会フラグ=false, 金融機関コード=1234, 金融機関名=農林中央金庫, 税区分=1</t>
  </si>
  <si>
    <r>
      <rPr>
        <b/>
        <sz val="10"/>
        <color rgb="FF000000"/>
        <rFont val="游ゴシック"/>
        <charset val="134"/>
      </rPr>
      <t xml:space="preserve">ステップ1：
</t>
    </r>
    <r>
      <rPr>
        <sz val="10"/>
        <color rgb="FF000000"/>
        <rFont val="游ゴシック"/>
        <charset val="134"/>
      </rPr>
      <t xml:space="preserve">Double-click button đăng ký (trong vòng 200ms)
</t>
    </r>
    <r>
      <rPr>
        <b/>
        <sz val="10"/>
        <color rgb="FF000000"/>
        <rFont val="游ゴシック"/>
        <charset val="134"/>
      </rPr>
      <t xml:space="preserve">ステップ2：
</t>
    </r>
    <r>
      <rPr>
        <sz val="10"/>
        <color rgb="FF000000"/>
        <rFont val="游ゴシック"/>
        <charset val="134"/>
      </rPr>
      <t xml:space="preserve">Nhấn liên tục button đăng ký trong 5 giây
</t>
    </r>
    <r>
      <rPr>
        <b/>
        <sz val="10"/>
        <color rgb="FF000000"/>
        <rFont val="游ゴシック"/>
        <charset val="134"/>
      </rPr>
      <t xml:space="preserve">ステップ3：
</t>
    </r>
    <r>
      <rPr>
        <sz val="10"/>
        <color rgb="FF000000"/>
        <rFont val="游ゴシック"/>
        <charset val="134"/>
      </rPr>
      <t>Kiểm tra DB: `SELECT COUNT(*) FROM m_ja WHERE ja_code='1301999001'`</t>
    </r>
  </si>
  <si>
    <r>
      <rPr>
        <b/>
        <sz val="10"/>
        <color rgb="FF000000"/>
        <rFont val="メイリオ"/>
        <charset val="134"/>
      </rPr>
      <t xml:space="preserve">ステップ1：
</t>
    </r>
    <r>
      <rPr>
        <sz val="10"/>
        <color rgb="FF000000"/>
        <rFont val="メイリオ"/>
        <charset val="134"/>
      </rPr>
      <t xml:space="preserve">Lần 1 bắt đầu gửi, lần 2 button bị vô hiệu nên bỏ qua
</t>
    </r>
    <r>
      <rPr>
        <b/>
        <sz val="10"/>
        <color rgb="FF000000"/>
        <rFont val="メイリオ"/>
        <charset val="134"/>
      </rPr>
      <t xml:space="preserve">ステップ2：
</t>
    </r>
    <r>
      <rPr>
        <sz val="10"/>
        <color rgb="FF000000"/>
        <rFont val="メイリオ"/>
        <charset val="134"/>
      </rPr>
      <t xml:space="preserve">Trong khi đang gửi, button bị vô hiệu, không có đăng ký trùng
</t>
    </r>
    <r>
      <rPr>
        <b/>
        <sz val="10"/>
        <color rgb="FF000000"/>
        <rFont val="メイリオ"/>
        <charset val="134"/>
      </rPr>
      <t xml:space="preserve">ステップ3：
</t>
    </r>
    <r>
      <rPr>
        <sz val="10"/>
        <color rgb="FF000000"/>
        <rFont val="メイリオ"/>
        <charset val="134"/>
      </rPr>
      <t xml:space="preserve">Chỉ 1 record (không trùng)
</t>
    </r>
    <r>
      <rPr>
        <b/>
        <sz val="10"/>
        <color rgb="FF000000"/>
        <rFont val="メイリオ"/>
        <charset val="134"/>
      </rPr>
      <t xml:space="preserve">補足：
</t>
    </r>
    <r>
      <rPr>
        <sz val="10"/>
        <color rgb="FF000000"/>
        <rFont val="メイリオ"/>
        <charset val="134"/>
      </rPr>
      <t xml:space="preserve">・Không phát sinh đăng ký trùng
</t>
    </r>
    <r>
      <rPr>
        <sz val="10"/>
        <color rgb="FF000000"/>
        <rFont val="メイリオ"/>
        <charset val="134"/>
      </rPr>
      <t>・Trong khi đang gửi, button hiển thị ở trạng thái vô hiệu</t>
    </r>
  </si>
  <si>
    <t>Phòng chống gửi trùng — Vùng tester thường phát hiện bug.
---</t>
  </si>
  <si>
    <t>Header &amp; Breadcrumb</t>
  </si>
  <si>
    <t>ACSMS-TC-005-012</t>
  </si>
  <si>
    <t>Hiển thị header title</t>
  </si>
  <si>
    <t>・Đang ở màn hình đăng ký hoặc màn hình chỉnh sửa</t>
  </si>
  <si>
    <r>
      <rPr>
        <b/>
        <sz val="10"/>
        <color rgb="FF000000"/>
        <rFont val="メイリオ"/>
        <charset val="134"/>
      </rPr>
      <t xml:space="preserve">ステップ1：
</t>
    </r>
    <r>
      <rPr>
        <sz val="10"/>
        <color rgb="FF000000"/>
        <rFont val="メイリオ"/>
        <charset val="134"/>
      </rPr>
      <t>Kiểm tra phía trái header trên cùng màn hình</t>
    </r>
  </si>
  <si>
    <r>
      <rPr>
        <b/>
        <sz val="10"/>
        <color rgb="FF000000"/>
        <rFont val="メイリオ"/>
        <charset val="134"/>
      </rPr>
      <t xml:space="preserve">ステップ1：
</t>
    </r>
    <r>
      <rPr>
        <sz val="10"/>
        <color rgb="FF000000"/>
        <rFont val="メイリオ"/>
        <charset val="134"/>
      </rPr>
      <t xml:space="preserve">Hiển thị chữ「JAマスタ登録画面」
</t>
    </r>
    <r>
      <rPr>
        <b/>
        <sz val="10"/>
        <color rgb="FF000000"/>
        <rFont val="メイリオ"/>
        <charset val="134"/>
      </rPr>
      <t xml:space="preserve">補足：
</t>
    </r>
    <r>
      <rPr>
        <sz val="10"/>
        <color rgb="FF000000"/>
        <rFont val="メイリオ"/>
        <charset val="134"/>
      </rPr>
      <t>・Chuỗi title literal đúng theo spec</t>
    </r>
  </si>
  <si>
    <t>ACSMS-TC-005-013</t>
  </si>
  <si>
    <t>Hiển thị icon thông báo + menu user</t>
  </si>
  <si>
    <t>・role: NICHINO_ADMIN
・Đang ở màn hình đăng ký</t>
  </si>
  <si>
    <r>
      <rPr>
        <b/>
        <sz val="10"/>
        <color rgb="FF000000"/>
        <rFont val="メイリオ"/>
        <charset val="134"/>
      </rPr>
      <t xml:space="preserve">ステップ1：
</t>
    </r>
    <r>
      <rPr>
        <sz val="10"/>
        <color rgb="FF000000"/>
        <rFont val="メイリオ"/>
        <charset val="134"/>
      </rPr>
      <t xml:space="preserve">Kiểm tra phía phải header
</t>
    </r>
    <r>
      <rPr>
        <b/>
        <sz val="10"/>
        <color rgb="FF000000"/>
        <rFont val="メイリオ"/>
        <charset val="134"/>
      </rPr>
      <t xml:space="preserve">ステップ2：
</t>
    </r>
    <r>
      <rPr>
        <sz val="10"/>
        <color rgb="FF000000"/>
        <rFont val="メイリオ"/>
        <charset val="134"/>
      </rPr>
      <t xml:space="preserve">Hover chuột lên icon user
</t>
    </r>
    <r>
      <rPr>
        <b/>
        <sz val="10"/>
        <color rgb="FF000000"/>
        <rFont val="メイリオ"/>
        <charset val="134"/>
      </rPr>
      <t xml:space="preserve">ステップ3：
</t>
    </r>
    <r>
      <rPr>
        <sz val="10"/>
        <color rgb="FF000000"/>
        <rFont val="メイリオ"/>
        <charset val="134"/>
      </rPr>
      <t>Click icon user</t>
    </r>
  </si>
  <si>
    <r>
      <rPr>
        <b/>
        <sz val="10"/>
        <color rgb="FF000000"/>
        <rFont val="メイリオ"/>
        <charset val="134"/>
      </rPr>
      <t xml:space="preserve">ステップ1：
</t>
    </r>
    <r>
      <rPr>
        <sz val="10"/>
        <color rgb="FF000000"/>
        <rFont val="メイリオ"/>
        <charset val="134"/>
      </rPr>
      <t xml:space="preserve">Theo thứ tự: icon thông báo → icon user → tên đăng nhập (ví dụ: 日農（管理者）)
</t>
    </r>
    <r>
      <rPr>
        <b/>
        <sz val="10"/>
        <color rgb="FF000000"/>
        <rFont val="メイリオ"/>
        <charset val="134"/>
      </rPr>
      <t xml:space="preserve">ステップ2：
</t>
    </r>
    <r>
      <rPr>
        <sz val="10"/>
        <color rgb="FF000000"/>
        <rFont val="メイリオ"/>
        <charset val="134"/>
      </rPr>
      <t xml:space="preserve">Khi hover, background đổi màu
</t>
    </r>
    <r>
      <rPr>
        <b/>
        <sz val="10"/>
        <color rgb="FF000000"/>
        <rFont val="メイリオ"/>
        <charset val="134"/>
      </rPr>
      <t xml:space="preserve">ステップ3：
</t>
    </r>
    <r>
      <rPr>
        <sz val="10"/>
        <color rgb="FF000000"/>
        <rFont val="メイリオ"/>
        <charset val="134"/>
      </rPr>
      <t xml:space="preserve">Dropdown mở ra — hiển thị menu logout v.v.
</t>
    </r>
    <r>
      <rPr>
        <b/>
        <sz val="10"/>
        <color rgb="FF000000"/>
        <rFont val="メイリオ"/>
        <charset val="134"/>
      </rPr>
      <t xml:space="preserve">補足：
</t>
    </r>
    <r>
      <rPr>
        <sz val="10"/>
        <color rgb="FF000000"/>
        <rFont val="メイリオ"/>
        <charset val="134"/>
      </rPr>
      <t>・Tất cả tương tác hover/click đúng design spec</t>
    </r>
  </si>
  <si>
    <t>ACSMS-TC-005-014</t>
  </si>
  <si>
    <t>Hiển thị breadcrumb</t>
  </si>
  <si>
    <r>
      <rPr>
        <b/>
        <sz val="10"/>
        <color rgb="FF000000"/>
        <rFont val="メイリオ"/>
        <charset val="134"/>
      </rPr>
      <t xml:space="preserve">ステップ1：
</t>
    </r>
    <r>
      <rPr>
        <sz val="10"/>
        <color rgb="FF000000"/>
        <rFont val="メイリオ"/>
        <charset val="134"/>
      </rPr>
      <t xml:space="preserve">Kiểm tra vùng breadcrumb dưới title màn hình
</t>
    </r>
    <r>
      <rPr>
        <b/>
        <sz val="10"/>
        <color rgb="FF000000"/>
        <rFont val="メイリオ"/>
        <charset val="134"/>
      </rPr>
      <t xml:space="preserve">ステップ2：
</t>
    </r>
    <r>
      <rPr>
        <sz val="10"/>
        <color rgb="FF000000"/>
        <rFont val="メイリオ"/>
        <charset val="134"/>
      </rPr>
      <t>So sánh các cấp breadcrumb với design spec</t>
    </r>
  </si>
  <si>
    <r>
      <rPr>
        <b/>
        <sz val="10"/>
        <color rgb="FF000000"/>
        <rFont val="メイリオ"/>
        <charset val="134"/>
      </rPr>
      <t xml:space="preserve">ステップ1：
</t>
    </r>
    <r>
      <rPr>
        <sz val="10"/>
        <color rgb="FF000000"/>
        <rFont val="メイリオ"/>
        <charset val="134"/>
      </rPr>
      <t xml:space="preserve">Hiển thị cấu trúc:「ホーム &gt; JAマスタ一覧 &gt; JAマスタ登録画面」
</t>
    </r>
    <r>
      <rPr>
        <b/>
        <sz val="10"/>
        <color rgb="FF000000"/>
        <rFont val="メイリオ"/>
        <charset val="134"/>
      </rPr>
      <t xml:space="preserve">ステップ2：
</t>
    </r>
    <r>
      <rPr>
        <sz val="10"/>
        <color rgb="FF000000"/>
        <rFont val="メイリオ"/>
        <charset val="134"/>
      </rPr>
      <t xml:space="preserve">Ký tự phân tách, text, có/không link đều khớp
</t>
    </r>
    <r>
      <rPr>
        <b/>
        <sz val="10"/>
        <color rgb="FF000000"/>
        <rFont val="メイリオ"/>
        <charset val="134"/>
      </rPr>
      <t xml:space="preserve">補足：
</t>
    </r>
    <r>
      <rPr>
        <sz val="10"/>
        <color rgb="FF000000"/>
        <rFont val="メイリオ"/>
        <charset val="134"/>
      </rPr>
      <t xml:space="preserve">・Breadcrumb hiển thị đúng cấu trúc + đúng design spec
</t>
    </r>
    <r>
      <rPr>
        <sz val="10"/>
        <color rgb="FF000000"/>
        <rFont val="メイリオ"/>
        <charset val="134"/>
      </rPr>
      <t>・Node cha của danh sách có thể click (link), màn hình hiện tại không có link</t>
    </r>
  </si>
  <si>
    <t>ACSMS-TC-005-015</t>
  </si>
  <si>
    <t>Hoạt động chuyển trang của các link breadcrumb</t>
  </si>
  <si>
    <r>
      <rPr>
        <b/>
        <sz val="10"/>
        <color rgb="FF000000"/>
        <rFont val="メイリオ"/>
        <charset val="134"/>
      </rPr>
      <t xml:space="preserve">ステップ1：
</t>
    </r>
    <r>
      <rPr>
        <sz val="10"/>
        <color rgb="FF000000"/>
        <rFont val="メイリオ"/>
        <charset val="134"/>
      </rPr>
      <t xml:space="preserve">Click「ホーム」trên breadcrumb
</t>
    </r>
    <r>
      <rPr>
        <b/>
        <sz val="10"/>
        <color rgb="FF000000"/>
        <rFont val="メイリオ"/>
        <charset val="134"/>
      </rPr>
      <t xml:space="preserve">ステップ2：
</t>
    </r>
    <r>
      <rPr>
        <sz val="10"/>
        <color rgb="FF000000"/>
        <rFont val="メイリオ"/>
        <charset val="134"/>
      </rPr>
      <t xml:space="preserve">Quay lại màn hình đăng ký, click「JAマスタ一覧」
</t>
    </r>
    <r>
      <rPr>
        <b/>
        <sz val="10"/>
        <color rgb="FF000000"/>
        <rFont val="メイリオ"/>
        <charset val="134"/>
      </rPr>
      <t xml:space="preserve">ステップ3：
</t>
    </r>
    <r>
      <rPr>
        <sz val="10"/>
        <color rgb="FF000000"/>
        <rFont val="メイリオ"/>
        <charset val="134"/>
      </rPr>
      <t>Quay lại màn hình đăng ký, click「JAマスタ登録画面」(màn hình hiện tại)</t>
    </r>
  </si>
  <si>
    <r>
      <rPr>
        <b/>
        <sz val="10"/>
        <color rgb="FF000000"/>
        <rFont val="メイリオ"/>
        <charset val="134"/>
      </rPr>
      <t xml:space="preserve">ステップ1：
</t>
    </r>
    <r>
      <rPr>
        <sz val="10"/>
        <color rgb="FF000000"/>
        <rFont val="メイリオ"/>
        <charset val="134"/>
      </rPr>
      <t xml:space="preserve">Chuyển sang `/dashboard`
</t>
    </r>
    <r>
      <rPr>
        <b/>
        <sz val="10"/>
        <color rgb="FF000000"/>
        <rFont val="メイリオ"/>
        <charset val="134"/>
      </rPr>
      <t xml:space="preserve">ステップ2：
</t>
    </r>
    <r>
      <rPr>
        <sz val="10"/>
        <color rgb="FF000000"/>
        <rFont val="メイリオ"/>
        <charset val="134"/>
      </rPr>
      <t xml:space="preserve">Chuyển sang màn hình danh sách `/ja`
</t>
    </r>
    <r>
      <rPr>
        <b/>
        <sz val="10"/>
        <color rgb="FF000000"/>
        <rFont val="メイリオ"/>
        <charset val="134"/>
      </rPr>
      <t xml:space="preserve">ステップ3：
</t>
    </r>
    <r>
      <rPr>
        <sz val="10"/>
        <color rgb="FF000000"/>
        <rFont val="メイリオ"/>
        <charset val="134"/>
      </rPr>
      <t xml:space="preserve">Vì là màn hình hiện tại, không xảy ra gì (không reload)
</t>
    </r>
    <r>
      <rPr>
        <b/>
        <sz val="10"/>
        <color rgb="FF000000"/>
        <rFont val="メイリオ"/>
        <charset val="134"/>
      </rPr>
      <t xml:space="preserve">補足：
</t>
    </r>
    <r>
      <rPr>
        <sz val="10"/>
        <color rgb="FF000000"/>
        <rFont val="メイリオ"/>
        <charset val="134"/>
      </rPr>
      <t>・Mỗi link hoạt động đúng như mong đợi</t>
    </r>
  </si>
  <si>
    <t>Kiểm tra đầu vào — Màn hình đăng ký</t>
  </si>
  <si>
    <t>ACSMS-TC-005-016</t>
  </si>
  <si>
    <t>JAコード — Kiểm tra bắt buộc (rỗng + ký tự khoảng trắng)</t>
  </si>
  <si>
    <t>・role: NICHINO_ADMIN
・Màn hình đăng ký, các mục khác đã nhập giá trị hợp lệ
・Test data: JA名=テストJA, 都道府県=13, 中央会フラグ=false, 金融機関コード=1234, 金融機関名=農林中央金庫, 税区分=1</t>
  </si>
  <si>
    <r>
      <rPr>
        <b/>
        <sz val="10"/>
        <color rgb="FF000000"/>
        <rFont val="メイリオ"/>
        <charset val="134"/>
      </rPr>
      <t xml:space="preserve">ステップ1：
</t>
    </r>
    <r>
      <rPr>
        <sz val="10"/>
        <color rgb="FF000000"/>
        <rFont val="メイリオ"/>
        <charset val="134"/>
      </rPr>
      <t xml:space="preserve">Để trống JAコード, nhấn button đăng ký
</t>
    </r>
    <r>
      <rPr>
        <b/>
        <sz val="10"/>
        <color rgb="FF000000"/>
        <rFont val="メイリオ"/>
        <charset val="134"/>
      </rPr>
      <t xml:space="preserve">ステップ2：
</t>
    </r>
    <r>
      <rPr>
        <sz val="10"/>
        <color rgb="FF000000"/>
        <rFont val="メイリオ"/>
        <charset val="134"/>
      </rPr>
      <t xml:space="preserve">Nhập 3 ký tự space half-width → nhấn button đăng ký
</t>
    </r>
    <r>
      <rPr>
        <b/>
        <sz val="10"/>
        <color rgb="FF000000"/>
        <rFont val="メイリオ"/>
        <charset val="134"/>
      </rPr>
      <t xml:space="preserve">ステップ3：
</t>
    </r>
    <r>
      <rPr>
        <sz val="10"/>
        <color rgb="FF000000"/>
        <rFont val="メイリオ"/>
        <charset val="134"/>
      </rPr>
      <t>Nhập 3 ký tự space full-width → nhấn button đăng ký</t>
    </r>
  </si>
  <si>
    <r>
      <rPr>
        <b/>
        <sz val="10"/>
        <color rgb="FF000000"/>
        <rFont val="メイリオ"/>
        <charset val="134"/>
      </rPr>
      <t xml:space="preserve">ステップ1：
</t>
    </r>
    <r>
      <rPr>
        <sz val="10"/>
        <color rgb="FF000000"/>
        <rFont val="メイリオ"/>
        <charset val="134"/>
      </rPr>
      <t xml:space="preserve">Hiển thị「必須項目です。」ngay dưới mục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"ja_code", message: "JAコードを入力してください" }
</t>
    </r>
    <r>
      <rPr>
        <b/>
        <sz val="10"/>
        <color rgb="FF000000"/>
        <rFont val="メイリオ"/>
        <charset val="134"/>
      </rPr>
      <t xml:space="preserve">ステップ2：
</t>
    </r>
    <r>
      <rPr>
        <sz val="10"/>
        <color rgb="FF000000"/>
        <rFont val="メイリオ"/>
        <charset val="134"/>
      </rPr>
      <t xml:space="preserve">Sau khi loại bỏ space đầu cuối ở backend, được nhận diện là rỗng, 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b/>
        <sz val="10"/>
        <color rgb="FF000000"/>
        <rFont val="メイリオ"/>
        <charset val="134"/>
      </rPr>
      <t xml:space="preserve">ステップ3：
</t>
    </r>
    <r>
      <rPr>
        <sz val="10"/>
        <color rgb="FF000000"/>
        <rFont val="メイリオ"/>
        <charset val="134"/>
      </rPr>
      <t xml:space="preserve">Space full-width cũng là đối tượng loại bỏ space đầu cuối, 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b/>
        <sz val="10"/>
        <color rgb="FF000000"/>
        <rFont val="メイリオ"/>
        <charset val="134"/>
      </rPr>
      <t xml:space="preserve">補足：
</t>
    </r>
    <r>
      <rPr>
        <sz val="10"/>
        <color rgb="FF000000"/>
        <rFont val="メイリオ"/>
        <charset val="134"/>
      </rPr>
      <t xml:space="preserve">・Cả input rỗng và input chỉ chứa khoảng trắng đều bị xử lý là vi phạm bắt buộc
</t>
    </r>
    <r>
      <rPr>
        <sz val="10"/>
        <color rgb="FF000000"/>
        <rFont val="メイリオ"/>
        <charset val="134"/>
      </rPr>
      <t xml:space="preserve">・Backend loại bỏ space đầu cuối, sau đó nhận diện là rỗng
</t>
    </r>
    <r>
      <rPr>
        <sz val="10"/>
        <color rgb="FF000000"/>
        <rFont val="メイリオ"/>
        <charset val="134"/>
      </rPr>
      <t>・Không có row mới trong `m_ja`</t>
    </r>
  </si>
  <si>
    <t>ACSMS-TC-005-017</t>
  </si>
  <si>
    <t>JAコード — Giới hạn tối đa 10 ký tự (giá trị biên)</t>
  </si>
  <si>
    <t>・role: NICHINO_ADMIN
・Màn hình đăng ký, các mục khác đã nhập giá trị hợp lệ</t>
  </si>
  <si>
    <r>
      <rPr>
        <b/>
        <sz val="10"/>
        <color rgb="FF000000"/>
        <rFont val="游ゴシック"/>
        <charset val="134"/>
      </rPr>
      <t xml:space="preserve">ステップ1：
</t>
    </r>
    <r>
      <rPr>
        <sz val="10"/>
        <color rgb="FF000000"/>
        <rFont val="游ゴシック"/>
        <charset val="134"/>
      </rPr>
      <t xml:space="preserve">Nhập 10 ký tự (ví dụ: 1301999001) vào JAコード → đăng ký
</t>
    </r>
    <r>
      <rPr>
        <b/>
        <sz val="10"/>
        <color rgb="FF000000"/>
        <rFont val="游ゴシック"/>
        <charset val="134"/>
      </rPr>
      <t xml:space="preserve">ステップ2：
</t>
    </r>
    <r>
      <rPr>
        <sz val="10"/>
        <color rgb="FF000000"/>
        <rFont val="游ゴシック"/>
        <charset val="134"/>
      </rPr>
      <t xml:space="preserve">Thử nhập ký tự thứ 11 vào JAコード
</t>
    </r>
    <r>
      <rPr>
        <b/>
        <sz val="10"/>
        <color rgb="FF000000"/>
        <rFont val="游ゴシック"/>
        <charset val="134"/>
      </rPr>
      <t xml:space="preserve">ステップ3：
</t>
    </r>
    <r>
      <rPr>
        <sz val="10"/>
        <color rgb="FF000000"/>
        <rFont val="游ゴシック"/>
        <charset val="134"/>
      </rPr>
      <t>Paste「12345678901234」(14 ký tự) vào ô JAコード</t>
    </r>
  </si>
  <si>
    <r>
      <rPr>
        <b/>
        <sz val="10"/>
        <color rgb="FF000000"/>
        <rFont val="メイリオ"/>
        <charset val="134"/>
      </rPr>
      <t xml:space="preserve">ステップ1：
</t>
    </r>
    <r>
      <rPr>
        <sz val="10"/>
        <color rgb="FF000000"/>
        <rFont val="メイリオ"/>
        <charset val="134"/>
      </rPr>
      <t xml:space="preserve">Tiếp nhận bình thường, đăng ký thành công
</t>
    </r>
    <r>
      <rPr>
        <b/>
        <sz val="10"/>
        <color rgb="FF000000"/>
        <rFont val="メイリオ"/>
        <charset val="134"/>
      </rPr>
      <t xml:space="preserve">ステップ2：
</t>
    </r>
    <r>
      <rPr>
        <sz val="10"/>
        <color rgb="FF000000"/>
        <rFont val="メイリオ"/>
        <charset val="134"/>
      </rPr>
      <t xml:space="preserve">input maxlength chặn nhập (không nhập được ký tự thứ 11)
</t>
    </r>
    <r>
      <rPr>
        <b/>
        <sz val="10"/>
        <color rgb="FF000000"/>
        <rFont val="メイリオ"/>
        <charset val="134"/>
      </rPr>
      <t xml:space="preserve">ステップ3：
</t>
    </r>
    <r>
      <rPr>
        <sz val="10"/>
        <color rgb="FF000000"/>
        <rFont val="メイリオ"/>
        <charset val="134"/>
      </rPr>
      <t xml:space="preserve">Cắt đến ký tự thứ 10, record đăng ký là 10 ký tự
</t>
    </r>
    <r>
      <rPr>
        <b/>
        <sz val="10"/>
        <color rgb="FF000000"/>
        <rFont val="メイリオ"/>
        <charset val="134"/>
      </rPr>
      <t xml:space="preserve">補足：
</t>
    </r>
    <r>
      <rPr>
        <sz val="10"/>
        <color rgb="FF000000"/>
        <rFont val="メイリオ"/>
        <charset val="134"/>
      </rPr>
      <t>・Giới hạn 10 ký tự được enforce kép bằng input maxlength và validation BE</t>
    </r>
  </si>
  <si>
    <t>ACSMS-TC-005-018</t>
  </si>
  <si>
    <t>JAコード — Lỗi khi trùng</t>
  </si>
  <si>
    <t>・role: NICHINO_ADMIN
・Test data có sẵn: `ja_id=1, ja_code='1301001001'` đã đăng ký</t>
  </si>
  <si>
    <r>
      <rPr>
        <b/>
        <sz val="10"/>
        <color rgb="FF000000"/>
        <rFont val="游ゴシック"/>
        <charset val="134"/>
      </rPr>
      <t xml:space="preserve">ステップ1：
</t>
    </r>
    <r>
      <rPr>
        <sz val="10"/>
        <color rgb="FF000000"/>
        <rFont val="游ゴシック"/>
        <charset val="134"/>
      </rPr>
      <t xml:space="preserve">Nhập `1301001001` vào JAコード, các mục khác nhập giá trị hợp lệ rồi đăng ký
</t>
    </r>
    <r>
      <rPr>
        <b/>
        <sz val="10"/>
        <color rgb="FF000000"/>
        <rFont val="游ゴシック"/>
        <charset val="134"/>
      </rPr>
      <t xml:space="preserve">ステップ2：
</t>
    </r>
    <r>
      <rPr>
        <sz val="10"/>
        <color rgb="FF000000"/>
        <rFont val="游ゴシック"/>
        <charset val="134"/>
      </rPr>
      <t xml:space="preserve">Kiểm tra DB: `SELECT COUNT(*) FROM m_ja WHERE ja_code = '1301001001' AND deleted_at IS NULL`
</t>
    </r>
    <r>
      <rPr>
        <b/>
        <sz val="10"/>
        <color rgb="FF000000"/>
        <rFont val="游ゴシック"/>
        <charset val="134"/>
      </rPr>
      <t xml:space="preserve">ステップ3：
</t>
    </r>
    <r>
      <rPr>
        <sz val="10"/>
        <color rgb="FF000000"/>
        <rFont val="游ゴシック"/>
        <charset val="134"/>
      </rPr>
      <t>Kiểm tra log kiểm toán: `SELECT * FROM t_log WHERE result_status = 2 ORDER BY log_datetime DESC LIMIT 1`</t>
    </r>
  </si>
  <si>
    <r>
      <rPr>
        <b/>
        <sz val="10"/>
        <color rgb="FF000000"/>
        <rFont val="メイリオ"/>
        <charset val="134"/>
      </rPr>
      <t xml:space="preserve">ステップ1：
</t>
    </r>
    <r>
      <rPr>
        <sz val="10"/>
        <color rgb="FF000000"/>
        <rFont val="メイリオ"/>
        <charset val="134"/>
      </rPr>
      <t xml:space="preserve">HTTP status code: 400
</t>
    </r>
    <r>
      <rPr>
        <sz val="10"/>
        <color rgb="FF000000"/>
        <rFont val="メイリオ"/>
        <charset val="134"/>
      </rPr>
      <t xml:space="preserve">error_code: DUPLICATE_CODE
</t>
    </r>
    <r>
      <rPr>
        <sz val="10"/>
        <color rgb="FF000000"/>
        <rFont val="メイリオ"/>
        <charset val="134"/>
      </rPr>
      <t xml:space="preserve">message:「JAコード「1301001001」はすでに登録されています。」
</t>
    </r>
    <r>
      <rPr>
        <sz val="10"/>
        <color rgb="FF000000"/>
        <rFont val="メイリオ"/>
        <charset val="134"/>
      </rPr>
      <t xml:space="preserve">Đăng ký thất bại, message hiển thị ngay dưới mục trên màn hình
</t>
    </r>
    <r>
      <rPr>
        <b/>
        <sz val="10"/>
        <color rgb="FF000000"/>
        <rFont val="メイリオ"/>
        <charset val="134"/>
      </rPr>
      <t xml:space="preserve">ステップ2：
</t>
    </r>
    <r>
      <rPr>
        <sz val="10"/>
        <color rgb="FF000000"/>
        <rFont val="メイリオ"/>
        <charset val="134"/>
      </rPr>
      <t xml:space="preserve">Chỉ 1 record (không trùng)
</t>
    </r>
    <r>
      <rPr>
        <b/>
        <sz val="10"/>
        <color rgb="FF000000"/>
        <rFont val="メイリオ"/>
        <charset val="134"/>
      </rPr>
      <t xml:space="preserve">ステップ3：
</t>
    </r>
    <r>
      <rPr>
        <sz val="10"/>
        <color rgb="FF000000"/>
        <rFont val="メイリオ"/>
        <charset val="134"/>
      </rPr>
      <t xml:space="preserve">Log thất bại được ghi (log_type=3)
</t>
    </r>
    <r>
      <rPr>
        <b/>
        <sz val="10"/>
        <color rgb="FF000000"/>
        <rFont val="メイリオ"/>
        <charset val="134"/>
      </rPr>
      <t xml:space="preserve">補足：
</t>
    </r>
    <r>
      <rPr>
        <sz val="10"/>
        <color rgb="FF000000"/>
        <rFont val="メイリオ"/>
        <charset val="134"/>
      </rPr>
      <t xml:space="preserve">・JAコード unique trên toàn hệ thống (UNIQUE đơn, không phải UNIQUE phức hợp)
</t>
    </r>
    <r>
      <rPr>
        <sz val="10"/>
        <color rgb="FF000000"/>
        <rFont val="メイリオ"/>
        <charset val="134"/>
      </rPr>
      <t>・Khi phát hiện trùng, từ chối trước khi thực hiện INSERT đăng ký, trước khi bắt đầu transaction</t>
    </r>
  </si>
  <si>
    <t>ACSMS-TC-005-019</t>
  </si>
  <si>
    <t>JAコード — Xử lý an toàn ký tự đặc biệt / HTML / SQL injection</t>
  </si>
  <si>
    <t>・role: NICHINO_ADMIN
・Màn hình đăng ký, các field khác đã nhập giá trị hợp lệ</t>
  </si>
  <si>
    <r>
      <rPr>
        <b/>
        <sz val="10"/>
        <color rgb="FF000000"/>
        <rFont val="游ゴシック"/>
        <charset val="134"/>
      </rPr>
      <t xml:space="preserve">ステップ1：
</t>
    </r>
    <r>
      <rPr>
        <sz val="10"/>
        <color rgb="FF000000"/>
        <rFont val="游ゴシック"/>
        <charset val="134"/>
      </rPr>
      <t xml:space="preserve">Nhập HTML tag `&lt;script&gt;alert(1)&lt;/script&gt;` vào JAコード → đăng ký
</t>
    </r>
    <r>
      <rPr>
        <b/>
        <sz val="10"/>
        <color rgb="FF000000"/>
        <rFont val="游ゴシック"/>
        <charset val="134"/>
      </rPr>
      <t xml:space="preserve">ステップ2：
</t>
    </r>
    <r>
      <rPr>
        <sz val="10"/>
        <color rgb="FF000000"/>
        <rFont val="游ゴシック"/>
        <charset val="134"/>
      </rPr>
      <t xml:space="preserve">Nhập SQL injection `1301'; DROP TABLE m_ja; --` → đăng ký
</t>
    </r>
    <r>
      <rPr>
        <b/>
        <sz val="10"/>
        <color rgb="FF000000"/>
        <rFont val="游ゴシック"/>
        <charset val="134"/>
      </rPr>
      <t xml:space="preserve">ステップ3：
</t>
    </r>
    <r>
      <rPr>
        <sz val="10"/>
        <color rgb="FF000000"/>
        <rFont val="游ゴシック"/>
        <charset val="134"/>
      </rPr>
      <t>Nếu đăng ký thành công, hiển thị lại giá trị trên màn hình chỉnh sửa</t>
    </r>
  </si>
  <si>
    <r>
      <rPr>
        <b/>
        <sz val="10"/>
        <color rgb="FF000000"/>
        <rFont val="メイリオ"/>
        <charset val="134"/>
      </rPr>
      <t xml:space="preserve">ステップ1：
</t>
    </r>
    <r>
      <rPr>
        <sz val="10"/>
        <color rgb="FF000000"/>
        <rFont val="メイリオ"/>
        <charset val="134"/>
      </rPr>
      <t xml:space="preserve">Tiếp nhận / từ chối theo spec. Khi tiếp nhận, lưu / hiển thị dưới dạng literal text (JS không execute)
</t>
    </r>
    <r>
      <rPr>
        <b/>
        <sz val="10"/>
        <color rgb="FF000000"/>
        <rFont val="メイリオ"/>
        <charset val="134"/>
      </rPr>
      <t xml:space="preserve">ステップ2：
</t>
    </r>
    <r>
      <rPr>
        <sz val="10"/>
        <color rgb="FF000000"/>
        <rFont val="メイリオ"/>
        <charset val="134"/>
      </rPr>
      <t xml:space="preserve">Lưu literal hoặc từ chối, bảng `m_ja` không bị xóa
</t>
    </r>
    <r>
      <rPr>
        <b/>
        <sz val="10"/>
        <color rgb="FF000000"/>
        <rFont val="メイリオ"/>
        <charset val="134"/>
      </rPr>
      <t xml:space="preserve">ステップ3：
</t>
    </r>
    <r>
      <rPr>
        <sz val="10"/>
        <color rgb="FF000000"/>
        <rFont val="メイリオ"/>
        <charset val="134"/>
      </rPr>
      <t xml:space="preserve">Hiển thị nguyên dạng literal text, JS không execute
</t>
    </r>
    <r>
      <rPr>
        <b/>
        <sz val="10"/>
        <color rgb="FF000000"/>
        <rFont val="メイリオ"/>
        <charset val="134"/>
      </rPr>
      <t xml:space="preserve">補足：
</t>
    </r>
    <r>
      <rPr>
        <sz val="10"/>
        <color rgb="FF000000"/>
        <rFont val="メイリオ"/>
        <charset val="134"/>
      </rPr>
      <t xml:space="preserve">・Stored XSS không phát huy do Vue auto-escape
</t>
    </r>
    <r>
      <rPr>
        <sz val="10"/>
        <color rgb="FF000000"/>
        <rFont val="メイリオ"/>
        <charset val="134"/>
      </rPr>
      <t xml:space="preserve">・SQL injection không phát huy do parameterized query của TypeORM
</t>
    </r>
    <r>
      <rPr>
        <sz val="10"/>
        <color rgb="FF000000"/>
        <rFont val="メイリオ"/>
        <charset val="134"/>
      </rPr>
      <t>・Lưu literal trong DB (không giữ data đã escape)</t>
    </r>
  </si>
  <si>
    <t>Critical về security — Nếu fail thì xử lý như incident.</t>
  </si>
  <si>
    <t>ACSMS-TC-005-020</t>
  </si>
  <si>
    <t>JA名 — Kiểm tra bắt buộc (rỗng + ký tự khoảng trắng)</t>
  </si>
  <si>
    <r>
      <rPr>
        <b/>
        <sz val="10"/>
        <color rgb="FF000000"/>
        <rFont val="メイリオ"/>
        <charset val="134"/>
      </rPr>
      <t xml:space="preserve">ステップ1：
</t>
    </r>
    <r>
      <rPr>
        <sz val="10"/>
        <color rgb="FF000000"/>
        <rFont val="メイリオ"/>
        <charset val="134"/>
      </rPr>
      <t xml:space="preserve">Để trống JA名, nhấn đăng ký
</t>
    </r>
    <r>
      <rPr>
        <b/>
        <sz val="10"/>
        <color rgb="FF000000"/>
        <rFont val="メイリオ"/>
        <charset val="134"/>
      </rPr>
      <t xml:space="preserve">ステップ2：
</t>
    </r>
    <r>
      <rPr>
        <sz val="10"/>
        <color rgb="FF000000"/>
        <rFont val="メイリオ"/>
        <charset val="134"/>
      </rPr>
      <t>Nhập chỉ space half-width / full-width → đăng ký</t>
    </r>
  </si>
  <si>
    <r>
      <rPr>
        <b/>
        <sz val="10"/>
        <color rgb="FF000000"/>
        <rFont val="メイリオ"/>
        <charset val="134"/>
      </rPr>
      <t xml:space="preserve">ステップ1：
</t>
    </r>
    <r>
      <rPr>
        <sz val="10"/>
        <color rgb="FF000000"/>
        <rFont val="メイリオ"/>
        <charset val="134"/>
      </rPr>
      <t xml:space="preserve">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"ja_name", message: "JA名を入力してください" }
</t>
    </r>
    <r>
      <rPr>
        <b/>
        <sz val="10"/>
        <color rgb="FF000000"/>
        <rFont val="メイリオ"/>
        <charset val="134"/>
      </rPr>
      <t xml:space="preserve">ステップ2：
</t>
    </r>
    <r>
      <rPr>
        <sz val="10"/>
        <color rgb="FF000000"/>
        <rFont val="メイリオ"/>
        <charset val="134"/>
      </rPr>
      <t xml:space="preserve">Sau khi loại bỏ space đầu cuối, được nhận diện là rỗng, hiển thị「必須項目です。」
</t>
    </r>
    <r>
      <rPr>
        <sz val="10"/>
        <color rgb="FF000000"/>
        <rFont val="メイリオ"/>
        <charset val="134"/>
      </rPr>
      <t xml:space="preserve">HTTP status code: 400
</t>
    </r>
    <r>
      <rPr>
        <b/>
        <sz val="10"/>
        <color rgb="FF000000"/>
        <rFont val="メイリオ"/>
        <charset val="134"/>
      </rPr>
      <t xml:space="preserve">補足：
</t>
    </r>
    <r>
      <rPr>
        <sz val="10"/>
        <color rgb="FF000000"/>
        <rFont val="メイリオ"/>
        <charset val="134"/>
      </rPr>
      <t>・Cả input rỗng và input chỉ chứa khoảng trắng đều bị xử lý là vi phạm bắt buộc</t>
    </r>
  </si>
  <si>
    <t>ACSMS-TC-005-021</t>
  </si>
  <si>
    <t>JA名 — Giới hạn tối đa 200 ký tự (giá trị biên)</t>
  </si>
  <si>
    <t>・role: NICHINO_ADMIN
・Màn hình đăng ký</t>
  </si>
  <si>
    <r>
      <rPr>
        <b/>
        <sz val="10"/>
        <color rgb="FF000000"/>
        <rFont val="メイリオ"/>
        <charset val="134"/>
      </rPr>
      <t xml:space="preserve">ステップ1：
</t>
    </r>
    <r>
      <rPr>
        <sz val="10"/>
        <color rgb="FF000000"/>
        <rFont val="メイリオ"/>
        <charset val="134"/>
      </rPr>
      <t xml:space="preserve">Nhập 200 ký tự half-width → đăng ký
</t>
    </r>
    <r>
      <rPr>
        <b/>
        <sz val="10"/>
        <color rgb="FF000000"/>
        <rFont val="メイリオ"/>
        <charset val="134"/>
      </rPr>
      <t xml:space="preserve">ステップ2：
</t>
    </r>
    <r>
      <rPr>
        <sz val="10"/>
        <color rgb="FF000000"/>
        <rFont val="メイリオ"/>
        <charset val="134"/>
      </rPr>
      <t xml:space="preserve">Thử nhập ký tự thứ 201 half-width
</t>
    </r>
    <r>
      <rPr>
        <b/>
        <sz val="10"/>
        <color rgb="FF000000"/>
        <rFont val="メイリオ"/>
        <charset val="134"/>
      </rPr>
      <t xml:space="preserve">ステップ3：
</t>
    </r>
    <r>
      <rPr>
        <sz val="10"/>
        <color rgb="FF000000"/>
        <rFont val="メイリオ"/>
        <charset val="134"/>
      </rPr>
      <t xml:space="preserve">Nhập 200 ký tự full-width (Hán tự) → đăng ký
</t>
    </r>
    <r>
      <rPr>
        <b/>
        <sz val="10"/>
        <color rgb="FF000000"/>
        <rFont val="メイリオ"/>
        <charset val="134"/>
      </rPr>
      <t xml:space="preserve">ステップ4：
</t>
    </r>
    <r>
      <rPr>
        <sz val="10"/>
        <color rgb="FF000000"/>
        <rFont val="メイリオ"/>
        <charset val="134"/>
      </rPr>
      <t>Nhập mix half-width 100 + full-width 100 → đăng ký</t>
    </r>
  </si>
  <si>
    <r>
      <rPr>
        <b/>
        <sz val="10"/>
        <color rgb="FF000000"/>
        <rFont val="メイリオ"/>
        <charset val="134"/>
      </rPr>
      <t xml:space="preserve">ステップ1：
</t>
    </r>
    <r>
      <rPr>
        <sz val="10"/>
        <color rgb="FF000000"/>
        <rFont val="メイリオ"/>
        <charset val="134"/>
      </rPr>
      <t xml:space="preserve">Tiếp nhận bình thường
</t>
    </r>
    <r>
      <rPr>
        <b/>
        <sz val="10"/>
        <color rgb="FF000000"/>
        <rFont val="メイリオ"/>
        <charset val="134"/>
      </rPr>
      <t xml:space="preserve">ステップ2：
</t>
    </r>
    <r>
      <rPr>
        <sz val="10"/>
        <color rgb="FF000000"/>
        <rFont val="メイリオ"/>
        <charset val="134"/>
      </rPr>
      <t xml:space="preserve">maxlength chặn ký tự thứ 201
</t>
    </r>
    <r>
      <rPr>
        <b/>
        <sz val="10"/>
        <color rgb="FF000000"/>
        <rFont val="メイリオ"/>
        <charset val="134"/>
      </rPr>
      <t xml:space="preserve">ステップ3：
</t>
    </r>
    <r>
      <rPr>
        <sz val="10"/>
        <color rgb="FF000000"/>
        <rFont val="メイリオ"/>
        <charset val="134"/>
      </rPr>
      <t xml:space="preserve">Tiếp nhận bình thường (đếm ký tự half-width và full-width như nhau)
</t>
    </r>
    <r>
      <rPr>
        <b/>
        <sz val="10"/>
        <color rgb="FF000000"/>
        <rFont val="メイリオ"/>
        <charset val="134"/>
      </rPr>
      <t xml:space="preserve">ステップ4：
</t>
    </r>
    <r>
      <rPr>
        <sz val="10"/>
        <color rgb="FF000000"/>
        <rFont val="メイリオ"/>
        <charset val="134"/>
      </rPr>
      <t xml:space="preserve">Tiếp nhận bình thường
</t>
    </r>
    <r>
      <rPr>
        <b/>
        <sz val="10"/>
        <color rgb="FF000000"/>
        <rFont val="メイリオ"/>
        <charset val="134"/>
      </rPr>
      <t xml:space="preserve">補足：
</t>
    </r>
    <r>
      <rPr>
        <sz val="10"/>
        <color rgb="FF000000"/>
        <rFont val="メイリオ"/>
        <charset val="134"/>
      </rPr>
      <t>・Giới hạn 200 ký tự đếm chung cho half-width và full-width</t>
    </r>
  </si>
  <si>
    <t>ACSMS-TC-005-022</t>
  </si>
  <si>
    <t>JA名 — Cho phép ký tự full-width (Hán tự / Hiragana / Katakana)</t>
  </si>
  <si>
    <r>
      <rPr>
        <b/>
        <sz val="10"/>
        <color rgb="FF000000"/>
        <rFont val="游ゴシック"/>
        <charset val="134"/>
      </rPr>
      <t xml:space="preserve">ステップ1：
</t>
    </r>
    <r>
      <rPr>
        <sz val="10"/>
        <color rgb="FF000000"/>
        <rFont val="游ゴシック"/>
        <charset val="134"/>
      </rPr>
      <t xml:space="preserve">Nhập Hán tự `JA東京中央` → đăng ký
</t>
    </r>
    <r>
      <rPr>
        <b/>
        <sz val="10"/>
        <color rgb="FF000000"/>
        <rFont val="游ゴシック"/>
        <charset val="134"/>
      </rPr>
      <t xml:space="preserve">ステップ2：
</t>
    </r>
    <r>
      <rPr>
        <sz val="10"/>
        <color rgb="FF000000"/>
        <rFont val="游ゴシック"/>
        <charset val="134"/>
      </rPr>
      <t xml:space="preserve">Nhập Hiragana `じぇいえいとうきょう` → đăng ký
</t>
    </r>
    <r>
      <rPr>
        <b/>
        <sz val="10"/>
        <color rgb="FF000000"/>
        <rFont val="游ゴシック"/>
        <charset val="134"/>
      </rPr>
      <t xml:space="preserve">ステップ3：
</t>
    </r>
    <r>
      <rPr>
        <sz val="10"/>
        <color rgb="FF000000"/>
        <rFont val="游ゴシック"/>
        <charset val="134"/>
      </rPr>
      <t xml:space="preserve">Nhập Katakana `ジェイエイトウキョウ` → đăng ký
</t>
    </r>
    <r>
      <rPr>
        <b/>
        <sz val="10"/>
        <color rgb="FF000000"/>
        <rFont val="游ゴシック"/>
        <charset val="134"/>
      </rPr>
      <t xml:space="preserve">ステップ4：
</t>
    </r>
    <r>
      <rPr>
        <sz val="10"/>
        <color rgb="FF000000"/>
        <rFont val="游ゴシック"/>
        <charset val="134"/>
      </rPr>
      <t>Nhập Katakana half-width `ｼﾞｪｲｴｲ` → đăng ký</t>
    </r>
  </si>
  <si>
    <r>
      <rPr>
        <b/>
        <sz val="10"/>
        <color rgb="FF000000"/>
        <rFont val="メイリオ"/>
        <charset val="134"/>
      </rPr>
      <t xml:space="preserve">ステップ1：
</t>
    </r>
    <r>
      <rPr>
        <sz val="10"/>
        <color rgb="FF000000"/>
        <rFont val="メイリオ"/>
        <charset val="134"/>
      </rPr>
      <t xml:space="preserve">Tiếp nhận bình thường, lưu literal trong DB
</t>
    </r>
    <r>
      <rPr>
        <b/>
        <sz val="10"/>
        <color rgb="FF000000"/>
        <rFont val="メイリオ"/>
        <charset val="134"/>
      </rPr>
      <t xml:space="preserve">ステップ2：
</t>
    </r>
    <r>
      <rPr>
        <sz val="10"/>
        <color rgb="FF000000"/>
        <rFont val="メイリオ"/>
        <charset val="134"/>
      </rPr>
      <t xml:space="preserve">Tiếp nhận bình thường
</t>
    </r>
    <r>
      <rPr>
        <b/>
        <sz val="10"/>
        <color rgb="FF000000"/>
        <rFont val="メイリオ"/>
        <charset val="134"/>
      </rPr>
      <t xml:space="preserve">ステップ3：
</t>
    </r>
    <r>
      <rPr>
        <sz val="10"/>
        <color rgb="FF000000"/>
        <rFont val="メイリオ"/>
        <charset val="134"/>
      </rPr>
      <t xml:space="preserve">Tiếp nhận bình thường
</t>
    </r>
    <r>
      <rPr>
        <b/>
        <sz val="10"/>
        <color rgb="FF000000"/>
        <rFont val="メイリオ"/>
        <charset val="134"/>
      </rPr>
      <t xml:space="preserve">ステップ4：
</t>
    </r>
    <r>
      <rPr>
        <sz val="10"/>
        <color rgb="FF000000"/>
        <rFont val="メイリオ"/>
        <charset val="134"/>
      </rPr>
      <t xml:space="preserve">Tiếp nhận bình thường
</t>
    </r>
    <r>
      <rPr>
        <b/>
        <sz val="10"/>
        <color rgb="FF000000"/>
        <rFont val="メイリオ"/>
        <charset val="134"/>
      </rPr>
      <t xml:space="preserve">補足：
</t>
    </r>
    <r>
      <rPr>
        <sz val="10"/>
        <color rgb="FF000000"/>
        <rFont val="メイリオ"/>
        <charset val="134"/>
      </rPr>
      <t>・Cho phép tất cả Katakana full-width và half-width</t>
    </r>
  </si>
  <si>
    <t>ACSMS-TC-005-023</t>
  </si>
  <si>
    <t>JA名（カナ） — Mục tùy chọn / Giới hạn tối đa 200 ký tự</t>
  </si>
  <si>
    <t>・role: NICHINO_ADMIN
・Màn hình đăng ký, các mục bắt buộc khác đã nhập giá trị hợp lệ</t>
  </si>
  <si>
    <r>
      <rPr>
        <b/>
        <sz val="10"/>
        <color rgb="FF000000"/>
        <rFont val="メイリオ"/>
        <charset val="134"/>
      </rPr>
      <t xml:space="preserve">ステップ1：
</t>
    </r>
    <r>
      <rPr>
        <sz val="10"/>
        <color rgb="FF000000"/>
        <rFont val="メイリオ"/>
        <charset val="134"/>
      </rPr>
      <t xml:space="preserve">Để trống JA名カナ, đăng ký
</t>
    </r>
    <r>
      <rPr>
        <b/>
        <sz val="10"/>
        <color rgb="FF000000"/>
        <rFont val="メイリオ"/>
        <charset val="134"/>
      </rPr>
      <t xml:space="preserve">ステップ2：
</t>
    </r>
    <r>
      <rPr>
        <sz val="10"/>
        <color rgb="FF000000"/>
        <rFont val="メイリオ"/>
        <charset val="134"/>
      </rPr>
      <t xml:space="preserve">Nhập 200 ký tự Katakana → đăng ký
</t>
    </r>
    <r>
      <rPr>
        <b/>
        <sz val="10"/>
        <color rgb="FF000000"/>
        <rFont val="メイリオ"/>
        <charset val="134"/>
      </rPr>
      <t xml:space="preserve">ステップ3：
</t>
    </r>
    <r>
      <rPr>
        <sz val="10"/>
        <color rgb="FF000000"/>
        <rFont val="メイリオ"/>
        <charset val="134"/>
      </rPr>
      <t>Thử nhập ký tự thứ 201</t>
    </r>
  </si>
  <si>
    <r>
      <rPr>
        <b/>
        <sz val="10"/>
        <color rgb="FF000000"/>
        <rFont val="メイリオ"/>
        <charset val="134"/>
      </rPr>
      <t xml:space="preserve">ステップ1：
</t>
    </r>
    <r>
      <rPr>
        <sz val="10"/>
        <color rgb="FF000000"/>
        <rFont val="メイリオ"/>
        <charset val="134"/>
      </rPr>
      <t xml:space="preserve">Tiếp nhận bình thường (mục tùy chọn), DB lưu chuỗi rỗng
</t>
    </r>
    <r>
      <rPr>
        <b/>
        <sz val="10"/>
        <color rgb="FF000000"/>
        <rFont val="メイリオ"/>
        <charset val="134"/>
      </rPr>
      <t xml:space="preserve">ステップ2：
</t>
    </r>
    <r>
      <rPr>
        <sz val="10"/>
        <color rgb="FF000000"/>
        <rFont val="メイリオ"/>
        <charset val="134"/>
      </rPr>
      <t xml:space="preserve">Tiếp nhận bình thường
</t>
    </r>
    <r>
      <rPr>
        <b/>
        <sz val="10"/>
        <color rgb="FF000000"/>
        <rFont val="メイリオ"/>
        <charset val="134"/>
      </rPr>
      <t xml:space="preserve">ステップ3：
</t>
    </r>
    <r>
      <rPr>
        <sz val="10"/>
        <color rgb="FF000000"/>
        <rFont val="メイリオ"/>
        <charset val="134"/>
      </rPr>
      <t xml:space="preserve">maxlength chặn nhập
</t>
    </r>
    <r>
      <rPr>
        <b/>
        <sz val="10"/>
        <color rgb="FF000000"/>
        <rFont val="メイリオ"/>
        <charset val="134"/>
      </rPr>
      <t xml:space="preserve">補足：
</t>
    </r>
    <r>
      <rPr>
        <sz val="10"/>
        <color rgb="FF000000"/>
        <rFont val="メイリオ"/>
        <charset val="134"/>
      </rPr>
      <t xml:space="preserve">・Mục tùy chọn nên có thể đăng ký với rỗng
</t>
    </r>
    <r>
      <rPr>
        <sz val="10"/>
        <color rgb="FF000000"/>
        <rFont val="メイリオ"/>
        <charset val="134"/>
      </rPr>
      <t>・Giới hạn 200 ký tự được enforce</t>
    </r>
  </si>
  <si>
    <t>ACSMS-TC-005-024</t>
  </si>
  <si>
    <t>都道府県 — Kiểm tra bắt buộc / Giá trị dropdown</t>
  </si>
  <si>
    <r>
      <rPr>
        <b/>
        <sz val="10"/>
        <color rgb="FF000000"/>
        <rFont val="游ゴシック"/>
        <charset val="134"/>
      </rPr>
      <t xml:space="preserve">ステップ1：
</t>
    </r>
    <r>
      <rPr>
        <sz val="10"/>
        <color rgb="FF000000"/>
        <rFont val="游ゴシック"/>
        <charset val="134"/>
      </rPr>
      <t xml:space="preserve">Để 都道府県 chưa chọn, đăng ký
</t>
    </r>
    <r>
      <rPr>
        <b/>
        <sz val="10"/>
        <color rgb="FF000000"/>
        <rFont val="游ゴシック"/>
        <charset val="134"/>
      </rPr>
      <t xml:space="preserve">ステップ2：
</t>
    </r>
    <r>
      <rPr>
        <sz val="10"/>
        <color rgb="FF000000"/>
        <rFont val="游ゴシック"/>
        <charset val="134"/>
      </rPr>
      <t xml:space="preserve">Mở dropdown, kiểm tra hiển thị 47 tỉnh
</t>
    </r>
    <r>
      <rPr>
        <b/>
        <sz val="10"/>
        <color rgb="FF000000"/>
        <rFont val="游ゴシック"/>
        <charset val="134"/>
      </rPr>
      <t xml:space="preserve">ステップ3：
</t>
    </r>
    <r>
      <rPr>
        <sz val="10"/>
        <color rgb="FF000000"/>
        <rFont val="游ゴシック"/>
        <charset val="134"/>
      </rPr>
      <t>Chọn một tỉnh bất kỳ (ví dụ: Tokyo = 13) → đăng ký → kiểm tra DB</t>
    </r>
  </si>
  <si>
    <r>
      <rPr>
        <b/>
        <sz val="10"/>
        <color rgb="FF000000"/>
        <rFont val="メイリオ"/>
        <charset val="134"/>
      </rPr>
      <t xml:space="preserve">ステップ1：
</t>
    </r>
    <r>
      <rPr>
        <sz val="10"/>
        <color rgb="FF000000"/>
        <rFont val="メイリオ"/>
        <charset val="134"/>
      </rPr>
      <t xml:space="preserve">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"todofuken_code", message: "都道府県を選択してください" }
</t>
    </r>
    <r>
      <rPr>
        <b/>
        <sz val="10"/>
        <color rgb="FF000000"/>
        <rFont val="メイリオ"/>
        <charset val="134"/>
      </rPr>
      <t xml:space="preserve">ステップ2：
</t>
    </r>
    <r>
      <rPr>
        <sz val="10"/>
        <color rgb="FF000000"/>
        <rFont val="メイリオ"/>
        <charset val="134"/>
      </rPr>
      <t xml:space="preserve">Hiển thị toàn bộ 47 tỉnh (Hokkaido ~ Okinawa, mã 01 ~ 47)
</t>
    </r>
    <r>
      <rPr>
        <b/>
        <sz val="10"/>
        <color rgb="FF000000"/>
        <rFont val="メイリオ"/>
        <charset val="134"/>
      </rPr>
      <t xml:space="preserve">ステップ3：
</t>
    </r>
    <r>
      <rPr>
        <sz val="10"/>
        <color rgb="FF000000"/>
        <rFont val="メイリオ"/>
        <charset val="134"/>
      </rPr>
      <t xml:space="preserve">Tiếp nhận bình thường, lưu với `m_ja.todofuken_code = '13'`
</t>
    </r>
    <r>
      <rPr>
        <b/>
        <sz val="10"/>
        <color rgb="FF000000"/>
        <rFont val="メイリオ"/>
        <charset val="134"/>
      </rPr>
      <t xml:space="preserve">補足：
</t>
    </r>
    <r>
      <rPr>
        <sz val="10"/>
        <color rgb="FF000000"/>
        <rFont val="メイリオ"/>
        <charset val="134"/>
      </rPr>
      <t xml:space="preserve">・Lấy từ `m_todofuken` qua API GET `/api/v1/todofuken`
</t>
    </r>
    <r>
      <rPr>
        <sz val="10"/>
        <color rgb="FF000000"/>
        <rFont val="メイリオ"/>
        <charset val="134"/>
      </rPr>
      <t>・Mã cố định 2 chữ số (01 ~ 47)</t>
    </r>
  </si>
  <si>
    <t>ACSMS-TC-005-025</t>
  </si>
  <si>
    <t>都道府県 — Tham chiếu m_todofuken (từ chối mã không hợp lệ)</t>
  </si>
  <si>
    <t>・role: NICHINO_ADMIN</t>
  </si>
  <si>
    <r>
      <rPr>
        <b/>
        <sz val="10"/>
        <color rgb="FF000000"/>
        <rFont val="游ゴシック"/>
        <charset val="134"/>
      </rPr>
      <t xml:space="preserve">ステップ1：
</t>
    </r>
    <r>
      <rPr>
        <sz val="10"/>
        <color rgb="FF000000"/>
        <rFont val="游ゴシック"/>
        <charset val="134"/>
      </rPr>
      <t xml:space="preserve">Trên DevTools Console, chạy `fetch('/api/v1/ja', { method: 'POST', body: JSON.stringify({ ja_code: '1399999001', ja_name: 'テスト', todofuken_code: '99', chuokai_flg: false, bank_code: '1234', bank_name: '農林中央金庫', zei_kubun: '1' }), headers: { 'Content-Type': 'application/json' }, credentials: 'include' })`
</t>
    </r>
    <r>
      <rPr>
        <b/>
        <sz val="10"/>
        <color rgb="FF000000"/>
        <rFont val="游ゴシック"/>
        <charset val="134"/>
      </rPr>
      <t xml:space="preserve">ステップ2：
</t>
    </r>
    <r>
      <rPr>
        <sz val="10"/>
        <color rgb="FF000000"/>
        <rFont val="游ゴシック"/>
        <charset val="134"/>
      </rPr>
      <t xml:space="preserve">Kiểm tra HTTP status và error_code response
</t>
    </r>
    <r>
      <rPr>
        <b/>
        <sz val="10"/>
        <color rgb="FF000000"/>
        <rFont val="游ゴシック"/>
        <charset val="134"/>
      </rPr>
      <t xml:space="preserve">ステップ3：
</t>
    </r>
    <r>
      <rPr>
        <sz val="10"/>
        <color rgb="FF000000"/>
        <rFont val="游ゴシック"/>
        <charset val="134"/>
      </rPr>
      <t>Kiểm tra DB: `SELECT COUNT(*) FROM m_ja WHERE ja_code = '1399999001'`</t>
    </r>
  </si>
  <si>
    <r>
      <rPr>
        <b/>
        <sz val="10"/>
        <color rgb="FF000000"/>
        <rFont val="メイリオ"/>
        <charset val="134"/>
      </rPr>
      <t xml:space="preserve">ステップ1：
</t>
    </r>
    <r>
      <rPr>
        <sz val="10"/>
        <color rgb="FF000000"/>
        <rFont val="メイリオ"/>
        <charset val="134"/>
      </rPr>
      <t xml:space="preserve">Backend từ chối qua kiểm tra tồn tại trong `m_todofuken`
</t>
    </r>
    <r>
      <rPr>
        <b/>
        <sz val="10"/>
        <color rgb="FF000000"/>
        <rFont val="メイリオ"/>
        <charset val="134"/>
      </rPr>
      <t xml:space="preserve">ステップ2：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message:「指定された都道府県コードは存在しません」
</t>
    </r>
    <r>
      <rPr>
        <b/>
        <sz val="10"/>
        <color rgb="FF000000"/>
        <rFont val="メイリオ"/>
        <charset val="134"/>
      </rPr>
      <t xml:space="preserve">ステップ3：
</t>
    </r>
    <r>
      <rPr>
        <sz val="10"/>
        <color rgb="FF000000"/>
        <rFont val="メイリオ"/>
        <charset val="134"/>
      </rPr>
      <t xml:space="preserve">0 record (không có row mới)
</t>
    </r>
    <r>
      <rPr>
        <b/>
        <sz val="10"/>
        <color rgb="FF000000"/>
        <rFont val="メイリオ"/>
        <charset val="134"/>
      </rPr>
      <t xml:space="preserve">補足：
</t>
    </r>
    <r>
      <rPr>
        <sz val="10"/>
        <color rgb="FF000000"/>
        <rFont val="メイリオ"/>
        <charset val="134"/>
      </rPr>
      <t xml:space="preserve">・Mã tỉnh không tồn tại (≥ 48 hoặc giá trị không hợp lệ) bị backend từ chối
</t>
    </r>
    <r>
      <rPr>
        <sz val="10"/>
        <color rgb="FF000000"/>
        <rFont val="メイリオ"/>
        <charset val="134"/>
      </rPr>
      <t>・Dropdown FE lấy từ `m_todofuken`, nên không xảy ra qua UI, nhưng kiểm tra phòng thủ với call API trực tiếp</t>
    </r>
  </si>
  <si>
    <t>ACSMS-TC-005-026</t>
  </si>
  <si>
    <t>中央会フラグ — Bắt buộc / Lựa chọn radio</t>
  </si>
  <si>
    <r>
      <rPr>
        <b/>
        <sz val="10"/>
        <color rgb="FF000000"/>
        <rFont val="游ゴシック"/>
        <charset val="134"/>
      </rPr>
      <t xml:space="preserve">ステップ1：
</t>
    </r>
    <r>
      <rPr>
        <sz val="10"/>
        <color rgb="FF000000"/>
        <rFont val="游ゴシック"/>
        <charset val="134"/>
      </rPr>
      <t xml:space="preserve">Để 中央会フラグ chưa chọn, đăng ký
</t>
    </r>
    <r>
      <rPr>
        <b/>
        <sz val="10"/>
        <color rgb="FF000000"/>
        <rFont val="游ゴシック"/>
        <charset val="134"/>
      </rPr>
      <t xml:space="preserve">ステップ2：
</t>
    </r>
    <r>
      <rPr>
        <sz val="10"/>
        <color rgb="FF000000"/>
        <rFont val="游ゴシック"/>
        <charset val="134"/>
      </rPr>
      <t xml:space="preserve">Chọn `中央会` → đăng ký → kiểm tra DB
</t>
    </r>
    <r>
      <rPr>
        <b/>
        <sz val="10"/>
        <color rgb="FF000000"/>
        <rFont val="游ゴシック"/>
        <charset val="134"/>
      </rPr>
      <t xml:space="preserve">ステップ3：
</t>
    </r>
    <r>
      <rPr>
        <sz val="10"/>
        <color rgb="FF000000"/>
        <rFont val="游ゴシック"/>
        <charset val="134"/>
      </rPr>
      <t>Chọn `単協` → đăng ký → kiểm tra DB</t>
    </r>
  </si>
  <si>
    <r>
      <rPr>
        <b/>
        <sz val="10"/>
        <color rgb="FF000000"/>
        <rFont val="メイリオ"/>
        <charset val="134"/>
      </rPr>
      <t xml:space="preserve">ステップ1：
</t>
    </r>
    <r>
      <rPr>
        <sz val="10"/>
        <color rgb="FF000000"/>
        <rFont val="メイリオ"/>
        <charset val="134"/>
      </rPr>
      <t xml:space="preserve">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"chuokai_flg", message: "中央会フラグを選択してください" }
</t>
    </r>
    <r>
      <rPr>
        <b/>
        <sz val="10"/>
        <color rgb="FF000000"/>
        <rFont val="メイリオ"/>
        <charset val="134"/>
      </rPr>
      <t xml:space="preserve">ステップ2：
</t>
    </r>
    <r>
      <rPr>
        <sz val="10"/>
        <color rgb="FF000000"/>
        <rFont val="メイリオ"/>
        <charset val="134"/>
      </rPr>
      <t xml:space="preserve">Tiếp nhận bình thường, lưu với `m_ja.chuokai_flg = true`
</t>
    </r>
    <r>
      <rPr>
        <b/>
        <sz val="10"/>
        <color rgb="FF000000"/>
        <rFont val="メイリオ"/>
        <charset val="134"/>
      </rPr>
      <t xml:space="preserve">ステップ3：
</t>
    </r>
    <r>
      <rPr>
        <sz val="10"/>
        <color rgb="FF000000"/>
        <rFont val="メイリオ"/>
        <charset val="134"/>
      </rPr>
      <t xml:space="preserve">Tiếp nhận bình thường, lưu với `m_ja.chuokai_flg = false`
</t>
    </r>
    <r>
      <rPr>
        <b/>
        <sz val="10"/>
        <color rgb="FF000000"/>
        <rFont val="メイリオ"/>
        <charset val="134"/>
      </rPr>
      <t xml:space="preserve">補足：
</t>
    </r>
    <r>
      <rPr>
        <sz val="10"/>
        <color rgb="FF000000"/>
        <rFont val="メイリオ"/>
        <charset val="134"/>
      </rPr>
      <t>・Boolean, không có giá trị mặc định, bắt buộc phải chọn</t>
    </r>
  </si>
  <si>
    <t>ACSMS-TC-005-027</t>
  </si>
  <si>
    <t>金融機関コード — Kiểm tra bắt buộc</t>
  </si>
  <si>
    <r>
      <rPr>
        <b/>
        <sz val="10"/>
        <color rgb="FF000000"/>
        <rFont val="游ゴシック"/>
        <charset val="134"/>
      </rPr>
      <t xml:space="preserve">ステップ1：
</t>
    </r>
    <r>
      <rPr>
        <sz val="10"/>
        <color rgb="FF000000"/>
        <rFont val="游ゴシック"/>
        <charset val="134"/>
      </rPr>
      <t xml:space="preserve">Để trống 金融機関コード, đăng ký
</t>
    </r>
    <r>
      <rPr>
        <b/>
        <sz val="10"/>
        <color rgb="FF000000"/>
        <rFont val="游ゴシック"/>
        <charset val="134"/>
      </rPr>
      <t xml:space="preserve">ステップ2：
</t>
    </r>
    <r>
      <rPr>
        <sz val="10"/>
        <color rgb="FF000000"/>
        <rFont val="游ゴシック"/>
        <charset val="134"/>
      </rPr>
      <t>Nhập chỉ space half-width / full-width → đăng ký</t>
    </r>
  </si>
  <si>
    <r>
      <rPr>
        <b/>
        <sz val="10"/>
        <color rgb="FF000000"/>
        <rFont val="メイリオ"/>
        <charset val="134"/>
      </rPr>
      <t xml:space="preserve">ステップ1：
</t>
    </r>
    <r>
      <rPr>
        <sz val="10"/>
        <color rgb="FF000000"/>
        <rFont val="メイリオ"/>
        <charset val="134"/>
      </rPr>
      <t xml:space="preserve">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"bank_code", message: "金融機関コードを入力してください" }
</t>
    </r>
    <r>
      <rPr>
        <b/>
        <sz val="10"/>
        <color rgb="FF000000"/>
        <rFont val="メイリオ"/>
        <charset val="134"/>
      </rPr>
      <t xml:space="preserve">ステップ2：
</t>
    </r>
    <r>
      <rPr>
        <sz val="10"/>
        <color rgb="FF000000"/>
        <rFont val="メイリオ"/>
        <charset val="134"/>
      </rPr>
      <t xml:space="preserve">Sau khi loại bỏ space đầu cuối, được nhận diện là rỗng, hiển thị「必須項目です。」
</t>
    </r>
    <r>
      <rPr>
        <sz val="10"/>
        <color rgb="FF000000"/>
        <rFont val="メイリオ"/>
        <charset val="134"/>
      </rPr>
      <t xml:space="preserve">HTTP status code: 400
</t>
    </r>
    <r>
      <rPr>
        <b/>
        <sz val="10"/>
        <color rgb="FF000000"/>
        <rFont val="メイリオ"/>
        <charset val="134"/>
      </rPr>
      <t xml:space="preserve">補足：
</t>
    </r>
    <r>
      <rPr>
        <sz val="10"/>
        <color rgb="FF000000"/>
        <rFont val="メイリオ"/>
        <charset val="134"/>
      </rPr>
      <t>・Cả input rỗng và input chỉ chứa khoảng trắng đều bị xử lý là vi phạm bắt buộc</t>
    </r>
  </si>
  <si>
    <t>ACSMS-TC-005-028</t>
  </si>
  <si>
    <t>金融機関コード — Kiểm tra format cố định 4 chữ số</t>
  </si>
  <si>
    <r>
      <rPr>
        <b/>
        <sz val="10"/>
        <color rgb="FF000000"/>
        <rFont val="メイリオ"/>
        <charset val="134"/>
      </rPr>
      <t xml:space="preserve">ステップ1：
</t>
    </r>
    <r>
      <rPr>
        <sz val="10"/>
        <color rgb="FF000000"/>
        <rFont val="メイリオ"/>
        <charset val="134"/>
      </rPr>
      <t xml:space="preserve">Nhập `1234` (4 chữ số) → đăng ký
</t>
    </r>
    <r>
      <rPr>
        <b/>
        <sz val="10"/>
        <color rgb="FF000000"/>
        <rFont val="メイリオ"/>
        <charset val="134"/>
      </rPr>
      <t xml:space="preserve">ステップ2：
</t>
    </r>
    <r>
      <rPr>
        <sz val="10"/>
        <color rgb="FF000000"/>
        <rFont val="メイリオ"/>
        <charset val="134"/>
      </rPr>
      <t xml:space="preserve">Nhập `123` (3 chữ số) → đăng ký
</t>
    </r>
    <r>
      <rPr>
        <b/>
        <sz val="10"/>
        <color rgb="FF000000"/>
        <rFont val="メイリオ"/>
        <charset val="134"/>
      </rPr>
      <t xml:space="preserve">ステップ3：
</t>
    </r>
    <r>
      <rPr>
        <sz val="10"/>
        <color rgb="FF000000"/>
        <rFont val="メイリオ"/>
        <charset val="134"/>
      </rPr>
      <t xml:space="preserve">Thử nhập `12345` (5 chữ số)
</t>
    </r>
    <r>
      <rPr>
        <b/>
        <sz val="10"/>
        <color rgb="FF000000"/>
        <rFont val="メイリオ"/>
        <charset val="134"/>
      </rPr>
      <t xml:space="preserve">ステップ4：
</t>
    </r>
    <r>
      <rPr>
        <sz val="10"/>
        <color rgb="FF000000"/>
        <rFont val="メイリオ"/>
        <charset val="134"/>
      </rPr>
      <t xml:space="preserve">Nhập chữ cái `abcd` → đăng ký
</t>
    </r>
    <r>
      <rPr>
        <b/>
        <sz val="10"/>
        <color rgb="FF000000"/>
        <rFont val="メイリオ"/>
        <charset val="134"/>
      </rPr>
      <t xml:space="preserve">ステップ5：
</t>
    </r>
    <r>
      <rPr>
        <sz val="10"/>
        <color rgb="FF000000"/>
        <rFont val="メイリオ"/>
        <charset val="134"/>
      </rPr>
      <t>Nhập số full-width `１２３４` → đăng ký</t>
    </r>
  </si>
  <si>
    <r>
      <rPr>
        <b/>
        <sz val="10"/>
        <color rgb="FF000000"/>
        <rFont val="メイリオ"/>
        <charset val="134"/>
      </rPr>
      <t xml:space="preserve">ステップ1：
</t>
    </r>
    <r>
      <rPr>
        <sz val="10"/>
        <color rgb="FF000000"/>
        <rFont val="メイリオ"/>
        <charset val="134"/>
      </rPr>
      <t xml:space="preserve">Tiếp nhận bình thường
</t>
    </r>
    <r>
      <rPr>
        <b/>
        <sz val="10"/>
        <color rgb="FF000000"/>
        <rFont val="メイリオ"/>
        <charset val="134"/>
      </rPr>
      <t xml:space="preserve">ステップ2：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"bank_code", message: "金融機関コードは半角数字4桁で入力してください" }
</t>
    </r>
    <r>
      <rPr>
        <b/>
        <sz val="10"/>
        <color rgb="FF000000"/>
        <rFont val="メイリオ"/>
        <charset val="134"/>
      </rPr>
      <t xml:space="preserve">ステップ3：
</t>
    </r>
    <r>
      <rPr>
        <sz val="10"/>
        <color rgb="FF000000"/>
        <rFont val="メイリオ"/>
        <charset val="134"/>
      </rPr>
      <t xml:space="preserve">input maxlength chặn ký tự thứ 5
</t>
    </r>
    <r>
      <rPr>
        <b/>
        <sz val="10"/>
        <color rgb="FF000000"/>
        <rFont val="メイリオ"/>
        <charset val="134"/>
      </rPr>
      <t xml:space="preserve">ステップ4：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"bank_code", message: "金融機関コードは半角数字4桁で入力してください" }
</t>
    </r>
    <r>
      <rPr>
        <b/>
        <sz val="10"/>
        <color rgb="FF000000"/>
        <rFont val="メイリオ"/>
        <charset val="134"/>
      </rPr>
      <t xml:space="preserve">ステップ5：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"bank_code", message: "金融機関コードは半角数字4桁で入力してください" }
</t>
    </r>
    <r>
      <rPr>
        <b/>
        <sz val="10"/>
        <color rgb="FF000000"/>
        <rFont val="メイリオ"/>
        <charset val="134"/>
      </rPr>
      <t xml:space="preserve">補足：
</t>
    </r>
    <r>
      <rPr>
        <sz val="10"/>
        <color rgb="FF000000"/>
        <rFont val="メイリオ"/>
        <charset val="134"/>
      </rPr>
      <t>・Cố định 4 chữ số half-width, kiểm tra BE bằng @Matches(/^\d{4}$/)</t>
    </r>
  </si>
  <si>
    <t>ACSMS-TC-005-029</t>
  </si>
  <si>
    <t>金融機関名 — Kiểm tra bắt buộc / Giới hạn tối đa 100 ký tự</t>
  </si>
  <si>
    <r>
      <rPr>
        <b/>
        <sz val="10"/>
        <color rgb="FF000000"/>
        <rFont val="メイリオ"/>
        <charset val="134"/>
      </rPr>
      <t xml:space="preserve">ステップ1：
</t>
    </r>
    <r>
      <rPr>
        <sz val="10"/>
        <color rgb="FF000000"/>
        <rFont val="メイリオ"/>
        <charset val="134"/>
      </rPr>
      <t xml:space="preserve">Để trống 金融機関名, đăng ký
</t>
    </r>
    <r>
      <rPr>
        <b/>
        <sz val="10"/>
        <color rgb="FF000000"/>
        <rFont val="メイリオ"/>
        <charset val="134"/>
      </rPr>
      <t xml:space="preserve">ステップ2：
</t>
    </r>
    <r>
      <rPr>
        <sz val="10"/>
        <color rgb="FF000000"/>
        <rFont val="メイリオ"/>
        <charset val="134"/>
      </rPr>
      <t xml:space="preserve">Nhập 100 ký tự → đăng ký
</t>
    </r>
    <r>
      <rPr>
        <b/>
        <sz val="10"/>
        <color rgb="FF000000"/>
        <rFont val="メイリオ"/>
        <charset val="134"/>
      </rPr>
      <t xml:space="preserve">ステップ3：
</t>
    </r>
    <r>
      <rPr>
        <sz val="10"/>
        <color rgb="FF000000"/>
        <rFont val="メイリオ"/>
        <charset val="134"/>
      </rPr>
      <t>Thử nhập ký tự thứ 101</t>
    </r>
  </si>
  <si>
    <r>
      <rPr>
        <b/>
        <sz val="10"/>
        <color rgb="FF000000"/>
        <rFont val="メイリオ"/>
        <charset val="134"/>
      </rPr>
      <t xml:space="preserve">ステップ1：
</t>
    </r>
    <r>
      <rPr>
        <sz val="10"/>
        <color rgb="FF000000"/>
        <rFont val="メイリオ"/>
        <charset val="134"/>
      </rPr>
      <t xml:space="preserve">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"bank_name", message: "金融機関名を入力してください" }
</t>
    </r>
    <r>
      <rPr>
        <b/>
        <sz val="10"/>
        <color rgb="FF000000"/>
        <rFont val="メイリオ"/>
        <charset val="134"/>
      </rPr>
      <t xml:space="preserve">ステップ2：
</t>
    </r>
    <r>
      <rPr>
        <sz val="10"/>
        <color rgb="FF000000"/>
        <rFont val="メイリオ"/>
        <charset val="134"/>
      </rPr>
      <t xml:space="preserve">Tiếp nhận bình thường
</t>
    </r>
    <r>
      <rPr>
        <b/>
        <sz val="10"/>
        <color rgb="FF000000"/>
        <rFont val="メイリオ"/>
        <charset val="134"/>
      </rPr>
      <t xml:space="preserve">ステップ3：
</t>
    </r>
    <r>
      <rPr>
        <sz val="10"/>
        <color rgb="FF000000"/>
        <rFont val="メイリオ"/>
        <charset val="134"/>
      </rPr>
      <t xml:space="preserve">maxlength chặn ký tự thứ 101
</t>
    </r>
    <r>
      <rPr>
        <b/>
        <sz val="10"/>
        <color rgb="FF000000"/>
        <rFont val="メイリオ"/>
        <charset val="134"/>
      </rPr>
      <t xml:space="preserve">補足：
</t>
    </r>
    <r>
      <rPr>
        <sz val="10"/>
        <color rgb="FF000000"/>
        <rFont val="メイリオ"/>
        <charset val="134"/>
      </rPr>
      <t>・Mục bắt buộc, tối đa 100 ký tự</t>
    </r>
  </si>
  <si>
    <t>ACSMS-TC-005-030</t>
  </si>
  <si>
    <t>郵便番号 — Tùy chọn / Kiểm tra format 7 chữ số</t>
  </si>
  <si>
    <r>
      <rPr>
        <b/>
        <sz val="10"/>
        <color rgb="FF000000"/>
        <rFont val="游ゴシック"/>
        <charset val="134"/>
      </rPr>
      <t xml:space="preserve">ステップ1：
</t>
    </r>
    <r>
      <rPr>
        <sz val="10"/>
        <color rgb="FF000000"/>
        <rFont val="游ゴシック"/>
        <charset val="134"/>
      </rPr>
      <t xml:space="preserve">Để trống 郵便番号, đăng ký
</t>
    </r>
    <r>
      <rPr>
        <b/>
        <sz val="10"/>
        <color rgb="FF000000"/>
        <rFont val="游ゴシック"/>
        <charset val="134"/>
      </rPr>
      <t xml:space="preserve">ステップ2：
</t>
    </r>
    <r>
      <rPr>
        <sz val="10"/>
        <color rgb="FF000000"/>
        <rFont val="游ゴシック"/>
        <charset val="134"/>
      </rPr>
      <t xml:space="preserve">Nhập `1000001` (7 chữ số) → đăng ký
</t>
    </r>
    <r>
      <rPr>
        <b/>
        <sz val="10"/>
        <color rgb="FF000000"/>
        <rFont val="游ゴシック"/>
        <charset val="134"/>
      </rPr>
      <t xml:space="preserve">ステップ3：
</t>
    </r>
    <r>
      <rPr>
        <sz val="10"/>
        <color rgb="FF000000"/>
        <rFont val="游ゴシック"/>
        <charset val="134"/>
      </rPr>
      <t xml:space="preserve">Nhập `100-0001` (có hyphen) → đăng ký
</t>
    </r>
    <r>
      <rPr>
        <b/>
        <sz val="10"/>
        <color rgb="FF000000"/>
        <rFont val="游ゴシック"/>
        <charset val="134"/>
      </rPr>
      <t xml:space="preserve">ステップ4：
</t>
    </r>
    <r>
      <rPr>
        <sz val="10"/>
        <color rgb="FF000000"/>
        <rFont val="游ゴシック"/>
        <charset val="134"/>
      </rPr>
      <t xml:space="preserve">Nhập `123456` (6 chữ số) → đăng ký
</t>
    </r>
    <r>
      <rPr>
        <b/>
        <sz val="10"/>
        <color rgb="FF000000"/>
        <rFont val="游ゴシック"/>
        <charset val="134"/>
      </rPr>
      <t xml:space="preserve">ステップ5：
</t>
    </r>
    <r>
      <rPr>
        <sz val="10"/>
        <color rgb="FF000000"/>
        <rFont val="游ゴシック"/>
        <charset val="134"/>
      </rPr>
      <t>Nhập số full-width `１２３４５６７` → đăng ký</t>
    </r>
  </si>
  <si>
    <r>
      <rPr>
        <b/>
        <sz val="10"/>
        <color rgb="FF000000"/>
        <rFont val="游ゴシック"/>
        <charset val="134"/>
      </rPr>
      <t xml:space="preserve">ステップ1：
</t>
    </r>
    <r>
      <rPr>
        <sz val="10"/>
        <color rgb="FF000000"/>
        <rFont val="游ゴシック"/>
        <charset val="134"/>
      </rPr>
      <t xml:space="preserve">Tiếp nhận bình thường (mục tùy chọn), DB lưu chuỗi rỗng
</t>
    </r>
    <r>
      <rPr>
        <b/>
        <sz val="10"/>
        <color rgb="FF000000"/>
        <rFont val="游ゴシック"/>
        <charset val="134"/>
      </rPr>
      <t xml:space="preserve">ステップ2：
</t>
    </r>
    <r>
      <rPr>
        <sz val="10"/>
        <color rgb="FF000000"/>
        <rFont val="游ゴシック"/>
        <charset val="134"/>
      </rPr>
      <t xml:space="preserve">Tiếp nhận bình thường, DB lưu `1000001`
</t>
    </r>
    <r>
      <rPr>
        <b/>
        <sz val="10"/>
        <color rgb="FF000000"/>
        <rFont val="游ゴシック"/>
        <charset val="134"/>
      </rPr>
      <t xml:space="preserve">ステップ3：
</t>
    </r>
    <r>
      <rPr>
        <sz val="10"/>
        <color rgb="FF000000"/>
        <rFont val="游ゴシック"/>
        <charset val="134"/>
      </rPr>
      <t xml:space="preserve">HTTP status code: 400
error_code: VALIDATION_ERROR
errors[] chứa { field: "yubin_no", message: "郵便番号は半角数字のみ（ハイフンなし）入力可能です。" }
</t>
    </r>
    <r>
      <rPr>
        <b/>
        <sz val="10"/>
        <color rgb="FF000000"/>
        <rFont val="游ゴシック"/>
        <charset val="134"/>
      </rPr>
      <t xml:space="preserve">ステップ4：
</t>
    </r>
    <r>
      <rPr>
        <sz val="10"/>
        <color rgb="FF000000"/>
        <rFont val="游ゴシック"/>
        <charset val="134"/>
      </rPr>
      <t xml:space="preserve">HTTP status code: 400
error_code: VALIDATION_ERROR
errors[] chứa { field: "yubin_no", message: " 郵便番号は半角数字のみ（ハイフンなし）入力可能です。" }
</t>
    </r>
    <r>
      <rPr>
        <b/>
        <sz val="10"/>
        <color rgb="FF000000"/>
        <rFont val="游ゴシック"/>
        <charset val="134"/>
      </rPr>
      <t xml:space="preserve">ステップ5：
</t>
    </r>
    <r>
      <rPr>
        <sz val="10"/>
        <color rgb="FF000000"/>
        <rFont val="游ゴシック"/>
        <charset val="134"/>
      </rPr>
      <t xml:space="preserve">HTTP status code: 400
error_code: VALIDATION_ERROR
errors[] chứa { field: "yubin_no", message: "郵便番号は半角数字のみ（ハイフンなし）入力可能です。" }
</t>
    </r>
    <r>
      <rPr>
        <b/>
        <sz val="10"/>
        <color rgb="FF000000"/>
        <rFont val="游ゴシック"/>
        <charset val="134"/>
      </rPr>
      <t xml:space="preserve">補足：
</t>
    </r>
    <r>
      <rPr>
        <sz val="10"/>
        <color rgb="FF000000"/>
        <rFont val="游ゴシック"/>
        <charset val="134"/>
      </rPr>
      <t>・Cố định 7 chữ số, chỉ số half-width (không có hyphen)
・Tương ứng ACSMS-MSG-005-003 (screen-design.md có typo, test này dùng bản đã sửa)
・Mục tùy chọn nên có thể đăng ký với rỗng</t>
    </r>
  </si>
  <si>
    <t>ACSMS-TC-005-031</t>
  </si>
  <si>
    <t>電話番号 — Chỉ số half-width / Tối đa 15 chữ số</t>
  </si>
  <si>
    <r>
      <rPr>
        <b/>
        <sz val="10"/>
        <color rgb="FF000000"/>
        <rFont val="游ゴシック"/>
        <charset val="134"/>
      </rPr>
      <t xml:space="preserve">ステップ1：
</t>
    </r>
    <r>
      <rPr>
        <sz val="10"/>
        <color rgb="FF000000"/>
        <rFont val="游ゴシック"/>
        <charset val="134"/>
      </rPr>
      <t xml:space="preserve">Để trống 電話番号, đăng ký
</t>
    </r>
    <r>
      <rPr>
        <b/>
        <sz val="10"/>
        <color rgb="FF000000"/>
        <rFont val="游ゴシック"/>
        <charset val="134"/>
      </rPr>
      <t xml:space="preserve">ステップ2：
</t>
    </r>
    <r>
      <rPr>
        <sz val="10"/>
        <color rgb="FF000000"/>
        <rFont val="游ゴシック"/>
        <charset val="134"/>
      </rPr>
      <t xml:space="preserve">Nhập `0312345678` (10 chữ số) → đăng ký
</t>
    </r>
    <r>
      <rPr>
        <b/>
        <sz val="10"/>
        <color rgb="FF000000"/>
        <rFont val="游ゴシック"/>
        <charset val="134"/>
      </rPr>
      <t xml:space="preserve">ステップ3：
</t>
    </r>
    <r>
      <rPr>
        <sz val="10"/>
        <color rgb="FF000000"/>
        <rFont val="游ゴシック"/>
        <charset val="134"/>
      </rPr>
      <t xml:space="preserve">Nhập `03-1234-5678` (có hyphen) → đăng ký
</t>
    </r>
    <r>
      <rPr>
        <b/>
        <sz val="10"/>
        <color rgb="FF000000"/>
        <rFont val="游ゴシック"/>
        <charset val="134"/>
      </rPr>
      <t xml:space="preserve">ステップ4：
</t>
    </r>
    <r>
      <rPr>
        <sz val="10"/>
        <color rgb="FF000000"/>
        <rFont val="游ゴシック"/>
        <charset val="134"/>
      </rPr>
      <t xml:space="preserve">Nhập `123456789012345` (15 chữ số) → đăng ký
</t>
    </r>
    <r>
      <rPr>
        <b/>
        <sz val="10"/>
        <color rgb="FF000000"/>
        <rFont val="游ゴシック"/>
        <charset val="134"/>
      </rPr>
      <t xml:space="preserve">ステップ5：
</t>
    </r>
    <r>
      <rPr>
        <sz val="10"/>
        <color rgb="FF000000"/>
        <rFont val="游ゴシック"/>
        <charset val="134"/>
      </rPr>
      <t>Thử nhập chữ số thứ 16</t>
    </r>
  </si>
  <si>
    <r>
      <rPr>
        <b/>
        <sz val="10"/>
        <color rgb="FF000000"/>
        <rFont val="游ゴシック"/>
        <charset val="134"/>
      </rPr>
      <t xml:space="preserve">ステップ1：
</t>
    </r>
    <r>
      <rPr>
        <sz val="10"/>
        <color rgb="FF000000"/>
        <rFont val="游ゴシック"/>
        <charset val="134"/>
      </rPr>
      <t xml:space="preserve">Tiếp nhận bình thường (mục tùy chọn)
</t>
    </r>
    <r>
      <rPr>
        <b/>
        <sz val="10"/>
        <color rgb="FF000000"/>
        <rFont val="游ゴシック"/>
        <charset val="134"/>
      </rPr>
      <t xml:space="preserve">ステップ2：
</t>
    </r>
    <r>
      <rPr>
        <sz val="10"/>
        <color rgb="FF000000"/>
        <rFont val="游ゴシック"/>
        <charset val="134"/>
      </rPr>
      <t xml:space="preserve">Tiếp nhận bình thường, DB lưu `0312345678`
</t>
    </r>
    <r>
      <rPr>
        <b/>
        <sz val="10"/>
        <color rgb="FF000000"/>
        <rFont val="游ゴシック"/>
        <charset val="134"/>
      </rPr>
      <t xml:space="preserve">ステップ3：
</t>
    </r>
    <r>
      <rPr>
        <sz val="10"/>
        <color rgb="FF000000"/>
        <rFont val="游ゴシック"/>
        <charset val="134"/>
      </rPr>
      <t xml:space="preserve">HTTP status code: 400
error_code: VALIDATION_ERROR
errors[] chứa { field: "tel", message: "電話番号は半角数字のみ（ハイフンなし）入力可能です。" }
</t>
    </r>
    <r>
      <rPr>
        <b/>
        <sz val="10"/>
        <color rgb="FF000000"/>
        <rFont val="游ゴシック"/>
        <charset val="134"/>
      </rPr>
      <t xml:space="preserve">ステップ4：
</t>
    </r>
    <r>
      <rPr>
        <sz val="10"/>
        <color rgb="FF000000"/>
        <rFont val="游ゴシック"/>
        <charset val="134"/>
      </rPr>
      <t xml:space="preserve">Tiếp nhận bình thường (giá trị biên độ dài tối đa)
</t>
    </r>
    <r>
      <rPr>
        <b/>
        <sz val="10"/>
        <color rgb="FF000000"/>
        <rFont val="游ゴシック"/>
        <charset val="134"/>
      </rPr>
      <t xml:space="preserve">ステップ5：
</t>
    </r>
    <r>
      <rPr>
        <sz val="10"/>
        <color rgb="FF000000"/>
        <rFont val="游ゴシック"/>
        <charset val="134"/>
      </rPr>
      <t xml:space="preserve">maxlength chặn chữ số thứ 16
</t>
    </r>
    <r>
      <rPr>
        <b/>
        <sz val="10"/>
        <color rgb="FF000000"/>
        <rFont val="游ゴシック"/>
        <charset val="134"/>
      </rPr>
      <t xml:space="preserve">補足：
</t>
    </r>
    <r>
      <rPr>
        <sz val="10"/>
        <color rgb="FF000000"/>
        <rFont val="游ゴシック"/>
        <charset val="134"/>
      </rPr>
      <t>・Mục tùy chọn, chỉ số half-width (không có hyphen), tối đa 15 chữ số
・Tương ứng ACSMS-MSG-005-006
・Placeholder FE là `0312345678`</t>
    </r>
  </si>
  <si>
    <t>ACSMS-TC-005-032</t>
  </si>
  <si>
    <t>FAX — Chỉ số half-width / Tối đa 15 chữ số</t>
  </si>
  <si>
    <r>
      <rPr>
        <b/>
        <sz val="10"/>
        <color rgb="FF000000"/>
        <rFont val="游ゴシック"/>
        <charset val="134"/>
      </rPr>
      <t xml:space="preserve">ステップ1：
</t>
    </r>
    <r>
      <rPr>
        <sz val="10"/>
        <color rgb="FF000000"/>
        <rFont val="游ゴシック"/>
        <charset val="134"/>
      </rPr>
      <t xml:space="preserve">Để trống FAX, đăng ký
</t>
    </r>
    <r>
      <rPr>
        <b/>
        <sz val="10"/>
        <color rgb="FF000000"/>
        <rFont val="游ゴシック"/>
        <charset val="134"/>
      </rPr>
      <t xml:space="preserve">ステップ2：
</t>
    </r>
    <r>
      <rPr>
        <sz val="10"/>
        <color rgb="FF000000"/>
        <rFont val="游ゴシック"/>
        <charset val="134"/>
      </rPr>
      <t xml:space="preserve">Nhập `0312345679` (10 chữ số) → đăng ký
</t>
    </r>
    <r>
      <rPr>
        <b/>
        <sz val="10"/>
        <color rgb="FF000000"/>
        <rFont val="游ゴシック"/>
        <charset val="134"/>
      </rPr>
      <t xml:space="preserve">ステップ3：
</t>
    </r>
    <r>
      <rPr>
        <sz val="10"/>
        <color rgb="FF000000"/>
        <rFont val="游ゴシック"/>
        <charset val="134"/>
      </rPr>
      <t xml:space="preserve">Nhập `03-1234-5679` (có hyphen) → đăng ký
</t>
    </r>
    <r>
      <rPr>
        <b/>
        <sz val="10"/>
        <color rgb="FF000000"/>
        <rFont val="游ゴシック"/>
        <charset val="134"/>
      </rPr>
      <t xml:space="preserve">ステップ4：
</t>
    </r>
    <r>
      <rPr>
        <sz val="10"/>
        <color rgb="FF000000"/>
        <rFont val="游ゴシック"/>
        <charset val="134"/>
      </rPr>
      <t>Nhập chữ cái `abc` → đăng ký</t>
    </r>
  </si>
  <si>
    <r>
      <rPr>
        <b/>
        <sz val="10"/>
        <color rgb="FF000000"/>
        <rFont val="游ゴシック"/>
        <charset val="134"/>
      </rPr>
      <t xml:space="preserve">ステップ1：
</t>
    </r>
    <r>
      <rPr>
        <sz val="10"/>
        <color rgb="FF000000"/>
        <rFont val="游ゴシック"/>
        <charset val="134"/>
      </rPr>
      <t xml:space="preserve">Tiếp nhận bình thường (mục tùy chọn)
</t>
    </r>
    <r>
      <rPr>
        <b/>
        <sz val="10"/>
        <color rgb="FF000000"/>
        <rFont val="游ゴシック"/>
        <charset val="134"/>
      </rPr>
      <t xml:space="preserve">ステップ2：
</t>
    </r>
    <r>
      <rPr>
        <sz val="10"/>
        <color rgb="FF000000"/>
        <rFont val="游ゴシック"/>
        <charset val="134"/>
      </rPr>
      <t xml:space="preserve">Tiếp nhận bình thường, DB lưu `0312345679`
</t>
    </r>
    <r>
      <rPr>
        <b/>
        <sz val="10"/>
        <color rgb="FF000000"/>
        <rFont val="游ゴシック"/>
        <charset val="134"/>
      </rPr>
      <t xml:space="preserve">ステップ3：
</t>
    </r>
    <r>
      <rPr>
        <sz val="10"/>
        <color rgb="FF000000"/>
        <rFont val="游ゴシック"/>
        <charset val="134"/>
      </rPr>
      <t xml:space="preserve">HTTP status code: 400
error_code: VALIDATION_ERROR
errors[] chứa { field: "fax", message: "FAXは半角数字のみ（ハイフンなし）入力可能です。" }
</t>
    </r>
    <r>
      <rPr>
        <b/>
        <sz val="10"/>
        <color rgb="FF000000"/>
        <rFont val="游ゴシック"/>
        <charset val="134"/>
      </rPr>
      <t xml:space="preserve">ステップ4：
</t>
    </r>
    <r>
      <rPr>
        <sz val="10"/>
        <color rgb="FF000000"/>
        <rFont val="游ゴシック"/>
        <charset val="134"/>
      </rPr>
      <t xml:space="preserve">HTTP status code: 400
error_code: VALIDATION_ERROR
errors[] chứa { field: "fax", message: "FAXは半角数字のみ（ハイフンなし）入力可能です。" }
</t>
    </r>
    <r>
      <rPr>
        <b/>
        <sz val="10"/>
        <color rgb="FF000000"/>
        <rFont val="游ゴシック"/>
        <charset val="134"/>
      </rPr>
      <t xml:space="preserve">補足：
</t>
    </r>
    <r>
      <rPr>
        <sz val="10"/>
        <color rgb="FF000000"/>
        <rFont val="游ゴシック"/>
        <charset val="134"/>
      </rPr>
      <t>・Mục tùy chọn, chỉ số half-width (không có hyphen), tối đa 15 chữ số
・Tương ứng ACSMS-MSG-005-007</t>
    </r>
  </si>
  <si>
    <t>ACSMS-TC-005-033</t>
  </si>
  <si>
    <t>メールアドレス — Kiểm tra format / Giới hạn tối đa 100 ký tự</t>
  </si>
  <si>
    <r>
      <rPr>
        <b/>
        <sz val="10"/>
        <color rgb="FF000000"/>
        <rFont val="游ゴシック"/>
        <charset val="134"/>
      </rPr>
      <t xml:space="preserve">ステップ1：
</t>
    </r>
    <r>
      <rPr>
        <sz val="10"/>
        <color rgb="FF000000"/>
        <rFont val="游ゴシック"/>
        <charset val="134"/>
      </rPr>
      <t xml:space="preserve">Để trống メールアドレス, đăng ký
</t>
    </r>
    <r>
      <rPr>
        <b/>
        <sz val="10"/>
        <color rgb="FF000000"/>
        <rFont val="游ゴシック"/>
        <charset val="134"/>
      </rPr>
      <t xml:space="preserve">ステップ2：
</t>
    </r>
    <r>
      <rPr>
        <sz val="10"/>
        <color rgb="FF000000"/>
        <rFont val="游ゴシック"/>
        <charset val="134"/>
      </rPr>
      <t xml:space="preserve">Nhập `info@ja-tokyo.or.jp` → đăng ký
</t>
    </r>
    <r>
      <rPr>
        <b/>
        <sz val="10"/>
        <color rgb="FF000000"/>
        <rFont val="游ゴシック"/>
        <charset val="134"/>
      </rPr>
      <t xml:space="preserve">ステップ3：
</t>
    </r>
    <r>
      <rPr>
        <sz val="10"/>
        <color rgb="FF000000"/>
        <rFont val="游ゴシック"/>
        <charset val="134"/>
      </rPr>
      <t xml:space="preserve">Nhập `invalid-email` (không có @) → đăng ký
</t>
    </r>
    <r>
      <rPr>
        <b/>
        <sz val="10"/>
        <color rgb="FF000000"/>
        <rFont val="游ゴシック"/>
        <charset val="134"/>
      </rPr>
      <t xml:space="preserve">ステップ4：
</t>
    </r>
    <r>
      <rPr>
        <sz val="10"/>
        <color rgb="FF000000"/>
        <rFont val="游ゴシック"/>
        <charset val="134"/>
      </rPr>
      <t xml:space="preserve">Nhập `abc@` (không có domain) → đăng ký
</t>
    </r>
    <r>
      <rPr>
        <b/>
        <sz val="10"/>
        <color rgb="FF000000"/>
        <rFont val="游ゴシック"/>
        <charset val="134"/>
      </rPr>
      <t xml:space="preserve">ステップ5：
</t>
    </r>
    <r>
      <rPr>
        <sz val="10"/>
        <color rgb="FF000000"/>
        <rFont val="游ゴシック"/>
        <charset val="134"/>
      </rPr>
      <t>Thử nhập email vượt 100 ký tự</t>
    </r>
  </si>
  <si>
    <r>
      <rPr>
        <b/>
        <sz val="10"/>
        <color rgb="FF000000"/>
        <rFont val="メイリオ"/>
        <charset val="134"/>
      </rPr>
      <t xml:space="preserve">ステップ1：
</t>
    </r>
    <r>
      <rPr>
        <sz val="10"/>
        <color rgb="FF000000"/>
        <rFont val="メイリオ"/>
        <charset val="134"/>
      </rPr>
      <t xml:space="preserve">Tiếp nhận bình thường (mục tùy chọn)
</t>
    </r>
    <r>
      <rPr>
        <b/>
        <sz val="10"/>
        <color rgb="FF000000"/>
        <rFont val="メイリオ"/>
        <charset val="134"/>
      </rPr>
      <t xml:space="preserve">ステップ2：
</t>
    </r>
    <r>
      <rPr>
        <sz val="10"/>
        <color rgb="FF000000"/>
        <rFont val="メイリオ"/>
        <charset val="134"/>
      </rPr>
      <t xml:space="preserve">Tiếp nhận bình thường, lưu vào DB
</t>
    </r>
    <r>
      <rPr>
        <b/>
        <sz val="10"/>
        <color rgb="FF000000"/>
        <rFont val="メイリオ"/>
        <charset val="134"/>
      </rPr>
      <t xml:space="preserve">ステップ3：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"email", message: "有効なメールアドレスを入力してください。" }
</t>
    </r>
    <r>
      <rPr>
        <b/>
        <sz val="10"/>
        <color rgb="FF000000"/>
        <rFont val="メイリオ"/>
        <charset val="134"/>
      </rPr>
      <t xml:space="preserve">ステップ4：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"email", message: "有効なメールアドレスを入力してください。" }
</t>
    </r>
    <r>
      <rPr>
        <b/>
        <sz val="10"/>
        <color rgb="FF000000"/>
        <rFont val="メイリオ"/>
        <charset val="134"/>
      </rPr>
      <t xml:space="preserve">ステップ5：
</t>
    </r>
    <r>
      <rPr>
        <sz val="10"/>
        <color rgb="FF000000"/>
        <rFont val="メイリオ"/>
        <charset val="134"/>
      </rPr>
      <t xml:space="preserve">maxlength chặn ký tự thứ 101
</t>
    </r>
    <r>
      <rPr>
        <b/>
        <sz val="10"/>
        <color rgb="FF000000"/>
        <rFont val="メイリオ"/>
        <charset val="134"/>
      </rPr>
      <t xml:space="preserve">補足：
</t>
    </r>
    <r>
      <rPr>
        <sz val="10"/>
        <color rgb="FF000000"/>
        <rFont val="メイリオ"/>
        <charset val="134"/>
      </rPr>
      <t xml:space="preserve">・Tương ứng ACSMS-MSG-005-004
</t>
    </r>
    <r>
      <rPr>
        <sz val="10"/>
        <color rgb="FF000000"/>
        <rFont val="メイリオ"/>
        <charset val="134"/>
      </rPr>
      <t xml:space="preserve">・Mục tùy chọn, tối đa 100 ký tự
</t>
    </r>
    <r>
      <rPr>
        <sz val="10"/>
        <color rgb="FF000000"/>
        <rFont val="メイリオ"/>
        <charset val="134"/>
      </rPr>
      <t>・Không dùng type="email" native của browser (quy tắc dự án: vue.md §「NEVER use HTML5 native input types for validation」)</t>
    </r>
  </si>
  <si>
    <t>ACSMS-TC-005-034</t>
  </si>
  <si>
    <t>住所 — Tùy chọn / Giới hạn tối đa 200 ký tự</t>
  </si>
  <si>
    <r>
      <rPr>
        <b/>
        <sz val="10"/>
        <color rgb="FF000000"/>
        <rFont val="メイリオ"/>
        <charset val="134"/>
      </rPr>
      <t xml:space="preserve">ステップ1：
</t>
    </r>
    <r>
      <rPr>
        <sz val="10"/>
        <color rgb="FF000000"/>
        <rFont val="メイリオ"/>
        <charset val="134"/>
      </rPr>
      <t xml:space="preserve">Để trống 住所, đăng ký
</t>
    </r>
    <r>
      <rPr>
        <b/>
        <sz val="10"/>
        <color rgb="FF000000"/>
        <rFont val="メイリオ"/>
        <charset val="134"/>
      </rPr>
      <t xml:space="preserve">ステップ2：
</t>
    </r>
    <r>
      <rPr>
        <sz val="10"/>
        <color rgb="FF000000"/>
        <rFont val="メイリオ"/>
        <charset val="134"/>
      </rPr>
      <t xml:space="preserve">Nhập `東京都千代田区丸の内1-1-1` → đăng ký
</t>
    </r>
    <r>
      <rPr>
        <b/>
        <sz val="10"/>
        <color rgb="FF000000"/>
        <rFont val="メイリオ"/>
        <charset val="134"/>
      </rPr>
      <t xml:space="preserve">ステップ3：
</t>
    </r>
    <r>
      <rPr>
        <sz val="10"/>
        <color rgb="FF000000"/>
        <rFont val="メイリオ"/>
        <charset val="134"/>
      </rPr>
      <t xml:space="preserve">Nhập 200 ký tự → đăng ký
</t>
    </r>
    <r>
      <rPr>
        <b/>
        <sz val="10"/>
        <color rgb="FF000000"/>
        <rFont val="メイリオ"/>
        <charset val="134"/>
      </rPr>
      <t xml:space="preserve">ステップ4：
</t>
    </r>
    <r>
      <rPr>
        <sz val="10"/>
        <color rgb="FF000000"/>
        <rFont val="メイリオ"/>
        <charset val="134"/>
      </rPr>
      <t>Thử nhập ký tự thứ 201</t>
    </r>
  </si>
  <si>
    <r>
      <rPr>
        <b/>
        <sz val="10"/>
        <color rgb="FF000000"/>
        <rFont val="メイリオ"/>
        <charset val="134"/>
      </rPr>
      <t xml:space="preserve">ステップ1：
</t>
    </r>
    <r>
      <rPr>
        <sz val="10"/>
        <color rgb="FF000000"/>
        <rFont val="メイリオ"/>
        <charset val="134"/>
      </rPr>
      <t xml:space="preserve">Tiếp nhận bình thường (mục tùy chọn)
</t>
    </r>
    <r>
      <rPr>
        <b/>
        <sz val="10"/>
        <color rgb="FF000000"/>
        <rFont val="メイリオ"/>
        <charset val="134"/>
      </rPr>
      <t xml:space="preserve">ステップ2：
</t>
    </r>
    <r>
      <rPr>
        <sz val="10"/>
        <color rgb="FF000000"/>
        <rFont val="メイリオ"/>
        <charset val="134"/>
      </rPr>
      <t xml:space="preserve">Tiếp nhận bình thường
</t>
    </r>
    <r>
      <rPr>
        <b/>
        <sz val="10"/>
        <color rgb="FF000000"/>
        <rFont val="メイリオ"/>
        <charset val="134"/>
      </rPr>
      <t xml:space="preserve">ステップ3：
</t>
    </r>
    <r>
      <rPr>
        <sz val="10"/>
        <color rgb="FF000000"/>
        <rFont val="メイリオ"/>
        <charset val="134"/>
      </rPr>
      <t xml:space="preserve">Tiếp nhận bình thường (giá trị biên)
</t>
    </r>
    <r>
      <rPr>
        <b/>
        <sz val="10"/>
        <color rgb="FF000000"/>
        <rFont val="メイリオ"/>
        <charset val="134"/>
      </rPr>
      <t xml:space="preserve">ステップ4：
</t>
    </r>
    <r>
      <rPr>
        <sz val="10"/>
        <color rgb="FF000000"/>
        <rFont val="メイリオ"/>
        <charset val="134"/>
      </rPr>
      <t xml:space="preserve">maxlength chặn ký tự thứ 201
</t>
    </r>
    <r>
      <rPr>
        <b/>
        <sz val="10"/>
        <color rgb="FF000000"/>
        <rFont val="メイリオ"/>
        <charset val="134"/>
      </rPr>
      <t xml:space="preserve">補足：
</t>
    </r>
    <r>
      <rPr>
        <sz val="10"/>
        <color rgb="FF000000"/>
        <rFont val="メイリオ"/>
        <charset val="134"/>
      </rPr>
      <t>・Mục tùy chọn, cho phép full-width / half-width mix, tối đa 200 ký tự</t>
    </r>
  </si>
  <si>
    <t>ACSMS-TC-005-035</t>
  </si>
  <si>
    <t>担当部署名・担当者名 — Tùy chọn / Giới hạn độ dài tối đa</t>
  </si>
  <si>
    <r>
      <rPr>
        <b/>
        <sz val="10"/>
        <color rgb="FF000000"/>
        <rFont val="メイリオ"/>
        <charset val="134"/>
      </rPr>
      <t xml:space="preserve">ステップ1：
</t>
    </r>
    <r>
      <rPr>
        <sz val="10"/>
        <color rgb="FF000000"/>
        <rFont val="メイリオ"/>
        <charset val="134"/>
      </rPr>
      <t xml:space="preserve">Để trống 担当部署名 và 担当者名, đăng ký
</t>
    </r>
    <r>
      <rPr>
        <b/>
        <sz val="10"/>
        <color rgb="FF000000"/>
        <rFont val="メイリオ"/>
        <charset val="134"/>
      </rPr>
      <t xml:space="preserve">ステップ2：
</t>
    </r>
    <r>
      <rPr>
        <sz val="10"/>
        <color rgb="FF000000"/>
        <rFont val="メイリオ"/>
        <charset val="134"/>
      </rPr>
      <t xml:space="preserve">Nhập 100 ký tự vào 担当部署名, 50 ký tự vào 担当者名 → đăng ký
</t>
    </r>
    <r>
      <rPr>
        <b/>
        <sz val="10"/>
        <color rgb="FF000000"/>
        <rFont val="メイリオ"/>
        <charset val="134"/>
      </rPr>
      <t xml:space="preserve">ステップ3：
</t>
    </r>
    <r>
      <rPr>
        <sz val="10"/>
        <color rgb="FF000000"/>
        <rFont val="メイリオ"/>
        <charset val="134"/>
      </rPr>
      <t>Thử nhập ký tự thứ 101 vào 担当部署名, ký tự thứ 51 vào 担当者名</t>
    </r>
  </si>
  <si>
    <r>
      <rPr>
        <b/>
        <sz val="10"/>
        <color rgb="FF000000"/>
        <rFont val="メイリオ"/>
        <charset val="134"/>
      </rPr>
      <t xml:space="preserve">ステップ1：
</t>
    </r>
    <r>
      <rPr>
        <sz val="10"/>
        <color rgb="FF000000"/>
        <rFont val="メイリオ"/>
        <charset val="134"/>
      </rPr>
      <t xml:space="preserve">Tiếp nhận bình thường (cả hai đều là mục tùy chọn)
</t>
    </r>
    <r>
      <rPr>
        <b/>
        <sz val="10"/>
        <color rgb="FF000000"/>
        <rFont val="メイリオ"/>
        <charset val="134"/>
      </rPr>
      <t xml:space="preserve">ステップ2：
</t>
    </r>
    <r>
      <rPr>
        <sz val="10"/>
        <color rgb="FF000000"/>
        <rFont val="メイリオ"/>
        <charset val="134"/>
      </rPr>
      <t xml:space="preserve">Tiếp nhận bình thường, lưu vào DB
</t>
    </r>
    <r>
      <rPr>
        <b/>
        <sz val="10"/>
        <color rgb="FF000000"/>
        <rFont val="メイリオ"/>
        <charset val="134"/>
      </rPr>
      <t xml:space="preserve">ステップ3：
</t>
    </r>
    <r>
      <rPr>
        <sz val="10"/>
        <color rgb="FF000000"/>
        <rFont val="メイリオ"/>
        <charset val="134"/>
      </rPr>
      <t xml:space="preserve">maxlength chặn nhập
</t>
    </r>
    <r>
      <rPr>
        <b/>
        <sz val="10"/>
        <color rgb="FF000000"/>
        <rFont val="メイリオ"/>
        <charset val="134"/>
      </rPr>
      <t xml:space="preserve">補足：
</t>
    </r>
    <r>
      <rPr>
        <sz val="10"/>
        <color rgb="FF000000"/>
        <rFont val="メイリオ"/>
        <charset val="134"/>
      </rPr>
      <t xml:space="preserve">・担当部署名: tùy chọn, tối đa 100 ký tự
</t>
    </r>
    <r>
      <rPr>
        <sz val="10"/>
        <color rgb="FF000000"/>
        <rFont val="メイリオ"/>
        <charset val="134"/>
      </rPr>
      <t>・担当者名: tùy chọn, tối đa 50 ký tự</t>
    </r>
  </si>
  <si>
    <t>ACSMS-TC-005-036</t>
  </si>
  <si>
    <t>税区分 — Bắt buộc / Giá trị lựa chọn (1: 内税 / 2: 外税)</t>
  </si>
  <si>
    <r>
      <rPr>
        <b/>
        <sz val="10"/>
        <color rgb="FF000000"/>
        <rFont val="游ゴシック"/>
        <charset val="134"/>
      </rPr>
      <t xml:space="preserve">ステップ1：
</t>
    </r>
    <r>
      <rPr>
        <sz val="10"/>
        <color rgb="FF000000"/>
        <rFont val="游ゴシック"/>
        <charset val="134"/>
      </rPr>
      <t xml:space="preserve">Để 税区分 chưa chọn, đăng ký
</t>
    </r>
    <r>
      <rPr>
        <b/>
        <sz val="10"/>
        <color rgb="FF000000"/>
        <rFont val="游ゴシック"/>
        <charset val="134"/>
      </rPr>
      <t xml:space="preserve">ステップ2：
</t>
    </r>
    <r>
      <rPr>
        <sz val="10"/>
        <color rgb="FF000000"/>
        <rFont val="游ゴシック"/>
        <charset val="134"/>
      </rPr>
      <t xml:space="preserve">Chọn `内税` (1) → đăng ký → kiểm tra DB
</t>
    </r>
    <r>
      <rPr>
        <b/>
        <sz val="10"/>
        <color rgb="FF000000"/>
        <rFont val="游ゴシック"/>
        <charset val="134"/>
      </rPr>
      <t xml:space="preserve">ステップ3：
</t>
    </r>
    <r>
      <rPr>
        <sz val="10"/>
        <color rgb="FF000000"/>
        <rFont val="游ゴシック"/>
        <charset val="134"/>
      </rPr>
      <t xml:space="preserve">Chọn `外税` (2) → đăng ký → kiểm tra DB
</t>
    </r>
    <r>
      <rPr>
        <b/>
        <sz val="10"/>
        <color rgb="FF000000"/>
        <rFont val="游ゴシック"/>
        <charset val="134"/>
      </rPr>
      <t xml:space="preserve">ステップ4：
</t>
    </r>
    <r>
      <rPr>
        <sz val="10"/>
        <color rgb="FF000000"/>
        <rFont val="游ゴシック"/>
        <charset val="134"/>
      </rPr>
      <t>Trên DevTools, gửi POST `/api/v1/ja` với `zei_kubun: '9'`</t>
    </r>
  </si>
  <si>
    <r>
      <rPr>
        <b/>
        <sz val="10"/>
        <color rgb="FF000000"/>
        <rFont val="メイリオ"/>
        <charset val="134"/>
      </rPr>
      <t xml:space="preserve">ステップ1：
</t>
    </r>
    <r>
      <rPr>
        <sz val="10"/>
        <color rgb="FF000000"/>
        <rFont val="メイリオ"/>
        <charset val="134"/>
      </rPr>
      <t xml:space="preserve">Hiển thị「必須項目です。」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errors[] chứa { field: "zei_kubun", message: "税区分を選択してください" }
</t>
    </r>
    <r>
      <rPr>
        <b/>
        <sz val="10"/>
        <color rgb="FF000000"/>
        <rFont val="メイリオ"/>
        <charset val="134"/>
      </rPr>
      <t xml:space="preserve">ステップ2：
</t>
    </r>
    <r>
      <rPr>
        <sz val="10"/>
        <color rgb="FF000000"/>
        <rFont val="メイリオ"/>
        <charset val="134"/>
      </rPr>
      <t xml:space="preserve">Tiếp nhận bình thường, lưu với `m_ja.zei_kubun = '1'`
</t>
    </r>
    <r>
      <rPr>
        <b/>
        <sz val="10"/>
        <color rgb="FF000000"/>
        <rFont val="メイリオ"/>
        <charset val="134"/>
      </rPr>
      <t xml:space="preserve">ステップ3：
</t>
    </r>
    <r>
      <rPr>
        <sz val="10"/>
        <color rgb="FF000000"/>
        <rFont val="メイリオ"/>
        <charset val="134"/>
      </rPr>
      <t xml:space="preserve">Tiếp nhận bình thường, lưu với `m_ja.zei_kubun = '2'`
</t>
    </r>
    <r>
      <rPr>
        <b/>
        <sz val="10"/>
        <color rgb="FF000000"/>
        <rFont val="メイリオ"/>
        <charset val="134"/>
      </rPr>
      <t xml:space="preserve">ステップ4：
</t>
    </r>
    <r>
      <rPr>
        <sz val="10"/>
        <color rgb="FF000000"/>
        <rFont val="メイリオ"/>
        <charset val="134"/>
      </rPr>
      <t xml:space="preserve">HTTP status code: 400
</t>
    </r>
    <r>
      <rPr>
        <sz val="10"/>
        <color rgb="FF000000"/>
        <rFont val="メイリオ"/>
        <charset val="134"/>
      </rPr>
      <t xml:space="preserve">error_code: VALIDATION_ERROR
</t>
    </r>
    <r>
      <rPr>
        <b/>
        <sz val="10"/>
        <color rgb="FF000000"/>
        <rFont val="メイリオ"/>
        <charset val="134"/>
      </rPr>
      <t xml:space="preserve">補足：
</t>
    </r>
    <r>
      <rPr>
        <sz val="10"/>
        <color rgb="FF000000"/>
        <rFont val="メイリオ"/>
        <charset val="134"/>
      </rPr>
      <t xml:space="preserve">・Cố định 1 ký tự, chỉ cho phép `1` hoặc `2`
</t>
    </r>
    <r>
      <rPr>
        <sz val="10"/>
        <color rgb="FF000000"/>
        <rFont val="メイリオ"/>
        <charset val="134"/>
      </rPr>
      <t>・Quản lý trong category m_code ZEI_KUBUN, nhưng màn hình này cố định 2 lựa chọn radio</t>
    </r>
  </si>
  <si>
    <t>ACSMS-TC-005-037</t>
  </si>
  <si>
    <t>備考 — Tùy chọn / Giới hạn tối đa 500 ký tự</t>
  </si>
  <si>
    <r>
      <rPr>
        <b/>
        <sz val="10"/>
        <color rgb="FF000000"/>
        <rFont val="メイリオ"/>
        <charset val="134"/>
      </rPr>
      <t xml:space="preserve">ステップ1：
</t>
    </r>
    <r>
      <rPr>
        <sz val="10"/>
        <color rgb="FF000000"/>
        <rFont val="メイリオ"/>
        <charset val="134"/>
      </rPr>
      <t xml:space="preserve">Để trống 備考, đăng ký
</t>
    </r>
    <r>
      <rPr>
        <b/>
        <sz val="10"/>
        <color rgb="FF000000"/>
        <rFont val="メイリオ"/>
        <charset val="134"/>
      </rPr>
      <t xml:space="preserve">ステップ2：
</t>
    </r>
    <r>
      <rPr>
        <sz val="10"/>
        <color rgb="FF000000"/>
        <rFont val="メイリオ"/>
        <charset val="134"/>
      </rPr>
      <t xml:space="preserve">Nhập 500 ký tự → đăng ký
</t>
    </r>
    <r>
      <rPr>
        <b/>
        <sz val="10"/>
        <color rgb="FF000000"/>
        <rFont val="メイリオ"/>
        <charset val="134"/>
      </rPr>
      <t xml:space="preserve">ステップ3：
</t>
    </r>
    <r>
      <rPr>
        <sz val="10"/>
        <color rgb="FF000000"/>
        <rFont val="メイリオ"/>
        <charset val="134"/>
      </rPr>
      <t xml:space="preserve">Thử nhập ký tự thứ 501
</t>
    </r>
    <r>
      <rPr>
        <b/>
        <sz val="10"/>
        <color rgb="FF000000"/>
        <rFont val="メイリオ"/>
        <charset val="134"/>
      </rPr>
      <t xml:space="preserve">ステップ4：
</t>
    </r>
    <r>
      <rPr>
        <sz val="10"/>
        <color rgb="FF000000"/>
        <rFont val="メイリオ"/>
        <charset val="134"/>
      </rPr>
      <t>Nhập text nhiều dòng có line break → đăng ký</t>
    </r>
  </si>
  <si>
    <r>
      <rPr>
        <b/>
        <sz val="10"/>
        <color rgb="FF000000"/>
        <rFont val="メイリオ"/>
        <charset val="134"/>
      </rPr>
      <t xml:space="preserve">ステップ1：
</t>
    </r>
    <r>
      <rPr>
        <sz val="10"/>
        <color rgb="FF000000"/>
        <rFont val="メイリオ"/>
        <charset val="134"/>
      </rPr>
      <t xml:space="preserve">Tiếp nhận bình thường (mục tùy chọn)
</t>
    </r>
    <r>
      <rPr>
        <b/>
        <sz val="10"/>
        <color rgb="FF000000"/>
        <rFont val="メイリオ"/>
        <charset val="134"/>
      </rPr>
      <t xml:space="preserve">ステップ2：
</t>
    </r>
    <r>
      <rPr>
        <sz val="10"/>
        <color rgb="FF000000"/>
        <rFont val="メイリオ"/>
        <charset val="134"/>
      </rPr>
      <t xml:space="preserve">Tiếp nhận bình thường (giá trị biên)
</t>
    </r>
    <r>
      <rPr>
        <b/>
        <sz val="10"/>
        <color rgb="FF000000"/>
        <rFont val="メイリオ"/>
        <charset val="134"/>
      </rPr>
      <t xml:space="preserve">ステップ3：
</t>
    </r>
    <r>
      <rPr>
        <sz val="10"/>
        <color rgb="FF000000"/>
        <rFont val="メイリオ"/>
        <charset val="134"/>
      </rPr>
      <t xml:space="preserve">maxlength chặn ký tự thứ 501
</t>
    </r>
    <r>
      <rPr>
        <b/>
        <sz val="10"/>
        <color rgb="FF000000"/>
        <rFont val="メイリオ"/>
        <charset val="134"/>
      </rPr>
      <t xml:space="preserve">ステップ4：
</t>
    </r>
    <r>
      <rPr>
        <sz val="10"/>
        <color rgb="FF000000"/>
        <rFont val="メイリオ"/>
        <charset val="134"/>
      </rPr>
      <t xml:space="preserve">Lưu giữ line break trong DB
</t>
    </r>
    <r>
      <rPr>
        <b/>
        <sz val="10"/>
        <color rgb="FF000000"/>
        <rFont val="メイリオ"/>
        <charset val="134"/>
      </rPr>
      <t xml:space="preserve">補足：
</t>
    </r>
    <r>
      <rPr>
        <sz val="10"/>
        <color rgb="FF000000"/>
        <rFont val="メイリオ"/>
        <charset val="134"/>
      </rPr>
      <t xml:space="preserve">・Mục tùy chọn, tối đa 500 ký tự, cho phép line break
</t>
    </r>
    <r>
      <rPr>
        <sz val="10"/>
        <color rgb="FF000000"/>
        <rFont val="メイリオ"/>
        <charset val="134"/>
      </rPr>
      <t>・Hiển thị dưới dạng textarea</t>
    </r>
  </si>
  <si>
    <t>Logic nghiệp vụ — Đăng ký (Function — Create)</t>
  </si>
  <si>
    <t>ACSMS-TC-005-038</t>
  </si>
  <si>
    <t>Đăng ký mới — Đăng ký toàn bộ mục normal case (DB + log kiểm toán)</t>
  </si>
  <si>
    <t>・role: NICHINO_ADMIN
・Màn hình đăng ký, toàn bộ mục đã nhập giá trị hợp lệ
・Test data: JAコード=1301999001, JA名=JA東京テスト, JA名カナ=ジェイエイトウキョウテスト, 都道府県=13, 中央会フラグ=false, 金融機関コード=1234, 金融機関名=農林中央金庫, 郵便番号=1000001, 住所=東京都千代田区, 電話=0312345678, FAX=0312345679, メール=test@example.jp, 担当部署=総務部, 担当者=田中太郎, 税区分=1, 備考=テスト</t>
  </si>
  <si>
    <r>
      <rPr>
        <b/>
        <sz val="10"/>
        <color rgb="FF000000"/>
        <rFont val="游ゴシック"/>
        <charset val="134"/>
      </rPr>
      <t xml:space="preserve">ステップ1：
</t>
    </r>
    <r>
      <rPr>
        <sz val="10"/>
        <color rgb="FF000000"/>
        <rFont val="游ゴシック"/>
        <charset val="134"/>
      </rPr>
      <t xml:space="preserve">Nhập giá trị hợp lệ vào toàn bộ mục → nhấn button đăng ký
</t>
    </r>
    <r>
      <rPr>
        <b/>
        <sz val="10"/>
        <color rgb="FF000000"/>
        <rFont val="游ゴシック"/>
        <charset val="134"/>
      </rPr>
      <t xml:space="preserve">ステップ2：
</t>
    </r>
    <r>
      <rPr>
        <sz val="10"/>
        <color rgb="FF000000"/>
        <rFont val="游ゴシック"/>
        <charset val="134"/>
      </rPr>
      <t xml:space="preserve">Kiểm tra DB: `SELECT * FROM m_ja WHERE ja_code='1301999001'`
</t>
    </r>
    <r>
      <rPr>
        <b/>
        <sz val="10"/>
        <color rgb="FF000000"/>
        <rFont val="游ゴシック"/>
        <charset val="134"/>
      </rPr>
      <t xml:space="preserve">ステップ3：
</t>
    </r>
    <r>
      <rPr>
        <sz val="10"/>
        <color rgb="FF000000"/>
        <rFont val="游ゴシック"/>
        <charset val="134"/>
      </rPr>
      <t>Kiểm tra log kiểm toán: `SELECT * FROM t_log WHERE target_table='m_ja' ORDER BY log_datetime DESC LIMIT 1`</t>
    </r>
  </si>
  <si>
    <r>
      <rPr>
        <b/>
        <sz val="10"/>
        <color rgb="FF000000"/>
        <rFont val="游ゴシック"/>
        <charset val="134"/>
      </rPr>
      <t xml:space="preserve">ステップ1：
</t>
    </r>
    <r>
      <rPr>
        <sz val="10"/>
        <color rgb="FF000000"/>
        <rFont val="游ゴシック"/>
        <charset val="134"/>
      </rPr>
      <t xml:space="preserve">HTTP status code: 201
message:「登録しました。」
Toast「登録しました。」hiển thị
Redirect về màn hình danh sách `/ja`
</t>
    </r>
    <r>
      <rPr>
        <b/>
        <sz val="10"/>
        <color rgb="FF000000"/>
        <rFont val="游ゴシック"/>
        <charset val="134"/>
      </rPr>
      <t xml:space="preserve">ステップ2：
</t>
    </r>
    <r>
      <rPr>
        <sz val="10"/>
        <color rgb="FF000000"/>
        <rFont val="游ゴシック"/>
        <charset val="134"/>
      </rPr>
      <t xml:space="preserve">1 row mới trong `m_ja`, toàn bộ column khớp với giá trị input, `created_at` là thời điểm hiện tại, `deleted_at` là NULL
</t>
    </r>
    <r>
      <rPr>
        <b/>
        <sz val="10"/>
        <color rgb="FF000000"/>
        <rFont val="游ゴシック"/>
        <charset val="134"/>
      </rPr>
      <t xml:space="preserve">ステップ3：
</t>
    </r>
    <r>
      <rPr>
        <sz val="10"/>
        <color rgb="FF000000"/>
        <rFont val="游ゴシック"/>
        <charset val="134"/>
      </rPr>
      <t xml:space="preserve">1 row, log_type=1 (log thao tác), operation='CREATE', result_status=1 (thành công), target_table='m_ja', target_id=ja_id mới, before_value=rỗng, after_value=JSON data đăng ký
</t>
    </r>
    <r>
      <rPr>
        <b/>
        <sz val="10"/>
        <color rgb="FF000000"/>
        <rFont val="游ゴシック"/>
        <charset val="134"/>
      </rPr>
      <t xml:space="preserve">補足：
</t>
    </r>
    <r>
      <rPr>
        <sz val="10"/>
        <color rgb="FF000000"/>
        <rFont val="游ゴシック"/>
        <charset val="134"/>
      </rPr>
      <t>・Persist đúng vào DB
・Log kiểm toán ghi event CREATE (before_value rỗng, after_value JSON đầy đủ)
・Main DML + log kiểm toán commit trong cùng 1 transaction</t>
    </r>
  </si>
  <si>
    <t>ACSMS-TC-005-039</t>
  </si>
  <si>
    <t>Đăng ký mới — Đăng ký với chỉ các mục bắt buộc</t>
  </si>
  <si>
    <t>・role: NICHINO_ADMIN
・Màn hình đăng ký
・Test data (chỉ mục bắt buộc): JAコード=1301999002, JA名=JAテスト最小, 都道府県=13, 中央会フラグ=false, 金融機関コード=1234, 金融機関名=農林中央金庫, 税区分=1</t>
  </si>
  <si>
    <r>
      <rPr>
        <b/>
        <sz val="10"/>
        <color rgb="FF000000"/>
        <rFont val="メイリオ"/>
        <charset val="134"/>
      </rPr>
      <t xml:space="preserve">ステップ1：
</t>
    </r>
    <r>
      <rPr>
        <sz val="10"/>
        <color rgb="FF000000"/>
        <rFont val="メイリオ"/>
        <charset val="134"/>
      </rPr>
      <t xml:space="preserve">Chỉ nhập các mục bắt buộc, để trống các mục tùy chọn rồi nhấn button đăng ký
</t>
    </r>
    <r>
      <rPr>
        <b/>
        <sz val="10"/>
        <color rgb="FF000000"/>
        <rFont val="メイリオ"/>
        <charset val="134"/>
      </rPr>
      <t xml:space="preserve">ステップ2：
</t>
    </r>
    <r>
      <rPr>
        <sz val="10"/>
        <color rgb="FF000000"/>
        <rFont val="メイリオ"/>
        <charset val="134"/>
      </rPr>
      <t>Kiểm tra DB: `SELECT * FROM m_ja WHERE ja_code='1301999002'`</t>
    </r>
  </si>
  <si>
    <r>
      <rPr>
        <b/>
        <sz val="10"/>
        <color rgb="FF000000"/>
        <rFont val="メイリオ"/>
        <charset val="134"/>
      </rPr>
      <t xml:space="preserve">ステップ1：
</t>
    </r>
    <r>
      <rPr>
        <sz val="10"/>
        <color rgb="FF000000"/>
        <rFont val="メイリオ"/>
        <charset val="134"/>
      </rPr>
      <t xml:space="preserve">HTTP status code: 201
</t>
    </r>
    <r>
      <rPr>
        <sz val="10"/>
        <color rgb="FF000000"/>
        <rFont val="メイリオ"/>
        <charset val="134"/>
      </rPr>
      <t xml:space="preserve">Toast「登録しました。」hiển thị
</t>
    </r>
    <r>
      <rPr>
        <sz val="10"/>
        <color rgb="FF000000"/>
        <rFont val="メイリオ"/>
        <charset val="134"/>
      </rPr>
      <t xml:space="preserve">Redirect về màn hình danh sách `/ja`
</t>
    </r>
    <r>
      <rPr>
        <b/>
        <sz val="10"/>
        <color rgb="FF000000"/>
        <rFont val="メイリオ"/>
        <charset val="134"/>
      </rPr>
      <t xml:space="preserve">ステップ2：
</t>
    </r>
    <r>
      <rPr>
        <sz val="10"/>
        <color rgb="FF000000"/>
        <rFont val="メイリオ"/>
        <charset val="134"/>
      </rPr>
      <t xml:space="preserve">1 row mới, mục bắt buộc đúng giá trị input, mục tùy chọn (JA名カナ, 郵便番号, 住所, 電話, FAX, メール, 担当部署, 担当者, 備考) là chuỗi rỗng hoặc NULL
</t>
    </r>
    <r>
      <rPr>
        <b/>
        <sz val="10"/>
        <color rgb="FF000000"/>
        <rFont val="メイリオ"/>
        <charset val="134"/>
      </rPr>
      <t xml:space="preserve">補足：
</t>
    </r>
    <r>
      <rPr>
        <sz val="10"/>
        <color rgb="FF000000"/>
        <rFont val="メイリオ"/>
        <charset val="134"/>
      </rPr>
      <t xml:space="preserve">・Có thể đăng ký bình thường khi mục tùy chọn để trống
</t>
    </r>
    <r>
      <rPr>
        <sz val="10"/>
        <color rgb="FF000000"/>
        <rFont val="メイリオ"/>
        <charset val="134"/>
      </rPr>
      <t>・Mục nullable lưu NULL, mục NOT NULL (biko v.v.) lưu chuỗi rỗng</t>
    </r>
  </si>
  <si>
    <t>ACSMS-TC-005-040</t>
  </si>
  <si>
    <t>Đăng ký mới — Lỗi khi JAコード trùng</t>
  </si>
  <si>
    <t>・role: NICHINO_ADMIN
・Test data có sẵn: `ja_code='1301001001'` đã đăng ký (deleted_at IS NULL)</t>
  </si>
  <si>
    <r>
      <rPr>
        <b/>
        <sz val="10"/>
        <color rgb="FF000000"/>
        <rFont val="游ゴシック"/>
        <charset val="134"/>
      </rPr>
      <t xml:space="preserve">ステップ1：
</t>
    </r>
    <r>
      <rPr>
        <sz val="10"/>
        <color rgb="FF000000"/>
        <rFont val="游ゴシック"/>
        <charset val="134"/>
      </rPr>
      <t xml:space="preserve">Nhập `1301001001` vào JAコード, các mục khác giá trị hợp lệ rồi đăng ký
</t>
    </r>
    <r>
      <rPr>
        <b/>
        <sz val="10"/>
        <color rgb="FF000000"/>
        <rFont val="游ゴシック"/>
        <charset val="134"/>
      </rPr>
      <t xml:space="preserve">ステップ2：
</t>
    </r>
    <r>
      <rPr>
        <sz val="10"/>
        <color rgb="FF000000"/>
        <rFont val="游ゴシック"/>
        <charset val="134"/>
      </rPr>
      <t xml:space="preserve">Kiểm tra DB
</t>
    </r>
  </si>
  <si>
    <r>
      <rPr>
        <b/>
        <sz val="10"/>
        <color rgb="FF000000"/>
        <rFont val="游ゴシック"/>
        <charset val="134"/>
      </rPr>
      <t xml:space="preserve">ステップ1：
</t>
    </r>
    <r>
      <rPr>
        <sz val="10"/>
        <color rgb="FF000000"/>
        <rFont val="游ゴシック"/>
        <charset val="134"/>
      </rPr>
      <t xml:space="preserve">HTTP status code: 400
error_code: DUPLICATE_CODE
message:「JAコード「1301001001」はすでに登録されています。」
Đăng ký thất bại, message hiển thị ngay dưới mục trên màn hình
</t>
    </r>
    <r>
      <rPr>
        <b/>
        <sz val="10"/>
        <color rgb="FF000000"/>
        <rFont val="游ゴシック"/>
        <charset val="134"/>
      </rPr>
      <t xml:space="preserve">ステップ2：
</t>
    </r>
    <r>
      <rPr>
        <sz val="10"/>
        <color rgb="FF000000"/>
        <rFont val="游ゴシック"/>
        <charset val="134"/>
      </rPr>
      <t xml:space="preserve">Không có row mới, `1301001001` chỉ có 1 row trong `m_ja`
</t>
    </r>
    <r>
      <rPr>
        <b/>
        <sz val="10"/>
        <color rgb="FF000000"/>
        <rFont val="游ゴシック"/>
        <charset val="134"/>
      </rPr>
      <t xml:space="preserve">補足：
</t>
    </r>
    <r>
      <rPr>
        <sz val="10"/>
        <color rgb="FF000000"/>
        <rFont val="游ゴシック"/>
        <charset val="134"/>
      </rPr>
      <t>・Phát hiện trùng → transaction rollback → log thất bại được ghi
・Tương ứng ACSMS-MSG-005-009</t>
    </r>
  </si>
  <si>
    <t>ACSMS-TC-005-041</t>
  </si>
  <si>
    <t>Đăng ký mới — Validation tổng hợp khi toàn bộ field chưa nhập</t>
  </si>
  <si>
    <t>・role: NICHINO_ADMIN
・Màn hình đăng ký, toàn bộ field rỗng</t>
  </si>
  <si>
    <r>
      <rPr>
        <b/>
        <sz val="10"/>
        <color rgb="FF000000"/>
        <rFont val="メイリオ"/>
        <charset val="134"/>
      </rPr>
      <t xml:space="preserve">ステップ1：
</t>
    </r>
    <r>
      <rPr>
        <sz val="10"/>
        <color rgb="FF000000"/>
        <rFont val="メイリオ"/>
        <charset val="134"/>
      </rPr>
      <t xml:space="preserve">Không nhập gì, nhấn button đăng ký
</t>
    </r>
    <r>
      <rPr>
        <b/>
        <sz val="10"/>
        <color rgb="FF000000"/>
        <rFont val="メイリオ"/>
        <charset val="134"/>
      </rPr>
      <t xml:space="preserve">ステップ2：
</t>
    </r>
    <r>
      <rPr>
        <sz val="10"/>
        <color rgb="FF000000"/>
        <rFont val="メイリオ"/>
        <charset val="134"/>
      </rPr>
      <t>Kiểm tra error message của từng mục bắt buộc</t>
    </r>
  </si>
  <si>
    <r>
      <rPr>
        <b/>
        <sz val="10"/>
        <color rgb="FF000000"/>
        <rFont val="メイリオ"/>
        <charset val="134"/>
      </rPr>
      <t xml:space="preserve">ステップ1：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Response body chứa array `errors: [{ field, message }]`
</t>
    </r>
    <r>
      <rPr>
        <sz val="10"/>
        <color rgb="FF000000"/>
        <rFont val="メイリオ"/>
        <charset val="134"/>
      </rPr>
      <t xml:space="preserve">Mỗi mục bắt buộc hiển thị「必須項目です。」ngay dưới, gửi bị chặn
</t>
    </r>
    <r>
      <rPr>
        <b/>
        <sz val="10"/>
        <color rgb="FF000000"/>
        <rFont val="メイリオ"/>
        <charset val="134"/>
      </rPr>
      <t xml:space="preserve">ステップ2：
</t>
    </r>
    <r>
      <rPr>
        <sz val="10"/>
        <color rgb="FF000000"/>
        <rFont val="メイリオ"/>
        <charset val="134"/>
      </rPr>
      <t xml:space="preserve">7 mục JAコード, JA名, 都道府県, 中央会フラグ, 金融機関コード, 金融機関名, 税区分 trả về field name và message tương ứng trong array `errors`
</t>
    </r>
    <r>
      <rPr>
        <b/>
        <sz val="10"/>
        <color rgb="FF000000"/>
        <rFont val="メイリオ"/>
        <charset val="134"/>
      </rPr>
      <t xml:space="preserve">補足：
</t>
    </r>
    <r>
      <rPr>
        <sz val="10"/>
        <color rgb="FF000000"/>
        <rFont val="メイリオ"/>
        <charset val="134"/>
      </rPr>
      <t xml:space="preserve">・Gửi thất bại, hiển thị nhiều vi phạm bắt buộc đồng thời
</t>
    </r>
    <r>
      <rPr>
        <sz val="10"/>
        <color rgb="FF000000"/>
        <rFont val="メイリオ"/>
        <charset val="134"/>
      </rPr>
      <t xml:space="preserve">・Không có row mới trong DB
</t>
    </r>
    <r>
      <rPr>
        <sz val="10"/>
        <color rgb="FF000000"/>
        <rFont val="メイリオ"/>
        <charset val="134"/>
      </rPr>
      <t>・Mục tùy chọn (JA名カナ, 郵便番号, 住所, 電話, FAX, メール, 担当部署, 担当者, 備考) không phải đối tượng lỗi bắt buộc</t>
    </r>
  </si>
  <si>
    <t>ACSMS-TC-005-042</t>
  </si>
  <si>
    <t>Đăng ký mới — Xử lý khi system error</t>
  </si>
  <si>
    <t>・role: NICHINO_ADMIN
・Màn hình đăng ký, đã nhập giá trị hợp lệ
・Trigger lỗi nội bộ phía backend (chỉ test environment)</t>
  </si>
  <si>
    <r>
      <rPr>
        <b/>
        <sz val="10"/>
        <color rgb="FF000000"/>
        <rFont val="メイリオ"/>
        <charset val="134"/>
      </rPr>
      <t xml:space="preserve">ステップ1：
</t>
    </r>
    <r>
      <rPr>
        <sz val="10"/>
        <color rgb="FF000000"/>
        <rFont val="メイリオ"/>
        <charset val="134"/>
      </rPr>
      <t xml:space="preserve">Nhấn button đăng ký → BE xảy ra lỗi 500
</t>
    </r>
    <r>
      <rPr>
        <b/>
        <sz val="10"/>
        <color rgb="FF000000"/>
        <rFont val="メイリオ"/>
        <charset val="134"/>
      </rPr>
      <t xml:space="preserve">ステップ2：
</t>
    </r>
    <r>
      <rPr>
        <sz val="10"/>
        <color rgb="FF000000"/>
        <rFont val="メイリオ"/>
        <charset val="134"/>
      </rPr>
      <t xml:space="preserve">Kiểm tra trạng thái màn hình
</t>
    </r>
    <r>
      <rPr>
        <b/>
        <sz val="10"/>
        <color rgb="FF000000"/>
        <rFont val="メイリオ"/>
        <charset val="134"/>
      </rPr>
      <t xml:space="preserve">ステップ3：
</t>
    </r>
    <r>
      <rPr>
        <sz val="10"/>
        <color rgb="FF000000"/>
        <rFont val="メイリオ"/>
        <charset val="134"/>
      </rPr>
      <t xml:space="preserve">Kiểm tra DB
</t>
    </r>
    <r>
      <rPr>
        <b/>
        <sz val="10"/>
        <color rgb="FF000000"/>
        <rFont val="メイリオ"/>
        <charset val="134"/>
      </rPr>
      <t xml:space="preserve">ステップ4：
</t>
    </r>
    <r>
      <rPr>
        <sz val="10"/>
        <color rgb="FF000000"/>
        <rFont val="メイリオ"/>
        <charset val="134"/>
      </rPr>
      <t>Kiểm tra log lỗi</t>
    </r>
  </si>
  <si>
    <r>
      <rPr>
        <b/>
        <sz val="10"/>
        <color rgb="FF000000"/>
        <rFont val="メイリオ"/>
        <charset val="134"/>
      </rPr>
      <t xml:space="preserve">ステップ1：
</t>
    </r>
    <r>
      <rPr>
        <sz val="10"/>
        <color rgb="FF000000"/>
        <rFont val="メイリオ"/>
        <charset val="134"/>
      </rPr>
      <t xml:space="preserve">HTTP status code: 500
</t>
    </r>
    <r>
      <rPr>
        <sz val="10"/>
        <color rgb="FF000000"/>
        <rFont val="メイリオ"/>
        <charset val="134"/>
      </rPr>
      <t xml:space="preserve">error_code: INTERNAL_SERVER_ERROR
</t>
    </r>
    <r>
      <rPr>
        <sz val="10"/>
        <color rgb="FF000000"/>
        <rFont val="メイリオ"/>
        <charset val="134"/>
      </rPr>
      <t xml:space="preserve">Toast「システムエラーが発生しました。しばらくしてから再度お試しください。」hiển thị
</t>
    </r>
    <r>
      <rPr>
        <b/>
        <sz val="10"/>
        <color rgb="FF000000"/>
        <rFont val="メイリオ"/>
        <charset val="134"/>
      </rPr>
      <t xml:space="preserve">ステップ2：
</t>
    </r>
    <r>
      <rPr>
        <sz val="10"/>
        <color rgb="FF000000"/>
        <rFont val="メイリオ"/>
        <charset val="134"/>
      </rPr>
      <t xml:space="preserve">Vẫn ở màn hình đăng ký, giữ nguyên giá trị input
</t>
    </r>
    <r>
      <rPr>
        <b/>
        <sz val="10"/>
        <color rgb="FF000000"/>
        <rFont val="メイリオ"/>
        <charset val="134"/>
      </rPr>
      <t xml:space="preserve">ステップ3：
</t>
    </r>
    <r>
      <rPr>
        <sz val="10"/>
        <color rgb="FF000000"/>
        <rFont val="メイリオ"/>
        <charset val="134"/>
      </rPr>
      <t xml:space="preserve">Không có row mới
</t>
    </r>
    <r>
      <rPr>
        <b/>
        <sz val="10"/>
        <color rgb="FF000000"/>
        <rFont val="メイリオ"/>
        <charset val="134"/>
      </rPr>
      <t xml:space="preserve">ステップ4：
</t>
    </r>
    <r>
      <rPr>
        <sz val="10"/>
        <color rgb="FF000000"/>
        <rFont val="メイリオ"/>
        <charset val="134"/>
      </rPr>
      <t xml:space="preserve">Log với log_type=3 (lỗi), result_status=2 được ghi vào `t_log`
</t>
    </r>
    <r>
      <rPr>
        <b/>
        <sz val="10"/>
        <color rgb="FF000000"/>
        <rFont val="メイリオ"/>
        <charset val="134"/>
      </rPr>
      <t xml:space="preserve">補足：
</t>
    </r>
    <r>
      <rPr>
        <sz val="10"/>
        <color rgb="FF000000"/>
        <rFont val="メイリオ"/>
        <charset val="134"/>
      </rPr>
      <t xml:space="preserve">・Hiển thị error message hướng người dùng
</t>
    </r>
    <r>
      <rPr>
        <sz val="10"/>
        <color rgb="FF000000"/>
        <rFont val="メイリオ"/>
        <charset val="134"/>
      </rPr>
      <t xml:space="preserve">・Transaction rollback, duy trì tính toàn vẹn data
</t>
    </r>
    <r>
      <rPr>
        <sz val="10"/>
        <color rgb="FF000000"/>
        <rFont val="メイリオ"/>
        <charset val="134"/>
      </rPr>
      <t>・Có thể debug bằng log lỗi (ghi error_message + stack_trace)</t>
    </r>
  </si>
  <si>
    <t>ACSMS-TC-005-043</t>
  </si>
  <si>
    <t>Đăng ký mới — Xử lý khi mất kết nối mạng</t>
  </si>
  <si>
    <t>・role: NICHINO_ADMIN
・Màn hình đăng ký, đã nhập giá trị hợp lệ
・Chuyển Network tab DevTools sang chế độ mất kết nối mạng</t>
  </si>
  <si>
    <r>
      <rPr>
        <b/>
        <sz val="10"/>
        <color rgb="FF000000"/>
        <rFont val="メイリオ"/>
        <charset val="134"/>
      </rPr>
      <t xml:space="preserve">ステップ1：
</t>
    </r>
    <r>
      <rPr>
        <sz val="10"/>
        <color rgb="FF000000"/>
        <rFont val="メイリオ"/>
        <charset val="134"/>
      </rPr>
      <t xml:space="preserve">Nhấn button đăng ký
</t>
    </r>
    <r>
      <rPr>
        <b/>
        <sz val="10"/>
        <color rgb="FF000000"/>
        <rFont val="メイリオ"/>
        <charset val="134"/>
      </rPr>
      <t xml:space="preserve">ステップ2：
</t>
    </r>
    <r>
      <rPr>
        <sz val="10"/>
        <color rgb="FF000000"/>
        <rFont val="メイリオ"/>
        <charset val="134"/>
      </rPr>
      <t xml:space="preserve">Kiểm tra trạng thái màn hình
</t>
    </r>
    <r>
      <rPr>
        <b/>
        <sz val="10"/>
        <color rgb="FF000000"/>
        <rFont val="メイリオ"/>
        <charset val="134"/>
      </rPr>
      <t xml:space="preserve">ステップ3：
</t>
    </r>
    <r>
      <rPr>
        <sz val="10"/>
        <color rgb="FF000000"/>
        <rFont val="メイリオ"/>
        <charset val="134"/>
      </rPr>
      <t>Sau khi mạng được phục hồi, nhấn lại button đăng ký</t>
    </r>
  </si>
  <si>
    <r>
      <rPr>
        <b/>
        <sz val="10"/>
        <color rgb="FF000000"/>
        <rFont val="メイリオ"/>
        <charset val="134"/>
      </rPr>
      <t xml:space="preserve">ステップ1：
</t>
    </r>
    <r>
      <rPr>
        <sz val="10"/>
        <color rgb="FF000000"/>
        <rFont val="メイリオ"/>
        <charset val="134"/>
      </rPr>
      <t xml:space="preserve">Toast「ネットワークエラーが発生しました。接続をご確認ください。」hiển thị
</t>
    </r>
    <r>
      <rPr>
        <b/>
        <sz val="10"/>
        <color rgb="FF000000"/>
        <rFont val="メイリオ"/>
        <charset val="134"/>
      </rPr>
      <t xml:space="preserve">ステップ2：
</t>
    </r>
    <r>
      <rPr>
        <sz val="10"/>
        <color rgb="FF000000"/>
        <rFont val="メイリオ"/>
        <charset val="134"/>
      </rPr>
      <t xml:space="preserve">Vẫn ở màn hình đăng ký, giữ nguyên giá trị input
</t>
    </r>
    <r>
      <rPr>
        <b/>
        <sz val="10"/>
        <color rgb="FF000000"/>
        <rFont val="メイリオ"/>
        <charset val="134"/>
      </rPr>
      <t xml:space="preserve">ステップ3：
</t>
    </r>
    <r>
      <rPr>
        <sz val="10"/>
        <color rgb="FF000000"/>
        <rFont val="メイリオ"/>
        <charset val="134"/>
      </rPr>
      <t xml:space="preserve">Đăng ký thành công bình thường, HTTP status code: 201
</t>
    </r>
    <r>
      <rPr>
        <b/>
        <sz val="10"/>
        <color rgb="FF000000"/>
        <rFont val="メイリオ"/>
        <charset val="134"/>
      </rPr>
      <t xml:space="preserve">補足：
</t>
    </r>
    <r>
      <rPr>
        <sz val="10"/>
        <color rgb="FF000000"/>
        <rFont val="メイリオ"/>
        <charset val="134"/>
      </rPr>
      <t xml:space="preserve">・Phát hiện network error → thông báo cho user
</t>
    </r>
    <r>
      <rPr>
        <sz val="10"/>
        <color rgb="FF000000"/>
        <rFont val="メイリオ"/>
        <charset val="134"/>
      </rPr>
      <t>・Giá trị input được giữ, có thể gửi lại</t>
    </r>
  </si>
  <si>
    <t>ACSMS-TC-005-044</t>
  </si>
  <si>
    <t>Đăng ký mới — Hủy bằng button quay lại</t>
  </si>
  <si>
    <t>・role: NICHINO_ADMIN
・Màn hình đăng ký, đã nhập giá trị hợp lệ</t>
  </si>
  <si>
    <r>
      <rPr>
        <b/>
        <sz val="10"/>
        <color rgb="FF000000"/>
        <rFont val="游ゴシック"/>
        <charset val="134"/>
      </rPr>
      <t xml:space="preserve">ステップ1：
</t>
    </r>
    <r>
      <rPr>
        <sz val="10"/>
        <color rgb="FF000000"/>
        <rFont val="游ゴシック"/>
        <charset val="134"/>
      </rPr>
      <t xml:space="preserve">Nhấn button「前の画面に戻る」
</t>
    </r>
    <r>
      <rPr>
        <b/>
        <sz val="10"/>
        <color rgb="FF000000"/>
        <rFont val="游ゴシック"/>
        <charset val="134"/>
      </rPr>
      <t xml:space="preserve">ステップ2：
</t>
    </r>
    <r>
      <rPr>
        <sz val="10"/>
        <color rgb="FF000000"/>
        <rFont val="游ゴシック"/>
        <charset val="134"/>
      </rPr>
      <t xml:space="preserve">Kiểm tra DB
</t>
    </r>
    <r>
      <rPr>
        <b/>
        <sz val="10"/>
        <color rgb="FF000000"/>
        <rFont val="游ゴシック"/>
        <charset val="134"/>
      </rPr>
      <t xml:space="preserve">ステップ3：
</t>
    </r>
    <r>
      <rPr>
        <sz val="10"/>
        <color rgb="FF000000"/>
        <rFont val="游ゴシック"/>
        <charset val="134"/>
      </rPr>
      <t>Kiểm tra log kiểm toán</t>
    </r>
  </si>
  <si>
    <r>
      <rPr>
        <b/>
        <sz val="10"/>
        <color rgb="FF000000"/>
        <rFont val="メイリオ"/>
        <charset val="134"/>
      </rPr>
      <t xml:space="preserve">ステップ1：
</t>
    </r>
    <r>
      <rPr>
        <sz val="10"/>
        <color rgb="FF000000"/>
        <rFont val="メイリオ"/>
        <charset val="134"/>
      </rPr>
      <t xml:space="preserve">Khi có thay đổi chưa lưu, hiển thị dialog cảnh báo
</t>
    </r>
    <r>
      <rPr>
        <sz val="10"/>
        <color rgb="FF000000"/>
        <rFont val="メイリオ"/>
        <charset val="134"/>
      </rPr>
      <t xml:space="preserve">Chọn「離れる」→ chuyển về màn hình danh sách `/ja`
</t>
    </r>
    <r>
      <rPr>
        <b/>
        <sz val="10"/>
        <color rgb="FF000000"/>
        <rFont val="メイリオ"/>
        <charset val="134"/>
      </rPr>
      <t xml:space="preserve">ステップ2：
</t>
    </r>
    <r>
      <rPr>
        <sz val="10"/>
        <color rgb="FF000000"/>
        <rFont val="メイリオ"/>
        <charset val="134"/>
      </rPr>
      <t xml:space="preserve">Không có row mới
</t>
    </r>
    <r>
      <rPr>
        <b/>
        <sz val="10"/>
        <color rgb="FF000000"/>
        <rFont val="メイリオ"/>
        <charset val="134"/>
      </rPr>
      <t xml:space="preserve">ステップ3：
</t>
    </r>
    <r>
      <rPr>
        <sz val="10"/>
        <color rgb="FF000000"/>
        <rFont val="メイリオ"/>
        <charset val="134"/>
      </rPr>
      <t xml:space="preserve">Không có log entry (cancel không được ghi log)
</t>
    </r>
    <r>
      <rPr>
        <b/>
        <sz val="10"/>
        <color rgb="FF000000"/>
        <rFont val="メイリオ"/>
        <charset val="134"/>
      </rPr>
      <t xml:space="preserve">補足：
</t>
    </r>
    <r>
      <rPr>
        <sz val="10"/>
        <color rgb="FF000000"/>
        <rFont val="メイリオ"/>
        <charset val="134"/>
      </rPr>
      <t xml:space="preserve">・Hủy không thay đổi DB, không ghi log
</t>
    </r>
    <r>
      <rPr>
        <sz val="10"/>
        <color rgb="FF000000"/>
        <rFont val="メイリオ"/>
        <charset val="134"/>
      </rPr>
      <t>・Khi có thay đổi chưa lưu thì hiện cảnh báo `beforeunload`</t>
    </r>
  </si>
  <si>
    <t>ACSMS-TC-005-045</t>
  </si>
  <si>
    <t>Trạng thái DB và log khi đăng ký mới thất bại (phòng commit không hợp lệ)</t>
  </si>
  <si>
    <t>・role: NICHINO_ADMIN
・Cấu hình mock cho INSERT log kiểm toán phía backend thất bại trong test environment</t>
  </si>
  <si>
    <r>
      <rPr>
        <b/>
        <sz val="10"/>
        <color rgb="FF000000"/>
        <rFont val="メイリオ"/>
        <charset val="134"/>
      </rPr>
      <t xml:space="preserve">ステップ1：
</t>
    </r>
    <r>
      <rPr>
        <sz val="10"/>
        <color rgb="FF000000"/>
        <rFont val="メイリオ"/>
        <charset val="134"/>
      </rPr>
      <t xml:space="preserve">Nhấn button đăng ký với input bình thường
</t>
    </r>
    <r>
      <rPr>
        <b/>
        <sz val="10"/>
        <color rgb="FF000000"/>
        <rFont val="メイリオ"/>
        <charset val="134"/>
      </rPr>
      <t xml:space="preserve">ステップ2：
</t>
    </r>
    <r>
      <rPr>
        <sz val="10"/>
        <color rgb="FF000000"/>
        <rFont val="メイリオ"/>
        <charset val="134"/>
      </rPr>
      <t xml:space="preserve">Kiểm tra `m_ja`
</t>
    </r>
    <r>
      <rPr>
        <b/>
        <sz val="10"/>
        <color rgb="FF000000"/>
        <rFont val="メイリオ"/>
        <charset val="134"/>
      </rPr>
      <t xml:space="preserve">ステップ3：
</t>
    </r>
    <r>
      <rPr>
        <sz val="10"/>
        <color rgb="FF000000"/>
        <rFont val="メイリオ"/>
        <charset val="134"/>
      </rPr>
      <t>Kiểm tra `t_log`</t>
    </r>
  </si>
  <si>
    <r>
      <rPr>
        <b/>
        <sz val="10"/>
        <color rgb="FF000000"/>
        <rFont val="メイリオ"/>
        <charset val="134"/>
      </rPr>
      <t xml:space="preserve">ステップ1：
</t>
    </r>
    <r>
      <rPr>
        <sz val="10"/>
        <color rgb="FF000000"/>
        <rFont val="メイリオ"/>
        <charset val="134"/>
      </rPr>
      <t xml:space="preserve">INSERT log kiểm toán sau main DML thất bại → transaction rollback
</t>
    </r>
    <r>
      <rPr>
        <b/>
        <sz val="10"/>
        <color rgb="FF000000"/>
        <rFont val="メイリオ"/>
        <charset val="134"/>
      </rPr>
      <t xml:space="preserve">ステップ2：
</t>
    </r>
    <r>
      <rPr>
        <sz val="10"/>
        <color rgb="FF000000"/>
        <rFont val="メイリオ"/>
        <charset val="134"/>
      </rPr>
      <t xml:space="preserve">Không có row mới (rollback hoàn tất)
</t>
    </r>
    <r>
      <rPr>
        <b/>
        <sz val="10"/>
        <color rgb="FF000000"/>
        <rFont val="メイリオ"/>
        <charset val="134"/>
      </rPr>
      <t xml:space="preserve">ステップ3：
</t>
    </r>
    <r>
      <rPr>
        <sz val="10"/>
        <color rgb="FF000000"/>
        <rFont val="メイリオ"/>
        <charset val="134"/>
      </rPr>
      <t xml:space="preserve">Không có log thành công, nhưng có log lỗi (catch ngoài, log_type=3)
</t>
    </r>
    <r>
      <rPr>
        <b/>
        <sz val="10"/>
        <color rgb="FF000000"/>
        <rFont val="メイリオ"/>
        <charset val="134"/>
      </rPr>
      <t xml:space="preserve">補足：
</t>
    </r>
    <r>
      <rPr>
        <sz val="10"/>
        <color rgb="FF000000"/>
        <rFont val="メイリオ"/>
        <charset val="134"/>
      </rPr>
      <t xml:space="preserve">・Log kiểm toán thất bại → 業務 ghi rollback duy trì tính toàn vẹn
</t>
    </r>
    <r>
      <rPr>
        <sz val="10"/>
        <color rgb="FF000000"/>
        <rFont val="メイリオ"/>
        <charset val="134"/>
      </rPr>
      <t>・Theo quy tắc `nestjs.md §I/O &amp; External Services / Transaction`</t>
    </r>
  </si>
  <si>
    <t>Test critical đảm bảo tính toàn vẹn giữa log kiểm toán và DB state.
---</t>
  </si>
  <si>
    <t>Logic nghiệp vụ — Cập nhật (Function — Edit)</t>
  </si>
  <si>
    <t>ACSMS-TC-005-046</t>
  </si>
  <si>
    <t>Màn hình chỉnh sửa — Hiển thị dữ liệu hiện có</t>
  </si>
  <si>
    <t>・role: JA_HONTEN (thuộc ja-001)
・Test data có sẵn: `ja_id=1, ja_code='1301001001', ja_name='JA東京中央'` thuộc ja-001</t>
  </si>
  <si>
    <r>
      <rPr>
        <b/>
        <sz val="10"/>
        <color rgb="FF000000"/>
        <rFont val="游ゴシック"/>
        <charset val="134"/>
      </rPr>
      <t xml:space="preserve">ステップ1：
</t>
    </r>
    <r>
      <rPr>
        <sz val="10"/>
        <color rgb="FF000000"/>
        <rFont val="游ゴシック"/>
        <charset val="134"/>
      </rPr>
      <t xml:space="preserve">Trên màn hình danh sách JA, click link「編集」của `1301001001`
</t>
    </r>
    <r>
      <rPr>
        <b/>
        <sz val="10"/>
        <color rgb="FF000000"/>
        <rFont val="游ゴシック"/>
        <charset val="134"/>
      </rPr>
      <t xml:space="preserve">ステップ2：
</t>
    </r>
    <r>
      <rPr>
        <sz val="10"/>
        <color rgb="FF000000"/>
        <rFont val="游ゴシック"/>
        <charset val="134"/>
      </rPr>
      <t>Kiểm tra giá trị ban đầu của từng field</t>
    </r>
  </si>
  <si>
    <r>
      <rPr>
        <b/>
        <sz val="10"/>
        <color rgb="FF000000"/>
        <rFont val="メイリオ"/>
        <charset val="134"/>
      </rPr>
      <t xml:space="preserve">ステップ1：
</t>
    </r>
    <r>
      <rPr>
        <sz val="10"/>
        <color rgb="FF000000"/>
        <rFont val="メイリオ"/>
        <charset val="134"/>
      </rPr>
      <t xml:space="preserve">Mở màn hình `/ja/1/edit`
</t>
    </r>
    <r>
      <rPr>
        <b/>
        <sz val="10"/>
        <color rgb="FF000000"/>
        <rFont val="メイリオ"/>
        <charset val="134"/>
      </rPr>
      <t xml:space="preserve">ステップ2：
</t>
    </r>
    <r>
      <rPr>
        <sz val="10"/>
        <color rgb="FF000000"/>
        <rFont val="メイリオ"/>
        <charset val="134"/>
      </rPr>
      <t xml:space="preserve">Khớp hoàn toàn với giá trị DB — JAコード / JA名 / JA名カナ / 都道府県 / 中央会フラグ / 金融機関コード / 金融機関名 / 郵便番号 / 住所 / 電話 / FAX / メール / 担当部署 / 担当者 / 税区分 / 備考 tất cả
</t>
    </r>
    <r>
      <rPr>
        <b/>
        <sz val="10"/>
        <color rgb="FF000000"/>
        <rFont val="メイリオ"/>
        <charset val="134"/>
      </rPr>
      <t xml:space="preserve">補足：
</t>
    </r>
    <r>
      <rPr>
        <sz val="10"/>
        <color rgb="FF000000"/>
        <rFont val="メイリオ"/>
        <charset val="134"/>
      </rPr>
      <t xml:space="preserve">・Giá trị DB hiển thị đúng trên form qua GET `/api/v1/ja/1`
</t>
    </r>
    <r>
      <rPr>
        <sz val="10"/>
        <color rgb="FF000000"/>
        <rFont val="メイリオ"/>
        <charset val="134"/>
      </rPr>
      <t xml:space="preserve">・Đối với JA_HONTEN, các mục ngoài đối tượng ※4 (JA名, JA名カナ, 都道府県, 中央会フラグ, 金融機関コード, 金融機関名) hiển thị read-only
</t>
    </r>
    <r>
      <rPr>
        <sz val="10"/>
        <color rgb="FF000000"/>
        <rFont val="メイリオ"/>
        <charset val="134"/>
      </rPr>
      <t>・JAコード read-only chung cho tất cả role</t>
    </r>
  </si>
  <si>
    <t>ACSMS-TC-005-047</t>
  </si>
  <si>
    <t>Màn hình chỉnh sửa — JAコード không thể thay đổi (read-only)</t>
  </si>
  <si>
    <t>・role: NICHINO_ADMIN
・Test data có sẵn: `ja_id=1, ja_code='1301001001'`
・Màn hình chỉnh sửa `/ja/1/edit` đang hiển thị</t>
  </si>
  <si>
    <r>
      <rPr>
        <b/>
        <sz val="10"/>
        <color rgb="FF000000"/>
        <rFont val="游ゴシック"/>
        <charset val="134"/>
      </rPr>
      <t xml:space="preserve">ステップ1：
</t>
    </r>
    <r>
      <rPr>
        <sz val="10"/>
        <color rgb="FF000000"/>
        <rFont val="游ゴシック"/>
        <charset val="134"/>
      </rPr>
      <t xml:space="preserve">Mắt thường xác nhận ô「JAコード」đang ở trạng thái disabled trên màn hình
</t>
    </r>
    <r>
      <rPr>
        <b/>
        <sz val="10"/>
        <color rgb="FF000000"/>
        <rFont val="游ゴシック"/>
        <charset val="134"/>
      </rPr>
      <t xml:space="preserve">ステップ2：
</t>
    </r>
    <r>
      <rPr>
        <sz val="10"/>
        <color rgb="FF000000"/>
        <rFont val="游ゴシック"/>
        <charset val="134"/>
      </rPr>
      <t xml:space="preserve">Kiểm tra attribute `disabled` và class `ant-input-disabled` của input element bằng DevTools
</t>
    </r>
    <r>
      <rPr>
        <b/>
        <sz val="10"/>
        <color rgb="FF000000"/>
        <rFont val="游ゴシック"/>
        <charset val="134"/>
      </rPr>
      <t xml:space="preserve">ステップ3：
</t>
    </r>
    <r>
      <rPr>
        <sz val="10"/>
        <color rgb="FF000000"/>
        <rFont val="游ゴシック"/>
        <charset val="134"/>
      </rPr>
      <t xml:space="preserve">Trên DevTools Console, chạy `fetch('/api/v1/ja/1', { method: 'PUT', body: JSON.stringify({ ja_code: 'HACK999999', ja_name: 'JA東京中央', todofuken_code: '13', chuokai_flg: true, bank_code: '1234', bank_name: '農林中央金庫', zei_kubun: '1' }), headers: { 'Content-Type': 'application/json' }, credentials: 'include' })`
</t>
    </r>
    <r>
      <rPr>
        <b/>
        <sz val="10"/>
        <color rgb="FF000000"/>
        <rFont val="游ゴシック"/>
        <charset val="134"/>
      </rPr>
      <t xml:space="preserve">ステップ4：
</t>
    </r>
    <r>
      <rPr>
        <sz val="10"/>
        <color rgb="FF000000"/>
        <rFont val="游ゴシック"/>
        <charset val="134"/>
      </rPr>
      <t>Kiểm tra DB: `SELECT ja_code FROM m_ja WHERE ja_id=1`</t>
    </r>
  </si>
  <si>
    <r>
      <rPr>
        <b/>
        <sz val="10"/>
        <color rgb="FF000000"/>
        <rFont val="メイリオ"/>
        <charset val="134"/>
      </rPr>
      <t xml:space="preserve">ステップ1：
</t>
    </r>
    <r>
      <rPr>
        <sz val="10"/>
        <color rgb="FF000000"/>
        <rFont val="メイリオ"/>
        <charset val="134"/>
      </rPr>
      <t xml:space="preserve">Ô JAコード hiển thị ở trạng thái disabled, user không thể chỉnh sửa
</t>
    </r>
    <r>
      <rPr>
        <b/>
        <sz val="10"/>
        <color rgb="FF000000"/>
        <rFont val="メイリオ"/>
        <charset val="134"/>
      </rPr>
      <t xml:space="preserve">ステップ2：
</t>
    </r>
    <r>
      <rPr>
        <sz val="10"/>
        <color rgb="FF000000"/>
        <rFont val="メイリオ"/>
        <charset val="134"/>
      </rPr>
      <t xml:space="preserve">Có attribute `disabled`, class `ant-input-disabled` đã được áp dụng
</t>
    </r>
    <r>
      <rPr>
        <b/>
        <sz val="10"/>
        <color rgb="FF000000"/>
        <rFont val="メイリオ"/>
        <charset val="134"/>
      </rPr>
      <t xml:space="preserve">ステップ3：
</t>
    </r>
    <r>
      <rPr>
        <sz val="10"/>
        <color rgb="FF000000"/>
        <rFont val="メイリオ"/>
        <charset val="134"/>
      </rPr>
      <t xml:space="preserve">HTTP status code: 200 (cập nhật bản thân thành công)
</t>
    </r>
    <r>
      <rPr>
        <b/>
        <sz val="10"/>
        <color rgb="FF000000"/>
        <rFont val="メイリオ"/>
        <charset val="134"/>
      </rPr>
      <t xml:space="preserve">ステップ4：
</t>
    </r>
    <r>
      <rPr>
        <sz val="10"/>
        <color rgb="FF000000"/>
        <rFont val="メイリオ"/>
        <charset val="134"/>
      </rPr>
      <t xml:space="preserve">Column `ja_code` vẫn là `1301001001` (theo allow-list field-level Layer 3 phía backend, thay đổi `ja_code` bị silent drop)
</t>
    </r>
    <r>
      <rPr>
        <b/>
        <sz val="10"/>
        <color rgb="FF000000"/>
        <rFont val="メイリオ"/>
        <charset val="134"/>
      </rPr>
      <t xml:space="preserve">補足：
</t>
    </r>
    <r>
      <rPr>
        <sz val="10"/>
        <color rgb="FF000000"/>
        <rFont val="メイリオ"/>
        <charset val="134"/>
      </rPr>
      <t xml:space="preserve">・api.md「`ja_code` không thể cập nhật (không thể thay đổi sau khi tạo)」+ allow-list field security.md Layer 3, phòng thủ 2 lớp
</t>
    </r>
    <r>
      <rPr>
        <sz val="10"/>
        <color rgb="FF000000"/>
        <rFont val="メイリオ"/>
        <charset val="134"/>
      </rPr>
      <t xml:space="preserve">・`:disabled` phía FE chỉ là UX, ranh giới security thực tế là allow-list phía backend
</t>
    </r>
    <r>
      <rPr>
        <sz val="10"/>
        <color rgb="FF000000"/>
        <rFont val="メイリオ"/>
        <charset val="134"/>
      </rPr>
      <t>・Mục khác (JA名 v.v.) cập nhật bình thường</t>
    </r>
  </si>
  <si>
    <t>ACSMS-TC-005-048</t>
  </si>
  <si>
    <t>Chỉnh sửa — NICHINO_ADMIN cập nhật toàn bộ mục thành công</t>
  </si>
  <si>
    <t>・role: NICHINO_ADMIN
・Test data có sẵn: `ja_id=1` ở state có thể chỉnh sửa
・Input chỉnh sửa: JA名=JA東京中央（改定）, 住所=東京都千代田区丸の内2-2-2, 税区分=2</t>
  </si>
  <si>
    <r>
      <rPr>
        <b/>
        <sz val="10"/>
        <color rgb="FF000000"/>
        <rFont val="游ゴシック"/>
        <charset val="134"/>
      </rPr>
      <t xml:space="preserve">ステップ1：
</t>
    </r>
    <r>
      <rPr>
        <sz val="10"/>
        <color rgb="FF000000"/>
        <rFont val="游ゴシック"/>
        <charset val="134"/>
      </rPr>
      <t xml:space="preserve">Thay đổi giá trị trên màn hình chỉnh sửa → nhấn button cập nhật
</t>
    </r>
    <r>
      <rPr>
        <b/>
        <sz val="10"/>
        <color rgb="FF000000"/>
        <rFont val="游ゴシック"/>
        <charset val="134"/>
      </rPr>
      <t xml:space="preserve">ステップ2：
</t>
    </r>
    <r>
      <rPr>
        <sz val="10"/>
        <color rgb="FF000000"/>
        <rFont val="游ゴシック"/>
        <charset val="134"/>
      </rPr>
      <t xml:space="preserve">Kiểm tra DB
</t>
    </r>
    <r>
      <rPr>
        <b/>
        <sz val="10"/>
        <color rgb="FF000000"/>
        <rFont val="游ゴシック"/>
        <charset val="134"/>
      </rPr>
      <t xml:space="preserve">ステップ3：
</t>
    </r>
    <r>
      <rPr>
        <sz val="10"/>
        <color rgb="FF000000"/>
        <rFont val="游ゴシック"/>
        <charset val="134"/>
      </rPr>
      <t>Kiểm tra log kiểm toán: `SELECT * FROM t_log WHERE target_id = 1 AND operation = 'UPDATE' ORDER BY log_datetime DESC LIMIT 1`</t>
    </r>
  </si>
  <si>
    <r>
      <rPr>
        <b/>
        <sz val="10"/>
        <color rgb="FF000000"/>
        <rFont val="メイリオ"/>
        <charset val="134"/>
      </rPr>
      <t xml:space="preserve">ステップ1：
</t>
    </r>
    <r>
      <rPr>
        <sz val="10"/>
        <color rgb="FF000000"/>
        <rFont val="メイリオ"/>
        <charset val="134"/>
      </rPr>
      <t xml:space="preserve">HTTP status code: 200
</t>
    </r>
    <r>
      <rPr>
        <sz val="10"/>
        <color rgb="FF000000"/>
        <rFont val="メイリオ"/>
        <charset val="134"/>
      </rPr>
      <t xml:space="preserve">message:「更新しました。」
</t>
    </r>
    <r>
      <rPr>
        <sz val="10"/>
        <color rgb="FF000000"/>
        <rFont val="メイリオ"/>
        <charset val="134"/>
      </rPr>
      <t xml:space="preserve">Toast「更新しました。」hiển thị
</t>
    </r>
    <r>
      <rPr>
        <sz val="10"/>
        <color rgb="FF000000"/>
        <rFont val="メイリオ"/>
        <charset val="134"/>
      </rPr>
      <t xml:space="preserve">Redirect về màn hình danh sách `/ja`
</t>
    </r>
    <r>
      <rPr>
        <b/>
        <sz val="10"/>
        <color rgb="FF000000"/>
        <rFont val="メイリオ"/>
        <charset val="134"/>
      </rPr>
      <t xml:space="preserve">ステップ2：
</t>
    </r>
    <r>
      <rPr>
        <sz val="10"/>
        <color rgb="FF000000"/>
        <rFont val="メイリオ"/>
        <charset val="134"/>
      </rPr>
      <t xml:space="preserve">`m_ja.ja_name = 'JA東京中央（改定）'`, `address = '東京都千代田区丸の内2-2-2'`, `zei_kubun = '2'`, `updated_at` là thời điểm hiện tại
</t>
    </r>
    <r>
      <rPr>
        <b/>
        <sz val="10"/>
        <color rgb="FF000000"/>
        <rFont val="メイリオ"/>
        <charset val="134"/>
      </rPr>
      <t xml:space="preserve">ステップ3：
</t>
    </r>
    <r>
      <rPr>
        <sz val="10"/>
        <color rgb="FF000000"/>
        <rFont val="メイリオ"/>
        <charset val="134"/>
      </rPr>
      <t xml:space="preserve">1 row, log_type=1, operation='UPDATE', result_status=1, JSON `before_value` chứa giá trị cũ, JSON `after_value` chứa giá trị mới
</t>
    </r>
    <r>
      <rPr>
        <b/>
        <sz val="10"/>
        <color rgb="FF000000"/>
        <rFont val="メイリオ"/>
        <charset val="134"/>
      </rPr>
      <t xml:space="preserve">補足：
</t>
    </r>
    <r>
      <rPr>
        <sz val="10"/>
        <color rgb="FF000000"/>
        <rFont val="メイリオ"/>
        <charset val="134"/>
      </rPr>
      <t xml:space="preserve">・Cập nhật DB thành công, `updated_at` tự động cập nhật
</t>
    </r>
    <r>
      <rPr>
        <sz val="10"/>
        <color rgb="FF000000"/>
        <rFont val="メイリオ"/>
        <charset val="134"/>
      </rPr>
      <t xml:space="preserve">・So sánh hoàn chỉnh trước-sau cập nhật bằng log kiểm toán
</t>
    </r>
    <r>
      <rPr>
        <sz val="10"/>
        <color rgb="FF000000"/>
        <rFont val="メイリオ"/>
        <charset val="134"/>
      </rPr>
      <t>・Main DML + log kiểm toán commit trong cùng 1 transaction</t>
    </r>
  </si>
  <si>
    <t>ACSMS-TC-005-049</t>
  </si>
  <si>
    <t>Chỉnh sửa — CHUOKAI cập nhật mục một phần thành công (chỉ đối tượng ※4)</t>
  </si>
  <si>
    <t>・role: CHUOKAI (JA thuộc phạm vi quản lý: ja-001)
・Test data có sẵn: `ja_id=1` thuộc phạm vi quản lý, ở state có thể chỉnh sửa
・Input chỉnh sửa: 郵便番号=1000002, 住所=東京都千代田区丸の内3-3-3, 電話=0322334455</t>
  </si>
  <si>
    <r>
      <rPr>
        <b/>
        <sz val="10"/>
        <color rgb="FF000000"/>
        <rFont val="メイリオ"/>
        <charset val="134"/>
      </rPr>
      <t xml:space="preserve">ステップ1：
</t>
    </r>
    <r>
      <rPr>
        <sz val="10"/>
        <color rgb="FF000000"/>
        <rFont val="メイリオ"/>
        <charset val="134"/>
      </rPr>
      <t xml:space="preserve">Chỉ thay đổi giá trị các mục đối tượng ※4 trên màn hình chỉnh sửa → nhấn button cập nhật
</t>
    </r>
    <r>
      <rPr>
        <b/>
        <sz val="10"/>
        <color rgb="FF000000"/>
        <rFont val="メイリオ"/>
        <charset val="134"/>
      </rPr>
      <t xml:space="preserve">ステップ2：
</t>
    </r>
    <r>
      <rPr>
        <sz val="10"/>
        <color rgb="FF000000"/>
        <rFont val="メイリオ"/>
        <charset val="134"/>
      </rPr>
      <t xml:space="preserve">Kiểm tra DB
</t>
    </r>
    <r>
      <rPr>
        <b/>
        <sz val="10"/>
        <color rgb="FF000000"/>
        <rFont val="メイリオ"/>
        <charset val="134"/>
      </rPr>
      <t xml:space="preserve">ステップ3：
</t>
    </r>
    <r>
      <rPr>
        <sz val="10"/>
        <color rgb="FF000000"/>
        <rFont val="メイリオ"/>
        <charset val="134"/>
      </rPr>
      <t>Kiểm tra log kiểm toán</t>
    </r>
  </si>
  <si>
    <r>
      <rPr>
        <b/>
        <sz val="10"/>
        <color rgb="FF000000"/>
        <rFont val="メイリオ"/>
        <charset val="134"/>
      </rPr>
      <t xml:space="preserve">ステップ1：
</t>
    </r>
    <r>
      <rPr>
        <sz val="10"/>
        <color rgb="FF000000"/>
        <rFont val="メイリオ"/>
        <charset val="134"/>
      </rPr>
      <t xml:space="preserve">HTTP status code: 200
</t>
    </r>
    <r>
      <rPr>
        <sz val="10"/>
        <color rgb="FF000000"/>
        <rFont val="メイリオ"/>
        <charset val="134"/>
      </rPr>
      <t xml:space="preserve">Toast「更新しました。」hiển thị
</t>
    </r>
    <r>
      <rPr>
        <sz val="10"/>
        <color rgb="FF000000"/>
        <rFont val="メイリオ"/>
        <charset val="134"/>
      </rPr>
      <t xml:space="preserve">Redirect về màn hình danh sách `/ja`
</t>
    </r>
    <r>
      <rPr>
        <b/>
        <sz val="10"/>
        <color rgb="FF000000"/>
        <rFont val="メイリオ"/>
        <charset val="134"/>
      </rPr>
      <t xml:space="preserve">ステップ2：
</t>
    </r>
    <r>
      <rPr>
        <sz val="10"/>
        <color rgb="FF000000"/>
        <rFont val="メイリオ"/>
        <charset val="134"/>
      </rPr>
      <t xml:space="preserve">Chỉ các mục đối tượng ※4 (郵便番号, 住所, 電話) được cập nhật, các mục khác (JA名, JA名カナ, 都道府県, 中央会フラグ, 金融機関コード, 金融機関名) không thay đổi
</t>
    </r>
    <r>
      <rPr>
        <b/>
        <sz val="10"/>
        <color rgb="FF000000"/>
        <rFont val="メイリオ"/>
        <charset val="134"/>
      </rPr>
      <t xml:space="preserve">ステップ3：
</t>
    </r>
    <r>
      <rPr>
        <sz val="10"/>
        <color rgb="FF000000"/>
        <rFont val="メイリオ"/>
        <charset val="134"/>
      </rPr>
      <t xml:space="preserve">1 row, operation='UPDATE', result_status=1, `before_value` / `after_value` chỉ ghi diff các mục đã thay đổi
</t>
    </r>
    <r>
      <rPr>
        <b/>
        <sz val="10"/>
        <color rgb="FF000000"/>
        <rFont val="メイリオ"/>
        <charset val="134"/>
      </rPr>
      <t xml:space="preserve">補足：
</t>
    </r>
    <r>
      <rPr>
        <sz val="10"/>
        <color rgb="FF000000"/>
        <rFont val="メイリオ"/>
        <charset val="134"/>
      </rPr>
      <t xml:space="preserve">・Mục có thể cập nhật của CHUOKAI / JA_HONTEN: 郵便番号, 住所, 電話, FAX, メール, 担当部署, 担当者, 税区分, 備考 (※4)
</t>
    </r>
    <r>
      <rPr>
        <sz val="10"/>
        <color rgb="FF000000"/>
        <rFont val="メイリオ"/>
        <charset val="134"/>
      </rPr>
      <t>・Các mục ngoài đối tượng ※4 bị silent drop phía backend</t>
    </r>
  </si>
  <si>
    <t>ACSMS-TC-005-050</t>
  </si>
  <si>
    <t>Chỉnh sửa — Field-level restriction khi CHUOKAI cập nhật bao gồm mục bị hạn chế</t>
  </si>
  <si>
    <t>・role: CHUOKAI (JA thuộc phạm vi quản lý: ja-001)
・Test data có sẵn: `ja_id=1, ja_name='JA東京中央', bank_code='1234'` thuộc phạm vi quản lý</t>
  </si>
  <si>
    <r>
      <rPr>
        <b/>
        <sz val="10"/>
        <color rgb="FF000000"/>
        <rFont val="游ゴシック"/>
        <charset val="134"/>
      </rPr>
      <t xml:space="preserve">ステップ1：
</t>
    </r>
    <r>
      <rPr>
        <sz val="10"/>
        <color rgb="FF000000"/>
        <rFont val="游ゴシック"/>
        <charset val="134"/>
      </rPr>
      <t xml:space="preserve">Mắt thường xác nhận các ô JA名 / JA名カナ / 都道府県 / 中央会フラグ / 金融機関コード / 金融機関名 đang ở trạng thái disabled trên màn hình
</t>
    </r>
    <r>
      <rPr>
        <b/>
        <sz val="10"/>
        <color rgb="FF000000"/>
        <rFont val="游ゴシック"/>
        <charset val="134"/>
      </rPr>
      <t xml:space="preserve">ステップ2：
</t>
    </r>
    <r>
      <rPr>
        <sz val="10"/>
        <color rgb="FF000000"/>
        <rFont val="游ゴシック"/>
        <charset val="134"/>
      </rPr>
      <t xml:space="preserve">Trên DevTools Console, chạy `fetch('/api/v1/ja/1', { method: 'PUT', body: JSON.stringify({ ja_name: 'HACK名前', bank_code: '9999', address: '正しい住所', zei_kubun: '1' }), headers: { 'Content-Type': 'application/json' }, credentials: 'include' })`
</t>
    </r>
    <r>
      <rPr>
        <b/>
        <sz val="10"/>
        <color rgb="FF000000"/>
        <rFont val="游ゴシック"/>
        <charset val="134"/>
      </rPr>
      <t xml:space="preserve">ステップ3：
</t>
    </r>
    <r>
      <rPr>
        <sz val="10"/>
        <color rgb="FF000000"/>
        <rFont val="游ゴシック"/>
        <charset val="134"/>
      </rPr>
      <t>Kiểm tra DB: `SELECT ja_name, bank_code, address FROM m_ja WHERE ja_id=1`</t>
    </r>
  </si>
  <si>
    <r>
      <rPr>
        <b/>
        <sz val="10"/>
        <color rgb="FF000000"/>
        <rFont val="メイリオ"/>
        <charset val="134"/>
      </rPr>
      <t xml:space="preserve">ステップ1：
</t>
    </r>
    <r>
      <rPr>
        <sz val="10"/>
        <color rgb="FF000000"/>
        <rFont val="メイリオ"/>
        <charset val="134"/>
      </rPr>
      <t xml:space="preserve">Toàn bộ mục ngoài đối tượng ※4 có attribute `disabled`, class `ant-input-disabled` đã được áp dụng
</t>
    </r>
    <r>
      <rPr>
        <b/>
        <sz val="10"/>
        <color rgb="FF000000"/>
        <rFont val="メイリオ"/>
        <charset val="134"/>
      </rPr>
      <t xml:space="preserve">ステップ2：
</t>
    </r>
    <r>
      <rPr>
        <sz val="10"/>
        <color rgb="FF000000"/>
        <rFont val="メイリオ"/>
        <charset val="134"/>
      </rPr>
      <t xml:space="preserve">HTTP status code: 200 (cập nhật bản thân thành công)
</t>
    </r>
    <r>
      <rPr>
        <b/>
        <sz val="10"/>
        <color rgb="FF000000"/>
        <rFont val="メイリオ"/>
        <charset val="134"/>
      </rPr>
      <t xml:space="preserve">ステップ3：
</t>
    </r>
    <r>
      <rPr>
        <sz val="10"/>
        <color rgb="FF000000"/>
        <rFont val="メイリオ"/>
        <charset val="134"/>
      </rPr>
      <t xml:space="preserve">`ja_name = 'JA東京中央'` (không thay đổi), `bank_code = '1234'` (không thay đổi), `address = '正しい住所'` (được thay đổi)
</t>
    </r>
    <r>
      <rPr>
        <b/>
        <sz val="10"/>
        <color rgb="FF000000"/>
        <rFont val="メイリオ"/>
        <charset val="134"/>
      </rPr>
      <t xml:space="preserve">補足：
</t>
    </r>
    <r>
      <rPr>
        <sz val="10"/>
        <color rgb="FF000000"/>
        <rFont val="メイリオ"/>
        <charset val="134"/>
      </rPr>
      <t xml:space="preserve">・security.md Layer 3 — allow-list field: CHUOKAI / JA_HONTEN chỉ cập nhật được yubin_no, address, tel, fax, email, tanto_busho, tanto_name, zei_kubun, biko
</t>
    </r>
    <r>
      <rPr>
        <sz val="10"/>
        <color rgb="FF000000"/>
        <rFont val="メイリオ"/>
        <charset val="134"/>
      </rPr>
      <t xml:space="preserve">・Các mục ngoài đối tượng ※4 bị `filterAllowedFields` phía backend silent drop
</t>
    </r>
    <r>
      <rPr>
        <sz val="10"/>
        <color rgb="FF000000"/>
        <rFont val="メイリオ"/>
        <charset val="134"/>
      </rPr>
      <t>・`:disabled` của FE chỉ là UX, ranh giới security thực tế là allow-list phía backend</t>
    </r>
  </si>
  <si>
    <t>Critical về security — Nếu field-level restriction không hoạt động sẽ thành bug leo thang quyền.</t>
  </si>
  <si>
    <t>ACSMS-TC-005-051</t>
  </si>
  <si>
    <t>Chỉnh sửa — JA_HONTEN cập nhật mục một phần thành công</t>
  </si>
  <si>
    <t>・role: JA_HONTEN (JA của mình: ja-001)
・Test data có sẵn: `ja_id=1` JA của mình, ở state có thể chỉnh sửa
・Input chỉnh sửa: メール=info-new@example.jp, 担当部署=営業部, 担当者=鈴木花子</t>
  </si>
  <si>
    <r>
      <rPr>
        <b/>
        <sz val="10"/>
        <color rgb="FF000000"/>
        <rFont val="メイリオ"/>
        <charset val="134"/>
      </rPr>
      <t xml:space="preserve">ステップ1：
</t>
    </r>
    <r>
      <rPr>
        <sz val="10"/>
        <color rgb="FF000000"/>
        <rFont val="メイリオ"/>
        <charset val="134"/>
      </rPr>
      <t xml:space="preserve">HTTP status code: 200
</t>
    </r>
    <r>
      <rPr>
        <sz val="10"/>
        <color rgb="FF000000"/>
        <rFont val="メイリオ"/>
        <charset val="134"/>
      </rPr>
      <t xml:space="preserve">Toast「更新しました。」hiển thị
</t>
    </r>
    <r>
      <rPr>
        <sz val="10"/>
        <color rgb="FF000000"/>
        <rFont val="メイリオ"/>
        <charset val="134"/>
      </rPr>
      <t xml:space="preserve">Redirect về màn hình danh sách `/ja`
</t>
    </r>
    <r>
      <rPr>
        <b/>
        <sz val="10"/>
        <color rgb="FF000000"/>
        <rFont val="メイリオ"/>
        <charset val="134"/>
      </rPr>
      <t xml:space="preserve">ステップ2：
</t>
    </r>
    <r>
      <rPr>
        <sz val="10"/>
        <color rgb="FF000000"/>
        <rFont val="メイリオ"/>
        <charset val="134"/>
      </rPr>
      <t xml:space="preserve">Chỉ các mục đối tượng ※4 (メール, 担当部署, 担当者) được cập nhật, các mục khác không thay đổi
</t>
    </r>
    <r>
      <rPr>
        <b/>
        <sz val="10"/>
        <color rgb="FF000000"/>
        <rFont val="メイリオ"/>
        <charset val="134"/>
      </rPr>
      <t xml:space="preserve">ステップ3：
</t>
    </r>
    <r>
      <rPr>
        <sz val="10"/>
        <color rgb="FF000000"/>
        <rFont val="メイリオ"/>
        <charset val="134"/>
      </rPr>
      <t xml:space="preserve">1 row, operation='UPDATE', result_status=1, ghi với `ja_id=1`
</t>
    </r>
    <r>
      <rPr>
        <b/>
        <sz val="10"/>
        <color rgb="FF000000"/>
        <rFont val="メイリオ"/>
        <charset val="134"/>
      </rPr>
      <t xml:space="preserve">補足：
</t>
    </r>
    <r>
      <rPr>
        <sz val="10"/>
        <color rgb="FF000000"/>
        <rFont val="メイリオ"/>
        <charset val="134"/>
      </rPr>
      <t xml:space="preserve">・JA_HONTEN chỉ thao tác được JA của mình, hạn chế ※4 giống CHUOKAI
</t>
    </r>
    <r>
      <rPr>
        <sz val="10"/>
        <color rgb="FF000000"/>
        <rFont val="メイリオ"/>
        <charset val="134"/>
      </rPr>
      <t>・updated_at là thời điểm hiện tại, `updated_by` là account_id của test account</t>
    </r>
  </si>
  <si>
    <t>ACSMS-TC-005-052</t>
  </si>
  <si>
    <t>Chỉnh sửa — Xử lý xung đột khi chỉnh sửa đồng thời (楽観ロック)</t>
  </si>
  <si>
    <t>・Test data có sẵn: `ja_id=1` tồn tại
・User A: ở browser A đang nhập trên `/ja/1/edit`
・User B: ở browser B chỉnh sửa cùng record, lưu trước</t>
  </si>
  <si>
    <r>
      <rPr>
        <b/>
        <sz val="10"/>
        <color rgb="FF000000"/>
        <rFont val="メイリオ"/>
        <charset val="134"/>
      </rPr>
      <t xml:space="preserve">ステップ1：
</t>
    </r>
    <r>
      <rPr>
        <sz val="10"/>
        <color rgb="FF000000"/>
        <rFont val="メイリオ"/>
        <charset val="134"/>
      </rPr>
      <t xml:space="preserve">User B nhấn button cập nhật trước với giá trị hợp lệ → thành công
</t>
    </r>
    <r>
      <rPr>
        <b/>
        <sz val="10"/>
        <color rgb="FF000000"/>
        <rFont val="メイリオ"/>
        <charset val="134"/>
      </rPr>
      <t xml:space="preserve">ステップ2：
</t>
    </r>
    <r>
      <rPr>
        <sz val="10"/>
        <color rgb="FF000000"/>
        <rFont val="メイリオ"/>
        <charset val="134"/>
      </rPr>
      <t xml:space="preserve">User A nhấn button cập nhật (với `updated_at` cũ)
</t>
    </r>
    <r>
      <rPr>
        <b/>
        <sz val="10"/>
        <color rgb="FF000000"/>
        <rFont val="メイリオ"/>
        <charset val="134"/>
      </rPr>
      <t xml:space="preserve">ステップ3：
</t>
    </r>
    <r>
      <rPr>
        <sz val="10"/>
        <color rgb="FF000000"/>
        <rFont val="メイリオ"/>
        <charset val="134"/>
      </rPr>
      <t>Reload màn hình User A</t>
    </r>
  </si>
  <si>
    <r>
      <rPr>
        <b/>
        <sz val="10"/>
        <color rgb="FF000000"/>
        <rFont val="メイリオ"/>
        <charset val="134"/>
      </rPr>
      <t xml:space="preserve">ステップ1：
</t>
    </r>
    <r>
      <rPr>
        <sz val="10"/>
        <color rgb="FF000000"/>
        <rFont val="メイリオ"/>
        <charset val="134"/>
      </rPr>
      <t xml:space="preserve">DB `updated_at` được cập nhật, thay đổi của User B được phản ánh
</t>
    </r>
    <r>
      <rPr>
        <b/>
        <sz val="10"/>
        <color rgb="FF000000"/>
        <rFont val="メイリオ"/>
        <charset val="134"/>
      </rPr>
      <t xml:space="preserve">ステップ2：
</t>
    </r>
    <r>
      <rPr>
        <sz val="10"/>
        <color rgb="FF000000"/>
        <rFont val="メイリオ"/>
        <charset val="134"/>
      </rPr>
      <t xml:space="preserve">Phát hiện xung đột, trả về HTTP 409, gửi bị chặn (`error_code` là lỗi xung đột 楽観ロック: spec chưa định nghĩa / TBD)
</t>
    </r>
    <r>
      <rPr>
        <b/>
        <sz val="10"/>
        <color rgb="FF000000"/>
        <rFont val="メイリオ"/>
        <charset val="134"/>
      </rPr>
      <t xml:space="preserve">ステップ3：
</t>
    </r>
    <r>
      <rPr>
        <sz val="10"/>
        <color rgb="FF000000"/>
        <rFont val="メイリオ"/>
        <charset val="134"/>
      </rPr>
      <t xml:space="preserve">Nội dung cập nhật của User B được phản ánh, có thể chỉnh sửa lại
</t>
    </r>
    <r>
      <rPr>
        <b/>
        <sz val="10"/>
        <color rgb="FF000000"/>
        <rFont val="メイリオ"/>
        <charset val="134"/>
      </rPr>
      <t xml:space="preserve">補足：
</t>
    </r>
    <r>
      <rPr>
        <sz val="10"/>
        <color rgb="FF000000"/>
        <rFont val="メイリオ"/>
        <charset val="134"/>
      </rPr>
      <t xml:space="preserve">・楽観ロック phòng chống 更新ロスト
</t>
    </r>
    <r>
      <rPr>
        <sz val="10"/>
        <color rgb="FF000000"/>
        <rFont val="メイリオ"/>
        <charset val="134"/>
      </rPr>
      <t>・TBD: error_code và toast literal khi xung đột 楽観ロック chưa được định nghĩa trong api.md / screen-design.md. Cập nhật sau khi spec được xác định.</t>
    </r>
  </si>
  <si>
    <t>Phòng chống 更新ロスト — JA Master là parent record của 購読者・販売店 v.v., ảnh hưởng nghiêm trọng đến tính toàn vẹn data.</t>
  </si>
  <si>
    <t>ACSMS-TC-005-053</t>
  </si>
  <si>
    <t>Chỉnh sửa — Xử lý lỗi system / network</t>
  </si>
  <si>
    <t>・role: NICHINO_ADMIN
・Màn hình chỉnh sửa, đã nhập giá trị hợp lệ</t>
  </si>
  <si>
    <r>
      <rPr>
        <b/>
        <sz val="10"/>
        <color rgb="FF000000"/>
        <rFont val="メイリオ"/>
        <charset val="134"/>
      </rPr>
      <t xml:space="preserve">ステップ1：
</t>
    </r>
    <r>
      <rPr>
        <sz val="10"/>
        <color rgb="FF000000"/>
        <rFont val="メイリオ"/>
        <charset val="134"/>
      </rPr>
      <t xml:space="preserve">Trigger lỗi 500 phía backend → nhấn button cập nhật
</t>
    </r>
    <r>
      <rPr>
        <b/>
        <sz val="10"/>
        <color rgb="FF000000"/>
        <rFont val="メイリオ"/>
        <charset val="134"/>
      </rPr>
      <t xml:space="preserve">ステップ2：
</t>
    </r>
    <r>
      <rPr>
        <sz val="10"/>
        <color rgb="FF000000"/>
        <rFont val="メイリオ"/>
        <charset val="134"/>
      </rPr>
      <t xml:space="preserve">Mất kết nối mạng → nhấn button cập nhật
</t>
    </r>
    <r>
      <rPr>
        <b/>
        <sz val="10"/>
        <color rgb="FF000000"/>
        <rFont val="メイリオ"/>
        <charset val="134"/>
      </rPr>
      <t xml:space="preserve">ステップ3：
</t>
    </r>
    <r>
      <rPr>
        <sz val="10"/>
        <color rgb="FF000000"/>
        <rFont val="メイリオ"/>
        <charset val="134"/>
      </rPr>
      <t>Kiểm tra DB từng case</t>
    </r>
  </si>
  <si>
    <r>
      <rPr>
        <b/>
        <sz val="10"/>
        <color rgb="FF000000"/>
        <rFont val="メイリオ"/>
        <charset val="134"/>
      </rPr>
      <t xml:space="preserve">ステップ1：
</t>
    </r>
    <r>
      <rPr>
        <sz val="10"/>
        <color rgb="FF000000"/>
        <rFont val="メイリオ"/>
        <charset val="134"/>
      </rPr>
      <t xml:space="preserve">Toast「システムエラーが発生しました。しばらくしてから再度お試しください。」hiển thị
</t>
    </r>
    <r>
      <rPr>
        <sz val="10"/>
        <color rgb="FF000000"/>
        <rFont val="メイリオ"/>
        <charset val="134"/>
      </rPr>
      <t xml:space="preserve">Vẫn ở màn hình chỉnh sửa, giữ nguyên giá trị input
</t>
    </r>
    <r>
      <rPr>
        <b/>
        <sz val="10"/>
        <color rgb="FF000000"/>
        <rFont val="メイリオ"/>
        <charset val="134"/>
      </rPr>
      <t xml:space="preserve">ステップ2：
</t>
    </r>
    <r>
      <rPr>
        <sz val="10"/>
        <color rgb="FF000000"/>
        <rFont val="メイリオ"/>
        <charset val="134"/>
      </rPr>
      <t xml:space="preserve">Toast「ネットワークエラーが発生しました。接続をご確認ください。」hiển thị
</t>
    </r>
    <r>
      <rPr>
        <sz val="10"/>
        <color rgb="FF000000"/>
        <rFont val="メイリオ"/>
        <charset val="134"/>
      </rPr>
      <t xml:space="preserve">Giữ nguyên giá trị input
</t>
    </r>
    <r>
      <rPr>
        <b/>
        <sz val="10"/>
        <color rgb="FF000000"/>
        <rFont val="メイリオ"/>
        <charset val="134"/>
      </rPr>
      <t xml:space="preserve">ステップ3：
</t>
    </r>
    <r>
      <rPr>
        <sz val="10"/>
        <color rgb="FF000000"/>
        <rFont val="メイリオ"/>
        <charset val="134"/>
      </rPr>
      <t xml:space="preserve">Không được cập nhật, duy trì tính toàn vẹn
</t>
    </r>
    <r>
      <rPr>
        <b/>
        <sz val="10"/>
        <color rgb="FF000000"/>
        <rFont val="メイリオ"/>
        <charset val="134"/>
      </rPr>
      <t xml:space="preserve">補足：
</t>
    </r>
    <r>
      <rPr>
        <sz val="10"/>
        <color rgb="FF000000"/>
        <rFont val="メイリオ"/>
        <charset val="134"/>
      </rPr>
      <t xml:space="preserve">・Cả 2 case lỗi đều duy trì tính toàn vẹn data
</t>
    </r>
    <r>
      <rPr>
        <sz val="10"/>
        <color rgb="FF000000"/>
        <rFont val="メイリオ"/>
        <charset val="134"/>
      </rPr>
      <t>・Log lỗi (log_type=3) được ghi</t>
    </r>
  </si>
  <si>
    <t>ACSMS-TC-005-054</t>
  </si>
  <si>
    <t>Chỉnh sửa — Hủy bằng button quay lại</t>
  </si>
  <si>
    <t>・role: NICHINO_ADMIN
・Màn hình chỉnh sửa, đã thay đổi input</t>
  </si>
  <si>
    <r>
      <rPr>
        <b/>
        <sz val="10"/>
        <color rgb="FF000000"/>
        <rFont val="メイリオ"/>
        <charset val="134"/>
      </rPr>
      <t xml:space="preserve">ステップ1：
</t>
    </r>
    <r>
      <rPr>
        <sz val="10"/>
        <color rgb="FF000000"/>
        <rFont val="メイリオ"/>
        <charset val="134"/>
      </rPr>
      <t xml:space="preserve">Khi có thay đổi chưa lưu, hiển thị dialog cảnh báo
</t>
    </r>
    <r>
      <rPr>
        <sz val="10"/>
        <color rgb="FF000000"/>
        <rFont val="メイリオ"/>
        <charset val="134"/>
      </rPr>
      <t xml:space="preserve">Chọn「離れる」→ chuyển về màn hình danh sách `/ja`
</t>
    </r>
    <r>
      <rPr>
        <b/>
        <sz val="10"/>
        <color rgb="FF000000"/>
        <rFont val="メイリオ"/>
        <charset val="134"/>
      </rPr>
      <t xml:space="preserve">ステップ2：
</t>
    </r>
    <r>
      <rPr>
        <sz val="10"/>
        <color rgb="FF000000"/>
        <rFont val="メイリオ"/>
        <charset val="134"/>
      </rPr>
      <t xml:space="preserve">Không được cập nhật, giữ nguyên giá trị cũ
</t>
    </r>
    <r>
      <rPr>
        <b/>
        <sz val="10"/>
        <color rgb="FF000000"/>
        <rFont val="メイリオ"/>
        <charset val="134"/>
      </rPr>
      <t xml:space="preserve">ステップ3：
</t>
    </r>
    <r>
      <rPr>
        <sz val="10"/>
        <color rgb="FF000000"/>
        <rFont val="メイリオ"/>
        <charset val="134"/>
      </rPr>
      <t xml:space="preserve">Không có log UPDATE
</t>
    </r>
    <r>
      <rPr>
        <b/>
        <sz val="10"/>
        <color rgb="FF000000"/>
        <rFont val="メイリオ"/>
        <charset val="134"/>
      </rPr>
      <t xml:space="preserve">補足：
</t>
    </r>
    <r>
      <rPr>
        <sz val="10"/>
        <color rgb="FF000000"/>
        <rFont val="メイリオ"/>
        <charset val="134"/>
      </rPr>
      <t xml:space="preserve">・Hủy không thay đổi DB, không ghi log
</t>
    </r>
    <r>
      <rPr>
        <sz val="10"/>
        <color rgb="FF000000"/>
        <rFont val="メイリオ"/>
        <charset val="134"/>
      </rPr>
      <t>・Khi có thay đổi chưa lưu thì hiện cảnh báo `beforeunload`</t>
    </r>
  </si>
  <si>
    <t>ACSMS-TC-005-055</t>
  </si>
  <si>
    <t>Chỉnh sửa — Tính toàn vẹn log kiểm toán trước-sau cập nhật</t>
  </si>
  <si>
    <t>・role: NICHINO_ADMIN
・Test data có sẵn: `ja_id=1` đã đăng ký (có log CREATE), chưa chỉnh sửa</t>
  </si>
  <si>
    <r>
      <rPr>
        <b/>
        <sz val="10"/>
        <color rgb="FF000000"/>
        <rFont val="游ゴシック"/>
        <charset val="134"/>
      </rPr>
      <t xml:space="preserve">ステップ1：
</t>
    </r>
    <r>
      <rPr>
        <sz val="10"/>
        <color rgb="FF000000"/>
        <rFont val="游ゴシック"/>
        <charset val="134"/>
      </rPr>
      <t xml:space="preserve">Kiểm tra log trước chỉnh sửa: `SELECT * FROM t_log WHERE target_id = 1 AND target_table = 'm_ja' ORDER BY log_datetime ASC`
</t>
    </r>
    <r>
      <rPr>
        <b/>
        <sz val="10"/>
        <color rgb="FF000000"/>
        <rFont val="游ゴシック"/>
        <charset val="134"/>
      </rPr>
      <t xml:space="preserve">ステップ2：
</t>
    </r>
    <r>
      <rPr>
        <sz val="10"/>
        <color rgb="FF000000"/>
        <rFont val="游ゴシック"/>
        <charset val="134"/>
      </rPr>
      <t xml:space="preserve">Thay đổi JA名 trên màn hình chỉnh sửa → cập nhật
</t>
    </r>
    <r>
      <rPr>
        <b/>
        <sz val="10"/>
        <color rgb="FF000000"/>
        <rFont val="游ゴシック"/>
        <charset val="134"/>
      </rPr>
      <t xml:space="preserve">ステップ3：
</t>
    </r>
    <r>
      <rPr>
        <sz val="10"/>
        <color rgb="FF000000"/>
        <rFont val="游ゴシック"/>
        <charset val="134"/>
      </rPr>
      <t xml:space="preserve">Kiểm tra log sau chỉnh sửa: query giống trên
</t>
    </r>
    <r>
      <rPr>
        <b/>
        <sz val="10"/>
        <color rgb="FF000000"/>
        <rFont val="游ゴシック"/>
        <charset val="134"/>
      </rPr>
      <t xml:space="preserve">ステップ4：
</t>
    </r>
    <r>
      <rPr>
        <sz val="10"/>
        <color rgb="FF000000"/>
        <rFont val="游ゴシック"/>
        <charset val="134"/>
      </rPr>
      <t>Kiểm tra nội dung JSON `before_value` và `after_value`</t>
    </r>
  </si>
  <si>
    <r>
      <rPr>
        <b/>
        <sz val="10"/>
        <color rgb="FF000000"/>
        <rFont val="メイリオ"/>
        <charset val="134"/>
      </rPr>
      <t xml:space="preserve">ステップ1：
</t>
    </r>
    <r>
      <rPr>
        <sz val="10"/>
        <color rgb="FF000000"/>
        <rFont val="メイリオ"/>
        <charset val="134"/>
      </rPr>
      <t xml:space="preserve">Chỉ tồn tại 1 row (log CREATE), `before_value` rỗng, `after_value` chứa toàn bộ mục lúc đăng ký
</t>
    </r>
    <r>
      <rPr>
        <b/>
        <sz val="10"/>
        <color rgb="FF000000"/>
        <rFont val="メイリオ"/>
        <charset val="134"/>
      </rPr>
      <t xml:space="preserve">ステップ2：
</t>
    </r>
    <r>
      <rPr>
        <sz val="10"/>
        <color rgb="FF000000"/>
        <rFont val="メイリオ"/>
        <charset val="134"/>
      </rPr>
      <t xml:space="preserve">Cập nhật thành công, Toast「更新しました。」hiển thị
</t>
    </r>
    <r>
      <rPr>
        <b/>
        <sz val="10"/>
        <color rgb="FF000000"/>
        <rFont val="メイリオ"/>
        <charset val="134"/>
      </rPr>
      <t xml:space="preserve">ステップ3：
</t>
    </r>
    <r>
      <rPr>
        <sz val="10"/>
        <color rgb="FF000000"/>
        <rFont val="メイリオ"/>
        <charset val="134"/>
      </rPr>
      <t xml:space="preserve">Tồn tại 2 row (log CREATE + log UPDATE)
</t>
    </r>
    <r>
      <rPr>
        <b/>
        <sz val="10"/>
        <color rgb="FF000000"/>
        <rFont val="メイリオ"/>
        <charset val="134"/>
      </rPr>
      <t xml:space="preserve">ステップ4：
</t>
    </r>
    <r>
      <rPr>
        <sz val="10"/>
        <color rgb="FF000000"/>
        <rFont val="メイリオ"/>
        <charset val="134"/>
      </rPr>
      <t xml:space="preserve">JSON `before_value` của log UPDATE chứa giá trị trước chỉnh sửa, JSON `after_value` chứa giá trị sau chỉnh sửa, diff giữa 2 JSON chỉ là JA名
</t>
    </r>
    <r>
      <rPr>
        <b/>
        <sz val="10"/>
        <color rgb="FF000000"/>
        <rFont val="メイリオ"/>
        <charset val="134"/>
      </rPr>
      <t xml:space="preserve">補足：
</t>
    </r>
    <r>
      <rPr>
        <sz val="10"/>
        <color rgb="FF000000"/>
        <rFont val="メイリオ"/>
        <charset val="134"/>
      </rPr>
      <t xml:space="preserve">・So sánh hoàn chỉnh trước-sau cập nhật bằng log kiểm toán
</t>
    </r>
    <r>
      <rPr>
        <sz val="10"/>
        <color rgb="FF000000"/>
        <rFont val="メイリオ"/>
        <charset val="134"/>
      </rPr>
      <t>・Toàn bộ 16 mục (trừ JAコード) được serialize sang JSON</t>
    </r>
  </si>
  <si>
    <t>Xử lý lỗi chung (Common Error Handling)</t>
  </si>
  <si>
    <t>ACSMS-TC-005-056</t>
  </si>
  <si>
    <t>Lỗi chung — UNAUTHORIZED — Xử lý khi session hết hạn</t>
  </si>
  <si>
    <t>・role: NICHINO_ADMIN
・Đã nhập giá trị hợp lệ trên màn hình đăng ký
・Đã quá 24 giờ kể từ thao tác cuối, Redis session TTL đã hết hạn</t>
  </si>
  <si>
    <r>
      <rPr>
        <b/>
        <sz val="10"/>
        <color rgb="FF000000"/>
        <rFont val="游ゴシック"/>
        <charset val="134"/>
      </rPr>
      <t xml:space="preserve">ステップ1：
</t>
    </r>
    <r>
      <rPr>
        <sz val="10"/>
        <color rgb="FF000000"/>
        <rFont val="游ゴシック"/>
        <charset val="134"/>
      </rPr>
      <t xml:space="preserve">Nhấn button「登録」, gửi API request
</t>
    </r>
    <r>
      <rPr>
        <b/>
        <sz val="10"/>
        <color rgb="FF000000"/>
        <rFont val="游ゴシック"/>
        <charset val="134"/>
      </rPr>
      <t xml:space="preserve">ステップ2：
</t>
    </r>
    <r>
      <rPr>
        <sz val="10"/>
        <color rgb="FF000000"/>
        <rFont val="游ゴシック"/>
        <charset val="134"/>
      </rPr>
      <t xml:space="preserve">Kiểm tra response và chuyển trang màn hình
</t>
    </r>
    <r>
      <rPr>
        <b/>
        <sz val="10"/>
        <color rgb="FF000000"/>
        <rFont val="游ゴシック"/>
        <charset val="134"/>
      </rPr>
      <t xml:space="preserve">ステップ3：
</t>
    </r>
    <r>
      <rPr>
        <sz val="10"/>
        <color rgb="FF000000"/>
        <rFont val="游ゴシック"/>
        <charset val="134"/>
      </rPr>
      <t>Kiểm tra DB: `SELECT COUNT(*) FROM m_ja WHERE ja_code='1301999099'`</t>
    </r>
  </si>
  <si>
    <r>
      <rPr>
        <b/>
        <sz val="10"/>
        <color rgb="FF000000"/>
        <rFont val="メイリオ"/>
        <charset val="134"/>
      </rPr>
      <t xml:space="preserve">ステップ1：
</t>
    </r>
    <r>
      <rPr>
        <sz val="10"/>
        <color rgb="FF000000"/>
        <rFont val="メイリオ"/>
        <charset val="134"/>
      </rPr>
      <t xml:space="preserve">HTTP status code: 401
</t>
    </r>
    <r>
      <rPr>
        <sz val="10"/>
        <color rgb="FF000000"/>
        <rFont val="メイリオ"/>
        <charset val="134"/>
      </rPr>
      <t xml:space="preserve">error_code: UNAUTHORIZED
</t>
    </r>
    <r>
      <rPr>
        <sz val="10"/>
        <color rgb="FF000000"/>
        <rFont val="メイリオ"/>
        <charset val="134"/>
      </rPr>
      <t xml:space="preserve">message:「セッションが切れました。再度ログインしてください。」trả về
</t>
    </r>
    <r>
      <rPr>
        <b/>
        <sz val="10"/>
        <color rgb="FF000000"/>
        <rFont val="メイリオ"/>
        <charset val="134"/>
      </rPr>
      <t xml:space="preserve">ステップ2：
</t>
    </r>
    <r>
      <rPr>
        <sz val="10"/>
        <color rgb="FF000000"/>
        <rFont val="メイリオ"/>
        <charset val="134"/>
      </rPr>
      <t xml:space="preserve">FE clear trạng thái user của Pinia auth store, tự động chuyển về `/login?redirect=/ja/create`
</t>
    </r>
    <r>
      <rPr>
        <b/>
        <sz val="10"/>
        <color rgb="FF000000"/>
        <rFont val="メイリオ"/>
        <charset val="134"/>
      </rPr>
      <t xml:space="preserve">ステップ3：
</t>
    </r>
    <r>
      <rPr>
        <sz val="10"/>
        <color rgb="FF000000"/>
        <rFont val="メイリオ"/>
        <charset val="134"/>
      </rPr>
      <t xml:space="preserve">0 record (không có row mới)
</t>
    </r>
    <r>
      <rPr>
        <b/>
        <sz val="10"/>
        <color rgb="FF000000"/>
        <rFont val="メイリオ"/>
        <charset val="134"/>
      </rPr>
      <t xml:space="preserve">補足：
</t>
    </r>
    <r>
      <rPr>
        <sz val="10"/>
        <color rgb="FF000000"/>
        <rFont val="メイリオ"/>
        <charset val="134"/>
      </rPr>
      <t xml:space="preserve">・Khi session hết hạn, SessionAuthGuard phía backend trả về 401, axios interceptor phía FE đồng nhất chuyển hướng về màn hình login
</t>
    </r>
    <r>
      <rPr>
        <sz val="10"/>
        <color rgb="FF000000"/>
        <rFont val="メイリオ"/>
        <charset val="134"/>
      </rPr>
      <t>・Giá trị input bị hủy (cần nhập lại sau khi đăng nhập lại)</t>
    </r>
  </si>
  <si>
    <t>ACSMS-TC-005-057</t>
  </si>
  <si>
    <t>Lỗi chung — TOO_MANY_REQUESTS — Vượt rate limit</t>
  </si>
  <si>
    <t>・role: NICHINO_ADMIN
・Đã nhập giá trị hợp lệ trên màn hình đăng ký
・Script test gửi POST `/api/v1/ja` vượt 100 request trong 1 phút</t>
  </si>
  <si>
    <r>
      <rPr>
        <b/>
        <sz val="10"/>
        <color rgb="FF000000"/>
        <rFont val="メイリオ"/>
        <charset val="134"/>
      </rPr>
      <t xml:space="preserve">ステップ1：
</t>
    </r>
    <r>
      <rPr>
        <sz val="10"/>
        <color rgb="FF000000"/>
        <rFont val="メイリオ"/>
        <charset val="134"/>
      </rPr>
      <t xml:space="preserve">Khởi động script, gửi request tần suất cao đến API đăng ký
</t>
    </r>
    <r>
      <rPr>
        <b/>
        <sz val="10"/>
        <color rgb="FF000000"/>
        <rFont val="メイリオ"/>
        <charset val="134"/>
      </rPr>
      <t xml:space="preserve">ステップ2：
</t>
    </r>
    <r>
      <rPr>
        <sz val="10"/>
        <color rgb="FF000000"/>
        <rFont val="メイリオ"/>
        <charset val="134"/>
      </rPr>
      <t xml:space="preserve">Kiểm tra HTTP status và error_code response
</t>
    </r>
    <r>
      <rPr>
        <b/>
        <sz val="10"/>
        <color rgb="FF000000"/>
        <rFont val="メイリオ"/>
        <charset val="134"/>
      </rPr>
      <t xml:space="preserve">ステップ3：
</t>
    </r>
    <r>
      <rPr>
        <sz val="10"/>
        <color rgb="FF000000"/>
        <rFont val="メイリオ"/>
        <charset val="134"/>
      </rPr>
      <t>Kiểm tra hiển thị toast phía màn hình</t>
    </r>
  </si>
  <si>
    <r>
      <rPr>
        <b/>
        <sz val="10"/>
        <color rgb="FF000000"/>
        <rFont val="メイリオ"/>
        <charset val="134"/>
      </rPr>
      <t xml:space="preserve">ステップ1：
</t>
    </r>
    <r>
      <rPr>
        <sz val="10"/>
        <color rgb="FF000000"/>
        <rFont val="メイリオ"/>
        <charset val="134"/>
      </rPr>
      <t xml:space="preserve">100 request đầu phản hồi bình thường, sau đó trả về 429
</t>
    </r>
    <r>
      <rPr>
        <b/>
        <sz val="10"/>
        <color rgb="FF000000"/>
        <rFont val="メイリオ"/>
        <charset val="134"/>
      </rPr>
      <t xml:space="preserve">ステップ2：
</t>
    </r>
    <r>
      <rPr>
        <sz val="10"/>
        <color rgb="FF000000"/>
        <rFont val="メイリオ"/>
        <charset val="134"/>
      </rPr>
      <t xml:space="preserve">HTTP status code: 429
</t>
    </r>
    <r>
      <rPr>
        <sz val="10"/>
        <color rgb="FF000000"/>
        <rFont val="メイリオ"/>
        <charset val="134"/>
      </rPr>
      <t xml:space="preserve">error_code: TOO_MANY_REQUESTS
</t>
    </r>
    <r>
      <rPr>
        <sz val="10"/>
        <color rgb="FF000000"/>
        <rFont val="メイリオ"/>
        <charset val="134"/>
      </rPr>
      <t xml:space="preserve">message:「リクエスト回数が上限を超えました。しばらくしてから再度お試しください。」
</t>
    </r>
    <r>
      <rPr>
        <b/>
        <sz val="10"/>
        <color rgb="FF000000"/>
        <rFont val="メイリオ"/>
        <charset val="134"/>
      </rPr>
      <t xml:space="preserve">ステップ3：
</t>
    </r>
    <r>
      <rPr>
        <sz val="10"/>
        <color rgb="FF000000"/>
        <rFont val="メイリオ"/>
        <charset val="134"/>
      </rPr>
      <t xml:space="preserve">Toast「リクエスト回数が上限を超えました。しばらくしてから再度お試しください。」hiển thị, button đăng ký tạm vô hiệu
</t>
    </r>
    <r>
      <rPr>
        <b/>
        <sz val="10"/>
        <color rgb="FF000000"/>
        <rFont val="メイリオ"/>
        <charset val="134"/>
      </rPr>
      <t xml:space="preserve">補足：
</t>
    </r>
    <r>
      <rPr>
        <sz val="10"/>
        <color rgb="FF000000"/>
        <rFont val="メイリオ"/>
        <charset val="134"/>
      </rPr>
      <t xml:space="preserve">・NestJS @Throttle decorator + rate limit AWS WAF chặn ở 2 lớp infra/app
</t>
    </r>
    <r>
      <rPr>
        <sz val="10"/>
        <color rgb="FF000000"/>
        <rFont val="メイリオ"/>
        <charset val="134"/>
      </rPr>
      <t>・Tuân thủ quan điểm VP-A-08「レート制限・Throttling」(testcase-viewpoints.md v1.1)</t>
    </r>
  </si>
  <si>
    <t>ACSMS-TC-005-058</t>
  </si>
  <si>
    <t>Lỗi chung — BAD_REQUEST — Request parameter không hợp lệ</t>
  </si>
  <si>
    <t>・role: NICHINO_ADMIN
・Đang mở Network tab DevTools</t>
  </si>
  <si>
    <r>
      <rPr>
        <b/>
        <sz val="10"/>
        <color rgb="FF000000"/>
        <rFont val="游ゴシック"/>
        <charset val="134"/>
      </rPr>
      <t xml:space="preserve">ステップ1：
</t>
    </r>
    <r>
      <rPr>
        <sz val="10"/>
        <color rgb="FF000000"/>
        <rFont val="游ゴシック"/>
        <charset val="134"/>
      </rPr>
      <t xml:space="preserve">Trên DevTools Console, chạy `fetch('/api/v1/ja', { method: 'POST', body: '{invalid json', headers: { 'Content-Type': 'application/json' }, credentials: 'include' })`
</t>
    </r>
    <r>
      <rPr>
        <b/>
        <sz val="10"/>
        <color rgb="FF000000"/>
        <rFont val="游ゴシック"/>
        <charset val="134"/>
      </rPr>
      <t xml:space="preserve">ステップ2：
</t>
    </r>
    <r>
      <rPr>
        <sz val="10"/>
        <color rgb="FF000000"/>
        <rFont val="游ゴシック"/>
        <charset val="134"/>
      </rPr>
      <t xml:space="preserve">Kiểm tra HTTP status và error_code response
</t>
    </r>
    <r>
      <rPr>
        <b/>
        <sz val="10"/>
        <color rgb="FF000000"/>
        <rFont val="游ゴシック"/>
        <charset val="134"/>
      </rPr>
      <t xml:space="preserve">ステップ3：
</t>
    </r>
    <r>
      <rPr>
        <sz val="10"/>
        <color rgb="FF000000"/>
        <rFont val="游ゴシック"/>
        <charset val="134"/>
      </rPr>
      <t>Kiểm tra DB: `SELECT COUNT(*) FROM m_ja WHERE ja_code='MAL999'`</t>
    </r>
  </si>
  <si>
    <r>
      <rPr>
        <b/>
        <sz val="10"/>
        <color rgb="FF000000"/>
        <rFont val="メイリオ"/>
        <charset val="134"/>
      </rPr>
      <t xml:space="preserve">ステップ1：
</t>
    </r>
    <r>
      <rPr>
        <sz val="10"/>
        <color rgb="FF000000"/>
        <rFont val="メイリオ"/>
        <charset val="134"/>
      </rPr>
      <t xml:space="preserve">Request bị body parser phía backend từ chối
</t>
    </r>
    <r>
      <rPr>
        <b/>
        <sz val="10"/>
        <color rgb="FF000000"/>
        <rFont val="メイリオ"/>
        <charset val="134"/>
      </rPr>
      <t xml:space="preserve">ステップ2：
</t>
    </r>
    <r>
      <rPr>
        <sz val="10"/>
        <color rgb="FF000000"/>
        <rFont val="メイリオ"/>
        <charset val="134"/>
      </rPr>
      <t xml:space="preserve">HTTP status code: 400
</t>
    </r>
    <r>
      <rPr>
        <sz val="10"/>
        <color rgb="FF000000"/>
        <rFont val="メイリオ"/>
        <charset val="134"/>
      </rPr>
      <t xml:space="preserve">error_code: BAD_REQUEST
</t>
    </r>
    <r>
      <rPr>
        <sz val="10"/>
        <color rgb="FF000000"/>
        <rFont val="メイリオ"/>
        <charset val="134"/>
      </rPr>
      <t xml:space="preserve">message:「リクエストパラメータが不正です。」
</t>
    </r>
    <r>
      <rPr>
        <b/>
        <sz val="10"/>
        <color rgb="FF000000"/>
        <rFont val="メイリオ"/>
        <charset val="134"/>
      </rPr>
      <t xml:space="preserve">ステップ3：
</t>
    </r>
    <r>
      <rPr>
        <sz val="10"/>
        <color rgb="FF000000"/>
        <rFont val="メイリオ"/>
        <charset val="134"/>
      </rPr>
      <t xml:space="preserve">0 record (không có row mới)
</t>
    </r>
    <r>
      <rPr>
        <b/>
        <sz val="10"/>
        <color rgb="FF000000"/>
        <rFont val="メイリオ"/>
        <charset val="134"/>
      </rPr>
      <t xml:space="preserve">補足：
</t>
    </r>
    <r>
      <rPr>
        <sz val="10"/>
        <color rgb="FF000000"/>
        <rFont val="メイリオ"/>
        <charset val="134"/>
      </rPr>
      <t xml:space="preserve">・JSON parse error, Content-Type không hợp lệ, parameter không xác định v.v. tất cả đều map về BAD_REQUEST
</t>
    </r>
    <r>
      <rPr>
        <sz val="10"/>
        <color rgb="FF000000"/>
        <rFont val="メイリオ"/>
        <charset val="134"/>
      </rPr>
      <t>・`t_log` có log lỗi log_type=3 được ghi</t>
    </r>
  </si>
  <si>
    <t>ACSMS-TC-005-059</t>
  </si>
  <si>
    <t>Lỗi chung — VALIDATION_ERROR — Kiểm tra hình dáng array errors[]</t>
  </si>
  <si>
    <t>・role: NICHINO_ADMIN
・Màn hình đăng ký, nhập giá trị không hợp lệ ở nhiều field (JAコード=rỗng, JA名=rỗng, 金融機関コード=`abc`, メール=`invalid`)</t>
  </si>
  <si>
    <r>
      <rPr>
        <b/>
        <sz val="10"/>
        <color rgb="FF000000"/>
        <rFont val="メイリオ"/>
        <charset val="134"/>
      </rPr>
      <t xml:space="preserve">ステップ1：
</t>
    </r>
    <r>
      <rPr>
        <sz val="10"/>
        <color rgb="FF000000"/>
        <rFont val="メイリオ"/>
        <charset val="134"/>
      </rPr>
      <t xml:space="preserve">Nhấn button đăng ký
</t>
    </r>
    <r>
      <rPr>
        <b/>
        <sz val="10"/>
        <color rgb="FF000000"/>
        <rFont val="メイリオ"/>
        <charset val="134"/>
      </rPr>
      <t xml:space="preserve">ステップ2：
</t>
    </r>
    <r>
      <rPr>
        <sz val="10"/>
        <color rgb="FF000000"/>
        <rFont val="メイリオ"/>
        <charset val="134"/>
      </rPr>
      <t xml:space="preserve">Kiểm tra hình dáng array `errors` của response body
</t>
    </r>
    <r>
      <rPr>
        <b/>
        <sz val="10"/>
        <color rgb="FF000000"/>
        <rFont val="メイリオ"/>
        <charset val="134"/>
      </rPr>
      <t xml:space="preserve">ステップ3：
</t>
    </r>
    <r>
      <rPr>
        <sz val="10"/>
        <color rgb="FF000000"/>
        <rFont val="メイリオ"/>
        <charset val="134"/>
      </rPr>
      <t>Kiểm tra hiển thị error message ngay dưới mỗi mục phía màn hình</t>
    </r>
  </si>
  <si>
    <r>
      <rPr>
        <b/>
        <sz val="10"/>
        <color rgb="FF000000"/>
        <rFont val="メイリオ"/>
        <charset val="134"/>
      </rPr>
      <t xml:space="preserve">ステップ1：
</t>
    </r>
    <r>
      <rPr>
        <sz val="10"/>
        <color rgb="FF000000"/>
        <rFont val="メイリオ"/>
        <charset val="134"/>
      </rPr>
      <t xml:space="preserve">HTTP status code: 400
</t>
    </r>
    <r>
      <rPr>
        <sz val="10"/>
        <color rgb="FF000000"/>
        <rFont val="メイリオ"/>
        <charset val="134"/>
      </rPr>
      <t xml:space="preserve">error_code: VALIDATION_ERROR
</t>
    </r>
    <r>
      <rPr>
        <sz val="10"/>
        <color rgb="FF000000"/>
        <rFont val="メイリオ"/>
        <charset val="134"/>
      </rPr>
      <t xml:space="preserve">message:「入力値が不正です。詳細はerrorsフィールドを確認してください。」
</t>
    </r>
    <r>
      <rPr>
        <b/>
        <sz val="10"/>
        <color rgb="FF000000"/>
        <rFont val="メイリオ"/>
        <charset val="134"/>
      </rPr>
      <t xml:space="preserve">ステップ2：
</t>
    </r>
    <r>
      <rPr>
        <sz val="10"/>
        <color rgb="FF000000"/>
        <rFont val="メイリオ"/>
        <charset val="134"/>
      </rPr>
      <t xml:space="preserve">Array `errors` chứa nhiều entry:
</t>
    </r>
    <r>
      <rPr>
        <sz val="10"/>
        <color rgb="FF000000"/>
        <rFont val="メイリオ"/>
        <charset val="134"/>
      </rPr>
      <t xml:space="preserve">・{ field: "ja_code", message: "JAコードを入力してください" }
</t>
    </r>
    <r>
      <rPr>
        <sz val="10"/>
        <color rgb="FF000000"/>
        <rFont val="メイリオ"/>
        <charset val="134"/>
      </rPr>
      <t xml:space="preserve">・{ field: "ja_name", message: "JA名を入力してください" }
</t>
    </r>
    <r>
      <rPr>
        <sz val="10"/>
        <color rgb="FF000000"/>
        <rFont val="メイリオ"/>
        <charset val="134"/>
      </rPr>
      <t xml:space="preserve">・{ field: "bank_code", message: "金融機関コードは半角数字4桁で入力してください" }
</t>
    </r>
    <r>
      <rPr>
        <sz val="10"/>
        <color rgb="FF000000"/>
        <rFont val="メイリオ"/>
        <charset val="134"/>
      </rPr>
      <t xml:space="preserve">・{ field: "email", message: "有効なメールアドレスを入力してください。" }
</t>
    </r>
    <r>
      <rPr>
        <b/>
        <sz val="10"/>
        <color rgb="FF000000"/>
        <rFont val="メイリオ"/>
        <charset val="134"/>
      </rPr>
      <t xml:space="preserve">ステップ3：
</t>
    </r>
    <r>
      <rPr>
        <sz val="10"/>
        <color rgb="FF000000"/>
        <rFont val="メイリオ"/>
        <charset val="134"/>
      </rPr>
      <t xml:space="preserve">Mỗi mục hiển thị error message tiếng Nhật tương ứng ngay dưới (bind vào `&lt;a-form-item :help&gt;` qua `useApiForm`)
</t>
    </r>
    <r>
      <rPr>
        <b/>
        <sz val="10"/>
        <color rgb="FF000000"/>
        <rFont val="メイリオ"/>
        <charset val="134"/>
      </rPr>
      <t xml:space="preserve">補足：
</t>
    </r>
    <r>
      <rPr>
        <sz val="10"/>
        <color rgb="FF000000"/>
        <rFont val="メイリオ"/>
        <charset val="134"/>
      </rPr>
      <t xml:space="preserve">・Trả về vi phạm của nhiều field cùng lúc trong 1 request
</t>
    </r>
    <r>
      <rPr>
        <sz val="10"/>
        <color rgb="FF000000"/>
        <rFont val="メイリオ"/>
        <charset val="134"/>
      </rPr>
      <t>・`useApiForm` chuyển `errors[]` sang `fieldErrors`, hiển thị vào `:help` của từng `&lt;a-form-item&gt;`</t>
    </r>
  </si>
  <si>
    <t>ACSMS-TC-005-060</t>
  </si>
  <si>
    <t>Lỗi chung — INTERNAL_SERVER_ERROR — Mô phỏng server crash</t>
  </si>
  <si>
    <t>・role: NICHINO_ADMIN
・Màn hình đăng ký, đã nhập giá trị hợp lệ
・Cố ý ngắt kết nối DB phía backend (test environment)</t>
  </si>
  <si>
    <r>
      <rPr>
        <b/>
        <sz val="10"/>
        <color rgb="FF000000"/>
        <rFont val="メイリオ"/>
        <charset val="134"/>
      </rPr>
      <t xml:space="preserve">ステップ1：
</t>
    </r>
    <r>
      <rPr>
        <sz val="10"/>
        <color rgb="FF000000"/>
        <rFont val="メイリオ"/>
        <charset val="134"/>
      </rPr>
      <t xml:space="preserve">Nhấn button đăng ký
</t>
    </r>
    <r>
      <rPr>
        <b/>
        <sz val="10"/>
        <color rgb="FF000000"/>
        <rFont val="メイリオ"/>
        <charset val="134"/>
      </rPr>
      <t xml:space="preserve">ステップ2：
</t>
    </r>
    <r>
      <rPr>
        <sz val="10"/>
        <color rgb="FF000000"/>
        <rFont val="メイリオ"/>
        <charset val="134"/>
      </rPr>
      <t xml:space="preserve">Kiểm tra HTTP status và error_code response
</t>
    </r>
    <r>
      <rPr>
        <b/>
        <sz val="10"/>
        <color rgb="FF000000"/>
        <rFont val="メイリオ"/>
        <charset val="134"/>
      </rPr>
      <t xml:space="preserve">ステップ3：
</t>
    </r>
    <r>
      <rPr>
        <sz val="10"/>
        <color rgb="FF000000"/>
        <rFont val="メイリオ"/>
        <charset val="134"/>
      </rPr>
      <t xml:space="preserve">Kiểm tra trạng thái màn hình
</t>
    </r>
    <r>
      <rPr>
        <b/>
        <sz val="10"/>
        <color rgb="FF000000"/>
        <rFont val="メイリオ"/>
        <charset val="134"/>
      </rPr>
      <t xml:space="preserve">ステップ4：
</t>
    </r>
    <r>
      <rPr>
        <sz val="10"/>
        <color rgb="FF000000"/>
        <rFont val="メイリオ"/>
        <charset val="134"/>
      </rPr>
      <t>Kiểm tra log lỗi: `SELECT * FROM t_log WHERE result_status=2 ORDER BY log_datetime DESC LIMIT 1`</t>
    </r>
  </si>
  <si>
    <r>
      <rPr>
        <b/>
        <sz val="10"/>
        <color rgb="FF000000"/>
        <rFont val="メイリオ"/>
        <charset val="134"/>
      </rPr>
      <t xml:space="preserve">ステップ1：
</t>
    </r>
    <r>
      <rPr>
        <sz val="10"/>
        <color rgb="FF000000"/>
        <rFont val="メイリオ"/>
        <charset val="134"/>
      </rPr>
      <t xml:space="preserve">Backend phát sinh exception, log lỗi được ghi ở catch block ngoài
</t>
    </r>
    <r>
      <rPr>
        <b/>
        <sz val="10"/>
        <color rgb="FF000000"/>
        <rFont val="メイリオ"/>
        <charset val="134"/>
      </rPr>
      <t xml:space="preserve">ステップ2：
</t>
    </r>
    <r>
      <rPr>
        <sz val="10"/>
        <color rgb="FF000000"/>
        <rFont val="メイリオ"/>
        <charset val="134"/>
      </rPr>
      <t xml:space="preserve">HTTP status code: 500
</t>
    </r>
    <r>
      <rPr>
        <sz val="10"/>
        <color rgb="FF000000"/>
        <rFont val="メイリオ"/>
        <charset val="134"/>
      </rPr>
      <t xml:space="preserve">error_code: INTERNAL_SERVER_ERROR
</t>
    </r>
    <r>
      <rPr>
        <sz val="10"/>
        <color rgb="FF000000"/>
        <rFont val="メイリオ"/>
        <charset val="134"/>
      </rPr>
      <t xml:space="preserve">message:「システムエラーが発生しました。しばらくしてから再度お試しください。」
</t>
    </r>
    <r>
      <rPr>
        <b/>
        <sz val="10"/>
        <color rgb="FF000000"/>
        <rFont val="メイリオ"/>
        <charset val="134"/>
      </rPr>
      <t xml:space="preserve">ステップ3：
</t>
    </r>
    <r>
      <rPr>
        <sz val="10"/>
        <color rgb="FF000000"/>
        <rFont val="メイリオ"/>
        <charset val="134"/>
      </rPr>
      <t xml:space="preserve">Vẫn ở màn hình đăng ký, Toast「システムエラーが発生しました。しばらくしてから再度お試しください。」hiển thị, giữ nguyên giá trị input
</t>
    </r>
    <r>
      <rPr>
        <b/>
        <sz val="10"/>
        <color rgb="FF000000"/>
        <rFont val="メイリオ"/>
        <charset val="134"/>
      </rPr>
      <t xml:space="preserve">ステップ4：
</t>
    </r>
    <r>
      <rPr>
        <sz val="10"/>
        <color rgb="FF000000"/>
        <rFont val="メイリオ"/>
        <charset val="134"/>
      </rPr>
      <t xml:space="preserve">1 row log lỗi với log_type=3, `error_message` chứa exception message, `stack_trace` chứa lịch sử gọi
</t>
    </r>
    <r>
      <rPr>
        <b/>
        <sz val="10"/>
        <color rgb="FF000000"/>
        <rFont val="メイリオ"/>
        <charset val="134"/>
      </rPr>
      <t xml:space="preserve">補足：
</t>
    </r>
    <r>
      <rPr>
        <sz val="10"/>
        <color rgb="FF000000"/>
        <rFont val="メイリオ"/>
        <charset val="134"/>
      </rPr>
      <t xml:space="preserve">・Log lỗi được ghi ngoài transaction (do transaction nghiệp vụ đã rollback)
</t>
    </r>
    <r>
      <rPr>
        <sz val="10"/>
        <color rgb="FF000000"/>
        <rFont val="メイリオ"/>
        <charset val="134"/>
      </rPr>
      <t>・Không lộ thông tin nội bộ như stack trace ra phía user</t>
    </r>
  </si>
  <si>
    <t>ACSMS-TC-005-061</t>
  </si>
  <si>
    <t>Lỗi chung — NOT_FOUND — Xử lý khi truy cập chỉnh sửa JA đã xóa</t>
  </si>
  <si>
    <t>・role: NICHINO_ADMIN
・Test data có sẵn: record JA (ja_id = 999) đã xóa (hoặc không tồn tại)</t>
  </si>
  <si>
    <r>
      <rPr>
        <b/>
        <sz val="10"/>
        <color rgb="FF000000"/>
        <rFont val="游ゴシック"/>
        <charset val="134"/>
      </rPr>
      <t xml:space="preserve">ステップ1：
</t>
    </r>
    <r>
      <rPr>
        <sz val="10"/>
        <color rgb="FF000000"/>
        <rFont val="游ゴシック"/>
        <charset val="134"/>
      </rPr>
      <t xml:space="preserve">Nhập `/ja/999/edit` vào address bar browser, truy cập trực tiếp
</t>
    </r>
    <r>
      <rPr>
        <b/>
        <sz val="10"/>
        <color rgb="FF000000"/>
        <rFont val="游ゴシック"/>
        <charset val="134"/>
      </rPr>
      <t xml:space="preserve">ステップ2：
</t>
    </r>
    <r>
      <rPr>
        <sz val="10"/>
        <color rgb="FF000000"/>
        <rFont val="游ゴシック"/>
        <charset val="134"/>
      </rPr>
      <t>Trên Network tab DevTools, xác nhận GET `/api/v1/ja/999`</t>
    </r>
  </si>
  <si>
    <r>
      <rPr>
        <b/>
        <sz val="10"/>
        <color rgb="FF000000"/>
        <rFont val="メイリオ"/>
        <charset val="134"/>
      </rPr>
      <t xml:space="preserve">ステップ1：
</t>
    </r>
    <r>
      <rPr>
        <sz val="10"/>
        <color rgb="FF000000"/>
        <rFont val="メイリオ"/>
        <charset val="134"/>
      </rPr>
      <t xml:space="preserve">Chuyển trang thất bại, hiển thị toast lỗi
</t>
    </r>
    <r>
      <rPr>
        <b/>
        <sz val="10"/>
        <color rgb="FF000000"/>
        <rFont val="メイリオ"/>
        <charset val="134"/>
      </rPr>
      <t xml:space="preserve">ステップ2：
</t>
    </r>
    <r>
      <rPr>
        <sz val="10"/>
        <color rgb="FF000000"/>
        <rFont val="メイリオ"/>
        <charset val="134"/>
      </rPr>
      <t xml:space="preserve">HTTP status code: 404
</t>
    </r>
    <r>
      <rPr>
        <sz val="10"/>
        <color rgb="FF000000"/>
        <rFont val="メイリオ"/>
        <charset val="134"/>
      </rPr>
      <t xml:space="preserve">error_code: NOT_FOUND
</t>
    </r>
    <r>
      <rPr>
        <sz val="10"/>
        <color rgb="FF000000"/>
        <rFont val="メイリオ"/>
        <charset val="134"/>
      </rPr>
      <t xml:space="preserve">message:「指定されたJAが見つかりません。」
</t>
    </r>
    <r>
      <rPr>
        <b/>
        <sz val="10"/>
        <color rgb="FF000000"/>
        <rFont val="メイリオ"/>
        <charset val="134"/>
      </rPr>
      <t xml:space="preserve">補足：
</t>
    </r>
    <r>
      <rPr>
        <sz val="10"/>
        <color rgb="FF000000"/>
        <rFont val="メイリオ"/>
        <charset val="134"/>
      </rPr>
      <t xml:space="preserve">・Truy cập tài nguyên không tồn tại / đã xóa (deleted_at IS NOT NULL) đồng nhất trả về NOT_FOUND
</t>
    </r>
    <r>
      <rPr>
        <sz val="10"/>
        <color rgb="FF000000"/>
        <rFont val="メイリオ"/>
        <charset val="134"/>
      </rPr>
      <t>・Tương ứng ACSMS-MSG-005-010 (phân biệt với message hiển thị màn hình「JA #{id} が見つかりません。」)</t>
    </r>
  </si>
  <si>
    <t>ACSMS-TC-005-062</t>
  </si>
  <si>
    <t>Lỗi chung — DATA_SCOPE_VIOLATION — Xử lý khi truy cập chỉnh sửa JA ngoài scope</t>
  </si>
  <si>
    <t>・role: JA_HONTEN (JA của mình: ja-001)
・Test data có sẵn: record JA khác (ja_id = 2) tồn tại</t>
  </si>
  <si>
    <r>
      <rPr>
        <b/>
        <sz val="10"/>
        <color rgb="FF000000"/>
        <rFont val="游ゴシック"/>
        <charset val="134"/>
      </rPr>
      <t xml:space="preserve">ステップ1：
</t>
    </r>
    <r>
      <rPr>
        <sz val="10"/>
        <color rgb="FF000000"/>
        <rFont val="游ゴシック"/>
        <charset val="134"/>
      </rPr>
      <t xml:space="preserve">Nhập `/ja/2/edit` (JA khác) vào address bar browser, truy cập trực tiếp
</t>
    </r>
    <r>
      <rPr>
        <b/>
        <sz val="10"/>
        <color rgb="FF000000"/>
        <rFont val="游ゴシック"/>
        <charset val="134"/>
      </rPr>
      <t xml:space="preserve">ステップ2：
</t>
    </r>
    <r>
      <rPr>
        <sz val="10"/>
        <color rgb="FF000000"/>
        <rFont val="游ゴシック"/>
        <charset val="134"/>
      </rPr>
      <t xml:space="preserve">Trên Network tab DevTools, xác nhận GET `/api/v1/ja/2`
</t>
    </r>
    <r>
      <rPr>
        <b/>
        <sz val="10"/>
        <color rgb="FF000000"/>
        <rFont val="游ゴシック"/>
        <charset val="134"/>
      </rPr>
      <t xml:space="preserve">ステップ3：
</t>
    </r>
    <r>
      <rPr>
        <sz val="10"/>
        <color rgb="FF000000"/>
        <rFont val="游ゴシック"/>
        <charset val="134"/>
      </rPr>
      <t xml:space="preserve">Trên DevTools Console, chạy `fetch('/api/v1/ja/2', { method: 'PUT', body: JSON.stringify({ ja_name: 'HACK', todofuken_code: '13', chuokai_flg: false, bank_code: '1234', bank_name: '農林中央金庫', zei_kubun: '1' }), headers: { 'Content-Type': 'application/json' }, credentials: 'include' })`
</t>
    </r>
    <r>
      <rPr>
        <b/>
        <sz val="10"/>
        <color rgb="FF000000"/>
        <rFont val="游ゴシック"/>
        <charset val="134"/>
      </rPr>
      <t xml:space="preserve">ステップ4：
</t>
    </r>
    <r>
      <rPr>
        <sz val="10"/>
        <color rgb="FF000000"/>
        <rFont val="游ゴシック"/>
        <charset val="134"/>
      </rPr>
      <t>Kiểm tra DB: `SELECT ja_name FROM m_ja WHERE ja_id=2`</t>
    </r>
  </si>
  <si>
    <r>
      <rPr>
        <b/>
        <sz val="10"/>
        <color rgb="FF000000"/>
        <rFont val="メイリオ"/>
        <charset val="134"/>
      </rPr>
      <t xml:space="preserve">ステップ1：
</t>
    </r>
    <r>
      <rPr>
        <sz val="10"/>
        <color rgb="FF000000"/>
        <rFont val="メイリオ"/>
        <charset val="134"/>
      </rPr>
      <t xml:space="preserve">Chuyển trang thất bại, hiển thị toast lỗi
</t>
    </r>
    <r>
      <rPr>
        <b/>
        <sz val="10"/>
        <color rgb="FF000000"/>
        <rFont val="メイリオ"/>
        <charset val="134"/>
      </rPr>
      <t xml:space="preserve">ステップ2：
</t>
    </r>
    <r>
      <rPr>
        <sz val="10"/>
        <color rgb="FF000000"/>
        <rFont val="メイリオ"/>
        <charset val="134"/>
      </rPr>
      <t xml:space="preserve">HTTP status code: 404
</t>
    </r>
    <r>
      <rPr>
        <sz val="10"/>
        <color rgb="FF000000"/>
        <rFont val="メイリオ"/>
        <charset val="134"/>
      </rPr>
      <t xml:space="preserve">error_code: NOT_FOUND
</t>
    </r>
    <r>
      <rPr>
        <sz val="10"/>
        <color rgb="FF000000"/>
        <rFont val="メイリオ"/>
        <charset val="134"/>
      </rPr>
      <t xml:space="preserve">message:「指定されたJAが見つかりません。」
</t>
    </r>
    <r>
      <rPr>
        <b/>
        <sz val="10"/>
        <color rgb="FF000000"/>
        <rFont val="メイリオ"/>
        <charset val="134"/>
      </rPr>
      <t xml:space="preserve">ステップ3：
</t>
    </r>
    <r>
      <rPr>
        <sz val="10"/>
        <color rgb="FF000000"/>
        <rFont val="メイリオ"/>
        <charset val="134"/>
      </rPr>
      <t xml:space="preserve">HTTP status code: 404
</t>
    </r>
    <r>
      <rPr>
        <sz val="10"/>
        <color rgb="FF000000"/>
        <rFont val="メイリオ"/>
        <charset val="134"/>
      </rPr>
      <t xml:space="preserve">error_code: NOT_FOUND
</t>
    </r>
    <r>
      <rPr>
        <sz val="10"/>
        <color rgb="FF000000"/>
        <rFont val="メイリオ"/>
        <charset val="134"/>
      </rPr>
      <t xml:space="preserve">message:「指定されたJAが見つかりません。」
</t>
    </r>
    <r>
      <rPr>
        <b/>
        <sz val="10"/>
        <color rgb="FF000000"/>
        <rFont val="メイリオ"/>
        <charset val="134"/>
      </rPr>
      <t xml:space="preserve">ステップ4：
</t>
    </r>
    <r>
      <rPr>
        <sz val="10"/>
        <color rgb="FF000000"/>
        <rFont val="メイリオ"/>
        <charset val="134"/>
      </rPr>
      <t xml:space="preserve">Column `ja_name` vẫn là giá trị gốc (không thay đổi)
</t>
    </r>
    <r>
      <rPr>
        <b/>
        <sz val="10"/>
        <color rgb="FF000000"/>
        <rFont val="メイリオ"/>
        <charset val="134"/>
      </rPr>
      <t xml:space="preserve">補足：
</t>
    </r>
    <r>
      <rPr>
        <sz val="10"/>
        <color rgb="FF000000"/>
        <rFont val="メイリオ"/>
        <charset val="134"/>
      </rPr>
      <t xml:space="preserve">・Truy cập trực tiếp ngoài scope trả về HTTP 404 (NOT_FOUND) để ẩn sự tồn tại
</t>
    </r>
    <r>
      <rPr>
        <sz val="10"/>
        <color rgb="FF000000"/>
        <rFont val="メイリオ"/>
        <charset val="134"/>
      </rPr>
      <t xml:space="preserve">・api.md エラー一覧 định nghĩa DATA_SCOPE_VIOLATION (403), nhưng implementation theo quy tắc `assertJaScope` của security.md, ưu tiên 404 masking
</t>
    </r>
    <r>
      <rPr>
        <sz val="10"/>
        <color rgb="FF000000"/>
        <rFont val="メイリオ"/>
        <charset val="134"/>
      </rPr>
      <t>・`t_log` có log lỗi (log_type=3) được ghi</t>
    </r>
  </si>
  <si>
    <t>Critical về security — bug bypass DataScope là rủi ro rò rỉ thông tin multi-tenant.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</si>
</sst>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0.0%"/>
  </numFmts>
  <fonts count="34">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sz val="11"/>
      <color theme="1"/>
      <name val="Calibri"/>
      <charset val="134"/>
    </font>
    <font>
      <i/>
      <sz val="11"/>
      <color rgb="FF000000"/>
      <name val="游ゴシック"/>
      <charset val="134"/>
    </font>
    <font>
      <b/>
      <sz val="14"/>
      <color rgb="FF000000"/>
      <name val="游ゴシック"/>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游ゴシック"/>
      <charset val="134"/>
    </font>
    <font>
      <b/>
      <sz val="10"/>
      <color rgb="FF000000"/>
      <name val="メイリオ"/>
      <charset val="134"/>
    </font>
    <font>
      <sz val="10"/>
      <color rgb="FF000000"/>
      <name val="メイリオ"/>
      <charset val="134"/>
    </font>
  </fonts>
  <fills count="41">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0"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11" borderId="18" applyNumberFormat="0" applyAlignment="0" applyProtection="0">
      <alignment vertical="center"/>
    </xf>
    <xf numFmtId="0" fontId="21" fillId="12" borderId="19" applyNumberFormat="0" applyAlignment="0" applyProtection="0">
      <alignment vertical="center"/>
    </xf>
    <xf numFmtId="0" fontId="22" fillId="12" borderId="18" applyNumberFormat="0" applyAlignment="0" applyProtection="0">
      <alignment vertical="center"/>
    </xf>
    <xf numFmtId="0" fontId="23" fillId="13"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61">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vertical="top"/>
    </xf>
    <xf numFmtId="178" fontId="4" fillId="0" borderId="1" xfId="0" applyNumberFormat="1" applyFont="1" applyBorder="1" applyAlignment="1">
      <alignment horizontal="center" vertical="top" wrapText="1"/>
    </xf>
    <xf numFmtId="0" fontId="1" fillId="4"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6" fillId="0" borderId="1" xfId="0" applyFont="1" applyBorder="1" applyAlignment="1">
      <alignment horizontal="left" vertical="top" wrapText="1"/>
    </xf>
    <xf numFmtId="0" fontId="7" fillId="4"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8" borderId="0" xfId="0" applyFont="1" applyFill="1" applyBorder="1" applyAlignment="1">
      <alignment horizontal="left" vertical="center" wrapText="1"/>
    </xf>
    <xf numFmtId="0" fontId="2" fillId="0" borderId="0" xfId="0" applyFont="1" applyBorder="1"/>
    <xf numFmtId="0" fontId="1" fillId="4" borderId="12"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0" fontId="5" fillId="0" borderId="13" xfId="0" applyFont="1" applyBorder="1"/>
    <xf numFmtId="0" fontId="5" fillId="0" borderId="14" xfId="0" applyFont="1" applyBorder="1"/>
    <xf numFmtId="0" fontId="8" fillId="0" borderId="13" xfId="0" applyFont="1" applyBorder="1" applyAlignment="1">
      <alignment horizontal="center" vertical="center" wrapText="1"/>
    </xf>
    <xf numFmtId="0" fontId="2" fillId="0" borderId="14" xfId="0" applyFont="1" applyBorder="1"/>
    <xf numFmtId="0" fontId="9" fillId="0" borderId="13" xfId="0" applyFont="1" applyBorder="1" applyAlignment="1">
      <alignment horizontal="center" vertical="center" wrapText="1"/>
    </xf>
    <xf numFmtId="0" fontId="10" fillId="0" borderId="13" xfId="0" applyFont="1" applyBorder="1" applyAlignment="1">
      <alignment horizontal="center" vertical="center" wrapText="1"/>
    </xf>
    <xf numFmtId="0" fontId="11" fillId="9" borderId="1" xfId="0" applyFont="1" applyFill="1" applyBorder="1" applyAlignment="1">
      <alignment horizontal="center" vertical="center" wrapText="1"/>
    </xf>
    <xf numFmtId="49" fontId="11" fillId="9" borderId="1" xfId="0" applyNumberFormat="1" applyFont="1" applyFill="1" applyBorder="1" applyAlignment="1">
      <alignment horizontal="center" vertical="center" wrapText="1"/>
    </xf>
    <xf numFmtId="0" fontId="5" fillId="0" borderId="9" xfId="0" applyFont="1" applyBorder="1"/>
    <xf numFmtId="0" fontId="5" fillId="0" borderId="10" xfId="0" applyFont="1" applyBorder="1"/>
    <xf numFmtId="0" fontId="5"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47"/>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9"/>
    </row>
    <row r="3" ht="12.75" customHeight="1" spans="2:37">
      <c r="B3" s="50"/>
      <c r="AK3" s="51"/>
    </row>
    <row r="4" ht="12.75" customHeight="1" spans="2:37">
      <c r="B4" s="50"/>
      <c r="AK4" s="51"/>
    </row>
    <row r="5" ht="12.75" customHeight="1" spans="2:37">
      <c r="B5" s="50"/>
      <c r="AK5" s="51"/>
    </row>
    <row r="6" ht="12.75" customHeight="1" spans="2:37">
      <c r="B6" s="50"/>
      <c r="AK6" s="51"/>
    </row>
    <row r="7" ht="12.75" customHeight="1" spans="2:37">
      <c r="B7" s="50"/>
      <c r="AK7" s="51"/>
    </row>
    <row r="8" ht="12.75" customHeight="1" spans="2:37">
      <c r="B8" s="50"/>
      <c r="AK8" s="51"/>
    </row>
    <row r="9" ht="12.75" customHeight="1" spans="2:37">
      <c r="B9" s="50"/>
      <c r="AK9" s="51"/>
    </row>
    <row r="10" ht="29.25" customHeight="1" spans="2:37">
      <c r="B10" s="52" t="s">
        <v>0</v>
      </c>
      <c r="AK10" s="53"/>
    </row>
    <row r="11" ht="12.75" customHeight="1" spans="2:37">
      <c r="B11" s="50"/>
      <c r="AK11" s="51"/>
    </row>
    <row r="12" ht="39" customHeight="1" spans="2:37">
      <c r="B12" s="54" t="s">
        <v>1</v>
      </c>
      <c r="AK12" s="53"/>
    </row>
    <row r="13" ht="12.75" customHeight="1" spans="2:37">
      <c r="B13" s="50"/>
      <c r="AK13" s="51"/>
    </row>
    <row r="14" ht="12.75" customHeight="1" spans="2:37">
      <c r="B14" s="50"/>
      <c r="AK14" s="51"/>
    </row>
    <row r="15" ht="12.75" customHeight="1" spans="2:37">
      <c r="B15" s="55" t="s">
        <v>2</v>
      </c>
      <c r="AK15" s="53"/>
    </row>
    <row r="16" ht="12.75" customHeight="1" spans="2:37">
      <c r="B16" s="50"/>
      <c r="AK16" s="51"/>
    </row>
    <row r="17" ht="12.75" customHeight="1" spans="2:37">
      <c r="B17" s="50"/>
      <c r="AK17" s="51"/>
    </row>
    <row r="18" ht="12.75" customHeight="1" spans="2:37">
      <c r="B18" s="50"/>
      <c r="N18" s="56" t="s">
        <v>3</v>
      </c>
      <c r="O18" s="2"/>
      <c r="P18" s="2"/>
      <c r="Q18" s="2"/>
      <c r="R18" s="3"/>
      <c r="S18" s="56" t="s">
        <v>4</v>
      </c>
      <c r="T18" s="2"/>
      <c r="U18" s="2"/>
      <c r="V18" s="2"/>
      <c r="W18" s="3"/>
      <c r="AK18" s="51"/>
    </row>
    <row r="19" ht="12.75" customHeight="1" spans="2:37">
      <c r="B19" s="50"/>
      <c r="N19" s="56" t="s">
        <v>5</v>
      </c>
      <c r="O19" s="2"/>
      <c r="P19" s="2"/>
      <c r="Q19" s="2"/>
      <c r="R19" s="3"/>
      <c r="S19" s="56" t="s">
        <v>6</v>
      </c>
      <c r="T19" s="2"/>
      <c r="U19" s="2"/>
      <c r="V19" s="2"/>
      <c r="W19" s="3"/>
      <c r="AK19" s="51"/>
    </row>
    <row r="20" ht="12.75" customHeight="1" spans="2:37">
      <c r="B20" s="50"/>
      <c r="N20" s="56" t="s">
        <v>7</v>
      </c>
      <c r="O20" s="2"/>
      <c r="P20" s="2"/>
      <c r="Q20" s="2"/>
      <c r="R20" s="3"/>
      <c r="S20" s="57" t="s">
        <v>8</v>
      </c>
      <c r="T20" s="2"/>
      <c r="U20" s="2"/>
      <c r="V20" s="2"/>
      <c r="W20" s="3"/>
      <c r="AK20" s="51"/>
    </row>
    <row r="21" ht="12.75" customHeight="1" spans="2:37">
      <c r="B21" s="50"/>
      <c r="AK21" s="51"/>
    </row>
    <row r="22" ht="12.75" customHeight="1" spans="2:37">
      <c r="B22" s="50"/>
      <c r="AK22" s="51"/>
    </row>
    <row r="23" ht="12.75" customHeight="1" spans="2:37">
      <c r="B23" s="50"/>
      <c r="AK23" s="51"/>
    </row>
    <row r="24" ht="12.75" customHeight="1" spans="2:37">
      <c r="B24" s="50"/>
      <c r="AK24" s="51"/>
    </row>
    <row r="25" ht="12.75" customHeight="1" spans="2:37">
      <c r="B25" s="50"/>
      <c r="AK25" s="51"/>
    </row>
    <row r="26" ht="12.75" customHeight="1" spans="2:37">
      <c r="B26" s="50"/>
      <c r="AK26" s="51"/>
    </row>
    <row r="27" ht="12.75" customHeight="1" spans="2:37">
      <c r="B27" s="50"/>
      <c r="AK27" s="51"/>
    </row>
    <row r="28" ht="12.75" customHeight="1" spans="2:37">
      <c r="B28" s="50"/>
      <c r="AK28" s="51"/>
    </row>
    <row r="29" ht="12.75" customHeight="1" spans="2:37">
      <c r="B29" s="50"/>
      <c r="AK29" s="51"/>
    </row>
    <row r="30" ht="12.75" customHeight="1" spans="2:37">
      <c r="B30" s="50"/>
      <c r="AK30" s="51"/>
    </row>
    <row r="31" ht="12.75" customHeight="1" spans="2:37">
      <c r="B31" s="50"/>
      <c r="AK31" s="51"/>
    </row>
    <row r="32" ht="12.75" customHeight="1" spans="2:37">
      <c r="B32" s="50"/>
      <c r="AK32" s="51"/>
    </row>
    <row r="33" ht="12.75" customHeight="1" spans="2:37">
      <c r="B33" s="50"/>
      <c r="AK33" s="51"/>
    </row>
    <row r="34" ht="12.75" customHeight="1" spans="2:37">
      <c r="B34" s="58"/>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60"/>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46" t="s">
        <v>9</v>
      </c>
      <c r="B1" s="24" t="s">
        <v>7</v>
      </c>
      <c r="C1" s="2"/>
      <c r="D1" s="2"/>
      <c r="E1" s="3"/>
      <c r="F1" s="24" t="s">
        <v>10</v>
      </c>
      <c r="G1" s="2"/>
      <c r="H1" s="3"/>
      <c r="I1" s="24" t="s">
        <v>11</v>
      </c>
      <c r="J1" s="2"/>
      <c r="K1" s="2"/>
      <c r="L1" s="2"/>
      <c r="M1" s="2"/>
      <c r="N1" s="3"/>
      <c r="O1" s="24" t="s">
        <v>12</v>
      </c>
      <c r="P1" s="2"/>
      <c r="Q1" s="2"/>
      <c r="R1" s="2"/>
      <c r="S1" s="2"/>
      <c r="T1" s="2"/>
      <c r="U1" s="2"/>
      <c r="V1" s="3"/>
      <c r="W1" s="24" t="s">
        <v>13</v>
      </c>
      <c r="X1" s="2"/>
      <c r="Y1" s="2"/>
      <c r="Z1" s="2"/>
      <c r="AA1" s="2"/>
      <c r="AB1" s="3"/>
      <c r="AC1" s="24" t="s">
        <v>14</v>
      </c>
      <c r="AD1" s="2"/>
      <c r="AE1" s="2"/>
      <c r="AF1" s="2"/>
      <c r="AG1" s="2"/>
      <c r="AH1" s="3"/>
    </row>
    <row r="2" ht="22.5" customHeight="1" spans="1:34">
      <c r="A2" s="40">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4" t="s">
        <v>19</v>
      </c>
      <c r="B1" s="2"/>
      <c r="C1" s="2"/>
      <c r="D1" s="2"/>
      <c r="E1" s="2"/>
      <c r="F1" s="2"/>
      <c r="G1" s="2"/>
      <c r="H1" s="2"/>
      <c r="I1" s="3"/>
      <c r="J1" s="24" t="s">
        <v>20</v>
      </c>
      <c r="K1" s="2"/>
      <c r="L1" s="2"/>
      <c r="M1" s="2"/>
      <c r="N1" s="2"/>
      <c r="O1" s="2"/>
      <c r="P1" s="3"/>
      <c r="Q1" s="24" t="s">
        <v>21</v>
      </c>
      <c r="R1" s="2"/>
      <c r="S1" s="2"/>
      <c r="T1" s="2"/>
      <c r="U1" s="3"/>
      <c r="V1" s="24" t="s">
        <v>22</v>
      </c>
      <c r="W1" s="2"/>
      <c r="X1" s="2"/>
      <c r="Y1" s="3"/>
      <c r="Z1" s="24" t="s">
        <v>23</v>
      </c>
      <c r="AA1" s="2"/>
      <c r="AB1" s="2"/>
      <c r="AC1" s="3"/>
      <c r="AD1" s="24" t="s">
        <v>24</v>
      </c>
      <c r="AE1" s="2"/>
      <c r="AF1" s="2"/>
      <c r="AG1" s="3"/>
      <c r="AH1" s="24" t="s">
        <v>25</v>
      </c>
      <c r="AI1" s="2"/>
      <c r="AJ1" s="2"/>
      <c r="AK1" s="3"/>
    </row>
    <row r="2" ht="19.5" customHeight="1" spans="1:37">
      <c r="A2" s="25" t="s">
        <v>0</v>
      </c>
      <c r="B2" s="10"/>
      <c r="C2" s="10"/>
      <c r="D2" s="10"/>
      <c r="E2" s="10"/>
      <c r="F2" s="10"/>
      <c r="G2" s="10"/>
      <c r="H2" s="10"/>
      <c r="I2" s="11"/>
      <c r="J2" s="25" t="s">
        <v>26</v>
      </c>
      <c r="K2" s="10"/>
      <c r="L2" s="10"/>
      <c r="M2" s="10"/>
      <c r="N2" s="10"/>
      <c r="O2" s="10"/>
      <c r="P2" s="11"/>
      <c r="Q2" s="25" t="s">
        <v>27</v>
      </c>
      <c r="R2" s="10"/>
      <c r="S2" s="10"/>
      <c r="T2" s="10"/>
      <c r="U2" s="11"/>
      <c r="V2" s="26" t="s">
        <v>8</v>
      </c>
      <c r="W2" s="10"/>
      <c r="X2" s="10"/>
      <c r="Y2" s="11"/>
      <c r="Z2" s="25" t="s">
        <v>16</v>
      </c>
      <c r="AA2" s="10"/>
      <c r="AB2" s="10"/>
      <c r="AC2" s="11"/>
      <c r="AD2" s="26" t="s">
        <v>8</v>
      </c>
      <c r="AE2" s="10"/>
      <c r="AF2" s="10"/>
      <c r="AG2" s="11"/>
      <c r="AH2" s="25"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7" t="s">
        <v>28</v>
      </c>
    </row>
    <row r="6" ht="19.5" customHeight="1" spans="1:37">
      <c r="C6" s="43" t="s">
        <v>29</v>
      </c>
    </row>
    <row r="7" ht="19.5" customHeight="1" spans="1:37">
      <c r="C7" s="43" t="s">
        <v>30</v>
      </c>
    </row>
    <row r="8" ht="19.5" customHeight="1" spans="1:37">
      <c r="C8" s="43" t="s">
        <v>31</v>
      </c>
    </row>
    <row r="9" ht="19.5" customHeight="1" spans="1:37">
      <c r="C9" s="43" t="s">
        <v>32</v>
      </c>
    </row>
    <row r="10" ht="19.5" customHeight="1" spans="1:37">
      <c r="C10" s="43" t="s">
        <v>33</v>
      </c>
    </row>
    <row r="11" ht="19.5" customHeight="1" spans="1:37">
      <c r="C11" s="43" t="s">
        <v>34</v>
      </c>
    </row>
    <row r="13" ht="19.5" customHeight="1" spans="1:37">
      <c r="B13" s="27" t="s">
        <v>35</v>
      </c>
    </row>
    <row r="14" ht="19.5" customHeight="1" spans="1:37">
      <c r="C14" s="44" t="s">
        <v>36</v>
      </c>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row>
    <row r="15" ht="19.5" customHeight="1" spans="1:37">
      <c r="C15" s="44" t="s">
        <v>37</v>
      </c>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row>
    <row r="16" ht="19.5" customHeight="1" spans="1:37">
      <c r="C16" s="44" t="s">
        <v>38</v>
      </c>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row>
    <row r="17" ht="19.5" customHeight="1" spans="2:37">
      <c r="C17" s="44" t="s">
        <v>39</v>
      </c>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row>
    <row r="18" ht="19.5" customHeight="1" spans="2:37">
      <c r="C18" s="44" t="s">
        <v>40</v>
      </c>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row>
    <row r="19" ht="19.5" customHeight="1" spans="2:37">
      <c r="C19" s="44" t="s">
        <v>41</v>
      </c>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row>
    <row r="21" ht="19.5" customHeight="1" spans="2:37">
      <c r="B21" s="27" t="s">
        <v>42</v>
      </c>
    </row>
    <row r="23" ht="22.5" customHeight="1" spans="2:37">
      <c r="C23" s="46" t="s">
        <v>43</v>
      </c>
      <c r="D23" s="24" t="s">
        <v>44</v>
      </c>
      <c r="E23" s="2"/>
      <c r="F23" s="2"/>
      <c r="G23" s="2"/>
      <c r="H23" s="2"/>
      <c r="I23" s="2"/>
      <c r="J23" s="2"/>
      <c r="K23" s="2"/>
      <c r="L23" s="2"/>
      <c r="M23" s="2"/>
      <c r="N23" s="3"/>
      <c r="O23" s="24" t="s">
        <v>45</v>
      </c>
      <c r="P23" s="2"/>
      <c r="Q23" s="2"/>
      <c r="R23" s="2"/>
      <c r="S23" s="2"/>
      <c r="T23" s="2"/>
      <c r="U23" s="2"/>
      <c r="V23" s="2"/>
      <c r="W23" s="2"/>
      <c r="X23" s="2"/>
      <c r="Y23" s="2"/>
      <c r="Z23" s="2"/>
      <c r="AA23" s="2"/>
      <c r="AB23" s="2"/>
      <c r="AC23" s="2"/>
      <c r="AD23" s="2"/>
      <c r="AE23" s="2"/>
      <c r="AF23" s="2"/>
      <c r="AG23" s="3"/>
    </row>
    <row r="24" ht="22.5" customHeight="1" spans="2:37">
      <c r="C24" s="40">
        <v>1</v>
      </c>
      <c r="D24" s="4" t="s">
        <v>46</v>
      </c>
      <c r="E24" s="2"/>
      <c r="F24" s="2"/>
      <c r="G24" s="2"/>
      <c r="H24" s="2"/>
      <c r="I24" s="2"/>
      <c r="J24" s="2"/>
      <c r="K24" s="2"/>
      <c r="L24" s="2"/>
      <c r="M24" s="2"/>
      <c r="N24" s="3"/>
      <c r="O24" s="4" t="s">
        <v>47</v>
      </c>
      <c r="P24" s="2"/>
      <c r="Q24" s="2"/>
      <c r="R24" s="2"/>
      <c r="S24" s="2"/>
      <c r="T24" s="2"/>
      <c r="U24" s="2"/>
      <c r="V24" s="2"/>
      <c r="W24" s="2"/>
      <c r="X24" s="2"/>
      <c r="Y24" s="2"/>
      <c r="Z24" s="2"/>
      <c r="AA24" s="2"/>
      <c r="AB24" s="2"/>
      <c r="AC24" s="2"/>
      <c r="AD24" s="2"/>
      <c r="AE24" s="2"/>
      <c r="AF24" s="2"/>
      <c r="AG24" s="3"/>
    </row>
    <row r="25" ht="22.5" customHeight="1" spans="2:37">
      <c r="C25" s="40">
        <v>2</v>
      </c>
      <c r="D25" s="4" t="s">
        <v>48</v>
      </c>
      <c r="E25" s="2"/>
      <c r="F25" s="2"/>
      <c r="G25" s="2"/>
      <c r="H25" s="2"/>
      <c r="I25" s="2"/>
      <c r="J25" s="2"/>
      <c r="K25" s="2"/>
      <c r="L25" s="2"/>
      <c r="M25" s="2"/>
      <c r="N25" s="3"/>
      <c r="O25" s="4" t="s">
        <v>49</v>
      </c>
      <c r="P25" s="2"/>
      <c r="Q25" s="2"/>
      <c r="R25" s="2"/>
      <c r="S25" s="2"/>
      <c r="T25" s="2"/>
      <c r="U25" s="2"/>
      <c r="V25" s="2"/>
      <c r="W25" s="2"/>
      <c r="X25" s="2"/>
      <c r="Y25" s="2"/>
      <c r="Z25" s="2"/>
      <c r="AA25" s="2"/>
      <c r="AB25" s="2"/>
      <c r="AC25" s="2"/>
      <c r="AD25" s="2"/>
      <c r="AE25" s="2"/>
      <c r="AF25" s="2"/>
      <c r="AG25" s="3"/>
    </row>
    <row r="26" ht="22.5" customHeight="1" spans="2:37">
      <c r="C26" s="40">
        <v>3</v>
      </c>
      <c r="D26" s="4" t="s">
        <v>50</v>
      </c>
      <c r="E26" s="2"/>
      <c r="F26" s="2"/>
      <c r="G26" s="2"/>
      <c r="H26" s="2"/>
      <c r="I26" s="2"/>
      <c r="J26" s="2"/>
      <c r="K26" s="2"/>
      <c r="L26" s="2"/>
      <c r="M26" s="2"/>
      <c r="N26" s="3"/>
      <c r="O26" s="4" t="s">
        <v>51</v>
      </c>
      <c r="P26" s="2"/>
      <c r="Q26" s="2"/>
      <c r="R26" s="2"/>
      <c r="S26" s="2"/>
      <c r="T26" s="2"/>
      <c r="U26" s="2"/>
      <c r="V26" s="2"/>
      <c r="W26" s="2"/>
      <c r="X26" s="2"/>
      <c r="Y26" s="2"/>
      <c r="Z26" s="2"/>
      <c r="AA26" s="2"/>
      <c r="AB26" s="2"/>
      <c r="AC26" s="2"/>
      <c r="AD26" s="2"/>
      <c r="AE26" s="2"/>
      <c r="AF26" s="2"/>
      <c r="AG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B13:AK13"/>
    <mergeCell ref="C14:AK14"/>
    <mergeCell ref="C15:AK15"/>
    <mergeCell ref="C16:AK16"/>
    <mergeCell ref="C17:AK17"/>
    <mergeCell ref="C18:AK18"/>
    <mergeCell ref="C19:AK19"/>
    <mergeCell ref="B21:AK21"/>
    <mergeCell ref="D23:N23"/>
    <mergeCell ref="O23:AG23"/>
    <mergeCell ref="D24:N24"/>
    <mergeCell ref="O24:AG24"/>
    <mergeCell ref="D25:N25"/>
    <mergeCell ref="O25:AG25"/>
    <mergeCell ref="D26:N26"/>
    <mergeCell ref="O26:AG26"/>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36" t="s">
        <v>52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53</v>
      </c>
      <c r="B3" s="2"/>
      <c r="C3" s="2"/>
      <c r="D3" s="2"/>
      <c r="E3" s="2"/>
      <c r="F3" s="3"/>
      <c r="G3" s="4" t="s">
        <v>0</v>
      </c>
      <c r="H3" s="2"/>
      <c r="I3" s="2"/>
      <c r="J3" s="2"/>
      <c r="K3" s="2"/>
      <c r="L3" s="2"/>
      <c r="M3" s="2"/>
      <c r="N3" s="2"/>
      <c r="O3" s="3"/>
      <c r="P3" s="16" t="s">
        <v>54</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37" t="s">
        <v>55</v>
      </c>
      <c r="B6" s="38" t="s">
        <v>56</v>
      </c>
      <c r="C6" s="10"/>
      <c r="D6" s="10"/>
      <c r="E6" s="10"/>
      <c r="F6" s="10"/>
      <c r="G6" s="11"/>
      <c r="H6" s="33" t="s">
        <v>57</v>
      </c>
      <c r="I6" s="2"/>
      <c r="J6" s="2"/>
      <c r="K6" s="2"/>
      <c r="L6" s="2"/>
      <c r="M6" s="2"/>
      <c r="N6" s="2"/>
      <c r="O6" s="2"/>
      <c r="P6" s="3"/>
      <c r="Q6" s="38" t="s">
        <v>58</v>
      </c>
      <c r="R6" s="10"/>
      <c r="S6" s="11"/>
      <c r="T6" s="33" t="s">
        <v>59</v>
      </c>
      <c r="U6" s="2"/>
      <c r="V6" s="2"/>
      <c r="W6" s="2"/>
      <c r="X6" s="2"/>
      <c r="Y6" s="2"/>
      <c r="Z6" s="2"/>
      <c r="AA6" s="2"/>
      <c r="AB6" s="2"/>
      <c r="AC6" s="2"/>
      <c r="AD6" s="2"/>
      <c r="AE6" s="2"/>
      <c r="AF6" s="2"/>
      <c r="AG6" s="2"/>
      <c r="AH6" s="3"/>
    </row>
    <row r="7" ht="22.5" customHeight="1" spans="1:34">
      <c r="A7" s="12"/>
      <c r="B7" s="13"/>
      <c r="C7" s="14"/>
      <c r="D7" s="14"/>
      <c r="E7" s="14"/>
      <c r="F7" s="14"/>
      <c r="G7" s="15"/>
      <c r="H7" s="33" t="s">
        <v>60</v>
      </c>
      <c r="I7" s="2"/>
      <c r="J7" s="3"/>
      <c r="K7" s="33" t="s">
        <v>61</v>
      </c>
      <c r="L7" s="2"/>
      <c r="M7" s="3"/>
      <c r="N7" s="33" t="s">
        <v>62</v>
      </c>
      <c r="O7" s="2"/>
      <c r="P7" s="3"/>
      <c r="Q7" s="13"/>
      <c r="R7" s="14"/>
      <c r="S7" s="15"/>
      <c r="T7" s="33" t="s">
        <v>63</v>
      </c>
      <c r="U7" s="2"/>
      <c r="V7" s="3"/>
      <c r="W7" s="33" t="s">
        <v>64</v>
      </c>
      <c r="X7" s="2"/>
      <c r="Y7" s="3"/>
      <c r="Z7" s="33" t="s">
        <v>65</v>
      </c>
      <c r="AA7" s="2"/>
      <c r="AB7" s="3"/>
      <c r="AC7" s="33" t="s">
        <v>66</v>
      </c>
      <c r="AD7" s="2"/>
      <c r="AE7" s="3"/>
      <c r="AF7" s="33" t="s">
        <v>67</v>
      </c>
      <c r="AG7" s="2"/>
      <c r="AH7" s="3"/>
    </row>
    <row r="8" ht="22.5" customHeight="1" spans="1:34">
      <c r="A8" s="39" t="s">
        <v>68</v>
      </c>
    </row>
    <row r="9" ht="22.5" customHeight="1" spans="1:34">
      <c r="A9" s="40">
        <v>1</v>
      </c>
      <c r="B9" s="4" t="s">
        <v>69</v>
      </c>
      <c r="C9" s="2"/>
      <c r="D9" s="2"/>
      <c r="E9" s="2"/>
      <c r="F9" s="2"/>
      <c r="G9" s="3"/>
      <c r="H9" s="6">
        <f ca="1" t="array" ref="H9">INDIRECT("'"&amp;$B9&amp;"'!H7",TRUE)</f>
        <v>21</v>
      </c>
      <c r="I9" s="2"/>
      <c r="J9" s="3"/>
      <c r="K9" s="6">
        <f ca="1" t="array" ref="K9">INDIRECT("'"&amp;$B9&amp;"'!K7",TRUE)</f>
        <v>29</v>
      </c>
      <c r="L9" s="2"/>
      <c r="M9" s="3"/>
      <c r="N9" s="6">
        <f ca="1" t="array" ref="N9">INDIRECT("'"&amp;$B9&amp;"'!N7",TRUE)</f>
        <v>12</v>
      </c>
      <c r="O9" s="2"/>
      <c r="P9" s="3"/>
      <c r="Q9" s="6">
        <f ca="1" t="array" ref="Q9">INDIRECT("'"&amp;$B9&amp;"'!Q7",TRUE)</f>
        <v>62</v>
      </c>
      <c r="R9" s="2"/>
      <c r="S9" s="3"/>
      <c r="T9" s="6">
        <f ca="1" t="array" ref="T9">INDIRECT("'"&amp;$B9&amp;"'!T7",TRUE)</f>
        <v>56</v>
      </c>
      <c r="U9" s="2"/>
      <c r="V9" s="3"/>
      <c r="W9" s="6">
        <f ca="1" t="array" ref="W9">INDIRECT("'"&amp;$B9&amp;"'!W7",TRUE)</f>
        <v>0</v>
      </c>
      <c r="X9" s="2"/>
      <c r="Y9" s="3"/>
      <c r="Z9" s="6">
        <f ca="1" t="array" ref="Z9">INDIRECT("'"&amp;$B9&amp;"'!Z7",TRUE)</f>
        <v>5</v>
      </c>
      <c r="AA9" s="2"/>
      <c r="AB9" s="3"/>
      <c r="AC9" s="6">
        <f ca="1" t="array" ref="AC9">INDIRECT("'"&amp;$B9&amp;"'!AC7",TRUE)</f>
        <v>0</v>
      </c>
      <c r="AD9" s="2"/>
      <c r="AE9" s="3"/>
      <c r="AF9" s="41">
        <f ca="1">IFERROR((T9+W9+AC9)/Q9,0)</f>
        <v>0.903225806451613</v>
      </c>
      <c r="AG9" s="2"/>
      <c r="AH9" s="3"/>
    </row>
    <row r="10" ht="22.5" customHeight="1" spans="1:34">
      <c r="A10" s="40">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1"/>
      <c r="AG10" s="2"/>
      <c r="AH10" s="3"/>
    </row>
    <row r="11" ht="22.5" customHeight="1" spans="1:34">
      <c r="A11" s="40"/>
      <c r="B11" s="33" t="s">
        <v>58</v>
      </c>
      <c r="C11" s="2"/>
      <c r="D11" s="2"/>
      <c r="E11" s="2"/>
      <c r="F11" s="2"/>
      <c r="G11" s="3"/>
      <c r="H11" s="7">
        <f ca="1">SUM(H9:J10)</f>
        <v>21</v>
      </c>
      <c r="I11" s="2"/>
      <c r="J11" s="3"/>
      <c r="K11" s="7">
        <f ca="1">SUM(K9:M10)</f>
        <v>29</v>
      </c>
      <c r="L11" s="2"/>
      <c r="M11" s="3"/>
      <c r="N11" s="7">
        <f ca="1">SUM(N9:P10)</f>
        <v>12</v>
      </c>
      <c r="O11" s="2"/>
      <c r="P11" s="3"/>
      <c r="Q11" s="7">
        <f ca="1">SUM(Q9:S10)</f>
        <v>62</v>
      </c>
      <c r="R11" s="2"/>
      <c r="S11" s="3"/>
      <c r="T11" s="7">
        <f ca="1">SUM(T9:V10)</f>
        <v>56</v>
      </c>
      <c r="U11" s="2"/>
      <c r="V11" s="3"/>
      <c r="W11" s="7">
        <f ca="1">SUM(W9:Y10)</f>
        <v>0</v>
      </c>
      <c r="X11" s="2"/>
      <c r="Y11" s="3"/>
      <c r="Z11" s="7">
        <f ca="1">SUM(Z9:AB10)</f>
        <v>5</v>
      </c>
      <c r="AA11" s="2"/>
      <c r="AB11" s="3"/>
      <c r="AC11" s="7">
        <f ca="1">SUM(AC9:AE10)</f>
        <v>0</v>
      </c>
      <c r="AD11" s="2"/>
      <c r="AE11" s="3"/>
      <c r="AF11" s="42">
        <f ca="1">IFERROR((T11+W11+AC11)/Q11,0)</f>
        <v>0.903225806451613</v>
      </c>
      <c r="AG11" s="2"/>
      <c r="AH11" s="3"/>
    </row>
    <row r="12" ht="22.5" customHeight="1" spans="1:34">
      <c r="A12" s="39" t="s">
        <v>70</v>
      </c>
    </row>
    <row r="13" ht="22.5" customHeight="1" spans="1:34">
      <c r="A13" s="40">
        <v>1</v>
      </c>
      <c r="B13" s="4" t="s">
        <v>69</v>
      </c>
      <c r="C13" s="2"/>
      <c r="D13" s="2"/>
      <c r="E13" s="2"/>
      <c r="F13" s="2"/>
      <c r="G13" s="3"/>
      <c r="H13" s="6">
        <f ca="1" t="array" ref="H13">INDIRECT("'"&amp;$B13&amp;"'!H8",TRUE)</f>
        <v>21</v>
      </c>
      <c r="I13" s="2"/>
      <c r="J13" s="3"/>
      <c r="K13" s="6">
        <f ca="1" t="array" ref="K13">INDIRECT("'"&amp;$B13&amp;"'!K8",TRUE)</f>
        <v>29</v>
      </c>
      <c r="L13" s="2"/>
      <c r="M13" s="3"/>
      <c r="N13" s="6">
        <f ca="1" t="array" ref="N13">INDIRECT("'"&amp;$B13&amp;"'!N8",TRUE)</f>
        <v>12</v>
      </c>
      <c r="O13" s="2"/>
      <c r="P13" s="3"/>
      <c r="Q13" s="6">
        <f ca="1" t="array" ref="Q13">INDIRECT("'"&amp;$B13&amp;"'!Q8",TRUE)</f>
        <v>62</v>
      </c>
      <c r="R13" s="2"/>
      <c r="S13" s="3"/>
      <c r="T13" s="6">
        <f ca="1" t="array" ref="T13">INDIRECT("'"&amp;$B13&amp;"'!T8",TRUE)</f>
        <v>62</v>
      </c>
      <c r="U13" s="2"/>
      <c r="V13" s="3"/>
      <c r="W13" s="6">
        <f ca="1" t="array" ref="W13">INDIRECT("'"&amp;$B13&amp;"'!W8",TRUE)</f>
        <v>0</v>
      </c>
      <c r="X13" s="2"/>
      <c r="Y13" s="3"/>
      <c r="Z13" s="6">
        <f ca="1" t="array" ref="Z13">INDIRECT("'"&amp;$B13&amp;"'!Z8",TRUE)</f>
        <v>0</v>
      </c>
      <c r="AA13" s="2"/>
      <c r="AB13" s="3"/>
      <c r="AC13" s="6">
        <f ca="1" t="array" ref="AC13">INDIRECT("'"&amp;$B13&amp;"'!AC8",TRUE)</f>
        <v>0</v>
      </c>
      <c r="AD13" s="2"/>
      <c r="AE13" s="3"/>
      <c r="AF13" s="41">
        <f ca="1">IFERROR((T13+W13+AC13)/Q13,0)</f>
        <v>1</v>
      </c>
      <c r="AG13" s="2"/>
      <c r="AH13" s="3"/>
    </row>
    <row r="14" ht="22.5" customHeight="1" spans="1:34">
      <c r="A14" s="40">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1"/>
      <c r="AG14" s="2"/>
      <c r="AH14" s="3"/>
    </row>
    <row r="15" ht="22.5" customHeight="1" spans="1:34">
      <c r="A15" s="40"/>
      <c r="B15" s="33" t="s">
        <v>58</v>
      </c>
      <c r="C15" s="2"/>
      <c r="D15" s="2"/>
      <c r="E15" s="2"/>
      <c r="F15" s="2"/>
      <c r="G15" s="3"/>
      <c r="H15" s="7">
        <f ca="1">SUM(H13:J14)</f>
        <v>21</v>
      </c>
      <c r="I15" s="2"/>
      <c r="J15" s="3"/>
      <c r="K15" s="7">
        <f ca="1">SUM(K13:M14)</f>
        <v>29</v>
      </c>
      <c r="L15" s="2"/>
      <c r="M15" s="3"/>
      <c r="N15" s="7">
        <f ca="1">SUM(N13:P14)</f>
        <v>12</v>
      </c>
      <c r="O15" s="2"/>
      <c r="P15" s="3"/>
      <c r="Q15" s="7">
        <f ca="1">SUM(Q13:S14)</f>
        <v>62</v>
      </c>
      <c r="R15" s="2"/>
      <c r="S15" s="3"/>
      <c r="T15" s="7">
        <f ca="1">SUM(T13:V14)</f>
        <v>62</v>
      </c>
      <c r="U15" s="2"/>
      <c r="V15" s="3"/>
      <c r="W15" s="7">
        <f ca="1">SUM(W13:Y14)</f>
        <v>0</v>
      </c>
      <c r="X15" s="2"/>
      <c r="Y15" s="3"/>
      <c r="Z15" s="7">
        <f ca="1">SUM(Z13:AB14)</f>
        <v>0</v>
      </c>
      <c r="AA15" s="2"/>
      <c r="AB15" s="3"/>
      <c r="AC15" s="7">
        <f ca="1">SUM(AC13:AE14)</f>
        <v>0</v>
      </c>
      <c r="AD15" s="2"/>
      <c r="AE15" s="3"/>
      <c r="AF15" s="42">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4" t="s">
        <v>19</v>
      </c>
      <c r="B1" s="2"/>
      <c r="C1" s="2"/>
      <c r="D1" s="2"/>
      <c r="E1" s="2"/>
      <c r="F1" s="2"/>
      <c r="G1" s="2"/>
      <c r="H1" s="2"/>
      <c r="I1" s="3"/>
      <c r="J1" s="24" t="s">
        <v>20</v>
      </c>
      <c r="K1" s="2"/>
      <c r="L1" s="2"/>
      <c r="M1" s="2"/>
      <c r="N1" s="2"/>
      <c r="O1" s="2"/>
      <c r="P1" s="3"/>
      <c r="Q1" s="24" t="s">
        <v>21</v>
      </c>
      <c r="R1" s="2"/>
      <c r="S1" s="2"/>
      <c r="T1" s="2"/>
      <c r="U1" s="3"/>
      <c r="V1" s="24" t="s">
        <v>22</v>
      </c>
      <c r="W1" s="2"/>
      <c r="X1" s="2"/>
      <c r="Y1" s="3"/>
      <c r="Z1" s="24" t="s">
        <v>23</v>
      </c>
      <c r="AA1" s="2"/>
      <c r="AB1" s="2"/>
      <c r="AC1" s="3"/>
      <c r="AD1" s="24" t="s">
        <v>24</v>
      </c>
      <c r="AE1" s="2"/>
      <c r="AF1" s="2"/>
      <c r="AG1" s="3"/>
      <c r="AH1" s="24" t="s">
        <v>25</v>
      </c>
      <c r="AI1" s="2"/>
      <c r="AJ1" s="2"/>
      <c r="AK1" s="3"/>
    </row>
    <row r="2" ht="19.5" customHeight="1" spans="1:37">
      <c r="A2" s="25" t="s">
        <v>0</v>
      </c>
      <c r="B2" s="10"/>
      <c r="C2" s="10"/>
      <c r="D2" s="10"/>
      <c r="E2" s="10"/>
      <c r="F2" s="10"/>
      <c r="G2" s="10"/>
      <c r="H2" s="10"/>
      <c r="I2" s="11"/>
      <c r="J2" s="25" t="s">
        <v>26</v>
      </c>
      <c r="K2" s="10"/>
      <c r="L2" s="10"/>
      <c r="M2" s="10"/>
      <c r="N2" s="10"/>
      <c r="O2" s="10"/>
      <c r="P2" s="11"/>
      <c r="Q2" s="25" t="s">
        <v>71</v>
      </c>
      <c r="R2" s="10"/>
      <c r="S2" s="10"/>
      <c r="T2" s="10"/>
      <c r="U2" s="11"/>
      <c r="V2" s="26" t="s">
        <v>8</v>
      </c>
      <c r="W2" s="10"/>
      <c r="X2" s="10"/>
      <c r="Y2" s="11"/>
      <c r="Z2" s="25" t="s">
        <v>16</v>
      </c>
      <c r="AA2" s="10"/>
      <c r="AB2" s="10"/>
      <c r="AC2" s="11"/>
      <c r="AD2" s="26" t="s">
        <v>8</v>
      </c>
      <c r="AE2" s="10"/>
      <c r="AF2" s="10"/>
      <c r="AG2" s="11"/>
      <c r="AH2" s="25"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27" t="s">
        <v>72</v>
      </c>
    </row>
    <row r="7" ht="28.5" customHeight="1" spans="1:37">
      <c r="B7" s="28" t="s">
        <v>55</v>
      </c>
      <c r="C7" s="1" t="s">
        <v>73</v>
      </c>
      <c r="D7" s="2"/>
      <c r="E7" s="3"/>
      <c r="F7" s="1" t="s">
        <v>74</v>
      </c>
      <c r="G7" s="2"/>
      <c r="H7" s="2"/>
      <c r="I7" s="2"/>
      <c r="J7" s="2"/>
      <c r="K7" s="2"/>
      <c r="L7" s="3"/>
      <c r="M7" s="1" t="s">
        <v>75</v>
      </c>
      <c r="N7" s="2"/>
      <c r="O7" s="2"/>
      <c r="P7" s="2"/>
      <c r="Q7" s="2"/>
      <c r="R7" s="2"/>
      <c r="S7" s="2"/>
      <c r="T7" s="3"/>
      <c r="U7" s="1" t="s">
        <v>76</v>
      </c>
      <c r="V7" s="3"/>
      <c r="W7" s="1" t="s">
        <v>77</v>
      </c>
      <c r="X7" s="2"/>
      <c r="Y7" s="2"/>
      <c r="Z7" s="2"/>
      <c r="AA7" s="2"/>
      <c r="AB7" s="2"/>
      <c r="AC7" s="3"/>
      <c r="AD7" s="1" t="s">
        <v>78</v>
      </c>
      <c r="AE7" s="2"/>
      <c r="AF7" s="3"/>
    </row>
    <row r="8" ht="30" customHeight="1" spans="1:37">
      <c r="B8" s="17">
        <v>1</v>
      </c>
      <c r="C8" s="19" t="s">
        <v>79</v>
      </c>
      <c r="D8" s="2"/>
      <c r="E8" s="3"/>
      <c r="F8" s="18" t="s">
        <v>80</v>
      </c>
      <c r="G8" s="2"/>
      <c r="H8" s="2"/>
      <c r="I8" s="2"/>
      <c r="J8" s="2"/>
      <c r="K8" s="2"/>
      <c r="L8" s="3"/>
      <c r="M8" s="18" t="s">
        <v>81</v>
      </c>
      <c r="N8" s="2"/>
      <c r="O8" s="2"/>
      <c r="P8" s="2"/>
      <c r="Q8" s="2"/>
      <c r="R8" s="2"/>
      <c r="S8" s="2"/>
      <c r="T8" s="3"/>
      <c r="U8" s="29" t="s">
        <v>82</v>
      </c>
      <c r="V8" s="3"/>
      <c r="W8" s="18" t="s">
        <v>83</v>
      </c>
      <c r="X8" s="2"/>
      <c r="Y8" s="2"/>
      <c r="Z8" s="2"/>
      <c r="AA8" s="2"/>
      <c r="AB8" s="2"/>
      <c r="AC8" s="3"/>
      <c r="AD8" s="19">
        <v>265</v>
      </c>
      <c r="AE8" s="2"/>
      <c r="AF8" s="3"/>
    </row>
    <row r="9" ht="30" customHeight="1" spans="1:37">
      <c r="B9" s="17">
        <v>2</v>
      </c>
      <c r="C9" s="19" t="s">
        <v>84</v>
      </c>
      <c r="D9" s="2"/>
      <c r="E9" s="3"/>
      <c r="F9" s="18" t="s">
        <v>80</v>
      </c>
      <c r="G9" s="2"/>
      <c r="H9" s="2"/>
      <c r="I9" s="2"/>
      <c r="J9" s="2"/>
      <c r="K9" s="2"/>
      <c r="L9" s="3"/>
      <c r="M9" s="18" t="s">
        <v>85</v>
      </c>
      <c r="N9" s="2"/>
      <c r="O9" s="2"/>
      <c r="P9" s="2"/>
      <c r="Q9" s="2"/>
      <c r="R9" s="2"/>
      <c r="S9" s="2"/>
      <c r="T9" s="3"/>
      <c r="U9" s="29" t="s">
        <v>82</v>
      </c>
      <c r="V9" s="3"/>
      <c r="W9" s="18" t="s">
        <v>86</v>
      </c>
      <c r="X9" s="2"/>
      <c r="Y9" s="2"/>
      <c r="Z9" s="2"/>
      <c r="AA9" s="2"/>
      <c r="AB9" s="2"/>
      <c r="AC9" s="3"/>
      <c r="AD9" s="19">
        <v>200</v>
      </c>
      <c r="AE9" s="2"/>
      <c r="AF9" s="3"/>
    </row>
    <row r="10" ht="36" customHeight="1" spans="1:37">
      <c r="B10" s="17">
        <v>3</v>
      </c>
      <c r="C10" s="19" t="s">
        <v>87</v>
      </c>
      <c r="D10" s="2"/>
      <c r="E10" s="3"/>
      <c r="F10" s="18" t="s">
        <v>80</v>
      </c>
      <c r="G10" s="2"/>
      <c r="H10" s="2"/>
      <c r="I10" s="2"/>
      <c r="J10" s="2"/>
      <c r="K10" s="2"/>
      <c r="L10" s="3"/>
      <c r="M10" s="18" t="s">
        <v>88</v>
      </c>
      <c r="N10" s="2"/>
      <c r="O10" s="2"/>
      <c r="P10" s="2"/>
      <c r="Q10" s="2"/>
      <c r="R10" s="2"/>
      <c r="S10" s="2"/>
      <c r="T10" s="3"/>
      <c r="U10" s="29" t="s">
        <v>82</v>
      </c>
      <c r="V10" s="3"/>
      <c r="W10" s="18" t="s">
        <v>89</v>
      </c>
      <c r="X10" s="2"/>
      <c r="Y10" s="2"/>
      <c r="Z10" s="2"/>
      <c r="AA10" s="2"/>
      <c r="AB10" s="2"/>
      <c r="AC10" s="3"/>
      <c r="AD10" s="19">
        <v>50</v>
      </c>
      <c r="AE10" s="2"/>
      <c r="AF10" s="3"/>
    </row>
    <row r="11" ht="30" customHeight="1" spans="1:37">
      <c r="B11" s="17">
        <v>4</v>
      </c>
      <c r="C11" s="19" t="s">
        <v>90</v>
      </c>
      <c r="D11" s="2"/>
      <c r="E11" s="3"/>
      <c r="F11" s="18" t="s">
        <v>80</v>
      </c>
      <c r="G11" s="2"/>
      <c r="H11" s="2"/>
      <c r="I11" s="2"/>
      <c r="J11" s="2"/>
      <c r="K11" s="2"/>
      <c r="L11" s="3"/>
      <c r="M11" s="18" t="s">
        <v>91</v>
      </c>
      <c r="N11" s="2"/>
      <c r="O11" s="2"/>
      <c r="P11" s="2"/>
      <c r="Q11" s="2"/>
      <c r="R11" s="2"/>
      <c r="S11" s="2"/>
      <c r="T11" s="3"/>
      <c r="U11" s="29" t="s">
        <v>82</v>
      </c>
      <c r="V11" s="3"/>
      <c r="W11" s="18" t="s">
        <v>83</v>
      </c>
      <c r="X11" s="2"/>
      <c r="Y11" s="2"/>
      <c r="Z11" s="2"/>
      <c r="AA11" s="2"/>
      <c r="AB11" s="2"/>
      <c r="AC11" s="3"/>
      <c r="AD11" s="19">
        <v>75</v>
      </c>
      <c r="AE11" s="2"/>
      <c r="AF11" s="3"/>
    </row>
    <row r="12" ht="30" customHeight="1" spans="1:37">
      <c r="B12" s="17">
        <v>5</v>
      </c>
      <c r="C12" s="19" t="s">
        <v>92</v>
      </c>
      <c r="D12" s="2"/>
      <c r="E12" s="3"/>
      <c r="F12" s="18" t="s">
        <v>80</v>
      </c>
      <c r="G12" s="2"/>
      <c r="H12" s="2"/>
      <c r="I12" s="2"/>
      <c r="J12" s="2"/>
      <c r="K12" s="2"/>
      <c r="L12" s="3"/>
      <c r="M12" s="18" t="s">
        <v>93</v>
      </c>
      <c r="N12" s="2"/>
      <c r="O12" s="2"/>
      <c r="P12" s="2"/>
      <c r="Q12" s="2"/>
      <c r="R12" s="2"/>
      <c r="S12" s="2"/>
      <c r="T12" s="3"/>
      <c r="U12" s="29" t="s">
        <v>82</v>
      </c>
      <c r="V12" s="3"/>
      <c r="W12" s="18" t="s">
        <v>94</v>
      </c>
      <c r="X12" s="2"/>
      <c r="Y12" s="2"/>
      <c r="Z12" s="2"/>
      <c r="AA12" s="2"/>
      <c r="AB12" s="2"/>
      <c r="AC12" s="3"/>
      <c r="AD12" s="19">
        <v>30</v>
      </c>
      <c r="AE12" s="2"/>
      <c r="AF12" s="3"/>
    </row>
    <row r="13" ht="30" customHeight="1" spans="1:37">
      <c r="B13" s="17">
        <v>6</v>
      </c>
      <c r="C13" s="19" t="s">
        <v>95</v>
      </c>
      <c r="D13" s="2"/>
      <c r="E13" s="3"/>
      <c r="F13" s="18" t="s">
        <v>80</v>
      </c>
      <c r="G13" s="2"/>
      <c r="H13" s="2"/>
      <c r="I13" s="2"/>
      <c r="J13" s="2"/>
      <c r="K13" s="2"/>
      <c r="L13" s="3"/>
      <c r="M13" s="18" t="s">
        <v>96</v>
      </c>
      <c r="N13" s="2"/>
      <c r="O13" s="2"/>
      <c r="P13" s="2"/>
      <c r="Q13" s="2"/>
      <c r="R13" s="2"/>
      <c r="S13" s="2"/>
      <c r="T13" s="3"/>
      <c r="U13" s="29" t="s">
        <v>82</v>
      </c>
      <c r="V13" s="3"/>
      <c r="W13" s="18" t="s">
        <v>97</v>
      </c>
      <c r="X13" s="2"/>
      <c r="Y13" s="2"/>
      <c r="Z13" s="2"/>
      <c r="AA13" s="2"/>
      <c r="AB13" s="2"/>
      <c r="AC13" s="3"/>
      <c r="AD13" s="19">
        <v>50</v>
      </c>
      <c r="AE13" s="2"/>
      <c r="AF13" s="3"/>
    </row>
    <row r="14" ht="30" customHeight="1" spans="1:37">
      <c r="B14" s="17">
        <v>7</v>
      </c>
      <c r="C14" s="19" t="s">
        <v>98</v>
      </c>
      <c r="D14" s="2"/>
      <c r="E14" s="3"/>
      <c r="F14" s="18" t="s">
        <v>80</v>
      </c>
      <c r="G14" s="2"/>
      <c r="H14" s="2"/>
      <c r="I14" s="2"/>
      <c r="J14" s="2"/>
      <c r="K14" s="2"/>
      <c r="L14" s="3"/>
      <c r="M14" s="18" t="s">
        <v>99</v>
      </c>
      <c r="N14" s="2"/>
      <c r="O14" s="2"/>
      <c r="P14" s="2"/>
      <c r="Q14" s="2"/>
      <c r="R14" s="2"/>
      <c r="S14" s="2"/>
      <c r="T14" s="3"/>
      <c r="U14" s="29" t="s">
        <v>82</v>
      </c>
      <c r="V14" s="3"/>
      <c r="W14" s="18" t="s">
        <v>94</v>
      </c>
      <c r="X14" s="2"/>
      <c r="Y14" s="2"/>
      <c r="Z14" s="2"/>
      <c r="AA14" s="2"/>
      <c r="AB14" s="2"/>
      <c r="AC14" s="3"/>
      <c r="AD14" s="19">
        <v>10</v>
      </c>
      <c r="AE14" s="2"/>
      <c r="AF14" s="3"/>
    </row>
    <row r="15" ht="30" customHeight="1" spans="1:37">
      <c r="B15" s="17">
        <v>8</v>
      </c>
      <c r="C15" s="19" t="s">
        <v>100</v>
      </c>
      <c r="D15" s="2"/>
      <c r="E15" s="3"/>
      <c r="F15" s="18" t="s">
        <v>80</v>
      </c>
      <c r="G15" s="2"/>
      <c r="H15" s="2"/>
      <c r="I15" s="2"/>
      <c r="J15" s="2"/>
      <c r="K15" s="2"/>
      <c r="L15" s="3"/>
      <c r="M15" s="18" t="s">
        <v>101</v>
      </c>
      <c r="N15" s="2"/>
      <c r="O15" s="2"/>
      <c r="P15" s="2"/>
      <c r="Q15" s="2"/>
      <c r="R15" s="2"/>
      <c r="S15" s="2"/>
      <c r="T15" s="3"/>
      <c r="U15" s="30" t="s">
        <v>102</v>
      </c>
      <c r="V15" s="3"/>
      <c r="W15" s="18" t="s">
        <v>103</v>
      </c>
      <c r="X15" s="2"/>
      <c r="Y15" s="2"/>
      <c r="Z15" s="2"/>
      <c r="AA15" s="2"/>
      <c r="AB15" s="2"/>
      <c r="AC15" s="3"/>
      <c r="AD15" s="19">
        <v>20</v>
      </c>
      <c r="AE15" s="2"/>
      <c r="AF15" s="3"/>
    </row>
    <row r="16" ht="30" customHeight="1" spans="1:37">
      <c r="B16" s="17">
        <v>9</v>
      </c>
      <c r="C16" s="19" t="s">
        <v>104</v>
      </c>
      <c r="D16" s="2"/>
      <c r="E16" s="3"/>
      <c r="F16" s="18" t="s">
        <v>80</v>
      </c>
      <c r="G16" s="2"/>
      <c r="H16" s="2"/>
      <c r="I16" s="2"/>
      <c r="J16" s="2"/>
      <c r="K16" s="2"/>
      <c r="L16" s="3"/>
      <c r="M16" s="18" t="s">
        <v>105</v>
      </c>
      <c r="N16" s="2"/>
      <c r="O16" s="2"/>
      <c r="P16" s="2"/>
      <c r="Q16" s="2"/>
      <c r="R16" s="2"/>
      <c r="S16" s="2"/>
      <c r="T16" s="3"/>
      <c r="U16" s="29" t="s">
        <v>82</v>
      </c>
      <c r="V16" s="3"/>
      <c r="W16" s="18" t="s">
        <v>106</v>
      </c>
      <c r="X16" s="2"/>
      <c r="Y16" s="2"/>
      <c r="Z16" s="2"/>
      <c r="AA16" s="2"/>
      <c r="AB16" s="2"/>
      <c r="AC16" s="3"/>
      <c r="AD16" s="19">
        <v>8</v>
      </c>
      <c r="AE16" s="2"/>
      <c r="AF16" s="3"/>
    </row>
    <row r="17" ht="30" customHeight="1" spans="2:32">
      <c r="B17" s="17">
        <v>10</v>
      </c>
      <c r="C17" s="19" t="s">
        <v>107</v>
      </c>
      <c r="D17" s="2"/>
      <c r="E17" s="3"/>
      <c r="F17" s="18" t="s">
        <v>80</v>
      </c>
      <c r="G17" s="2"/>
      <c r="H17" s="2"/>
      <c r="I17" s="2"/>
      <c r="J17" s="2"/>
      <c r="K17" s="2"/>
      <c r="L17" s="3"/>
      <c r="M17" s="18" t="s">
        <v>108</v>
      </c>
      <c r="N17" s="2"/>
      <c r="O17" s="2"/>
      <c r="P17" s="2"/>
      <c r="Q17" s="2"/>
      <c r="R17" s="2"/>
      <c r="S17" s="2"/>
      <c r="T17" s="3"/>
      <c r="U17" s="29" t="s">
        <v>82</v>
      </c>
      <c r="V17" s="3"/>
      <c r="W17" s="18" t="s">
        <v>109</v>
      </c>
      <c r="X17" s="2"/>
      <c r="Y17" s="2"/>
      <c r="Z17" s="2"/>
      <c r="AA17" s="2"/>
      <c r="AB17" s="2"/>
      <c r="AC17" s="3"/>
      <c r="AD17" s="19">
        <v>30</v>
      </c>
      <c r="AE17" s="2"/>
      <c r="AF17" s="3"/>
    </row>
    <row r="18" ht="30" customHeight="1" spans="2:32">
      <c r="B18" s="17">
        <v>11</v>
      </c>
      <c r="C18" s="19" t="s">
        <v>110</v>
      </c>
      <c r="D18" s="2"/>
      <c r="E18" s="3"/>
      <c r="F18" s="18" t="s">
        <v>111</v>
      </c>
      <c r="G18" s="2"/>
      <c r="H18" s="2"/>
      <c r="I18" s="2"/>
      <c r="J18" s="2"/>
      <c r="K18" s="2"/>
      <c r="L18" s="3"/>
      <c r="M18" s="18" t="s">
        <v>112</v>
      </c>
      <c r="N18" s="2"/>
      <c r="O18" s="2"/>
      <c r="P18" s="2"/>
      <c r="Q18" s="2"/>
      <c r="R18" s="2"/>
      <c r="S18" s="2"/>
      <c r="T18" s="3"/>
      <c r="U18" s="30" t="s">
        <v>102</v>
      </c>
      <c r="V18" s="3"/>
      <c r="W18" s="18" t="s">
        <v>113</v>
      </c>
      <c r="X18" s="2"/>
      <c r="Y18" s="2"/>
      <c r="Z18" s="2"/>
      <c r="AA18" s="2"/>
      <c r="AB18" s="2"/>
      <c r="AC18" s="3"/>
      <c r="AD18" s="19">
        <v>100</v>
      </c>
      <c r="AE18" s="2"/>
      <c r="AF18" s="3"/>
    </row>
    <row r="19" ht="30" customHeight="1" spans="2:32">
      <c r="B19" s="17">
        <v>12</v>
      </c>
      <c r="C19" s="19" t="s">
        <v>114</v>
      </c>
      <c r="D19" s="2"/>
      <c r="E19" s="3"/>
      <c r="F19" s="18" t="s">
        <v>111</v>
      </c>
      <c r="G19" s="2"/>
      <c r="H19" s="2"/>
      <c r="I19" s="2"/>
      <c r="J19" s="2"/>
      <c r="K19" s="2"/>
      <c r="L19" s="3"/>
      <c r="M19" s="18" t="s">
        <v>115</v>
      </c>
      <c r="N19" s="2"/>
      <c r="O19" s="2"/>
      <c r="P19" s="2"/>
      <c r="Q19" s="2"/>
      <c r="R19" s="2"/>
      <c r="S19" s="2"/>
      <c r="T19" s="3"/>
      <c r="U19" s="30" t="s">
        <v>102</v>
      </c>
      <c r="V19" s="3"/>
      <c r="W19" s="18" t="s">
        <v>113</v>
      </c>
      <c r="X19" s="2"/>
      <c r="Y19" s="2"/>
      <c r="Z19" s="2"/>
      <c r="AA19" s="2"/>
      <c r="AB19" s="2"/>
      <c r="AC19" s="3"/>
      <c r="AD19" s="19">
        <v>80</v>
      </c>
      <c r="AE19" s="2"/>
      <c r="AF19" s="3"/>
    </row>
    <row r="20" ht="30" customHeight="1" spans="2:32">
      <c r="B20" s="17">
        <v>13</v>
      </c>
      <c r="C20" s="19" t="s">
        <v>116</v>
      </c>
      <c r="D20" s="2"/>
      <c r="E20" s="3"/>
      <c r="F20" s="18" t="s">
        <v>111</v>
      </c>
      <c r="G20" s="2"/>
      <c r="H20" s="2"/>
      <c r="I20" s="2"/>
      <c r="J20" s="2"/>
      <c r="K20" s="2"/>
      <c r="L20" s="3"/>
      <c r="M20" s="18" t="s">
        <v>117</v>
      </c>
      <c r="N20" s="2"/>
      <c r="O20" s="2"/>
      <c r="P20" s="2"/>
      <c r="Q20" s="2"/>
      <c r="R20" s="2"/>
      <c r="S20" s="2"/>
      <c r="T20" s="3"/>
      <c r="U20" s="30" t="s">
        <v>102</v>
      </c>
      <c r="V20" s="3"/>
      <c r="W20" s="18" t="s">
        <v>97</v>
      </c>
      <c r="X20" s="2"/>
      <c r="Y20" s="2"/>
      <c r="Z20" s="2"/>
      <c r="AA20" s="2"/>
      <c r="AB20" s="2"/>
      <c r="AC20" s="3"/>
      <c r="AD20" s="19">
        <v>60</v>
      </c>
      <c r="AE20" s="2"/>
      <c r="AF20" s="3"/>
    </row>
    <row r="21" ht="30" customHeight="1" spans="2:32">
      <c r="B21" s="17">
        <v>14</v>
      </c>
      <c r="C21" s="19" t="s">
        <v>118</v>
      </c>
      <c r="D21" s="2"/>
      <c r="E21" s="3"/>
      <c r="F21" s="18" t="s">
        <v>111</v>
      </c>
      <c r="G21" s="2"/>
      <c r="H21" s="2"/>
      <c r="I21" s="2"/>
      <c r="J21" s="2"/>
      <c r="K21" s="2"/>
      <c r="L21" s="3"/>
      <c r="M21" s="18" t="s">
        <v>119</v>
      </c>
      <c r="N21" s="2"/>
      <c r="O21" s="2"/>
      <c r="P21" s="2"/>
      <c r="Q21" s="2"/>
      <c r="R21" s="2"/>
      <c r="S21" s="2"/>
      <c r="T21" s="3"/>
      <c r="U21" s="30" t="s">
        <v>102</v>
      </c>
      <c r="V21" s="3"/>
      <c r="W21" s="18" t="s">
        <v>113</v>
      </c>
      <c r="X21" s="2"/>
      <c r="Y21" s="2"/>
      <c r="Z21" s="2"/>
      <c r="AA21" s="2"/>
      <c r="AB21" s="2"/>
      <c r="AC21" s="3"/>
      <c r="AD21" s="19">
        <v>50</v>
      </c>
      <c r="AE21" s="2"/>
      <c r="AF21" s="3"/>
    </row>
    <row r="22" ht="30" customHeight="1" spans="2:32">
      <c r="B22" s="17">
        <v>15</v>
      </c>
      <c r="C22" s="19" t="s">
        <v>120</v>
      </c>
      <c r="D22" s="2"/>
      <c r="E22" s="3"/>
      <c r="F22" s="18" t="s">
        <v>111</v>
      </c>
      <c r="G22" s="2"/>
      <c r="H22" s="2"/>
      <c r="I22" s="2"/>
      <c r="J22" s="2"/>
      <c r="K22" s="2"/>
      <c r="L22" s="3"/>
      <c r="M22" s="18" t="s">
        <v>121</v>
      </c>
      <c r="N22" s="2"/>
      <c r="O22" s="2"/>
      <c r="P22" s="2"/>
      <c r="Q22" s="2"/>
      <c r="R22" s="2"/>
      <c r="S22" s="2"/>
      <c r="T22" s="3"/>
      <c r="U22" s="30" t="s">
        <v>102</v>
      </c>
      <c r="V22" s="3"/>
      <c r="W22" s="18" t="s">
        <v>122</v>
      </c>
      <c r="X22" s="2"/>
      <c r="Y22" s="2"/>
      <c r="Z22" s="2"/>
      <c r="AA22" s="2"/>
      <c r="AB22" s="2"/>
      <c r="AC22" s="3"/>
      <c r="AD22" s="19">
        <v>30</v>
      </c>
      <c r="AE22" s="2"/>
      <c r="AF22" s="3"/>
    </row>
    <row r="23" ht="30" customHeight="1" spans="2:32">
      <c r="B23" s="17">
        <v>16</v>
      </c>
      <c r="C23" s="19" t="s">
        <v>123</v>
      </c>
      <c r="D23" s="2"/>
      <c r="E23" s="3"/>
      <c r="F23" s="18" t="s">
        <v>111</v>
      </c>
      <c r="G23" s="2"/>
      <c r="H23" s="2"/>
      <c r="I23" s="2"/>
      <c r="J23" s="2"/>
      <c r="K23" s="2"/>
      <c r="L23" s="3"/>
      <c r="M23" s="18" t="s">
        <v>124</v>
      </c>
      <c r="N23" s="2"/>
      <c r="O23" s="2"/>
      <c r="P23" s="2"/>
      <c r="Q23" s="2"/>
      <c r="R23" s="2"/>
      <c r="S23" s="2"/>
      <c r="T23" s="3"/>
      <c r="U23" s="29" t="s">
        <v>82</v>
      </c>
      <c r="V23" s="3"/>
      <c r="W23" s="18" t="s">
        <v>125</v>
      </c>
      <c r="X23" s="2"/>
      <c r="Y23" s="2"/>
      <c r="Z23" s="2"/>
      <c r="AA23" s="2"/>
      <c r="AB23" s="2"/>
      <c r="AC23" s="3"/>
      <c r="AD23" s="19">
        <v>15</v>
      </c>
      <c r="AE23" s="2"/>
      <c r="AF23" s="3"/>
    </row>
    <row r="24" ht="36" customHeight="1" spans="2:32">
      <c r="B24" s="17">
        <v>17</v>
      </c>
      <c r="C24" s="19" t="s">
        <v>126</v>
      </c>
      <c r="D24" s="2"/>
      <c r="E24" s="3"/>
      <c r="F24" s="18" t="s">
        <v>111</v>
      </c>
      <c r="G24" s="2"/>
      <c r="H24" s="2"/>
      <c r="I24" s="2"/>
      <c r="J24" s="2"/>
      <c r="K24" s="2"/>
      <c r="L24" s="3"/>
      <c r="M24" s="18" t="s">
        <v>127</v>
      </c>
      <c r="N24" s="2"/>
      <c r="O24" s="2"/>
      <c r="P24" s="2"/>
      <c r="Q24" s="2"/>
      <c r="R24" s="2"/>
      <c r="S24" s="2"/>
      <c r="T24" s="3"/>
      <c r="U24" s="30" t="s">
        <v>102</v>
      </c>
      <c r="V24" s="3"/>
      <c r="W24" s="18" t="s">
        <v>128</v>
      </c>
      <c r="X24" s="2"/>
      <c r="Y24" s="2"/>
      <c r="Z24" s="2"/>
      <c r="AA24" s="2"/>
      <c r="AB24" s="2"/>
      <c r="AC24" s="3"/>
      <c r="AD24" s="19">
        <v>45</v>
      </c>
      <c r="AE24" s="2"/>
      <c r="AF24" s="3"/>
    </row>
    <row r="25" ht="30" customHeight="1" spans="2:32">
      <c r="B25" s="17">
        <v>18</v>
      </c>
      <c r="C25" s="19" t="s">
        <v>129</v>
      </c>
      <c r="D25" s="2"/>
      <c r="E25" s="3"/>
      <c r="F25" s="18" t="s">
        <v>111</v>
      </c>
      <c r="G25" s="2"/>
      <c r="H25" s="2"/>
      <c r="I25" s="2"/>
      <c r="J25" s="2"/>
      <c r="K25" s="2"/>
      <c r="L25" s="3"/>
      <c r="M25" s="18" t="s">
        <v>130</v>
      </c>
      <c r="N25" s="2"/>
      <c r="O25" s="2"/>
      <c r="P25" s="2"/>
      <c r="Q25" s="2"/>
      <c r="R25" s="2"/>
      <c r="S25" s="2"/>
      <c r="T25" s="3"/>
      <c r="U25" s="30" t="s">
        <v>102</v>
      </c>
      <c r="V25" s="3"/>
      <c r="W25" s="18" t="s">
        <v>131</v>
      </c>
      <c r="X25" s="2"/>
      <c r="Y25" s="2"/>
      <c r="Z25" s="2"/>
      <c r="AA25" s="2"/>
      <c r="AB25" s="2"/>
      <c r="AC25" s="3"/>
      <c r="AD25" s="19">
        <v>30</v>
      </c>
      <c r="AE25" s="2"/>
      <c r="AF25" s="3"/>
    </row>
    <row r="26" ht="36" customHeight="1" spans="2:32">
      <c r="B26" s="17">
        <v>19</v>
      </c>
      <c r="C26" s="19" t="s">
        <v>132</v>
      </c>
      <c r="D26" s="2"/>
      <c r="E26" s="3"/>
      <c r="F26" s="18" t="s">
        <v>111</v>
      </c>
      <c r="G26" s="2"/>
      <c r="H26" s="2"/>
      <c r="I26" s="2"/>
      <c r="J26" s="2"/>
      <c r="K26" s="2"/>
      <c r="L26" s="3"/>
      <c r="M26" s="18" t="s">
        <v>133</v>
      </c>
      <c r="N26" s="2"/>
      <c r="O26" s="2"/>
      <c r="P26" s="2"/>
      <c r="Q26" s="2"/>
      <c r="R26" s="2"/>
      <c r="S26" s="2"/>
      <c r="T26" s="3"/>
      <c r="U26" s="30" t="s">
        <v>102</v>
      </c>
      <c r="V26" s="3"/>
      <c r="W26" s="18" t="s">
        <v>134</v>
      </c>
      <c r="X26" s="2"/>
      <c r="Y26" s="2"/>
      <c r="Z26" s="2"/>
      <c r="AA26" s="2"/>
      <c r="AB26" s="2"/>
      <c r="AC26" s="3"/>
      <c r="AD26" s="19">
        <v>25</v>
      </c>
      <c r="AE26" s="2"/>
      <c r="AF26" s="3"/>
    </row>
    <row r="27" ht="30" customHeight="1" spans="2:32">
      <c r="B27" s="17">
        <v>20</v>
      </c>
      <c r="C27" s="19" t="s">
        <v>135</v>
      </c>
      <c r="D27" s="2"/>
      <c r="E27" s="3"/>
      <c r="F27" s="18" t="s">
        <v>136</v>
      </c>
      <c r="G27" s="2"/>
      <c r="H27" s="2"/>
      <c r="I27" s="2"/>
      <c r="J27" s="2"/>
      <c r="K27" s="2"/>
      <c r="L27" s="3"/>
      <c r="M27" s="18" t="s">
        <v>137</v>
      </c>
      <c r="N27" s="2"/>
      <c r="O27" s="2"/>
      <c r="P27" s="2"/>
      <c r="Q27" s="2"/>
      <c r="R27" s="2"/>
      <c r="S27" s="2"/>
      <c r="T27" s="3"/>
      <c r="U27" s="29" t="s">
        <v>82</v>
      </c>
      <c r="V27" s="3"/>
      <c r="W27" s="18" t="s">
        <v>131</v>
      </c>
      <c r="X27" s="2"/>
      <c r="Y27" s="2"/>
      <c r="Z27" s="2"/>
      <c r="AA27" s="2"/>
      <c r="AB27" s="2"/>
      <c r="AC27" s="3"/>
      <c r="AD27" s="19">
        <v>60</v>
      </c>
      <c r="AE27" s="2"/>
      <c r="AF27" s="3"/>
    </row>
    <row r="28" ht="30" customHeight="1" spans="2:32">
      <c r="B28" s="17">
        <v>21</v>
      </c>
      <c r="C28" s="19" t="s">
        <v>138</v>
      </c>
      <c r="D28" s="2"/>
      <c r="E28" s="3"/>
      <c r="F28" s="18" t="s">
        <v>136</v>
      </c>
      <c r="G28" s="2"/>
      <c r="H28" s="2"/>
      <c r="I28" s="2"/>
      <c r="J28" s="2"/>
      <c r="K28" s="2"/>
      <c r="L28" s="3"/>
      <c r="M28" s="18" t="s">
        <v>139</v>
      </c>
      <c r="N28" s="2"/>
      <c r="O28" s="2"/>
      <c r="P28" s="2"/>
      <c r="Q28" s="2"/>
      <c r="R28" s="2"/>
      <c r="S28" s="2"/>
      <c r="T28" s="3"/>
      <c r="U28" s="30" t="s">
        <v>102</v>
      </c>
      <c r="V28" s="3"/>
      <c r="W28" s="18" t="s">
        <v>140</v>
      </c>
      <c r="X28" s="2"/>
      <c r="Y28" s="2"/>
      <c r="Z28" s="2"/>
      <c r="AA28" s="2"/>
      <c r="AB28" s="2"/>
      <c r="AC28" s="3"/>
      <c r="AD28" s="19">
        <v>16</v>
      </c>
      <c r="AE28" s="2"/>
      <c r="AF28" s="3"/>
    </row>
    <row r="29" ht="30" customHeight="1" spans="2:32">
      <c r="B29" s="17">
        <v>22</v>
      </c>
      <c r="C29" s="19" t="s">
        <v>141</v>
      </c>
      <c r="D29" s="2"/>
      <c r="E29" s="3"/>
      <c r="F29" s="18" t="s">
        <v>136</v>
      </c>
      <c r="G29" s="2"/>
      <c r="H29" s="2"/>
      <c r="I29" s="2"/>
      <c r="J29" s="2"/>
      <c r="K29" s="2"/>
      <c r="L29" s="3"/>
      <c r="M29" s="18" t="s">
        <v>142</v>
      </c>
      <c r="N29" s="2"/>
      <c r="O29" s="2"/>
      <c r="P29" s="2"/>
      <c r="Q29" s="2"/>
      <c r="R29" s="2"/>
      <c r="S29" s="2"/>
      <c r="T29" s="3"/>
      <c r="U29" s="29" t="s">
        <v>82</v>
      </c>
      <c r="V29" s="3"/>
      <c r="W29" s="18" t="s">
        <v>143</v>
      </c>
      <c r="X29" s="2"/>
      <c r="Y29" s="2"/>
      <c r="Z29" s="2"/>
      <c r="AA29" s="2"/>
      <c r="AB29" s="2"/>
      <c r="AC29" s="3"/>
      <c r="AD29" s="19">
        <v>18</v>
      </c>
      <c r="AE29" s="2"/>
      <c r="AF29" s="3"/>
    </row>
    <row r="30" ht="30" customHeight="1" spans="2:32">
      <c r="B30" s="17">
        <v>23</v>
      </c>
      <c r="C30" s="19" t="s">
        <v>144</v>
      </c>
      <c r="D30" s="2"/>
      <c r="E30" s="3"/>
      <c r="F30" s="18" t="s">
        <v>136</v>
      </c>
      <c r="G30" s="2"/>
      <c r="H30" s="2"/>
      <c r="I30" s="2"/>
      <c r="J30" s="2"/>
      <c r="K30" s="2"/>
      <c r="L30" s="3"/>
      <c r="M30" s="18" t="s">
        <v>145</v>
      </c>
      <c r="N30" s="2"/>
      <c r="O30" s="2"/>
      <c r="P30" s="2"/>
      <c r="Q30" s="2"/>
      <c r="R30" s="2"/>
      <c r="S30" s="2"/>
      <c r="T30" s="3"/>
      <c r="U30" s="30" t="s">
        <v>102</v>
      </c>
      <c r="V30" s="3"/>
      <c r="W30" s="18" t="s">
        <v>146</v>
      </c>
      <c r="X30" s="2"/>
      <c r="Y30" s="2"/>
      <c r="Z30" s="2"/>
      <c r="AA30" s="2"/>
      <c r="AB30" s="2"/>
      <c r="AC30" s="3"/>
      <c r="AD30" s="19">
        <v>8</v>
      </c>
      <c r="AE30" s="2"/>
      <c r="AF30" s="3"/>
    </row>
    <row r="31" ht="30" customHeight="1" spans="2:32">
      <c r="B31" s="17">
        <v>24</v>
      </c>
      <c r="C31" s="19" t="s">
        <v>147</v>
      </c>
      <c r="D31" s="2"/>
      <c r="E31" s="3"/>
      <c r="F31" s="18" t="s">
        <v>136</v>
      </c>
      <c r="G31" s="2"/>
      <c r="H31" s="2"/>
      <c r="I31" s="2"/>
      <c r="J31" s="2"/>
      <c r="K31" s="2"/>
      <c r="L31" s="3"/>
      <c r="M31" s="18" t="s">
        <v>148</v>
      </c>
      <c r="N31" s="2"/>
      <c r="O31" s="2"/>
      <c r="P31" s="2"/>
      <c r="Q31" s="2"/>
      <c r="R31" s="2"/>
      <c r="S31" s="2"/>
      <c r="T31" s="3"/>
      <c r="U31" s="29" t="s">
        <v>82</v>
      </c>
      <c r="V31" s="3"/>
      <c r="W31" s="18" t="s">
        <v>149</v>
      </c>
      <c r="X31" s="2"/>
      <c r="Y31" s="2"/>
      <c r="Z31" s="2"/>
      <c r="AA31" s="2"/>
      <c r="AB31" s="2"/>
      <c r="AC31" s="3"/>
      <c r="AD31" s="19">
        <v>10</v>
      </c>
      <c r="AE31" s="2"/>
      <c r="AF31" s="3"/>
    </row>
    <row r="32" ht="30" customHeight="1" spans="2:32">
      <c r="B32" s="17">
        <v>25</v>
      </c>
      <c r="C32" s="19" t="s">
        <v>150</v>
      </c>
      <c r="D32" s="2"/>
      <c r="E32" s="3"/>
      <c r="F32" s="18" t="s">
        <v>136</v>
      </c>
      <c r="G32" s="2"/>
      <c r="H32" s="2"/>
      <c r="I32" s="2"/>
      <c r="J32" s="2"/>
      <c r="K32" s="2"/>
      <c r="L32" s="3"/>
      <c r="M32" s="18" t="s">
        <v>151</v>
      </c>
      <c r="N32" s="2"/>
      <c r="O32" s="2"/>
      <c r="P32" s="2"/>
      <c r="Q32" s="2"/>
      <c r="R32" s="2"/>
      <c r="S32" s="2"/>
      <c r="T32" s="3"/>
      <c r="U32" s="30" t="s">
        <v>102</v>
      </c>
      <c r="V32" s="3"/>
      <c r="W32" s="18" t="s">
        <v>152</v>
      </c>
      <c r="X32" s="2"/>
      <c r="Y32" s="2"/>
      <c r="Z32" s="2"/>
      <c r="AA32" s="2"/>
      <c r="AB32" s="2"/>
      <c r="AC32" s="3"/>
      <c r="AD32" s="19">
        <v>30</v>
      </c>
      <c r="AE32" s="2"/>
      <c r="AF32" s="3"/>
    </row>
    <row r="33" ht="30" customHeight="1" spans="2:32">
      <c r="B33" s="17">
        <v>26</v>
      </c>
      <c r="C33" s="19" t="s">
        <v>153</v>
      </c>
      <c r="D33" s="2"/>
      <c r="E33" s="3"/>
      <c r="F33" s="18" t="s">
        <v>136</v>
      </c>
      <c r="G33" s="2"/>
      <c r="H33" s="2"/>
      <c r="I33" s="2"/>
      <c r="J33" s="2"/>
      <c r="K33" s="2"/>
      <c r="L33" s="3"/>
      <c r="M33" s="18" t="s">
        <v>154</v>
      </c>
      <c r="N33" s="2"/>
      <c r="O33" s="2"/>
      <c r="P33" s="2"/>
      <c r="Q33" s="2"/>
      <c r="R33" s="2"/>
      <c r="S33" s="2"/>
      <c r="T33" s="3"/>
      <c r="U33" s="29" t="s">
        <v>82</v>
      </c>
      <c r="V33" s="3"/>
      <c r="W33" s="18" t="s">
        <v>155</v>
      </c>
      <c r="X33" s="2"/>
      <c r="Y33" s="2"/>
      <c r="Z33" s="2"/>
      <c r="AA33" s="2"/>
      <c r="AB33" s="2"/>
      <c r="AC33" s="3"/>
      <c r="AD33" s="19">
        <v>15</v>
      </c>
      <c r="AE33" s="2"/>
      <c r="AF33" s="3"/>
    </row>
    <row r="34" ht="30" customHeight="1" spans="2:32">
      <c r="B34" s="17">
        <v>27</v>
      </c>
      <c r="C34" s="19" t="s">
        <v>156</v>
      </c>
      <c r="D34" s="2"/>
      <c r="E34" s="3"/>
      <c r="F34" s="18" t="s">
        <v>136</v>
      </c>
      <c r="G34" s="2"/>
      <c r="H34" s="2"/>
      <c r="I34" s="2"/>
      <c r="J34" s="2"/>
      <c r="K34" s="2"/>
      <c r="L34" s="3"/>
      <c r="M34" s="18" t="s">
        <v>157</v>
      </c>
      <c r="N34" s="2"/>
      <c r="O34" s="2"/>
      <c r="P34" s="2"/>
      <c r="Q34" s="2"/>
      <c r="R34" s="2"/>
      <c r="S34" s="2"/>
      <c r="T34" s="3"/>
      <c r="U34" s="29" t="s">
        <v>82</v>
      </c>
      <c r="V34" s="3"/>
      <c r="W34" s="18" t="s">
        <v>158</v>
      </c>
      <c r="X34" s="2"/>
      <c r="Y34" s="2"/>
      <c r="Z34" s="2"/>
      <c r="AA34" s="2"/>
      <c r="AB34" s="2"/>
      <c r="AC34" s="3"/>
      <c r="AD34" s="19">
        <v>18</v>
      </c>
      <c r="AE34" s="2"/>
      <c r="AF34" s="3"/>
    </row>
    <row r="35" ht="30" customHeight="1" spans="2:32">
      <c r="B35" s="17">
        <v>28</v>
      </c>
      <c r="C35" s="19" t="s">
        <v>159</v>
      </c>
      <c r="D35" s="2"/>
      <c r="E35" s="3"/>
      <c r="F35" s="18" t="s">
        <v>160</v>
      </c>
      <c r="G35" s="2"/>
      <c r="H35" s="2"/>
      <c r="I35" s="2"/>
      <c r="J35" s="2"/>
      <c r="K35" s="2"/>
      <c r="L35" s="3"/>
      <c r="M35" s="18" t="s">
        <v>161</v>
      </c>
      <c r="N35" s="2"/>
      <c r="O35" s="2"/>
      <c r="P35" s="2"/>
      <c r="Q35" s="2"/>
      <c r="R35" s="2"/>
      <c r="S35" s="2"/>
      <c r="T35" s="3"/>
      <c r="U35" s="29" t="s">
        <v>82</v>
      </c>
      <c r="V35" s="3"/>
      <c r="W35" s="18" t="s">
        <v>162</v>
      </c>
      <c r="X35" s="2"/>
      <c r="Y35" s="2"/>
      <c r="Z35" s="2"/>
      <c r="AA35" s="2"/>
      <c r="AB35" s="2"/>
      <c r="AC35" s="3"/>
      <c r="AD35" s="19">
        <v>25</v>
      </c>
      <c r="AE35" s="2"/>
      <c r="AF35" s="3"/>
    </row>
    <row r="36" ht="30" customHeight="1" spans="2:32">
      <c r="B36" s="17">
        <v>29</v>
      </c>
      <c r="C36" s="19" t="s">
        <v>163</v>
      </c>
      <c r="D36" s="2"/>
      <c r="E36" s="3"/>
      <c r="F36" s="18" t="s">
        <v>160</v>
      </c>
      <c r="G36" s="2"/>
      <c r="H36" s="2"/>
      <c r="I36" s="2"/>
      <c r="J36" s="2"/>
      <c r="K36" s="2"/>
      <c r="L36" s="3"/>
      <c r="M36" s="18" t="s">
        <v>164</v>
      </c>
      <c r="N36" s="2"/>
      <c r="O36" s="2"/>
      <c r="P36" s="2"/>
      <c r="Q36" s="2"/>
      <c r="R36" s="2"/>
      <c r="S36" s="2"/>
      <c r="T36" s="3"/>
      <c r="U36" s="29" t="s">
        <v>82</v>
      </c>
      <c r="V36" s="3"/>
      <c r="W36" s="18" t="s">
        <v>94</v>
      </c>
      <c r="X36" s="2"/>
      <c r="Y36" s="2"/>
      <c r="Z36" s="2"/>
      <c r="AA36" s="2"/>
      <c r="AB36" s="2"/>
      <c r="AC36" s="3"/>
      <c r="AD36" s="19">
        <v>8</v>
      </c>
      <c r="AE36" s="2"/>
      <c r="AF36" s="3"/>
    </row>
    <row r="37" ht="30" customHeight="1" spans="2:32">
      <c r="B37" s="17">
        <v>30</v>
      </c>
      <c r="C37" s="19" t="s">
        <v>165</v>
      </c>
      <c r="D37" s="2"/>
      <c r="E37" s="3"/>
      <c r="F37" s="18" t="s">
        <v>160</v>
      </c>
      <c r="G37" s="2"/>
      <c r="H37" s="2"/>
      <c r="I37" s="2"/>
      <c r="J37" s="2"/>
      <c r="K37" s="2"/>
      <c r="L37" s="3"/>
      <c r="M37" s="18" t="s">
        <v>166</v>
      </c>
      <c r="N37" s="2"/>
      <c r="O37" s="2"/>
      <c r="P37" s="2"/>
      <c r="Q37" s="2"/>
      <c r="R37" s="2"/>
      <c r="S37" s="2"/>
      <c r="T37" s="3"/>
      <c r="U37" s="29" t="s">
        <v>82</v>
      </c>
      <c r="V37" s="3"/>
      <c r="W37" s="18" t="s">
        <v>167</v>
      </c>
      <c r="X37" s="2"/>
      <c r="Y37" s="2"/>
      <c r="Z37" s="2"/>
      <c r="AA37" s="2"/>
      <c r="AB37" s="2"/>
      <c r="AC37" s="3"/>
      <c r="AD37" s="19">
        <v>15</v>
      </c>
      <c r="AE37" s="2"/>
      <c r="AF37" s="3"/>
    </row>
    <row r="38" ht="30" customHeight="1" spans="2:32">
      <c r="B38" s="17">
        <v>31</v>
      </c>
      <c r="C38" s="19" t="s">
        <v>168</v>
      </c>
      <c r="D38" s="2"/>
      <c r="E38" s="3"/>
      <c r="F38" s="18" t="s">
        <v>160</v>
      </c>
      <c r="G38" s="2"/>
      <c r="H38" s="2"/>
      <c r="I38" s="2"/>
      <c r="J38" s="2"/>
      <c r="K38" s="2"/>
      <c r="L38" s="3"/>
      <c r="M38" s="18" t="s">
        <v>169</v>
      </c>
      <c r="N38" s="2"/>
      <c r="O38" s="2"/>
      <c r="P38" s="2"/>
      <c r="Q38" s="2"/>
      <c r="R38" s="2"/>
      <c r="S38" s="2"/>
      <c r="T38" s="3"/>
      <c r="U38" s="29" t="s">
        <v>82</v>
      </c>
      <c r="V38" s="3"/>
      <c r="W38" s="18" t="s">
        <v>94</v>
      </c>
      <c r="X38" s="2"/>
      <c r="Y38" s="2"/>
      <c r="Z38" s="2"/>
      <c r="AA38" s="2"/>
      <c r="AB38" s="2"/>
      <c r="AC38" s="3"/>
      <c r="AD38" s="19">
        <v>40</v>
      </c>
      <c r="AE38" s="2"/>
      <c r="AF38" s="3"/>
    </row>
    <row r="39" ht="30" customHeight="1" spans="2:32">
      <c r="B39" s="17">
        <v>32</v>
      </c>
      <c r="C39" s="19" t="s">
        <v>170</v>
      </c>
      <c r="D39" s="2"/>
      <c r="E39" s="3"/>
      <c r="F39" s="18" t="s">
        <v>160</v>
      </c>
      <c r="G39" s="2"/>
      <c r="H39" s="2"/>
      <c r="I39" s="2"/>
      <c r="J39" s="2"/>
      <c r="K39" s="2"/>
      <c r="L39" s="3"/>
      <c r="M39" s="18" t="s">
        <v>171</v>
      </c>
      <c r="N39" s="2"/>
      <c r="O39" s="2"/>
      <c r="P39" s="2"/>
      <c r="Q39" s="2"/>
      <c r="R39" s="2"/>
      <c r="S39" s="2"/>
      <c r="T39" s="3"/>
      <c r="U39" s="30" t="s">
        <v>102</v>
      </c>
      <c r="V39" s="3"/>
      <c r="W39" s="18" t="s">
        <v>172</v>
      </c>
      <c r="X39" s="2"/>
      <c r="Y39" s="2"/>
      <c r="Z39" s="2"/>
      <c r="AA39" s="2"/>
      <c r="AB39" s="2"/>
      <c r="AC39" s="3"/>
      <c r="AD39" s="19">
        <v>20</v>
      </c>
      <c r="AE39" s="2"/>
      <c r="AF39" s="3"/>
    </row>
    <row r="40" ht="30" customHeight="1" spans="2:32">
      <c r="B40" s="17">
        <v>33</v>
      </c>
      <c r="C40" s="19" t="s">
        <v>173</v>
      </c>
      <c r="D40" s="2"/>
      <c r="E40" s="3"/>
      <c r="F40" s="18" t="s">
        <v>160</v>
      </c>
      <c r="G40" s="2"/>
      <c r="H40" s="2"/>
      <c r="I40" s="2"/>
      <c r="J40" s="2"/>
      <c r="K40" s="2"/>
      <c r="L40" s="3"/>
      <c r="M40" s="18" t="s">
        <v>174</v>
      </c>
      <c r="N40" s="2"/>
      <c r="O40" s="2"/>
      <c r="P40" s="2"/>
      <c r="Q40" s="2"/>
      <c r="R40" s="2"/>
      <c r="S40" s="2"/>
      <c r="T40" s="3"/>
      <c r="U40" s="30" t="s">
        <v>102</v>
      </c>
      <c r="V40" s="3"/>
      <c r="W40" s="18" t="s">
        <v>175</v>
      </c>
      <c r="X40" s="2"/>
      <c r="Y40" s="2"/>
      <c r="Z40" s="2"/>
      <c r="AA40" s="2"/>
      <c r="AB40" s="2"/>
      <c r="AC40" s="3"/>
      <c r="AD40" s="19">
        <v>12</v>
      </c>
      <c r="AE40" s="2"/>
      <c r="AF40" s="3"/>
    </row>
    <row r="41" ht="30" customHeight="1" spans="2:32">
      <c r="B41" s="17">
        <v>34</v>
      </c>
      <c r="C41" s="19" t="s">
        <v>176</v>
      </c>
      <c r="D41" s="2"/>
      <c r="E41" s="3"/>
      <c r="F41" s="18" t="s">
        <v>160</v>
      </c>
      <c r="G41" s="2"/>
      <c r="H41" s="2"/>
      <c r="I41" s="2"/>
      <c r="J41" s="2"/>
      <c r="K41" s="2"/>
      <c r="L41" s="3"/>
      <c r="M41" s="18" t="s">
        <v>177</v>
      </c>
      <c r="N41" s="2"/>
      <c r="O41" s="2"/>
      <c r="P41" s="2"/>
      <c r="Q41" s="2"/>
      <c r="R41" s="2"/>
      <c r="S41" s="2"/>
      <c r="T41" s="3"/>
      <c r="U41" s="29" t="s">
        <v>82</v>
      </c>
      <c r="V41" s="3"/>
      <c r="W41" s="18" t="s">
        <v>178</v>
      </c>
      <c r="X41" s="2"/>
      <c r="Y41" s="2"/>
      <c r="Z41" s="2"/>
      <c r="AA41" s="2"/>
      <c r="AB41" s="2"/>
      <c r="AC41" s="3"/>
      <c r="AD41" s="19">
        <v>15</v>
      </c>
      <c r="AE41" s="2"/>
      <c r="AF41" s="3"/>
    </row>
    <row r="42" ht="30" customHeight="1" spans="2:32">
      <c r="B42" s="17">
        <v>35</v>
      </c>
      <c r="C42" s="19" t="s">
        <v>179</v>
      </c>
      <c r="D42" s="2"/>
      <c r="E42" s="3"/>
      <c r="F42" s="18" t="s">
        <v>160</v>
      </c>
      <c r="G42" s="2"/>
      <c r="H42" s="2"/>
      <c r="I42" s="2"/>
      <c r="J42" s="2"/>
      <c r="K42" s="2"/>
      <c r="L42" s="3"/>
      <c r="M42" s="18" t="s">
        <v>180</v>
      </c>
      <c r="N42" s="2"/>
      <c r="O42" s="2"/>
      <c r="P42" s="2"/>
      <c r="Q42" s="2"/>
      <c r="R42" s="2"/>
      <c r="S42" s="2"/>
      <c r="T42" s="3"/>
      <c r="U42" s="30" t="s">
        <v>102</v>
      </c>
      <c r="V42" s="3"/>
      <c r="W42" s="18" t="s">
        <v>94</v>
      </c>
      <c r="X42" s="2"/>
      <c r="Y42" s="2"/>
      <c r="Z42" s="2"/>
      <c r="AA42" s="2"/>
      <c r="AB42" s="2"/>
      <c r="AC42" s="3"/>
      <c r="AD42" s="19">
        <v>30</v>
      </c>
      <c r="AE42" s="2"/>
      <c r="AF42" s="3"/>
    </row>
    <row r="43" ht="36" customHeight="1" spans="2:32">
      <c r="B43" s="17">
        <v>36</v>
      </c>
      <c r="C43" s="19" t="s">
        <v>181</v>
      </c>
      <c r="D43" s="2"/>
      <c r="E43" s="3"/>
      <c r="F43" s="18" t="s">
        <v>160</v>
      </c>
      <c r="G43" s="2"/>
      <c r="H43" s="2"/>
      <c r="I43" s="2"/>
      <c r="J43" s="2"/>
      <c r="K43" s="2"/>
      <c r="L43" s="3"/>
      <c r="M43" s="18" t="s">
        <v>182</v>
      </c>
      <c r="N43" s="2"/>
      <c r="O43" s="2"/>
      <c r="P43" s="2"/>
      <c r="Q43" s="2"/>
      <c r="R43" s="2"/>
      <c r="S43" s="2"/>
      <c r="T43" s="3"/>
      <c r="U43" s="29" t="s">
        <v>82</v>
      </c>
      <c r="V43" s="3"/>
      <c r="W43" s="18" t="s">
        <v>167</v>
      </c>
      <c r="X43" s="2"/>
      <c r="Y43" s="2"/>
      <c r="Z43" s="2"/>
      <c r="AA43" s="2"/>
      <c r="AB43" s="2"/>
      <c r="AC43" s="3"/>
      <c r="AD43" s="19">
        <v>6</v>
      </c>
      <c r="AE43" s="2"/>
      <c r="AF43" s="3"/>
    </row>
    <row r="44" ht="30" customHeight="1" spans="2:32">
      <c r="B44" s="17">
        <v>37</v>
      </c>
      <c r="C44" s="19" t="s">
        <v>183</v>
      </c>
      <c r="D44" s="2"/>
      <c r="E44" s="3"/>
      <c r="F44" s="18" t="s">
        <v>184</v>
      </c>
      <c r="G44" s="2"/>
      <c r="H44" s="2"/>
      <c r="I44" s="2"/>
      <c r="J44" s="2"/>
      <c r="K44" s="2"/>
      <c r="L44" s="3"/>
      <c r="M44" s="18" t="s">
        <v>185</v>
      </c>
      <c r="N44" s="2"/>
      <c r="O44" s="2"/>
      <c r="P44" s="2"/>
      <c r="Q44" s="2"/>
      <c r="R44" s="2"/>
      <c r="S44" s="2"/>
      <c r="T44" s="3"/>
      <c r="U44" s="31" t="s">
        <v>186</v>
      </c>
      <c r="V44" s="3"/>
      <c r="W44" s="18" t="s">
        <v>187</v>
      </c>
      <c r="X44" s="2"/>
      <c r="Y44" s="2"/>
      <c r="Z44" s="2"/>
      <c r="AA44" s="2"/>
      <c r="AB44" s="2"/>
      <c r="AC44" s="3"/>
      <c r="AD44" s="19">
        <v>60</v>
      </c>
      <c r="AE44" s="2"/>
      <c r="AF44" s="3"/>
    </row>
    <row r="45" ht="36" customHeight="1" spans="2:32">
      <c r="B45" s="17">
        <v>38</v>
      </c>
      <c r="C45" s="19" t="s">
        <v>188</v>
      </c>
      <c r="D45" s="2"/>
      <c r="E45" s="3"/>
      <c r="F45" s="18" t="s">
        <v>184</v>
      </c>
      <c r="G45" s="2"/>
      <c r="H45" s="2"/>
      <c r="I45" s="2"/>
      <c r="J45" s="2"/>
      <c r="K45" s="2"/>
      <c r="L45" s="3"/>
      <c r="M45" s="18" t="s">
        <v>189</v>
      </c>
      <c r="N45" s="2"/>
      <c r="O45" s="2"/>
      <c r="P45" s="2"/>
      <c r="Q45" s="2"/>
      <c r="R45" s="2"/>
      <c r="S45" s="2"/>
      <c r="T45" s="3"/>
      <c r="U45" s="31" t="s">
        <v>186</v>
      </c>
      <c r="V45" s="3"/>
      <c r="W45" s="18" t="s">
        <v>187</v>
      </c>
      <c r="X45" s="2"/>
      <c r="Y45" s="2"/>
      <c r="Z45" s="2"/>
      <c r="AA45" s="2"/>
      <c r="AB45" s="2"/>
      <c r="AC45" s="3"/>
      <c r="AD45" s="19">
        <v>40</v>
      </c>
      <c r="AE45" s="2"/>
      <c r="AF45" s="3"/>
    </row>
    <row r="46" ht="30" customHeight="1" spans="2:32">
      <c r="B46" s="17">
        <v>39</v>
      </c>
      <c r="C46" s="19" t="s">
        <v>190</v>
      </c>
      <c r="D46" s="2"/>
      <c r="E46" s="3"/>
      <c r="F46" s="18" t="s">
        <v>184</v>
      </c>
      <c r="G46" s="2"/>
      <c r="H46" s="2"/>
      <c r="I46" s="2"/>
      <c r="J46" s="2"/>
      <c r="K46" s="2"/>
      <c r="L46" s="3"/>
      <c r="M46" s="18" t="s">
        <v>191</v>
      </c>
      <c r="N46" s="2"/>
      <c r="O46" s="2"/>
      <c r="P46" s="2"/>
      <c r="Q46" s="2"/>
      <c r="R46" s="2"/>
      <c r="S46" s="2"/>
      <c r="T46" s="3"/>
      <c r="U46" s="31" t="s">
        <v>186</v>
      </c>
      <c r="V46" s="3"/>
      <c r="W46" s="18" t="s">
        <v>113</v>
      </c>
      <c r="X46" s="2"/>
      <c r="Y46" s="2"/>
      <c r="Z46" s="2"/>
      <c r="AA46" s="2"/>
      <c r="AB46" s="2"/>
      <c r="AC46" s="3"/>
      <c r="AD46" s="19">
        <v>25</v>
      </c>
      <c r="AE46" s="2"/>
      <c r="AF46" s="3"/>
    </row>
    <row r="47" ht="30" customHeight="1" spans="2:32">
      <c r="B47" s="17">
        <v>40</v>
      </c>
      <c r="C47" s="19" t="s">
        <v>192</v>
      </c>
      <c r="D47" s="2"/>
      <c r="E47" s="3"/>
      <c r="F47" s="18" t="s">
        <v>184</v>
      </c>
      <c r="G47" s="2"/>
      <c r="H47" s="2"/>
      <c r="I47" s="2"/>
      <c r="J47" s="2"/>
      <c r="K47" s="2"/>
      <c r="L47" s="3"/>
      <c r="M47" s="18" t="s">
        <v>193</v>
      </c>
      <c r="N47" s="2"/>
      <c r="O47" s="2"/>
      <c r="P47" s="2"/>
      <c r="Q47" s="2"/>
      <c r="R47" s="2"/>
      <c r="S47" s="2"/>
      <c r="T47" s="3"/>
      <c r="U47" s="31" t="s">
        <v>186</v>
      </c>
      <c r="V47" s="3"/>
      <c r="W47" s="18" t="s">
        <v>94</v>
      </c>
      <c r="X47" s="2"/>
      <c r="Y47" s="2"/>
      <c r="Z47" s="2"/>
      <c r="AA47" s="2"/>
      <c r="AB47" s="2"/>
      <c r="AC47" s="3"/>
      <c r="AD47" s="19">
        <v>5</v>
      </c>
      <c r="AE47" s="2"/>
      <c r="AF47" s="3"/>
    </row>
    <row r="48" ht="30" customHeight="1" spans="2:32">
      <c r="B48" s="17">
        <v>41</v>
      </c>
      <c r="C48" s="19" t="s">
        <v>194</v>
      </c>
      <c r="D48" s="2"/>
      <c r="E48" s="3"/>
      <c r="F48" s="18" t="s">
        <v>184</v>
      </c>
      <c r="G48" s="2"/>
      <c r="H48" s="2"/>
      <c r="I48" s="2"/>
      <c r="J48" s="2"/>
      <c r="K48" s="2"/>
      <c r="L48" s="3"/>
      <c r="M48" s="18" t="s">
        <v>195</v>
      </c>
      <c r="N48" s="2"/>
      <c r="O48" s="2"/>
      <c r="P48" s="2"/>
      <c r="Q48" s="2"/>
      <c r="R48" s="2"/>
      <c r="S48" s="2"/>
      <c r="T48" s="3"/>
      <c r="U48" s="29" t="s">
        <v>82</v>
      </c>
      <c r="V48" s="3"/>
      <c r="W48" s="18" t="s">
        <v>94</v>
      </c>
      <c r="X48" s="2"/>
      <c r="Y48" s="2"/>
      <c r="Z48" s="2"/>
      <c r="AA48" s="2"/>
      <c r="AB48" s="2"/>
      <c r="AC48" s="3"/>
      <c r="AD48" s="19">
        <v>5</v>
      </c>
      <c r="AE48" s="2"/>
      <c r="AF48" s="3"/>
    </row>
    <row r="49" ht="30" customHeight="1" spans="2:37">
      <c r="B49" s="17">
        <v>42</v>
      </c>
      <c r="C49" s="19" t="s">
        <v>196</v>
      </c>
      <c r="D49" s="2"/>
      <c r="E49" s="3"/>
      <c r="F49" s="18" t="s">
        <v>184</v>
      </c>
      <c r="G49" s="2"/>
      <c r="H49" s="2"/>
      <c r="I49" s="2"/>
      <c r="J49" s="2"/>
      <c r="K49" s="2"/>
      <c r="L49" s="3"/>
      <c r="M49" s="18" t="s">
        <v>197</v>
      </c>
      <c r="N49" s="2"/>
      <c r="O49" s="2"/>
      <c r="P49" s="2"/>
      <c r="Q49" s="2"/>
      <c r="R49" s="2"/>
      <c r="S49" s="2"/>
      <c r="T49" s="3"/>
      <c r="U49" s="30" t="s">
        <v>102</v>
      </c>
      <c r="V49" s="3"/>
      <c r="W49" s="18" t="s">
        <v>198</v>
      </c>
      <c r="X49" s="2"/>
      <c r="Y49" s="2"/>
      <c r="Z49" s="2"/>
      <c r="AA49" s="2"/>
      <c r="AB49" s="2"/>
      <c r="AC49" s="3"/>
      <c r="AD49" s="19">
        <v>8</v>
      </c>
      <c r="AE49" s="2"/>
      <c r="AF49" s="3"/>
    </row>
    <row r="50" ht="30" customHeight="1" spans="2:37">
      <c r="B50" s="17">
        <v>43</v>
      </c>
      <c r="C50" s="19" t="s">
        <v>199</v>
      </c>
      <c r="D50" s="2"/>
      <c r="E50" s="3"/>
      <c r="F50" s="18" t="s">
        <v>200</v>
      </c>
      <c r="G50" s="2"/>
      <c r="H50" s="2"/>
      <c r="I50" s="2"/>
      <c r="J50" s="2"/>
      <c r="K50" s="2"/>
      <c r="L50" s="3"/>
      <c r="M50" s="18" t="s">
        <v>201</v>
      </c>
      <c r="N50" s="2"/>
      <c r="O50" s="2"/>
      <c r="P50" s="2"/>
      <c r="Q50" s="2"/>
      <c r="R50" s="2"/>
      <c r="S50" s="2"/>
      <c r="T50" s="3"/>
      <c r="U50" s="30" t="s">
        <v>102</v>
      </c>
      <c r="V50" s="3"/>
      <c r="W50" s="18" t="s">
        <v>202</v>
      </c>
      <c r="X50" s="2"/>
      <c r="Y50" s="2"/>
      <c r="Z50" s="2"/>
      <c r="AA50" s="2"/>
      <c r="AB50" s="2"/>
      <c r="AC50" s="3"/>
      <c r="AD50" s="19">
        <v>12</v>
      </c>
      <c r="AE50" s="2"/>
      <c r="AF50" s="3"/>
    </row>
    <row r="51" ht="30" customHeight="1" spans="2:37">
      <c r="B51" s="17">
        <v>44</v>
      </c>
      <c r="C51" s="19" t="s">
        <v>203</v>
      </c>
      <c r="D51" s="2"/>
      <c r="E51" s="3"/>
      <c r="F51" s="18" t="s">
        <v>200</v>
      </c>
      <c r="G51" s="2"/>
      <c r="H51" s="2"/>
      <c r="I51" s="2"/>
      <c r="J51" s="2"/>
      <c r="K51" s="2"/>
      <c r="L51" s="3"/>
      <c r="M51" s="18" t="s">
        <v>204</v>
      </c>
      <c r="N51" s="2"/>
      <c r="O51" s="2"/>
      <c r="P51" s="2"/>
      <c r="Q51" s="2"/>
      <c r="R51" s="2"/>
      <c r="S51" s="2"/>
      <c r="T51" s="3"/>
      <c r="U51" s="30" t="s">
        <v>102</v>
      </c>
      <c r="V51" s="3"/>
      <c r="W51" s="18" t="s">
        <v>205</v>
      </c>
      <c r="X51" s="2"/>
      <c r="Y51" s="2"/>
      <c r="Z51" s="2"/>
      <c r="AA51" s="2"/>
      <c r="AB51" s="2"/>
      <c r="AC51" s="3"/>
      <c r="AD51" s="19">
        <v>8</v>
      </c>
      <c r="AE51" s="2"/>
      <c r="AF51" s="3"/>
    </row>
    <row r="52" ht="22.5" customHeight="1" spans="2:37">
      <c r="B52" s="32" t="s">
        <v>58</v>
      </c>
      <c r="C52" s="2"/>
      <c r="D52" s="2"/>
      <c r="E52" s="2"/>
      <c r="F52" s="2"/>
      <c r="G52" s="2"/>
      <c r="H52" s="2"/>
      <c r="I52" s="2"/>
      <c r="J52" s="2"/>
      <c r="K52" s="2"/>
      <c r="L52" s="2"/>
      <c r="M52" s="2"/>
      <c r="N52" s="2"/>
      <c r="O52" s="2"/>
      <c r="P52" s="2"/>
      <c r="Q52" s="2"/>
      <c r="R52" s="2"/>
      <c r="S52" s="2"/>
      <c r="T52" s="3"/>
      <c r="U52" s="33"/>
      <c r="V52" s="3"/>
      <c r="W52" s="33"/>
      <c r="X52" s="2"/>
      <c r="Y52" s="2"/>
      <c r="Z52" s="2"/>
      <c r="AA52" s="2"/>
      <c r="AB52" s="2"/>
      <c r="AC52" s="3"/>
      <c r="AD52" s="33">
        <f>SUM(AD8:AD51)</f>
        <v>1682</v>
      </c>
      <c r="AE52" s="2"/>
      <c r="AF52" s="3"/>
    </row>
    <row r="53" ht="15.75" customHeight="1"/>
    <row r="54" ht="19.5" customHeight="1" spans="2:37">
      <c r="B54" s="27" t="s">
        <v>206</v>
      </c>
    </row>
    <row r="55" ht="15.75" customHeight="1"/>
    <row r="56" ht="28.5" customHeight="1" spans="2:37">
      <c r="B56" s="1" t="s">
        <v>207</v>
      </c>
      <c r="C56" s="3"/>
      <c r="D56" s="1" t="s">
        <v>208</v>
      </c>
      <c r="E56" s="2"/>
      <c r="F56" s="3"/>
      <c r="G56" s="1" t="s">
        <v>209</v>
      </c>
      <c r="H56" s="2"/>
      <c r="I56" s="2"/>
      <c r="J56" s="2"/>
      <c r="K56" s="2"/>
      <c r="L56" s="3"/>
      <c r="M56" s="1" t="s">
        <v>210</v>
      </c>
      <c r="N56" s="3"/>
      <c r="O56" s="1" t="s">
        <v>211</v>
      </c>
      <c r="P56" s="2"/>
      <c r="Q56" s="3"/>
      <c r="R56" s="1" t="s">
        <v>212</v>
      </c>
      <c r="S56" s="2"/>
      <c r="T56" s="2"/>
      <c r="U56" s="2"/>
      <c r="V56" s="2"/>
      <c r="W56" s="2"/>
      <c r="X56" s="2"/>
      <c r="Y56" s="2"/>
      <c r="Z56" s="2"/>
      <c r="AA56" s="2"/>
      <c r="AB56" s="2"/>
      <c r="AC56" s="2"/>
      <c r="AD56" s="2"/>
      <c r="AE56" s="2"/>
      <c r="AF56" s="2"/>
      <c r="AG56" s="2"/>
      <c r="AH56" s="2"/>
      <c r="AI56" s="2"/>
      <c r="AJ56" s="2"/>
      <c r="AK56" s="3"/>
    </row>
    <row r="57" ht="36" customHeight="1" spans="2:37">
      <c r="B57" s="34" t="s">
        <v>213</v>
      </c>
      <c r="C57" s="3"/>
      <c r="D57" s="19" t="s">
        <v>214</v>
      </c>
      <c r="E57" s="2"/>
      <c r="F57" s="3"/>
      <c r="G57" s="18" t="s">
        <v>215</v>
      </c>
      <c r="H57" s="2"/>
      <c r="I57" s="2"/>
      <c r="J57" s="2"/>
      <c r="K57" s="2"/>
      <c r="L57" s="3"/>
      <c r="M57" s="19">
        <v>10</v>
      </c>
      <c r="N57" s="3"/>
      <c r="O57" s="19" t="s">
        <v>82</v>
      </c>
      <c r="P57" s="2"/>
      <c r="Q57" s="3"/>
      <c r="R57" s="18" t="s">
        <v>216</v>
      </c>
      <c r="S57" s="2"/>
      <c r="T57" s="2"/>
      <c r="U57" s="2"/>
      <c r="V57" s="2"/>
      <c r="W57" s="2"/>
      <c r="X57" s="2"/>
      <c r="Y57" s="2"/>
      <c r="Z57" s="2"/>
      <c r="AA57" s="2"/>
      <c r="AB57" s="2"/>
      <c r="AC57" s="2"/>
      <c r="AD57" s="2"/>
      <c r="AE57" s="2"/>
      <c r="AF57" s="2"/>
      <c r="AG57" s="2"/>
      <c r="AH57" s="2"/>
      <c r="AI57" s="2"/>
      <c r="AJ57" s="2"/>
      <c r="AK57" s="3"/>
    </row>
    <row r="58" ht="30" customHeight="1" spans="2:37">
      <c r="B58" s="34" t="s">
        <v>217</v>
      </c>
      <c r="C58" s="3"/>
      <c r="D58" s="19" t="s">
        <v>218</v>
      </c>
      <c r="E58" s="2"/>
      <c r="F58" s="3"/>
      <c r="G58" s="18" t="s">
        <v>219</v>
      </c>
      <c r="H58" s="2"/>
      <c r="I58" s="2"/>
      <c r="J58" s="2"/>
      <c r="K58" s="2"/>
      <c r="L58" s="3"/>
      <c r="M58" s="19">
        <v>9</v>
      </c>
      <c r="N58" s="3"/>
      <c r="O58" s="19" t="s">
        <v>102</v>
      </c>
      <c r="P58" s="2"/>
      <c r="Q58" s="3"/>
      <c r="R58" s="18" t="s">
        <v>220</v>
      </c>
      <c r="S58" s="2"/>
      <c r="T58" s="2"/>
      <c r="U58" s="2"/>
      <c r="V58" s="2"/>
      <c r="W58" s="2"/>
      <c r="X58" s="2"/>
      <c r="Y58" s="2"/>
      <c r="Z58" s="2"/>
      <c r="AA58" s="2"/>
      <c r="AB58" s="2"/>
      <c r="AC58" s="2"/>
      <c r="AD58" s="2"/>
      <c r="AE58" s="2"/>
      <c r="AF58" s="2"/>
      <c r="AG58" s="2"/>
      <c r="AH58" s="2"/>
      <c r="AI58" s="2"/>
      <c r="AJ58" s="2"/>
      <c r="AK58" s="3"/>
    </row>
    <row r="59" ht="36" customHeight="1" spans="2:37">
      <c r="B59" s="34" t="s">
        <v>221</v>
      </c>
      <c r="C59" s="3"/>
      <c r="D59" s="19" t="s">
        <v>222</v>
      </c>
      <c r="E59" s="2"/>
      <c r="F59" s="3"/>
      <c r="G59" s="18" t="s">
        <v>223</v>
      </c>
      <c r="H59" s="2"/>
      <c r="I59" s="2"/>
      <c r="J59" s="2"/>
      <c r="K59" s="2"/>
      <c r="L59" s="3"/>
      <c r="M59" s="19">
        <v>8</v>
      </c>
      <c r="N59" s="3"/>
      <c r="O59" s="19" t="s">
        <v>82</v>
      </c>
      <c r="P59" s="2"/>
      <c r="Q59" s="3"/>
      <c r="R59" s="18" t="s">
        <v>224</v>
      </c>
      <c r="S59" s="2"/>
      <c r="T59" s="2"/>
      <c r="U59" s="2"/>
      <c r="V59" s="2"/>
      <c r="W59" s="2"/>
      <c r="X59" s="2"/>
      <c r="Y59" s="2"/>
      <c r="Z59" s="2"/>
      <c r="AA59" s="2"/>
      <c r="AB59" s="2"/>
      <c r="AC59" s="2"/>
      <c r="AD59" s="2"/>
      <c r="AE59" s="2"/>
      <c r="AF59" s="2"/>
      <c r="AG59" s="2"/>
      <c r="AH59" s="2"/>
      <c r="AI59" s="2"/>
      <c r="AJ59" s="2"/>
      <c r="AK59" s="3"/>
    </row>
    <row r="60" ht="36" customHeight="1" spans="2:37">
      <c r="B60" s="34" t="s">
        <v>225</v>
      </c>
      <c r="C60" s="3"/>
      <c r="D60" s="19" t="s">
        <v>226</v>
      </c>
      <c r="E60" s="2"/>
      <c r="F60" s="3"/>
      <c r="G60" s="18" t="s">
        <v>227</v>
      </c>
      <c r="H60" s="2"/>
      <c r="I60" s="2"/>
      <c r="J60" s="2"/>
      <c r="K60" s="2"/>
      <c r="L60" s="3"/>
      <c r="M60" s="19">
        <v>9</v>
      </c>
      <c r="N60" s="3"/>
      <c r="O60" s="19" t="s">
        <v>82</v>
      </c>
      <c r="P60" s="2"/>
      <c r="Q60" s="3"/>
      <c r="R60" s="18" t="s">
        <v>228</v>
      </c>
      <c r="S60" s="2"/>
      <c r="T60" s="2"/>
      <c r="U60" s="2"/>
      <c r="V60" s="2"/>
      <c r="W60" s="2"/>
      <c r="X60" s="2"/>
      <c r="Y60" s="2"/>
      <c r="Z60" s="2"/>
      <c r="AA60" s="2"/>
      <c r="AB60" s="2"/>
      <c r="AC60" s="2"/>
      <c r="AD60" s="2"/>
      <c r="AE60" s="2"/>
      <c r="AF60" s="2"/>
      <c r="AG60" s="2"/>
      <c r="AH60" s="2"/>
      <c r="AI60" s="2"/>
      <c r="AJ60" s="2"/>
      <c r="AK60" s="3"/>
    </row>
    <row r="61" ht="36" customHeight="1" spans="2:37">
      <c r="B61" s="34" t="s">
        <v>229</v>
      </c>
      <c r="C61" s="3"/>
      <c r="D61" s="19" t="s">
        <v>230</v>
      </c>
      <c r="E61" s="2"/>
      <c r="F61" s="3"/>
      <c r="G61" s="18" t="s">
        <v>231</v>
      </c>
      <c r="H61" s="2"/>
      <c r="I61" s="2"/>
      <c r="J61" s="2"/>
      <c r="K61" s="2"/>
      <c r="L61" s="3"/>
      <c r="M61" s="19">
        <v>6</v>
      </c>
      <c r="N61" s="3"/>
      <c r="O61" s="19" t="s">
        <v>232</v>
      </c>
      <c r="P61" s="2"/>
      <c r="Q61" s="3"/>
      <c r="R61" s="18" t="s">
        <v>233</v>
      </c>
      <c r="S61" s="2"/>
      <c r="T61" s="2"/>
      <c r="U61" s="2"/>
      <c r="V61" s="2"/>
      <c r="W61" s="2"/>
      <c r="X61" s="2"/>
      <c r="Y61" s="2"/>
      <c r="Z61" s="2"/>
      <c r="AA61" s="2"/>
      <c r="AB61" s="2"/>
      <c r="AC61" s="2"/>
      <c r="AD61" s="2"/>
      <c r="AE61" s="2"/>
      <c r="AF61" s="2"/>
      <c r="AG61" s="2"/>
      <c r="AH61" s="2"/>
      <c r="AI61" s="2"/>
      <c r="AJ61" s="2"/>
      <c r="AK61" s="3"/>
    </row>
    <row r="62" ht="30" customHeight="1" spans="2:37">
      <c r="B62" s="34" t="s">
        <v>234</v>
      </c>
      <c r="C62" s="3"/>
      <c r="D62" s="19" t="s">
        <v>235</v>
      </c>
      <c r="E62" s="2"/>
      <c r="F62" s="3"/>
      <c r="G62" s="18" t="s">
        <v>236</v>
      </c>
      <c r="H62" s="2"/>
      <c r="I62" s="2"/>
      <c r="J62" s="2"/>
      <c r="K62" s="2"/>
      <c r="L62" s="3"/>
      <c r="M62" s="19">
        <v>2</v>
      </c>
      <c r="N62" s="3"/>
      <c r="O62" s="19" t="s">
        <v>102</v>
      </c>
      <c r="P62" s="2"/>
      <c r="Q62" s="3"/>
      <c r="R62" s="18" t="s">
        <v>237</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5" t="s">
        <v>238</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77" workbookViewId="0">
      <selection activeCell="BH78" sqref="BH78:BJ78"/>
    </sheetView>
  </sheetViews>
  <sheetFormatPr defaultColWidth="14.4285714285714" defaultRowHeight="15" customHeight="1"/>
  <cols>
    <col min="1" max="69" width="4" customWidth="1"/>
  </cols>
  <sheetData>
    <row r="1" ht="22.5" customHeight="1" spans="1:69">
      <c r="A1" s="1" t="s">
        <v>239</v>
      </c>
      <c r="B1" s="2"/>
      <c r="C1" s="2"/>
      <c r="D1" s="2"/>
      <c r="E1" s="3"/>
      <c r="F1" s="4" t="s">
        <v>240</v>
      </c>
      <c r="G1" s="2"/>
      <c r="H1" s="2"/>
      <c r="I1" s="2"/>
      <c r="J1" s="2"/>
      <c r="K1" s="2"/>
      <c r="L1" s="2"/>
      <c r="M1" s="2"/>
      <c r="N1" s="2"/>
      <c r="O1" s="2"/>
      <c r="P1" s="2"/>
      <c r="Q1" s="3"/>
      <c r="R1" s="1" t="s">
        <v>241</v>
      </c>
      <c r="S1" s="2"/>
      <c r="T1" s="2"/>
      <c r="U1" s="2"/>
      <c r="V1" s="3"/>
      <c r="W1" s="4" t="s">
        <v>242</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243</v>
      </c>
      <c r="S3" s="2"/>
      <c r="T3" s="2"/>
      <c r="U3" s="2"/>
      <c r="V3" s="3"/>
      <c r="W3" s="5"/>
      <c r="X3" s="2"/>
      <c r="Y3" s="2"/>
      <c r="Z3" s="2"/>
      <c r="AA3" s="2"/>
      <c r="AB3" s="2"/>
      <c r="AC3" s="2"/>
      <c r="AD3" s="2"/>
      <c r="AE3" s="2"/>
      <c r="AF3" s="2"/>
      <c r="AG3" s="2"/>
      <c r="AH3" s="3"/>
    </row>
    <row r="4" ht="22.5" customHeight="1" spans="1:69">
      <c r="A4" s="1" t="s">
        <v>244</v>
      </c>
      <c r="B4" s="2"/>
      <c r="C4" s="2"/>
      <c r="D4" s="2"/>
      <c r="E4" s="3"/>
      <c r="F4" s="4" t="s">
        <v>245</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246</v>
      </c>
      <c r="B5" s="2"/>
      <c r="C5" s="2"/>
      <c r="D5" s="2"/>
      <c r="E5" s="2"/>
      <c r="F5" s="2"/>
      <c r="G5" s="2"/>
      <c r="H5" s="2"/>
      <c r="I5" s="2"/>
      <c r="J5" s="2"/>
      <c r="K5" s="2"/>
      <c r="L5" s="2"/>
      <c r="M5" s="2"/>
      <c r="N5" s="2"/>
      <c r="O5" s="2"/>
      <c r="P5" s="2"/>
      <c r="Q5" s="2"/>
      <c r="R5" s="2"/>
      <c r="S5" s="3"/>
      <c r="T5" s="1" t="s">
        <v>59</v>
      </c>
      <c r="U5" s="2"/>
      <c r="V5" s="2"/>
      <c r="W5" s="2"/>
      <c r="X5" s="2"/>
      <c r="Y5" s="2"/>
      <c r="Z5" s="2"/>
      <c r="AA5" s="2"/>
      <c r="AB5" s="2"/>
      <c r="AC5" s="2"/>
      <c r="AD5" s="2"/>
      <c r="AE5" s="2"/>
      <c r="AF5" s="2"/>
      <c r="AG5" s="2"/>
      <c r="AH5" s="3"/>
    </row>
    <row r="6" ht="22.5" customHeight="1" spans="1:69">
      <c r="A6" s="1" t="s">
        <v>247</v>
      </c>
      <c r="B6" s="2"/>
      <c r="C6" s="2"/>
      <c r="D6" s="2"/>
      <c r="E6" s="2"/>
      <c r="F6" s="2"/>
      <c r="G6" s="3"/>
      <c r="H6" s="1" t="s">
        <v>60</v>
      </c>
      <c r="I6" s="2"/>
      <c r="J6" s="3"/>
      <c r="K6" s="1" t="s">
        <v>61</v>
      </c>
      <c r="L6" s="2"/>
      <c r="M6" s="3"/>
      <c r="N6" s="1" t="s">
        <v>248</v>
      </c>
      <c r="O6" s="2"/>
      <c r="P6" s="3"/>
      <c r="Q6" s="1" t="s">
        <v>58</v>
      </c>
      <c r="R6" s="2"/>
      <c r="S6" s="3"/>
      <c r="T6" s="1" t="s">
        <v>63</v>
      </c>
      <c r="U6" s="2"/>
      <c r="V6" s="3"/>
      <c r="W6" s="1" t="s">
        <v>64</v>
      </c>
      <c r="X6" s="2"/>
      <c r="Y6" s="3"/>
      <c r="Z6" s="1" t="s">
        <v>65</v>
      </c>
      <c r="AA6" s="2"/>
      <c r="AB6" s="3"/>
      <c r="AC6" s="1" t="s">
        <v>66</v>
      </c>
      <c r="AD6" s="2"/>
      <c r="AE6" s="3"/>
      <c r="AF6" s="1" t="s">
        <v>58</v>
      </c>
      <c r="AG6" s="2"/>
      <c r="AH6" s="3"/>
    </row>
    <row r="7" ht="22.5" customHeight="1" spans="1:69">
      <c r="A7" s="1" t="s">
        <v>249</v>
      </c>
      <c r="B7" s="2"/>
      <c r="C7" s="2"/>
      <c r="D7" s="2"/>
      <c r="E7" s="2"/>
      <c r="F7" s="2"/>
      <c r="G7" s="3"/>
      <c r="H7" s="6">
        <f t="shared" ref="H7:H8" si="0">COUNTIF($AE$12:$AF$1049,"N")</f>
        <v>21</v>
      </c>
      <c r="I7" s="2"/>
      <c r="J7" s="3"/>
      <c r="K7" s="6">
        <f t="shared" ref="K7:K8" si="1">COUNTIF($AE$12:$AF$1049,"A")</f>
        <v>29</v>
      </c>
      <c r="L7" s="2"/>
      <c r="M7" s="3"/>
      <c r="N7" s="6">
        <f t="shared" ref="N7:N8" si="2">COUNTIF($AE$12:$AF$1049,"B")</f>
        <v>12</v>
      </c>
      <c r="O7" s="2"/>
      <c r="P7" s="3"/>
      <c r="Q7" s="7">
        <f t="shared" ref="Q7:Q8" si="3">SUM(H7:P7)</f>
        <v>62</v>
      </c>
      <c r="R7" s="2"/>
      <c r="S7" s="3"/>
      <c r="T7" s="6">
        <f>COUNTIF($AG$12:$AI$1049,T$6)</f>
        <v>56</v>
      </c>
      <c r="U7" s="2"/>
      <c r="V7" s="3"/>
      <c r="W7" s="6">
        <f>COUNTIF($AG$12:$AI$1049,W$6)</f>
        <v>0</v>
      </c>
      <c r="X7" s="2"/>
      <c r="Y7" s="3"/>
      <c r="Z7" s="6">
        <f>COUNTIF($AG$12:$AI$1049,Z$6)</f>
        <v>5</v>
      </c>
      <c r="AA7" s="2"/>
      <c r="AB7" s="3"/>
      <c r="AC7" s="6">
        <f>COUNTIF($AG$12:$AI$1049,AC$6)</f>
        <v>0</v>
      </c>
      <c r="AD7" s="2"/>
      <c r="AE7" s="3"/>
      <c r="AF7" s="7">
        <f t="shared" ref="AF7:AF8" si="4">SUM(T7:AE7)</f>
        <v>61</v>
      </c>
      <c r="AG7" s="2"/>
      <c r="AH7" s="3"/>
    </row>
    <row r="8" ht="22.5" customHeight="1" spans="1:69">
      <c r="A8" s="1" t="s">
        <v>250</v>
      </c>
      <c r="B8" s="2"/>
      <c r="C8" s="2"/>
      <c r="D8" s="2"/>
      <c r="E8" s="2"/>
      <c r="F8" s="2"/>
      <c r="G8" s="3"/>
      <c r="H8" s="6">
        <f t="shared" si="0"/>
        <v>21</v>
      </c>
      <c r="I8" s="2"/>
      <c r="J8" s="3"/>
      <c r="K8" s="6">
        <f t="shared" si="1"/>
        <v>29</v>
      </c>
      <c r="L8" s="2"/>
      <c r="M8" s="3"/>
      <c r="N8" s="6">
        <f t="shared" si="2"/>
        <v>12</v>
      </c>
      <c r="O8" s="2"/>
      <c r="P8" s="3"/>
      <c r="Q8" s="7">
        <f t="shared" si="3"/>
        <v>62</v>
      </c>
      <c r="R8" s="2"/>
      <c r="S8" s="3"/>
      <c r="T8" s="6">
        <f>COUNTIF($AV$12:$AX$1049,T$6)</f>
        <v>62</v>
      </c>
      <c r="U8" s="2"/>
      <c r="V8" s="3"/>
      <c r="W8" s="6">
        <f>COUNTIF($AV$12:$AX$1049,W$6)</f>
        <v>0</v>
      </c>
      <c r="X8" s="2"/>
      <c r="Y8" s="3"/>
      <c r="Z8" s="6">
        <f>COUNTIF($AV$12:$AX$1049,Z$6)</f>
        <v>0</v>
      </c>
      <c r="AA8" s="2"/>
      <c r="AB8" s="3"/>
      <c r="AC8" s="6">
        <f>COUNTIF($AV$12:$AX$1049,AC$6)</f>
        <v>0</v>
      </c>
      <c r="AD8" s="2"/>
      <c r="AE8" s="3"/>
      <c r="AF8" s="7">
        <f t="shared" si="4"/>
        <v>62</v>
      </c>
      <c r="AG8" s="2"/>
      <c r="AH8" s="3"/>
    </row>
    <row r="9" ht="12.75" customHeight="1"/>
    <row r="10" ht="36" customHeight="1" spans="1:69">
      <c r="A10" s="8" t="s">
        <v>55</v>
      </c>
      <c r="B10" s="9" t="s">
        <v>251</v>
      </c>
      <c r="C10" s="10"/>
      <c r="D10" s="11"/>
      <c r="E10" s="9" t="s">
        <v>252</v>
      </c>
      <c r="F10" s="10"/>
      <c r="G10" s="10"/>
      <c r="H10" s="10"/>
      <c r="I10" s="11"/>
      <c r="J10" s="9" t="s">
        <v>253</v>
      </c>
      <c r="K10" s="10"/>
      <c r="L10" s="10"/>
      <c r="M10" s="10"/>
      <c r="N10" s="10"/>
      <c r="O10" s="10"/>
      <c r="P10" s="11"/>
      <c r="Q10" s="9" t="s">
        <v>254</v>
      </c>
      <c r="R10" s="10"/>
      <c r="S10" s="10"/>
      <c r="T10" s="10"/>
      <c r="U10" s="10"/>
      <c r="V10" s="10"/>
      <c r="W10" s="11"/>
      <c r="X10" s="9" t="s">
        <v>255</v>
      </c>
      <c r="Y10" s="10"/>
      <c r="Z10" s="10"/>
      <c r="AA10" s="10"/>
      <c r="AB10" s="10"/>
      <c r="AC10" s="10"/>
      <c r="AD10" s="11"/>
      <c r="AE10" s="9" t="s">
        <v>256</v>
      </c>
      <c r="AF10" s="11"/>
      <c r="AG10" s="1" t="s">
        <v>257</v>
      </c>
      <c r="AH10" s="2"/>
      <c r="AI10" s="2"/>
      <c r="AJ10" s="2"/>
      <c r="AK10" s="2"/>
      <c r="AL10" s="2"/>
      <c r="AM10" s="2"/>
      <c r="AN10" s="2"/>
      <c r="AO10" s="2"/>
      <c r="AP10" s="2"/>
      <c r="AQ10" s="2"/>
      <c r="AR10" s="2"/>
      <c r="AS10" s="2"/>
      <c r="AT10" s="2"/>
      <c r="AU10" s="3"/>
      <c r="AV10" s="1" t="s">
        <v>258</v>
      </c>
      <c r="AW10" s="2"/>
      <c r="AX10" s="2"/>
      <c r="AY10" s="2"/>
      <c r="AZ10" s="2"/>
      <c r="BA10" s="2"/>
      <c r="BB10" s="2"/>
      <c r="BC10" s="2"/>
      <c r="BD10" s="2"/>
      <c r="BE10" s="2"/>
      <c r="BF10" s="2"/>
      <c r="BG10" s="2"/>
      <c r="BH10" s="2"/>
      <c r="BI10" s="2"/>
      <c r="BJ10" s="3"/>
      <c r="BK10" s="9" t="s">
        <v>259</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260</v>
      </c>
      <c r="AH11" s="2"/>
      <c r="AI11" s="3"/>
      <c r="AJ11" s="1" t="s">
        <v>261</v>
      </c>
      <c r="AK11" s="2"/>
      <c r="AL11" s="3"/>
      <c r="AM11" s="1" t="s">
        <v>11</v>
      </c>
      <c r="AN11" s="2"/>
      <c r="AO11" s="3"/>
      <c r="AP11" s="1" t="s">
        <v>262</v>
      </c>
      <c r="AQ11" s="2"/>
      <c r="AR11" s="3"/>
      <c r="AS11" s="1" t="s">
        <v>263</v>
      </c>
      <c r="AT11" s="2"/>
      <c r="AU11" s="3"/>
      <c r="AV11" s="1" t="s">
        <v>260</v>
      </c>
      <c r="AW11" s="2"/>
      <c r="AX11" s="3"/>
      <c r="AY11" s="1" t="s">
        <v>261</v>
      </c>
      <c r="AZ11" s="2"/>
      <c r="BA11" s="3"/>
      <c r="BB11" s="1" t="s">
        <v>11</v>
      </c>
      <c r="BC11" s="2"/>
      <c r="BD11" s="3"/>
      <c r="BE11" s="1" t="s">
        <v>262</v>
      </c>
      <c r="BF11" s="2"/>
      <c r="BG11" s="3"/>
      <c r="BH11" s="1" t="s">
        <v>263</v>
      </c>
      <c r="BI11" s="2"/>
      <c r="BJ11" s="3"/>
      <c r="BK11" s="13"/>
      <c r="BL11" s="14"/>
      <c r="BM11" s="14"/>
      <c r="BN11" s="14"/>
      <c r="BO11" s="14"/>
      <c r="BP11" s="14"/>
      <c r="BQ11" s="15"/>
    </row>
    <row r="12" ht="22.5" customHeight="1" spans="1:69">
      <c r="A12" s="16" t="s">
        <v>264</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265</v>
      </c>
      <c r="C13" s="2"/>
      <c r="D13" s="3"/>
      <c r="E13" s="18" t="s">
        <v>266</v>
      </c>
      <c r="F13" s="2"/>
      <c r="G13" s="2"/>
      <c r="H13" s="2"/>
      <c r="I13" s="3"/>
      <c r="J13" s="18" t="s">
        <v>267</v>
      </c>
      <c r="K13" s="2"/>
      <c r="L13" s="2"/>
      <c r="M13" s="2"/>
      <c r="N13" s="2"/>
      <c r="O13" s="2"/>
      <c r="P13" s="3"/>
      <c r="Q13" s="18" t="s">
        <v>268</v>
      </c>
      <c r="R13" s="2"/>
      <c r="S13" s="2"/>
      <c r="T13" s="2"/>
      <c r="U13" s="2"/>
      <c r="V13" s="2"/>
      <c r="W13" s="3"/>
      <c r="X13" s="18" t="s">
        <v>269</v>
      </c>
      <c r="Y13" s="2"/>
      <c r="Z13" s="2"/>
      <c r="AA13" s="2"/>
      <c r="AB13" s="2"/>
      <c r="AC13" s="2"/>
      <c r="AD13" s="3"/>
      <c r="AE13" s="19" t="s">
        <v>270</v>
      </c>
      <c r="AF13" s="3"/>
      <c r="AG13" s="19" t="s">
        <v>63</v>
      </c>
      <c r="AH13" s="2"/>
      <c r="AI13" s="3"/>
      <c r="AJ13" s="19"/>
      <c r="AK13" s="2"/>
      <c r="AL13" s="3"/>
      <c r="AM13" s="19" t="s">
        <v>271</v>
      </c>
      <c r="AN13" s="2"/>
      <c r="AO13" s="3"/>
      <c r="AP13" s="20">
        <v>46149</v>
      </c>
      <c r="AQ13" s="2"/>
      <c r="AR13" s="3"/>
      <c r="AS13" s="19"/>
      <c r="AT13" s="2"/>
      <c r="AU13" s="3"/>
      <c r="AV13" s="19" t="s">
        <v>63</v>
      </c>
      <c r="AW13" s="2"/>
      <c r="AX13" s="3"/>
      <c r="AY13" s="19"/>
      <c r="AZ13" s="2"/>
      <c r="BA13" s="3"/>
      <c r="BB13" s="19" t="s">
        <v>272</v>
      </c>
      <c r="BC13" s="2"/>
      <c r="BD13" s="3"/>
      <c r="BE13" s="20">
        <v>46239</v>
      </c>
      <c r="BF13" s="2"/>
      <c r="BG13" s="3"/>
      <c r="BH13" s="19"/>
      <c r="BI13" s="2"/>
      <c r="BJ13" s="3"/>
      <c r="BK13" s="18"/>
      <c r="BL13" s="2"/>
      <c r="BM13" s="2"/>
      <c r="BN13" s="2"/>
      <c r="BO13" s="2"/>
      <c r="BP13" s="2"/>
      <c r="BQ13" s="3"/>
    </row>
    <row r="14" ht="409.5" customHeight="1" spans="1:69">
      <c r="A14" s="17">
        <v>2</v>
      </c>
      <c r="B14" s="18" t="s">
        <v>273</v>
      </c>
      <c r="C14" s="2"/>
      <c r="D14" s="3"/>
      <c r="E14" s="18" t="s">
        <v>274</v>
      </c>
      <c r="F14" s="2"/>
      <c r="G14" s="2"/>
      <c r="H14" s="2"/>
      <c r="I14" s="3"/>
      <c r="J14" s="18" t="s">
        <v>275</v>
      </c>
      <c r="K14" s="2"/>
      <c r="L14" s="2"/>
      <c r="M14" s="2"/>
      <c r="N14" s="2"/>
      <c r="O14" s="2"/>
      <c r="P14" s="3"/>
      <c r="Q14" s="18" t="s">
        <v>276</v>
      </c>
      <c r="R14" s="2"/>
      <c r="S14" s="2"/>
      <c r="T14" s="2"/>
      <c r="U14" s="2"/>
      <c r="V14" s="2"/>
      <c r="W14" s="3"/>
      <c r="X14" s="18" t="s">
        <v>277</v>
      </c>
      <c r="Y14" s="2"/>
      <c r="Z14" s="2"/>
      <c r="AA14" s="2"/>
      <c r="AB14" s="2"/>
      <c r="AC14" s="2"/>
      <c r="AD14" s="3"/>
      <c r="AE14" s="19" t="s">
        <v>213</v>
      </c>
      <c r="AF14" s="3"/>
      <c r="AG14" s="19" t="s">
        <v>63</v>
      </c>
      <c r="AH14" s="2"/>
      <c r="AI14" s="3"/>
      <c r="AJ14" s="19"/>
      <c r="AK14" s="2"/>
      <c r="AL14" s="3"/>
      <c r="AM14" s="19" t="s">
        <v>271</v>
      </c>
      <c r="AN14" s="2"/>
      <c r="AO14" s="3"/>
      <c r="AP14" s="20">
        <v>46149</v>
      </c>
      <c r="AQ14" s="2"/>
      <c r="AR14" s="3"/>
      <c r="AS14" s="19"/>
      <c r="AT14" s="2"/>
      <c r="AU14" s="3"/>
      <c r="AV14" s="19" t="s">
        <v>63</v>
      </c>
      <c r="AW14" s="2"/>
      <c r="AX14" s="3"/>
      <c r="AY14" s="19"/>
      <c r="AZ14" s="2"/>
      <c r="BA14" s="3"/>
      <c r="BB14" s="19" t="s">
        <v>272</v>
      </c>
      <c r="BC14" s="2"/>
      <c r="BD14" s="3"/>
      <c r="BE14" s="20">
        <v>46239</v>
      </c>
      <c r="BF14" s="2"/>
      <c r="BG14" s="3"/>
      <c r="BH14" s="19"/>
      <c r="BI14" s="2"/>
      <c r="BJ14" s="3"/>
      <c r="BK14" s="18" t="s">
        <v>278</v>
      </c>
      <c r="BL14" s="2"/>
      <c r="BM14" s="2"/>
      <c r="BN14" s="2"/>
      <c r="BO14" s="2"/>
      <c r="BP14" s="2"/>
      <c r="BQ14" s="3"/>
    </row>
    <row r="15" ht="409.5" customHeight="1" spans="1:69">
      <c r="A15" s="17">
        <v>3</v>
      </c>
      <c r="B15" s="18" t="s">
        <v>279</v>
      </c>
      <c r="C15" s="2"/>
      <c r="D15" s="3"/>
      <c r="E15" s="18" t="s">
        <v>280</v>
      </c>
      <c r="F15" s="2"/>
      <c r="G15" s="2"/>
      <c r="H15" s="2"/>
      <c r="I15" s="3"/>
      <c r="J15" s="18" t="s">
        <v>281</v>
      </c>
      <c r="K15" s="2"/>
      <c r="L15" s="2"/>
      <c r="M15" s="2"/>
      <c r="N15" s="2"/>
      <c r="O15" s="2"/>
      <c r="P15" s="3"/>
      <c r="Q15" s="18" t="s">
        <v>282</v>
      </c>
      <c r="R15" s="2"/>
      <c r="S15" s="2"/>
      <c r="T15" s="2"/>
      <c r="U15" s="2"/>
      <c r="V15" s="2"/>
      <c r="W15" s="3"/>
      <c r="X15" s="18" t="s">
        <v>283</v>
      </c>
      <c r="Y15" s="2"/>
      <c r="Z15" s="2"/>
      <c r="AA15" s="2"/>
      <c r="AB15" s="2"/>
      <c r="AC15" s="2"/>
      <c r="AD15" s="3"/>
      <c r="AE15" s="19" t="s">
        <v>213</v>
      </c>
      <c r="AF15" s="3"/>
      <c r="AG15" s="19" t="s">
        <v>63</v>
      </c>
      <c r="AH15" s="2"/>
      <c r="AI15" s="3"/>
      <c r="AJ15" s="19"/>
      <c r="AK15" s="2"/>
      <c r="AL15" s="3"/>
      <c r="AM15" s="19" t="s">
        <v>271</v>
      </c>
      <c r="AN15" s="2"/>
      <c r="AO15" s="3"/>
      <c r="AP15" s="20">
        <v>46149</v>
      </c>
      <c r="AQ15" s="2"/>
      <c r="AR15" s="3"/>
      <c r="AS15" s="19"/>
      <c r="AT15" s="2"/>
      <c r="AU15" s="3"/>
      <c r="AV15" s="19" t="s">
        <v>63</v>
      </c>
      <c r="AW15" s="2"/>
      <c r="AX15" s="3"/>
      <c r="AY15" s="19"/>
      <c r="AZ15" s="2"/>
      <c r="BA15" s="3"/>
      <c r="BB15" s="19" t="s">
        <v>272</v>
      </c>
      <c r="BC15" s="2"/>
      <c r="BD15" s="3"/>
      <c r="BE15" s="20">
        <v>46239</v>
      </c>
      <c r="BF15" s="2"/>
      <c r="BG15" s="3"/>
      <c r="BH15" s="19"/>
      <c r="BI15" s="2"/>
      <c r="BJ15" s="3"/>
      <c r="BK15" s="18"/>
      <c r="BL15" s="2"/>
      <c r="BM15" s="2"/>
      <c r="BN15" s="2"/>
      <c r="BO15" s="2"/>
      <c r="BP15" s="2"/>
      <c r="BQ15" s="3"/>
    </row>
    <row r="16" ht="409.5" customHeight="1" spans="1:69">
      <c r="A16" s="17">
        <v>4</v>
      </c>
      <c r="B16" s="18" t="s">
        <v>284</v>
      </c>
      <c r="C16" s="2"/>
      <c r="D16" s="3"/>
      <c r="E16" s="18" t="s">
        <v>285</v>
      </c>
      <c r="F16" s="2"/>
      <c r="G16" s="2"/>
      <c r="H16" s="2"/>
      <c r="I16" s="3"/>
      <c r="J16" s="18" t="s">
        <v>286</v>
      </c>
      <c r="K16" s="2"/>
      <c r="L16" s="2"/>
      <c r="M16" s="2"/>
      <c r="N16" s="2"/>
      <c r="O16" s="2"/>
      <c r="P16" s="3"/>
      <c r="Q16" s="18" t="s">
        <v>287</v>
      </c>
      <c r="R16" s="2"/>
      <c r="S16" s="2"/>
      <c r="T16" s="2"/>
      <c r="U16" s="2"/>
      <c r="V16" s="2"/>
      <c r="W16" s="3"/>
      <c r="X16" s="18" t="s">
        <v>288</v>
      </c>
      <c r="Y16" s="2"/>
      <c r="Z16" s="2"/>
      <c r="AA16" s="2"/>
      <c r="AB16" s="2"/>
      <c r="AC16" s="2"/>
      <c r="AD16" s="3"/>
      <c r="AE16" s="19" t="s">
        <v>213</v>
      </c>
      <c r="AF16" s="3"/>
      <c r="AG16" s="21" t="s">
        <v>63</v>
      </c>
      <c r="AH16" s="2"/>
      <c r="AI16" s="3"/>
      <c r="AJ16" s="22"/>
      <c r="AK16" s="2"/>
      <c r="AL16" s="3"/>
      <c r="AM16" s="21" t="s">
        <v>271</v>
      </c>
      <c r="AN16" s="2"/>
      <c r="AO16" s="3"/>
      <c r="AP16" s="23">
        <v>46149</v>
      </c>
      <c r="AQ16" s="2"/>
      <c r="AR16" s="3"/>
      <c r="AS16" s="19"/>
      <c r="AT16" s="2"/>
      <c r="AU16" s="3"/>
      <c r="AV16" s="19" t="s">
        <v>63</v>
      </c>
      <c r="AW16" s="2"/>
      <c r="AX16" s="3"/>
      <c r="AY16" s="19"/>
      <c r="AZ16" s="2"/>
      <c r="BA16" s="3"/>
      <c r="BB16" s="19" t="s">
        <v>272</v>
      </c>
      <c r="BC16" s="2"/>
      <c r="BD16" s="3"/>
      <c r="BE16" s="20">
        <v>46239</v>
      </c>
      <c r="BF16" s="2"/>
      <c r="BG16" s="3"/>
      <c r="BH16" s="19"/>
      <c r="BI16" s="2"/>
      <c r="BJ16" s="3"/>
      <c r="BK16" s="18"/>
      <c r="BL16" s="2"/>
      <c r="BM16" s="2"/>
      <c r="BN16" s="2"/>
      <c r="BO16" s="2"/>
      <c r="BP16" s="2"/>
      <c r="BQ16" s="3"/>
    </row>
    <row r="17" ht="409.5" customHeight="1" spans="1:69">
      <c r="A17" s="17">
        <v>5</v>
      </c>
      <c r="B17" s="18" t="s">
        <v>289</v>
      </c>
      <c r="C17" s="2"/>
      <c r="D17" s="3"/>
      <c r="E17" s="18" t="s">
        <v>290</v>
      </c>
      <c r="F17" s="2"/>
      <c r="G17" s="2"/>
      <c r="H17" s="2"/>
      <c r="I17" s="3"/>
      <c r="J17" s="18" t="s">
        <v>291</v>
      </c>
      <c r="K17" s="2"/>
      <c r="L17" s="2"/>
      <c r="M17" s="2"/>
      <c r="N17" s="2"/>
      <c r="O17" s="2"/>
      <c r="P17" s="3"/>
      <c r="Q17" s="18" t="s">
        <v>292</v>
      </c>
      <c r="R17" s="2"/>
      <c r="S17" s="2"/>
      <c r="T17" s="2"/>
      <c r="U17" s="2"/>
      <c r="V17" s="2"/>
      <c r="W17" s="3"/>
      <c r="X17" s="18" t="s">
        <v>293</v>
      </c>
      <c r="Y17" s="2"/>
      <c r="Z17" s="2"/>
      <c r="AA17" s="2"/>
      <c r="AB17" s="2"/>
      <c r="AC17" s="2"/>
      <c r="AD17" s="3"/>
      <c r="AE17" s="19" t="s">
        <v>213</v>
      </c>
      <c r="AF17" s="3"/>
      <c r="AG17" s="21" t="s">
        <v>63</v>
      </c>
      <c r="AH17" s="2"/>
      <c r="AI17" s="3"/>
      <c r="AJ17" s="22"/>
      <c r="AK17" s="2"/>
      <c r="AL17" s="3"/>
      <c r="AM17" s="21" t="s">
        <v>271</v>
      </c>
      <c r="AN17" s="2"/>
      <c r="AO17" s="3"/>
      <c r="AP17" s="23">
        <v>46149</v>
      </c>
      <c r="AQ17" s="2"/>
      <c r="AR17" s="3"/>
      <c r="AS17" s="19"/>
      <c r="AT17" s="2"/>
      <c r="AU17" s="3"/>
      <c r="AV17" s="19" t="s">
        <v>63</v>
      </c>
      <c r="AW17" s="2"/>
      <c r="AX17" s="3"/>
      <c r="AY17" s="19"/>
      <c r="AZ17" s="2"/>
      <c r="BA17" s="3"/>
      <c r="BB17" s="19" t="s">
        <v>272</v>
      </c>
      <c r="BC17" s="2"/>
      <c r="BD17" s="3"/>
      <c r="BE17" s="20">
        <v>46239</v>
      </c>
      <c r="BF17" s="2"/>
      <c r="BG17" s="3"/>
      <c r="BH17" s="19"/>
      <c r="BI17" s="2"/>
      <c r="BJ17" s="3"/>
      <c r="BK17" s="18" t="s">
        <v>294</v>
      </c>
      <c r="BL17" s="2"/>
      <c r="BM17" s="2"/>
      <c r="BN17" s="2"/>
      <c r="BO17" s="2"/>
      <c r="BP17" s="2"/>
      <c r="BQ17" s="3"/>
    </row>
    <row r="18" ht="22.5" customHeight="1" spans="1:69">
      <c r="A18" s="16" t="s">
        <v>295</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271.5" customHeight="1" spans="1:69">
      <c r="A19" s="17">
        <v>6</v>
      </c>
      <c r="B19" s="18" t="s">
        <v>296</v>
      </c>
      <c r="C19" s="2"/>
      <c r="D19" s="3"/>
      <c r="E19" s="18" t="s">
        <v>297</v>
      </c>
      <c r="F19" s="2"/>
      <c r="G19" s="2"/>
      <c r="H19" s="2"/>
      <c r="I19" s="3"/>
      <c r="J19" s="18" t="s">
        <v>298</v>
      </c>
      <c r="K19" s="2"/>
      <c r="L19" s="2"/>
      <c r="M19" s="2"/>
      <c r="N19" s="2"/>
      <c r="O19" s="2"/>
      <c r="P19" s="3"/>
      <c r="Q19" s="18" t="s">
        <v>299</v>
      </c>
      <c r="R19" s="2"/>
      <c r="S19" s="2"/>
      <c r="T19" s="2"/>
      <c r="U19" s="2"/>
      <c r="V19" s="2"/>
      <c r="W19" s="3"/>
      <c r="X19" s="18" t="s">
        <v>300</v>
      </c>
      <c r="Y19" s="2"/>
      <c r="Z19" s="2"/>
      <c r="AA19" s="2"/>
      <c r="AB19" s="2"/>
      <c r="AC19" s="2"/>
      <c r="AD19" s="3"/>
      <c r="AE19" s="19" t="s">
        <v>270</v>
      </c>
      <c r="AF19" s="3"/>
      <c r="AG19" s="21" t="s">
        <v>63</v>
      </c>
      <c r="AH19" s="2"/>
      <c r="AI19" s="3"/>
      <c r="AJ19" s="22"/>
      <c r="AK19" s="2"/>
      <c r="AL19" s="3"/>
      <c r="AM19" s="21" t="s">
        <v>271</v>
      </c>
      <c r="AN19" s="2"/>
      <c r="AO19" s="3"/>
      <c r="AP19" s="23">
        <v>46149</v>
      </c>
      <c r="AQ19" s="2"/>
      <c r="AR19" s="3"/>
      <c r="AS19" s="19"/>
      <c r="AT19" s="2"/>
      <c r="AU19" s="3"/>
      <c r="AV19" s="19" t="s">
        <v>63</v>
      </c>
      <c r="AW19" s="2"/>
      <c r="AX19" s="3"/>
      <c r="AY19" s="19"/>
      <c r="AZ19" s="2"/>
      <c r="BA19" s="3"/>
      <c r="BB19" s="19" t="s">
        <v>272</v>
      </c>
      <c r="BC19" s="2"/>
      <c r="BD19" s="3"/>
      <c r="BE19" s="20">
        <v>46239</v>
      </c>
      <c r="BF19" s="2"/>
      <c r="BG19" s="3"/>
      <c r="BH19" s="19"/>
      <c r="BI19" s="2"/>
      <c r="BJ19" s="3"/>
      <c r="BK19" s="18"/>
      <c r="BL19" s="2"/>
      <c r="BM19" s="2"/>
      <c r="BN19" s="2"/>
      <c r="BO19" s="2"/>
      <c r="BP19" s="2"/>
      <c r="BQ19" s="3"/>
    </row>
    <row r="20" ht="336" customHeight="1" spans="1:69">
      <c r="A20" s="17">
        <v>7</v>
      </c>
      <c r="B20" s="18" t="s">
        <v>301</v>
      </c>
      <c r="C20" s="2"/>
      <c r="D20" s="3"/>
      <c r="E20" s="18" t="s">
        <v>302</v>
      </c>
      <c r="F20" s="2"/>
      <c r="G20" s="2"/>
      <c r="H20" s="2"/>
      <c r="I20" s="3"/>
      <c r="J20" s="18" t="s">
        <v>303</v>
      </c>
      <c r="K20" s="2"/>
      <c r="L20" s="2"/>
      <c r="M20" s="2"/>
      <c r="N20" s="2"/>
      <c r="O20" s="2"/>
      <c r="P20" s="3"/>
      <c r="Q20" s="18" t="s">
        <v>304</v>
      </c>
      <c r="R20" s="2"/>
      <c r="S20" s="2"/>
      <c r="T20" s="2"/>
      <c r="U20" s="2"/>
      <c r="V20" s="2"/>
      <c r="W20" s="3"/>
      <c r="X20" s="18" t="s">
        <v>305</v>
      </c>
      <c r="Y20" s="2"/>
      <c r="Z20" s="2"/>
      <c r="AA20" s="2"/>
      <c r="AB20" s="2"/>
      <c r="AC20" s="2"/>
      <c r="AD20" s="3"/>
      <c r="AE20" s="19" t="s">
        <v>270</v>
      </c>
      <c r="AF20" s="3"/>
      <c r="AG20" s="21" t="s">
        <v>63</v>
      </c>
      <c r="AH20" s="2"/>
      <c r="AI20" s="3"/>
      <c r="AJ20" s="22"/>
      <c r="AK20" s="2"/>
      <c r="AL20" s="3"/>
      <c r="AM20" s="21" t="s">
        <v>271</v>
      </c>
      <c r="AN20" s="2"/>
      <c r="AO20" s="3"/>
      <c r="AP20" s="23">
        <v>46149</v>
      </c>
      <c r="AQ20" s="2"/>
      <c r="AR20" s="3"/>
      <c r="AS20" s="19"/>
      <c r="AT20" s="2"/>
      <c r="AU20" s="3"/>
      <c r="AV20" s="19" t="s">
        <v>63</v>
      </c>
      <c r="AW20" s="2"/>
      <c r="AX20" s="3"/>
      <c r="AY20" s="19"/>
      <c r="AZ20" s="2"/>
      <c r="BA20" s="3"/>
      <c r="BB20" s="19" t="s">
        <v>272</v>
      </c>
      <c r="BC20" s="2"/>
      <c r="BD20" s="3"/>
      <c r="BE20" s="20">
        <v>46239</v>
      </c>
      <c r="BF20" s="2"/>
      <c r="BG20" s="3"/>
      <c r="BH20" s="19"/>
      <c r="BI20" s="2"/>
      <c r="BJ20" s="3"/>
      <c r="BK20" s="18"/>
      <c r="BL20" s="2"/>
      <c r="BM20" s="2"/>
      <c r="BN20" s="2"/>
      <c r="BO20" s="2"/>
      <c r="BP20" s="2"/>
      <c r="BQ20" s="3"/>
    </row>
    <row r="21" ht="303.75" customHeight="1" spans="1:69">
      <c r="A21" s="17">
        <v>8</v>
      </c>
      <c r="B21" s="18" t="s">
        <v>306</v>
      </c>
      <c r="C21" s="2"/>
      <c r="D21" s="3"/>
      <c r="E21" s="18" t="s">
        <v>307</v>
      </c>
      <c r="F21" s="2"/>
      <c r="G21" s="2"/>
      <c r="H21" s="2"/>
      <c r="I21" s="3"/>
      <c r="J21" s="18" t="s">
        <v>308</v>
      </c>
      <c r="K21" s="2"/>
      <c r="L21" s="2"/>
      <c r="M21" s="2"/>
      <c r="N21" s="2"/>
      <c r="O21" s="2"/>
      <c r="P21" s="3"/>
      <c r="Q21" s="18" t="s">
        <v>309</v>
      </c>
      <c r="R21" s="2"/>
      <c r="S21" s="2"/>
      <c r="T21" s="2"/>
      <c r="U21" s="2"/>
      <c r="V21" s="2"/>
      <c r="W21" s="3"/>
      <c r="X21" s="18" t="s">
        <v>310</v>
      </c>
      <c r="Y21" s="2"/>
      <c r="Z21" s="2"/>
      <c r="AA21" s="2"/>
      <c r="AB21" s="2"/>
      <c r="AC21" s="2"/>
      <c r="AD21" s="3"/>
      <c r="AE21" s="19" t="s">
        <v>270</v>
      </c>
      <c r="AF21" s="3"/>
      <c r="AG21" s="21" t="s">
        <v>63</v>
      </c>
      <c r="AH21" s="2"/>
      <c r="AI21" s="3"/>
      <c r="AJ21" s="22"/>
      <c r="AK21" s="2"/>
      <c r="AL21" s="3"/>
      <c r="AM21" s="21" t="s">
        <v>271</v>
      </c>
      <c r="AN21" s="2"/>
      <c r="AO21" s="3"/>
      <c r="AP21" s="23">
        <v>46149</v>
      </c>
      <c r="AQ21" s="2"/>
      <c r="AR21" s="3"/>
      <c r="AS21" s="19"/>
      <c r="AT21" s="2"/>
      <c r="AU21" s="3"/>
      <c r="AV21" s="19" t="s">
        <v>63</v>
      </c>
      <c r="AW21" s="2"/>
      <c r="AX21" s="3"/>
      <c r="AY21" s="19"/>
      <c r="AZ21" s="2"/>
      <c r="BA21" s="3"/>
      <c r="BB21" s="19" t="s">
        <v>272</v>
      </c>
      <c r="BC21" s="2"/>
      <c r="BD21" s="3"/>
      <c r="BE21" s="20">
        <v>46239</v>
      </c>
      <c r="BF21" s="2"/>
      <c r="BG21" s="3"/>
      <c r="BH21" s="19"/>
      <c r="BI21" s="2"/>
      <c r="BJ21" s="3"/>
      <c r="BK21" s="18"/>
      <c r="BL21" s="2"/>
      <c r="BM21" s="2"/>
      <c r="BN21" s="2"/>
      <c r="BO21" s="2"/>
      <c r="BP21" s="2"/>
      <c r="BQ21" s="3"/>
    </row>
    <row r="22" ht="409.5" customHeight="1" spans="1:69">
      <c r="A22" s="17">
        <v>9</v>
      </c>
      <c r="B22" s="18" t="s">
        <v>311</v>
      </c>
      <c r="C22" s="2"/>
      <c r="D22" s="3"/>
      <c r="E22" s="18" t="s">
        <v>312</v>
      </c>
      <c r="F22" s="2"/>
      <c r="G22" s="2"/>
      <c r="H22" s="2"/>
      <c r="I22" s="3"/>
      <c r="J22" s="18" t="s">
        <v>308</v>
      </c>
      <c r="K22" s="2"/>
      <c r="L22" s="2"/>
      <c r="M22" s="2"/>
      <c r="N22" s="2"/>
      <c r="O22" s="2"/>
      <c r="P22" s="3"/>
      <c r="Q22" s="18" t="s">
        <v>313</v>
      </c>
      <c r="R22" s="2"/>
      <c r="S22" s="2"/>
      <c r="T22" s="2"/>
      <c r="U22" s="2"/>
      <c r="V22" s="2"/>
      <c r="W22" s="3"/>
      <c r="X22" s="18" t="s">
        <v>314</v>
      </c>
      <c r="Y22" s="2"/>
      <c r="Z22" s="2"/>
      <c r="AA22" s="2"/>
      <c r="AB22" s="2"/>
      <c r="AC22" s="2"/>
      <c r="AD22" s="3"/>
      <c r="AE22" s="19" t="s">
        <v>270</v>
      </c>
      <c r="AF22" s="3"/>
      <c r="AG22" s="21" t="s">
        <v>63</v>
      </c>
      <c r="AH22" s="2"/>
      <c r="AI22" s="3"/>
      <c r="AJ22" s="22"/>
      <c r="AK22" s="2"/>
      <c r="AL22" s="3"/>
      <c r="AM22" s="21" t="s">
        <v>271</v>
      </c>
      <c r="AN22" s="2"/>
      <c r="AO22" s="3"/>
      <c r="AP22" s="23">
        <v>46149</v>
      </c>
      <c r="AQ22" s="2"/>
      <c r="AR22" s="3"/>
      <c r="AS22" s="19"/>
      <c r="AT22" s="2"/>
      <c r="AU22" s="3"/>
      <c r="AV22" s="19" t="s">
        <v>63</v>
      </c>
      <c r="AW22" s="2"/>
      <c r="AX22" s="3"/>
      <c r="AY22" s="19"/>
      <c r="AZ22" s="2"/>
      <c r="BA22" s="3"/>
      <c r="BB22" s="19" t="s">
        <v>272</v>
      </c>
      <c r="BC22" s="2"/>
      <c r="BD22" s="3"/>
      <c r="BE22" s="20">
        <v>46239</v>
      </c>
      <c r="BF22" s="2"/>
      <c r="BG22" s="3"/>
      <c r="BH22" s="19"/>
      <c r="BI22" s="2"/>
      <c r="BJ22" s="3"/>
      <c r="BK22" s="18"/>
      <c r="BL22" s="2"/>
      <c r="BM22" s="2"/>
      <c r="BN22" s="2"/>
      <c r="BO22" s="2"/>
      <c r="BP22" s="2"/>
      <c r="BQ22" s="3"/>
    </row>
    <row r="23" ht="409.5" customHeight="1" spans="1:69">
      <c r="A23" s="17">
        <v>10</v>
      </c>
      <c r="B23" s="18" t="s">
        <v>315</v>
      </c>
      <c r="C23" s="2"/>
      <c r="D23" s="3"/>
      <c r="E23" s="18" t="s">
        <v>316</v>
      </c>
      <c r="F23" s="2"/>
      <c r="G23" s="2"/>
      <c r="H23" s="2"/>
      <c r="I23" s="3"/>
      <c r="J23" s="18" t="s">
        <v>317</v>
      </c>
      <c r="K23" s="2"/>
      <c r="L23" s="2"/>
      <c r="M23" s="2"/>
      <c r="N23" s="2"/>
      <c r="O23" s="2"/>
      <c r="P23" s="3"/>
      <c r="Q23" s="18" t="s">
        <v>318</v>
      </c>
      <c r="R23" s="2"/>
      <c r="S23" s="2"/>
      <c r="T23" s="2"/>
      <c r="U23" s="2"/>
      <c r="V23" s="2"/>
      <c r="W23" s="3"/>
      <c r="X23" s="18" t="s">
        <v>319</v>
      </c>
      <c r="Y23" s="2"/>
      <c r="Z23" s="2"/>
      <c r="AA23" s="2"/>
      <c r="AB23" s="2"/>
      <c r="AC23" s="2"/>
      <c r="AD23" s="3"/>
      <c r="AE23" s="19" t="s">
        <v>270</v>
      </c>
      <c r="AF23" s="3"/>
      <c r="AG23" s="21" t="s">
        <v>63</v>
      </c>
      <c r="AH23" s="2"/>
      <c r="AI23" s="3"/>
      <c r="AJ23" s="22"/>
      <c r="AK23" s="2"/>
      <c r="AL23" s="3"/>
      <c r="AM23" s="21" t="s">
        <v>271</v>
      </c>
      <c r="AN23" s="2"/>
      <c r="AO23" s="3"/>
      <c r="AP23" s="23">
        <v>46149</v>
      </c>
      <c r="AQ23" s="2"/>
      <c r="AR23" s="3"/>
      <c r="AS23" s="19"/>
      <c r="AT23" s="2"/>
      <c r="AU23" s="3"/>
      <c r="AV23" s="19" t="s">
        <v>63</v>
      </c>
      <c r="AW23" s="2"/>
      <c r="AX23" s="3"/>
      <c r="AY23" s="19"/>
      <c r="AZ23" s="2"/>
      <c r="BA23" s="3"/>
      <c r="BB23" s="19" t="s">
        <v>272</v>
      </c>
      <c r="BC23" s="2"/>
      <c r="BD23" s="3"/>
      <c r="BE23" s="20">
        <v>46239</v>
      </c>
      <c r="BF23" s="2"/>
      <c r="BG23" s="3"/>
      <c r="BH23" s="19"/>
      <c r="BI23" s="2"/>
      <c r="BJ23" s="3"/>
      <c r="BK23" s="18"/>
      <c r="BL23" s="2"/>
      <c r="BM23" s="2"/>
      <c r="BN23" s="2"/>
      <c r="BO23" s="2"/>
      <c r="BP23" s="2"/>
      <c r="BQ23" s="3"/>
    </row>
    <row r="24" ht="288" customHeight="1" spans="1:69">
      <c r="A24" s="17">
        <v>11</v>
      </c>
      <c r="B24" s="18" t="s">
        <v>320</v>
      </c>
      <c r="C24" s="2"/>
      <c r="D24" s="3"/>
      <c r="E24" s="18" t="s">
        <v>321</v>
      </c>
      <c r="F24" s="2"/>
      <c r="G24" s="2"/>
      <c r="H24" s="2"/>
      <c r="I24" s="3"/>
      <c r="J24" s="18" t="s">
        <v>322</v>
      </c>
      <c r="K24" s="2"/>
      <c r="L24" s="2"/>
      <c r="M24" s="2"/>
      <c r="N24" s="2"/>
      <c r="O24" s="2"/>
      <c r="P24" s="3"/>
      <c r="Q24" s="18" t="s">
        <v>323</v>
      </c>
      <c r="R24" s="2"/>
      <c r="S24" s="2"/>
      <c r="T24" s="2"/>
      <c r="U24" s="2"/>
      <c r="V24" s="2"/>
      <c r="W24" s="3"/>
      <c r="X24" s="18" t="s">
        <v>324</v>
      </c>
      <c r="Y24" s="2"/>
      <c r="Z24" s="2"/>
      <c r="AA24" s="2"/>
      <c r="AB24" s="2"/>
      <c r="AC24" s="2"/>
      <c r="AD24" s="3"/>
      <c r="AE24" s="19" t="s">
        <v>270</v>
      </c>
      <c r="AF24" s="3"/>
      <c r="AG24" s="21" t="s">
        <v>63</v>
      </c>
      <c r="AH24" s="2"/>
      <c r="AI24" s="3"/>
      <c r="AJ24" s="22"/>
      <c r="AK24" s="2"/>
      <c r="AL24" s="3"/>
      <c r="AM24" s="21" t="s">
        <v>271</v>
      </c>
      <c r="AN24" s="2"/>
      <c r="AO24" s="3"/>
      <c r="AP24" s="23">
        <v>46149</v>
      </c>
      <c r="AQ24" s="2"/>
      <c r="AR24" s="3"/>
      <c r="AS24" s="19"/>
      <c r="AT24" s="2"/>
      <c r="AU24" s="3"/>
      <c r="AV24" s="19" t="s">
        <v>63</v>
      </c>
      <c r="AW24" s="2"/>
      <c r="AX24" s="3"/>
      <c r="AY24" s="19"/>
      <c r="AZ24" s="2"/>
      <c r="BA24" s="3"/>
      <c r="BB24" s="19" t="s">
        <v>272</v>
      </c>
      <c r="BC24" s="2"/>
      <c r="BD24" s="3"/>
      <c r="BE24" s="20">
        <v>46239</v>
      </c>
      <c r="BF24" s="2"/>
      <c r="BG24" s="3"/>
      <c r="BH24" s="19"/>
      <c r="BI24" s="2"/>
      <c r="BJ24" s="3"/>
      <c r="BK24" s="18" t="s">
        <v>325</v>
      </c>
      <c r="BL24" s="2"/>
      <c r="BM24" s="2"/>
      <c r="BN24" s="2"/>
      <c r="BO24" s="2"/>
      <c r="BP24" s="2"/>
      <c r="BQ24" s="3"/>
    </row>
    <row r="25" ht="22.5" customHeight="1" spans="1:69">
      <c r="A25" s="16" t="s">
        <v>326</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3"/>
    </row>
    <row r="26" ht="111.75" customHeight="1" spans="1:69">
      <c r="A26" s="17">
        <v>12</v>
      </c>
      <c r="B26" s="18" t="s">
        <v>327</v>
      </c>
      <c r="C26" s="2"/>
      <c r="D26" s="3"/>
      <c r="E26" s="18" t="s">
        <v>328</v>
      </c>
      <c r="F26" s="2"/>
      <c r="G26" s="2"/>
      <c r="H26" s="2"/>
      <c r="I26" s="3"/>
      <c r="J26" s="18" t="s">
        <v>329</v>
      </c>
      <c r="K26" s="2"/>
      <c r="L26" s="2"/>
      <c r="M26" s="2"/>
      <c r="N26" s="2"/>
      <c r="O26" s="2"/>
      <c r="P26" s="3"/>
      <c r="Q26" s="18" t="s">
        <v>330</v>
      </c>
      <c r="R26" s="2"/>
      <c r="S26" s="2"/>
      <c r="T26" s="2"/>
      <c r="U26" s="2"/>
      <c r="V26" s="2"/>
      <c r="W26" s="3"/>
      <c r="X26" s="18" t="s">
        <v>331</v>
      </c>
      <c r="Y26" s="2"/>
      <c r="Z26" s="2"/>
      <c r="AA26" s="2"/>
      <c r="AB26" s="2"/>
      <c r="AC26" s="2"/>
      <c r="AD26" s="3"/>
      <c r="AE26" s="19" t="s">
        <v>270</v>
      </c>
      <c r="AF26" s="3"/>
      <c r="AG26" s="21" t="s">
        <v>63</v>
      </c>
      <c r="AH26" s="2"/>
      <c r="AI26" s="3"/>
      <c r="AJ26" s="22"/>
      <c r="AK26" s="2"/>
      <c r="AL26" s="3"/>
      <c r="AM26" s="21" t="s">
        <v>271</v>
      </c>
      <c r="AN26" s="2"/>
      <c r="AO26" s="3"/>
      <c r="AP26" s="23">
        <v>46149</v>
      </c>
      <c r="AQ26" s="2"/>
      <c r="AR26" s="3"/>
      <c r="AS26" s="19"/>
      <c r="AT26" s="2"/>
      <c r="AU26" s="3"/>
      <c r="AV26" s="19" t="s">
        <v>63</v>
      </c>
      <c r="AW26" s="2"/>
      <c r="AX26" s="3"/>
      <c r="AY26" s="19"/>
      <c r="AZ26" s="2"/>
      <c r="BA26" s="3"/>
      <c r="BB26" s="19" t="s">
        <v>272</v>
      </c>
      <c r="BC26" s="2"/>
      <c r="BD26" s="3"/>
      <c r="BE26" s="20">
        <v>46239</v>
      </c>
      <c r="BF26" s="2"/>
      <c r="BG26" s="3"/>
      <c r="BH26" s="19"/>
      <c r="BI26" s="2"/>
      <c r="BJ26" s="3"/>
      <c r="BK26" s="18"/>
      <c r="BL26" s="2"/>
      <c r="BM26" s="2"/>
      <c r="BN26" s="2"/>
      <c r="BO26" s="2"/>
      <c r="BP26" s="2"/>
      <c r="BQ26" s="3"/>
    </row>
    <row r="27" ht="255.75" customHeight="1" spans="1:69">
      <c r="A27" s="17">
        <v>13</v>
      </c>
      <c r="B27" s="18" t="s">
        <v>332</v>
      </c>
      <c r="C27" s="2"/>
      <c r="D27" s="3"/>
      <c r="E27" s="18" t="s">
        <v>333</v>
      </c>
      <c r="F27" s="2"/>
      <c r="G27" s="2"/>
      <c r="H27" s="2"/>
      <c r="I27" s="3"/>
      <c r="J27" s="18" t="s">
        <v>334</v>
      </c>
      <c r="K27" s="2"/>
      <c r="L27" s="2"/>
      <c r="M27" s="2"/>
      <c r="N27" s="2"/>
      <c r="O27" s="2"/>
      <c r="P27" s="3"/>
      <c r="Q27" s="18" t="s">
        <v>335</v>
      </c>
      <c r="R27" s="2"/>
      <c r="S27" s="2"/>
      <c r="T27" s="2"/>
      <c r="U27" s="2"/>
      <c r="V27" s="2"/>
      <c r="W27" s="3"/>
      <c r="X27" s="18" t="s">
        <v>336</v>
      </c>
      <c r="Y27" s="2"/>
      <c r="Z27" s="2"/>
      <c r="AA27" s="2"/>
      <c r="AB27" s="2"/>
      <c r="AC27" s="2"/>
      <c r="AD27" s="3"/>
      <c r="AE27" s="19" t="s">
        <v>270</v>
      </c>
      <c r="AF27" s="3"/>
      <c r="AG27" s="21" t="s">
        <v>63</v>
      </c>
      <c r="AH27" s="2"/>
      <c r="AI27" s="3"/>
      <c r="AJ27" s="22"/>
      <c r="AK27" s="2"/>
      <c r="AL27" s="3"/>
      <c r="AM27" s="21" t="s">
        <v>271</v>
      </c>
      <c r="AN27" s="2"/>
      <c r="AO27" s="3"/>
      <c r="AP27" s="23">
        <v>46149</v>
      </c>
      <c r="AQ27" s="2"/>
      <c r="AR27" s="3"/>
      <c r="AS27" s="19"/>
      <c r="AT27" s="2"/>
      <c r="AU27" s="3"/>
      <c r="AV27" s="19" t="s">
        <v>63</v>
      </c>
      <c r="AW27" s="2"/>
      <c r="AX27" s="3"/>
      <c r="AY27" s="19"/>
      <c r="AZ27" s="2"/>
      <c r="BA27" s="3"/>
      <c r="BB27" s="19" t="s">
        <v>272</v>
      </c>
      <c r="BC27" s="2"/>
      <c r="BD27" s="3"/>
      <c r="BE27" s="20">
        <v>46239</v>
      </c>
      <c r="BF27" s="2"/>
      <c r="BG27" s="3"/>
      <c r="BH27" s="19"/>
      <c r="BI27" s="2"/>
      <c r="BJ27" s="3"/>
      <c r="BK27" s="18"/>
      <c r="BL27" s="2"/>
      <c r="BM27" s="2"/>
      <c r="BN27" s="2"/>
      <c r="BO27" s="2"/>
      <c r="BP27" s="2"/>
      <c r="BQ27" s="3"/>
    </row>
    <row r="28" ht="240" customHeight="1" spans="1:69">
      <c r="A28" s="17">
        <v>14</v>
      </c>
      <c r="B28" s="18" t="s">
        <v>337</v>
      </c>
      <c r="C28" s="2"/>
      <c r="D28" s="3"/>
      <c r="E28" s="18" t="s">
        <v>338</v>
      </c>
      <c r="F28" s="2"/>
      <c r="G28" s="2"/>
      <c r="H28" s="2"/>
      <c r="I28" s="3"/>
      <c r="J28" s="18" t="s">
        <v>308</v>
      </c>
      <c r="K28" s="2"/>
      <c r="L28" s="2"/>
      <c r="M28" s="2"/>
      <c r="N28" s="2"/>
      <c r="O28" s="2"/>
      <c r="P28" s="3"/>
      <c r="Q28" s="18" t="s">
        <v>339</v>
      </c>
      <c r="R28" s="2"/>
      <c r="S28" s="2"/>
      <c r="T28" s="2"/>
      <c r="U28" s="2"/>
      <c r="V28" s="2"/>
      <c r="W28" s="3"/>
      <c r="X28" s="18" t="s">
        <v>340</v>
      </c>
      <c r="Y28" s="2"/>
      <c r="Z28" s="2"/>
      <c r="AA28" s="2"/>
      <c r="AB28" s="2"/>
      <c r="AC28" s="2"/>
      <c r="AD28" s="3"/>
      <c r="AE28" s="19" t="s">
        <v>270</v>
      </c>
      <c r="AF28" s="3"/>
      <c r="AG28" s="21" t="s">
        <v>63</v>
      </c>
      <c r="AH28" s="2"/>
      <c r="AI28" s="3"/>
      <c r="AJ28" s="22"/>
      <c r="AK28" s="2"/>
      <c r="AL28" s="3"/>
      <c r="AM28" s="21" t="s">
        <v>271</v>
      </c>
      <c r="AN28" s="2"/>
      <c r="AO28" s="3"/>
      <c r="AP28" s="23">
        <v>46149</v>
      </c>
      <c r="AQ28" s="2"/>
      <c r="AR28" s="3"/>
      <c r="AS28" s="19"/>
      <c r="AT28" s="2"/>
      <c r="AU28" s="3"/>
      <c r="AV28" s="19" t="s">
        <v>63</v>
      </c>
      <c r="AW28" s="2"/>
      <c r="AX28" s="3"/>
      <c r="AY28" s="19"/>
      <c r="AZ28" s="2"/>
      <c r="BA28" s="3"/>
      <c r="BB28" s="19" t="s">
        <v>272</v>
      </c>
      <c r="BC28" s="2"/>
      <c r="BD28" s="3"/>
      <c r="BE28" s="20">
        <v>46239</v>
      </c>
      <c r="BF28" s="2"/>
      <c r="BG28" s="3"/>
      <c r="BH28" s="19"/>
      <c r="BI28" s="2"/>
      <c r="BJ28" s="3"/>
      <c r="BK28" s="18"/>
      <c r="BL28" s="2"/>
      <c r="BM28" s="2"/>
      <c r="BN28" s="2"/>
      <c r="BO28" s="2"/>
      <c r="BP28" s="2"/>
      <c r="BQ28" s="3"/>
    </row>
    <row r="29" ht="223.5" customHeight="1" spans="1:69">
      <c r="A29" s="17">
        <v>15</v>
      </c>
      <c r="B29" s="18" t="s">
        <v>341</v>
      </c>
      <c r="C29" s="2"/>
      <c r="D29" s="3"/>
      <c r="E29" s="18" t="s">
        <v>342</v>
      </c>
      <c r="F29" s="2"/>
      <c r="G29" s="2"/>
      <c r="H29" s="2"/>
      <c r="I29" s="3"/>
      <c r="J29" s="18" t="s">
        <v>308</v>
      </c>
      <c r="K29" s="2"/>
      <c r="L29" s="2"/>
      <c r="M29" s="2"/>
      <c r="N29" s="2"/>
      <c r="O29" s="2"/>
      <c r="P29" s="3"/>
      <c r="Q29" s="18" t="s">
        <v>343</v>
      </c>
      <c r="R29" s="2"/>
      <c r="S29" s="2"/>
      <c r="T29" s="2"/>
      <c r="U29" s="2"/>
      <c r="V29" s="2"/>
      <c r="W29" s="3"/>
      <c r="X29" s="18" t="s">
        <v>344</v>
      </c>
      <c r="Y29" s="2"/>
      <c r="Z29" s="2"/>
      <c r="AA29" s="2"/>
      <c r="AB29" s="2"/>
      <c r="AC29" s="2"/>
      <c r="AD29" s="3"/>
      <c r="AE29" s="19" t="s">
        <v>270</v>
      </c>
      <c r="AF29" s="3"/>
      <c r="AG29" s="21" t="s">
        <v>63</v>
      </c>
      <c r="AH29" s="2"/>
      <c r="AI29" s="3"/>
      <c r="AJ29" s="22"/>
      <c r="AK29" s="2"/>
      <c r="AL29" s="3"/>
      <c r="AM29" s="21" t="s">
        <v>271</v>
      </c>
      <c r="AN29" s="2"/>
      <c r="AO29" s="3"/>
      <c r="AP29" s="23">
        <v>46149</v>
      </c>
      <c r="AQ29" s="2"/>
      <c r="AR29" s="3"/>
      <c r="AS29" s="19"/>
      <c r="AT29" s="2"/>
      <c r="AU29" s="3"/>
      <c r="AV29" s="19" t="s">
        <v>63</v>
      </c>
      <c r="AW29" s="2"/>
      <c r="AX29" s="3"/>
      <c r="AY29" s="19"/>
      <c r="AZ29" s="2"/>
      <c r="BA29" s="3"/>
      <c r="BB29" s="19" t="s">
        <v>272</v>
      </c>
      <c r="BC29" s="2"/>
      <c r="BD29" s="3"/>
      <c r="BE29" s="20">
        <v>46239</v>
      </c>
      <c r="BF29" s="2"/>
      <c r="BG29" s="3"/>
      <c r="BH29" s="19"/>
      <c r="BI29" s="2"/>
      <c r="BJ29" s="3"/>
      <c r="BK29" s="18" t="s">
        <v>294</v>
      </c>
      <c r="BL29" s="2"/>
      <c r="BM29" s="2"/>
      <c r="BN29" s="2"/>
      <c r="BO29" s="2"/>
      <c r="BP29" s="2"/>
      <c r="BQ29" s="3"/>
    </row>
    <row r="30" ht="22.5" customHeight="1" spans="1:69">
      <c r="A30" s="16" t="s">
        <v>345</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3"/>
    </row>
    <row r="31" ht="409.5" customHeight="1" spans="1:69">
      <c r="A31" s="17">
        <v>16</v>
      </c>
      <c r="B31" s="18" t="s">
        <v>346</v>
      </c>
      <c r="C31" s="2"/>
      <c r="D31" s="3"/>
      <c r="E31" s="18" t="s">
        <v>347</v>
      </c>
      <c r="F31" s="2"/>
      <c r="G31" s="2"/>
      <c r="H31" s="2"/>
      <c r="I31" s="3"/>
      <c r="J31" s="18" t="s">
        <v>348</v>
      </c>
      <c r="K31" s="2"/>
      <c r="L31" s="2"/>
      <c r="M31" s="2"/>
      <c r="N31" s="2"/>
      <c r="O31" s="2"/>
      <c r="P31" s="3"/>
      <c r="Q31" s="18" t="s">
        <v>349</v>
      </c>
      <c r="R31" s="2"/>
      <c r="S31" s="2"/>
      <c r="T31" s="2"/>
      <c r="U31" s="2"/>
      <c r="V31" s="2"/>
      <c r="W31" s="3"/>
      <c r="X31" s="18" t="s">
        <v>350</v>
      </c>
      <c r="Y31" s="2"/>
      <c r="Z31" s="2"/>
      <c r="AA31" s="2"/>
      <c r="AB31" s="2"/>
      <c r="AC31" s="2"/>
      <c r="AD31" s="3"/>
      <c r="AE31" s="19" t="s">
        <v>213</v>
      </c>
      <c r="AF31" s="3"/>
      <c r="AG31" s="21" t="s">
        <v>63</v>
      </c>
      <c r="AH31" s="2"/>
      <c r="AI31" s="3"/>
      <c r="AJ31" s="22"/>
      <c r="AK31" s="2"/>
      <c r="AL31" s="3"/>
      <c r="AM31" s="21" t="s">
        <v>271</v>
      </c>
      <c r="AN31" s="2"/>
      <c r="AO31" s="3"/>
      <c r="AP31" s="23">
        <v>46149</v>
      </c>
      <c r="AQ31" s="2"/>
      <c r="AR31" s="3"/>
      <c r="AS31" s="19"/>
      <c r="AT31" s="2"/>
      <c r="AU31" s="3"/>
      <c r="AV31" s="19" t="s">
        <v>63</v>
      </c>
      <c r="AW31" s="2"/>
      <c r="AX31" s="3"/>
      <c r="AY31" s="19"/>
      <c r="AZ31" s="2"/>
      <c r="BA31" s="3"/>
      <c r="BB31" s="19" t="s">
        <v>272</v>
      </c>
      <c r="BC31" s="2"/>
      <c r="BD31" s="3"/>
      <c r="BE31" s="20">
        <v>46239</v>
      </c>
      <c r="BF31" s="2"/>
      <c r="BG31" s="3"/>
      <c r="BH31" s="19"/>
      <c r="BI31" s="2"/>
      <c r="BJ31" s="3"/>
      <c r="BK31" s="18"/>
      <c r="BL31" s="2"/>
      <c r="BM31" s="2"/>
      <c r="BN31" s="2"/>
      <c r="BO31" s="2"/>
      <c r="BP31" s="2"/>
      <c r="BQ31" s="3"/>
    </row>
    <row r="32" ht="255.75" customHeight="1" spans="1:69">
      <c r="A32" s="17">
        <v>17</v>
      </c>
      <c r="B32" s="18" t="s">
        <v>351</v>
      </c>
      <c r="C32" s="2"/>
      <c r="D32" s="3"/>
      <c r="E32" s="18" t="s">
        <v>352</v>
      </c>
      <c r="F32" s="2"/>
      <c r="G32" s="2"/>
      <c r="H32" s="2"/>
      <c r="I32" s="3"/>
      <c r="J32" s="18" t="s">
        <v>353</v>
      </c>
      <c r="K32" s="2"/>
      <c r="L32" s="2"/>
      <c r="M32" s="2"/>
      <c r="N32" s="2"/>
      <c r="O32" s="2"/>
      <c r="P32" s="3"/>
      <c r="Q32" s="18" t="s">
        <v>354</v>
      </c>
      <c r="R32" s="2"/>
      <c r="S32" s="2"/>
      <c r="T32" s="2"/>
      <c r="U32" s="2"/>
      <c r="V32" s="2"/>
      <c r="W32" s="3"/>
      <c r="X32" s="18" t="s">
        <v>355</v>
      </c>
      <c r="Y32" s="2"/>
      <c r="Z32" s="2"/>
      <c r="AA32" s="2"/>
      <c r="AB32" s="2"/>
      <c r="AC32" s="2"/>
      <c r="AD32" s="3"/>
      <c r="AE32" s="19" t="s">
        <v>217</v>
      </c>
      <c r="AF32" s="3"/>
      <c r="AG32" s="21" t="s">
        <v>63</v>
      </c>
      <c r="AH32" s="2"/>
      <c r="AI32" s="3"/>
      <c r="AJ32" s="22"/>
      <c r="AK32" s="2"/>
      <c r="AL32" s="3"/>
      <c r="AM32" s="21" t="s">
        <v>271</v>
      </c>
      <c r="AN32" s="2"/>
      <c r="AO32" s="3"/>
      <c r="AP32" s="23">
        <v>46149</v>
      </c>
      <c r="AQ32" s="2"/>
      <c r="AR32" s="3"/>
      <c r="AS32" s="19"/>
      <c r="AT32" s="2"/>
      <c r="AU32" s="3"/>
      <c r="AV32" s="19" t="s">
        <v>63</v>
      </c>
      <c r="AW32" s="2"/>
      <c r="AX32" s="3"/>
      <c r="AY32" s="19"/>
      <c r="AZ32" s="2"/>
      <c r="BA32" s="3"/>
      <c r="BB32" s="19" t="s">
        <v>272</v>
      </c>
      <c r="BC32" s="2"/>
      <c r="BD32" s="3"/>
      <c r="BE32" s="20">
        <v>46239</v>
      </c>
      <c r="BF32" s="2"/>
      <c r="BG32" s="3"/>
      <c r="BH32" s="19"/>
      <c r="BI32" s="2"/>
      <c r="BJ32" s="3"/>
      <c r="BK32" s="18"/>
      <c r="BL32" s="2"/>
      <c r="BM32" s="2"/>
      <c r="BN32" s="2"/>
      <c r="BO32" s="2"/>
      <c r="BP32" s="2"/>
      <c r="BQ32" s="3"/>
    </row>
    <row r="33" ht="399.75" customHeight="1" spans="1:69">
      <c r="A33" s="17">
        <v>18</v>
      </c>
      <c r="B33" s="18" t="s">
        <v>356</v>
      </c>
      <c r="C33" s="2"/>
      <c r="D33" s="3"/>
      <c r="E33" s="18" t="s">
        <v>357</v>
      </c>
      <c r="F33" s="2"/>
      <c r="G33" s="2"/>
      <c r="H33" s="2"/>
      <c r="I33" s="3"/>
      <c r="J33" s="18" t="s">
        <v>358</v>
      </c>
      <c r="K33" s="2"/>
      <c r="L33" s="2"/>
      <c r="M33" s="2"/>
      <c r="N33" s="2"/>
      <c r="O33" s="2"/>
      <c r="P33" s="3"/>
      <c r="Q33" s="18" t="s">
        <v>359</v>
      </c>
      <c r="R33" s="2"/>
      <c r="S33" s="2"/>
      <c r="T33" s="2"/>
      <c r="U33" s="2"/>
      <c r="V33" s="2"/>
      <c r="W33" s="3"/>
      <c r="X33" s="18" t="s">
        <v>360</v>
      </c>
      <c r="Y33" s="2"/>
      <c r="Z33" s="2"/>
      <c r="AA33" s="2"/>
      <c r="AB33" s="2"/>
      <c r="AC33" s="2"/>
      <c r="AD33" s="3"/>
      <c r="AE33" s="19" t="s">
        <v>213</v>
      </c>
      <c r="AF33" s="3"/>
      <c r="AG33" s="21" t="s">
        <v>63</v>
      </c>
      <c r="AH33" s="2"/>
      <c r="AI33" s="3"/>
      <c r="AJ33" s="22"/>
      <c r="AK33" s="2"/>
      <c r="AL33" s="3"/>
      <c r="AM33" s="21" t="s">
        <v>271</v>
      </c>
      <c r="AN33" s="2"/>
      <c r="AO33" s="3"/>
      <c r="AP33" s="23">
        <v>46149</v>
      </c>
      <c r="AQ33" s="2"/>
      <c r="AR33" s="3"/>
      <c r="AS33" s="19"/>
      <c r="AT33" s="2"/>
      <c r="AU33" s="3"/>
      <c r="AV33" s="19" t="s">
        <v>63</v>
      </c>
      <c r="AW33" s="2"/>
      <c r="AX33" s="3"/>
      <c r="AY33" s="19"/>
      <c r="AZ33" s="2"/>
      <c r="BA33" s="3"/>
      <c r="BB33" s="19" t="s">
        <v>272</v>
      </c>
      <c r="BC33" s="2"/>
      <c r="BD33" s="3"/>
      <c r="BE33" s="20">
        <v>46239</v>
      </c>
      <c r="BF33" s="2"/>
      <c r="BG33" s="3"/>
      <c r="BH33" s="19"/>
      <c r="BI33" s="2"/>
      <c r="BJ33" s="3"/>
      <c r="BK33" s="18"/>
      <c r="BL33" s="2"/>
      <c r="BM33" s="2"/>
      <c r="BN33" s="2"/>
      <c r="BO33" s="2"/>
      <c r="BP33" s="2"/>
      <c r="BQ33" s="3"/>
    </row>
    <row r="34" ht="351.75" customHeight="1" spans="1:69">
      <c r="A34" s="17">
        <v>19</v>
      </c>
      <c r="B34" s="18" t="s">
        <v>361</v>
      </c>
      <c r="C34" s="2"/>
      <c r="D34" s="3"/>
      <c r="E34" s="18" t="s">
        <v>362</v>
      </c>
      <c r="F34" s="2"/>
      <c r="G34" s="2"/>
      <c r="H34" s="2"/>
      <c r="I34" s="3"/>
      <c r="J34" s="18" t="s">
        <v>363</v>
      </c>
      <c r="K34" s="2"/>
      <c r="L34" s="2"/>
      <c r="M34" s="2"/>
      <c r="N34" s="2"/>
      <c r="O34" s="2"/>
      <c r="P34" s="3"/>
      <c r="Q34" s="18" t="s">
        <v>364</v>
      </c>
      <c r="R34" s="2"/>
      <c r="S34" s="2"/>
      <c r="T34" s="2"/>
      <c r="U34" s="2"/>
      <c r="V34" s="2"/>
      <c r="W34" s="3"/>
      <c r="X34" s="18" t="s">
        <v>365</v>
      </c>
      <c r="Y34" s="2"/>
      <c r="Z34" s="2"/>
      <c r="AA34" s="2"/>
      <c r="AB34" s="2"/>
      <c r="AC34" s="2"/>
      <c r="AD34" s="3"/>
      <c r="AE34" s="19" t="s">
        <v>213</v>
      </c>
      <c r="AF34" s="3"/>
      <c r="AG34" s="21" t="s">
        <v>63</v>
      </c>
      <c r="AH34" s="2"/>
      <c r="AI34" s="3"/>
      <c r="AJ34" s="22"/>
      <c r="AK34" s="2"/>
      <c r="AL34" s="3"/>
      <c r="AM34" s="21" t="s">
        <v>271</v>
      </c>
      <c r="AN34" s="2"/>
      <c r="AO34" s="3"/>
      <c r="AP34" s="23">
        <v>46149</v>
      </c>
      <c r="AQ34" s="2"/>
      <c r="AR34" s="3"/>
      <c r="AS34" s="19"/>
      <c r="AT34" s="2"/>
      <c r="AU34" s="3"/>
      <c r="AV34" s="19" t="s">
        <v>63</v>
      </c>
      <c r="AW34" s="2"/>
      <c r="AX34" s="3"/>
      <c r="AY34" s="19"/>
      <c r="AZ34" s="2"/>
      <c r="BA34" s="3"/>
      <c r="BB34" s="19" t="s">
        <v>272</v>
      </c>
      <c r="BC34" s="2"/>
      <c r="BD34" s="3"/>
      <c r="BE34" s="20">
        <v>46239</v>
      </c>
      <c r="BF34" s="2"/>
      <c r="BG34" s="3"/>
      <c r="BH34" s="19"/>
      <c r="BI34" s="2"/>
      <c r="BJ34" s="3"/>
      <c r="BK34" s="18" t="s">
        <v>366</v>
      </c>
      <c r="BL34" s="2"/>
      <c r="BM34" s="2"/>
      <c r="BN34" s="2"/>
      <c r="BO34" s="2"/>
      <c r="BP34" s="2"/>
      <c r="BQ34" s="3"/>
    </row>
    <row r="35" ht="288" customHeight="1" spans="1:69">
      <c r="A35" s="17">
        <v>20</v>
      </c>
      <c r="B35" s="18" t="s">
        <v>367</v>
      </c>
      <c r="C35" s="2"/>
      <c r="D35" s="3"/>
      <c r="E35" s="18" t="s">
        <v>368</v>
      </c>
      <c r="F35" s="2"/>
      <c r="G35" s="2"/>
      <c r="H35" s="2"/>
      <c r="I35" s="3"/>
      <c r="J35" s="18" t="s">
        <v>353</v>
      </c>
      <c r="K35" s="2"/>
      <c r="L35" s="2"/>
      <c r="M35" s="2"/>
      <c r="N35" s="2"/>
      <c r="O35" s="2"/>
      <c r="P35" s="3"/>
      <c r="Q35" s="18" t="s">
        <v>369</v>
      </c>
      <c r="R35" s="2"/>
      <c r="S35" s="2"/>
      <c r="T35" s="2"/>
      <c r="U35" s="2"/>
      <c r="V35" s="2"/>
      <c r="W35" s="3"/>
      <c r="X35" s="18" t="s">
        <v>370</v>
      </c>
      <c r="Y35" s="2"/>
      <c r="Z35" s="2"/>
      <c r="AA35" s="2"/>
      <c r="AB35" s="2"/>
      <c r="AC35" s="2"/>
      <c r="AD35" s="3"/>
      <c r="AE35" s="19" t="s">
        <v>213</v>
      </c>
      <c r="AF35" s="3"/>
      <c r="AG35" s="21" t="s">
        <v>63</v>
      </c>
      <c r="AH35" s="2"/>
      <c r="AI35" s="3"/>
      <c r="AJ35" s="22"/>
      <c r="AK35" s="2"/>
      <c r="AL35" s="3"/>
      <c r="AM35" s="21" t="s">
        <v>271</v>
      </c>
      <c r="AN35" s="2"/>
      <c r="AO35" s="3"/>
      <c r="AP35" s="23">
        <v>46149</v>
      </c>
      <c r="AQ35" s="2"/>
      <c r="AR35" s="3"/>
      <c r="AS35" s="19"/>
      <c r="AT35" s="2"/>
      <c r="AU35" s="3"/>
      <c r="AV35" s="19" t="s">
        <v>63</v>
      </c>
      <c r="AW35" s="2"/>
      <c r="AX35" s="3"/>
      <c r="AY35" s="19"/>
      <c r="AZ35" s="2"/>
      <c r="BA35" s="3"/>
      <c r="BB35" s="19" t="s">
        <v>272</v>
      </c>
      <c r="BC35" s="2"/>
      <c r="BD35" s="3"/>
      <c r="BE35" s="20">
        <v>46239</v>
      </c>
      <c r="BF35" s="2"/>
      <c r="BG35" s="3"/>
      <c r="BH35" s="19"/>
      <c r="BI35" s="2"/>
      <c r="BJ35" s="3"/>
      <c r="BK35" s="18"/>
      <c r="BL35" s="2"/>
      <c r="BM35" s="2"/>
      <c r="BN35" s="2"/>
      <c r="BO35" s="2"/>
      <c r="BP35" s="2"/>
      <c r="BQ35" s="3"/>
    </row>
    <row r="36" ht="288" customHeight="1" spans="1:69">
      <c r="A36" s="17">
        <v>21</v>
      </c>
      <c r="B36" s="18" t="s">
        <v>371</v>
      </c>
      <c r="C36" s="2"/>
      <c r="D36" s="3"/>
      <c r="E36" s="18" t="s">
        <v>372</v>
      </c>
      <c r="F36" s="2"/>
      <c r="G36" s="2"/>
      <c r="H36" s="2"/>
      <c r="I36" s="3"/>
      <c r="J36" s="18" t="s">
        <v>373</v>
      </c>
      <c r="K36" s="2"/>
      <c r="L36" s="2"/>
      <c r="M36" s="2"/>
      <c r="N36" s="2"/>
      <c r="O36" s="2"/>
      <c r="P36" s="3"/>
      <c r="Q36" s="18" t="s">
        <v>374</v>
      </c>
      <c r="R36" s="2"/>
      <c r="S36" s="2"/>
      <c r="T36" s="2"/>
      <c r="U36" s="2"/>
      <c r="V36" s="2"/>
      <c r="W36" s="3"/>
      <c r="X36" s="18" t="s">
        <v>375</v>
      </c>
      <c r="Y36" s="2"/>
      <c r="Z36" s="2"/>
      <c r="AA36" s="2"/>
      <c r="AB36" s="2"/>
      <c r="AC36" s="2"/>
      <c r="AD36" s="3"/>
      <c r="AE36" s="19" t="s">
        <v>217</v>
      </c>
      <c r="AF36" s="3"/>
      <c r="AG36" s="21" t="s">
        <v>63</v>
      </c>
      <c r="AH36" s="2"/>
      <c r="AI36" s="3"/>
      <c r="AJ36" s="22"/>
      <c r="AK36" s="2"/>
      <c r="AL36" s="3"/>
      <c r="AM36" s="21" t="s">
        <v>271</v>
      </c>
      <c r="AN36" s="2"/>
      <c r="AO36" s="3"/>
      <c r="AP36" s="23">
        <v>46149</v>
      </c>
      <c r="AQ36" s="2"/>
      <c r="AR36" s="3"/>
      <c r="AS36" s="19"/>
      <c r="AT36" s="2"/>
      <c r="AU36" s="3"/>
      <c r="AV36" s="19" t="s">
        <v>63</v>
      </c>
      <c r="AW36" s="2"/>
      <c r="AX36" s="3"/>
      <c r="AY36" s="19"/>
      <c r="AZ36" s="2"/>
      <c r="BA36" s="3"/>
      <c r="BB36" s="19" t="s">
        <v>272</v>
      </c>
      <c r="BC36" s="2"/>
      <c r="BD36" s="3"/>
      <c r="BE36" s="20">
        <v>46239</v>
      </c>
      <c r="BF36" s="2"/>
      <c r="BG36" s="3"/>
      <c r="BH36" s="19"/>
      <c r="BI36" s="2"/>
      <c r="BJ36" s="3"/>
      <c r="BK36" s="18"/>
      <c r="BL36" s="2"/>
      <c r="BM36" s="2"/>
      <c r="BN36" s="2"/>
      <c r="BO36" s="2"/>
      <c r="BP36" s="2"/>
      <c r="BQ36" s="3"/>
    </row>
    <row r="37" ht="255.75" customHeight="1" spans="1:69">
      <c r="A37" s="17">
        <v>22</v>
      </c>
      <c r="B37" s="18" t="s">
        <v>376</v>
      </c>
      <c r="C37" s="2"/>
      <c r="D37" s="3"/>
      <c r="E37" s="18" t="s">
        <v>377</v>
      </c>
      <c r="F37" s="2"/>
      <c r="G37" s="2"/>
      <c r="H37" s="2"/>
      <c r="I37" s="3"/>
      <c r="J37" s="18" t="s">
        <v>373</v>
      </c>
      <c r="K37" s="2"/>
      <c r="L37" s="2"/>
      <c r="M37" s="2"/>
      <c r="N37" s="2"/>
      <c r="O37" s="2"/>
      <c r="P37" s="3"/>
      <c r="Q37" s="18" t="s">
        <v>378</v>
      </c>
      <c r="R37" s="2"/>
      <c r="S37" s="2"/>
      <c r="T37" s="2"/>
      <c r="U37" s="2"/>
      <c r="V37" s="2"/>
      <c r="W37" s="3"/>
      <c r="X37" s="18" t="s">
        <v>379</v>
      </c>
      <c r="Y37" s="2"/>
      <c r="Z37" s="2"/>
      <c r="AA37" s="2"/>
      <c r="AB37" s="2"/>
      <c r="AC37" s="2"/>
      <c r="AD37" s="3"/>
      <c r="AE37" s="19" t="s">
        <v>270</v>
      </c>
      <c r="AF37" s="3"/>
      <c r="AG37" s="21" t="s">
        <v>63</v>
      </c>
      <c r="AH37" s="2"/>
      <c r="AI37" s="3"/>
      <c r="AJ37" s="22"/>
      <c r="AK37" s="2"/>
      <c r="AL37" s="3"/>
      <c r="AM37" s="21" t="s">
        <v>271</v>
      </c>
      <c r="AN37" s="2"/>
      <c r="AO37" s="3"/>
      <c r="AP37" s="23">
        <v>46149</v>
      </c>
      <c r="AQ37" s="2"/>
      <c r="AR37" s="3"/>
      <c r="AS37" s="19"/>
      <c r="AT37" s="2"/>
      <c r="AU37" s="3"/>
      <c r="AV37" s="19" t="s">
        <v>63</v>
      </c>
      <c r="AW37" s="2"/>
      <c r="AX37" s="3"/>
      <c r="AY37" s="19"/>
      <c r="AZ37" s="2"/>
      <c r="BA37" s="3"/>
      <c r="BB37" s="19" t="s">
        <v>272</v>
      </c>
      <c r="BC37" s="2"/>
      <c r="BD37" s="3"/>
      <c r="BE37" s="20">
        <v>46239</v>
      </c>
      <c r="BF37" s="2"/>
      <c r="BG37" s="3"/>
      <c r="BH37" s="19"/>
      <c r="BI37" s="2"/>
      <c r="BJ37" s="3"/>
      <c r="BK37" s="18"/>
      <c r="BL37" s="2"/>
      <c r="BM37" s="2"/>
      <c r="BN37" s="2"/>
      <c r="BO37" s="2"/>
      <c r="BP37" s="2"/>
      <c r="BQ37" s="3"/>
    </row>
    <row r="38" ht="240" customHeight="1" spans="1:69">
      <c r="A38" s="17">
        <v>23</v>
      </c>
      <c r="B38" s="18" t="s">
        <v>380</v>
      </c>
      <c r="C38" s="2"/>
      <c r="D38" s="3"/>
      <c r="E38" s="18" t="s">
        <v>381</v>
      </c>
      <c r="F38" s="2"/>
      <c r="G38" s="2"/>
      <c r="H38" s="2"/>
      <c r="I38" s="3"/>
      <c r="J38" s="18" t="s">
        <v>382</v>
      </c>
      <c r="K38" s="2"/>
      <c r="L38" s="2"/>
      <c r="M38" s="2"/>
      <c r="N38" s="2"/>
      <c r="O38" s="2"/>
      <c r="P38" s="3"/>
      <c r="Q38" s="18" t="s">
        <v>383</v>
      </c>
      <c r="R38" s="2"/>
      <c r="S38" s="2"/>
      <c r="T38" s="2"/>
      <c r="U38" s="2"/>
      <c r="V38" s="2"/>
      <c r="W38" s="3"/>
      <c r="X38" s="18" t="s">
        <v>384</v>
      </c>
      <c r="Y38" s="2"/>
      <c r="Z38" s="2"/>
      <c r="AA38" s="2"/>
      <c r="AB38" s="2"/>
      <c r="AC38" s="2"/>
      <c r="AD38" s="3"/>
      <c r="AE38" s="19" t="s">
        <v>217</v>
      </c>
      <c r="AF38" s="3"/>
      <c r="AG38" s="21" t="s">
        <v>63</v>
      </c>
      <c r="AH38" s="2"/>
      <c r="AI38" s="3"/>
      <c r="AJ38" s="22"/>
      <c r="AK38" s="2"/>
      <c r="AL38" s="3"/>
      <c r="AM38" s="21" t="s">
        <v>271</v>
      </c>
      <c r="AN38" s="2"/>
      <c r="AO38" s="3"/>
      <c r="AP38" s="23">
        <v>46149</v>
      </c>
      <c r="AQ38" s="2"/>
      <c r="AR38" s="3"/>
      <c r="AS38" s="19"/>
      <c r="AT38" s="2"/>
      <c r="AU38" s="3"/>
      <c r="AV38" s="19" t="s">
        <v>63</v>
      </c>
      <c r="AW38" s="2"/>
      <c r="AX38" s="3"/>
      <c r="AY38" s="19"/>
      <c r="AZ38" s="2"/>
      <c r="BA38" s="3"/>
      <c r="BB38" s="19" t="s">
        <v>272</v>
      </c>
      <c r="BC38" s="2"/>
      <c r="BD38" s="3"/>
      <c r="BE38" s="20">
        <v>46239</v>
      </c>
      <c r="BF38" s="2"/>
      <c r="BG38" s="3"/>
      <c r="BH38" s="19"/>
      <c r="BI38" s="2"/>
      <c r="BJ38" s="3"/>
      <c r="BK38" s="18"/>
      <c r="BL38" s="2"/>
      <c r="BM38" s="2"/>
      <c r="BN38" s="2"/>
      <c r="BO38" s="2"/>
      <c r="BP38" s="2"/>
      <c r="BQ38" s="3"/>
    </row>
    <row r="39" ht="367.5" customHeight="1" spans="1:69">
      <c r="A39" s="17">
        <v>24</v>
      </c>
      <c r="B39" s="18" t="s">
        <v>385</v>
      </c>
      <c r="C39" s="2"/>
      <c r="D39" s="3"/>
      <c r="E39" s="18" t="s">
        <v>386</v>
      </c>
      <c r="F39" s="2"/>
      <c r="G39" s="2"/>
      <c r="H39" s="2"/>
      <c r="I39" s="3"/>
      <c r="J39" s="18" t="s">
        <v>353</v>
      </c>
      <c r="K39" s="2"/>
      <c r="L39" s="2"/>
      <c r="M39" s="2"/>
      <c r="N39" s="2"/>
      <c r="O39" s="2"/>
      <c r="P39" s="3"/>
      <c r="Q39" s="18" t="s">
        <v>387</v>
      </c>
      <c r="R39" s="2"/>
      <c r="S39" s="2"/>
      <c r="T39" s="2"/>
      <c r="U39" s="2"/>
      <c r="V39" s="2"/>
      <c r="W39" s="3"/>
      <c r="X39" s="18" t="s">
        <v>388</v>
      </c>
      <c r="Y39" s="2"/>
      <c r="Z39" s="2"/>
      <c r="AA39" s="2"/>
      <c r="AB39" s="2"/>
      <c r="AC39" s="2"/>
      <c r="AD39" s="3"/>
      <c r="AE39" s="19" t="s">
        <v>213</v>
      </c>
      <c r="AF39" s="3"/>
      <c r="AG39" s="21" t="s">
        <v>63</v>
      </c>
      <c r="AH39" s="2"/>
      <c r="AI39" s="3"/>
      <c r="AJ39" s="22"/>
      <c r="AK39" s="2"/>
      <c r="AL39" s="3"/>
      <c r="AM39" s="21" t="s">
        <v>271</v>
      </c>
      <c r="AN39" s="2"/>
      <c r="AO39" s="3"/>
      <c r="AP39" s="23">
        <v>46149</v>
      </c>
      <c r="AQ39" s="2"/>
      <c r="AR39" s="3"/>
      <c r="AS39" s="19"/>
      <c r="AT39" s="2"/>
      <c r="AU39" s="3"/>
      <c r="AV39" s="19" t="s">
        <v>63</v>
      </c>
      <c r="AW39" s="2"/>
      <c r="AX39" s="3"/>
      <c r="AY39" s="19"/>
      <c r="AZ39" s="2"/>
      <c r="BA39" s="3"/>
      <c r="BB39" s="19" t="s">
        <v>272</v>
      </c>
      <c r="BC39" s="2"/>
      <c r="BD39" s="3"/>
      <c r="BE39" s="20">
        <v>46239</v>
      </c>
      <c r="BF39" s="2"/>
      <c r="BG39" s="3"/>
      <c r="BH39" s="19"/>
      <c r="BI39" s="2"/>
      <c r="BJ39" s="3"/>
      <c r="BK39" s="18"/>
      <c r="BL39" s="2"/>
      <c r="BM39" s="2"/>
      <c r="BN39" s="2"/>
      <c r="BO39" s="2"/>
      <c r="BP39" s="2"/>
      <c r="BQ39" s="3"/>
    </row>
    <row r="40" ht="351.75" customHeight="1" spans="1:69">
      <c r="A40" s="17">
        <v>25</v>
      </c>
      <c r="B40" s="18" t="s">
        <v>389</v>
      </c>
      <c r="C40" s="2"/>
      <c r="D40" s="3"/>
      <c r="E40" s="18" t="s">
        <v>390</v>
      </c>
      <c r="F40" s="2"/>
      <c r="G40" s="2"/>
      <c r="H40" s="2"/>
      <c r="I40" s="3"/>
      <c r="J40" s="18" t="s">
        <v>391</v>
      </c>
      <c r="K40" s="2"/>
      <c r="L40" s="2"/>
      <c r="M40" s="2"/>
      <c r="N40" s="2"/>
      <c r="O40" s="2"/>
      <c r="P40" s="3"/>
      <c r="Q40" s="18" t="s">
        <v>392</v>
      </c>
      <c r="R40" s="2"/>
      <c r="S40" s="2"/>
      <c r="T40" s="2"/>
      <c r="U40" s="2"/>
      <c r="V40" s="2"/>
      <c r="W40" s="3"/>
      <c r="X40" s="18" t="s">
        <v>393</v>
      </c>
      <c r="Y40" s="2"/>
      <c r="Z40" s="2"/>
      <c r="AA40" s="2"/>
      <c r="AB40" s="2"/>
      <c r="AC40" s="2"/>
      <c r="AD40" s="3"/>
      <c r="AE40" s="19" t="s">
        <v>213</v>
      </c>
      <c r="AF40" s="3"/>
      <c r="AG40" s="21" t="s">
        <v>63</v>
      </c>
      <c r="AH40" s="2"/>
      <c r="AI40" s="3"/>
      <c r="AJ40" s="22"/>
      <c r="AK40" s="2"/>
      <c r="AL40" s="3"/>
      <c r="AM40" s="21" t="s">
        <v>271</v>
      </c>
      <c r="AN40" s="2"/>
      <c r="AO40" s="3"/>
      <c r="AP40" s="23">
        <v>46149</v>
      </c>
      <c r="AQ40" s="2"/>
      <c r="AR40" s="3"/>
      <c r="AS40" s="19"/>
      <c r="AT40" s="2"/>
      <c r="AU40" s="3"/>
      <c r="AV40" s="19" t="s">
        <v>63</v>
      </c>
      <c r="AW40" s="2"/>
      <c r="AX40" s="3"/>
      <c r="AY40" s="19"/>
      <c r="AZ40" s="2"/>
      <c r="BA40" s="3"/>
      <c r="BB40" s="19" t="s">
        <v>272</v>
      </c>
      <c r="BC40" s="2"/>
      <c r="BD40" s="3"/>
      <c r="BE40" s="20">
        <v>46239</v>
      </c>
      <c r="BF40" s="2"/>
      <c r="BG40" s="3"/>
      <c r="BH40" s="19"/>
      <c r="BI40" s="2"/>
      <c r="BJ40" s="3"/>
      <c r="BK40" s="18"/>
      <c r="BL40" s="2"/>
      <c r="BM40" s="2"/>
      <c r="BN40" s="2"/>
      <c r="BO40" s="2"/>
      <c r="BP40" s="2"/>
      <c r="BQ40" s="3"/>
    </row>
    <row r="41" ht="319.5" customHeight="1" spans="1:69">
      <c r="A41" s="17">
        <v>26</v>
      </c>
      <c r="B41" s="18" t="s">
        <v>394</v>
      </c>
      <c r="C41" s="2"/>
      <c r="D41" s="3"/>
      <c r="E41" s="18" t="s">
        <v>395</v>
      </c>
      <c r="F41" s="2"/>
      <c r="G41" s="2"/>
      <c r="H41" s="2"/>
      <c r="I41" s="3"/>
      <c r="J41" s="18" t="s">
        <v>353</v>
      </c>
      <c r="K41" s="2"/>
      <c r="L41" s="2"/>
      <c r="M41" s="2"/>
      <c r="N41" s="2"/>
      <c r="O41" s="2"/>
      <c r="P41" s="3"/>
      <c r="Q41" s="18" t="s">
        <v>396</v>
      </c>
      <c r="R41" s="2"/>
      <c r="S41" s="2"/>
      <c r="T41" s="2"/>
      <c r="U41" s="2"/>
      <c r="V41" s="2"/>
      <c r="W41" s="3"/>
      <c r="X41" s="18" t="s">
        <v>397</v>
      </c>
      <c r="Y41" s="2"/>
      <c r="Z41" s="2"/>
      <c r="AA41" s="2"/>
      <c r="AB41" s="2"/>
      <c r="AC41" s="2"/>
      <c r="AD41" s="3"/>
      <c r="AE41" s="19" t="s">
        <v>213</v>
      </c>
      <c r="AF41" s="3"/>
      <c r="AG41" s="21" t="s">
        <v>63</v>
      </c>
      <c r="AH41" s="2"/>
      <c r="AI41" s="3"/>
      <c r="AJ41" s="22"/>
      <c r="AK41" s="2"/>
      <c r="AL41" s="3"/>
      <c r="AM41" s="21" t="s">
        <v>271</v>
      </c>
      <c r="AN41" s="2"/>
      <c r="AO41" s="3"/>
      <c r="AP41" s="23">
        <v>46149</v>
      </c>
      <c r="AQ41" s="2"/>
      <c r="AR41" s="3"/>
      <c r="AS41" s="19"/>
      <c r="AT41" s="2"/>
      <c r="AU41" s="3"/>
      <c r="AV41" s="19" t="s">
        <v>63</v>
      </c>
      <c r="AW41" s="2"/>
      <c r="AX41" s="3"/>
      <c r="AY41" s="19"/>
      <c r="AZ41" s="2"/>
      <c r="BA41" s="3"/>
      <c r="BB41" s="19" t="s">
        <v>272</v>
      </c>
      <c r="BC41" s="2"/>
      <c r="BD41" s="3"/>
      <c r="BE41" s="20">
        <v>46239</v>
      </c>
      <c r="BF41" s="2"/>
      <c r="BG41" s="3"/>
      <c r="BH41" s="19"/>
      <c r="BI41" s="2"/>
      <c r="BJ41" s="3"/>
      <c r="BK41" s="18"/>
      <c r="BL41" s="2"/>
      <c r="BM41" s="2"/>
      <c r="BN41" s="2"/>
      <c r="BO41" s="2"/>
      <c r="BP41" s="2"/>
      <c r="BQ41" s="3"/>
    </row>
    <row r="42" ht="288" customHeight="1" spans="1:69">
      <c r="A42" s="17">
        <v>27</v>
      </c>
      <c r="B42" s="18" t="s">
        <v>398</v>
      </c>
      <c r="C42" s="2"/>
      <c r="D42" s="3"/>
      <c r="E42" s="18" t="s">
        <v>399</v>
      </c>
      <c r="F42" s="2"/>
      <c r="G42" s="2"/>
      <c r="H42" s="2"/>
      <c r="I42" s="3"/>
      <c r="J42" s="18" t="s">
        <v>353</v>
      </c>
      <c r="K42" s="2"/>
      <c r="L42" s="2"/>
      <c r="M42" s="2"/>
      <c r="N42" s="2"/>
      <c r="O42" s="2"/>
      <c r="P42" s="3"/>
      <c r="Q42" s="18" t="s">
        <v>400</v>
      </c>
      <c r="R42" s="2"/>
      <c r="S42" s="2"/>
      <c r="T42" s="2"/>
      <c r="U42" s="2"/>
      <c r="V42" s="2"/>
      <c r="W42" s="3"/>
      <c r="X42" s="18" t="s">
        <v>401</v>
      </c>
      <c r="Y42" s="2"/>
      <c r="Z42" s="2"/>
      <c r="AA42" s="2"/>
      <c r="AB42" s="2"/>
      <c r="AC42" s="2"/>
      <c r="AD42" s="3"/>
      <c r="AE42" s="19" t="s">
        <v>213</v>
      </c>
      <c r="AF42" s="3"/>
      <c r="AG42" s="21" t="s">
        <v>63</v>
      </c>
      <c r="AH42" s="2"/>
      <c r="AI42" s="3"/>
      <c r="AJ42" s="22"/>
      <c r="AK42" s="2"/>
      <c r="AL42" s="3"/>
      <c r="AM42" s="21" t="s">
        <v>271</v>
      </c>
      <c r="AN42" s="2"/>
      <c r="AO42" s="3"/>
      <c r="AP42" s="23">
        <v>46149</v>
      </c>
      <c r="AQ42" s="2"/>
      <c r="AR42" s="3"/>
      <c r="AS42" s="19"/>
      <c r="AT42" s="2"/>
      <c r="AU42" s="3"/>
      <c r="AV42" s="19" t="s">
        <v>63</v>
      </c>
      <c r="AW42" s="2"/>
      <c r="AX42" s="3"/>
      <c r="AY42" s="19"/>
      <c r="AZ42" s="2"/>
      <c r="BA42" s="3"/>
      <c r="BB42" s="19" t="s">
        <v>272</v>
      </c>
      <c r="BC42" s="2"/>
      <c r="BD42" s="3"/>
      <c r="BE42" s="20">
        <v>46239</v>
      </c>
      <c r="BF42" s="2"/>
      <c r="BG42" s="3"/>
      <c r="BH42" s="19"/>
      <c r="BI42" s="2"/>
      <c r="BJ42" s="3"/>
      <c r="BK42" s="18"/>
      <c r="BL42" s="2"/>
      <c r="BM42" s="2"/>
      <c r="BN42" s="2"/>
      <c r="BO42" s="2"/>
      <c r="BP42" s="2"/>
      <c r="BQ42" s="3"/>
    </row>
    <row r="43" ht="409.5" customHeight="1" spans="1:69">
      <c r="A43" s="17">
        <v>28</v>
      </c>
      <c r="B43" s="18" t="s">
        <v>402</v>
      </c>
      <c r="C43" s="2"/>
      <c r="D43" s="3"/>
      <c r="E43" s="18" t="s">
        <v>403</v>
      </c>
      <c r="F43" s="2"/>
      <c r="G43" s="2"/>
      <c r="H43" s="2"/>
      <c r="I43" s="3"/>
      <c r="J43" s="18" t="s">
        <v>353</v>
      </c>
      <c r="K43" s="2"/>
      <c r="L43" s="2"/>
      <c r="M43" s="2"/>
      <c r="N43" s="2"/>
      <c r="O43" s="2"/>
      <c r="P43" s="3"/>
      <c r="Q43" s="18" t="s">
        <v>404</v>
      </c>
      <c r="R43" s="2"/>
      <c r="S43" s="2"/>
      <c r="T43" s="2"/>
      <c r="U43" s="2"/>
      <c r="V43" s="2"/>
      <c r="W43" s="3"/>
      <c r="X43" s="18" t="s">
        <v>405</v>
      </c>
      <c r="Y43" s="2"/>
      <c r="Z43" s="2"/>
      <c r="AA43" s="2"/>
      <c r="AB43" s="2"/>
      <c r="AC43" s="2"/>
      <c r="AD43" s="3"/>
      <c r="AE43" s="19" t="s">
        <v>217</v>
      </c>
      <c r="AF43" s="3"/>
      <c r="AG43" s="21" t="s">
        <v>63</v>
      </c>
      <c r="AH43" s="2"/>
      <c r="AI43" s="3"/>
      <c r="AJ43" s="22"/>
      <c r="AK43" s="2"/>
      <c r="AL43" s="3"/>
      <c r="AM43" s="21" t="s">
        <v>271</v>
      </c>
      <c r="AN43" s="2"/>
      <c r="AO43" s="3"/>
      <c r="AP43" s="23">
        <v>46149</v>
      </c>
      <c r="AQ43" s="2"/>
      <c r="AR43" s="3"/>
      <c r="AS43" s="19"/>
      <c r="AT43" s="2"/>
      <c r="AU43" s="3"/>
      <c r="AV43" s="19" t="s">
        <v>63</v>
      </c>
      <c r="AW43" s="2"/>
      <c r="AX43" s="3"/>
      <c r="AY43" s="19"/>
      <c r="AZ43" s="2"/>
      <c r="BA43" s="3"/>
      <c r="BB43" s="19" t="s">
        <v>272</v>
      </c>
      <c r="BC43" s="2"/>
      <c r="BD43" s="3"/>
      <c r="BE43" s="20">
        <v>46239</v>
      </c>
      <c r="BF43" s="2"/>
      <c r="BG43" s="3"/>
      <c r="BH43" s="19"/>
      <c r="BI43" s="2"/>
      <c r="BJ43" s="3"/>
      <c r="BK43" s="18"/>
      <c r="BL43" s="2"/>
      <c r="BM43" s="2"/>
      <c r="BN43" s="2"/>
      <c r="BO43" s="2"/>
      <c r="BP43" s="2"/>
      <c r="BQ43" s="3"/>
    </row>
    <row r="44" ht="271.5" customHeight="1" spans="1:69">
      <c r="A44" s="17">
        <v>29</v>
      </c>
      <c r="B44" s="18" t="s">
        <v>406</v>
      </c>
      <c r="C44" s="2"/>
      <c r="D44" s="3"/>
      <c r="E44" s="18" t="s">
        <v>407</v>
      </c>
      <c r="F44" s="2"/>
      <c r="G44" s="2"/>
      <c r="H44" s="2"/>
      <c r="I44" s="3"/>
      <c r="J44" s="18" t="s">
        <v>353</v>
      </c>
      <c r="K44" s="2"/>
      <c r="L44" s="2"/>
      <c r="M44" s="2"/>
      <c r="N44" s="2"/>
      <c r="O44" s="2"/>
      <c r="P44" s="3"/>
      <c r="Q44" s="18" t="s">
        <v>408</v>
      </c>
      <c r="R44" s="2"/>
      <c r="S44" s="2"/>
      <c r="T44" s="2"/>
      <c r="U44" s="2"/>
      <c r="V44" s="2"/>
      <c r="W44" s="3"/>
      <c r="X44" s="18" t="s">
        <v>409</v>
      </c>
      <c r="Y44" s="2"/>
      <c r="Z44" s="2"/>
      <c r="AA44" s="2"/>
      <c r="AB44" s="2"/>
      <c r="AC44" s="2"/>
      <c r="AD44" s="3"/>
      <c r="AE44" s="19" t="s">
        <v>217</v>
      </c>
      <c r="AF44" s="3"/>
      <c r="AG44" s="21" t="s">
        <v>63</v>
      </c>
      <c r="AH44" s="2"/>
      <c r="AI44" s="3"/>
      <c r="AJ44" s="22"/>
      <c r="AK44" s="2"/>
      <c r="AL44" s="3"/>
      <c r="AM44" s="21" t="s">
        <v>271</v>
      </c>
      <c r="AN44" s="2"/>
      <c r="AO44" s="3"/>
      <c r="AP44" s="23">
        <v>46149</v>
      </c>
      <c r="AQ44" s="2"/>
      <c r="AR44" s="3"/>
      <c r="AS44" s="19"/>
      <c r="AT44" s="2"/>
      <c r="AU44" s="3"/>
      <c r="AV44" s="19" t="s">
        <v>63</v>
      </c>
      <c r="AW44" s="2"/>
      <c r="AX44" s="3"/>
      <c r="AY44" s="19"/>
      <c r="AZ44" s="2"/>
      <c r="BA44" s="3"/>
      <c r="BB44" s="19" t="s">
        <v>272</v>
      </c>
      <c r="BC44" s="2"/>
      <c r="BD44" s="3"/>
      <c r="BE44" s="20">
        <v>46239</v>
      </c>
      <c r="BF44" s="2"/>
      <c r="BG44" s="3"/>
      <c r="BH44" s="19"/>
      <c r="BI44" s="2"/>
      <c r="BJ44" s="3"/>
      <c r="BK44" s="18"/>
      <c r="BL44" s="2"/>
      <c r="BM44" s="2"/>
      <c r="BN44" s="2"/>
      <c r="BO44" s="2"/>
      <c r="BP44" s="2"/>
      <c r="BQ44" s="3"/>
    </row>
    <row r="45" ht="409.5" customHeight="1" spans="1:69">
      <c r="A45" s="17">
        <v>30</v>
      </c>
      <c r="B45" s="18" t="s">
        <v>410</v>
      </c>
      <c r="C45" s="2"/>
      <c r="D45" s="3"/>
      <c r="E45" s="18" t="s">
        <v>411</v>
      </c>
      <c r="F45" s="2"/>
      <c r="G45" s="2"/>
      <c r="H45" s="2"/>
      <c r="I45" s="3"/>
      <c r="J45" s="18" t="s">
        <v>353</v>
      </c>
      <c r="K45" s="2"/>
      <c r="L45" s="2"/>
      <c r="M45" s="2"/>
      <c r="N45" s="2"/>
      <c r="O45" s="2"/>
      <c r="P45" s="3"/>
      <c r="Q45" s="18" t="s">
        <v>412</v>
      </c>
      <c r="R45" s="2"/>
      <c r="S45" s="2"/>
      <c r="T45" s="2"/>
      <c r="U45" s="2"/>
      <c r="V45" s="2"/>
      <c r="W45" s="3"/>
      <c r="X45" s="18" t="s">
        <v>413</v>
      </c>
      <c r="Y45" s="2"/>
      <c r="Z45" s="2"/>
      <c r="AA45" s="2"/>
      <c r="AB45" s="2"/>
      <c r="AC45" s="2"/>
      <c r="AD45" s="3"/>
      <c r="AE45" s="19" t="s">
        <v>217</v>
      </c>
      <c r="AF45" s="3"/>
      <c r="AG45" s="21" t="s">
        <v>63</v>
      </c>
      <c r="AH45" s="2"/>
      <c r="AI45" s="3"/>
      <c r="AJ45" s="22"/>
      <c r="AK45" s="2"/>
      <c r="AL45" s="3"/>
      <c r="AM45" s="21" t="s">
        <v>271</v>
      </c>
      <c r="AN45" s="2"/>
      <c r="AO45" s="3"/>
      <c r="AP45" s="23">
        <v>46149</v>
      </c>
      <c r="AQ45" s="2"/>
      <c r="AR45" s="3"/>
      <c r="AS45" s="19"/>
      <c r="AT45" s="2"/>
      <c r="AU45" s="3"/>
      <c r="AV45" s="19" t="s">
        <v>63</v>
      </c>
      <c r="AW45" s="2"/>
      <c r="AX45" s="3"/>
      <c r="AY45" s="19"/>
      <c r="AZ45" s="2"/>
      <c r="BA45" s="3"/>
      <c r="BB45" s="19" t="s">
        <v>272</v>
      </c>
      <c r="BC45" s="2"/>
      <c r="BD45" s="3"/>
      <c r="BE45" s="20">
        <v>46239</v>
      </c>
      <c r="BF45" s="2"/>
      <c r="BG45" s="3"/>
      <c r="BH45" s="19"/>
      <c r="BI45" s="2"/>
      <c r="BJ45" s="3"/>
      <c r="BK45" s="18"/>
      <c r="BL45" s="2"/>
      <c r="BM45" s="2"/>
      <c r="BN45" s="2"/>
      <c r="BO45" s="2"/>
      <c r="BP45" s="2"/>
      <c r="BQ45" s="3"/>
    </row>
    <row r="46" ht="409.5" customHeight="1" spans="1:69">
      <c r="A46" s="17">
        <v>31</v>
      </c>
      <c r="B46" s="18" t="s">
        <v>414</v>
      </c>
      <c r="C46" s="2"/>
      <c r="D46" s="3"/>
      <c r="E46" s="18" t="s">
        <v>415</v>
      </c>
      <c r="F46" s="2"/>
      <c r="G46" s="2"/>
      <c r="H46" s="2"/>
      <c r="I46" s="3"/>
      <c r="J46" s="18" t="s">
        <v>353</v>
      </c>
      <c r="K46" s="2"/>
      <c r="L46" s="2"/>
      <c r="M46" s="2"/>
      <c r="N46" s="2"/>
      <c r="O46" s="2"/>
      <c r="P46" s="3"/>
      <c r="Q46" s="18" t="s">
        <v>416</v>
      </c>
      <c r="R46" s="2"/>
      <c r="S46" s="2"/>
      <c r="T46" s="2"/>
      <c r="U46" s="2"/>
      <c r="V46" s="2"/>
      <c r="W46" s="3"/>
      <c r="X46" s="18" t="s">
        <v>417</v>
      </c>
      <c r="Y46" s="2"/>
      <c r="Z46" s="2"/>
      <c r="AA46" s="2"/>
      <c r="AB46" s="2"/>
      <c r="AC46" s="2"/>
      <c r="AD46" s="3"/>
      <c r="AE46" s="19" t="s">
        <v>217</v>
      </c>
      <c r="AF46" s="3"/>
      <c r="AG46" s="21" t="s">
        <v>63</v>
      </c>
      <c r="AH46" s="2"/>
      <c r="AI46" s="3"/>
      <c r="AJ46" s="22"/>
      <c r="AK46" s="2"/>
      <c r="AL46" s="3"/>
      <c r="AM46" s="21" t="s">
        <v>271</v>
      </c>
      <c r="AN46" s="2"/>
      <c r="AO46" s="3"/>
      <c r="AP46" s="23">
        <v>46149</v>
      </c>
      <c r="AQ46" s="2"/>
      <c r="AR46" s="3"/>
      <c r="AS46" s="19"/>
      <c r="AT46" s="2"/>
      <c r="AU46" s="3"/>
      <c r="AV46" s="19" t="s">
        <v>63</v>
      </c>
      <c r="AW46" s="2"/>
      <c r="AX46" s="3"/>
      <c r="AY46" s="19"/>
      <c r="AZ46" s="2"/>
      <c r="BA46" s="3"/>
      <c r="BB46" s="19" t="s">
        <v>272</v>
      </c>
      <c r="BC46" s="2"/>
      <c r="BD46" s="3"/>
      <c r="BE46" s="20">
        <v>46239</v>
      </c>
      <c r="BF46" s="2"/>
      <c r="BG46" s="3"/>
      <c r="BH46" s="19"/>
      <c r="BI46" s="2"/>
      <c r="BJ46" s="3"/>
      <c r="BK46" s="18"/>
      <c r="BL46" s="2"/>
      <c r="BM46" s="2"/>
      <c r="BN46" s="2"/>
      <c r="BO46" s="2"/>
      <c r="BP46" s="2"/>
      <c r="BQ46" s="3"/>
    </row>
    <row r="47" ht="409.5" customHeight="1" spans="1:69">
      <c r="A47" s="17">
        <v>32</v>
      </c>
      <c r="B47" s="18" t="s">
        <v>418</v>
      </c>
      <c r="C47" s="2"/>
      <c r="D47" s="3"/>
      <c r="E47" s="18" t="s">
        <v>419</v>
      </c>
      <c r="F47" s="2"/>
      <c r="G47" s="2"/>
      <c r="H47" s="2"/>
      <c r="I47" s="3"/>
      <c r="J47" s="18" t="s">
        <v>353</v>
      </c>
      <c r="K47" s="2"/>
      <c r="L47" s="2"/>
      <c r="M47" s="2"/>
      <c r="N47" s="2"/>
      <c r="O47" s="2"/>
      <c r="P47" s="3"/>
      <c r="Q47" s="18" t="s">
        <v>420</v>
      </c>
      <c r="R47" s="2"/>
      <c r="S47" s="2"/>
      <c r="T47" s="2"/>
      <c r="U47" s="2"/>
      <c r="V47" s="2"/>
      <c r="W47" s="3"/>
      <c r="X47" s="18" t="s">
        <v>421</v>
      </c>
      <c r="Y47" s="2"/>
      <c r="Z47" s="2"/>
      <c r="AA47" s="2"/>
      <c r="AB47" s="2"/>
      <c r="AC47" s="2"/>
      <c r="AD47" s="3"/>
      <c r="AE47" s="19" t="s">
        <v>217</v>
      </c>
      <c r="AF47" s="3"/>
      <c r="AG47" s="21" t="s">
        <v>63</v>
      </c>
      <c r="AH47" s="2"/>
      <c r="AI47" s="3"/>
      <c r="AJ47" s="22"/>
      <c r="AK47" s="2"/>
      <c r="AL47" s="3"/>
      <c r="AM47" s="21" t="s">
        <v>271</v>
      </c>
      <c r="AN47" s="2"/>
      <c r="AO47" s="3"/>
      <c r="AP47" s="23">
        <v>46149</v>
      </c>
      <c r="AQ47" s="2"/>
      <c r="AR47" s="3"/>
      <c r="AS47" s="19"/>
      <c r="AT47" s="2"/>
      <c r="AU47" s="3"/>
      <c r="AV47" s="19" t="s">
        <v>63</v>
      </c>
      <c r="AW47" s="2"/>
      <c r="AX47" s="3"/>
      <c r="AY47" s="19"/>
      <c r="AZ47" s="2"/>
      <c r="BA47" s="3"/>
      <c r="BB47" s="19" t="s">
        <v>272</v>
      </c>
      <c r="BC47" s="2"/>
      <c r="BD47" s="3"/>
      <c r="BE47" s="20">
        <v>46239</v>
      </c>
      <c r="BF47" s="2"/>
      <c r="BG47" s="3"/>
      <c r="BH47" s="19"/>
      <c r="BI47" s="2"/>
      <c r="BJ47" s="3"/>
      <c r="BK47" s="18"/>
      <c r="BL47" s="2"/>
      <c r="BM47" s="2"/>
      <c r="BN47" s="2"/>
      <c r="BO47" s="2"/>
      <c r="BP47" s="2"/>
      <c r="BQ47" s="3"/>
    </row>
    <row r="48" ht="409.5" customHeight="1" spans="1:69">
      <c r="A48" s="17">
        <v>33</v>
      </c>
      <c r="B48" s="18" t="s">
        <v>422</v>
      </c>
      <c r="C48" s="2"/>
      <c r="D48" s="3"/>
      <c r="E48" s="18" t="s">
        <v>423</v>
      </c>
      <c r="F48" s="2"/>
      <c r="G48" s="2"/>
      <c r="H48" s="2"/>
      <c r="I48" s="3"/>
      <c r="J48" s="18" t="s">
        <v>353</v>
      </c>
      <c r="K48" s="2"/>
      <c r="L48" s="2"/>
      <c r="M48" s="2"/>
      <c r="N48" s="2"/>
      <c r="O48" s="2"/>
      <c r="P48" s="3"/>
      <c r="Q48" s="18" t="s">
        <v>424</v>
      </c>
      <c r="R48" s="2"/>
      <c r="S48" s="2"/>
      <c r="T48" s="2"/>
      <c r="U48" s="2"/>
      <c r="V48" s="2"/>
      <c r="W48" s="3"/>
      <c r="X48" s="18" t="s">
        <v>425</v>
      </c>
      <c r="Y48" s="2"/>
      <c r="Z48" s="2"/>
      <c r="AA48" s="2"/>
      <c r="AB48" s="2"/>
      <c r="AC48" s="2"/>
      <c r="AD48" s="3"/>
      <c r="AE48" s="19" t="s">
        <v>217</v>
      </c>
      <c r="AF48" s="3"/>
      <c r="AG48" s="21" t="s">
        <v>63</v>
      </c>
      <c r="AH48" s="2"/>
      <c r="AI48" s="3"/>
      <c r="AJ48" s="22"/>
      <c r="AK48" s="2"/>
      <c r="AL48" s="3"/>
      <c r="AM48" s="21" t="s">
        <v>271</v>
      </c>
      <c r="AN48" s="2"/>
      <c r="AO48" s="3"/>
      <c r="AP48" s="23">
        <v>46149</v>
      </c>
      <c r="AQ48" s="2"/>
      <c r="AR48" s="3"/>
      <c r="AS48" s="19"/>
      <c r="AT48" s="2"/>
      <c r="AU48" s="3"/>
      <c r="AV48" s="19" t="s">
        <v>63</v>
      </c>
      <c r="AW48" s="2"/>
      <c r="AX48" s="3"/>
      <c r="AY48" s="19"/>
      <c r="AZ48" s="2"/>
      <c r="BA48" s="3"/>
      <c r="BB48" s="19" t="s">
        <v>272</v>
      </c>
      <c r="BC48" s="2"/>
      <c r="BD48" s="3"/>
      <c r="BE48" s="20">
        <v>46239</v>
      </c>
      <c r="BF48" s="2"/>
      <c r="BG48" s="3"/>
      <c r="BH48" s="19"/>
      <c r="BI48" s="2"/>
      <c r="BJ48" s="3"/>
      <c r="BK48" s="18"/>
      <c r="BL48" s="2"/>
      <c r="BM48" s="2"/>
      <c r="BN48" s="2"/>
      <c r="BO48" s="2"/>
      <c r="BP48" s="2"/>
      <c r="BQ48" s="3"/>
    </row>
    <row r="49" ht="288" customHeight="1" spans="1:69">
      <c r="A49" s="17">
        <v>34</v>
      </c>
      <c r="B49" s="18" t="s">
        <v>426</v>
      </c>
      <c r="C49" s="2"/>
      <c r="D49" s="3"/>
      <c r="E49" s="18" t="s">
        <v>427</v>
      </c>
      <c r="F49" s="2"/>
      <c r="G49" s="2"/>
      <c r="H49" s="2"/>
      <c r="I49" s="3"/>
      <c r="J49" s="18" t="s">
        <v>353</v>
      </c>
      <c r="K49" s="2"/>
      <c r="L49" s="2"/>
      <c r="M49" s="2"/>
      <c r="N49" s="2"/>
      <c r="O49" s="2"/>
      <c r="P49" s="3"/>
      <c r="Q49" s="18" t="s">
        <v>428</v>
      </c>
      <c r="R49" s="2"/>
      <c r="S49" s="2"/>
      <c r="T49" s="2"/>
      <c r="U49" s="2"/>
      <c r="V49" s="2"/>
      <c r="W49" s="3"/>
      <c r="X49" s="18" t="s">
        <v>429</v>
      </c>
      <c r="Y49" s="2"/>
      <c r="Z49" s="2"/>
      <c r="AA49" s="2"/>
      <c r="AB49" s="2"/>
      <c r="AC49" s="2"/>
      <c r="AD49" s="3"/>
      <c r="AE49" s="19" t="s">
        <v>217</v>
      </c>
      <c r="AF49" s="3"/>
      <c r="AG49" s="21" t="s">
        <v>63</v>
      </c>
      <c r="AH49" s="2"/>
      <c r="AI49" s="3"/>
      <c r="AJ49" s="22"/>
      <c r="AK49" s="2"/>
      <c r="AL49" s="3"/>
      <c r="AM49" s="21" t="s">
        <v>271</v>
      </c>
      <c r="AN49" s="2"/>
      <c r="AO49" s="3"/>
      <c r="AP49" s="23">
        <v>46149</v>
      </c>
      <c r="AQ49" s="2"/>
      <c r="AR49" s="3"/>
      <c r="AS49" s="19"/>
      <c r="AT49" s="2"/>
      <c r="AU49" s="3"/>
      <c r="AV49" s="19" t="s">
        <v>63</v>
      </c>
      <c r="AW49" s="2"/>
      <c r="AX49" s="3"/>
      <c r="AY49" s="19"/>
      <c r="AZ49" s="2"/>
      <c r="BA49" s="3"/>
      <c r="BB49" s="19" t="s">
        <v>272</v>
      </c>
      <c r="BC49" s="2"/>
      <c r="BD49" s="3"/>
      <c r="BE49" s="20">
        <v>46239</v>
      </c>
      <c r="BF49" s="2"/>
      <c r="BG49" s="3"/>
      <c r="BH49" s="19"/>
      <c r="BI49" s="2"/>
      <c r="BJ49" s="3"/>
      <c r="BK49" s="18"/>
      <c r="BL49" s="2"/>
      <c r="BM49" s="2"/>
      <c r="BN49" s="2"/>
      <c r="BO49" s="2"/>
      <c r="BP49" s="2"/>
      <c r="BQ49" s="3"/>
    </row>
    <row r="50" ht="255.75" customHeight="1" spans="1:69">
      <c r="A50" s="17">
        <v>35</v>
      </c>
      <c r="B50" s="18" t="s">
        <v>430</v>
      </c>
      <c r="C50" s="2"/>
      <c r="D50" s="3"/>
      <c r="E50" s="18" t="s">
        <v>431</v>
      </c>
      <c r="F50" s="2"/>
      <c r="G50" s="2"/>
      <c r="H50" s="2"/>
      <c r="I50" s="3"/>
      <c r="J50" s="18" t="s">
        <v>353</v>
      </c>
      <c r="K50" s="2"/>
      <c r="L50" s="2"/>
      <c r="M50" s="2"/>
      <c r="N50" s="2"/>
      <c r="O50" s="2"/>
      <c r="P50" s="3"/>
      <c r="Q50" s="18" t="s">
        <v>432</v>
      </c>
      <c r="R50" s="2"/>
      <c r="S50" s="2"/>
      <c r="T50" s="2"/>
      <c r="U50" s="2"/>
      <c r="V50" s="2"/>
      <c r="W50" s="3"/>
      <c r="X50" s="18" t="s">
        <v>433</v>
      </c>
      <c r="Y50" s="2"/>
      <c r="Z50" s="2"/>
      <c r="AA50" s="2"/>
      <c r="AB50" s="2"/>
      <c r="AC50" s="2"/>
      <c r="AD50" s="3"/>
      <c r="AE50" s="19" t="s">
        <v>217</v>
      </c>
      <c r="AF50" s="3"/>
      <c r="AG50" s="21" t="s">
        <v>63</v>
      </c>
      <c r="AH50" s="2"/>
      <c r="AI50" s="3"/>
      <c r="AJ50" s="22"/>
      <c r="AK50" s="2"/>
      <c r="AL50" s="3"/>
      <c r="AM50" s="21" t="s">
        <v>271</v>
      </c>
      <c r="AN50" s="2"/>
      <c r="AO50" s="3"/>
      <c r="AP50" s="23">
        <v>46149</v>
      </c>
      <c r="AQ50" s="2"/>
      <c r="AR50" s="3"/>
      <c r="AS50" s="19"/>
      <c r="AT50" s="2"/>
      <c r="AU50" s="3"/>
      <c r="AV50" s="19" t="s">
        <v>63</v>
      </c>
      <c r="AW50" s="2"/>
      <c r="AX50" s="3"/>
      <c r="AY50" s="19"/>
      <c r="AZ50" s="2"/>
      <c r="BA50" s="3"/>
      <c r="BB50" s="19" t="s">
        <v>272</v>
      </c>
      <c r="BC50" s="2"/>
      <c r="BD50" s="3"/>
      <c r="BE50" s="20">
        <v>46239</v>
      </c>
      <c r="BF50" s="2"/>
      <c r="BG50" s="3"/>
      <c r="BH50" s="19"/>
      <c r="BI50" s="2"/>
      <c r="BJ50" s="3"/>
      <c r="BK50" s="18"/>
      <c r="BL50" s="2"/>
      <c r="BM50" s="2"/>
      <c r="BN50" s="2"/>
      <c r="BO50" s="2"/>
      <c r="BP50" s="2"/>
      <c r="BQ50" s="3"/>
    </row>
    <row r="51" ht="409.5" customHeight="1" spans="1:69">
      <c r="A51" s="17">
        <v>36</v>
      </c>
      <c r="B51" s="18" t="s">
        <v>434</v>
      </c>
      <c r="C51" s="2"/>
      <c r="D51" s="3"/>
      <c r="E51" s="18" t="s">
        <v>435</v>
      </c>
      <c r="F51" s="2"/>
      <c r="G51" s="2"/>
      <c r="H51" s="2"/>
      <c r="I51" s="3"/>
      <c r="J51" s="18" t="s">
        <v>353</v>
      </c>
      <c r="K51" s="2"/>
      <c r="L51" s="2"/>
      <c r="M51" s="2"/>
      <c r="N51" s="2"/>
      <c r="O51" s="2"/>
      <c r="P51" s="3"/>
      <c r="Q51" s="18" t="s">
        <v>436</v>
      </c>
      <c r="R51" s="2"/>
      <c r="S51" s="2"/>
      <c r="T51" s="2"/>
      <c r="U51" s="2"/>
      <c r="V51" s="2"/>
      <c r="W51" s="3"/>
      <c r="X51" s="18" t="s">
        <v>437</v>
      </c>
      <c r="Y51" s="2"/>
      <c r="Z51" s="2"/>
      <c r="AA51" s="2"/>
      <c r="AB51" s="2"/>
      <c r="AC51" s="2"/>
      <c r="AD51" s="3"/>
      <c r="AE51" s="19" t="s">
        <v>213</v>
      </c>
      <c r="AF51" s="3"/>
      <c r="AG51" s="21" t="s">
        <v>63</v>
      </c>
      <c r="AH51" s="2"/>
      <c r="AI51" s="3"/>
      <c r="AJ51" s="22"/>
      <c r="AK51" s="2"/>
      <c r="AL51" s="3"/>
      <c r="AM51" s="21" t="s">
        <v>271</v>
      </c>
      <c r="AN51" s="2"/>
      <c r="AO51" s="3"/>
      <c r="AP51" s="23">
        <v>46149</v>
      </c>
      <c r="AQ51" s="2"/>
      <c r="AR51" s="3"/>
      <c r="AS51" s="19"/>
      <c r="AT51" s="2"/>
      <c r="AU51" s="3"/>
      <c r="AV51" s="19" t="s">
        <v>63</v>
      </c>
      <c r="AW51" s="2"/>
      <c r="AX51" s="3"/>
      <c r="AY51" s="19"/>
      <c r="AZ51" s="2"/>
      <c r="BA51" s="3"/>
      <c r="BB51" s="19" t="s">
        <v>272</v>
      </c>
      <c r="BC51" s="2"/>
      <c r="BD51" s="3"/>
      <c r="BE51" s="20">
        <v>46239</v>
      </c>
      <c r="BF51" s="2"/>
      <c r="BG51" s="3"/>
      <c r="BH51" s="19"/>
      <c r="BI51" s="2"/>
      <c r="BJ51" s="3"/>
      <c r="BK51" s="18"/>
      <c r="BL51" s="2"/>
      <c r="BM51" s="2"/>
      <c r="BN51" s="2"/>
      <c r="BO51" s="2"/>
      <c r="BP51" s="2"/>
      <c r="BQ51" s="3"/>
    </row>
    <row r="52" ht="303.75" customHeight="1" spans="1:69">
      <c r="A52" s="17">
        <v>37</v>
      </c>
      <c r="B52" s="18" t="s">
        <v>438</v>
      </c>
      <c r="C52" s="2"/>
      <c r="D52" s="3"/>
      <c r="E52" s="18" t="s">
        <v>439</v>
      </c>
      <c r="F52" s="2"/>
      <c r="G52" s="2"/>
      <c r="H52" s="2"/>
      <c r="I52" s="3"/>
      <c r="J52" s="18" t="s">
        <v>353</v>
      </c>
      <c r="K52" s="2"/>
      <c r="L52" s="2"/>
      <c r="M52" s="2"/>
      <c r="N52" s="2"/>
      <c r="O52" s="2"/>
      <c r="P52" s="3"/>
      <c r="Q52" s="18" t="s">
        <v>440</v>
      </c>
      <c r="R52" s="2"/>
      <c r="S52" s="2"/>
      <c r="T52" s="2"/>
      <c r="U52" s="2"/>
      <c r="V52" s="2"/>
      <c r="W52" s="3"/>
      <c r="X52" s="18" t="s">
        <v>441</v>
      </c>
      <c r="Y52" s="2"/>
      <c r="Z52" s="2"/>
      <c r="AA52" s="2"/>
      <c r="AB52" s="2"/>
      <c r="AC52" s="2"/>
      <c r="AD52" s="3"/>
      <c r="AE52" s="19" t="s">
        <v>217</v>
      </c>
      <c r="AF52" s="3"/>
      <c r="AG52" s="21" t="s">
        <v>63</v>
      </c>
      <c r="AH52" s="2"/>
      <c r="AI52" s="3"/>
      <c r="AJ52" s="22"/>
      <c r="AK52" s="2"/>
      <c r="AL52" s="3"/>
      <c r="AM52" s="21" t="s">
        <v>271</v>
      </c>
      <c r="AN52" s="2"/>
      <c r="AO52" s="3"/>
      <c r="AP52" s="23">
        <v>46149</v>
      </c>
      <c r="AQ52" s="2"/>
      <c r="AR52" s="3"/>
      <c r="AS52" s="19"/>
      <c r="AT52" s="2"/>
      <c r="AU52" s="3"/>
      <c r="AV52" s="19" t="s">
        <v>63</v>
      </c>
      <c r="AW52" s="2"/>
      <c r="AX52" s="3"/>
      <c r="AY52" s="19"/>
      <c r="AZ52" s="2"/>
      <c r="BA52" s="3"/>
      <c r="BB52" s="19" t="s">
        <v>272</v>
      </c>
      <c r="BC52" s="2"/>
      <c r="BD52" s="3"/>
      <c r="BE52" s="20">
        <v>46239</v>
      </c>
      <c r="BF52" s="2"/>
      <c r="BG52" s="3"/>
      <c r="BH52" s="19"/>
      <c r="BI52" s="2"/>
      <c r="BJ52" s="3"/>
      <c r="BK52" s="18" t="s">
        <v>294</v>
      </c>
      <c r="BL52" s="2"/>
      <c r="BM52" s="2"/>
      <c r="BN52" s="2"/>
      <c r="BO52" s="2"/>
      <c r="BP52" s="2"/>
      <c r="BQ52" s="3"/>
    </row>
    <row r="53" ht="22.5" customHeight="1" spans="1:69">
      <c r="A53" s="16" t="s">
        <v>442</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3"/>
    </row>
    <row r="54" ht="409.5" customHeight="1" spans="1:69">
      <c r="A54" s="17">
        <v>38</v>
      </c>
      <c r="B54" s="18" t="s">
        <v>443</v>
      </c>
      <c r="C54" s="2"/>
      <c r="D54" s="3"/>
      <c r="E54" s="18" t="s">
        <v>444</v>
      </c>
      <c r="F54" s="2"/>
      <c r="G54" s="2"/>
      <c r="H54" s="2"/>
      <c r="I54" s="3"/>
      <c r="J54" s="18" t="s">
        <v>445</v>
      </c>
      <c r="K54" s="2"/>
      <c r="L54" s="2"/>
      <c r="M54" s="2"/>
      <c r="N54" s="2"/>
      <c r="O54" s="2"/>
      <c r="P54" s="3"/>
      <c r="Q54" s="18" t="s">
        <v>446</v>
      </c>
      <c r="R54" s="2"/>
      <c r="S54" s="2"/>
      <c r="T54" s="2"/>
      <c r="U54" s="2"/>
      <c r="V54" s="2"/>
      <c r="W54" s="3"/>
      <c r="X54" s="18" t="s">
        <v>447</v>
      </c>
      <c r="Y54" s="2"/>
      <c r="Z54" s="2"/>
      <c r="AA54" s="2"/>
      <c r="AB54" s="2"/>
      <c r="AC54" s="2"/>
      <c r="AD54" s="3"/>
      <c r="AE54" s="19" t="s">
        <v>270</v>
      </c>
      <c r="AF54" s="3"/>
      <c r="AG54" s="21" t="s">
        <v>63</v>
      </c>
      <c r="AH54" s="2"/>
      <c r="AI54" s="3"/>
      <c r="AJ54" s="22"/>
      <c r="AK54" s="2"/>
      <c r="AL54" s="3"/>
      <c r="AM54" s="21" t="s">
        <v>271</v>
      </c>
      <c r="AN54" s="2"/>
      <c r="AO54" s="3"/>
      <c r="AP54" s="23">
        <v>46149</v>
      </c>
      <c r="AQ54" s="2"/>
      <c r="AR54" s="3"/>
      <c r="AS54" s="19"/>
      <c r="AT54" s="2"/>
      <c r="AU54" s="3"/>
      <c r="AV54" s="19" t="s">
        <v>63</v>
      </c>
      <c r="AW54" s="2"/>
      <c r="AX54" s="3"/>
      <c r="AY54" s="19"/>
      <c r="AZ54" s="2"/>
      <c r="BA54" s="3"/>
      <c r="BB54" s="19" t="s">
        <v>272</v>
      </c>
      <c r="BC54" s="2"/>
      <c r="BD54" s="3"/>
      <c r="BE54" s="20">
        <v>46239</v>
      </c>
      <c r="BF54" s="2"/>
      <c r="BG54" s="3"/>
      <c r="BH54" s="19"/>
      <c r="BI54" s="2"/>
      <c r="BJ54" s="3"/>
      <c r="BK54" s="18"/>
      <c r="BL54" s="2"/>
      <c r="BM54" s="2"/>
      <c r="BN54" s="2"/>
      <c r="BO54" s="2"/>
      <c r="BP54" s="2"/>
      <c r="BQ54" s="3"/>
    </row>
    <row r="55" ht="336" customHeight="1" spans="1:69">
      <c r="A55" s="17">
        <v>39</v>
      </c>
      <c r="B55" s="18" t="s">
        <v>448</v>
      </c>
      <c r="C55" s="2"/>
      <c r="D55" s="3"/>
      <c r="E55" s="18" t="s">
        <v>449</v>
      </c>
      <c r="F55" s="2"/>
      <c r="G55" s="2"/>
      <c r="H55" s="2"/>
      <c r="I55" s="3"/>
      <c r="J55" s="18" t="s">
        <v>450</v>
      </c>
      <c r="K55" s="2"/>
      <c r="L55" s="2"/>
      <c r="M55" s="2"/>
      <c r="N55" s="2"/>
      <c r="O55" s="2"/>
      <c r="P55" s="3"/>
      <c r="Q55" s="18" t="s">
        <v>451</v>
      </c>
      <c r="R55" s="2"/>
      <c r="S55" s="2"/>
      <c r="T55" s="2"/>
      <c r="U55" s="2"/>
      <c r="V55" s="2"/>
      <c r="W55" s="3"/>
      <c r="X55" s="18" t="s">
        <v>452</v>
      </c>
      <c r="Y55" s="2"/>
      <c r="Z55" s="2"/>
      <c r="AA55" s="2"/>
      <c r="AB55" s="2"/>
      <c r="AC55" s="2"/>
      <c r="AD55" s="3"/>
      <c r="AE55" s="19" t="s">
        <v>270</v>
      </c>
      <c r="AF55" s="3"/>
      <c r="AG55" s="21" t="s">
        <v>63</v>
      </c>
      <c r="AH55" s="2"/>
      <c r="AI55" s="3"/>
      <c r="AJ55" s="22"/>
      <c r="AK55" s="2"/>
      <c r="AL55" s="3"/>
      <c r="AM55" s="21" t="s">
        <v>271</v>
      </c>
      <c r="AN55" s="2"/>
      <c r="AO55" s="3"/>
      <c r="AP55" s="23">
        <v>46149</v>
      </c>
      <c r="AQ55" s="2"/>
      <c r="AR55" s="3"/>
      <c r="AS55" s="19"/>
      <c r="AT55" s="2"/>
      <c r="AU55" s="3"/>
      <c r="AV55" s="19" t="s">
        <v>63</v>
      </c>
      <c r="AW55" s="2"/>
      <c r="AX55" s="3"/>
      <c r="AY55" s="19"/>
      <c r="AZ55" s="2"/>
      <c r="BA55" s="3"/>
      <c r="BB55" s="19" t="s">
        <v>272</v>
      </c>
      <c r="BC55" s="2"/>
      <c r="BD55" s="3"/>
      <c r="BE55" s="20">
        <v>46239</v>
      </c>
      <c r="BF55" s="2"/>
      <c r="BG55" s="3"/>
      <c r="BH55" s="19"/>
      <c r="BI55" s="2"/>
      <c r="BJ55" s="3"/>
      <c r="BK55" s="18"/>
      <c r="BL55" s="2"/>
      <c r="BM55" s="2"/>
      <c r="BN55" s="2"/>
      <c r="BO55" s="2"/>
      <c r="BP55" s="2"/>
      <c r="BQ55" s="3"/>
    </row>
    <row r="56" ht="399.75" customHeight="1" spans="1:69">
      <c r="A56" s="17">
        <v>40</v>
      </c>
      <c r="B56" s="18" t="s">
        <v>453</v>
      </c>
      <c r="C56" s="2"/>
      <c r="D56" s="3"/>
      <c r="E56" s="18" t="s">
        <v>454</v>
      </c>
      <c r="F56" s="2"/>
      <c r="G56" s="2"/>
      <c r="H56" s="2"/>
      <c r="I56" s="3"/>
      <c r="J56" s="18" t="s">
        <v>455</v>
      </c>
      <c r="K56" s="2"/>
      <c r="L56" s="2"/>
      <c r="M56" s="2"/>
      <c r="N56" s="2"/>
      <c r="O56" s="2"/>
      <c r="P56" s="3"/>
      <c r="Q56" s="18" t="s">
        <v>456</v>
      </c>
      <c r="R56" s="2"/>
      <c r="S56" s="2"/>
      <c r="T56" s="2"/>
      <c r="U56" s="2"/>
      <c r="V56" s="2"/>
      <c r="W56" s="3"/>
      <c r="X56" s="18" t="s">
        <v>457</v>
      </c>
      <c r="Y56" s="2"/>
      <c r="Z56" s="2"/>
      <c r="AA56" s="2"/>
      <c r="AB56" s="2"/>
      <c r="AC56" s="2"/>
      <c r="AD56" s="3"/>
      <c r="AE56" s="19" t="s">
        <v>213</v>
      </c>
      <c r="AF56" s="3"/>
      <c r="AG56" s="21" t="s">
        <v>63</v>
      </c>
      <c r="AH56" s="2"/>
      <c r="AI56" s="3"/>
      <c r="AJ56" s="22"/>
      <c r="AK56" s="2"/>
      <c r="AL56" s="3"/>
      <c r="AM56" s="21" t="s">
        <v>271</v>
      </c>
      <c r="AN56" s="2"/>
      <c r="AO56" s="3"/>
      <c r="AP56" s="23">
        <v>46149</v>
      </c>
      <c r="AQ56" s="2"/>
      <c r="AR56" s="3"/>
      <c r="AS56" s="19"/>
      <c r="AT56" s="2"/>
      <c r="AU56" s="3"/>
      <c r="AV56" s="19" t="s">
        <v>63</v>
      </c>
      <c r="AW56" s="2"/>
      <c r="AX56" s="3"/>
      <c r="AY56" s="19"/>
      <c r="AZ56" s="2"/>
      <c r="BA56" s="3"/>
      <c r="BB56" s="19" t="s">
        <v>272</v>
      </c>
      <c r="BC56" s="2"/>
      <c r="BD56" s="3"/>
      <c r="BE56" s="20">
        <v>46239</v>
      </c>
      <c r="BF56" s="2"/>
      <c r="BG56" s="3"/>
      <c r="BH56" s="19"/>
      <c r="BI56" s="2"/>
      <c r="BJ56" s="3"/>
      <c r="BK56" s="18"/>
      <c r="BL56" s="2"/>
      <c r="BM56" s="2"/>
      <c r="BN56" s="2"/>
      <c r="BO56" s="2"/>
      <c r="BP56" s="2"/>
      <c r="BQ56" s="3"/>
    </row>
    <row r="57" ht="409.5" customHeight="1" spans="1:69">
      <c r="A57" s="17">
        <v>41</v>
      </c>
      <c r="B57" s="18" t="s">
        <v>458</v>
      </c>
      <c r="C57" s="2"/>
      <c r="D57" s="3"/>
      <c r="E57" s="18" t="s">
        <v>459</v>
      </c>
      <c r="F57" s="2"/>
      <c r="G57" s="2"/>
      <c r="H57" s="2"/>
      <c r="I57" s="3"/>
      <c r="J57" s="18" t="s">
        <v>460</v>
      </c>
      <c r="K57" s="2"/>
      <c r="L57" s="2"/>
      <c r="M57" s="2"/>
      <c r="N57" s="2"/>
      <c r="O57" s="2"/>
      <c r="P57" s="3"/>
      <c r="Q57" s="18" t="s">
        <v>461</v>
      </c>
      <c r="R57" s="2"/>
      <c r="S57" s="2"/>
      <c r="T57" s="2"/>
      <c r="U57" s="2"/>
      <c r="V57" s="2"/>
      <c r="W57" s="3"/>
      <c r="X57" s="18" t="s">
        <v>462</v>
      </c>
      <c r="Y57" s="2"/>
      <c r="Z57" s="2"/>
      <c r="AA57" s="2"/>
      <c r="AB57" s="2"/>
      <c r="AC57" s="2"/>
      <c r="AD57" s="3"/>
      <c r="AE57" s="19" t="s">
        <v>213</v>
      </c>
      <c r="AF57" s="3"/>
      <c r="AG57" s="21" t="s">
        <v>63</v>
      </c>
      <c r="AH57" s="2"/>
      <c r="AI57" s="3"/>
      <c r="AJ57" s="22"/>
      <c r="AK57" s="2"/>
      <c r="AL57" s="3"/>
      <c r="AM57" s="21" t="s">
        <v>271</v>
      </c>
      <c r="AN57" s="2"/>
      <c r="AO57" s="3"/>
      <c r="AP57" s="23">
        <v>46149</v>
      </c>
      <c r="AQ57" s="2"/>
      <c r="AR57" s="3"/>
      <c r="AS57" s="19"/>
      <c r="AT57" s="2"/>
      <c r="AU57" s="3"/>
      <c r="AV57" s="19" t="s">
        <v>63</v>
      </c>
      <c r="AW57" s="2"/>
      <c r="AX57" s="3"/>
      <c r="AY57" s="19"/>
      <c r="AZ57" s="2"/>
      <c r="BA57" s="3"/>
      <c r="BB57" s="19" t="s">
        <v>272</v>
      </c>
      <c r="BC57" s="2"/>
      <c r="BD57" s="3"/>
      <c r="BE57" s="20">
        <v>46239</v>
      </c>
      <c r="BF57" s="2"/>
      <c r="BG57" s="3"/>
      <c r="BH57" s="19"/>
      <c r="BI57" s="2"/>
      <c r="BJ57" s="3"/>
      <c r="BK57" s="18"/>
      <c r="BL57" s="2"/>
      <c r="BM57" s="2"/>
      <c r="BN57" s="2"/>
      <c r="BO57" s="2"/>
      <c r="BP57" s="2"/>
      <c r="BQ57" s="3"/>
    </row>
    <row r="58" ht="409.5" customHeight="1" spans="1:69">
      <c r="A58" s="17">
        <v>42</v>
      </c>
      <c r="B58" s="18" t="s">
        <v>463</v>
      </c>
      <c r="C58" s="2"/>
      <c r="D58" s="3"/>
      <c r="E58" s="18" t="s">
        <v>464</v>
      </c>
      <c r="F58" s="2"/>
      <c r="G58" s="2"/>
      <c r="H58" s="2"/>
      <c r="I58" s="3"/>
      <c r="J58" s="18" t="s">
        <v>465</v>
      </c>
      <c r="K58" s="2"/>
      <c r="L58" s="2"/>
      <c r="M58" s="2"/>
      <c r="N58" s="2"/>
      <c r="O58" s="2"/>
      <c r="P58" s="3"/>
      <c r="Q58" s="18" t="s">
        <v>466</v>
      </c>
      <c r="R58" s="2"/>
      <c r="S58" s="2"/>
      <c r="T58" s="2"/>
      <c r="U58" s="2"/>
      <c r="V58" s="2"/>
      <c r="W58" s="3"/>
      <c r="X58" s="18" t="s">
        <v>467</v>
      </c>
      <c r="Y58" s="2"/>
      <c r="Z58" s="2"/>
      <c r="AA58" s="2"/>
      <c r="AB58" s="2"/>
      <c r="AC58" s="2"/>
      <c r="AD58" s="3"/>
      <c r="AE58" s="19" t="s">
        <v>213</v>
      </c>
      <c r="AF58" s="3"/>
      <c r="AG58" s="19" t="s">
        <v>65</v>
      </c>
      <c r="AH58" s="2"/>
      <c r="AI58" s="3"/>
      <c r="AJ58" s="19"/>
      <c r="AK58" s="2"/>
      <c r="AL58" s="3"/>
      <c r="AM58" s="19"/>
      <c r="AN58" s="2"/>
      <c r="AO58" s="3"/>
      <c r="AP58" s="19"/>
      <c r="AQ58" s="2"/>
      <c r="AR58" s="3"/>
      <c r="AS58" s="19"/>
      <c r="AT58" s="2"/>
      <c r="AU58" s="3"/>
      <c r="AV58" s="19" t="s">
        <v>63</v>
      </c>
      <c r="AW58" s="2"/>
      <c r="AX58" s="3"/>
      <c r="AY58" s="19"/>
      <c r="AZ58" s="2"/>
      <c r="BA58" s="3"/>
      <c r="BB58" s="19" t="s">
        <v>272</v>
      </c>
      <c r="BC58" s="2"/>
      <c r="BD58" s="3"/>
      <c r="BE58" s="20">
        <v>46239</v>
      </c>
      <c r="BF58" s="2"/>
      <c r="BG58" s="3"/>
      <c r="BH58" s="19"/>
      <c r="BI58" s="2"/>
      <c r="BJ58" s="3"/>
      <c r="BK58" s="18"/>
      <c r="BL58" s="2"/>
      <c r="BM58" s="2"/>
      <c r="BN58" s="2"/>
      <c r="BO58" s="2"/>
      <c r="BP58" s="2"/>
      <c r="BQ58" s="3"/>
    </row>
    <row r="59" ht="288" customHeight="1" spans="1:69">
      <c r="A59" s="17">
        <v>43</v>
      </c>
      <c r="B59" s="18" t="s">
        <v>468</v>
      </c>
      <c r="C59" s="2"/>
      <c r="D59" s="3"/>
      <c r="E59" s="18" t="s">
        <v>469</v>
      </c>
      <c r="F59" s="2"/>
      <c r="G59" s="2"/>
      <c r="H59" s="2"/>
      <c r="I59" s="3"/>
      <c r="J59" s="18" t="s">
        <v>470</v>
      </c>
      <c r="K59" s="2"/>
      <c r="L59" s="2"/>
      <c r="M59" s="2"/>
      <c r="N59" s="2"/>
      <c r="O59" s="2"/>
      <c r="P59" s="3"/>
      <c r="Q59" s="18" t="s">
        <v>471</v>
      </c>
      <c r="R59" s="2"/>
      <c r="S59" s="2"/>
      <c r="T59" s="2"/>
      <c r="U59" s="2"/>
      <c r="V59" s="2"/>
      <c r="W59" s="3"/>
      <c r="X59" s="18" t="s">
        <v>472</v>
      </c>
      <c r="Y59" s="2"/>
      <c r="Z59" s="2"/>
      <c r="AA59" s="2"/>
      <c r="AB59" s="2"/>
      <c r="AC59" s="2"/>
      <c r="AD59" s="3"/>
      <c r="AE59" s="19" t="s">
        <v>213</v>
      </c>
      <c r="AF59" s="3"/>
      <c r="AG59" s="21" t="s">
        <v>63</v>
      </c>
      <c r="AH59" s="2"/>
      <c r="AI59" s="3"/>
      <c r="AJ59" s="22"/>
      <c r="AK59" s="2"/>
      <c r="AL59" s="3"/>
      <c r="AM59" s="21" t="s">
        <v>271</v>
      </c>
      <c r="AN59" s="2"/>
      <c r="AO59" s="3"/>
      <c r="AP59" s="23">
        <v>46149</v>
      </c>
      <c r="AQ59" s="2"/>
      <c r="AR59" s="3"/>
      <c r="AS59" s="19"/>
      <c r="AT59" s="2"/>
      <c r="AU59" s="3"/>
      <c r="AV59" s="19" t="s">
        <v>63</v>
      </c>
      <c r="AW59" s="2"/>
      <c r="AX59" s="3"/>
      <c r="AY59" s="19"/>
      <c r="AZ59" s="2"/>
      <c r="BA59" s="3"/>
      <c r="BB59" s="19" t="s">
        <v>272</v>
      </c>
      <c r="BC59" s="2"/>
      <c r="BD59" s="3"/>
      <c r="BE59" s="20">
        <v>46239</v>
      </c>
      <c r="BF59" s="2"/>
      <c r="BG59" s="3"/>
      <c r="BH59" s="19"/>
      <c r="BI59" s="2"/>
      <c r="BJ59" s="3"/>
      <c r="BK59" s="18"/>
      <c r="BL59" s="2"/>
      <c r="BM59" s="2"/>
      <c r="BN59" s="2"/>
      <c r="BO59" s="2"/>
      <c r="BP59" s="2"/>
      <c r="BQ59" s="3"/>
    </row>
    <row r="60" ht="303.75" customHeight="1" spans="1:69">
      <c r="A60" s="17">
        <v>44</v>
      </c>
      <c r="B60" s="18" t="s">
        <v>473</v>
      </c>
      <c r="C60" s="2"/>
      <c r="D60" s="3"/>
      <c r="E60" s="18" t="s">
        <v>474</v>
      </c>
      <c r="F60" s="2"/>
      <c r="G60" s="2"/>
      <c r="H60" s="2"/>
      <c r="I60" s="3"/>
      <c r="J60" s="18" t="s">
        <v>475</v>
      </c>
      <c r="K60" s="2"/>
      <c r="L60" s="2"/>
      <c r="M60" s="2"/>
      <c r="N60" s="2"/>
      <c r="O60" s="2"/>
      <c r="P60" s="3"/>
      <c r="Q60" s="18" t="s">
        <v>476</v>
      </c>
      <c r="R60" s="2"/>
      <c r="S60" s="2"/>
      <c r="T60" s="2"/>
      <c r="U60" s="2"/>
      <c r="V60" s="2"/>
      <c r="W60" s="3"/>
      <c r="X60" s="18" t="s">
        <v>477</v>
      </c>
      <c r="Y60" s="2"/>
      <c r="Z60" s="2"/>
      <c r="AA60" s="2"/>
      <c r="AB60" s="2"/>
      <c r="AC60" s="2"/>
      <c r="AD60" s="3"/>
      <c r="AE60" s="19" t="s">
        <v>270</v>
      </c>
      <c r="AF60" s="3"/>
      <c r="AG60" s="19"/>
      <c r="AH60" s="2"/>
      <c r="AI60" s="3"/>
      <c r="AJ60" s="19"/>
      <c r="AK60" s="2"/>
      <c r="AL60" s="3"/>
      <c r="AM60" s="19"/>
      <c r="AN60" s="2"/>
      <c r="AO60" s="3"/>
      <c r="AP60" s="19"/>
      <c r="AQ60" s="2"/>
      <c r="AR60" s="3"/>
      <c r="AS60" s="19"/>
      <c r="AT60" s="2"/>
      <c r="AU60" s="3"/>
      <c r="AV60" s="19" t="s">
        <v>63</v>
      </c>
      <c r="AW60" s="2"/>
      <c r="AX60" s="3"/>
      <c r="AY60" s="19"/>
      <c r="AZ60" s="2"/>
      <c r="BA60" s="3"/>
      <c r="BB60" s="19" t="s">
        <v>272</v>
      </c>
      <c r="BC60" s="2"/>
      <c r="BD60" s="3"/>
      <c r="BE60" s="20">
        <v>46239</v>
      </c>
      <c r="BF60" s="2"/>
      <c r="BG60" s="3"/>
      <c r="BH60" s="19"/>
      <c r="BI60" s="2"/>
      <c r="BJ60" s="3"/>
      <c r="BK60" s="18"/>
      <c r="BL60" s="2"/>
      <c r="BM60" s="2"/>
      <c r="BN60" s="2"/>
      <c r="BO60" s="2"/>
      <c r="BP60" s="2"/>
      <c r="BQ60" s="3"/>
    </row>
    <row r="61" ht="336" customHeight="1" spans="1:69">
      <c r="A61" s="17">
        <v>45</v>
      </c>
      <c r="B61" s="18" t="s">
        <v>478</v>
      </c>
      <c r="C61" s="2"/>
      <c r="D61" s="3"/>
      <c r="E61" s="18" t="s">
        <v>479</v>
      </c>
      <c r="F61" s="2"/>
      <c r="G61" s="2"/>
      <c r="H61" s="2"/>
      <c r="I61" s="3"/>
      <c r="J61" s="18" t="s">
        <v>480</v>
      </c>
      <c r="K61" s="2"/>
      <c r="L61" s="2"/>
      <c r="M61" s="2"/>
      <c r="N61" s="2"/>
      <c r="O61" s="2"/>
      <c r="P61" s="3"/>
      <c r="Q61" s="18" t="s">
        <v>481</v>
      </c>
      <c r="R61" s="2"/>
      <c r="S61" s="2"/>
      <c r="T61" s="2"/>
      <c r="U61" s="2"/>
      <c r="V61" s="2"/>
      <c r="W61" s="3"/>
      <c r="X61" s="18" t="s">
        <v>482</v>
      </c>
      <c r="Y61" s="2"/>
      <c r="Z61" s="2"/>
      <c r="AA61" s="2"/>
      <c r="AB61" s="2"/>
      <c r="AC61" s="2"/>
      <c r="AD61" s="3"/>
      <c r="AE61" s="19" t="s">
        <v>213</v>
      </c>
      <c r="AF61" s="3"/>
      <c r="AG61" s="19" t="s">
        <v>65</v>
      </c>
      <c r="AH61" s="2"/>
      <c r="AI61" s="3"/>
      <c r="AJ61" s="19"/>
      <c r="AK61" s="2"/>
      <c r="AL61" s="3"/>
      <c r="AM61" s="19"/>
      <c r="AN61" s="2"/>
      <c r="AO61" s="3"/>
      <c r="AP61" s="19"/>
      <c r="AQ61" s="2"/>
      <c r="AR61" s="3"/>
      <c r="AS61" s="19"/>
      <c r="AT61" s="2"/>
      <c r="AU61" s="3"/>
      <c r="AV61" s="19" t="s">
        <v>63</v>
      </c>
      <c r="AW61" s="2"/>
      <c r="AX61" s="3"/>
      <c r="AY61" s="19"/>
      <c r="AZ61" s="2"/>
      <c r="BA61" s="3"/>
      <c r="BB61" s="19" t="s">
        <v>272</v>
      </c>
      <c r="BC61" s="2"/>
      <c r="BD61" s="3"/>
      <c r="BE61" s="20">
        <v>46239</v>
      </c>
      <c r="BF61" s="2"/>
      <c r="BG61" s="3"/>
      <c r="BH61" s="19"/>
      <c r="BI61" s="2"/>
      <c r="BJ61" s="3"/>
      <c r="BK61" s="18" t="s">
        <v>483</v>
      </c>
      <c r="BL61" s="2"/>
      <c r="BM61" s="2"/>
      <c r="BN61" s="2"/>
      <c r="BO61" s="2"/>
      <c r="BP61" s="2"/>
      <c r="BQ61" s="3"/>
    </row>
    <row r="62" ht="22.5" customHeight="1" spans="1:69">
      <c r="A62" s="16" t="s">
        <v>484</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3"/>
    </row>
    <row r="63" ht="384" customHeight="1" spans="1:69">
      <c r="A63" s="17">
        <v>46</v>
      </c>
      <c r="B63" s="18" t="s">
        <v>485</v>
      </c>
      <c r="C63" s="2"/>
      <c r="D63" s="3"/>
      <c r="E63" s="18" t="s">
        <v>486</v>
      </c>
      <c r="F63" s="2"/>
      <c r="G63" s="2"/>
      <c r="H63" s="2"/>
      <c r="I63" s="3"/>
      <c r="J63" s="18" t="s">
        <v>487</v>
      </c>
      <c r="K63" s="2"/>
      <c r="L63" s="2"/>
      <c r="M63" s="2"/>
      <c r="N63" s="2"/>
      <c r="O63" s="2"/>
      <c r="P63" s="3"/>
      <c r="Q63" s="18" t="s">
        <v>488</v>
      </c>
      <c r="R63" s="2"/>
      <c r="S63" s="2"/>
      <c r="T63" s="2"/>
      <c r="U63" s="2"/>
      <c r="V63" s="2"/>
      <c r="W63" s="3"/>
      <c r="X63" s="18" t="s">
        <v>489</v>
      </c>
      <c r="Y63" s="2"/>
      <c r="Z63" s="2"/>
      <c r="AA63" s="2"/>
      <c r="AB63" s="2"/>
      <c r="AC63" s="2"/>
      <c r="AD63" s="3"/>
      <c r="AE63" s="19" t="s">
        <v>270</v>
      </c>
      <c r="AF63" s="3"/>
      <c r="AG63" s="21" t="s">
        <v>63</v>
      </c>
      <c r="AH63" s="2"/>
      <c r="AI63" s="3"/>
      <c r="AJ63" s="22"/>
      <c r="AK63" s="2"/>
      <c r="AL63" s="3"/>
      <c r="AM63" s="21" t="s">
        <v>271</v>
      </c>
      <c r="AN63" s="2"/>
      <c r="AO63" s="3"/>
      <c r="AP63" s="23">
        <v>46149</v>
      </c>
      <c r="AQ63" s="2"/>
      <c r="AR63" s="3"/>
      <c r="AS63" s="19"/>
      <c r="AT63" s="2"/>
      <c r="AU63" s="3"/>
      <c r="AV63" s="19" t="s">
        <v>63</v>
      </c>
      <c r="AW63" s="2"/>
      <c r="AX63" s="3"/>
      <c r="AY63" s="19"/>
      <c r="AZ63" s="2"/>
      <c r="BA63" s="3"/>
      <c r="BB63" s="19" t="s">
        <v>272</v>
      </c>
      <c r="BC63" s="2"/>
      <c r="BD63" s="3"/>
      <c r="BE63" s="20">
        <v>46239</v>
      </c>
      <c r="BF63" s="2"/>
      <c r="BG63" s="3"/>
      <c r="BH63" s="19"/>
      <c r="BI63" s="2"/>
      <c r="BJ63" s="3"/>
      <c r="BK63" s="18"/>
      <c r="BL63" s="2"/>
      <c r="BM63" s="2"/>
      <c r="BN63" s="2"/>
      <c r="BO63" s="2"/>
      <c r="BP63" s="2"/>
      <c r="BQ63" s="3"/>
    </row>
    <row r="64" ht="409.5" customHeight="1" spans="1:69">
      <c r="A64" s="17">
        <v>47</v>
      </c>
      <c r="B64" s="18" t="s">
        <v>490</v>
      </c>
      <c r="C64" s="2"/>
      <c r="D64" s="3"/>
      <c r="E64" s="18" t="s">
        <v>491</v>
      </c>
      <c r="F64" s="2"/>
      <c r="G64" s="2"/>
      <c r="H64" s="2"/>
      <c r="I64" s="3"/>
      <c r="J64" s="18" t="s">
        <v>492</v>
      </c>
      <c r="K64" s="2"/>
      <c r="L64" s="2"/>
      <c r="M64" s="2"/>
      <c r="N64" s="2"/>
      <c r="O64" s="2"/>
      <c r="P64" s="3"/>
      <c r="Q64" s="18" t="s">
        <v>493</v>
      </c>
      <c r="R64" s="2"/>
      <c r="S64" s="2"/>
      <c r="T64" s="2"/>
      <c r="U64" s="2"/>
      <c r="V64" s="2"/>
      <c r="W64" s="3"/>
      <c r="X64" s="18" t="s">
        <v>494</v>
      </c>
      <c r="Y64" s="2"/>
      <c r="Z64" s="2"/>
      <c r="AA64" s="2"/>
      <c r="AB64" s="2"/>
      <c r="AC64" s="2"/>
      <c r="AD64" s="3"/>
      <c r="AE64" s="19" t="s">
        <v>213</v>
      </c>
      <c r="AF64" s="3"/>
      <c r="AG64" s="21" t="s">
        <v>63</v>
      </c>
      <c r="AH64" s="2"/>
      <c r="AI64" s="3"/>
      <c r="AJ64" s="22"/>
      <c r="AK64" s="2"/>
      <c r="AL64" s="3"/>
      <c r="AM64" s="21" t="s">
        <v>271</v>
      </c>
      <c r="AN64" s="2"/>
      <c r="AO64" s="3"/>
      <c r="AP64" s="23">
        <v>46149</v>
      </c>
      <c r="AQ64" s="2"/>
      <c r="AR64" s="3"/>
      <c r="AS64" s="19"/>
      <c r="AT64" s="2"/>
      <c r="AU64" s="3"/>
      <c r="AV64" s="19" t="s">
        <v>63</v>
      </c>
      <c r="AW64" s="2"/>
      <c r="AX64" s="3"/>
      <c r="AY64" s="19"/>
      <c r="AZ64" s="2"/>
      <c r="BA64" s="3"/>
      <c r="BB64" s="19" t="s">
        <v>272</v>
      </c>
      <c r="BC64" s="2"/>
      <c r="BD64" s="3"/>
      <c r="BE64" s="20">
        <v>46239</v>
      </c>
      <c r="BF64" s="2"/>
      <c r="BG64" s="3"/>
      <c r="BH64" s="19"/>
      <c r="BI64" s="2"/>
      <c r="BJ64" s="3"/>
      <c r="BK64" s="18"/>
      <c r="BL64" s="2"/>
      <c r="BM64" s="2"/>
      <c r="BN64" s="2"/>
      <c r="BO64" s="2"/>
      <c r="BP64" s="2"/>
      <c r="BQ64" s="3"/>
    </row>
    <row r="65" ht="409.5" customHeight="1" spans="1:69">
      <c r="A65" s="17">
        <v>48</v>
      </c>
      <c r="B65" s="18" t="s">
        <v>495</v>
      </c>
      <c r="C65" s="2"/>
      <c r="D65" s="3"/>
      <c r="E65" s="18" t="s">
        <v>496</v>
      </c>
      <c r="F65" s="2"/>
      <c r="G65" s="2"/>
      <c r="H65" s="2"/>
      <c r="I65" s="3"/>
      <c r="J65" s="18" t="s">
        <v>497</v>
      </c>
      <c r="K65" s="2"/>
      <c r="L65" s="2"/>
      <c r="M65" s="2"/>
      <c r="N65" s="2"/>
      <c r="O65" s="2"/>
      <c r="P65" s="3"/>
      <c r="Q65" s="18" t="s">
        <v>498</v>
      </c>
      <c r="R65" s="2"/>
      <c r="S65" s="2"/>
      <c r="T65" s="2"/>
      <c r="U65" s="2"/>
      <c r="V65" s="2"/>
      <c r="W65" s="3"/>
      <c r="X65" s="18" t="s">
        <v>499</v>
      </c>
      <c r="Y65" s="2"/>
      <c r="Z65" s="2"/>
      <c r="AA65" s="2"/>
      <c r="AB65" s="2"/>
      <c r="AC65" s="2"/>
      <c r="AD65" s="3"/>
      <c r="AE65" s="19" t="s">
        <v>270</v>
      </c>
      <c r="AF65" s="3"/>
      <c r="AG65" s="21" t="s">
        <v>63</v>
      </c>
      <c r="AH65" s="2"/>
      <c r="AI65" s="3"/>
      <c r="AJ65" s="22"/>
      <c r="AK65" s="2"/>
      <c r="AL65" s="3"/>
      <c r="AM65" s="21" t="s">
        <v>271</v>
      </c>
      <c r="AN65" s="2"/>
      <c r="AO65" s="3"/>
      <c r="AP65" s="23">
        <v>46149</v>
      </c>
      <c r="AQ65" s="2"/>
      <c r="AR65" s="3"/>
      <c r="AS65" s="19"/>
      <c r="AT65" s="2"/>
      <c r="AU65" s="3"/>
      <c r="AV65" s="19" t="s">
        <v>63</v>
      </c>
      <c r="AW65" s="2"/>
      <c r="AX65" s="3"/>
      <c r="AY65" s="19"/>
      <c r="AZ65" s="2"/>
      <c r="BA65" s="3"/>
      <c r="BB65" s="19" t="s">
        <v>272</v>
      </c>
      <c r="BC65" s="2"/>
      <c r="BD65" s="3"/>
      <c r="BE65" s="20">
        <v>46239</v>
      </c>
      <c r="BF65" s="2"/>
      <c r="BG65" s="3"/>
      <c r="BH65" s="19"/>
      <c r="BI65" s="2"/>
      <c r="BJ65" s="3"/>
      <c r="BK65" s="18"/>
      <c r="BL65" s="2"/>
      <c r="BM65" s="2"/>
      <c r="BN65" s="2"/>
      <c r="BO65" s="2"/>
      <c r="BP65" s="2"/>
      <c r="BQ65" s="3"/>
    </row>
    <row r="66" ht="409.5" customHeight="1" spans="1:69">
      <c r="A66" s="17">
        <v>49</v>
      </c>
      <c r="B66" s="18" t="s">
        <v>500</v>
      </c>
      <c r="C66" s="2"/>
      <c r="D66" s="3"/>
      <c r="E66" s="18" t="s">
        <v>501</v>
      </c>
      <c r="F66" s="2"/>
      <c r="G66" s="2"/>
      <c r="H66" s="2"/>
      <c r="I66" s="3"/>
      <c r="J66" s="18" t="s">
        <v>502</v>
      </c>
      <c r="K66" s="2"/>
      <c r="L66" s="2"/>
      <c r="M66" s="2"/>
      <c r="N66" s="2"/>
      <c r="O66" s="2"/>
      <c r="P66" s="3"/>
      <c r="Q66" s="18" t="s">
        <v>503</v>
      </c>
      <c r="R66" s="2"/>
      <c r="S66" s="2"/>
      <c r="T66" s="2"/>
      <c r="U66" s="2"/>
      <c r="V66" s="2"/>
      <c r="W66" s="3"/>
      <c r="X66" s="18" t="s">
        <v>504</v>
      </c>
      <c r="Y66" s="2"/>
      <c r="Z66" s="2"/>
      <c r="AA66" s="2"/>
      <c r="AB66" s="2"/>
      <c r="AC66" s="2"/>
      <c r="AD66" s="3"/>
      <c r="AE66" s="19" t="s">
        <v>270</v>
      </c>
      <c r="AF66" s="3"/>
      <c r="AG66" s="21" t="s">
        <v>63</v>
      </c>
      <c r="AH66" s="2"/>
      <c r="AI66" s="3"/>
      <c r="AJ66" s="22"/>
      <c r="AK66" s="2"/>
      <c r="AL66" s="3"/>
      <c r="AM66" s="21" t="s">
        <v>271</v>
      </c>
      <c r="AN66" s="2"/>
      <c r="AO66" s="3"/>
      <c r="AP66" s="23">
        <v>46149</v>
      </c>
      <c r="AQ66" s="2"/>
      <c r="AR66" s="3"/>
      <c r="AS66" s="19"/>
      <c r="AT66" s="2"/>
      <c r="AU66" s="3"/>
      <c r="AV66" s="19" t="s">
        <v>63</v>
      </c>
      <c r="AW66" s="2"/>
      <c r="AX66" s="3"/>
      <c r="AY66" s="19"/>
      <c r="AZ66" s="2"/>
      <c r="BA66" s="3"/>
      <c r="BB66" s="19" t="s">
        <v>272</v>
      </c>
      <c r="BC66" s="2"/>
      <c r="BD66" s="3"/>
      <c r="BE66" s="20">
        <v>46239</v>
      </c>
      <c r="BF66" s="2"/>
      <c r="BG66" s="3"/>
      <c r="BH66" s="19"/>
      <c r="BI66" s="2"/>
      <c r="BJ66" s="3"/>
      <c r="BK66" s="18"/>
      <c r="BL66" s="2"/>
      <c r="BM66" s="2"/>
      <c r="BN66" s="2"/>
      <c r="BO66" s="2"/>
      <c r="BP66" s="2"/>
      <c r="BQ66" s="3"/>
    </row>
    <row r="67" ht="409.5" customHeight="1" spans="1:69">
      <c r="A67" s="17">
        <v>50</v>
      </c>
      <c r="B67" s="18" t="s">
        <v>505</v>
      </c>
      <c r="C67" s="2"/>
      <c r="D67" s="3"/>
      <c r="E67" s="18" t="s">
        <v>506</v>
      </c>
      <c r="F67" s="2"/>
      <c r="G67" s="2"/>
      <c r="H67" s="2"/>
      <c r="I67" s="3"/>
      <c r="J67" s="18" t="s">
        <v>507</v>
      </c>
      <c r="K67" s="2"/>
      <c r="L67" s="2"/>
      <c r="M67" s="2"/>
      <c r="N67" s="2"/>
      <c r="O67" s="2"/>
      <c r="P67" s="3"/>
      <c r="Q67" s="18" t="s">
        <v>508</v>
      </c>
      <c r="R67" s="2"/>
      <c r="S67" s="2"/>
      <c r="T67" s="2"/>
      <c r="U67" s="2"/>
      <c r="V67" s="2"/>
      <c r="W67" s="3"/>
      <c r="X67" s="18" t="s">
        <v>509</v>
      </c>
      <c r="Y67" s="2"/>
      <c r="Z67" s="2"/>
      <c r="AA67" s="2"/>
      <c r="AB67" s="2"/>
      <c r="AC67" s="2"/>
      <c r="AD67" s="3"/>
      <c r="AE67" s="19" t="s">
        <v>213</v>
      </c>
      <c r="AF67" s="3"/>
      <c r="AG67" s="21" t="s">
        <v>63</v>
      </c>
      <c r="AH67" s="2"/>
      <c r="AI67" s="3"/>
      <c r="AJ67" s="22"/>
      <c r="AK67" s="2"/>
      <c r="AL67" s="3"/>
      <c r="AM67" s="21" t="s">
        <v>271</v>
      </c>
      <c r="AN67" s="2"/>
      <c r="AO67" s="3"/>
      <c r="AP67" s="23">
        <v>46149</v>
      </c>
      <c r="AQ67" s="2"/>
      <c r="AR67" s="3"/>
      <c r="AS67" s="19"/>
      <c r="AT67" s="2"/>
      <c r="AU67" s="3"/>
      <c r="AV67" s="19" t="s">
        <v>63</v>
      </c>
      <c r="AW67" s="2"/>
      <c r="AX67" s="3"/>
      <c r="AY67" s="19"/>
      <c r="AZ67" s="2"/>
      <c r="BA67" s="3"/>
      <c r="BB67" s="19" t="s">
        <v>272</v>
      </c>
      <c r="BC67" s="2"/>
      <c r="BD67" s="3"/>
      <c r="BE67" s="20">
        <v>46239</v>
      </c>
      <c r="BF67" s="2"/>
      <c r="BG67" s="3"/>
      <c r="BH67" s="19"/>
      <c r="BI67" s="2"/>
      <c r="BJ67" s="3"/>
      <c r="BK67" s="18" t="s">
        <v>510</v>
      </c>
      <c r="BL67" s="2"/>
      <c r="BM67" s="2"/>
      <c r="BN67" s="2"/>
      <c r="BO67" s="2"/>
      <c r="BP67" s="2"/>
      <c r="BQ67" s="3"/>
    </row>
    <row r="68" ht="399.75" customHeight="1" spans="1:69">
      <c r="A68" s="17">
        <v>51</v>
      </c>
      <c r="B68" s="18" t="s">
        <v>511</v>
      </c>
      <c r="C68" s="2"/>
      <c r="D68" s="3"/>
      <c r="E68" s="18" t="s">
        <v>512</v>
      </c>
      <c r="F68" s="2"/>
      <c r="G68" s="2"/>
      <c r="H68" s="2"/>
      <c r="I68" s="3"/>
      <c r="J68" s="18" t="s">
        <v>513</v>
      </c>
      <c r="K68" s="2"/>
      <c r="L68" s="2"/>
      <c r="M68" s="2"/>
      <c r="N68" s="2"/>
      <c r="O68" s="2"/>
      <c r="P68" s="3"/>
      <c r="Q68" s="18" t="s">
        <v>503</v>
      </c>
      <c r="R68" s="2"/>
      <c r="S68" s="2"/>
      <c r="T68" s="2"/>
      <c r="U68" s="2"/>
      <c r="V68" s="2"/>
      <c r="W68" s="3"/>
      <c r="X68" s="18" t="s">
        <v>514</v>
      </c>
      <c r="Y68" s="2"/>
      <c r="Z68" s="2"/>
      <c r="AA68" s="2"/>
      <c r="AB68" s="2"/>
      <c r="AC68" s="2"/>
      <c r="AD68" s="3"/>
      <c r="AE68" s="19" t="s">
        <v>270</v>
      </c>
      <c r="AF68" s="3"/>
      <c r="AG68" s="21" t="s">
        <v>63</v>
      </c>
      <c r="AH68" s="2"/>
      <c r="AI68" s="3"/>
      <c r="AJ68" s="22"/>
      <c r="AK68" s="2"/>
      <c r="AL68" s="3"/>
      <c r="AM68" s="21" t="s">
        <v>271</v>
      </c>
      <c r="AN68" s="2"/>
      <c r="AO68" s="3"/>
      <c r="AP68" s="23">
        <v>46149</v>
      </c>
      <c r="AQ68" s="2"/>
      <c r="AR68" s="3"/>
      <c r="AS68" s="19"/>
      <c r="AT68" s="2"/>
      <c r="AU68" s="3"/>
      <c r="AV68" s="19" t="s">
        <v>63</v>
      </c>
      <c r="AW68" s="2"/>
      <c r="AX68" s="3"/>
      <c r="AY68" s="19"/>
      <c r="AZ68" s="2"/>
      <c r="BA68" s="3"/>
      <c r="BB68" s="19" t="s">
        <v>272</v>
      </c>
      <c r="BC68" s="2"/>
      <c r="BD68" s="3"/>
      <c r="BE68" s="20">
        <v>46239</v>
      </c>
      <c r="BF68" s="2"/>
      <c r="BG68" s="3"/>
      <c r="BH68" s="19"/>
      <c r="BI68" s="2"/>
      <c r="BJ68" s="3"/>
      <c r="BK68" s="18"/>
      <c r="BL68" s="2"/>
      <c r="BM68" s="2"/>
      <c r="BN68" s="2"/>
      <c r="BO68" s="2"/>
      <c r="BP68" s="2"/>
      <c r="BQ68" s="3"/>
    </row>
    <row r="69" ht="409.5" customHeight="1" spans="1:69">
      <c r="A69" s="17">
        <v>52</v>
      </c>
      <c r="B69" s="18" t="s">
        <v>515</v>
      </c>
      <c r="C69" s="2"/>
      <c r="D69" s="3"/>
      <c r="E69" s="18" t="s">
        <v>516</v>
      </c>
      <c r="F69" s="2"/>
      <c r="G69" s="2"/>
      <c r="H69" s="2"/>
      <c r="I69" s="3"/>
      <c r="J69" s="18" t="s">
        <v>517</v>
      </c>
      <c r="K69" s="2"/>
      <c r="L69" s="2"/>
      <c r="M69" s="2"/>
      <c r="N69" s="2"/>
      <c r="O69" s="2"/>
      <c r="P69" s="3"/>
      <c r="Q69" s="18" t="s">
        <v>518</v>
      </c>
      <c r="R69" s="2"/>
      <c r="S69" s="2"/>
      <c r="T69" s="2"/>
      <c r="U69" s="2"/>
      <c r="V69" s="2"/>
      <c r="W69" s="3"/>
      <c r="X69" s="18" t="s">
        <v>519</v>
      </c>
      <c r="Y69" s="2"/>
      <c r="Z69" s="2"/>
      <c r="AA69" s="2"/>
      <c r="AB69" s="2"/>
      <c r="AC69" s="2"/>
      <c r="AD69" s="3"/>
      <c r="AE69" s="19" t="s">
        <v>213</v>
      </c>
      <c r="AF69" s="3"/>
      <c r="AG69" s="19" t="s">
        <v>65</v>
      </c>
      <c r="AH69" s="2"/>
      <c r="AI69" s="3"/>
      <c r="AJ69" s="19"/>
      <c r="AK69" s="2"/>
      <c r="AL69" s="3"/>
      <c r="AM69" s="21" t="s">
        <v>271</v>
      </c>
      <c r="AN69" s="2"/>
      <c r="AO69" s="3"/>
      <c r="AP69" s="23">
        <v>46149</v>
      </c>
      <c r="AQ69" s="2"/>
      <c r="AR69" s="3"/>
      <c r="AS69" s="19"/>
      <c r="AT69" s="2"/>
      <c r="AU69" s="3"/>
      <c r="AV69" s="19" t="s">
        <v>63</v>
      </c>
      <c r="AW69" s="2"/>
      <c r="AX69" s="3"/>
      <c r="AY69" s="19"/>
      <c r="AZ69" s="2"/>
      <c r="BA69" s="3"/>
      <c r="BB69" s="19" t="s">
        <v>272</v>
      </c>
      <c r="BC69" s="2"/>
      <c r="BD69" s="3"/>
      <c r="BE69" s="20">
        <v>46239</v>
      </c>
      <c r="BF69" s="2"/>
      <c r="BG69" s="3"/>
      <c r="BH69" s="19"/>
      <c r="BI69" s="2"/>
      <c r="BJ69" s="3"/>
      <c r="BK69" s="18" t="s">
        <v>520</v>
      </c>
      <c r="BL69" s="2"/>
      <c r="BM69" s="2"/>
      <c r="BN69" s="2"/>
      <c r="BO69" s="2"/>
      <c r="BP69" s="2"/>
      <c r="BQ69" s="3"/>
    </row>
    <row r="70" ht="351.75" customHeight="1" spans="1:69">
      <c r="A70" s="17">
        <v>53</v>
      </c>
      <c r="B70" s="18" t="s">
        <v>521</v>
      </c>
      <c r="C70" s="2"/>
      <c r="D70" s="3"/>
      <c r="E70" s="18" t="s">
        <v>522</v>
      </c>
      <c r="F70" s="2"/>
      <c r="G70" s="2"/>
      <c r="H70" s="2"/>
      <c r="I70" s="3"/>
      <c r="J70" s="18" t="s">
        <v>523</v>
      </c>
      <c r="K70" s="2"/>
      <c r="L70" s="2"/>
      <c r="M70" s="2"/>
      <c r="N70" s="2"/>
      <c r="O70" s="2"/>
      <c r="P70" s="3"/>
      <c r="Q70" s="18" t="s">
        <v>524</v>
      </c>
      <c r="R70" s="2"/>
      <c r="S70" s="2"/>
      <c r="T70" s="2"/>
      <c r="U70" s="2"/>
      <c r="V70" s="2"/>
      <c r="W70" s="3"/>
      <c r="X70" s="18" t="s">
        <v>525</v>
      </c>
      <c r="Y70" s="2"/>
      <c r="Z70" s="2"/>
      <c r="AA70" s="2"/>
      <c r="AB70" s="2"/>
      <c r="AC70" s="2"/>
      <c r="AD70" s="3"/>
      <c r="AE70" s="19" t="s">
        <v>213</v>
      </c>
      <c r="AF70" s="3"/>
      <c r="AG70" s="19" t="s">
        <v>65</v>
      </c>
      <c r="AH70" s="2"/>
      <c r="AI70" s="3"/>
      <c r="AJ70" s="19"/>
      <c r="AK70" s="2"/>
      <c r="AL70" s="3"/>
      <c r="AM70" s="21" t="s">
        <v>271</v>
      </c>
      <c r="AN70" s="2"/>
      <c r="AO70" s="3"/>
      <c r="AP70" s="23">
        <v>46149</v>
      </c>
      <c r="AQ70" s="2"/>
      <c r="AR70" s="3"/>
      <c r="AS70" s="19"/>
      <c r="AT70" s="2"/>
      <c r="AU70" s="3"/>
      <c r="AV70" s="19" t="s">
        <v>63</v>
      </c>
      <c r="AW70" s="2"/>
      <c r="AX70" s="3"/>
      <c r="AY70" s="19"/>
      <c r="AZ70" s="2"/>
      <c r="BA70" s="3"/>
      <c r="BB70" s="19" t="s">
        <v>272</v>
      </c>
      <c r="BC70" s="2"/>
      <c r="BD70" s="3"/>
      <c r="BE70" s="20">
        <v>46239</v>
      </c>
      <c r="BF70" s="2"/>
      <c r="BG70" s="3"/>
      <c r="BH70" s="19"/>
      <c r="BI70" s="2"/>
      <c r="BJ70" s="3"/>
      <c r="BK70" s="18"/>
      <c r="BL70" s="2"/>
      <c r="BM70" s="2"/>
      <c r="BN70" s="2"/>
      <c r="BO70" s="2"/>
      <c r="BP70" s="2"/>
      <c r="BQ70" s="3"/>
    </row>
    <row r="71" ht="303.75" customHeight="1" spans="1:69">
      <c r="A71" s="17">
        <v>54</v>
      </c>
      <c r="B71" s="18" t="s">
        <v>526</v>
      </c>
      <c r="C71" s="2"/>
      <c r="D71" s="3"/>
      <c r="E71" s="18" t="s">
        <v>527</v>
      </c>
      <c r="F71" s="2"/>
      <c r="G71" s="2"/>
      <c r="H71" s="2"/>
      <c r="I71" s="3"/>
      <c r="J71" s="18" t="s">
        <v>528</v>
      </c>
      <c r="K71" s="2"/>
      <c r="L71" s="2"/>
      <c r="M71" s="2"/>
      <c r="N71" s="2"/>
      <c r="O71" s="2"/>
      <c r="P71" s="3"/>
      <c r="Q71" s="18" t="s">
        <v>476</v>
      </c>
      <c r="R71" s="2"/>
      <c r="S71" s="2"/>
      <c r="T71" s="2"/>
      <c r="U71" s="2"/>
      <c r="V71" s="2"/>
      <c r="W71" s="3"/>
      <c r="X71" s="18" t="s">
        <v>529</v>
      </c>
      <c r="Y71" s="2"/>
      <c r="Z71" s="2"/>
      <c r="AA71" s="2"/>
      <c r="AB71" s="2"/>
      <c r="AC71" s="2"/>
      <c r="AD71" s="3"/>
      <c r="AE71" s="19" t="s">
        <v>270</v>
      </c>
      <c r="AF71" s="3"/>
      <c r="AG71" s="21" t="s">
        <v>63</v>
      </c>
      <c r="AH71" s="2"/>
      <c r="AI71" s="3"/>
      <c r="AJ71" s="22"/>
      <c r="AK71" s="2"/>
      <c r="AL71" s="3"/>
      <c r="AM71" s="21" t="s">
        <v>271</v>
      </c>
      <c r="AN71" s="2"/>
      <c r="AO71" s="3"/>
      <c r="AP71" s="23">
        <v>46149</v>
      </c>
      <c r="AQ71" s="2"/>
      <c r="AR71" s="3"/>
      <c r="AS71" s="19"/>
      <c r="AT71" s="2"/>
      <c r="AU71" s="3"/>
      <c r="AV71" s="19" t="s">
        <v>63</v>
      </c>
      <c r="AW71" s="2"/>
      <c r="AX71" s="3"/>
      <c r="AY71" s="19"/>
      <c r="AZ71" s="2"/>
      <c r="BA71" s="3"/>
      <c r="BB71" s="19" t="s">
        <v>272</v>
      </c>
      <c r="BC71" s="2"/>
      <c r="BD71" s="3"/>
      <c r="BE71" s="20">
        <v>46239</v>
      </c>
      <c r="BF71" s="2"/>
      <c r="BG71" s="3"/>
      <c r="BH71" s="19"/>
      <c r="BI71" s="2"/>
      <c r="BJ71" s="3"/>
      <c r="BK71" s="18"/>
      <c r="BL71" s="2"/>
      <c r="BM71" s="2"/>
      <c r="BN71" s="2"/>
      <c r="BO71" s="2"/>
      <c r="BP71" s="2"/>
      <c r="BQ71" s="3"/>
    </row>
    <row r="72" ht="409.5" customHeight="1" spans="1:69">
      <c r="A72" s="17">
        <v>55</v>
      </c>
      <c r="B72" s="18" t="s">
        <v>530</v>
      </c>
      <c r="C72" s="2"/>
      <c r="D72" s="3"/>
      <c r="E72" s="18" t="s">
        <v>531</v>
      </c>
      <c r="F72" s="2"/>
      <c r="G72" s="2"/>
      <c r="H72" s="2"/>
      <c r="I72" s="3"/>
      <c r="J72" s="18" t="s">
        <v>532</v>
      </c>
      <c r="K72" s="2"/>
      <c r="L72" s="2"/>
      <c r="M72" s="2"/>
      <c r="N72" s="2"/>
      <c r="O72" s="2"/>
      <c r="P72" s="3"/>
      <c r="Q72" s="18" t="s">
        <v>533</v>
      </c>
      <c r="R72" s="2"/>
      <c r="S72" s="2"/>
      <c r="T72" s="2"/>
      <c r="U72" s="2"/>
      <c r="V72" s="2"/>
      <c r="W72" s="3"/>
      <c r="X72" s="18" t="s">
        <v>534</v>
      </c>
      <c r="Y72" s="2"/>
      <c r="Z72" s="2"/>
      <c r="AA72" s="2"/>
      <c r="AB72" s="2"/>
      <c r="AC72" s="2"/>
      <c r="AD72" s="3"/>
      <c r="AE72" s="19" t="s">
        <v>270</v>
      </c>
      <c r="AF72" s="3"/>
      <c r="AG72" s="21" t="s">
        <v>63</v>
      </c>
      <c r="AH72" s="2"/>
      <c r="AI72" s="3"/>
      <c r="AJ72" s="22"/>
      <c r="AK72" s="2"/>
      <c r="AL72" s="3"/>
      <c r="AM72" s="21" t="s">
        <v>271</v>
      </c>
      <c r="AN72" s="2"/>
      <c r="AO72" s="3"/>
      <c r="AP72" s="23">
        <v>46149</v>
      </c>
      <c r="AQ72" s="2"/>
      <c r="AR72" s="3"/>
      <c r="AS72" s="19"/>
      <c r="AT72" s="2"/>
      <c r="AU72" s="3"/>
      <c r="AV72" s="19" t="s">
        <v>63</v>
      </c>
      <c r="AW72" s="2"/>
      <c r="AX72" s="3"/>
      <c r="AY72" s="19"/>
      <c r="AZ72" s="2"/>
      <c r="BA72" s="3"/>
      <c r="BB72" s="19" t="s">
        <v>272</v>
      </c>
      <c r="BC72" s="2"/>
      <c r="BD72" s="3"/>
      <c r="BE72" s="20">
        <v>46239</v>
      </c>
      <c r="BF72" s="2"/>
      <c r="BG72" s="3"/>
      <c r="BH72" s="19"/>
      <c r="BI72" s="2"/>
      <c r="BJ72" s="3"/>
      <c r="BK72" s="18" t="s">
        <v>294</v>
      </c>
      <c r="BL72" s="2"/>
      <c r="BM72" s="2"/>
      <c r="BN72" s="2"/>
      <c r="BO72" s="2"/>
      <c r="BP72" s="2"/>
      <c r="BQ72" s="3"/>
    </row>
    <row r="73" ht="22.5" customHeight="1" spans="1:69">
      <c r="A73" s="16" t="s">
        <v>535</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3"/>
    </row>
    <row r="74" ht="399.75" customHeight="1" spans="1:69">
      <c r="A74" s="17">
        <v>56</v>
      </c>
      <c r="B74" s="18" t="s">
        <v>536</v>
      </c>
      <c r="C74" s="2"/>
      <c r="D74" s="3"/>
      <c r="E74" s="18" t="s">
        <v>537</v>
      </c>
      <c r="F74" s="2"/>
      <c r="G74" s="2"/>
      <c r="H74" s="2"/>
      <c r="I74" s="3"/>
      <c r="J74" s="18" t="s">
        <v>538</v>
      </c>
      <c r="K74" s="2"/>
      <c r="L74" s="2"/>
      <c r="M74" s="2"/>
      <c r="N74" s="2"/>
      <c r="O74" s="2"/>
      <c r="P74" s="3"/>
      <c r="Q74" s="18" t="s">
        <v>539</v>
      </c>
      <c r="R74" s="2"/>
      <c r="S74" s="2"/>
      <c r="T74" s="2"/>
      <c r="U74" s="2"/>
      <c r="V74" s="2"/>
      <c r="W74" s="3"/>
      <c r="X74" s="18" t="s">
        <v>540</v>
      </c>
      <c r="Y74" s="2"/>
      <c r="Z74" s="2"/>
      <c r="AA74" s="2"/>
      <c r="AB74" s="2"/>
      <c r="AC74" s="2"/>
      <c r="AD74" s="3"/>
      <c r="AE74" s="19" t="s">
        <v>213</v>
      </c>
      <c r="AF74" s="3"/>
      <c r="AG74" s="21" t="s">
        <v>63</v>
      </c>
      <c r="AH74" s="2"/>
      <c r="AI74" s="3"/>
      <c r="AJ74" s="22"/>
      <c r="AK74" s="2"/>
      <c r="AL74" s="3"/>
      <c r="AM74" s="21" t="s">
        <v>271</v>
      </c>
      <c r="AN74" s="2"/>
      <c r="AO74" s="3"/>
      <c r="AP74" s="23">
        <v>46149</v>
      </c>
      <c r="AQ74" s="2"/>
      <c r="AR74" s="3"/>
      <c r="AS74" s="19"/>
      <c r="AT74" s="2"/>
      <c r="AU74" s="3"/>
      <c r="AV74" s="19" t="s">
        <v>63</v>
      </c>
      <c r="AW74" s="2"/>
      <c r="AX74" s="3"/>
      <c r="AY74" s="19"/>
      <c r="AZ74" s="2"/>
      <c r="BA74" s="3"/>
      <c r="BB74" s="19" t="s">
        <v>272</v>
      </c>
      <c r="BC74" s="2"/>
      <c r="BD74" s="3"/>
      <c r="BE74" s="20">
        <v>46239</v>
      </c>
      <c r="BF74" s="2"/>
      <c r="BG74" s="3"/>
      <c r="BH74" s="19"/>
      <c r="BI74" s="2"/>
      <c r="BJ74" s="3"/>
      <c r="BK74" s="18"/>
      <c r="BL74" s="2"/>
      <c r="BM74" s="2"/>
      <c r="BN74" s="2"/>
      <c r="BO74" s="2"/>
      <c r="BP74" s="2"/>
      <c r="BQ74" s="3"/>
    </row>
    <row r="75" ht="409.5" customHeight="1" spans="1:69">
      <c r="A75" s="17">
        <v>57</v>
      </c>
      <c r="B75" s="18" t="s">
        <v>541</v>
      </c>
      <c r="C75" s="2"/>
      <c r="D75" s="3"/>
      <c r="E75" s="18" t="s">
        <v>542</v>
      </c>
      <c r="F75" s="2"/>
      <c r="G75" s="2"/>
      <c r="H75" s="2"/>
      <c r="I75" s="3"/>
      <c r="J75" s="18" t="s">
        <v>543</v>
      </c>
      <c r="K75" s="2"/>
      <c r="L75" s="2"/>
      <c r="M75" s="2"/>
      <c r="N75" s="2"/>
      <c r="O75" s="2"/>
      <c r="P75" s="3"/>
      <c r="Q75" s="18" t="s">
        <v>544</v>
      </c>
      <c r="R75" s="2"/>
      <c r="S75" s="2"/>
      <c r="T75" s="2"/>
      <c r="U75" s="2"/>
      <c r="V75" s="2"/>
      <c r="W75" s="3"/>
      <c r="X75" s="18" t="s">
        <v>545</v>
      </c>
      <c r="Y75" s="2"/>
      <c r="Z75" s="2"/>
      <c r="AA75" s="2"/>
      <c r="AB75" s="2"/>
      <c r="AC75" s="2"/>
      <c r="AD75" s="3"/>
      <c r="AE75" s="19" t="s">
        <v>213</v>
      </c>
      <c r="AF75" s="3"/>
      <c r="AG75" s="21" t="s">
        <v>63</v>
      </c>
      <c r="AH75" s="2"/>
      <c r="AI75" s="3"/>
      <c r="AJ75" s="22"/>
      <c r="AK75" s="2"/>
      <c r="AL75" s="3"/>
      <c r="AM75" s="21" t="s">
        <v>271</v>
      </c>
      <c r="AN75" s="2"/>
      <c r="AO75" s="3"/>
      <c r="AP75" s="23">
        <v>46149</v>
      </c>
      <c r="AQ75" s="2"/>
      <c r="AR75" s="3"/>
      <c r="AS75" s="19"/>
      <c r="AT75" s="2"/>
      <c r="AU75" s="3"/>
      <c r="AV75" s="19" t="s">
        <v>63</v>
      </c>
      <c r="AW75" s="2"/>
      <c r="AX75" s="3"/>
      <c r="AY75" s="19"/>
      <c r="AZ75" s="2"/>
      <c r="BA75" s="3"/>
      <c r="BB75" s="19" t="s">
        <v>272</v>
      </c>
      <c r="BC75" s="2"/>
      <c r="BD75" s="3"/>
      <c r="BE75" s="20">
        <v>46239</v>
      </c>
      <c r="BF75" s="2"/>
      <c r="BG75" s="3"/>
      <c r="BH75" s="19"/>
      <c r="BI75" s="2"/>
      <c r="BJ75" s="3"/>
      <c r="BK75" s="18"/>
      <c r="BL75" s="2"/>
      <c r="BM75" s="2"/>
      <c r="BN75" s="2"/>
      <c r="BO75" s="2"/>
      <c r="BP75" s="2"/>
      <c r="BQ75" s="3"/>
    </row>
    <row r="76" ht="319.5" customHeight="1" spans="1:69">
      <c r="A76" s="17">
        <v>58</v>
      </c>
      <c r="B76" s="18" t="s">
        <v>546</v>
      </c>
      <c r="C76" s="2"/>
      <c r="D76" s="3"/>
      <c r="E76" s="18" t="s">
        <v>547</v>
      </c>
      <c r="F76" s="2"/>
      <c r="G76" s="2"/>
      <c r="H76" s="2"/>
      <c r="I76" s="3"/>
      <c r="J76" s="18" t="s">
        <v>548</v>
      </c>
      <c r="K76" s="2"/>
      <c r="L76" s="2"/>
      <c r="M76" s="2"/>
      <c r="N76" s="2"/>
      <c r="O76" s="2"/>
      <c r="P76" s="3"/>
      <c r="Q76" s="18" t="s">
        <v>549</v>
      </c>
      <c r="R76" s="2"/>
      <c r="S76" s="2"/>
      <c r="T76" s="2"/>
      <c r="U76" s="2"/>
      <c r="V76" s="2"/>
      <c r="W76" s="3"/>
      <c r="X76" s="18" t="s">
        <v>550</v>
      </c>
      <c r="Y76" s="2"/>
      <c r="Z76" s="2"/>
      <c r="AA76" s="2"/>
      <c r="AB76" s="2"/>
      <c r="AC76" s="2"/>
      <c r="AD76" s="3"/>
      <c r="AE76" s="19" t="s">
        <v>213</v>
      </c>
      <c r="AF76" s="3"/>
      <c r="AG76" s="21" t="s">
        <v>63</v>
      </c>
      <c r="AH76" s="2"/>
      <c r="AI76" s="3"/>
      <c r="AJ76" s="22"/>
      <c r="AK76" s="2"/>
      <c r="AL76" s="3"/>
      <c r="AM76" s="21" t="s">
        <v>271</v>
      </c>
      <c r="AN76" s="2"/>
      <c r="AO76" s="3"/>
      <c r="AP76" s="23">
        <v>46149</v>
      </c>
      <c r="AQ76" s="2"/>
      <c r="AR76" s="3"/>
      <c r="AS76" s="19"/>
      <c r="AT76" s="2"/>
      <c r="AU76" s="3"/>
      <c r="AV76" s="19" t="s">
        <v>63</v>
      </c>
      <c r="AW76" s="2"/>
      <c r="AX76" s="3"/>
      <c r="AY76" s="19"/>
      <c r="AZ76" s="2"/>
      <c r="BA76" s="3"/>
      <c r="BB76" s="19" t="s">
        <v>272</v>
      </c>
      <c r="BC76" s="2"/>
      <c r="BD76" s="3"/>
      <c r="BE76" s="20">
        <v>46239</v>
      </c>
      <c r="BF76" s="2"/>
      <c r="BG76" s="3"/>
      <c r="BH76" s="19"/>
      <c r="BI76" s="2"/>
      <c r="BJ76" s="3"/>
      <c r="BK76" s="18"/>
      <c r="BL76" s="2"/>
      <c r="BM76" s="2"/>
      <c r="BN76" s="2"/>
      <c r="BO76" s="2"/>
      <c r="BP76" s="2"/>
      <c r="BQ76" s="3"/>
    </row>
    <row r="77" ht="409.5" customHeight="1" spans="1:69">
      <c r="A77" s="17">
        <v>59</v>
      </c>
      <c r="B77" s="18" t="s">
        <v>551</v>
      </c>
      <c r="C77" s="2"/>
      <c r="D77" s="3"/>
      <c r="E77" s="18" t="s">
        <v>552</v>
      </c>
      <c r="F77" s="2"/>
      <c r="G77" s="2"/>
      <c r="H77" s="2"/>
      <c r="I77" s="3"/>
      <c r="J77" s="18" t="s">
        <v>553</v>
      </c>
      <c r="K77" s="2"/>
      <c r="L77" s="2"/>
      <c r="M77" s="2"/>
      <c r="N77" s="2"/>
      <c r="O77" s="2"/>
      <c r="P77" s="3"/>
      <c r="Q77" s="18" t="s">
        <v>554</v>
      </c>
      <c r="R77" s="2"/>
      <c r="S77" s="2"/>
      <c r="T77" s="2"/>
      <c r="U77" s="2"/>
      <c r="V77" s="2"/>
      <c r="W77" s="3"/>
      <c r="X77" s="18" t="s">
        <v>555</v>
      </c>
      <c r="Y77" s="2"/>
      <c r="Z77" s="2"/>
      <c r="AA77" s="2"/>
      <c r="AB77" s="2"/>
      <c r="AC77" s="2"/>
      <c r="AD77" s="3"/>
      <c r="AE77" s="19" t="s">
        <v>213</v>
      </c>
      <c r="AF77" s="3"/>
      <c r="AG77" s="21" t="s">
        <v>63</v>
      </c>
      <c r="AH77" s="2"/>
      <c r="AI77" s="3"/>
      <c r="AJ77" s="22"/>
      <c r="AK77" s="2"/>
      <c r="AL77" s="3"/>
      <c r="AM77" s="21" t="s">
        <v>271</v>
      </c>
      <c r="AN77" s="2"/>
      <c r="AO77" s="3"/>
      <c r="AP77" s="23">
        <v>46149</v>
      </c>
      <c r="AQ77" s="2"/>
      <c r="AR77" s="3"/>
      <c r="AS77" s="19"/>
      <c r="AT77" s="2"/>
      <c r="AU77" s="3"/>
      <c r="AV77" s="19" t="s">
        <v>63</v>
      </c>
      <c r="AW77" s="2"/>
      <c r="AX77" s="3"/>
      <c r="AY77" s="19"/>
      <c r="AZ77" s="2"/>
      <c r="BA77" s="3"/>
      <c r="BB77" s="19" t="s">
        <v>272</v>
      </c>
      <c r="BC77" s="2"/>
      <c r="BD77" s="3"/>
      <c r="BE77" s="20">
        <v>46239</v>
      </c>
      <c r="BF77" s="2"/>
      <c r="BG77" s="3"/>
      <c r="BH77" s="19"/>
      <c r="BI77" s="2"/>
      <c r="BJ77" s="3"/>
      <c r="BK77" s="18"/>
      <c r="BL77" s="2"/>
      <c r="BM77" s="2"/>
      <c r="BN77" s="2"/>
      <c r="BO77" s="2"/>
      <c r="BP77" s="2"/>
      <c r="BQ77" s="3"/>
    </row>
    <row r="78" ht="409.5" customHeight="1" spans="1:69">
      <c r="A78" s="17">
        <v>60</v>
      </c>
      <c r="B78" s="18" t="s">
        <v>556</v>
      </c>
      <c r="C78" s="2"/>
      <c r="D78" s="3"/>
      <c r="E78" s="18" t="s">
        <v>557</v>
      </c>
      <c r="F78" s="2"/>
      <c r="G78" s="2"/>
      <c r="H78" s="2"/>
      <c r="I78" s="3"/>
      <c r="J78" s="18" t="s">
        <v>558</v>
      </c>
      <c r="K78" s="2"/>
      <c r="L78" s="2"/>
      <c r="M78" s="2"/>
      <c r="N78" s="2"/>
      <c r="O78" s="2"/>
      <c r="P78" s="3"/>
      <c r="Q78" s="18" t="s">
        <v>559</v>
      </c>
      <c r="R78" s="2"/>
      <c r="S78" s="2"/>
      <c r="T78" s="2"/>
      <c r="U78" s="2"/>
      <c r="V78" s="2"/>
      <c r="W78" s="3"/>
      <c r="X78" s="18" t="s">
        <v>560</v>
      </c>
      <c r="Y78" s="2"/>
      <c r="Z78" s="2"/>
      <c r="AA78" s="2"/>
      <c r="AB78" s="2"/>
      <c r="AC78" s="2"/>
      <c r="AD78" s="3"/>
      <c r="AE78" s="19" t="s">
        <v>213</v>
      </c>
      <c r="AF78" s="3"/>
      <c r="AG78" s="19" t="s">
        <v>65</v>
      </c>
      <c r="AH78" s="2"/>
      <c r="AI78" s="3"/>
      <c r="AJ78" s="19"/>
      <c r="AK78" s="2"/>
      <c r="AL78" s="3"/>
      <c r="AM78" s="21" t="s">
        <v>271</v>
      </c>
      <c r="AN78" s="2"/>
      <c r="AO78" s="3"/>
      <c r="AP78" s="23">
        <v>46149</v>
      </c>
      <c r="AQ78" s="2"/>
      <c r="AR78" s="3"/>
      <c r="AS78" s="19"/>
      <c r="AT78" s="2"/>
      <c r="AU78" s="3"/>
      <c r="AV78" s="19" t="s">
        <v>63</v>
      </c>
      <c r="AW78" s="2"/>
      <c r="AX78" s="3"/>
      <c r="AY78" s="19"/>
      <c r="AZ78" s="2"/>
      <c r="BA78" s="3"/>
      <c r="BB78" s="19" t="s">
        <v>272</v>
      </c>
      <c r="BC78" s="2"/>
      <c r="BD78" s="3"/>
      <c r="BE78" s="20">
        <v>46239</v>
      </c>
      <c r="BF78" s="2"/>
      <c r="BG78" s="3"/>
      <c r="BH78" s="19"/>
      <c r="BI78" s="2"/>
      <c r="BJ78" s="3"/>
      <c r="BK78" s="18"/>
      <c r="BL78" s="2"/>
      <c r="BM78" s="2"/>
      <c r="BN78" s="2"/>
      <c r="BO78" s="2"/>
      <c r="BP78" s="2"/>
      <c r="BQ78" s="3"/>
    </row>
    <row r="79" ht="303.75" customHeight="1" spans="1:69">
      <c r="A79" s="17">
        <v>61</v>
      </c>
      <c r="B79" s="18" t="s">
        <v>561</v>
      </c>
      <c r="C79" s="2"/>
      <c r="D79" s="3"/>
      <c r="E79" s="18" t="s">
        <v>562</v>
      </c>
      <c r="F79" s="2"/>
      <c r="G79" s="2"/>
      <c r="H79" s="2"/>
      <c r="I79" s="3"/>
      <c r="J79" s="18" t="s">
        <v>563</v>
      </c>
      <c r="K79" s="2"/>
      <c r="L79" s="2"/>
      <c r="M79" s="2"/>
      <c r="N79" s="2"/>
      <c r="O79" s="2"/>
      <c r="P79" s="3"/>
      <c r="Q79" s="18" t="s">
        <v>564</v>
      </c>
      <c r="R79" s="2"/>
      <c r="S79" s="2"/>
      <c r="T79" s="2"/>
      <c r="U79" s="2"/>
      <c r="V79" s="2"/>
      <c r="W79" s="3"/>
      <c r="X79" s="18" t="s">
        <v>565</v>
      </c>
      <c r="Y79" s="2"/>
      <c r="Z79" s="2"/>
      <c r="AA79" s="2"/>
      <c r="AB79" s="2"/>
      <c r="AC79" s="2"/>
      <c r="AD79" s="3"/>
      <c r="AE79" s="19" t="s">
        <v>213</v>
      </c>
      <c r="AF79" s="3"/>
      <c r="AG79" s="21" t="s">
        <v>63</v>
      </c>
      <c r="AH79" s="2"/>
      <c r="AI79" s="3"/>
      <c r="AJ79" s="22"/>
      <c r="AK79" s="2"/>
      <c r="AL79" s="3"/>
      <c r="AM79" s="21" t="s">
        <v>271</v>
      </c>
      <c r="AN79" s="2"/>
      <c r="AO79" s="3"/>
      <c r="AP79" s="23">
        <v>46149</v>
      </c>
      <c r="AQ79" s="2"/>
      <c r="AR79" s="3"/>
      <c r="AS79" s="19"/>
      <c r="AT79" s="2"/>
      <c r="AU79" s="3"/>
      <c r="AV79" s="19" t="s">
        <v>63</v>
      </c>
      <c r="AW79" s="2"/>
      <c r="AX79" s="3"/>
      <c r="AY79" s="19"/>
      <c r="AZ79" s="2"/>
      <c r="BA79" s="3"/>
      <c r="BB79" s="19" t="s">
        <v>272</v>
      </c>
      <c r="BC79" s="2"/>
      <c r="BD79" s="3"/>
      <c r="BE79" s="20">
        <v>46239</v>
      </c>
      <c r="BF79" s="2"/>
      <c r="BG79" s="3"/>
      <c r="BH79" s="19"/>
      <c r="BI79" s="2"/>
      <c r="BJ79" s="3"/>
      <c r="BK79" s="18"/>
      <c r="BL79" s="2"/>
      <c r="BM79" s="2"/>
      <c r="BN79" s="2"/>
      <c r="BO79" s="2"/>
      <c r="BP79" s="2"/>
      <c r="BQ79" s="3"/>
    </row>
    <row r="80" ht="409.5" customHeight="1" spans="1:69">
      <c r="A80" s="17">
        <v>62</v>
      </c>
      <c r="B80" s="18" t="s">
        <v>566</v>
      </c>
      <c r="C80" s="2"/>
      <c r="D80" s="3"/>
      <c r="E80" s="18" t="s">
        <v>567</v>
      </c>
      <c r="F80" s="2"/>
      <c r="G80" s="2"/>
      <c r="H80" s="2"/>
      <c r="I80" s="3"/>
      <c r="J80" s="18" t="s">
        <v>568</v>
      </c>
      <c r="K80" s="2"/>
      <c r="L80" s="2"/>
      <c r="M80" s="2"/>
      <c r="N80" s="2"/>
      <c r="O80" s="2"/>
      <c r="P80" s="3"/>
      <c r="Q80" s="18" t="s">
        <v>569</v>
      </c>
      <c r="R80" s="2"/>
      <c r="S80" s="2"/>
      <c r="T80" s="2"/>
      <c r="U80" s="2"/>
      <c r="V80" s="2"/>
      <c r="W80" s="3"/>
      <c r="X80" s="18" t="s">
        <v>570</v>
      </c>
      <c r="Y80" s="2"/>
      <c r="Z80" s="2"/>
      <c r="AA80" s="2"/>
      <c r="AB80" s="2"/>
      <c r="AC80" s="2"/>
      <c r="AD80" s="3"/>
      <c r="AE80" s="19" t="s">
        <v>213</v>
      </c>
      <c r="AF80" s="3"/>
      <c r="AG80" s="21" t="s">
        <v>63</v>
      </c>
      <c r="AH80" s="2"/>
      <c r="AI80" s="3"/>
      <c r="AJ80" s="22"/>
      <c r="AK80" s="2"/>
      <c r="AL80" s="3"/>
      <c r="AM80" s="21" t="s">
        <v>271</v>
      </c>
      <c r="AN80" s="2"/>
      <c r="AO80" s="3"/>
      <c r="AP80" s="23">
        <v>46149</v>
      </c>
      <c r="AQ80" s="2"/>
      <c r="AR80" s="3"/>
      <c r="AS80" s="19"/>
      <c r="AT80" s="2"/>
      <c r="AU80" s="3"/>
      <c r="AV80" s="19" t="s">
        <v>63</v>
      </c>
      <c r="AW80" s="2"/>
      <c r="AX80" s="3"/>
      <c r="AY80" s="19"/>
      <c r="AZ80" s="2"/>
      <c r="BA80" s="3"/>
      <c r="BB80" s="19" t="s">
        <v>272</v>
      </c>
      <c r="BC80" s="2"/>
      <c r="BD80" s="3"/>
      <c r="BE80" s="20">
        <v>46239</v>
      </c>
      <c r="BF80" s="2"/>
      <c r="BG80" s="3"/>
      <c r="BH80" s="19"/>
      <c r="BI80" s="2"/>
      <c r="BJ80" s="3"/>
      <c r="BK80" s="18" t="s">
        <v>571</v>
      </c>
      <c r="BL80" s="2"/>
      <c r="BM80" s="2"/>
      <c r="BN80" s="2"/>
      <c r="BO80" s="2"/>
      <c r="BP80" s="2"/>
      <c r="BQ80" s="3"/>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27">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A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A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A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A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B70:D70"/>
    <mergeCell ref="E70:I70"/>
    <mergeCell ref="J70:P70"/>
    <mergeCell ref="Q70:W70"/>
    <mergeCell ref="X70:AD70"/>
    <mergeCell ref="AE70:AF70"/>
    <mergeCell ref="AG70:AI70"/>
    <mergeCell ref="AJ70:AL70"/>
    <mergeCell ref="AM70:AO70"/>
    <mergeCell ref="AP70:AR70"/>
    <mergeCell ref="AS70:AU70"/>
    <mergeCell ref="AV70:AX70"/>
    <mergeCell ref="AY70:BA70"/>
    <mergeCell ref="BB70:BD70"/>
    <mergeCell ref="BE70:BG70"/>
    <mergeCell ref="BH70:BJ70"/>
    <mergeCell ref="BK70:BQ70"/>
    <mergeCell ref="B71:D71"/>
    <mergeCell ref="E71:I71"/>
    <mergeCell ref="J71:P71"/>
    <mergeCell ref="Q71:W71"/>
    <mergeCell ref="X71:AD71"/>
    <mergeCell ref="AE71:AF71"/>
    <mergeCell ref="AG71:AI71"/>
    <mergeCell ref="AJ71:AL71"/>
    <mergeCell ref="AM71:AO71"/>
    <mergeCell ref="AP71:AR71"/>
    <mergeCell ref="AS71:AU71"/>
    <mergeCell ref="AV71:AX71"/>
    <mergeCell ref="AY71:BA71"/>
    <mergeCell ref="BB71:BD71"/>
    <mergeCell ref="BE71:BG71"/>
    <mergeCell ref="BH71:BJ71"/>
    <mergeCell ref="BK71:BQ71"/>
    <mergeCell ref="B72:D72"/>
    <mergeCell ref="E72:I72"/>
    <mergeCell ref="J72:P72"/>
    <mergeCell ref="Q72:W72"/>
    <mergeCell ref="X72:AD72"/>
    <mergeCell ref="AE72:AF72"/>
    <mergeCell ref="AG72:AI72"/>
    <mergeCell ref="AJ72:AL72"/>
    <mergeCell ref="AM72:AO72"/>
    <mergeCell ref="AP72:AR72"/>
    <mergeCell ref="AS72:AU72"/>
    <mergeCell ref="AV72:AX72"/>
    <mergeCell ref="AY72:BA72"/>
    <mergeCell ref="BB72:BD72"/>
    <mergeCell ref="BE72:BG72"/>
    <mergeCell ref="BH72:BJ72"/>
    <mergeCell ref="BK72:BQ72"/>
    <mergeCell ref="A73:BQ73"/>
    <mergeCell ref="B74:D74"/>
    <mergeCell ref="E74:I74"/>
    <mergeCell ref="J74:P74"/>
    <mergeCell ref="Q74:W74"/>
    <mergeCell ref="X74:AD74"/>
    <mergeCell ref="AE74:AF74"/>
    <mergeCell ref="AG74:AI74"/>
    <mergeCell ref="AJ74:AL74"/>
    <mergeCell ref="AM74:AO74"/>
    <mergeCell ref="AP74:AR74"/>
    <mergeCell ref="AS74:AU74"/>
    <mergeCell ref="AV74:AX74"/>
    <mergeCell ref="AY74:BA74"/>
    <mergeCell ref="BB74:BD74"/>
    <mergeCell ref="BE74:BG74"/>
    <mergeCell ref="BH74:BJ74"/>
    <mergeCell ref="BK74:BQ74"/>
    <mergeCell ref="B75:D75"/>
    <mergeCell ref="E75:I75"/>
    <mergeCell ref="J75:P75"/>
    <mergeCell ref="Q75:W75"/>
    <mergeCell ref="X75:AD75"/>
    <mergeCell ref="AE75:AF75"/>
    <mergeCell ref="AG75:AI75"/>
    <mergeCell ref="AJ75:AL75"/>
    <mergeCell ref="AM75:AO75"/>
    <mergeCell ref="AP75:AR75"/>
    <mergeCell ref="AS75:AU75"/>
    <mergeCell ref="AV75:AX75"/>
    <mergeCell ref="AY75:BA75"/>
    <mergeCell ref="BB75:BD75"/>
    <mergeCell ref="BE75:BG75"/>
    <mergeCell ref="BH75:BJ75"/>
    <mergeCell ref="BK75:BQ75"/>
    <mergeCell ref="B76:D76"/>
    <mergeCell ref="E76:I76"/>
    <mergeCell ref="J76:P76"/>
    <mergeCell ref="Q76:W76"/>
    <mergeCell ref="X76:AD76"/>
    <mergeCell ref="AE76:AF76"/>
    <mergeCell ref="AG76:AI76"/>
    <mergeCell ref="AJ76:AL76"/>
    <mergeCell ref="AM76:AO76"/>
    <mergeCell ref="AP76:AR76"/>
    <mergeCell ref="AS76:AU76"/>
    <mergeCell ref="AV76:AX76"/>
    <mergeCell ref="AY76:BA76"/>
    <mergeCell ref="BB76:BD76"/>
    <mergeCell ref="BE76:BG76"/>
    <mergeCell ref="BH76:BJ76"/>
    <mergeCell ref="BK76:BQ76"/>
    <mergeCell ref="B77:D77"/>
    <mergeCell ref="E77:I77"/>
    <mergeCell ref="J77:P77"/>
    <mergeCell ref="Q77:W77"/>
    <mergeCell ref="X77:AD77"/>
    <mergeCell ref="AE77:AF77"/>
    <mergeCell ref="AG77:AI77"/>
    <mergeCell ref="AJ77:AL77"/>
    <mergeCell ref="AM77:AO77"/>
    <mergeCell ref="AP77:AR77"/>
    <mergeCell ref="AS77:AU77"/>
    <mergeCell ref="AV77:AX77"/>
    <mergeCell ref="AY77:BA77"/>
    <mergeCell ref="BB77:BD77"/>
    <mergeCell ref="BE77:BG77"/>
    <mergeCell ref="BH77:BJ77"/>
    <mergeCell ref="BK77:BQ77"/>
    <mergeCell ref="B78:D78"/>
    <mergeCell ref="E78:I78"/>
    <mergeCell ref="J78:P78"/>
    <mergeCell ref="Q78:W78"/>
    <mergeCell ref="X78:AD78"/>
    <mergeCell ref="AE78:AF78"/>
    <mergeCell ref="AG78:AI78"/>
    <mergeCell ref="AJ78:AL78"/>
    <mergeCell ref="AM78:AO78"/>
    <mergeCell ref="AP78:AR78"/>
    <mergeCell ref="AS78:AU78"/>
    <mergeCell ref="AV78:AX78"/>
    <mergeCell ref="AY78:BA78"/>
    <mergeCell ref="BB78:BD78"/>
    <mergeCell ref="BE78:BG78"/>
    <mergeCell ref="BH78:BJ78"/>
    <mergeCell ref="BK78:BQ78"/>
    <mergeCell ref="B79:D79"/>
    <mergeCell ref="E79:I79"/>
    <mergeCell ref="J79:P79"/>
    <mergeCell ref="Q79:W79"/>
    <mergeCell ref="X79:AD79"/>
    <mergeCell ref="AE79:AF79"/>
    <mergeCell ref="AG79:AI79"/>
    <mergeCell ref="AJ79:AL79"/>
    <mergeCell ref="AM79:AO79"/>
    <mergeCell ref="AP79:AR79"/>
    <mergeCell ref="AS79:AU79"/>
    <mergeCell ref="AV79:AX79"/>
    <mergeCell ref="AY79:BA79"/>
    <mergeCell ref="BB79:BD79"/>
    <mergeCell ref="BE79:BG79"/>
    <mergeCell ref="BH79:BJ79"/>
    <mergeCell ref="BK79:BQ79"/>
    <mergeCell ref="B80:D80"/>
    <mergeCell ref="E80:I80"/>
    <mergeCell ref="J80:P80"/>
    <mergeCell ref="Q80:W80"/>
    <mergeCell ref="X80:AD80"/>
    <mergeCell ref="AE80:AF80"/>
    <mergeCell ref="AG80:AI80"/>
    <mergeCell ref="AJ80:AL80"/>
    <mergeCell ref="AM80:AO80"/>
    <mergeCell ref="AP80:AR80"/>
    <mergeCell ref="AS80:AU80"/>
    <mergeCell ref="AV80:AX80"/>
    <mergeCell ref="AY80:BA80"/>
    <mergeCell ref="BB80:BD80"/>
    <mergeCell ref="BE80:BG80"/>
    <mergeCell ref="BH80:BJ80"/>
    <mergeCell ref="BK80:BQ80"/>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69 AV78 AG13:AG17 AG19:AG24 AG26:AG29 AG31:AG52 AG54:AG61 AG63:AG72 AG74:AG80 AV13:AV17 AV19:AV24 AV26:AV29 AV31:AV52 AV54:AV61 AV63:AV68 AV70:AV72 AV74:AV77 AV79:AV80">
      <formula1>"合格,不合格,未テスト,N/A"</formula1>
    </dataValidation>
    <dataValidation type="list" allowBlank="1" sqref="AE13:AE17 AE19:AE24 AE26:AE29 AE31:AE52 AE54:AE61 AE63:AE72 AE74:AE80">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2026-05-13T04:01:00Z</dcterms:created>
  <dcterms:modified xsi:type="dcterms:W3CDTF">2026-08-28T10:13:49Z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6DF6DE07105A4E7099A17A3A705845FC_12</vt:lpwstr>
  </property>
  <property fmtid="{D5CDD505-2E9C-101B-9397-08002B2CF9AE}" pid="3" name="KSOProductBuildVer">
    <vt:lpwstr>1033-12.1.0.28032</vt:lpwstr>
  </property>
  <property fmtid="{D5CDD505-2E9C-101B-9397-08002B2CF9AE}" pid="4" name="CalculationRule">
    <vt:i4>0</vt:i4>
  </property>
</Properties>
</file>