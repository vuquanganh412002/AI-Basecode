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8IhbhCTz5vaEuSW9QwuGPVP9DuPuCwXjSEf4eUp0vI8="/>
    </ext>
  </extLst>
</workbook>
</file>

<file path=xl/sharedStrings.xml><?xml version="1.0" encoding="utf-8"?>
<sst xmlns="http://schemas.openxmlformats.org/spreadsheetml/2006/main" count="950" uniqueCount="524">
  <si>
    <t>項番</t>
  </si>
  <si>
    <t>&lt;単体/結合/システム&gt; テスト報告書</t>
  </si>
  <si>
    <t>システム・アプリケーション名</t>
  </si>
  <si>
    <t>発行日</t>
  </si>
  <si>
    <t>バージョン</t>
  </si>
  <si>
    <t>担当者</t>
  </si>
  <si>
    <t>変更内容</t>
  </si>
  <si>
    <t>プロジェクト名</t>
  </si>
  <si>
    <t>確認者</t>
  </si>
  <si>
    <t>ドキュメント</t>
  </si>
  <si>
    <t>承認者</t>
  </si>
  <si>
    <t>クラウド版購読者管理システム</t>
  </si>
  <si>
    <t>シート名</t>
  </si>
  <si>
    <t>2026-05-21</t>
  </si>
  <si>
    <t>プロジェクトマネージャ</t>
  </si>
  <si>
    <t>作成日</t>
  </si>
  <si>
    <t>1.0</t>
  </si>
  <si>
    <t>Nguyen Huy Dat</t>
  </si>
  <si>
    <t>Kieu Thi Diem</t>
  </si>
  <si>
    <t>作成者</t>
  </si>
  <si>
    <t>Tạo mới</t>
  </si>
  <si>
    <t>更新日</t>
  </si>
  <si>
    <t>2026/05/21</t>
  </si>
  <si>
    <t>#</t>
  </si>
  <si>
    <t>機能名</t>
  </si>
  <si>
    <t>更新者</t>
  </si>
  <si>
    <t>テストケース分類</t>
  </si>
  <si>
    <t>合計</t>
  </si>
  <si>
    <t>販売店明細検索画面</t>
  </si>
  <si>
    <t>テスト仕様書</t>
  </si>
  <si>
    <t>概要</t>
  </si>
  <si>
    <t>テスト結果</t>
  </si>
  <si>
    <t>版1.0</t>
  </si>
  <si>
    <t>正常</t>
  </si>
  <si>
    <t>異常</t>
  </si>
  <si>
    <t>境界</t>
  </si>
  <si>
    <t>フォーマットコード</t>
  </si>
  <si>
    <t>合格</t>
  </si>
  <si>
    <t>不合格</t>
  </si>
  <si>
    <t>1.システム概要</t>
  </si>
  <si>
    <t>16-BM/PM/VTI</t>
  </si>
  <si>
    <t>未テスト</t>
  </si>
  <si>
    <t>本システムは、JA向けのクラウド型購読者管理システムであり、</t>
  </si>
  <si>
    <t>N/A</t>
  </si>
  <si>
    <t>購読者情報の管理、購読履歴の管理、口座振替データの管理などの機能を提供する。</t>
  </si>
  <si>
    <t>フォーマットバージョン</t>
  </si>
  <si>
    <t>進捗（%）</t>
  </si>
  <si>
    <t>主な機能として、購読者情報の登録・更新・検索、</t>
  </si>
  <si>
    <t>購読内容の変更履歴管理、口座振替データの作成および管理、</t>
  </si>
  <si>
    <t>テスト1回目</t>
  </si>
  <si>
    <t>ファイルのアップロード・ダウンロード機能、システムのお知らせ管理などを提供する。</t>
  </si>
  <si>
    <t>また、ユーザーのログイン管理、ログイン履歴の記録、</t>
  </si>
  <si>
    <t>機能</t>
  </si>
  <si>
    <t>ユーザー操作ログの記録などのセキュリティ・監査機能をサポートする。</t>
  </si>
  <si>
    <t>2.資料目的</t>
  </si>
  <si>
    <t>Tài liệu này mô tả chi tiết test specification cho "Màn hình tìm kiếm chi tiết Hanbaiten (ACSMS-SCR-018)" được tạo mới trên hệ thống.</t>
  </si>
  <si>
    <t>3.関連資料</t>
  </si>
  <si>
    <t>No</t>
  </si>
  <si>
    <t>資料コード</t>
  </si>
  <si>
    <t>資料名</t>
  </si>
  <si>
    <t>ACSMS-SCR-018</t>
  </si>
  <si>
    <t>Tài liệu thiết kế Màn hình tìm kiếm chi tiết Hanbaiten</t>
  </si>
  <si>
    <t>ACSMS-SCR-018-api</t>
  </si>
  <si>
    <t>Tài liệu thiết kế API tìm kiếm chi tiết Hanbaiten</t>
  </si>
  <si>
    <t>testcase-viewpoints</t>
  </si>
  <si>
    <t>Danh sách quan điểm test chung toàn hệ thống</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</si>
  <si>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</si>
  <si>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</si>
  <si>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</si>
  <si>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</si>
  <si>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</si>
  <si>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</si>
  <si>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</si>
  <si>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</si>
  <si>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</si>
  <si>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</si>
  <si>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</si>
  <si>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</si>
  <si>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</si>
  <si>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</si>
  <si>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</si>
  <si>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</si>
  <si>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</si>
  <si>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</si>
  <si>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</si>
  <si>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</si>
  <si>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</si>
  <si>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</si>
  <si>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</si>
  <si>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</si>
  <si>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</si>
  <si>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</si>
  <si>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</si>
  <si>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</si>
  <si>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</si>
  <si>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</si>
  <si>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</si>
  <si>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</si>
  <si>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</si>
  <si>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</si>
  <si>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</si>
  <si>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</si>
  <si>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</si>
  <si>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</si>
  <si>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</si>
  <si>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</si>
  <si>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</si>
  <si>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</si>
  <si>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</si>
  <si>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</si>
  <si>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</si>
  <si>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</si>
  <si>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</si>
  <si>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</si>
  <si>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</si>
  <si>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</si>
  <si>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</si>
  <si>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</si>
  <si>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</si>
  <si>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</si>
  <si>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</si>
  <si>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</si>
  <si>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</si>
  <si>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</si>
  <si>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</si>
  <si>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</si>
  <si>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</si>
  <si>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テストレベル</t>
  </si>
  <si>
    <t>約10マスタ</t>
  </si>
  <si>
    <t>VP-B-09</t>
  </si>
  <si>
    <t>結合テスト</t>
  </si>
  <si>
    <t>IME・全角入力・貼付ハンドリング</t>
  </si>
  <si>
    <t>全テキスト入力フォーム＋検索画面</t>
  </si>
  <si>
    <t>機能／モジュール</t>
  </si>
  <si>
    <t>ACSMS-SCR-018_販売店明細検索画面</t>
  </si>
  <si>
    <t>VP-C-01</t>
  </si>
  <si>
    <t>C. 業務ロジック</t>
  </si>
  <si>
    <t>CRUD 正常系 + DB 永続化</t>
  </si>
  <si>
    <t>VP-C-02</t>
  </si>
  <si>
    <t>同時編集競合</t>
  </si>
  <si>
    <t>約8編集画面</t>
  </si>
  <si>
    <t>確認日</t>
  </si>
  <si>
    <t>VP-C-03</t>
  </si>
  <si>
    <t>論理削除 + FK 関連</t>
  </si>
  <si>
    <t>テスト環境</t>
  </si>
  <si>
    <t>Windows 10/11, Chrome, Edge</t>
  </si>
  <si>
    <t>約6関連付きマスタ</t>
  </si>
  <si>
    <t>VP-C-04</t>
  </si>
  <si>
    <t>分類</t>
  </si>
  <si>
    <t>税込／税抜計算</t>
  </si>
  <si>
    <t>単価マスタ</t>
  </si>
  <si>
    <t>回目</t>
  </si>
  <si>
    <t>VP-C-05</t>
  </si>
  <si>
    <t>購読者種別ルール（読み取り専用）</t>
  </si>
  <si>
    <t>境界値</t>
  </si>
  <si>
    <t>購読者マスタ</t>
  </si>
  <si>
    <t>VP-C-06</t>
  </si>
  <si>
    <t>Excel取込 部分成功</t>
  </si>
  <si>
    <t>1回目</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</si>
  <si>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</si>
  <si>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</si>
  <si>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</si>
  <si>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</si>
  <si>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</si>
  <si>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</si>
  <si>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</si>
  <si>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</si>
  <si>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</si>
  <si>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</si>
  <si>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</si>
  <si>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</si>
  <si>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</si>
  <si>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</si>
  <si>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2回目</t>
  </si>
  <si>
    <t>パスワード再発行フロー</t>
  </si>
  <si>
    <t>SCR-007</t>
  </si>
  <si>
    <t>VP-D-04</t>
  </si>
  <si>
    <t>監査ログの完全性</t>
  </si>
  <si>
    <t>VP-D-05</t>
  </si>
  <si>
    <t>ファイルアップロード S3</t>
  </si>
  <si>
    <t>SCR-022</t>
  </si>
  <si>
    <t>要件ID</t>
  </si>
  <si>
    <t>VP-D-06</t>
  </si>
  <si>
    <t>説明</t>
  </si>
  <si>
    <t>前提条件</t>
  </si>
  <si>
    <t>メール通知</t>
  </si>
  <si>
    <t>ステップ／手順</t>
  </si>
  <si>
    <t>期待結果／アウトプット</t>
  </si>
  <si>
    <t>SCR-001／007／お知らせ</t>
  </si>
  <si>
    <t>種類</t>
  </si>
  <si>
    <t>テスト1回目の結果</t>
  </si>
  <si>
    <t>VP-D-07</t>
  </si>
  <si>
    <t>テスト2回目の結果</t>
  </si>
  <si>
    <t>外部 CSV 形式準拠</t>
  </si>
  <si>
    <t>備考</t>
  </si>
  <si>
    <t>SCR-008／009</t>
  </si>
  <si>
    <t>VP-D-08</t>
  </si>
  <si>
    <t>結果</t>
  </si>
  <si>
    <t>ネットワーク／500／タイムアウト</t>
  </si>
  <si>
    <t>実績／
アウトプット</t>
  </si>
  <si>
    <t>確認日付
（MM/DD）</t>
  </si>
  <si>
    <t>バグID</t>
  </si>
  <si>
    <t>VP-D-09</t>
  </si>
  <si>
    <t>パスワード再発行 旧token無効化＋クールダウン</t>
  </si>
  <si>
    <t>Kiểm soát quyền truy cập (Access Control)</t>
  </si>
  <si>
    <t>VP-E-01</t>
  </si>
  <si>
    <t>E. 非機能・ユーザビリティ</t>
  </si>
  <si>
    <t>レイアウト／デザイントークン</t>
  </si>
  <si>
    <t>低</t>
  </si>
  <si>
    <t>全画面</t>
  </si>
  <si>
    <t>ACSMS-TC-018-001</t>
  </si>
  <si>
    <t>VP-E-02</t>
  </si>
  <si>
    <t>Cấm truy cập màn tìm kiếm chi tiết Hanbaiten với role NICHINO_ADMIN</t>
  </si>
  <si>
    <t>・role: NICHINO_ADMIN
・Đã login + đã xác thực MFA</t>
  </si>
  <si>
    <t>レスポンシブ（モバイル／タブレット）</t>
  </si>
  <si>
    <r>
      <rPr>
        <rFont val="游ゴシック"/>
        <b/>
        <color rgb="FF000000"/>
        <sz val="10.0"/>
      </rPr>
      <t xml:space="preserve">ステップ1：
</t>
    </r>
    <r>
      <rPr>
        <rFont val="游ゴシック"/>
        <color rgb="FF000000"/>
        <sz val="10.0"/>
      </rPr>
      <t xml:space="preserve">Mở dashboard, kiểm tra item "販売店マスタ" trên sidebar
</t>
    </r>
    <r>
      <rPr>
        <rFont val="游ゴシック"/>
        <b/>
        <color rgb="FF000000"/>
        <sz val="10.0"/>
      </rPr>
      <t xml:space="preserve">ステップ2：
</t>
    </r>
    <r>
      <rPr>
        <rFont val="游ゴシック"/>
        <color rgb="FF000000"/>
        <sz val="10.0"/>
      </rPr>
      <t xml:space="preserve">Truy cập trực tiếp URL `/hanbaiten`
</t>
    </r>
    <r>
      <rPr>
        <rFont val="游ゴシック"/>
        <b/>
        <color rgb="FF000000"/>
        <sz val="10.0"/>
      </rPr>
      <t xml:space="preserve">ステップ3：
</t>
    </r>
    <r>
      <rPr>
        <rFont val="游ゴシック"/>
        <color rgb="FF000000"/>
        <sz val="10.0"/>
      </rPr>
      <t xml:space="preserve">Dùng DevTools gọi trực tiếp GET `/api/v1/hanbaiten`
</t>
    </r>
  </si>
  <si>
    <r>
      <rPr>
        <rFont val="游ゴシック"/>
        <b/>
        <color rgb="FF000000"/>
        <sz val="10.0"/>
      </rPr>
      <t xml:space="preserve">ステップ1：
</t>
    </r>
    <r>
      <rPr>
        <rFont val="游ゴシック"/>
        <color rgb="FF000000"/>
        <sz val="10.0"/>
      </rPr>
      <t xml:space="preserve">Sidebar KHÔNG hiển thị item "販売店マスタ" (do không có quyền `hanbaiten.view`)
</t>
    </r>
    <r>
      <rPr>
        <rFont val="游ゴシック"/>
        <b/>
        <color rgb="FF000000"/>
        <sz val="10.0"/>
      </rPr>
      <t xml:space="preserve">ステップ2：
</t>
    </r>
    <r>
      <rPr>
        <rFont val="游ゴシック"/>
        <color rgb="FF000000"/>
        <sz val="10.0"/>
      </rPr>
      <t xml:space="preserve">Hiển thị toast `アクセス権がありません。` + chuyển về `/dashboard`
</t>
    </r>
    <r>
      <rPr>
        <rFont val="游ゴシック"/>
        <b/>
        <color rgb="FF000000"/>
        <sz val="10.0"/>
      </rPr>
      <t xml:space="preserve">ステップ3：
</t>
    </r>
    <r>
      <rPr>
        <rFont val="游ゴシック"/>
        <color rgb="FF000000"/>
        <sz val="10.0"/>
      </rPr>
      <t xml:space="preserve">Trả về HTTP 403 (`error_code: FORBIDDEN`, message `この画面へのアクセス権限がありません。`)
</t>
    </r>
    <r>
      <rPr>
        <rFont val="游ゴシック"/>
        <b/>
        <color rgb="FF000000"/>
        <sz val="10.0"/>
      </rPr>
      <t xml:space="preserve">補足：
</t>
    </r>
    <r>
      <rPr>
        <rFont val="游ゴシック"/>
        <color rgb="FF000000"/>
        <sz val="10.0"/>
      </rPr>
      <t xml:space="preserve">・Cả 3 tầng FE menu / FE router guard / BE API guard đều block
・Data của `m_hanbaiten` không được trả về
</t>
    </r>
  </si>
  <si>
    <t>VP-E-03</t>
  </si>
  <si>
    <t>A</t>
  </si>
  <si>
    <t>キーボード操作</t>
  </si>
  <si>
    <t xml:space="preserve">diem.kieuthi		</t>
  </si>
  <si>
    <t>VP-E-04</t>
  </si>
  <si>
    <t>mai.tranthi1</t>
  </si>
  <si>
    <t>ブラウザ互換性</t>
  </si>
  <si>
    <t>Critical — Nếu fail, đồng nghĩa với việc bypass RBAC, xử lý như security incident.</t>
  </si>
  <si>
    <t>ACSMS-TC-018-002</t>
  </si>
  <si>
    <t>VP-E-05</t>
  </si>
  <si>
    <t>Tìm kiếm chi tiết Hanbaiten bởi NICHINO_STAFF — có thể xem nhưng không thể xóa</t>
  </si>
  <si>
    <t>・role: NICHINO_STAFF
・Đã login + đã xác thực MFA
・Có quyền `hanbaiten.view`, KHÔNG có quyền `hanbaiten.delete`</t>
  </si>
  <si>
    <t>マルチタブセッション同期</t>
  </si>
  <si>
    <r>
      <rPr>
        <rFont val="游ゴシック"/>
        <b/>
        <color rgb="FF000000"/>
        <sz val="10.0"/>
      </rPr>
      <t xml:space="preserve">ステップ1：
</t>
    </r>
    <r>
      <rPr>
        <rFont val="游ゴシック"/>
        <color rgb="FF000000"/>
        <sz val="10.0"/>
      </rPr>
      <t xml:space="preserve">Kiểm tra item "販売店マスタ" trên sidebar và truy cập `/hanbaiten`
</t>
    </r>
    <r>
      <rPr>
        <rFont val="游ゴシック"/>
        <b/>
        <color rgb="FF000000"/>
        <sz val="10.0"/>
      </rPr>
      <t xml:space="preserve">ステップ2：
</t>
    </r>
    <r>
      <rPr>
        <rFont val="游ゴシック"/>
        <color rgb="FF000000"/>
        <sz val="10.0"/>
      </rPr>
      <t xml:space="preserve">Kiểm tra cột thao tác của row bất kỳ trong table kết quả tìm kiếm
</t>
    </r>
    <r>
      <rPr>
        <rFont val="游ゴシック"/>
        <b/>
        <color rgb="FF000000"/>
        <sz val="10.0"/>
      </rPr>
      <t xml:space="preserve">ステップ3：
</t>
    </r>
    <r>
      <rPr>
        <rFont val="游ゴシック"/>
        <color rgb="FF000000"/>
        <sz val="10.0"/>
      </rPr>
      <t>Dùng DevTools gọi trực tiếp DELETE `/api/v1/hanbaiten/{hanbaiten_id}`</t>
    </r>
  </si>
  <si>
    <r>
      <rPr>
        <rFont val="メイリオ"/>
        <b/>
        <color rgb="FF000000"/>
        <sz val="10.0"/>
      </rPr>
      <t xml:space="preserve">ステップ1：
</t>
    </r>
    <r>
      <rPr>
        <rFont val="メイリオ"/>
        <color rgb="FF000000"/>
        <sz val="10.0"/>
      </rPr>
      <t xml:space="preserve">Màn tìm kiếm chi tiết Hanbaiten được hiển thị, danh sách Hanbaiten toàn JA được hiển thị (DataScope toàn JA)
</t>
    </r>
    <r>
      <rPr>
        <rFont val="メイリオ"/>
        <b/>
        <color rgb="FF000000"/>
        <sz val="10.0"/>
      </rPr>
      <t xml:space="preserve">ステップ2：
</t>
    </r>
    <r>
      <rPr>
        <rFont val="メイリオ"/>
        <color rgb="FF000000"/>
        <sz val="10.0"/>
      </rPr>
      <t xml:space="preserve">Button xóa bị ẩn hoặc bị disable (do không có quyền `hanbaiten.delete`)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・NICHINO_STAFF chỉ có thể xem và đại diện nhập liệu, không thể xóa
</t>
    </r>
    <r>
      <rPr>
        <rFont val="メイリオ"/>
        <color rgb="FF000000"/>
        <sz val="10.0"/>
      </rPr>
      <t>・Button xóa bị ẩn nhờ field-level restriction Layer 3</t>
    </r>
  </si>
  <si>
    <t>VP-E-07</t>
  </si>
  <si>
    <t>N</t>
  </si>
  <si>
    <t>未保存変更ガード・ブラウザ離脱</t>
  </si>
  <si>
    <t>diem.kieuthi</t>
  </si>
  <si>
    <t>全 CRUD 編集フォーム</t>
  </si>
  <si>
    <t>VP-F-01</t>
  </si>
  <si>
    <t>F. 性能</t>
  </si>
  <si>
    <t>性能ベンチマーク</t>
  </si>
  <si>
    <t>全画面パフォーマンス計測対象</t>
  </si>
  <si>
    <t>Theo `account_concept.md`, NICHINO_STAFF chỉ có thể xem và đại diện nhập liệu. Quyền xóa chỉ thuộc về CHUOKAI / JA_HONTEN / JA_KANRI_SHITEN.</t>
  </si>
  <si>
    <t>ACSMS-TC-018-003</t>
  </si>
  <si>
    <t>VP-F-02</t>
  </si>
  <si>
    <t>Tìm kiếm chi tiết Hanbaiten bởi CHUOKAI — chỉ xem được trong phạm vi 中央会 quản lý</t>
  </si>
  <si>
    <t>・role: CHUOKAI (thuộc chuokai-001)
・JA quản lý: ja-001, ja-002 (dưới chuokai-001)
・JA của 中央会 khác: ja-099 (dưới chuokai-002)
・Đã login + đã xác thực MFA</t>
  </si>
  <si>
    <t>大量データ表示性能</t>
  </si>
  <si>
    <r>
      <rPr>
        <rFont val="游ゴシック"/>
        <b/>
        <color rgb="FF000000"/>
        <sz val="10.0"/>
      </rPr>
      <t xml:space="preserve">ステップ1：
</t>
    </r>
    <r>
      <rPr>
        <rFont val="游ゴシック"/>
        <color rgb="FF000000"/>
        <sz val="10.0"/>
      </rPr>
      <t xml:space="preserve">Truy cập URL `/hanbaiten`
</t>
    </r>
    <r>
      <rPr>
        <rFont val="游ゴシック"/>
        <b/>
        <color rgb="FF000000"/>
        <sz val="10.0"/>
      </rPr>
      <t xml:space="preserve">ステップ2：
</t>
    </r>
    <r>
      <rPr>
        <rFont val="游ゴシック"/>
        <color rgb="FF000000"/>
        <sz val="10.0"/>
      </rPr>
      <t xml:space="preserve">Kiểm tra response của GET `/api/v1/hanbaiten` qua DevTools
</t>
    </r>
    <r>
      <rPr>
        <rFont val="游ゴシック"/>
        <b/>
        <color rgb="FF000000"/>
        <sz val="10.0"/>
      </rPr>
      <t xml:space="preserve">ステップ3：
</t>
    </r>
    <r>
      <rPr>
        <rFont val="游ゴシック"/>
        <color rgb="FF000000"/>
        <sz val="10.0"/>
      </rPr>
      <t>Dùng DevTools gửi DELETE `/api/v1/hanbaiten/{hanbaiten_id của 中央会 khác}`</t>
    </r>
  </si>
  <si>
    <t>一覧／レポート画面</t>
  </si>
  <si>
    <r>
      <rPr>
        <rFont val="游ゴシック"/>
        <b/>
        <color rgb="FF000000"/>
        <sz val="10.0"/>
      </rPr>
      <t xml:space="preserve">ステップ1：
</t>
    </r>
    <r>
      <rPr>
        <rFont val="游ゴシック"/>
        <color rgb="FF000000"/>
        <sz val="10.0"/>
      </rPr>
      <t xml:space="preserve">Màn tìm kiếm chi tiết Hanbaiten được hiển thị, button xóa được active
</t>
    </r>
    <r>
      <rPr>
        <rFont val="游ゴシック"/>
        <b/>
        <color rgb="FF000000"/>
        <sz val="10.0"/>
      </rPr>
      <t xml:space="preserve">ステップ2：
</t>
    </r>
    <r>
      <rPr>
        <rFont val="游ゴシック"/>
        <color rgb="FF000000"/>
        <sz val="10.0"/>
      </rPr>
      <t xml:space="preserve">Chỉ trả về Hanbaiten của JA quản lý (ja-001, ja-002), Hanbaiten của ja-099 không được trả về
</t>
    </r>
    <r>
      <rPr>
        <rFont val="游ゴシック"/>
        <b/>
        <color rgb="FF000000"/>
        <sz val="10.0"/>
      </rPr>
      <t xml:space="preserve">ステップ3：
</t>
    </r>
    <r>
      <rPr>
        <rFont val="游ゴシック"/>
        <color rgb="FF000000"/>
        <sz val="10.0"/>
      </rPr>
      <t xml:space="preserve">Trả về HTTP 404 (`error_code: DATA_SCOPE_VIOLATION`, message `指定された販売店が見つかりません。`)
</t>
    </r>
    <r>
      <rPr>
        <rFont val="游ゴシック"/>
        <b/>
        <color rgb="FF000000"/>
        <sz val="10.0"/>
      </rPr>
      <t xml:space="preserve">補足：
</t>
    </r>
    <r>
      <rPr>
        <rFont val="游ゴシック"/>
        <color rgb="FF000000"/>
        <sz val="10.0"/>
      </rPr>
      <t xml:space="preserve">・Nhờ Layer 2 DataScope, Hanbaiten của JA ngoài phạm vi quản lý bị từ chối cả việc xem lẫn xóa
</t>
    </r>
  </si>
  <si>
    <t>CHUOKAI chỉ có thể xem/xóa Hanbaiten dưới các JA mà mình quản lý.</t>
  </si>
  <si>
    <t>ACSMS-TC-018-004</t>
  </si>
  <si>
    <t>2. 観点ID 命名規約・グループ凡例</t>
  </si>
  <si>
    <t>Tìm kiếm chi tiết Hanbaiten bởi JA_HONTEN — chỉ xem được trong phạm vi JA của mình</t>
  </si>
  <si>
    <t>・role: JA_HONTEN (thuộc ja-001)
・Đã login + đã xác thực MFA</t>
  </si>
  <si>
    <t>グループ</t>
  </si>
  <si>
    <t>接頭辞</t>
  </si>
  <si>
    <r>
      <rPr>
        <rFont val="游ゴシック"/>
        <b/>
        <color rgb="FF000000"/>
        <sz val="10.0"/>
      </rPr>
      <t xml:space="preserve">ステップ1：
</t>
    </r>
    <r>
      <rPr>
        <rFont val="游ゴシック"/>
        <color rgb="FF000000"/>
        <sz val="10.0"/>
      </rPr>
      <t xml:space="preserve">Truy cập URL `/hanbaiten`
</t>
    </r>
    <r>
      <rPr>
        <rFont val="游ゴシック"/>
        <b/>
        <color rgb="FF000000"/>
        <sz val="10.0"/>
      </rPr>
      <t xml:space="preserve">ステップ2：
</t>
    </r>
    <r>
      <rPr>
        <rFont val="游ゴシック"/>
        <color rgb="FF000000"/>
        <sz val="10.0"/>
      </rPr>
      <t xml:space="preserve">Kiểm tra response của GET `/api/v1/hanbaiten`
</t>
    </r>
    <r>
      <rPr>
        <rFont val="游ゴシック"/>
        <b/>
        <color rgb="FF000000"/>
        <sz val="10.0"/>
      </rPr>
      <t xml:space="preserve">ステップ3：
</t>
    </r>
    <r>
      <rPr>
        <rFont val="游ゴシック"/>
        <color rgb="FF000000"/>
        <sz val="10.0"/>
      </rPr>
      <t>Dùng DevTools gửi DELETE `/api/v1/hanbaiten/{hanbaiten_id của JA khác}`</t>
    </r>
  </si>
  <si>
    <t>名称</t>
  </si>
  <si>
    <r>
      <rPr>
        <rFont val="メイリオ"/>
        <b/>
        <color rgb="FF000000"/>
        <sz val="10.0"/>
      </rPr>
      <t xml:space="preserve">ステップ1：
</t>
    </r>
    <r>
      <rPr>
        <rFont val="メイリオ"/>
        <color rgb="FF000000"/>
        <sz val="10.0"/>
      </rPr>
      <t xml:space="preserve">Màn tìm kiếm chi tiết Hanbaiten được hiển thị, button xóa được active
</t>
    </r>
    <r>
      <rPr>
        <rFont val="メイリオ"/>
        <b/>
        <color rgb="FF000000"/>
        <sz val="10.0"/>
      </rPr>
      <t xml:space="preserve">ステップ2：
</t>
    </r>
    <r>
      <rPr>
        <rFont val="メイリオ"/>
        <color rgb="FF000000"/>
        <sz val="10.0"/>
      </rPr>
      <t xml:space="preserve">Chỉ trả về Hanbaiten của ja_id=1, Hanbaiten của JA khác không được trả về
</t>
    </r>
    <r>
      <rPr>
        <rFont val="メイリオ"/>
        <b/>
        <color rgb="FF000000"/>
        <sz val="10.0"/>
      </rPr>
      <t xml:space="preserve">ステップ3：
</t>
    </r>
    <r>
      <rPr>
        <rFont val="メイリオ"/>
        <color rgb="FF000000"/>
        <sz val="10.0"/>
      </rPr>
      <t xml:space="preserve">Trả về HTTP 403 (`error_code: DATA_SCOPE_VIOLATION`)
</t>
    </r>
    <r>
      <rPr>
        <rFont val="メイリオ"/>
        <b/>
        <color rgb="FF000000"/>
        <sz val="10.0"/>
      </rPr>
      <t xml:space="preserve">補足：
</t>
    </r>
    <r>
      <rPr>
        <rFont val="メイリオ"/>
        <color rgb="FF000000"/>
        <sz val="10.0"/>
      </rPr>
      <t xml:space="preserve">・JA_HONTEN chỉ có thể thao tác Hanbaiten dưới JA của mình
</t>
    </r>
    <r>
      <rPr>
        <rFont val="メイリオ"/>
        <color rgb="FF000000"/>
        <sz val="10.0"/>
      </rPr>
      <t>・Data của JA khác bị từ chối bởi Layer 2 DataScope</t>
    </r>
  </si>
  <si>
    <t>観点数</t>
  </si>
  <si>
    <t>リスク傾向</t>
  </si>
  <si>
    <t>代表的なテスト観点</t>
  </si>
  <si>
    <t>VP-A-NN</t>
  </si>
  <si>
    <t>セキュリティ・権限</t>
  </si>
  <si>
    <t>RBAC、DataScope、項目レベル制限、URL直接攻撃、セッション失効、XSS、CSRF、レート制限、アカウントロック、SQL注入</t>
  </si>
  <si>
    <t>B</t>
  </si>
  <si>
    <t>ACSMS-TC-018-005</t>
  </si>
  <si>
    <t>VP-B-NN</t>
  </si>
  <si>
    <t>Tìm kiếm chi tiết Hanbaiten bởi JA_KANRI_SHITEN — chỉ xem được trong phạm vi JA của mình</t>
  </si>
  <si>
    <t>データバリデーション</t>
  </si>
  <si>
    <t>・role: JA_KANRI_SHITEN (thuộc ja-001 / kanri_shiten-001)
・Đã login + đã xác thực MFA</t>
  </si>
  <si>
    <t>必須／長さ／形式／半角全角／日付／通貨／m_code／重複キー／IME・貼付ハンドリング</t>
  </si>
  <si>
    <r>
      <rPr>
        <rFont val="メイリオ"/>
        <b/>
        <color rgb="FF000000"/>
        <sz val="10.0"/>
      </rPr>
      <t xml:space="preserve">ステップ1：
</t>
    </r>
    <r>
      <rPr>
        <rFont val="メイリオ"/>
        <color rgb="FF000000"/>
        <sz val="10.0"/>
      </rPr>
      <t xml:space="preserve">Truy cập URL `/hanbaiten`
</t>
    </r>
    <r>
      <rPr>
        <rFont val="メイリオ"/>
        <b/>
        <color rgb="FF000000"/>
        <sz val="10.0"/>
      </rPr>
      <t xml:space="preserve">ステップ2：
</t>
    </r>
    <r>
      <rPr>
        <rFont val="メイリオ"/>
        <color rgb="FF000000"/>
        <sz val="10.0"/>
      </rPr>
      <t xml:space="preserve">Kiểm tra response của GET `/api/v1/hanbaiten`
</t>
    </r>
    <r>
      <rPr>
        <rFont val="メイリオ"/>
        <b/>
        <color rgb="FF000000"/>
        <sz val="10.0"/>
      </rPr>
      <t xml:space="preserve">ステップ3：
</t>
    </r>
    <r>
      <rPr>
        <rFont val="メイリオ"/>
        <color rgb="FF000000"/>
        <sz val="10.0"/>
      </rPr>
      <t>Click button xóa trên row bất kỳ</t>
    </r>
  </si>
  <si>
    <t>C</t>
  </si>
  <si>
    <t>VP-C-NN</t>
  </si>
  <si>
    <t>業務ロジック</t>
  </si>
  <si>
    <r>
      <rPr>
        <rFont val="メイリオ"/>
        <b/>
        <color rgb="FF000000"/>
        <sz val="10.0"/>
      </rPr>
      <t xml:space="preserve">ステップ1：
</t>
    </r>
    <r>
      <rPr>
        <rFont val="メイリオ"/>
        <color rgb="FF000000"/>
        <sz val="10.0"/>
      </rPr>
      <t xml:space="preserve">Màn tìm kiếm chi tiết Hanbaiten được hiển thị, button xóa được active
</t>
    </r>
    <r>
      <rPr>
        <rFont val="メイリオ"/>
        <b/>
        <color rgb="FF000000"/>
        <sz val="10.0"/>
      </rPr>
      <t xml:space="preserve">ステップ2：
</t>
    </r>
    <r>
      <rPr>
        <rFont val="メイリオ"/>
        <color rgb="FF000000"/>
        <sz val="10.0"/>
      </rPr>
      <t xml:space="preserve">Trả về danh sách Hanbaiten của ja_id=1 (do Hanbaiten quản lý theo đơn vị JA nên có thể xem toàn bộ Hanbaiten dưới JA của mình)
</t>
    </r>
    <r>
      <rPr>
        <rFont val="メイリオ"/>
        <b/>
        <color rgb="FF000000"/>
        <sz val="10.0"/>
      </rPr>
      <t xml:space="preserve">ステップ3：
</t>
    </r>
    <r>
      <rPr>
        <rFont val="メイリオ"/>
        <color rgb="FF000000"/>
        <sz val="10.0"/>
      </rPr>
      <t xml:space="preserve">Hiển thị dialog confirm xóa (message `この販売店を削除してもよろしいですか？`)
</t>
    </r>
    <r>
      <rPr>
        <rFont val="メイリオ"/>
        <b/>
        <color rgb="FF000000"/>
        <sz val="10.0"/>
      </rPr>
      <t xml:space="preserve">補足：
</t>
    </r>
    <r>
      <rPr>
        <rFont val="メイリオ"/>
        <color rgb="FF000000"/>
        <sz val="10.0"/>
      </rPr>
      <t xml:space="preserve">・JA_KANRI_SHITEN có thể xem/xóa Hanbaiten dưới JA của mình
</t>
    </r>
    <r>
      <rPr>
        <rFont val="メイリオ"/>
        <color rgb="FF000000"/>
        <sz val="10.0"/>
      </rPr>
      <t>・Theo `account_concept.md` ※5, Hanbaiten quản lý theo đơn vị JA</t>
    </r>
  </si>
  <si>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</si>
  <si>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</si>
  <si>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</si>
  <si>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</si>
  <si>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</si>
  <si>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</si>
  <si>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</si>
  <si>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Hiển thị màn hình &amp; Responsive (Layout &amp; Responsive)</t>
  </si>
  <si>
    <t>非機能・ユーザビリティ</t>
  </si>
  <si>
    <t>低〜中</t>
  </si>
  <si>
    <t>レイアウト、レスポンシブ、キーボード操作、ブラウザ互換、マルチタブ同期、未保存変更ガード</t>
  </si>
  <si>
    <t>F</t>
  </si>
  <si>
    <t>VP-F-NN</t>
  </si>
  <si>
    <t>性能</t>
  </si>
  <si>
    <t>ACSMS-TC-018-006</t>
  </si>
  <si>
    <t>Hiển thị ban đầu — form tìm kiếm trống, danh sách default</t>
  </si>
  <si>
    <t>性能ベンチマーク、大量データ表示性能</t>
  </si>
  <si>
    <t>・role: JA_HONTEN
・Đã login + đã xác thực MFA
・Tồn tại từ 20 bản ghi Hanbaiten trở lên dưới JA của mình</t>
  </si>
  <si>
    <r>
      <rPr>
        <rFont val="メイリオ"/>
        <b/>
        <color rgb="FF000000"/>
        <sz val="10.0"/>
      </rPr>
      <t xml:space="preserve">ステップ1：
</t>
    </r>
    <r>
      <rPr>
        <rFont val="メイリオ"/>
        <color rgb="FF000000"/>
        <sz val="10.0"/>
      </rPr>
      <t xml:space="preserve">Truy cập URL `/hanbaiten`
</t>
    </r>
    <r>
      <rPr>
        <rFont val="メイリオ"/>
        <b/>
        <color rgb="FF000000"/>
        <sz val="10.0"/>
      </rPr>
      <t xml:space="preserve">ステップ2：
</t>
    </r>
    <r>
      <rPr>
        <rFont val="メイリオ"/>
        <color rgb="FF000000"/>
        <sz val="10.0"/>
      </rPr>
      <t xml:space="preserve">Kiểm tra giá trị khởi tạo của 7 mục trên form tìm kiếm
</t>
    </r>
    <r>
      <rPr>
        <rFont val="メイリオ"/>
        <b/>
        <color rgb="FF000000"/>
        <sz val="10.0"/>
      </rPr>
      <t xml:space="preserve">ステップ3：
</t>
    </r>
    <r>
      <rPr>
        <rFont val="メイリオ"/>
        <color rgb="FF000000"/>
        <sz val="10.0"/>
      </rPr>
      <t>Kiểm tra số dòng và hiển thị pagination của table kết quả tìm kiếm</t>
    </r>
  </si>
  <si>
    <t>命名規約：VP-{グループ記号}-{NN} 形式（NN はグループ内の2桁連番）。新規観点は同グループの末尾に追加する（例：VP-A-11）。グループ記号はリスク軸による分類で、JSTQB FL の品質特性区分に準拠する。</t>
  </si>
  <si>
    <r>
      <rPr>
        <rFont val="メイリオ"/>
        <b/>
        <color rgb="FF000000"/>
        <sz val="10.0"/>
      </rPr>
      <t xml:space="preserve">ステップ1：
</t>
    </r>
    <r>
      <rPr>
        <rFont val="メイリオ"/>
        <color rgb="FF000000"/>
        <sz val="10.0"/>
      </rPr>
      <t xml:space="preserve">Màn tìm kiếm chi tiết Hanbaiten được hiển thị
</t>
    </r>
    <r>
      <rPr>
        <rFont val="メイリオ"/>
        <b/>
        <color rgb="FF000000"/>
        <sz val="10.0"/>
      </rPr>
      <t xml:space="preserve">ステップ2：
</t>
    </r>
    <r>
      <rPr>
        <rFont val="メイリオ"/>
        <color rgb="FF000000"/>
        <sz val="10.0"/>
      </rPr>
      <t xml:space="preserve">Tất cả `hanbaiten_code`, `hanbaiten_name`, `tel`, `fax`, `address`, `shocho_name`, `haiten_flg` ở trạng thái trống / giá trị khởi tạo (haiten_flg=false)
</t>
    </r>
    <r>
      <rPr>
        <rFont val="メイリオ"/>
        <b/>
        <color rgb="FF000000"/>
        <sz val="10.0"/>
      </rPr>
      <t xml:space="preserve">ステップ3：
</t>
    </r>
    <r>
      <rPr>
        <rFont val="メイリオ"/>
        <color rgb="FF000000"/>
        <sz val="10.0"/>
      </rPr>
      <t xml:space="preserve">GET `/api/v1/hanbaiten` được gọi với tham số default (page=1, per_page=20, sort_by=hanbaiten_code, sort_order=asc, haiten_flg=false), tối đa 20 bản ghi Hanbaiten có deleted_at IS NULL và haiten_flg=false được hiển thị
</t>
    </r>
    <r>
      <rPr>
        <rFont val="メイリオ"/>
        <b/>
        <color rgb="FF000000"/>
        <sz val="10.0"/>
      </rPr>
      <t xml:space="preserve">補足：
</t>
    </r>
    <r>
      <rPr>
        <rFont val="メイリオ"/>
        <color rgb="FF000000"/>
        <sz val="10.0"/>
      </rPr>
      <t xml:space="preserve">・Khi hiển thị ban đầu, row 廃店 (haiten_flg=true) bị ẩn
</t>
    </r>
    <r>
      <rPr>
        <rFont val="メイリオ"/>
        <color rgb="FF000000"/>
        <sz val="10.0"/>
      </rPr>
      <t>・Row đã xóa logical (deleted_at IS NOT NULL) cũng bị ẩn</t>
    </r>
  </si>
  <si>
    <t>ACSMS-TC-018-007</t>
  </si>
  <si>
    <t>Form tìm kiếm — xác nhận render 7 mục</t>
  </si>
  <si>
    <t>・role: JA_HONTEN
・Đã login + đã xác thực MFA</t>
  </si>
  <si>
    <r>
      <rPr>
        <rFont val="メイリオ"/>
        <b/>
        <color rgb="FF000000"/>
        <sz val="10.0"/>
      </rPr>
      <t xml:space="preserve">ステップ1：
</t>
    </r>
    <r>
      <rPr>
        <rFont val="メイリオ"/>
        <color rgb="FF000000"/>
        <sz val="10.0"/>
      </rPr>
      <t xml:space="preserve">Truy cập `/hanbaiten`, kiểm tra toàn bộ các mục của form tìm kiếm
</t>
    </r>
    <r>
      <rPr>
        <rFont val="メイリオ"/>
        <b/>
        <color rgb="FF000000"/>
        <sz val="10.0"/>
      </rPr>
      <t xml:space="preserve">ステップ2：
</t>
    </r>
    <r>
      <rPr>
        <rFont val="メイリオ"/>
        <color rgb="FF000000"/>
        <sz val="10.0"/>
      </rPr>
      <t xml:space="preserve">Kiểm tra thuộc tính maxlength của từng ô input text qua DevTools
</t>
    </r>
    <r>
      <rPr>
        <rFont val="メイリオ"/>
        <b/>
        <color rgb="FF000000"/>
        <sz val="10.0"/>
      </rPr>
      <t xml:space="preserve">ステップ3：
</t>
    </r>
    <r>
      <rPr>
        <rFont val="メイリオ"/>
        <color rgb="FF000000"/>
        <sz val="10.0"/>
      </rPr>
      <t>Kiểm tra trạng thái khởi tạo của checkbox haiten_flg</t>
    </r>
  </si>
  <si>
    <r>
      <rPr>
        <rFont val="メイリオ"/>
        <b/>
        <color rgb="FF000000"/>
        <sz val="10.0"/>
      </rPr>
      <t xml:space="preserve">ステップ1：
</t>
    </r>
    <r>
      <rPr>
        <rFont val="メイリオ"/>
        <color rgb="FF000000"/>
        <sz val="10.0"/>
      </rPr>
      <t xml:space="preserve">7 mục `hanbaiten_code`, `hanbaiten_name`, `tel`, `fax`, `address`, `shocho_name`, `haiten_flg` được hiển thị trên màn hình
</t>
    </r>
    <r>
      <rPr>
        <rFont val="メイリオ"/>
        <b/>
        <color rgb="FF000000"/>
        <sz val="10.0"/>
      </rPr>
      <t xml:space="preserve">ステップ2：
</t>
    </r>
    <r>
      <rPr>
        <rFont val="メイリオ"/>
        <color rgb="FF000000"/>
        <sz val="10.0"/>
      </rPr>
      <t xml:space="preserve">hanbaiten_code: maxlength=10, hanbaiten_name: 100, tel: 15, fax: 15, address: 200, shocho_name: 50 được set
</t>
    </r>
    <r>
      <rPr>
        <rFont val="メイリオ"/>
        <b/>
        <color rgb="FF000000"/>
        <sz val="10.0"/>
      </rPr>
      <t xml:space="preserve">ステップ3：
</t>
    </r>
    <r>
      <rPr>
        <rFont val="メイリオ"/>
        <color rgb="FF000000"/>
        <sz val="10.0"/>
      </rPr>
      <t xml:space="preserve">Checkbox haiten_flg ở trạng thái chưa check (false), label "廃店を含む" được hiển thị
</t>
    </r>
    <r>
      <rPr>
        <rFont val="メイリオ"/>
        <b/>
        <color rgb="FF000000"/>
        <sz val="10.0"/>
      </rPr>
      <t xml:space="preserve">補足：
</t>
    </r>
    <r>
      <rPr>
        <rFont val="メイリオ"/>
        <color rgb="FF000000"/>
        <sz val="10.0"/>
      </rPr>
      <t>・Số ký tự tối đa của từng mục phải khớp với validation của API</t>
    </r>
  </si>
  <si>
    <t>ACSMS-TC-018-008</t>
  </si>
  <si>
    <t>Table kết quả tìm kiếm — xác nhận hiển thị toàn bộ 13 cột + cột thao tác</t>
  </si>
  <si>
    <t>・role: JA_HONTEN
・Đã login + đã xác thực MFA
・Có data Hanbaiten dưới JA của mình</t>
  </si>
  <si>
    <r>
      <rPr>
        <rFont val="メイリオ"/>
        <b/>
        <color rgb="FF000000"/>
        <sz val="10.0"/>
      </rPr>
      <t xml:space="preserve">ステップ1：
</t>
    </r>
    <r>
      <rPr>
        <rFont val="メイリオ"/>
        <color rgb="FF000000"/>
        <sz val="10.0"/>
      </rPr>
      <t xml:space="preserve">Truy cập `/hanbaiten`, kiểm tra header các cột trên table kết quả tìm kiếm
</t>
    </r>
    <r>
      <rPr>
        <rFont val="メイリオ"/>
        <b/>
        <color rgb="FF000000"/>
        <sz val="10.0"/>
      </rPr>
      <t xml:space="preserve">ステップ2：
</t>
    </r>
    <r>
      <rPr>
        <rFont val="メイリオ"/>
        <color rgb="FF000000"/>
        <sz val="10.0"/>
      </rPr>
      <t>Kiểm tra thứ tự hiển thị của từng cột</t>
    </r>
  </si>
  <si>
    <r>
      <rPr>
        <rFont val="メイリオ"/>
        <b/>
        <color rgb="FF000000"/>
        <sz val="10.0"/>
      </rPr>
      <t xml:space="preserve">ステップ1：
</t>
    </r>
    <r>
      <rPr>
        <rFont val="メイリオ"/>
        <color rgb="FF000000"/>
        <sz val="10.0"/>
      </rPr>
      <t xml:space="preserve">13 cột `hanbaiten_code`, `hanbaiten_name`, `todofuken_name`, `yubin_no`, `address`, `tel`, `fax`, `shocho_name`, `itaku_kubun`, `haitatsuryo_shiharai_cycle`, `tesuryo_kubun`, `tesuryo_amount`, 操作 được hiển thị
</t>
    </r>
    <r>
      <rPr>
        <rFont val="メイリオ"/>
        <b/>
        <color rgb="FF000000"/>
        <sz val="10.0"/>
      </rPr>
      <t xml:space="preserve">ステップ2：
</t>
    </r>
    <r>
      <rPr>
        <rFont val="メイリオ"/>
        <color rgb="FF000000"/>
        <sz val="10.0"/>
      </rPr>
      <t xml:space="preserve">Thứ tự cột là 販売店コード → 販売店名 → 都道府県名 → 郵便番号 → 住所 → 電話番号 → FAX番号 → 所長名 → 委託区分 → 配達手数料支払サイクル → 手数料区分 → 手数料金額 → 操作
</t>
    </r>
    <r>
      <rPr>
        <rFont val="メイリオ"/>
        <b/>
        <color rgb="FF000000"/>
        <sz val="10.0"/>
      </rPr>
      <t xml:space="preserve">補足：
</t>
    </r>
    <r>
      <rPr>
        <rFont val="メイリオ"/>
        <color rgb="FF000000"/>
        <sz val="10.0"/>
      </rPr>
      <t>・v1.2 thêm cột `todofuken_name`, `haitatsuryo_shiharai_cycle` / `tesuryo_kubun` được rename ở v1.2</t>
    </r>
  </si>
  <si>
    <t>ACSMS-TC-018-009</t>
  </si>
  <si>
    <t>Nhóm button — xác nhận hiển thị 検索 / 検索クリア / 新規登録</t>
  </si>
  <si>
    <r>
      <rPr>
        <rFont val="メイリオ"/>
        <b/>
        <color rgb="FF000000"/>
        <sz val="10.0"/>
      </rPr>
      <t xml:space="preserve">ステップ1：
</t>
    </r>
    <r>
      <rPr>
        <rFont val="メイリオ"/>
        <color rgb="FF000000"/>
        <sz val="10.0"/>
      </rPr>
      <t xml:space="preserve">Truy cập `/hanbaiten`, kiểm tra các button phía trên màn hình
</t>
    </r>
    <r>
      <rPr>
        <rFont val="メイリオ"/>
        <b/>
        <color rgb="FF000000"/>
        <sz val="10.0"/>
      </rPr>
      <t xml:space="preserve">ステップ2：
</t>
    </r>
    <r>
      <rPr>
        <rFont val="メイリオ"/>
        <color rgb="FF000000"/>
        <sz val="10.0"/>
      </rPr>
      <t>Kiểm tra việc từng button được active</t>
    </r>
  </si>
  <si>
    <r>
      <rPr>
        <rFont val="游ゴシック"/>
        <b/>
        <color rgb="FF000000"/>
        <sz val="10.0"/>
      </rPr>
      <t xml:space="preserve">ステップ1：
</t>
    </r>
    <r>
      <rPr>
        <rFont val="游ゴシック"/>
        <color rgb="FF000000"/>
        <sz val="10.0"/>
      </rPr>
      <t xml:space="preserve">3 button "検索" "検索クリア" "新規登録" được hiển thị
</t>
    </r>
    <r>
      <rPr>
        <rFont val="游ゴシック"/>
        <b/>
        <color rgb="FF000000"/>
        <sz val="10.0"/>
      </rPr>
      <t xml:space="preserve">ステップ2：
</t>
    </r>
    <r>
      <rPr>
        <rFont val="游ゴシック"/>
        <color rgb="FF000000"/>
        <sz val="10.0"/>
      </rPr>
      <t xml:space="preserve">Cả 3 button được active và có thể click (button "新規登録" chỉ active khi có quyền `hanbaiten.create`, ngoài ra bị disable)
</t>
    </r>
    <r>
      <rPr>
        <rFont val="游ゴシック"/>
        <b/>
        <color rgb="FF000000"/>
        <sz val="10.0"/>
      </rPr>
      <t xml:space="preserve">補足：
</t>
    </r>
    <r>
      <rPr>
        <rFont val="游ゴシック"/>
        <color rgb="FF000000"/>
        <sz val="10.0"/>
      </rPr>
      <t>・JA_HONTEN có quyền `hanbaiten.create` nên "新規登録" được active
・NICHINO_STAFF chỉ có quyền view nên việc bị ẩn/disable được verify ở TC riêng</t>
    </r>
  </si>
  <si>
    <t>ACSMS-TC-018-010</t>
  </si>
  <si>
    <t>Responsive — hiển thị ở khổ mobile (375px)</t>
  </si>
  <si>
    <r>
      <rPr>
        <rFont val="メイリオ"/>
        <b/>
        <color rgb="FF000000"/>
        <sz val="10.0"/>
      </rPr>
      <t xml:space="preserve">ステップ1：
</t>
    </r>
    <r>
      <rPr>
        <rFont val="メイリオ"/>
        <color rgb="FF000000"/>
        <sz val="10.0"/>
      </rPr>
      <t xml:space="preserve">Set khổ màn hình thành 375px (iPhone SE) qua DevTools
</t>
    </r>
    <r>
      <rPr>
        <rFont val="メイリオ"/>
        <b/>
        <color rgb="FF000000"/>
        <sz val="10.0"/>
      </rPr>
      <t xml:space="preserve">ステップ2：
</t>
    </r>
    <r>
      <rPr>
        <rFont val="メイリオ"/>
        <color rgb="FF000000"/>
        <sz val="10.0"/>
      </rPr>
      <t xml:space="preserve">Hiển thị `/hanbaiten`
</t>
    </r>
    <r>
      <rPr>
        <rFont val="メイリオ"/>
        <b/>
        <color rgb="FF000000"/>
        <sz val="10.0"/>
      </rPr>
      <t xml:space="preserve">ステップ3：
</t>
    </r>
    <r>
      <rPr>
        <rFont val="メイリオ"/>
        <color rgb="FF000000"/>
        <sz val="10.0"/>
      </rPr>
      <t>Kiểm tra hiển thị của form tìm kiếm và table kết quả</t>
    </r>
  </si>
  <si>
    <r>
      <rPr>
        <rFont val="メイリオ"/>
        <b/>
        <color rgb="FF000000"/>
        <sz val="10.0"/>
      </rPr>
      <t xml:space="preserve">ステップ1：
</t>
    </r>
    <r>
      <rPr>
        <rFont val="メイリオ"/>
        <color rgb="FF000000"/>
        <sz val="10.0"/>
      </rPr>
      <t xml:space="preserve">Khổ màn hình được set thành 375px
</t>
    </r>
    <r>
      <rPr>
        <rFont val="メイリオ"/>
        <b/>
        <color rgb="FF000000"/>
        <sz val="10.0"/>
      </rPr>
      <t xml:space="preserve">ステップ2：
</t>
    </r>
    <r>
      <rPr>
        <rFont val="メイリオ"/>
        <color rgb="FF000000"/>
        <sz val="10.0"/>
      </rPr>
      <t xml:space="preserve">Màn tìm kiếm chi tiết Hanbaiten được hiển thị không bị vỡ layout
</t>
    </r>
    <r>
      <rPr>
        <rFont val="メイリオ"/>
        <b/>
        <color rgb="FF000000"/>
        <sz val="10.0"/>
      </rPr>
      <t xml:space="preserve">ステップ3：
</t>
    </r>
    <r>
      <rPr>
        <rFont val="メイリオ"/>
        <color rgb="FF000000"/>
        <sz val="10.0"/>
      </rPr>
      <t xml:space="preserve">Form tìm kiếm được stack theo chiều dọc, table kết quả có thể scroll ngang, pagination được hiển thị wrap
</t>
    </r>
    <r>
      <rPr>
        <rFont val="メイリオ"/>
        <b/>
        <color rgb="FF000000"/>
        <sz val="10.0"/>
      </rPr>
      <t xml:space="preserve">補足：
</t>
    </r>
    <r>
      <rPr>
        <rFont val="メイリオ"/>
        <color rgb="FF000000"/>
        <sz val="10.0"/>
      </rPr>
      <t>・Ngay cả ở khổ mobile, toàn bộ chức năng (tìm kiếm / xóa / chuyển sang chỉnh sửa) đều có thể thao tác</t>
    </r>
  </si>
  <si>
    <t>ACSMS-TC-018-011</t>
  </si>
  <si>
    <t>Xác nhận hiển thị icon sort ▲▼</t>
  </si>
  <si>
    <r>
      <rPr>
        <rFont val="メイリオ"/>
        <b/>
        <color rgb="FF000000"/>
        <sz val="10.0"/>
      </rPr>
      <t xml:space="preserve">ステップ1：
</t>
    </r>
    <r>
      <rPr>
        <rFont val="メイリオ"/>
        <color rgb="FF000000"/>
        <sz val="10.0"/>
      </rPr>
      <t xml:space="preserve">Truy cập `/hanbaiten`, kiểm tra icon trên header cột `hanbaiten_code` ở trạng thái khởi tạo
</t>
    </r>
    <r>
      <rPr>
        <rFont val="メイリオ"/>
        <b/>
        <color rgb="FF000000"/>
        <sz val="10.0"/>
      </rPr>
      <t xml:space="preserve">ステップ2：
</t>
    </r>
    <r>
      <rPr>
        <rFont val="メイリオ"/>
        <color rgb="FF000000"/>
        <sz val="10.0"/>
      </rPr>
      <t xml:space="preserve">Click header cột `hanbaiten_code`, kiểm tra thay đổi icon
</t>
    </r>
    <r>
      <rPr>
        <rFont val="メイリオ"/>
        <b/>
        <color rgb="FF000000"/>
        <sz val="10.0"/>
      </rPr>
      <t xml:space="preserve">ステップ3：
</t>
    </r>
    <r>
      <rPr>
        <rFont val="メイリオ"/>
        <color rgb="FF000000"/>
        <sz val="10.0"/>
      </rPr>
      <t>Click thêm 2 lần nữa, kiểm tra thay đổi icon</t>
    </r>
  </si>
  <si>
    <r>
      <rPr>
        <rFont val="メイリオ"/>
        <b/>
        <color rgb="FF000000"/>
        <sz val="10.0"/>
      </rPr>
      <t xml:space="preserve">ステップ1：
</t>
    </r>
    <r>
      <rPr>
        <rFont val="メイリオ"/>
        <color rgb="FF000000"/>
        <sz val="10.0"/>
      </rPr>
      <t xml:space="preserve">Icon ▲ (ASC) được hiển thị trên cột `hanbaiten_code` (sort mặc định)
</t>
    </r>
    <r>
      <rPr>
        <rFont val="メイリオ"/>
        <b/>
        <color rgb="FF000000"/>
        <sz val="10.0"/>
      </rPr>
      <t xml:space="preserve">ステップ2：
</t>
    </r>
    <r>
      <rPr>
        <rFont val="メイリオ"/>
        <color rgb="FF000000"/>
        <sz val="10.0"/>
      </rPr>
      <t xml:space="preserve">Sau click lần 1, icon đổi thành ▼ (DESC)
</t>
    </r>
    <r>
      <rPr>
        <rFont val="メイリオ"/>
        <b/>
        <color rgb="FF000000"/>
        <sz val="10.0"/>
      </rPr>
      <t xml:space="preserve">ステップ3：
</t>
    </r>
    <r>
      <rPr>
        <rFont val="メイリオ"/>
        <color rgb="FF000000"/>
        <sz val="10.0"/>
      </rPr>
      <t xml:space="preserve">Sau click lần 2, icon biến mất (none); sau click lần 3, icon ▲ được hiển thị trở lại
</t>
    </r>
    <r>
      <rPr>
        <rFont val="メイリオ"/>
        <b/>
        <color rgb="FF000000"/>
        <sz val="10.0"/>
      </rPr>
      <t xml:space="preserve">補足：
</t>
    </r>
    <r>
      <rPr>
        <rFont val="メイリオ"/>
        <color rgb="FF000000"/>
        <sz val="10.0"/>
      </rPr>
      <t xml:space="preserve">・Chu kỳ 3 trạng thái: ASC → DESC → none → ASC ...
</t>
    </r>
    <r>
      <rPr>
        <rFont val="メイリオ"/>
        <color rgb="FF000000"/>
        <sz val="10.0"/>
      </rPr>
      <t>・Chỉ 2 cột `hanbaiten_code` và `hanbaiten_name` có thể sort</t>
    </r>
  </si>
  <si>
    <t>Header &amp; Breadcrumb</t>
  </si>
  <si>
    <t>ACSMS-TC-018-012</t>
  </si>
  <si>
    <t>Xác nhận hiển thị tiêu đề trang</t>
  </si>
  <si>
    <r>
      <rPr>
        <rFont val="メイリオ"/>
        <b/>
        <color rgb="FF000000"/>
        <sz val="10.0"/>
      </rPr>
      <t xml:space="preserve">ステップ1：
</t>
    </r>
    <r>
      <rPr>
        <rFont val="メイリオ"/>
        <color rgb="FF000000"/>
        <sz val="10.0"/>
      </rPr>
      <t xml:space="preserve">Truy cập `/hanbaiten`
</t>
    </r>
    <r>
      <rPr>
        <rFont val="メイリオ"/>
        <b/>
        <color rgb="FF000000"/>
        <sz val="10.0"/>
      </rPr>
      <t xml:space="preserve">ステップ2：
</t>
    </r>
    <r>
      <rPr>
        <rFont val="メイリオ"/>
        <color rgb="FF000000"/>
        <sz val="10.0"/>
      </rPr>
      <t>Kiểm tra tiêu đề của tab trình duyệt và tiêu đề header trang</t>
    </r>
  </si>
  <si>
    <r>
      <rPr>
        <rFont val="游ゴシック"/>
        <b/>
        <color rgb="FF000000"/>
        <sz val="10.0"/>
      </rPr>
      <t xml:space="preserve">ステップ1：
</t>
    </r>
    <r>
      <rPr>
        <rFont val="游ゴシック"/>
        <color rgb="FF000000"/>
        <sz val="10.0"/>
      </rPr>
      <t xml:space="preserve">Màn tìm kiếm chi tiết Hanbaiten được hiển thị
</t>
    </r>
    <r>
      <rPr>
        <rFont val="游ゴシック"/>
        <b/>
        <color rgb="FF000000"/>
        <sz val="10.0"/>
      </rPr>
      <t xml:space="preserve">ステップ2：
</t>
    </r>
    <r>
      <rPr>
        <rFont val="游ゴシック"/>
        <color rgb="FF000000"/>
        <sz val="10.0"/>
      </rPr>
      <t xml:space="preserve">Tiêu đề trang hiển thị là "販売店明細検索", tab trình duyệt hiển thị là `販売店明細検索 | クラウド版購読者管理システム`
</t>
    </r>
    <r>
      <rPr>
        <rFont val="游ゴシック"/>
        <b/>
        <color rgb="FF000000"/>
        <sz val="10.0"/>
      </rPr>
      <t xml:space="preserve">補足：
</t>
    </r>
    <r>
      <rPr>
        <rFont val="游ゴシック"/>
        <color rgb="FF000000"/>
        <sz val="10.0"/>
      </rPr>
      <t>・Tiêu đề được lấy từ meta.breadcrumb của router</t>
    </r>
  </si>
  <si>
    <t>ACSMS-TC-018-013</t>
  </si>
  <si>
    <t>Hiển thị breadcrumb</t>
  </si>
  <si>
    <r>
      <rPr>
        <rFont val="メイリオ"/>
        <b/>
        <color rgb="FF000000"/>
        <sz val="10.0"/>
      </rPr>
      <t xml:space="preserve">ステップ1：
</t>
    </r>
    <r>
      <rPr>
        <rFont val="メイリオ"/>
        <color rgb="FF000000"/>
        <sz val="10.0"/>
      </rPr>
      <t xml:space="preserve">Truy cập `/hanbaiten`
</t>
    </r>
    <r>
      <rPr>
        <rFont val="メイリオ"/>
        <b/>
        <color rgb="FF000000"/>
        <sz val="10.0"/>
      </rPr>
      <t xml:space="preserve">ステップ2：
</t>
    </r>
    <r>
      <rPr>
        <rFont val="メイリオ"/>
        <color rgb="FF000000"/>
        <sz val="10.0"/>
      </rPr>
      <t xml:space="preserve">Kiểm tra breadcrumb
</t>
    </r>
    <r>
      <rPr>
        <rFont val="メイリオ"/>
        <b/>
        <color rgb="FF000000"/>
        <sz val="10.0"/>
      </rPr>
      <t xml:space="preserve">ステップ3：
</t>
    </r>
    <r>
      <rPr>
        <rFont val="メイリオ"/>
        <color rgb="FF000000"/>
        <sz val="10.0"/>
      </rPr>
      <t>Click breadcrumb "ホーム"</t>
    </r>
  </si>
  <si>
    <r>
      <rPr>
        <rFont val="メイリオ"/>
        <b/>
        <color rgb="FF000000"/>
        <sz val="10.0"/>
      </rPr>
      <t xml:space="preserve">ステップ1：
</t>
    </r>
    <r>
      <rPr>
        <rFont val="メイリオ"/>
        <color rgb="FF000000"/>
        <sz val="10.0"/>
      </rPr>
      <t xml:space="preserve">Màn tìm kiếm chi tiết Hanbaiten được hiển thị
</t>
    </r>
    <r>
      <rPr>
        <rFont val="メイリオ"/>
        <b/>
        <color rgb="FF000000"/>
        <sz val="10.0"/>
      </rPr>
      <t xml:space="preserve">ステップ2：
</t>
    </r>
    <r>
      <rPr>
        <rFont val="メイリオ"/>
        <color rgb="FF000000"/>
        <sz val="10.0"/>
      </rPr>
      <t xml:space="preserve">Breadcrumb "ホーム &gt; 販売店明細検索" được hiển thị phía trên màn hình (màn list nên 2 cấp)
</t>
    </r>
    <r>
      <rPr>
        <rFont val="メイリオ"/>
        <b/>
        <color rgb="FF000000"/>
        <sz val="10.0"/>
      </rPr>
      <t xml:space="preserve">ステップ3：
</t>
    </r>
    <r>
      <rPr>
        <rFont val="メイリオ"/>
        <color rgb="FF000000"/>
        <sz val="10.0"/>
      </rPr>
      <t xml:space="preserve">Chuyển sang dashboard (`/dashboard`)
</t>
    </r>
    <r>
      <rPr>
        <rFont val="メイリオ"/>
        <b/>
        <color rgb="FF000000"/>
        <sz val="10.0"/>
      </rPr>
      <t xml:space="preserve">補足：
</t>
    </r>
    <r>
      <rPr>
        <rFont val="メイリオ"/>
        <color rgb="FF000000"/>
        <sz val="10.0"/>
      </rPr>
      <t>・Quy ước breadcrumb của project: màn list có 2 cấp (ホーム &gt; XXX一覧)</t>
    </r>
  </si>
  <si>
    <t>ACSMS-TC-018-014</t>
  </si>
  <si>
    <t>Hiển thị thông tin user đang login</t>
  </si>
  <si>
    <t>・role: JA_HONTEN (login_id=tarou01)
・Đã login + đã xác thực MFA</t>
  </si>
  <si>
    <r>
      <rPr>
        <rFont val="メイリオ"/>
        <b/>
        <color rgb="FF000000"/>
        <sz val="10.0"/>
      </rPr>
      <t xml:space="preserve">ステップ1：
</t>
    </r>
    <r>
      <rPr>
        <rFont val="メイリオ"/>
        <color rgb="FF000000"/>
        <sz val="10.0"/>
      </rPr>
      <t xml:space="preserve">Truy cập `/hanbaiten`
</t>
    </r>
    <r>
      <rPr>
        <rFont val="メイリオ"/>
        <b/>
        <color rgb="FF000000"/>
        <sz val="10.0"/>
      </rPr>
      <t xml:space="preserve">ステップ2：
</t>
    </r>
    <r>
      <rPr>
        <rFont val="メイリオ"/>
        <color rgb="FF000000"/>
        <sz val="10.0"/>
      </rPr>
      <t>Kiểm tra khu vực thông tin user phía trên bên phải màn hình</t>
    </r>
  </si>
  <si>
    <r>
      <rPr>
        <rFont val="メイリオ"/>
        <b/>
        <color rgb="FF000000"/>
        <sz val="10.0"/>
      </rPr>
      <t xml:space="preserve">ステップ1：
</t>
    </r>
    <r>
      <rPr>
        <rFont val="メイリオ"/>
        <color rgb="FF000000"/>
        <sz val="10.0"/>
      </rPr>
      <t xml:space="preserve">Màn tìm kiếm chi tiết Hanbaiten được hiển thị
</t>
    </r>
    <r>
      <rPr>
        <rFont val="メイリオ"/>
        <b/>
        <color rgb="FF000000"/>
        <sz val="10.0"/>
      </rPr>
      <t xml:space="preserve">ステップ2：
</t>
    </r>
    <r>
      <rPr>
        <rFont val="メイリオ"/>
        <color rgb="FF000000"/>
        <sz val="10.0"/>
      </rPr>
      <t xml:space="preserve">Tên user đang login "tarou01" (hoặc display name), tên JA thuộc về, tên role được hiển thị phía trên bên phải màn hình
</t>
    </r>
    <r>
      <rPr>
        <rFont val="メイリオ"/>
        <b/>
        <color rgb="FF000000"/>
        <sz val="10.0"/>
      </rPr>
      <t xml:space="preserve">補足：
</t>
    </r>
    <r>
      <rPr>
        <rFont val="メイリオ"/>
        <color rgb="FF000000"/>
        <sz val="10.0"/>
      </rPr>
      <t>・Là common component của header, hiển thị giống nhau trên toàn bộ màn hình</t>
    </r>
  </si>
  <si>
    <t>Chức năng tìm kiếm / Sort / Pagination</t>
  </si>
  <si>
    <t>ACSMS-TC-018-015</t>
  </si>
  <si>
    <t>Tìm kiếm partial match theo `hanbaiten_code`</t>
  </si>
  <si>
    <t>・role: JA_HONTEN
・Tồn tại `hanbaiten_code`="HB001", "HB002", "OTHER01" dưới JA của mình</t>
  </si>
  <si>
    <r>
      <rPr>
        <rFont val="メイリオ"/>
        <b/>
        <color rgb="FF000000"/>
        <sz val="10.0"/>
      </rPr>
      <t xml:space="preserve">ステップ1：
</t>
    </r>
    <r>
      <rPr>
        <rFont val="メイリオ"/>
        <color rgb="FF000000"/>
        <sz val="10.0"/>
      </rPr>
      <t xml:space="preserve">Truy cập `/hanbaiten`
</t>
    </r>
    <r>
      <rPr>
        <rFont val="メイリオ"/>
        <b/>
        <color rgb="FF000000"/>
        <sz val="10.0"/>
      </rPr>
      <t xml:space="preserve">ステップ2：
</t>
    </r>
    <r>
      <rPr>
        <rFont val="メイリオ"/>
        <color rgb="FF000000"/>
        <sz val="10.0"/>
      </rPr>
      <t xml:space="preserve">Nhập "HB" vào trường `hanbaiten_code` của form tìm kiếm
</t>
    </r>
    <r>
      <rPr>
        <rFont val="メイリオ"/>
        <b/>
        <color rgb="FF000000"/>
        <sz val="10.0"/>
      </rPr>
      <t xml:space="preserve">ステップ3：
</t>
    </r>
    <r>
      <rPr>
        <rFont val="メイリオ"/>
        <color rgb="FF000000"/>
        <sz val="10.0"/>
      </rPr>
      <t>Click button "検索"</t>
    </r>
  </si>
  <si>
    <r>
      <rPr>
        <rFont val="メイリオ"/>
        <b/>
        <color rgb="FF000000"/>
        <sz val="10.0"/>
      </rPr>
      <t xml:space="preserve">ステップ1：
</t>
    </r>
    <r>
      <rPr>
        <rFont val="メイリオ"/>
        <color rgb="FF000000"/>
        <sz val="10.0"/>
      </rPr>
      <t xml:space="preserve">Màn tìm kiếm chi tiết Hanbaiten được hiển thị
</t>
    </r>
    <r>
      <rPr>
        <rFont val="メイリオ"/>
        <b/>
        <color rgb="FF000000"/>
        <sz val="10.0"/>
      </rPr>
      <t xml:space="preserve">ステップ2：
</t>
    </r>
    <r>
      <rPr>
        <rFont val="メイリオ"/>
        <color rgb="FF000000"/>
        <sz val="10.0"/>
      </rPr>
      <t xml:space="preserve">"HB" được nhập vào ô `hanbaiten_code`
</t>
    </r>
    <r>
      <rPr>
        <rFont val="メイリオ"/>
        <b/>
        <color rgb="FF000000"/>
        <sz val="10.0"/>
      </rPr>
      <t xml:space="preserve">ステップ3：
</t>
    </r>
    <r>
      <rPr>
        <rFont val="メイリオ"/>
        <color rgb="FF000000"/>
        <sz val="10.0"/>
      </rPr>
      <t xml:space="preserve">GET `/api/v1/hanbaiten?hanbaiten_code=HB` được gọi, trả về HTTP 200, response chứa HB001, HB002 và không chứa OTHER01 (partial match LIKE '%HB%')
</t>
    </r>
    <r>
      <rPr>
        <rFont val="メイリオ"/>
        <b/>
        <color rgb="FF000000"/>
        <sz val="10.0"/>
      </rPr>
      <t xml:space="preserve">補足：
</t>
    </r>
    <r>
      <rPr>
        <rFont val="メイリオ"/>
        <color rgb="FF000000"/>
        <sz val="10.0"/>
      </rPr>
      <t xml:space="preserve">・Tìm kiếm partial match dùng ILIKE '%keyword%'
</t>
    </r>
    <r>
      <rPr>
        <rFont val="メイリオ"/>
        <color rgb="FF000000"/>
        <sz val="10.0"/>
      </rPr>
      <t>・Khoảng trắng đầu/cuối keyword bị trim</t>
    </r>
  </si>
  <si>
    <t>ACSMS-TC-018-016</t>
  </si>
  <si>
    <t>Tìm kiếm partial match theo `hanbaiten_name`</t>
  </si>
  <si>
    <t>・role: JA_HONTEN
・Tồn tại `hanbaiten_name`="東京販売店", "東京西販売店", "大阪販売店" dưới JA của mình</t>
  </si>
  <si>
    <r>
      <rPr>
        <rFont val="メイリオ"/>
        <b/>
        <color rgb="FF000000"/>
        <sz val="10.0"/>
      </rPr>
      <t xml:space="preserve">ステップ1：
</t>
    </r>
    <r>
      <rPr>
        <rFont val="メイリオ"/>
        <color rgb="FF000000"/>
        <sz val="10.0"/>
      </rPr>
      <t xml:space="preserve">Nhập "東京" vào trường `hanbaiten_name` của form tìm kiếm
</t>
    </r>
    <r>
      <rPr>
        <rFont val="メイリオ"/>
        <b/>
        <color rgb="FF000000"/>
        <sz val="10.0"/>
      </rPr>
      <t xml:space="preserve">ステップ2：
</t>
    </r>
    <r>
      <rPr>
        <rFont val="メイリオ"/>
        <color rgb="FF000000"/>
        <sz val="10.0"/>
      </rPr>
      <t>Click button "検索"</t>
    </r>
  </si>
  <si>
    <r>
      <rPr>
        <rFont val="メイリオ"/>
        <b/>
        <color rgb="FF000000"/>
        <sz val="10.0"/>
      </rPr>
      <t xml:space="preserve">ステップ1：
</t>
    </r>
    <r>
      <rPr>
        <rFont val="メイリオ"/>
        <color rgb="FF000000"/>
        <sz val="10.0"/>
      </rPr>
      <t xml:space="preserve">"東京" được nhập vào ô `hanbaiten_name`
</t>
    </r>
    <r>
      <rPr>
        <rFont val="メイリオ"/>
        <b/>
        <color rgb="FF000000"/>
        <sz val="10.0"/>
      </rPr>
      <t xml:space="preserve">ステップ2：
</t>
    </r>
    <r>
      <rPr>
        <rFont val="メイリオ"/>
        <color rgb="FF000000"/>
        <sz val="10.0"/>
      </rPr>
      <t xml:space="preserve">GET `/api/v1/hanbaiten?hanbaiten_name=東京` được gọi, response chứa "東京販売店", "東京西販売店" và không chứa "大阪販売店"
</t>
    </r>
    <r>
      <rPr>
        <rFont val="メイリオ"/>
        <b/>
        <color rgb="FF000000"/>
        <sz val="10.0"/>
      </rPr>
      <t xml:space="preserve">補足：
</t>
    </r>
    <r>
      <rPr>
        <rFont val="メイリオ"/>
        <color rgb="FF000000"/>
        <sz val="10.0"/>
      </rPr>
      <t>・Partial match với ký tự fullwidth phải hoạt động</t>
    </r>
  </si>
  <si>
    <t>ACSMS-TC-018-017</t>
  </si>
  <si>
    <t>Tìm kiếm partial match theo `tel`</t>
  </si>
  <si>
    <t>・role: JA_HONTEN
・Tồn tại `tel`="03-1234-5678", "03-9999-0000", "06-1111-2222" dưới JA của mình</t>
  </si>
  <si>
    <r>
      <rPr>
        <rFont val="游ゴシック"/>
        <b/>
        <color rgb="FF000000"/>
        <sz val="10.0"/>
      </rPr>
      <t xml:space="preserve">ステップ1：
</t>
    </r>
    <r>
      <rPr>
        <rFont val="游ゴシック"/>
        <color rgb="FF000000"/>
        <sz val="10.0"/>
      </rPr>
      <t xml:space="preserve">Nhập "03-" vào trường `tel` của form tìm kiếm
</t>
    </r>
    <r>
      <rPr>
        <rFont val="游ゴシック"/>
        <b/>
        <color rgb="FF000000"/>
        <sz val="10.0"/>
      </rPr>
      <t xml:space="preserve">ステップ2：
</t>
    </r>
    <r>
      <rPr>
        <rFont val="游ゴシック"/>
        <color rgb="FF000000"/>
        <sz val="10.0"/>
      </rPr>
      <t>Click button "検索"</t>
    </r>
  </si>
  <si>
    <r>
      <rPr>
        <rFont val="メイリオ"/>
        <b/>
        <color rgb="FF000000"/>
        <sz val="10.0"/>
      </rPr>
      <t xml:space="preserve">ステップ1：
</t>
    </r>
    <r>
      <rPr>
        <rFont val="メイリオ"/>
        <color rgb="FF000000"/>
        <sz val="10.0"/>
      </rPr>
      <t xml:space="preserve">"03-" được nhập vào ô `tel`
</t>
    </r>
    <r>
      <rPr>
        <rFont val="メイリオ"/>
        <b/>
        <color rgb="FF000000"/>
        <sz val="10.0"/>
      </rPr>
      <t xml:space="preserve">ステップ2：
</t>
    </r>
    <r>
      <rPr>
        <rFont val="メイリオ"/>
        <color rgb="FF000000"/>
        <sz val="10.0"/>
      </rPr>
      <t xml:space="preserve">Trả về HTTP 200, response chứa "03-1234-5678", "03-9999-0000" và không chứa "06-1111-2222"
</t>
    </r>
    <r>
      <rPr>
        <rFont val="メイリオ"/>
        <b/>
        <color rgb="FF000000"/>
        <sz val="10.0"/>
      </rPr>
      <t xml:space="preserve">補足：
</t>
    </r>
    <r>
      <rPr>
        <rFont val="メイリオ"/>
        <color rgb="FF000000"/>
        <sz val="10.0"/>
      </rPr>
      <t>・Số điện thoại cũng partial match (match chuỗi ký tự bao gồm cả dấu gạch ngang)</t>
    </r>
  </si>
  <si>
    <t>ACSMS-TC-018-018</t>
  </si>
  <si>
    <t>Tìm kiếm partial match theo `fax`</t>
  </si>
  <si>
    <t>・role: JA_HONTEN
・Có data `fax` dưới JA của mình</t>
  </si>
  <si>
    <r>
      <rPr>
        <rFont val="游ゴシック"/>
        <b/>
        <color rgb="FF000000"/>
        <sz val="10.0"/>
      </rPr>
      <t xml:space="preserve">ステップ1：
</t>
    </r>
    <r>
      <rPr>
        <rFont val="游ゴシック"/>
        <color rgb="FF000000"/>
        <sz val="10.0"/>
      </rPr>
      <t xml:space="preserve">Nhập "03-1234" vào trường `fax` của form tìm kiếm
</t>
    </r>
    <r>
      <rPr>
        <rFont val="游ゴシック"/>
        <b/>
        <color rgb="FF000000"/>
        <sz val="10.0"/>
      </rPr>
      <t xml:space="preserve">ステップ2：
</t>
    </r>
    <r>
      <rPr>
        <rFont val="游ゴシック"/>
        <color rgb="FF000000"/>
        <sz val="10.0"/>
      </rPr>
      <t>Click button "検索"</t>
    </r>
  </si>
  <si>
    <r>
      <rPr>
        <rFont val="メイリオ"/>
        <b/>
        <color rgb="FF000000"/>
        <sz val="10.0"/>
      </rPr>
      <t xml:space="preserve">ステップ1：
</t>
    </r>
    <r>
      <rPr>
        <rFont val="メイリオ"/>
        <color rgb="FF000000"/>
        <sz val="10.0"/>
      </rPr>
      <t xml:space="preserve">"03-1234" được nhập vào ô `fax`
</t>
    </r>
    <r>
      <rPr>
        <rFont val="メイリオ"/>
        <b/>
        <color rgb="FF000000"/>
        <sz val="10.0"/>
      </rPr>
      <t xml:space="preserve">ステップ2：
</t>
    </r>
    <r>
      <rPr>
        <rFont val="メイリオ"/>
        <color rgb="FF000000"/>
        <sz val="10.0"/>
      </rPr>
      <t xml:space="preserve">Trả về HTTP 200, chỉ trả về các Hanbaiten có `fax` chứa "03-1234"
</t>
    </r>
    <r>
      <rPr>
        <rFont val="メイリオ"/>
        <b/>
        <color rgb="FF000000"/>
        <sz val="10.0"/>
      </rPr>
      <t xml:space="preserve">補足：
</t>
    </r>
    <r>
      <rPr>
        <rFont val="メイリオ"/>
        <color rgb="FF000000"/>
        <sz val="10.0"/>
      </rPr>
      <t>・Các giá trị `fax` khác (ví dụ "03-9999") bị loại trừ</t>
    </r>
  </si>
  <si>
    <t>ACSMS-TC-018-019</t>
  </si>
  <si>
    <t>Tìm kiếm partial match theo `address`</t>
  </si>
  <si>
    <t>・role: JA_HONTEN
・Tồn tại `address`="東京都千代田区", "東京都新宿区", "大阪府大阪市" dưới JA của mình</t>
  </si>
  <si>
    <r>
      <rPr>
        <rFont val="メイリオ"/>
        <b/>
        <color rgb="FF000000"/>
        <sz val="10.0"/>
      </rPr>
      <t xml:space="preserve">ステップ1：
</t>
    </r>
    <r>
      <rPr>
        <rFont val="メイリオ"/>
        <color rgb="FF000000"/>
        <sz val="10.0"/>
      </rPr>
      <t xml:space="preserve">Nhập "東京都" vào trường `address` của form tìm kiếm
</t>
    </r>
    <r>
      <rPr>
        <rFont val="メイリオ"/>
        <b/>
        <color rgb="FF000000"/>
        <sz val="10.0"/>
      </rPr>
      <t xml:space="preserve">ステップ2：
</t>
    </r>
    <r>
      <rPr>
        <rFont val="メイリオ"/>
        <color rgb="FF000000"/>
        <sz val="10.0"/>
      </rPr>
      <t>Click button "検索"</t>
    </r>
  </si>
  <si>
    <r>
      <rPr>
        <rFont val="游ゴシック"/>
        <b/>
        <color rgb="FF000000"/>
        <sz val="10.0"/>
      </rPr>
      <t xml:space="preserve">ステップ1：
</t>
    </r>
    <r>
      <rPr>
        <rFont val="游ゴシック"/>
        <color rgb="FF000000"/>
        <sz val="10.0"/>
      </rPr>
      <t xml:space="preserve">"東京都" được nhập vào ô `address`
</t>
    </r>
    <r>
      <rPr>
        <rFont val="游ゴシック"/>
        <b/>
        <color rgb="FF000000"/>
        <sz val="10.0"/>
      </rPr>
      <t xml:space="preserve">ステップ2：
</t>
    </r>
    <r>
      <rPr>
        <rFont val="游ゴシック"/>
        <color rgb="FF000000"/>
        <sz val="10.0"/>
      </rPr>
      <t xml:space="preserve">Trả về HTTP 200, response chứa "東京都千代田区", "東京都新宿区" và không chứa "大阪府大阪市"
</t>
    </r>
    <r>
      <rPr>
        <rFont val="游ゴシック"/>
        <b/>
        <color rgb="FF000000"/>
        <sz val="10.0"/>
      </rPr>
      <t xml:space="preserve">補足：
</t>
    </r>
    <r>
      <rPr>
        <rFont val="游ゴシック"/>
        <color rgb="FF000000"/>
        <sz val="10.0"/>
      </rPr>
      <t>・Địa chỉ cũng partial match (hỗ trợ ký tự fullwidth)</t>
    </r>
  </si>
  <si>
    <t>ACSMS-TC-018-020</t>
  </si>
  <si>
    <t>Tìm kiếm partial match theo `shocho_name`</t>
  </si>
  <si>
    <t>・role: JA_HONTEN
・Tồn tại `shocho_name`="山田太郎", "山田次郎", "鈴木花子" dưới JA của mình</t>
  </si>
  <si>
    <r>
      <rPr>
        <rFont val="メイリオ"/>
        <b/>
        <color rgb="FF000000"/>
        <sz val="10.0"/>
      </rPr>
      <t xml:space="preserve">ステップ1：
</t>
    </r>
    <r>
      <rPr>
        <rFont val="メイリオ"/>
        <color rgb="FF000000"/>
        <sz val="10.0"/>
      </rPr>
      <t xml:space="preserve">Nhập "山田" vào trường `shocho_name` của form tìm kiếm
</t>
    </r>
    <r>
      <rPr>
        <rFont val="メイリオ"/>
        <b/>
        <color rgb="FF000000"/>
        <sz val="10.0"/>
      </rPr>
      <t xml:space="preserve">ステップ2：
</t>
    </r>
    <r>
      <rPr>
        <rFont val="メイリオ"/>
        <color rgb="FF000000"/>
        <sz val="10.0"/>
      </rPr>
      <t>Click button "検索"</t>
    </r>
  </si>
  <si>
    <r>
      <rPr>
        <rFont val="メイリオ"/>
        <b/>
        <color rgb="FF000000"/>
        <sz val="10.0"/>
      </rPr>
      <t xml:space="preserve">ステップ1：
</t>
    </r>
    <r>
      <rPr>
        <rFont val="メイリオ"/>
        <color rgb="FF000000"/>
        <sz val="10.0"/>
      </rPr>
      <t xml:space="preserve">"山田" được nhập vào ô `shocho_name`
</t>
    </r>
    <r>
      <rPr>
        <rFont val="メイリオ"/>
        <b/>
        <color rgb="FF000000"/>
        <sz val="10.0"/>
      </rPr>
      <t xml:space="preserve">ステップ2：
</t>
    </r>
    <r>
      <rPr>
        <rFont val="メイリオ"/>
        <color rgb="FF000000"/>
        <sz val="10.0"/>
      </rPr>
      <t xml:space="preserve">Trả về HTTP 200, response chứa "山田太郎", "山田次郎" và không chứa "鈴木花子"
</t>
    </r>
    <r>
      <rPr>
        <rFont val="メイリオ"/>
        <b/>
        <color rgb="FF000000"/>
        <sz val="10.0"/>
      </rPr>
      <t xml:space="preserve">補足：
</t>
    </r>
    <r>
      <rPr>
        <rFont val="メイリオ"/>
        <color rgb="FF000000"/>
        <sz val="10.0"/>
      </rPr>
      <t>・Tên 所長 cũng hỗ trợ partial match</t>
    </r>
  </si>
  <si>
    <t>ACSMS-TC-018-021</t>
  </si>
  <si>
    <t>`haiten_flg` = false (mặc định) — xác nhận loại trừ 廃店</t>
  </si>
  <si>
    <t>・role: JA_HONTEN
・Tồn tại Hanbaiten X với `haiten_flg`=true và Hanbaiten Y với `haiten_flg`=false dưới JA của mình</t>
  </si>
  <si>
    <r>
      <rPr>
        <rFont val="游ゴシック"/>
        <b/>
        <color rgb="FF000000"/>
        <sz val="10.0"/>
      </rPr>
      <t xml:space="preserve">ステップ1：
</t>
    </r>
    <r>
      <rPr>
        <rFont val="游ゴシック"/>
        <color rgb="FF000000"/>
        <sz val="10.0"/>
      </rPr>
      <t xml:space="preserve">Truy cập `/hanbaiten` (checkbox `haiten_flg` chưa được check)
</t>
    </r>
    <r>
      <rPr>
        <rFont val="游ゴシック"/>
        <b/>
        <color rgb="FF000000"/>
        <sz val="10.0"/>
      </rPr>
      <t xml:space="preserve">ステップ2：
</t>
    </r>
    <r>
      <rPr>
        <rFont val="游ゴシック"/>
        <color rgb="FF000000"/>
        <sz val="10.0"/>
      </rPr>
      <t>Click button "検索"</t>
    </r>
  </si>
  <si>
    <r>
      <rPr>
        <rFont val="メイリオ"/>
        <b/>
        <color rgb="FF000000"/>
        <sz val="10.0"/>
      </rPr>
      <t xml:space="preserve">ステップ1：
</t>
    </r>
    <r>
      <rPr>
        <rFont val="メイリオ"/>
        <color rgb="FF000000"/>
        <sz val="10.0"/>
      </rPr>
      <t xml:space="preserve">Màn tìm kiếm chi tiết Hanbaiten được hiển thị, checkbox `haiten_flg` chưa được check
</t>
    </r>
    <r>
      <rPr>
        <rFont val="メイリオ"/>
        <b/>
        <color rgb="FF000000"/>
        <sz val="10.0"/>
      </rPr>
      <t xml:space="preserve">ステップ2：
</t>
    </r>
    <r>
      <rPr>
        <rFont val="メイリオ"/>
        <color rgb="FF000000"/>
        <sz val="10.0"/>
      </rPr>
      <t xml:space="preserve">GET `/api/v1/hanbaiten?haiten_flg=false` được gọi, response chứa Hanbaiten Y và không chứa Hanbaiten X
</t>
    </r>
    <r>
      <rPr>
        <rFont val="メイリオ"/>
        <b/>
        <color rgb="FF000000"/>
        <sz val="10.0"/>
      </rPr>
      <t xml:space="preserve">補足：
</t>
    </r>
    <r>
      <rPr>
        <rFont val="メイリオ"/>
        <color rgb="FF000000"/>
        <sz val="10.0"/>
      </rPr>
      <t>・Spec v1.2: khi tìm kiếm ban đầu, row 廃店 bị ẩn</t>
    </r>
  </si>
  <si>
    <t>ACSMS-TC-018-022</t>
  </si>
  <si>
    <t>`haiten_flg` = true — tìm kiếm bao gồm 廃店</t>
  </si>
  <si>
    <r>
      <rPr>
        <rFont val="メイリオ"/>
        <b/>
        <color rgb="FF000000"/>
        <sz val="10.0"/>
      </rPr>
      <t xml:space="preserve">ステップ1：
</t>
    </r>
    <r>
      <rPr>
        <rFont val="メイリオ"/>
        <color rgb="FF000000"/>
        <sz val="10.0"/>
      </rPr>
      <t xml:space="preserve">Check checkbox `haiten_flg`
</t>
    </r>
    <r>
      <rPr>
        <rFont val="メイリオ"/>
        <b/>
        <color rgb="FF000000"/>
        <sz val="10.0"/>
      </rPr>
      <t xml:space="preserve">ステップ2：
</t>
    </r>
    <r>
      <rPr>
        <rFont val="メイリオ"/>
        <color rgb="FF000000"/>
        <sz val="10.0"/>
      </rPr>
      <t>Click button "検索"</t>
    </r>
  </si>
  <si>
    <r>
      <rPr>
        <rFont val="メイリオ"/>
        <b/>
        <color rgb="FF000000"/>
        <sz val="10.0"/>
      </rPr>
      <t xml:space="preserve">ステップ1：
</t>
    </r>
    <r>
      <rPr>
        <rFont val="メイリオ"/>
        <color rgb="FF000000"/>
        <sz val="10.0"/>
      </rPr>
      <t xml:space="preserve">Checkbox `haiten_flg` ở trạng thái đã check
</t>
    </r>
    <r>
      <rPr>
        <rFont val="メイリオ"/>
        <b/>
        <color rgb="FF000000"/>
        <sz val="10.0"/>
      </rPr>
      <t xml:space="preserve">ステップ2：
</t>
    </r>
    <r>
      <rPr>
        <rFont val="メイリオ"/>
        <color rgb="FF000000"/>
        <sz val="10.0"/>
      </rPr>
      <t xml:space="preserve">GET `/api/v1/hanbaiten?haiten_flg=true` được gọi, response chứa cả Hanbaiten X và Y
</t>
    </r>
    <r>
      <rPr>
        <rFont val="メイリオ"/>
        <b/>
        <color rgb="FF000000"/>
        <sz val="10.0"/>
      </rPr>
      <t xml:space="preserve">補足：
</t>
    </r>
    <r>
      <rPr>
        <rFont val="メイリオ"/>
        <color rgb="FF000000"/>
        <sz val="10.0"/>
      </rPr>
      <t>・Chỉ khi chỉ định `haiten_flg`=true mới bao gồm row 廃店</t>
    </r>
  </si>
  <si>
    <t>ACSMS-TC-018-023</t>
  </si>
  <si>
    <t>Tìm kiếm AND nhiều điều kiện</t>
  </si>
  <si>
    <t>・role: JA_HONTEN
・Có nhiều Hanbaiten dưới JA của mình</t>
  </si>
  <si>
    <r>
      <rPr>
        <rFont val="游ゴシック"/>
        <b/>
        <color rgb="FF000000"/>
        <sz val="10.0"/>
      </rPr>
      <t xml:space="preserve">ステップ1：
</t>
    </r>
    <r>
      <rPr>
        <rFont val="游ゴシック"/>
        <color rgb="FF000000"/>
        <sz val="10.0"/>
      </rPr>
      <t xml:space="preserve">Nhập "HB" vào `hanbaiten_code`, "山田" vào `shocho_name`
</t>
    </r>
    <r>
      <rPr>
        <rFont val="游ゴシック"/>
        <b/>
        <color rgb="FF000000"/>
        <sz val="10.0"/>
      </rPr>
      <t xml:space="preserve">ステップ2：
</t>
    </r>
    <r>
      <rPr>
        <rFont val="游ゴシック"/>
        <color rgb="FF000000"/>
        <sz val="10.0"/>
      </rPr>
      <t>Click button "検索"</t>
    </r>
  </si>
  <si>
    <r>
      <rPr>
        <rFont val="游ゴシック"/>
        <b/>
        <color rgb="FF000000"/>
        <sz val="10.0"/>
      </rPr>
      <t xml:space="preserve">ステップ1：
</t>
    </r>
    <r>
      <rPr>
        <rFont val="游ゴシック"/>
        <color rgb="FF000000"/>
        <sz val="10.0"/>
      </rPr>
      <t xml:space="preserve">Giá trị được nhập vào cả 2 ô
</t>
    </r>
    <r>
      <rPr>
        <rFont val="游ゴシック"/>
        <b/>
        <color rgb="FF000000"/>
        <sz val="10.0"/>
      </rPr>
      <t xml:space="preserve">ステップ2：
</t>
    </r>
    <r>
      <rPr>
        <rFont val="游ゴシック"/>
        <color rgb="FF000000"/>
        <sz val="10.0"/>
      </rPr>
      <t xml:space="preserve">GET `/api/v1/hanbaiten?hanbaiten_code=HB&amp;shocho_name=山田` được gọi, response chỉ trả về Hanbaiten thỏa cả 2 điều kiện (`hanbaiten_code` chứa "HB" VÀ `shocho_name` chứa "山田")
</t>
    </r>
    <r>
      <rPr>
        <rFont val="游ゴシック"/>
        <b/>
        <color rgb="FF000000"/>
        <sz val="10.0"/>
      </rPr>
      <t xml:space="preserve">補足：
</t>
    </r>
    <r>
      <rPr>
        <rFont val="游ゴシック"/>
        <color rgb="FF000000"/>
        <sz val="10.0"/>
      </rPr>
      <t>・Nhiều filter được kết hợp AND
・Row chỉ thỏa 1 điều kiện không được trả về</t>
    </r>
  </si>
  <si>
    <t>ACSMS-TC-018-024</t>
  </si>
  <si>
    <t>Click "検索" với điều kiện trống — trả về toàn bộ</t>
  </si>
  <si>
    <t>・role: JA_HONTEN
・Có data Hanbaiten dưới JA của mình</t>
  </si>
  <si>
    <r>
      <rPr>
        <rFont val="メイリオ"/>
        <b/>
        <color rgb="FF000000"/>
        <sz val="10.0"/>
      </rPr>
      <t xml:space="preserve">ステップ1：
</t>
    </r>
    <r>
      <rPr>
        <rFont val="メイリオ"/>
        <color rgb="FF000000"/>
        <sz val="10.0"/>
      </rPr>
      <t>Truy cập `/hanbaiten`, click button "検索" khi form tìm kiếm để trống</t>
    </r>
  </si>
  <si>
    <r>
      <rPr>
        <rFont val="メイリオ"/>
        <b/>
        <color rgb="FF000000"/>
        <sz val="10.0"/>
      </rPr>
      <t xml:space="preserve">ステップ1：
</t>
    </r>
    <r>
      <rPr>
        <rFont val="メイリオ"/>
        <color rgb="FF000000"/>
        <sz val="10.0"/>
      </rPr>
      <t xml:space="preserve">GET `/api/v1/hanbaiten?page=1&amp;per_page=20&amp;sort_by=hanbaiten_code&amp;sort_order=asc&amp;haiten_flg=false` được gọi, trả về cùng kết quả với hiển thị ban đầu
</t>
    </r>
    <r>
      <rPr>
        <rFont val="メイリオ"/>
        <b/>
        <color rgb="FF000000"/>
        <sz val="10.0"/>
      </rPr>
      <t xml:space="preserve">補足：
</t>
    </r>
    <r>
      <rPr>
        <rFont val="メイリオ"/>
        <color rgb="FF000000"/>
        <sz val="10.0"/>
      </rPr>
      <t>・Khi tất cả filter là undefined, không gắn điều kiện filter (chỉ `haiten_flg` mặc định false)</t>
    </r>
  </si>
  <si>
    <t>ACSMS-TC-018-025</t>
  </si>
  <si>
    <t>Tìm kiếm `hanbaiten_code` — biên 10 ký tự / 11 ký tự</t>
  </si>
  <si>
    <r>
      <rPr>
        <rFont val="游ゴシック"/>
        <b/>
        <color rgb="FF000000"/>
        <sz val="10.0"/>
      </rPr>
      <t xml:space="preserve">ステップ1：
</t>
    </r>
    <r>
      <rPr>
        <rFont val="游ゴシック"/>
        <color rgb="FF000000"/>
        <sz val="10.0"/>
      </rPr>
      <t xml:space="preserve">Nhập 10 ký tự halfwidth "1234567890" vào `hanbaiten_code` và click "検索"
</t>
    </r>
    <r>
      <rPr>
        <rFont val="游ゴシック"/>
        <b/>
        <color rgb="FF000000"/>
        <sz val="10.0"/>
      </rPr>
      <t xml:space="preserve">ステップ2：
</t>
    </r>
    <r>
      <rPr>
        <rFont val="游ゴシック"/>
        <color rgb="FF000000"/>
        <sz val="10.0"/>
      </rPr>
      <t>Thử nhập 11 ký tự halfwidth "12345678901" vào `hanbaiten_code`</t>
    </r>
  </si>
  <si>
    <r>
      <rPr>
        <rFont val="メイリオ"/>
        <b/>
        <color rgb="FF000000"/>
        <sz val="10.0"/>
      </rPr>
      <t xml:space="preserve">ステップ1：
</t>
    </r>
    <r>
      <rPr>
        <rFont val="メイリオ"/>
        <color rgb="FF000000"/>
        <sz val="10.0"/>
      </rPr>
      <t xml:space="preserve">Trả về HTTP 200, cho phép 10 ký tự
</t>
    </r>
    <r>
      <rPr>
        <rFont val="メイリオ"/>
        <b/>
        <color rgb="FF000000"/>
        <sz val="10.0"/>
      </rPr>
      <t xml:space="preserve">ステップ2：
</t>
    </r>
    <r>
      <rPr>
        <rFont val="メイリオ"/>
        <color rgb="FF000000"/>
        <sz val="10.0"/>
      </rPr>
      <t xml:space="preserve">Ô input dừng ở 10 ký tự (maxlength=10), hoặc khi gửi 11 ký tự trả về HTTP 400 (`error_code: VALIDATION_ERROR`)
</t>
    </r>
    <r>
      <rPr>
        <rFont val="メイリオ"/>
        <b/>
        <color rgb="FF000000"/>
        <sz val="10.0"/>
      </rPr>
      <t xml:space="preserve">補足：
</t>
    </r>
    <r>
      <rPr>
        <rFont val="メイリオ"/>
        <color rgb="FF000000"/>
        <sz val="10.0"/>
      </rPr>
      <t>・FE giới hạn bằng maxlength, BE bảo vệ bằng class-validator</t>
    </r>
  </si>
  <si>
    <t>ACSMS-TC-018-026</t>
  </si>
  <si>
    <t>Tìm kiếm `address` — biên 200 ký tự</t>
  </si>
  <si>
    <r>
      <rPr>
        <rFont val="メイリオ"/>
        <b/>
        <color rgb="FF000000"/>
        <sz val="10.0"/>
      </rPr>
      <t xml:space="preserve">ステップ1：
</t>
    </r>
    <r>
      <rPr>
        <rFont val="メイリオ"/>
        <color rgb="FF000000"/>
        <sz val="10.0"/>
      </rPr>
      <t xml:space="preserve">Nhập 200 ký tự vào ô `address` và click "検索"
</t>
    </r>
    <r>
      <rPr>
        <rFont val="メイリオ"/>
        <b/>
        <color rgb="FF000000"/>
        <sz val="10.0"/>
      </rPr>
      <t xml:space="preserve">ステップ2：
</t>
    </r>
    <r>
      <rPr>
        <rFont val="メイリオ"/>
        <color rgb="FF000000"/>
        <sz val="10.0"/>
      </rPr>
      <t>Thử gửi 201 ký tự ở ô `address`</t>
    </r>
  </si>
  <si>
    <r>
      <rPr>
        <rFont val="メイリオ"/>
        <b/>
        <color rgb="FF000000"/>
        <sz val="10.0"/>
      </rPr>
      <t xml:space="preserve">ステップ1：
</t>
    </r>
    <r>
      <rPr>
        <rFont val="メイリオ"/>
        <color rgb="FF000000"/>
        <sz val="10.0"/>
      </rPr>
      <t xml:space="preserve">Trả về HTTP 200, cho phép 200 ký tự
</t>
    </r>
    <r>
      <rPr>
        <rFont val="メイリオ"/>
        <b/>
        <color rgb="FF000000"/>
        <sz val="10.0"/>
      </rPr>
      <t xml:space="preserve">ステップ2：
</t>
    </r>
    <r>
      <rPr>
        <rFont val="メイリオ"/>
        <color rgb="FF000000"/>
        <sz val="10.0"/>
      </rPr>
      <t xml:space="preserve">Trả về HTTP 400 (`error_code: VALIDATION_ERROR`)
</t>
    </r>
    <r>
      <rPr>
        <rFont val="メイリオ"/>
        <b/>
        <color rgb="FF000000"/>
        <sz val="10.0"/>
      </rPr>
      <t xml:space="preserve">補足：
</t>
    </r>
    <r>
      <rPr>
        <rFont val="メイリオ"/>
        <color rgb="FF000000"/>
        <sz val="10.0"/>
      </rPr>
      <t>・`address`: gửi vượt quá maxlength=200 thì bị BE từ chối</t>
    </r>
  </si>
  <si>
    <t>ACSMS-TC-018-027</t>
  </si>
  <si>
    <t>Kết quả tìm kiếm 0 bản ghi — `検索結果が見つかりませんでした。`</t>
  </si>
  <si>
    <t>・role: JA_HONTEN
・Không tồn tại Hanbaiten khớp keyword dưới JA của mình</t>
  </si>
  <si>
    <r>
      <rPr>
        <rFont val="游ゴシック"/>
        <b/>
        <color rgb="FF000000"/>
        <sz val="10.0"/>
      </rPr>
      <t xml:space="preserve">ステップ1：
</t>
    </r>
    <r>
      <rPr>
        <rFont val="游ゴシック"/>
        <color rgb="FF000000"/>
        <sz val="10.0"/>
      </rPr>
      <t xml:space="preserve">Nhập "ZZZZZZZZZZ" (code không tồn tại) vào `hanbaiten_code`
</t>
    </r>
    <r>
      <rPr>
        <rFont val="游ゴシック"/>
        <b/>
        <color rgb="FF000000"/>
        <sz val="10.0"/>
      </rPr>
      <t xml:space="preserve">ステップ2：
</t>
    </r>
    <r>
      <rPr>
        <rFont val="游ゴシック"/>
        <color rgb="FF000000"/>
        <sz val="10.0"/>
      </rPr>
      <t>Click button "検索"</t>
    </r>
  </si>
  <si>
    <r>
      <rPr>
        <rFont val="メイリオ"/>
        <b/>
        <color rgb="FF000000"/>
        <sz val="10.0"/>
      </rPr>
      <t xml:space="preserve">ステップ1：
</t>
    </r>
    <r>
      <rPr>
        <rFont val="メイリオ"/>
        <color rgb="FF000000"/>
        <sz val="10.0"/>
      </rPr>
      <t xml:space="preserve">Giá trị được nhập vào ô `hanbaiten_code`
</t>
    </r>
    <r>
      <rPr>
        <rFont val="メイリオ"/>
        <b/>
        <color rgb="FF000000"/>
        <sz val="10.0"/>
      </rPr>
      <t xml:space="preserve">ステップ2：
</t>
    </r>
    <r>
      <rPr>
        <rFont val="メイリオ"/>
        <color rgb="FF000000"/>
        <sz val="10.0"/>
      </rPr>
      <t xml:space="preserve">Trả về HTTP 200, `data: []`, `meta.total: 0`, màn hình hiển thị message `検索結果が見つかりませんでした。` (MSG-018-001)
</t>
    </r>
    <r>
      <rPr>
        <rFont val="メイリオ"/>
        <b/>
        <color rgb="FF000000"/>
        <sz val="10.0"/>
      </rPr>
      <t xml:space="preserve">補足：
</t>
    </r>
    <r>
      <rPr>
        <rFont val="メイリオ"/>
        <color rgb="FF000000"/>
        <sz val="10.0"/>
      </rPr>
      <t>・Chỉ hiển thị header table, không hiển thị data row</t>
    </r>
  </si>
  <si>
    <t>ACSMS-TC-018-028</t>
  </si>
  <si>
    <t>Button "検索クリア" — reset toàn bộ input + reload danh sách</t>
  </si>
  <si>
    <r>
      <rPr>
        <rFont val="メイリオ"/>
        <b/>
        <color rgb="FF000000"/>
        <sz val="10.0"/>
      </rPr>
      <t xml:space="preserve">ステップ1：
</t>
    </r>
    <r>
      <rPr>
        <rFont val="メイリオ"/>
        <color rgb="FF000000"/>
        <sz val="10.0"/>
      </rPr>
      <t xml:space="preserve">Nhập giá trị tùy ý vào `hanbaiten_code`, `hanbaiten_name`, `tel`, `fax`, `address`, `shocho_name`, check `haiten_flg`
</t>
    </r>
    <r>
      <rPr>
        <rFont val="メイリオ"/>
        <b/>
        <color rgb="FF000000"/>
        <sz val="10.0"/>
      </rPr>
      <t xml:space="preserve">ステップ2：
</t>
    </r>
    <r>
      <rPr>
        <rFont val="メイリオ"/>
        <color rgb="FF000000"/>
        <sz val="10.0"/>
      </rPr>
      <t>Click button "検索クリア"</t>
    </r>
  </si>
  <si>
    <r>
      <rPr>
        <rFont val="メイリオ"/>
        <b/>
        <color rgb="FF000000"/>
        <sz val="10.0"/>
      </rPr>
      <t xml:space="preserve">ステップ1：
</t>
    </r>
    <r>
      <rPr>
        <rFont val="メイリオ"/>
        <color rgb="FF000000"/>
        <sz val="10.0"/>
      </rPr>
      <t xml:space="preserve">Tất cả ô input có giá trị và `haiten_flg` đã được check
</t>
    </r>
    <r>
      <rPr>
        <rFont val="メイリオ"/>
        <b/>
        <color rgb="FF000000"/>
        <sz val="10.0"/>
      </rPr>
      <t xml:space="preserve">ステップ2：
</t>
    </r>
    <r>
      <rPr>
        <rFont val="メイリオ"/>
        <color rgb="FF000000"/>
        <sz val="10.0"/>
      </rPr>
      <t xml:space="preserve">Cả 6 ô input text trở về trống, `haiten_flg` trở về chưa check, màn hình reload về danh sách ban đầu (GET `/api/v1/hanbaiten` được gọi với tham số default)
</t>
    </r>
    <r>
      <rPr>
        <rFont val="メイリオ"/>
        <b/>
        <color rgb="FF000000"/>
        <sz val="10.0"/>
      </rPr>
      <t xml:space="preserve">補足：
</t>
    </r>
    <r>
      <rPr>
        <rFont val="メイリオ"/>
        <color rgb="FF000000"/>
        <sz val="10.0"/>
      </rPr>
      <t>・Sau khi clear, thứ tự sort / số trang cũng được khởi tạo lại</t>
    </r>
  </si>
  <si>
    <t>ACSMS-TC-018-029</t>
  </si>
  <si>
    <t>Sort `hanbaiten_code` — chu kỳ ASC → DESC → none</t>
  </si>
  <si>
    <t>・role: JA_HONTEN
・Có ≥5 Hanbaiten dưới JA của mình</t>
  </si>
  <si>
    <r>
      <rPr>
        <rFont val="メイリオ"/>
        <b/>
        <color rgb="FF000000"/>
        <sz val="10.0"/>
      </rPr>
      <t xml:space="preserve">ステップ1：
</t>
    </r>
    <r>
      <rPr>
        <rFont val="メイリオ"/>
        <color rgb="FF000000"/>
        <sz val="10.0"/>
      </rPr>
      <t xml:space="preserve">Ở hiển thị ban đầu của `/hanbaiten`, xác nhận `hanbaiten_code` đang sort ASC
</t>
    </r>
    <r>
      <rPr>
        <rFont val="メイリオ"/>
        <b/>
        <color rgb="FF000000"/>
        <sz val="10.0"/>
      </rPr>
      <t xml:space="preserve">ステップ2：
</t>
    </r>
    <r>
      <rPr>
        <rFont val="メイリオ"/>
        <color rgb="FF000000"/>
        <sz val="10.0"/>
      </rPr>
      <t xml:space="preserve">Click 1 lần header cột `hanbaiten_code`
</t>
    </r>
    <r>
      <rPr>
        <rFont val="メイリオ"/>
        <b/>
        <color rgb="FF000000"/>
        <sz val="10.0"/>
      </rPr>
      <t xml:space="preserve">ステップ3：
</t>
    </r>
    <r>
      <rPr>
        <rFont val="メイリオ"/>
        <color rgb="FF000000"/>
        <sz val="10.0"/>
      </rPr>
      <t xml:space="preserve">Click thêm 1 lần header cột `hanbaiten_code`
</t>
    </r>
    <r>
      <rPr>
        <rFont val="メイリオ"/>
        <b/>
        <color rgb="FF000000"/>
        <sz val="10.0"/>
      </rPr>
      <t xml:space="preserve">ステップ4：
</t>
    </r>
    <r>
      <rPr>
        <rFont val="メイリオ"/>
        <color rgb="FF000000"/>
        <sz val="10.0"/>
      </rPr>
      <t>Click thêm 1 lần header cột `hanbaiten_code`</t>
    </r>
  </si>
  <si>
    <r>
      <rPr>
        <rFont val="メイリオ"/>
        <b/>
        <color rgb="FF000000"/>
        <sz val="10.0"/>
      </rPr>
      <t xml:space="preserve">ステップ1：
</t>
    </r>
    <r>
      <rPr>
        <rFont val="メイリオ"/>
        <color rgb="FF000000"/>
        <sz val="10.0"/>
      </rPr>
      <t xml:space="preserve">GET `/api/v1/hanbaiten?sort_by=hanbaiten_code&amp;sort_order=asc` được gọi, table sắp xếp ASC, icon ▲ được hiển thị
</t>
    </r>
    <r>
      <rPr>
        <rFont val="メイリオ"/>
        <b/>
        <color rgb="FF000000"/>
        <sz val="10.0"/>
      </rPr>
      <t xml:space="preserve">ステップ2：
</t>
    </r>
    <r>
      <rPr>
        <rFont val="メイリオ"/>
        <color rgb="FF000000"/>
        <sz val="10.0"/>
      </rPr>
      <t xml:space="preserve">GET `/api/v1/hanbaiten?sort_by=hanbaiten_code&amp;sort_order=desc` được gọi, table sắp xếp DESC, icon ▼ được hiển thị
</t>
    </r>
    <r>
      <rPr>
        <rFont val="メイリオ"/>
        <b/>
        <color rgb="FF000000"/>
        <sz val="10.0"/>
      </rPr>
      <t xml:space="preserve">ステップ3：
</t>
    </r>
    <r>
      <rPr>
        <rFont val="メイリオ"/>
        <color rgb="FF000000"/>
        <sz val="10.0"/>
      </rPr>
      <t xml:space="preserve">GET không có param sort_order (sort mặc định) được gọi, icon sort biến mất
</t>
    </r>
    <r>
      <rPr>
        <rFont val="メイリオ"/>
        <b/>
        <color rgb="FF000000"/>
        <sz val="10.0"/>
      </rPr>
      <t xml:space="preserve">ステップ4：
</t>
    </r>
    <r>
      <rPr>
        <rFont val="メイリオ"/>
        <color rgb="FF000000"/>
        <sz val="10.0"/>
      </rPr>
      <t xml:space="preserve">Trở về ASC, icon ▲ được hiển thị lại
</t>
    </r>
    <r>
      <rPr>
        <rFont val="メイリオ"/>
        <b/>
        <color rgb="FF000000"/>
        <sz val="10.0"/>
      </rPr>
      <t xml:space="preserve">補足：
</t>
    </r>
    <r>
      <rPr>
        <rFont val="メイリオ"/>
        <color rgb="FF000000"/>
        <sz val="10.0"/>
      </rPr>
      <t>・Chu kỳ 3 trạng thái: ASC → DESC → none → ASC</t>
    </r>
  </si>
  <si>
    <t>ACSMS-TC-018-030</t>
  </si>
  <si>
    <t>Sort `hanbaiten_name`</t>
  </si>
  <si>
    <t>・role: JA_HONTEN
・Có ≥5 Hanbaiten với `hanbaiten_name` khác nhau dưới JA của mình</t>
  </si>
  <si>
    <r>
      <rPr>
        <rFont val="メイリオ"/>
        <b/>
        <color rgb="FF000000"/>
        <sz val="10.0"/>
      </rPr>
      <t xml:space="preserve">ステップ1：
</t>
    </r>
    <r>
      <rPr>
        <rFont val="メイリオ"/>
        <color rgb="FF000000"/>
        <sz val="10.0"/>
      </rPr>
      <t xml:space="preserve">Click header cột `hanbaiten_name`
</t>
    </r>
    <r>
      <rPr>
        <rFont val="メイリオ"/>
        <b/>
        <color rgb="FF000000"/>
        <sz val="10.0"/>
      </rPr>
      <t xml:space="preserve">ステップ2：
</t>
    </r>
    <r>
      <rPr>
        <rFont val="メイリオ"/>
        <color rgb="FF000000"/>
        <sz val="10.0"/>
      </rPr>
      <t>Click thêm header cột `hanbaiten_name`</t>
    </r>
  </si>
  <si>
    <r>
      <rPr>
        <rFont val="メイリオ"/>
        <b/>
        <color rgb="FF000000"/>
        <sz val="10.0"/>
      </rPr>
      <t xml:space="preserve">ステップ1：
</t>
    </r>
    <r>
      <rPr>
        <rFont val="メイリオ"/>
        <color rgb="FF000000"/>
        <sz val="10.0"/>
      </rPr>
      <t xml:space="preserve">GET `/api/v1/hanbaiten?sort_by=hanbaiten_name&amp;sort_order=asc` được gọi, table sắp xếp ASC theo `hanbaiten_name` (thứ tự あいうえお), icon ▲ được hiển thị
</t>
    </r>
    <r>
      <rPr>
        <rFont val="メイリオ"/>
        <b/>
        <color rgb="FF000000"/>
        <sz val="10.0"/>
      </rPr>
      <t xml:space="preserve">ステップ2：
</t>
    </r>
    <r>
      <rPr>
        <rFont val="メイリオ"/>
        <color rgb="FF000000"/>
        <sz val="10.0"/>
      </rPr>
      <t xml:space="preserve">GET `/api/v1/hanbaiten?sort_by=hanbaiten_name&amp;sort_order=desc` được gọi, table sắp xếp DESC, icon ▼ được hiển thị
</t>
    </r>
    <r>
      <rPr>
        <rFont val="メイリオ"/>
        <b/>
        <color rgb="FF000000"/>
        <sz val="10.0"/>
      </rPr>
      <t xml:space="preserve">補足：
</t>
    </r>
    <r>
      <rPr>
        <rFont val="メイリオ"/>
        <color rgb="FF000000"/>
        <sz val="10.0"/>
      </rPr>
      <t>・Ngoài `hanbaiten_code`, cột sort được chỉ có `hanbaiten_name`</t>
    </r>
  </si>
  <si>
    <t>ACSMS-TC-018-031</t>
  </si>
  <si>
    <t>Pagination — hiển thị 20 record/page</t>
  </si>
  <si>
    <t>・role: JA_HONTEN
・Có ≥25 Hanbaiten dưới JA của mình</t>
  </si>
  <si>
    <r>
      <rPr>
        <rFont val="メイリオ"/>
        <b/>
        <color rgb="FF000000"/>
        <sz val="10.0"/>
      </rPr>
      <t xml:space="preserve">ステップ1：
</t>
    </r>
    <r>
      <rPr>
        <rFont val="メイリオ"/>
        <color rgb="FF000000"/>
        <sz val="10.0"/>
      </rPr>
      <t xml:space="preserve">Truy cập `/hanbaiten` và click "検索"
</t>
    </r>
    <r>
      <rPr>
        <rFont val="メイリオ"/>
        <b/>
        <color rgb="FF000000"/>
        <sz val="10.0"/>
      </rPr>
      <t xml:space="preserve">ステップ2：
</t>
    </r>
    <r>
      <rPr>
        <rFont val="メイリオ"/>
        <color rgb="FF000000"/>
        <sz val="10.0"/>
      </rPr>
      <t xml:space="preserve">Kiểm tra số dòng hiển thị ở page 1
</t>
    </r>
    <r>
      <rPr>
        <rFont val="メイリオ"/>
        <b/>
        <color rgb="FF000000"/>
        <sz val="10.0"/>
      </rPr>
      <t xml:space="preserve">ステップ3：
</t>
    </r>
    <r>
      <rPr>
        <rFont val="メイリオ"/>
        <color rgb="FF000000"/>
        <sz val="10.0"/>
      </rPr>
      <t>Kiểm tra hiển thị của control pagination</t>
    </r>
  </si>
  <si>
    <r>
      <rPr>
        <rFont val="游ゴシック"/>
        <b/>
        <color rgb="FF000000"/>
        <sz val="10.0"/>
      </rPr>
      <t xml:space="preserve">ステップ1：
</t>
    </r>
    <r>
      <rPr>
        <rFont val="游ゴシック"/>
        <color rgb="FF000000"/>
        <sz val="10.0"/>
      </rPr>
      <t xml:space="preserve">Trả về HTTP 200, được gọi với `per_page=20`
</t>
    </r>
    <r>
      <rPr>
        <rFont val="游ゴシック"/>
        <b/>
        <color rgb="FF000000"/>
        <sz val="10.0"/>
      </rPr>
      <t xml:space="preserve">ステップ2：
</t>
    </r>
    <r>
      <rPr>
        <rFont val="游ゴシック"/>
        <color rgb="FF000000"/>
        <sz val="10.0"/>
      </rPr>
      <t xml:space="preserve">Page 1 hiển thị tối đa 20 Hanbaiten
</t>
    </r>
    <r>
      <rPr>
        <rFont val="游ゴシック"/>
        <b/>
        <color rgb="FF000000"/>
        <sz val="10.0"/>
      </rPr>
      <t xml:space="preserve">ステップ3：
</t>
    </r>
    <r>
      <rPr>
        <rFont val="游ゴシック"/>
        <color rgb="FF000000"/>
        <sz val="10.0"/>
      </rPr>
      <t xml:space="preserve">Pagination được hiển thị dạng "1 2 3 ... 次へ", tổng số bản ghi và tổng số page được hiển thị
</t>
    </r>
    <r>
      <rPr>
        <rFont val="游ゴシック"/>
        <b/>
        <color rgb="FF000000"/>
        <sz val="10.0"/>
      </rPr>
      <t xml:space="preserve">補足：
</t>
    </r>
    <r>
      <rPr>
        <rFont val="游ゴシック"/>
        <color rgb="FF000000"/>
        <sz val="10.0"/>
      </rPr>
      <t>・`per_page` mặc định = 20</t>
    </r>
  </si>
  <si>
    <t>ACSMS-TC-018-032</t>
  </si>
  <si>
    <t>Pagination — chuyển "次へ" / "前へ"</t>
  </si>
  <si>
    <r>
      <rPr>
        <rFont val="メイリオ"/>
        <b/>
        <color rgb="FF000000"/>
        <sz val="10.0"/>
      </rPr>
      <t xml:space="preserve">ステップ1：
</t>
    </r>
    <r>
      <rPr>
        <rFont val="メイリオ"/>
        <color rgb="FF000000"/>
        <sz val="10.0"/>
      </rPr>
      <t xml:space="preserve">Click button "次へ" ở page 1
</t>
    </r>
    <r>
      <rPr>
        <rFont val="メイリオ"/>
        <b/>
        <color rgb="FF000000"/>
        <sz val="10.0"/>
      </rPr>
      <t xml:space="preserve">ステップ2：
</t>
    </r>
    <r>
      <rPr>
        <rFont val="メイリオ"/>
        <color rgb="FF000000"/>
        <sz val="10.0"/>
      </rPr>
      <t>Click button "前へ" ở page 2</t>
    </r>
  </si>
  <si>
    <r>
      <rPr>
        <rFont val="メイリオ"/>
        <b/>
        <color rgb="FF000000"/>
        <sz val="10.0"/>
      </rPr>
      <t xml:space="preserve">ステップ1：
</t>
    </r>
    <r>
      <rPr>
        <rFont val="メイリオ"/>
        <color rgb="FF000000"/>
        <sz val="10.0"/>
      </rPr>
      <t xml:space="preserve">GET `/api/v1/hanbaiten?page=2&amp;per_page=20...` được gọi, data của page 2 được hiển thị
</t>
    </r>
    <r>
      <rPr>
        <rFont val="メイリオ"/>
        <b/>
        <color rgb="FF000000"/>
        <sz val="10.0"/>
      </rPr>
      <t xml:space="preserve">ステップ2：
</t>
    </r>
    <r>
      <rPr>
        <rFont val="メイリオ"/>
        <color rgb="FF000000"/>
        <sz val="10.0"/>
      </rPr>
      <t xml:space="preserve">GET `/api/v1/hanbaiten?page=1&amp;per_page=20...` được gọi, data của page 1 được hiển thị
</t>
    </r>
    <r>
      <rPr>
        <rFont val="メイリオ"/>
        <b/>
        <color rgb="FF000000"/>
        <sz val="10.0"/>
      </rPr>
      <t xml:space="preserve">補足：
</t>
    </r>
    <r>
      <rPr>
        <rFont val="メイリオ"/>
        <color rgb="FF000000"/>
        <sz val="10.0"/>
      </rPr>
      <t>・Param URL `page` được lưu vào lịch sử trình duyệt (reload vẫn ở cùng page)</t>
    </r>
  </si>
  <si>
    <t>ACSMS-TC-018-033</t>
  </si>
  <si>
    <t>Pagination — biên `per_page`=100</t>
  </si>
  <si>
    <t>・role: JA_HONTEN
・Có ≥100 Hanbaiten dưới JA của mình</t>
  </si>
  <si>
    <r>
      <rPr>
        <rFont val="游ゴシック"/>
        <b/>
        <color rgb="FF000000"/>
        <sz val="10.0"/>
      </rPr>
      <t xml:space="preserve">ステップ1：
</t>
    </r>
    <r>
      <rPr>
        <rFont val="游ゴシック"/>
        <color rgb="FF000000"/>
        <sz val="10.0"/>
      </rPr>
      <t xml:space="preserve">Gửi GET `/api/v1/hanbaiten?per_page=100` qua DevTools
</t>
    </r>
    <r>
      <rPr>
        <rFont val="游ゴシック"/>
        <b/>
        <color rgb="FF000000"/>
        <sz val="10.0"/>
      </rPr>
      <t xml:space="preserve">ステップ2：
</t>
    </r>
    <r>
      <rPr>
        <rFont val="游ゴシック"/>
        <color rgb="FF000000"/>
        <sz val="10.0"/>
      </rPr>
      <t>Gửi GET `/api/v1/hanbaiten?per_page=101` qua DevTools</t>
    </r>
  </si>
  <si>
    <r>
      <rPr>
        <rFont val="メイリオ"/>
        <b/>
        <color rgb="FF000000"/>
        <sz val="10.0"/>
      </rPr>
      <t xml:space="preserve">ステップ1：
</t>
    </r>
    <r>
      <rPr>
        <rFont val="メイリオ"/>
        <color rgb="FF000000"/>
        <sz val="10.0"/>
      </rPr>
      <t xml:space="preserve">Trả về HTTP 200, trả về tối đa 100 bản ghi
</t>
    </r>
    <r>
      <rPr>
        <rFont val="メイリオ"/>
        <b/>
        <color rgb="FF000000"/>
        <sz val="10.0"/>
      </rPr>
      <t xml:space="preserve">ステップ2：
</t>
    </r>
    <r>
      <rPr>
        <rFont val="メイリオ"/>
        <color rgb="FF000000"/>
        <sz val="10.0"/>
      </rPr>
      <t xml:space="preserve">Trả về HTTP 400 (`error_code: VALIDATION_ERROR`, `errors[0].field: per_page`)
</t>
    </r>
    <r>
      <rPr>
        <rFont val="メイリオ"/>
        <b/>
        <color rgb="FF000000"/>
        <sz val="10.0"/>
      </rPr>
      <t xml:space="preserve">補足：
</t>
    </r>
    <r>
      <rPr>
        <rFont val="メイリオ"/>
        <color rgb="FF000000"/>
        <sz val="10.0"/>
      </rPr>
      <t>・Giới hạn trên của `per_page` là 100 (class-validator `@Max(100)`)</t>
    </r>
  </si>
  <si>
    <t>ACSMS-TC-018-034</t>
  </si>
  <si>
    <t>Tìm kiếm với param `sort_by` không hợp lệ</t>
  </si>
  <si>
    <r>
      <rPr>
        <rFont val="メイリオ"/>
        <b/>
        <color rgb="FF000000"/>
        <sz val="10.0"/>
      </rPr>
      <t xml:space="preserve">ステップ1：
</t>
    </r>
    <r>
      <rPr>
        <rFont val="メイリオ"/>
        <color rgb="FF000000"/>
        <sz val="10.0"/>
      </rPr>
      <t>Gửi GET `/api/v1/hanbaiten?sort_by=invalid_column` qua DevTools</t>
    </r>
  </si>
  <si>
    <r>
      <rPr>
        <rFont val="メイリオ"/>
        <b/>
        <color rgb="FF000000"/>
        <sz val="10.0"/>
      </rPr>
      <t xml:space="preserve">ステップ1：
</t>
    </r>
    <r>
      <rPr>
        <rFont val="メイリオ"/>
        <color rgb="FF000000"/>
        <sz val="10.0"/>
      </rPr>
      <t xml:space="preserve">Trả về HTTP 400 (`error_code: VALIDATION_ERROR`, `errors[0].field: sort_by`, message `入力値が不正です。詳細はerrorsフィールドを確認してください。`)
</t>
    </r>
    <r>
      <rPr>
        <rFont val="メイリオ"/>
        <b/>
        <color rgb="FF000000"/>
        <sz val="10.0"/>
      </rPr>
      <t xml:space="preserve">補足：
</t>
    </r>
    <r>
      <rPr>
        <rFont val="メイリオ"/>
        <color rgb="FF000000"/>
        <sz val="10.0"/>
      </rPr>
      <t xml:space="preserve">・`sort_by` chỉ cho phép `hanbaiten_code` hoặc `hanbaiten_name`
</t>
    </r>
    <r>
      <rPr>
        <rFont val="メイリオ"/>
        <color rgb="FF000000"/>
        <sz val="10.0"/>
      </rPr>
      <t>・Giá trị không hợp lệ bị từ chối bởi `@IsIn([...])` của class-validator</t>
    </r>
  </si>
  <si>
    <t>Logic nghiệp vụ — Xóa (Function — Delete)</t>
  </si>
  <si>
    <t>ACSMS-TC-018-035</t>
  </si>
  <si>
    <t>Hiển thị dialog confirm xóa</t>
  </si>
  <si>
    <t>・role: JA_HONTEN
・Có Hanbaiten có thể xóa (id=H1) dưới JA của mình</t>
  </si>
  <si>
    <r>
      <rPr>
        <rFont val="メイリオ"/>
        <b/>
        <color rgb="FF000000"/>
        <sz val="10.0"/>
      </rPr>
      <t xml:space="preserve">ステップ1：
</t>
    </r>
    <r>
      <rPr>
        <rFont val="メイリオ"/>
        <color rgb="FF000000"/>
        <sz val="10.0"/>
      </rPr>
      <t>Tại `/hanbaiten`, click button "削除" trên row của Hanbaiten H1</t>
    </r>
  </si>
  <si>
    <r>
      <rPr>
        <rFont val="メイリオ"/>
        <b/>
        <color rgb="FF000000"/>
        <sz val="10.0"/>
      </rPr>
      <t xml:space="preserve">ステップ1：
</t>
    </r>
    <r>
      <rPr>
        <rFont val="メイリオ"/>
        <color rgb="FF000000"/>
        <sz val="10.0"/>
      </rPr>
      <t xml:space="preserve">Hiển thị dialog confirm xóa, message dialog là `この販売店を削除してもよろしいですか？` (MSG-018-005), 2 button "はい" "いいえ" được hiển thị
</t>
    </r>
    <r>
      <rPr>
        <rFont val="メイリオ"/>
        <b/>
        <color rgb="FF000000"/>
        <sz val="10.0"/>
      </rPr>
      <t xml:space="preserve">補足：
</t>
    </r>
    <r>
      <rPr>
        <rFont val="メイリオ"/>
        <color rgb="FF000000"/>
        <sz val="10.0"/>
      </rPr>
      <t xml:space="preserve">・Button "はい" có `okType: 'danger'` (màu đỏ)
</t>
    </r>
    <r>
      <rPr>
        <rFont val="メイリオ"/>
        <color rgb="FF000000"/>
        <sz val="10.0"/>
      </rPr>
      <t>・Theo quy ước project, dùng "はい / いいえ"</t>
    </r>
  </si>
  <si>
    <t>ACSMS-TC-018-036</t>
  </si>
  <si>
    <t>Confirm xóa (click "はい") — xóa logical + toast thành công + cập nhật danh sách</t>
  </si>
  <si>
    <t>・role: JA_HONTEN
・Có Hanbaiten H1 không có related object dưới JA của mình</t>
  </si>
  <si>
    <r>
      <rPr>
        <rFont val="游ゴシック"/>
        <b/>
        <color rgb="FF000000"/>
        <sz val="10.0"/>
      </rPr>
      <t xml:space="preserve">ステップ1：
</t>
    </r>
    <r>
      <rPr>
        <rFont val="游ゴシック"/>
        <color rgb="FF000000"/>
        <sz val="10.0"/>
      </rPr>
      <t xml:space="preserve">Click button "削除" trên Hanbaiten H1, mở dialog confirm xóa
</t>
    </r>
    <r>
      <rPr>
        <rFont val="游ゴシック"/>
        <b/>
        <color rgb="FF000000"/>
        <sz val="10.0"/>
      </rPr>
      <t xml:space="preserve">ステップ2：
</t>
    </r>
    <r>
      <rPr>
        <rFont val="游ゴシック"/>
        <color rgb="FF000000"/>
        <sz val="10.0"/>
      </rPr>
      <t xml:space="preserve">Click button "はい"
</t>
    </r>
    <r>
      <rPr>
        <rFont val="游ゴシック"/>
        <b/>
        <color rgb="FF000000"/>
        <sz val="10.0"/>
      </rPr>
      <t xml:space="preserve">ステップ3：
</t>
    </r>
    <r>
      <rPr>
        <rFont val="游ゴシック"/>
        <color rgb="FF000000"/>
        <sz val="10.0"/>
      </rPr>
      <t xml:space="preserve">Kiểm tra DB: `SELECT deleted_at FROM m_hanbaiten WHERE hanbaiten_id = H1`
</t>
    </r>
    <r>
      <rPr>
        <rFont val="游ゴシック"/>
        <b/>
        <color rgb="FF000000"/>
        <sz val="10.0"/>
      </rPr>
      <t xml:space="preserve">ステップ4：
</t>
    </r>
    <r>
      <rPr>
        <rFont val="游ゴシック"/>
        <color rgb="FF000000"/>
        <sz val="10.0"/>
      </rPr>
      <t>Kiểm tra table kết quả tìm kiếm trên màn hình</t>
    </r>
  </si>
  <si>
    <r>
      <rPr>
        <rFont val="メイリオ"/>
        <b/>
        <color rgb="FF000000"/>
        <sz val="10.0"/>
      </rPr>
      <t xml:space="preserve">ステップ1：
</t>
    </r>
    <r>
      <rPr>
        <rFont val="メイリオ"/>
        <color rgb="FF000000"/>
        <sz val="10.0"/>
      </rPr>
      <t xml:space="preserve">Hiển thị dialog confirm xóa
</t>
    </r>
    <r>
      <rPr>
        <rFont val="メイリオ"/>
        <b/>
        <color rgb="FF000000"/>
        <sz val="10.0"/>
      </rPr>
      <t xml:space="preserve">ステップ2：
</t>
    </r>
    <r>
      <rPr>
        <rFont val="メイリオ"/>
        <color rgb="FF000000"/>
        <sz val="10.0"/>
      </rPr>
      <t xml:space="preserve">DELETE `/api/v1/hanbaiten/H1` được gọi, trả về HTTP 200, hiển thị toast `削除しました。` (MSG-018-006)
</t>
    </r>
    <r>
      <rPr>
        <rFont val="メイリオ"/>
        <b/>
        <color rgb="FF000000"/>
        <sz val="10.0"/>
      </rPr>
      <t xml:space="preserve">ステップ3：
</t>
    </r>
    <r>
      <rPr>
        <rFont val="メイリオ"/>
        <color rgb="FF000000"/>
        <sz val="10.0"/>
      </rPr>
      <t xml:space="preserve">`deleted_at` được update với thời gian tương đương NOW() (xóa logical), không bị xóa vật lý
</t>
    </r>
    <r>
      <rPr>
        <rFont val="メイリオ"/>
        <b/>
        <color rgb="FF000000"/>
        <sz val="10.0"/>
      </rPr>
      <t xml:space="preserve">ステップ4：
</t>
    </r>
    <r>
      <rPr>
        <rFont val="メイリオ"/>
        <color rgb="FF000000"/>
        <sz val="10.0"/>
      </rPr>
      <t xml:space="preserve">Hanbaiten H1 bị loại khỏi danh sách (do filter deleted_at IS NULL), danh sách được tự động reload
</t>
    </r>
    <r>
      <rPr>
        <rFont val="メイリオ"/>
        <b/>
        <color rgb="FF000000"/>
        <sz val="10.0"/>
      </rPr>
      <t xml:space="preserve">補足：
</t>
    </r>
    <r>
      <rPr>
        <rFont val="メイリオ"/>
        <color rgb="FF000000"/>
        <sz val="10.0"/>
      </rPr>
      <t xml:space="preserve">・Là xóa logical nên row `m_hanbaiten` vẫn tồn tại vật lý
</t>
    </r>
    <r>
      <rPr>
        <rFont val="メイリオ"/>
        <color rgb="FF000000"/>
        <sz val="10.0"/>
      </rPr>
      <t>・Sau khi xóa không thể đăng ký mới với cùng `hanbaiten_code` (master code reserved policy)</t>
    </r>
  </si>
  <si>
    <t>ACSMS-TC-018-037</t>
  </si>
  <si>
    <t>Cancel xóa (click "いいえ") — giữ nguyên trạng thái</t>
  </si>
  <si>
    <t>・role: JA_HONTEN
・Có Hanbaiten H1 dưới JA của mình</t>
  </si>
  <si>
    <r>
      <rPr>
        <rFont val="メイリオ"/>
        <b/>
        <color rgb="FF000000"/>
        <sz val="10.0"/>
      </rPr>
      <t xml:space="preserve">ステップ1：
</t>
    </r>
    <r>
      <rPr>
        <rFont val="メイリオ"/>
        <color rgb="FF000000"/>
        <sz val="10.0"/>
      </rPr>
      <t xml:space="preserve">Click button "削除" trên Hanbaiten H1, mở dialog
</t>
    </r>
    <r>
      <rPr>
        <rFont val="メイリオ"/>
        <b/>
        <color rgb="FF000000"/>
        <sz val="10.0"/>
      </rPr>
      <t xml:space="preserve">ステップ2：
</t>
    </r>
    <r>
      <rPr>
        <rFont val="メイリオ"/>
        <color rgb="FF000000"/>
        <sz val="10.0"/>
      </rPr>
      <t xml:space="preserve">Click button "いいえ"
</t>
    </r>
    <r>
      <rPr>
        <rFont val="メイリオ"/>
        <b/>
        <color rgb="FF000000"/>
        <sz val="10.0"/>
      </rPr>
      <t xml:space="preserve">ステップ3：
</t>
    </r>
    <r>
      <rPr>
        <rFont val="メイリオ"/>
        <color rgb="FF000000"/>
        <sz val="10.0"/>
      </rPr>
      <t>Kiểm tra DB: `SELECT deleted_at FROM m_hanbaiten WHERE hanbaiten_id = H1`</t>
    </r>
  </si>
  <si>
    <r>
      <rPr>
        <rFont val="メイリオ"/>
        <b/>
        <color rgb="FF000000"/>
        <sz val="10.0"/>
      </rPr>
      <t xml:space="preserve">ステップ1：
</t>
    </r>
    <r>
      <rPr>
        <rFont val="メイリオ"/>
        <color rgb="FF000000"/>
        <sz val="10.0"/>
      </rPr>
      <t xml:space="preserve">Hiển thị dialog confirm xóa
</t>
    </r>
    <r>
      <rPr>
        <rFont val="メイリオ"/>
        <b/>
        <color rgb="FF000000"/>
        <sz val="10.0"/>
      </rPr>
      <t xml:space="preserve">ステップ2：
</t>
    </r>
    <r>
      <rPr>
        <rFont val="メイリオ"/>
        <color rgb="FF000000"/>
        <sz val="10.0"/>
      </rPr>
      <t xml:space="preserve">Dialog bị đóng, API DELETE không được gọi, danh sách cũng không thay đổi (Hanbaiten H1 vẫn được hiển thị)
</t>
    </r>
    <r>
      <rPr>
        <rFont val="メイリオ"/>
        <b/>
        <color rgb="FF000000"/>
        <sz val="10.0"/>
      </rPr>
      <t xml:space="preserve">ステップ3：
</t>
    </r>
    <r>
      <rPr>
        <rFont val="メイリオ"/>
        <color rgb="FF000000"/>
        <sz val="10.0"/>
      </rPr>
      <t xml:space="preserve">`deleted_at` vẫn NULL (DB không thay đổi)
</t>
    </r>
    <r>
      <rPr>
        <rFont val="メイリオ"/>
        <b/>
        <color rgb="FF000000"/>
        <sz val="10.0"/>
      </rPr>
      <t xml:space="preserve">補足：
</t>
    </r>
    <r>
      <rPr>
        <rFont val="メイリオ"/>
        <color rgb="FF000000"/>
        <sz val="10.0"/>
      </rPr>
      <t>・Khi cancel, không có request nào được gửi đến server</t>
    </r>
  </si>
  <si>
    <t>ACSMS-TC-018-038</t>
  </si>
  <si>
    <t>Xóa có FK liên quan — `この販売店は関連オブジェクトに紐づいているため削除できません。`</t>
  </si>
  <si>
    <t>・role: JA_HONTEN
・Tồn tại Hanbaiten H2 dưới JA của mình, có ≥1 row Dokusya với `t_dokusya.hanbaiten_id` = H2</t>
  </si>
  <si>
    <r>
      <rPr>
        <rFont val="游ゴシック"/>
        <b/>
        <color rgb="FF000000"/>
        <sz val="10.0"/>
      </rPr>
      <t xml:space="preserve">ステップ1：
</t>
    </r>
    <r>
      <rPr>
        <rFont val="游ゴシック"/>
        <color rgb="FF000000"/>
        <sz val="10.0"/>
      </rPr>
      <t xml:space="preserve">Click button "削除" trên Hanbaiten H2, click "はい" trong dialog
</t>
    </r>
    <r>
      <rPr>
        <rFont val="游ゴシック"/>
        <b/>
        <color rgb="FF000000"/>
        <sz val="10.0"/>
      </rPr>
      <t xml:space="preserve">ステップ2：
</t>
    </r>
    <r>
      <rPr>
        <rFont val="游ゴシック"/>
        <color rgb="FF000000"/>
        <sz val="10.0"/>
      </rPr>
      <t xml:space="preserve">Kiểm tra DB: `SELECT deleted_at FROM m_hanbaiten WHERE hanbaiten_id = H2`
</t>
    </r>
    <r>
      <rPr>
        <rFont val="游ゴシック"/>
        <b/>
        <color rgb="FF000000"/>
        <sz val="10.0"/>
      </rPr>
      <t xml:space="preserve">ステップ3：
</t>
    </r>
    <r>
      <rPr>
        <rFont val="游ゴシック"/>
        <color rgb="FF000000"/>
        <sz val="10.0"/>
      </rPr>
      <t>Kiểm tra DB: `SELECT * FROM t_log WHERE result_status = 2 AND target_table = 'm_hanbaiten' AND target_id = H2 ORDER BY log_datetime DESC LIMIT 1`</t>
    </r>
  </si>
  <si>
    <r>
      <rPr>
        <rFont val="游ゴシック"/>
        <b/>
        <color rgb="FF000000"/>
        <sz val="10.0"/>
      </rPr>
      <t xml:space="preserve">ステップ1：
</t>
    </r>
    <r>
      <rPr>
        <rFont val="游ゴシック"/>
        <color rgb="FF000000"/>
        <sz val="10.0"/>
      </rPr>
      <t xml:space="preserve">DELETE `/api/v1/hanbaiten/H2` được gọi, trả về HTTP 409 (`error_code: CONFLICT`, message `この販売店は関連オブジェクトに紐づいているため削除できません。`), hiển thị toast `この販売店は関連オブジェクトに紐づいているため削除できません。` (MSG-018-004)
</t>
    </r>
    <r>
      <rPr>
        <rFont val="游ゴシック"/>
        <b/>
        <color rgb="FF000000"/>
        <sz val="10.0"/>
      </rPr>
      <t xml:space="preserve">ステップ2：
</t>
    </r>
    <r>
      <rPr>
        <rFont val="游ゴシック"/>
        <color rgb="FF000000"/>
        <sz val="10.0"/>
      </rPr>
      <t xml:space="preserve">`deleted_at` vẫn NULL (xóa bị dừng)
</t>
    </r>
    <r>
      <rPr>
        <rFont val="游ゴシック"/>
        <b/>
        <color rgb="FF000000"/>
        <sz val="10.0"/>
      </rPr>
      <t xml:space="preserve">ステップ3：
</t>
    </r>
    <r>
      <rPr>
        <rFont val="游ゴシック"/>
        <color rgb="FF000000"/>
        <sz val="10.0"/>
      </rPr>
      <t xml:space="preserve">Có 1 dòng error log được record
</t>
    </r>
    <r>
      <rPr>
        <rFont val="游ゴシック"/>
        <b/>
        <color rgb="FF000000"/>
        <sz val="10.0"/>
      </rPr>
      <t xml:space="preserve">補足：
</t>
    </r>
    <r>
      <rPr>
        <rFont val="游ゴシック"/>
        <color rgb="FF000000"/>
        <sz val="10.0"/>
      </rPr>
      <t>・Bảng FK liên quan: `t_dokusya`, `t_dokusya_history` v.v.
・Tại service layer, `assertNoRelatedRows` trả về CONFLICT</t>
    </r>
  </si>
  <si>
    <t>ACSMS-TC-018-039</t>
  </si>
  <si>
    <t>Reload danh sách sau khi xóa — xác nhận filter `deleted_at` IS NULL</t>
  </si>
  <si>
    <t>・role: JA_HONTEN
・Tồn tại Hanbaiten H3 (deleted_at=NULL), H4 (deleted_at=thời điểm trong quá khứ) dưới JA của mình</t>
  </si>
  <si>
    <r>
      <rPr>
        <rFont val="メイリオ"/>
        <b/>
        <color rgb="FF000000"/>
        <sz val="10.0"/>
      </rPr>
      <t xml:space="preserve">ステップ1：
</t>
    </r>
    <r>
      <rPr>
        <rFont val="メイリオ"/>
        <color rgb="FF000000"/>
        <sz val="10.0"/>
      </rPr>
      <t xml:space="preserve">Truy cập `/hanbaiten`, click "検索"
</t>
    </r>
    <r>
      <rPr>
        <rFont val="メイリオ"/>
        <b/>
        <color rgb="FF000000"/>
        <sz val="10.0"/>
      </rPr>
      <t xml:space="preserve">ステップ2：
</t>
    </r>
    <r>
      <rPr>
        <rFont val="メイリオ"/>
        <color rgb="FF000000"/>
        <sz val="10.0"/>
      </rPr>
      <t xml:space="preserve">Xóa Hanbaiten H3 (chọn はい)
</t>
    </r>
    <r>
      <rPr>
        <rFont val="メイリオ"/>
        <b/>
        <color rgb="FF000000"/>
        <sz val="10.0"/>
      </rPr>
      <t xml:space="preserve">ステップ3：
</t>
    </r>
    <r>
      <rPr>
        <rFont val="メイリオ"/>
        <color rgb="FF000000"/>
        <sz val="10.0"/>
      </rPr>
      <t>Kiểm tra danh sách sau khi xóa hoàn tất</t>
    </r>
  </si>
  <si>
    <r>
      <rPr>
        <rFont val="メイリオ"/>
        <b/>
        <color rgb="FF000000"/>
        <sz val="10.0"/>
      </rPr>
      <t xml:space="preserve">ステップ1：
</t>
    </r>
    <r>
      <rPr>
        <rFont val="メイリオ"/>
        <color rgb="FF000000"/>
        <sz val="10.0"/>
      </rPr>
      <t xml:space="preserve">H3 nằm trong danh sách, H4 không nằm trong (bị filter `deleted_at` IS NULL loại trừ)
</t>
    </r>
    <r>
      <rPr>
        <rFont val="メイリオ"/>
        <b/>
        <color rgb="FF000000"/>
        <sz val="10.0"/>
      </rPr>
      <t xml:space="preserve">ステップ2：
</t>
    </r>
    <r>
      <rPr>
        <rFont val="メイリオ"/>
        <color rgb="FF000000"/>
        <sz val="10.0"/>
      </rPr>
      <t xml:space="preserve">Trả về HTTP 200, hiển thị toast `削除しました。`
</t>
    </r>
    <r>
      <rPr>
        <rFont val="メイリオ"/>
        <b/>
        <color rgb="FF000000"/>
        <sz val="10.0"/>
      </rPr>
      <t xml:space="preserve">ステップ3：
</t>
    </r>
    <r>
      <rPr>
        <rFont val="メイリオ"/>
        <color rgb="FF000000"/>
        <sz val="10.0"/>
      </rPr>
      <t xml:space="preserve">Khi auto-reload sau xóa, cả H3 và H4 đều không nằm trong danh sách
</t>
    </r>
    <r>
      <rPr>
        <rFont val="メイリオ"/>
        <b/>
        <color rgb="FF000000"/>
        <sz val="10.0"/>
      </rPr>
      <t xml:space="preserve">補足：
</t>
    </r>
    <r>
      <rPr>
        <rFont val="メイリオ"/>
        <color rgb="FF000000"/>
        <sz val="10.0"/>
      </rPr>
      <t>・Row đã xóa logical không hiển thị lại (không có chức năng restore)</t>
    </r>
  </si>
  <si>
    <t>ACSMS-TC-018-040</t>
  </si>
  <si>
    <t>Audit log (`t_log`) record khi xóa</t>
  </si>
  <si>
    <t>・role: JA_HONTEN (login_id=tarou01, account_id=10)
・Có Hanbaiten H5 có thể xóa dưới JA của mình</t>
  </si>
  <si>
    <r>
      <rPr>
        <rFont val="游ゴシック"/>
        <b/>
        <color rgb="FF000000"/>
        <sz val="10.0"/>
      </rPr>
      <t xml:space="preserve">ステップ1：
</t>
    </r>
    <r>
      <rPr>
        <rFont val="游ゴシック"/>
        <color rgb="FF000000"/>
        <sz val="10.0"/>
      </rPr>
      <t xml:space="preserve">Xóa Hanbaiten H5 (chọn はい)
</t>
    </r>
    <r>
      <rPr>
        <rFont val="游ゴシック"/>
        <b/>
        <color rgb="FF000000"/>
        <sz val="10.0"/>
      </rPr>
      <t xml:space="preserve">ステップ2：
</t>
    </r>
    <r>
      <rPr>
        <rFont val="游ゴシック"/>
        <color rgb="FF000000"/>
        <sz val="10.0"/>
      </rPr>
      <t>Kiểm tra DB: `SELECT log_type, operation, target_table, target_id, account_id, before_value, result_status FROM t_log WHERE target_table = 'm_hanbaiten' AND target_id = H5 ORDER BY log_datetime DESC LIMIT 1`</t>
    </r>
  </si>
  <si>
    <r>
      <rPr>
        <rFont val="メイリオ"/>
        <b/>
        <color rgb="FF000000"/>
        <sz val="10.0"/>
      </rPr>
      <t xml:space="preserve">ステップ1：
</t>
    </r>
    <r>
      <rPr>
        <rFont val="メイリオ"/>
        <color rgb="FF000000"/>
        <sz val="10.0"/>
      </rPr>
      <t xml:space="preserve">Trả về HTTP 200, hiển thị toast `削除しました。`
</t>
    </r>
    <r>
      <rPr>
        <rFont val="メイリオ"/>
        <b/>
        <color rgb="FF000000"/>
        <sz val="10.0"/>
      </rPr>
      <t xml:space="preserve">ステップ2：
</t>
    </r>
    <r>
      <rPr>
        <rFont val="メイリオ"/>
        <color rgb="FF000000"/>
        <sz val="10.0"/>
      </rPr>
      <t xml:space="preserve">Có 1 dòng log được record (log_type=1, operation=`DELETE`, target_table=`m_hanbaiten`, target_id=H5, account_id=10, before_value chứa nội dung record của H5 (JSON), result_status=1)
</t>
    </r>
    <r>
      <rPr>
        <rFont val="メイリオ"/>
        <b/>
        <color rgb="FF000000"/>
        <sz val="10.0"/>
      </rPr>
      <t xml:space="preserve">補足：
</t>
    </r>
    <r>
      <rPr>
        <rFont val="メイリオ"/>
        <color rgb="FF000000"/>
        <sz val="10.0"/>
      </rPr>
      <t xml:space="preserve">・Audit log được ghi trong cùng transaction với main DML (DELETE)
</t>
    </r>
    <r>
      <rPr>
        <rFont val="メイリオ"/>
        <color rgb="FF000000"/>
        <sz val="10.0"/>
      </rPr>
      <t>・Khi xảy ra lỗi, error log với result_status=2 vẫn được lưu lại</t>
    </r>
  </si>
  <si>
    <t>ACSMS-TC-018-041</t>
  </si>
  <si>
    <t>Xóa Hanbaiten của JA khác — DATA_SCOPE_VIOLATION</t>
  </si>
  <si>
    <t>・role: JA_HONTEN (thuộc ja-001)
・Tồn tại Hanbaiten H99 dưới JA khác (ja-002)</t>
  </si>
  <si>
    <r>
      <rPr>
        <rFont val="游ゴシック"/>
        <b/>
        <color rgb="FF000000"/>
        <sz val="10.0"/>
      </rPr>
      <t xml:space="preserve">ステップ1：
</t>
    </r>
    <r>
      <rPr>
        <rFont val="游ゴシック"/>
        <color rgb="FF000000"/>
        <sz val="10.0"/>
      </rPr>
      <t xml:space="preserve">Gửi DELETE `/api/v1/hanbaiten/H99` qua DevTools
</t>
    </r>
    <r>
      <rPr>
        <rFont val="游ゴシック"/>
        <b/>
        <color rgb="FF000000"/>
        <sz val="10.0"/>
      </rPr>
      <t xml:space="preserve">ステップ2：
</t>
    </r>
    <r>
      <rPr>
        <rFont val="游ゴシック"/>
        <color rgb="FF000000"/>
        <sz val="10.0"/>
      </rPr>
      <t>Kiểm tra DB: `SELECT deleted_at FROM m_hanbaiten WHERE hanbaiten_id = H99`</t>
    </r>
  </si>
  <si>
    <r>
      <rPr>
        <rFont val="游ゴシック"/>
        <b/>
        <color rgb="FF000000"/>
        <sz val="10.0"/>
      </rPr>
      <t xml:space="preserve">ステップ1：
</t>
    </r>
    <r>
      <rPr>
        <rFont val="游ゴシック"/>
        <color rgb="FF000000"/>
        <sz val="10.0"/>
      </rPr>
      <t xml:space="preserve">Trả về HTTP 404 (`error_code: DATA_SCOPE_VIOLATION`, message `指定された販売店が見つかりません。`)
</t>
    </r>
    <r>
      <rPr>
        <rFont val="游ゴシック"/>
        <b/>
        <color rgb="FF000000"/>
        <sz val="10.0"/>
      </rPr>
      <t xml:space="preserve">ステップ2：
</t>
    </r>
    <r>
      <rPr>
        <rFont val="游ゴシック"/>
        <color rgb="FF000000"/>
        <sz val="10.0"/>
      </rPr>
      <t xml:space="preserve">`deleted_at` của H99 vẫn NULL (DB không thay đổi)
</t>
    </r>
    <r>
      <rPr>
        <rFont val="游ゴシック"/>
        <b/>
        <color rgb="FF000000"/>
        <sz val="10.0"/>
      </rPr>
      <t xml:space="preserve">補足：
</t>
    </r>
    <r>
      <rPr>
        <rFont val="游ゴシック"/>
        <color rgb="FF000000"/>
        <sz val="10.0"/>
      </rPr>
      <t>・Layer 2 DataScope từ chối việc xóa Hanbaiten của JA khác
・Có ghi error log vào `t_log`</t>
    </r>
  </si>
  <si>
    <t>ACSMS-TC-018-042</t>
  </si>
  <si>
    <t>Gọi trực tiếp DELETE bởi NICHINO_STAFF — bị từ chối</t>
  </si>
  <si>
    <t>・role: NICHINO_STAFF
・Có quyền `hanbaiten.view`, KHÔNG có quyền `hanbaiten.delete`
・Tồn tại Hanbaiten H1</t>
  </si>
  <si>
    <r>
      <rPr>
        <rFont val="メイリオ"/>
        <b/>
        <color rgb="FF000000"/>
        <sz val="10.0"/>
      </rPr>
      <t xml:space="preserve">ステップ1：
</t>
    </r>
    <r>
      <rPr>
        <rFont val="メイリオ"/>
        <color rgb="FF000000"/>
        <sz val="10.0"/>
      </rPr>
      <t xml:space="preserve">Gửi DELETE `/api/v1/hanbaiten/H1` qua DevTools
</t>
    </r>
    <r>
      <rPr>
        <rFont val="メイリオ"/>
        <b/>
        <color rgb="FF000000"/>
        <sz val="10.0"/>
      </rPr>
      <t xml:space="preserve">ステップ2：
</t>
    </r>
    <r>
      <rPr>
        <rFont val="メイリオ"/>
        <color rgb="FF000000"/>
        <sz val="10.0"/>
      </rPr>
      <t>Kiểm tra DB: `SELECT deleted_at FROM m_hanbaiten WHERE hanbaiten_id = H1`</t>
    </r>
  </si>
  <si>
    <r>
      <rPr>
        <rFont val="メイリオ"/>
        <b/>
        <color rgb="FF000000"/>
        <sz val="10.0"/>
      </rPr>
      <t xml:space="preserve">ステップ1：
</t>
    </r>
    <r>
      <rPr>
        <rFont val="メイリオ"/>
        <color rgb="FF000000"/>
        <sz val="10.0"/>
      </rPr>
      <t xml:space="preserve">Trả về HTTP 403 (`error_code: FORBIDDEN`, message `この画面へのアクセス権限がありません。`)
</t>
    </r>
    <r>
      <rPr>
        <rFont val="メイリオ"/>
        <b/>
        <color rgb="FF000000"/>
        <sz val="10.0"/>
      </rPr>
      <t xml:space="preserve">ステップ2：
</t>
    </r>
    <r>
      <rPr>
        <rFont val="メイリオ"/>
        <color rgb="FF000000"/>
        <sz val="10.0"/>
      </rPr>
      <t xml:space="preserve">`deleted_at` của H1 vẫn NULL
</t>
    </r>
    <r>
      <rPr>
        <rFont val="メイリオ"/>
        <b/>
        <color rgb="FF000000"/>
        <sz val="10.0"/>
      </rPr>
      <t xml:space="preserve">補足：
</t>
    </r>
    <r>
      <rPr>
        <rFont val="メイリオ"/>
        <color rgb="FF000000"/>
        <sz val="10.0"/>
      </rPr>
      <t xml:space="preserve">・NICHINO_STAFF không có quyền xóa nên cũng bị từ chối ở API layer
</t>
    </r>
    <r>
      <rPr>
        <rFont val="メイリオ"/>
        <color rgb="FF000000"/>
        <sz val="10.0"/>
      </rPr>
      <t>・Ngay cả khi button xóa trên FE bị ẩn/disable, gọi trực tiếp API cũng bị từ chối (defense in depth)</t>
    </r>
  </si>
  <si>
    <t>Logic nghiệp vụ — Chuyển đến chỉnh sửa/đăng ký (Navigation)</t>
  </si>
  <si>
    <t>ACSMS-TC-018-043</t>
  </si>
  <si>
    <t>Click button "新規登録" — chuyển đến `/hanbaiten/create`</t>
  </si>
  <si>
    <t>・role: JA_HONTEN
・Có quyền `hanbaiten.create`
・Đã login + đã xác thực MFA</t>
  </si>
  <si>
    <r>
      <rPr>
        <rFont val="メイリオ"/>
        <b/>
        <color rgb="FF000000"/>
        <sz val="10.0"/>
      </rPr>
      <t xml:space="preserve">ステップ1：
</t>
    </r>
    <r>
      <rPr>
        <rFont val="メイリオ"/>
        <color rgb="FF000000"/>
        <sz val="10.0"/>
      </rPr>
      <t xml:space="preserve">Truy cập `/hanbaiten`
</t>
    </r>
    <r>
      <rPr>
        <rFont val="メイリオ"/>
        <b/>
        <color rgb="FF000000"/>
        <sz val="10.0"/>
      </rPr>
      <t xml:space="preserve">ステップ2：
</t>
    </r>
    <r>
      <rPr>
        <rFont val="メイリオ"/>
        <color rgb="FF000000"/>
        <sz val="10.0"/>
      </rPr>
      <t>Click button "新規登録"</t>
    </r>
  </si>
  <si>
    <r>
      <rPr>
        <rFont val="游ゴシック"/>
        <b/>
        <color rgb="FF000000"/>
        <sz val="10.0"/>
      </rPr>
      <t xml:space="preserve">ステップ1：
</t>
    </r>
    <r>
      <rPr>
        <rFont val="游ゴシック"/>
        <color rgb="FF000000"/>
        <sz val="10.0"/>
      </rPr>
      <t xml:space="preserve">Màn tìm kiếm chi tiết Hanbaiten được hiển thị, button "新規登録" được active
</t>
    </r>
    <r>
      <rPr>
        <rFont val="游ゴシック"/>
        <b/>
        <color rgb="FF000000"/>
        <sz val="10.0"/>
      </rPr>
      <t xml:space="preserve">ステップ2：
</t>
    </r>
    <r>
      <rPr>
        <rFont val="游ゴシック"/>
        <color rgb="FF000000"/>
        <sz val="10.0"/>
      </rPr>
      <t xml:space="preserve">URL chuyển sang `/hanbaiten/create` (SCR-017 màn đăng ký thông tin Hanbaiten), tiêu đề màn hình là "販売店情報登録"
</t>
    </r>
    <r>
      <rPr>
        <rFont val="游ゴシック"/>
        <b/>
        <color rgb="FF000000"/>
        <sz val="10.0"/>
      </rPr>
      <t xml:space="preserve">補足：
</t>
    </r>
    <r>
      <rPr>
        <rFont val="游ゴシック"/>
        <color rgb="FF000000"/>
        <sz val="10.0"/>
      </rPr>
      <t>・Chuyển bằng router-link, có thể quay về danh sách bằng nút back của trình duyệt</t>
    </r>
  </si>
  <si>
    <t>ACSMS-TC-018-044</t>
  </si>
  <si>
    <t>Click row / link chỉnh sửa — chuyển đến `/hanbaiten/:id/edit`</t>
  </si>
  <si>
    <r>
      <rPr>
        <rFont val="メイリオ"/>
        <b/>
        <color rgb="FF000000"/>
        <sz val="10.0"/>
      </rPr>
      <t xml:space="preserve">ステップ1：
</t>
    </r>
    <r>
      <rPr>
        <rFont val="メイリオ"/>
        <color rgb="FF000000"/>
        <sz val="10.0"/>
      </rPr>
      <t>Click cell `hanbaiten_code` (hoặc link chỉnh sửa) của Hanbaiten H1</t>
    </r>
  </si>
  <si>
    <r>
      <rPr>
        <rFont val="游ゴシック"/>
        <b/>
        <color rgb="FF000000"/>
        <sz val="10.0"/>
      </rPr>
      <t xml:space="preserve">ステップ1：
</t>
    </r>
    <r>
      <rPr>
        <rFont val="游ゴシック"/>
        <color rgb="FF000000"/>
        <sz val="10.0"/>
      </rPr>
      <t xml:space="preserve">URL chuyển sang `/hanbaiten/H1/edit` (SCR-017 mode chỉnh sửa), tiêu đề màn hình là "販売店情報更新", giá trị hiện tại của H1 được preload vào từng ô input
</t>
    </r>
    <r>
      <rPr>
        <rFont val="游ゴシック"/>
        <b/>
        <color rgb="FF000000"/>
        <sz val="10.0"/>
      </rPr>
      <t xml:space="preserve">補足：
</t>
    </r>
    <r>
      <rPr>
        <rFont val="游ゴシック"/>
        <color rgb="FF000000"/>
        <sz val="10.0"/>
      </rPr>
      <t>・Với role không có quyền chỉnh sửa, cell hiển thị dưới dạng `&lt;span&gt;` không active</t>
    </r>
  </si>
  <si>
    <t>ACSMS-TC-018-045</t>
  </si>
  <si>
    <t>Preload màn chỉnh sửa — gọi GET `/api/v1/hanbaiten/:id`</t>
  </si>
  <si>
    <t>・role: JA_HONTEN
・Tồn tại Hanbaiten H1 (có giá trị toàn bộ cột) dưới JA của mình</t>
  </si>
  <si>
    <r>
      <rPr>
        <rFont val="メイリオ"/>
        <b/>
        <color rgb="FF000000"/>
        <sz val="10.0"/>
      </rPr>
      <t xml:space="preserve">ステップ1：
</t>
    </r>
    <r>
      <rPr>
        <rFont val="メイリオ"/>
        <color rgb="FF000000"/>
        <sz val="10.0"/>
      </rPr>
      <t xml:space="preserve">Click link chỉnh sửa của H1 từ danh sách
</t>
    </r>
    <r>
      <rPr>
        <rFont val="メイリオ"/>
        <b/>
        <color rgb="FF000000"/>
        <sz val="10.0"/>
      </rPr>
      <t xml:space="preserve">ステップ2：
</t>
    </r>
    <r>
      <rPr>
        <rFont val="メイリオ"/>
        <color rgb="FF000000"/>
        <sz val="10.0"/>
      </rPr>
      <t xml:space="preserve">Kiểm tra API request của màn chỉnh sửa
</t>
    </r>
    <r>
      <rPr>
        <rFont val="メイリオ"/>
        <b/>
        <color rgb="FF000000"/>
        <sz val="10.0"/>
      </rPr>
      <t xml:space="preserve">ステップ3：
</t>
    </r>
    <r>
      <rPr>
        <rFont val="メイリオ"/>
        <color rgb="FF000000"/>
        <sz val="10.0"/>
      </rPr>
      <t>Kiểm tra giá trị từng form field</t>
    </r>
  </si>
  <si>
    <r>
      <rPr>
        <rFont val="游ゴシック"/>
        <b/>
        <color rgb="FF000000"/>
        <sz val="10.0"/>
      </rPr>
      <t xml:space="preserve">ステップ1：
</t>
    </r>
    <r>
      <rPr>
        <rFont val="游ゴシック"/>
        <color rgb="FF000000"/>
        <sz val="10.0"/>
      </rPr>
      <t xml:space="preserve">URL chuyển sang `/hanbaiten/H1/edit`
</t>
    </r>
    <r>
      <rPr>
        <rFont val="游ゴシック"/>
        <b/>
        <color rgb="FF000000"/>
        <sz val="10.0"/>
      </rPr>
      <t xml:space="preserve">ステップ2：
</t>
    </r>
    <r>
      <rPr>
        <rFont val="游ゴシック"/>
        <color rgb="FF000000"/>
        <sz val="10.0"/>
      </rPr>
      <t xml:space="preserve">GET `/api/v1/hanbaiten/H1` được gọi, trả về HTTP 200, response chứa toàn bộ cột của H1
</t>
    </r>
    <r>
      <rPr>
        <rFont val="游ゴシック"/>
        <b/>
        <color rgb="FF000000"/>
        <sz val="10.0"/>
      </rPr>
      <t xml:space="preserve">ステップ3：
</t>
    </r>
    <r>
      <rPr>
        <rFont val="游ゴシック"/>
        <color rgb="FF000000"/>
        <sz val="10.0"/>
      </rPr>
      <t xml:space="preserve">`hanbaiten_code`, `hanbaiten_name`, `todofuken_id`, `yubin_no`, `address`, `tel`, `fax`, `shocho_name`, `itaku_kubun`, `haitatsuryo_shiharai_cycle`, `tesuryo_kubun`, `tesuryo_amount`, `haiten_flg` khớp toàn bộ với giá trị DB
</t>
    </r>
    <r>
      <rPr>
        <rFont val="游ゴシック"/>
        <b/>
        <color rgb="FF000000"/>
        <sz val="10.0"/>
      </rPr>
      <t xml:space="preserve">補足：
</t>
    </r>
    <r>
      <rPr>
        <rFont val="游ゴシック"/>
        <color rgb="FF000000"/>
        <sz val="10.0"/>
      </rPr>
      <t>・Preload màn chỉnh sửa theo spec mode chỉnh sửa của SCR-017</t>
    </r>
  </si>
  <si>
    <t>ACSMS-TC-018-046</t>
  </si>
  <si>
    <t>NICHINO_STAFF đại diện nhập liệu — có thể chuyển sang màn chỉnh sửa của JA khác</t>
  </si>
  <si>
    <t>・role: NICHINO_STAFF
・Có quyền `hanbaiten.daiko_input`
・Có Hanbaiten H77 dưới ja-002</t>
  </si>
  <si>
    <r>
      <rPr>
        <rFont val="メイリオ"/>
        <b/>
        <color rgb="FF000000"/>
        <sz val="10.0"/>
      </rPr>
      <t xml:space="preserve">ステップ1：
</t>
    </r>
    <r>
      <rPr>
        <rFont val="メイリオ"/>
        <color rgb="FF000000"/>
        <sz val="10.0"/>
      </rPr>
      <t xml:space="preserve">Xác nhận danh sách toàn JA được hiển thị tại `/hanbaiten`
</t>
    </r>
    <r>
      <rPr>
        <rFont val="メイリオ"/>
        <b/>
        <color rgb="FF000000"/>
        <sz val="10.0"/>
      </rPr>
      <t xml:space="preserve">ステップ2：
</t>
    </r>
    <r>
      <rPr>
        <rFont val="メイリオ"/>
        <color rgb="FF000000"/>
        <sz val="10.0"/>
      </rPr>
      <t>Click link chỉnh sửa của Hanbaiten H77</t>
    </r>
  </si>
  <si>
    <r>
      <rPr>
        <rFont val="メイリオ"/>
        <b/>
        <color rgb="FF000000"/>
        <sz val="10.0"/>
      </rPr>
      <t xml:space="preserve">ステップ1：
</t>
    </r>
    <r>
      <rPr>
        <rFont val="メイリオ"/>
        <color rgb="FF000000"/>
        <sz val="10.0"/>
      </rPr>
      <t xml:space="preserve">Hanbaiten của toàn JA (ja_id=1, 2 v.v.) được hiển thị (DataScope toàn JA)
</t>
    </r>
    <r>
      <rPr>
        <rFont val="メイリオ"/>
        <b/>
        <color rgb="FF000000"/>
        <sz val="10.0"/>
      </rPr>
      <t xml:space="preserve">ステップ2：
</t>
    </r>
    <r>
      <rPr>
        <rFont val="メイリオ"/>
        <color rgb="FF000000"/>
        <sz val="10.0"/>
      </rPr>
      <t xml:space="preserve">URL chuyển sang `/hanbaiten/H77/edit`, data của H77 được load thành công (nhờ quyền `hanbaiten.daiko_input` mà cũng có thể chỉnh sửa data JA khác)
</t>
    </r>
    <r>
      <rPr>
        <rFont val="メイリオ"/>
        <b/>
        <color rgb="FF000000"/>
        <sz val="10.0"/>
      </rPr>
      <t xml:space="preserve">補足：
</t>
    </r>
    <r>
      <rPr>
        <rFont val="メイリオ"/>
        <color rgb="FF000000"/>
        <sz val="10.0"/>
      </rPr>
      <t>・NICHINO_STAFF có thể xem và đại diện nhập liệu (đăng ký / chỉnh sửa) nhưng không có quyền xóa</t>
    </r>
  </si>
  <si>
    <t>Xử lý lỗi chung (Common Error Handling)</t>
  </si>
  <si>
    <t>ACSMS-TC-018-047</t>
  </si>
  <si>
    <t>Session hết hạn — UNAUTHORIZED tự động logout</t>
  </si>
  <si>
    <t>・role: JA_HONTEN
・TTL của session cookie đang ở trạng thái 0 (set thủ công)</t>
  </si>
  <si>
    <r>
      <rPr>
        <rFont val="メイリオ"/>
        <b/>
        <color rgb="FF000000"/>
        <sz val="10.0"/>
      </rPr>
      <t xml:space="preserve">ステップ1：
</t>
    </r>
    <r>
      <rPr>
        <rFont val="メイリオ"/>
        <color rgb="FF000000"/>
        <sz val="10.0"/>
      </rPr>
      <t xml:space="preserve">Để mở `/hanbaiten` 24 tiếng, rồi click button "検索"
</t>
    </r>
    <r>
      <rPr>
        <rFont val="メイリオ"/>
        <b/>
        <color rgb="FF000000"/>
        <sz val="10.0"/>
      </rPr>
      <t xml:space="preserve">ステップ2：
</t>
    </r>
    <r>
      <rPr>
        <rFont val="メイリオ"/>
        <color rgb="FF000000"/>
        <sz val="10.0"/>
      </rPr>
      <t>Kiểm tra hành vi màn hình</t>
    </r>
  </si>
  <si>
    <r>
      <rPr>
        <rFont val="メイリオ"/>
        <b/>
        <color rgb="FF000000"/>
        <sz val="10.0"/>
      </rPr>
      <t xml:space="preserve">ステップ1：
</t>
    </r>
    <r>
      <rPr>
        <rFont val="メイリオ"/>
        <color rgb="FF000000"/>
        <sz val="10.0"/>
      </rPr>
      <t xml:space="preserve">GET `/api/v1/hanbaiten` trả về HTTP 401 (`error_code: UNAUTHORIZED`, message `セッションが切れました。再度ログインしてください。`)
</t>
    </r>
    <r>
      <rPr>
        <rFont val="メイリオ"/>
        <b/>
        <color rgb="FF000000"/>
        <sz val="10.0"/>
      </rPr>
      <t xml:space="preserve">ステップ2：
</t>
    </r>
    <r>
      <rPr>
        <rFont val="メイリオ"/>
        <color rgb="FF000000"/>
        <sz val="10.0"/>
      </rPr>
      <t xml:space="preserve">State user của Pinia auth store được clear, chuyển sang `/login?redirect=/hanbaiten`, toast message được hiển thị
</t>
    </r>
    <r>
      <rPr>
        <rFont val="メイリオ"/>
        <b/>
        <color rgb="FF000000"/>
        <sz val="10.0"/>
      </rPr>
      <t xml:space="preserve">補足：
</t>
    </r>
    <r>
      <rPr>
        <rFont val="メイリオ"/>
        <color rgb="FF000000"/>
        <sz val="10.0"/>
      </rPr>
      <t>・`clearSession()` của auth.store được gọi, Pinia và Redis sessions đều bị xóa</t>
    </r>
  </si>
  <si>
    <t>ACSMS-TC-018-048</t>
  </si>
  <si>
    <t>Query parameter không hợp lệ — BAD_REQUEST</t>
  </si>
  <si>
    <r>
      <rPr>
        <rFont val="游ゴシック"/>
        <b/>
        <color rgb="FF000000"/>
        <sz val="10.0"/>
      </rPr>
      <t xml:space="preserve">ステップ1：
</t>
    </r>
    <r>
      <rPr>
        <rFont val="游ゴシック"/>
        <color rgb="FF000000"/>
        <sz val="10.0"/>
      </rPr>
      <t>Gửi GET `/api/v1/hanbaiten?per_page=abc` qua DevTools</t>
    </r>
  </si>
  <si>
    <r>
      <rPr>
        <rFont val="メイリオ"/>
        <b/>
        <color rgb="FF000000"/>
        <sz val="10.0"/>
      </rPr>
      <t xml:space="preserve">ステップ1：
</t>
    </r>
    <r>
      <rPr>
        <rFont val="メイリオ"/>
        <color rgb="FF000000"/>
        <sz val="10.0"/>
      </rPr>
      <t xml:space="preserve">Trả về HTTP 400 (`error_code: VALIDATION_ERROR`, `errors[0].field: per_page`, message `入力値が不正です。詳細はerrorsフィールドを確認してください。`)
</t>
    </r>
    <r>
      <rPr>
        <rFont val="メイリオ"/>
        <b/>
        <color rgb="FF000000"/>
        <sz val="10.0"/>
      </rPr>
      <t xml:space="preserve">補足：
</t>
    </r>
    <r>
      <rPr>
        <rFont val="メイリオ"/>
        <color rgb="FF000000"/>
        <sz val="10.0"/>
      </rPr>
      <t>・`per_page` từ chối giá trị không convert được sang number (class-validator `@IsInt()`)</t>
    </r>
  </si>
  <si>
    <t>ACSMS-TC-018-049</t>
  </si>
  <si>
    <t>Giá trị `sort_order` không hợp lệ — VALIDATION_ERROR</t>
  </si>
  <si>
    <r>
      <rPr>
        <rFont val="游ゴシック"/>
        <b/>
        <color rgb="FF000000"/>
        <sz val="10.0"/>
      </rPr>
      <t xml:space="preserve">ステップ1：
</t>
    </r>
    <r>
      <rPr>
        <rFont val="游ゴシック"/>
        <color rgb="FF000000"/>
        <sz val="10.0"/>
      </rPr>
      <t>Gửi GET `/api/v1/hanbaiten?sort_order=invalid` qua DevTools</t>
    </r>
  </si>
  <si>
    <r>
      <rPr>
        <rFont val="メイリオ"/>
        <b/>
        <color rgb="FF000000"/>
        <sz val="10.0"/>
      </rPr>
      <t xml:space="preserve">ステップ1：
</t>
    </r>
    <r>
      <rPr>
        <rFont val="メイリオ"/>
        <color rgb="FF000000"/>
        <sz val="10.0"/>
      </rPr>
      <t xml:space="preserve">Trả về HTTP 400 (`error_code: VALIDATION_ERROR`, `errors[0].field: sort_order`, message `入力値が不正です。詳細はerrorsフィールドを確認してください。`)
</t>
    </r>
    <r>
      <rPr>
        <rFont val="メイリオ"/>
        <b/>
        <color rgb="FF000000"/>
        <sz val="10.0"/>
      </rPr>
      <t xml:space="preserve">補足：
</t>
    </r>
    <r>
      <rPr>
        <rFont val="メイリオ"/>
        <color rgb="FF000000"/>
        <sz val="10.0"/>
      </rPr>
      <t>・`sort_order` chỉ cho phép `asc` hoặc `desc` (`@IsIn(['asc', 'desc'])`)</t>
    </r>
  </si>
  <si>
    <t>ACSMS-TC-018-050</t>
  </si>
  <si>
    <t>Rate limit — TOO_MANY_REQUESTS</t>
  </si>
  <si>
    <r>
      <rPr>
        <rFont val="メイリオ"/>
        <b/>
        <color rgb="FF000000"/>
        <sz val="10.0"/>
      </rPr>
      <t xml:space="preserve">ステップ1：
</t>
    </r>
    <r>
      <rPr>
        <rFont val="メイリオ"/>
        <color rgb="FF000000"/>
        <sz val="10.0"/>
      </rPr>
      <t xml:space="preserve">Gửi liên tục 101 lần GET `/api/v1/hanbaiten` trong 1 phút
</t>
    </r>
    <r>
      <rPr>
        <rFont val="メイリオ"/>
        <b/>
        <color rgb="FF000000"/>
        <sz val="10.0"/>
      </rPr>
      <t xml:space="preserve">ステップ2：
</t>
    </r>
    <r>
      <rPr>
        <rFont val="メイリオ"/>
        <color rgb="FF000000"/>
        <sz val="10.0"/>
      </rPr>
      <t>Kiểm tra response</t>
    </r>
  </si>
  <si>
    <r>
      <rPr>
        <rFont val="メイリオ"/>
        <b/>
        <color rgb="FF000000"/>
        <sz val="10.0"/>
      </rPr>
      <t xml:space="preserve">ステップ1：
</t>
    </r>
    <r>
      <rPr>
        <rFont val="メイリオ"/>
        <color rgb="FF000000"/>
        <sz val="10.0"/>
      </rPr>
      <t xml:space="preserve">100 lần đầu trả về HTTP 200, lần thứ 101 trả về HTTP 429 (`error_code: TOO_MANY_REQUESTS`, message `リクエスト回数が上限を超えました。しばらくしてから再度お試しください。`)
</t>
    </r>
    <r>
      <rPr>
        <rFont val="メイリオ"/>
        <b/>
        <color rgb="FF000000"/>
        <sz val="10.0"/>
      </rPr>
      <t xml:space="preserve">ステップ2：
</t>
    </r>
    <r>
      <rPr>
        <rFont val="メイリオ"/>
        <color rgb="FF000000"/>
        <sz val="10.0"/>
      </rPr>
      <t xml:space="preserve">Message được hiển thị qua toast
</t>
    </r>
    <r>
      <rPr>
        <rFont val="メイリオ"/>
        <b/>
        <color rgb="FF000000"/>
        <sz val="10.0"/>
      </rPr>
      <t xml:space="preserve">補足：
</t>
    </r>
    <r>
      <rPr>
        <rFont val="メイリオ"/>
        <color rgb="FF000000"/>
        <sz val="10.0"/>
      </rPr>
      <t>・@nestjs/throttler giới hạn 100 req/min</t>
    </r>
  </si>
  <si>
    <t>ACSMS-TC-018-051</t>
  </si>
  <si>
    <t>Lỗi DB phía server — INTERNAL_SERVER_ERROR</t>
  </si>
  <si>
    <t>・role: JA_HONTEN
・Đã login + đã xác thực MFA
・Stop PostgreSQL (hoặc reproduce lỗi kết nối DB)</t>
  </si>
  <si>
    <r>
      <rPr>
        <rFont val="メイリオ"/>
        <b/>
        <color rgb="FF000000"/>
        <sz val="10.0"/>
      </rPr>
      <t xml:space="preserve">ステップ1：
</t>
    </r>
    <r>
      <rPr>
        <rFont val="メイリオ"/>
        <color rgb="FF000000"/>
        <sz val="10.0"/>
      </rPr>
      <t xml:space="preserve">Truy cập `/hanbaiten` và click "検索"
</t>
    </r>
    <r>
      <rPr>
        <rFont val="メイリオ"/>
        <b/>
        <color rgb="FF000000"/>
        <sz val="10.0"/>
      </rPr>
      <t xml:space="preserve">ステップ2：
</t>
    </r>
    <r>
      <rPr>
        <rFont val="メイリオ"/>
        <color rgb="FF000000"/>
        <sz val="10.0"/>
      </rPr>
      <t>Kiểm tra hành vi màn hình</t>
    </r>
  </si>
  <si>
    <r>
      <rPr>
        <rFont val="メイリオ"/>
        <b/>
        <color rgb="FF000000"/>
        <sz val="10.0"/>
      </rPr>
      <t xml:space="preserve">ステップ1：
</t>
    </r>
    <r>
      <rPr>
        <rFont val="メイリオ"/>
        <color rgb="FF000000"/>
        <sz val="10.0"/>
      </rPr>
      <t xml:space="preserve">GET `/api/v1/hanbaiten` trả về HTTP 500 (`error_code: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Hiển thị toast `システムエラーが発生しました。しばらくしてした再度お試しください。`, table kết quả tìm kiếm vẫn để trống, stack trace phía server không bị leak ra client
</t>
    </r>
    <r>
      <rPr>
        <rFont val="メイリオ"/>
        <b/>
        <color rgb="FF000000"/>
        <sz val="10.0"/>
      </rPr>
      <t xml:space="preserve">補足：
</t>
    </r>
    <r>
      <rPr>
        <rFont val="メイリオ"/>
        <color rgb="FF000000"/>
        <sz val="10.0"/>
      </rPr>
      <t xml:space="preserve">・Chi tiết lỗi được record vào CloudWatch Logs nhưng ẩn đối với client
</t>
    </r>
    <r>
      <rPr>
        <rFont val="メイリオ"/>
        <color rgb="FF000000"/>
        <sz val="10.0"/>
      </rPr>
      <t>・Cùng message với MSG-018-003</t>
    </r>
  </si>
  <si>
    <t>ACSMS-TC-018-052</t>
  </si>
  <si>
    <t>Xóa với `hanbaiten_id` không tồn tại — NOT_FOUND</t>
  </si>
  <si>
    <t>・role: JA_HONTEN
・Đã login + đã xác thực MFA
・`hanbaiten_id`=99999 không tồn tại</t>
  </si>
  <si>
    <r>
      <rPr>
        <rFont val="メイリオ"/>
        <b/>
        <color rgb="FF000000"/>
        <sz val="10.0"/>
      </rPr>
      <t xml:space="preserve">ステップ1：
</t>
    </r>
    <r>
      <rPr>
        <rFont val="メイリオ"/>
        <color rgb="FF000000"/>
        <sz val="10.0"/>
      </rPr>
      <t>Gửi DELETE `/api/v1/hanbaiten/99999` qua DevTools</t>
    </r>
  </si>
  <si>
    <r>
      <rPr>
        <rFont val="メイリオ"/>
        <b/>
        <color rgb="FF000000"/>
        <sz val="10.0"/>
      </rPr>
      <t xml:space="preserve">ステップ1：
</t>
    </r>
    <r>
      <rPr>
        <rFont val="メイリオ"/>
        <color rgb="FF000000"/>
        <sz val="10.0"/>
      </rPr>
      <t xml:space="preserve">Trả về HTTP 404 (`error_code: NOT_FOUND`, message `指定された販売店が見つかりません。`)
</t>
    </r>
    <r>
      <rPr>
        <rFont val="メイリオ"/>
        <b/>
        <color rgb="FF000000"/>
        <sz val="10.0"/>
      </rPr>
      <t xml:space="preserve">補足：
</t>
    </r>
    <r>
      <rPr>
        <rFont val="メイリオ"/>
        <color rgb="FF000000"/>
        <sz val="10.0"/>
      </rPr>
      <t xml:space="preserve">・Với id không tồn tại, trả về NOT_FOUND trước cả DataScope check
</t>
    </r>
    <r>
      <rPr>
        <rFont val="メイリオ"/>
        <color rgb="FF000000"/>
        <sz val="10.0"/>
      </rPr>
      <t>・Trường hợp đã xóa logical (deleted_at IS NOT NULL) cũng xử lý như NOT_FOUND (ẩn sự tồn tại của row)</t>
    </r>
  </si>
  <si>
    <t>ACSMS-TC-018-053</t>
  </si>
  <si>
    <t>Thao tác xóa khi mất kết nối mạng — toast lỗi + giữ nguyên trạng thái</t>
  </si>
  <si>
    <t>・role: JA_HONTEN
・Có Hanbaiten H1 dưới JA của mình
・Set `Offline` trong DevTools (mất kết nối mạng)</t>
  </si>
  <si>
    <r>
      <rPr>
        <rFont val="メイリオ"/>
        <b/>
        <color rgb="FF000000"/>
        <sz val="10.0"/>
      </rPr>
      <t xml:space="preserve">ステップ1：
</t>
    </r>
    <r>
      <rPr>
        <rFont val="メイリオ"/>
        <color rgb="FF000000"/>
        <sz val="10.0"/>
      </rPr>
      <t xml:space="preserve">Click button "削除" trên Hanbaiten H1, click "はい" trong dialog
</t>
    </r>
    <r>
      <rPr>
        <rFont val="メイリオ"/>
        <b/>
        <color rgb="FF000000"/>
        <sz val="10.0"/>
      </rPr>
      <t xml:space="preserve">ステップ2：
</t>
    </r>
    <r>
      <rPr>
        <rFont val="メイリオ"/>
        <color rgb="FF000000"/>
        <sz val="10.0"/>
      </rPr>
      <t xml:space="preserve">Kiểm tra hành vi màn hình
</t>
    </r>
    <r>
      <rPr>
        <rFont val="メイリオ"/>
        <b/>
        <color rgb="FF000000"/>
        <sz val="10.0"/>
      </rPr>
      <t xml:space="preserve">ステップ3：
</t>
    </r>
    <r>
      <rPr>
        <rFont val="メイリオ"/>
        <color rgb="FF000000"/>
        <sz val="10.0"/>
      </rPr>
      <t>Kiểm tra DB: `SELECT deleted_at FROM m_hanbaiten WHERE hanbaiten_id = H1`</t>
    </r>
  </si>
  <si>
    <r>
      <rPr>
        <rFont val="メイリオ"/>
        <b/>
        <color rgb="FF000000"/>
        <sz val="10.0"/>
      </rPr>
      <t xml:space="preserve">ステップ1：
</t>
    </r>
    <r>
      <rPr>
        <rFont val="メイリオ"/>
        <color rgb="FF000000"/>
        <sz val="10.0"/>
      </rPr>
      <t xml:space="preserve">Gửi DELETE `/api/v1/hanbaiten/H1` thất bại (lỗi mạng)
</t>
    </r>
    <r>
      <rPr>
        <rFont val="メイリオ"/>
        <b/>
        <color rgb="FF000000"/>
        <sz val="10.0"/>
      </rPr>
      <t xml:space="preserve">ステップ2：
</t>
    </r>
    <r>
      <rPr>
        <rFont val="メイリオ"/>
        <color rgb="FF000000"/>
        <sz val="10.0"/>
      </rPr>
      <t xml:space="preserve">Hiển thị message lỗi mạng qua toast, button xóa vẫn ở trạng thái active, không xảy ra chuyển màn hình
</t>
    </r>
    <r>
      <rPr>
        <rFont val="メイリオ"/>
        <b/>
        <color rgb="FF000000"/>
        <sz val="10.0"/>
      </rPr>
      <t xml:space="preserve">ステップ3：
</t>
    </r>
    <r>
      <rPr>
        <rFont val="メイリオ"/>
        <color rgb="FF000000"/>
        <sz val="10.0"/>
      </rPr>
      <t xml:space="preserve">`deleted_at` vẫn NULL (DB không thay đổi)
</t>
    </r>
    <r>
      <rPr>
        <rFont val="メイリオ"/>
        <b/>
        <color rgb="FF000000"/>
        <sz val="10.0"/>
      </rPr>
      <t xml:space="preserve">補足：
</t>
    </r>
    <r>
      <rPr>
        <rFont val="メイリオ"/>
        <color rgb="FF000000"/>
        <sz val="10.0"/>
      </rPr>
      <t xml:space="preserve">・Sau khi mạng được khôi phục, có thể thao tác xóa lại
</t>
    </r>
    <r>
      <rPr>
        <rFont val="メイリオ"/>
        <color rgb="FF000000"/>
        <sz val="10.0"/>
      </rPr>
      <t>・Không cần các hành vi bổ sung như optimistic lock hay hiển thị confirm lại</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</si>
</sst>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2">
    <font>
      <sz val="11.0"/>
      <color theme="1"/>
      <name val="Calibri"/>
      <scheme val="minor"/>
    </font>
    <font>
      <b/>
      <sz val="11.0"/>
      <color rgb="FF000000"/>
      <name val="游ゴシック"/>
    </font>
    <font>
      <b/>
      <sz val="14.0"/>
      <color rgb="FF000000"/>
      <name val="游ゴシック"/>
    </font>
    <font/>
    <font>
      <sz val="11.0"/>
      <color theme="1"/>
      <name val="Calibri"/>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sz val="11.0"/>
      <color theme="1"/>
      <name val="Arial"/>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D9E2F3"/>
        <bgColor rgb="FFD9E2F3"/>
      </patternFill>
    </fill>
    <fill>
      <patternFill patternType="solid">
        <fgColor rgb="FFDEEAF6"/>
        <bgColor rgb="FFDEEAF6"/>
      </patternFill>
    </fill>
    <fill>
      <patternFill patternType="solid">
        <fgColor rgb="FFFFFF99"/>
        <bgColor rgb="FFFFFF99"/>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right/>
      <top/>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0" fontId="3" numFmtId="0" xfId="0" applyBorder="1" applyFont="1"/>
    <xf borderId="4" fillId="0" fontId="3" numFmtId="0" xfId="0" applyBorder="1" applyFont="1"/>
    <xf borderId="2" fillId="3" fontId="1" numFmtId="0" xfId="0" applyAlignment="1" applyBorder="1" applyFill="1" applyFont="1">
      <alignment horizontal="left" shrinkToFit="0" vertical="center" wrapText="1"/>
    </xf>
    <xf borderId="5" fillId="0" fontId="4" numFmtId="0" xfId="0" applyBorder="1" applyFont="1"/>
    <xf borderId="1" fillId="0" fontId="5" numFmtId="0" xfId="0" applyAlignment="1" applyBorder="1" applyFont="1">
      <alignment horizontal="center" shrinkToFit="0" vertical="center" wrapText="1"/>
    </xf>
    <xf borderId="2" fillId="0" fontId="5" numFmtId="0" xfId="0" applyAlignment="1" applyBorder="1" applyFont="1">
      <alignment horizontal="left" shrinkToFit="0" vertical="center" wrapText="1"/>
    </xf>
    <xf borderId="6" fillId="0" fontId="4" numFmtId="0" xfId="0" applyBorder="1" applyFont="1"/>
    <xf borderId="2" fillId="0" fontId="5" numFmtId="0" xfId="0" applyAlignment="1" applyBorder="1" applyFont="1">
      <alignment horizontal="center" shrinkToFit="0" vertical="center" wrapText="1"/>
    </xf>
    <xf borderId="7" fillId="0" fontId="4" numFmtId="0" xfId="0" applyBorder="1" applyFont="1"/>
    <xf borderId="8" fillId="0" fontId="4" numFmtId="0" xfId="0" applyBorder="1" applyFont="1"/>
    <xf borderId="2" fillId="0" fontId="5" numFmtId="49" xfId="0" applyAlignment="1" applyBorder="1" applyFont="1" applyNumberFormat="1">
      <alignment horizontal="left" shrinkToFit="0" vertical="center" wrapText="1"/>
    </xf>
    <xf borderId="9" fillId="0" fontId="4" numFmtId="0" xfId="0" applyBorder="1" applyFont="1"/>
    <xf borderId="10" fillId="3" fontId="1" numFmtId="0" xfId="0" applyAlignment="1" applyBorder="1" applyFont="1">
      <alignment horizontal="center" shrinkToFit="0" vertical="center" wrapText="1"/>
    </xf>
    <xf borderId="5" fillId="3" fontId="1" numFmtId="0" xfId="0" applyAlignment="1" applyBorder="1" applyFont="1">
      <alignment horizontal="center" shrinkToFit="0" vertical="center" wrapText="1"/>
    </xf>
    <xf borderId="6" fillId="0" fontId="3" numFmtId="0" xfId="0" applyBorder="1" applyFont="1"/>
    <xf borderId="7" fillId="0" fontId="3" numFmtId="0" xfId="0" applyBorder="1" applyFont="1"/>
    <xf borderId="8" fillId="0" fontId="6"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9" fillId="0" fontId="3" numFmtId="0" xfId="0" applyBorder="1" applyFont="1"/>
    <xf borderId="5" fillId="0" fontId="5"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5" fillId="0" fontId="5" numFmtId="49" xfId="0" applyAlignment="1" applyBorder="1" applyFont="1" applyNumberFormat="1">
      <alignment horizontal="center" shrinkToFit="0" vertical="center" wrapText="1"/>
    </xf>
    <xf borderId="8" fillId="0" fontId="8" numFmtId="0" xfId="0" applyAlignment="1" applyBorder="1" applyFont="1">
      <alignment horizontal="center" shrinkToFit="0" vertical="center" wrapText="1"/>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2" fillId="4" fontId="9" numFmtId="0" xfId="0" applyAlignment="1" applyBorder="1" applyFill="1" applyFont="1">
      <alignment horizontal="center" shrinkToFit="0" vertical="center" wrapText="1"/>
    </xf>
    <xf borderId="0" fillId="0" fontId="1" numFmtId="0" xfId="0" applyAlignment="1" applyFont="1">
      <alignment horizontal="left" shrinkToFit="0" vertical="center" wrapText="1"/>
    </xf>
    <xf borderId="0" fillId="0" fontId="5" numFmtId="0" xfId="0" applyAlignment="1" applyFont="1">
      <alignment horizontal="left" shrinkToFit="0" vertical="center" wrapText="1"/>
    </xf>
    <xf borderId="1" fillId="5" fontId="1" numFmtId="0" xfId="0" applyAlignment="1" applyBorder="1" applyFill="1" applyFont="1">
      <alignment horizontal="left" shrinkToFit="0" vertical="center" wrapText="1"/>
    </xf>
    <xf borderId="2" fillId="4" fontId="9" numFmtId="49" xfId="0" applyAlignment="1" applyBorder="1" applyFont="1" applyNumberFormat="1">
      <alignment horizontal="center" shrinkToFit="0" vertical="center" wrapText="1"/>
    </xf>
    <xf borderId="15" fillId="6" fontId="1" numFmtId="0" xfId="0" applyAlignment="1" applyBorder="1" applyFill="1" applyFont="1">
      <alignment horizontal="left" shrinkToFit="0" vertical="center" wrapText="1"/>
    </xf>
    <xf borderId="16" fillId="0" fontId="3" numFmtId="0" xfId="0" applyBorder="1" applyFont="1"/>
    <xf borderId="12" fillId="0" fontId="4" numFmtId="0" xfId="0" applyBorder="1" applyFont="1"/>
    <xf borderId="13" fillId="0" fontId="4" numFmtId="0" xfId="0" applyBorder="1" applyFont="1"/>
    <xf borderId="17" fillId="0" fontId="3" numFmtId="0" xfId="0" applyBorder="1" applyFont="1"/>
    <xf borderId="14" fillId="0" fontId="4" numFmtId="0" xfId="0" applyBorder="1" applyFont="1"/>
    <xf borderId="2" fillId="0" fontId="5" numFmtId="164"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2" fillId="0" fontId="1" numFmtId="164" xfId="0" applyAlignment="1" applyBorder="1" applyFont="1" applyNumberFormat="1">
      <alignment horizontal="center" shrinkToFit="0" vertical="center" wrapText="1"/>
    </xf>
    <xf borderId="1" fillId="5" fontId="1" numFmtId="0" xfId="0" applyAlignment="1" applyBorder="1" applyFont="1">
      <alignment horizontal="center" shrinkToFit="0" vertical="center" wrapText="1"/>
    </xf>
    <xf borderId="2" fillId="5" fontId="1"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2" fillId="0" fontId="5" numFmtId="0" xfId="0" applyAlignment="1" applyBorder="1" applyFont="1">
      <alignment horizontal="center" shrinkToFit="0" vertical="top" wrapText="1"/>
    </xf>
    <xf borderId="2" fillId="0" fontId="5" numFmtId="0" xfId="0" applyAlignment="1" applyBorder="1" applyFont="1">
      <alignment horizontal="left" shrinkToFit="0" vertical="top" wrapText="1"/>
    </xf>
    <xf borderId="2" fillId="7" fontId="1" numFmtId="0" xfId="0" applyAlignment="1" applyBorder="1" applyFill="1" applyFont="1">
      <alignment horizontal="center" shrinkToFit="0" vertical="top" wrapText="1"/>
    </xf>
    <xf borderId="2" fillId="8" fontId="1" numFmtId="0" xfId="0" applyAlignment="1" applyBorder="1" applyFill="1" applyFont="1">
      <alignment horizontal="center" shrinkToFit="0" vertical="top" wrapText="1"/>
    </xf>
    <xf borderId="10" fillId="5" fontId="1" numFmtId="0" xfId="0" applyAlignment="1" applyBorder="1" applyFont="1">
      <alignment horizontal="center" shrinkToFit="0" vertical="center" wrapText="1"/>
    </xf>
    <xf borderId="5" fillId="5" fontId="1" numFmtId="0" xfId="0" applyAlignment="1" applyBorder="1" applyFont="1">
      <alignment horizontal="center" shrinkToFit="0" vertical="center" wrapText="1"/>
    </xf>
    <xf borderId="2" fillId="9" fontId="1" numFmtId="0" xfId="0" applyAlignment="1" applyBorder="1" applyFill="1" applyFont="1">
      <alignment horizontal="center" shrinkToFit="0" vertical="top" wrapText="1"/>
    </xf>
    <xf borderId="2" fillId="0" fontId="5" numFmtId="0" xfId="0" applyAlignment="1" applyBorder="1" applyFont="1">
      <alignment horizontal="left" readingOrder="0" shrinkToFit="0" vertical="top" wrapText="1"/>
    </xf>
    <xf borderId="2" fillId="0" fontId="5" numFmtId="0" xfId="0" applyAlignment="1" applyBorder="1" applyFont="1">
      <alignment horizontal="center" readingOrder="0" shrinkToFit="0" vertical="top" wrapText="1"/>
    </xf>
    <xf borderId="2" fillId="0" fontId="5" numFmtId="165" xfId="0" applyAlignment="1" applyBorder="1" applyFont="1" applyNumberFormat="1">
      <alignment horizontal="center" readingOrder="0" shrinkToFit="0" vertical="top" wrapText="1"/>
    </xf>
    <xf borderId="2" fillId="3" fontId="1" numFmtId="0" xfId="0" applyAlignment="1" applyBorder="1" applyFont="1">
      <alignment horizontal="right" shrinkToFit="0" vertical="center" wrapText="1"/>
    </xf>
    <xf borderId="2" fillId="0" fontId="10" numFmtId="0" xfId="0" applyAlignment="1" applyBorder="1" applyFont="1">
      <alignment horizontal="center" shrinkToFit="0" vertical="top" wrapText="1"/>
    </xf>
    <xf borderId="2" fillId="0" fontId="4" numFmtId="0" xfId="0" applyAlignment="1" applyBorder="1" applyFont="1">
      <alignment vertical="top"/>
    </xf>
    <xf borderId="2" fillId="0" fontId="1" numFmtId="0" xfId="0" applyAlignment="1" applyBorder="1" applyFont="1">
      <alignment horizontal="center" shrinkToFit="0" vertical="top" wrapText="1"/>
    </xf>
    <xf borderId="2" fillId="0" fontId="10" numFmtId="165" xfId="0" applyAlignment="1" applyBorder="1" applyFont="1" applyNumberFormat="1">
      <alignment horizontal="center" shrinkToFit="0" vertical="top" wrapText="1"/>
    </xf>
    <xf borderId="2" fillId="0" fontId="11" numFmtId="0" xfId="0" applyAlignment="1" applyBorder="1" applyFont="1">
      <alignment horizontal="left" shrinkToFit="0" vertical="top" wrapText="1"/>
    </xf>
    <xf borderId="2" fillId="0" fontId="10"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7"/>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2"/>
    </row>
    <row r="3" ht="12.75" customHeight="1">
      <c r="B3" s="13"/>
      <c r="AK3" s="15"/>
    </row>
    <row r="4" ht="12.75" customHeight="1">
      <c r="B4" s="13"/>
      <c r="AK4" s="15"/>
    </row>
    <row r="5" ht="12.75" customHeight="1">
      <c r="B5" s="13"/>
      <c r="AK5" s="15"/>
    </row>
    <row r="6" ht="12.75" customHeight="1">
      <c r="B6" s="13"/>
      <c r="AK6" s="15"/>
    </row>
    <row r="7" ht="12.75" customHeight="1">
      <c r="B7" s="13"/>
      <c r="AK7" s="15"/>
    </row>
    <row r="8" ht="12.75" customHeight="1">
      <c r="B8" s="13"/>
      <c r="AK8" s="15"/>
    </row>
    <row r="9" ht="12.75" customHeight="1">
      <c r="B9" s="13"/>
      <c r="AK9" s="15"/>
    </row>
    <row r="10" ht="29.25" customHeight="1">
      <c r="B10" s="20" t="s">
        <v>11</v>
      </c>
      <c r="AK10" s="22"/>
    </row>
    <row r="11" ht="12.75" customHeight="1">
      <c r="B11" s="13"/>
      <c r="AK11" s="15"/>
    </row>
    <row r="12" ht="39.0" customHeight="1">
      <c r="B12" s="24" t="s">
        <v>28</v>
      </c>
      <c r="AK12" s="22"/>
    </row>
    <row r="13" ht="12.75" customHeight="1">
      <c r="B13" s="13"/>
      <c r="AK13" s="15"/>
    </row>
    <row r="14" ht="12.75" customHeight="1">
      <c r="B14" s="13"/>
      <c r="AK14" s="15"/>
    </row>
    <row r="15" ht="12.75" customHeight="1">
      <c r="B15" s="26" t="s">
        <v>32</v>
      </c>
      <c r="AK15" s="22"/>
    </row>
    <row r="16" ht="12.75" customHeight="1">
      <c r="B16" s="13"/>
      <c r="AK16" s="15"/>
    </row>
    <row r="17" ht="12.75" customHeight="1">
      <c r="B17" s="13"/>
      <c r="AK17" s="15"/>
    </row>
    <row r="18" ht="12.75" customHeight="1">
      <c r="B18" s="13"/>
      <c r="N18" s="31" t="s">
        <v>36</v>
      </c>
      <c r="O18" s="4"/>
      <c r="P18" s="4"/>
      <c r="Q18" s="4"/>
      <c r="R18" s="5"/>
      <c r="S18" s="31" t="s">
        <v>40</v>
      </c>
      <c r="T18" s="4"/>
      <c r="U18" s="4"/>
      <c r="V18" s="4"/>
      <c r="W18" s="5"/>
      <c r="AK18" s="15"/>
    </row>
    <row r="19" ht="12.75" customHeight="1">
      <c r="B19" s="13"/>
      <c r="N19" s="31" t="s">
        <v>45</v>
      </c>
      <c r="O19" s="4"/>
      <c r="P19" s="4"/>
      <c r="Q19" s="4"/>
      <c r="R19" s="5"/>
      <c r="S19" s="31" t="s">
        <v>16</v>
      </c>
      <c r="T19" s="4"/>
      <c r="U19" s="4"/>
      <c r="V19" s="4"/>
      <c r="W19" s="5"/>
      <c r="AK19" s="15"/>
    </row>
    <row r="20" ht="12.75" customHeight="1">
      <c r="B20" s="13"/>
      <c r="N20" s="31" t="s">
        <v>3</v>
      </c>
      <c r="O20" s="4"/>
      <c r="P20" s="4"/>
      <c r="Q20" s="4"/>
      <c r="R20" s="5"/>
      <c r="S20" s="35" t="s">
        <v>22</v>
      </c>
      <c r="T20" s="4"/>
      <c r="U20" s="4"/>
      <c r="V20" s="4"/>
      <c r="W20" s="5"/>
      <c r="AK20" s="15"/>
    </row>
    <row r="21" ht="12.75" customHeight="1">
      <c r="B21" s="13"/>
      <c r="AK21" s="15"/>
    </row>
    <row r="22" ht="12.75" customHeight="1">
      <c r="B22" s="13"/>
      <c r="AK22" s="15"/>
    </row>
    <row r="23" ht="12.75" customHeight="1">
      <c r="B23" s="13"/>
      <c r="AK23" s="15"/>
    </row>
    <row r="24" ht="12.75" customHeight="1">
      <c r="B24" s="13"/>
      <c r="AK24" s="15"/>
    </row>
    <row r="25" ht="12.75" customHeight="1">
      <c r="B25" s="13"/>
      <c r="AK25" s="15"/>
    </row>
    <row r="26" ht="12.75" customHeight="1">
      <c r="B26" s="13"/>
      <c r="AK26" s="15"/>
    </row>
    <row r="27" ht="12.75" customHeight="1">
      <c r="B27" s="13"/>
      <c r="AK27" s="15"/>
    </row>
    <row r="28" ht="12.75" customHeight="1">
      <c r="B28" s="13"/>
      <c r="AK28" s="15"/>
    </row>
    <row r="29" ht="12.75" customHeight="1">
      <c r="B29" s="13"/>
      <c r="AK29" s="15"/>
    </row>
    <row r="30" ht="12.75" customHeight="1">
      <c r="B30" s="13"/>
      <c r="AK30" s="15"/>
    </row>
    <row r="31" ht="12.75" customHeight="1">
      <c r="B31" s="13"/>
      <c r="AK31" s="15"/>
    </row>
    <row r="32" ht="12.75" customHeight="1">
      <c r="B32" s="13"/>
      <c r="AK32" s="15"/>
    </row>
    <row r="33" ht="12.75" customHeight="1">
      <c r="B33" s="13"/>
      <c r="AK33" s="15"/>
    </row>
    <row r="34" ht="12.75" customHeight="1">
      <c r="B34" s="38"/>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41"/>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0</v>
      </c>
      <c r="B1" s="3" t="s">
        <v>3</v>
      </c>
      <c r="C1" s="4"/>
      <c r="D1" s="4"/>
      <c r="E1" s="5"/>
      <c r="F1" s="3" t="s">
        <v>4</v>
      </c>
      <c r="G1" s="4"/>
      <c r="H1" s="5"/>
      <c r="I1" s="3" t="s">
        <v>5</v>
      </c>
      <c r="J1" s="4"/>
      <c r="K1" s="4"/>
      <c r="L1" s="4"/>
      <c r="M1" s="4"/>
      <c r="N1" s="5"/>
      <c r="O1" s="3" t="s">
        <v>6</v>
      </c>
      <c r="P1" s="4"/>
      <c r="Q1" s="4"/>
      <c r="R1" s="4"/>
      <c r="S1" s="4"/>
      <c r="T1" s="4"/>
      <c r="U1" s="4"/>
      <c r="V1" s="5"/>
      <c r="W1" s="3" t="s">
        <v>8</v>
      </c>
      <c r="X1" s="4"/>
      <c r="Y1" s="4"/>
      <c r="Z1" s="4"/>
      <c r="AA1" s="4"/>
      <c r="AB1" s="5"/>
      <c r="AC1" s="3" t="s">
        <v>10</v>
      </c>
      <c r="AD1" s="4"/>
      <c r="AE1" s="4"/>
      <c r="AF1" s="4"/>
      <c r="AG1" s="4"/>
      <c r="AH1" s="5"/>
    </row>
    <row r="2" ht="22.5" customHeight="1">
      <c r="A2" s="8">
        <v>1.0</v>
      </c>
      <c r="B2" s="11" t="s">
        <v>13</v>
      </c>
      <c r="C2" s="4"/>
      <c r="D2" s="4"/>
      <c r="E2" s="5"/>
      <c r="F2" s="11" t="s">
        <v>16</v>
      </c>
      <c r="G2" s="4"/>
      <c r="H2" s="5"/>
      <c r="I2" s="11" t="s">
        <v>18</v>
      </c>
      <c r="J2" s="4"/>
      <c r="K2" s="4"/>
      <c r="L2" s="4"/>
      <c r="M2" s="4"/>
      <c r="N2" s="5"/>
      <c r="O2" s="9" t="s">
        <v>20</v>
      </c>
      <c r="P2" s="4"/>
      <c r="Q2" s="4"/>
      <c r="R2" s="4"/>
      <c r="S2" s="4"/>
      <c r="T2" s="4"/>
      <c r="U2" s="4"/>
      <c r="V2" s="5"/>
      <c r="W2" s="11" t="s">
        <v>17</v>
      </c>
      <c r="X2" s="4"/>
      <c r="Y2" s="4"/>
      <c r="Z2" s="4"/>
      <c r="AA2" s="4"/>
      <c r="AB2" s="5"/>
      <c r="AC2" s="11"/>
      <c r="AD2" s="4"/>
      <c r="AE2" s="4"/>
      <c r="AF2" s="4"/>
      <c r="AG2" s="4"/>
      <c r="AH2"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3" t="s">
        <v>2</v>
      </c>
      <c r="B1" s="4"/>
      <c r="C1" s="4"/>
      <c r="D1" s="4"/>
      <c r="E1" s="4"/>
      <c r="F1" s="4"/>
      <c r="G1" s="4"/>
      <c r="H1" s="4"/>
      <c r="I1" s="5"/>
      <c r="J1" s="3" t="s">
        <v>9</v>
      </c>
      <c r="K1" s="4"/>
      <c r="L1" s="4"/>
      <c r="M1" s="4"/>
      <c r="N1" s="4"/>
      <c r="O1" s="4"/>
      <c r="P1" s="5"/>
      <c r="Q1" s="3" t="s">
        <v>12</v>
      </c>
      <c r="R1" s="4"/>
      <c r="S1" s="4"/>
      <c r="T1" s="4"/>
      <c r="U1" s="5"/>
      <c r="V1" s="3" t="s">
        <v>15</v>
      </c>
      <c r="W1" s="4"/>
      <c r="X1" s="4"/>
      <c r="Y1" s="5"/>
      <c r="Z1" s="3" t="s">
        <v>19</v>
      </c>
      <c r="AA1" s="4"/>
      <c r="AB1" s="4"/>
      <c r="AC1" s="5"/>
      <c r="AD1" s="3" t="s">
        <v>21</v>
      </c>
      <c r="AE1" s="4"/>
      <c r="AF1" s="4"/>
      <c r="AG1" s="5"/>
      <c r="AH1" s="3" t="s">
        <v>25</v>
      </c>
      <c r="AI1" s="4"/>
      <c r="AJ1" s="4"/>
      <c r="AK1" s="5"/>
    </row>
    <row r="2" ht="19.5" customHeight="1">
      <c r="A2" s="23" t="s">
        <v>11</v>
      </c>
      <c r="B2" s="18"/>
      <c r="C2" s="18"/>
      <c r="D2" s="18"/>
      <c r="E2" s="18"/>
      <c r="F2" s="18"/>
      <c r="G2" s="18"/>
      <c r="H2" s="18"/>
      <c r="I2" s="19"/>
      <c r="J2" s="23" t="s">
        <v>29</v>
      </c>
      <c r="K2" s="18"/>
      <c r="L2" s="18"/>
      <c r="M2" s="18"/>
      <c r="N2" s="18"/>
      <c r="O2" s="18"/>
      <c r="P2" s="19"/>
      <c r="Q2" s="23" t="s">
        <v>30</v>
      </c>
      <c r="R2" s="18"/>
      <c r="S2" s="18"/>
      <c r="T2" s="18"/>
      <c r="U2" s="19"/>
      <c r="V2" s="25" t="s">
        <v>22</v>
      </c>
      <c r="W2" s="18"/>
      <c r="X2" s="18"/>
      <c r="Y2" s="19"/>
      <c r="Z2" s="23" t="s">
        <v>18</v>
      </c>
      <c r="AA2" s="18"/>
      <c r="AB2" s="18"/>
      <c r="AC2" s="19"/>
      <c r="AD2" s="25" t="s">
        <v>22</v>
      </c>
      <c r="AE2" s="18"/>
      <c r="AF2" s="18"/>
      <c r="AG2" s="19"/>
      <c r="AH2" s="23" t="s">
        <v>18</v>
      </c>
      <c r="AI2" s="18"/>
      <c r="AJ2" s="18"/>
      <c r="AK2" s="19"/>
    </row>
    <row r="3" ht="19.5" customHeight="1">
      <c r="A3" s="28"/>
      <c r="B3" s="29"/>
      <c r="C3" s="29"/>
      <c r="D3" s="29"/>
      <c r="E3" s="29"/>
      <c r="F3" s="29"/>
      <c r="G3" s="29"/>
      <c r="H3" s="29"/>
      <c r="I3" s="30"/>
      <c r="J3" s="28"/>
      <c r="K3" s="29"/>
      <c r="L3" s="29"/>
      <c r="M3" s="29"/>
      <c r="N3" s="29"/>
      <c r="O3" s="29"/>
      <c r="P3" s="30"/>
      <c r="Q3" s="28"/>
      <c r="R3" s="29"/>
      <c r="S3" s="29"/>
      <c r="T3" s="29"/>
      <c r="U3" s="30"/>
      <c r="V3" s="28"/>
      <c r="W3" s="29"/>
      <c r="X3" s="29"/>
      <c r="Y3" s="30"/>
      <c r="Z3" s="28"/>
      <c r="AA3" s="29"/>
      <c r="AB3" s="29"/>
      <c r="AC3" s="30"/>
      <c r="AD3" s="28"/>
      <c r="AE3" s="29"/>
      <c r="AF3" s="29"/>
      <c r="AG3" s="30"/>
      <c r="AH3" s="28"/>
      <c r="AI3" s="29"/>
      <c r="AJ3" s="29"/>
      <c r="AK3" s="30"/>
    </row>
    <row r="4" ht="15.0" customHeight="1"/>
    <row r="5" ht="19.5" customHeight="1">
      <c r="B5" s="32" t="s">
        <v>39</v>
      </c>
    </row>
    <row r="6" ht="19.5" customHeight="1">
      <c r="C6" s="33" t="s">
        <v>42</v>
      </c>
    </row>
    <row r="7" ht="19.5" customHeight="1">
      <c r="C7" s="33" t="s">
        <v>44</v>
      </c>
    </row>
    <row r="8" ht="19.5" customHeight="1">
      <c r="C8" s="33" t="s">
        <v>47</v>
      </c>
    </row>
    <row r="9" ht="19.5" customHeight="1">
      <c r="C9" s="33" t="s">
        <v>48</v>
      </c>
    </row>
    <row r="10" ht="19.5" customHeight="1">
      <c r="C10" s="33" t="s">
        <v>50</v>
      </c>
    </row>
    <row r="11" ht="19.5" customHeight="1">
      <c r="C11" s="33" t="s">
        <v>51</v>
      </c>
    </row>
    <row r="12" ht="19.5" customHeight="1">
      <c r="C12" s="33" t="s">
        <v>53</v>
      </c>
    </row>
    <row r="13" ht="15.0" customHeight="1"/>
    <row r="14" ht="19.5" customHeight="1">
      <c r="B14" s="32" t="s">
        <v>54</v>
      </c>
    </row>
    <row r="15" ht="19.5" customHeight="1">
      <c r="C15" s="36" t="s">
        <v>55</v>
      </c>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40"/>
    </row>
    <row r="16" ht="15.0" customHeight="1"/>
    <row r="17" ht="19.5" customHeight="1">
      <c r="B17" s="32" t="s">
        <v>56</v>
      </c>
    </row>
    <row r="18" ht="15.0" customHeight="1"/>
    <row r="19" ht="22.5" customHeight="1">
      <c r="C19" s="1" t="s">
        <v>57</v>
      </c>
      <c r="D19" s="3" t="s">
        <v>58</v>
      </c>
      <c r="E19" s="4"/>
      <c r="F19" s="4"/>
      <c r="G19" s="4"/>
      <c r="H19" s="4"/>
      <c r="I19" s="4"/>
      <c r="J19" s="4"/>
      <c r="K19" s="4"/>
      <c r="L19" s="4"/>
      <c r="M19" s="4"/>
      <c r="N19" s="5"/>
      <c r="O19" s="3" t="s">
        <v>59</v>
      </c>
      <c r="P19" s="4"/>
      <c r="Q19" s="4"/>
      <c r="R19" s="4"/>
      <c r="S19" s="4"/>
      <c r="T19" s="4"/>
      <c r="U19" s="4"/>
      <c r="V19" s="4"/>
      <c r="W19" s="4"/>
      <c r="X19" s="4"/>
      <c r="Y19" s="4"/>
      <c r="Z19" s="4"/>
      <c r="AA19" s="4"/>
      <c r="AB19" s="4"/>
      <c r="AC19" s="4"/>
      <c r="AD19" s="4"/>
      <c r="AE19" s="4"/>
      <c r="AF19" s="4"/>
      <c r="AG19" s="5"/>
    </row>
    <row r="20" ht="22.5" customHeight="1">
      <c r="C20" s="8">
        <v>1.0</v>
      </c>
      <c r="D20" s="9" t="s">
        <v>60</v>
      </c>
      <c r="E20" s="4"/>
      <c r="F20" s="4"/>
      <c r="G20" s="4"/>
      <c r="H20" s="4"/>
      <c r="I20" s="4"/>
      <c r="J20" s="4"/>
      <c r="K20" s="4"/>
      <c r="L20" s="4"/>
      <c r="M20" s="4"/>
      <c r="N20" s="5"/>
      <c r="O20" s="9" t="s">
        <v>61</v>
      </c>
      <c r="P20" s="4"/>
      <c r="Q20" s="4"/>
      <c r="R20" s="4"/>
      <c r="S20" s="4"/>
      <c r="T20" s="4"/>
      <c r="U20" s="4"/>
      <c r="V20" s="4"/>
      <c r="W20" s="4"/>
      <c r="X20" s="4"/>
      <c r="Y20" s="4"/>
      <c r="Z20" s="4"/>
      <c r="AA20" s="4"/>
      <c r="AB20" s="4"/>
      <c r="AC20" s="4"/>
      <c r="AD20" s="4"/>
      <c r="AE20" s="4"/>
      <c r="AF20" s="4"/>
      <c r="AG20" s="5"/>
    </row>
    <row r="21" ht="22.5" customHeight="1">
      <c r="C21" s="8">
        <v>2.0</v>
      </c>
      <c r="D21" s="9" t="s">
        <v>62</v>
      </c>
      <c r="E21" s="4"/>
      <c r="F21" s="4"/>
      <c r="G21" s="4"/>
      <c r="H21" s="4"/>
      <c r="I21" s="4"/>
      <c r="J21" s="4"/>
      <c r="K21" s="4"/>
      <c r="L21" s="4"/>
      <c r="M21" s="4"/>
      <c r="N21" s="5"/>
      <c r="O21" s="9" t="s">
        <v>63</v>
      </c>
      <c r="P21" s="4"/>
      <c r="Q21" s="4"/>
      <c r="R21" s="4"/>
      <c r="S21" s="4"/>
      <c r="T21" s="4"/>
      <c r="U21" s="4"/>
      <c r="V21" s="4"/>
      <c r="W21" s="4"/>
      <c r="X21" s="4"/>
      <c r="Y21" s="4"/>
      <c r="Z21" s="4"/>
      <c r="AA21" s="4"/>
      <c r="AB21" s="4"/>
      <c r="AC21" s="4"/>
      <c r="AD21" s="4"/>
      <c r="AE21" s="4"/>
      <c r="AF21" s="4"/>
      <c r="AG21" s="5"/>
    </row>
    <row r="22" ht="22.5" customHeight="1">
      <c r="C22" s="8">
        <v>3.0</v>
      </c>
      <c r="D22" s="9" t="s">
        <v>64</v>
      </c>
      <c r="E22" s="4"/>
      <c r="F22" s="4"/>
      <c r="G22" s="4"/>
      <c r="H22" s="4"/>
      <c r="I22" s="4"/>
      <c r="J22" s="4"/>
      <c r="K22" s="4"/>
      <c r="L22" s="4"/>
      <c r="M22" s="4"/>
      <c r="N22" s="5"/>
      <c r="O22" s="9" t="s">
        <v>65</v>
      </c>
      <c r="P22" s="4"/>
      <c r="Q22" s="4"/>
      <c r="R22" s="4"/>
      <c r="S22" s="4"/>
      <c r="T22" s="4"/>
      <c r="U22" s="4"/>
      <c r="V22" s="4"/>
      <c r="W22" s="4"/>
      <c r="X22" s="4"/>
      <c r="Y22" s="4"/>
      <c r="Z22" s="4"/>
      <c r="AA22" s="4"/>
      <c r="AB22" s="4"/>
      <c r="AC22" s="4"/>
      <c r="AD22" s="4"/>
      <c r="AE22" s="4"/>
      <c r="AF22" s="4"/>
      <c r="AG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C7:AK7"/>
    <mergeCell ref="C8:AK8"/>
    <mergeCell ref="C9:AK9"/>
    <mergeCell ref="C10:AK10"/>
    <mergeCell ref="C11:AK11"/>
    <mergeCell ref="D20:N20"/>
    <mergeCell ref="D21:N21"/>
    <mergeCell ref="D22:N22"/>
    <mergeCell ref="O21:AG21"/>
    <mergeCell ref="O22:AG22"/>
    <mergeCell ref="C12:AK12"/>
    <mergeCell ref="B14:AK14"/>
    <mergeCell ref="C15:AK15"/>
    <mergeCell ref="B17:AK17"/>
    <mergeCell ref="D19:N19"/>
    <mergeCell ref="O19:AG19"/>
    <mergeCell ref="O20:AG2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2" t="s">
        <v>1</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5"/>
    </row>
    <row r="3" ht="22.5" customHeight="1">
      <c r="A3" s="6" t="s">
        <v>7</v>
      </c>
      <c r="B3" s="4"/>
      <c r="C3" s="4"/>
      <c r="D3" s="4"/>
      <c r="E3" s="4"/>
      <c r="F3" s="5"/>
      <c r="G3" s="9" t="s">
        <v>11</v>
      </c>
      <c r="H3" s="4"/>
      <c r="I3" s="4"/>
      <c r="J3" s="4"/>
      <c r="K3" s="4"/>
      <c r="L3" s="4"/>
      <c r="M3" s="4"/>
      <c r="N3" s="4"/>
      <c r="O3" s="5"/>
      <c r="P3" s="6" t="s">
        <v>14</v>
      </c>
      <c r="Q3" s="4"/>
      <c r="R3" s="4"/>
      <c r="S3" s="4"/>
      <c r="T3" s="4"/>
      <c r="U3" s="4"/>
      <c r="V3" s="4"/>
      <c r="W3" s="5"/>
      <c r="X3" s="9" t="s">
        <v>17</v>
      </c>
      <c r="Y3" s="4"/>
      <c r="Z3" s="4"/>
      <c r="AA3" s="4"/>
      <c r="AB3" s="4"/>
      <c r="AC3" s="4"/>
      <c r="AD3" s="4"/>
      <c r="AE3" s="4"/>
      <c r="AF3" s="4"/>
      <c r="AG3" s="4"/>
      <c r="AH3" s="5"/>
    </row>
    <row r="4" ht="22.5" customHeight="1">
      <c r="A4" s="6" t="s">
        <v>5</v>
      </c>
      <c r="B4" s="4"/>
      <c r="C4" s="4"/>
      <c r="D4" s="4"/>
      <c r="E4" s="4"/>
      <c r="F4" s="5"/>
      <c r="G4" s="9" t="s">
        <v>18</v>
      </c>
      <c r="H4" s="4"/>
      <c r="I4" s="4"/>
      <c r="J4" s="4"/>
      <c r="K4" s="4"/>
      <c r="L4" s="4"/>
      <c r="M4" s="4"/>
      <c r="N4" s="4"/>
      <c r="O4" s="5"/>
      <c r="P4" s="6" t="s">
        <v>15</v>
      </c>
      <c r="Q4" s="4"/>
      <c r="R4" s="4"/>
      <c r="S4" s="4"/>
      <c r="T4" s="4"/>
      <c r="U4" s="4"/>
      <c r="V4" s="4"/>
      <c r="W4" s="5"/>
      <c r="X4" s="14" t="s">
        <v>22</v>
      </c>
      <c r="Y4" s="4"/>
      <c r="Z4" s="4"/>
      <c r="AA4" s="4"/>
      <c r="AB4" s="4"/>
      <c r="AC4" s="4"/>
      <c r="AD4" s="4"/>
      <c r="AE4" s="4"/>
      <c r="AF4" s="4"/>
      <c r="AG4" s="4"/>
      <c r="AH4" s="5"/>
    </row>
    <row r="6" ht="22.5" customHeight="1">
      <c r="A6" s="16" t="s">
        <v>23</v>
      </c>
      <c r="B6" s="17" t="s">
        <v>24</v>
      </c>
      <c r="C6" s="18"/>
      <c r="D6" s="18"/>
      <c r="E6" s="18"/>
      <c r="F6" s="18"/>
      <c r="G6" s="19"/>
      <c r="H6" s="21" t="s">
        <v>26</v>
      </c>
      <c r="I6" s="4"/>
      <c r="J6" s="4"/>
      <c r="K6" s="4"/>
      <c r="L6" s="4"/>
      <c r="M6" s="4"/>
      <c r="N6" s="4"/>
      <c r="O6" s="4"/>
      <c r="P6" s="5"/>
      <c r="Q6" s="17" t="s">
        <v>27</v>
      </c>
      <c r="R6" s="18"/>
      <c r="S6" s="19"/>
      <c r="T6" s="21" t="s">
        <v>31</v>
      </c>
      <c r="U6" s="4"/>
      <c r="V6" s="4"/>
      <c r="W6" s="4"/>
      <c r="X6" s="4"/>
      <c r="Y6" s="4"/>
      <c r="Z6" s="4"/>
      <c r="AA6" s="4"/>
      <c r="AB6" s="4"/>
      <c r="AC6" s="4"/>
      <c r="AD6" s="4"/>
      <c r="AE6" s="4"/>
      <c r="AF6" s="4"/>
      <c r="AG6" s="4"/>
      <c r="AH6" s="5"/>
    </row>
    <row r="7" ht="22.5" customHeight="1">
      <c r="A7" s="27"/>
      <c r="B7" s="28"/>
      <c r="C7" s="29"/>
      <c r="D7" s="29"/>
      <c r="E7" s="29"/>
      <c r="F7" s="29"/>
      <c r="G7" s="30"/>
      <c r="H7" s="21" t="s">
        <v>33</v>
      </c>
      <c r="I7" s="4"/>
      <c r="J7" s="5"/>
      <c r="K7" s="21" t="s">
        <v>34</v>
      </c>
      <c r="L7" s="4"/>
      <c r="M7" s="5"/>
      <c r="N7" s="21" t="s">
        <v>35</v>
      </c>
      <c r="O7" s="4"/>
      <c r="P7" s="5"/>
      <c r="Q7" s="28"/>
      <c r="R7" s="29"/>
      <c r="S7" s="30"/>
      <c r="T7" s="21" t="s">
        <v>37</v>
      </c>
      <c r="U7" s="4"/>
      <c r="V7" s="5"/>
      <c r="W7" s="21" t="s">
        <v>38</v>
      </c>
      <c r="X7" s="4"/>
      <c r="Y7" s="5"/>
      <c r="Z7" s="21" t="s">
        <v>41</v>
      </c>
      <c r="AA7" s="4"/>
      <c r="AB7" s="5"/>
      <c r="AC7" s="21" t="s">
        <v>43</v>
      </c>
      <c r="AD7" s="4"/>
      <c r="AE7" s="5"/>
      <c r="AF7" s="21" t="s">
        <v>46</v>
      </c>
      <c r="AG7" s="4"/>
      <c r="AH7" s="5"/>
    </row>
    <row r="8" ht="22.5" customHeight="1">
      <c r="A8" s="34" t="s">
        <v>49</v>
      </c>
    </row>
    <row r="9" ht="22.5" customHeight="1">
      <c r="A9" s="8">
        <v>1.0</v>
      </c>
      <c r="B9" s="9" t="s">
        <v>52</v>
      </c>
      <c r="C9" s="4"/>
      <c r="D9" s="4"/>
      <c r="E9" s="4"/>
      <c r="F9" s="4"/>
      <c r="G9" s="5"/>
      <c r="H9" s="11">
        <f t="array" ref="H9">INDIRECT("'"&amp;$B9&amp;"'!H7",TRUE)</f>
        <v>38</v>
      </c>
      <c r="I9" s="4"/>
      <c r="J9" s="5"/>
      <c r="K9" s="11">
        <f t="array" ref="K9">INDIRECT("'"&amp;$B9&amp;"'!K7",TRUE)</f>
        <v>12</v>
      </c>
      <c r="L9" s="4"/>
      <c r="M9" s="5"/>
      <c r="N9" s="11">
        <f t="array" ref="N9">INDIRECT("'"&amp;$B9&amp;"'!N7",TRUE)</f>
        <v>3</v>
      </c>
      <c r="O9" s="4"/>
      <c r="P9" s="5"/>
      <c r="Q9" s="11">
        <f t="array" ref="Q9">INDIRECT("'"&amp;$B9&amp;"'!Q7",TRUE)</f>
        <v>53</v>
      </c>
      <c r="R9" s="4"/>
      <c r="S9" s="5"/>
      <c r="T9" s="11">
        <f t="array" ref="T9">INDIRECT("'"&amp;$B9&amp;"'!T7",TRUE)</f>
        <v>51</v>
      </c>
      <c r="U9" s="4"/>
      <c r="V9" s="5"/>
      <c r="W9" s="11">
        <f t="array" ref="W9">INDIRECT("'"&amp;$B9&amp;"'!W7",TRUE)</f>
        <v>0</v>
      </c>
      <c r="X9" s="4"/>
      <c r="Y9" s="5"/>
      <c r="Z9" s="11">
        <f t="array" ref="Z9">INDIRECT("'"&amp;$B9&amp;"'!Z7",TRUE)</f>
        <v>2</v>
      </c>
      <c r="AA9" s="4"/>
      <c r="AB9" s="5"/>
      <c r="AC9" s="11">
        <f t="array" ref="AC9">INDIRECT("'"&amp;$B9&amp;"'!AC7",TRUE)</f>
        <v>0</v>
      </c>
      <c r="AD9" s="4"/>
      <c r="AE9" s="5"/>
      <c r="AF9" s="42">
        <f>IFERROR((T9+W9+AC9)/Q9,0)</f>
        <v>0.9622641509</v>
      </c>
      <c r="AG9" s="4"/>
      <c r="AH9" s="5"/>
    </row>
    <row r="10" ht="22.5" customHeight="1">
      <c r="A10" s="8">
        <v>2.0</v>
      </c>
      <c r="B10" s="9"/>
      <c r="C10" s="4"/>
      <c r="D10" s="4"/>
      <c r="E10" s="4"/>
      <c r="F10" s="4"/>
      <c r="G10" s="5"/>
      <c r="H10" s="11"/>
      <c r="I10" s="4"/>
      <c r="J10" s="5"/>
      <c r="K10" s="11"/>
      <c r="L10" s="4"/>
      <c r="M10" s="5"/>
      <c r="N10" s="11"/>
      <c r="O10" s="4"/>
      <c r="P10" s="5"/>
      <c r="Q10" s="11"/>
      <c r="R10" s="4"/>
      <c r="S10" s="5"/>
      <c r="T10" s="11"/>
      <c r="U10" s="4"/>
      <c r="V10" s="5"/>
      <c r="W10" s="11"/>
      <c r="X10" s="4"/>
      <c r="Y10" s="5"/>
      <c r="Z10" s="11"/>
      <c r="AA10" s="4"/>
      <c r="AB10" s="5"/>
      <c r="AC10" s="11"/>
      <c r="AD10" s="4"/>
      <c r="AE10" s="5"/>
      <c r="AF10" s="42"/>
      <c r="AG10" s="4"/>
      <c r="AH10" s="5"/>
    </row>
    <row r="11" ht="22.5" customHeight="1">
      <c r="A11" s="8"/>
      <c r="B11" s="21" t="s">
        <v>27</v>
      </c>
      <c r="C11" s="4"/>
      <c r="D11" s="4"/>
      <c r="E11" s="4"/>
      <c r="F11" s="4"/>
      <c r="G11" s="5"/>
      <c r="H11" s="43">
        <f>SUM(H9:J10)</f>
        <v>38</v>
      </c>
      <c r="I11" s="4"/>
      <c r="J11" s="5"/>
      <c r="K11" s="43">
        <f>SUM(K9:M10)</f>
        <v>12</v>
      </c>
      <c r="L11" s="4"/>
      <c r="M11" s="5"/>
      <c r="N11" s="43">
        <f>SUM(N9:P10)</f>
        <v>3</v>
      </c>
      <c r="O11" s="4"/>
      <c r="P11" s="5"/>
      <c r="Q11" s="43">
        <f>SUM(Q9:S10)</f>
        <v>53</v>
      </c>
      <c r="R11" s="4"/>
      <c r="S11" s="5"/>
      <c r="T11" s="43">
        <f>SUM(T9:V10)</f>
        <v>51</v>
      </c>
      <c r="U11" s="4"/>
      <c r="V11" s="5"/>
      <c r="W11" s="43">
        <f>SUM(W9:Y10)</f>
        <v>0</v>
      </c>
      <c r="X11" s="4"/>
      <c r="Y11" s="5"/>
      <c r="Z11" s="43">
        <f>SUM(Z9:AB10)</f>
        <v>2</v>
      </c>
      <c r="AA11" s="4"/>
      <c r="AB11" s="5"/>
      <c r="AC11" s="43">
        <f>SUM(AC9:AE10)</f>
        <v>0</v>
      </c>
      <c r="AD11" s="4"/>
      <c r="AE11" s="5"/>
      <c r="AF11" s="44">
        <f>IFERROR((T11+W11+AC11)/Q11,0)</f>
        <v>0.9622641509</v>
      </c>
      <c r="AG11" s="4"/>
      <c r="AH11" s="5"/>
    </row>
    <row r="12" ht="22.5" customHeight="1">
      <c r="A12" s="34" t="s">
        <v>66</v>
      </c>
    </row>
    <row r="13" ht="22.5" customHeight="1">
      <c r="A13" s="8">
        <v>1.0</v>
      </c>
      <c r="B13" s="9" t="s">
        <v>52</v>
      </c>
      <c r="C13" s="4"/>
      <c r="D13" s="4"/>
      <c r="E13" s="4"/>
      <c r="F13" s="4"/>
      <c r="G13" s="5"/>
      <c r="H13" s="11">
        <f t="array" ref="H13">INDIRECT("'"&amp;$B13&amp;"'!H8",TRUE)</f>
        <v>38</v>
      </c>
      <c r="I13" s="4"/>
      <c r="J13" s="5"/>
      <c r="K13" s="11">
        <f t="array" ref="K13">INDIRECT("'"&amp;$B13&amp;"'!K8",TRUE)</f>
        <v>12</v>
      </c>
      <c r="L13" s="4"/>
      <c r="M13" s="5"/>
      <c r="N13" s="11">
        <f t="array" ref="N13">INDIRECT("'"&amp;$B13&amp;"'!N8",TRUE)</f>
        <v>3</v>
      </c>
      <c r="O13" s="4"/>
      <c r="P13" s="5"/>
      <c r="Q13" s="11">
        <f t="array" ref="Q13">INDIRECT("'"&amp;$B13&amp;"'!Q8",TRUE)</f>
        <v>53</v>
      </c>
      <c r="R13" s="4"/>
      <c r="S13" s="5"/>
      <c r="T13" s="11">
        <f t="array" ref="T13">INDIRECT("'"&amp;$B13&amp;"'!T8",TRUE)</f>
        <v>53</v>
      </c>
      <c r="U13" s="4"/>
      <c r="V13" s="5"/>
      <c r="W13" s="11">
        <f t="array" ref="W13">INDIRECT("'"&amp;$B13&amp;"'!W8",TRUE)</f>
        <v>0</v>
      </c>
      <c r="X13" s="4"/>
      <c r="Y13" s="5"/>
      <c r="Z13" s="11">
        <f t="array" ref="Z13">INDIRECT("'"&amp;$B13&amp;"'!Z8",TRUE)</f>
        <v>0</v>
      </c>
      <c r="AA13" s="4"/>
      <c r="AB13" s="5"/>
      <c r="AC13" s="11">
        <f t="array" ref="AC13">INDIRECT("'"&amp;$B13&amp;"'!AC8",TRUE)</f>
        <v>0</v>
      </c>
      <c r="AD13" s="4"/>
      <c r="AE13" s="5"/>
      <c r="AF13" s="42">
        <f>IFERROR((T13+W13+AC13)/Q13,0)</f>
        <v>1</v>
      </c>
      <c r="AG13" s="4"/>
      <c r="AH13" s="5"/>
    </row>
    <row r="14" ht="22.5" customHeight="1">
      <c r="A14" s="8">
        <v>2.0</v>
      </c>
      <c r="B14" s="9"/>
      <c r="C14" s="4"/>
      <c r="D14" s="4"/>
      <c r="E14" s="4"/>
      <c r="F14" s="4"/>
      <c r="G14" s="5"/>
      <c r="H14" s="11"/>
      <c r="I14" s="4"/>
      <c r="J14" s="5"/>
      <c r="K14" s="11"/>
      <c r="L14" s="4"/>
      <c r="M14" s="5"/>
      <c r="N14" s="11"/>
      <c r="O14" s="4"/>
      <c r="P14" s="5"/>
      <c r="Q14" s="11"/>
      <c r="R14" s="4"/>
      <c r="S14" s="5"/>
      <c r="T14" s="11"/>
      <c r="U14" s="4"/>
      <c r="V14" s="5"/>
      <c r="W14" s="11"/>
      <c r="X14" s="4"/>
      <c r="Y14" s="5"/>
      <c r="Z14" s="11"/>
      <c r="AA14" s="4"/>
      <c r="AB14" s="5"/>
      <c r="AC14" s="11"/>
      <c r="AD14" s="4"/>
      <c r="AE14" s="5"/>
      <c r="AF14" s="42"/>
      <c r="AG14" s="4"/>
      <c r="AH14" s="5"/>
    </row>
    <row r="15" ht="22.5" customHeight="1">
      <c r="A15" s="8"/>
      <c r="B15" s="21" t="s">
        <v>27</v>
      </c>
      <c r="C15" s="4"/>
      <c r="D15" s="4"/>
      <c r="E15" s="4"/>
      <c r="F15" s="4"/>
      <c r="G15" s="5"/>
      <c r="H15" s="43">
        <f>SUM(H13:J14)</f>
        <v>38</v>
      </c>
      <c r="I15" s="4"/>
      <c r="J15" s="5"/>
      <c r="K15" s="43">
        <f>SUM(K13:M14)</f>
        <v>12</v>
      </c>
      <c r="L15" s="4"/>
      <c r="M15" s="5"/>
      <c r="N15" s="43">
        <f>SUM(N13:P14)</f>
        <v>3</v>
      </c>
      <c r="O15" s="4"/>
      <c r="P15" s="5"/>
      <c r="Q15" s="43">
        <f>SUM(Q13:S14)</f>
        <v>53</v>
      </c>
      <c r="R15" s="4"/>
      <c r="S15" s="5"/>
      <c r="T15" s="43">
        <f>SUM(T13:V14)</f>
        <v>53</v>
      </c>
      <c r="U15" s="4"/>
      <c r="V15" s="5"/>
      <c r="W15" s="43">
        <f>SUM(W13:Y14)</f>
        <v>0</v>
      </c>
      <c r="X15" s="4"/>
      <c r="Y15" s="5"/>
      <c r="Z15" s="43">
        <f>SUM(Z13:AB14)</f>
        <v>0</v>
      </c>
      <c r="AA15" s="4"/>
      <c r="AB15" s="5"/>
      <c r="AC15" s="43">
        <f>SUM(AC13:AE14)</f>
        <v>0</v>
      </c>
      <c r="AD15" s="4"/>
      <c r="AE15" s="5"/>
      <c r="AF15" s="44">
        <f>IFERROR((T15+W15+AC15)/Q15,0)</f>
        <v>1</v>
      </c>
      <c r="AG15" s="4"/>
      <c r="AH15"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3" t="s">
        <v>2</v>
      </c>
      <c r="B1" s="4"/>
      <c r="C1" s="4"/>
      <c r="D1" s="4"/>
      <c r="E1" s="4"/>
      <c r="F1" s="4"/>
      <c r="G1" s="4"/>
      <c r="H1" s="4"/>
      <c r="I1" s="5"/>
      <c r="J1" s="3" t="s">
        <v>9</v>
      </c>
      <c r="K1" s="4"/>
      <c r="L1" s="4"/>
      <c r="M1" s="4"/>
      <c r="N1" s="4"/>
      <c r="O1" s="4"/>
      <c r="P1" s="5"/>
      <c r="Q1" s="3" t="s">
        <v>12</v>
      </c>
      <c r="R1" s="4"/>
      <c r="S1" s="4"/>
      <c r="T1" s="4"/>
      <c r="U1" s="5"/>
      <c r="V1" s="3" t="s">
        <v>15</v>
      </c>
      <c r="W1" s="4"/>
      <c r="X1" s="4"/>
      <c r="Y1" s="5"/>
      <c r="Z1" s="3" t="s">
        <v>19</v>
      </c>
      <c r="AA1" s="4"/>
      <c r="AB1" s="4"/>
      <c r="AC1" s="5"/>
      <c r="AD1" s="3" t="s">
        <v>21</v>
      </c>
      <c r="AE1" s="4"/>
      <c r="AF1" s="4"/>
      <c r="AG1" s="5"/>
      <c r="AH1" s="3" t="s">
        <v>25</v>
      </c>
      <c r="AI1" s="4"/>
      <c r="AJ1" s="4"/>
      <c r="AK1" s="5"/>
    </row>
    <row r="2" ht="19.5" customHeight="1">
      <c r="A2" s="23" t="s">
        <v>11</v>
      </c>
      <c r="B2" s="18"/>
      <c r="C2" s="18"/>
      <c r="D2" s="18"/>
      <c r="E2" s="18"/>
      <c r="F2" s="18"/>
      <c r="G2" s="18"/>
      <c r="H2" s="18"/>
      <c r="I2" s="19"/>
      <c r="J2" s="23" t="s">
        <v>29</v>
      </c>
      <c r="K2" s="18"/>
      <c r="L2" s="18"/>
      <c r="M2" s="18"/>
      <c r="N2" s="18"/>
      <c r="O2" s="18"/>
      <c r="P2" s="19"/>
      <c r="Q2" s="23" t="s">
        <v>67</v>
      </c>
      <c r="R2" s="18"/>
      <c r="S2" s="18"/>
      <c r="T2" s="18"/>
      <c r="U2" s="19"/>
      <c r="V2" s="25" t="s">
        <v>22</v>
      </c>
      <c r="W2" s="18"/>
      <c r="X2" s="18"/>
      <c r="Y2" s="19"/>
      <c r="Z2" s="23" t="s">
        <v>18</v>
      </c>
      <c r="AA2" s="18"/>
      <c r="AB2" s="18"/>
      <c r="AC2" s="19"/>
      <c r="AD2" s="25" t="s">
        <v>22</v>
      </c>
      <c r="AE2" s="18"/>
      <c r="AF2" s="18"/>
      <c r="AG2" s="19"/>
      <c r="AH2" s="23" t="s">
        <v>18</v>
      </c>
      <c r="AI2" s="18"/>
      <c r="AJ2" s="18"/>
      <c r="AK2" s="19"/>
    </row>
    <row r="3" ht="19.5" customHeight="1">
      <c r="A3" s="28"/>
      <c r="B3" s="29"/>
      <c r="C3" s="29"/>
      <c r="D3" s="29"/>
      <c r="E3" s="29"/>
      <c r="F3" s="29"/>
      <c r="G3" s="29"/>
      <c r="H3" s="29"/>
      <c r="I3" s="30"/>
      <c r="J3" s="28"/>
      <c r="K3" s="29"/>
      <c r="L3" s="29"/>
      <c r="M3" s="29"/>
      <c r="N3" s="29"/>
      <c r="O3" s="29"/>
      <c r="P3" s="30"/>
      <c r="Q3" s="28"/>
      <c r="R3" s="29"/>
      <c r="S3" s="29"/>
      <c r="T3" s="29"/>
      <c r="U3" s="30"/>
      <c r="V3" s="28"/>
      <c r="W3" s="29"/>
      <c r="X3" s="29"/>
      <c r="Y3" s="30"/>
      <c r="Z3" s="28"/>
      <c r="AA3" s="29"/>
      <c r="AB3" s="29"/>
      <c r="AC3" s="30"/>
      <c r="AD3" s="28"/>
      <c r="AE3" s="29"/>
      <c r="AF3" s="29"/>
      <c r="AG3" s="30"/>
      <c r="AH3" s="28"/>
      <c r="AI3" s="29"/>
      <c r="AJ3" s="29"/>
      <c r="AK3" s="30"/>
    </row>
    <row r="5" ht="19.5" customHeight="1">
      <c r="B5" s="32" t="s">
        <v>68</v>
      </c>
    </row>
    <row r="7" ht="28.5" customHeight="1">
      <c r="B7" s="45" t="s">
        <v>23</v>
      </c>
      <c r="C7" s="46" t="s">
        <v>69</v>
      </c>
      <c r="D7" s="4"/>
      <c r="E7" s="5"/>
      <c r="F7" s="46" t="s">
        <v>70</v>
      </c>
      <c r="G7" s="4"/>
      <c r="H7" s="4"/>
      <c r="I7" s="4"/>
      <c r="J7" s="4"/>
      <c r="K7" s="4"/>
      <c r="L7" s="5"/>
      <c r="M7" s="46" t="s">
        <v>71</v>
      </c>
      <c r="N7" s="4"/>
      <c r="O7" s="4"/>
      <c r="P7" s="4"/>
      <c r="Q7" s="4"/>
      <c r="R7" s="4"/>
      <c r="S7" s="4"/>
      <c r="T7" s="5"/>
      <c r="U7" s="46" t="s">
        <v>72</v>
      </c>
      <c r="V7" s="5"/>
      <c r="W7" s="46" t="s">
        <v>73</v>
      </c>
      <c r="X7" s="4"/>
      <c r="Y7" s="4"/>
      <c r="Z7" s="4"/>
      <c r="AA7" s="4"/>
      <c r="AB7" s="4"/>
      <c r="AC7" s="5"/>
      <c r="AD7" s="46" t="s">
        <v>74</v>
      </c>
      <c r="AE7" s="4"/>
      <c r="AF7" s="5"/>
    </row>
    <row r="8" ht="30.0" customHeight="1">
      <c r="B8" s="47">
        <v>1.0</v>
      </c>
      <c r="C8" s="48" t="s">
        <v>75</v>
      </c>
      <c r="D8" s="4"/>
      <c r="E8" s="5"/>
      <c r="F8" s="49" t="s">
        <v>76</v>
      </c>
      <c r="G8" s="4"/>
      <c r="H8" s="4"/>
      <c r="I8" s="4"/>
      <c r="J8" s="4"/>
      <c r="K8" s="4"/>
      <c r="L8" s="5"/>
      <c r="M8" s="49" t="s">
        <v>77</v>
      </c>
      <c r="N8" s="4"/>
      <c r="O8" s="4"/>
      <c r="P8" s="4"/>
      <c r="Q8" s="4"/>
      <c r="R8" s="4"/>
      <c r="S8" s="4"/>
      <c r="T8" s="5"/>
      <c r="U8" s="50" t="s">
        <v>78</v>
      </c>
      <c r="V8" s="5"/>
      <c r="W8" s="49" t="s">
        <v>79</v>
      </c>
      <c r="X8" s="4"/>
      <c r="Y8" s="4"/>
      <c r="Z8" s="4"/>
      <c r="AA8" s="4"/>
      <c r="AB8" s="4"/>
      <c r="AC8" s="5"/>
      <c r="AD8" s="48">
        <v>265.0</v>
      </c>
      <c r="AE8" s="4"/>
      <c r="AF8" s="5"/>
    </row>
    <row r="9" ht="30.0" customHeight="1">
      <c r="B9" s="47">
        <v>2.0</v>
      </c>
      <c r="C9" s="48" t="s">
        <v>80</v>
      </c>
      <c r="D9" s="4"/>
      <c r="E9" s="5"/>
      <c r="F9" s="49" t="s">
        <v>76</v>
      </c>
      <c r="G9" s="4"/>
      <c r="H9" s="4"/>
      <c r="I9" s="4"/>
      <c r="J9" s="4"/>
      <c r="K9" s="4"/>
      <c r="L9" s="5"/>
      <c r="M9" s="49" t="s">
        <v>81</v>
      </c>
      <c r="N9" s="4"/>
      <c r="O9" s="4"/>
      <c r="P9" s="4"/>
      <c r="Q9" s="4"/>
      <c r="R9" s="4"/>
      <c r="S9" s="4"/>
      <c r="T9" s="5"/>
      <c r="U9" s="50" t="s">
        <v>78</v>
      </c>
      <c r="V9" s="5"/>
      <c r="W9" s="49" t="s">
        <v>82</v>
      </c>
      <c r="X9" s="4"/>
      <c r="Y9" s="4"/>
      <c r="Z9" s="4"/>
      <c r="AA9" s="4"/>
      <c r="AB9" s="4"/>
      <c r="AC9" s="5"/>
      <c r="AD9" s="48">
        <v>200.0</v>
      </c>
      <c r="AE9" s="4"/>
      <c r="AF9" s="5"/>
    </row>
    <row r="10" ht="36.0" customHeight="1">
      <c r="B10" s="47">
        <v>3.0</v>
      </c>
      <c r="C10" s="48" t="s">
        <v>83</v>
      </c>
      <c r="D10" s="4"/>
      <c r="E10" s="5"/>
      <c r="F10" s="49" t="s">
        <v>76</v>
      </c>
      <c r="G10" s="4"/>
      <c r="H10" s="4"/>
      <c r="I10" s="4"/>
      <c r="J10" s="4"/>
      <c r="K10" s="4"/>
      <c r="L10" s="5"/>
      <c r="M10" s="49" t="s">
        <v>84</v>
      </c>
      <c r="N10" s="4"/>
      <c r="O10" s="4"/>
      <c r="P10" s="4"/>
      <c r="Q10" s="4"/>
      <c r="R10" s="4"/>
      <c r="S10" s="4"/>
      <c r="T10" s="5"/>
      <c r="U10" s="50" t="s">
        <v>78</v>
      </c>
      <c r="V10" s="5"/>
      <c r="W10" s="49" t="s">
        <v>85</v>
      </c>
      <c r="X10" s="4"/>
      <c r="Y10" s="4"/>
      <c r="Z10" s="4"/>
      <c r="AA10" s="4"/>
      <c r="AB10" s="4"/>
      <c r="AC10" s="5"/>
      <c r="AD10" s="48">
        <v>50.0</v>
      </c>
      <c r="AE10" s="4"/>
      <c r="AF10" s="5"/>
    </row>
    <row r="11" ht="30.0" customHeight="1">
      <c r="B11" s="47">
        <v>4.0</v>
      </c>
      <c r="C11" s="48" t="s">
        <v>86</v>
      </c>
      <c r="D11" s="4"/>
      <c r="E11" s="5"/>
      <c r="F11" s="49" t="s">
        <v>76</v>
      </c>
      <c r="G11" s="4"/>
      <c r="H11" s="4"/>
      <c r="I11" s="4"/>
      <c r="J11" s="4"/>
      <c r="K11" s="4"/>
      <c r="L11" s="5"/>
      <c r="M11" s="49" t="s">
        <v>87</v>
      </c>
      <c r="N11" s="4"/>
      <c r="O11" s="4"/>
      <c r="P11" s="4"/>
      <c r="Q11" s="4"/>
      <c r="R11" s="4"/>
      <c r="S11" s="4"/>
      <c r="T11" s="5"/>
      <c r="U11" s="50" t="s">
        <v>78</v>
      </c>
      <c r="V11" s="5"/>
      <c r="W11" s="49" t="s">
        <v>79</v>
      </c>
      <c r="X11" s="4"/>
      <c r="Y11" s="4"/>
      <c r="Z11" s="4"/>
      <c r="AA11" s="4"/>
      <c r="AB11" s="4"/>
      <c r="AC11" s="5"/>
      <c r="AD11" s="48">
        <v>75.0</v>
      </c>
      <c r="AE11" s="4"/>
      <c r="AF11" s="5"/>
    </row>
    <row r="12" ht="30.0" customHeight="1">
      <c r="B12" s="47">
        <v>5.0</v>
      </c>
      <c r="C12" s="48" t="s">
        <v>88</v>
      </c>
      <c r="D12" s="4"/>
      <c r="E12" s="5"/>
      <c r="F12" s="49" t="s">
        <v>76</v>
      </c>
      <c r="G12" s="4"/>
      <c r="H12" s="4"/>
      <c r="I12" s="4"/>
      <c r="J12" s="4"/>
      <c r="K12" s="4"/>
      <c r="L12" s="5"/>
      <c r="M12" s="49" t="s">
        <v>89</v>
      </c>
      <c r="N12" s="4"/>
      <c r="O12" s="4"/>
      <c r="P12" s="4"/>
      <c r="Q12" s="4"/>
      <c r="R12" s="4"/>
      <c r="S12" s="4"/>
      <c r="T12" s="5"/>
      <c r="U12" s="50" t="s">
        <v>78</v>
      </c>
      <c r="V12" s="5"/>
      <c r="W12" s="49" t="s">
        <v>90</v>
      </c>
      <c r="X12" s="4"/>
      <c r="Y12" s="4"/>
      <c r="Z12" s="4"/>
      <c r="AA12" s="4"/>
      <c r="AB12" s="4"/>
      <c r="AC12" s="5"/>
      <c r="AD12" s="48">
        <v>30.0</v>
      </c>
      <c r="AE12" s="4"/>
      <c r="AF12" s="5"/>
    </row>
    <row r="13" ht="30.0" customHeight="1">
      <c r="B13" s="47">
        <v>6.0</v>
      </c>
      <c r="C13" s="48" t="s">
        <v>91</v>
      </c>
      <c r="D13" s="4"/>
      <c r="E13" s="5"/>
      <c r="F13" s="49" t="s">
        <v>76</v>
      </c>
      <c r="G13" s="4"/>
      <c r="H13" s="4"/>
      <c r="I13" s="4"/>
      <c r="J13" s="4"/>
      <c r="K13" s="4"/>
      <c r="L13" s="5"/>
      <c r="M13" s="49" t="s">
        <v>92</v>
      </c>
      <c r="N13" s="4"/>
      <c r="O13" s="4"/>
      <c r="P13" s="4"/>
      <c r="Q13" s="4"/>
      <c r="R13" s="4"/>
      <c r="S13" s="4"/>
      <c r="T13" s="5"/>
      <c r="U13" s="50" t="s">
        <v>78</v>
      </c>
      <c r="V13" s="5"/>
      <c r="W13" s="49" t="s">
        <v>93</v>
      </c>
      <c r="X13" s="4"/>
      <c r="Y13" s="4"/>
      <c r="Z13" s="4"/>
      <c r="AA13" s="4"/>
      <c r="AB13" s="4"/>
      <c r="AC13" s="5"/>
      <c r="AD13" s="48">
        <v>50.0</v>
      </c>
      <c r="AE13" s="4"/>
      <c r="AF13" s="5"/>
    </row>
    <row r="14" ht="30.0" customHeight="1">
      <c r="B14" s="47">
        <v>7.0</v>
      </c>
      <c r="C14" s="48" t="s">
        <v>94</v>
      </c>
      <c r="D14" s="4"/>
      <c r="E14" s="5"/>
      <c r="F14" s="49" t="s">
        <v>76</v>
      </c>
      <c r="G14" s="4"/>
      <c r="H14" s="4"/>
      <c r="I14" s="4"/>
      <c r="J14" s="4"/>
      <c r="K14" s="4"/>
      <c r="L14" s="5"/>
      <c r="M14" s="49" t="s">
        <v>95</v>
      </c>
      <c r="N14" s="4"/>
      <c r="O14" s="4"/>
      <c r="P14" s="4"/>
      <c r="Q14" s="4"/>
      <c r="R14" s="4"/>
      <c r="S14" s="4"/>
      <c r="T14" s="5"/>
      <c r="U14" s="50" t="s">
        <v>78</v>
      </c>
      <c r="V14" s="5"/>
      <c r="W14" s="49" t="s">
        <v>90</v>
      </c>
      <c r="X14" s="4"/>
      <c r="Y14" s="4"/>
      <c r="Z14" s="4"/>
      <c r="AA14" s="4"/>
      <c r="AB14" s="4"/>
      <c r="AC14" s="5"/>
      <c r="AD14" s="48">
        <v>10.0</v>
      </c>
      <c r="AE14" s="4"/>
      <c r="AF14" s="5"/>
    </row>
    <row r="15" ht="30.0" customHeight="1">
      <c r="B15" s="47">
        <v>8.0</v>
      </c>
      <c r="C15" s="48" t="s">
        <v>96</v>
      </c>
      <c r="D15" s="4"/>
      <c r="E15" s="5"/>
      <c r="F15" s="49" t="s">
        <v>76</v>
      </c>
      <c r="G15" s="4"/>
      <c r="H15" s="4"/>
      <c r="I15" s="4"/>
      <c r="J15" s="4"/>
      <c r="K15" s="4"/>
      <c r="L15" s="5"/>
      <c r="M15" s="49" t="s">
        <v>97</v>
      </c>
      <c r="N15" s="4"/>
      <c r="O15" s="4"/>
      <c r="P15" s="4"/>
      <c r="Q15" s="4"/>
      <c r="R15" s="4"/>
      <c r="S15" s="4"/>
      <c r="T15" s="5"/>
      <c r="U15" s="51" t="s">
        <v>98</v>
      </c>
      <c r="V15" s="5"/>
      <c r="W15" s="49" t="s">
        <v>99</v>
      </c>
      <c r="X15" s="4"/>
      <c r="Y15" s="4"/>
      <c r="Z15" s="4"/>
      <c r="AA15" s="4"/>
      <c r="AB15" s="4"/>
      <c r="AC15" s="5"/>
      <c r="AD15" s="48">
        <v>20.0</v>
      </c>
      <c r="AE15" s="4"/>
      <c r="AF15" s="5"/>
    </row>
    <row r="16" ht="30.0" customHeight="1">
      <c r="B16" s="47">
        <v>9.0</v>
      </c>
      <c r="C16" s="48" t="s">
        <v>100</v>
      </c>
      <c r="D16" s="4"/>
      <c r="E16" s="5"/>
      <c r="F16" s="49" t="s">
        <v>76</v>
      </c>
      <c r="G16" s="4"/>
      <c r="H16" s="4"/>
      <c r="I16" s="4"/>
      <c r="J16" s="4"/>
      <c r="K16" s="4"/>
      <c r="L16" s="5"/>
      <c r="M16" s="49" t="s">
        <v>101</v>
      </c>
      <c r="N16" s="4"/>
      <c r="O16" s="4"/>
      <c r="P16" s="4"/>
      <c r="Q16" s="4"/>
      <c r="R16" s="4"/>
      <c r="S16" s="4"/>
      <c r="T16" s="5"/>
      <c r="U16" s="50" t="s">
        <v>78</v>
      </c>
      <c r="V16" s="5"/>
      <c r="W16" s="49" t="s">
        <v>102</v>
      </c>
      <c r="X16" s="4"/>
      <c r="Y16" s="4"/>
      <c r="Z16" s="4"/>
      <c r="AA16" s="4"/>
      <c r="AB16" s="4"/>
      <c r="AC16" s="5"/>
      <c r="AD16" s="48">
        <v>8.0</v>
      </c>
      <c r="AE16" s="4"/>
      <c r="AF16" s="5"/>
    </row>
    <row r="17" ht="30.0" customHeight="1">
      <c r="B17" s="47">
        <v>10.0</v>
      </c>
      <c r="C17" s="48" t="s">
        <v>103</v>
      </c>
      <c r="D17" s="4"/>
      <c r="E17" s="5"/>
      <c r="F17" s="49" t="s">
        <v>76</v>
      </c>
      <c r="G17" s="4"/>
      <c r="H17" s="4"/>
      <c r="I17" s="4"/>
      <c r="J17" s="4"/>
      <c r="K17" s="4"/>
      <c r="L17" s="5"/>
      <c r="M17" s="49" t="s">
        <v>104</v>
      </c>
      <c r="N17" s="4"/>
      <c r="O17" s="4"/>
      <c r="P17" s="4"/>
      <c r="Q17" s="4"/>
      <c r="R17" s="4"/>
      <c r="S17" s="4"/>
      <c r="T17" s="5"/>
      <c r="U17" s="50" t="s">
        <v>78</v>
      </c>
      <c r="V17" s="5"/>
      <c r="W17" s="49" t="s">
        <v>105</v>
      </c>
      <c r="X17" s="4"/>
      <c r="Y17" s="4"/>
      <c r="Z17" s="4"/>
      <c r="AA17" s="4"/>
      <c r="AB17" s="4"/>
      <c r="AC17" s="5"/>
      <c r="AD17" s="48">
        <v>30.0</v>
      </c>
      <c r="AE17" s="4"/>
      <c r="AF17" s="5"/>
    </row>
    <row r="18" ht="30.0" customHeight="1">
      <c r="B18" s="47">
        <v>11.0</v>
      </c>
      <c r="C18" s="48" t="s">
        <v>106</v>
      </c>
      <c r="D18" s="4"/>
      <c r="E18" s="5"/>
      <c r="F18" s="49" t="s">
        <v>107</v>
      </c>
      <c r="G18" s="4"/>
      <c r="H18" s="4"/>
      <c r="I18" s="4"/>
      <c r="J18" s="4"/>
      <c r="K18" s="4"/>
      <c r="L18" s="5"/>
      <c r="M18" s="49" t="s">
        <v>108</v>
      </c>
      <c r="N18" s="4"/>
      <c r="O18" s="4"/>
      <c r="P18" s="4"/>
      <c r="Q18" s="4"/>
      <c r="R18" s="4"/>
      <c r="S18" s="4"/>
      <c r="T18" s="5"/>
      <c r="U18" s="51" t="s">
        <v>98</v>
      </c>
      <c r="V18" s="5"/>
      <c r="W18" s="49" t="s">
        <v>109</v>
      </c>
      <c r="X18" s="4"/>
      <c r="Y18" s="4"/>
      <c r="Z18" s="4"/>
      <c r="AA18" s="4"/>
      <c r="AB18" s="4"/>
      <c r="AC18" s="5"/>
      <c r="AD18" s="48">
        <v>100.0</v>
      </c>
      <c r="AE18" s="4"/>
      <c r="AF18" s="5"/>
    </row>
    <row r="19" ht="30.0" customHeight="1">
      <c r="B19" s="47">
        <v>12.0</v>
      </c>
      <c r="C19" s="48" t="s">
        <v>110</v>
      </c>
      <c r="D19" s="4"/>
      <c r="E19" s="5"/>
      <c r="F19" s="49" t="s">
        <v>107</v>
      </c>
      <c r="G19" s="4"/>
      <c r="H19" s="4"/>
      <c r="I19" s="4"/>
      <c r="J19" s="4"/>
      <c r="K19" s="4"/>
      <c r="L19" s="5"/>
      <c r="M19" s="49" t="s">
        <v>111</v>
      </c>
      <c r="N19" s="4"/>
      <c r="O19" s="4"/>
      <c r="P19" s="4"/>
      <c r="Q19" s="4"/>
      <c r="R19" s="4"/>
      <c r="S19" s="4"/>
      <c r="T19" s="5"/>
      <c r="U19" s="51" t="s">
        <v>98</v>
      </c>
      <c r="V19" s="5"/>
      <c r="W19" s="49" t="s">
        <v>109</v>
      </c>
      <c r="X19" s="4"/>
      <c r="Y19" s="4"/>
      <c r="Z19" s="4"/>
      <c r="AA19" s="4"/>
      <c r="AB19" s="4"/>
      <c r="AC19" s="5"/>
      <c r="AD19" s="48">
        <v>80.0</v>
      </c>
      <c r="AE19" s="4"/>
      <c r="AF19" s="5"/>
    </row>
    <row r="20" ht="30.0" customHeight="1">
      <c r="B20" s="47">
        <v>13.0</v>
      </c>
      <c r="C20" s="48" t="s">
        <v>112</v>
      </c>
      <c r="D20" s="4"/>
      <c r="E20" s="5"/>
      <c r="F20" s="49" t="s">
        <v>107</v>
      </c>
      <c r="G20" s="4"/>
      <c r="H20" s="4"/>
      <c r="I20" s="4"/>
      <c r="J20" s="4"/>
      <c r="K20" s="4"/>
      <c r="L20" s="5"/>
      <c r="M20" s="49" t="s">
        <v>113</v>
      </c>
      <c r="N20" s="4"/>
      <c r="O20" s="4"/>
      <c r="P20" s="4"/>
      <c r="Q20" s="4"/>
      <c r="R20" s="4"/>
      <c r="S20" s="4"/>
      <c r="T20" s="5"/>
      <c r="U20" s="51" t="s">
        <v>98</v>
      </c>
      <c r="V20" s="5"/>
      <c r="W20" s="49" t="s">
        <v>93</v>
      </c>
      <c r="X20" s="4"/>
      <c r="Y20" s="4"/>
      <c r="Z20" s="4"/>
      <c r="AA20" s="4"/>
      <c r="AB20" s="4"/>
      <c r="AC20" s="5"/>
      <c r="AD20" s="48">
        <v>60.0</v>
      </c>
      <c r="AE20" s="4"/>
      <c r="AF20" s="5"/>
    </row>
    <row r="21" ht="30.0" customHeight="1">
      <c r="B21" s="47">
        <v>14.0</v>
      </c>
      <c r="C21" s="48" t="s">
        <v>114</v>
      </c>
      <c r="D21" s="4"/>
      <c r="E21" s="5"/>
      <c r="F21" s="49" t="s">
        <v>107</v>
      </c>
      <c r="G21" s="4"/>
      <c r="H21" s="4"/>
      <c r="I21" s="4"/>
      <c r="J21" s="4"/>
      <c r="K21" s="4"/>
      <c r="L21" s="5"/>
      <c r="M21" s="49" t="s">
        <v>115</v>
      </c>
      <c r="N21" s="4"/>
      <c r="O21" s="4"/>
      <c r="P21" s="4"/>
      <c r="Q21" s="4"/>
      <c r="R21" s="4"/>
      <c r="S21" s="4"/>
      <c r="T21" s="5"/>
      <c r="U21" s="51" t="s">
        <v>98</v>
      </c>
      <c r="V21" s="5"/>
      <c r="W21" s="49" t="s">
        <v>109</v>
      </c>
      <c r="X21" s="4"/>
      <c r="Y21" s="4"/>
      <c r="Z21" s="4"/>
      <c r="AA21" s="4"/>
      <c r="AB21" s="4"/>
      <c r="AC21" s="5"/>
      <c r="AD21" s="48">
        <v>50.0</v>
      </c>
      <c r="AE21" s="4"/>
      <c r="AF21" s="5"/>
    </row>
    <row r="22" ht="30.0" customHeight="1">
      <c r="B22" s="47">
        <v>15.0</v>
      </c>
      <c r="C22" s="48" t="s">
        <v>116</v>
      </c>
      <c r="D22" s="4"/>
      <c r="E22" s="5"/>
      <c r="F22" s="49" t="s">
        <v>107</v>
      </c>
      <c r="G22" s="4"/>
      <c r="H22" s="4"/>
      <c r="I22" s="4"/>
      <c r="J22" s="4"/>
      <c r="K22" s="4"/>
      <c r="L22" s="5"/>
      <c r="M22" s="49" t="s">
        <v>117</v>
      </c>
      <c r="N22" s="4"/>
      <c r="O22" s="4"/>
      <c r="P22" s="4"/>
      <c r="Q22" s="4"/>
      <c r="R22" s="4"/>
      <c r="S22" s="4"/>
      <c r="T22" s="5"/>
      <c r="U22" s="51" t="s">
        <v>98</v>
      </c>
      <c r="V22" s="5"/>
      <c r="W22" s="49" t="s">
        <v>118</v>
      </c>
      <c r="X22" s="4"/>
      <c r="Y22" s="4"/>
      <c r="Z22" s="4"/>
      <c r="AA22" s="4"/>
      <c r="AB22" s="4"/>
      <c r="AC22" s="5"/>
      <c r="AD22" s="48">
        <v>30.0</v>
      </c>
      <c r="AE22" s="4"/>
      <c r="AF22" s="5"/>
    </row>
    <row r="23" ht="30.0" customHeight="1">
      <c r="B23" s="47">
        <v>16.0</v>
      </c>
      <c r="C23" s="48" t="s">
        <v>119</v>
      </c>
      <c r="D23" s="4"/>
      <c r="E23" s="5"/>
      <c r="F23" s="49" t="s">
        <v>107</v>
      </c>
      <c r="G23" s="4"/>
      <c r="H23" s="4"/>
      <c r="I23" s="4"/>
      <c r="J23" s="4"/>
      <c r="K23" s="4"/>
      <c r="L23" s="5"/>
      <c r="M23" s="49" t="s">
        <v>120</v>
      </c>
      <c r="N23" s="4"/>
      <c r="O23" s="4"/>
      <c r="P23" s="4"/>
      <c r="Q23" s="4"/>
      <c r="R23" s="4"/>
      <c r="S23" s="4"/>
      <c r="T23" s="5"/>
      <c r="U23" s="50" t="s">
        <v>78</v>
      </c>
      <c r="V23" s="5"/>
      <c r="W23" s="49" t="s">
        <v>121</v>
      </c>
      <c r="X23" s="4"/>
      <c r="Y23" s="4"/>
      <c r="Z23" s="4"/>
      <c r="AA23" s="4"/>
      <c r="AB23" s="4"/>
      <c r="AC23" s="5"/>
      <c r="AD23" s="48">
        <v>15.0</v>
      </c>
      <c r="AE23" s="4"/>
      <c r="AF23" s="5"/>
    </row>
    <row r="24" ht="36.0" customHeight="1">
      <c r="B24" s="47">
        <v>17.0</v>
      </c>
      <c r="C24" s="48" t="s">
        <v>122</v>
      </c>
      <c r="D24" s="4"/>
      <c r="E24" s="5"/>
      <c r="F24" s="49" t="s">
        <v>107</v>
      </c>
      <c r="G24" s="4"/>
      <c r="H24" s="4"/>
      <c r="I24" s="4"/>
      <c r="J24" s="4"/>
      <c r="K24" s="4"/>
      <c r="L24" s="5"/>
      <c r="M24" s="49" t="s">
        <v>123</v>
      </c>
      <c r="N24" s="4"/>
      <c r="O24" s="4"/>
      <c r="P24" s="4"/>
      <c r="Q24" s="4"/>
      <c r="R24" s="4"/>
      <c r="S24" s="4"/>
      <c r="T24" s="5"/>
      <c r="U24" s="51" t="s">
        <v>98</v>
      </c>
      <c r="V24" s="5"/>
      <c r="W24" s="49" t="s">
        <v>124</v>
      </c>
      <c r="X24" s="4"/>
      <c r="Y24" s="4"/>
      <c r="Z24" s="4"/>
      <c r="AA24" s="4"/>
      <c r="AB24" s="4"/>
      <c r="AC24" s="5"/>
      <c r="AD24" s="48">
        <v>45.0</v>
      </c>
      <c r="AE24" s="4"/>
      <c r="AF24" s="5"/>
    </row>
    <row r="25" ht="30.0" customHeight="1">
      <c r="B25" s="47">
        <v>18.0</v>
      </c>
      <c r="C25" s="48" t="s">
        <v>125</v>
      </c>
      <c r="D25" s="4"/>
      <c r="E25" s="5"/>
      <c r="F25" s="49" t="s">
        <v>107</v>
      </c>
      <c r="G25" s="4"/>
      <c r="H25" s="4"/>
      <c r="I25" s="4"/>
      <c r="J25" s="4"/>
      <c r="K25" s="4"/>
      <c r="L25" s="5"/>
      <c r="M25" s="49" t="s">
        <v>126</v>
      </c>
      <c r="N25" s="4"/>
      <c r="O25" s="4"/>
      <c r="P25" s="4"/>
      <c r="Q25" s="4"/>
      <c r="R25" s="4"/>
      <c r="S25" s="4"/>
      <c r="T25" s="5"/>
      <c r="U25" s="51" t="s">
        <v>98</v>
      </c>
      <c r="V25" s="5"/>
      <c r="W25" s="49" t="s">
        <v>128</v>
      </c>
      <c r="X25" s="4"/>
      <c r="Y25" s="4"/>
      <c r="Z25" s="4"/>
      <c r="AA25" s="4"/>
      <c r="AB25" s="4"/>
      <c r="AC25" s="5"/>
      <c r="AD25" s="48">
        <v>30.0</v>
      </c>
      <c r="AE25" s="4"/>
      <c r="AF25" s="5"/>
    </row>
    <row r="26" ht="36.0" customHeight="1">
      <c r="B26" s="47">
        <v>19.0</v>
      </c>
      <c r="C26" s="48" t="s">
        <v>129</v>
      </c>
      <c r="D26" s="4"/>
      <c r="E26" s="5"/>
      <c r="F26" s="49" t="s">
        <v>107</v>
      </c>
      <c r="G26" s="4"/>
      <c r="H26" s="4"/>
      <c r="I26" s="4"/>
      <c r="J26" s="4"/>
      <c r="K26" s="4"/>
      <c r="L26" s="5"/>
      <c r="M26" s="49" t="s">
        <v>131</v>
      </c>
      <c r="N26" s="4"/>
      <c r="O26" s="4"/>
      <c r="P26" s="4"/>
      <c r="Q26" s="4"/>
      <c r="R26" s="4"/>
      <c r="S26" s="4"/>
      <c r="T26" s="5"/>
      <c r="U26" s="51" t="s">
        <v>98</v>
      </c>
      <c r="V26" s="5"/>
      <c r="W26" s="49" t="s">
        <v>132</v>
      </c>
      <c r="X26" s="4"/>
      <c r="Y26" s="4"/>
      <c r="Z26" s="4"/>
      <c r="AA26" s="4"/>
      <c r="AB26" s="4"/>
      <c r="AC26" s="5"/>
      <c r="AD26" s="48">
        <v>25.0</v>
      </c>
      <c r="AE26" s="4"/>
      <c r="AF26" s="5"/>
    </row>
    <row r="27" ht="30.0" customHeight="1">
      <c r="B27" s="47">
        <v>20.0</v>
      </c>
      <c r="C27" s="48" t="s">
        <v>135</v>
      </c>
      <c r="D27" s="4"/>
      <c r="E27" s="5"/>
      <c r="F27" s="49" t="s">
        <v>136</v>
      </c>
      <c r="G27" s="4"/>
      <c r="H27" s="4"/>
      <c r="I27" s="4"/>
      <c r="J27" s="4"/>
      <c r="K27" s="4"/>
      <c r="L27" s="5"/>
      <c r="M27" s="49" t="s">
        <v>137</v>
      </c>
      <c r="N27" s="4"/>
      <c r="O27" s="4"/>
      <c r="P27" s="4"/>
      <c r="Q27" s="4"/>
      <c r="R27" s="4"/>
      <c r="S27" s="4"/>
      <c r="T27" s="5"/>
      <c r="U27" s="50" t="s">
        <v>78</v>
      </c>
      <c r="V27" s="5"/>
      <c r="W27" s="49" t="s">
        <v>128</v>
      </c>
      <c r="X27" s="4"/>
      <c r="Y27" s="4"/>
      <c r="Z27" s="4"/>
      <c r="AA27" s="4"/>
      <c r="AB27" s="4"/>
      <c r="AC27" s="5"/>
      <c r="AD27" s="48">
        <v>60.0</v>
      </c>
      <c r="AE27" s="4"/>
      <c r="AF27" s="5"/>
    </row>
    <row r="28" ht="30.0" customHeight="1">
      <c r="B28" s="47">
        <v>21.0</v>
      </c>
      <c r="C28" s="48" t="s">
        <v>138</v>
      </c>
      <c r="D28" s="4"/>
      <c r="E28" s="5"/>
      <c r="F28" s="49" t="s">
        <v>136</v>
      </c>
      <c r="G28" s="4"/>
      <c r="H28" s="4"/>
      <c r="I28" s="4"/>
      <c r="J28" s="4"/>
      <c r="K28" s="4"/>
      <c r="L28" s="5"/>
      <c r="M28" s="49" t="s">
        <v>139</v>
      </c>
      <c r="N28" s="4"/>
      <c r="O28" s="4"/>
      <c r="P28" s="4"/>
      <c r="Q28" s="4"/>
      <c r="R28" s="4"/>
      <c r="S28" s="4"/>
      <c r="T28" s="5"/>
      <c r="U28" s="51" t="s">
        <v>98</v>
      </c>
      <c r="V28" s="5"/>
      <c r="W28" s="49" t="s">
        <v>140</v>
      </c>
      <c r="X28" s="4"/>
      <c r="Y28" s="4"/>
      <c r="Z28" s="4"/>
      <c r="AA28" s="4"/>
      <c r="AB28" s="4"/>
      <c r="AC28" s="5"/>
      <c r="AD28" s="48">
        <v>16.0</v>
      </c>
      <c r="AE28" s="4"/>
      <c r="AF28" s="5"/>
    </row>
    <row r="29" ht="30.0" customHeight="1">
      <c r="B29" s="47">
        <v>22.0</v>
      </c>
      <c r="C29" s="48" t="s">
        <v>142</v>
      </c>
      <c r="D29" s="4"/>
      <c r="E29" s="5"/>
      <c r="F29" s="49" t="s">
        <v>136</v>
      </c>
      <c r="G29" s="4"/>
      <c r="H29" s="4"/>
      <c r="I29" s="4"/>
      <c r="J29" s="4"/>
      <c r="K29" s="4"/>
      <c r="L29" s="5"/>
      <c r="M29" s="49" t="s">
        <v>143</v>
      </c>
      <c r="N29" s="4"/>
      <c r="O29" s="4"/>
      <c r="P29" s="4"/>
      <c r="Q29" s="4"/>
      <c r="R29" s="4"/>
      <c r="S29" s="4"/>
      <c r="T29" s="5"/>
      <c r="U29" s="50" t="s">
        <v>78</v>
      </c>
      <c r="V29" s="5"/>
      <c r="W29" s="49" t="s">
        <v>146</v>
      </c>
      <c r="X29" s="4"/>
      <c r="Y29" s="4"/>
      <c r="Z29" s="4"/>
      <c r="AA29" s="4"/>
      <c r="AB29" s="4"/>
      <c r="AC29" s="5"/>
      <c r="AD29" s="48">
        <v>18.0</v>
      </c>
      <c r="AE29" s="4"/>
      <c r="AF29" s="5"/>
    </row>
    <row r="30" ht="30.0" customHeight="1">
      <c r="B30" s="47">
        <v>23.0</v>
      </c>
      <c r="C30" s="48" t="s">
        <v>147</v>
      </c>
      <c r="D30" s="4"/>
      <c r="E30" s="5"/>
      <c r="F30" s="49" t="s">
        <v>136</v>
      </c>
      <c r="G30" s="4"/>
      <c r="H30" s="4"/>
      <c r="I30" s="4"/>
      <c r="J30" s="4"/>
      <c r="K30" s="4"/>
      <c r="L30" s="5"/>
      <c r="M30" s="49" t="s">
        <v>149</v>
      </c>
      <c r="N30" s="4"/>
      <c r="O30" s="4"/>
      <c r="P30" s="4"/>
      <c r="Q30" s="4"/>
      <c r="R30" s="4"/>
      <c r="S30" s="4"/>
      <c r="T30" s="5"/>
      <c r="U30" s="51" t="s">
        <v>98</v>
      </c>
      <c r="V30" s="5"/>
      <c r="W30" s="49" t="s">
        <v>150</v>
      </c>
      <c r="X30" s="4"/>
      <c r="Y30" s="4"/>
      <c r="Z30" s="4"/>
      <c r="AA30" s="4"/>
      <c r="AB30" s="4"/>
      <c r="AC30" s="5"/>
      <c r="AD30" s="48">
        <v>8.0</v>
      </c>
      <c r="AE30" s="4"/>
      <c r="AF30" s="5"/>
    </row>
    <row r="31" ht="30.0" customHeight="1">
      <c r="B31" s="47">
        <v>24.0</v>
      </c>
      <c r="C31" s="48" t="s">
        <v>152</v>
      </c>
      <c r="D31" s="4"/>
      <c r="E31" s="5"/>
      <c r="F31" s="49" t="s">
        <v>136</v>
      </c>
      <c r="G31" s="4"/>
      <c r="H31" s="4"/>
      <c r="I31" s="4"/>
      <c r="J31" s="4"/>
      <c r="K31" s="4"/>
      <c r="L31" s="5"/>
      <c r="M31" s="49" t="s">
        <v>153</v>
      </c>
      <c r="N31" s="4"/>
      <c r="O31" s="4"/>
      <c r="P31" s="4"/>
      <c r="Q31" s="4"/>
      <c r="R31" s="4"/>
      <c r="S31" s="4"/>
      <c r="T31" s="5"/>
      <c r="U31" s="50" t="s">
        <v>78</v>
      </c>
      <c r="V31" s="5"/>
      <c r="W31" s="49" t="s">
        <v>155</v>
      </c>
      <c r="X31" s="4"/>
      <c r="Y31" s="4"/>
      <c r="Z31" s="4"/>
      <c r="AA31" s="4"/>
      <c r="AB31" s="4"/>
      <c r="AC31" s="5"/>
      <c r="AD31" s="48">
        <v>10.0</v>
      </c>
      <c r="AE31" s="4"/>
      <c r="AF31" s="5"/>
    </row>
    <row r="32" ht="30.0" customHeight="1">
      <c r="B32" s="47">
        <v>25.0</v>
      </c>
      <c r="C32" s="48" t="s">
        <v>156</v>
      </c>
      <c r="D32" s="4"/>
      <c r="E32" s="5"/>
      <c r="F32" s="49" t="s">
        <v>136</v>
      </c>
      <c r="G32" s="4"/>
      <c r="H32" s="4"/>
      <c r="I32" s="4"/>
      <c r="J32" s="4"/>
      <c r="K32" s="4"/>
      <c r="L32" s="5"/>
      <c r="M32" s="49" t="s">
        <v>157</v>
      </c>
      <c r="N32" s="4"/>
      <c r="O32" s="4"/>
      <c r="P32" s="4"/>
      <c r="Q32" s="4"/>
      <c r="R32" s="4"/>
      <c r="S32" s="4"/>
      <c r="T32" s="5"/>
      <c r="U32" s="51" t="s">
        <v>98</v>
      </c>
      <c r="V32" s="5"/>
      <c r="W32" s="49" t="s">
        <v>159</v>
      </c>
      <c r="X32" s="4"/>
      <c r="Y32" s="4"/>
      <c r="Z32" s="4"/>
      <c r="AA32" s="4"/>
      <c r="AB32" s="4"/>
      <c r="AC32" s="5"/>
      <c r="AD32" s="48">
        <v>30.0</v>
      </c>
      <c r="AE32" s="4"/>
      <c r="AF32" s="5"/>
    </row>
    <row r="33" ht="30.0" customHeight="1">
      <c r="B33" s="47">
        <v>26.0</v>
      </c>
      <c r="C33" s="48" t="s">
        <v>160</v>
      </c>
      <c r="D33" s="4"/>
      <c r="E33" s="5"/>
      <c r="F33" s="49" t="s">
        <v>136</v>
      </c>
      <c r="G33" s="4"/>
      <c r="H33" s="4"/>
      <c r="I33" s="4"/>
      <c r="J33" s="4"/>
      <c r="K33" s="4"/>
      <c r="L33" s="5"/>
      <c r="M33" s="49" t="s">
        <v>161</v>
      </c>
      <c r="N33" s="4"/>
      <c r="O33" s="4"/>
      <c r="P33" s="4"/>
      <c r="Q33" s="4"/>
      <c r="R33" s="4"/>
      <c r="S33" s="4"/>
      <c r="T33" s="5"/>
      <c r="U33" s="50" t="s">
        <v>78</v>
      </c>
      <c r="V33" s="5"/>
      <c r="W33" s="49" t="s">
        <v>162</v>
      </c>
      <c r="X33" s="4"/>
      <c r="Y33" s="4"/>
      <c r="Z33" s="4"/>
      <c r="AA33" s="4"/>
      <c r="AB33" s="4"/>
      <c r="AC33" s="5"/>
      <c r="AD33" s="48">
        <v>15.0</v>
      </c>
      <c r="AE33" s="4"/>
      <c r="AF33" s="5"/>
    </row>
    <row r="34" ht="30.0" customHeight="1">
      <c r="B34" s="47">
        <v>27.0</v>
      </c>
      <c r="C34" s="48" t="s">
        <v>163</v>
      </c>
      <c r="D34" s="4"/>
      <c r="E34" s="5"/>
      <c r="F34" s="49" t="s">
        <v>136</v>
      </c>
      <c r="G34" s="4"/>
      <c r="H34" s="4"/>
      <c r="I34" s="4"/>
      <c r="J34" s="4"/>
      <c r="K34" s="4"/>
      <c r="L34" s="5"/>
      <c r="M34" s="49" t="s">
        <v>164</v>
      </c>
      <c r="N34" s="4"/>
      <c r="O34" s="4"/>
      <c r="P34" s="4"/>
      <c r="Q34" s="4"/>
      <c r="R34" s="4"/>
      <c r="S34" s="4"/>
      <c r="T34" s="5"/>
      <c r="U34" s="50" t="s">
        <v>78</v>
      </c>
      <c r="V34" s="5"/>
      <c r="W34" s="49" t="s">
        <v>165</v>
      </c>
      <c r="X34" s="4"/>
      <c r="Y34" s="4"/>
      <c r="Z34" s="4"/>
      <c r="AA34" s="4"/>
      <c r="AB34" s="4"/>
      <c r="AC34" s="5"/>
      <c r="AD34" s="48">
        <v>18.0</v>
      </c>
      <c r="AE34" s="4"/>
      <c r="AF34" s="5"/>
    </row>
    <row r="35" ht="30.0" customHeight="1">
      <c r="B35" s="47">
        <v>28.0</v>
      </c>
      <c r="C35" s="48" t="s">
        <v>166</v>
      </c>
      <c r="D35" s="4"/>
      <c r="E35" s="5"/>
      <c r="F35" s="49" t="s">
        <v>167</v>
      </c>
      <c r="G35" s="4"/>
      <c r="H35" s="4"/>
      <c r="I35" s="4"/>
      <c r="J35" s="4"/>
      <c r="K35" s="4"/>
      <c r="L35" s="5"/>
      <c r="M35" s="49" t="s">
        <v>168</v>
      </c>
      <c r="N35" s="4"/>
      <c r="O35" s="4"/>
      <c r="P35" s="4"/>
      <c r="Q35" s="4"/>
      <c r="R35" s="4"/>
      <c r="S35" s="4"/>
      <c r="T35" s="5"/>
      <c r="U35" s="50" t="s">
        <v>78</v>
      </c>
      <c r="V35" s="5"/>
      <c r="W35" s="49" t="s">
        <v>169</v>
      </c>
      <c r="X35" s="4"/>
      <c r="Y35" s="4"/>
      <c r="Z35" s="4"/>
      <c r="AA35" s="4"/>
      <c r="AB35" s="4"/>
      <c r="AC35" s="5"/>
      <c r="AD35" s="48">
        <v>25.0</v>
      </c>
      <c r="AE35" s="4"/>
      <c r="AF35" s="5"/>
    </row>
    <row r="36" ht="30.0" customHeight="1">
      <c r="B36" s="47">
        <v>29.0</v>
      </c>
      <c r="C36" s="48" t="s">
        <v>170</v>
      </c>
      <c r="D36" s="4"/>
      <c r="E36" s="5"/>
      <c r="F36" s="49" t="s">
        <v>167</v>
      </c>
      <c r="G36" s="4"/>
      <c r="H36" s="4"/>
      <c r="I36" s="4"/>
      <c r="J36" s="4"/>
      <c r="K36" s="4"/>
      <c r="L36" s="5"/>
      <c r="M36" s="49" t="s">
        <v>171</v>
      </c>
      <c r="N36" s="4"/>
      <c r="O36" s="4"/>
      <c r="P36" s="4"/>
      <c r="Q36" s="4"/>
      <c r="R36" s="4"/>
      <c r="S36" s="4"/>
      <c r="T36" s="5"/>
      <c r="U36" s="50" t="s">
        <v>78</v>
      </c>
      <c r="V36" s="5"/>
      <c r="W36" s="49" t="s">
        <v>90</v>
      </c>
      <c r="X36" s="4"/>
      <c r="Y36" s="4"/>
      <c r="Z36" s="4"/>
      <c r="AA36" s="4"/>
      <c r="AB36" s="4"/>
      <c r="AC36" s="5"/>
      <c r="AD36" s="48">
        <v>8.0</v>
      </c>
      <c r="AE36" s="4"/>
      <c r="AF36" s="5"/>
    </row>
    <row r="37" ht="30.0" customHeight="1">
      <c r="B37" s="47">
        <v>30.0</v>
      </c>
      <c r="C37" s="48" t="s">
        <v>172</v>
      </c>
      <c r="D37" s="4"/>
      <c r="E37" s="5"/>
      <c r="F37" s="49" t="s">
        <v>167</v>
      </c>
      <c r="G37" s="4"/>
      <c r="H37" s="4"/>
      <c r="I37" s="4"/>
      <c r="J37" s="4"/>
      <c r="K37" s="4"/>
      <c r="L37" s="5"/>
      <c r="M37" s="49" t="s">
        <v>174</v>
      </c>
      <c r="N37" s="4"/>
      <c r="O37" s="4"/>
      <c r="P37" s="4"/>
      <c r="Q37" s="4"/>
      <c r="R37" s="4"/>
      <c r="S37" s="4"/>
      <c r="T37" s="5"/>
      <c r="U37" s="50" t="s">
        <v>78</v>
      </c>
      <c r="V37" s="5"/>
      <c r="W37" s="49" t="s">
        <v>175</v>
      </c>
      <c r="X37" s="4"/>
      <c r="Y37" s="4"/>
      <c r="Z37" s="4"/>
      <c r="AA37" s="4"/>
      <c r="AB37" s="4"/>
      <c r="AC37" s="5"/>
      <c r="AD37" s="48">
        <v>15.0</v>
      </c>
      <c r="AE37" s="4"/>
      <c r="AF37" s="5"/>
    </row>
    <row r="38" ht="30.0" customHeight="1">
      <c r="B38" s="47">
        <v>31.0</v>
      </c>
      <c r="C38" s="48" t="s">
        <v>176</v>
      </c>
      <c r="D38" s="4"/>
      <c r="E38" s="5"/>
      <c r="F38" s="49" t="s">
        <v>167</v>
      </c>
      <c r="G38" s="4"/>
      <c r="H38" s="4"/>
      <c r="I38" s="4"/>
      <c r="J38" s="4"/>
      <c r="K38" s="4"/>
      <c r="L38" s="5"/>
      <c r="M38" s="49" t="s">
        <v>177</v>
      </c>
      <c r="N38" s="4"/>
      <c r="O38" s="4"/>
      <c r="P38" s="4"/>
      <c r="Q38" s="4"/>
      <c r="R38" s="4"/>
      <c r="S38" s="4"/>
      <c r="T38" s="5"/>
      <c r="U38" s="50" t="s">
        <v>78</v>
      </c>
      <c r="V38" s="5"/>
      <c r="W38" s="49" t="s">
        <v>90</v>
      </c>
      <c r="X38" s="4"/>
      <c r="Y38" s="4"/>
      <c r="Z38" s="4"/>
      <c r="AA38" s="4"/>
      <c r="AB38" s="4"/>
      <c r="AC38" s="5"/>
      <c r="AD38" s="48">
        <v>40.0</v>
      </c>
      <c r="AE38" s="4"/>
      <c r="AF38" s="5"/>
    </row>
    <row r="39" ht="30.0" customHeight="1">
      <c r="B39" s="47">
        <v>32.0</v>
      </c>
      <c r="C39" s="48" t="s">
        <v>178</v>
      </c>
      <c r="D39" s="4"/>
      <c r="E39" s="5"/>
      <c r="F39" s="49" t="s">
        <v>167</v>
      </c>
      <c r="G39" s="4"/>
      <c r="H39" s="4"/>
      <c r="I39" s="4"/>
      <c r="J39" s="4"/>
      <c r="K39" s="4"/>
      <c r="L39" s="5"/>
      <c r="M39" s="49" t="s">
        <v>179</v>
      </c>
      <c r="N39" s="4"/>
      <c r="O39" s="4"/>
      <c r="P39" s="4"/>
      <c r="Q39" s="4"/>
      <c r="R39" s="4"/>
      <c r="S39" s="4"/>
      <c r="T39" s="5"/>
      <c r="U39" s="51" t="s">
        <v>98</v>
      </c>
      <c r="V39" s="5"/>
      <c r="W39" s="49" t="s">
        <v>180</v>
      </c>
      <c r="X39" s="4"/>
      <c r="Y39" s="4"/>
      <c r="Z39" s="4"/>
      <c r="AA39" s="4"/>
      <c r="AB39" s="4"/>
      <c r="AC39" s="5"/>
      <c r="AD39" s="48">
        <v>20.0</v>
      </c>
      <c r="AE39" s="4"/>
      <c r="AF39" s="5"/>
    </row>
    <row r="40" ht="30.0" customHeight="1">
      <c r="B40" s="47">
        <v>33.0</v>
      </c>
      <c r="C40" s="48" t="s">
        <v>182</v>
      </c>
      <c r="D40" s="4"/>
      <c r="E40" s="5"/>
      <c r="F40" s="49" t="s">
        <v>167</v>
      </c>
      <c r="G40" s="4"/>
      <c r="H40" s="4"/>
      <c r="I40" s="4"/>
      <c r="J40" s="4"/>
      <c r="K40" s="4"/>
      <c r="L40" s="5"/>
      <c r="M40" s="49" t="s">
        <v>185</v>
      </c>
      <c r="N40" s="4"/>
      <c r="O40" s="4"/>
      <c r="P40" s="4"/>
      <c r="Q40" s="4"/>
      <c r="R40" s="4"/>
      <c r="S40" s="4"/>
      <c r="T40" s="5"/>
      <c r="U40" s="51" t="s">
        <v>98</v>
      </c>
      <c r="V40" s="5"/>
      <c r="W40" s="49" t="s">
        <v>188</v>
      </c>
      <c r="X40" s="4"/>
      <c r="Y40" s="4"/>
      <c r="Z40" s="4"/>
      <c r="AA40" s="4"/>
      <c r="AB40" s="4"/>
      <c r="AC40" s="5"/>
      <c r="AD40" s="48">
        <v>12.0</v>
      </c>
      <c r="AE40" s="4"/>
      <c r="AF40" s="5"/>
    </row>
    <row r="41" ht="30.0" customHeight="1">
      <c r="B41" s="47">
        <v>34.0</v>
      </c>
      <c r="C41" s="48" t="s">
        <v>191</v>
      </c>
      <c r="D41" s="4"/>
      <c r="E41" s="5"/>
      <c r="F41" s="49" t="s">
        <v>167</v>
      </c>
      <c r="G41" s="4"/>
      <c r="H41" s="4"/>
      <c r="I41" s="4"/>
      <c r="J41" s="4"/>
      <c r="K41" s="4"/>
      <c r="L41" s="5"/>
      <c r="M41" s="49" t="s">
        <v>193</v>
      </c>
      <c r="N41" s="4"/>
      <c r="O41" s="4"/>
      <c r="P41" s="4"/>
      <c r="Q41" s="4"/>
      <c r="R41" s="4"/>
      <c r="S41" s="4"/>
      <c r="T41" s="5"/>
      <c r="U41" s="50" t="s">
        <v>78</v>
      </c>
      <c r="V41" s="5"/>
      <c r="W41" s="49" t="s">
        <v>195</v>
      </c>
      <c r="X41" s="4"/>
      <c r="Y41" s="4"/>
      <c r="Z41" s="4"/>
      <c r="AA41" s="4"/>
      <c r="AB41" s="4"/>
      <c r="AC41" s="5"/>
      <c r="AD41" s="48">
        <v>15.0</v>
      </c>
      <c r="AE41" s="4"/>
      <c r="AF41" s="5"/>
    </row>
    <row r="42" ht="30.0" customHeight="1">
      <c r="B42" s="47">
        <v>35.0</v>
      </c>
      <c r="C42" s="48" t="s">
        <v>196</v>
      </c>
      <c r="D42" s="4"/>
      <c r="E42" s="5"/>
      <c r="F42" s="49" t="s">
        <v>167</v>
      </c>
      <c r="G42" s="4"/>
      <c r="H42" s="4"/>
      <c r="I42" s="4"/>
      <c r="J42" s="4"/>
      <c r="K42" s="4"/>
      <c r="L42" s="5"/>
      <c r="M42" s="49" t="s">
        <v>198</v>
      </c>
      <c r="N42" s="4"/>
      <c r="O42" s="4"/>
      <c r="P42" s="4"/>
      <c r="Q42" s="4"/>
      <c r="R42" s="4"/>
      <c r="S42" s="4"/>
      <c r="T42" s="5"/>
      <c r="U42" s="51" t="s">
        <v>98</v>
      </c>
      <c r="V42" s="5"/>
      <c r="W42" s="49" t="s">
        <v>90</v>
      </c>
      <c r="X42" s="4"/>
      <c r="Y42" s="4"/>
      <c r="Z42" s="4"/>
      <c r="AA42" s="4"/>
      <c r="AB42" s="4"/>
      <c r="AC42" s="5"/>
      <c r="AD42" s="48">
        <v>30.0</v>
      </c>
      <c r="AE42" s="4"/>
      <c r="AF42" s="5"/>
    </row>
    <row r="43" ht="36.0" customHeight="1">
      <c r="B43" s="47">
        <v>36.0</v>
      </c>
      <c r="C43" s="48" t="s">
        <v>202</v>
      </c>
      <c r="D43" s="4"/>
      <c r="E43" s="5"/>
      <c r="F43" s="49" t="s">
        <v>167</v>
      </c>
      <c r="G43" s="4"/>
      <c r="H43" s="4"/>
      <c r="I43" s="4"/>
      <c r="J43" s="4"/>
      <c r="K43" s="4"/>
      <c r="L43" s="5"/>
      <c r="M43" s="49" t="s">
        <v>203</v>
      </c>
      <c r="N43" s="4"/>
      <c r="O43" s="4"/>
      <c r="P43" s="4"/>
      <c r="Q43" s="4"/>
      <c r="R43" s="4"/>
      <c r="S43" s="4"/>
      <c r="T43" s="5"/>
      <c r="U43" s="50" t="s">
        <v>78</v>
      </c>
      <c r="V43" s="5"/>
      <c r="W43" s="49" t="s">
        <v>175</v>
      </c>
      <c r="X43" s="4"/>
      <c r="Y43" s="4"/>
      <c r="Z43" s="4"/>
      <c r="AA43" s="4"/>
      <c r="AB43" s="4"/>
      <c r="AC43" s="5"/>
      <c r="AD43" s="48">
        <v>6.0</v>
      </c>
      <c r="AE43" s="4"/>
      <c r="AF43" s="5"/>
    </row>
    <row r="44" ht="30.0" customHeight="1">
      <c r="B44" s="47">
        <v>37.0</v>
      </c>
      <c r="C44" s="48" t="s">
        <v>205</v>
      </c>
      <c r="D44" s="4"/>
      <c r="E44" s="5"/>
      <c r="F44" s="49" t="s">
        <v>206</v>
      </c>
      <c r="G44" s="4"/>
      <c r="H44" s="4"/>
      <c r="I44" s="4"/>
      <c r="J44" s="4"/>
      <c r="K44" s="4"/>
      <c r="L44" s="5"/>
      <c r="M44" s="49" t="s">
        <v>207</v>
      </c>
      <c r="N44" s="4"/>
      <c r="O44" s="4"/>
      <c r="P44" s="4"/>
      <c r="Q44" s="4"/>
      <c r="R44" s="4"/>
      <c r="S44" s="4"/>
      <c r="T44" s="5"/>
      <c r="U44" s="54" t="s">
        <v>208</v>
      </c>
      <c r="V44" s="5"/>
      <c r="W44" s="49" t="s">
        <v>209</v>
      </c>
      <c r="X44" s="4"/>
      <c r="Y44" s="4"/>
      <c r="Z44" s="4"/>
      <c r="AA44" s="4"/>
      <c r="AB44" s="4"/>
      <c r="AC44" s="5"/>
      <c r="AD44" s="48">
        <v>60.0</v>
      </c>
      <c r="AE44" s="4"/>
      <c r="AF44" s="5"/>
    </row>
    <row r="45" ht="36.0" customHeight="1">
      <c r="B45" s="47">
        <v>38.0</v>
      </c>
      <c r="C45" s="48" t="s">
        <v>211</v>
      </c>
      <c r="D45" s="4"/>
      <c r="E45" s="5"/>
      <c r="F45" s="49" t="s">
        <v>206</v>
      </c>
      <c r="G45" s="4"/>
      <c r="H45" s="4"/>
      <c r="I45" s="4"/>
      <c r="J45" s="4"/>
      <c r="K45" s="4"/>
      <c r="L45" s="5"/>
      <c r="M45" s="49" t="s">
        <v>214</v>
      </c>
      <c r="N45" s="4"/>
      <c r="O45" s="4"/>
      <c r="P45" s="4"/>
      <c r="Q45" s="4"/>
      <c r="R45" s="4"/>
      <c r="S45" s="4"/>
      <c r="T45" s="5"/>
      <c r="U45" s="54" t="s">
        <v>208</v>
      </c>
      <c r="V45" s="5"/>
      <c r="W45" s="49" t="s">
        <v>209</v>
      </c>
      <c r="X45" s="4"/>
      <c r="Y45" s="4"/>
      <c r="Z45" s="4"/>
      <c r="AA45" s="4"/>
      <c r="AB45" s="4"/>
      <c r="AC45" s="5"/>
      <c r="AD45" s="48">
        <v>40.0</v>
      </c>
      <c r="AE45" s="4"/>
      <c r="AF45" s="5"/>
    </row>
    <row r="46" ht="30.0" customHeight="1">
      <c r="B46" s="47">
        <v>39.0</v>
      </c>
      <c r="C46" s="48" t="s">
        <v>217</v>
      </c>
      <c r="D46" s="4"/>
      <c r="E46" s="5"/>
      <c r="F46" s="49" t="s">
        <v>206</v>
      </c>
      <c r="G46" s="4"/>
      <c r="H46" s="4"/>
      <c r="I46" s="4"/>
      <c r="J46" s="4"/>
      <c r="K46" s="4"/>
      <c r="L46" s="5"/>
      <c r="M46" s="49" t="s">
        <v>219</v>
      </c>
      <c r="N46" s="4"/>
      <c r="O46" s="4"/>
      <c r="P46" s="4"/>
      <c r="Q46" s="4"/>
      <c r="R46" s="4"/>
      <c r="S46" s="4"/>
      <c r="T46" s="5"/>
      <c r="U46" s="54" t="s">
        <v>208</v>
      </c>
      <c r="V46" s="5"/>
      <c r="W46" s="49" t="s">
        <v>109</v>
      </c>
      <c r="X46" s="4"/>
      <c r="Y46" s="4"/>
      <c r="Z46" s="4"/>
      <c r="AA46" s="4"/>
      <c r="AB46" s="4"/>
      <c r="AC46" s="5"/>
      <c r="AD46" s="48">
        <v>25.0</v>
      </c>
      <c r="AE46" s="4"/>
      <c r="AF46" s="5"/>
    </row>
    <row r="47" ht="30.0" customHeight="1">
      <c r="B47" s="47">
        <v>40.0</v>
      </c>
      <c r="C47" s="48" t="s">
        <v>221</v>
      </c>
      <c r="D47" s="4"/>
      <c r="E47" s="5"/>
      <c r="F47" s="49" t="s">
        <v>206</v>
      </c>
      <c r="G47" s="4"/>
      <c r="H47" s="4"/>
      <c r="I47" s="4"/>
      <c r="J47" s="4"/>
      <c r="K47" s="4"/>
      <c r="L47" s="5"/>
      <c r="M47" s="49" t="s">
        <v>223</v>
      </c>
      <c r="N47" s="4"/>
      <c r="O47" s="4"/>
      <c r="P47" s="4"/>
      <c r="Q47" s="4"/>
      <c r="R47" s="4"/>
      <c r="S47" s="4"/>
      <c r="T47" s="5"/>
      <c r="U47" s="54" t="s">
        <v>208</v>
      </c>
      <c r="V47" s="5"/>
      <c r="W47" s="49" t="s">
        <v>90</v>
      </c>
      <c r="X47" s="4"/>
      <c r="Y47" s="4"/>
      <c r="Z47" s="4"/>
      <c r="AA47" s="4"/>
      <c r="AB47" s="4"/>
      <c r="AC47" s="5"/>
      <c r="AD47" s="48">
        <v>5.0</v>
      </c>
      <c r="AE47" s="4"/>
      <c r="AF47" s="5"/>
    </row>
    <row r="48" ht="30.0" customHeight="1">
      <c r="B48" s="47">
        <v>41.0</v>
      </c>
      <c r="C48" s="48" t="s">
        <v>226</v>
      </c>
      <c r="D48" s="4"/>
      <c r="E48" s="5"/>
      <c r="F48" s="49" t="s">
        <v>206</v>
      </c>
      <c r="G48" s="4"/>
      <c r="H48" s="4"/>
      <c r="I48" s="4"/>
      <c r="J48" s="4"/>
      <c r="K48" s="4"/>
      <c r="L48" s="5"/>
      <c r="M48" s="49" t="s">
        <v>229</v>
      </c>
      <c r="N48" s="4"/>
      <c r="O48" s="4"/>
      <c r="P48" s="4"/>
      <c r="Q48" s="4"/>
      <c r="R48" s="4"/>
      <c r="S48" s="4"/>
      <c r="T48" s="5"/>
      <c r="U48" s="50" t="s">
        <v>78</v>
      </c>
      <c r="V48" s="5"/>
      <c r="W48" s="49" t="s">
        <v>90</v>
      </c>
      <c r="X48" s="4"/>
      <c r="Y48" s="4"/>
      <c r="Z48" s="4"/>
      <c r="AA48" s="4"/>
      <c r="AB48" s="4"/>
      <c r="AC48" s="5"/>
      <c r="AD48" s="48">
        <v>5.0</v>
      </c>
      <c r="AE48" s="4"/>
      <c r="AF48" s="5"/>
    </row>
    <row r="49" ht="30.0" customHeight="1">
      <c r="B49" s="47">
        <v>42.0</v>
      </c>
      <c r="C49" s="48" t="s">
        <v>232</v>
      </c>
      <c r="D49" s="4"/>
      <c r="E49" s="5"/>
      <c r="F49" s="49" t="s">
        <v>206</v>
      </c>
      <c r="G49" s="4"/>
      <c r="H49" s="4"/>
      <c r="I49" s="4"/>
      <c r="J49" s="4"/>
      <c r="K49" s="4"/>
      <c r="L49" s="5"/>
      <c r="M49" s="49" t="s">
        <v>234</v>
      </c>
      <c r="N49" s="4"/>
      <c r="O49" s="4"/>
      <c r="P49" s="4"/>
      <c r="Q49" s="4"/>
      <c r="R49" s="4"/>
      <c r="S49" s="4"/>
      <c r="T49" s="5"/>
      <c r="U49" s="51" t="s">
        <v>98</v>
      </c>
      <c r="V49" s="5"/>
      <c r="W49" s="49" t="s">
        <v>236</v>
      </c>
      <c r="X49" s="4"/>
      <c r="Y49" s="4"/>
      <c r="Z49" s="4"/>
      <c r="AA49" s="4"/>
      <c r="AB49" s="4"/>
      <c r="AC49" s="5"/>
      <c r="AD49" s="48">
        <v>8.0</v>
      </c>
      <c r="AE49" s="4"/>
      <c r="AF49" s="5"/>
    </row>
    <row r="50" ht="30.0" customHeight="1">
      <c r="B50" s="47">
        <v>43.0</v>
      </c>
      <c r="C50" s="48" t="s">
        <v>237</v>
      </c>
      <c r="D50" s="4"/>
      <c r="E50" s="5"/>
      <c r="F50" s="49" t="s">
        <v>238</v>
      </c>
      <c r="G50" s="4"/>
      <c r="H50" s="4"/>
      <c r="I50" s="4"/>
      <c r="J50" s="4"/>
      <c r="K50" s="4"/>
      <c r="L50" s="5"/>
      <c r="M50" s="49" t="s">
        <v>239</v>
      </c>
      <c r="N50" s="4"/>
      <c r="O50" s="4"/>
      <c r="P50" s="4"/>
      <c r="Q50" s="4"/>
      <c r="R50" s="4"/>
      <c r="S50" s="4"/>
      <c r="T50" s="5"/>
      <c r="U50" s="51" t="s">
        <v>98</v>
      </c>
      <c r="V50" s="5"/>
      <c r="W50" s="49" t="s">
        <v>240</v>
      </c>
      <c r="X50" s="4"/>
      <c r="Y50" s="4"/>
      <c r="Z50" s="4"/>
      <c r="AA50" s="4"/>
      <c r="AB50" s="4"/>
      <c r="AC50" s="5"/>
      <c r="AD50" s="48">
        <v>12.0</v>
      </c>
      <c r="AE50" s="4"/>
      <c r="AF50" s="5"/>
    </row>
    <row r="51" ht="30.0" customHeight="1">
      <c r="B51" s="47">
        <v>44.0</v>
      </c>
      <c r="C51" s="48" t="s">
        <v>243</v>
      </c>
      <c r="D51" s="4"/>
      <c r="E51" s="5"/>
      <c r="F51" s="49" t="s">
        <v>238</v>
      </c>
      <c r="G51" s="4"/>
      <c r="H51" s="4"/>
      <c r="I51" s="4"/>
      <c r="J51" s="4"/>
      <c r="K51" s="4"/>
      <c r="L51" s="5"/>
      <c r="M51" s="49" t="s">
        <v>246</v>
      </c>
      <c r="N51" s="4"/>
      <c r="O51" s="4"/>
      <c r="P51" s="4"/>
      <c r="Q51" s="4"/>
      <c r="R51" s="4"/>
      <c r="S51" s="4"/>
      <c r="T51" s="5"/>
      <c r="U51" s="51" t="s">
        <v>98</v>
      </c>
      <c r="V51" s="5"/>
      <c r="W51" s="49" t="s">
        <v>248</v>
      </c>
      <c r="X51" s="4"/>
      <c r="Y51" s="4"/>
      <c r="Z51" s="4"/>
      <c r="AA51" s="4"/>
      <c r="AB51" s="4"/>
      <c r="AC51" s="5"/>
      <c r="AD51" s="48">
        <v>8.0</v>
      </c>
      <c r="AE51" s="4"/>
      <c r="AF51" s="5"/>
    </row>
    <row r="52" ht="22.5" customHeight="1">
      <c r="B52" s="58" t="s">
        <v>27</v>
      </c>
      <c r="C52" s="4"/>
      <c r="D52" s="4"/>
      <c r="E52" s="4"/>
      <c r="F52" s="4"/>
      <c r="G52" s="4"/>
      <c r="H52" s="4"/>
      <c r="I52" s="4"/>
      <c r="J52" s="4"/>
      <c r="K52" s="4"/>
      <c r="L52" s="4"/>
      <c r="M52" s="4"/>
      <c r="N52" s="4"/>
      <c r="O52" s="4"/>
      <c r="P52" s="4"/>
      <c r="Q52" s="4"/>
      <c r="R52" s="4"/>
      <c r="S52" s="4"/>
      <c r="T52" s="5"/>
      <c r="U52" s="21"/>
      <c r="V52" s="5"/>
      <c r="W52" s="21"/>
      <c r="X52" s="4"/>
      <c r="Y52" s="4"/>
      <c r="Z52" s="4"/>
      <c r="AA52" s="4"/>
      <c r="AB52" s="4"/>
      <c r="AC52" s="5"/>
      <c r="AD52" s="21">
        <f>SUM(AD8:AD51)</f>
        <v>1682</v>
      </c>
      <c r="AE52" s="4"/>
      <c r="AF52" s="5"/>
    </row>
    <row r="53" ht="15.75" customHeight="1"/>
    <row r="54" ht="19.5" customHeight="1">
      <c r="B54" s="32" t="s">
        <v>252</v>
      </c>
    </row>
    <row r="55" ht="15.75" customHeight="1"/>
    <row r="56" ht="28.5" customHeight="1">
      <c r="B56" s="46" t="s">
        <v>255</v>
      </c>
      <c r="C56" s="5"/>
      <c r="D56" s="46" t="s">
        <v>256</v>
      </c>
      <c r="E56" s="4"/>
      <c r="F56" s="5"/>
      <c r="G56" s="46" t="s">
        <v>258</v>
      </c>
      <c r="H56" s="4"/>
      <c r="I56" s="4"/>
      <c r="J56" s="4"/>
      <c r="K56" s="4"/>
      <c r="L56" s="5"/>
      <c r="M56" s="46" t="s">
        <v>260</v>
      </c>
      <c r="N56" s="5"/>
      <c r="O56" s="46" t="s">
        <v>261</v>
      </c>
      <c r="P56" s="4"/>
      <c r="Q56" s="5"/>
      <c r="R56" s="46" t="s">
        <v>262</v>
      </c>
      <c r="S56" s="4"/>
      <c r="T56" s="4"/>
      <c r="U56" s="4"/>
      <c r="V56" s="4"/>
      <c r="W56" s="4"/>
      <c r="X56" s="4"/>
      <c r="Y56" s="4"/>
      <c r="Z56" s="4"/>
      <c r="AA56" s="4"/>
      <c r="AB56" s="4"/>
      <c r="AC56" s="4"/>
      <c r="AD56" s="4"/>
      <c r="AE56" s="4"/>
      <c r="AF56" s="4"/>
      <c r="AG56" s="4"/>
      <c r="AH56" s="4"/>
      <c r="AI56" s="4"/>
      <c r="AJ56" s="4"/>
      <c r="AK56" s="5"/>
    </row>
    <row r="57" ht="36.0" customHeight="1">
      <c r="B57" s="61" t="s">
        <v>218</v>
      </c>
      <c r="C57" s="5"/>
      <c r="D57" s="48" t="s">
        <v>263</v>
      </c>
      <c r="E57" s="4"/>
      <c r="F57" s="5"/>
      <c r="G57" s="49" t="s">
        <v>264</v>
      </c>
      <c r="H57" s="4"/>
      <c r="I57" s="4"/>
      <c r="J57" s="4"/>
      <c r="K57" s="4"/>
      <c r="L57" s="5"/>
      <c r="M57" s="48">
        <v>10.0</v>
      </c>
      <c r="N57" s="5"/>
      <c r="O57" s="48" t="s">
        <v>78</v>
      </c>
      <c r="P57" s="4"/>
      <c r="Q57" s="5"/>
      <c r="R57" s="49" t="s">
        <v>265</v>
      </c>
      <c r="S57" s="4"/>
      <c r="T57" s="4"/>
      <c r="U57" s="4"/>
      <c r="V57" s="4"/>
      <c r="W57" s="4"/>
      <c r="X57" s="4"/>
      <c r="Y57" s="4"/>
      <c r="Z57" s="4"/>
      <c r="AA57" s="4"/>
      <c r="AB57" s="4"/>
      <c r="AC57" s="4"/>
      <c r="AD57" s="4"/>
      <c r="AE57" s="4"/>
      <c r="AF57" s="4"/>
      <c r="AG57" s="4"/>
      <c r="AH57" s="4"/>
      <c r="AI57" s="4"/>
      <c r="AJ57" s="4"/>
      <c r="AK57" s="5"/>
    </row>
    <row r="58" ht="30.0" customHeight="1">
      <c r="B58" s="61" t="s">
        <v>266</v>
      </c>
      <c r="C58" s="5"/>
      <c r="D58" s="48" t="s">
        <v>268</v>
      </c>
      <c r="E58" s="4"/>
      <c r="F58" s="5"/>
      <c r="G58" s="49" t="s">
        <v>270</v>
      </c>
      <c r="H58" s="4"/>
      <c r="I58" s="4"/>
      <c r="J58" s="4"/>
      <c r="K58" s="4"/>
      <c r="L58" s="5"/>
      <c r="M58" s="48">
        <v>9.0</v>
      </c>
      <c r="N58" s="5"/>
      <c r="O58" s="48" t="s">
        <v>98</v>
      </c>
      <c r="P58" s="4"/>
      <c r="Q58" s="5"/>
      <c r="R58" s="49" t="s">
        <v>272</v>
      </c>
      <c r="S58" s="4"/>
      <c r="T58" s="4"/>
      <c r="U58" s="4"/>
      <c r="V58" s="4"/>
      <c r="W58" s="4"/>
      <c r="X58" s="4"/>
      <c r="Y58" s="4"/>
      <c r="Z58" s="4"/>
      <c r="AA58" s="4"/>
      <c r="AB58" s="4"/>
      <c r="AC58" s="4"/>
      <c r="AD58" s="4"/>
      <c r="AE58" s="4"/>
      <c r="AF58" s="4"/>
      <c r="AG58" s="4"/>
      <c r="AH58" s="4"/>
      <c r="AI58" s="4"/>
      <c r="AJ58" s="4"/>
      <c r="AK58" s="5"/>
    </row>
    <row r="59" ht="36.0" customHeight="1">
      <c r="B59" s="61" t="s">
        <v>274</v>
      </c>
      <c r="C59" s="5"/>
      <c r="D59" s="48" t="s">
        <v>275</v>
      </c>
      <c r="E59" s="4"/>
      <c r="F59" s="5"/>
      <c r="G59" s="49" t="s">
        <v>276</v>
      </c>
      <c r="H59" s="4"/>
      <c r="I59" s="4"/>
      <c r="J59" s="4"/>
      <c r="K59" s="4"/>
      <c r="L59" s="5"/>
      <c r="M59" s="48">
        <v>8.0</v>
      </c>
      <c r="N59" s="5"/>
      <c r="O59" s="48" t="s">
        <v>78</v>
      </c>
      <c r="P59" s="4"/>
      <c r="Q59" s="5"/>
      <c r="R59" s="49" t="s">
        <v>278</v>
      </c>
      <c r="S59" s="4"/>
      <c r="T59" s="4"/>
      <c r="U59" s="4"/>
      <c r="V59" s="4"/>
      <c r="W59" s="4"/>
      <c r="X59" s="4"/>
      <c r="Y59" s="4"/>
      <c r="Z59" s="4"/>
      <c r="AA59" s="4"/>
      <c r="AB59" s="4"/>
      <c r="AC59" s="4"/>
      <c r="AD59" s="4"/>
      <c r="AE59" s="4"/>
      <c r="AF59" s="4"/>
      <c r="AG59" s="4"/>
      <c r="AH59" s="4"/>
      <c r="AI59" s="4"/>
      <c r="AJ59" s="4"/>
      <c r="AK59" s="5"/>
    </row>
    <row r="60" ht="36.0" customHeight="1">
      <c r="B60" s="61" t="s">
        <v>279</v>
      </c>
      <c r="C60" s="5"/>
      <c r="D60" s="48" t="s">
        <v>280</v>
      </c>
      <c r="E60" s="4"/>
      <c r="F60" s="5"/>
      <c r="G60" s="49" t="s">
        <v>281</v>
      </c>
      <c r="H60" s="4"/>
      <c r="I60" s="4"/>
      <c r="J60" s="4"/>
      <c r="K60" s="4"/>
      <c r="L60" s="5"/>
      <c r="M60" s="48">
        <v>9.0</v>
      </c>
      <c r="N60" s="5"/>
      <c r="O60" s="48" t="s">
        <v>78</v>
      </c>
      <c r="P60" s="4"/>
      <c r="Q60" s="5"/>
      <c r="R60" s="49" t="s">
        <v>282</v>
      </c>
      <c r="S60" s="4"/>
      <c r="T60" s="4"/>
      <c r="U60" s="4"/>
      <c r="V60" s="4"/>
      <c r="W60" s="4"/>
      <c r="X60" s="4"/>
      <c r="Y60" s="4"/>
      <c r="Z60" s="4"/>
      <c r="AA60" s="4"/>
      <c r="AB60" s="4"/>
      <c r="AC60" s="4"/>
      <c r="AD60" s="4"/>
      <c r="AE60" s="4"/>
      <c r="AF60" s="4"/>
      <c r="AG60" s="4"/>
      <c r="AH60" s="4"/>
      <c r="AI60" s="4"/>
      <c r="AJ60" s="4"/>
      <c r="AK60" s="5"/>
    </row>
    <row r="61" ht="36.0" customHeight="1">
      <c r="B61" s="61" t="s">
        <v>283</v>
      </c>
      <c r="C61" s="5"/>
      <c r="D61" s="48" t="s">
        <v>284</v>
      </c>
      <c r="E61" s="4"/>
      <c r="F61" s="5"/>
      <c r="G61" s="49" t="s">
        <v>286</v>
      </c>
      <c r="H61" s="4"/>
      <c r="I61" s="4"/>
      <c r="J61" s="4"/>
      <c r="K61" s="4"/>
      <c r="L61" s="5"/>
      <c r="M61" s="48">
        <v>6.0</v>
      </c>
      <c r="N61" s="5"/>
      <c r="O61" s="48" t="s">
        <v>287</v>
      </c>
      <c r="P61" s="4"/>
      <c r="Q61" s="5"/>
      <c r="R61" s="49" t="s">
        <v>288</v>
      </c>
      <c r="S61" s="4"/>
      <c r="T61" s="4"/>
      <c r="U61" s="4"/>
      <c r="V61" s="4"/>
      <c r="W61" s="4"/>
      <c r="X61" s="4"/>
      <c r="Y61" s="4"/>
      <c r="Z61" s="4"/>
      <c r="AA61" s="4"/>
      <c r="AB61" s="4"/>
      <c r="AC61" s="4"/>
      <c r="AD61" s="4"/>
      <c r="AE61" s="4"/>
      <c r="AF61" s="4"/>
      <c r="AG61" s="4"/>
      <c r="AH61" s="4"/>
      <c r="AI61" s="4"/>
      <c r="AJ61" s="4"/>
      <c r="AK61" s="5"/>
    </row>
    <row r="62" ht="30.0" customHeight="1">
      <c r="B62" s="61" t="s">
        <v>289</v>
      </c>
      <c r="C62" s="5"/>
      <c r="D62" s="48" t="s">
        <v>290</v>
      </c>
      <c r="E62" s="4"/>
      <c r="F62" s="5"/>
      <c r="G62" s="49" t="s">
        <v>291</v>
      </c>
      <c r="H62" s="4"/>
      <c r="I62" s="4"/>
      <c r="J62" s="4"/>
      <c r="K62" s="4"/>
      <c r="L62" s="5"/>
      <c r="M62" s="48">
        <v>2.0</v>
      </c>
      <c r="N62" s="5"/>
      <c r="O62" s="48" t="s">
        <v>98</v>
      </c>
      <c r="P62" s="4"/>
      <c r="Q62" s="5"/>
      <c r="R62" s="49" t="s">
        <v>294</v>
      </c>
      <c r="S62" s="4"/>
      <c r="T62" s="4"/>
      <c r="U62" s="4"/>
      <c r="V62" s="4"/>
      <c r="W62" s="4"/>
      <c r="X62" s="4"/>
      <c r="Y62" s="4"/>
      <c r="Z62" s="4"/>
      <c r="AA62" s="4"/>
      <c r="AB62" s="4"/>
      <c r="AC62" s="4"/>
      <c r="AD62" s="4"/>
      <c r="AE62" s="4"/>
      <c r="AF62" s="4"/>
      <c r="AG62" s="4"/>
      <c r="AH62" s="4"/>
      <c r="AI62" s="4"/>
      <c r="AJ62" s="4"/>
      <c r="AK62" s="5"/>
    </row>
    <row r="63" ht="15.75" customHeight="1"/>
    <row r="64" ht="30.0" customHeight="1">
      <c r="B64" s="63" t="s">
        <v>297</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127</v>
      </c>
      <c r="B1" s="4"/>
      <c r="C1" s="4"/>
      <c r="D1" s="4"/>
      <c r="E1" s="5"/>
      <c r="F1" s="9" t="s">
        <v>130</v>
      </c>
      <c r="G1" s="4"/>
      <c r="H1" s="4"/>
      <c r="I1" s="4"/>
      <c r="J1" s="4"/>
      <c r="K1" s="4"/>
      <c r="L1" s="4"/>
      <c r="M1" s="4"/>
      <c r="N1" s="4"/>
      <c r="O1" s="4"/>
      <c r="P1" s="4"/>
      <c r="Q1" s="5"/>
      <c r="R1" s="46" t="s">
        <v>133</v>
      </c>
      <c r="S1" s="4"/>
      <c r="T1" s="4"/>
      <c r="U1" s="4"/>
      <c r="V1" s="5"/>
      <c r="W1" s="9" t="s">
        <v>134</v>
      </c>
      <c r="X1" s="4"/>
      <c r="Y1" s="4"/>
      <c r="Z1" s="4"/>
      <c r="AA1" s="4"/>
      <c r="AB1" s="4"/>
      <c r="AC1" s="4"/>
      <c r="AD1" s="4"/>
      <c r="AE1" s="4"/>
      <c r="AF1" s="4"/>
      <c r="AG1" s="4"/>
      <c r="AH1" s="5"/>
    </row>
    <row r="2" ht="22.5" customHeight="1">
      <c r="A2" s="46" t="s">
        <v>19</v>
      </c>
      <c r="B2" s="4"/>
      <c r="C2" s="4"/>
      <c r="D2" s="4"/>
      <c r="E2" s="5"/>
      <c r="F2" s="9" t="s">
        <v>18</v>
      </c>
      <c r="G2" s="4"/>
      <c r="H2" s="4"/>
      <c r="I2" s="4"/>
      <c r="J2" s="4"/>
      <c r="K2" s="4"/>
      <c r="L2" s="4"/>
      <c r="M2" s="4"/>
      <c r="N2" s="4"/>
      <c r="O2" s="4"/>
      <c r="P2" s="4"/>
      <c r="Q2" s="5"/>
      <c r="R2" s="46" t="s">
        <v>15</v>
      </c>
      <c r="S2" s="4"/>
      <c r="T2" s="4"/>
      <c r="U2" s="4"/>
      <c r="V2" s="5"/>
      <c r="W2" s="14" t="s">
        <v>22</v>
      </c>
      <c r="X2" s="4"/>
      <c r="Y2" s="4"/>
      <c r="Z2" s="4"/>
      <c r="AA2" s="4"/>
      <c r="AB2" s="4"/>
      <c r="AC2" s="4"/>
      <c r="AD2" s="4"/>
      <c r="AE2" s="4"/>
      <c r="AF2" s="4"/>
      <c r="AG2" s="4"/>
      <c r="AH2" s="5"/>
    </row>
    <row r="3" ht="22.5" customHeight="1">
      <c r="A3" s="46" t="s">
        <v>8</v>
      </c>
      <c r="B3" s="4"/>
      <c r="C3" s="4"/>
      <c r="D3" s="4"/>
      <c r="E3" s="5"/>
      <c r="F3" s="9" t="s">
        <v>17</v>
      </c>
      <c r="G3" s="4"/>
      <c r="H3" s="4"/>
      <c r="I3" s="4"/>
      <c r="J3" s="4"/>
      <c r="K3" s="4"/>
      <c r="L3" s="4"/>
      <c r="M3" s="4"/>
      <c r="N3" s="4"/>
      <c r="O3" s="4"/>
      <c r="P3" s="4"/>
      <c r="Q3" s="5"/>
      <c r="R3" s="46" t="s">
        <v>141</v>
      </c>
      <c r="S3" s="4"/>
      <c r="T3" s="4"/>
      <c r="U3" s="4"/>
      <c r="V3" s="5"/>
      <c r="W3" s="14"/>
      <c r="X3" s="4"/>
      <c r="Y3" s="4"/>
      <c r="Z3" s="4"/>
      <c r="AA3" s="4"/>
      <c r="AB3" s="4"/>
      <c r="AC3" s="4"/>
      <c r="AD3" s="4"/>
      <c r="AE3" s="4"/>
      <c r="AF3" s="4"/>
      <c r="AG3" s="4"/>
      <c r="AH3" s="5"/>
    </row>
    <row r="4" ht="22.5" customHeight="1">
      <c r="A4" s="46" t="s">
        <v>144</v>
      </c>
      <c r="B4" s="4"/>
      <c r="C4" s="4"/>
      <c r="D4" s="4"/>
      <c r="E4" s="5"/>
      <c r="F4" s="9" t="s">
        <v>145</v>
      </c>
      <c r="G4" s="4"/>
      <c r="H4" s="4"/>
      <c r="I4" s="4"/>
      <c r="J4" s="4"/>
      <c r="K4" s="4"/>
      <c r="L4" s="4"/>
      <c r="M4" s="4"/>
      <c r="N4" s="4"/>
      <c r="O4" s="4"/>
      <c r="P4" s="4"/>
      <c r="Q4" s="4"/>
      <c r="R4" s="4"/>
      <c r="S4" s="4"/>
      <c r="T4" s="4"/>
      <c r="U4" s="4"/>
      <c r="V4" s="4"/>
      <c r="W4" s="4"/>
      <c r="X4" s="4"/>
      <c r="Y4" s="4"/>
      <c r="Z4" s="4"/>
      <c r="AA4" s="4"/>
      <c r="AB4" s="4"/>
      <c r="AC4" s="4"/>
      <c r="AD4" s="4"/>
      <c r="AE4" s="4"/>
      <c r="AF4" s="4"/>
      <c r="AG4" s="4"/>
      <c r="AH4" s="5"/>
    </row>
    <row r="5" ht="22.5" customHeight="1">
      <c r="A5" s="46" t="s">
        <v>148</v>
      </c>
      <c r="B5" s="4"/>
      <c r="C5" s="4"/>
      <c r="D5" s="4"/>
      <c r="E5" s="4"/>
      <c r="F5" s="4"/>
      <c r="G5" s="4"/>
      <c r="H5" s="4"/>
      <c r="I5" s="4"/>
      <c r="J5" s="4"/>
      <c r="K5" s="4"/>
      <c r="L5" s="4"/>
      <c r="M5" s="4"/>
      <c r="N5" s="4"/>
      <c r="O5" s="4"/>
      <c r="P5" s="4"/>
      <c r="Q5" s="4"/>
      <c r="R5" s="4"/>
      <c r="S5" s="5"/>
      <c r="T5" s="46" t="s">
        <v>31</v>
      </c>
      <c r="U5" s="4"/>
      <c r="V5" s="4"/>
      <c r="W5" s="4"/>
      <c r="X5" s="4"/>
      <c r="Y5" s="4"/>
      <c r="Z5" s="4"/>
      <c r="AA5" s="4"/>
      <c r="AB5" s="4"/>
      <c r="AC5" s="4"/>
      <c r="AD5" s="4"/>
      <c r="AE5" s="4"/>
      <c r="AF5" s="4"/>
      <c r="AG5" s="4"/>
      <c r="AH5" s="5"/>
    </row>
    <row r="6" ht="22.5" customHeight="1">
      <c r="A6" s="46" t="s">
        <v>151</v>
      </c>
      <c r="B6" s="4"/>
      <c r="C6" s="4"/>
      <c r="D6" s="4"/>
      <c r="E6" s="4"/>
      <c r="F6" s="4"/>
      <c r="G6" s="5"/>
      <c r="H6" s="46" t="s">
        <v>33</v>
      </c>
      <c r="I6" s="4"/>
      <c r="J6" s="5"/>
      <c r="K6" s="46" t="s">
        <v>34</v>
      </c>
      <c r="L6" s="4"/>
      <c r="M6" s="5"/>
      <c r="N6" s="46" t="s">
        <v>154</v>
      </c>
      <c r="O6" s="4"/>
      <c r="P6" s="5"/>
      <c r="Q6" s="46" t="s">
        <v>27</v>
      </c>
      <c r="R6" s="4"/>
      <c r="S6" s="5"/>
      <c r="T6" s="46" t="s">
        <v>37</v>
      </c>
      <c r="U6" s="4"/>
      <c r="V6" s="5"/>
      <c r="W6" s="46" t="s">
        <v>38</v>
      </c>
      <c r="X6" s="4"/>
      <c r="Y6" s="5"/>
      <c r="Z6" s="46" t="s">
        <v>41</v>
      </c>
      <c r="AA6" s="4"/>
      <c r="AB6" s="5"/>
      <c r="AC6" s="46" t="s">
        <v>43</v>
      </c>
      <c r="AD6" s="4"/>
      <c r="AE6" s="5"/>
      <c r="AF6" s="46" t="s">
        <v>27</v>
      </c>
      <c r="AG6" s="4"/>
      <c r="AH6" s="5"/>
    </row>
    <row r="7" ht="22.5" customHeight="1">
      <c r="A7" s="46" t="s">
        <v>158</v>
      </c>
      <c r="B7" s="4"/>
      <c r="C7" s="4"/>
      <c r="D7" s="4"/>
      <c r="E7" s="4"/>
      <c r="F7" s="4"/>
      <c r="G7" s="5"/>
      <c r="H7" s="11">
        <f t="shared" ref="H7:H8" si="1">COUNTIF($AE$12:$AF$1049,"N")</f>
        <v>38</v>
      </c>
      <c r="I7" s="4"/>
      <c r="J7" s="5"/>
      <c r="K7" s="11">
        <f t="shared" ref="K7:K8" si="2">COUNTIF($AE$12:$AF$1049,"A")</f>
        <v>12</v>
      </c>
      <c r="L7" s="4"/>
      <c r="M7" s="5"/>
      <c r="N7" s="11">
        <f t="shared" ref="N7:N8" si="3">COUNTIF($AE$12:$AF$1049,"B")</f>
        <v>3</v>
      </c>
      <c r="O7" s="4"/>
      <c r="P7" s="5"/>
      <c r="Q7" s="43">
        <f t="shared" ref="Q7:Q8" si="4">SUM(H7:P7)</f>
        <v>53</v>
      </c>
      <c r="R7" s="4"/>
      <c r="S7" s="5"/>
      <c r="T7" s="11">
        <f>COUNTIF($AG$12:$AI$1049,T$6)</f>
        <v>51</v>
      </c>
      <c r="U7" s="4"/>
      <c r="V7" s="5"/>
      <c r="W7" s="11">
        <f>COUNTIF($AG$12:$AI$1049,W$6)</f>
        <v>0</v>
      </c>
      <c r="X7" s="4"/>
      <c r="Y7" s="5"/>
      <c r="Z7" s="11">
        <f>COUNTIF($AG$12:$AI$1049,Z$6)</f>
        <v>2</v>
      </c>
      <c r="AA7" s="4"/>
      <c r="AB7" s="5"/>
      <c r="AC7" s="11">
        <f>COUNTIF($AG$12:$AI$1049,AC$6)</f>
        <v>0</v>
      </c>
      <c r="AD7" s="4"/>
      <c r="AE7" s="5"/>
      <c r="AF7" s="43">
        <f t="shared" ref="AF7:AF8" si="5">SUM(T7:AE7)</f>
        <v>53</v>
      </c>
      <c r="AG7" s="4"/>
      <c r="AH7" s="5"/>
    </row>
    <row r="8" ht="22.5" customHeight="1">
      <c r="A8" s="46" t="s">
        <v>173</v>
      </c>
      <c r="B8" s="4"/>
      <c r="C8" s="4"/>
      <c r="D8" s="4"/>
      <c r="E8" s="4"/>
      <c r="F8" s="4"/>
      <c r="G8" s="5"/>
      <c r="H8" s="11">
        <f t="shared" si="1"/>
        <v>38</v>
      </c>
      <c r="I8" s="4"/>
      <c r="J8" s="5"/>
      <c r="K8" s="11">
        <f t="shared" si="2"/>
        <v>12</v>
      </c>
      <c r="L8" s="4"/>
      <c r="M8" s="5"/>
      <c r="N8" s="11">
        <f t="shared" si="3"/>
        <v>3</v>
      </c>
      <c r="O8" s="4"/>
      <c r="P8" s="5"/>
      <c r="Q8" s="43">
        <f t="shared" si="4"/>
        <v>53</v>
      </c>
      <c r="R8" s="4"/>
      <c r="S8" s="5"/>
      <c r="T8" s="11">
        <f>COUNTIF($AV$12:$AX$1049,T$6)</f>
        <v>53</v>
      </c>
      <c r="U8" s="4"/>
      <c r="V8" s="5"/>
      <c r="W8" s="11">
        <f>COUNTIF($AV$12:$AX$1049,W$6)</f>
        <v>0</v>
      </c>
      <c r="X8" s="4"/>
      <c r="Y8" s="5"/>
      <c r="Z8" s="11">
        <f>COUNTIF($AV$12:$AX$1049,Z$6)</f>
        <v>0</v>
      </c>
      <c r="AA8" s="4"/>
      <c r="AB8" s="5"/>
      <c r="AC8" s="11">
        <f>COUNTIF($AV$12:$AX$1049,AC$6)</f>
        <v>0</v>
      </c>
      <c r="AD8" s="4"/>
      <c r="AE8" s="5"/>
      <c r="AF8" s="43">
        <f t="shared" si="5"/>
        <v>53</v>
      </c>
      <c r="AG8" s="4"/>
      <c r="AH8" s="5"/>
    </row>
    <row r="9" ht="12.75" customHeight="1"/>
    <row r="10" ht="36.0" customHeight="1">
      <c r="A10" s="52" t="s">
        <v>23</v>
      </c>
      <c r="B10" s="53" t="s">
        <v>181</v>
      </c>
      <c r="C10" s="18"/>
      <c r="D10" s="19"/>
      <c r="E10" s="53" t="s">
        <v>183</v>
      </c>
      <c r="F10" s="18"/>
      <c r="G10" s="18"/>
      <c r="H10" s="18"/>
      <c r="I10" s="19"/>
      <c r="J10" s="53" t="s">
        <v>184</v>
      </c>
      <c r="K10" s="18"/>
      <c r="L10" s="18"/>
      <c r="M10" s="18"/>
      <c r="N10" s="18"/>
      <c r="O10" s="18"/>
      <c r="P10" s="19"/>
      <c r="Q10" s="53" t="s">
        <v>186</v>
      </c>
      <c r="R10" s="18"/>
      <c r="S10" s="18"/>
      <c r="T10" s="18"/>
      <c r="U10" s="18"/>
      <c r="V10" s="18"/>
      <c r="W10" s="19"/>
      <c r="X10" s="53" t="s">
        <v>187</v>
      </c>
      <c r="Y10" s="18"/>
      <c r="Z10" s="18"/>
      <c r="AA10" s="18"/>
      <c r="AB10" s="18"/>
      <c r="AC10" s="18"/>
      <c r="AD10" s="19"/>
      <c r="AE10" s="53" t="s">
        <v>189</v>
      </c>
      <c r="AF10" s="19"/>
      <c r="AG10" s="46" t="s">
        <v>190</v>
      </c>
      <c r="AH10" s="4"/>
      <c r="AI10" s="4"/>
      <c r="AJ10" s="4"/>
      <c r="AK10" s="4"/>
      <c r="AL10" s="4"/>
      <c r="AM10" s="4"/>
      <c r="AN10" s="4"/>
      <c r="AO10" s="4"/>
      <c r="AP10" s="4"/>
      <c r="AQ10" s="4"/>
      <c r="AR10" s="4"/>
      <c r="AS10" s="4"/>
      <c r="AT10" s="4"/>
      <c r="AU10" s="5"/>
      <c r="AV10" s="46" t="s">
        <v>192</v>
      </c>
      <c r="AW10" s="4"/>
      <c r="AX10" s="4"/>
      <c r="AY10" s="4"/>
      <c r="AZ10" s="4"/>
      <c r="BA10" s="4"/>
      <c r="BB10" s="4"/>
      <c r="BC10" s="4"/>
      <c r="BD10" s="4"/>
      <c r="BE10" s="4"/>
      <c r="BF10" s="4"/>
      <c r="BG10" s="4"/>
      <c r="BH10" s="4"/>
      <c r="BI10" s="4"/>
      <c r="BJ10" s="5"/>
      <c r="BK10" s="53" t="s">
        <v>194</v>
      </c>
      <c r="BL10" s="18"/>
      <c r="BM10" s="18"/>
      <c r="BN10" s="18"/>
      <c r="BO10" s="18"/>
      <c r="BP10" s="18"/>
      <c r="BQ10" s="19"/>
    </row>
    <row r="11" ht="36.0" customHeight="1">
      <c r="A11" s="27"/>
      <c r="B11" s="28"/>
      <c r="C11" s="29"/>
      <c r="D11" s="30"/>
      <c r="E11" s="28"/>
      <c r="F11" s="29"/>
      <c r="G11" s="29"/>
      <c r="H11" s="29"/>
      <c r="I11" s="30"/>
      <c r="J11" s="28"/>
      <c r="K11" s="29"/>
      <c r="L11" s="29"/>
      <c r="M11" s="29"/>
      <c r="N11" s="29"/>
      <c r="O11" s="29"/>
      <c r="P11" s="30"/>
      <c r="Q11" s="28"/>
      <c r="R11" s="29"/>
      <c r="S11" s="29"/>
      <c r="T11" s="29"/>
      <c r="U11" s="29"/>
      <c r="V11" s="29"/>
      <c r="W11" s="30"/>
      <c r="X11" s="28"/>
      <c r="Y11" s="29"/>
      <c r="Z11" s="29"/>
      <c r="AA11" s="29"/>
      <c r="AB11" s="29"/>
      <c r="AC11" s="29"/>
      <c r="AD11" s="30"/>
      <c r="AE11" s="28"/>
      <c r="AF11" s="30"/>
      <c r="AG11" s="46" t="s">
        <v>197</v>
      </c>
      <c r="AH11" s="4"/>
      <c r="AI11" s="5"/>
      <c r="AJ11" s="46" t="s">
        <v>199</v>
      </c>
      <c r="AK11" s="4"/>
      <c r="AL11" s="5"/>
      <c r="AM11" s="46" t="s">
        <v>5</v>
      </c>
      <c r="AN11" s="4"/>
      <c r="AO11" s="5"/>
      <c r="AP11" s="46" t="s">
        <v>200</v>
      </c>
      <c r="AQ11" s="4"/>
      <c r="AR11" s="5"/>
      <c r="AS11" s="46" t="s">
        <v>201</v>
      </c>
      <c r="AT11" s="4"/>
      <c r="AU11" s="5"/>
      <c r="AV11" s="46" t="s">
        <v>197</v>
      </c>
      <c r="AW11" s="4"/>
      <c r="AX11" s="5"/>
      <c r="AY11" s="46" t="s">
        <v>199</v>
      </c>
      <c r="AZ11" s="4"/>
      <c r="BA11" s="5"/>
      <c r="BB11" s="46" t="s">
        <v>5</v>
      </c>
      <c r="BC11" s="4"/>
      <c r="BD11" s="5"/>
      <c r="BE11" s="46" t="s">
        <v>200</v>
      </c>
      <c r="BF11" s="4"/>
      <c r="BG11" s="5"/>
      <c r="BH11" s="46" t="s">
        <v>201</v>
      </c>
      <c r="BI11" s="4"/>
      <c r="BJ11" s="5"/>
      <c r="BK11" s="28"/>
      <c r="BL11" s="29"/>
      <c r="BM11" s="29"/>
      <c r="BN11" s="29"/>
      <c r="BO11" s="29"/>
      <c r="BP11" s="29"/>
      <c r="BQ11" s="30"/>
    </row>
    <row r="12" ht="22.5" customHeight="1">
      <c r="A12" s="6" t="s">
        <v>204</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5"/>
    </row>
    <row r="13" ht="447.75" customHeight="1">
      <c r="A13" s="47">
        <v>1.0</v>
      </c>
      <c r="B13" s="49" t="s">
        <v>210</v>
      </c>
      <c r="C13" s="4"/>
      <c r="D13" s="5"/>
      <c r="E13" s="49" t="s">
        <v>212</v>
      </c>
      <c r="F13" s="4"/>
      <c r="G13" s="4"/>
      <c r="H13" s="4"/>
      <c r="I13" s="5"/>
      <c r="J13" s="49" t="s">
        <v>213</v>
      </c>
      <c r="K13" s="4"/>
      <c r="L13" s="4"/>
      <c r="M13" s="4"/>
      <c r="N13" s="4"/>
      <c r="O13" s="4"/>
      <c r="P13" s="5"/>
      <c r="Q13" s="55" t="s">
        <v>215</v>
      </c>
      <c r="R13" s="4"/>
      <c r="S13" s="4"/>
      <c r="T13" s="4"/>
      <c r="U13" s="4"/>
      <c r="V13" s="4"/>
      <c r="W13" s="5"/>
      <c r="X13" s="55" t="s">
        <v>216</v>
      </c>
      <c r="Y13" s="4"/>
      <c r="Z13" s="4"/>
      <c r="AA13" s="4"/>
      <c r="AB13" s="4"/>
      <c r="AC13" s="4"/>
      <c r="AD13" s="5"/>
      <c r="AE13" s="48" t="s">
        <v>218</v>
      </c>
      <c r="AF13" s="5"/>
      <c r="AG13" s="56" t="s">
        <v>37</v>
      </c>
      <c r="AH13" s="4"/>
      <c r="AI13" s="5"/>
      <c r="AJ13" s="48"/>
      <c r="AK13" s="4"/>
      <c r="AL13" s="5"/>
      <c r="AM13" s="56" t="s">
        <v>220</v>
      </c>
      <c r="AN13" s="4"/>
      <c r="AO13" s="5"/>
      <c r="AP13" s="57">
        <v>46168.0</v>
      </c>
      <c r="AQ13" s="4"/>
      <c r="AR13" s="5"/>
      <c r="AS13" s="48"/>
      <c r="AT13" s="4"/>
      <c r="AU13" s="5"/>
      <c r="AV13" s="56" t="s">
        <v>37</v>
      </c>
      <c r="AW13" s="4"/>
      <c r="AX13" s="5"/>
      <c r="AY13" s="48"/>
      <c r="AZ13" s="4"/>
      <c r="BA13" s="5"/>
      <c r="BB13" s="56" t="s">
        <v>222</v>
      </c>
      <c r="BC13" s="4"/>
      <c r="BD13" s="5"/>
      <c r="BE13" s="57">
        <v>46246.0</v>
      </c>
      <c r="BF13" s="4"/>
      <c r="BG13" s="5"/>
      <c r="BH13" s="48"/>
      <c r="BI13" s="4"/>
      <c r="BJ13" s="5"/>
      <c r="BK13" s="49" t="s">
        <v>224</v>
      </c>
      <c r="BL13" s="4"/>
      <c r="BM13" s="4"/>
      <c r="BN13" s="4"/>
      <c r="BO13" s="4"/>
      <c r="BP13" s="4"/>
      <c r="BQ13" s="5"/>
    </row>
    <row r="14" ht="367.5" customHeight="1">
      <c r="A14" s="47">
        <v>2.0</v>
      </c>
      <c r="B14" s="49" t="s">
        <v>225</v>
      </c>
      <c r="C14" s="4"/>
      <c r="D14" s="5"/>
      <c r="E14" s="49" t="s">
        <v>227</v>
      </c>
      <c r="F14" s="4"/>
      <c r="G14" s="4"/>
      <c r="H14" s="4"/>
      <c r="I14" s="5"/>
      <c r="J14" s="49" t="s">
        <v>228</v>
      </c>
      <c r="K14" s="4"/>
      <c r="L14" s="4"/>
      <c r="M14" s="4"/>
      <c r="N14" s="4"/>
      <c r="O14" s="4"/>
      <c r="P14" s="5"/>
      <c r="Q14" s="55" t="s">
        <v>230</v>
      </c>
      <c r="R14" s="4"/>
      <c r="S14" s="4"/>
      <c r="T14" s="4"/>
      <c r="U14" s="4"/>
      <c r="V14" s="4"/>
      <c r="W14" s="5"/>
      <c r="X14" s="49" t="s">
        <v>231</v>
      </c>
      <c r="Y14" s="4"/>
      <c r="Z14" s="4"/>
      <c r="AA14" s="4"/>
      <c r="AB14" s="4"/>
      <c r="AC14" s="4"/>
      <c r="AD14" s="5"/>
      <c r="AE14" s="48" t="s">
        <v>233</v>
      </c>
      <c r="AF14" s="5"/>
      <c r="AG14" s="56" t="s">
        <v>37</v>
      </c>
      <c r="AH14" s="4"/>
      <c r="AI14" s="5"/>
      <c r="AJ14" s="48"/>
      <c r="AK14" s="4"/>
      <c r="AL14" s="5"/>
      <c r="AM14" s="56" t="s">
        <v>235</v>
      </c>
      <c r="AN14" s="4"/>
      <c r="AO14" s="5"/>
      <c r="AP14" s="57">
        <v>46168.0</v>
      </c>
      <c r="AQ14" s="4"/>
      <c r="AR14" s="5"/>
      <c r="AS14" s="48"/>
      <c r="AT14" s="4"/>
      <c r="AU14" s="5"/>
      <c r="AV14" s="56" t="s">
        <v>37</v>
      </c>
      <c r="AW14" s="4"/>
      <c r="AX14" s="5"/>
      <c r="AY14" s="48"/>
      <c r="AZ14" s="4"/>
      <c r="BA14" s="5"/>
      <c r="BB14" s="56" t="s">
        <v>222</v>
      </c>
      <c r="BC14" s="4"/>
      <c r="BD14" s="5"/>
      <c r="BE14" s="57">
        <v>46246.0</v>
      </c>
      <c r="BF14" s="4"/>
      <c r="BG14" s="5"/>
      <c r="BH14" s="48"/>
      <c r="BI14" s="4"/>
      <c r="BJ14" s="5"/>
      <c r="BK14" s="49" t="s">
        <v>241</v>
      </c>
      <c r="BL14" s="4"/>
      <c r="BM14" s="4"/>
      <c r="BN14" s="4"/>
      <c r="BO14" s="4"/>
      <c r="BP14" s="4"/>
      <c r="BQ14" s="5"/>
    </row>
    <row r="15" ht="384.0" customHeight="1">
      <c r="A15" s="47">
        <v>3.0</v>
      </c>
      <c r="B15" s="49" t="s">
        <v>242</v>
      </c>
      <c r="C15" s="4"/>
      <c r="D15" s="5"/>
      <c r="E15" s="49" t="s">
        <v>244</v>
      </c>
      <c r="F15" s="4"/>
      <c r="G15" s="4"/>
      <c r="H15" s="4"/>
      <c r="I15" s="5"/>
      <c r="J15" s="49" t="s">
        <v>245</v>
      </c>
      <c r="K15" s="4"/>
      <c r="L15" s="4"/>
      <c r="M15" s="4"/>
      <c r="N15" s="4"/>
      <c r="O15" s="4"/>
      <c r="P15" s="5"/>
      <c r="Q15" s="55" t="s">
        <v>247</v>
      </c>
      <c r="R15" s="4"/>
      <c r="S15" s="4"/>
      <c r="T15" s="4"/>
      <c r="U15" s="4"/>
      <c r="V15" s="4"/>
      <c r="W15" s="5"/>
      <c r="X15" s="55" t="s">
        <v>249</v>
      </c>
      <c r="Y15" s="4"/>
      <c r="Z15" s="4"/>
      <c r="AA15" s="4"/>
      <c r="AB15" s="4"/>
      <c r="AC15" s="4"/>
      <c r="AD15" s="5"/>
      <c r="AE15" s="48" t="s">
        <v>233</v>
      </c>
      <c r="AF15" s="5"/>
      <c r="AG15" s="56" t="s">
        <v>37</v>
      </c>
      <c r="AH15" s="4"/>
      <c r="AI15" s="5"/>
      <c r="AJ15" s="48"/>
      <c r="AK15" s="4"/>
      <c r="AL15" s="5"/>
      <c r="AM15" s="56" t="s">
        <v>235</v>
      </c>
      <c r="AN15" s="4"/>
      <c r="AO15" s="5"/>
      <c r="AP15" s="57">
        <v>46168.0</v>
      </c>
      <c r="AQ15" s="4"/>
      <c r="AR15" s="5"/>
      <c r="AS15" s="48"/>
      <c r="AT15" s="4"/>
      <c r="AU15" s="5"/>
      <c r="AV15" s="56" t="s">
        <v>37</v>
      </c>
      <c r="AW15" s="4"/>
      <c r="AX15" s="5"/>
      <c r="AY15" s="48"/>
      <c r="AZ15" s="4"/>
      <c r="BA15" s="5"/>
      <c r="BB15" s="56" t="s">
        <v>222</v>
      </c>
      <c r="BC15" s="4"/>
      <c r="BD15" s="5"/>
      <c r="BE15" s="57">
        <v>46246.0</v>
      </c>
      <c r="BF15" s="4"/>
      <c r="BG15" s="5"/>
      <c r="BH15" s="48"/>
      <c r="BI15" s="4"/>
      <c r="BJ15" s="5"/>
      <c r="BK15" s="49" t="s">
        <v>250</v>
      </c>
      <c r="BL15" s="4"/>
      <c r="BM15" s="4"/>
      <c r="BN15" s="4"/>
      <c r="BO15" s="4"/>
      <c r="BP15" s="4"/>
      <c r="BQ15" s="5"/>
    </row>
    <row r="16" ht="319.5" customHeight="1">
      <c r="A16" s="47">
        <v>4.0</v>
      </c>
      <c r="B16" s="49" t="s">
        <v>251</v>
      </c>
      <c r="C16" s="4"/>
      <c r="D16" s="5"/>
      <c r="E16" s="49" t="s">
        <v>253</v>
      </c>
      <c r="F16" s="4"/>
      <c r="G16" s="4"/>
      <c r="H16" s="4"/>
      <c r="I16" s="5"/>
      <c r="J16" s="49" t="s">
        <v>254</v>
      </c>
      <c r="K16" s="4"/>
      <c r="L16" s="4"/>
      <c r="M16" s="4"/>
      <c r="N16" s="4"/>
      <c r="O16" s="4"/>
      <c r="P16" s="5"/>
      <c r="Q16" s="55" t="s">
        <v>257</v>
      </c>
      <c r="R16" s="4"/>
      <c r="S16" s="4"/>
      <c r="T16" s="4"/>
      <c r="U16" s="4"/>
      <c r="V16" s="4"/>
      <c r="W16" s="5"/>
      <c r="X16" s="49" t="s">
        <v>259</v>
      </c>
      <c r="Y16" s="4"/>
      <c r="Z16" s="4"/>
      <c r="AA16" s="4"/>
      <c r="AB16" s="4"/>
      <c r="AC16" s="4"/>
      <c r="AD16" s="5"/>
      <c r="AE16" s="48" t="s">
        <v>233</v>
      </c>
      <c r="AF16" s="5"/>
      <c r="AG16" s="59" t="s">
        <v>37</v>
      </c>
      <c r="AH16" s="4"/>
      <c r="AI16" s="5"/>
      <c r="AJ16" s="60"/>
      <c r="AK16" s="4"/>
      <c r="AL16" s="5"/>
      <c r="AM16" s="59" t="s">
        <v>235</v>
      </c>
      <c r="AN16" s="4"/>
      <c r="AO16" s="5"/>
      <c r="AP16" s="62">
        <v>46168.0</v>
      </c>
      <c r="AQ16" s="4"/>
      <c r="AR16" s="5"/>
      <c r="AS16" s="48"/>
      <c r="AT16" s="4"/>
      <c r="AU16" s="5"/>
      <c r="AV16" s="56" t="s">
        <v>37</v>
      </c>
      <c r="AW16" s="4"/>
      <c r="AX16" s="5"/>
      <c r="AY16" s="48"/>
      <c r="AZ16" s="4"/>
      <c r="BA16" s="5"/>
      <c r="BB16" s="56" t="s">
        <v>222</v>
      </c>
      <c r="BC16" s="4"/>
      <c r="BD16" s="5"/>
      <c r="BE16" s="57">
        <v>46246.0</v>
      </c>
      <c r="BF16" s="4"/>
      <c r="BG16" s="5"/>
      <c r="BH16" s="48"/>
      <c r="BI16" s="4"/>
      <c r="BJ16" s="5"/>
      <c r="BK16" s="49"/>
      <c r="BL16" s="4"/>
      <c r="BM16" s="4"/>
      <c r="BN16" s="4"/>
      <c r="BO16" s="4"/>
      <c r="BP16" s="4"/>
      <c r="BQ16" s="5"/>
    </row>
    <row r="17" ht="384.0" customHeight="1">
      <c r="A17" s="47">
        <v>5.0</v>
      </c>
      <c r="B17" s="49" t="s">
        <v>267</v>
      </c>
      <c r="C17" s="4"/>
      <c r="D17" s="5"/>
      <c r="E17" s="49" t="s">
        <v>269</v>
      </c>
      <c r="F17" s="4"/>
      <c r="G17" s="4"/>
      <c r="H17" s="4"/>
      <c r="I17" s="5"/>
      <c r="J17" s="49" t="s">
        <v>271</v>
      </c>
      <c r="K17" s="4"/>
      <c r="L17" s="4"/>
      <c r="M17" s="4"/>
      <c r="N17" s="4"/>
      <c r="O17" s="4"/>
      <c r="P17" s="5"/>
      <c r="Q17" s="49" t="s">
        <v>273</v>
      </c>
      <c r="R17" s="4"/>
      <c r="S17" s="4"/>
      <c r="T17" s="4"/>
      <c r="U17" s="4"/>
      <c r="V17" s="4"/>
      <c r="W17" s="5"/>
      <c r="X17" s="49" t="s">
        <v>277</v>
      </c>
      <c r="Y17" s="4"/>
      <c r="Z17" s="4"/>
      <c r="AA17" s="4"/>
      <c r="AB17" s="4"/>
      <c r="AC17" s="4"/>
      <c r="AD17" s="5"/>
      <c r="AE17" s="48" t="s">
        <v>233</v>
      </c>
      <c r="AF17" s="5"/>
      <c r="AG17" s="59" t="s">
        <v>37</v>
      </c>
      <c r="AH17" s="4"/>
      <c r="AI17" s="5"/>
      <c r="AJ17" s="60"/>
      <c r="AK17" s="4"/>
      <c r="AL17" s="5"/>
      <c r="AM17" s="59" t="s">
        <v>235</v>
      </c>
      <c r="AN17" s="4"/>
      <c r="AO17" s="5"/>
      <c r="AP17" s="62">
        <v>46168.0</v>
      </c>
      <c r="AQ17" s="4"/>
      <c r="AR17" s="5"/>
      <c r="AS17" s="48"/>
      <c r="AT17" s="4"/>
      <c r="AU17" s="5"/>
      <c r="AV17" s="56" t="s">
        <v>37</v>
      </c>
      <c r="AW17" s="4"/>
      <c r="AX17" s="5"/>
      <c r="AY17" s="48"/>
      <c r="AZ17" s="4"/>
      <c r="BA17" s="5"/>
      <c r="BB17" s="56" t="s">
        <v>222</v>
      </c>
      <c r="BC17" s="4"/>
      <c r="BD17" s="5"/>
      <c r="BE17" s="57">
        <v>46246.0</v>
      </c>
      <c r="BF17" s="4"/>
      <c r="BG17" s="5"/>
      <c r="BH17" s="48"/>
      <c r="BI17" s="4"/>
      <c r="BJ17" s="5"/>
      <c r="BK17" s="49"/>
      <c r="BL17" s="4"/>
      <c r="BM17" s="4"/>
      <c r="BN17" s="4"/>
      <c r="BO17" s="4"/>
      <c r="BP17" s="4"/>
      <c r="BQ17" s="5"/>
    </row>
    <row r="18" ht="22.5" customHeight="1">
      <c r="A18" s="6" t="s">
        <v>285</v>
      </c>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5"/>
    </row>
    <row r="19" ht="432.0" customHeight="1">
      <c r="A19" s="47">
        <v>6.0</v>
      </c>
      <c r="B19" s="49" t="s">
        <v>292</v>
      </c>
      <c r="C19" s="4"/>
      <c r="D19" s="5"/>
      <c r="E19" s="49" t="s">
        <v>293</v>
      </c>
      <c r="F19" s="4"/>
      <c r="G19" s="4"/>
      <c r="H19" s="4"/>
      <c r="I19" s="5"/>
      <c r="J19" s="49" t="s">
        <v>295</v>
      </c>
      <c r="K19" s="4"/>
      <c r="L19" s="4"/>
      <c r="M19" s="4"/>
      <c r="N19" s="4"/>
      <c r="O19" s="4"/>
      <c r="P19" s="5"/>
      <c r="Q19" s="49" t="s">
        <v>296</v>
      </c>
      <c r="R19" s="4"/>
      <c r="S19" s="4"/>
      <c r="T19" s="4"/>
      <c r="U19" s="4"/>
      <c r="V19" s="4"/>
      <c r="W19" s="5"/>
      <c r="X19" s="49" t="s">
        <v>298</v>
      </c>
      <c r="Y19" s="4"/>
      <c r="Z19" s="4"/>
      <c r="AA19" s="4"/>
      <c r="AB19" s="4"/>
      <c r="AC19" s="4"/>
      <c r="AD19" s="5"/>
      <c r="AE19" s="48" t="s">
        <v>233</v>
      </c>
      <c r="AF19" s="5"/>
      <c r="AG19" s="59" t="s">
        <v>37</v>
      </c>
      <c r="AH19" s="4"/>
      <c r="AI19" s="5"/>
      <c r="AJ19" s="60"/>
      <c r="AK19" s="4"/>
      <c r="AL19" s="5"/>
      <c r="AM19" s="59" t="s">
        <v>235</v>
      </c>
      <c r="AN19" s="4"/>
      <c r="AO19" s="5"/>
      <c r="AP19" s="62">
        <v>46168.0</v>
      </c>
      <c r="AQ19" s="4"/>
      <c r="AR19" s="5"/>
      <c r="AS19" s="48"/>
      <c r="AT19" s="4"/>
      <c r="AU19" s="5"/>
      <c r="AV19" s="56" t="s">
        <v>37</v>
      </c>
      <c r="AW19" s="4"/>
      <c r="AX19" s="5"/>
      <c r="AY19" s="48"/>
      <c r="AZ19" s="4"/>
      <c r="BA19" s="5"/>
      <c r="BB19" s="56" t="s">
        <v>222</v>
      </c>
      <c r="BC19" s="4"/>
      <c r="BD19" s="5"/>
      <c r="BE19" s="57">
        <v>46246.0</v>
      </c>
      <c r="BF19" s="4"/>
      <c r="BG19" s="5"/>
      <c r="BH19" s="48"/>
      <c r="BI19" s="4"/>
      <c r="BJ19" s="5"/>
      <c r="BK19" s="49"/>
      <c r="BL19" s="4"/>
      <c r="BM19" s="4"/>
      <c r="BN19" s="4"/>
      <c r="BO19" s="4"/>
      <c r="BP19" s="4"/>
      <c r="BQ19" s="5"/>
    </row>
    <row r="20" ht="367.5" customHeight="1">
      <c r="A20" s="47">
        <v>7.0</v>
      </c>
      <c r="B20" s="49" t="s">
        <v>299</v>
      </c>
      <c r="C20" s="4"/>
      <c r="D20" s="5"/>
      <c r="E20" s="49" t="s">
        <v>300</v>
      </c>
      <c r="F20" s="4"/>
      <c r="G20" s="4"/>
      <c r="H20" s="4"/>
      <c r="I20" s="5"/>
      <c r="J20" s="49" t="s">
        <v>301</v>
      </c>
      <c r="K20" s="4"/>
      <c r="L20" s="4"/>
      <c r="M20" s="4"/>
      <c r="N20" s="4"/>
      <c r="O20" s="4"/>
      <c r="P20" s="5"/>
      <c r="Q20" s="49" t="s">
        <v>302</v>
      </c>
      <c r="R20" s="4"/>
      <c r="S20" s="4"/>
      <c r="T20" s="4"/>
      <c r="U20" s="4"/>
      <c r="V20" s="4"/>
      <c r="W20" s="5"/>
      <c r="X20" s="49" t="s">
        <v>303</v>
      </c>
      <c r="Y20" s="4"/>
      <c r="Z20" s="4"/>
      <c r="AA20" s="4"/>
      <c r="AB20" s="4"/>
      <c r="AC20" s="4"/>
      <c r="AD20" s="5"/>
      <c r="AE20" s="48" t="s">
        <v>233</v>
      </c>
      <c r="AF20" s="5"/>
      <c r="AG20" s="59" t="s">
        <v>37</v>
      </c>
      <c r="AH20" s="4"/>
      <c r="AI20" s="5"/>
      <c r="AJ20" s="60"/>
      <c r="AK20" s="4"/>
      <c r="AL20" s="5"/>
      <c r="AM20" s="59" t="s">
        <v>235</v>
      </c>
      <c r="AN20" s="4"/>
      <c r="AO20" s="5"/>
      <c r="AP20" s="62">
        <v>46168.0</v>
      </c>
      <c r="AQ20" s="4"/>
      <c r="AR20" s="5"/>
      <c r="AS20" s="48"/>
      <c r="AT20" s="4"/>
      <c r="AU20" s="5"/>
      <c r="AV20" s="56" t="s">
        <v>37</v>
      </c>
      <c r="AW20" s="4"/>
      <c r="AX20" s="5"/>
      <c r="AY20" s="48"/>
      <c r="AZ20" s="4"/>
      <c r="BA20" s="5"/>
      <c r="BB20" s="56" t="s">
        <v>222</v>
      </c>
      <c r="BC20" s="4"/>
      <c r="BD20" s="5"/>
      <c r="BE20" s="57">
        <v>46246.0</v>
      </c>
      <c r="BF20" s="4"/>
      <c r="BG20" s="5"/>
      <c r="BH20" s="48"/>
      <c r="BI20" s="4"/>
      <c r="BJ20" s="5"/>
      <c r="BK20" s="49"/>
      <c r="BL20" s="4"/>
      <c r="BM20" s="4"/>
      <c r="BN20" s="4"/>
      <c r="BO20" s="4"/>
      <c r="BP20" s="4"/>
      <c r="BQ20" s="5"/>
    </row>
    <row r="21" ht="367.5" customHeight="1">
      <c r="A21" s="47">
        <v>8.0</v>
      </c>
      <c r="B21" s="49" t="s">
        <v>304</v>
      </c>
      <c r="C21" s="4"/>
      <c r="D21" s="5"/>
      <c r="E21" s="49" t="s">
        <v>305</v>
      </c>
      <c r="F21" s="4"/>
      <c r="G21" s="4"/>
      <c r="H21" s="4"/>
      <c r="I21" s="5"/>
      <c r="J21" s="49" t="s">
        <v>306</v>
      </c>
      <c r="K21" s="4"/>
      <c r="L21" s="4"/>
      <c r="M21" s="4"/>
      <c r="N21" s="4"/>
      <c r="O21" s="4"/>
      <c r="P21" s="5"/>
      <c r="Q21" s="49" t="s">
        <v>307</v>
      </c>
      <c r="R21" s="4"/>
      <c r="S21" s="4"/>
      <c r="T21" s="4"/>
      <c r="U21" s="4"/>
      <c r="V21" s="4"/>
      <c r="W21" s="5"/>
      <c r="X21" s="49" t="s">
        <v>308</v>
      </c>
      <c r="Y21" s="4"/>
      <c r="Z21" s="4"/>
      <c r="AA21" s="4"/>
      <c r="AB21" s="4"/>
      <c r="AC21" s="4"/>
      <c r="AD21" s="5"/>
      <c r="AE21" s="48" t="s">
        <v>233</v>
      </c>
      <c r="AF21" s="5"/>
      <c r="AG21" s="59" t="s">
        <v>37</v>
      </c>
      <c r="AH21" s="4"/>
      <c r="AI21" s="5"/>
      <c r="AJ21" s="60"/>
      <c r="AK21" s="4"/>
      <c r="AL21" s="5"/>
      <c r="AM21" s="59" t="s">
        <v>235</v>
      </c>
      <c r="AN21" s="4"/>
      <c r="AO21" s="5"/>
      <c r="AP21" s="62">
        <v>46168.0</v>
      </c>
      <c r="AQ21" s="4"/>
      <c r="AR21" s="5"/>
      <c r="AS21" s="48"/>
      <c r="AT21" s="4"/>
      <c r="AU21" s="5"/>
      <c r="AV21" s="56" t="s">
        <v>37</v>
      </c>
      <c r="AW21" s="4"/>
      <c r="AX21" s="5"/>
      <c r="AY21" s="48"/>
      <c r="AZ21" s="4"/>
      <c r="BA21" s="5"/>
      <c r="BB21" s="56" t="s">
        <v>222</v>
      </c>
      <c r="BC21" s="4"/>
      <c r="BD21" s="5"/>
      <c r="BE21" s="57">
        <v>46246.0</v>
      </c>
      <c r="BF21" s="4"/>
      <c r="BG21" s="5"/>
      <c r="BH21" s="48"/>
      <c r="BI21" s="4"/>
      <c r="BJ21" s="5"/>
      <c r="BK21" s="49"/>
      <c r="BL21" s="4"/>
      <c r="BM21" s="4"/>
      <c r="BN21" s="4"/>
      <c r="BO21" s="4"/>
      <c r="BP21" s="4"/>
      <c r="BQ21" s="5"/>
    </row>
    <row r="22" ht="288.0" customHeight="1">
      <c r="A22" s="47">
        <v>9.0</v>
      </c>
      <c r="B22" s="49" t="s">
        <v>309</v>
      </c>
      <c r="C22" s="4"/>
      <c r="D22" s="5"/>
      <c r="E22" s="49" t="s">
        <v>310</v>
      </c>
      <c r="F22" s="4"/>
      <c r="G22" s="4"/>
      <c r="H22" s="4"/>
      <c r="I22" s="5"/>
      <c r="J22" s="49" t="s">
        <v>301</v>
      </c>
      <c r="K22" s="4"/>
      <c r="L22" s="4"/>
      <c r="M22" s="4"/>
      <c r="N22" s="4"/>
      <c r="O22" s="4"/>
      <c r="P22" s="5"/>
      <c r="Q22" s="49" t="s">
        <v>311</v>
      </c>
      <c r="R22" s="4"/>
      <c r="S22" s="4"/>
      <c r="T22" s="4"/>
      <c r="U22" s="4"/>
      <c r="V22" s="4"/>
      <c r="W22" s="5"/>
      <c r="X22" s="55" t="s">
        <v>312</v>
      </c>
      <c r="Y22" s="4"/>
      <c r="Z22" s="4"/>
      <c r="AA22" s="4"/>
      <c r="AB22" s="4"/>
      <c r="AC22" s="4"/>
      <c r="AD22" s="5"/>
      <c r="AE22" s="48" t="s">
        <v>233</v>
      </c>
      <c r="AF22" s="5"/>
      <c r="AG22" s="59" t="s">
        <v>37</v>
      </c>
      <c r="AH22" s="4"/>
      <c r="AI22" s="5"/>
      <c r="AJ22" s="60"/>
      <c r="AK22" s="4"/>
      <c r="AL22" s="5"/>
      <c r="AM22" s="59" t="s">
        <v>235</v>
      </c>
      <c r="AN22" s="4"/>
      <c r="AO22" s="5"/>
      <c r="AP22" s="62">
        <v>46168.0</v>
      </c>
      <c r="AQ22" s="4"/>
      <c r="AR22" s="5"/>
      <c r="AS22" s="48"/>
      <c r="AT22" s="4"/>
      <c r="AU22" s="5"/>
      <c r="AV22" s="56" t="s">
        <v>37</v>
      </c>
      <c r="AW22" s="4"/>
      <c r="AX22" s="5"/>
      <c r="AY22" s="48"/>
      <c r="AZ22" s="4"/>
      <c r="BA22" s="5"/>
      <c r="BB22" s="56" t="s">
        <v>222</v>
      </c>
      <c r="BC22" s="4"/>
      <c r="BD22" s="5"/>
      <c r="BE22" s="57">
        <v>46246.0</v>
      </c>
      <c r="BF22" s="4"/>
      <c r="BG22" s="5"/>
      <c r="BH22" s="48"/>
      <c r="BI22" s="4"/>
      <c r="BJ22" s="5"/>
      <c r="BK22" s="49"/>
      <c r="BL22" s="4"/>
      <c r="BM22" s="4"/>
      <c r="BN22" s="4"/>
      <c r="BO22" s="4"/>
      <c r="BP22" s="4"/>
      <c r="BQ22" s="5"/>
    </row>
    <row r="23" ht="319.5" customHeight="1">
      <c r="A23" s="47">
        <v>10.0</v>
      </c>
      <c r="B23" s="49" t="s">
        <v>313</v>
      </c>
      <c r="C23" s="4"/>
      <c r="D23" s="5"/>
      <c r="E23" s="49" t="s">
        <v>314</v>
      </c>
      <c r="F23" s="4"/>
      <c r="G23" s="4"/>
      <c r="H23" s="4"/>
      <c r="I23" s="5"/>
      <c r="J23" s="49" t="s">
        <v>301</v>
      </c>
      <c r="K23" s="4"/>
      <c r="L23" s="4"/>
      <c r="M23" s="4"/>
      <c r="N23" s="4"/>
      <c r="O23" s="4"/>
      <c r="P23" s="5"/>
      <c r="Q23" s="49" t="s">
        <v>315</v>
      </c>
      <c r="R23" s="4"/>
      <c r="S23" s="4"/>
      <c r="T23" s="4"/>
      <c r="U23" s="4"/>
      <c r="V23" s="4"/>
      <c r="W23" s="5"/>
      <c r="X23" s="49" t="s">
        <v>316</v>
      </c>
      <c r="Y23" s="4"/>
      <c r="Z23" s="4"/>
      <c r="AA23" s="4"/>
      <c r="AB23" s="4"/>
      <c r="AC23" s="4"/>
      <c r="AD23" s="5"/>
      <c r="AE23" s="48" t="s">
        <v>233</v>
      </c>
      <c r="AF23" s="5"/>
      <c r="AG23" s="59" t="s">
        <v>37</v>
      </c>
      <c r="AH23" s="4"/>
      <c r="AI23" s="5"/>
      <c r="AJ23" s="60"/>
      <c r="AK23" s="4"/>
      <c r="AL23" s="5"/>
      <c r="AM23" s="59" t="s">
        <v>235</v>
      </c>
      <c r="AN23" s="4"/>
      <c r="AO23" s="5"/>
      <c r="AP23" s="62">
        <v>46168.0</v>
      </c>
      <c r="AQ23" s="4"/>
      <c r="AR23" s="5"/>
      <c r="AS23" s="48"/>
      <c r="AT23" s="4"/>
      <c r="AU23" s="5"/>
      <c r="AV23" s="56" t="s">
        <v>37</v>
      </c>
      <c r="AW23" s="4"/>
      <c r="AX23" s="5"/>
      <c r="AY23" s="48"/>
      <c r="AZ23" s="4"/>
      <c r="BA23" s="5"/>
      <c r="BB23" s="56" t="s">
        <v>222</v>
      </c>
      <c r="BC23" s="4"/>
      <c r="BD23" s="5"/>
      <c r="BE23" s="57">
        <v>46246.0</v>
      </c>
      <c r="BF23" s="4"/>
      <c r="BG23" s="5"/>
      <c r="BH23" s="48"/>
      <c r="BI23" s="4"/>
      <c r="BJ23" s="5"/>
      <c r="BK23" s="49"/>
      <c r="BL23" s="4"/>
      <c r="BM23" s="4"/>
      <c r="BN23" s="4"/>
      <c r="BO23" s="4"/>
      <c r="BP23" s="4"/>
      <c r="BQ23" s="5"/>
    </row>
    <row r="24" ht="319.5" customHeight="1">
      <c r="A24" s="47">
        <v>11.0</v>
      </c>
      <c r="B24" s="49" t="s">
        <v>317</v>
      </c>
      <c r="C24" s="4"/>
      <c r="D24" s="5"/>
      <c r="E24" s="49" t="s">
        <v>318</v>
      </c>
      <c r="F24" s="4"/>
      <c r="G24" s="4"/>
      <c r="H24" s="4"/>
      <c r="I24" s="5"/>
      <c r="J24" s="49" t="s">
        <v>301</v>
      </c>
      <c r="K24" s="4"/>
      <c r="L24" s="4"/>
      <c r="M24" s="4"/>
      <c r="N24" s="4"/>
      <c r="O24" s="4"/>
      <c r="P24" s="5"/>
      <c r="Q24" s="49" t="s">
        <v>319</v>
      </c>
      <c r="R24" s="4"/>
      <c r="S24" s="4"/>
      <c r="T24" s="4"/>
      <c r="U24" s="4"/>
      <c r="V24" s="4"/>
      <c r="W24" s="5"/>
      <c r="X24" s="49" t="s">
        <v>320</v>
      </c>
      <c r="Y24" s="4"/>
      <c r="Z24" s="4"/>
      <c r="AA24" s="4"/>
      <c r="AB24" s="4"/>
      <c r="AC24" s="4"/>
      <c r="AD24" s="5"/>
      <c r="AE24" s="48" t="s">
        <v>233</v>
      </c>
      <c r="AF24" s="5"/>
      <c r="AG24" s="59" t="s">
        <v>37</v>
      </c>
      <c r="AH24" s="4"/>
      <c r="AI24" s="5"/>
      <c r="AJ24" s="60"/>
      <c r="AK24" s="4"/>
      <c r="AL24" s="5"/>
      <c r="AM24" s="59" t="s">
        <v>235</v>
      </c>
      <c r="AN24" s="4"/>
      <c r="AO24" s="5"/>
      <c r="AP24" s="62">
        <v>46168.0</v>
      </c>
      <c r="AQ24" s="4"/>
      <c r="AR24" s="5"/>
      <c r="AS24" s="48"/>
      <c r="AT24" s="4"/>
      <c r="AU24" s="5"/>
      <c r="AV24" s="56" t="s">
        <v>37</v>
      </c>
      <c r="AW24" s="4"/>
      <c r="AX24" s="5"/>
      <c r="AY24" s="48"/>
      <c r="AZ24" s="4"/>
      <c r="BA24" s="5"/>
      <c r="BB24" s="56" t="s">
        <v>222</v>
      </c>
      <c r="BC24" s="4"/>
      <c r="BD24" s="5"/>
      <c r="BE24" s="57">
        <v>46246.0</v>
      </c>
      <c r="BF24" s="4"/>
      <c r="BG24" s="5"/>
      <c r="BH24" s="48"/>
      <c r="BI24" s="4"/>
      <c r="BJ24" s="5"/>
      <c r="BK24" s="49"/>
      <c r="BL24" s="4"/>
      <c r="BM24" s="4"/>
      <c r="BN24" s="4"/>
      <c r="BO24" s="4"/>
      <c r="BP24" s="4"/>
      <c r="BQ24" s="5"/>
    </row>
    <row r="25" ht="22.5" customHeight="1">
      <c r="A25" s="6" t="s">
        <v>321</v>
      </c>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5"/>
    </row>
    <row r="26" ht="223.5" customHeight="1">
      <c r="A26" s="47">
        <v>12.0</v>
      </c>
      <c r="B26" s="49" t="s">
        <v>322</v>
      </c>
      <c r="C26" s="4"/>
      <c r="D26" s="5"/>
      <c r="E26" s="49" t="s">
        <v>323</v>
      </c>
      <c r="F26" s="4"/>
      <c r="G26" s="4"/>
      <c r="H26" s="4"/>
      <c r="I26" s="5"/>
      <c r="J26" s="49" t="s">
        <v>301</v>
      </c>
      <c r="K26" s="4"/>
      <c r="L26" s="4"/>
      <c r="M26" s="4"/>
      <c r="N26" s="4"/>
      <c r="O26" s="4"/>
      <c r="P26" s="5"/>
      <c r="Q26" s="49" t="s">
        <v>324</v>
      </c>
      <c r="R26" s="4"/>
      <c r="S26" s="4"/>
      <c r="T26" s="4"/>
      <c r="U26" s="4"/>
      <c r="V26" s="4"/>
      <c r="W26" s="5"/>
      <c r="X26" s="55" t="s">
        <v>325</v>
      </c>
      <c r="Y26" s="4"/>
      <c r="Z26" s="4"/>
      <c r="AA26" s="4"/>
      <c r="AB26" s="4"/>
      <c r="AC26" s="4"/>
      <c r="AD26" s="5"/>
      <c r="AE26" s="48" t="s">
        <v>233</v>
      </c>
      <c r="AF26" s="5"/>
      <c r="AG26" s="59" t="s">
        <v>37</v>
      </c>
      <c r="AH26" s="4"/>
      <c r="AI26" s="5"/>
      <c r="AJ26" s="60"/>
      <c r="AK26" s="4"/>
      <c r="AL26" s="5"/>
      <c r="AM26" s="59" t="s">
        <v>235</v>
      </c>
      <c r="AN26" s="4"/>
      <c r="AO26" s="5"/>
      <c r="AP26" s="62">
        <v>46168.0</v>
      </c>
      <c r="AQ26" s="4"/>
      <c r="AR26" s="5"/>
      <c r="AS26" s="48"/>
      <c r="AT26" s="4"/>
      <c r="AU26" s="5"/>
      <c r="AV26" s="56" t="s">
        <v>37</v>
      </c>
      <c r="AW26" s="4"/>
      <c r="AX26" s="5"/>
      <c r="AY26" s="48"/>
      <c r="AZ26" s="4"/>
      <c r="BA26" s="5"/>
      <c r="BB26" s="56" t="s">
        <v>222</v>
      </c>
      <c r="BC26" s="4"/>
      <c r="BD26" s="5"/>
      <c r="BE26" s="57">
        <v>46246.0</v>
      </c>
      <c r="BF26" s="4"/>
      <c r="BG26" s="5"/>
      <c r="BH26" s="48"/>
      <c r="BI26" s="4"/>
      <c r="BJ26" s="5"/>
      <c r="BK26" s="49"/>
      <c r="BL26" s="4"/>
      <c r="BM26" s="4"/>
      <c r="BN26" s="4"/>
      <c r="BO26" s="4"/>
      <c r="BP26" s="4"/>
      <c r="BQ26" s="5"/>
    </row>
    <row r="27" ht="288.0" customHeight="1">
      <c r="A27" s="47">
        <v>13.0</v>
      </c>
      <c r="B27" s="49" t="s">
        <v>326</v>
      </c>
      <c r="C27" s="4"/>
      <c r="D27" s="5"/>
      <c r="E27" s="49" t="s">
        <v>327</v>
      </c>
      <c r="F27" s="4"/>
      <c r="G27" s="4"/>
      <c r="H27" s="4"/>
      <c r="I27" s="5"/>
      <c r="J27" s="49" t="s">
        <v>301</v>
      </c>
      <c r="K27" s="4"/>
      <c r="L27" s="4"/>
      <c r="M27" s="4"/>
      <c r="N27" s="4"/>
      <c r="O27" s="4"/>
      <c r="P27" s="5"/>
      <c r="Q27" s="49" t="s">
        <v>328</v>
      </c>
      <c r="R27" s="4"/>
      <c r="S27" s="4"/>
      <c r="T27" s="4"/>
      <c r="U27" s="4"/>
      <c r="V27" s="4"/>
      <c r="W27" s="5"/>
      <c r="X27" s="49" t="s">
        <v>329</v>
      </c>
      <c r="Y27" s="4"/>
      <c r="Z27" s="4"/>
      <c r="AA27" s="4"/>
      <c r="AB27" s="4"/>
      <c r="AC27" s="4"/>
      <c r="AD27" s="5"/>
      <c r="AE27" s="48" t="s">
        <v>233</v>
      </c>
      <c r="AF27" s="5"/>
      <c r="AG27" s="59" t="s">
        <v>37</v>
      </c>
      <c r="AH27" s="4"/>
      <c r="AI27" s="5"/>
      <c r="AJ27" s="60"/>
      <c r="AK27" s="4"/>
      <c r="AL27" s="5"/>
      <c r="AM27" s="59" t="s">
        <v>235</v>
      </c>
      <c r="AN27" s="4"/>
      <c r="AO27" s="5"/>
      <c r="AP27" s="62">
        <v>46168.0</v>
      </c>
      <c r="AQ27" s="4"/>
      <c r="AR27" s="5"/>
      <c r="AS27" s="48"/>
      <c r="AT27" s="4"/>
      <c r="AU27" s="5"/>
      <c r="AV27" s="56" t="s">
        <v>37</v>
      </c>
      <c r="AW27" s="4"/>
      <c r="AX27" s="5"/>
      <c r="AY27" s="48"/>
      <c r="AZ27" s="4"/>
      <c r="BA27" s="5"/>
      <c r="BB27" s="56" t="s">
        <v>222</v>
      </c>
      <c r="BC27" s="4"/>
      <c r="BD27" s="5"/>
      <c r="BE27" s="57">
        <v>46246.0</v>
      </c>
      <c r="BF27" s="4"/>
      <c r="BG27" s="5"/>
      <c r="BH27" s="48"/>
      <c r="BI27" s="4"/>
      <c r="BJ27" s="5"/>
      <c r="BK27" s="49"/>
      <c r="BL27" s="4"/>
      <c r="BM27" s="4"/>
      <c r="BN27" s="4"/>
      <c r="BO27" s="4"/>
      <c r="BP27" s="4"/>
      <c r="BQ27" s="5"/>
    </row>
    <row r="28" ht="240.0" customHeight="1">
      <c r="A28" s="47">
        <v>14.0</v>
      </c>
      <c r="B28" s="49" t="s">
        <v>330</v>
      </c>
      <c r="C28" s="4"/>
      <c r="D28" s="5"/>
      <c r="E28" s="49" t="s">
        <v>331</v>
      </c>
      <c r="F28" s="4"/>
      <c r="G28" s="4"/>
      <c r="H28" s="4"/>
      <c r="I28" s="5"/>
      <c r="J28" s="49" t="s">
        <v>332</v>
      </c>
      <c r="K28" s="4"/>
      <c r="L28" s="4"/>
      <c r="M28" s="4"/>
      <c r="N28" s="4"/>
      <c r="O28" s="4"/>
      <c r="P28" s="5"/>
      <c r="Q28" s="49" t="s">
        <v>333</v>
      </c>
      <c r="R28" s="4"/>
      <c r="S28" s="4"/>
      <c r="T28" s="4"/>
      <c r="U28" s="4"/>
      <c r="V28" s="4"/>
      <c r="W28" s="5"/>
      <c r="X28" s="49" t="s">
        <v>334</v>
      </c>
      <c r="Y28" s="4"/>
      <c r="Z28" s="4"/>
      <c r="AA28" s="4"/>
      <c r="AB28" s="4"/>
      <c r="AC28" s="4"/>
      <c r="AD28" s="5"/>
      <c r="AE28" s="48" t="s">
        <v>233</v>
      </c>
      <c r="AF28" s="5"/>
      <c r="AG28" s="59" t="s">
        <v>37</v>
      </c>
      <c r="AH28" s="4"/>
      <c r="AI28" s="5"/>
      <c r="AJ28" s="60"/>
      <c r="AK28" s="4"/>
      <c r="AL28" s="5"/>
      <c r="AM28" s="59" t="s">
        <v>235</v>
      </c>
      <c r="AN28" s="4"/>
      <c r="AO28" s="5"/>
      <c r="AP28" s="62">
        <v>46168.0</v>
      </c>
      <c r="AQ28" s="4"/>
      <c r="AR28" s="5"/>
      <c r="AS28" s="48"/>
      <c r="AT28" s="4"/>
      <c r="AU28" s="5"/>
      <c r="AV28" s="56" t="s">
        <v>37</v>
      </c>
      <c r="AW28" s="4"/>
      <c r="AX28" s="5"/>
      <c r="AY28" s="48"/>
      <c r="AZ28" s="4"/>
      <c r="BA28" s="5"/>
      <c r="BB28" s="56" t="s">
        <v>222</v>
      </c>
      <c r="BC28" s="4"/>
      <c r="BD28" s="5"/>
      <c r="BE28" s="57">
        <v>46246.0</v>
      </c>
      <c r="BF28" s="4"/>
      <c r="BG28" s="5"/>
      <c r="BH28" s="48"/>
      <c r="BI28" s="4"/>
      <c r="BJ28" s="5"/>
      <c r="BK28" s="49"/>
      <c r="BL28" s="4"/>
      <c r="BM28" s="4"/>
      <c r="BN28" s="4"/>
      <c r="BO28" s="4"/>
      <c r="BP28" s="4"/>
      <c r="BQ28" s="5"/>
    </row>
    <row r="29" ht="22.5" customHeight="1">
      <c r="A29" s="6" t="s">
        <v>335</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5"/>
    </row>
    <row r="30" ht="336.0" customHeight="1">
      <c r="A30" s="47">
        <v>15.0</v>
      </c>
      <c r="B30" s="49" t="s">
        <v>336</v>
      </c>
      <c r="C30" s="4"/>
      <c r="D30" s="5"/>
      <c r="E30" s="49" t="s">
        <v>337</v>
      </c>
      <c r="F30" s="4"/>
      <c r="G30" s="4"/>
      <c r="H30" s="4"/>
      <c r="I30" s="5"/>
      <c r="J30" s="49" t="s">
        <v>338</v>
      </c>
      <c r="K30" s="4"/>
      <c r="L30" s="4"/>
      <c r="M30" s="4"/>
      <c r="N30" s="4"/>
      <c r="O30" s="4"/>
      <c r="P30" s="5"/>
      <c r="Q30" s="49" t="s">
        <v>339</v>
      </c>
      <c r="R30" s="4"/>
      <c r="S30" s="4"/>
      <c r="T30" s="4"/>
      <c r="U30" s="4"/>
      <c r="V30" s="4"/>
      <c r="W30" s="5"/>
      <c r="X30" s="49" t="s">
        <v>340</v>
      </c>
      <c r="Y30" s="4"/>
      <c r="Z30" s="4"/>
      <c r="AA30" s="4"/>
      <c r="AB30" s="4"/>
      <c r="AC30" s="4"/>
      <c r="AD30" s="5"/>
      <c r="AE30" s="48" t="s">
        <v>233</v>
      </c>
      <c r="AF30" s="5"/>
      <c r="AG30" s="59" t="s">
        <v>37</v>
      </c>
      <c r="AH30" s="4"/>
      <c r="AI30" s="5"/>
      <c r="AJ30" s="60"/>
      <c r="AK30" s="4"/>
      <c r="AL30" s="5"/>
      <c r="AM30" s="59" t="s">
        <v>235</v>
      </c>
      <c r="AN30" s="4"/>
      <c r="AO30" s="5"/>
      <c r="AP30" s="62">
        <v>46168.0</v>
      </c>
      <c r="AQ30" s="4"/>
      <c r="AR30" s="5"/>
      <c r="AS30" s="48"/>
      <c r="AT30" s="4"/>
      <c r="AU30" s="5"/>
      <c r="AV30" s="56" t="s">
        <v>37</v>
      </c>
      <c r="AW30" s="4"/>
      <c r="AX30" s="5"/>
      <c r="AY30" s="48"/>
      <c r="AZ30" s="4"/>
      <c r="BA30" s="5"/>
      <c r="BB30" s="56" t="s">
        <v>222</v>
      </c>
      <c r="BC30" s="4"/>
      <c r="BD30" s="5"/>
      <c r="BE30" s="57">
        <v>46246.0</v>
      </c>
      <c r="BF30" s="4"/>
      <c r="BG30" s="5"/>
      <c r="BH30" s="48"/>
      <c r="BI30" s="4"/>
      <c r="BJ30" s="5"/>
      <c r="BK30" s="49"/>
      <c r="BL30" s="4"/>
      <c r="BM30" s="4"/>
      <c r="BN30" s="4"/>
      <c r="BO30" s="4"/>
      <c r="BP30" s="4"/>
      <c r="BQ30" s="5"/>
    </row>
    <row r="31" ht="223.5" customHeight="1">
      <c r="A31" s="47">
        <v>16.0</v>
      </c>
      <c r="B31" s="49" t="s">
        <v>341</v>
      </c>
      <c r="C31" s="4"/>
      <c r="D31" s="5"/>
      <c r="E31" s="49" t="s">
        <v>342</v>
      </c>
      <c r="F31" s="4"/>
      <c r="G31" s="4"/>
      <c r="H31" s="4"/>
      <c r="I31" s="5"/>
      <c r="J31" s="49" t="s">
        <v>343</v>
      </c>
      <c r="K31" s="4"/>
      <c r="L31" s="4"/>
      <c r="M31" s="4"/>
      <c r="N31" s="4"/>
      <c r="O31" s="4"/>
      <c r="P31" s="5"/>
      <c r="Q31" s="49" t="s">
        <v>344</v>
      </c>
      <c r="R31" s="4"/>
      <c r="S31" s="4"/>
      <c r="T31" s="4"/>
      <c r="U31" s="4"/>
      <c r="V31" s="4"/>
      <c r="W31" s="5"/>
      <c r="X31" s="49" t="s">
        <v>345</v>
      </c>
      <c r="Y31" s="4"/>
      <c r="Z31" s="4"/>
      <c r="AA31" s="4"/>
      <c r="AB31" s="4"/>
      <c r="AC31" s="4"/>
      <c r="AD31" s="5"/>
      <c r="AE31" s="48" t="s">
        <v>233</v>
      </c>
      <c r="AF31" s="5"/>
      <c r="AG31" s="59" t="s">
        <v>37</v>
      </c>
      <c r="AH31" s="4"/>
      <c r="AI31" s="5"/>
      <c r="AJ31" s="60"/>
      <c r="AK31" s="4"/>
      <c r="AL31" s="5"/>
      <c r="AM31" s="59" t="s">
        <v>235</v>
      </c>
      <c r="AN31" s="4"/>
      <c r="AO31" s="5"/>
      <c r="AP31" s="62">
        <v>46168.0</v>
      </c>
      <c r="AQ31" s="4"/>
      <c r="AR31" s="5"/>
      <c r="AS31" s="48"/>
      <c r="AT31" s="4"/>
      <c r="AU31" s="5"/>
      <c r="AV31" s="56" t="s">
        <v>37</v>
      </c>
      <c r="AW31" s="4"/>
      <c r="AX31" s="5"/>
      <c r="AY31" s="48"/>
      <c r="AZ31" s="4"/>
      <c r="BA31" s="5"/>
      <c r="BB31" s="56" t="s">
        <v>222</v>
      </c>
      <c r="BC31" s="4"/>
      <c r="BD31" s="5"/>
      <c r="BE31" s="57">
        <v>46246.0</v>
      </c>
      <c r="BF31" s="4"/>
      <c r="BG31" s="5"/>
      <c r="BH31" s="48"/>
      <c r="BI31" s="4"/>
      <c r="BJ31" s="5"/>
      <c r="BK31" s="49"/>
      <c r="BL31" s="4"/>
      <c r="BM31" s="4"/>
      <c r="BN31" s="4"/>
      <c r="BO31" s="4"/>
      <c r="BP31" s="4"/>
      <c r="BQ31" s="5"/>
    </row>
    <row r="32" ht="207.75" customHeight="1">
      <c r="A32" s="47">
        <v>17.0</v>
      </c>
      <c r="B32" s="49" t="s">
        <v>346</v>
      </c>
      <c r="C32" s="4"/>
      <c r="D32" s="5"/>
      <c r="E32" s="49" t="s">
        <v>347</v>
      </c>
      <c r="F32" s="4"/>
      <c r="G32" s="4"/>
      <c r="H32" s="4"/>
      <c r="I32" s="5"/>
      <c r="J32" s="49" t="s">
        <v>348</v>
      </c>
      <c r="K32" s="4"/>
      <c r="L32" s="4"/>
      <c r="M32" s="4"/>
      <c r="N32" s="4"/>
      <c r="O32" s="4"/>
      <c r="P32" s="5"/>
      <c r="Q32" s="55" t="s">
        <v>349</v>
      </c>
      <c r="R32" s="4"/>
      <c r="S32" s="4"/>
      <c r="T32" s="4"/>
      <c r="U32" s="4"/>
      <c r="V32" s="4"/>
      <c r="W32" s="5"/>
      <c r="X32" s="49" t="s">
        <v>350</v>
      </c>
      <c r="Y32" s="4"/>
      <c r="Z32" s="4"/>
      <c r="AA32" s="4"/>
      <c r="AB32" s="4"/>
      <c r="AC32" s="4"/>
      <c r="AD32" s="5"/>
      <c r="AE32" s="48" t="s">
        <v>233</v>
      </c>
      <c r="AF32" s="5"/>
      <c r="AG32" s="59" t="s">
        <v>37</v>
      </c>
      <c r="AH32" s="4"/>
      <c r="AI32" s="5"/>
      <c r="AJ32" s="60"/>
      <c r="AK32" s="4"/>
      <c r="AL32" s="5"/>
      <c r="AM32" s="59" t="s">
        <v>235</v>
      </c>
      <c r="AN32" s="4"/>
      <c r="AO32" s="5"/>
      <c r="AP32" s="62">
        <v>46168.0</v>
      </c>
      <c r="AQ32" s="4"/>
      <c r="AR32" s="5"/>
      <c r="AS32" s="48"/>
      <c r="AT32" s="4"/>
      <c r="AU32" s="5"/>
      <c r="AV32" s="56" t="s">
        <v>37</v>
      </c>
      <c r="AW32" s="4"/>
      <c r="AX32" s="5"/>
      <c r="AY32" s="48"/>
      <c r="AZ32" s="4"/>
      <c r="BA32" s="5"/>
      <c r="BB32" s="56" t="s">
        <v>222</v>
      </c>
      <c r="BC32" s="4"/>
      <c r="BD32" s="5"/>
      <c r="BE32" s="57">
        <v>46246.0</v>
      </c>
      <c r="BF32" s="4"/>
      <c r="BG32" s="5"/>
      <c r="BH32" s="48"/>
      <c r="BI32" s="4"/>
      <c r="BJ32" s="5"/>
      <c r="BK32" s="49"/>
      <c r="BL32" s="4"/>
      <c r="BM32" s="4"/>
      <c r="BN32" s="4"/>
      <c r="BO32" s="4"/>
      <c r="BP32" s="4"/>
      <c r="BQ32" s="5"/>
    </row>
    <row r="33" ht="192.0" customHeight="1">
      <c r="A33" s="47">
        <v>18.0</v>
      </c>
      <c r="B33" s="49" t="s">
        <v>351</v>
      </c>
      <c r="C33" s="4"/>
      <c r="D33" s="5"/>
      <c r="E33" s="49" t="s">
        <v>352</v>
      </c>
      <c r="F33" s="4"/>
      <c r="G33" s="4"/>
      <c r="H33" s="4"/>
      <c r="I33" s="5"/>
      <c r="J33" s="49" t="s">
        <v>353</v>
      </c>
      <c r="K33" s="4"/>
      <c r="L33" s="4"/>
      <c r="M33" s="4"/>
      <c r="N33" s="4"/>
      <c r="O33" s="4"/>
      <c r="P33" s="5"/>
      <c r="Q33" s="55" t="s">
        <v>354</v>
      </c>
      <c r="R33" s="4"/>
      <c r="S33" s="4"/>
      <c r="T33" s="4"/>
      <c r="U33" s="4"/>
      <c r="V33" s="4"/>
      <c r="W33" s="5"/>
      <c r="X33" s="49" t="s">
        <v>355</v>
      </c>
      <c r="Y33" s="4"/>
      <c r="Z33" s="4"/>
      <c r="AA33" s="4"/>
      <c r="AB33" s="4"/>
      <c r="AC33" s="4"/>
      <c r="AD33" s="5"/>
      <c r="AE33" s="48" t="s">
        <v>233</v>
      </c>
      <c r="AF33" s="5"/>
      <c r="AG33" s="59" t="s">
        <v>37</v>
      </c>
      <c r="AH33" s="4"/>
      <c r="AI33" s="5"/>
      <c r="AJ33" s="60"/>
      <c r="AK33" s="4"/>
      <c r="AL33" s="5"/>
      <c r="AM33" s="59" t="s">
        <v>235</v>
      </c>
      <c r="AN33" s="4"/>
      <c r="AO33" s="5"/>
      <c r="AP33" s="62">
        <v>46168.0</v>
      </c>
      <c r="AQ33" s="4"/>
      <c r="AR33" s="5"/>
      <c r="AS33" s="48"/>
      <c r="AT33" s="4"/>
      <c r="AU33" s="5"/>
      <c r="AV33" s="56" t="s">
        <v>37</v>
      </c>
      <c r="AW33" s="4"/>
      <c r="AX33" s="5"/>
      <c r="AY33" s="48"/>
      <c r="AZ33" s="4"/>
      <c r="BA33" s="5"/>
      <c r="BB33" s="56" t="s">
        <v>222</v>
      </c>
      <c r="BC33" s="4"/>
      <c r="BD33" s="5"/>
      <c r="BE33" s="57">
        <v>46246.0</v>
      </c>
      <c r="BF33" s="4"/>
      <c r="BG33" s="5"/>
      <c r="BH33" s="48"/>
      <c r="BI33" s="4"/>
      <c r="BJ33" s="5"/>
      <c r="BK33" s="49"/>
      <c r="BL33" s="4"/>
      <c r="BM33" s="4"/>
      <c r="BN33" s="4"/>
      <c r="BO33" s="4"/>
      <c r="BP33" s="4"/>
      <c r="BQ33" s="5"/>
    </row>
    <row r="34" ht="207.75" customHeight="1">
      <c r="A34" s="47">
        <v>19.0</v>
      </c>
      <c r="B34" s="49" t="s">
        <v>356</v>
      </c>
      <c r="C34" s="4"/>
      <c r="D34" s="5"/>
      <c r="E34" s="49" t="s">
        <v>357</v>
      </c>
      <c r="F34" s="4"/>
      <c r="G34" s="4"/>
      <c r="H34" s="4"/>
      <c r="I34" s="5"/>
      <c r="J34" s="49" t="s">
        <v>358</v>
      </c>
      <c r="K34" s="4"/>
      <c r="L34" s="4"/>
      <c r="M34" s="4"/>
      <c r="N34" s="4"/>
      <c r="O34" s="4"/>
      <c r="P34" s="5"/>
      <c r="Q34" s="49" t="s">
        <v>359</v>
      </c>
      <c r="R34" s="4"/>
      <c r="S34" s="4"/>
      <c r="T34" s="4"/>
      <c r="U34" s="4"/>
      <c r="V34" s="4"/>
      <c r="W34" s="5"/>
      <c r="X34" s="55" t="s">
        <v>360</v>
      </c>
      <c r="Y34" s="4"/>
      <c r="Z34" s="4"/>
      <c r="AA34" s="4"/>
      <c r="AB34" s="4"/>
      <c r="AC34" s="4"/>
      <c r="AD34" s="5"/>
      <c r="AE34" s="48" t="s">
        <v>233</v>
      </c>
      <c r="AF34" s="5"/>
      <c r="AG34" s="59" t="s">
        <v>37</v>
      </c>
      <c r="AH34" s="4"/>
      <c r="AI34" s="5"/>
      <c r="AJ34" s="60"/>
      <c r="AK34" s="4"/>
      <c r="AL34" s="5"/>
      <c r="AM34" s="59" t="s">
        <v>235</v>
      </c>
      <c r="AN34" s="4"/>
      <c r="AO34" s="5"/>
      <c r="AP34" s="62">
        <v>46168.0</v>
      </c>
      <c r="AQ34" s="4"/>
      <c r="AR34" s="5"/>
      <c r="AS34" s="48"/>
      <c r="AT34" s="4"/>
      <c r="AU34" s="5"/>
      <c r="AV34" s="56" t="s">
        <v>37</v>
      </c>
      <c r="AW34" s="4"/>
      <c r="AX34" s="5"/>
      <c r="AY34" s="48"/>
      <c r="AZ34" s="4"/>
      <c r="BA34" s="5"/>
      <c r="BB34" s="56" t="s">
        <v>222</v>
      </c>
      <c r="BC34" s="4"/>
      <c r="BD34" s="5"/>
      <c r="BE34" s="57">
        <v>46246.0</v>
      </c>
      <c r="BF34" s="4"/>
      <c r="BG34" s="5"/>
      <c r="BH34" s="48"/>
      <c r="BI34" s="4"/>
      <c r="BJ34" s="5"/>
      <c r="BK34" s="49"/>
      <c r="BL34" s="4"/>
      <c r="BM34" s="4"/>
      <c r="BN34" s="4"/>
      <c r="BO34" s="4"/>
      <c r="BP34" s="4"/>
      <c r="BQ34" s="5"/>
    </row>
    <row r="35" ht="192.0" customHeight="1">
      <c r="A35" s="47">
        <v>20.0</v>
      </c>
      <c r="B35" s="49" t="s">
        <v>361</v>
      </c>
      <c r="C35" s="4"/>
      <c r="D35" s="5"/>
      <c r="E35" s="49" t="s">
        <v>362</v>
      </c>
      <c r="F35" s="4"/>
      <c r="G35" s="4"/>
      <c r="H35" s="4"/>
      <c r="I35" s="5"/>
      <c r="J35" s="49" t="s">
        <v>363</v>
      </c>
      <c r="K35" s="4"/>
      <c r="L35" s="4"/>
      <c r="M35" s="4"/>
      <c r="N35" s="4"/>
      <c r="O35" s="4"/>
      <c r="P35" s="5"/>
      <c r="Q35" s="49" t="s">
        <v>364</v>
      </c>
      <c r="R35" s="4"/>
      <c r="S35" s="4"/>
      <c r="T35" s="4"/>
      <c r="U35" s="4"/>
      <c r="V35" s="4"/>
      <c r="W35" s="5"/>
      <c r="X35" s="49" t="s">
        <v>365</v>
      </c>
      <c r="Y35" s="4"/>
      <c r="Z35" s="4"/>
      <c r="AA35" s="4"/>
      <c r="AB35" s="4"/>
      <c r="AC35" s="4"/>
      <c r="AD35" s="5"/>
      <c r="AE35" s="48" t="s">
        <v>233</v>
      </c>
      <c r="AF35" s="5"/>
      <c r="AG35" s="59" t="s">
        <v>37</v>
      </c>
      <c r="AH35" s="4"/>
      <c r="AI35" s="5"/>
      <c r="AJ35" s="60"/>
      <c r="AK35" s="4"/>
      <c r="AL35" s="5"/>
      <c r="AM35" s="59" t="s">
        <v>235</v>
      </c>
      <c r="AN35" s="4"/>
      <c r="AO35" s="5"/>
      <c r="AP35" s="62">
        <v>46168.0</v>
      </c>
      <c r="AQ35" s="4"/>
      <c r="AR35" s="5"/>
      <c r="AS35" s="48"/>
      <c r="AT35" s="4"/>
      <c r="AU35" s="5"/>
      <c r="AV35" s="56" t="s">
        <v>37</v>
      </c>
      <c r="AW35" s="4"/>
      <c r="AX35" s="5"/>
      <c r="AY35" s="48"/>
      <c r="AZ35" s="4"/>
      <c r="BA35" s="5"/>
      <c r="BB35" s="56" t="s">
        <v>222</v>
      </c>
      <c r="BC35" s="4"/>
      <c r="BD35" s="5"/>
      <c r="BE35" s="57">
        <v>46246.0</v>
      </c>
      <c r="BF35" s="4"/>
      <c r="BG35" s="5"/>
      <c r="BH35" s="48"/>
      <c r="BI35" s="4"/>
      <c r="BJ35" s="5"/>
      <c r="BK35" s="49"/>
      <c r="BL35" s="4"/>
      <c r="BM35" s="4"/>
      <c r="BN35" s="4"/>
      <c r="BO35" s="4"/>
      <c r="BP35" s="4"/>
      <c r="BQ35" s="5"/>
    </row>
    <row r="36" ht="223.5" customHeight="1">
      <c r="A36" s="47">
        <v>21.0</v>
      </c>
      <c r="B36" s="49" t="s">
        <v>366</v>
      </c>
      <c r="C36" s="4"/>
      <c r="D36" s="5"/>
      <c r="E36" s="49" t="s">
        <v>367</v>
      </c>
      <c r="F36" s="4"/>
      <c r="G36" s="4"/>
      <c r="H36" s="4"/>
      <c r="I36" s="5"/>
      <c r="J36" s="49" t="s">
        <v>368</v>
      </c>
      <c r="K36" s="4"/>
      <c r="L36" s="4"/>
      <c r="M36" s="4"/>
      <c r="N36" s="4"/>
      <c r="O36" s="4"/>
      <c r="P36" s="5"/>
      <c r="Q36" s="55" t="s">
        <v>369</v>
      </c>
      <c r="R36" s="4"/>
      <c r="S36" s="4"/>
      <c r="T36" s="4"/>
      <c r="U36" s="4"/>
      <c r="V36" s="4"/>
      <c r="W36" s="5"/>
      <c r="X36" s="49" t="s">
        <v>370</v>
      </c>
      <c r="Y36" s="4"/>
      <c r="Z36" s="4"/>
      <c r="AA36" s="4"/>
      <c r="AB36" s="4"/>
      <c r="AC36" s="4"/>
      <c r="AD36" s="5"/>
      <c r="AE36" s="48" t="s">
        <v>233</v>
      </c>
      <c r="AF36" s="5"/>
      <c r="AG36" s="59" t="s">
        <v>37</v>
      </c>
      <c r="AH36" s="4"/>
      <c r="AI36" s="5"/>
      <c r="AJ36" s="60"/>
      <c r="AK36" s="4"/>
      <c r="AL36" s="5"/>
      <c r="AM36" s="59" t="s">
        <v>235</v>
      </c>
      <c r="AN36" s="4"/>
      <c r="AO36" s="5"/>
      <c r="AP36" s="62">
        <v>46168.0</v>
      </c>
      <c r="AQ36" s="4"/>
      <c r="AR36" s="5"/>
      <c r="AS36" s="48"/>
      <c r="AT36" s="4"/>
      <c r="AU36" s="5"/>
      <c r="AV36" s="56" t="s">
        <v>37</v>
      </c>
      <c r="AW36" s="4"/>
      <c r="AX36" s="5"/>
      <c r="AY36" s="48"/>
      <c r="AZ36" s="4"/>
      <c r="BA36" s="5"/>
      <c r="BB36" s="56" t="s">
        <v>222</v>
      </c>
      <c r="BC36" s="4"/>
      <c r="BD36" s="5"/>
      <c r="BE36" s="57">
        <v>46246.0</v>
      </c>
      <c r="BF36" s="4"/>
      <c r="BG36" s="5"/>
      <c r="BH36" s="48"/>
      <c r="BI36" s="4"/>
      <c r="BJ36" s="5"/>
      <c r="BK36" s="49"/>
      <c r="BL36" s="4"/>
      <c r="BM36" s="4"/>
      <c r="BN36" s="4"/>
      <c r="BO36" s="4"/>
      <c r="BP36" s="4"/>
      <c r="BQ36" s="5"/>
    </row>
    <row r="37" ht="207.75" customHeight="1">
      <c r="A37" s="47">
        <v>22.0</v>
      </c>
      <c r="B37" s="49" t="s">
        <v>371</v>
      </c>
      <c r="C37" s="4"/>
      <c r="D37" s="5"/>
      <c r="E37" s="49" t="s">
        <v>372</v>
      </c>
      <c r="F37" s="4"/>
      <c r="G37" s="4"/>
      <c r="H37" s="4"/>
      <c r="I37" s="5"/>
      <c r="J37" s="49" t="s">
        <v>368</v>
      </c>
      <c r="K37" s="4"/>
      <c r="L37" s="4"/>
      <c r="M37" s="4"/>
      <c r="N37" s="4"/>
      <c r="O37" s="4"/>
      <c r="P37" s="5"/>
      <c r="Q37" s="49" t="s">
        <v>373</v>
      </c>
      <c r="R37" s="4"/>
      <c r="S37" s="4"/>
      <c r="T37" s="4"/>
      <c r="U37" s="4"/>
      <c r="V37" s="4"/>
      <c r="W37" s="5"/>
      <c r="X37" s="49" t="s">
        <v>374</v>
      </c>
      <c r="Y37" s="4"/>
      <c r="Z37" s="4"/>
      <c r="AA37" s="4"/>
      <c r="AB37" s="4"/>
      <c r="AC37" s="4"/>
      <c r="AD37" s="5"/>
      <c r="AE37" s="48" t="s">
        <v>233</v>
      </c>
      <c r="AF37" s="5"/>
      <c r="AG37" s="59" t="s">
        <v>37</v>
      </c>
      <c r="AH37" s="4"/>
      <c r="AI37" s="5"/>
      <c r="AJ37" s="60"/>
      <c r="AK37" s="4"/>
      <c r="AL37" s="5"/>
      <c r="AM37" s="59" t="s">
        <v>235</v>
      </c>
      <c r="AN37" s="4"/>
      <c r="AO37" s="5"/>
      <c r="AP37" s="62">
        <v>46168.0</v>
      </c>
      <c r="AQ37" s="4"/>
      <c r="AR37" s="5"/>
      <c r="AS37" s="48"/>
      <c r="AT37" s="4"/>
      <c r="AU37" s="5"/>
      <c r="AV37" s="56" t="s">
        <v>37</v>
      </c>
      <c r="AW37" s="4"/>
      <c r="AX37" s="5"/>
      <c r="AY37" s="48"/>
      <c r="AZ37" s="4"/>
      <c r="BA37" s="5"/>
      <c r="BB37" s="56" t="s">
        <v>222</v>
      </c>
      <c r="BC37" s="4"/>
      <c r="BD37" s="5"/>
      <c r="BE37" s="57">
        <v>46246.0</v>
      </c>
      <c r="BF37" s="4"/>
      <c r="BG37" s="5"/>
      <c r="BH37" s="48"/>
      <c r="BI37" s="4"/>
      <c r="BJ37" s="5"/>
      <c r="BK37" s="49"/>
      <c r="BL37" s="4"/>
      <c r="BM37" s="4"/>
      <c r="BN37" s="4"/>
      <c r="BO37" s="4"/>
      <c r="BP37" s="4"/>
      <c r="BQ37" s="5"/>
    </row>
    <row r="38" ht="271.5" customHeight="1">
      <c r="A38" s="47">
        <v>23.0</v>
      </c>
      <c r="B38" s="49" t="s">
        <v>375</v>
      </c>
      <c r="C38" s="4"/>
      <c r="D38" s="5"/>
      <c r="E38" s="49" t="s">
        <v>376</v>
      </c>
      <c r="F38" s="4"/>
      <c r="G38" s="4"/>
      <c r="H38" s="4"/>
      <c r="I38" s="5"/>
      <c r="J38" s="49" t="s">
        <v>377</v>
      </c>
      <c r="K38" s="4"/>
      <c r="L38" s="4"/>
      <c r="M38" s="4"/>
      <c r="N38" s="4"/>
      <c r="O38" s="4"/>
      <c r="P38" s="5"/>
      <c r="Q38" s="55" t="s">
        <v>378</v>
      </c>
      <c r="R38" s="4"/>
      <c r="S38" s="4"/>
      <c r="T38" s="4"/>
      <c r="U38" s="4"/>
      <c r="V38" s="4"/>
      <c r="W38" s="5"/>
      <c r="X38" s="55" t="s">
        <v>379</v>
      </c>
      <c r="Y38" s="4"/>
      <c r="Z38" s="4"/>
      <c r="AA38" s="4"/>
      <c r="AB38" s="4"/>
      <c r="AC38" s="4"/>
      <c r="AD38" s="5"/>
      <c r="AE38" s="48" t="s">
        <v>233</v>
      </c>
      <c r="AF38" s="5"/>
      <c r="AG38" s="59" t="s">
        <v>37</v>
      </c>
      <c r="AH38" s="4"/>
      <c r="AI38" s="5"/>
      <c r="AJ38" s="60"/>
      <c r="AK38" s="4"/>
      <c r="AL38" s="5"/>
      <c r="AM38" s="59" t="s">
        <v>235</v>
      </c>
      <c r="AN38" s="4"/>
      <c r="AO38" s="5"/>
      <c r="AP38" s="62">
        <v>46168.0</v>
      </c>
      <c r="AQ38" s="4"/>
      <c r="AR38" s="5"/>
      <c r="AS38" s="48"/>
      <c r="AT38" s="4"/>
      <c r="AU38" s="5"/>
      <c r="AV38" s="56" t="s">
        <v>37</v>
      </c>
      <c r="AW38" s="4"/>
      <c r="AX38" s="5"/>
      <c r="AY38" s="48"/>
      <c r="AZ38" s="4"/>
      <c r="BA38" s="5"/>
      <c r="BB38" s="56" t="s">
        <v>222</v>
      </c>
      <c r="BC38" s="4"/>
      <c r="BD38" s="5"/>
      <c r="BE38" s="57">
        <v>46246.0</v>
      </c>
      <c r="BF38" s="4"/>
      <c r="BG38" s="5"/>
      <c r="BH38" s="48"/>
      <c r="BI38" s="4"/>
      <c r="BJ38" s="5"/>
      <c r="BK38" s="49"/>
      <c r="BL38" s="4"/>
      <c r="BM38" s="4"/>
      <c r="BN38" s="4"/>
      <c r="BO38" s="4"/>
      <c r="BP38" s="4"/>
      <c r="BQ38" s="5"/>
    </row>
    <row r="39" ht="207.75" customHeight="1">
      <c r="A39" s="47">
        <v>24.0</v>
      </c>
      <c r="B39" s="49" t="s">
        <v>380</v>
      </c>
      <c r="C39" s="4"/>
      <c r="D39" s="5"/>
      <c r="E39" s="49" t="s">
        <v>381</v>
      </c>
      <c r="F39" s="4"/>
      <c r="G39" s="4"/>
      <c r="H39" s="4"/>
      <c r="I39" s="5"/>
      <c r="J39" s="49" t="s">
        <v>382</v>
      </c>
      <c r="K39" s="4"/>
      <c r="L39" s="4"/>
      <c r="M39" s="4"/>
      <c r="N39" s="4"/>
      <c r="O39" s="4"/>
      <c r="P39" s="5"/>
      <c r="Q39" s="49" t="s">
        <v>383</v>
      </c>
      <c r="R39" s="4"/>
      <c r="S39" s="4"/>
      <c r="T39" s="4"/>
      <c r="U39" s="4"/>
      <c r="V39" s="4"/>
      <c r="W39" s="5"/>
      <c r="X39" s="49" t="s">
        <v>384</v>
      </c>
      <c r="Y39" s="4"/>
      <c r="Z39" s="4"/>
      <c r="AA39" s="4"/>
      <c r="AB39" s="4"/>
      <c r="AC39" s="4"/>
      <c r="AD39" s="5"/>
      <c r="AE39" s="48" t="s">
        <v>233</v>
      </c>
      <c r="AF39" s="5"/>
      <c r="AG39" s="59" t="s">
        <v>37</v>
      </c>
      <c r="AH39" s="4"/>
      <c r="AI39" s="5"/>
      <c r="AJ39" s="60"/>
      <c r="AK39" s="4"/>
      <c r="AL39" s="5"/>
      <c r="AM39" s="59" t="s">
        <v>235</v>
      </c>
      <c r="AN39" s="4"/>
      <c r="AO39" s="5"/>
      <c r="AP39" s="62">
        <v>46168.0</v>
      </c>
      <c r="AQ39" s="4"/>
      <c r="AR39" s="5"/>
      <c r="AS39" s="48"/>
      <c r="AT39" s="4"/>
      <c r="AU39" s="5"/>
      <c r="AV39" s="56" t="s">
        <v>37</v>
      </c>
      <c r="AW39" s="4"/>
      <c r="AX39" s="5"/>
      <c r="AY39" s="48"/>
      <c r="AZ39" s="4"/>
      <c r="BA39" s="5"/>
      <c r="BB39" s="56" t="s">
        <v>222</v>
      </c>
      <c r="BC39" s="4"/>
      <c r="BD39" s="5"/>
      <c r="BE39" s="57">
        <v>46246.0</v>
      </c>
      <c r="BF39" s="4"/>
      <c r="BG39" s="5"/>
      <c r="BH39" s="48"/>
      <c r="BI39" s="4"/>
      <c r="BJ39" s="5"/>
      <c r="BK39" s="49"/>
      <c r="BL39" s="4"/>
      <c r="BM39" s="4"/>
      <c r="BN39" s="4"/>
      <c r="BO39" s="4"/>
      <c r="BP39" s="4"/>
      <c r="BQ39" s="5"/>
    </row>
    <row r="40" ht="223.5" customHeight="1">
      <c r="A40" s="47">
        <v>25.0</v>
      </c>
      <c r="B40" s="49" t="s">
        <v>385</v>
      </c>
      <c r="C40" s="4"/>
      <c r="D40" s="5"/>
      <c r="E40" s="49" t="s">
        <v>386</v>
      </c>
      <c r="F40" s="4"/>
      <c r="G40" s="4"/>
      <c r="H40" s="4"/>
      <c r="I40" s="5"/>
      <c r="J40" s="49" t="s">
        <v>301</v>
      </c>
      <c r="K40" s="4"/>
      <c r="L40" s="4"/>
      <c r="M40" s="4"/>
      <c r="N40" s="4"/>
      <c r="O40" s="4"/>
      <c r="P40" s="5"/>
      <c r="Q40" s="55" t="s">
        <v>387</v>
      </c>
      <c r="R40" s="4"/>
      <c r="S40" s="4"/>
      <c r="T40" s="4"/>
      <c r="U40" s="4"/>
      <c r="V40" s="4"/>
      <c r="W40" s="5"/>
      <c r="X40" s="49" t="s">
        <v>388</v>
      </c>
      <c r="Y40" s="4"/>
      <c r="Z40" s="4"/>
      <c r="AA40" s="4"/>
      <c r="AB40" s="4"/>
      <c r="AC40" s="4"/>
      <c r="AD40" s="5"/>
      <c r="AE40" s="48" t="s">
        <v>266</v>
      </c>
      <c r="AF40" s="5"/>
      <c r="AG40" s="59" t="s">
        <v>37</v>
      </c>
      <c r="AH40" s="4"/>
      <c r="AI40" s="5"/>
      <c r="AJ40" s="60"/>
      <c r="AK40" s="4"/>
      <c r="AL40" s="5"/>
      <c r="AM40" s="59" t="s">
        <v>235</v>
      </c>
      <c r="AN40" s="4"/>
      <c r="AO40" s="5"/>
      <c r="AP40" s="62">
        <v>46168.0</v>
      </c>
      <c r="AQ40" s="4"/>
      <c r="AR40" s="5"/>
      <c r="AS40" s="48"/>
      <c r="AT40" s="4"/>
      <c r="AU40" s="5"/>
      <c r="AV40" s="56" t="s">
        <v>37</v>
      </c>
      <c r="AW40" s="4"/>
      <c r="AX40" s="5"/>
      <c r="AY40" s="48"/>
      <c r="AZ40" s="4"/>
      <c r="BA40" s="5"/>
      <c r="BB40" s="56" t="s">
        <v>222</v>
      </c>
      <c r="BC40" s="4"/>
      <c r="BD40" s="5"/>
      <c r="BE40" s="57">
        <v>46246.0</v>
      </c>
      <c r="BF40" s="4"/>
      <c r="BG40" s="5"/>
      <c r="BH40" s="48"/>
      <c r="BI40" s="4"/>
      <c r="BJ40" s="5"/>
      <c r="BK40" s="49"/>
      <c r="BL40" s="4"/>
      <c r="BM40" s="4"/>
      <c r="BN40" s="4"/>
      <c r="BO40" s="4"/>
      <c r="BP40" s="4"/>
      <c r="BQ40" s="5"/>
    </row>
    <row r="41" ht="192.0" customHeight="1">
      <c r="A41" s="47">
        <v>26.0</v>
      </c>
      <c r="B41" s="49" t="s">
        <v>389</v>
      </c>
      <c r="C41" s="4"/>
      <c r="D41" s="5"/>
      <c r="E41" s="49" t="s">
        <v>390</v>
      </c>
      <c r="F41" s="4"/>
      <c r="G41" s="4"/>
      <c r="H41" s="4"/>
      <c r="I41" s="5"/>
      <c r="J41" s="49" t="s">
        <v>301</v>
      </c>
      <c r="K41" s="4"/>
      <c r="L41" s="4"/>
      <c r="M41" s="4"/>
      <c r="N41" s="4"/>
      <c r="O41" s="4"/>
      <c r="P41" s="5"/>
      <c r="Q41" s="49" t="s">
        <v>391</v>
      </c>
      <c r="R41" s="4"/>
      <c r="S41" s="4"/>
      <c r="T41" s="4"/>
      <c r="U41" s="4"/>
      <c r="V41" s="4"/>
      <c r="W41" s="5"/>
      <c r="X41" s="49" t="s">
        <v>392</v>
      </c>
      <c r="Y41" s="4"/>
      <c r="Z41" s="4"/>
      <c r="AA41" s="4"/>
      <c r="AB41" s="4"/>
      <c r="AC41" s="4"/>
      <c r="AD41" s="5"/>
      <c r="AE41" s="48" t="s">
        <v>266</v>
      </c>
      <c r="AF41" s="5"/>
      <c r="AG41" s="59" t="s">
        <v>37</v>
      </c>
      <c r="AH41" s="4"/>
      <c r="AI41" s="5"/>
      <c r="AJ41" s="60"/>
      <c r="AK41" s="4"/>
      <c r="AL41" s="5"/>
      <c r="AM41" s="59" t="s">
        <v>235</v>
      </c>
      <c r="AN41" s="4"/>
      <c r="AO41" s="5"/>
      <c r="AP41" s="62">
        <v>46168.0</v>
      </c>
      <c r="AQ41" s="4"/>
      <c r="AR41" s="5"/>
      <c r="AS41" s="48"/>
      <c r="AT41" s="4"/>
      <c r="AU41" s="5"/>
      <c r="AV41" s="56" t="s">
        <v>37</v>
      </c>
      <c r="AW41" s="4"/>
      <c r="AX41" s="5"/>
      <c r="AY41" s="48"/>
      <c r="AZ41" s="4"/>
      <c r="BA41" s="5"/>
      <c r="BB41" s="56" t="s">
        <v>222</v>
      </c>
      <c r="BC41" s="4"/>
      <c r="BD41" s="5"/>
      <c r="BE41" s="57">
        <v>46246.0</v>
      </c>
      <c r="BF41" s="4"/>
      <c r="BG41" s="5"/>
      <c r="BH41" s="48"/>
      <c r="BI41" s="4"/>
      <c r="BJ41" s="5"/>
      <c r="BK41" s="49"/>
      <c r="BL41" s="4"/>
      <c r="BM41" s="4"/>
      <c r="BN41" s="4"/>
      <c r="BO41" s="4"/>
      <c r="BP41" s="4"/>
      <c r="BQ41" s="5"/>
    </row>
    <row r="42" ht="223.5" customHeight="1">
      <c r="A42" s="47">
        <v>27.0</v>
      </c>
      <c r="B42" s="49" t="s">
        <v>393</v>
      </c>
      <c r="C42" s="4"/>
      <c r="D42" s="5"/>
      <c r="E42" s="49" t="s">
        <v>394</v>
      </c>
      <c r="F42" s="4"/>
      <c r="G42" s="4"/>
      <c r="H42" s="4"/>
      <c r="I42" s="5"/>
      <c r="J42" s="49" t="s">
        <v>395</v>
      </c>
      <c r="K42" s="4"/>
      <c r="L42" s="4"/>
      <c r="M42" s="4"/>
      <c r="N42" s="4"/>
      <c r="O42" s="4"/>
      <c r="P42" s="5"/>
      <c r="Q42" s="55" t="s">
        <v>396</v>
      </c>
      <c r="R42" s="4"/>
      <c r="S42" s="4"/>
      <c r="T42" s="4"/>
      <c r="U42" s="4"/>
      <c r="V42" s="4"/>
      <c r="W42" s="5"/>
      <c r="X42" s="49" t="s">
        <v>397</v>
      </c>
      <c r="Y42" s="4"/>
      <c r="Z42" s="4"/>
      <c r="AA42" s="4"/>
      <c r="AB42" s="4"/>
      <c r="AC42" s="4"/>
      <c r="AD42" s="5"/>
      <c r="AE42" s="48" t="s">
        <v>233</v>
      </c>
      <c r="AF42" s="5"/>
      <c r="AG42" s="59" t="s">
        <v>37</v>
      </c>
      <c r="AH42" s="4"/>
      <c r="AI42" s="5"/>
      <c r="AJ42" s="60"/>
      <c r="AK42" s="4"/>
      <c r="AL42" s="5"/>
      <c r="AM42" s="59" t="s">
        <v>235</v>
      </c>
      <c r="AN42" s="4"/>
      <c r="AO42" s="5"/>
      <c r="AP42" s="62">
        <v>46168.0</v>
      </c>
      <c r="AQ42" s="4"/>
      <c r="AR42" s="5"/>
      <c r="AS42" s="48"/>
      <c r="AT42" s="4"/>
      <c r="AU42" s="5"/>
      <c r="AV42" s="56" t="s">
        <v>37</v>
      </c>
      <c r="AW42" s="4"/>
      <c r="AX42" s="5"/>
      <c r="AY42" s="48"/>
      <c r="AZ42" s="4"/>
      <c r="BA42" s="5"/>
      <c r="BB42" s="56" t="s">
        <v>222</v>
      </c>
      <c r="BC42" s="4"/>
      <c r="BD42" s="5"/>
      <c r="BE42" s="57">
        <v>46246.0</v>
      </c>
      <c r="BF42" s="4"/>
      <c r="BG42" s="5"/>
      <c r="BH42" s="48"/>
      <c r="BI42" s="4"/>
      <c r="BJ42" s="5"/>
      <c r="BK42" s="49"/>
      <c r="BL42" s="4"/>
      <c r="BM42" s="4"/>
      <c r="BN42" s="4"/>
      <c r="BO42" s="4"/>
      <c r="BP42" s="4"/>
      <c r="BQ42" s="5"/>
    </row>
    <row r="43" ht="255.75" customHeight="1">
      <c r="A43" s="47">
        <v>28.0</v>
      </c>
      <c r="B43" s="49" t="s">
        <v>398</v>
      </c>
      <c r="C43" s="4"/>
      <c r="D43" s="5"/>
      <c r="E43" s="49" t="s">
        <v>399</v>
      </c>
      <c r="F43" s="4"/>
      <c r="G43" s="4"/>
      <c r="H43" s="4"/>
      <c r="I43" s="5"/>
      <c r="J43" s="49" t="s">
        <v>301</v>
      </c>
      <c r="K43" s="4"/>
      <c r="L43" s="4"/>
      <c r="M43" s="4"/>
      <c r="N43" s="4"/>
      <c r="O43" s="4"/>
      <c r="P43" s="5"/>
      <c r="Q43" s="49" t="s">
        <v>400</v>
      </c>
      <c r="R43" s="4"/>
      <c r="S43" s="4"/>
      <c r="T43" s="4"/>
      <c r="U43" s="4"/>
      <c r="V43" s="4"/>
      <c r="W43" s="5"/>
      <c r="X43" s="49" t="s">
        <v>401</v>
      </c>
      <c r="Y43" s="4"/>
      <c r="Z43" s="4"/>
      <c r="AA43" s="4"/>
      <c r="AB43" s="4"/>
      <c r="AC43" s="4"/>
      <c r="AD43" s="5"/>
      <c r="AE43" s="48" t="s">
        <v>233</v>
      </c>
      <c r="AF43" s="5"/>
      <c r="AG43" s="59" t="s">
        <v>37</v>
      </c>
      <c r="AH43" s="4"/>
      <c r="AI43" s="5"/>
      <c r="AJ43" s="60"/>
      <c r="AK43" s="4"/>
      <c r="AL43" s="5"/>
      <c r="AM43" s="59" t="s">
        <v>235</v>
      </c>
      <c r="AN43" s="4"/>
      <c r="AO43" s="5"/>
      <c r="AP43" s="62">
        <v>46168.0</v>
      </c>
      <c r="AQ43" s="4"/>
      <c r="AR43" s="5"/>
      <c r="AS43" s="48"/>
      <c r="AT43" s="4"/>
      <c r="AU43" s="5"/>
      <c r="AV43" s="56" t="s">
        <v>37</v>
      </c>
      <c r="AW43" s="4"/>
      <c r="AX43" s="5"/>
      <c r="AY43" s="48"/>
      <c r="AZ43" s="4"/>
      <c r="BA43" s="5"/>
      <c r="BB43" s="56" t="s">
        <v>222</v>
      </c>
      <c r="BC43" s="4"/>
      <c r="BD43" s="5"/>
      <c r="BE43" s="57">
        <v>46246.0</v>
      </c>
      <c r="BF43" s="4"/>
      <c r="BG43" s="5"/>
      <c r="BH43" s="48"/>
      <c r="BI43" s="4"/>
      <c r="BJ43" s="5"/>
      <c r="BK43" s="49"/>
      <c r="BL43" s="4"/>
      <c r="BM43" s="4"/>
      <c r="BN43" s="4"/>
      <c r="BO43" s="4"/>
      <c r="BP43" s="4"/>
      <c r="BQ43" s="5"/>
    </row>
    <row r="44" ht="399.75" customHeight="1">
      <c r="A44" s="47">
        <v>29.0</v>
      </c>
      <c r="B44" s="49" t="s">
        <v>402</v>
      </c>
      <c r="C44" s="4"/>
      <c r="D44" s="5"/>
      <c r="E44" s="49" t="s">
        <v>403</v>
      </c>
      <c r="F44" s="4"/>
      <c r="G44" s="4"/>
      <c r="H44" s="4"/>
      <c r="I44" s="5"/>
      <c r="J44" s="49" t="s">
        <v>404</v>
      </c>
      <c r="K44" s="4"/>
      <c r="L44" s="4"/>
      <c r="M44" s="4"/>
      <c r="N44" s="4"/>
      <c r="O44" s="4"/>
      <c r="P44" s="5"/>
      <c r="Q44" s="49" t="s">
        <v>405</v>
      </c>
      <c r="R44" s="4"/>
      <c r="S44" s="4"/>
      <c r="T44" s="4"/>
      <c r="U44" s="4"/>
      <c r="V44" s="4"/>
      <c r="W44" s="5"/>
      <c r="X44" s="49" t="s">
        <v>406</v>
      </c>
      <c r="Y44" s="4"/>
      <c r="Z44" s="4"/>
      <c r="AA44" s="4"/>
      <c r="AB44" s="4"/>
      <c r="AC44" s="4"/>
      <c r="AD44" s="5"/>
      <c r="AE44" s="48" t="s">
        <v>233</v>
      </c>
      <c r="AF44" s="5"/>
      <c r="AG44" s="59" t="s">
        <v>37</v>
      </c>
      <c r="AH44" s="4"/>
      <c r="AI44" s="5"/>
      <c r="AJ44" s="60"/>
      <c r="AK44" s="4"/>
      <c r="AL44" s="5"/>
      <c r="AM44" s="59" t="s">
        <v>235</v>
      </c>
      <c r="AN44" s="4"/>
      <c r="AO44" s="5"/>
      <c r="AP44" s="62">
        <v>46168.0</v>
      </c>
      <c r="AQ44" s="4"/>
      <c r="AR44" s="5"/>
      <c r="AS44" s="48"/>
      <c r="AT44" s="4"/>
      <c r="AU44" s="5"/>
      <c r="AV44" s="56" t="s">
        <v>37</v>
      </c>
      <c r="AW44" s="4"/>
      <c r="AX44" s="5"/>
      <c r="AY44" s="48"/>
      <c r="AZ44" s="4"/>
      <c r="BA44" s="5"/>
      <c r="BB44" s="56" t="s">
        <v>222</v>
      </c>
      <c r="BC44" s="4"/>
      <c r="BD44" s="5"/>
      <c r="BE44" s="57">
        <v>46246.0</v>
      </c>
      <c r="BF44" s="4"/>
      <c r="BG44" s="5"/>
      <c r="BH44" s="48"/>
      <c r="BI44" s="4"/>
      <c r="BJ44" s="5"/>
      <c r="BK44" s="49"/>
      <c r="BL44" s="4"/>
      <c r="BM44" s="4"/>
      <c r="BN44" s="4"/>
      <c r="BO44" s="4"/>
      <c r="BP44" s="4"/>
      <c r="BQ44" s="5"/>
    </row>
    <row r="45" ht="303.75" customHeight="1">
      <c r="A45" s="47">
        <v>30.0</v>
      </c>
      <c r="B45" s="49" t="s">
        <v>407</v>
      </c>
      <c r="C45" s="4"/>
      <c r="D45" s="5"/>
      <c r="E45" s="49" t="s">
        <v>408</v>
      </c>
      <c r="F45" s="4"/>
      <c r="G45" s="4"/>
      <c r="H45" s="4"/>
      <c r="I45" s="5"/>
      <c r="J45" s="49" t="s">
        <v>409</v>
      </c>
      <c r="K45" s="4"/>
      <c r="L45" s="4"/>
      <c r="M45" s="4"/>
      <c r="N45" s="4"/>
      <c r="O45" s="4"/>
      <c r="P45" s="5"/>
      <c r="Q45" s="49" t="s">
        <v>410</v>
      </c>
      <c r="R45" s="4"/>
      <c r="S45" s="4"/>
      <c r="T45" s="4"/>
      <c r="U45" s="4"/>
      <c r="V45" s="4"/>
      <c r="W45" s="5"/>
      <c r="X45" s="49" t="s">
        <v>411</v>
      </c>
      <c r="Y45" s="4"/>
      <c r="Z45" s="4"/>
      <c r="AA45" s="4"/>
      <c r="AB45" s="4"/>
      <c r="AC45" s="4"/>
      <c r="AD45" s="5"/>
      <c r="AE45" s="48" t="s">
        <v>233</v>
      </c>
      <c r="AF45" s="5"/>
      <c r="AG45" s="59" t="s">
        <v>37</v>
      </c>
      <c r="AH45" s="4"/>
      <c r="AI45" s="5"/>
      <c r="AJ45" s="60"/>
      <c r="AK45" s="4"/>
      <c r="AL45" s="5"/>
      <c r="AM45" s="59" t="s">
        <v>235</v>
      </c>
      <c r="AN45" s="4"/>
      <c r="AO45" s="5"/>
      <c r="AP45" s="62">
        <v>46168.0</v>
      </c>
      <c r="AQ45" s="4"/>
      <c r="AR45" s="5"/>
      <c r="AS45" s="48"/>
      <c r="AT45" s="4"/>
      <c r="AU45" s="5"/>
      <c r="AV45" s="56" t="s">
        <v>37</v>
      </c>
      <c r="AW45" s="4"/>
      <c r="AX45" s="5"/>
      <c r="AY45" s="48"/>
      <c r="AZ45" s="4"/>
      <c r="BA45" s="5"/>
      <c r="BB45" s="56" t="s">
        <v>222</v>
      </c>
      <c r="BC45" s="4"/>
      <c r="BD45" s="5"/>
      <c r="BE45" s="57">
        <v>46246.0</v>
      </c>
      <c r="BF45" s="4"/>
      <c r="BG45" s="5"/>
      <c r="BH45" s="48"/>
      <c r="BI45" s="4"/>
      <c r="BJ45" s="5"/>
      <c r="BK45" s="49"/>
      <c r="BL45" s="4"/>
      <c r="BM45" s="4"/>
      <c r="BN45" s="4"/>
      <c r="BO45" s="4"/>
      <c r="BP45" s="4"/>
      <c r="BQ45" s="5"/>
    </row>
    <row r="46" ht="255.75" customHeight="1">
      <c r="A46" s="47">
        <v>31.0</v>
      </c>
      <c r="B46" s="49" t="s">
        <v>412</v>
      </c>
      <c r="C46" s="4"/>
      <c r="D46" s="5"/>
      <c r="E46" s="49" t="s">
        <v>413</v>
      </c>
      <c r="F46" s="4"/>
      <c r="G46" s="4"/>
      <c r="H46" s="4"/>
      <c r="I46" s="5"/>
      <c r="J46" s="49" t="s">
        <v>414</v>
      </c>
      <c r="K46" s="4"/>
      <c r="L46" s="4"/>
      <c r="M46" s="4"/>
      <c r="N46" s="4"/>
      <c r="O46" s="4"/>
      <c r="P46" s="5"/>
      <c r="Q46" s="49" t="s">
        <v>415</v>
      </c>
      <c r="R46" s="4"/>
      <c r="S46" s="4"/>
      <c r="T46" s="4"/>
      <c r="U46" s="4"/>
      <c r="V46" s="4"/>
      <c r="W46" s="5"/>
      <c r="X46" s="55" t="s">
        <v>416</v>
      </c>
      <c r="Y46" s="4"/>
      <c r="Z46" s="4"/>
      <c r="AA46" s="4"/>
      <c r="AB46" s="4"/>
      <c r="AC46" s="4"/>
      <c r="AD46" s="5"/>
      <c r="AE46" s="48" t="s">
        <v>233</v>
      </c>
      <c r="AF46" s="5"/>
      <c r="AG46" s="59" t="s">
        <v>37</v>
      </c>
      <c r="AH46" s="4"/>
      <c r="AI46" s="5"/>
      <c r="AJ46" s="60"/>
      <c r="AK46" s="4"/>
      <c r="AL46" s="5"/>
      <c r="AM46" s="59" t="s">
        <v>235</v>
      </c>
      <c r="AN46" s="4"/>
      <c r="AO46" s="5"/>
      <c r="AP46" s="62">
        <v>46168.0</v>
      </c>
      <c r="AQ46" s="4"/>
      <c r="AR46" s="5"/>
      <c r="AS46" s="48"/>
      <c r="AT46" s="4"/>
      <c r="AU46" s="5"/>
      <c r="AV46" s="56" t="s">
        <v>37</v>
      </c>
      <c r="AW46" s="4"/>
      <c r="AX46" s="5"/>
      <c r="AY46" s="48"/>
      <c r="AZ46" s="4"/>
      <c r="BA46" s="5"/>
      <c r="BB46" s="56" t="s">
        <v>222</v>
      </c>
      <c r="BC46" s="4"/>
      <c r="BD46" s="5"/>
      <c r="BE46" s="57">
        <v>46246.0</v>
      </c>
      <c r="BF46" s="4"/>
      <c r="BG46" s="5"/>
      <c r="BH46" s="48"/>
      <c r="BI46" s="4"/>
      <c r="BJ46" s="5"/>
      <c r="BK46" s="49"/>
      <c r="BL46" s="4"/>
      <c r="BM46" s="4"/>
      <c r="BN46" s="4"/>
      <c r="BO46" s="4"/>
      <c r="BP46" s="4"/>
      <c r="BQ46" s="5"/>
    </row>
    <row r="47" ht="255.75" customHeight="1">
      <c r="A47" s="47">
        <v>32.0</v>
      </c>
      <c r="B47" s="49" t="s">
        <v>417</v>
      </c>
      <c r="C47" s="4"/>
      <c r="D47" s="5"/>
      <c r="E47" s="49" t="s">
        <v>418</v>
      </c>
      <c r="F47" s="4"/>
      <c r="G47" s="4"/>
      <c r="H47" s="4"/>
      <c r="I47" s="5"/>
      <c r="J47" s="49" t="s">
        <v>414</v>
      </c>
      <c r="K47" s="4"/>
      <c r="L47" s="4"/>
      <c r="M47" s="4"/>
      <c r="N47" s="4"/>
      <c r="O47" s="4"/>
      <c r="P47" s="5"/>
      <c r="Q47" s="49" t="s">
        <v>419</v>
      </c>
      <c r="R47" s="4"/>
      <c r="S47" s="4"/>
      <c r="T47" s="4"/>
      <c r="U47" s="4"/>
      <c r="V47" s="4"/>
      <c r="W47" s="5"/>
      <c r="X47" s="49" t="s">
        <v>420</v>
      </c>
      <c r="Y47" s="4"/>
      <c r="Z47" s="4"/>
      <c r="AA47" s="4"/>
      <c r="AB47" s="4"/>
      <c r="AC47" s="4"/>
      <c r="AD47" s="5"/>
      <c r="AE47" s="48" t="s">
        <v>233</v>
      </c>
      <c r="AF47" s="5"/>
      <c r="AG47" s="59" t="s">
        <v>37</v>
      </c>
      <c r="AH47" s="4"/>
      <c r="AI47" s="5"/>
      <c r="AJ47" s="60"/>
      <c r="AK47" s="4"/>
      <c r="AL47" s="5"/>
      <c r="AM47" s="59" t="s">
        <v>235</v>
      </c>
      <c r="AN47" s="4"/>
      <c r="AO47" s="5"/>
      <c r="AP47" s="62">
        <v>46168.0</v>
      </c>
      <c r="AQ47" s="4"/>
      <c r="AR47" s="5"/>
      <c r="AS47" s="48"/>
      <c r="AT47" s="4"/>
      <c r="AU47" s="5"/>
      <c r="AV47" s="56" t="s">
        <v>37</v>
      </c>
      <c r="AW47" s="4"/>
      <c r="AX47" s="5"/>
      <c r="AY47" s="48"/>
      <c r="AZ47" s="4"/>
      <c r="BA47" s="5"/>
      <c r="BB47" s="56" t="s">
        <v>222</v>
      </c>
      <c r="BC47" s="4"/>
      <c r="BD47" s="5"/>
      <c r="BE47" s="57">
        <v>46246.0</v>
      </c>
      <c r="BF47" s="4"/>
      <c r="BG47" s="5"/>
      <c r="BH47" s="48"/>
      <c r="BI47" s="4"/>
      <c r="BJ47" s="5"/>
      <c r="BK47" s="49"/>
      <c r="BL47" s="4"/>
      <c r="BM47" s="4"/>
      <c r="BN47" s="4"/>
      <c r="BO47" s="4"/>
      <c r="BP47" s="4"/>
      <c r="BQ47" s="5"/>
    </row>
    <row r="48" ht="207.75" customHeight="1">
      <c r="A48" s="47">
        <v>33.0</v>
      </c>
      <c r="B48" s="49" t="s">
        <v>421</v>
      </c>
      <c r="C48" s="4"/>
      <c r="D48" s="5"/>
      <c r="E48" s="49" t="s">
        <v>422</v>
      </c>
      <c r="F48" s="4"/>
      <c r="G48" s="4"/>
      <c r="H48" s="4"/>
      <c r="I48" s="5"/>
      <c r="J48" s="49" t="s">
        <v>423</v>
      </c>
      <c r="K48" s="4"/>
      <c r="L48" s="4"/>
      <c r="M48" s="4"/>
      <c r="N48" s="4"/>
      <c r="O48" s="4"/>
      <c r="P48" s="5"/>
      <c r="Q48" s="55" t="s">
        <v>424</v>
      </c>
      <c r="R48" s="4"/>
      <c r="S48" s="4"/>
      <c r="T48" s="4"/>
      <c r="U48" s="4"/>
      <c r="V48" s="4"/>
      <c r="W48" s="5"/>
      <c r="X48" s="49" t="s">
        <v>425</v>
      </c>
      <c r="Y48" s="4"/>
      <c r="Z48" s="4"/>
      <c r="AA48" s="4"/>
      <c r="AB48" s="4"/>
      <c r="AC48" s="4"/>
      <c r="AD48" s="5"/>
      <c r="AE48" s="48" t="s">
        <v>266</v>
      </c>
      <c r="AF48" s="5"/>
      <c r="AG48" s="59" t="s">
        <v>37</v>
      </c>
      <c r="AH48" s="4"/>
      <c r="AI48" s="5"/>
      <c r="AJ48" s="60"/>
      <c r="AK48" s="4"/>
      <c r="AL48" s="5"/>
      <c r="AM48" s="59" t="s">
        <v>235</v>
      </c>
      <c r="AN48" s="4"/>
      <c r="AO48" s="5"/>
      <c r="AP48" s="62">
        <v>46168.0</v>
      </c>
      <c r="AQ48" s="4"/>
      <c r="AR48" s="5"/>
      <c r="AS48" s="48"/>
      <c r="AT48" s="4"/>
      <c r="AU48" s="5"/>
      <c r="AV48" s="56" t="s">
        <v>37</v>
      </c>
      <c r="AW48" s="4"/>
      <c r="AX48" s="5"/>
      <c r="AY48" s="48"/>
      <c r="AZ48" s="4"/>
      <c r="BA48" s="5"/>
      <c r="BB48" s="56" t="s">
        <v>222</v>
      </c>
      <c r="BC48" s="4"/>
      <c r="BD48" s="5"/>
      <c r="BE48" s="57">
        <v>46246.0</v>
      </c>
      <c r="BF48" s="4"/>
      <c r="BG48" s="5"/>
      <c r="BH48" s="48"/>
      <c r="BI48" s="4"/>
      <c r="BJ48" s="5"/>
      <c r="BK48" s="49"/>
      <c r="BL48" s="4"/>
      <c r="BM48" s="4"/>
      <c r="BN48" s="4"/>
      <c r="BO48" s="4"/>
      <c r="BP48" s="4"/>
      <c r="BQ48" s="5"/>
    </row>
    <row r="49" ht="240.0" customHeight="1">
      <c r="A49" s="47">
        <v>34.0</v>
      </c>
      <c r="B49" s="49" t="s">
        <v>426</v>
      </c>
      <c r="C49" s="4"/>
      <c r="D49" s="5"/>
      <c r="E49" s="49" t="s">
        <v>427</v>
      </c>
      <c r="F49" s="4"/>
      <c r="G49" s="4"/>
      <c r="H49" s="4"/>
      <c r="I49" s="5"/>
      <c r="J49" s="49" t="s">
        <v>301</v>
      </c>
      <c r="K49" s="4"/>
      <c r="L49" s="4"/>
      <c r="M49" s="4"/>
      <c r="N49" s="4"/>
      <c r="O49" s="4"/>
      <c r="P49" s="5"/>
      <c r="Q49" s="49" t="s">
        <v>428</v>
      </c>
      <c r="R49" s="4"/>
      <c r="S49" s="4"/>
      <c r="T49" s="4"/>
      <c r="U49" s="4"/>
      <c r="V49" s="4"/>
      <c r="W49" s="5"/>
      <c r="X49" s="49" t="s">
        <v>429</v>
      </c>
      <c r="Y49" s="4"/>
      <c r="Z49" s="4"/>
      <c r="AA49" s="4"/>
      <c r="AB49" s="4"/>
      <c r="AC49" s="4"/>
      <c r="AD49" s="5"/>
      <c r="AE49" s="48" t="s">
        <v>218</v>
      </c>
      <c r="AF49" s="5"/>
      <c r="AG49" s="59" t="s">
        <v>37</v>
      </c>
      <c r="AH49" s="4"/>
      <c r="AI49" s="5"/>
      <c r="AJ49" s="60"/>
      <c r="AK49" s="4"/>
      <c r="AL49" s="5"/>
      <c r="AM49" s="59" t="s">
        <v>235</v>
      </c>
      <c r="AN49" s="4"/>
      <c r="AO49" s="5"/>
      <c r="AP49" s="62">
        <v>46168.0</v>
      </c>
      <c r="AQ49" s="4"/>
      <c r="AR49" s="5"/>
      <c r="AS49" s="48"/>
      <c r="AT49" s="4"/>
      <c r="AU49" s="5"/>
      <c r="AV49" s="56" t="s">
        <v>37</v>
      </c>
      <c r="AW49" s="4"/>
      <c r="AX49" s="5"/>
      <c r="AY49" s="48"/>
      <c r="AZ49" s="4"/>
      <c r="BA49" s="5"/>
      <c r="BB49" s="56" t="s">
        <v>222</v>
      </c>
      <c r="BC49" s="4"/>
      <c r="BD49" s="5"/>
      <c r="BE49" s="57">
        <v>46246.0</v>
      </c>
      <c r="BF49" s="4"/>
      <c r="BG49" s="5"/>
      <c r="BH49" s="48"/>
      <c r="BI49" s="4"/>
      <c r="BJ49" s="5"/>
      <c r="BK49" s="49"/>
      <c r="BL49" s="4"/>
      <c r="BM49" s="4"/>
      <c r="BN49" s="4"/>
      <c r="BO49" s="4"/>
      <c r="BP49" s="4"/>
      <c r="BQ49" s="5"/>
    </row>
    <row r="50" ht="22.5" customHeight="1">
      <c r="A50" s="6" t="s">
        <v>430</v>
      </c>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5"/>
    </row>
    <row r="51" ht="207.75" customHeight="1">
      <c r="A51" s="47">
        <v>35.0</v>
      </c>
      <c r="B51" s="49" t="s">
        <v>431</v>
      </c>
      <c r="C51" s="4"/>
      <c r="D51" s="5"/>
      <c r="E51" s="49" t="s">
        <v>432</v>
      </c>
      <c r="F51" s="4"/>
      <c r="G51" s="4"/>
      <c r="H51" s="4"/>
      <c r="I51" s="5"/>
      <c r="J51" s="49" t="s">
        <v>433</v>
      </c>
      <c r="K51" s="4"/>
      <c r="L51" s="4"/>
      <c r="M51" s="4"/>
      <c r="N51" s="4"/>
      <c r="O51" s="4"/>
      <c r="P51" s="5"/>
      <c r="Q51" s="49" t="s">
        <v>434</v>
      </c>
      <c r="R51" s="4"/>
      <c r="S51" s="4"/>
      <c r="T51" s="4"/>
      <c r="U51" s="4"/>
      <c r="V51" s="4"/>
      <c r="W51" s="5"/>
      <c r="X51" s="49" t="s">
        <v>435</v>
      </c>
      <c r="Y51" s="4"/>
      <c r="Z51" s="4"/>
      <c r="AA51" s="4"/>
      <c r="AB51" s="4"/>
      <c r="AC51" s="4"/>
      <c r="AD51" s="5"/>
      <c r="AE51" s="48" t="s">
        <v>233</v>
      </c>
      <c r="AF51" s="5"/>
      <c r="AG51" s="59" t="s">
        <v>37</v>
      </c>
      <c r="AH51" s="4"/>
      <c r="AI51" s="5"/>
      <c r="AJ51" s="60"/>
      <c r="AK51" s="4"/>
      <c r="AL51" s="5"/>
      <c r="AM51" s="59" t="s">
        <v>235</v>
      </c>
      <c r="AN51" s="4"/>
      <c r="AO51" s="5"/>
      <c r="AP51" s="62">
        <v>46168.0</v>
      </c>
      <c r="AQ51" s="4"/>
      <c r="AR51" s="5"/>
      <c r="AS51" s="48"/>
      <c r="AT51" s="4"/>
      <c r="AU51" s="5"/>
      <c r="AV51" s="56" t="s">
        <v>37</v>
      </c>
      <c r="AW51" s="4"/>
      <c r="AX51" s="5"/>
      <c r="AY51" s="48"/>
      <c r="AZ51" s="4"/>
      <c r="BA51" s="5"/>
      <c r="BB51" s="56" t="s">
        <v>222</v>
      </c>
      <c r="BC51" s="4"/>
      <c r="BD51" s="5"/>
      <c r="BE51" s="57">
        <v>46246.0</v>
      </c>
      <c r="BF51" s="4"/>
      <c r="BG51" s="5"/>
      <c r="BH51" s="48"/>
      <c r="BI51" s="4"/>
      <c r="BJ51" s="5"/>
      <c r="BK51" s="49"/>
      <c r="BL51" s="4"/>
      <c r="BM51" s="4"/>
      <c r="BN51" s="4"/>
      <c r="BO51" s="4"/>
      <c r="BP51" s="4"/>
      <c r="BQ51" s="5"/>
    </row>
    <row r="52" ht="450.0" customHeight="1">
      <c r="A52" s="47">
        <v>36.0</v>
      </c>
      <c r="B52" s="49" t="s">
        <v>436</v>
      </c>
      <c r="C52" s="4"/>
      <c r="D52" s="5"/>
      <c r="E52" s="49" t="s">
        <v>437</v>
      </c>
      <c r="F52" s="4"/>
      <c r="G52" s="4"/>
      <c r="H52" s="4"/>
      <c r="I52" s="5"/>
      <c r="J52" s="49" t="s">
        <v>438</v>
      </c>
      <c r="K52" s="4"/>
      <c r="L52" s="4"/>
      <c r="M52" s="4"/>
      <c r="N52" s="4"/>
      <c r="O52" s="4"/>
      <c r="P52" s="5"/>
      <c r="Q52" s="55" t="s">
        <v>439</v>
      </c>
      <c r="R52" s="4"/>
      <c r="S52" s="4"/>
      <c r="T52" s="4"/>
      <c r="U52" s="4"/>
      <c r="V52" s="4"/>
      <c r="W52" s="5"/>
      <c r="X52" s="49" t="s">
        <v>440</v>
      </c>
      <c r="Y52" s="4"/>
      <c r="Z52" s="4"/>
      <c r="AA52" s="4"/>
      <c r="AB52" s="4"/>
      <c r="AC52" s="4"/>
      <c r="AD52" s="5"/>
      <c r="AE52" s="48" t="s">
        <v>233</v>
      </c>
      <c r="AF52" s="5"/>
      <c r="AG52" s="59" t="s">
        <v>37</v>
      </c>
      <c r="AH52" s="4"/>
      <c r="AI52" s="5"/>
      <c r="AJ52" s="60"/>
      <c r="AK52" s="4"/>
      <c r="AL52" s="5"/>
      <c r="AM52" s="59" t="s">
        <v>235</v>
      </c>
      <c r="AN52" s="4"/>
      <c r="AO52" s="5"/>
      <c r="AP52" s="62">
        <v>46168.0</v>
      </c>
      <c r="AQ52" s="4"/>
      <c r="AR52" s="5"/>
      <c r="AS52" s="48"/>
      <c r="AT52" s="4"/>
      <c r="AU52" s="5"/>
      <c r="AV52" s="56" t="s">
        <v>37</v>
      </c>
      <c r="AW52" s="4"/>
      <c r="AX52" s="5"/>
      <c r="AY52" s="48"/>
      <c r="AZ52" s="4"/>
      <c r="BA52" s="5"/>
      <c r="BB52" s="56" t="s">
        <v>222</v>
      </c>
      <c r="BC52" s="4"/>
      <c r="BD52" s="5"/>
      <c r="BE52" s="57">
        <v>46246.0</v>
      </c>
      <c r="BF52" s="4"/>
      <c r="BG52" s="5"/>
      <c r="BH52" s="48"/>
      <c r="BI52" s="4"/>
      <c r="BJ52" s="5"/>
      <c r="BK52" s="49"/>
      <c r="BL52" s="4"/>
      <c r="BM52" s="4"/>
      <c r="BN52" s="4"/>
      <c r="BO52" s="4"/>
      <c r="BP52" s="4"/>
      <c r="BQ52" s="5"/>
    </row>
    <row r="53" ht="255.75" customHeight="1">
      <c r="A53" s="47">
        <v>37.0</v>
      </c>
      <c r="B53" s="49" t="s">
        <v>441</v>
      </c>
      <c r="C53" s="4"/>
      <c r="D53" s="5"/>
      <c r="E53" s="49" t="s">
        <v>442</v>
      </c>
      <c r="F53" s="4"/>
      <c r="G53" s="4"/>
      <c r="H53" s="4"/>
      <c r="I53" s="5"/>
      <c r="J53" s="49" t="s">
        <v>443</v>
      </c>
      <c r="K53" s="4"/>
      <c r="L53" s="4"/>
      <c r="M53" s="4"/>
      <c r="N53" s="4"/>
      <c r="O53" s="4"/>
      <c r="P53" s="5"/>
      <c r="Q53" s="49" t="s">
        <v>444</v>
      </c>
      <c r="R53" s="4"/>
      <c r="S53" s="4"/>
      <c r="T53" s="4"/>
      <c r="U53" s="4"/>
      <c r="V53" s="4"/>
      <c r="W53" s="5"/>
      <c r="X53" s="49" t="s">
        <v>445</v>
      </c>
      <c r="Y53" s="4"/>
      <c r="Z53" s="4"/>
      <c r="AA53" s="4"/>
      <c r="AB53" s="4"/>
      <c r="AC53" s="4"/>
      <c r="AD53" s="5"/>
      <c r="AE53" s="48" t="s">
        <v>233</v>
      </c>
      <c r="AF53" s="5"/>
      <c r="AG53" s="59" t="s">
        <v>37</v>
      </c>
      <c r="AH53" s="4"/>
      <c r="AI53" s="5"/>
      <c r="AJ53" s="60"/>
      <c r="AK53" s="4"/>
      <c r="AL53" s="5"/>
      <c r="AM53" s="59" t="s">
        <v>235</v>
      </c>
      <c r="AN53" s="4"/>
      <c r="AO53" s="5"/>
      <c r="AP53" s="62">
        <v>46168.0</v>
      </c>
      <c r="AQ53" s="4"/>
      <c r="AR53" s="5"/>
      <c r="AS53" s="48"/>
      <c r="AT53" s="4"/>
      <c r="AU53" s="5"/>
      <c r="AV53" s="56" t="s">
        <v>37</v>
      </c>
      <c r="AW53" s="4"/>
      <c r="AX53" s="5"/>
      <c r="AY53" s="48"/>
      <c r="AZ53" s="4"/>
      <c r="BA53" s="5"/>
      <c r="BB53" s="56" t="s">
        <v>222</v>
      </c>
      <c r="BC53" s="4"/>
      <c r="BD53" s="5"/>
      <c r="BE53" s="57">
        <v>46246.0</v>
      </c>
      <c r="BF53" s="4"/>
      <c r="BG53" s="5"/>
      <c r="BH53" s="48"/>
      <c r="BI53" s="4"/>
      <c r="BJ53" s="5"/>
      <c r="BK53" s="49"/>
      <c r="BL53" s="4"/>
      <c r="BM53" s="4"/>
      <c r="BN53" s="4"/>
      <c r="BO53" s="4"/>
      <c r="BP53" s="4"/>
      <c r="BQ53" s="5"/>
    </row>
    <row r="54" ht="415.5" customHeight="1">
      <c r="A54" s="47">
        <v>38.0</v>
      </c>
      <c r="B54" s="49" t="s">
        <v>446</v>
      </c>
      <c r="C54" s="4"/>
      <c r="D54" s="5"/>
      <c r="E54" s="49" t="s">
        <v>447</v>
      </c>
      <c r="F54" s="4"/>
      <c r="G54" s="4"/>
      <c r="H54" s="4"/>
      <c r="I54" s="5"/>
      <c r="J54" s="49" t="s">
        <v>448</v>
      </c>
      <c r="K54" s="4"/>
      <c r="L54" s="4"/>
      <c r="M54" s="4"/>
      <c r="N54" s="4"/>
      <c r="O54" s="4"/>
      <c r="P54" s="5"/>
      <c r="Q54" s="55" t="s">
        <v>449</v>
      </c>
      <c r="R54" s="4"/>
      <c r="S54" s="4"/>
      <c r="T54" s="4"/>
      <c r="U54" s="4"/>
      <c r="V54" s="4"/>
      <c r="W54" s="5"/>
      <c r="X54" s="55" t="s">
        <v>450</v>
      </c>
      <c r="Y54" s="4"/>
      <c r="Z54" s="4"/>
      <c r="AA54" s="4"/>
      <c r="AB54" s="4"/>
      <c r="AC54" s="4"/>
      <c r="AD54" s="5"/>
      <c r="AE54" s="48" t="s">
        <v>218</v>
      </c>
      <c r="AF54" s="5"/>
      <c r="AG54" s="64" t="s">
        <v>41</v>
      </c>
      <c r="AH54" s="4"/>
      <c r="AI54" s="5"/>
      <c r="AJ54" s="60"/>
      <c r="AK54" s="4"/>
      <c r="AL54" s="5"/>
      <c r="AM54" s="59" t="s">
        <v>235</v>
      </c>
      <c r="AN54" s="4"/>
      <c r="AO54" s="5"/>
      <c r="AP54" s="62">
        <v>46168.0</v>
      </c>
      <c r="AQ54" s="4"/>
      <c r="AR54" s="5"/>
      <c r="AS54" s="48"/>
      <c r="AT54" s="4"/>
      <c r="AU54" s="5"/>
      <c r="AV54" s="56" t="s">
        <v>37</v>
      </c>
      <c r="AW54" s="4"/>
      <c r="AX54" s="5"/>
      <c r="AY54" s="48"/>
      <c r="AZ54" s="4"/>
      <c r="BA54" s="5"/>
      <c r="BB54" s="56" t="s">
        <v>222</v>
      </c>
      <c r="BC54" s="4"/>
      <c r="BD54" s="5"/>
      <c r="BE54" s="57">
        <v>46246.0</v>
      </c>
      <c r="BF54" s="4"/>
      <c r="BG54" s="5"/>
      <c r="BH54" s="48"/>
      <c r="BI54" s="4"/>
      <c r="BJ54" s="5"/>
      <c r="BK54" s="49"/>
      <c r="BL54" s="4"/>
      <c r="BM54" s="4"/>
      <c r="BN54" s="4"/>
      <c r="BO54" s="4"/>
      <c r="BP54" s="4"/>
      <c r="BQ54" s="5"/>
    </row>
    <row r="55" ht="288.0" customHeight="1">
      <c r="A55" s="47">
        <v>39.0</v>
      </c>
      <c r="B55" s="49" t="s">
        <v>451</v>
      </c>
      <c r="C55" s="4"/>
      <c r="D55" s="5"/>
      <c r="E55" s="49" t="s">
        <v>452</v>
      </c>
      <c r="F55" s="4"/>
      <c r="G55" s="4"/>
      <c r="H55" s="4"/>
      <c r="I55" s="5"/>
      <c r="J55" s="49" t="s">
        <v>453</v>
      </c>
      <c r="K55" s="4"/>
      <c r="L55" s="4"/>
      <c r="M55" s="4"/>
      <c r="N55" s="4"/>
      <c r="O55" s="4"/>
      <c r="P55" s="5"/>
      <c r="Q55" s="49" t="s">
        <v>454</v>
      </c>
      <c r="R55" s="4"/>
      <c r="S55" s="4"/>
      <c r="T55" s="4"/>
      <c r="U55" s="4"/>
      <c r="V55" s="4"/>
      <c r="W55" s="5"/>
      <c r="X55" s="49" t="s">
        <v>455</v>
      </c>
      <c r="Y55" s="4"/>
      <c r="Z55" s="4"/>
      <c r="AA55" s="4"/>
      <c r="AB55" s="4"/>
      <c r="AC55" s="4"/>
      <c r="AD55" s="5"/>
      <c r="AE55" s="48" t="s">
        <v>233</v>
      </c>
      <c r="AF55" s="5"/>
      <c r="AG55" s="59" t="s">
        <v>37</v>
      </c>
      <c r="AH55" s="4"/>
      <c r="AI55" s="5"/>
      <c r="AJ55" s="60"/>
      <c r="AK55" s="4"/>
      <c r="AL55" s="5"/>
      <c r="AM55" s="59" t="s">
        <v>235</v>
      </c>
      <c r="AN55" s="4"/>
      <c r="AO55" s="5"/>
      <c r="AP55" s="62">
        <v>46168.0</v>
      </c>
      <c r="AQ55" s="4"/>
      <c r="AR55" s="5"/>
      <c r="AS55" s="48"/>
      <c r="AT55" s="4"/>
      <c r="AU55" s="5"/>
      <c r="AV55" s="56" t="s">
        <v>37</v>
      </c>
      <c r="AW55" s="4"/>
      <c r="AX55" s="5"/>
      <c r="AY55" s="48"/>
      <c r="AZ55" s="4"/>
      <c r="BA55" s="5"/>
      <c r="BB55" s="56" t="s">
        <v>222</v>
      </c>
      <c r="BC55" s="4"/>
      <c r="BD55" s="5"/>
      <c r="BE55" s="57">
        <v>46246.0</v>
      </c>
      <c r="BF55" s="4"/>
      <c r="BG55" s="5"/>
      <c r="BH55" s="48"/>
      <c r="BI55" s="4"/>
      <c r="BJ55" s="5"/>
      <c r="BK55" s="49"/>
      <c r="BL55" s="4"/>
      <c r="BM55" s="4"/>
      <c r="BN55" s="4"/>
      <c r="BO55" s="4"/>
      <c r="BP55" s="4"/>
      <c r="BQ55" s="5"/>
    </row>
    <row r="56" ht="319.5" customHeight="1">
      <c r="A56" s="47">
        <v>40.0</v>
      </c>
      <c r="B56" s="49" t="s">
        <v>456</v>
      </c>
      <c r="C56" s="4"/>
      <c r="D56" s="5"/>
      <c r="E56" s="49" t="s">
        <v>457</v>
      </c>
      <c r="F56" s="4"/>
      <c r="G56" s="4"/>
      <c r="H56" s="4"/>
      <c r="I56" s="5"/>
      <c r="J56" s="49" t="s">
        <v>458</v>
      </c>
      <c r="K56" s="4"/>
      <c r="L56" s="4"/>
      <c r="M56" s="4"/>
      <c r="N56" s="4"/>
      <c r="O56" s="4"/>
      <c r="P56" s="5"/>
      <c r="Q56" s="55" t="s">
        <v>459</v>
      </c>
      <c r="R56" s="4"/>
      <c r="S56" s="4"/>
      <c r="T56" s="4"/>
      <c r="U56" s="4"/>
      <c r="V56" s="4"/>
      <c r="W56" s="5"/>
      <c r="X56" s="49" t="s">
        <v>460</v>
      </c>
      <c r="Y56" s="4"/>
      <c r="Z56" s="4"/>
      <c r="AA56" s="4"/>
      <c r="AB56" s="4"/>
      <c r="AC56" s="4"/>
      <c r="AD56" s="5"/>
      <c r="AE56" s="48" t="s">
        <v>233</v>
      </c>
      <c r="AF56" s="5"/>
      <c r="AG56" s="59" t="s">
        <v>37</v>
      </c>
      <c r="AH56" s="4"/>
      <c r="AI56" s="5"/>
      <c r="AJ56" s="60"/>
      <c r="AK56" s="4"/>
      <c r="AL56" s="5"/>
      <c r="AM56" s="59" t="s">
        <v>235</v>
      </c>
      <c r="AN56" s="4"/>
      <c r="AO56" s="5"/>
      <c r="AP56" s="62">
        <v>46168.0</v>
      </c>
      <c r="AQ56" s="4"/>
      <c r="AR56" s="5"/>
      <c r="AS56" s="48"/>
      <c r="AT56" s="4"/>
      <c r="AU56" s="5"/>
      <c r="AV56" s="56" t="s">
        <v>37</v>
      </c>
      <c r="AW56" s="4"/>
      <c r="AX56" s="5"/>
      <c r="AY56" s="48"/>
      <c r="AZ56" s="4"/>
      <c r="BA56" s="5"/>
      <c r="BB56" s="56" t="s">
        <v>222</v>
      </c>
      <c r="BC56" s="4"/>
      <c r="BD56" s="5"/>
      <c r="BE56" s="57">
        <v>46246.0</v>
      </c>
      <c r="BF56" s="4"/>
      <c r="BG56" s="5"/>
      <c r="BH56" s="48"/>
      <c r="BI56" s="4"/>
      <c r="BJ56" s="5"/>
      <c r="BK56" s="49"/>
      <c r="BL56" s="4"/>
      <c r="BM56" s="4"/>
      <c r="BN56" s="4"/>
      <c r="BO56" s="4"/>
      <c r="BP56" s="4"/>
      <c r="BQ56" s="5"/>
    </row>
    <row r="57" ht="255.75" customHeight="1">
      <c r="A57" s="47">
        <v>41.0</v>
      </c>
      <c r="B57" s="49" t="s">
        <v>461</v>
      </c>
      <c r="C57" s="4"/>
      <c r="D57" s="5"/>
      <c r="E57" s="49" t="s">
        <v>462</v>
      </c>
      <c r="F57" s="4"/>
      <c r="G57" s="4"/>
      <c r="H57" s="4"/>
      <c r="I57" s="5"/>
      <c r="J57" s="49" t="s">
        <v>463</v>
      </c>
      <c r="K57" s="4"/>
      <c r="L57" s="4"/>
      <c r="M57" s="4"/>
      <c r="N57" s="4"/>
      <c r="O57" s="4"/>
      <c r="P57" s="5"/>
      <c r="Q57" s="55" t="s">
        <v>464</v>
      </c>
      <c r="R57" s="4"/>
      <c r="S57" s="4"/>
      <c r="T57" s="4"/>
      <c r="U57" s="4"/>
      <c r="V57" s="4"/>
      <c r="W57" s="5"/>
      <c r="X57" s="55" t="s">
        <v>465</v>
      </c>
      <c r="Y57" s="4"/>
      <c r="Z57" s="4"/>
      <c r="AA57" s="4"/>
      <c r="AB57" s="4"/>
      <c r="AC57" s="4"/>
      <c r="AD57" s="5"/>
      <c r="AE57" s="48" t="s">
        <v>218</v>
      </c>
      <c r="AF57" s="5"/>
      <c r="AG57" s="59" t="s">
        <v>37</v>
      </c>
      <c r="AH57" s="4"/>
      <c r="AI57" s="5"/>
      <c r="AJ57" s="60"/>
      <c r="AK57" s="4"/>
      <c r="AL57" s="5"/>
      <c r="AM57" s="59" t="s">
        <v>235</v>
      </c>
      <c r="AN57" s="4"/>
      <c r="AO57" s="5"/>
      <c r="AP57" s="62">
        <v>46168.0</v>
      </c>
      <c r="AQ57" s="4"/>
      <c r="AR57" s="5"/>
      <c r="AS57" s="48"/>
      <c r="AT57" s="4"/>
      <c r="AU57" s="5"/>
      <c r="AV57" s="56" t="s">
        <v>37</v>
      </c>
      <c r="AW57" s="4"/>
      <c r="AX57" s="5"/>
      <c r="AY57" s="48"/>
      <c r="AZ57" s="4"/>
      <c r="BA57" s="5"/>
      <c r="BB57" s="56" t="s">
        <v>222</v>
      </c>
      <c r="BC57" s="4"/>
      <c r="BD57" s="5"/>
      <c r="BE57" s="57">
        <v>46246.0</v>
      </c>
      <c r="BF57" s="4"/>
      <c r="BG57" s="5"/>
      <c r="BH57" s="48"/>
      <c r="BI57" s="4"/>
      <c r="BJ57" s="5"/>
      <c r="BK57" s="49"/>
      <c r="BL57" s="4"/>
      <c r="BM57" s="4"/>
      <c r="BN57" s="4"/>
      <c r="BO57" s="4"/>
      <c r="BP57" s="4"/>
      <c r="BQ57" s="5"/>
    </row>
    <row r="58" ht="271.5" customHeight="1">
      <c r="A58" s="47">
        <v>42.0</v>
      </c>
      <c r="B58" s="49" t="s">
        <v>466</v>
      </c>
      <c r="C58" s="4"/>
      <c r="D58" s="5"/>
      <c r="E58" s="49" t="s">
        <v>467</v>
      </c>
      <c r="F58" s="4"/>
      <c r="G58" s="4"/>
      <c r="H58" s="4"/>
      <c r="I58" s="5"/>
      <c r="J58" s="49" t="s">
        <v>468</v>
      </c>
      <c r="K58" s="4"/>
      <c r="L58" s="4"/>
      <c r="M58" s="4"/>
      <c r="N58" s="4"/>
      <c r="O58" s="4"/>
      <c r="P58" s="5"/>
      <c r="Q58" s="49" t="s">
        <v>469</v>
      </c>
      <c r="R58" s="4"/>
      <c r="S58" s="4"/>
      <c r="T58" s="4"/>
      <c r="U58" s="4"/>
      <c r="V58" s="4"/>
      <c r="W58" s="5"/>
      <c r="X58" s="49" t="s">
        <v>470</v>
      </c>
      <c r="Y58" s="4"/>
      <c r="Z58" s="4"/>
      <c r="AA58" s="4"/>
      <c r="AB58" s="4"/>
      <c r="AC58" s="4"/>
      <c r="AD58" s="5"/>
      <c r="AE58" s="48" t="s">
        <v>218</v>
      </c>
      <c r="AF58" s="5"/>
      <c r="AG58" s="59" t="s">
        <v>37</v>
      </c>
      <c r="AH58" s="4"/>
      <c r="AI58" s="5"/>
      <c r="AJ58" s="60"/>
      <c r="AK58" s="4"/>
      <c r="AL58" s="5"/>
      <c r="AM58" s="59" t="s">
        <v>235</v>
      </c>
      <c r="AN58" s="4"/>
      <c r="AO58" s="5"/>
      <c r="AP58" s="62">
        <v>46168.0</v>
      </c>
      <c r="AQ58" s="4"/>
      <c r="AR58" s="5"/>
      <c r="AS58" s="48"/>
      <c r="AT58" s="4"/>
      <c r="AU58" s="5"/>
      <c r="AV58" s="56" t="s">
        <v>37</v>
      </c>
      <c r="AW58" s="4"/>
      <c r="AX58" s="5"/>
      <c r="AY58" s="48"/>
      <c r="AZ58" s="4"/>
      <c r="BA58" s="5"/>
      <c r="BB58" s="56" t="s">
        <v>222</v>
      </c>
      <c r="BC58" s="4"/>
      <c r="BD58" s="5"/>
      <c r="BE58" s="57">
        <v>46246.0</v>
      </c>
      <c r="BF58" s="4"/>
      <c r="BG58" s="5"/>
      <c r="BH58" s="48"/>
      <c r="BI58" s="4"/>
      <c r="BJ58" s="5"/>
      <c r="BK58" s="49"/>
      <c r="BL58" s="4"/>
      <c r="BM58" s="4"/>
      <c r="BN58" s="4"/>
      <c r="BO58" s="4"/>
      <c r="BP58" s="4"/>
      <c r="BQ58" s="5"/>
    </row>
    <row r="59" ht="22.5" customHeight="1">
      <c r="A59" s="6" t="s">
        <v>471</v>
      </c>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5"/>
    </row>
    <row r="60" ht="255.75" customHeight="1">
      <c r="A60" s="47">
        <v>43.0</v>
      </c>
      <c r="B60" s="49" t="s">
        <v>472</v>
      </c>
      <c r="C60" s="4"/>
      <c r="D60" s="5"/>
      <c r="E60" s="49" t="s">
        <v>473</v>
      </c>
      <c r="F60" s="4"/>
      <c r="G60" s="4"/>
      <c r="H60" s="4"/>
      <c r="I60" s="5"/>
      <c r="J60" s="49" t="s">
        <v>474</v>
      </c>
      <c r="K60" s="4"/>
      <c r="L60" s="4"/>
      <c r="M60" s="4"/>
      <c r="N60" s="4"/>
      <c r="O60" s="4"/>
      <c r="P60" s="5"/>
      <c r="Q60" s="49" t="s">
        <v>475</v>
      </c>
      <c r="R60" s="4"/>
      <c r="S60" s="4"/>
      <c r="T60" s="4"/>
      <c r="U60" s="4"/>
      <c r="V60" s="4"/>
      <c r="W60" s="5"/>
      <c r="X60" s="55" t="s">
        <v>476</v>
      </c>
      <c r="Y60" s="4"/>
      <c r="Z60" s="4"/>
      <c r="AA60" s="4"/>
      <c r="AB60" s="4"/>
      <c r="AC60" s="4"/>
      <c r="AD60" s="5"/>
      <c r="AE60" s="48" t="s">
        <v>233</v>
      </c>
      <c r="AF60" s="5"/>
      <c r="AG60" s="59" t="s">
        <v>37</v>
      </c>
      <c r="AH60" s="4"/>
      <c r="AI60" s="5"/>
      <c r="AJ60" s="60"/>
      <c r="AK60" s="4"/>
      <c r="AL60" s="5"/>
      <c r="AM60" s="59" t="s">
        <v>235</v>
      </c>
      <c r="AN60" s="4"/>
      <c r="AO60" s="5"/>
      <c r="AP60" s="62">
        <v>46168.0</v>
      </c>
      <c r="AQ60" s="4"/>
      <c r="AR60" s="5"/>
      <c r="AS60" s="48"/>
      <c r="AT60" s="4"/>
      <c r="AU60" s="5"/>
      <c r="AV60" s="56" t="s">
        <v>37</v>
      </c>
      <c r="AW60" s="4"/>
      <c r="AX60" s="5"/>
      <c r="AY60" s="48"/>
      <c r="AZ60" s="4"/>
      <c r="BA60" s="5"/>
      <c r="BB60" s="56" t="s">
        <v>222</v>
      </c>
      <c r="BC60" s="4"/>
      <c r="BD60" s="5"/>
      <c r="BE60" s="57">
        <v>46246.0</v>
      </c>
      <c r="BF60" s="4"/>
      <c r="BG60" s="5"/>
      <c r="BH60" s="48"/>
      <c r="BI60" s="4"/>
      <c r="BJ60" s="5"/>
      <c r="BK60" s="49"/>
      <c r="BL60" s="4"/>
      <c r="BM60" s="4"/>
      <c r="BN60" s="4"/>
      <c r="BO60" s="4"/>
      <c r="BP60" s="4"/>
      <c r="BQ60" s="5"/>
    </row>
    <row r="61" ht="192.0" customHeight="1">
      <c r="A61" s="47">
        <v>44.0</v>
      </c>
      <c r="B61" s="49" t="s">
        <v>477</v>
      </c>
      <c r="C61" s="4"/>
      <c r="D61" s="5"/>
      <c r="E61" s="49" t="s">
        <v>478</v>
      </c>
      <c r="F61" s="4"/>
      <c r="G61" s="4"/>
      <c r="H61" s="4"/>
      <c r="I61" s="5"/>
      <c r="J61" s="49" t="s">
        <v>443</v>
      </c>
      <c r="K61" s="4"/>
      <c r="L61" s="4"/>
      <c r="M61" s="4"/>
      <c r="N61" s="4"/>
      <c r="O61" s="4"/>
      <c r="P61" s="5"/>
      <c r="Q61" s="49" t="s">
        <v>479</v>
      </c>
      <c r="R61" s="4"/>
      <c r="S61" s="4"/>
      <c r="T61" s="4"/>
      <c r="U61" s="4"/>
      <c r="V61" s="4"/>
      <c r="W61" s="5"/>
      <c r="X61" s="55" t="s">
        <v>480</v>
      </c>
      <c r="Y61" s="4"/>
      <c r="Z61" s="4"/>
      <c r="AA61" s="4"/>
      <c r="AB61" s="4"/>
      <c r="AC61" s="4"/>
      <c r="AD61" s="5"/>
      <c r="AE61" s="48" t="s">
        <v>233</v>
      </c>
      <c r="AF61" s="5"/>
      <c r="AG61" s="59" t="s">
        <v>37</v>
      </c>
      <c r="AH61" s="4"/>
      <c r="AI61" s="5"/>
      <c r="AJ61" s="60"/>
      <c r="AK61" s="4"/>
      <c r="AL61" s="5"/>
      <c r="AM61" s="59" t="s">
        <v>235</v>
      </c>
      <c r="AN61" s="4"/>
      <c r="AO61" s="5"/>
      <c r="AP61" s="62">
        <v>46168.0</v>
      </c>
      <c r="AQ61" s="4"/>
      <c r="AR61" s="5"/>
      <c r="AS61" s="48"/>
      <c r="AT61" s="4"/>
      <c r="AU61" s="5"/>
      <c r="AV61" s="56" t="s">
        <v>37</v>
      </c>
      <c r="AW61" s="4"/>
      <c r="AX61" s="5"/>
      <c r="AY61" s="48"/>
      <c r="AZ61" s="4"/>
      <c r="BA61" s="5"/>
      <c r="BB61" s="56" t="s">
        <v>222</v>
      </c>
      <c r="BC61" s="4"/>
      <c r="BD61" s="5"/>
      <c r="BE61" s="57">
        <v>46246.0</v>
      </c>
      <c r="BF61" s="4"/>
      <c r="BG61" s="5"/>
      <c r="BH61" s="48"/>
      <c r="BI61" s="4"/>
      <c r="BJ61" s="5"/>
      <c r="BK61" s="49"/>
      <c r="BL61" s="4"/>
      <c r="BM61" s="4"/>
      <c r="BN61" s="4"/>
      <c r="BO61" s="4"/>
      <c r="BP61" s="4"/>
      <c r="BQ61" s="5"/>
    </row>
    <row r="62" ht="384.0" customHeight="1">
      <c r="A62" s="47">
        <v>45.0</v>
      </c>
      <c r="B62" s="49" t="s">
        <v>481</v>
      </c>
      <c r="C62" s="4"/>
      <c r="D62" s="5"/>
      <c r="E62" s="49" t="s">
        <v>482</v>
      </c>
      <c r="F62" s="4"/>
      <c r="G62" s="4"/>
      <c r="H62" s="4"/>
      <c r="I62" s="5"/>
      <c r="J62" s="49" t="s">
        <v>483</v>
      </c>
      <c r="K62" s="4"/>
      <c r="L62" s="4"/>
      <c r="M62" s="4"/>
      <c r="N62" s="4"/>
      <c r="O62" s="4"/>
      <c r="P62" s="5"/>
      <c r="Q62" s="49" t="s">
        <v>484</v>
      </c>
      <c r="R62" s="4"/>
      <c r="S62" s="4"/>
      <c r="T62" s="4"/>
      <c r="U62" s="4"/>
      <c r="V62" s="4"/>
      <c r="W62" s="5"/>
      <c r="X62" s="55" t="s">
        <v>485</v>
      </c>
      <c r="Y62" s="4"/>
      <c r="Z62" s="4"/>
      <c r="AA62" s="4"/>
      <c r="AB62" s="4"/>
      <c r="AC62" s="4"/>
      <c r="AD62" s="5"/>
      <c r="AE62" s="48" t="s">
        <v>233</v>
      </c>
      <c r="AF62" s="5"/>
      <c r="AG62" s="59" t="s">
        <v>37</v>
      </c>
      <c r="AH62" s="4"/>
      <c r="AI62" s="5"/>
      <c r="AJ62" s="60"/>
      <c r="AK62" s="4"/>
      <c r="AL62" s="5"/>
      <c r="AM62" s="59" t="s">
        <v>235</v>
      </c>
      <c r="AN62" s="4"/>
      <c r="AO62" s="5"/>
      <c r="AP62" s="62">
        <v>46168.0</v>
      </c>
      <c r="AQ62" s="4"/>
      <c r="AR62" s="5"/>
      <c r="AS62" s="48"/>
      <c r="AT62" s="4"/>
      <c r="AU62" s="5"/>
      <c r="AV62" s="56" t="s">
        <v>37</v>
      </c>
      <c r="AW62" s="4"/>
      <c r="AX62" s="5"/>
      <c r="AY62" s="48"/>
      <c r="AZ62" s="4"/>
      <c r="BA62" s="5"/>
      <c r="BB62" s="56" t="s">
        <v>222</v>
      </c>
      <c r="BC62" s="4"/>
      <c r="BD62" s="5"/>
      <c r="BE62" s="57">
        <v>46246.0</v>
      </c>
      <c r="BF62" s="4"/>
      <c r="BG62" s="5"/>
      <c r="BH62" s="48"/>
      <c r="BI62" s="4"/>
      <c r="BJ62" s="5"/>
      <c r="BK62" s="49"/>
      <c r="BL62" s="4"/>
      <c r="BM62" s="4"/>
      <c r="BN62" s="4"/>
      <c r="BO62" s="4"/>
      <c r="BP62" s="4"/>
      <c r="BQ62" s="5"/>
    </row>
    <row r="63" ht="288.0" customHeight="1">
      <c r="A63" s="47">
        <v>46.0</v>
      </c>
      <c r="B63" s="49" t="s">
        <v>486</v>
      </c>
      <c r="C63" s="4"/>
      <c r="D63" s="5"/>
      <c r="E63" s="49" t="s">
        <v>487</v>
      </c>
      <c r="F63" s="4"/>
      <c r="G63" s="4"/>
      <c r="H63" s="4"/>
      <c r="I63" s="5"/>
      <c r="J63" s="49" t="s">
        <v>488</v>
      </c>
      <c r="K63" s="4"/>
      <c r="L63" s="4"/>
      <c r="M63" s="4"/>
      <c r="N63" s="4"/>
      <c r="O63" s="4"/>
      <c r="P63" s="5"/>
      <c r="Q63" s="49" t="s">
        <v>489</v>
      </c>
      <c r="R63" s="4"/>
      <c r="S63" s="4"/>
      <c r="T63" s="4"/>
      <c r="U63" s="4"/>
      <c r="V63" s="4"/>
      <c r="W63" s="5"/>
      <c r="X63" s="49" t="s">
        <v>490</v>
      </c>
      <c r="Y63" s="4"/>
      <c r="Z63" s="4"/>
      <c r="AA63" s="4"/>
      <c r="AB63" s="4"/>
      <c r="AC63" s="4"/>
      <c r="AD63" s="5"/>
      <c r="AE63" s="48" t="s">
        <v>233</v>
      </c>
      <c r="AF63" s="5"/>
      <c r="AG63" s="59" t="s">
        <v>37</v>
      </c>
      <c r="AH63" s="4"/>
      <c r="AI63" s="5"/>
      <c r="AJ63" s="60"/>
      <c r="AK63" s="4"/>
      <c r="AL63" s="5"/>
      <c r="AM63" s="59" t="s">
        <v>235</v>
      </c>
      <c r="AN63" s="4"/>
      <c r="AO63" s="5"/>
      <c r="AP63" s="62">
        <v>46168.0</v>
      </c>
      <c r="AQ63" s="4"/>
      <c r="AR63" s="5"/>
      <c r="AS63" s="48"/>
      <c r="AT63" s="4"/>
      <c r="AU63" s="5"/>
      <c r="AV63" s="56" t="s">
        <v>37</v>
      </c>
      <c r="AW63" s="4"/>
      <c r="AX63" s="5"/>
      <c r="AY63" s="48"/>
      <c r="AZ63" s="4"/>
      <c r="BA63" s="5"/>
      <c r="BB63" s="56" t="s">
        <v>222</v>
      </c>
      <c r="BC63" s="4"/>
      <c r="BD63" s="5"/>
      <c r="BE63" s="57">
        <v>46246.0</v>
      </c>
      <c r="BF63" s="4"/>
      <c r="BG63" s="5"/>
      <c r="BH63" s="48"/>
      <c r="BI63" s="4"/>
      <c r="BJ63" s="5"/>
      <c r="BK63" s="49"/>
      <c r="BL63" s="4"/>
      <c r="BM63" s="4"/>
      <c r="BN63" s="4"/>
      <c r="BO63" s="4"/>
      <c r="BP63" s="4"/>
      <c r="BQ63" s="5"/>
    </row>
    <row r="64" ht="22.5" customHeight="1">
      <c r="A64" s="6" t="s">
        <v>491</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5"/>
    </row>
    <row r="65" ht="288.0" customHeight="1">
      <c r="A65" s="47">
        <v>47.0</v>
      </c>
      <c r="B65" s="49" t="s">
        <v>492</v>
      </c>
      <c r="C65" s="4"/>
      <c r="D65" s="5"/>
      <c r="E65" s="49" t="s">
        <v>493</v>
      </c>
      <c r="F65" s="4"/>
      <c r="G65" s="4"/>
      <c r="H65" s="4"/>
      <c r="I65" s="5"/>
      <c r="J65" s="49" t="s">
        <v>494</v>
      </c>
      <c r="K65" s="4"/>
      <c r="L65" s="4"/>
      <c r="M65" s="4"/>
      <c r="N65" s="4"/>
      <c r="O65" s="4"/>
      <c r="P65" s="5"/>
      <c r="Q65" s="49" t="s">
        <v>495</v>
      </c>
      <c r="R65" s="4"/>
      <c r="S65" s="4"/>
      <c r="T65" s="4"/>
      <c r="U65" s="4"/>
      <c r="V65" s="4"/>
      <c r="W65" s="5"/>
      <c r="X65" s="49" t="s">
        <v>496</v>
      </c>
      <c r="Y65" s="4"/>
      <c r="Z65" s="4"/>
      <c r="AA65" s="4"/>
      <c r="AB65" s="4"/>
      <c r="AC65" s="4"/>
      <c r="AD65" s="5"/>
      <c r="AE65" s="48" t="s">
        <v>218</v>
      </c>
      <c r="AF65" s="5"/>
      <c r="AG65" s="59" t="s">
        <v>37</v>
      </c>
      <c r="AH65" s="4"/>
      <c r="AI65" s="5"/>
      <c r="AJ65" s="60"/>
      <c r="AK65" s="4"/>
      <c r="AL65" s="5"/>
      <c r="AM65" s="59" t="s">
        <v>235</v>
      </c>
      <c r="AN65" s="4"/>
      <c r="AO65" s="5"/>
      <c r="AP65" s="62">
        <v>46168.0</v>
      </c>
      <c r="AQ65" s="4"/>
      <c r="AR65" s="5"/>
      <c r="AS65" s="48"/>
      <c r="AT65" s="4"/>
      <c r="AU65" s="5"/>
      <c r="AV65" s="56" t="s">
        <v>37</v>
      </c>
      <c r="AW65" s="4"/>
      <c r="AX65" s="5"/>
      <c r="AY65" s="48"/>
      <c r="AZ65" s="4"/>
      <c r="BA65" s="5"/>
      <c r="BB65" s="56" t="s">
        <v>222</v>
      </c>
      <c r="BC65" s="4"/>
      <c r="BD65" s="5"/>
      <c r="BE65" s="57">
        <v>46246.0</v>
      </c>
      <c r="BF65" s="4"/>
      <c r="BG65" s="5"/>
      <c r="BH65" s="48"/>
      <c r="BI65" s="4"/>
      <c r="BJ65" s="5"/>
      <c r="BK65" s="49"/>
      <c r="BL65" s="4"/>
      <c r="BM65" s="4"/>
      <c r="BN65" s="4"/>
      <c r="BO65" s="4"/>
      <c r="BP65" s="4"/>
      <c r="BQ65" s="5"/>
    </row>
    <row r="66" ht="207.75" customHeight="1">
      <c r="A66" s="47">
        <v>48.0</v>
      </c>
      <c r="B66" s="49" t="s">
        <v>497</v>
      </c>
      <c r="C66" s="4"/>
      <c r="D66" s="5"/>
      <c r="E66" s="49" t="s">
        <v>498</v>
      </c>
      <c r="F66" s="4"/>
      <c r="G66" s="4"/>
      <c r="H66" s="4"/>
      <c r="I66" s="5"/>
      <c r="J66" s="49" t="s">
        <v>301</v>
      </c>
      <c r="K66" s="4"/>
      <c r="L66" s="4"/>
      <c r="M66" s="4"/>
      <c r="N66" s="4"/>
      <c r="O66" s="4"/>
      <c r="P66" s="5"/>
      <c r="Q66" s="55" t="s">
        <v>499</v>
      </c>
      <c r="R66" s="4"/>
      <c r="S66" s="4"/>
      <c r="T66" s="4"/>
      <c r="U66" s="4"/>
      <c r="V66" s="4"/>
      <c r="W66" s="5"/>
      <c r="X66" s="49" t="s">
        <v>500</v>
      </c>
      <c r="Y66" s="4"/>
      <c r="Z66" s="4"/>
      <c r="AA66" s="4"/>
      <c r="AB66" s="4"/>
      <c r="AC66" s="4"/>
      <c r="AD66" s="5"/>
      <c r="AE66" s="48" t="s">
        <v>218</v>
      </c>
      <c r="AF66" s="5"/>
      <c r="AG66" s="59" t="s">
        <v>37</v>
      </c>
      <c r="AH66" s="4"/>
      <c r="AI66" s="5"/>
      <c r="AJ66" s="60"/>
      <c r="AK66" s="4"/>
      <c r="AL66" s="5"/>
      <c r="AM66" s="59" t="s">
        <v>235</v>
      </c>
      <c r="AN66" s="4"/>
      <c r="AO66" s="5"/>
      <c r="AP66" s="62">
        <v>46168.0</v>
      </c>
      <c r="AQ66" s="4"/>
      <c r="AR66" s="5"/>
      <c r="AS66" s="48"/>
      <c r="AT66" s="4"/>
      <c r="AU66" s="5"/>
      <c r="AV66" s="56" t="s">
        <v>37</v>
      </c>
      <c r="AW66" s="4"/>
      <c r="AX66" s="5"/>
      <c r="AY66" s="48"/>
      <c r="AZ66" s="4"/>
      <c r="BA66" s="5"/>
      <c r="BB66" s="56" t="s">
        <v>222</v>
      </c>
      <c r="BC66" s="4"/>
      <c r="BD66" s="5"/>
      <c r="BE66" s="57">
        <v>46246.0</v>
      </c>
      <c r="BF66" s="4"/>
      <c r="BG66" s="5"/>
      <c r="BH66" s="48"/>
      <c r="BI66" s="4"/>
      <c r="BJ66" s="5"/>
      <c r="BK66" s="49"/>
      <c r="BL66" s="4"/>
      <c r="BM66" s="4"/>
      <c r="BN66" s="4"/>
      <c r="BO66" s="4"/>
      <c r="BP66" s="4"/>
      <c r="BQ66" s="5"/>
    </row>
    <row r="67" ht="192.0" customHeight="1">
      <c r="A67" s="47">
        <v>49.0</v>
      </c>
      <c r="B67" s="49" t="s">
        <v>501</v>
      </c>
      <c r="C67" s="4"/>
      <c r="D67" s="5"/>
      <c r="E67" s="49" t="s">
        <v>502</v>
      </c>
      <c r="F67" s="4"/>
      <c r="G67" s="4"/>
      <c r="H67" s="4"/>
      <c r="I67" s="5"/>
      <c r="J67" s="49" t="s">
        <v>301</v>
      </c>
      <c r="K67" s="4"/>
      <c r="L67" s="4"/>
      <c r="M67" s="4"/>
      <c r="N67" s="4"/>
      <c r="O67" s="4"/>
      <c r="P67" s="5"/>
      <c r="Q67" s="55" t="s">
        <v>503</v>
      </c>
      <c r="R67" s="4"/>
      <c r="S67" s="4"/>
      <c r="T67" s="4"/>
      <c r="U67" s="4"/>
      <c r="V67" s="4"/>
      <c r="W67" s="5"/>
      <c r="X67" s="49" t="s">
        <v>504</v>
      </c>
      <c r="Y67" s="4"/>
      <c r="Z67" s="4"/>
      <c r="AA67" s="4"/>
      <c r="AB67" s="4"/>
      <c r="AC67" s="4"/>
      <c r="AD67" s="5"/>
      <c r="AE67" s="48" t="s">
        <v>218</v>
      </c>
      <c r="AF67" s="5"/>
      <c r="AG67" s="59" t="s">
        <v>37</v>
      </c>
      <c r="AH67" s="4"/>
      <c r="AI67" s="5"/>
      <c r="AJ67" s="60"/>
      <c r="AK67" s="4"/>
      <c r="AL67" s="5"/>
      <c r="AM67" s="59" t="s">
        <v>235</v>
      </c>
      <c r="AN67" s="4"/>
      <c r="AO67" s="5"/>
      <c r="AP67" s="62">
        <v>46168.0</v>
      </c>
      <c r="AQ67" s="4"/>
      <c r="AR67" s="5"/>
      <c r="AS67" s="48"/>
      <c r="AT67" s="4"/>
      <c r="AU67" s="5"/>
      <c r="AV67" s="56" t="s">
        <v>37</v>
      </c>
      <c r="AW67" s="4"/>
      <c r="AX67" s="5"/>
      <c r="AY67" s="48"/>
      <c r="AZ67" s="4"/>
      <c r="BA67" s="5"/>
      <c r="BB67" s="56" t="s">
        <v>222</v>
      </c>
      <c r="BC67" s="4"/>
      <c r="BD67" s="5"/>
      <c r="BE67" s="57">
        <v>46246.0</v>
      </c>
      <c r="BF67" s="4"/>
      <c r="BG67" s="5"/>
      <c r="BH67" s="48"/>
      <c r="BI67" s="4"/>
      <c r="BJ67" s="5"/>
      <c r="BK67" s="49"/>
      <c r="BL67" s="4"/>
      <c r="BM67" s="4"/>
      <c r="BN67" s="4"/>
      <c r="BO67" s="4"/>
      <c r="BP67" s="4"/>
      <c r="BQ67" s="5"/>
    </row>
    <row r="68" ht="255.75" customHeight="1">
      <c r="A68" s="47">
        <v>50.0</v>
      </c>
      <c r="B68" s="49" t="s">
        <v>505</v>
      </c>
      <c r="C68" s="4"/>
      <c r="D68" s="5"/>
      <c r="E68" s="49" t="s">
        <v>506</v>
      </c>
      <c r="F68" s="4"/>
      <c r="G68" s="4"/>
      <c r="H68" s="4"/>
      <c r="I68" s="5"/>
      <c r="J68" s="49" t="s">
        <v>301</v>
      </c>
      <c r="K68" s="4"/>
      <c r="L68" s="4"/>
      <c r="M68" s="4"/>
      <c r="N68" s="4"/>
      <c r="O68" s="4"/>
      <c r="P68" s="5"/>
      <c r="Q68" s="49" t="s">
        <v>507</v>
      </c>
      <c r="R68" s="4"/>
      <c r="S68" s="4"/>
      <c r="T68" s="4"/>
      <c r="U68" s="4"/>
      <c r="V68" s="4"/>
      <c r="W68" s="5"/>
      <c r="X68" s="49" t="s">
        <v>508</v>
      </c>
      <c r="Y68" s="4"/>
      <c r="Z68" s="4"/>
      <c r="AA68" s="4"/>
      <c r="AB68" s="4"/>
      <c r="AC68" s="4"/>
      <c r="AD68" s="5"/>
      <c r="AE68" s="48" t="s">
        <v>218</v>
      </c>
      <c r="AF68" s="5"/>
      <c r="AG68" s="59" t="s">
        <v>37</v>
      </c>
      <c r="AH68" s="4"/>
      <c r="AI68" s="5"/>
      <c r="AJ68" s="60"/>
      <c r="AK68" s="4"/>
      <c r="AL68" s="5"/>
      <c r="AM68" s="59" t="s">
        <v>235</v>
      </c>
      <c r="AN68" s="4"/>
      <c r="AO68" s="5"/>
      <c r="AP68" s="62">
        <v>46168.0</v>
      </c>
      <c r="AQ68" s="4"/>
      <c r="AR68" s="5"/>
      <c r="AS68" s="48"/>
      <c r="AT68" s="4"/>
      <c r="AU68" s="5"/>
      <c r="AV68" s="56" t="s">
        <v>37</v>
      </c>
      <c r="AW68" s="4"/>
      <c r="AX68" s="5"/>
      <c r="AY68" s="48"/>
      <c r="AZ68" s="4"/>
      <c r="BA68" s="5"/>
      <c r="BB68" s="56" t="s">
        <v>222</v>
      </c>
      <c r="BC68" s="4"/>
      <c r="BD68" s="5"/>
      <c r="BH68" s="48"/>
      <c r="BI68" s="4"/>
      <c r="BJ68" s="5"/>
      <c r="BK68" s="49"/>
      <c r="BL68" s="4"/>
      <c r="BM68" s="4"/>
      <c r="BN68" s="4"/>
      <c r="BO68" s="4"/>
      <c r="BP68" s="4"/>
      <c r="BQ68" s="5"/>
    </row>
    <row r="69" ht="367.5" customHeight="1">
      <c r="A69" s="47">
        <v>51.0</v>
      </c>
      <c r="B69" s="49" t="s">
        <v>509</v>
      </c>
      <c r="C69" s="4"/>
      <c r="D69" s="5"/>
      <c r="E69" s="49" t="s">
        <v>510</v>
      </c>
      <c r="F69" s="4"/>
      <c r="G69" s="4"/>
      <c r="H69" s="4"/>
      <c r="I69" s="5"/>
      <c r="J69" s="49" t="s">
        <v>511</v>
      </c>
      <c r="K69" s="4"/>
      <c r="L69" s="4"/>
      <c r="M69" s="4"/>
      <c r="N69" s="4"/>
      <c r="O69" s="4"/>
      <c r="P69" s="5"/>
      <c r="Q69" s="49" t="s">
        <v>512</v>
      </c>
      <c r="R69" s="4"/>
      <c r="S69" s="4"/>
      <c r="T69" s="4"/>
      <c r="U69" s="4"/>
      <c r="V69" s="4"/>
      <c r="W69" s="5"/>
      <c r="X69" s="49" t="s">
        <v>513</v>
      </c>
      <c r="Y69" s="4"/>
      <c r="Z69" s="4"/>
      <c r="AA69" s="4"/>
      <c r="AB69" s="4"/>
      <c r="AC69" s="4"/>
      <c r="AD69" s="5"/>
      <c r="AE69" s="48" t="s">
        <v>218</v>
      </c>
      <c r="AF69" s="5"/>
      <c r="AG69" s="56" t="s">
        <v>41</v>
      </c>
      <c r="AH69" s="4"/>
      <c r="AI69" s="5"/>
      <c r="AJ69" s="48"/>
      <c r="AK69" s="4"/>
      <c r="AL69" s="5"/>
      <c r="AM69" s="48"/>
      <c r="AN69" s="4"/>
      <c r="AO69" s="5"/>
      <c r="AP69" s="48"/>
      <c r="AQ69" s="4"/>
      <c r="AR69" s="5"/>
      <c r="AS69" s="48"/>
      <c r="AT69" s="4"/>
      <c r="AU69" s="5"/>
      <c r="AV69" s="56" t="s">
        <v>37</v>
      </c>
      <c r="AW69" s="4"/>
      <c r="AX69" s="5"/>
      <c r="AY69" s="48"/>
      <c r="AZ69" s="4"/>
      <c r="BA69" s="5"/>
      <c r="BB69" s="56" t="s">
        <v>222</v>
      </c>
      <c r="BC69" s="4"/>
      <c r="BD69" s="5"/>
      <c r="BE69" s="57">
        <v>46246.0</v>
      </c>
      <c r="BF69" s="4"/>
      <c r="BG69" s="5"/>
      <c r="BH69" s="48"/>
      <c r="BI69" s="4"/>
      <c r="BJ69" s="5"/>
      <c r="BK69" s="49"/>
      <c r="BL69" s="4"/>
      <c r="BM69" s="4"/>
      <c r="BN69" s="4"/>
      <c r="BO69" s="4"/>
      <c r="BP69" s="4"/>
      <c r="BQ69" s="5"/>
    </row>
    <row r="70" ht="223.5" customHeight="1">
      <c r="A70" s="47">
        <v>52.0</v>
      </c>
      <c r="B70" s="49" t="s">
        <v>514</v>
      </c>
      <c r="C70" s="4"/>
      <c r="D70" s="5"/>
      <c r="E70" s="49" t="s">
        <v>515</v>
      </c>
      <c r="F70" s="4"/>
      <c r="G70" s="4"/>
      <c r="H70" s="4"/>
      <c r="I70" s="5"/>
      <c r="J70" s="49" t="s">
        <v>516</v>
      </c>
      <c r="K70" s="4"/>
      <c r="L70" s="4"/>
      <c r="M70" s="4"/>
      <c r="N70" s="4"/>
      <c r="O70" s="4"/>
      <c r="P70" s="5"/>
      <c r="Q70" s="49" t="s">
        <v>517</v>
      </c>
      <c r="R70" s="4"/>
      <c r="S70" s="4"/>
      <c r="T70" s="4"/>
      <c r="U70" s="4"/>
      <c r="V70" s="4"/>
      <c r="W70" s="5"/>
      <c r="X70" s="49" t="s">
        <v>518</v>
      </c>
      <c r="Y70" s="4"/>
      <c r="Z70" s="4"/>
      <c r="AA70" s="4"/>
      <c r="AB70" s="4"/>
      <c r="AC70" s="4"/>
      <c r="AD70" s="5"/>
      <c r="AE70" s="48" t="s">
        <v>218</v>
      </c>
      <c r="AF70" s="5"/>
      <c r="AG70" s="59" t="s">
        <v>37</v>
      </c>
      <c r="AH70" s="4"/>
      <c r="AI70" s="5"/>
      <c r="AJ70" s="60"/>
      <c r="AK70" s="4"/>
      <c r="AL70" s="5"/>
      <c r="AM70" s="59" t="s">
        <v>235</v>
      </c>
      <c r="AN70" s="4"/>
      <c r="AO70" s="5"/>
      <c r="AP70" s="62">
        <v>46168.0</v>
      </c>
      <c r="AQ70" s="4"/>
      <c r="AR70" s="5"/>
      <c r="AS70" s="48"/>
      <c r="AT70" s="4"/>
      <c r="AU70" s="5"/>
      <c r="AV70" s="56" t="s">
        <v>37</v>
      </c>
      <c r="AW70" s="4"/>
      <c r="AX70" s="5"/>
      <c r="AY70" s="48"/>
      <c r="AZ70" s="4"/>
      <c r="BA70" s="5"/>
      <c r="BB70" s="56" t="s">
        <v>222</v>
      </c>
      <c r="BC70" s="4"/>
      <c r="BD70" s="5"/>
      <c r="BE70" s="57">
        <v>46246.0</v>
      </c>
      <c r="BF70" s="4"/>
      <c r="BG70" s="5"/>
      <c r="BH70" s="48"/>
      <c r="BI70" s="4"/>
      <c r="BJ70" s="5"/>
      <c r="BK70" s="49"/>
      <c r="BL70" s="4"/>
      <c r="BM70" s="4"/>
      <c r="BN70" s="4"/>
      <c r="BO70" s="4"/>
      <c r="BP70" s="4"/>
      <c r="BQ70" s="5"/>
    </row>
    <row r="71" ht="319.5" customHeight="1">
      <c r="A71" s="47">
        <v>53.0</v>
      </c>
      <c r="B71" s="49" t="s">
        <v>519</v>
      </c>
      <c r="C71" s="4"/>
      <c r="D71" s="5"/>
      <c r="E71" s="49" t="s">
        <v>520</v>
      </c>
      <c r="F71" s="4"/>
      <c r="G71" s="4"/>
      <c r="H71" s="4"/>
      <c r="I71" s="5"/>
      <c r="J71" s="49" t="s">
        <v>521</v>
      </c>
      <c r="K71" s="4"/>
      <c r="L71" s="4"/>
      <c r="M71" s="4"/>
      <c r="N71" s="4"/>
      <c r="O71" s="4"/>
      <c r="P71" s="5"/>
      <c r="Q71" s="49" t="s">
        <v>522</v>
      </c>
      <c r="R71" s="4"/>
      <c r="S71" s="4"/>
      <c r="T71" s="4"/>
      <c r="U71" s="4"/>
      <c r="V71" s="4"/>
      <c r="W71" s="5"/>
      <c r="X71" s="49" t="s">
        <v>523</v>
      </c>
      <c r="Y71" s="4"/>
      <c r="Z71" s="4"/>
      <c r="AA71" s="4"/>
      <c r="AB71" s="4"/>
      <c r="AC71" s="4"/>
      <c r="AD71" s="5"/>
      <c r="AE71" s="48" t="s">
        <v>218</v>
      </c>
      <c r="AF71" s="5"/>
      <c r="AG71" s="59" t="s">
        <v>37</v>
      </c>
      <c r="AH71" s="4"/>
      <c r="AI71" s="5"/>
      <c r="AJ71" s="60"/>
      <c r="AK71" s="4"/>
      <c r="AL71" s="5"/>
      <c r="AM71" s="59" t="s">
        <v>235</v>
      </c>
      <c r="AN71" s="4"/>
      <c r="AO71" s="5"/>
      <c r="AP71" s="62">
        <v>46168.0</v>
      </c>
      <c r="AQ71" s="4"/>
      <c r="AR71" s="5"/>
      <c r="AS71" s="48"/>
      <c r="AT71" s="4"/>
      <c r="AU71" s="5"/>
      <c r="AV71" s="56" t="s">
        <v>37</v>
      </c>
      <c r="AW71" s="4"/>
      <c r="AX71" s="5"/>
      <c r="AY71" s="48"/>
      <c r="AZ71" s="4"/>
      <c r="BA71" s="5"/>
      <c r="BB71" s="56" t="s">
        <v>222</v>
      </c>
      <c r="BC71" s="4"/>
      <c r="BD71" s="5"/>
      <c r="BE71" s="57">
        <v>46246.0</v>
      </c>
      <c r="BF71" s="4"/>
      <c r="BG71" s="5"/>
      <c r="BH71" s="48"/>
      <c r="BI71" s="4"/>
      <c r="BJ71" s="5"/>
      <c r="BK71" s="49"/>
      <c r="BL71" s="4"/>
      <c r="BM71" s="4"/>
      <c r="BN71" s="4"/>
      <c r="BO71" s="4"/>
      <c r="BP71" s="4"/>
      <c r="BQ71" s="5"/>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73">
    <mergeCell ref="BB30:BD30"/>
    <mergeCell ref="BE30:BG30"/>
    <mergeCell ref="AG30:AI30"/>
    <mergeCell ref="AJ30:AL30"/>
    <mergeCell ref="AM30:AO30"/>
    <mergeCell ref="AP30:AR30"/>
    <mergeCell ref="AS30:AU30"/>
    <mergeCell ref="AV30:AX30"/>
    <mergeCell ref="AY30:BA30"/>
    <mergeCell ref="BE27:BG27"/>
    <mergeCell ref="BH27:BJ27"/>
    <mergeCell ref="BK27:BQ27"/>
    <mergeCell ref="AJ27:AL27"/>
    <mergeCell ref="AM27:AO27"/>
    <mergeCell ref="AP27:AR27"/>
    <mergeCell ref="AS27:AU27"/>
    <mergeCell ref="AV27:AX27"/>
    <mergeCell ref="AY27:BA27"/>
    <mergeCell ref="BB27:BD27"/>
    <mergeCell ref="B27:D27"/>
    <mergeCell ref="E27:I27"/>
    <mergeCell ref="J27:P27"/>
    <mergeCell ref="Q27:W27"/>
    <mergeCell ref="X27:AD27"/>
    <mergeCell ref="AE27:AF27"/>
    <mergeCell ref="AG27:AI27"/>
    <mergeCell ref="BE28:BG28"/>
    <mergeCell ref="BH28:BJ28"/>
    <mergeCell ref="BK28:BQ28"/>
    <mergeCell ref="BH30:BJ30"/>
    <mergeCell ref="BK30:BQ30"/>
    <mergeCell ref="AJ28:AL28"/>
    <mergeCell ref="AM28:AO28"/>
    <mergeCell ref="AP28:AR28"/>
    <mergeCell ref="AS28:AU28"/>
    <mergeCell ref="AV28:AX28"/>
    <mergeCell ref="AY28:BA28"/>
    <mergeCell ref="BB28:BD28"/>
    <mergeCell ref="E28:I28"/>
    <mergeCell ref="J28:P28"/>
    <mergeCell ref="Q28:W28"/>
    <mergeCell ref="X28:AD28"/>
    <mergeCell ref="AE28:AF28"/>
    <mergeCell ref="AG28:AI28"/>
    <mergeCell ref="A29:BQ29"/>
    <mergeCell ref="B28:D28"/>
    <mergeCell ref="B30:D30"/>
    <mergeCell ref="E30:I30"/>
    <mergeCell ref="J30:P30"/>
    <mergeCell ref="Q30:W30"/>
    <mergeCell ref="X30:AD30"/>
    <mergeCell ref="AE30:AF30"/>
    <mergeCell ref="BE48:BG48"/>
    <mergeCell ref="BH48:BJ48"/>
    <mergeCell ref="AJ48:AL48"/>
    <mergeCell ref="AM48:AO48"/>
    <mergeCell ref="AP48:AR48"/>
    <mergeCell ref="AS48:AU48"/>
    <mergeCell ref="AV48:AX48"/>
    <mergeCell ref="AY48:BA48"/>
    <mergeCell ref="BB48:BD48"/>
    <mergeCell ref="BE46:BG46"/>
    <mergeCell ref="BH46:BJ46"/>
    <mergeCell ref="BK46:BQ46"/>
    <mergeCell ref="AJ46:AL46"/>
    <mergeCell ref="AM46:AO46"/>
    <mergeCell ref="AP46:AR46"/>
    <mergeCell ref="AS46:AU46"/>
    <mergeCell ref="AV46:AX46"/>
    <mergeCell ref="AY46:BA46"/>
    <mergeCell ref="BB46:BD46"/>
    <mergeCell ref="B46:D46"/>
    <mergeCell ref="E46:I46"/>
    <mergeCell ref="J46:P46"/>
    <mergeCell ref="Q46:W46"/>
    <mergeCell ref="X46:AD46"/>
    <mergeCell ref="AE46:AF46"/>
    <mergeCell ref="AG46:AI46"/>
    <mergeCell ref="BE47:BG47"/>
    <mergeCell ref="BH47:BJ47"/>
    <mergeCell ref="BK47:BQ47"/>
    <mergeCell ref="BK48:BQ48"/>
    <mergeCell ref="AJ47:AL47"/>
    <mergeCell ref="AM47:AO47"/>
    <mergeCell ref="AP47:AR47"/>
    <mergeCell ref="AS47:AU47"/>
    <mergeCell ref="AV47:AX47"/>
    <mergeCell ref="AY47:BA47"/>
    <mergeCell ref="BB47:BD47"/>
    <mergeCell ref="B47:D47"/>
    <mergeCell ref="E47:I47"/>
    <mergeCell ref="J47:P47"/>
    <mergeCell ref="Q47:W47"/>
    <mergeCell ref="X47:AD47"/>
    <mergeCell ref="AE47:AF47"/>
    <mergeCell ref="AG47:AI47"/>
    <mergeCell ref="B48:D48"/>
    <mergeCell ref="E48:I48"/>
    <mergeCell ref="J48:P48"/>
    <mergeCell ref="Q48:W48"/>
    <mergeCell ref="X48:AD48"/>
    <mergeCell ref="AE48:AF48"/>
    <mergeCell ref="AG48:AI48"/>
    <mergeCell ref="BE52:BG52"/>
    <mergeCell ref="BH52:BJ52"/>
    <mergeCell ref="AJ52:AL52"/>
    <mergeCell ref="AM52:AO52"/>
    <mergeCell ref="AP52:AR52"/>
    <mergeCell ref="AS52:AU52"/>
    <mergeCell ref="AV52:AX52"/>
    <mergeCell ref="AY52:BA52"/>
    <mergeCell ref="BB52:BD52"/>
    <mergeCell ref="BE49:BG49"/>
    <mergeCell ref="BH49:BJ49"/>
    <mergeCell ref="BK49:BQ49"/>
    <mergeCell ref="AJ49:AL49"/>
    <mergeCell ref="AM49:AO49"/>
    <mergeCell ref="AP49:AR49"/>
    <mergeCell ref="AS49:AU49"/>
    <mergeCell ref="AV49:AX49"/>
    <mergeCell ref="AY49:BA49"/>
    <mergeCell ref="BB49:BD49"/>
    <mergeCell ref="E49:I49"/>
    <mergeCell ref="J49:P49"/>
    <mergeCell ref="Q49:W49"/>
    <mergeCell ref="X49:AD49"/>
    <mergeCell ref="AE49:AF49"/>
    <mergeCell ref="AG49:AI49"/>
    <mergeCell ref="A50:BQ50"/>
    <mergeCell ref="BB51:BD51"/>
    <mergeCell ref="BE51:BG51"/>
    <mergeCell ref="BH51:BJ51"/>
    <mergeCell ref="BK51:BQ51"/>
    <mergeCell ref="BK52:BQ52"/>
    <mergeCell ref="AG51:AI51"/>
    <mergeCell ref="AJ51:AL51"/>
    <mergeCell ref="AM51:AO51"/>
    <mergeCell ref="AP51:AR51"/>
    <mergeCell ref="AS51:AU51"/>
    <mergeCell ref="AV51:AX51"/>
    <mergeCell ref="AY51:BA51"/>
    <mergeCell ref="B49:D49"/>
    <mergeCell ref="B51:D51"/>
    <mergeCell ref="E51:I51"/>
    <mergeCell ref="J51:P51"/>
    <mergeCell ref="Q51:W51"/>
    <mergeCell ref="X51:AD51"/>
    <mergeCell ref="AE51:AF51"/>
    <mergeCell ref="B52:D52"/>
    <mergeCell ref="E52:I52"/>
    <mergeCell ref="J52:P52"/>
    <mergeCell ref="Q52:W52"/>
    <mergeCell ref="X52:AD52"/>
    <mergeCell ref="AE52:AF52"/>
    <mergeCell ref="AG52:AI52"/>
    <mergeCell ref="BE55:BG55"/>
    <mergeCell ref="BH55:BJ55"/>
    <mergeCell ref="AJ55:AL55"/>
    <mergeCell ref="AM55:AO55"/>
    <mergeCell ref="AP55:AR55"/>
    <mergeCell ref="AS55:AU55"/>
    <mergeCell ref="AV55:AX55"/>
    <mergeCell ref="AY55:BA55"/>
    <mergeCell ref="BB55:BD55"/>
    <mergeCell ref="BE53:BG53"/>
    <mergeCell ref="BH53:BJ53"/>
    <mergeCell ref="BK53:BQ53"/>
    <mergeCell ref="AJ53:AL53"/>
    <mergeCell ref="AM53:AO53"/>
    <mergeCell ref="AP53:AR53"/>
    <mergeCell ref="AS53:AU53"/>
    <mergeCell ref="AV53:AX53"/>
    <mergeCell ref="AY53:BA53"/>
    <mergeCell ref="BB53:BD53"/>
    <mergeCell ref="B53:D53"/>
    <mergeCell ref="E53:I53"/>
    <mergeCell ref="J53:P53"/>
    <mergeCell ref="Q53:W53"/>
    <mergeCell ref="X53:AD53"/>
    <mergeCell ref="AE53:AF53"/>
    <mergeCell ref="AG53:AI53"/>
    <mergeCell ref="BE54:BG54"/>
    <mergeCell ref="BH54:BJ54"/>
    <mergeCell ref="BK54:BQ54"/>
    <mergeCell ref="BK55:BQ55"/>
    <mergeCell ref="AJ54:AL54"/>
    <mergeCell ref="AM54:AO54"/>
    <mergeCell ref="AP54:AR54"/>
    <mergeCell ref="AS54:AU54"/>
    <mergeCell ref="AV54:AX54"/>
    <mergeCell ref="AY54:BA54"/>
    <mergeCell ref="BB54:BD54"/>
    <mergeCell ref="B54:D54"/>
    <mergeCell ref="E54:I54"/>
    <mergeCell ref="J54:P54"/>
    <mergeCell ref="Q54:W54"/>
    <mergeCell ref="X54:AD54"/>
    <mergeCell ref="AE54:AF54"/>
    <mergeCell ref="AG54:AI54"/>
    <mergeCell ref="B55:D55"/>
    <mergeCell ref="E55:I55"/>
    <mergeCell ref="J55:P55"/>
    <mergeCell ref="Q55:W55"/>
    <mergeCell ref="X55:AD55"/>
    <mergeCell ref="AE55:AF55"/>
    <mergeCell ref="AG55:AI55"/>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B19:BD19"/>
    <mergeCell ref="BE19:BG19"/>
    <mergeCell ref="AG19:AI19"/>
    <mergeCell ref="AJ19:AL19"/>
    <mergeCell ref="AM19:AO19"/>
    <mergeCell ref="AP19:AR19"/>
    <mergeCell ref="AS19:AU19"/>
    <mergeCell ref="AV19:AX19"/>
    <mergeCell ref="AY19:BA19"/>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H19:BJ19"/>
    <mergeCell ref="BK19:BQ19"/>
    <mergeCell ref="AJ17:AL17"/>
    <mergeCell ref="AM17:AO17"/>
    <mergeCell ref="AP17:AR17"/>
    <mergeCell ref="AS17:AU17"/>
    <mergeCell ref="AV17:AX17"/>
    <mergeCell ref="AY17:BA17"/>
    <mergeCell ref="BB17:BD17"/>
    <mergeCell ref="E17:I17"/>
    <mergeCell ref="J17:P17"/>
    <mergeCell ref="Q17:W17"/>
    <mergeCell ref="X17:AD17"/>
    <mergeCell ref="AE17:AF17"/>
    <mergeCell ref="AG17:AI17"/>
    <mergeCell ref="A18:BQ18"/>
    <mergeCell ref="B17:D17"/>
    <mergeCell ref="B19:D19"/>
    <mergeCell ref="E19:I19"/>
    <mergeCell ref="J19:P19"/>
    <mergeCell ref="Q19:W19"/>
    <mergeCell ref="X19:AD19"/>
    <mergeCell ref="AE19:AF19"/>
    <mergeCell ref="BE58:BG58"/>
    <mergeCell ref="BH58:BJ58"/>
    <mergeCell ref="AJ58:AL58"/>
    <mergeCell ref="AM58:AO58"/>
    <mergeCell ref="AP58:AR58"/>
    <mergeCell ref="AS58:AU58"/>
    <mergeCell ref="AV58:AX58"/>
    <mergeCell ref="AY58:BA58"/>
    <mergeCell ref="BB58:BD58"/>
    <mergeCell ref="BE71:BG71"/>
    <mergeCell ref="BH71:BJ71"/>
    <mergeCell ref="AJ71:AL71"/>
    <mergeCell ref="AM71:AO71"/>
    <mergeCell ref="AP71:AR71"/>
    <mergeCell ref="AS71:AU71"/>
    <mergeCell ref="AV71:AX71"/>
    <mergeCell ref="AY71:BA71"/>
    <mergeCell ref="BB71:BD71"/>
    <mergeCell ref="BE69:BG69"/>
    <mergeCell ref="BH69:BJ69"/>
    <mergeCell ref="BK69:BQ69"/>
    <mergeCell ref="AJ69:AL69"/>
    <mergeCell ref="AM69:AO69"/>
    <mergeCell ref="AP69:AR69"/>
    <mergeCell ref="AS69:AU69"/>
    <mergeCell ref="AV69:AX69"/>
    <mergeCell ref="AY69:BA69"/>
    <mergeCell ref="BB69:BD69"/>
    <mergeCell ref="B69:D69"/>
    <mergeCell ref="E69:I69"/>
    <mergeCell ref="J69:P69"/>
    <mergeCell ref="Q69:W69"/>
    <mergeCell ref="X69:AD69"/>
    <mergeCell ref="AE69:AF69"/>
    <mergeCell ref="AG69:AI69"/>
    <mergeCell ref="BE70:BG70"/>
    <mergeCell ref="BH70:BJ70"/>
    <mergeCell ref="BK70:BQ70"/>
    <mergeCell ref="BK71:BQ71"/>
    <mergeCell ref="AJ70:AL70"/>
    <mergeCell ref="AM70:AO70"/>
    <mergeCell ref="AP70:AR70"/>
    <mergeCell ref="AS70:AU70"/>
    <mergeCell ref="AV70:AX70"/>
    <mergeCell ref="AY70:BA70"/>
    <mergeCell ref="BB70:BD70"/>
    <mergeCell ref="B70:D70"/>
    <mergeCell ref="E70:I70"/>
    <mergeCell ref="J70:P70"/>
    <mergeCell ref="Q70:W70"/>
    <mergeCell ref="X70:AD70"/>
    <mergeCell ref="AE70:AF70"/>
    <mergeCell ref="AG70:AI70"/>
    <mergeCell ref="B71:D71"/>
    <mergeCell ref="E71:I71"/>
    <mergeCell ref="J71:P71"/>
    <mergeCell ref="Q71:W71"/>
    <mergeCell ref="X71:AD71"/>
    <mergeCell ref="AE71:AF71"/>
    <mergeCell ref="AG71:AI71"/>
    <mergeCell ref="E58:I58"/>
    <mergeCell ref="J58:P58"/>
    <mergeCell ref="Q58:W58"/>
    <mergeCell ref="X58:AD58"/>
    <mergeCell ref="AE58:AF58"/>
    <mergeCell ref="AG58:AI58"/>
    <mergeCell ref="A59:BQ59"/>
    <mergeCell ref="B58:D58"/>
    <mergeCell ref="B60:D60"/>
    <mergeCell ref="E60:I60"/>
    <mergeCell ref="J60:P60"/>
    <mergeCell ref="Q60:W60"/>
    <mergeCell ref="X60:AD60"/>
    <mergeCell ref="AE60:AF60"/>
    <mergeCell ref="BH60:BJ60"/>
    <mergeCell ref="BK60:BQ60"/>
    <mergeCell ref="AM60:AO60"/>
    <mergeCell ref="AP60:AR60"/>
    <mergeCell ref="AS60:AU60"/>
    <mergeCell ref="AV60:AX60"/>
    <mergeCell ref="AY60:BA60"/>
    <mergeCell ref="BB60:BD60"/>
    <mergeCell ref="BE60:BG60"/>
    <mergeCell ref="BE56:BG56"/>
    <mergeCell ref="BH56:BJ56"/>
    <mergeCell ref="BK56:BQ56"/>
    <mergeCell ref="AJ56:AL56"/>
    <mergeCell ref="AM56:AO56"/>
    <mergeCell ref="AP56:AR56"/>
    <mergeCell ref="AS56:AU56"/>
    <mergeCell ref="AV56:AX56"/>
    <mergeCell ref="AY56:BA56"/>
    <mergeCell ref="BB56:BD56"/>
    <mergeCell ref="B56:D56"/>
    <mergeCell ref="E56:I56"/>
    <mergeCell ref="J56:P56"/>
    <mergeCell ref="Q56:W56"/>
    <mergeCell ref="X56:AD56"/>
    <mergeCell ref="AE56:AF56"/>
    <mergeCell ref="AG56:AI56"/>
    <mergeCell ref="BE57:BG57"/>
    <mergeCell ref="BH57:BJ57"/>
    <mergeCell ref="BK57:BQ57"/>
    <mergeCell ref="BK58:BQ58"/>
    <mergeCell ref="AJ57:AL57"/>
    <mergeCell ref="AM57:AO57"/>
    <mergeCell ref="AP57:AR57"/>
    <mergeCell ref="AS57:AU57"/>
    <mergeCell ref="AV57:AX57"/>
    <mergeCell ref="AY57:BA57"/>
    <mergeCell ref="BB57:BD57"/>
    <mergeCell ref="B57:D57"/>
    <mergeCell ref="E57:I57"/>
    <mergeCell ref="J57:P57"/>
    <mergeCell ref="Q57:W57"/>
    <mergeCell ref="X57:AD57"/>
    <mergeCell ref="AE57:AF57"/>
    <mergeCell ref="AG57:AI57"/>
    <mergeCell ref="BE61:BG61"/>
    <mergeCell ref="BH61:BJ61"/>
    <mergeCell ref="BK61:BQ61"/>
    <mergeCell ref="AJ61:AL61"/>
    <mergeCell ref="AM61:AO61"/>
    <mergeCell ref="AP61:AR61"/>
    <mergeCell ref="AS61:AU61"/>
    <mergeCell ref="AV61:AX61"/>
    <mergeCell ref="AY61:BA61"/>
    <mergeCell ref="BB61:BD61"/>
    <mergeCell ref="AJ63:AL63"/>
    <mergeCell ref="AM63:AO63"/>
    <mergeCell ref="AP63:AR63"/>
    <mergeCell ref="AS63:AU63"/>
    <mergeCell ref="AV63:AX63"/>
    <mergeCell ref="AY63:BA63"/>
    <mergeCell ref="BB63:BD63"/>
    <mergeCell ref="E63:I63"/>
    <mergeCell ref="J63:P63"/>
    <mergeCell ref="Q63:W63"/>
    <mergeCell ref="X63:AD63"/>
    <mergeCell ref="AE63:AF63"/>
    <mergeCell ref="AG63:AI63"/>
    <mergeCell ref="A64:BQ64"/>
    <mergeCell ref="BB65:BD65"/>
    <mergeCell ref="BE65:BG65"/>
    <mergeCell ref="AG65:AI65"/>
    <mergeCell ref="AJ65:AL65"/>
    <mergeCell ref="AM65:AO65"/>
    <mergeCell ref="AP65:AR65"/>
    <mergeCell ref="AS65:AU65"/>
    <mergeCell ref="AV65:AX65"/>
    <mergeCell ref="AY65:BA65"/>
    <mergeCell ref="AE61:AF61"/>
    <mergeCell ref="AG61:AI61"/>
    <mergeCell ref="AG60:AI60"/>
    <mergeCell ref="AJ60:AL60"/>
    <mergeCell ref="B61:D61"/>
    <mergeCell ref="E61:I61"/>
    <mergeCell ref="J61:P61"/>
    <mergeCell ref="Q61:W61"/>
    <mergeCell ref="X61:AD61"/>
    <mergeCell ref="BE62:BG62"/>
    <mergeCell ref="BH62:BJ62"/>
    <mergeCell ref="BK62:BQ62"/>
    <mergeCell ref="AJ62:AL62"/>
    <mergeCell ref="AM62:AO62"/>
    <mergeCell ref="AP62:AR62"/>
    <mergeCell ref="AS62:AU62"/>
    <mergeCell ref="AV62:AX62"/>
    <mergeCell ref="AY62:BA62"/>
    <mergeCell ref="BB62:BD62"/>
    <mergeCell ref="B62:D62"/>
    <mergeCell ref="E62:I62"/>
    <mergeCell ref="J62:P62"/>
    <mergeCell ref="Q62:W62"/>
    <mergeCell ref="X62:AD62"/>
    <mergeCell ref="AE62:AF62"/>
    <mergeCell ref="AG62:AI62"/>
    <mergeCell ref="BE63:BG63"/>
    <mergeCell ref="BH63:BJ63"/>
    <mergeCell ref="BK63:BQ63"/>
    <mergeCell ref="BH65:BJ65"/>
    <mergeCell ref="BK65:BQ65"/>
    <mergeCell ref="B63:D63"/>
    <mergeCell ref="B65:D65"/>
    <mergeCell ref="E65:I65"/>
    <mergeCell ref="J65:P65"/>
    <mergeCell ref="Q65:W65"/>
    <mergeCell ref="X65:AD65"/>
    <mergeCell ref="AE65:AF65"/>
    <mergeCell ref="AJ68:AL68"/>
    <mergeCell ref="AM68:AO68"/>
    <mergeCell ref="AP68:AR68"/>
    <mergeCell ref="AS68:AU68"/>
    <mergeCell ref="AV68:AX68"/>
    <mergeCell ref="AY68:BA68"/>
    <mergeCell ref="BB68:BD68"/>
    <mergeCell ref="BH68:BJ68"/>
    <mergeCell ref="BE66:BG66"/>
    <mergeCell ref="BH66:BJ66"/>
    <mergeCell ref="BK66:BQ66"/>
    <mergeCell ref="AJ66:AL66"/>
    <mergeCell ref="AM66:AO66"/>
    <mergeCell ref="AP66:AR66"/>
    <mergeCell ref="AS66:AU66"/>
    <mergeCell ref="AV66:AX66"/>
    <mergeCell ref="AY66:BA66"/>
    <mergeCell ref="BB66:BD66"/>
    <mergeCell ref="B66:D66"/>
    <mergeCell ref="E66:I66"/>
    <mergeCell ref="J66:P66"/>
    <mergeCell ref="Q66:W66"/>
    <mergeCell ref="X66:AD66"/>
    <mergeCell ref="AE66:AF66"/>
    <mergeCell ref="AG66:AI66"/>
    <mergeCell ref="BE67:BG67"/>
    <mergeCell ref="BH67:BJ67"/>
    <mergeCell ref="BK67:BQ67"/>
    <mergeCell ref="BK68:BQ68"/>
    <mergeCell ref="AJ67:AL67"/>
    <mergeCell ref="AM67:AO67"/>
    <mergeCell ref="AP67:AR67"/>
    <mergeCell ref="AS67:AU67"/>
    <mergeCell ref="AV67:AX67"/>
    <mergeCell ref="AY67:BA67"/>
    <mergeCell ref="BB67:BD67"/>
    <mergeCell ref="B67:D67"/>
    <mergeCell ref="E67:I67"/>
    <mergeCell ref="J67:P67"/>
    <mergeCell ref="Q67:W67"/>
    <mergeCell ref="X67:AD67"/>
    <mergeCell ref="AE67:AF67"/>
    <mergeCell ref="AG67:AI67"/>
    <mergeCell ref="B68:D68"/>
    <mergeCell ref="E68:I68"/>
    <mergeCell ref="J68:P68"/>
    <mergeCell ref="Q68:W68"/>
    <mergeCell ref="X68:AD68"/>
    <mergeCell ref="AE68:AF68"/>
    <mergeCell ref="AG68:AI68"/>
    <mergeCell ref="BE22:BG22"/>
    <mergeCell ref="BH22:BJ22"/>
    <mergeCell ref="AJ22:AL22"/>
    <mergeCell ref="AM22:AO22"/>
    <mergeCell ref="AP22:AR22"/>
    <mergeCell ref="AS22:AU22"/>
    <mergeCell ref="AV22:AX22"/>
    <mergeCell ref="AY22:BA22"/>
    <mergeCell ref="BB22:BD22"/>
    <mergeCell ref="BE20:BG20"/>
    <mergeCell ref="BH20:BJ20"/>
    <mergeCell ref="BK20:BQ20"/>
    <mergeCell ref="AJ20:AL20"/>
    <mergeCell ref="AM20:AO20"/>
    <mergeCell ref="AP20:AR20"/>
    <mergeCell ref="AS20:AU20"/>
    <mergeCell ref="AV20:AX20"/>
    <mergeCell ref="AY20:BA20"/>
    <mergeCell ref="BB20:BD20"/>
    <mergeCell ref="B20:D20"/>
    <mergeCell ref="E20:I20"/>
    <mergeCell ref="J20:P20"/>
    <mergeCell ref="Q20:W20"/>
    <mergeCell ref="X20:AD20"/>
    <mergeCell ref="AE20:AF20"/>
    <mergeCell ref="AG20:AI20"/>
    <mergeCell ref="BE21:BG21"/>
    <mergeCell ref="BH21:BJ21"/>
    <mergeCell ref="BK21:BQ21"/>
    <mergeCell ref="BK22:BQ22"/>
    <mergeCell ref="AJ21:AL21"/>
    <mergeCell ref="AM21:AO21"/>
    <mergeCell ref="AP21:AR21"/>
    <mergeCell ref="AS21:AU21"/>
    <mergeCell ref="AV21:AX21"/>
    <mergeCell ref="AY21:BA21"/>
    <mergeCell ref="BB21:BD21"/>
    <mergeCell ref="B21:D21"/>
    <mergeCell ref="E21:I21"/>
    <mergeCell ref="J21:P21"/>
    <mergeCell ref="Q21:W21"/>
    <mergeCell ref="X21:AD21"/>
    <mergeCell ref="AE21:AF21"/>
    <mergeCell ref="AG21:AI21"/>
    <mergeCell ref="B22:D22"/>
    <mergeCell ref="E22:I22"/>
    <mergeCell ref="J22:P22"/>
    <mergeCell ref="Q22:W22"/>
    <mergeCell ref="X22:AD22"/>
    <mergeCell ref="AE22:AF22"/>
    <mergeCell ref="AG22:AI22"/>
    <mergeCell ref="BB26:BD26"/>
    <mergeCell ref="BE26:BG26"/>
    <mergeCell ref="AG26:AI26"/>
    <mergeCell ref="AJ26:AL26"/>
    <mergeCell ref="AM26:AO26"/>
    <mergeCell ref="AP26:AR26"/>
    <mergeCell ref="AS26:AU26"/>
    <mergeCell ref="AV26:AX26"/>
    <mergeCell ref="AY26:BA26"/>
    <mergeCell ref="BE23:BG23"/>
    <mergeCell ref="BH23:BJ23"/>
    <mergeCell ref="BK23:BQ23"/>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H26:BJ26"/>
    <mergeCell ref="BK26:BQ26"/>
    <mergeCell ref="AJ24:AL24"/>
    <mergeCell ref="AM24:AO24"/>
    <mergeCell ref="AP24:AR24"/>
    <mergeCell ref="AS24:AU24"/>
    <mergeCell ref="AV24:AX24"/>
    <mergeCell ref="AY24:BA24"/>
    <mergeCell ref="BB24:BD24"/>
    <mergeCell ref="E24:I24"/>
    <mergeCell ref="J24:P24"/>
    <mergeCell ref="Q24:W24"/>
    <mergeCell ref="X24:AD24"/>
    <mergeCell ref="AE24:AF24"/>
    <mergeCell ref="AG24:AI24"/>
    <mergeCell ref="A25:BQ25"/>
    <mergeCell ref="B24:D24"/>
    <mergeCell ref="B26:D26"/>
    <mergeCell ref="E26:I26"/>
    <mergeCell ref="J26:P26"/>
    <mergeCell ref="Q26:W26"/>
    <mergeCell ref="X26:AD26"/>
    <mergeCell ref="AE26:AF26"/>
    <mergeCell ref="BE33:BG33"/>
    <mergeCell ref="BH33:BJ33"/>
    <mergeCell ref="AJ33:AL33"/>
    <mergeCell ref="AM33:AO33"/>
    <mergeCell ref="AP33:AR33"/>
    <mergeCell ref="AS33:AU33"/>
    <mergeCell ref="AV33:AX33"/>
    <mergeCell ref="AY33:BA33"/>
    <mergeCell ref="BB33:BD33"/>
    <mergeCell ref="BE31:BG31"/>
    <mergeCell ref="BH31:BJ31"/>
    <mergeCell ref="BK31:BQ31"/>
    <mergeCell ref="AJ31:AL31"/>
    <mergeCell ref="AM31:AO31"/>
    <mergeCell ref="AP31:AR31"/>
    <mergeCell ref="AS31:AU31"/>
    <mergeCell ref="AV31:AX31"/>
    <mergeCell ref="AY31:BA31"/>
    <mergeCell ref="BB31:BD31"/>
    <mergeCell ref="B31:D31"/>
    <mergeCell ref="E31:I31"/>
    <mergeCell ref="J31:P31"/>
    <mergeCell ref="Q31:W31"/>
    <mergeCell ref="X31:AD31"/>
    <mergeCell ref="AE31:AF31"/>
    <mergeCell ref="AG31:AI31"/>
    <mergeCell ref="BE32:BG32"/>
    <mergeCell ref="BH32:BJ32"/>
    <mergeCell ref="BK32:BQ32"/>
    <mergeCell ref="BK33:BQ33"/>
    <mergeCell ref="AJ32:AL32"/>
    <mergeCell ref="AM32:AO32"/>
    <mergeCell ref="AP32:AR32"/>
    <mergeCell ref="AS32:AU32"/>
    <mergeCell ref="AV32:AX32"/>
    <mergeCell ref="AY32:BA32"/>
    <mergeCell ref="BB32:BD32"/>
    <mergeCell ref="B32:D32"/>
    <mergeCell ref="E32:I32"/>
    <mergeCell ref="J32:P32"/>
    <mergeCell ref="Q32:W32"/>
    <mergeCell ref="X32:AD32"/>
    <mergeCell ref="AE32:AF32"/>
    <mergeCell ref="AG32:AI32"/>
    <mergeCell ref="B33:D33"/>
    <mergeCell ref="E33:I33"/>
    <mergeCell ref="J33:P33"/>
    <mergeCell ref="Q33:W33"/>
    <mergeCell ref="X33:AD33"/>
    <mergeCell ref="AE33:AF33"/>
    <mergeCell ref="AG33:AI33"/>
    <mergeCell ref="BE36:BG36"/>
    <mergeCell ref="BH36:BJ36"/>
    <mergeCell ref="AJ36:AL36"/>
    <mergeCell ref="AM36:AO36"/>
    <mergeCell ref="AP36:AR36"/>
    <mergeCell ref="AS36:AU36"/>
    <mergeCell ref="AV36:AX36"/>
    <mergeCell ref="AY36:BA36"/>
    <mergeCell ref="BB36:BD36"/>
    <mergeCell ref="BE34:BG34"/>
    <mergeCell ref="BH34:BJ34"/>
    <mergeCell ref="BK34:BQ34"/>
    <mergeCell ref="AJ34:AL34"/>
    <mergeCell ref="AM34:AO34"/>
    <mergeCell ref="AP34:AR34"/>
    <mergeCell ref="AS34:AU34"/>
    <mergeCell ref="AV34:AX34"/>
    <mergeCell ref="AY34:BA34"/>
    <mergeCell ref="BB34:BD34"/>
    <mergeCell ref="B34:D34"/>
    <mergeCell ref="E34:I34"/>
    <mergeCell ref="J34:P34"/>
    <mergeCell ref="Q34:W34"/>
    <mergeCell ref="X34:AD34"/>
    <mergeCell ref="AE34:AF34"/>
    <mergeCell ref="AG34:AI34"/>
    <mergeCell ref="BE35:BG35"/>
    <mergeCell ref="BH35:BJ35"/>
    <mergeCell ref="BK35:BQ35"/>
    <mergeCell ref="BK36:BQ36"/>
    <mergeCell ref="AJ35:AL35"/>
    <mergeCell ref="AM35:AO35"/>
    <mergeCell ref="AP35:AR35"/>
    <mergeCell ref="AS35:AU35"/>
    <mergeCell ref="AV35:AX35"/>
    <mergeCell ref="AY35:BA35"/>
    <mergeCell ref="BB35:BD35"/>
    <mergeCell ref="B35:D35"/>
    <mergeCell ref="E35:I35"/>
    <mergeCell ref="J35:P35"/>
    <mergeCell ref="Q35:W35"/>
    <mergeCell ref="X35:AD35"/>
    <mergeCell ref="AE35:AF35"/>
    <mergeCell ref="AG35:AI35"/>
    <mergeCell ref="B36:D36"/>
    <mergeCell ref="E36:I36"/>
    <mergeCell ref="J36:P36"/>
    <mergeCell ref="Q36:W36"/>
    <mergeCell ref="X36:AD36"/>
    <mergeCell ref="AE36:AF36"/>
    <mergeCell ref="AG36:AI36"/>
    <mergeCell ref="BE39:BG39"/>
    <mergeCell ref="BH39:BJ39"/>
    <mergeCell ref="AJ39:AL39"/>
    <mergeCell ref="AM39:AO39"/>
    <mergeCell ref="AP39:AR39"/>
    <mergeCell ref="AS39:AU39"/>
    <mergeCell ref="AV39:AX39"/>
    <mergeCell ref="AY39:BA39"/>
    <mergeCell ref="BB39:BD39"/>
    <mergeCell ref="BE37:BG37"/>
    <mergeCell ref="BH37:BJ37"/>
    <mergeCell ref="BK37:BQ37"/>
    <mergeCell ref="AJ37:AL37"/>
    <mergeCell ref="AM37:AO37"/>
    <mergeCell ref="AP37:AR37"/>
    <mergeCell ref="AS37:AU37"/>
    <mergeCell ref="AV37:AX37"/>
    <mergeCell ref="AY37:BA37"/>
    <mergeCell ref="BB37:BD37"/>
    <mergeCell ref="B37:D37"/>
    <mergeCell ref="E37:I37"/>
    <mergeCell ref="J37:P37"/>
    <mergeCell ref="Q37:W37"/>
    <mergeCell ref="X37:AD37"/>
    <mergeCell ref="AE37:AF37"/>
    <mergeCell ref="AG37:AI37"/>
    <mergeCell ref="BE38:BG38"/>
    <mergeCell ref="BH38:BJ38"/>
    <mergeCell ref="BK38:BQ38"/>
    <mergeCell ref="BK39:BQ39"/>
    <mergeCell ref="AJ38:AL38"/>
    <mergeCell ref="AM38:AO38"/>
    <mergeCell ref="AP38:AR38"/>
    <mergeCell ref="AS38:AU38"/>
    <mergeCell ref="AV38:AX38"/>
    <mergeCell ref="AY38:BA38"/>
    <mergeCell ref="BB38:BD38"/>
    <mergeCell ref="B38:D38"/>
    <mergeCell ref="E38:I38"/>
    <mergeCell ref="J38:P38"/>
    <mergeCell ref="Q38:W38"/>
    <mergeCell ref="X38:AD38"/>
    <mergeCell ref="AE38:AF38"/>
    <mergeCell ref="AG38:AI38"/>
    <mergeCell ref="B39:D39"/>
    <mergeCell ref="E39:I39"/>
    <mergeCell ref="J39:P39"/>
    <mergeCell ref="Q39:W39"/>
    <mergeCell ref="X39:AD39"/>
    <mergeCell ref="AE39:AF39"/>
    <mergeCell ref="AG39:AI39"/>
    <mergeCell ref="BE42:BG42"/>
    <mergeCell ref="BH42:BJ42"/>
    <mergeCell ref="AJ42:AL42"/>
    <mergeCell ref="AM42:AO42"/>
    <mergeCell ref="AP42:AR42"/>
    <mergeCell ref="AS42:AU42"/>
    <mergeCell ref="AV42:AX42"/>
    <mergeCell ref="AY42:BA42"/>
    <mergeCell ref="BB42:BD42"/>
    <mergeCell ref="BE40:BG40"/>
    <mergeCell ref="BH40:BJ40"/>
    <mergeCell ref="BK40:BQ40"/>
    <mergeCell ref="AJ40:AL40"/>
    <mergeCell ref="AM40:AO40"/>
    <mergeCell ref="AP40:AR40"/>
    <mergeCell ref="AS40:AU40"/>
    <mergeCell ref="AV40:AX40"/>
    <mergeCell ref="AY40:BA40"/>
    <mergeCell ref="BB40:BD40"/>
    <mergeCell ref="B40:D40"/>
    <mergeCell ref="E40:I40"/>
    <mergeCell ref="J40:P40"/>
    <mergeCell ref="Q40:W40"/>
    <mergeCell ref="X40:AD40"/>
    <mergeCell ref="AE40:AF40"/>
    <mergeCell ref="AG40:AI40"/>
    <mergeCell ref="BE41:BG41"/>
    <mergeCell ref="BH41:BJ41"/>
    <mergeCell ref="BK41:BQ41"/>
    <mergeCell ref="BK42:BQ42"/>
    <mergeCell ref="AJ41:AL41"/>
    <mergeCell ref="AM41:AO41"/>
    <mergeCell ref="AP41:AR41"/>
    <mergeCell ref="AS41:AU41"/>
    <mergeCell ref="AV41:AX41"/>
    <mergeCell ref="AY41:BA41"/>
    <mergeCell ref="BB41:BD41"/>
    <mergeCell ref="B41:D41"/>
    <mergeCell ref="E41:I41"/>
    <mergeCell ref="J41:P41"/>
    <mergeCell ref="Q41:W41"/>
    <mergeCell ref="X41:AD41"/>
    <mergeCell ref="AE41:AF41"/>
    <mergeCell ref="AG41:AI41"/>
    <mergeCell ref="B42:D42"/>
    <mergeCell ref="E42:I42"/>
    <mergeCell ref="J42:P42"/>
    <mergeCell ref="Q42:W42"/>
    <mergeCell ref="X42:AD42"/>
    <mergeCell ref="AE42:AF42"/>
    <mergeCell ref="AG42:AI42"/>
    <mergeCell ref="BE45:BG45"/>
    <mergeCell ref="BH45:BJ45"/>
    <mergeCell ref="AJ45:AL45"/>
    <mergeCell ref="AM45:AO45"/>
    <mergeCell ref="AP45:AR45"/>
    <mergeCell ref="AS45:AU45"/>
    <mergeCell ref="AV45:AX45"/>
    <mergeCell ref="AY45:BA45"/>
    <mergeCell ref="BB45:BD45"/>
    <mergeCell ref="BE43:BG43"/>
    <mergeCell ref="BH43:BJ43"/>
    <mergeCell ref="BK43:BQ43"/>
    <mergeCell ref="AJ43:AL43"/>
    <mergeCell ref="AM43:AO43"/>
    <mergeCell ref="AP43:AR43"/>
    <mergeCell ref="AS43:AU43"/>
    <mergeCell ref="AV43:AX43"/>
    <mergeCell ref="AY43:BA43"/>
    <mergeCell ref="BB43:BD43"/>
    <mergeCell ref="B43:D43"/>
    <mergeCell ref="E43:I43"/>
    <mergeCell ref="J43:P43"/>
    <mergeCell ref="Q43:W43"/>
    <mergeCell ref="X43:AD43"/>
    <mergeCell ref="AE43:AF43"/>
    <mergeCell ref="AG43:AI43"/>
    <mergeCell ref="BE44:BG44"/>
    <mergeCell ref="BH44:BJ44"/>
    <mergeCell ref="BK44:BQ44"/>
    <mergeCell ref="BK45:BQ45"/>
    <mergeCell ref="AJ44:AL44"/>
    <mergeCell ref="AM44:AO44"/>
    <mergeCell ref="AP44:AR44"/>
    <mergeCell ref="AS44:AU44"/>
    <mergeCell ref="AV44:AX44"/>
    <mergeCell ref="AY44:BA44"/>
    <mergeCell ref="BB44:BD44"/>
    <mergeCell ref="B44:D44"/>
    <mergeCell ref="E44:I44"/>
    <mergeCell ref="J44:P44"/>
    <mergeCell ref="Q44:W44"/>
    <mergeCell ref="X44:AD44"/>
    <mergeCell ref="AE44:AF44"/>
    <mergeCell ref="AG44:AI44"/>
    <mergeCell ref="B45:D45"/>
    <mergeCell ref="E45:I45"/>
    <mergeCell ref="J45:P45"/>
    <mergeCell ref="Q45:W45"/>
    <mergeCell ref="X45:AD45"/>
    <mergeCell ref="AE45:AF45"/>
    <mergeCell ref="AG45:AI45"/>
  </mergeCells>
  <dataValidations>
    <dataValidation type="list" allowBlank="1" sqref="F1">
      <formula1>"単体テスト,結合テスト,システムテスト"</formula1>
    </dataValidation>
    <dataValidation type="list" allowBlank="1" sqref="AG13:AG17 AV13:AV17 AG19:AG24 AV19:AV24 AG26:AG28 AV26:AV28 AG30:AG49 AV30:AV49 AG51:AG58 AV51:AV58 AG60:AG63 AV60:AV63 AG65:AG71 AV65:AV71">
      <formula1>"合格,不合格,未テスト,N/A"</formula1>
    </dataValidation>
    <dataValidation type="list" allowBlank="1" sqref="AE13:AE17 AE19:AE24 AE26:AE28 AE30:AE49 AE51:AE58 AE60:AE63 AE65:AE71">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2026-05-21T08:37:24Z</dcterms:created>
  <dc:creator>openpyxl</dc:creator>
</cp:coreProperties>
</file>