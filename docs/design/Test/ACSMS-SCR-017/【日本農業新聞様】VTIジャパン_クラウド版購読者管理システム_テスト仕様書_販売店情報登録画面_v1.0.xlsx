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8800" windowHeight="11580" activeTab="5"/>
  </bookViews>
  <sheets>
    <sheet name="表紙" sheetId="1" r:id="rId1"/>
    <sheet name="変更履歴" sheetId="2" r:id="rId2"/>
    <sheet name="概要" sheetId="3" r:id="rId3"/>
    <sheet name="テスト報告書" sheetId="4" r:id="rId4"/>
    <sheet name="テスト観点" sheetId="5" r:id="rId5"/>
    <sheet name="機能"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<sst xmlns="http://schemas.openxmlformats.org/spreadsheetml/2006/main" count="1126" uniqueCount="567">
  <si>
    <t>クラウド版購読者管理システム</t>
  </si>
  <si>
    <t>販売店情報登録画面</t>
  </si>
  <si>
    <t>版1.0</t>
  </si>
  <si>
    <t>フォーマットコード</t>
  </si>
  <si>
    <t>16-BM/PM/VTI</t>
  </si>
  <si>
    <t>フォーマットバージョン</t>
  </si>
  <si>
    <t>1.0</t>
  </si>
  <si>
    <t>発行日</t>
  </si>
  <si>
    <t>2026/05/21</t>
  </si>
  <si>
    <t>項番</t>
  </si>
  <si>
    <t>バージョン</t>
  </si>
  <si>
    <t>担当者</t>
  </si>
  <si>
    <t>変更内容</t>
  </si>
  <si>
    <t>確認者</t>
  </si>
  <si>
    <t>承認者</t>
  </si>
  <si>
    <t>2026-05-21</t>
  </si>
  <si>
    <t>Kieu Thi Diem</t>
  </si>
  <si>
    <t>Tạo mới</t>
  </si>
  <si>
    <t>Nguyen Huy Dat</t>
  </si>
  <si>
    <t>システム・アプリケーション名</t>
  </si>
  <si>
    <t>ドキュメント</t>
  </si>
  <si>
    <t>シート名</t>
  </si>
  <si>
    <t>作成日</t>
  </si>
  <si>
    <t>作成者</t>
  </si>
  <si>
    <t>更新日</t>
  </si>
  <si>
    <t>更新者</t>
  </si>
  <si>
    <t>テスト仕様書</t>
  </si>
  <si>
    <t>概要</t>
  </si>
  <si>
    <t>1.システム概要</t>
  </si>
  <si>
    <t>本システムは、JA向けのクラウド型購読者管理システムであり、</t>
  </si>
  <si>
    <t>購読者情報の管理、購読履歴の管理、口座振替データの管理などの機能を提供する。</t>
  </si>
  <si>
    <t>主な機能として、購読者情報の登録・更新・検索、</t>
  </si>
  <si>
    <t>購読内容の変更履歴管理、口座振替データの作成および管理、</t>
  </si>
  <si>
    <t>ファイルのアップロード・ダウンロード機能、システムのお知らせ管理などを提供する。</t>
  </si>
  <si>
    <t>また、ユーザーのログイン管理、ログイン履歴の記録、</t>
  </si>
  <si>
    <t>ユーザー操作ログの記録などのセキュリティ・監査機能をサポートする。</t>
  </si>
  <si>
    <t>2.資料目的</t>
  </si>
  <si>
    <t>Tài liệu này mô tả chi tiết test specification cho "Màn hình đăng ký thông tin Hanbaiten (ACSMS-SCR-017)" được tạo mới trên hệ thống.</t>
  </si>
  <si>
    <t>3.関連資料</t>
  </si>
  <si>
    <t>No</t>
  </si>
  <si>
    <t>資料コード</t>
  </si>
  <si>
    <t>資料名</t>
  </si>
  <si>
    <t>ACSMS-SCR-017</t>
  </si>
  <si>
    <t>Tài liệu thiết kế Màn hình đăng ký thông tin Hanbaiten</t>
  </si>
  <si>
    <t>ACSMS-SCR-017-api</t>
  </si>
  <si>
    <t>Tài liệu thiết kế API đăng ký thông tin Hanbaiten</t>
  </si>
  <si>
    <t>testcase-viewpoints</t>
  </si>
  <si>
    <t>Danh sách quan điểm test chung toàn hệ thống</t>
  </si>
  <si>
    <t>&lt;単体/結合/システム&gt; テスト報告書</t>
  </si>
  <si>
    <t>プロジェクト名</t>
  </si>
  <si>
    <t>プロジェクトマネージャ</t>
  </si>
  <si>
    <t>#</t>
  </si>
  <si>
    <t>機能名</t>
  </si>
  <si>
    <t>テストケース分類</t>
  </si>
  <si>
    <t>合計</t>
  </si>
  <si>
    <t>テスト結果</t>
  </si>
  <si>
    <t>正常</t>
  </si>
  <si>
    <t>異常</t>
  </si>
  <si>
    <t>境界</t>
  </si>
  <si>
    <t>合格</t>
  </si>
  <si>
    <t>不合格</t>
  </si>
  <si>
    <t>未テスト</t>
  </si>
  <si>
    <t>N/A</t>
  </si>
  <si>
    <t>進捗（%）</t>
  </si>
  <si>
    <t>テスト1回目</t>
  </si>
  <si>
    <t>機能</t>
  </si>
  <si>
    <t>テスト2回目</t>
  </si>
  <si>
    <t>テスト観点</t>
  </si>
  <si>
    <t>1. テスト観点一覧</t>
  </si>
  <si>
    <t>観点ID</t>
  </si>
  <si>
    <t>大分類</t>
  </si>
  <si>
    <t>観点名</t>
  </si>
  <si>
    <t>リスク</t>
  </si>
  <si>
    <t>対象画面範囲</t>
  </si>
  <si>
    <t>TC見積</t>
  </si>
  <si>
    <t>VP-A-01</t>
  </si>
  <si>
    <t>A. セキュリティ・権限</t>
  </si>
  <si>
    <t>ロール別権限制御（RBAC gate）</t>
  </si>
  <si>
    <t>高</t>
  </si>
  <si>
    <t>約25保護画面</t>
  </si>
  <si>
    <t>VP-A-02</t>
  </si>
  <si>
    <t>データ範囲（DataScope）</t>
  </si>
  <si>
    <t>約20一覧／詳細画面</t>
  </si>
  <si>
    <t>VP-A-03</t>
  </si>
  <si>
    <t>項目レベル制限（Field-level restriction）</t>
  </si>
  <si>
    <t>5マスタ</t>
  </si>
  <si>
    <t>VP-A-04</t>
  </si>
  <si>
    <t>URL直接アクセス攻撃</t>
  </si>
  <si>
    <t>VP-A-05</t>
  </si>
  <si>
    <t>セッション失効／401 ハンドリング</t>
  </si>
  <si>
    <t>全システム</t>
  </si>
  <si>
    <t>VP-A-06</t>
  </si>
  <si>
    <t>XSS／HTML 描画安全性</t>
  </si>
  <si>
    <t>約20フォーム</t>
  </si>
  <si>
    <t>VP-A-07</t>
  </si>
  <si>
    <t>CSRF／Cookie セキュリティフラグ</t>
  </si>
  <si>
    <t>VP-A-08</t>
  </si>
  <si>
    <t>レート制限・Throttling</t>
  </si>
  <si>
    <t>中</t>
  </si>
  <si>
    <t>全公開API＋認証エンドポイント</t>
  </si>
  <si>
    <t>VP-A-09</t>
  </si>
  <si>
    <t>アカウントロック・解除運用</t>
  </si>
  <si>
    <t>SCR-001／002＋管理機能</t>
  </si>
  <si>
    <t>VP-A-10</t>
  </si>
  <si>
    <t>SQL インジェクション</t>
  </si>
  <si>
    <t>約20フォーム＋検索</t>
  </si>
  <si>
    <t>VP-B-01</t>
  </si>
  <si>
    <t>B. データバリデーション</t>
  </si>
  <si>
    <t>必須項目チェック</t>
  </si>
  <si>
    <t>約25フォーム</t>
  </si>
  <si>
    <t>VP-B-02</t>
  </si>
  <si>
    <t>最小／最大長境界</t>
  </si>
  <si>
    <t>VP-B-03</t>
  </si>
  <si>
    <t>形式正規表現（郵便／電話／コード）</t>
  </si>
  <si>
    <t>VP-B-04</t>
  </si>
  <si>
    <t>半角／全角ハンドリング</t>
  </si>
  <si>
    <t>VP-B-05</t>
  </si>
  <si>
    <t>日付ロジック</t>
  </si>
  <si>
    <t>約10日付付きフォーム</t>
  </si>
  <si>
    <t>VP-B-06</t>
  </si>
  <si>
    <t>通貨／パーセント形式</t>
  </si>
  <si>
    <t>2-3フォーム（単価）</t>
  </si>
  <si>
    <t>VP-B-07</t>
  </si>
  <si>
    <t>マスタコード（m_code）参照</t>
  </si>
  <si>
    <t>約15ドロップダウン付きフォーム</t>
  </si>
  <si>
    <t>VP-B-08</t>
  </si>
  <si>
    <t>キー重複（duplicate code）</t>
  </si>
  <si>
    <t>約10マスタ</t>
  </si>
  <si>
    <t>VP-B-09</t>
  </si>
  <si>
    <t>IME・全角入力・貼付ハンドリング</t>
  </si>
  <si>
    <t>全テキスト入力フォーム＋検索画面</t>
  </si>
  <si>
    <t>VP-C-01</t>
  </si>
  <si>
    <t>C. 業務ロジック</t>
  </si>
  <si>
    <t>CRUD 正常系 + DB 永続化</t>
  </si>
  <si>
    <t>VP-C-02</t>
  </si>
  <si>
    <t>同時編集競合</t>
  </si>
  <si>
    <t>約8編集画面</t>
  </si>
  <si>
    <t>VP-C-03</t>
  </si>
  <si>
    <t>論理削除 + FK 関連</t>
  </si>
  <si>
    <t>約6関連付きマスタ</t>
  </si>
  <si>
    <t>VP-C-04</t>
  </si>
  <si>
    <t>税込／税抜計算</t>
  </si>
  <si>
    <t>単価マスタ</t>
  </si>
  <si>
    <t>VP-C-05</t>
  </si>
  <si>
    <t>購読者種別ルール（読み取り専用）</t>
  </si>
  <si>
    <t>購読者マスタ</t>
  </si>
  <si>
    <t>VP-C-06</t>
  </si>
  <si>
    <t>Excel取込 部分成功</t>
  </si>
  <si>
    <t>2取込画面</t>
  </si>
  <si>
    <t>VP-C-07</t>
  </si>
  <si>
    <t>販売店一括置換</t>
  </si>
  <si>
    <t>一括置換</t>
  </si>
  <si>
    <t>VP-C-08</t>
  </si>
  <si>
    <t>レポート集計の正確性</t>
  </si>
  <si>
    <t>3レポート</t>
  </si>
  <si>
    <t>VP-D-01</t>
  </si>
  <si>
    <t>D. 統合・システム</t>
  </si>
  <si>
    <t>ログイン + MFA フロー</t>
  </si>
  <si>
    <t>SCR-001／002</t>
  </si>
  <si>
    <t>VP-D-02</t>
  </si>
  <si>
    <t>セッションスライディング 24h</t>
  </si>
  <si>
    <t>VP-D-03</t>
  </si>
  <si>
    <t>パスワード再発行フロー</t>
  </si>
  <si>
    <t>SCR-007</t>
  </si>
  <si>
    <t>VP-D-04</t>
  </si>
  <si>
    <t>監査ログの完全性</t>
  </si>
  <si>
    <t>VP-D-05</t>
  </si>
  <si>
    <t>ファイルアップロード S3</t>
  </si>
  <si>
    <t>SCR-022</t>
  </si>
  <si>
    <t>VP-D-06</t>
  </si>
  <si>
    <t>メール通知</t>
  </si>
  <si>
    <t>SCR-001／007／お知らせ</t>
  </si>
  <si>
    <t>VP-D-07</t>
  </si>
  <si>
    <t>外部 CSV 形式準拠</t>
  </si>
  <si>
    <t>SCR-008／009</t>
  </si>
  <si>
    <t>VP-D-08</t>
  </si>
  <si>
    <t>ネットワーク／500／タイムアウト</t>
  </si>
  <si>
    <t>VP-D-09</t>
  </si>
  <si>
    <t>パスワード再発行 旧token無効化＋クールダウン</t>
  </si>
  <si>
    <t>VP-E-01</t>
  </si>
  <si>
    <t>E. 非機能・ユーザビリティ</t>
  </si>
  <si>
    <t>レイアウト／デザイントークン</t>
  </si>
  <si>
    <t>低</t>
  </si>
  <si>
    <t>全画面</t>
  </si>
  <si>
    <t>VP-E-02</t>
  </si>
  <si>
    <t>レスポンシブ（モバイル／タブレット）</t>
  </si>
  <si>
    <t>VP-E-03</t>
  </si>
  <si>
    <t>キーボード操作</t>
  </si>
  <si>
    <t>VP-E-04</t>
  </si>
  <si>
    <t>ブラウザ互換性</t>
  </si>
  <si>
    <t>VP-E-05</t>
  </si>
  <si>
    <t>マルチタブセッション同期</t>
  </si>
  <si>
    <t>VP-E-07</t>
  </si>
  <si>
    <t>未保存変更ガード・ブラウザ離脱</t>
  </si>
  <si>
    <t>全 CRUD 編集フォーム</t>
  </si>
  <si>
    <t>VP-F-01</t>
  </si>
  <si>
    <t>F. 性能</t>
  </si>
  <si>
    <t>性能ベンチマーク</t>
  </si>
  <si>
    <t>全画面パフォーマンス計測対象</t>
  </si>
  <si>
    <t>VP-F-02</t>
  </si>
  <si>
    <t>大量データ表示性能</t>
  </si>
  <si>
    <t>一覧／レポート画面</t>
  </si>
  <si>
    <t>2. 観点ID 命名規約・グループ凡例</t>
  </si>
  <si>
    <t>グループ</t>
  </si>
  <si>
    <t>接頭辞</t>
  </si>
  <si>
    <t>名称</t>
  </si>
  <si>
    <t>観点数</t>
  </si>
  <si>
    <t>リスク傾向</t>
  </si>
  <si>
    <t>代表的なテスト観点</t>
  </si>
  <si>
    <t>A</t>
  </si>
  <si>
    <t>VP-A-NN</t>
  </si>
  <si>
    <t>セキュリティ・権限</t>
  </si>
  <si>
    <t>RBAC、DataScope、項目レベル制限、URL直接攻撃、セッション失効、XSS、CSRF、レート制限、アカウントロック、SQL注入</t>
  </si>
  <si>
    <t>B</t>
  </si>
  <si>
    <t>VP-B-NN</t>
  </si>
  <si>
    <t>データバリデーション</t>
  </si>
  <si>
    <t>必須／長さ／形式／半角全角／日付／通貨／m_code／重複キー／IME・貼付ハンドリング</t>
  </si>
  <si>
    <t>C</t>
  </si>
  <si>
    <t>VP-C-NN</t>
  </si>
  <si>
    <t>業務ロジック</t>
  </si>
  <si>
    <t>CRUD 永続化、同時編集競合、論理削除＋FK、税計算、購読者ルール、Excel 取込、レポート集計</t>
  </si>
  <si>
    <t>D</t>
  </si>
  <si>
    <t>VP-D-NN</t>
  </si>
  <si>
    <t>統合・システム</t>
  </si>
  <si>
    <t>ログイン＋MFA、セッション管理、パスワード再発行、監査ログ、S3、メール、CSV 準拠、ネットワーク／500</t>
  </si>
  <si>
    <t>E</t>
  </si>
  <si>
    <t>VP-E-NN</t>
  </si>
  <si>
    <t>非機能・ユーザビリティ</t>
  </si>
  <si>
    <t>低〜中</t>
  </si>
  <si>
    <t>レイアウト、レスポンシブ、キーボード操作、ブラウザ互換、マルチタブ同期、未保存変更ガード</t>
  </si>
  <si>
    <t>F</t>
  </si>
  <si>
    <t>VP-F-NN</t>
  </si>
  <si>
    <t>性能</t>
  </si>
  <si>
    <t>性能ベンチマーク、大量データ表示性能</t>
  </si>
  <si>
    <t>命名規約：VP-{グループ記号}-{NN} 形式（NN はグループ内の2桁連番）。新規観点は同グループの末尾に追加する（例：VP-A-11）。グループ記号はリスク軸による分類で、JSTQB FL の品質特性区分に準拠する。</t>
  </si>
  <si>
    <t>テストレベル</t>
  </si>
  <si>
    <t>結合テスト</t>
  </si>
  <si>
    <t>機能／モジュール</t>
  </si>
  <si>
    <t>ACSMS-SCR-017_販売店情報登録画面</t>
  </si>
  <si>
    <t>確認日</t>
  </si>
  <si>
    <t>テスト環境</t>
  </si>
  <si>
    <t>Windows 10/11, Chrome, Edge</t>
  </si>
  <si>
    <t>分類</t>
  </si>
  <si>
    <t>回目</t>
  </si>
  <si>
    <t>境界値</t>
  </si>
  <si>
    <t>1回目</t>
  </si>
  <si>
    <t>2回目</t>
  </si>
  <si>
    <t>要件ID</t>
  </si>
  <si>
    <t>説明</t>
  </si>
  <si>
    <t>前提条件</t>
  </si>
  <si>
    <t>ステップ／手順</t>
  </si>
  <si>
    <t>期待結果／アウトプット</t>
  </si>
  <si>
    <t>種類</t>
  </si>
  <si>
    <t>テスト1回目の結果</t>
  </si>
  <si>
    <t>テスト2回目の結果</t>
  </si>
  <si>
    <t>備考</t>
  </si>
  <si>
    <t>結果</t>
  </si>
  <si>
    <t>実績／
アウトプット</t>
  </si>
  <si>
    <t>確認日付
（MM/DD）</t>
  </si>
  <si>
    <t>バグID</t>
  </si>
  <si>
    <t>Kiểm soát quyền truy cập (Access Control)</t>
  </si>
  <si>
    <t>ACSMS-TC-017-001</t>
  </si>
  <si>
    <t>Cấm truy cập màn đăng ký thông tin Hanbaiten với role NICHINO_ADMIN</t>
  </si>
  <si>
    <t>・role: NICHINO_ADMIN
・Đã login + đã xác thực MFA</t>
  </si>
  <si>
    <r>
      <rPr>
        <b/>
        <sz val="10"/>
        <color rgb="FF000000"/>
        <rFont val="游ゴシック"/>
        <charset val="134"/>
      </rPr>
      <t xml:space="preserve">ステップ1：
</t>
    </r>
    <r>
      <rPr>
        <sz val="10"/>
        <color rgb="FF000000"/>
        <rFont val="游ゴシック"/>
        <charset val="134"/>
      </rPr>
      <t xml:space="preserve">Mở dashboard, kiểm tra item "販売店マスタ" trên sidebar
</t>
    </r>
    <r>
      <rPr>
        <b/>
        <sz val="10"/>
        <color rgb="FF000000"/>
        <rFont val="游ゴシック"/>
        <charset val="134"/>
      </rPr>
      <t xml:space="preserve">ステップ2：
</t>
    </r>
    <r>
      <rPr>
        <sz val="10"/>
        <color rgb="FF000000"/>
        <rFont val="游ゴシック"/>
        <charset val="134"/>
      </rPr>
      <t xml:space="preserve">Truy cập trực tiếp URL `/hanbaiten/create`
</t>
    </r>
    <r>
      <rPr>
        <b/>
        <sz val="10"/>
        <color rgb="FF000000"/>
        <rFont val="游ゴシック"/>
        <charset val="134"/>
      </rPr>
      <t xml:space="preserve">ステップ3：
</t>
    </r>
    <r>
      <rPr>
        <sz val="10"/>
        <color rgb="FF000000"/>
        <rFont val="游ゴシック"/>
        <charset val="134"/>
      </rPr>
      <t xml:space="preserve">Dùng DevTools gửi POST `/api/v1/hanbaiten` với request body hợp lệ
</t>
    </r>
  </si>
  <si>
    <r>
      <rPr>
        <b/>
        <sz val="10"/>
        <color rgb="FF000000"/>
        <rFont val="游ゴシック"/>
        <charset val="134"/>
      </rPr>
      <t xml:space="preserve">ステップ1：
</t>
    </r>
    <r>
      <rPr>
        <sz val="10"/>
        <color rgb="FF000000"/>
        <rFont val="游ゴシック"/>
        <charset val="134"/>
      </rPr>
      <t xml:space="preserve">Sidebar KHÔNG hiển thị item "販売店マスタ" (do không có quyền `hanbaiten.view`)
</t>
    </r>
    <r>
      <rPr>
        <b/>
        <sz val="10"/>
        <color rgb="FF000000"/>
        <rFont val="游ゴシック"/>
        <charset val="134"/>
      </rPr>
      <t xml:space="preserve">ステップ2：
</t>
    </r>
    <r>
      <rPr>
        <sz val="10"/>
        <color rgb="FF000000"/>
        <rFont val="游ゴシック"/>
        <charset val="134"/>
      </rPr>
      <t xml:space="preserve">Hiển thị toast `アクセス権がありません。` + chuyển về `/dashboard`
</t>
    </r>
    <r>
      <rPr>
        <b/>
        <sz val="10"/>
        <color rgb="FF000000"/>
        <rFont val="游ゴシック"/>
        <charset val="134"/>
      </rPr>
      <t xml:space="preserve">ステップ3：
</t>
    </r>
    <r>
      <rPr>
        <sz val="10"/>
        <color rgb="FF000000"/>
        <rFont val="游ゴシック"/>
        <charset val="134"/>
      </rPr>
      <t xml:space="preserve">Trả về HTTP 403 (`error_code: FORBIDDEN`, message `この画面へのアクセス権限がありません。`)
</t>
    </r>
    <r>
      <rPr>
        <b/>
        <sz val="10"/>
        <color rgb="FF000000"/>
        <rFont val="游ゴシック"/>
        <charset val="134"/>
      </rPr>
      <t xml:space="preserve">補足：
</t>
    </r>
    <r>
      <rPr>
        <sz val="10"/>
        <color rgb="FF000000"/>
        <rFont val="游ゴシック"/>
        <charset val="134"/>
      </rPr>
      <t xml:space="preserve">・Cả 3 tầng FE menu / FE router guard / BE API guard đều block
・Không có row mới trong `m_hanbaiten`
</t>
    </r>
  </si>
  <si>
    <t>diem.kieuthi</t>
  </si>
  <si>
    <t>mai.tranthi1</t>
  </si>
  <si>
    <t>Critical — Nếu fail, đồng nghĩa với việc bypass RBAC, xử lý như security incident.</t>
  </si>
  <si>
    <t>ACSMS-TC-017-002</t>
  </si>
  <si>
    <t>Đăng ký thông tin Hanbaiten bởi NICHINO_STAFF (đại diện nhập liệu)</t>
  </si>
  <si>
    <t>・role: NICHINO_STAFF
・Đã login + đã xác thực MFA
・Có quyền `hanbaiten.daiko_input`</t>
  </si>
  <si>
    <r>
      <rPr>
        <b/>
        <sz val="10"/>
        <color rgb="FF000000"/>
        <rFont val="游ゴシック"/>
        <charset val="134"/>
      </rPr>
      <t xml:space="preserve">ステップ1：
</t>
    </r>
    <r>
      <rPr>
        <sz val="10"/>
        <color rgb="FF000000"/>
        <rFont val="游ゴシック"/>
        <charset val="134"/>
      </rPr>
      <t xml:space="preserve">Kiểm tra item "販売店マスタ" trên sidebar
</t>
    </r>
    <r>
      <rPr>
        <b/>
        <sz val="10"/>
        <color rgb="FF000000"/>
        <rFont val="游ゴシック"/>
        <charset val="134"/>
      </rPr>
      <t xml:space="preserve">ステップ2：
</t>
    </r>
    <r>
      <rPr>
        <sz val="10"/>
        <color rgb="FF000000"/>
        <rFont val="游ゴシック"/>
        <charset val="134"/>
      </rPr>
      <t xml:space="preserve">Truy cập URL `/hanbaiten/create`, chỉ định JA khác (ja-002) tại trường chọn JA
</t>
    </r>
    <r>
      <rPr>
        <b/>
        <sz val="10"/>
        <color rgb="FF000000"/>
        <rFont val="游ゴシック"/>
        <charset val="134"/>
      </rPr>
      <t xml:space="preserve">ステップ3：
</t>
    </r>
    <r>
      <rPr>
        <sz val="10"/>
        <color rgb="FF000000"/>
        <rFont val="游ゴシック"/>
        <charset val="134"/>
      </rPr>
      <t>Nhập các trường required, click button đăng ký</t>
    </r>
  </si>
  <si>
    <r>
      <rPr>
        <b/>
        <sz val="10"/>
        <color rgb="FF000000"/>
        <rFont val="メイリオ"/>
        <charset val="134"/>
      </rPr>
      <t xml:space="preserve">ステップ1：
</t>
    </r>
    <r>
      <rPr>
        <sz val="10"/>
        <color rgb="FF000000"/>
        <rFont val="メイリオ"/>
        <charset val="134"/>
      </rPr>
      <t xml:space="preserve">Sidebar hiển thị item "販売店マスタ" (NICHINO_STAFF có quyền `hanbaiten.view`)
</t>
    </r>
    <r>
      <rPr>
        <b/>
        <sz val="10"/>
        <color rgb="FF000000"/>
        <rFont val="メイリオ"/>
        <charset val="134"/>
      </rPr>
      <t xml:space="preserve">ステップ2：
</t>
    </r>
    <r>
      <rPr>
        <sz val="10"/>
        <color rgb="FF000000"/>
        <rFont val="メイリオ"/>
        <charset val="134"/>
      </rPr>
      <t xml:space="preserve">Màn hình đăng ký thông tin Hanbaiten được hiển thị, trường chọn JA ở trạng thái active
</t>
    </r>
    <r>
      <rPr>
        <b/>
        <sz val="10"/>
        <color rgb="FF000000"/>
        <rFont val="メイリオ"/>
        <charset val="134"/>
      </rPr>
      <t xml:space="preserve">ステップ3：
</t>
    </r>
    <r>
      <rPr>
        <sz val="10"/>
        <color rgb="FF000000"/>
        <rFont val="メイリオ"/>
        <charset val="134"/>
      </rPr>
      <t xml:space="preserve">Trả về HTTP 201, hiển thị toast `登録しました。`, dữ liệu được đăng ký vào `m_hanbaiten` với ja_id=2
</t>
    </r>
    <r>
      <rPr>
        <b/>
        <sz val="10"/>
        <color rgb="FF000000"/>
        <rFont val="メイリオ"/>
        <charset val="134"/>
      </rPr>
      <t xml:space="preserve">補足：
</t>
    </r>
    <r>
      <rPr>
        <sz val="10"/>
        <color rgb="FF000000"/>
        <rFont val="メイリオ"/>
        <charset val="134"/>
      </rPr>
      <t xml:space="preserve">・Vì là flow đại diện nhập liệu nên UI chọn JA được hiển thị
</t>
    </r>
    <r>
      <rPr>
        <sz val="10"/>
        <color rgb="FF000000"/>
        <rFont val="メイリオ"/>
        <charset val="134"/>
      </rPr>
      <t>・Với role thông thường (CHUOKAI v.v.) thì không thể chọn JA và `session.ja_id` được tự động gán</t>
    </r>
  </si>
  <si>
    <t>N</t>
  </si>
  <si>
    <t>NICHINO_STAFF là role duy nhất có thể đăng ký Hanbaiten thay cho JA bất kỳ qua `hanbaiten.daiko_input`.</t>
  </si>
  <si>
    <t>ACSMS-TC-017-003</t>
  </si>
  <si>
    <t>Đăng ký thông tin Hanbaiten bởi CHUOKAI — chỉ thao tác trong phạm vi 中央会 quản lý</t>
  </si>
  <si>
    <t>・role: CHUOKAI (thuộc chuokai-001)
・JA quản lý: ja-001, ja-002 (dưới chuokai-001)
・Đã login + đã xác thực MFA</t>
  </si>
  <si>
    <r>
      <rPr>
        <b/>
        <sz val="10"/>
        <color rgb="FF000000"/>
        <rFont val="游ゴシック"/>
        <charset val="134"/>
      </rPr>
      <t xml:space="preserve">ステップ1：
</t>
    </r>
    <r>
      <rPr>
        <sz val="10"/>
        <color rgb="FF000000"/>
        <rFont val="游ゴシック"/>
        <charset val="134"/>
      </rPr>
      <t xml:space="preserve">Truy cập URL `/hanbaiten/create`
</t>
    </r>
    <r>
      <rPr>
        <b/>
        <sz val="10"/>
        <color rgb="FF000000"/>
        <rFont val="游ゴシック"/>
        <charset val="134"/>
      </rPr>
      <t xml:space="preserve">ステップ2：
</t>
    </r>
    <r>
      <rPr>
        <sz val="10"/>
        <color rgb="FF000000"/>
        <rFont val="游ゴシック"/>
        <charset val="134"/>
      </rPr>
      <t xml:space="preserve">Nhập các trường required, click button đăng ký
</t>
    </r>
    <r>
      <rPr>
        <b/>
        <sz val="10"/>
        <color rgb="FF000000"/>
        <rFont val="游ゴシック"/>
        <charset val="134"/>
      </rPr>
      <t xml:space="preserve">ステップ3：
</t>
    </r>
    <r>
      <rPr>
        <sz val="10"/>
        <color rgb="FF000000"/>
        <rFont val="游ゴシック"/>
        <charset val="134"/>
      </rPr>
      <t>Dùng DevTools gửi POST `/api/v1/hanbaiten` đến JA (ja-099) thuộc 中央会 khác</t>
    </r>
  </si>
  <si>
    <r>
      <rPr>
        <b/>
        <sz val="10"/>
        <color rgb="FF000000"/>
        <rFont val="游ゴシック"/>
        <charset val="134"/>
      </rPr>
      <t xml:space="preserve">ステップ1：
</t>
    </r>
    <r>
      <rPr>
        <sz val="10"/>
        <color rgb="FF000000"/>
        <rFont val="游ゴシック"/>
        <charset val="134"/>
      </rPr>
      <t xml:space="preserve">Màn hình đăng ký thông tin Hanbaiten được hiển thị, UI chọn JA không hiển thị (tự động gán JA của user)
</t>
    </r>
    <r>
      <rPr>
        <b/>
        <sz val="10"/>
        <color rgb="FF000000"/>
        <rFont val="游ゴシック"/>
        <charset val="134"/>
      </rPr>
      <t xml:space="preserve">ステップ2：
</t>
    </r>
    <r>
      <rPr>
        <sz val="10"/>
        <color rgb="FF000000"/>
        <rFont val="游ゴシック"/>
        <charset val="134"/>
      </rPr>
      <t xml:space="preserve">Trả về HTTP 201, dữ liệu được đăng ký vào `m_hanbaiten` với JA trong phạm vi quản lý
</t>
    </r>
    <r>
      <rPr>
        <b/>
        <sz val="10"/>
        <color rgb="FF000000"/>
        <rFont val="游ゴシック"/>
        <charset val="134"/>
      </rPr>
      <t xml:space="preserve">ステップ3：
</t>
    </r>
    <r>
      <rPr>
        <sz val="10"/>
        <color rgb="FF000000"/>
        <rFont val="游ゴシック"/>
        <charset val="134"/>
      </rPr>
      <t xml:space="preserve">Trả về HTTP 403 (`error_code: DATA_SCOPE_VIOLATION`, message `このデータへのアクセス権限がありません。`)
</t>
    </r>
    <r>
      <rPr>
        <b/>
        <sz val="10"/>
        <color rgb="FF000000"/>
        <rFont val="游ゴシック"/>
        <charset val="134"/>
      </rPr>
      <t xml:space="preserve">補足：
</t>
    </r>
    <r>
      <rPr>
        <sz val="10"/>
        <color rgb="FF000000"/>
        <rFont val="游ゴシック"/>
        <charset val="134"/>
      </rPr>
      <t xml:space="preserve">・Layer 2 DataScope từ chối đăng ký vào JA ngoài phạm vi quản lý
</t>
    </r>
  </si>
  <si>
    <t>CHUOKAI chỉ có thể thao tác Hanbaiten thuộc JA do mình quản lý.</t>
  </si>
  <si>
    <t>ACSMS-TC-017-004</t>
  </si>
  <si>
    <t>Đăng ký thông tin Hanbaiten bởi JA_HONTEN — chỉ thao tác trong JA của mình</t>
  </si>
  <si>
    <t>・role: JA_HONTEN (thuộc ja-001)
・Đã login + đã xác thực MFA</t>
  </si>
  <si>
    <r>
      <rPr>
        <b/>
        <sz val="10"/>
        <color rgb="FF000000"/>
        <rFont val="游ゴシック"/>
        <charset val="134"/>
      </rPr>
      <t xml:space="preserve">ステップ1：
</t>
    </r>
    <r>
      <rPr>
        <sz val="10"/>
        <color rgb="FF000000"/>
        <rFont val="游ゴシック"/>
        <charset val="134"/>
      </rPr>
      <t xml:space="preserve">Truy cập URL `/hanbaiten/create`
</t>
    </r>
    <r>
      <rPr>
        <b/>
        <sz val="10"/>
        <color rgb="FF000000"/>
        <rFont val="游ゴシック"/>
        <charset val="134"/>
      </rPr>
      <t xml:space="preserve">ステップ2：
</t>
    </r>
    <r>
      <rPr>
        <sz val="10"/>
        <color rgb="FF000000"/>
        <rFont val="游ゴシック"/>
        <charset val="134"/>
      </rPr>
      <t xml:space="preserve">Nhập các trường required, click button đăng ký
</t>
    </r>
    <r>
      <rPr>
        <b/>
        <sz val="10"/>
        <color rgb="FF000000"/>
        <rFont val="游ゴシック"/>
        <charset val="134"/>
      </rPr>
      <t xml:space="preserve">ステップ3：
</t>
    </r>
    <r>
      <rPr>
        <sz val="10"/>
        <color rgb="FF000000"/>
        <rFont val="游ゴシック"/>
        <charset val="134"/>
      </rPr>
      <t>Dùng DevTools gửi POST `/api/v1/hanbaiten` đến JA khác (ja-002)</t>
    </r>
  </si>
  <si>
    <r>
      <rPr>
        <b/>
        <sz val="10"/>
        <color rgb="FF000000"/>
        <rFont val="メイリオ"/>
        <charset val="134"/>
      </rPr>
      <t xml:space="preserve">ステップ1：
</t>
    </r>
    <r>
      <rPr>
        <sz val="10"/>
        <color rgb="FF000000"/>
        <rFont val="メイリオ"/>
        <charset val="134"/>
      </rPr>
      <t xml:space="preserve">Màn hình đăng ký thông tin Hanbaiten được hiển thị, UI chọn JA không hiển thị
</t>
    </r>
    <r>
      <rPr>
        <b/>
        <sz val="10"/>
        <color rgb="FF000000"/>
        <rFont val="メイリオ"/>
        <charset val="134"/>
      </rPr>
      <t xml:space="preserve">ステップ2：
</t>
    </r>
    <r>
      <rPr>
        <sz val="10"/>
        <color rgb="FF000000"/>
        <rFont val="メイリオ"/>
        <charset val="134"/>
      </rPr>
      <t xml:space="preserve">Trả về HTTP 201, dữ liệu được đăng ký vào `m_hanbaiten` với ja_id=1
</t>
    </r>
    <r>
      <rPr>
        <b/>
        <sz val="10"/>
        <color rgb="FF000000"/>
        <rFont val="メイリオ"/>
        <charset val="134"/>
      </rPr>
      <t xml:space="preserve">ステップ3：
</t>
    </r>
    <r>
      <rPr>
        <sz val="10"/>
        <color rgb="FF000000"/>
        <rFont val="メイリオ"/>
        <charset val="134"/>
      </rPr>
      <t xml:space="preserve">Trả về HTTP 403 (`error_code: DATA_SCOPE_VIOLATION`)
</t>
    </r>
    <r>
      <rPr>
        <b/>
        <sz val="10"/>
        <color rgb="FF000000"/>
        <rFont val="メイリオ"/>
        <charset val="134"/>
      </rPr>
      <t xml:space="preserve">補足：
</t>
    </r>
    <r>
      <rPr>
        <sz val="10"/>
        <color rgb="FF000000"/>
        <rFont val="メイリオ"/>
        <charset val="134"/>
      </rPr>
      <t xml:space="preserve">・JA_HONTEN chỉ có thể thao tác Hanbaiten thuộc JA của mình
</t>
    </r>
    <r>
      <rPr>
        <sz val="10"/>
        <color rgb="FF000000"/>
        <rFont val="メイリオ"/>
        <charset val="134"/>
      </rPr>
      <t>・Đăng ký vào JA khác bị từ chối bởi Layer 2 DataScope</t>
    </r>
  </si>
  <si>
    <t>ACSMS-TC-017-005</t>
  </si>
  <si>
    <t>Đăng ký thông tin Hanbaiten bởi JA_KANRI_SHITEN — chỉ thao tác trong JA của mình</t>
  </si>
  <si>
    <t>・role: JA_KANRI_SHITEN (thuộc ja-001/kanri_shiten-101)
・Đã login + đã xác thực MFA</t>
  </si>
  <si>
    <r>
      <rPr>
        <b/>
        <sz val="10"/>
        <color rgb="FF000000"/>
        <rFont val="游ゴシック"/>
        <charset val="134"/>
      </rPr>
      <t xml:space="preserve">ステップ1：
</t>
    </r>
    <r>
      <rPr>
        <sz val="10"/>
        <color rgb="FF000000"/>
        <rFont val="游ゴシック"/>
        <charset val="134"/>
      </rPr>
      <t xml:space="preserve">Truy cập URL `/hanbaiten/create`
</t>
    </r>
    <r>
      <rPr>
        <b/>
        <sz val="10"/>
        <color rgb="FF000000"/>
        <rFont val="游ゴシック"/>
        <charset val="134"/>
      </rPr>
      <t xml:space="preserve">ステップ2：
</t>
    </r>
    <r>
      <rPr>
        <sz val="10"/>
        <color rgb="FF000000"/>
        <rFont val="游ゴシック"/>
        <charset val="134"/>
      </rPr>
      <t xml:space="preserve">Nhập các trường required, click button đăng ký
</t>
    </r>
    <r>
      <rPr>
        <b/>
        <sz val="10"/>
        <color rgb="FF000000"/>
        <rFont val="游ゴシック"/>
        <charset val="134"/>
      </rPr>
      <t xml:space="preserve">ステップ3：
</t>
    </r>
    <r>
      <rPr>
        <sz val="10"/>
        <color rgb="FF000000"/>
        <rFont val="游ゴシック"/>
        <charset val="134"/>
      </rPr>
      <t>Dùng DevTools gửi POST `/api/v1/hanbaiten` đến JA khác (ja-099)</t>
    </r>
  </si>
  <si>
    <r>
      <rPr>
        <b/>
        <sz val="10"/>
        <color rgb="FF000000"/>
        <rFont val="メイリオ"/>
        <charset val="134"/>
      </rPr>
      <t xml:space="preserve">ステップ1：
</t>
    </r>
    <r>
      <rPr>
        <sz val="10"/>
        <color rgb="FF000000"/>
        <rFont val="メイリオ"/>
        <charset val="134"/>
      </rPr>
      <t xml:space="preserve">Màn hình đăng ký thông tin Hanbaiten được hiển thị, UI chọn JA không hiển thị
</t>
    </r>
    <r>
      <rPr>
        <b/>
        <sz val="10"/>
        <color rgb="FF000000"/>
        <rFont val="メイリオ"/>
        <charset val="134"/>
      </rPr>
      <t xml:space="preserve">ステップ2：
</t>
    </r>
    <r>
      <rPr>
        <sz val="10"/>
        <color rgb="FF000000"/>
        <rFont val="メイリオ"/>
        <charset val="134"/>
      </rPr>
      <t xml:space="preserve">Trả về HTTP 201, dữ liệu được đăng ký vào `m_hanbaiten` với ja_id=1
</t>
    </r>
    <r>
      <rPr>
        <b/>
        <sz val="10"/>
        <color rgb="FF000000"/>
        <rFont val="メイリオ"/>
        <charset val="134"/>
      </rPr>
      <t xml:space="preserve">ステップ3：
</t>
    </r>
    <r>
      <rPr>
        <sz val="10"/>
        <color rgb="FF000000"/>
        <rFont val="メイリオ"/>
        <charset val="134"/>
      </rPr>
      <t xml:space="preserve">Trả về HTTP 403 (`error_code: DATA_SCOPE_VIOLATION`)
</t>
    </r>
    <r>
      <rPr>
        <b/>
        <sz val="10"/>
        <color rgb="FF000000"/>
        <rFont val="メイリオ"/>
        <charset val="134"/>
      </rPr>
      <t xml:space="preserve">補足：
</t>
    </r>
    <r>
      <rPr>
        <sz val="10"/>
        <color rgb="FF000000"/>
        <rFont val="メイリオ"/>
        <charset val="134"/>
      </rPr>
      <t xml:space="preserve">・JA_KANRI_SHITEN cũng chỉ có thể thao tác Hanbaiten thuộc JA của mình
</t>
    </r>
    <r>
      <rPr>
        <sz val="10"/>
        <color rgb="FF000000"/>
        <rFont val="メイリオ"/>
        <charset val="134"/>
      </rPr>
      <t>・JA khác bị từ chối bởi Layer 2 DataScope</t>
    </r>
  </si>
  <si>
    <t>(なし)
---</t>
  </si>
  <si>
    <t>Hiển thị màn hình &amp; Responsive (Layout &amp; Responsive)</t>
  </si>
  <si>
    <t>ACSMS-TC-017-006</t>
  </si>
  <si>
    <t>Xác nhận hiển thị ban đầu của màn đăng ký</t>
  </si>
  <si>
    <t>・role: JA_HONTEN
・Đã login + đã xác thực MFA</t>
  </si>
  <si>
    <r>
      <rPr>
        <b/>
        <sz val="10"/>
        <color rgb="FF000000"/>
        <rFont val="游ゴシック"/>
        <charset val="134"/>
      </rPr>
      <t xml:space="preserve">ステップ1：
</t>
    </r>
    <r>
      <rPr>
        <sz val="10"/>
        <color rgb="FF000000"/>
        <rFont val="游ゴシック"/>
        <charset val="134"/>
      </rPr>
      <t xml:space="preserve">Truy cập URL `/hanbaiten/create`
</t>
    </r>
    <r>
      <rPr>
        <b/>
        <sz val="10"/>
        <color rgb="FF000000"/>
        <rFont val="游ゴシック"/>
        <charset val="134"/>
      </rPr>
      <t xml:space="preserve">ステップ2：
</t>
    </r>
    <r>
      <rPr>
        <sz val="10"/>
        <color rgb="FF000000"/>
        <rFont val="游ゴシック"/>
        <charset val="134"/>
      </rPr>
      <t>Xác nhận trực quan từng section trên màn hình</t>
    </r>
  </si>
  <si>
    <r>
      <rPr>
        <b/>
        <sz val="10"/>
        <color rgb="FF000000"/>
        <rFont val="メイリオ"/>
        <charset val="134"/>
      </rPr>
      <t xml:space="preserve">ステップ1：
</t>
    </r>
    <r>
      <rPr>
        <sz val="10"/>
        <color rgb="FF000000"/>
        <rFont val="メイリオ"/>
        <charset val="134"/>
      </rPr>
      <t xml:space="preserve">Màn hình đăng ký thông tin Hanbaiten được hiển thị
</t>
    </r>
    <r>
      <rPr>
        <b/>
        <sz val="10"/>
        <color rgb="FF000000"/>
        <rFont val="メイリオ"/>
        <charset val="134"/>
      </rPr>
      <t xml:space="preserve">ステップ2：
</t>
    </r>
    <r>
      <rPr>
        <sz val="10"/>
        <color rgb="FF000000"/>
        <rFont val="メイリオ"/>
        <charset val="134"/>
      </rPr>
      <t xml:space="preserve">Tiêu đề trang "販売店情報登録", section thông tin cơ bản (販売店コード, 販売店名, カナ, 都道府県, 適格請求書発行事業者番号), section địa chỉ・liên lạc (郵便番号, 住所, 電話, FAX, 所長名), section thông tin ủy thác (委託区分, 配達料単価, 支払サイクル, 手数料区分, 手数料金額), section tài khoản chuyển khoản (銀行コード, 銀行名, 支店コード, 支店名, 預金種別, 口座番号, 口座名義), khác (廃店フラグ, 備考), button 登録/キャンセル đều được hiển thị
</t>
    </r>
    <r>
      <rPr>
        <b/>
        <sz val="10"/>
        <color rgb="FF000000"/>
        <rFont val="メイリオ"/>
        <charset val="134"/>
      </rPr>
      <t xml:space="preserve">補足：
</t>
    </r>
    <r>
      <rPr>
        <sz val="10"/>
        <color rgb="FF000000"/>
        <rFont val="メイリオ"/>
        <charset val="134"/>
      </rPr>
      <t>・Marker required (`*` màu đỏ) được hiển thị bên phải các trường required</t>
    </r>
  </si>
  <si>
    <t>ACSMS-TC-017-007</t>
  </si>
  <si>
    <t>Hiển thị ban đầu của màn chỉnh sửa và load dữ liệu đã có</t>
  </si>
  <si>
    <t>・role: JA_HONTEN
・Đã login + đã xác thực MFA
・Tồn tại hanbaiten-1001</t>
  </si>
  <si>
    <r>
      <rPr>
        <b/>
        <sz val="10"/>
        <color rgb="FF000000"/>
        <rFont val="游ゴシック"/>
        <charset val="134"/>
      </rPr>
      <t xml:space="preserve">ステップ1：
</t>
    </r>
    <r>
      <rPr>
        <sz val="10"/>
        <color rgb="FF000000"/>
        <rFont val="游ゴシック"/>
        <charset val="134"/>
      </rPr>
      <t xml:space="preserve">Truy cập URL `/hanbaiten/1001/edit`
</t>
    </r>
    <r>
      <rPr>
        <b/>
        <sz val="10"/>
        <color rgb="FF000000"/>
        <rFont val="游ゴシック"/>
        <charset val="134"/>
      </rPr>
      <t xml:space="preserve">ステップ2：
</t>
    </r>
    <r>
      <rPr>
        <sz val="10"/>
        <color rgb="FF000000"/>
        <rFont val="游ゴシック"/>
        <charset val="134"/>
      </rPr>
      <t>Xác nhận giá trị ban đầu của tất cả field</t>
    </r>
  </si>
  <si>
    <r>
      <rPr>
        <b/>
        <sz val="10"/>
        <color rgb="FF000000"/>
        <rFont val="メイリオ"/>
        <charset val="134"/>
      </rPr>
      <t xml:space="preserve">ステップ1：
</t>
    </r>
    <r>
      <rPr>
        <sz val="10"/>
        <color rgb="FF000000"/>
        <rFont val="メイリオ"/>
        <charset val="134"/>
      </rPr>
      <t xml:space="preserve">Màn hình chỉnh sửa thông tin Hanbaiten được hiển thị, tiêu đề trang "販売店情報編集" được hiển thị
</t>
    </r>
    <r>
      <rPr>
        <b/>
        <sz val="10"/>
        <color rgb="FF000000"/>
        <rFont val="メイリオ"/>
        <charset val="134"/>
      </rPr>
      <t xml:space="preserve">ステップ2：
</t>
    </r>
    <r>
      <rPr>
        <sz val="10"/>
        <color rgb="FF000000"/>
        <rFont val="メイリオ"/>
        <charset val="134"/>
      </rPr>
      <t xml:space="preserve">Tất cả mục trong response GET `/api/v1/hanbaiten/1001` được load vào trường input tương ứng, trường `hanbaiten_code` ở trạng thái disable
</t>
    </r>
    <r>
      <rPr>
        <b/>
        <sz val="10"/>
        <color rgb="FF000000"/>
        <rFont val="メイリオ"/>
        <charset val="134"/>
      </rPr>
      <t xml:space="preserve">補足：
</t>
    </r>
    <r>
      <rPr>
        <sz val="10"/>
        <color rgb="FF000000"/>
        <rFont val="メイリオ"/>
        <charset val="134"/>
      </rPr>
      <t>・販売店コード không thể chỉnh sửa (business rule)</t>
    </r>
  </si>
  <si>
    <t>ACSMS-TC-017-008</t>
  </si>
  <si>
    <t>Bố cục button và label tiếng Nhật</t>
  </si>
  <si>
    <r>
      <rPr>
        <b/>
        <sz val="10"/>
        <color rgb="FF000000"/>
        <rFont val="メイリオ"/>
        <charset val="134"/>
      </rPr>
      <t xml:space="preserve">ステップ1：
</t>
    </r>
    <r>
      <rPr>
        <sz val="10"/>
        <color rgb="FF000000"/>
        <rFont val="メイリオ"/>
        <charset val="134"/>
      </rPr>
      <t>Truy cập URL `/hanbaiten/create`, kiểm tra khu vực button ở phía dưới form</t>
    </r>
  </si>
  <si>
    <r>
      <rPr>
        <b/>
        <sz val="10"/>
        <color rgb="FF000000"/>
        <rFont val="游ゴシック"/>
        <charset val="134"/>
      </rPr>
      <t xml:space="preserve">ステップ1：
</t>
    </r>
    <r>
      <rPr>
        <sz val="10"/>
        <color rgb="FF000000"/>
        <rFont val="游ゴシック"/>
        <charset val="134"/>
      </rPr>
      <t xml:space="preserve">Từ trái sang được sắp xếp theo thứ tự "登録" (primary xanh), "前の画面に戻る" (default); tất cả label đều bằng tiếng Nhật
</t>
    </r>
    <r>
      <rPr>
        <b/>
        <sz val="10"/>
        <color rgb="FF000000"/>
        <rFont val="游ゴシック"/>
        <charset val="134"/>
      </rPr>
      <t xml:space="preserve">補足：
</t>
    </r>
    <r>
      <rPr>
        <sz val="10"/>
        <color rgb="FF000000"/>
        <rFont val="游ゴシック"/>
        <charset val="134"/>
      </rPr>
      <t>・Theo convention hệ thống nghiệp vụ tiếng Nhật, primary action đặt ở bên trái</t>
    </r>
  </si>
  <si>
    <t>ACSMS-TC-017-009</t>
  </si>
  <si>
    <t>Thứ tự focus bằng phím Tab</t>
  </si>
  <si>
    <r>
      <rPr>
        <b/>
        <sz val="10"/>
        <color rgb="FF000000"/>
        <rFont val="游ゴシック"/>
        <charset val="134"/>
      </rPr>
      <t xml:space="preserve">ステップ1：
</t>
    </r>
    <r>
      <rPr>
        <sz val="10"/>
        <color rgb="FF000000"/>
        <rFont val="游ゴシック"/>
        <charset val="134"/>
      </rPr>
      <t xml:space="preserve">Truy cập URL `/hanbaiten/create`
</t>
    </r>
    <r>
      <rPr>
        <b/>
        <sz val="10"/>
        <color rgb="FF000000"/>
        <rFont val="游ゴシック"/>
        <charset val="134"/>
      </rPr>
      <t xml:space="preserve">ステップ2：
</t>
    </r>
    <r>
      <rPr>
        <sz val="10"/>
        <color rgb="FF000000"/>
        <rFont val="游ゴシック"/>
        <charset val="134"/>
      </rPr>
      <t>Focus vào trường 販売店コード, lần lượt nhấn phím `Tab`</t>
    </r>
  </si>
  <si>
    <r>
      <rPr>
        <b/>
        <sz val="10"/>
        <color rgb="FF000000"/>
        <rFont val="メイリオ"/>
        <charset val="134"/>
      </rPr>
      <t xml:space="preserve">ステップ1：
</t>
    </r>
    <r>
      <rPr>
        <sz val="10"/>
        <color rgb="FF000000"/>
        <rFont val="メイリオ"/>
        <charset val="134"/>
      </rPr>
      <t xml:space="preserve">Focus ban đầu được đặt vào trường 販売店コード
</t>
    </r>
    <r>
      <rPr>
        <b/>
        <sz val="10"/>
        <color rgb="FF000000"/>
        <rFont val="メイリオ"/>
        <charset val="134"/>
      </rPr>
      <t xml:space="preserve">ステップ2：
</t>
    </r>
    <r>
      <rPr>
        <sz val="10"/>
        <color rgb="FF000000"/>
        <rFont val="メイリオ"/>
        <charset val="134"/>
      </rPr>
      <t xml:space="preserve">Focus di chuyển theo thứ tự hiển thị trên màn hình (販売店コード → 販売店名 → カナ → 都道府県 → … → 備考 → button 登録 → button 戻る)
</t>
    </r>
    <r>
      <rPr>
        <b/>
        <sz val="10"/>
        <color rgb="FF000000"/>
        <rFont val="メイリオ"/>
        <charset val="134"/>
      </rPr>
      <t xml:space="preserve">補足：
</t>
    </r>
    <r>
      <rPr>
        <sz val="10"/>
        <color rgb="FF000000"/>
        <rFont val="メイリオ"/>
        <charset val="134"/>
      </rPr>
      <t>・Có thể truy cập tất cả input bằng thao tác bàn phím</t>
    </r>
  </si>
  <si>
    <t>ACSMS-TC-017-010</t>
  </si>
  <si>
    <t>Chặn submit ngầm bằng phím Enter</t>
  </si>
  <si>
    <r>
      <rPr>
        <b/>
        <sz val="10"/>
        <color rgb="FF000000"/>
        <rFont val="游ゴシック"/>
        <charset val="134"/>
      </rPr>
      <t xml:space="preserve">ステップ1：
</t>
    </r>
    <r>
      <rPr>
        <sz val="10"/>
        <color rgb="FF000000"/>
        <rFont val="游ゴシック"/>
        <charset val="134"/>
      </rPr>
      <t xml:space="preserve">Truy cập URL `/hanbaiten/create`
</t>
    </r>
    <r>
      <rPr>
        <b/>
        <sz val="10"/>
        <color rgb="FF000000"/>
        <rFont val="游ゴシック"/>
        <charset val="134"/>
      </rPr>
      <t xml:space="preserve">ステップ2：
</t>
    </r>
    <r>
      <rPr>
        <sz val="10"/>
        <color rgb="FF000000"/>
        <rFont val="游ゴシック"/>
        <charset val="134"/>
      </rPr>
      <t>Focus vào trường 販売店名, nhấn phím `Enter`</t>
    </r>
  </si>
  <si>
    <r>
      <rPr>
        <b/>
        <sz val="10"/>
        <color rgb="FF000000"/>
        <rFont val="メイリオ"/>
        <charset val="134"/>
      </rPr>
      <t xml:space="preserve">ステップ1：
</t>
    </r>
    <r>
      <rPr>
        <sz val="10"/>
        <color rgb="FF000000"/>
        <rFont val="メイリオ"/>
        <charset val="134"/>
      </rPr>
      <t xml:space="preserve">Màn hình đăng ký thông tin Hanbaiten được hiển thị
</t>
    </r>
    <r>
      <rPr>
        <b/>
        <sz val="10"/>
        <color rgb="FF000000"/>
        <rFont val="メイリオ"/>
        <charset val="134"/>
      </rPr>
      <t xml:space="preserve">ステップ2：
</t>
    </r>
    <r>
      <rPr>
        <sz val="10"/>
        <color rgb="FF000000"/>
        <rFont val="メイリオ"/>
        <charset val="134"/>
      </rPr>
      <t xml:space="preserve">Form không được submit, POST `/api/v1/hanbaiten` không được gọi
</t>
    </r>
    <r>
      <rPr>
        <b/>
        <sz val="10"/>
        <color rgb="FF000000"/>
        <rFont val="メイリオ"/>
        <charset val="134"/>
      </rPr>
      <t xml:space="preserve">補足：
</t>
    </r>
    <r>
      <rPr>
        <sz val="10"/>
        <color rgb="FF000000"/>
        <rFont val="メイリオ"/>
        <charset val="134"/>
      </rPr>
      <t xml:space="preserve">・Ngăn submit nhầm bằng Enter trong form nhiều trường
</t>
    </r>
    <r>
      <rPr>
        <sz val="10"/>
        <color rgb="FF000000"/>
        <rFont val="メイリオ"/>
        <charset val="134"/>
      </rPr>
      <t>・Implement bằng utility `preventEnterImplicitSubmit`</t>
    </r>
  </si>
  <si>
    <t>ACSMS-TC-017-011</t>
  </si>
  <si>
    <t>Hiển thị responsive (PC / Tablet / Mobile)</t>
  </si>
  <si>
    <r>
      <rPr>
        <b/>
        <sz val="10"/>
        <color rgb="FF000000"/>
        <rFont val="メイリオ"/>
        <charset val="134"/>
      </rPr>
      <t xml:space="preserve">ステップ1：
</t>
    </r>
    <r>
      <rPr>
        <sz val="10"/>
        <color rgb="FF000000"/>
        <rFont val="メイリオ"/>
        <charset val="134"/>
      </rPr>
      <t>Truy cập URL `/hanbaiten/create`, kiểm tra với độ rộng browser 1920px / 1024px / 375px</t>
    </r>
  </si>
  <si>
    <r>
      <rPr>
        <b/>
        <sz val="10"/>
        <color rgb="FF000000"/>
        <rFont val="メイリオ"/>
        <charset val="134"/>
      </rPr>
      <t xml:space="preserve">ステップ1：
</t>
    </r>
    <r>
      <rPr>
        <sz val="10"/>
        <color rgb="FF000000"/>
        <rFont val="メイリオ"/>
        <charset val="134"/>
      </rPr>
      <t xml:space="preserve">1920px PC layout 2 cột, 1024px Tablet duy trì 2 cột, 375px Mobile tự động chuyển sang layout 1 cột, không xảy ra cuộn ngang
</t>
    </r>
    <r>
      <rPr>
        <b/>
        <sz val="10"/>
        <color rgb="FF000000"/>
        <rFont val="メイリオ"/>
        <charset val="134"/>
      </rPr>
      <t xml:space="preserve">補足：
</t>
    </r>
    <r>
      <rPr>
        <sz val="10"/>
        <color rgb="FF000000"/>
        <rFont val="メイリオ"/>
        <charset val="134"/>
      </rPr>
      <t>・Khu vực button luôn được hiển thị kể cả trên mobile</t>
    </r>
  </si>
  <si>
    <t>Header &amp; Breadcrumb</t>
  </si>
  <si>
    <t>ACSMS-TC-017-012</t>
  </si>
  <si>
    <t>Hiển thị tiêu đề trang và logo</t>
  </si>
  <si>
    <r>
      <rPr>
        <b/>
        <sz val="10"/>
        <color rgb="FF000000"/>
        <rFont val="メイリオ"/>
        <charset val="134"/>
      </rPr>
      <t xml:space="preserve">ステップ1：
</t>
    </r>
    <r>
      <rPr>
        <sz val="10"/>
        <color rgb="FF000000"/>
        <rFont val="メイリオ"/>
        <charset val="134"/>
      </rPr>
      <t>Truy cập URL `/hanbaiten/create`, kiểm tra khu vực header</t>
    </r>
  </si>
  <si>
    <r>
      <rPr>
        <b/>
        <sz val="10"/>
        <color rgb="FF000000"/>
        <rFont val="メイリオ"/>
        <charset val="134"/>
      </rPr>
      <t xml:space="preserve">ステップ1：
</t>
    </r>
    <r>
      <rPr>
        <sz val="10"/>
        <color rgb="FF000000"/>
        <rFont val="メイリオ"/>
        <charset val="134"/>
      </rPr>
      <t xml:space="preserve">Tiêu đề màn hình "販売店情報登録" được hiển thị ở phía trên trang, logo hệ thống "クラウド版購読者管理システム" được hiển thị ở phía bên trái header
</t>
    </r>
    <r>
      <rPr>
        <b/>
        <sz val="10"/>
        <color rgb="FF000000"/>
        <rFont val="メイリオ"/>
        <charset val="134"/>
      </rPr>
      <t xml:space="preserve">補足：
</t>
    </r>
    <r>
      <rPr>
        <sz val="10"/>
        <color rgb="FF000000"/>
        <rFont val="メイリオ"/>
        <charset val="134"/>
      </rPr>
      <t>・Trên màn chỉnh sửa thì hiển thị "販売店情報編集"</t>
    </r>
  </si>
  <si>
    <t>ACSMS-TC-017-013</t>
  </si>
  <si>
    <t>Breadcrumb và link quay lại</t>
  </si>
  <si>
    <r>
      <rPr>
        <b/>
        <sz val="10"/>
        <color rgb="FF000000"/>
        <rFont val="游ゴシック"/>
        <charset val="134"/>
      </rPr>
      <t xml:space="preserve">ステップ1：
</t>
    </r>
    <r>
      <rPr>
        <sz val="10"/>
        <color rgb="FF000000"/>
        <rFont val="游ゴシック"/>
        <charset val="134"/>
      </rPr>
      <t xml:space="preserve">Truy cập URL `/hanbaiten/create`, kiểm tra breadcrumb
</t>
    </r>
    <r>
      <rPr>
        <b/>
        <sz val="10"/>
        <color rgb="FF000000"/>
        <rFont val="游ゴシック"/>
        <charset val="134"/>
      </rPr>
      <t xml:space="preserve">ステップ2：
</t>
    </r>
    <r>
      <rPr>
        <sz val="10"/>
        <color rgb="FF000000"/>
        <rFont val="游ゴシック"/>
        <charset val="134"/>
      </rPr>
      <t>Click link "販売店一覧" trong breadcrumb</t>
    </r>
  </si>
  <si>
    <r>
      <rPr>
        <b/>
        <sz val="10"/>
        <color rgb="FF000000"/>
        <rFont val="メイリオ"/>
        <charset val="134"/>
      </rPr>
      <t xml:space="preserve">ステップ1：
</t>
    </r>
    <r>
      <rPr>
        <sz val="10"/>
        <color rgb="FF000000"/>
        <rFont val="メイリオ"/>
        <charset val="134"/>
      </rPr>
      <t xml:space="preserve">Breadcrumb 3 cấp "ホーム &gt; 販売店一覧 &gt; 販売店情報登録" được hiển thị, node cuối "販売店情報登録" được hiển thị ở dạng không phải link
</t>
    </r>
    <r>
      <rPr>
        <b/>
        <sz val="10"/>
        <color rgb="FF000000"/>
        <rFont val="メイリオ"/>
        <charset val="134"/>
      </rPr>
      <t xml:space="preserve">ステップ2：
</t>
    </r>
    <r>
      <rPr>
        <sz val="10"/>
        <color rgb="FF000000"/>
        <rFont val="メイリオ"/>
        <charset val="134"/>
      </rPr>
      <t xml:space="preserve">Chuyển về màn list Hanbaiten (`/hanbaiten`)
</t>
    </r>
    <r>
      <rPr>
        <b/>
        <sz val="10"/>
        <color rgb="FF000000"/>
        <rFont val="メイリオ"/>
        <charset val="134"/>
      </rPr>
      <t xml:space="preserve">補足：
</t>
    </r>
    <r>
      <rPr>
        <sz val="10"/>
        <color rgb="FF000000"/>
        <rFont val="メイリオ"/>
        <charset val="134"/>
      </rPr>
      <t>・Trên màn chỉnh sửa thì cấp thứ 3 là "販売店情報編集"</t>
    </r>
  </si>
  <si>
    <t>ACSMS-TC-017-014</t>
  </si>
  <si>
    <t>Hiển thị thông tin user đang login</t>
  </si>
  <si>
    <t>・role: JA_HONTEN
・Đã login + đã xác thực MFA
・Tên user "鈴木 太郎", thuộc ja-001</t>
  </si>
  <si>
    <r>
      <rPr>
        <b/>
        <sz val="10"/>
        <color rgb="FF000000"/>
        <rFont val="游ゴシック"/>
        <charset val="134"/>
      </rPr>
      <t xml:space="preserve">ステップ1：
</t>
    </r>
    <r>
      <rPr>
        <sz val="10"/>
        <color rgb="FF000000"/>
        <rFont val="游ゴシック"/>
        <charset val="134"/>
      </rPr>
      <t xml:space="preserve">Truy cập URL `/hanbaiten/create`, kiểm tra phía bên phải header
</t>
    </r>
    <r>
      <rPr>
        <b/>
        <sz val="10"/>
        <color rgb="FF000000"/>
        <rFont val="游ゴシック"/>
        <charset val="134"/>
      </rPr>
      <t xml:space="preserve">ステップ2：
</t>
    </r>
    <r>
      <rPr>
        <sz val="10"/>
        <color rgb="FF000000"/>
        <rFont val="游ゴシック"/>
        <charset val="134"/>
      </rPr>
      <t>Mở rộng menu user</t>
    </r>
  </si>
  <si>
    <r>
      <rPr>
        <b/>
        <sz val="10"/>
        <color rgb="FF000000"/>
        <rFont val="游ゴシック"/>
        <charset val="134"/>
      </rPr>
      <t xml:space="preserve">ステップ1：
</t>
    </r>
    <r>
      <rPr>
        <sz val="10"/>
        <color rgb="FF000000"/>
        <rFont val="游ゴシック"/>
        <charset val="134"/>
      </rPr>
      <t xml:space="preserve">Phía bên phải header hiển thị tên user "鈴木 太郎", tên role "JA本店"
</t>
    </r>
    <r>
      <rPr>
        <b/>
        <sz val="10"/>
        <color rgb="FF000000"/>
        <rFont val="游ゴシック"/>
        <charset val="134"/>
      </rPr>
      <t xml:space="preserve">ステップ2：
</t>
    </r>
    <r>
      <rPr>
        <sz val="10"/>
        <color rgb="FF000000"/>
        <rFont val="游ゴシック"/>
        <charset val="134"/>
      </rPr>
      <t xml:space="preserve">Hiển thị các mục menu "ログアウト", "パスワード変更"
</t>
    </r>
    <r>
      <rPr>
        <b/>
        <sz val="10"/>
        <color rgb="FF000000"/>
        <rFont val="游ゴシック"/>
        <charset val="134"/>
      </rPr>
      <t xml:space="preserve">補足：
</t>
    </r>
    <r>
      <rPr>
        <sz val="10"/>
        <color rgb="FF000000"/>
        <rFont val="游ゴシック"/>
        <charset val="134"/>
      </rPr>
      <t>・(なし)</t>
    </r>
  </si>
  <si>
    <t>Validation đầu vào — Màn đăng ký</t>
  </si>
  <si>
    <t>ACSMS-TC-017-015</t>
  </si>
  <si>
    <t>Check required `hanbaiten_code`</t>
  </si>
  <si>
    <r>
      <rPr>
        <b/>
        <sz val="10"/>
        <color rgb="FF000000"/>
        <rFont val="メイリオ"/>
        <charset val="134"/>
      </rPr>
      <t xml:space="preserve">ステップ1：
</t>
    </r>
    <r>
      <rPr>
        <sz val="10"/>
        <color rgb="FF000000"/>
        <rFont val="メイリオ"/>
        <charset val="134"/>
      </rPr>
      <t xml:space="preserve">Truy cập URL `/hanbaiten/create`
</t>
    </r>
    <r>
      <rPr>
        <b/>
        <sz val="10"/>
        <color rgb="FF000000"/>
        <rFont val="メイリオ"/>
        <charset val="134"/>
      </rPr>
      <t xml:space="preserve">ステップ2：
</t>
    </r>
    <r>
      <rPr>
        <sz val="10"/>
        <color rgb="FF000000"/>
        <rFont val="メイリオ"/>
        <charset val="134"/>
      </rPr>
      <t>Để trống trường 販売店コード, nhập các trường required khác, click button đăng ký</t>
    </r>
  </si>
  <si>
    <r>
      <rPr>
        <b/>
        <sz val="10"/>
        <color rgb="FF000000"/>
        <rFont val="メイリオ"/>
        <charset val="134"/>
      </rPr>
      <t xml:space="preserve">ステップ1：
</t>
    </r>
    <r>
      <rPr>
        <sz val="10"/>
        <color rgb="FF000000"/>
        <rFont val="メイリオ"/>
        <charset val="134"/>
      </rPr>
      <t xml:space="preserve">Màn hình đăng ký thông tin Hanbaiten được hiển thị
</t>
    </r>
    <r>
      <rPr>
        <b/>
        <sz val="10"/>
        <color rgb="FF000000"/>
        <rFont val="メイリオ"/>
        <charset val="134"/>
      </rPr>
      <t xml:space="preserve">ステップ2：
</t>
    </r>
    <r>
      <rPr>
        <sz val="10"/>
        <color rgb="FF000000"/>
        <rFont val="メイリオ"/>
        <charset val="134"/>
      </rPr>
      <t xml:space="preserve">Hiển thị inline `必須項目です。` dưới trường 販売店コード, POST `/api/v1/hanbaiten` không được gọi
</t>
    </r>
    <r>
      <rPr>
        <b/>
        <sz val="10"/>
        <color rgb="FF000000"/>
        <rFont val="メイリオ"/>
        <charset val="134"/>
      </rPr>
      <t xml:space="preserve">補足：
</t>
    </r>
    <r>
      <rPr>
        <sz val="10"/>
        <color rgb="FF000000"/>
        <rFont val="メイリオ"/>
        <charset val="134"/>
      </rPr>
      <t>・FE client-side validation chặn trước</t>
    </r>
  </si>
  <si>
    <t>ACSMS-TC-017-016</t>
  </si>
  <si>
    <t>Biên số ký tự `hanbaiten_code` (10 ký tự OK)</t>
  </si>
  <si>
    <r>
      <rPr>
        <b/>
        <sz val="10"/>
        <color rgb="FF000000"/>
        <rFont val="游ゴシック"/>
        <charset val="134"/>
      </rPr>
      <t xml:space="preserve">ステップ1：
</t>
    </r>
    <r>
      <rPr>
        <sz val="10"/>
        <color rgb="FF000000"/>
        <rFont val="游ゴシック"/>
        <charset val="134"/>
      </rPr>
      <t xml:space="preserve">Nhập 10 ký tự (ví dụ: `H123456789`) vào trường 販売店コード
</t>
    </r>
    <r>
      <rPr>
        <b/>
        <sz val="10"/>
        <color rgb="FF000000"/>
        <rFont val="游ゴシック"/>
        <charset val="134"/>
      </rPr>
      <t xml:space="preserve">ステップ2：
</t>
    </r>
    <r>
      <rPr>
        <sz val="10"/>
        <color rgb="FF000000"/>
        <rFont val="游ゴシック"/>
        <charset val="134"/>
      </rPr>
      <t>Nhập các trường required khác, click button đăng ký</t>
    </r>
  </si>
  <si>
    <r>
      <rPr>
        <b/>
        <sz val="10"/>
        <color rgb="FF000000"/>
        <rFont val="游ゴシック"/>
        <charset val="134"/>
      </rPr>
      <t xml:space="preserve">ステップ1：
</t>
    </r>
    <r>
      <rPr>
        <sz val="10"/>
        <color rgb="FF000000"/>
        <rFont val="游ゴシック"/>
        <charset val="134"/>
      </rPr>
      <t xml:space="preserve">Có thể nhập 10 ký tự vào trường 販売店コード, không hiển thị lỗi
</t>
    </r>
    <r>
      <rPr>
        <b/>
        <sz val="10"/>
        <color rgb="FF000000"/>
        <rFont val="游ゴシック"/>
        <charset val="134"/>
      </rPr>
      <t xml:space="preserve">ステップ2：
</t>
    </r>
    <r>
      <rPr>
        <sz val="10"/>
        <color rgb="FF000000"/>
        <rFont val="游ゴシック"/>
        <charset val="134"/>
      </rPr>
      <t xml:space="preserve">Trả về HTTP 201, hiển thị toast `登録しました。`
</t>
    </r>
    <r>
      <rPr>
        <b/>
        <sz val="10"/>
        <color rgb="FF000000"/>
        <rFont val="游ゴシック"/>
        <charset val="134"/>
      </rPr>
      <t xml:space="preserve">補足：
</t>
    </r>
    <r>
      <rPr>
        <sz val="10"/>
        <color rgb="FF000000"/>
        <rFont val="游ゴシック"/>
        <charset val="134"/>
      </rPr>
      <t>・Tối đa 10 ký tự được tiếp nhận bình thường</t>
    </r>
  </si>
  <si>
    <t>ACSMS-TC-017-017</t>
  </si>
  <si>
    <t>Biên số ký tự `hanbaiten_code` (11 ký tự NG)</t>
  </si>
  <si>
    <r>
      <rPr>
        <b/>
        <sz val="10"/>
        <color rgb="FF000000"/>
        <rFont val="游ゴシック"/>
        <charset val="134"/>
      </rPr>
      <t xml:space="preserve">ステップ1：
</t>
    </r>
    <r>
      <rPr>
        <sz val="10"/>
        <color rgb="FF000000"/>
        <rFont val="游ゴシック"/>
        <charset val="134"/>
      </rPr>
      <t xml:space="preserve">Nhập 11 ký tự (ví dụ: `H1234567890`) vào trường 販売店コード
</t>
    </r>
    <r>
      <rPr>
        <b/>
        <sz val="10"/>
        <color rgb="FF000000"/>
        <rFont val="游ゴシック"/>
        <charset val="134"/>
      </rPr>
      <t xml:space="preserve">ステップ2：
</t>
    </r>
    <r>
      <rPr>
        <sz val="10"/>
        <color rgb="FF000000"/>
        <rFont val="游ゴシック"/>
        <charset val="134"/>
      </rPr>
      <t>Click button đăng ký</t>
    </r>
  </si>
  <si>
    <r>
      <rPr>
        <b/>
        <sz val="10"/>
        <color rgb="FF000000"/>
        <rFont val="メイリオ"/>
        <charset val="134"/>
      </rPr>
      <t xml:space="preserve">ステップ1：
</t>
    </r>
    <r>
      <rPr>
        <sz val="10"/>
        <color rgb="FF000000"/>
        <rFont val="メイリオ"/>
        <charset val="134"/>
      </rPr>
      <t xml:space="preserve">Do giới hạn maxlength của trường 販売店コード nên chỉ nhập được tối đa 10 ký tự, hoặc ký tự từ thứ 11 trở đi bị cắt hiển thị
</t>
    </r>
    <r>
      <rPr>
        <b/>
        <sz val="10"/>
        <color rgb="FF000000"/>
        <rFont val="メイリオ"/>
        <charset val="134"/>
      </rPr>
      <t xml:space="preserve">ステップ2：
</t>
    </r>
    <r>
      <rPr>
        <sz val="10"/>
        <color rgb="FF000000"/>
        <rFont val="メイリオ"/>
        <charset val="134"/>
      </rPr>
      <t xml:space="preserve">Hiển thị lỗi format dưới trường input, POST `/api/v1/hanbaiten` không được gọi
</t>
    </r>
    <r>
      <rPr>
        <b/>
        <sz val="10"/>
        <color rgb="FF000000"/>
        <rFont val="メイリオ"/>
        <charset val="134"/>
      </rPr>
      <t xml:space="preserve">補足：
</t>
    </r>
    <r>
      <rPr>
        <sz val="10"/>
        <color rgb="FF000000"/>
        <rFont val="メイリオ"/>
        <charset val="134"/>
      </rPr>
      <t>・Defense kép FE thuộc tính `maxlength=10` + server-side `@MaxLength(10)`</t>
    </r>
  </si>
  <si>
    <t>ACSMS-TC-017-018</t>
  </si>
  <si>
    <t>Check required `hanbaiten_name`</t>
  </si>
  <si>
    <r>
      <rPr>
        <b/>
        <sz val="10"/>
        <color rgb="FF000000"/>
        <rFont val="游ゴシック"/>
        <charset val="134"/>
      </rPr>
      <t xml:space="preserve">ステップ1：
</t>
    </r>
    <r>
      <rPr>
        <sz val="10"/>
        <color rgb="FF000000"/>
        <rFont val="游ゴシック"/>
        <charset val="134"/>
      </rPr>
      <t>Để trống trường 販売店名, click button đăng ký</t>
    </r>
  </si>
  <si>
    <r>
      <rPr>
        <b/>
        <sz val="10"/>
        <color rgb="FF000000"/>
        <rFont val="游ゴシック"/>
        <charset val="134"/>
      </rPr>
      <t xml:space="preserve">ステップ1：
</t>
    </r>
    <r>
      <rPr>
        <sz val="10"/>
        <color rgb="FF000000"/>
        <rFont val="游ゴシック"/>
        <charset val="134"/>
      </rPr>
      <t xml:space="preserve">Hiển thị inline `必須項目です。` dưới trường 販売店名, POST `/api/v1/hanbaiten` không được gọi
</t>
    </r>
    <r>
      <rPr>
        <b/>
        <sz val="10"/>
        <color rgb="FF000000"/>
        <rFont val="游ゴシック"/>
        <charset val="134"/>
      </rPr>
      <t xml:space="preserve">補足：
</t>
    </r>
    <r>
      <rPr>
        <sz val="10"/>
        <color rgb="FF000000"/>
        <rFont val="游ゴシック"/>
        <charset val="134"/>
      </rPr>
      <t>・(なし)</t>
    </r>
  </si>
  <si>
    <t>ACSMS-TC-017-019</t>
  </si>
  <si>
    <t>Biên số ký tự `hanbaiten_name` (100 ký tự OK)</t>
  </si>
  <si>
    <r>
      <rPr>
        <b/>
        <sz val="10"/>
        <color rgb="FF000000"/>
        <rFont val="メイリオ"/>
        <charset val="134"/>
      </rPr>
      <t xml:space="preserve">ステップ1：
</t>
    </r>
    <r>
      <rPr>
        <sz val="10"/>
        <color rgb="FF000000"/>
        <rFont val="メイリオ"/>
        <charset val="134"/>
      </rPr>
      <t xml:space="preserve">Nhập 100 ký tự vào trường 販売店名
</t>
    </r>
    <r>
      <rPr>
        <b/>
        <sz val="10"/>
        <color rgb="FF000000"/>
        <rFont val="メイリオ"/>
        <charset val="134"/>
      </rPr>
      <t xml:space="preserve">ステップ2：
</t>
    </r>
    <r>
      <rPr>
        <sz val="10"/>
        <color rgb="FF000000"/>
        <rFont val="メイリオ"/>
        <charset val="134"/>
      </rPr>
      <t>Click button đăng ký</t>
    </r>
  </si>
  <si>
    <r>
      <rPr>
        <b/>
        <sz val="10"/>
        <color rgb="FF000000"/>
        <rFont val="游ゴシック"/>
        <charset val="134"/>
      </rPr>
      <t xml:space="preserve">ステップ1：
</t>
    </r>
    <r>
      <rPr>
        <sz val="10"/>
        <color rgb="FF000000"/>
        <rFont val="游ゴシック"/>
        <charset val="134"/>
      </rPr>
      <t xml:space="preserve">Có thể nhập 100 ký tự vào trường 販売店名
</t>
    </r>
    <r>
      <rPr>
        <b/>
        <sz val="10"/>
        <color rgb="FF000000"/>
        <rFont val="游ゴシック"/>
        <charset val="134"/>
      </rPr>
      <t xml:space="preserve">ステップ2：
</t>
    </r>
    <r>
      <rPr>
        <sz val="10"/>
        <color rgb="FF000000"/>
        <rFont val="游ゴシック"/>
        <charset val="134"/>
      </rPr>
      <t xml:space="preserve">Trả về HTTP 201, hiển thị toast `登録しました。`
</t>
    </r>
    <r>
      <rPr>
        <b/>
        <sz val="10"/>
        <color rgb="FF000000"/>
        <rFont val="游ゴシック"/>
        <charset val="134"/>
      </rPr>
      <t xml:space="preserve">補足：
</t>
    </r>
    <r>
      <rPr>
        <sz val="10"/>
        <color rgb="FF000000"/>
        <rFont val="游ゴシック"/>
        <charset val="134"/>
      </rPr>
      <t>・(なし)</t>
    </r>
  </si>
  <si>
    <t>ACSMS-TC-017-020</t>
  </si>
  <si>
    <t>Biên số ký tự `hanbaiten_name` (101 ký tự NG)</t>
  </si>
  <si>
    <r>
      <rPr>
        <b/>
        <sz val="10"/>
        <color rgb="FF000000"/>
        <rFont val="メイリオ"/>
        <charset val="134"/>
      </rPr>
      <t xml:space="preserve">ステップ1：
</t>
    </r>
    <r>
      <rPr>
        <sz val="10"/>
        <color rgb="FF000000"/>
        <rFont val="メイリオ"/>
        <charset val="134"/>
      </rPr>
      <t>Thử nhập 101 ký tự vào trường 販売店名</t>
    </r>
  </si>
  <si>
    <r>
      <rPr>
        <b/>
        <sz val="10"/>
        <color rgb="FF000000"/>
        <rFont val="メイリオ"/>
        <charset val="134"/>
      </rPr>
      <t xml:space="preserve">ステップ1：
</t>
    </r>
    <r>
      <rPr>
        <sz val="10"/>
        <color rgb="FF000000"/>
        <rFont val="メイリオ"/>
        <charset val="134"/>
      </rPr>
      <t xml:space="preserve">Do giới hạn maxlength nên chỉ nhập được tối đa 100 ký tự
</t>
    </r>
    <r>
      <rPr>
        <b/>
        <sz val="10"/>
        <color rgb="FF000000"/>
        <rFont val="メイリオ"/>
        <charset val="134"/>
      </rPr>
      <t xml:space="preserve">補足：
</t>
    </r>
    <r>
      <rPr>
        <sz val="10"/>
        <color rgb="FF000000"/>
        <rFont val="メイリオ"/>
        <charset val="134"/>
      </rPr>
      <t>・Bị chặn vật lý bởi thuộc tính FE `maxlength=100`</t>
    </r>
  </si>
  <si>
    <t>ACSMS-TC-017-021</t>
  </si>
  <si>
    <t>Check format `hanbaiten_name_kana` half-width katakana</t>
  </si>
  <si>
    <r>
      <rPr>
        <b/>
        <sz val="10"/>
        <color rgb="FF000000"/>
        <rFont val="游ゴシック"/>
        <charset val="134"/>
      </rPr>
      <t xml:space="preserve">ステップ1：
</t>
    </r>
    <r>
      <rPr>
        <sz val="10"/>
        <color rgb="FF000000"/>
        <rFont val="游ゴシック"/>
        <charset val="134"/>
      </rPr>
      <t xml:space="preserve">Nhập hiragana (ví dụ: `はんばいてん`) vào trường 販売店名カナ, click button đăng ký
</t>
    </r>
    <r>
      <rPr>
        <b/>
        <sz val="10"/>
        <color rgb="FF000000"/>
        <rFont val="游ゴシック"/>
        <charset val="134"/>
      </rPr>
      <t xml:space="preserve">ステップ2：
</t>
    </r>
    <r>
      <rPr>
        <sz val="10"/>
        <color rgb="FF000000"/>
        <rFont val="游ゴシック"/>
        <charset val="134"/>
      </rPr>
      <t>Nhập half-width katakana (ví dụ: `ﾊﾝﾊﾞｲﾃﾝ`) vào trường 販売店名カナ, click button đăng ký</t>
    </r>
  </si>
  <si>
    <r>
      <rPr>
        <b/>
        <sz val="10"/>
        <color rgb="FF000000"/>
        <rFont val="メイリオ"/>
        <charset val="134"/>
      </rPr>
      <t xml:space="preserve">ステップ1：
</t>
    </r>
    <r>
      <rPr>
        <sz val="10"/>
        <color rgb="FF000000"/>
        <rFont val="メイリオ"/>
        <charset val="134"/>
      </rPr>
      <t xml:space="preserve">Hiển thị inline lỗi format `販売店名(カナ)は半角カタカナで入力してください。` dưới trường 販売店名カナ
</t>
    </r>
    <r>
      <rPr>
        <b/>
        <sz val="10"/>
        <color rgb="FF000000"/>
        <rFont val="メイリオ"/>
        <charset val="134"/>
      </rPr>
      <t xml:space="preserve">ステップ2：
</t>
    </r>
    <r>
      <rPr>
        <sz val="10"/>
        <color rgb="FF000000"/>
        <rFont val="メイリオ"/>
        <charset val="134"/>
      </rPr>
      <t xml:space="preserve">Không hiển thị lỗi format, trả về HTTP 201
</t>
    </r>
    <r>
      <rPr>
        <b/>
        <sz val="10"/>
        <color rgb="FF000000"/>
        <rFont val="メイリオ"/>
        <charset val="134"/>
      </rPr>
      <t xml:space="preserve">補足：
</t>
    </r>
    <r>
      <rPr>
        <sz val="10"/>
        <color rgb="FF000000"/>
        <rFont val="メイリオ"/>
        <charset val="134"/>
      </rPr>
      <t>・Half-width katakana là bắt buộc do compatibility với Zengin / CSV ngân hàng</t>
    </r>
  </si>
  <si>
    <t>ACSMS-TC-017-022</t>
  </si>
  <si>
    <t>Biên số ký tự `hanbaiten_name_kana` (100 ký tự OK / 101 ký tự NG)</t>
  </si>
  <si>
    <r>
      <rPr>
        <b/>
        <sz val="10"/>
        <color rgb="FF000000"/>
        <rFont val="游ゴシック"/>
        <charset val="134"/>
      </rPr>
      <t xml:space="preserve">ステップ1：
</t>
    </r>
    <r>
      <rPr>
        <sz val="10"/>
        <color rgb="FF000000"/>
        <rFont val="游ゴシック"/>
        <charset val="134"/>
      </rPr>
      <t xml:space="preserve">Nhập 100 ký tự (half-width katakana) vào trường 販売店名カナ
</t>
    </r>
    <r>
      <rPr>
        <b/>
        <sz val="10"/>
        <color rgb="FF000000"/>
        <rFont val="游ゴシック"/>
        <charset val="134"/>
      </rPr>
      <t xml:space="preserve">ステップ2：
</t>
    </r>
    <r>
      <rPr>
        <sz val="10"/>
        <color rgb="FF000000"/>
        <rFont val="游ゴシック"/>
        <charset val="134"/>
      </rPr>
      <t>Thử nhập 101 ký tự vào trường 販売店名カナ</t>
    </r>
  </si>
  <si>
    <r>
      <rPr>
        <b/>
        <sz val="10"/>
        <color rgb="FF000000"/>
        <rFont val="メイリオ"/>
        <charset val="134"/>
      </rPr>
      <t xml:space="preserve">ステップ1：
</t>
    </r>
    <r>
      <rPr>
        <sz val="10"/>
        <color rgb="FF000000"/>
        <rFont val="メイリオ"/>
        <charset val="134"/>
      </rPr>
      <t xml:space="preserve">Đến 100 ký tự được tiếp nhận bình thường
</t>
    </r>
    <r>
      <rPr>
        <b/>
        <sz val="10"/>
        <color rgb="FF000000"/>
        <rFont val="メイリオ"/>
        <charset val="134"/>
      </rPr>
      <t xml:space="preserve">ステップ2：
</t>
    </r>
    <r>
      <rPr>
        <sz val="10"/>
        <color rgb="FF000000"/>
        <rFont val="メイリオ"/>
        <charset val="134"/>
      </rPr>
      <t xml:space="preserve">Do maxlength nên không thể nhập ký tự từ thứ 101 trở đi
</t>
    </r>
    <r>
      <rPr>
        <b/>
        <sz val="10"/>
        <color rgb="FF000000"/>
        <rFont val="メイリオ"/>
        <charset val="134"/>
      </rPr>
      <t xml:space="preserve">補足：
</t>
    </r>
    <r>
      <rPr>
        <sz val="10"/>
        <color rgb="FF000000"/>
        <rFont val="メイリオ"/>
        <charset val="134"/>
      </rPr>
      <t>・(なし)</t>
    </r>
  </si>
  <si>
    <t>ACSMS-TC-017-023</t>
  </si>
  <si>
    <t>Check format `todofuken_code`</t>
  </si>
  <si>
    <r>
      <rPr>
        <b/>
        <sz val="10"/>
        <color rgb="FF000000"/>
        <rFont val="游ゴシック"/>
        <charset val="134"/>
      </rPr>
      <t xml:space="preserve">ステップ1：
</t>
    </r>
    <r>
      <rPr>
        <sz val="10"/>
        <color rgb="FF000000"/>
        <rFont val="游ゴシック"/>
        <charset val="134"/>
      </rPr>
      <t xml:space="preserve">Chọn "東京都" tại trường 都道府県
</t>
    </r>
    <r>
      <rPr>
        <b/>
        <sz val="10"/>
        <color rgb="FF000000"/>
        <rFont val="游ゴシック"/>
        <charset val="134"/>
      </rPr>
      <t xml:space="preserve">ステップ2：
</t>
    </r>
    <r>
      <rPr>
        <sz val="10"/>
        <color rgb="FF000000"/>
        <rFont val="游ゴシック"/>
        <charset val="134"/>
      </rPr>
      <t>Dùng DevTools gửi trực tiếp `todofuken_code: "99"` (mã không tồn tại)</t>
    </r>
  </si>
  <si>
    <r>
      <rPr>
        <b/>
        <sz val="10"/>
        <color rgb="FF000000"/>
        <rFont val="メイリオ"/>
        <charset val="134"/>
      </rPr>
      <t xml:space="preserve">ステップ1：
</t>
    </r>
    <r>
      <rPr>
        <sz val="10"/>
        <color rgb="FF000000"/>
        <rFont val="メイリオ"/>
        <charset val="134"/>
      </rPr>
      <t xml:space="preserve">Hiển thị giá trị đã chọn, không phát sinh lỗi
</t>
    </r>
    <r>
      <rPr>
        <b/>
        <sz val="10"/>
        <color rgb="FF000000"/>
        <rFont val="メイリオ"/>
        <charset val="134"/>
      </rPr>
      <t xml:space="preserve">ステップ2：
</t>
    </r>
    <r>
      <rPr>
        <sz val="10"/>
        <color rgb="FF000000"/>
        <rFont val="メイリオ"/>
        <charset val="134"/>
      </rPr>
      <t xml:space="preserve">Trả về HTTP 400 (`error_code: VALIDATION_ERROR`)
</t>
    </r>
    <r>
      <rPr>
        <b/>
        <sz val="10"/>
        <color rgb="FF000000"/>
        <rFont val="メイリオ"/>
        <charset val="134"/>
      </rPr>
      <t xml:space="preserve">補足：
</t>
    </r>
    <r>
      <rPr>
        <sz val="10"/>
        <color rgb="FF000000"/>
        <rFont val="メイリオ"/>
        <charset val="134"/>
      </rPr>
      <t>・`todofuken_code` được kiểm tra existence trong m_todofuken</t>
    </r>
  </si>
  <si>
    <t>ACSMS-TC-017-024</t>
  </si>
  <si>
    <t>Biên số ký tự `torihikisaki_no` (20 ký tự OK / 21 ký tự NG)</t>
  </si>
  <si>
    <r>
      <rPr>
        <b/>
        <sz val="10"/>
        <color rgb="FF000000"/>
        <rFont val="游ゴシック"/>
        <charset val="134"/>
      </rPr>
      <t xml:space="preserve">ステップ1：
</t>
    </r>
    <r>
      <rPr>
        <sz val="10"/>
        <color rgb="FF000000"/>
        <rFont val="游ゴシック"/>
        <charset val="134"/>
      </rPr>
      <t xml:space="preserve">Nhập 20 ký tự vào trường 適格請求書発行事業者番号
</t>
    </r>
    <r>
      <rPr>
        <b/>
        <sz val="10"/>
        <color rgb="FF000000"/>
        <rFont val="游ゴシック"/>
        <charset val="134"/>
      </rPr>
      <t xml:space="preserve">ステップ2：
</t>
    </r>
    <r>
      <rPr>
        <sz val="10"/>
        <color rgb="FF000000"/>
        <rFont val="游ゴシック"/>
        <charset val="134"/>
      </rPr>
      <t>Thử nhập 21 ký tự</t>
    </r>
  </si>
  <si>
    <r>
      <rPr>
        <b/>
        <sz val="10"/>
        <color rgb="FF000000"/>
        <rFont val="メイリオ"/>
        <charset val="134"/>
      </rPr>
      <t xml:space="preserve">ステップ1：
</t>
    </r>
    <r>
      <rPr>
        <sz val="10"/>
        <color rgb="FF000000"/>
        <rFont val="メイリオ"/>
        <charset val="134"/>
      </rPr>
      <t xml:space="preserve">Đến 20 ký tự có thể nhập, được tiếp nhận bình thường khi đăng ký
</t>
    </r>
    <r>
      <rPr>
        <b/>
        <sz val="10"/>
        <color rgb="FF000000"/>
        <rFont val="メイリオ"/>
        <charset val="134"/>
      </rPr>
      <t xml:space="preserve">ステップ2：
</t>
    </r>
    <r>
      <rPr>
        <sz val="10"/>
        <color rgb="FF000000"/>
        <rFont val="メイリオ"/>
        <charset val="134"/>
      </rPr>
      <t xml:space="preserve">Do maxlength nên không thể nhập ký tự từ thứ 21 trở đi
</t>
    </r>
    <r>
      <rPr>
        <b/>
        <sz val="10"/>
        <color rgb="FF000000"/>
        <rFont val="メイリオ"/>
        <charset val="134"/>
      </rPr>
      <t xml:space="preserve">補足：
</t>
    </r>
    <r>
      <rPr>
        <sz val="10"/>
        <color rgb="FF000000"/>
        <rFont val="メイリオ"/>
        <charset val="134"/>
      </rPr>
      <t>・(なし)</t>
    </r>
  </si>
  <si>
    <t>ACSMS-TC-017-025</t>
  </si>
  <si>
    <t>Check format `yubin_no` (7 ký tự số half-width)</t>
  </si>
  <si>
    <r>
      <rPr>
        <b/>
        <sz val="10"/>
        <color rgb="FF000000"/>
        <rFont val="游ゴシック"/>
        <charset val="134"/>
      </rPr>
      <t xml:space="preserve">ステップ1：
</t>
    </r>
    <r>
      <rPr>
        <sz val="10"/>
        <color rgb="FF000000"/>
        <rFont val="游ゴシック"/>
        <charset val="134"/>
      </rPr>
      <t xml:space="preserve">Nhập `123-4567` (có dấu gạch nối) vào trường 郵便番号, click button đăng ký
</t>
    </r>
    <r>
      <rPr>
        <b/>
        <sz val="10"/>
        <color rgb="FF000000"/>
        <rFont val="游ゴシック"/>
        <charset val="134"/>
      </rPr>
      <t xml:space="preserve">ステップ2：
</t>
    </r>
    <r>
      <rPr>
        <sz val="10"/>
        <color rgb="FF000000"/>
        <rFont val="游ゴシック"/>
        <charset val="134"/>
      </rPr>
      <t>Nhập `1234567` (7 ký tự số half-width) vào trường 郵便番号, click button đăng ký</t>
    </r>
  </si>
  <si>
    <r>
      <rPr>
        <b/>
        <sz val="10"/>
        <color rgb="FF000000"/>
        <rFont val="メイリオ"/>
        <charset val="134"/>
      </rPr>
      <t xml:space="preserve">ステップ1：
</t>
    </r>
    <r>
      <rPr>
        <sz val="10"/>
        <color rgb="FF000000"/>
        <rFont val="メイリオ"/>
        <charset val="134"/>
      </rPr>
      <t xml:space="preserve">Hiển thị lỗi format dưới trường 郵便番号, POST không được gọi
</t>
    </r>
    <r>
      <rPr>
        <b/>
        <sz val="10"/>
        <color rgb="FF000000"/>
        <rFont val="メイリオ"/>
        <charset val="134"/>
      </rPr>
      <t xml:space="preserve">ステップ2：
</t>
    </r>
    <r>
      <rPr>
        <sz val="10"/>
        <color rgb="FF000000"/>
        <rFont val="メイリオ"/>
        <charset val="134"/>
      </rPr>
      <t xml:space="preserve">Không hiển thị lỗi format, trả về HTTP 201
</t>
    </r>
    <r>
      <rPr>
        <b/>
        <sz val="10"/>
        <color rgb="FF000000"/>
        <rFont val="メイリオ"/>
        <charset val="134"/>
      </rPr>
      <t xml:space="preserve">補足：
</t>
    </r>
    <r>
      <rPr>
        <sz val="10"/>
        <color rgb="FF000000"/>
        <rFont val="メイリオ"/>
        <charset val="134"/>
      </rPr>
      <t>・Chỉ tiếp nhận 7 ký tự số half-width không có gạch nối</t>
    </r>
  </si>
  <si>
    <t>ACSMS-TC-017-026</t>
  </si>
  <si>
    <t>Biên số ký tự `address` (200 ký tự OK / 201 ký tự NG)</t>
  </si>
  <si>
    <r>
      <rPr>
        <b/>
        <sz val="10"/>
        <color rgb="FF000000"/>
        <rFont val="メイリオ"/>
        <charset val="134"/>
      </rPr>
      <t xml:space="preserve">ステップ1：
</t>
    </r>
    <r>
      <rPr>
        <sz val="10"/>
        <color rgb="FF000000"/>
        <rFont val="メイリオ"/>
        <charset val="134"/>
      </rPr>
      <t xml:space="preserve">Nhập 200 ký tự vào trường 住所
</t>
    </r>
    <r>
      <rPr>
        <b/>
        <sz val="10"/>
        <color rgb="FF000000"/>
        <rFont val="メイリオ"/>
        <charset val="134"/>
      </rPr>
      <t xml:space="preserve">ステップ2：
</t>
    </r>
    <r>
      <rPr>
        <sz val="10"/>
        <color rgb="FF000000"/>
        <rFont val="メイリオ"/>
        <charset val="134"/>
      </rPr>
      <t>Thử nhập 201 ký tự</t>
    </r>
  </si>
  <si>
    <r>
      <rPr>
        <b/>
        <sz val="10"/>
        <color rgb="FF000000"/>
        <rFont val="メイリオ"/>
        <charset val="134"/>
      </rPr>
      <t xml:space="preserve">ステップ1：
</t>
    </r>
    <r>
      <rPr>
        <sz val="10"/>
        <color rgb="FF000000"/>
        <rFont val="メイリオ"/>
        <charset val="134"/>
      </rPr>
      <t xml:space="preserve">Đến 200 ký tự có thể nhập, được tiếp nhận bình thường khi đăng ký
</t>
    </r>
    <r>
      <rPr>
        <b/>
        <sz val="10"/>
        <color rgb="FF000000"/>
        <rFont val="メイリオ"/>
        <charset val="134"/>
      </rPr>
      <t xml:space="preserve">ステップ2：
</t>
    </r>
    <r>
      <rPr>
        <sz val="10"/>
        <color rgb="FF000000"/>
        <rFont val="メイリオ"/>
        <charset val="134"/>
      </rPr>
      <t xml:space="preserve">Do maxlength nên không thể nhập ký tự từ thứ 201 trở đi
</t>
    </r>
    <r>
      <rPr>
        <b/>
        <sz val="10"/>
        <color rgb="FF000000"/>
        <rFont val="メイリオ"/>
        <charset val="134"/>
      </rPr>
      <t xml:space="preserve">補足：
</t>
    </r>
    <r>
      <rPr>
        <sz val="10"/>
        <color rgb="FF000000"/>
        <rFont val="メイリオ"/>
        <charset val="134"/>
      </rPr>
      <t>・(なし)</t>
    </r>
  </si>
  <si>
    <t>ACSMS-TC-017-027</t>
  </si>
  <si>
    <t>Check format `tel`</t>
  </si>
  <si>
    <r>
      <rPr>
        <b/>
        <sz val="10"/>
        <color rgb="FF000000"/>
        <rFont val="游ゴシック"/>
        <charset val="134"/>
      </rPr>
      <t xml:space="preserve">ステップ1：
</t>
    </r>
    <r>
      <rPr>
        <sz val="10"/>
        <color rgb="FF000000"/>
        <rFont val="游ゴシック"/>
        <charset val="134"/>
      </rPr>
      <t xml:space="preserve">Nhập `0312345678` vào trường 電話
</t>
    </r>
    <r>
      <rPr>
        <b/>
        <sz val="10"/>
        <color rgb="FF000000"/>
        <rFont val="游ゴシック"/>
        <charset val="134"/>
      </rPr>
      <t xml:space="preserve">ステップ2：
</t>
    </r>
    <r>
      <rPr>
        <sz val="10"/>
        <color rgb="FF000000"/>
        <rFont val="游ゴシック"/>
        <charset val="134"/>
      </rPr>
      <t>Nhập `abc-1234-5678` (có lẫn chữ cái) vào trường 電話, click button đăng ký</t>
    </r>
  </si>
  <si>
    <r>
      <rPr>
        <b/>
        <sz val="10"/>
        <color rgb="FF000000"/>
        <rFont val="メイリオ"/>
        <charset val="134"/>
      </rPr>
      <t xml:space="preserve">ステップ1：
</t>
    </r>
    <r>
      <rPr>
        <sz val="10"/>
        <color rgb="FF000000"/>
        <rFont val="メイリオ"/>
        <charset val="134"/>
      </rPr>
      <t xml:space="preserve">Không hiển thị lỗi format, được tiếp nhận bình thường khi đăng ký
</t>
    </r>
    <r>
      <rPr>
        <b/>
        <sz val="10"/>
        <color rgb="FF000000"/>
        <rFont val="メイリオ"/>
        <charset val="134"/>
      </rPr>
      <t xml:space="preserve">ステップ2：
</t>
    </r>
    <r>
      <rPr>
        <sz val="10"/>
        <color rgb="FF000000"/>
        <rFont val="メイリオ"/>
        <charset val="134"/>
      </rPr>
      <t xml:space="preserve">Hiển thị lỗi format dưới trường 電話, POST không được gọi
</t>
    </r>
    <r>
      <rPr>
        <b/>
        <sz val="10"/>
        <color rgb="FF000000"/>
        <rFont val="メイリオ"/>
        <charset val="134"/>
      </rPr>
      <t xml:space="preserve">補足：
</t>
    </r>
    <r>
      <rPr>
        <sz val="10"/>
        <color rgb="FF000000"/>
        <rFont val="メイリオ"/>
        <charset val="134"/>
      </rPr>
      <t>・Chỉ tiếp nhận chữ số half-width và dấu gạch nối</t>
    </r>
  </si>
  <si>
    <t>ACSMS-TC-017-028</t>
  </si>
  <si>
    <t>Biên số ký tự `tel` (15 ký tự OK / 16 ký tự NG)</t>
  </si>
  <si>
    <r>
      <rPr>
        <b/>
        <sz val="10"/>
        <color rgb="FF000000"/>
        <rFont val="游ゴシック"/>
        <charset val="134"/>
      </rPr>
      <t xml:space="preserve">ステップ1：
</t>
    </r>
    <r>
      <rPr>
        <sz val="10"/>
        <color rgb="FF000000"/>
        <rFont val="游ゴシック"/>
        <charset val="134"/>
      </rPr>
      <t xml:space="preserve">Nhập 15 ký tự vào trường 電話
</t>
    </r>
    <r>
      <rPr>
        <b/>
        <sz val="10"/>
        <color rgb="FF000000"/>
        <rFont val="游ゴシック"/>
        <charset val="134"/>
      </rPr>
      <t xml:space="preserve">ステップ2：
</t>
    </r>
    <r>
      <rPr>
        <sz val="10"/>
        <color rgb="FF000000"/>
        <rFont val="游ゴシック"/>
        <charset val="134"/>
      </rPr>
      <t>Thử nhập 16 ký tự</t>
    </r>
  </si>
  <si>
    <r>
      <rPr>
        <b/>
        <sz val="10"/>
        <color rgb="FF000000"/>
        <rFont val="メイリオ"/>
        <charset val="134"/>
      </rPr>
      <t xml:space="preserve">ステップ1：
</t>
    </r>
    <r>
      <rPr>
        <sz val="10"/>
        <color rgb="FF000000"/>
        <rFont val="メイリオ"/>
        <charset val="134"/>
      </rPr>
      <t xml:space="preserve">Đến 15 ký tự có thể nhập, được tiếp nhận bình thường khi đăng ký
</t>
    </r>
    <r>
      <rPr>
        <b/>
        <sz val="10"/>
        <color rgb="FF000000"/>
        <rFont val="メイリオ"/>
        <charset val="134"/>
      </rPr>
      <t xml:space="preserve">ステップ2：
</t>
    </r>
    <r>
      <rPr>
        <sz val="10"/>
        <color rgb="FF000000"/>
        <rFont val="メイリオ"/>
        <charset val="134"/>
      </rPr>
      <t xml:space="preserve">Do maxlength nên không thể nhập ký tự từ thứ 16 trở đi
</t>
    </r>
    <r>
      <rPr>
        <b/>
        <sz val="10"/>
        <color rgb="FF000000"/>
        <rFont val="メイリオ"/>
        <charset val="134"/>
      </rPr>
      <t xml:space="preserve">補足：
</t>
    </r>
    <r>
      <rPr>
        <sz val="10"/>
        <color rgb="FF000000"/>
        <rFont val="メイリオ"/>
        <charset val="134"/>
      </rPr>
      <t>・(なし)</t>
    </r>
  </si>
  <si>
    <t>ACSMS-TC-017-029</t>
  </si>
  <si>
    <t>Check format `fax`</t>
  </si>
  <si>
    <r>
      <rPr>
        <b/>
        <sz val="10"/>
        <color rgb="FF000000"/>
        <rFont val="游ゴシック"/>
        <charset val="134"/>
      </rPr>
      <t xml:space="preserve">ステップ1：
</t>
    </r>
    <r>
      <rPr>
        <sz val="10"/>
        <color rgb="FF000000"/>
        <rFont val="游ゴシック"/>
        <charset val="134"/>
      </rPr>
      <t xml:space="preserve">Nhập `03-1234-5678` vào trường FAX
</t>
    </r>
    <r>
      <rPr>
        <b/>
        <sz val="10"/>
        <color rgb="FF000000"/>
        <rFont val="游ゴシック"/>
        <charset val="134"/>
      </rPr>
      <t xml:space="preserve">ステップ2：
</t>
    </r>
    <r>
      <rPr>
        <sz val="10"/>
        <color rgb="FF000000"/>
        <rFont val="游ゴシック"/>
        <charset val="134"/>
      </rPr>
      <t>Nhập `xyz` (có lẫn chữ cái) vào trường FAX, click button đăng ký</t>
    </r>
  </si>
  <si>
    <r>
      <rPr>
        <b/>
        <sz val="10"/>
        <color rgb="FF000000"/>
        <rFont val="メイリオ"/>
        <charset val="134"/>
      </rPr>
      <t xml:space="preserve">ステップ1：
</t>
    </r>
    <r>
      <rPr>
        <sz val="10"/>
        <color rgb="FF000000"/>
        <rFont val="メイリオ"/>
        <charset val="134"/>
      </rPr>
      <t xml:space="preserve">Không hiển thị lỗi format, được tiếp nhận bình thường khi đăng ký
</t>
    </r>
    <r>
      <rPr>
        <b/>
        <sz val="10"/>
        <color rgb="FF000000"/>
        <rFont val="メイリオ"/>
        <charset val="134"/>
      </rPr>
      <t xml:space="preserve">ステップ2：
</t>
    </r>
    <r>
      <rPr>
        <sz val="10"/>
        <color rgb="FF000000"/>
        <rFont val="メイリオ"/>
        <charset val="134"/>
      </rPr>
      <t xml:space="preserve">Hiển thị lỗi format dưới trường FAX
</t>
    </r>
    <r>
      <rPr>
        <b/>
        <sz val="10"/>
        <color rgb="FF000000"/>
        <rFont val="メイリオ"/>
        <charset val="134"/>
      </rPr>
      <t xml:space="preserve">補足：
</t>
    </r>
    <r>
      <rPr>
        <sz val="10"/>
        <color rgb="FF000000"/>
        <rFont val="メイリオ"/>
        <charset val="134"/>
      </rPr>
      <t>・Quy tắc giống `tel` (chữ số half-width + dấu gạch nối)</t>
    </r>
  </si>
  <si>
    <t>ACSMS-TC-017-030</t>
  </si>
  <si>
    <t>Biên số ký tự `shocho_name` (50 ký tự OK / 51 ký tự NG)</t>
  </si>
  <si>
    <r>
      <rPr>
        <b/>
        <sz val="10"/>
        <color rgb="FF000000"/>
        <rFont val="游ゴシック"/>
        <charset val="134"/>
      </rPr>
      <t xml:space="preserve">ステップ1：
</t>
    </r>
    <r>
      <rPr>
        <sz val="10"/>
        <color rgb="FF000000"/>
        <rFont val="游ゴシック"/>
        <charset val="134"/>
      </rPr>
      <t xml:space="preserve">Nhập 50 ký tự vào trường 所長名
</t>
    </r>
    <r>
      <rPr>
        <b/>
        <sz val="10"/>
        <color rgb="FF000000"/>
        <rFont val="游ゴシック"/>
        <charset val="134"/>
      </rPr>
      <t xml:space="preserve">ステップ2：
</t>
    </r>
    <r>
      <rPr>
        <sz val="10"/>
        <color rgb="FF000000"/>
        <rFont val="游ゴシック"/>
        <charset val="134"/>
      </rPr>
      <t>Thử nhập 51 ký tự</t>
    </r>
  </si>
  <si>
    <r>
      <rPr>
        <b/>
        <sz val="10"/>
        <color rgb="FF000000"/>
        <rFont val="メイリオ"/>
        <charset val="134"/>
      </rPr>
      <t xml:space="preserve">ステップ1：
</t>
    </r>
    <r>
      <rPr>
        <sz val="10"/>
        <color rgb="FF000000"/>
        <rFont val="メイリオ"/>
        <charset val="134"/>
      </rPr>
      <t xml:space="preserve">Đến 50 ký tự có thể nhập, được tiếp nhận bình thường khi đăng ký
</t>
    </r>
    <r>
      <rPr>
        <b/>
        <sz val="10"/>
        <color rgb="FF000000"/>
        <rFont val="メイリオ"/>
        <charset val="134"/>
      </rPr>
      <t xml:space="preserve">ステップ2：
</t>
    </r>
    <r>
      <rPr>
        <sz val="10"/>
        <color rgb="FF000000"/>
        <rFont val="メイリオ"/>
        <charset val="134"/>
      </rPr>
      <t xml:space="preserve">Do maxlength nên không thể nhập ký tự từ thứ 51 trở đi
</t>
    </r>
    <r>
      <rPr>
        <b/>
        <sz val="10"/>
        <color rgb="FF000000"/>
        <rFont val="メイリオ"/>
        <charset val="134"/>
      </rPr>
      <t xml:space="preserve">補足：
</t>
    </r>
    <r>
      <rPr>
        <sz val="10"/>
        <color rgb="FF000000"/>
        <rFont val="メイリオ"/>
        <charset val="134"/>
      </rPr>
      <t>・(なし)</t>
    </r>
  </si>
  <si>
    <t>ACSMS-TC-017-031</t>
  </si>
  <si>
    <t>Check giá trị mã master `itaku_kubun`</t>
  </si>
  <si>
    <r>
      <rPr>
        <b/>
        <sz val="10"/>
        <color rgb="FF000000"/>
        <rFont val="游ゴシック"/>
        <charset val="134"/>
      </rPr>
      <t xml:space="preserve">ステップ1：
</t>
    </r>
    <r>
      <rPr>
        <sz val="10"/>
        <color rgb="FF000000"/>
        <rFont val="游ゴシック"/>
        <charset val="134"/>
      </rPr>
      <t xml:space="preserve">Kiểm tra danh sách lựa chọn của dropdown 委託区分
</t>
    </r>
    <r>
      <rPr>
        <b/>
        <sz val="10"/>
        <color rgb="FF000000"/>
        <rFont val="游ゴシック"/>
        <charset val="134"/>
      </rPr>
      <t xml:space="preserve">ステップ2：
</t>
    </r>
    <r>
      <rPr>
        <sz val="10"/>
        <color rgb="FF000000"/>
        <rFont val="游ゴシック"/>
        <charset val="134"/>
      </rPr>
      <t>Dùng DevTools gửi trực tiếp `itaku_kubun: 99`</t>
    </r>
  </si>
  <si>
    <r>
      <rPr>
        <b/>
        <sz val="10"/>
        <color rgb="FF000000"/>
        <rFont val="游ゴシック"/>
        <charset val="134"/>
      </rPr>
      <t xml:space="preserve">ステップ1：
</t>
    </r>
    <r>
      <rPr>
        <sz val="10"/>
        <color rgb="FF000000"/>
        <rFont val="游ゴシック"/>
        <charset val="134"/>
      </rPr>
      <t xml:space="preserve">Chỉ hiển thị các giá trị thuộc category m_code `ITAKU_KUBUN` (1: 振込, 2: 日農委託, 9: その他) làm lựa chọn
</t>
    </r>
    <r>
      <rPr>
        <b/>
        <sz val="10"/>
        <color rgb="FF000000"/>
        <rFont val="游ゴシック"/>
        <charset val="134"/>
      </rPr>
      <t xml:space="preserve">ステップ2：
</t>
    </r>
    <r>
      <rPr>
        <sz val="10"/>
        <color rgb="FF000000"/>
        <rFont val="游ゴシック"/>
        <charset val="134"/>
      </rPr>
      <t xml:space="preserve">Trả về HTTP 400 (`error_code: VALIDATION_ERROR`, message chứa `委託区分の値が不正です`)
</t>
    </r>
    <r>
      <rPr>
        <b/>
        <sz val="10"/>
        <color rgb="FF000000"/>
        <rFont val="游ゴシック"/>
        <charset val="134"/>
      </rPr>
      <t xml:space="preserve">補足：
</t>
    </r>
    <r>
      <rPr>
        <sz val="10"/>
        <color rgb="FF000000"/>
        <rFont val="游ゴシック"/>
        <charset val="134"/>
      </rPr>
      <t>・Check tính nhất quán m_code là bắt buộc ở server-side</t>
    </r>
  </si>
  <si>
    <t>ACSMS-TC-017-032</t>
  </si>
  <si>
    <t>Check FK `haitatsuryo_tanka_id`</t>
  </si>
  <si>
    <r>
      <rPr>
        <b/>
        <sz val="10"/>
        <color rgb="FF000000"/>
        <rFont val="游ゴシック"/>
        <charset val="134"/>
      </rPr>
      <t xml:space="preserve">ステップ1：
</t>
    </r>
    <r>
      <rPr>
        <sz val="10"/>
        <color rgb="FF000000"/>
        <rFont val="游ゴシック"/>
        <charset val="134"/>
      </rPr>
      <t xml:space="preserve">Chọn đơn giá thuộc JA của mình từ dropdown 配達料単価
</t>
    </r>
    <r>
      <rPr>
        <b/>
        <sz val="10"/>
        <color rgb="FF000000"/>
        <rFont val="游ゴシック"/>
        <charset val="134"/>
      </rPr>
      <t xml:space="preserve">ステップ2：
</t>
    </r>
    <r>
      <rPr>
        <sz val="10"/>
        <color rgb="FF000000"/>
        <rFont val="游ゴシック"/>
        <charset val="134"/>
      </rPr>
      <t>Dùng DevTools gửi trực tiếp `haitatsuryo_tanka_id: 99999` (đơn giá thuộc JA khác)</t>
    </r>
  </si>
  <si>
    <r>
      <rPr>
        <b/>
        <sz val="10"/>
        <color rgb="FF000000"/>
        <rFont val="メイリオ"/>
        <charset val="134"/>
      </rPr>
      <t xml:space="preserve">ステップ1：
</t>
    </r>
    <r>
      <rPr>
        <sz val="10"/>
        <color rgb="FF000000"/>
        <rFont val="メイリオ"/>
        <charset val="134"/>
      </rPr>
      <t xml:space="preserve">Hiển thị giá trị đã chọn, được tiếp nhận bình thường khi đăng ký
</t>
    </r>
    <r>
      <rPr>
        <b/>
        <sz val="10"/>
        <color rgb="FF000000"/>
        <rFont val="メイリオ"/>
        <charset val="134"/>
      </rPr>
      <t xml:space="preserve">ステップ2：
</t>
    </r>
    <r>
      <rPr>
        <sz val="10"/>
        <color rgb="FF000000"/>
        <rFont val="メイリオ"/>
        <charset val="134"/>
      </rPr>
      <t xml:space="preserve">Trả về HTTP 403 (`error_code: DATA_SCOPE_VIOLATION`, message `このデータへのアクセス権限がありません。`)
</t>
    </r>
    <r>
      <rPr>
        <b/>
        <sz val="10"/>
        <color rgb="FF000000"/>
        <rFont val="メイリオ"/>
        <charset val="134"/>
      </rPr>
      <t xml:space="preserve">補足：
</t>
    </r>
    <r>
      <rPr>
        <sz val="10"/>
        <color rgb="FF000000"/>
        <rFont val="メイリオ"/>
        <charset val="134"/>
      </rPr>
      <t>・Layer 4 FK scope guard (`fetchFkInJa`) block tham chiếu đơn giá của JA khác</t>
    </r>
  </si>
  <si>
    <t>ACSMS-TC-017-033</t>
  </si>
  <si>
    <t>Check khoảng giá trị số `haitatsuryo_shiharai_cycle`</t>
  </si>
  <si>
    <r>
      <rPr>
        <b/>
        <sz val="10"/>
        <color rgb="FF000000"/>
        <rFont val="游ゴシック"/>
        <charset val="134"/>
      </rPr>
      <t xml:space="preserve">ステップ1：
</t>
    </r>
    <r>
      <rPr>
        <sz val="10"/>
        <color rgb="FF000000"/>
        <rFont val="游ゴシック"/>
        <charset val="134"/>
      </rPr>
      <t>Nhập `1` vào trường 配達料支払サイクル, click button đăng ký</t>
    </r>
  </si>
  <si>
    <r>
      <rPr>
        <b/>
        <sz val="10"/>
        <color rgb="FF000000"/>
        <rFont val="游ゴシック"/>
        <charset val="134"/>
      </rPr>
      <t xml:space="preserve">ステップ1：
</t>
    </r>
    <r>
      <rPr>
        <sz val="10"/>
        <color rgb="FF000000"/>
        <rFont val="游ゴシック"/>
        <charset val="134"/>
      </rPr>
      <t xml:space="preserve">Được tiếp nhận bình thường, trả về HTTP 201
</t>
    </r>
    <r>
      <rPr>
        <b/>
        <sz val="10"/>
        <color rgb="FF000000"/>
        <rFont val="游ゴシック"/>
        <charset val="134"/>
      </rPr>
      <t xml:space="preserve">補足：
</t>
    </r>
    <r>
      <rPr>
        <sz val="10"/>
        <color rgb="FF000000"/>
        <rFont val="游ゴシック"/>
        <charset val="134"/>
      </rPr>
      <t>・Sycle thanh toán tính theo tháng, ≥ 1</t>
    </r>
  </si>
  <si>
    <t>ACSMS-TC-017-034</t>
  </si>
  <si>
    <t>Check giá trị mã master `tesuryo_kubun`</t>
  </si>
  <si>
    <r>
      <rPr>
        <b/>
        <sz val="10"/>
        <color rgb="FF000000"/>
        <rFont val="游ゴシック"/>
        <charset val="134"/>
      </rPr>
      <t xml:space="preserve">ステップ1：
</t>
    </r>
    <r>
      <rPr>
        <sz val="10"/>
        <color rgb="FF000000"/>
        <rFont val="游ゴシック"/>
        <charset val="134"/>
      </rPr>
      <t xml:space="preserve">Kiểm tra danh sách lựa chọn của radio 振込手数料負担区分
</t>
    </r>
    <r>
      <rPr>
        <b/>
        <sz val="10"/>
        <color rgb="FF000000"/>
        <rFont val="游ゴシック"/>
        <charset val="134"/>
      </rPr>
      <t xml:space="preserve">ステップ2：
</t>
    </r>
    <r>
      <rPr>
        <sz val="10"/>
        <color rgb="FF000000"/>
        <rFont val="游ゴシック"/>
        <charset val="134"/>
      </rPr>
      <t>Dùng DevTools gửi trực tiếp `tesuryo_kubun: 99`</t>
    </r>
  </si>
  <si>
    <r>
      <rPr>
        <b/>
        <sz val="10"/>
        <color rgb="FF000000"/>
        <rFont val="游ゴシック"/>
        <charset val="134"/>
      </rPr>
      <t xml:space="preserve">ステップ1：
</t>
    </r>
    <r>
      <rPr>
        <sz val="10"/>
        <color rgb="FF000000"/>
        <rFont val="游ゴシック"/>
        <charset val="134"/>
      </rPr>
      <t xml:space="preserve">Chỉ hiển thị các giá trị 1=JA, 2=販売店
</t>
    </r>
    <r>
      <rPr>
        <b/>
        <sz val="10"/>
        <color rgb="FF000000"/>
        <rFont val="游ゴシック"/>
        <charset val="134"/>
      </rPr>
      <t xml:space="preserve">ステップ2：
</t>
    </r>
    <r>
      <rPr>
        <sz val="10"/>
        <color rgb="FF000000"/>
        <rFont val="游ゴシック"/>
        <charset val="134"/>
      </rPr>
      <t xml:space="preserve">Trả về HTTP 400 (`error_code: VALIDATION_ERROR`)
</t>
    </r>
    <r>
      <rPr>
        <b/>
        <sz val="10"/>
        <color rgb="FF000000"/>
        <rFont val="游ゴシック"/>
        <charset val="134"/>
      </rPr>
      <t xml:space="preserve">補足：
</t>
    </r>
    <r>
      <rPr>
        <sz val="10"/>
        <color rgb="FF000000"/>
        <rFont val="游ゴシック"/>
        <charset val="134"/>
      </rPr>
      <t>・(なし)</t>
    </r>
  </si>
  <si>
    <t>ACSMS-TC-017-035</t>
  </si>
  <si>
    <t>Check khoảng giá trị số `tesuryo_amount` (số âm NG)</t>
  </si>
  <si>
    <r>
      <rPr>
        <b/>
        <strike/>
        <sz val="10"/>
        <color rgb="FF000000"/>
        <rFont val="游ゴシック"/>
        <charset val="134"/>
      </rPr>
      <t xml:space="preserve">ステップ1：
</t>
    </r>
    <r>
      <rPr>
        <strike/>
        <sz val="10"/>
        <color rgb="FF000000"/>
        <rFont val="游ゴシック"/>
        <charset val="134"/>
      </rPr>
      <t xml:space="preserve">Nhập `-100` vào trường 手数料金額, click button đăng ký
</t>
    </r>
    <r>
      <rPr>
        <b/>
        <strike/>
        <sz val="10"/>
        <color rgb="FF000000"/>
        <rFont val="游ゴシック"/>
        <charset val="134"/>
      </rPr>
      <t xml:space="preserve">ステップ2：
</t>
    </r>
    <r>
      <rPr>
        <strike/>
        <sz val="10"/>
        <color rgb="FF000000"/>
        <rFont val="游ゴシック"/>
        <charset val="134"/>
      </rPr>
      <t>Nhập `0` vào trường 手数料金額, click button đăng ký</t>
    </r>
  </si>
  <si>
    <r>
      <rPr>
        <b/>
        <strike/>
        <sz val="10"/>
        <color rgb="FF000000"/>
        <rFont val="メイリオ"/>
        <charset val="134"/>
      </rPr>
      <t xml:space="preserve">ステップ1：
</t>
    </r>
    <r>
      <rPr>
        <strike/>
        <sz val="10"/>
        <color rgb="FF000000"/>
        <rFont val="メイリオ"/>
        <charset val="134"/>
      </rPr>
      <t xml:space="preserve">Hiển thị lỗi format (số nguyên ≥ 0)
</t>
    </r>
    <r>
      <rPr>
        <b/>
        <strike/>
        <sz val="10"/>
        <color rgb="FF000000"/>
        <rFont val="メイリオ"/>
        <charset val="134"/>
      </rPr>
      <t xml:space="preserve">ステップ2：
</t>
    </r>
    <r>
      <rPr>
        <strike/>
        <sz val="10"/>
        <color rgb="FF000000"/>
        <rFont val="メイリオ"/>
        <charset val="134"/>
      </rPr>
      <t xml:space="preserve">Được tiếp nhận bình thường (0 円 là giá trị hợp lệ biểu thị miễn phí)
</t>
    </r>
    <r>
      <rPr>
        <b/>
        <strike/>
        <sz val="10"/>
        <color rgb="FF000000"/>
        <rFont val="メイリオ"/>
        <charset val="134"/>
      </rPr>
      <t xml:space="preserve">補足：
</t>
    </r>
    <r>
      <rPr>
        <strike/>
        <sz val="10"/>
        <color rgb="FF000000"/>
        <rFont val="メイリオ"/>
        <charset val="134"/>
      </rPr>
      <t>・(なし)</t>
    </r>
  </si>
  <si>
    <t>ACSMS-TC-017-036</t>
  </si>
  <si>
    <t>Check required `bank_code` khi `itaku_kubun`=1 (振込)</t>
  </si>
  <si>
    <r>
      <rPr>
        <b/>
        <sz val="10"/>
        <color rgb="FF000000"/>
        <rFont val="游ゴシック"/>
        <charset val="134"/>
      </rPr>
      <t xml:space="preserve">ステップ1：
</t>
    </r>
    <r>
      <rPr>
        <sz val="10"/>
        <color rgb="FF000000"/>
        <rFont val="游ゴシック"/>
        <charset val="134"/>
      </rPr>
      <t xml:space="preserve">Chọn "1: 振込" tại trường 委託区分
</t>
    </r>
    <r>
      <rPr>
        <b/>
        <sz val="10"/>
        <color rgb="FF000000"/>
        <rFont val="游ゴシック"/>
        <charset val="134"/>
      </rPr>
      <t xml:space="preserve">ステップ2：
</t>
    </r>
    <r>
      <rPr>
        <sz val="10"/>
        <color rgb="FF000000"/>
        <rFont val="游ゴシック"/>
        <charset val="134"/>
      </rPr>
      <t>Để trống trường 金融機関コード, nhập các trường required khác, click button đăng ký</t>
    </r>
  </si>
  <si>
    <r>
      <rPr>
        <b/>
        <sz val="10"/>
        <color rgb="FF000000"/>
        <rFont val="游ゴシック"/>
        <charset val="134"/>
      </rPr>
      <t xml:space="preserve">ステップ1：
</t>
    </r>
    <r>
      <rPr>
        <sz val="10"/>
        <color rgb="FF000000"/>
        <rFont val="游ゴシック"/>
        <charset val="134"/>
      </rPr>
      <t xml:space="preserve">Tất cả mục thuộc section thông tin ngân hàng (`bank_code`, `bank_name`, `bank_branch_code`, `bank_branch_name`, `yokin_shubetsu`, `koza_no`, `koza_meigi`) trở thành required, marker required `*` được hiển thị
</t>
    </r>
    <r>
      <rPr>
        <b/>
        <sz val="10"/>
        <color rgb="FF000000"/>
        <rFont val="游ゴシック"/>
        <charset val="134"/>
      </rPr>
      <t xml:space="preserve">ステップ2：
</t>
    </r>
    <r>
      <rPr>
        <sz val="10"/>
        <color rgb="FF000000"/>
        <rFont val="游ゴシック"/>
        <charset val="134"/>
      </rPr>
      <t xml:space="preserve">Hiển thị `必須項目です。` dưới trường 金融機関コード, POST không được gọi
</t>
    </r>
    <r>
      <rPr>
        <b/>
        <sz val="10"/>
        <color rgb="FF000000"/>
        <rFont val="游ゴシック"/>
        <charset val="134"/>
      </rPr>
      <t xml:space="preserve">補足：
</t>
    </r>
    <r>
      <rPr>
        <sz val="10"/>
        <color rgb="FF000000"/>
        <rFont val="游ゴシック"/>
        <charset val="134"/>
      </rPr>
      <t>・Required có điều kiện chỉ kích hoạt khi `itaku_kubun`=1</t>
    </r>
  </si>
  <si>
    <t>ACSMS-TC-017-037</t>
  </si>
  <si>
    <t>Check format `bank_code` (4 ký tự số half-width) khi `itaku_kubun`=1</t>
  </si>
  <si>
    <r>
      <rPr>
        <b/>
        <sz val="10"/>
        <color rgb="FF000000"/>
        <rFont val="游ゴシック"/>
        <charset val="134"/>
      </rPr>
      <t xml:space="preserve">ステップ1：
</t>
    </r>
    <r>
      <rPr>
        <sz val="10"/>
        <color rgb="FF000000"/>
        <rFont val="游ゴシック"/>
        <charset val="134"/>
      </rPr>
      <t>Nhập `0001` vào trường 金融機関コード, click button đăng ký</t>
    </r>
  </si>
  <si>
    <r>
      <rPr>
        <b/>
        <sz val="10"/>
        <color rgb="FF000000"/>
        <rFont val="游ゴシック"/>
        <charset val="134"/>
      </rPr>
      <t xml:space="preserve">ステップ1：
</t>
    </r>
    <r>
      <rPr>
        <sz val="10"/>
        <color rgb="FF000000"/>
        <rFont val="游ゴシック"/>
        <charset val="134"/>
      </rPr>
      <t xml:space="preserve">Không hiển thị lỗi format, được tiếp nhận bình thường
</t>
    </r>
    <r>
      <rPr>
        <b/>
        <sz val="10"/>
        <color rgb="FF000000"/>
        <rFont val="游ゴシック"/>
        <charset val="134"/>
      </rPr>
      <t xml:space="preserve">補足：
</t>
    </r>
    <r>
      <rPr>
        <sz val="10"/>
        <color rgb="FF000000"/>
        <rFont val="游ゴシック"/>
        <charset val="134"/>
      </rPr>
      <t>・(なし)</t>
    </r>
  </si>
  <si>
    <t>ACSMS-TC-017-038</t>
  </si>
  <si>
    <t>Check format `bank_branch_code` (3 ký tự số half-width) khi `itaku_kubun`=1</t>
  </si>
  <si>
    <r>
      <rPr>
        <b/>
        <sz val="10"/>
        <color rgb="FF000000"/>
        <rFont val="游ゴシック"/>
        <charset val="134"/>
      </rPr>
      <t xml:space="preserve">ステップ1：
</t>
    </r>
    <r>
      <rPr>
        <sz val="10"/>
        <color rgb="FF000000"/>
        <rFont val="游ゴシック"/>
        <charset val="134"/>
      </rPr>
      <t>Nhập `123` vào trường 口座支店コード, click button đăng ký</t>
    </r>
  </si>
  <si>
    <t>ACSMS-TC-017-039</t>
  </si>
  <si>
    <t>Check required・số ký tự `bank_name` khi `itaku_kubun`=1</t>
  </si>
  <si>
    <r>
      <rPr>
        <b/>
        <sz val="10"/>
        <color rgb="FF000000"/>
        <rFont val="游ゴシック"/>
        <charset val="134"/>
      </rPr>
      <t xml:space="preserve">ステップ1：
</t>
    </r>
    <r>
      <rPr>
        <sz val="10"/>
        <color rgb="FF000000"/>
        <rFont val="游ゴシック"/>
        <charset val="134"/>
      </rPr>
      <t xml:space="preserve">Chọn `itaku_kubun`=1, để trống trường 金融機関名, click button đăng ký
</t>
    </r>
    <r>
      <rPr>
        <b/>
        <sz val="10"/>
        <color rgb="FF000000"/>
        <rFont val="游ゴシック"/>
        <charset val="134"/>
      </rPr>
      <t xml:space="preserve">ステップ2：
</t>
    </r>
    <r>
      <rPr>
        <sz val="10"/>
        <color rgb="FF000000"/>
        <rFont val="游ゴシック"/>
        <charset val="134"/>
      </rPr>
      <t xml:space="preserve">Nhập 100 ký tự vào trường 金融機関名, click button đăng ký
</t>
    </r>
    <r>
      <rPr>
        <b/>
        <sz val="10"/>
        <color rgb="FF000000"/>
        <rFont val="游ゴシック"/>
        <charset val="134"/>
      </rPr>
      <t xml:space="preserve">ステップ3：
</t>
    </r>
    <r>
      <rPr>
        <sz val="10"/>
        <color rgb="FF000000"/>
        <rFont val="游ゴシック"/>
        <charset val="134"/>
      </rPr>
      <t>Thử nhập 101 ký tự</t>
    </r>
  </si>
  <si>
    <r>
      <rPr>
        <b/>
        <sz val="10"/>
        <color rgb="FF000000"/>
        <rFont val="游ゴシック"/>
        <charset val="134"/>
      </rPr>
      <t xml:space="preserve">ステップ1：
</t>
    </r>
    <r>
      <rPr>
        <sz val="10"/>
        <color rgb="FF000000"/>
        <rFont val="游ゴシック"/>
        <charset val="134"/>
      </rPr>
      <t xml:space="preserve">Hiển thị `必須項目です。` dưới trường 金融機関名
</t>
    </r>
    <r>
      <rPr>
        <b/>
        <sz val="10"/>
        <color rgb="FF000000"/>
        <rFont val="游ゴシック"/>
        <charset val="134"/>
      </rPr>
      <t xml:space="preserve">ステップ2：
</t>
    </r>
    <r>
      <rPr>
        <sz val="10"/>
        <color rgb="FF000000"/>
        <rFont val="游ゴシック"/>
        <charset val="134"/>
      </rPr>
      <t xml:space="preserve">Đến 100 ký tự được tiếp nhận
</t>
    </r>
    <r>
      <rPr>
        <b/>
        <sz val="10"/>
        <color rgb="FF000000"/>
        <rFont val="游ゴシック"/>
        <charset val="134"/>
      </rPr>
      <t xml:space="preserve">ステップ3：
</t>
    </r>
    <r>
      <rPr>
        <sz val="10"/>
        <color rgb="FF000000"/>
        <rFont val="游ゴシック"/>
        <charset val="134"/>
      </rPr>
      <t xml:space="preserve">Do maxlength nên không thể nhập ký tự từ thứ 101 trở đi
</t>
    </r>
    <r>
      <rPr>
        <b/>
        <sz val="10"/>
        <color rgb="FF000000"/>
        <rFont val="游ゴシック"/>
        <charset val="134"/>
      </rPr>
      <t xml:space="preserve">補足：
</t>
    </r>
    <r>
      <rPr>
        <sz val="10"/>
        <color rgb="FF000000"/>
        <rFont val="游ゴシック"/>
        <charset val="134"/>
      </rPr>
      <t>・(なし)</t>
    </r>
  </si>
  <si>
    <t>ACSMS-TC-017-040</t>
  </si>
  <si>
    <t>Check required・số ký tự `bank_branch_name` khi `itaku_kubun`=1</t>
  </si>
  <si>
    <r>
      <rPr>
        <b/>
        <sz val="10"/>
        <color rgb="FF000000"/>
        <rFont val="游ゴシック"/>
        <charset val="134"/>
      </rPr>
      <t xml:space="preserve">ステップ1：
</t>
    </r>
    <r>
      <rPr>
        <sz val="10"/>
        <color rgb="FF000000"/>
        <rFont val="游ゴシック"/>
        <charset val="134"/>
      </rPr>
      <t xml:space="preserve">Chọn `itaku_kubun`=1, để trống trường 口座支店名, click button đăng ký
</t>
    </r>
    <r>
      <rPr>
        <b/>
        <sz val="10"/>
        <color rgb="FF000000"/>
        <rFont val="游ゴシック"/>
        <charset val="134"/>
      </rPr>
      <t xml:space="preserve">ステップ2：
</t>
    </r>
    <r>
      <rPr>
        <sz val="10"/>
        <color rgb="FF000000"/>
        <rFont val="游ゴシック"/>
        <charset val="134"/>
      </rPr>
      <t xml:space="preserve">Nhập 100 ký tự vào trường 口座支店名
</t>
    </r>
    <r>
      <rPr>
        <b/>
        <sz val="10"/>
        <color rgb="FF000000"/>
        <rFont val="游ゴシック"/>
        <charset val="134"/>
      </rPr>
      <t xml:space="preserve">ステップ3：
</t>
    </r>
    <r>
      <rPr>
        <sz val="10"/>
        <color rgb="FF000000"/>
        <rFont val="游ゴシック"/>
        <charset val="134"/>
      </rPr>
      <t>Thử nhập 101 ký tự</t>
    </r>
  </si>
  <si>
    <r>
      <rPr>
        <b/>
        <sz val="10"/>
        <color rgb="FF000000"/>
        <rFont val="游ゴシック"/>
        <charset val="134"/>
      </rPr>
      <t xml:space="preserve">ステップ1：
</t>
    </r>
    <r>
      <rPr>
        <sz val="10"/>
        <color rgb="FF000000"/>
        <rFont val="游ゴシック"/>
        <charset val="134"/>
      </rPr>
      <t xml:space="preserve">Hiển thị `必須項目です。` dưới trường 口座支店名
</t>
    </r>
    <r>
      <rPr>
        <b/>
        <sz val="10"/>
        <color rgb="FF000000"/>
        <rFont val="游ゴシック"/>
        <charset val="134"/>
      </rPr>
      <t xml:space="preserve">ステップ2：
</t>
    </r>
    <r>
      <rPr>
        <sz val="10"/>
        <color rgb="FF000000"/>
        <rFont val="游ゴシック"/>
        <charset val="134"/>
      </rPr>
      <t xml:space="preserve">Đến 100 ký tự có thể nhập, được tiếp nhận bình thường
</t>
    </r>
    <r>
      <rPr>
        <b/>
        <sz val="10"/>
        <color rgb="FF000000"/>
        <rFont val="游ゴシック"/>
        <charset val="134"/>
      </rPr>
      <t xml:space="preserve">ステップ3：
</t>
    </r>
    <r>
      <rPr>
        <sz val="10"/>
        <color rgb="FF000000"/>
        <rFont val="游ゴシック"/>
        <charset val="134"/>
      </rPr>
      <t xml:space="preserve">Do maxlength nên không thể nhập ký tự từ thứ 101 trở đi
</t>
    </r>
    <r>
      <rPr>
        <b/>
        <sz val="10"/>
        <color rgb="FF000000"/>
        <rFont val="游ゴシック"/>
        <charset val="134"/>
      </rPr>
      <t xml:space="preserve">補足：
</t>
    </r>
    <r>
      <rPr>
        <sz val="10"/>
        <color rgb="FF000000"/>
        <rFont val="游ゴシック"/>
        <charset val="134"/>
      </rPr>
      <t>・(なし)</t>
    </r>
  </si>
  <si>
    <t>ACSMS-TC-017-041</t>
  </si>
  <si>
    <t>Check giá trị mã master `yokin_shubetsu` khi `itaku_kubun`=1</t>
  </si>
  <si>
    <r>
      <rPr>
        <b/>
        <sz val="10"/>
        <color rgb="FF000000"/>
        <rFont val="游ゴシック"/>
        <charset val="134"/>
      </rPr>
      <t xml:space="preserve">ステップ1：
</t>
    </r>
    <r>
      <rPr>
        <sz val="10"/>
        <color rgb="FF000000"/>
        <rFont val="游ゴシック"/>
        <charset val="134"/>
      </rPr>
      <t xml:space="preserve">Chọn `itaku_kubun`=1, kiểm tra dropdown 口座種別
</t>
    </r>
    <r>
      <rPr>
        <b/>
        <sz val="10"/>
        <color rgb="FF000000"/>
        <rFont val="游ゴシック"/>
        <charset val="134"/>
      </rPr>
      <t xml:space="preserve">ステップ2：
</t>
    </r>
    <r>
      <rPr>
        <sz val="10"/>
        <color rgb="FF000000"/>
        <rFont val="游ゴシック"/>
        <charset val="134"/>
      </rPr>
      <t>Dùng DevTools gửi trực tiếp `yokin_shubetsu: 99`</t>
    </r>
  </si>
  <si>
    <r>
      <rPr>
        <b/>
        <sz val="10"/>
        <color rgb="FF000000"/>
        <rFont val="游ゴシック"/>
        <charset val="134"/>
      </rPr>
      <t xml:space="preserve">ステップ1：
</t>
    </r>
    <r>
      <rPr>
        <sz val="10"/>
        <color rgb="FF000000"/>
        <rFont val="游ゴシック"/>
        <charset val="134"/>
      </rPr>
      <t xml:space="preserve">Chỉ hiển thị các giá trị thuộc category m_code `YOKIN_SHUBETSU` (1: 普通, 2: 当座) làm lựa chọn
</t>
    </r>
    <r>
      <rPr>
        <b/>
        <sz val="10"/>
        <color rgb="FF000000"/>
        <rFont val="游ゴシック"/>
        <charset val="134"/>
      </rPr>
      <t xml:space="preserve">ステップ2：
</t>
    </r>
    <r>
      <rPr>
        <sz val="10"/>
        <color rgb="FF000000"/>
        <rFont val="游ゴシック"/>
        <charset val="134"/>
      </rPr>
      <t xml:space="preserve">Trả về HTTP 400 (`error_code: VALIDATION_ERROR`)
</t>
    </r>
    <r>
      <rPr>
        <b/>
        <sz val="10"/>
        <color rgb="FF000000"/>
        <rFont val="游ゴシック"/>
        <charset val="134"/>
      </rPr>
      <t xml:space="preserve">補足：
</t>
    </r>
    <r>
      <rPr>
        <sz val="10"/>
        <color rgb="FF000000"/>
        <rFont val="游ゴシック"/>
        <charset val="134"/>
      </rPr>
      <t>・(なし)</t>
    </r>
  </si>
  <si>
    <t>ACSMS-TC-017-042</t>
  </si>
  <si>
    <t>Check format `koza_no` (chữ số half-width tối đa 10 ký tự) khi `itaku_kubun`=1</t>
  </si>
  <si>
    <r>
      <rPr>
        <b/>
        <sz val="10"/>
        <color rgb="FF000000"/>
        <rFont val="游ゴシック"/>
        <charset val="134"/>
      </rPr>
      <t xml:space="preserve">ステップ1：
</t>
    </r>
    <r>
      <rPr>
        <sz val="10"/>
        <color rgb="FF000000"/>
        <rFont val="游ゴシック"/>
        <charset val="134"/>
      </rPr>
      <t xml:space="preserve">Chọn `itaku_kubun`=1, nhập `1234567A` (có lẫn chữ cái) vào trường 口座番号, click button đăng ký
</t>
    </r>
    <r>
      <rPr>
        <b/>
        <sz val="10"/>
        <color rgb="FF000000"/>
        <rFont val="游ゴシック"/>
        <charset val="134"/>
      </rPr>
      <t xml:space="preserve">ステップ2：
</t>
    </r>
    <r>
      <rPr>
        <sz val="10"/>
        <color rgb="FF000000"/>
        <rFont val="游ゴシック"/>
        <charset val="134"/>
      </rPr>
      <t xml:space="preserve">Nhập 10 ký tự số half-width `1234567890` vào trường 口座番号, click button đăng ký
</t>
    </r>
    <r>
      <rPr>
        <b/>
        <sz val="10"/>
        <color rgb="FF000000"/>
        <rFont val="游ゴシック"/>
        <charset val="134"/>
      </rPr>
      <t xml:space="preserve">ステップ3：
</t>
    </r>
    <r>
      <rPr>
        <sz val="10"/>
        <color rgb="FF000000"/>
        <rFont val="游ゴシック"/>
        <charset val="134"/>
      </rPr>
      <t>Thử nhập 11 ký tự</t>
    </r>
  </si>
  <si>
    <r>
      <rPr>
        <b/>
        <sz val="10"/>
        <color rgb="FF000000"/>
        <rFont val="メイリオ"/>
        <charset val="134"/>
      </rPr>
      <t xml:space="preserve">ステップ1：
</t>
    </r>
    <r>
      <rPr>
        <sz val="10"/>
        <color rgb="FF000000"/>
        <rFont val="メイリオ"/>
        <charset val="134"/>
      </rPr>
      <t xml:space="preserve">Hiển thị lỗi format dưới trường 口座番号
</t>
    </r>
    <r>
      <rPr>
        <b/>
        <sz val="10"/>
        <color rgb="FF000000"/>
        <rFont val="メイリオ"/>
        <charset val="134"/>
      </rPr>
      <t xml:space="preserve">ステップ2：
</t>
    </r>
    <r>
      <rPr>
        <sz val="10"/>
        <color rgb="FF000000"/>
        <rFont val="メイリオ"/>
        <charset val="134"/>
      </rPr>
      <t xml:space="preserve">Được tiếp nhận bình thường
</t>
    </r>
    <r>
      <rPr>
        <b/>
        <sz val="10"/>
        <color rgb="FF000000"/>
        <rFont val="メイリオ"/>
        <charset val="134"/>
      </rPr>
      <t xml:space="preserve">ステップ3：
</t>
    </r>
    <r>
      <rPr>
        <sz val="10"/>
        <color rgb="FF000000"/>
        <rFont val="メイリオ"/>
        <charset val="134"/>
      </rPr>
      <t xml:space="preserve">Do maxlength nên không thể nhập ký tự từ thứ 11 trở đi
</t>
    </r>
    <r>
      <rPr>
        <b/>
        <sz val="10"/>
        <color rgb="FF000000"/>
        <rFont val="メイリオ"/>
        <charset val="134"/>
      </rPr>
      <t xml:space="preserve">補足：
</t>
    </r>
    <r>
      <rPr>
        <sz val="10"/>
        <color rgb="FF000000"/>
        <rFont val="メイリオ"/>
        <charset val="134"/>
      </rPr>
      <t>・(なし)</t>
    </r>
  </si>
  <si>
    <t>ACSMS-TC-017-043</t>
  </si>
  <si>
    <t>Check required・số ký tự `koza_meigi` khi `itaku_kubun`=1</t>
  </si>
  <si>
    <r>
      <rPr>
        <b/>
        <sz val="10"/>
        <color rgb="FF000000"/>
        <rFont val="メイリオ"/>
        <charset val="134"/>
      </rPr>
      <t xml:space="preserve">ステップ1：
</t>
    </r>
    <r>
      <rPr>
        <sz val="10"/>
        <color rgb="FF000000"/>
        <rFont val="メイリオ"/>
        <charset val="134"/>
      </rPr>
      <t xml:space="preserve">Chọn `itaku_kubun`=1, để trống trường 口座名義, click button đăng ký
</t>
    </r>
    <r>
      <rPr>
        <b/>
        <sz val="10"/>
        <color rgb="FF000000"/>
        <rFont val="メイリオ"/>
        <charset val="134"/>
      </rPr>
      <t xml:space="preserve">ステップ2：
</t>
    </r>
    <r>
      <rPr>
        <sz val="10"/>
        <color rgb="FF000000"/>
        <rFont val="メイリオ"/>
        <charset val="134"/>
      </rPr>
      <t xml:space="preserve">Nhập 50 ký tự vào trường 口座名義
</t>
    </r>
    <r>
      <rPr>
        <b/>
        <sz val="10"/>
        <color rgb="FF000000"/>
        <rFont val="メイリオ"/>
        <charset val="134"/>
      </rPr>
      <t xml:space="preserve">ステップ3：
</t>
    </r>
    <r>
      <rPr>
        <sz val="10"/>
        <color rgb="FF000000"/>
        <rFont val="メイリオ"/>
        <charset val="134"/>
      </rPr>
      <t>Thử nhập 51 ký tự</t>
    </r>
  </si>
  <si>
    <r>
      <rPr>
        <b/>
        <sz val="10"/>
        <color rgb="FF000000"/>
        <rFont val="メイリオ"/>
        <charset val="134"/>
      </rPr>
      <t xml:space="preserve">ステップ1：
</t>
    </r>
    <r>
      <rPr>
        <sz val="10"/>
        <color rgb="FF000000"/>
        <rFont val="メイリオ"/>
        <charset val="134"/>
      </rPr>
      <t xml:space="preserve">Hiển thị `必須項目です。` dưới trường 口座名義
</t>
    </r>
    <r>
      <rPr>
        <b/>
        <sz val="10"/>
        <color rgb="FF000000"/>
        <rFont val="メイリオ"/>
        <charset val="134"/>
      </rPr>
      <t xml:space="preserve">ステップ2：
</t>
    </r>
    <r>
      <rPr>
        <sz val="10"/>
        <color rgb="FF000000"/>
        <rFont val="メイリオ"/>
        <charset val="134"/>
      </rPr>
      <t xml:space="preserve">Đến 50 ký tự có thể nhập, được tiếp nhận bình thường
</t>
    </r>
    <r>
      <rPr>
        <b/>
        <sz val="10"/>
        <color rgb="FF000000"/>
        <rFont val="メイリオ"/>
        <charset val="134"/>
      </rPr>
      <t xml:space="preserve">ステップ3：
</t>
    </r>
    <r>
      <rPr>
        <sz val="10"/>
        <color rgb="FF000000"/>
        <rFont val="メイリオ"/>
        <charset val="134"/>
      </rPr>
      <t xml:space="preserve">Do maxlength nên không thể nhập ký tự từ thứ 51 trở đi
</t>
    </r>
    <r>
      <rPr>
        <b/>
        <sz val="10"/>
        <color rgb="FF000000"/>
        <rFont val="メイリオ"/>
        <charset val="134"/>
      </rPr>
      <t xml:space="preserve">補足：
</t>
    </r>
    <r>
      <rPr>
        <sz val="10"/>
        <color rgb="FF000000"/>
        <rFont val="メイリオ"/>
        <charset val="134"/>
      </rPr>
      <t>・(なし)</t>
    </r>
  </si>
  <si>
    <t>ACSMS-TC-017-044</t>
  </si>
  <si>
    <t>Các mục ngân hàng trở thành tùy chọn khi `itaku_kubun`=2 (日農委託)</t>
  </si>
  <si>
    <r>
      <rPr>
        <b/>
        <sz val="10"/>
        <color rgb="FF000000"/>
        <rFont val="メイリオ"/>
        <charset val="134"/>
      </rPr>
      <t xml:space="preserve">ステップ1：
</t>
    </r>
    <r>
      <rPr>
        <sz val="10"/>
        <color rgb="FF000000"/>
        <rFont val="メイリオ"/>
        <charset val="134"/>
      </rPr>
      <t xml:space="preserve">Chọn "2: 日農委託" tại trường 委託区分
</t>
    </r>
    <r>
      <rPr>
        <b/>
        <sz val="10"/>
        <color rgb="FF000000"/>
        <rFont val="メイリオ"/>
        <charset val="134"/>
      </rPr>
      <t xml:space="preserve">ステップ2：
</t>
    </r>
    <r>
      <rPr>
        <sz val="10"/>
        <color rgb="FF000000"/>
        <rFont val="メイリオ"/>
        <charset val="134"/>
      </rPr>
      <t>Để trống toàn bộ các mục ngân hàng, nhập các trường required khác, click button đăng ký</t>
    </r>
  </si>
  <si>
    <r>
      <rPr>
        <b/>
        <sz val="10"/>
        <color rgb="FF000000"/>
        <rFont val="メイリオ"/>
        <charset val="134"/>
      </rPr>
      <t xml:space="preserve">ステップ1：
</t>
    </r>
    <r>
      <rPr>
        <sz val="10"/>
        <color rgb="FF000000"/>
        <rFont val="メイリオ"/>
        <charset val="134"/>
      </rPr>
      <t xml:space="preserve">Marker required `*` biến mất khỏi các mục ngân hàng
</t>
    </r>
    <r>
      <rPr>
        <b/>
        <sz val="10"/>
        <color rgb="FF000000"/>
        <rFont val="メイリオ"/>
        <charset val="134"/>
      </rPr>
      <t xml:space="preserve">ステップ2：
</t>
    </r>
    <r>
      <rPr>
        <sz val="10"/>
        <color rgb="FF000000"/>
        <rFont val="メイリオ"/>
        <charset val="134"/>
      </rPr>
      <t xml:space="preserve">Trả về HTTP 201, hiển thị toast `登録しました。`
</t>
    </r>
    <r>
      <rPr>
        <b/>
        <sz val="10"/>
        <color rgb="FF000000"/>
        <rFont val="メイリオ"/>
        <charset val="134"/>
      </rPr>
      <t xml:space="preserve">補足：
</t>
    </r>
    <r>
      <rPr>
        <sz val="10"/>
        <color rgb="FF000000"/>
        <rFont val="メイリオ"/>
        <charset val="134"/>
      </rPr>
      <t>・Với `itaku_kubun`=2/9 thì thông tin ngân hàng là tùy chọn</t>
    </r>
  </si>
  <si>
    <t>ACSMS-TC-017-045</t>
  </si>
  <si>
    <t>Các mục ngân hàng trở thành tùy chọn khi `itaku_kubun`=9 (その他)</t>
  </si>
  <si>
    <r>
      <rPr>
        <b/>
        <sz val="10"/>
        <color rgb="FF000000"/>
        <rFont val="游ゴシック"/>
        <charset val="134"/>
      </rPr>
      <t xml:space="preserve">ステップ1：
</t>
    </r>
    <r>
      <rPr>
        <sz val="10"/>
        <color rgb="FF000000"/>
        <rFont val="游ゴシック"/>
        <charset val="134"/>
      </rPr>
      <t xml:space="preserve">Chọn "9: その他" tại trường 委託区分
</t>
    </r>
    <r>
      <rPr>
        <b/>
        <sz val="10"/>
        <color rgb="FF000000"/>
        <rFont val="游ゴシック"/>
        <charset val="134"/>
      </rPr>
      <t xml:space="preserve">ステップ2：
</t>
    </r>
    <r>
      <rPr>
        <sz val="10"/>
        <color rgb="FF000000"/>
        <rFont val="游ゴシック"/>
        <charset val="134"/>
      </rPr>
      <t>Để trống các mục ngân hàng, click button đăng ký</t>
    </r>
  </si>
  <si>
    <r>
      <rPr>
        <b/>
        <sz val="10"/>
        <color rgb="FF000000"/>
        <rFont val="メイリオ"/>
        <charset val="134"/>
      </rPr>
      <t xml:space="preserve">ステップ1：
</t>
    </r>
    <r>
      <rPr>
        <sz val="10"/>
        <color rgb="FF000000"/>
        <rFont val="メイリオ"/>
        <charset val="134"/>
      </rPr>
      <t xml:space="preserve">Marker required `*` biến mất khỏi các mục ngân hàng
</t>
    </r>
    <r>
      <rPr>
        <b/>
        <sz val="10"/>
        <color rgb="FF000000"/>
        <rFont val="メイリオ"/>
        <charset val="134"/>
      </rPr>
      <t xml:space="preserve">ステップ2：
</t>
    </r>
    <r>
      <rPr>
        <sz val="10"/>
        <color rgb="FF000000"/>
        <rFont val="メイリオ"/>
        <charset val="134"/>
      </rPr>
      <t xml:space="preserve">Trả về HTTP 201
</t>
    </r>
    <r>
      <rPr>
        <b/>
        <sz val="10"/>
        <color rgb="FF000000"/>
        <rFont val="メイリオ"/>
        <charset val="134"/>
      </rPr>
      <t xml:space="preserve">補足：
</t>
    </r>
    <r>
      <rPr>
        <sz val="10"/>
        <color rgb="FF000000"/>
        <rFont val="メイリオ"/>
        <charset val="134"/>
      </rPr>
      <t>・(なし)</t>
    </r>
  </si>
  <si>
    <t>ACSMS-TC-017-046</t>
  </si>
  <si>
    <t>Giá trị mặc định và toggle của `haiten_flg`</t>
  </si>
  <si>
    <r>
      <rPr>
        <b/>
        <sz val="10"/>
        <color rgb="FF000000"/>
        <rFont val="游ゴシック"/>
        <charset val="134"/>
      </rPr>
      <t xml:space="preserve">ステップ1：
</t>
    </r>
    <r>
      <rPr>
        <sz val="10"/>
        <color rgb="FF000000"/>
        <rFont val="游ゴシック"/>
        <charset val="134"/>
      </rPr>
      <t xml:space="preserve">Truy cập URL `/hanbaiten/create`, kiểm tra trạng thái ban đầu của `haiten_flg`
</t>
    </r>
    <r>
      <rPr>
        <b/>
        <sz val="10"/>
        <color rgb="FF000000"/>
        <rFont val="游ゴシック"/>
        <charset val="134"/>
      </rPr>
      <t xml:space="preserve">ステップ2：
</t>
    </r>
    <r>
      <rPr>
        <sz val="10"/>
        <color rgb="FF000000"/>
        <rFont val="游ゴシック"/>
        <charset val="134"/>
      </rPr>
      <t>Bật `haiten_flg` ON rồi đăng ký</t>
    </r>
  </si>
  <si>
    <r>
      <rPr>
        <b/>
        <sz val="10"/>
        <color rgb="FF000000"/>
        <rFont val="游ゴシック"/>
        <charset val="134"/>
      </rPr>
      <t xml:space="preserve">ステップ1：
</t>
    </r>
    <r>
      <rPr>
        <sz val="10"/>
        <color rgb="FF000000"/>
        <rFont val="游ゴシック"/>
        <charset val="134"/>
      </rPr>
      <t xml:space="preserve">`haiten_flg` được hiển thị ở OFF (false)
</t>
    </r>
    <r>
      <rPr>
        <b/>
        <sz val="10"/>
        <color rgb="FF000000"/>
        <rFont val="游ゴシック"/>
        <charset val="134"/>
      </rPr>
      <t xml:space="preserve">ステップ2：
</t>
    </r>
    <r>
      <rPr>
        <sz val="10"/>
        <color rgb="FF000000"/>
        <rFont val="游ゴシック"/>
        <charset val="134"/>
      </rPr>
      <t xml:space="preserve">Trả về HTTP 201, được save vào `m_hanbaiten.haiten_flg = true`
</t>
    </r>
    <r>
      <rPr>
        <b/>
        <sz val="10"/>
        <color rgb="FF000000"/>
        <rFont val="游ゴシック"/>
        <charset val="134"/>
      </rPr>
      <t xml:space="preserve">補足：
</t>
    </r>
    <r>
      <rPr>
        <sz val="10"/>
        <color rgb="FF000000"/>
        <rFont val="游ゴシック"/>
        <charset val="134"/>
      </rPr>
      <t>・Mặc định là false (chưa 廃店)</t>
    </r>
  </si>
  <si>
    <t>ACSMS-TC-017-047</t>
  </si>
  <si>
    <t>Trường `biko` tùy chọn・nhập văn bản dài</t>
  </si>
  <si>
    <r>
      <rPr>
        <b/>
        <sz val="10"/>
        <color rgb="FF000000"/>
        <rFont val="メイリオ"/>
        <charset val="134"/>
      </rPr>
      <t xml:space="preserve">ステップ1：
</t>
    </r>
    <r>
      <rPr>
        <sz val="10"/>
        <color rgb="FF000000"/>
        <rFont val="メイリオ"/>
        <charset val="134"/>
      </rPr>
      <t xml:space="preserve">Đăng ký với trường 備考 trống
</t>
    </r>
    <r>
      <rPr>
        <b/>
        <sz val="10"/>
        <color rgb="FF000000"/>
        <rFont val="メイリオ"/>
        <charset val="134"/>
      </rPr>
      <t xml:space="preserve">ステップ2：
</t>
    </r>
    <r>
      <rPr>
        <sz val="10"/>
        <color rgb="FF000000"/>
        <rFont val="メイリオ"/>
        <charset val="134"/>
      </rPr>
      <t>Nhập 1000 ký tự vào trường 備考 rồi đăng ký</t>
    </r>
  </si>
  <si>
    <r>
      <rPr>
        <b/>
        <sz val="10"/>
        <color rgb="FF000000"/>
        <rFont val="メイリオ"/>
        <charset val="134"/>
      </rPr>
      <t xml:space="preserve">ステップ1：
</t>
    </r>
    <r>
      <rPr>
        <sz val="10"/>
        <color rgb="FF000000"/>
        <rFont val="メイリオ"/>
        <charset val="134"/>
      </rPr>
      <t xml:space="preserve">Trả về HTTP 201 (vì là trường tùy chọn nên trống cũng OK)
</t>
    </r>
    <r>
      <rPr>
        <b/>
        <sz val="10"/>
        <color rgb="FF000000"/>
        <rFont val="メイリオ"/>
        <charset val="134"/>
      </rPr>
      <t xml:space="preserve">ステップ2：
</t>
    </r>
    <r>
      <rPr>
        <sz val="10"/>
        <color rgb="FF000000"/>
        <rFont val="メイリオ"/>
        <charset val="134"/>
      </rPr>
      <t xml:space="preserve">Được tiếp nhận bình thường (備考 là kiểu TEXT, cho phép văn bản dài)
</t>
    </r>
    <r>
      <rPr>
        <b/>
        <sz val="10"/>
        <color rgb="FF000000"/>
        <rFont val="メイリオ"/>
        <charset val="134"/>
      </rPr>
      <t xml:space="preserve">補足：
</t>
    </r>
    <r>
      <rPr>
        <sz val="10"/>
        <color rgb="FF000000"/>
        <rFont val="メイリオ"/>
        <charset val="134"/>
      </rPr>
      <t>・`biko` không giới hạn số ký tự, cột TEXT</t>
    </r>
  </si>
  <si>
    <t>Logic nghiệp vụ — Đăng ký (Function — Create)</t>
  </si>
  <si>
    <t>ACSMS-TC-017-048</t>
  </si>
  <si>
    <t>Đăng ký bình thường với toàn bộ field (happy path)</t>
  </si>
  <si>
    <r>
      <rPr>
        <b/>
        <sz val="10"/>
        <color rgb="FF000000"/>
        <rFont val="游ゴシック"/>
        <charset val="134"/>
      </rPr>
      <t xml:space="preserve">ステップ1：
</t>
    </r>
    <r>
      <rPr>
        <sz val="10"/>
        <color rgb="FF000000"/>
        <rFont val="游ゴシック"/>
        <charset val="134"/>
      </rPr>
      <t xml:space="preserve">Truy cập URL `/hanbaiten/create`
</t>
    </r>
    <r>
      <rPr>
        <b/>
        <sz val="10"/>
        <color rgb="FF000000"/>
        <rFont val="游ゴシック"/>
        <charset val="134"/>
      </rPr>
      <t xml:space="preserve">ステップ2：
</t>
    </r>
    <r>
      <rPr>
        <sz val="10"/>
        <color rgb="FF000000"/>
        <rFont val="游ゴシック"/>
        <charset val="134"/>
      </rPr>
      <t xml:space="preserve">Nhập tất cả mục (required + tùy chọn) bằng giá trị hợp lệ
</t>
    </r>
    <r>
      <rPr>
        <b/>
        <sz val="10"/>
        <color rgb="FF000000"/>
        <rFont val="游ゴシック"/>
        <charset val="134"/>
      </rPr>
      <t xml:space="preserve">ステップ3：
</t>
    </r>
    <r>
      <rPr>
        <sz val="10"/>
        <color rgb="FF000000"/>
        <rFont val="游ゴシック"/>
        <charset val="134"/>
      </rPr>
      <t xml:space="preserve">Click button đăng ký
</t>
    </r>
    <r>
      <rPr>
        <b/>
        <sz val="10"/>
        <color rgb="FF000000"/>
        <rFont val="游ゴシック"/>
        <charset val="134"/>
      </rPr>
      <t xml:space="preserve">ステップ4：
</t>
    </r>
    <r>
      <rPr>
        <sz val="10"/>
        <color rgb="FF000000"/>
        <rFont val="游ゴシック"/>
        <charset val="134"/>
      </rPr>
      <t>Kiểm tra DB: `SELECT * FROM m_hanbaiten WHERE hanbaiten_code = '入力値' ORDER BY hanbaiten_id DESC LIMIT 1`</t>
    </r>
  </si>
  <si>
    <r>
      <rPr>
        <b/>
        <sz val="10"/>
        <color rgb="FF000000"/>
        <rFont val="メイリオ"/>
        <charset val="134"/>
      </rPr>
      <t xml:space="preserve">ステップ1：
</t>
    </r>
    <r>
      <rPr>
        <sz val="10"/>
        <color rgb="FF000000"/>
        <rFont val="メイリオ"/>
        <charset val="134"/>
      </rPr>
      <t xml:space="preserve">Màn hình đăng ký thông tin Hanbaiten được hiển thị
</t>
    </r>
    <r>
      <rPr>
        <b/>
        <sz val="10"/>
        <color rgb="FF000000"/>
        <rFont val="メイリオ"/>
        <charset val="134"/>
      </rPr>
      <t xml:space="preserve">ステップ2：
</t>
    </r>
    <r>
      <rPr>
        <sz val="10"/>
        <color rgb="FF000000"/>
        <rFont val="メイリオ"/>
        <charset val="134"/>
      </rPr>
      <t xml:space="preserve">Toàn bộ giá trị đã nhập được phản ánh lên màn hình
</t>
    </r>
    <r>
      <rPr>
        <b/>
        <sz val="10"/>
        <color rgb="FF000000"/>
        <rFont val="メイリオ"/>
        <charset val="134"/>
      </rPr>
      <t xml:space="preserve">ステップ3：
</t>
    </r>
    <r>
      <rPr>
        <sz val="10"/>
        <color rgb="FF000000"/>
        <rFont val="メイリオ"/>
        <charset val="134"/>
      </rPr>
      <t xml:space="preserve">Trả về HTTP 201, hiển thị toast `登録しました。`, chuyển về `/hanbaiten`
</t>
    </r>
    <r>
      <rPr>
        <b/>
        <sz val="10"/>
        <color rgb="FF000000"/>
        <rFont val="メイリオ"/>
        <charset val="134"/>
      </rPr>
      <t xml:space="preserve">ステップ4：
</t>
    </r>
    <r>
      <rPr>
        <sz val="10"/>
        <color rgb="FF000000"/>
        <rFont val="メイリオ"/>
        <charset val="134"/>
      </rPr>
      <t xml:space="preserve">Row mới được đăng ký, `ja_id` là JA của user đang login, `created_at` ở khoảng thời gian hiện tại
</t>
    </r>
    <r>
      <rPr>
        <b/>
        <sz val="10"/>
        <color rgb="FF000000"/>
        <rFont val="メイリオ"/>
        <charset val="134"/>
      </rPr>
      <t xml:space="preserve">補足：
</t>
    </r>
    <r>
      <rPr>
        <sz val="10"/>
        <color rgb="FF000000"/>
        <rFont val="メイリオ"/>
        <charset val="134"/>
      </rPr>
      <t>・Full flow toast → chuyển list → kiểm tra DB row</t>
    </r>
  </si>
  <si>
    <t>ACSMS-TC-017-049</t>
  </si>
  <si>
    <t>Đăng ký bao gồm thông tin ngân hàng khi `itaku_kubun`=1 (振込)</t>
  </si>
  <si>
    <r>
      <rPr>
        <b/>
        <sz val="10"/>
        <color rgb="FF000000"/>
        <rFont val="游ゴシック"/>
        <charset val="134"/>
      </rPr>
      <t xml:space="preserve">ステップ1：
</t>
    </r>
    <r>
      <rPr>
        <sz val="10"/>
        <color rgb="FF000000"/>
        <rFont val="游ゴシック"/>
        <charset val="134"/>
      </rPr>
      <t xml:space="preserve">Truy cập URL `/hanbaiten/create`, chọn `itaku_kubun`=1
</t>
    </r>
    <r>
      <rPr>
        <b/>
        <sz val="10"/>
        <color rgb="FF000000"/>
        <rFont val="游ゴシック"/>
        <charset val="134"/>
      </rPr>
      <t xml:space="preserve">ステップ2：
</t>
    </r>
    <r>
      <rPr>
        <sz val="10"/>
        <color rgb="FF000000"/>
        <rFont val="游ゴシック"/>
        <charset val="134"/>
      </rPr>
      <t xml:space="preserve">Nhập đầy đủ các mục ngân hàng (`bank_code`, `bank_name`, `bank_branch_code`, `bank_branch_name`, `yokin_shubetsu`, `koza_no`, `koza_meigi`)
</t>
    </r>
    <r>
      <rPr>
        <b/>
        <sz val="10"/>
        <color rgb="FF000000"/>
        <rFont val="游ゴシック"/>
        <charset val="134"/>
      </rPr>
      <t xml:space="preserve">ステップ3：
</t>
    </r>
    <r>
      <rPr>
        <sz val="10"/>
        <color rgb="FF000000"/>
        <rFont val="游ゴシック"/>
        <charset val="134"/>
      </rPr>
      <t xml:space="preserve">Click button đăng ký
</t>
    </r>
    <r>
      <rPr>
        <b/>
        <sz val="10"/>
        <color rgb="FF000000"/>
        <rFont val="游ゴシック"/>
        <charset val="134"/>
      </rPr>
      <t xml:space="preserve">ステップ4：
</t>
    </r>
    <r>
      <rPr>
        <sz val="10"/>
        <color rgb="FF000000"/>
        <rFont val="游ゴシック"/>
        <charset val="134"/>
      </rPr>
      <t>Kiểm tra DB: `SELECT bank_code, bank_name, koza_no FROM m_hanbaiten WHERE hanbaiten_id = ?`</t>
    </r>
  </si>
  <si>
    <r>
      <rPr>
        <b/>
        <sz val="10"/>
        <color rgb="FF000000"/>
        <rFont val="メイリオ"/>
        <charset val="134"/>
      </rPr>
      <t xml:space="preserve">ステップ1：
</t>
    </r>
    <r>
      <rPr>
        <sz val="10"/>
        <color rgb="FF000000"/>
        <rFont val="メイリオ"/>
        <charset val="134"/>
      </rPr>
      <t xml:space="preserve">Màn hình được hiển thị, section thông tin ngân hàng có marker required
</t>
    </r>
    <r>
      <rPr>
        <b/>
        <sz val="10"/>
        <color rgb="FF000000"/>
        <rFont val="メイリオ"/>
        <charset val="134"/>
      </rPr>
      <t xml:space="preserve">ステップ2：
</t>
    </r>
    <r>
      <rPr>
        <sz val="10"/>
        <color rgb="FF000000"/>
        <rFont val="メイリオ"/>
        <charset val="134"/>
      </rPr>
      <t xml:space="preserve">Giá trị nhập được phản ánh lên màn hình
</t>
    </r>
    <r>
      <rPr>
        <b/>
        <sz val="10"/>
        <color rgb="FF000000"/>
        <rFont val="メイリオ"/>
        <charset val="134"/>
      </rPr>
      <t xml:space="preserve">ステップ3：
</t>
    </r>
    <r>
      <rPr>
        <sz val="10"/>
        <color rgb="FF000000"/>
        <rFont val="メイリオ"/>
        <charset val="134"/>
      </rPr>
      <t xml:space="preserve">Trả về HTTP 201, hiển thị toast `登録しました。`
</t>
    </r>
    <r>
      <rPr>
        <b/>
        <sz val="10"/>
        <color rgb="FF000000"/>
        <rFont val="メイリオ"/>
        <charset val="134"/>
      </rPr>
      <t xml:space="preserve">ステップ4：
</t>
    </r>
    <r>
      <rPr>
        <sz val="10"/>
        <color rgb="FF000000"/>
        <rFont val="メイリオ"/>
        <charset val="134"/>
      </rPr>
      <t xml:space="preserve">Thông tin ngân hàng được save chính xác
</t>
    </r>
    <r>
      <rPr>
        <b/>
        <sz val="10"/>
        <color rgb="FF000000"/>
        <rFont val="メイリオ"/>
        <charset val="134"/>
      </rPr>
      <t xml:space="preserve">補足：
</t>
    </r>
    <r>
      <rPr>
        <sz val="10"/>
        <color rgb="FF000000"/>
        <rFont val="メイリオ"/>
        <charset val="134"/>
      </rPr>
      <t>・(なし)</t>
    </r>
  </si>
  <si>
    <t>ACSMS-TC-017-050</t>
  </si>
  <si>
    <t>Đăng ký không có thông tin ngân hàng khi `itaku_kubun`=2 (日農委託)</t>
  </si>
  <si>
    <r>
      <rPr>
        <b/>
        <sz val="10"/>
        <color rgb="FF000000"/>
        <rFont val="游ゴシック"/>
        <charset val="134"/>
      </rPr>
      <t xml:space="preserve">ステップ1：
</t>
    </r>
    <r>
      <rPr>
        <sz val="10"/>
        <color rgb="FF000000"/>
        <rFont val="游ゴシック"/>
        <charset val="134"/>
      </rPr>
      <t xml:space="preserve">Chọn `itaku_kubun`=2, để trống các mục ngân hàng và chỉ nhập các trường required
</t>
    </r>
    <r>
      <rPr>
        <b/>
        <sz val="10"/>
        <color rgb="FF000000"/>
        <rFont val="游ゴシック"/>
        <charset val="134"/>
      </rPr>
      <t xml:space="preserve">ステップ2：
</t>
    </r>
    <r>
      <rPr>
        <sz val="10"/>
        <color rgb="FF000000"/>
        <rFont val="游ゴシック"/>
        <charset val="134"/>
      </rPr>
      <t xml:space="preserve">Click button đăng ký
</t>
    </r>
    <r>
      <rPr>
        <b/>
        <sz val="10"/>
        <color rgb="FF000000"/>
        <rFont val="游ゴシック"/>
        <charset val="134"/>
      </rPr>
      <t xml:space="preserve">ステップ3：
</t>
    </r>
    <r>
      <rPr>
        <sz val="10"/>
        <color rgb="FF000000"/>
        <rFont val="游ゴシック"/>
        <charset val="134"/>
      </rPr>
      <t>Kiểm tra DB: `SELECT bank_code, bank_name FROM m_hanbaiten WHERE hanbaiten_id = ?`</t>
    </r>
  </si>
  <si>
    <r>
      <rPr>
        <b/>
        <sz val="10"/>
        <color rgb="FF000000"/>
        <rFont val="メイリオ"/>
        <charset val="134"/>
      </rPr>
      <t xml:space="preserve">ステップ1：
</t>
    </r>
    <r>
      <rPr>
        <sz val="10"/>
        <color rgb="FF000000"/>
        <rFont val="メイリオ"/>
        <charset val="134"/>
      </rPr>
      <t xml:space="preserve">Các mục ngân hàng đã trở thành tùy chọn
</t>
    </r>
    <r>
      <rPr>
        <b/>
        <sz val="10"/>
        <color rgb="FF000000"/>
        <rFont val="メイリオ"/>
        <charset val="134"/>
      </rPr>
      <t xml:space="preserve">ステップ2：
</t>
    </r>
    <r>
      <rPr>
        <sz val="10"/>
        <color rgb="FF000000"/>
        <rFont val="メイリオ"/>
        <charset val="134"/>
      </rPr>
      <t xml:space="preserve">Trả về HTTP 201, hiển thị toast `登録しました。`
</t>
    </r>
    <r>
      <rPr>
        <b/>
        <sz val="10"/>
        <color rgb="FF000000"/>
        <rFont val="メイリオ"/>
        <charset val="134"/>
      </rPr>
      <t xml:space="preserve">ステップ3：
</t>
    </r>
    <r>
      <rPr>
        <sz val="10"/>
        <color rgb="FF000000"/>
        <rFont val="メイリオ"/>
        <charset val="134"/>
      </rPr>
      <t xml:space="preserve">Các cột ngân hàng được save dưới dạng chuỗi rỗng hoặc NULL
</t>
    </r>
    <r>
      <rPr>
        <b/>
        <sz val="10"/>
        <color rgb="FF000000"/>
        <rFont val="メイリオ"/>
        <charset val="134"/>
      </rPr>
      <t xml:space="preserve">補足：
</t>
    </r>
    <r>
      <rPr>
        <sz val="10"/>
        <color rgb="FF000000"/>
        <rFont val="メイリオ"/>
        <charset val="134"/>
      </rPr>
      <t>・Verify logic required có điều kiện</t>
    </r>
  </si>
  <si>
    <t>ACSMS-TC-017-051</t>
  </si>
  <si>
    <t>Lỗi trùng `hanbaiten_code`</t>
  </si>
  <si>
    <t>・role: JA_HONTEN
・Đã login + đã xác thực MFA
・Tồn tại Hanbaiten `hanbaiten_code`=`H001` ở ja-001</t>
  </si>
  <si>
    <r>
      <rPr>
        <b/>
        <sz val="10"/>
        <color rgb="FF000000"/>
        <rFont val="游ゴシック"/>
        <charset val="134"/>
      </rPr>
      <t xml:space="preserve">ステップ1：
</t>
    </r>
    <r>
      <rPr>
        <sz val="10"/>
        <color rgb="FF000000"/>
        <rFont val="游ゴシック"/>
        <charset val="134"/>
      </rPr>
      <t xml:space="preserve">Nhập `H001` vào trường 販売店コード, nhập các trường required khác
</t>
    </r>
    <r>
      <rPr>
        <b/>
        <sz val="10"/>
        <color rgb="FF000000"/>
        <rFont val="游ゴシック"/>
        <charset val="134"/>
      </rPr>
      <t xml:space="preserve">ステップ2：
</t>
    </r>
    <r>
      <rPr>
        <sz val="10"/>
        <color rgb="FF000000"/>
        <rFont val="游ゴシック"/>
        <charset val="134"/>
      </rPr>
      <t>Click button đăng ký</t>
    </r>
  </si>
  <si>
    <r>
      <rPr>
        <b/>
        <sz val="10"/>
        <color rgb="FF000000"/>
        <rFont val="メイリオ"/>
        <charset val="134"/>
      </rPr>
      <t xml:space="preserve">ステップ1：
</t>
    </r>
    <r>
      <rPr>
        <sz val="10"/>
        <color rgb="FF000000"/>
        <rFont val="メイリオ"/>
        <charset val="134"/>
      </rPr>
      <t xml:space="preserve">Giá trị nhập được phản ánh lên màn hình
</t>
    </r>
    <r>
      <rPr>
        <b/>
        <sz val="10"/>
        <color rgb="FF000000"/>
        <rFont val="メイリオ"/>
        <charset val="134"/>
      </rPr>
      <t xml:space="preserve">ステップ2：
</t>
    </r>
    <r>
      <rPr>
        <sz val="10"/>
        <color rgb="FF000000"/>
        <rFont val="メイリオ"/>
        <charset val="134"/>
      </rPr>
      <t xml:space="preserve">Trả về HTTP 400 (`error_code: DUPLICATE_CODE`, message `販売店コード「H001」はすでに登録されています。`), hiển thị inline dưới trường 販売店コード
</t>
    </r>
    <r>
      <rPr>
        <b/>
        <sz val="10"/>
        <color rgb="FF000000"/>
        <rFont val="メイリオ"/>
        <charset val="134"/>
      </rPr>
      <t xml:space="preserve">補足：
</t>
    </r>
    <r>
      <rPr>
        <sz val="10"/>
        <color rgb="FF000000"/>
        <rFont val="メイリオ"/>
        <charset val="134"/>
      </rPr>
      <t xml:space="preserve">・Server-side thực hiện check trùng
</t>
    </r>
    <r>
      <rPr>
        <sz val="10"/>
        <color rgb="FF000000"/>
        <rFont val="メイリオ"/>
        <charset val="134"/>
      </rPr>
      <t>・Bao gồm cả row đã soft delete (policy reserve mã master)</t>
    </r>
  </si>
  <si>
    <t>ACSMS-TC-017-052</t>
  </si>
  <si>
    <t>Đại diện nhập liệu bởi NICHINO_STAFF (đăng ký vào JA khác)</t>
  </si>
  <si>
    <r>
      <rPr>
        <b/>
        <sz val="10"/>
        <color rgb="FF000000"/>
        <rFont val="游ゴシック"/>
        <charset val="134"/>
      </rPr>
      <t xml:space="preserve">ステップ1：
</t>
    </r>
    <r>
      <rPr>
        <sz val="10"/>
        <color rgb="FF000000"/>
        <rFont val="游ゴシック"/>
        <charset val="134"/>
      </rPr>
      <t xml:space="preserve">Truy cập URL `/hanbaiten/create`
</t>
    </r>
    <r>
      <rPr>
        <b/>
        <sz val="10"/>
        <color rgb="FF000000"/>
        <rFont val="游ゴシック"/>
        <charset val="134"/>
      </rPr>
      <t xml:space="preserve">ステップ2：
</t>
    </r>
    <r>
      <rPr>
        <sz val="10"/>
        <color rgb="FF000000"/>
        <rFont val="游ゴシック"/>
        <charset val="134"/>
      </rPr>
      <t xml:space="preserve">Chọn ja-002 tại trường chọn JA, nhập đầy đủ các trường required
</t>
    </r>
    <r>
      <rPr>
        <b/>
        <sz val="10"/>
        <color rgb="FF000000"/>
        <rFont val="游ゴシック"/>
        <charset val="134"/>
      </rPr>
      <t xml:space="preserve">ステップ3：
</t>
    </r>
    <r>
      <rPr>
        <sz val="10"/>
        <color rgb="FF000000"/>
        <rFont val="游ゴシック"/>
        <charset val="134"/>
      </rPr>
      <t xml:space="preserve">Click button đăng ký
</t>
    </r>
    <r>
      <rPr>
        <b/>
        <sz val="10"/>
        <color rgb="FF000000"/>
        <rFont val="游ゴシック"/>
        <charset val="134"/>
      </rPr>
      <t xml:space="preserve">ステップ4：
</t>
    </r>
    <r>
      <rPr>
        <sz val="10"/>
        <color rgb="FF000000"/>
        <rFont val="游ゴシック"/>
        <charset val="134"/>
      </rPr>
      <t>Kiểm tra DB: `SELECT ja_id FROM m_hanbaiten WHERE hanbaiten_id = ?`</t>
    </r>
  </si>
  <si>
    <r>
      <rPr>
        <b/>
        <sz val="10"/>
        <color rgb="FF000000"/>
        <rFont val="游ゴシック"/>
        <charset val="134"/>
      </rPr>
      <t xml:space="preserve">ステップ1：
</t>
    </r>
    <r>
      <rPr>
        <sz val="10"/>
        <color rgb="FF000000"/>
        <rFont val="游ゴシック"/>
        <charset val="134"/>
      </rPr>
      <t xml:space="preserve">UI chọn JA được hiển thị
</t>
    </r>
    <r>
      <rPr>
        <b/>
        <sz val="10"/>
        <color rgb="FF000000"/>
        <rFont val="游ゴシック"/>
        <charset val="134"/>
      </rPr>
      <t xml:space="preserve">ステップ2：
</t>
    </r>
    <r>
      <rPr>
        <sz val="10"/>
        <color rgb="FF000000"/>
        <rFont val="游ゴシック"/>
        <charset val="134"/>
      </rPr>
      <t xml:space="preserve">Giá trị nhập được phản ánh lên màn hình
</t>
    </r>
    <r>
      <rPr>
        <b/>
        <sz val="10"/>
        <color rgb="FF000000"/>
        <rFont val="游ゴシック"/>
        <charset val="134"/>
      </rPr>
      <t xml:space="preserve">ステップ3：
</t>
    </r>
    <r>
      <rPr>
        <sz val="10"/>
        <color rgb="FF000000"/>
        <rFont val="游ゴシック"/>
        <charset val="134"/>
      </rPr>
      <t xml:space="preserve">Trả về HTTP 201, hiển thị toast `登録しました。`
</t>
    </r>
    <r>
      <rPr>
        <b/>
        <sz val="10"/>
        <color rgb="FF000000"/>
        <rFont val="游ゴシック"/>
        <charset val="134"/>
      </rPr>
      <t xml:space="preserve">ステップ4：
</t>
    </r>
    <r>
      <rPr>
        <sz val="10"/>
        <color rgb="FF000000"/>
        <rFont val="游ゴシック"/>
        <charset val="134"/>
      </rPr>
      <t xml:space="preserve">Được save với `ja_id = 2` (JA đã chỉ định)
</t>
    </r>
    <r>
      <rPr>
        <b/>
        <sz val="10"/>
        <color rgb="FF000000"/>
        <rFont val="游ゴシック"/>
        <charset val="134"/>
      </rPr>
      <t xml:space="preserve">補足：
</t>
    </r>
    <r>
      <rPr>
        <sz val="10"/>
        <color rgb="FF000000"/>
        <rFont val="游ゴシック"/>
        <charset val="134"/>
      </rPr>
      <t>・Phân biệt đại diện nhập liệu trên DB qua `created_by`</t>
    </r>
  </si>
  <si>
    <t>ACSMS-TC-017-053</t>
  </si>
  <si>
    <t>Verify DB persistence và phản ánh tức thời lên list</t>
  </si>
  <si>
    <r>
      <rPr>
        <b/>
        <sz val="10"/>
        <color rgb="FF000000"/>
        <rFont val="游ゴシック"/>
        <charset val="134"/>
      </rPr>
      <t xml:space="preserve">ステップ1：
</t>
    </r>
    <r>
      <rPr>
        <sz val="10"/>
        <color rgb="FF000000"/>
        <rFont val="游ゴシック"/>
        <charset val="134"/>
      </rPr>
      <t xml:space="preserve">Đăng ký mới Hanbaiten
</t>
    </r>
    <r>
      <rPr>
        <b/>
        <sz val="10"/>
        <color rgb="FF000000"/>
        <rFont val="游ゴシック"/>
        <charset val="134"/>
      </rPr>
      <t xml:space="preserve">ステップ2：
</t>
    </r>
    <r>
      <rPr>
        <sz val="10"/>
        <color rgb="FF000000"/>
        <rFont val="游ゴシック"/>
        <charset val="134"/>
      </rPr>
      <t xml:space="preserve">Kiểm tra dòng đầu trên màn list Hanbaiten sau khi đăng ký
</t>
    </r>
    <r>
      <rPr>
        <b/>
        <sz val="10"/>
        <color rgb="FF000000"/>
        <rFont val="游ゴシック"/>
        <charset val="134"/>
      </rPr>
      <t xml:space="preserve">ステップ3：
</t>
    </r>
    <r>
      <rPr>
        <sz val="10"/>
        <color rgb="FF000000"/>
        <rFont val="游ゴシック"/>
        <charset val="134"/>
      </rPr>
      <t>Kiểm tra DB: `SELECT created_at, updated_at FROM m_hanbaiten WHERE hanbaiten_id = ?`</t>
    </r>
  </si>
  <si>
    <r>
      <rPr>
        <b/>
        <sz val="10"/>
        <color rgb="FF000000"/>
        <rFont val="游ゴシック"/>
        <charset val="134"/>
      </rPr>
      <t xml:space="preserve">ステップ1：
</t>
    </r>
    <r>
      <rPr>
        <sz val="10"/>
        <color rgb="FF000000"/>
        <rFont val="游ゴシック"/>
        <charset val="134"/>
      </rPr>
      <t xml:space="preserve">Trả về HTTP 201
</t>
    </r>
    <r>
      <rPr>
        <b/>
        <sz val="10"/>
        <color rgb="FF000000"/>
        <rFont val="游ゴシック"/>
        <charset val="134"/>
      </rPr>
      <t xml:space="preserve">ステップ2：
</t>
    </r>
    <r>
      <rPr>
        <sz val="10"/>
        <color rgb="FF000000"/>
        <rFont val="游ゴシック"/>
        <charset val="134"/>
      </rPr>
      <t xml:space="preserve">Hanbaiten vừa đăng ký được hiển thị trên màn list Hanbaiten
</t>
    </r>
    <r>
      <rPr>
        <b/>
        <sz val="10"/>
        <color rgb="FF000000"/>
        <rFont val="游ゴシック"/>
        <charset val="134"/>
      </rPr>
      <t xml:space="preserve">ステップ3：
</t>
    </r>
    <r>
      <rPr>
        <sz val="10"/>
        <color rgb="FF000000"/>
        <rFont val="游ゴシック"/>
        <charset val="134"/>
      </rPr>
      <t xml:space="preserve">`created_at` và `updated_at` khớp với thời điểm đăng ký (TIMESTAMPTZ, JST)
</t>
    </r>
    <r>
      <rPr>
        <b/>
        <sz val="10"/>
        <color rgb="FF000000"/>
        <rFont val="游ゴシック"/>
        <charset val="134"/>
      </rPr>
      <t xml:space="preserve">補足：
</t>
    </r>
    <r>
      <rPr>
        <sz val="10"/>
        <color rgb="FF000000"/>
        <rFont val="游ゴシック"/>
        <charset val="134"/>
      </rPr>
      <t>・(なし)</t>
    </r>
  </si>
  <si>
    <t>ACSMS-TC-017-054</t>
  </si>
  <si>
    <t>Verify dòng INSERT audit log (thao tác CREATE)</t>
  </si>
  <si>
    <r>
      <rPr>
        <b/>
        <sz val="10"/>
        <color rgb="FF000000"/>
        <rFont val="游ゴシック"/>
        <charset val="134"/>
      </rPr>
      <t xml:space="preserve">ステップ1：
</t>
    </r>
    <r>
      <rPr>
        <sz val="10"/>
        <color rgb="FF000000"/>
        <rFont val="游ゴシック"/>
        <charset val="134"/>
      </rPr>
      <t xml:space="preserve">Đăng ký mới Hanbaiten
</t>
    </r>
    <r>
      <rPr>
        <b/>
        <sz val="10"/>
        <color rgb="FF000000"/>
        <rFont val="游ゴシック"/>
        <charset val="134"/>
      </rPr>
      <t xml:space="preserve">ステップ2：
</t>
    </r>
    <r>
      <rPr>
        <sz val="10"/>
        <color rgb="FF000000"/>
        <rFont val="游ゴシック"/>
        <charset val="134"/>
      </rPr>
      <t>Kiểm tra DB: `SELECT log_type, operation, target_table, target_id, account_id, after_value, result_status, log_datetime FROM t_log WHERE target_table='m_hanbaiten' AND operation='CREATE' ORDER BY log_datetime DESC LIMIT 1`</t>
    </r>
  </si>
  <si>
    <r>
      <rPr>
        <b/>
        <sz val="10"/>
        <color rgb="FF000000"/>
        <rFont val="メイリオ"/>
        <charset val="134"/>
      </rPr>
      <t xml:space="preserve">ステップ1：
</t>
    </r>
    <r>
      <rPr>
        <sz val="10"/>
        <color rgb="FF000000"/>
        <rFont val="メイリオ"/>
        <charset val="134"/>
      </rPr>
      <t xml:space="preserve">Trả về HTTP 201
</t>
    </r>
    <r>
      <rPr>
        <b/>
        <sz val="10"/>
        <color rgb="FF000000"/>
        <rFont val="メイリオ"/>
        <charset val="134"/>
      </rPr>
      <t xml:space="preserve">ステップ2：
</t>
    </r>
    <r>
      <rPr>
        <sz val="10"/>
        <color rgb="FF000000"/>
        <rFont val="メイリオ"/>
        <charset val="134"/>
      </rPr>
      <t xml:space="preserve">1 dòng được INSERT vào `t_log` (`log_type=1`, `operation='CREATE'`, `target_table='m_hanbaiten'`, `target_id=hanbaiten_id mới`, `account_id=test account`, `after_value` là JSON nội dung đăng ký, `result_status=1`)
</t>
    </r>
    <r>
      <rPr>
        <b/>
        <sz val="10"/>
        <color rgb="FF000000"/>
        <rFont val="メイリオ"/>
        <charset val="134"/>
      </rPr>
      <t xml:space="preserve">補足：
</t>
    </r>
    <r>
      <rPr>
        <sz val="10"/>
        <color rgb="FF000000"/>
        <rFont val="メイリオ"/>
        <charset val="134"/>
      </rPr>
      <t>・DML nghiệp vụ và audit log trong cùng 1 transaction</t>
    </r>
  </si>
  <si>
    <t>ACSMS-TC-017-055</t>
  </si>
  <si>
    <t>Chuyển sang màn list và hiển thị toast sau khi đăng ký</t>
  </si>
  <si>
    <r>
      <rPr>
        <b/>
        <sz val="10"/>
        <color rgb="FF000000"/>
        <rFont val="メイリオ"/>
        <charset val="134"/>
      </rPr>
      <t xml:space="preserve">ステップ1：
</t>
    </r>
    <r>
      <rPr>
        <sz val="10"/>
        <color rgb="FF000000"/>
        <rFont val="メイリオ"/>
        <charset val="134"/>
      </rPr>
      <t xml:space="preserve">Đăng ký mới Hanbaiten
</t>
    </r>
    <r>
      <rPr>
        <b/>
        <sz val="10"/>
        <color rgb="FF000000"/>
        <rFont val="メイリオ"/>
        <charset val="134"/>
      </rPr>
      <t xml:space="preserve">ステップ2：
</t>
    </r>
    <r>
      <rPr>
        <sz val="10"/>
        <color rgb="FF000000"/>
        <rFont val="メイリオ"/>
        <charset val="134"/>
      </rPr>
      <t>Kiểm tra URL bar trình duyệt và hiển thị màn hình</t>
    </r>
  </si>
  <si>
    <r>
      <rPr>
        <b/>
        <sz val="10"/>
        <color rgb="FF000000"/>
        <rFont val="メイリオ"/>
        <charset val="134"/>
      </rPr>
      <t xml:space="preserve">ステップ1：
</t>
    </r>
    <r>
      <rPr>
        <sz val="10"/>
        <color rgb="FF000000"/>
        <rFont val="メイリオ"/>
        <charset val="134"/>
      </rPr>
      <t xml:space="preserve">Trả về HTTP 201
</t>
    </r>
    <r>
      <rPr>
        <b/>
        <sz val="10"/>
        <color rgb="FF000000"/>
        <rFont val="メイリオ"/>
        <charset val="134"/>
      </rPr>
      <t xml:space="preserve">ステップ2：
</t>
    </r>
    <r>
      <rPr>
        <sz val="10"/>
        <color rgb="FF000000"/>
        <rFont val="メイリオ"/>
        <charset val="134"/>
      </rPr>
      <t xml:space="preserve">URL chuyển về `/hanbaiten`, toast `登録しました。` được hiển thị tạm thời ở phía trên màn hình (tự động biến mất sau vài giây)
</t>
    </r>
    <r>
      <rPr>
        <b/>
        <sz val="10"/>
        <color rgb="FF000000"/>
        <rFont val="メイリオ"/>
        <charset val="134"/>
      </rPr>
      <t xml:space="preserve">補足：
</t>
    </r>
    <r>
      <rPr>
        <sz val="10"/>
        <color rgb="FF000000"/>
        <rFont val="メイリオ"/>
        <charset val="134"/>
      </rPr>
      <t>・Hiển thị toast được implement bằng `useNotify().created()`</t>
    </r>
  </si>
  <si>
    <t>Logic nghiệp vụ — Cập nhật (Function — Edit)</t>
  </si>
  <si>
    <t>ACSMS-TC-017-056</t>
  </si>
  <si>
    <t>Load dữ liệu đã có bình thường</t>
  </si>
  <si>
    <t>・role: JA_HONTEN
・Đã login + đã xác thực MFA
・Tồn tại hanbaiten-1001 thuộc JA của user</t>
  </si>
  <si>
    <r>
      <rPr>
        <b/>
        <sz val="10"/>
        <color rgb="FF000000"/>
        <rFont val="メイリオ"/>
        <charset val="134"/>
      </rPr>
      <t xml:space="preserve">ステップ1：
</t>
    </r>
    <r>
      <rPr>
        <sz val="10"/>
        <color rgb="FF000000"/>
        <rFont val="メイリオ"/>
        <charset val="134"/>
      </rPr>
      <t xml:space="preserve">Truy cập URL `/hanbaiten/1001/edit`
</t>
    </r>
    <r>
      <rPr>
        <b/>
        <sz val="10"/>
        <color rgb="FF000000"/>
        <rFont val="メイリオ"/>
        <charset val="134"/>
      </rPr>
      <t xml:space="preserve">ステップ2：
</t>
    </r>
    <r>
      <rPr>
        <sz val="10"/>
        <color rgb="FF000000"/>
        <rFont val="メイリオ"/>
        <charset val="134"/>
      </rPr>
      <t>So sánh response của GET `/api/v1/hanbaiten/1001` với giá trị ban đầu trên form</t>
    </r>
  </si>
  <si>
    <r>
      <rPr>
        <b/>
        <sz val="10"/>
        <color rgb="FF000000"/>
        <rFont val="メイリオ"/>
        <charset val="134"/>
      </rPr>
      <t xml:space="preserve">ステップ1：
</t>
    </r>
    <r>
      <rPr>
        <sz val="10"/>
        <color rgb="FF000000"/>
        <rFont val="メイリオ"/>
        <charset val="134"/>
      </rPr>
      <t xml:space="preserve">Màn hình chỉnh sửa thông tin Hanbaiten được hiển thị, trả về HTTP 200
</t>
    </r>
    <r>
      <rPr>
        <b/>
        <sz val="10"/>
        <color rgb="FF000000"/>
        <rFont val="メイリオ"/>
        <charset val="134"/>
      </rPr>
      <t xml:space="preserve">ステップ2：
</t>
    </r>
    <r>
      <rPr>
        <sz val="10"/>
        <color rgb="FF000000"/>
        <rFont val="メイリオ"/>
        <charset val="134"/>
      </rPr>
      <t xml:space="preserve">Toàn bộ mục được load chính xác vào form, trường `hanbaiten_code` ở trạng thái disable
</t>
    </r>
    <r>
      <rPr>
        <b/>
        <sz val="10"/>
        <color rgb="FF000000"/>
        <rFont val="メイリオ"/>
        <charset val="134"/>
      </rPr>
      <t xml:space="preserve">補足：
</t>
    </r>
    <r>
      <rPr>
        <sz val="10"/>
        <color rgb="FF000000"/>
        <rFont val="メイリオ"/>
        <charset val="134"/>
      </rPr>
      <t>・(なし)</t>
    </r>
  </si>
  <si>
    <t>ACSMS-TC-017-057</t>
  </si>
  <si>
    <t>`hanbaiten_code` không thể chỉnh sửa</t>
  </si>
  <si>
    <r>
      <rPr>
        <b/>
        <sz val="10"/>
        <color rgb="FF000000"/>
        <rFont val="游ゴシック"/>
        <charset val="134"/>
      </rPr>
      <t xml:space="preserve">ステップ1：
</t>
    </r>
    <r>
      <rPr>
        <sz val="10"/>
        <color rgb="FF000000"/>
        <rFont val="游ゴシック"/>
        <charset val="134"/>
      </rPr>
      <t xml:space="preserve">Truy cập URL `/hanbaiten/1001/edit`
</t>
    </r>
    <r>
      <rPr>
        <b/>
        <sz val="10"/>
        <color rgb="FF000000"/>
        <rFont val="游ゴシック"/>
        <charset val="134"/>
      </rPr>
      <t xml:space="preserve">ステップ2：
</t>
    </r>
    <r>
      <rPr>
        <sz val="10"/>
        <color rgb="FF000000"/>
        <rFont val="游ゴシック"/>
        <charset val="134"/>
      </rPr>
      <t>Dùng DevTools gửi PUT `/api/v1/hanbaiten/1001` bao gồm `hanbaiten_code: "NEW01"`</t>
    </r>
  </si>
  <si>
    <r>
      <rPr>
        <b/>
        <sz val="10"/>
        <color rgb="FF000000"/>
        <rFont val="メイリオ"/>
        <charset val="134"/>
      </rPr>
      <t xml:space="preserve">ステップ1：
</t>
    </r>
    <r>
      <rPr>
        <sz val="10"/>
        <color rgb="FF000000"/>
        <rFont val="メイリオ"/>
        <charset val="134"/>
      </rPr>
      <t xml:space="preserve">Trường 販売店コード ở trạng thái disable, không thể nhập
</t>
    </r>
    <r>
      <rPr>
        <b/>
        <sz val="10"/>
        <color rgb="FF000000"/>
        <rFont val="メイリオ"/>
        <charset val="134"/>
      </rPr>
      <t xml:space="preserve">ステップ2：
</t>
    </r>
    <r>
      <rPr>
        <sz val="10"/>
        <color rgb="FF000000"/>
        <rFont val="メイリオ"/>
        <charset val="134"/>
      </rPr>
      <t xml:space="preserve">Trả về HTTP 200 nhưng server-side bỏ qua field `hanbaiten_code` (giá trị trên DB không thay đổi)
</t>
    </r>
    <r>
      <rPr>
        <b/>
        <sz val="10"/>
        <color rgb="FF000000"/>
        <rFont val="メイリオ"/>
        <charset val="134"/>
      </rPr>
      <t xml:space="preserve">補足：
</t>
    </r>
    <r>
      <rPr>
        <sz val="10"/>
        <color rgb="FF000000"/>
        <rFont val="メイリオ"/>
        <charset val="134"/>
      </rPr>
      <t>・Server-side dùng field allow-list để bỏ qua `hanbaiten_code`</t>
    </r>
  </si>
  <si>
    <t>ACSMS-TC-017-058</t>
  </si>
  <si>
    <t>Cập nhật dữ liệu đã có bình thường (happy path)</t>
  </si>
  <si>
    <r>
      <rPr>
        <b/>
        <sz val="10"/>
        <color rgb="FF000000"/>
        <rFont val="游ゴシック"/>
        <charset val="134"/>
      </rPr>
      <t xml:space="preserve">ステップ1：
</t>
    </r>
    <r>
      <rPr>
        <sz val="10"/>
        <color rgb="FF000000"/>
        <rFont val="游ゴシック"/>
        <charset val="134"/>
      </rPr>
      <t xml:space="preserve">Truy cập URL `/hanbaiten/1001/edit`
</t>
    </r>
    <r>
      <rPr>
        <b/>
        <sz val="10"/>
        <color rgb="FF000000"/>
        <rFont val="游ゴシック"/>
        <charset val="134"/>
      </rPr>
      <t xml:space="preserve">ステップ2：
</t>
    </r>
    <r>
      <rPr>
        <sz val="10"/>
        <color rgb="FF000000"/>
        <rFont val="游ゴシック"/>
        <charset val="134"/>
      </rPr>
      <t xml:space="preserve">Thay đổi 販売店名, 電話, 住所 v.v.
</t>
    </r>
    <r>
      <rPr>
        <b/>
        <sz val="10"/>
        <color rgb="FF000000"/>
        <rFont val="游ゴシック"/>
        <charset val="134"/>
      </rPr>
      <t xml:space="preserve">ステップ3：
</t>
    </r>
    <r>
      <rPr>
        <sz val="10"/>
        <color rgb="FF000000"/>
        <rFont val="游ゴシック"/>
        <charset val="134"/>
      </rPr>
      <t xml:space="preserve">Click button đăng ký
</t>
    </r>
    <r>
      <rPr>
        <b/>
        <sz val="10"/>
        <color rgb="FF000000"/>
        <rFont val="游ゴシック"/>
        <charset val="134"/>
      </rPr>
      <t xml:space="preserve">ステップ4：
</t>
    </r>
    <r>
      <rPr>
        <sz val="10"/>
        <color rgb="FF000000"/>
        <rFont val="游ゴシック"/>
        <charset val="134"/>
      </rPr>
      <t>Kiểm tra DB: `SELECT hanbaiten_name, tel, address, updated_at FROM m_hanbaiten WHERE hanbaiten_id = 1001`</t>
    </r>
  </si>
  <si>
    <r>
      <rPr>
        <b/>
        <sz val="10"/>
        <color rgb="FF000000"/>
        <rFont val="メイリオ"/>
        <charset val="134"/>
      </rPr>
      <t xml:space="preserve">ステップ1：
</t>
    </r>
    <r>
      <rPr>
        <sz val="10"/>
        <color rgb="FF000000"/>
        <rFont val="メイリオ"/>
        <charset val="134"/>
      </rPr>
      <t xml:space="preserve">Màn chỉnh sửa được hiển thị, dữ liệu đã có được load
</t>
    </r>
    <r>
      <rPr>
        <b/>
        <sz val="10"/>
        <color rgb="FF000000"/>
        <rFont val="メイリオ"/>
        <charset val="134"/>
      </rPr>
      <t xml:space="preserve">ステップ2：
</t>
    </r>
    <r>
      <rPr>
        <sz val="10"/>
        <color rgb="FF000000"/>
        <rFont val="メイリオ"/>
        <charset val="134"/>
      </rPr>
      <t xml:space="preserve">Giá trị nhập được phản ánh lên màn hình
</t>
    </r>
    <r>
      <rPr>
        <b/>
        <sz val="10"/>
        <color rgb="FF000000"/>
        <rFont val="メイリオ"/>
        <charset val="134"/>
      </rPr>
      <t xml:space="preserve">ステップ3：
</t>
    </r>
    <r>
      <rPr>
        <sz val="10"/>
        <color rgb="FF000000"/>
        <rFont val="メイリオ"/>
        <charset val="134"/>
      </rPr>
      <t xml:space="preserve">Trả về HTTP 200, hiển thị toast `更新しました。`, chuyển về `/hanbaiten`
</t>
    </r>
    <r>
      <rPr>
        <b/>
        <sz val="10"/>
        <color rgb="FF000000"/>
        <rFont val="メイリオ"/>
        <charset val="134"/>
      </rPr>
      <t xml:space="preserve">ステップ4：
</t>
    </r>
    <r>
      <rPr>
        <sz val="10"/>
        <color rgb="FF000000"/>
        <rFont val="メイリオ"/>
        <charset val="134"/>
      </rPr>
      <t xml:space="preserve">Nội dung thay đổi được phản ánh trên DB, `updated_at` được cập nhật
</t>
    </r>
    <r>
      <rPr>
        <b/>
        <sz val="10"/>
        <color rgb="FF000000"/>
        <rFont val="メイリオ"/>
        <charset val="134"/>
      </rPr>
      <t xml:space="preserve">補足：
</t>
    </r>
    <r>
      <rPr>
        <sz val="10"/>
        <color rgb="FF000000"/>
        <rFont val="メイリオ"/>
        <charset val="134"/>
      </rPr>
      <t>・(なし)</t>
    </r>
  </si>
  <si>
    <t>ACSMS-TC-017-059</t>
  </si>
  <si>
    <t>Thông tin ngân hàng trở thành required khi đổi `itaku_kubun` (2→1)</t>
  </si>
  <si>
    <t>・role: JA_HONTEN
・Đã login + đã xác thực MFA
・Tồn tại Hanbaiten đã có (`itaku_kubun`=2, không có thông tin ngân hàng)</t>
  </si>
  <si>
    <r>
      <rPr>
        <b/>
        <sz val="10"/>
        <color rgb="FF000000"/>
        <rFont val="メイリオ"/>
        <charset val="134"/>
      </rPr>
      <t xml:space="preserve">ステップ1：
</t>
    </r>
    <r>
      <rPr>
        <sz val="10"/>
        <color rgb="FF000000"/>
        <rFont val="メイリオ"/>
        <charset val="134"/>
      </rPr>
      <t xml:space="preserve">Trên màn chỉnh sửa, đổi `itaku_kubun` sang `1: 振込`
</t>
    </r>
    <r>
      <rPr>
        <b/>
        <sz val="10"/>
        <color rgb="FF000000"/>
        <rFont val="メイリオ"/>
        <charset val="134"/>
      </rPr>
      <t xml:space="preserve">ステップ2：
</t>
    </r>
    <r>
      <rPr>
        <sz val="10"/>
        <color rgb="FF000000"/>
        <rFont val="メイリオ"/>
        <charset val="134"/>
      </rPr>
      <t xml:space="preserve">Để trống thông tin ngân hàng, click button đăng ký
</t>
    </r>
    <r>
      <rPr>
        <b/>
        <sz val="10"/>
        <color rgb="FF000000"/>
        <rFont val="メイリオ"/>
        <charset val="134"/>
      </rPr>
      <t xml:space="preserve">ステップ3：
</t>
    </r>
    <r>
      <rPr>
        <sz val="10"/>
        <color rgb="FF000000"/>
        <rFont val="メイリオ"/>
        <charset val="134"/>
      </rPr>
      <t>Nhập đầy đủ thông tin ngân hàng rồi click button đăng ký lần nữa</t>
    </r>
  </si>
  <si>
    <r>
      <rPr>
        <b/>
        <sz val="10"/>
        <color rgb="FF000000"/>
        <rFont val="メイリオ"/>
        <charset val="134"/>
      </rPr>
      <t xml:space="preserve">ステップ1：
</t>
    </r>
    <r>
      <rPr>
        <sz val="10"/>
        <color rgb="FF000000"/>
        <rFont val="メイリオ"/>
        <charset val="134"/>
      </rPr>
      <t xml:space="preserve">Marker required `*` được hiển thị động trên các mục ngân hàng
</t>
    </r>
    <r>
      <rPr>
        <b/>
        <sz val="10"/>
        <color rgb="FF000000"/>
        <rFont val="メイリオ"/>
        <charset val="134"/>
      </rPr>
      <t xml:space="preserve">ステップ2：
</t>
    </r>
    <r>
      <rPr>
        <sz val="10"/>
        <color rgb="FF000000"/>
        <rFont val="メイリオ"/>
        <charset val="134"/>
      </rPr>
      <t xml:space="preserve">Hiển thị inline `必須項目です。` dưới các mục ngân hàng, PUT không được gọi
</t>
    </r>
    <r>
      <rPr>
        <b/>
        <sz val="10"/>
        <color rgb="FF000000"/>
        <rFont val="メイリオ"/>
        <charset val="134"/>
      </rPr>
      <t xml:space="preserve">ステップ3：
</t>
    </r>
    <r>
      <rPr>
        <sz val="10"/>
        <color rgb="FF000000"/>
        <rFont val="メイリオ"/>
        <charset val="134"/>
      </rPr>
      <t xml:space="preserve">Trả về HTTP 200, hiển thị toast `更新しました。`
</t>
    </r>
    <r>
      <rPr>
        <b/>
        <sz val="10"/>
        <color rgb="FF000000"/>
        <rFont val="メイリオ"/>
        <charset val="134"/>
      </rPr>
      <t xml:space="preserve">補足：
</t>
    </r>
    <r>
      <rPr>
        <sz val="10"/>
        <color rgb="FF000000"/>
        <rFont val="メイリオ"/>
        <charset val="134"/>
      </rPr>
      <t>・Required có điều kiện được chuyển đổi động khi đổi `itaku_kubun`</t>
    </r>
  </si>
  <si>
    <t>ACSMS-TC-017-060</t>
  </si>
  <si>
    <t>Truy cập `hanbaiten_id` không tồn tại (NOT_FOUND)</t>
  </si>
  <si>
    <r>
      <rPr>
        <b/>
        <sz val="10"/>
        <color rgb="FF000000"/>
        <rFont val="游ゴシック"/>
        <charset val="134"/>
      </rPr>
      <t xml:space="preserve">ステップ1：
</t>
    </r>
    <r>
      <rPr>
        <sz val="10"/>
        <color rgb="FF000000"/>
        <rFont val="游ゴシック"/>
        <charset val="134"/>
      </rPr>
      <t>Truy cập URL `/hanbaiten/99999/edit` (99999 là ID không tồn tại)</t>
    </r>
  </si>
  <si>
    <r>
      <rPr>
        <b/>
        <sz val="10"/>
        <color rgb="FF000000"/>
        <rFont val="メイリオ"/>
        <charset val="134"/>
      </rPr>
      <t xml:space="preserve">ステップ1：
</t>
    </r>
    <r>
      <rPr>
        <sz val="10"/>
        <color rgb="FF000000"/>
        <rFont val="メイリオ"/>
        <charset val="134"/>
      </rPr>
      <t xml:space="preserve">Trả về HTTP 404 (`error_code: NOT_FOUND`, message `指定された販売店が見つかりません。`), sau khi hiển thị toast chuyển về `/hanbaiten`
</t>
    </r>
    <r>
      <rPr>
        <b/>
        <sz val="10"/>
        <color rgb="FF000000"/>
        <rFont val="メイリオ"/>
        <charset val="134"/>
      </rPr>
      <t xml:space="preserve">補足：
</t>
    </r>
    <r>
      <rPr>
        <sz val="10"/>
        <color rgb="FF000000"/>
        <rFont val="メイリオ"/>
        <charset val="134"/>
      </rPr>
      <t>・Row đã soft delete cũng được xử lý là NOT_FOUND</t>
    </r>
  </si>
  <si>
    <t>ACSMS-TC-017-061</t>
  </si>
  <si>
    <t>Truy cập Hanbaiten thuộc JA khác (DATA_SCOPE_VIOLATION)</t>
  </si>
  <si>
    <t>・role: JA_HONTEN (thuộc ja-001)
・Đã login + đã xác thực MFA
・Tồn tại Hanbaiten hanbaiten-9001 thuộc JA khác (dưới ja-099)</t>
  </si>
  <si>
    <r>
      <rPr>
        <b/>
        <sz val="10"/>
        <color rgb="FF000000"/>
        <rFont val="游ゴシック"/>
        <charset val="134"/>
      </rPr>
      <t xml:space="preserve">ステップ1：
</t>
    </r>
    <r>
      <rPr>
        <sz val="10"/>
        <color rgb="FF000000"/>
        <rFont val="游ゴシック"/>
        <charset val="134"/>
      </rPr>
      <t xml:space="preserve">Truy cập trực tiếp URL `/hanbaiten/9001/edit`
</t>
    </r>
    <r>
      <rPr>
        <b/>
        <sz val="10"/>
        <color rgb="FF000000"/>
        <rFont val="游ゴシック"/>
        <charset val="134"/>
      </rPr>
      <t xml:space="preserve">ステップ2：
</t>
    </r>
    <r>
      <rPr>
        <sz val="10"/>
        <color rgb="FF000000"/>
        <rFont val="游ゴシック"/>
        <charset val="134"/>
      </rPr>
      <t>Dùng DevTools gửi trực tiếp PUT `/api/v1/hanbaiten/9001`</t>
    </r>
  </si>
  <si>
    <r>
      <rPr>
        <b/>
        <sz val="10"/>
        <color rgb="FF000000"/>
        <rFont val="メイリオ"/>
        <charset val="134"/>
      </rPr>
      <t xml:space="preserve">ステップ1：
</t>
    </r>
    <r>
      <rPr>
        <sz val="10"/>
        <color rgb="FF000000"/>
        <rFont val="メイリオ"/>
        <charset val="134"/>
      </rPr>
      <t xml:space="preserve">Trả về HTTP 404 (masking để che giấu sự tồn tại của row), chuyển về `/hanbaiten`
</t>
    </r>
    <r>
      <rPr>
        <b/>
        <sz val="10"/>
        <color rgb="FF000000"/>
        <rFont val="メイリオ"/>
        <charset val="134"/>
      </rPr>
      <t xml:space="preserve">ステップ2：
</t>
    </r>
    <r>
      <rPr>
        <sz val="10"/>
        <color rgb="FF000000"/>
        <rFont val="メイリオ"/>
        <charset val="134"/>
      </rPr>
      <t xml:space="preserve">Tương tự, trả về HTTP 404
</t>
    </r>
    <r>
      <rPr>
        <b/>
        <sz val="10"/>
        <color rgb="FF000000"/>
        <rFont val="メイリオ"/>
        <charset val="134"/>
      </rPr>
      <t xml:space="preserve">補足：
</t>
    </r>
    <r>
      <rPr>
        <sz val="10"/>
        <color rgb="FF000000"/>
        <rFont val="メイリオ"/>
        <charset val="134"/>
      </rPr>
      <t>・Layer 2 DataScope trả về NotFound thay vì Forbidden để ngăn liệt kê ID</t>
    </r>
  </si>
  <si>
    <t>ACSMS-TC-017-062</t>
  </si>
  <si>
    <t>Optimistic lock khi chỉnh sửa đồng thời</t>
  </si>
  <si>
    <r>
      <rPr>
        <b/>
        <strike/>
        <sz val="10"/>
        <color rgb="FF000000"/>
        <rFont val="メイリオ"/>
        <charset val="134"/>
      </rPr>
      <t xml:space="preserve">ステップ1：
</t>
    </r>
    <r>
      <rPr>
        <strike/>
        <sz val="10"/>
        <color rgb="FF000000"/>
        <rFont val="メイリオ"/>
        <charset val="134"/>
      </rPr>
      <t xml:space="preserve">User A mở màn chỉnh sửa hanbaiten-1001
</t>
    </r>
    <r>
      <rPr>
        <b/>
        <strike/>
        <sz val="10"/>
        <color rgb="FF000000"/>
        <rFont val="メイリオ"/>
        <charset val="134"/>
      </rPr>
      <t xml:space="preserve">ステップ2：
</t>
    </r>
    <r>
      <rPr>
        <strike/>
        <sz val="10"/>
        <color rgb="FF000000"/>
        <rFont val="メイリオ"/>
        <charset val="134"/>
      </rPr>
      <t xml:space="preserve">User B chỉnh sửa cùng Hanbaiten đó và save trước
</t>
    </r>
    <r>
      <rPr>
        <b/>
        <strike/>
        <sz val="10"/>
        <color rgb="FF000000"/>
        <rFont val="メイリオ"/>
        <charset val="134"/>
      </rPr>
      <t xml:space="preserve">ステップ3：
</t>
    </r>
    <r>
      <rPr>
        <strike/>
        <sz val="10"/>
        <color rgb="FF000000"/>
        <rFont val="メイリオ"/>
        <charset val="134"/>
      </rPr>
      <t>User A save nội dung chỉnh sửa</t>
    </r>
  </si>
  <si>
    <r>
      <rPr>
        <b/>
        <strike/>
        <sz val="10"/>
        <color rgb="FF000000"/>
        <rFont val="メイリオ"/>
        <charset val="134"/>
      </rPr>
      <t xml:space="preserve">ステップ1：
</t>
    </r>
    <r>
      <rPr>
        <strike/>
        <sz val="10"/>
        <color rgb="FF000000"/>
        <rFont val="メイリオ"/>
        <charset val="134"/>
      </rPr>
      <t xml:space="preserve">Màn chỉnh sửa được hiển thị
</t>
    </r>
    <r>
      <rPr>
        <b/>
        <strike/>
        <sz val="10"/>
        <color rgb="FF000000"/>
        <rFont val="メイリオ"/>
        <charset val="134"/>
      </rPr>
      <t xml:space="preserve">ステップ2：
</t>
    </r>
    <r>
      <rPr>
        <strike/>
        <sz val="10"/>
        <color rgb="FF000000"/>
        <rFont val="メイリオ"/>
        <charset val="134"/>
      </rPr>
      <t xml:space="preserve">Update của User B thành công, trả về HTTP 200
</t>
    </r>
    <r>
      <rPr>
        <b/>
        <strike/>
        <sz val="10"/>
        <color rgb="FF000000"/>
        <rFont val="メイリオ"/>
        <charset val="134"/>
      </rPr>
      <t xml:space="preserve">ステップ3：
</t>
    </r>
    <r>
      <rPr>
        <strike/>
        <sz val="10"/>
        <color rgb="FF000000"/>
        <rFont val="メイリオ"/>
        <charset val="134"/>
      </rPr>
      <t xml:space="preserve">Khi User A update phát hiện không nhất quán `updated_at`, trả về HTTP 409 hoặc lỗi yêu cầu reload
</t>
    </r>
    <r>
      <rPr>
        <b/>
        <strike/>
        <sz val="10"/>
        <color rgb="FF000000"/>
        <rFont val="メイリオ"/>
        <charset val="134"/>
      </rPr>
      <t xml:space="preserve">補足：
</t>
    </r>
    <r>
      <rPr>
        <strike/>
        <sz val="10"/>
        <color rgb="FF000000"/>
        <rFont val="メイリオ"/>
        <charset val="134"/>
      </rPr>
      <t>・Verify optimistic lock control</t>
    </r>
  </si>
  <si>
    <t>ACSMS-TC-017-063</t>
  </si>
  <si>
    <t>Verify dòng INSERT audit log (thao tác UPDATE, before/after)</t>
  </si>
  <si>
    <r>
      <rPr>
        <b/>
        <sz val="10"/>
        <color rgb="FF000000"/>
        <rFont val="游ゴシック"/>
        <charset val="134"/>
      </rPr>
      <t xml:space="preserve">ステップ1：
</t>
    </r>
    <r>
      <rPr>
        <sz val="10"/>
        <color rgb="FF000000"/>
        <rFont val="游ゴシック"/>
        <charset val="134"/>
      </rPr>
      <t xml:space="preserve">Truy cập URL `/hanbaiten/1001/edit`, thay đổi 販売店名
</t>
    </r>
    <r>
      <rPr>
        <b/>
        <sz val="10"/>
        <color rgb="FF000000"/>
        <rFont val="游ゴシック"/>
        <charset val="134"/>
      </rPr>
      <t xml:space="preserve">ステップ2：
</t>
    </r>
    <r>
      <rPr>
        <sz val="10"/>
        <color rgb="FF000000"/>
        <rFont val="游ゴシック"/>
        <charset val="134"/>
      </rPr>
      <t xml:space="preserve">Click button đăng ký
</t>
    </r>
    <r>
      <rPr>
        <b/>
        <sz val="10"/>
        <color rgb="FF000000"/>
        <rFont val="游ゴシック"/>
        <charset val="134"/>
      </rPr>
      <t xml:space="preserve">ステップ3：
</t>
    </r>
    <r>
      <rPr>
        <sz val="10"/>
        <color rgb="FF000000"/>
        <rFont val="游ゴシック"/>
        <charset val="134"/>
      </rPr>
      <t>Kiểm tra DB: `SELECT log_type, operation, target_table, target_id, before_value, after_value, result_status FROM t_log WHERE target_table='m_hanbaiten' AND target_id=1001 AND operation='UPDATE' ORDER BY log_datetime DESC LIMIT 1`</t>
    </r>
  </si>
  <si>
    <r>
      <rPr>
        <b/>
        <sz val="10"/>
        <color rgb="FF000000"/>
        <rFont val="メイリオ"/>
        <charset val="134"/>
      </rPr>
      <t xml:space="preserve">ステップ1：
</t>
    </r>
    <r>
      <rPr>
        <sz val="10"/>
        <color rgb="FF000000"/>
        <rFont val="メイリオ"/>
        <charset val="134"/>
      </rPr>
      <t xml:space="preserve">Màn chỉnh sửa được hiển thị, dữ liệu đã có được load
</t>
    </r>
    <r>
      <rPr>
        <b/>
        <sz val="10"/>
        <color rgb="FF000000"/>
        <rFont val="メイリオ"/>
        <charset val="134"/>
      </rPr>
      <t xml:space="preserve">ステップ2：
</t>
    </r>
    <r>
      <rPr>
        <sz val="10"/>
        <color rgb="FF000000"/>
        <rFont val="メイリオ"/>
        <charset val="134"/>
      </rPr>
      <t xml:space="preserve">Trả về HTTP 200, hiển thị toast `更新しました。`
</t>
    </r>
    <r>
      <rPr>
        <b/>
        <sz val="10"/>
        <color rgb="FF000000"/>
        <rFont val="メイリオ"/>
        <charset val="134"/>
      </rPr>
      <t xml:space="preserve">ステップ3：
</t>
    </r>
    <r>
      <rPr>
        <sz val="10"/>
        <color rgb="FF000000"/>
        <rFont val="メイリオ"/>
        <charset val="134"/>
      </rPr>
      <t xml:space="preserve">1 dòng được INSERT vào `t_log` (`log_type=1`, `operation='UPDATE'`, `before_value` là JSON dữ liệu cũ, `after_value` là JSON dữ liệu mới, `result_status=1`)
</t>
    </r>
    <r>
      <rPr>
        <b/>
        <sz val="10"/>
        <color rgb="FF000000"/>
        <rFont val="メイリオ"/>
        <charset val="134"/>
      </rPr>
      <t xml:space="preserve">補足：
</t>
    </r>
    <r>
      <rPr>
        <sz val="10"/>
        <color rgb="FF000000"/>
        <rFont val="メイリオ"/>
        <charset val="134"/>
      </rPr>
      <t>・Yêu cầu audit là ghi cả before/after</t>
    </r>
  </si>
  <si>
    <t>Xử lý lỗi chung (Common Error Handling)</t>
  </si>
  <si>
    <t>ACSMS-TC-017-064</t>
  </si>
  <si>
    <t>Xử lý lỗi khi session hết hạn (UNAUTHORIZED)</t>
  </si>
  <si>
    <t>・role: JA_HONTEN
・Đã login (tái hiện trạng thái session hết hạn)</t>
  </si>
  <si>
    <r>
      <rPr>
        <b/>
        <sz val="10"/>
        <color rgb="FF000000"/>
        <rFont val="メイリオ"/>
        <charset val="134"/>
      </rPr>
      <t xml:space="preserve">ステップ1：
</t>
    </r>
    <r>
      <rPr>
        <sz val="10"/>
        <color rgb="FF000000"/>
        <rFont val="メイリオ"/>
        <charset val="134"/>
      </rPr>
      <t xml:space="preserve">Sau khi truy cập URL `/hanbaiten/create`, xóa `session:{sid}` khỏi Redis (hoặc đợi qua 24 giờ)
</t>
    </r>
    <r>
      <rPr>
        <b/>
        <sz val="10"/>
        <color rgb="FF000000"/>
        <rFont val="メイリオ"/>
        <charset val="134"/>
      </rPr>
      <t xml:space="preserve">ステップ2：
</t>
    </r>
    <r>
      <rPr>
        <sz val="10"/>
        <color rgb="FF000000"/>
        <rFont val="メイリオ"/>
        <charset val="134"/>
      </rPr>
      <t>Click button đăng ký</t>
    </r>
  </si>
  <si>
    <r>
      <rPr>
        <b/>
        <sz val="10"/>
        <color rgb="FF000000"/>
        <rFont val="メイリオ"/>
        <charset val="134"/>
      </rPr>
      <t xml:space="preserve">ステップ1：
</t>
    </r>
    <r>
      <rPr>
        <sz val="10"/>
        <color rgb="FF000000"/>
        <rFont val="メイリオ"/>
        <charset val="134"/>
      </rPr>
      <t xml:space="preserve">Màn hình vẫn được hiển thị nguyên trạng
</t>
    </r>
    <r>
      <rPr>
        <b/>
        <sz val="10"/>
        <color rgb="FF000000"/>
        <rFont val="メイリオ"/>
        <charset val="134"/>
      </rPr>
      <t xml:space="preserve">ステップ2：
</t>
    </r>
    <r>
      <rPr>
        <sz val="10"/>
        <color rgb="FF000000"/>
        <rFont val="メイリオ"/>
        <charset val="134"/>
      </rPr>
      <t xml:space="preserve">Trả về HTTP 401 (`error_code: UNAUTHORIZED`, message `セッションが切れました。再度ログインしてください。`), sau khi hiển thị toast chuyển về `/login?redirect=/hanbaiten/create`
</t>
    </r>
    <r>
      <rPr>
        <b/>
        <sz val="10"/>
        <color rgb="FF000000"/>
        <rFont val="メイリオ"/>
        <charset val="134"/>
      </rPr>
      <t xml:space="preserve">補足：
</t>
    </r>
    <r>
      <rPr>
        <sz val="10"/>
        <color rgb="FF000000"/>
        <rFont val="メイリオ"/>
        <charset val="134"/>
      </rPr>
      <t>・FE axios interceptor phát hiện session hết hạn</t>
    </r>
  </si>
  <si>
    <t>ACSMS-TC-017-065</t>
  </si>
  <si>
    <t>Request body không hợp lệ (BAD_REQUEST)</t>
  </si>
  <si>
    <r>
      <rPr>
        <b/>
        <sz val="10"/>
        <color rgb="FF000000"/>
        <rFont val="メイリオ"/>
        <charset val="134"/>
      </rPr>
      <t xml:space="preserve">ステップ1：
</t>
    </r>
    <r>
      <rPr>
        <sz val="10"/>
        <color rgb="FF000000"/>
        <rFont val="メイリオ"/>
        <charset val="134"/>
      </rPr>
      <t>Dùng DevTools gửi chuỗi JSON không hợp lệ qua POST `/api/v1/hanbaiten`</t>
    </r>
  </si>
  <si>
    <r>
      <rPr>
        <b/>
        <sz val="10"/>
        <color rgb="FF000000"/>
        <rFont val="メイリオ"/>
        <charset val="134"/>
      </rPr>
      <t xml:space="preserve">ステップ1：
</t>
    </r>
    <r>
      <rPr>
        <sz val="10"/>
        <color rgb="FF000000"/>
        <rFont val="メイリオ"/>
        <charset val="134"/>
      </rPr>
      <t xml:space="preserve">Trả về HTTP 400 (`error_code: BAD_REQUEST`, message `リクエストパラメータが不正です。`)
</t>
    </r>
    <r>
      <rPr>
        <b/>
        <sz val="10"/>
        <color rgb="FF000000"/>
        <rFont val="メイリオ"/>
        <charset val="134"/>
      </rPr>
      <t xml:space="preserve">補足：
</t>
    </r>
    <r>
      <rPr>
        <sz val="10"/>
        <color rgb="FF000000"/>
        <rFont val="メイリオ"/>
        <charset val="134"/>
      </rPr>
      <t>・Lỗi JSON parse phát sinh trước ValidationPipe</t>
    </r>
  </si>
  <si>
    <t>ACSMS-TC-017-066</t>
  </si>
  <si>
    <t>Lỗi validation đồng thời nhiều trường (VALIDATION_ERROR)</t>
  </si>
  <si>
    <r>
      <rPr>
        <b/>
        <sz val="10"/>
        <color rgb="FF000000"/>
        <rFont val="游ゴシック"/>
        <charset val="134"/>
      </rPr>
      <t xml:space="preserve">ステップ1：
</t>
    </r>
    <r>
      <rPr>
        <sz val="10"/>
        <color rgb="FF000000"/>
        <rFont val="游ゴシック"/>
        <charset val="134"/>
      </rPr>
      <t>Để trống 販売店コード, 販売店名 và toàn bộ thông tin ngân hàng khi `itaku_kubun`=1, click button đăng ký</t>
    </r>
  </si>
  <si>
    <r>
      <rPr>
        <b/>
        <sz val="10"/>
        <color rgb="FF000000"/>
        <rFont val="メイリオ"/>
        <charset val="134"/>
      </rPr>
      <t xml:space="preserve">ステップ1：
</t>
    </r>
    <r>
      <rPr>
        <sz val="10"/>
        <color rgb="FF000000"/>
        <rFont val="メイリオ"/>
        <charset val="134"/>
      </rPr>
      <t xml:space="preserve">Trả về HTTP 400 (`error_code: VALIDATION_ERROR`, message `入力値が不正です。詳細はerrorsフィールドを確認してください。`), hiển thị đồng thời inline error dưới nhiều trường, tự động focus vào trường lỗi đầu tiên
</t>
    </r>
    <r>
      <rPr>
        <b/>
        <sz val="10"/>
        <color rgb="FF000000"/>
        <rFont val="メイリオ"/>
        <charset val="134"/>
      </rPr>
      <t xml:space="preserve">補足：
</t>
    </r>
    <r>
      <rPr>
        <sz val="10"/>
        <color rgb="FF000000"/>
        <rFont val="メイリオ"/>
        <charset val="134"/>
      </rPr>
      <t xml:space="preserve">・Hiển thị tập hợp lỗi của nhiều field
</t>
    </r>
    <r>
      <rPr>
        <sz val="10"/>
        <color rgb="FF000000"/>
        <rFont val="メイリオ"/>
        <charset val="134"/>
      </rPr>
      <t>・Auto focus theo DOM order vào trường lỗi đầu tiên</t>
    </r>
  </si>
  <si>
    <t>ACSMS-TC-017-067</t>
  </si>
  <si>
    <t>Vượt rate limit (TOO_MANY_REQUESTS)</t>
  </si>
  <si>
    <r>
      <rPr>
        <b/>
        <sz val="10"/>
        <color rgb="FF000000"/>
        <rFont val="メイリオ"/>
        <charset val="134"/>
      </rPr>
      <t xml:space="preserve">ステップ1：
</t>
    </r>
    <r>
      <rPr>
        <sz val="10"/>
        <color rgb="FF000000"/>
        <rFont val="メイリオ"/>
        <charset val="134"/>
      </rPr>
      <t>Gửi POST `/api/v1/hanbaiten` liên tục ≥ 100 lần trong 1 phút</t>
    </r>
  </si>
  <si>
    <r>
      <rPr>
        <b/>
        <sz val="10"/>
        <color rgb="FF000000"/>
        <rFont val="メイリオ"/>
        <charset val="134"/>
      </rPr>
      <t xml:space="preserve">ステップ1：
</t>
    </r>
    <r>
      <rPr>
        <sz val="10"/>
        <color rgb="FF000000"/>
        <rFont val="メイリオ"/>
        <charset val="134"/>
      </rPr>
      <t xml:space="preserve">Trả về HTTP 429 (`error_code: TOO_MANY_REQUESTS`, message `リクエスト回数が上限を超えました。しばらくしてから再度お試しください。`), hiển thị toast + button đăng ký bị disable tạm thời
</t>
    </r>
    <r>
      <rPr>
        <b/>
        <sz val="10"/>
        <color rgb="FF000000"/>
        <rFont val="メイリオ"/>
        <charset val="134"/>
      </rPr>
      <t xml:space="preserve">補足：
</t>
    </r>
    <r>
      <rPr>
        <sz val="10"/>
        <color rgb="FF000000"/>
        <rFont val="メイリオ"/>
        <charset val="134"/>
      </rPr>
      <t>・(なし)</t>
    </r>
  </si>
  <si>
    <t>ACSMS-TC-017-068</t>
  </si>
  <si>
    <t>Lỗi server nội bộ (INTERNAL_SERVER_ERROR)</t>
  </si>
  <si>
    <t>・role: JA_HONTEN
・Đã login + đã xác thực MFA
・Tái hiện trạng thái server-side phát sinh exception (mất kết nối DB v.v.)</t>
  </si>
  <si>
    <r>
      <rPr>
        <b/>
        <sz val="10"/>
        <color rgb="FF000000"/>
        <rFont val="メイリオ"/>
        <charset val="134"/>
      </rPr>
      <t xml:space="preserve">ステップ1：
</t>
    </r>
    <r>
      <rPr>
        <sz val="10"/>
        <color rgb="FF000000"/>
        <rFont val="メイリオ"/>
        <charset val="134"/>
      </rPr>
      <t xml:space="preserve">Đăng ký mới Hanbaiten
</t>
    </r>
    <r>
      <rPr>
        <b/>
        <sz val="10"/>
        <color rgb="FF000000"/>
        <rFont val="メイリオ"/>
        <charset val="134"/>
      </rPr>
      <t xml:space="preserve">ステップ2：
</t>
    </r>
    <r>
      <rPr>
        <sz val="10"/>
        <color rgb="FF000000"/>
        <rFont val="メイリオ"/>
        <charset val="134"/>
      </rPr>
      <t>Kiểm tra DB: `SELECT * FROM t_log WHERE log_type=3 AND result_status=2 ORDER BY log_datetime DESC LIMIT 1`</t>
    </r>
  </si>
  <si>
    <r>
      <rPr>
        <b/>
        <sz val="10"/>
        <color rgb="FF000000"/>
        <rFont val="メイリオ"/>
        <charset val="134"/>
      </rPr>
      <t xml:space="preserve">ステップ1：
</t>
    </r>
    <r>
      <rPr>
        <sz val="10"/>
        <color rgb="FF000000"/>
        <rFont val="メイリオ"/>
        <charset val="134"/>
      </rPr>
      <t xml:space="preserve">Trả về HTTP 500 (`error_code: INTERNAL_SERVER_ERROR`, message `システムエラーが発生しました。しばらくしてから再度お試しください。`), sau khi hiển thị toast user vẫn ở lại màn hình và có thể thử lại
</t>
    </r>
    <r>
      <rPr>
        <b/>
        <sz val="10"/>
        <color rgb="FF000000"/>
        <rFont val="メイリオ"/>
        <charset val="134"/>
      </rPr>
      <t xml:space="preserve">ステップ2：
</t>
    </r>
    <r>
      <rPr>
        <sz val="10"/>
        <color rgb="FF000000"/>
        <rFont val="メイリオ"/>
        <charset val="134"/>
      </rPr>
      <t xml:space="preserve">Error log được record (persist ngoài transaction nghiệp vụ)
</t>
    </r>
    <r>
      <rPr>
        <b/>
        <sz val="10"/>
        <color rgb="FF000000"/>
        <rFont val="メイリオ"/>
        <charset val="134"/>
      </rPr>
      <t xml:space="preserve">補足：
</t>
    </r>
    <r>
      <rPr>
        <sz val="10"/>
        <color rgb="FF000000"/>
        <rFont val="メイリオ"/>
        <charset val="134"/>
      </rPr>
      <t>・Stack trace không được lộ ra cho user</t>
    </r>
  </si>
  <si>
    <t>ACSMS-TC-017-069</t>
  </si>
  <si>
    <t>Hành vi khi chỉ định ID không tồn tại trong URL chỉnh sửa</t>
  </si>
  <si>
    <r>
      <rPr>
        <b/>
        <sz val="10"/>
        <color rgb="FF000000"/>
        <rFont val="游ゴシック"/>
        <charset val="134"/>
      </rPr>
      <t xml:space="preserve">ステップ1：
</t>
    </r>
    <r>
      <rPr>
        <sz val="10"/>
        <color rgb="FF000000"/>
        <rFont val="游ゴシック"/>
        <charset val="134"/>
      </rPr>
      <t xml:space="preserve">Truy cập URL `/hanbaiten/0/edit` (ID không thể tồn tại)
</t>
    </r>
    <r>
      <rPr>
        <b/>
        <sz val="10"/>
        <color rgb="FF000000"/>
        <rFont val="游ゴシック"/>
        <charset val="134"/>
      </rPr>
      <t xml:space="preserve">ステップ2：
</t>
    </r>
    <r>
      <rPr>
        <sz val="10"/>
        <color rgb="FF000000"/>
        <rFont val="游ゴシック"/>
        <charset val="134"/>
      </rPr>
      <t>Truy cập URL `/hanbaiten/abc/edit` (ID không phải số)</t>
    </r>
  </si>
  <si>
    <r>
      <rPr>
        <b/>
        <sz val="10"/>
        <color rgb="FF000000"/>
        <rFont val="メイリオ"/>
        <charset val="134"/>
      </rPr>
      <t xml:space="preserve">ステップ1：
</t>
    </r>
    <r>
      <rPr>
        <sz val="10"/>
        <color rgb="FF000000"/>
        <rFont val="メイリオ"/>
        <charset val="134"/>
      </rPr>
      <t xml:space="preserve">Trả về HTTP 404 (`error_code: NOT_FOUND`, message `指定された販売店が見つかりません。`), chuyển về `/hanbaiten`
</t>
    </r>
    <r>
      <rPr>
        <b/>
        <sz val="10"/>
        <color rgb="FF000000"/>
        <rFont val="メイリオ"/>
        <charset val="134"/>
      </rPr>
      <t xml:space="preserve">ステップ2：
</t>
    </r>
    <r>
      <rPr>
        <sz val="10"/>
        <color rgb="FF000000"/>
        <rFont val="メイリオ"/>
        <charset val="134"/>
      </rPr>
      <t xml:space="preserve">Trả về HTTP 400 (path parameter không khớp kiểu), hoặc FE router guard chặn chuyển trang
</t>
    </r>
    <r>
      <rPr>
        <b/>
        <sz val="10"/>
        <color rgb="FF000000"/>
        <rFont val="メイリオ"/>
        <charset val="134"/>
      </rPr>
      <t xml:space="preserve">補足：
</t>
    </r>
    <r>
      <rPr>
        <sz val="10"/>
        <color rgb="FF000000"/>
        <rFont val="メイリオ"/>
        <charset val="134"/>
      </rPr>
      <t>・(なし)</t>
    </r>
  </si>
  <si>
    <t>ACSMS-TC-017-070</t>
  </si>
  <si>
    <t>Xử lý lỗi khi mất kết nối mạng</t>
  </si>
  <si>
    <r>
      <rPr>
        <b/>
        <sz val="10"/>
        <color rgb="FF000000"/>
        <rFont val="メイリオ"/>
        <charset val="134"/>
      </rPr>
      <t xml:space="preserve">ステップ1：
</t>
    </r>
    <r>
      <rPr>
        <sz val="10"/>
        <color rgb="FF000000"/>
        <rFont val="メイリオ"/>
        <charset val="134"/>
      </rPr>
      <t xml:space="preserve">Nhập các trường required trên màn đăng ký thông tin Hanbaiten
</t>
    </r>
    <r>
      <rPr>
        <b/>
        <sz val="10"/>
        <color rgb="FF000000"/>
        <rFont val="メイリオ"/>
        <charset val="134"/>
      </rPr>
      <t xml:space="preserve">ステップ2：
</t>
    </r>
    <r>
      <rPr>
        <sz val="10"/>
        <color rgb="FF000000"/>
        <rFont val="メイリオ"/>
        <charset val="134"/>
      </rPr>
      <t xml:space="preserve">Dùng DevTools chuyển Network sang offline
</t>
    </r>
    <r>
      <rPr>
        <b/>
        <sz val="10"/>
        <color rgb="FF000000"/>
        <rFont val="メイリオ"/>
        <charset val="134"/>
      </rPr>
      <t xml:space="preserve">ステップ3：
</t>
    </r>
    <r>
      <rPr>
        <sz val="10"/>
        <color rgb="FF000000"/>
        <rFont val="メイリオ"/>
        <charset val="134"/>
      </rPr>
      <t>Click button đăng ký</t>
    </r>
  </si>
  <si>
    <r>
      <rPr>
        <b/>
        <sz val="10"/>
        <color rgb="FF000000"/>
        <rFont val="メイリオ"/>
        <charset val="134"/>
      </rPr>
      <t xml:space="preserve">ステップ1：
</t>
    </r>
    <r>
      <rPr>
        <sz val="10"/>
        <color rgb="FF000000"/>
        <rFont val="メイリオ"/>
        <charset val="134"/>
      </rPr>
      <t xml:space="preserve">Màn hình được hiển thị
</t>
    </r>
    <r>
      <rPr>
        <b/>
        <sz val="10"/>
        <color rgb="FF000000"/>
        <rFont val="メイリオ"/>
        <charset val="134"/>
      </rPr>
      <t xml:space="preserve">ステップ2：
</t>
    </r>
    <r>
      <rPr>
        <sz val="10"/>
        <color rgb="FF000000"/>
        <rFont val="メイリオ"/>
        <charset val="134"/>
      </rPr>
      <t xml:space="preserve">Vào trạng thái offline
</t>
    </r>
    <r>
      <rPr>
        <b/>
        <sz val="10"/>
        <color rgb="FF000000"/>
        <rFont val="メイリオ"/>
        <charset val="134"/>
      </rPr>
      <t xml:space="preserve">ステップ3：
</t>
    </r>
    <r>
      <rPr>
        <sz val="10"/>
        <color rgb="FF000000"/>
        <rFont val="メイリオ"/>
        <charset val="134"/>
      </rPr>
      <t xml:space="preserve">Hiển thị toast `ネットワークエラーが発生しました。しばらくしてから再度お試しください。`, user vẫn ở lại màn hình và dữ liệu nhập được giữ lại
</t>
    </r>
    <r>
      <rPr>
        <b/>
        <sz val="10"/>
        <color rgb="FF000000"/>
        <rFont val="メイリオ"/>
        <charset val="134"/>
      </rPr>
      <t xml:space="preserve">補足：
</t>
    </r>
    <r>
      <rPr>
        <sz val="10"/>
        <color rgb="FF000000"/>
        <rFont val="メイリオ"/>
        <charset val="134"/>
      </rPr>
      <t>・Có thể gửi lại sau khi network hồi phục</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</si>
</sst>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dd/mm/yyyy"/>
    <numFmt numFmtId="179" formatCode="0.0%"/>
  </numFmts>
  <fonts count="39">
    <font>
      <sz val="11"/>
      <color theme="1"/>
      <name val="Calibri"/>
      <charset val="134"/>
      <scheme val="minor"/>
    </font>
    <font>
      <b/>
      <sz val="11"/>
      <color rgb="FF000000"/>
      <name val="游ゴシック"/>
      <charset val="134"/>
    </font>
    <font>
      <sz val="11"/>
      <name val="Calibri"/>
      <charset val="134"/>
      <scheme val="minor"/>
    </font>
    <font>
      <sz val="11"/>
      <color rgb="FF000000"/>
      <name val="游ゴシック"/>
      <charset val="134"/>
    </font>
    <font>
      <sz val="11"/>
      <color theme="1"/>
      <name val="Arial"/>
      <charset val="134"/>
    </font>
    <font>
      <sz val="11"/>
      <color theme="1"/>
      <name val="Calibri"/>
      <charset val="134"/>
    </font>
    <font>
      <strike/>
      <sz val="11"/>
      <color rgb="FF000000"/>
      <name val="游ゴシック"/>
      <charset val="134"/>
    </font>
    <font>
      <i/>
      <sz val="11"/>
      <color rgb="FF000000"/>
      <name val="游ゴシック"/>
      <charset val="134"/>
    </font>
    <font>
      <b/>
      <sz val="14"/>
      <color rgb="FF000000"/>
      <name val="游ゴシック"/>
      <charset val="134"/>
    </font>
    <font>
      <sz val="26"/>
      <color rgb="FF1F3864"/>
      <name val="游ゴシック"/>
      <charset val="134"/>
    </font>
    <font>
      <sz val="24"/>
      <color rgb="FF1F3864"/>
      <name val="游ゴシック"/>
      <charset val="134"/>
    </font>
    <font>
      <sz val="15"/>
      <color theme="1"/>
      <name val="游ゴシック"/>
      <charset val="134"/>
    </font>
    <font>
      <sz val="10"/>
      <color rgb="FF000000"/>
      <name val="游ゴシック"/>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b/>
      <sz val="10"/>
      <color rgb="FF000000"/>
      <name val="游ゴシック"/>
      <charset val="134"/>
    </font>
    <font>
      <b/>
      <sz val="10"/>
      <color rgb="FF000000"/>
      <name val="メイリオ"/>
      <charset val="134"/>
    </font>
    <font>
      <sz val="10"/>
      <color rgb="FF000000"/>
      <name val="メイリオ"/>
      <charset val="134"/>
    </font>
    <font>
      <b/>
      <strike/>
      <sz val="10"/>
      <color rgb="FF000000"/>
      <name val="メイリオ"/>
      <charset val="134"/>
    </font>
    <font>
      <strike/>
      <sz val="10"/>
      <color rgb="FF000000"/>
      <name val="メイリオ"/>
      <charset val="134"/>
    </font>
    <font>
      <b/>
      <strike/>
      <sz val="10"/>
      <color rgb="FF000000"/>
      <name val="游ゴシック"/>
      <charset val="134"/>
    </font>
    <font>
      <strike/>
      <sz val="10"/>
      <color rgb="FF000000"/>
      <name val="游ゴシック"/>
      <charset val="134"/>
    </font>
  </fonts>
  <fills count="41">
    <fill>
      <patternFill patternType="none"/>
    </fill>
    <fill>
      <patternFill patternType="gray125"/>
    </fill>
    <fill>
      <patternFill patternType="solid">
        <fgColor rgb="FFDEEAF6"/>
        <bgColor rgb="FFDEEAF6"/>
      </patternFill>
    </fill>
    <fill>
      <patternFill patternType="solid">
        <fgColor rgb="FFBDD6EE"/>
        <bgColor rgb="FFBDD6EE"/>
      </patternFill>
    </fill>
    <fill>
      <patternFill patternType="solid">
        <fgColor rgb="FFB4C6E7"/>
        <bgColor rgb="FFB4C6E7"/>
      </patternFill>
    </fill>
    <fill>
      <patternFill patternType="solid">
        <fgColor rgb="FFFFC7CE"/>
        <bgColor rgb="FFFFC7CE"/>
      </patternFill>
    </fill>
    <fill>
      <patternFill patternType="solid">
        <fgColor rgb="FFFFEB9C"/>
        <bgColor rgb="FFFFEB9C"/>
      </patternFill>
    </fill>
    <fill>
      <patternFill patternType="solid">
        <fgColor rgb="FFC6EFCE"/>
        <bgColor rgb="FFC6EFCE"/>
      </patternFill>
    </fill>
    <fill>
      <patternFill patternType="solid">
        <fgColor rgb="FFFFFF99"/>
        <bgColor rgb="FFFFFF99"/>
      </patternFill>
    </fill>
    <fill>
      <patternFill patternType="solid">
        <fgColor rgb="FFD9E2F3"/>
        <bgColor rgb="FFD9E2F3"/>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3">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right style="thin">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0" fillId="10" borderId="15" applyNumberFormat="0" applyFont="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16" applyNumberFormat="0" applyFill="0" applyAlignment="0" applyProtection="0">
      <alignment vertical="center"/>
    </xf>
    <xf numFmtId="0" fontId="19" fillId="0" borderId="16" applyNumberFormat="0" applyFill="0" applyAlignment="0" applyProtection="0">
      <alignment vertical="center"/>
    </xf>
    <xf numFmtId="0" fontId="20" fillId="0" borderId="17" applyNumberFormat="0" applyFill="0" applyAlignment="0" applyProtection="0">
      <alignment vertical="center"/>
    </xf>
    <xf numFmtId="0" fontId="20" fillId="0" borderId="0" applyNumberFormat="0" applyFill="0" applyBorder="0" applyAlignment="0" applyProtection="0">
      <alignment vertical="center"/>
    </xf>
    <xf numFmtId="0" fontId="21" fillId="11" borderId="18" applyNumberFormat="0" applyAlignment="0" applyProtection="0">
      <alignment vertical="center"/>
    </xf>
    <xf numFmtId="0" fontId="22" fillId="12" borderId="19" applyNumberFormat="0" applyAlignment="0" applyProtection="0">
      <alignment vertical="center"/>
    </xf>
    <xf numFmtId="0" fontId="23" fillId="12" borderId="18" applyNumberFormat="0" applyAlignment="0" applyProtection="0">
      <alignment vertical="center"/>
    </xf>
    <xf numFmtId="0" fontId="24" fillId="13" borderId="20" applyNumberFormat="0" applyAlignment="0" applyProtection="0">
      <alignment vertical="center"/>
    </xf>
    <xf numFmtId="0" fontId="25" fillId="0" borderId="21" applyNumberFormat="0" applyFill="0" applyAlignment="0" applyProtection="0">
      <alignment vertical="center"/>
    </xf>
    <xf numFmtId="0" fontId="26" fillId="0" borderId="22" applyNumberFormat="0" applyFill="0" applyAlignment="0" applyProtection="0">
      <alignment vertical="center"/>
    </xf>
    <xf numFmtId="0" fontId="27" fillId="14" borderId="0" applyNumberFormat="0" applyBorder="0" applyAlignment="0" applyProtection="0">
      <alignment vertical="center"/>
    </xf>
    <xf numFmtId="0" fontId="28" fillId="15" borderId="0" applyNumberFormat="0" applyBorder="0" applyAlignment="0" applyProtection="0">
      <alignment vertical="center"/>
    </xf>
    <xf numFmtId="0" fontId="29" fillId="16" borderId="0" applyNumberFormat="0" applyBorder="0" applyAlignment="0" applyProtection="0">
      <alignment vertical="center"/>
    </xf>
    <xf numFmtId="0" fontId="30" fillId="17" borderId="0" applyNumberFormat="0" applyBorder="0" applyAlignment="0" applyProtection="0">
      <alignment vertical="center"/>
    </xf>
    <xf numFmtId="0" fontId="31" fillId="18" borderId="0" applyNumberFormat="0" applyBorder="0" applyAlignment="0" applyProtection="0">
      <alignment vertical="center"/>
    </xf>
    <xf numFmtId="0" fontId="31" fillId="19" borderId="0" applyNumberFormat="0" applyBorder="0" applyAlignment="0" applyProtection="0">
      <alignment vertical="center"/>
    </xf>
    <xf numFmtId="0" fontId="30" fillId="20" borderId="0" applyNumberFormat="0" applyBorder="0" applyAlignment="0" applyProtection="0">
      <alignment vertical="center"/>
    </xf>
    <xf numFmtId="0" fontId="30" fillId="21" borderId="0" applyNumberFormat="0" applyBorder="0" applyAlignment="0" applyProtection="0">
      <alignment vertical="center"/>
    </xf>
    <xf numFmtId="0" fontId="31" fillId="22" borderId="0" applyNumberFormat="0" applyBorder="0" applyAlignment="0" applyProtection="0">
      <alignment vertical="center"/>
    </xf>
    <xf numFmtId="0" fontId="31" fillId="23" borderId="0" applyNumberFormat="0" applyBorder="0" applyAlignment="0" applyProtection="0">
      <alignment vertical="center"/>
    </xf>
    <xf numFmtId="0" fontId="30" fillId="24" borderId="0" applyNumberFormat="0" applyBorder="0" applyAlignment="0" applyProtection="0">
      <alignment vertical="center"/>
    </xf>
    <xf numFmtId="0" fontId="30" fillId="25" borderId="0" applyNumberFormat="0" applyBorder="0" applyAlignment="0" applyProtection="0">
      <alignment vertical="center"/>
    </xf>
    <xf numFmtId="0" fontId="31" fillId="26" borderId="0" applyNumberFormat="0" applyBorder="0" applyAlignment="0" applyProtection="0">
      <alignment vertical="center"/>
    </xf>
    <xf numFmtId="0" fontId="31" fillId="27" borderId="0" applyNumberFormat="0" applyBorder="0" applyAlignment="0" applyProtection="0">
      <alignment vertical="center"/>
    </xf>
    <xf numFmtId="0" fontId="30" fillId="28" borderId="0" applyNumberFormat="0" applyBorder="0" applyAlignment="0" applyProtection="0">
      <alignment vertical="center"/>
    </xf>
    <xf numFmtId="0" fontId="30" fillId="29" borderId="0" applyNumberFormat="0" applyBorder="0" applyAlignment="0" applyProtection="0">
      <alignment vertical="center"/>
    </xf>
    <xf numFmtId="0" fontId="31" fillId="30" borderId="0" applyNumberFormat="0" applyBorder="0" applyAlignment="0" applyProtection="0">
      <alignment vertical="center"/>
    </xf>
    <xf numFmtId="0" fontId="31" fillId="31" borderId="0" applyNumberFormat="0" applyBorder="0" applyAlignment="0" applyProtection="0">
      <alignment vertical="center"/>
    </xf>
    <xf numFmtId="0" fontId="30" fillId="32" borderId="0" applyNumberFormat="0" applyBorder="0" applyAlignment="0" applyProtection="0">
      <alignment vertical="center"/>
    </xf>
    <xf numFmtId="0" fontId="30" fillId="33" borderId="0" applyNumberFormat="0" applyBorder="0" applyAlignment="0" applyProtection="0">
      <alignment vertical="center"/>
    </xf>
    <xf numFmtId="0" fontId="31" fillId="34" borderId="0" applyNumberFormat="0" applyBorder="0" applyAlignment="0" applyProtection="0">
      <alignment vertical="center"/>
    </xf>
    <xf numFmtId="0" fontId="31" fillId="35" borderId="0" applyNumberFormat="0" applyBorder="0" applyAlignment="0" applyProtection="0">
      <alignment vertical="center"/>
    </xf>
    <xf numFmtId="0" fontId="30" fillId="36" borderId="0" applyNumberFormat="0" applyBorder="0" applyAlignment="0" applyProtection="0">
      <alignment vertical="center"/>
    </xf>
    <xf numFmtId="0" fontId="30" fillId="37" borderId="0" applyNumberFormat="0" applyBorder="0" applyAlignment="0" applyProtection="0">
      <alignment vertical="center"/>
    </xf>
    <xf numFmtId="0" fontId="31" fillId="38" borderId="0" applyNumberFormat="0" applyBorder="0" applyAlignment="0" applyProtection="0">
      <alignment vertical="center"/>
    </xf>
    <xf numFmtId="0" fontId="31" fillId="39" borderId="0" applyNumberFormat="0" applyBorder="0" applyAlignment="0" applyProtection="0">
      <alignment vertical="center"/>
    </xf>
    <xf numFmtId="0" fontId="30" fillId="40" borderId="0" applyNumberFormat="0" applyBorder="0" applyAlignment="0" applyProtection="0">
      <alignment vertical="center"/>
    </xf>
  </cellStyleXfs>
  <cellXfs count="64">
    <xf numFmtId="0" fontId="0" fillId="0" borderId="0" xfId="0" applyFont="1" applyAlignment="1"/>
    <xf numFmtId="0" fontId="1" fillId="2" borderId="1" xfId="0" applyFont="1" applyFill="1" applyBorder="1" applyAlignment="1">
      <alignment horizontal="center" vertical="center" wrapText="1"/>
    </xf>
    <xf numFmtId="0" fontId="2" fillId="0" borderId="2" xfId="0" applyFont="1" applyBorder="1"/>
    <xf numFmtId="0" fontId="2" fillId="0" borderId="3" xfId="0" applyFont="1" applyBorder="1"/>
    <xf numFmtId="0" fontId="3" fillId="0" borderId="1" xfId="0" applyFont="1" applyBorder="1" applyAlignment="1">
      <alignment horizontal="left" vertical="center" wrapText="1"/>
    </xf>
    <xf numFmtId="49" fontId="3" fillId="0" borderId="1" xfId="0" applyNumberFormat="1" applyFont="1" applyBorder="1" applyAlignment="1">
      <alignment horizontal="left" vertical="center" wrapText="1"/>
    </xf>
    <xf numFmtId="0" fontId="3" fillId="0" borderId="1" xfId="0" applyFont="1" applyBorder="1" applyAlignment="1">
      <alignment horizontal="center" vertical="center" wrapText="1"/>
    </xf>
    <xf numFmtId="0" fontId="1" fillId="0" borderId="1" xfId="0" applyFont="1" applyBorder="1" applyAlignment="1">
      <alignment horizontal="center" vertical="center" wrapText="1"/>
    </xf>
    <xf numFmtId="0" fontId="1" fillId="2" borderId="4"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2" fillId="0" borderId="6" xfId="0" applyFont="1" applyBorder="1"/>
    <xf numFmtId="0" fontId="2" fillId="0" borderId="7" xfId="0" applyFont="1" applyBorder="1"/>
    <xf numFmtId="0" fontId="2" fillId="0" borderId="8" xfId="0" applyFont="1" applyBorder="1"/>
    <xf numFmtId="0" fontId="2" fillId="0" borderId="9" xfId="0" applyFont="1" applyBorder="1"/>
    <xf numFmtId="0" fontId="2" fillId="0" borderId="10" xfId="0" applyFont="1" applyBorder="1"/>
    <xf numFmtId="0" fontId="2" fillId="0" borderId="11" xfId="0" applyFont="1" applyBorder="1"/>
    <xf numFmtId="0" fontId="1" fillId="3" borderId="1" xfId="0" applyFont="1" applyFill="1" applyBorder="1" applyAlignment="1">
      <alignment horizontal="left" vertical="center" wrapText="1"/>
    </xf>
    <xf numFmtId="0" fontId="3" fillId="0" borderId="12" xfId="0" applyFont="1" applyBorder="1" applyAlignment="1">
      <alignment horizontal="center" vertical="top" wrapText="1"/>
    </xf>
    <xf numFmtId="0" fontId="3" fillId="0" borderId="1" xfId="0" applyFont="1" applyBorder="1" applyAlignment="1">
      <alignment horizontal="left" vertical="top" wrapText="1"/>
    </xf>
    <xf numFmtId="0" fontId="3" fillId="0" borderId="1" xfId="0" applyFont="1" applyBorder="1" applyAlignment="1">
      <alignment horizontal="center" vertical="top" wrapText="1"/>
    </xf>
    <xf numFmtId="178" fontId="3" fillId="0" borderId="1" xfId="0" applyNumberFormat="1" applyFont="1" applyBorder="1" applyAlignment="1">
      <alignment horizontal="center" vertical="top" wrapText="1"/>
    </xf>
    <xf numFmtId="0" fontId="4" fillId="0" borderId="1" xfId="0" applyFont="1" applyBorder="1" applyAlignment="1">
      <alignment horizontal="center" vertical="top" wrapText="1"/>
    </xf>
    <xf numFmtId="0" fontId="5" fillId="0" borderId="1" xfId="0" applyFont="1" applyBorder="1" applyAlignment="1">
      <alignment vertical="top"/>
    </xf>
    <xf numFmtId="178" fontId="4" fillId="0" borderId="1" xfId="0" applyNumberFormat="1" applyFont="1" applyBorder="1" applyAlignment="1">
      <alignment horizontal="center" vertical="top" wrapText="1"/>
    </xf>
    <xf numFmtId="0" fontId="6" fillId="0" borderId="12" xfId="0" applyFont="1" applyBorder="1" applyAlignment="1">
      <alignment horizontal="center" vertical="top" wrapText="1"/>
    </xf>
    <xf numFmtId="0" fontId="6" fillId="0" borderId="1" xfId="0" applyFont="1" applyBorder="1" applyAlignment="1">
      <alignment horizontal="left" vertical="top" wrapText="1"/>
    </xf>
    <xf numFmtId="0" fontId="6" fillId="0" borderId="1" xfId="0" applyFont="1" applyBorder="1" applyAlignment="1">
      <alignment horizontal="center" vertical="top" wrapText="1"/>
    </xf>
    <xf numFmtId="0" fontId="1" fillId="4" borderId="1" xfId="0" applyFont="1" applyFill="1" applyBorder="1" applyAlignment="1">
      <alignment horizontal="center" vertical="center" wrapText="1"/>
    </xf>
    <xf numFmtId="0" fontId="3" fillId="0" borderId="5" xfId="0" applyFont="1" applyBorder="1" applyAlignment="1">
      <alignment horizontal="center" vertical="center" wrapText="1"/>
    </xf>
    <xf numFmtId="49" fontId="3" fillId="0" borderId="5" xfId="0" applyNumberFormat="1" applyFont="1" applyBorder="1" applyAlignment="1">
      <alignment horizontal="center" vertical="center" wrapText="1"/>
    </xf>
    <xf numFmtId="0" fontId="1" fillId="0" borderId="0" xfId="0" applyFont="1" applyAlignment="1">
      <alignment horizontal="left" vertical="center" wrapText="1"/>
    </xf>
    <xf numFmtId="0" fontId="1" fillId="2" borderId="12" xfId="0" applyFont="1" applyFill="1" applyBorder="1" applyAlignment="1">
      <alignment horizontal="center" vertical="center" wrapText="1"/>
    </xf>
    <xf numFmtId="0" fontId="1" fillId="5" borderId="1" xfId="0" applyFont="1" applyFill="1" applyBorder="1" applyAlignment="1">
      <alignment horizontal="center" vertical="top" wrapText="1"/>
    </xf>
    <xf numFmtId="0" fontId="1" fillId="6" borderId="1" xfId="0" applyFont="1" applyFill="1" applyBorder="1" applyAlignment="1">
      <alignment horizontal="center" vertical="top" wrapText="1"/>
    </xf>
    <xf numFmtId="0" fontId="1" fillId="7" borderId="1" xfId="0" applyFont="1" applyFill="1" applyBorder="1" applyAlignment="1">
      <alignment horizontal="center" vertical="top" wrapText="1"/>
    </xf>
    <xf numFmtId="0" fontId="1" fillId="3" borderId="1" xfId="0" applyFont="1" applyFill="1" applyBorder="1" applyAlignment="1">
      <alignment horizontal="right" vertical="center" wrapText="1"/>
    </xf>
    <xf numFmtId="0" fontId="1" fillId="3" borderId="1" xfId="0" applyFont="1" applyFill="1" applyBorder="1" applyAlignment="1">
      <alignment horizontal="center" vertical="center" wrapText="1"/>
    </xf>
    <xf numFmtId="0" fontId="1" fillId="0" borderId="1" xfId="0" applyFont="1" applyBorder="1" applyAlignment="1">
      <alignment horizontal="center" vertical="top" wrapText="1"/>
    </xf>
    <xf numFmtId="0" fontId="7" fillId="0" borderId="1" xfId="0" applyFont="1" applyBorder="1" applyAlignment="1">
      <alignment horizontal="left" vertical="top" wrapText="1"/>
    </xf>
    <xf numFmtId="0" fontId="8" fillId="4" borderId="1" xfId="0" applyFont="1" applyFill="1" applyBorder="1" applyAlignment="1">
      <alignment horizontal="center" vertical="center" wrapText="1"/>
    </xf>
    <xf numFmtId="0" fontId="1" fillId="3" borderId="4" xfId="0" applyFont="1" applyFill="1" applyBorder="1" applyAlignment="1">
      <alignment horizontal="center" vertical="center" wrapText="1"/>
    </xf>
    <xf numFmtId="0" fontId="1" fillId="3" borderId="5" xfId="0" applyFont="1" applyFill="1" applyBorder="1" applyAlignment="1">
      <alignment horizontal="center" vertical="center" wrapText="1"/>
    </xf>
    <xf numFmtId="0" fontId="1" fillId="2" borderId="12" xfId="0" applyFont="1" applyFill="1" applyBorder="1" applyAlignment="1">
      <alignment horizontal="left" vertical="center" wrapText="1"/>
    </xf>
    <xf numFmtId="0" fontId="3" fillId="0" borderId="12" xfId="0" applyFont="1" applyBorder="1" applyAlignment="1">
      <alignment horizontal="center" vertical="center" wrapText="1"/>
    </xf>
    <xf numFmtId="179" fontId="3" fillId="0" borderId="1" xfId="0" applyNumberFormat="1" applyFont="1" applyBorder="1" applyAlignment="1">
      <alignment horizontal="center" vertical="center" wrapText="1"/>
    </xf>
    <xf numFmtId="179" fontId="1" fillId="0" borderId="1" xfId="0" applyNumberFormat="1" applyFont="1" applyBorder="1" applyAlignment="1">
      <alignment horizontal="center" vertical="center" wrapText="1"/>
    </xf>
    <xf numFmtId="0" fontId="3" fillId="0" borderId="0" xfId="0" applyFont="1" applyAlignment="1">
      <alignment horizontal="left" vertical="center" wrapText="1"/>
    </xf>
    <xf numFmtId="0" fontId="1" fillId="8" borderId="0" xfId="0" applyFont="1" applyFill="1" applyBorder="1" applyAlignment="1">
      <alignment horizontal="left" vertical="center" wrapText="1"/>
    </xf>
    <xf numFmtId="0" fontId="2" fillId="0" borderId="0" xfId="0" applyFont="1" applyBorder="1"/>
    <xf numFmtId="0" fontId="1" fillId="4" borderId="12" xfId="0" applyFont="1" applyFill="1" applyBorder="1" applyAlignment="1">
      <alignment horizontal="center" vertical="center" wrapText="1"/>
    </xf>
    <xf numFmtId="0" fontId="5" fillId="0" borderId="5" xfId="0" applyFont="1" applyBorder="1"/>
    <xf numFmtId="0" fontId="5" fillId="0" borderId="6" xfId="0" applyFont="1" applyBorder="1"/>
    <xf numFmtId="0" fontId="5" fillId="0" borderId="7" xfId="0" applyFont="1" applyBorder="1"/>
    <xf numFmtId="0" fontId="5" fillId="0" borderId="13" xfId="0" applyFont="1" applyBorder="1"/>
    <xf numFmtId="0" fontId="5" fillId="0" borderId="14" xfId="0" applyFont="1" applyBorder="1"/>
    <xf numFmtId="0" fontId="9" fillId="0" borderId="13" xfId="0" applyFont="1" applyBorder="1" applyAlignment="1">
      <alignment horizontal="center" vertical="center" wrapText="1"/>
    </xf>
    <xf numFmtId="0" fontId="2" fillId="0" borderId="14" xfId="0" applyFont="1" applyBorder="1"/>
    <xf numFmtId="0" fontId="10" fillId="0" borderId="13" xfId="0" applyFont="1" applyBorder="1" applyAlignment="1">
      <alignment horizontal="center" vertical="center" wrapText="1"/>
    </xf>
    <xf numFmtId="0" fontId="11" fillId="0" borderId="13" xfId="0" applyFont="1" applyBorder="1" applyAlignment="1">
      <alignment horizontal="center" vertical="center" wrapText="1"/>
    </xf>
    <xf numFmtId="0" fontId="12" fillId="9" borderId="1" xfId="0" applyFont="1" applyFill="1" applyBorder="1" applyAlignment="1">
      <alignment horizontal="center" vertical="center" wrapText="1"/>
    </xf>
    <xf numFmtId="49" fontId="12" fillId="9" borderId="1" xfId="0" applyNumberFormat="1" applyFont="1" applyFill="1" applyBorder="1" applyAlignment="1">
      <alignment horizontal="center" vertical="center" wrapText="1"/>
    </xf>
    <xf numFmtId="0" fontId="5" fillId="0" borderId="9" xfId="0" applyFont="1" applyBorder="1"/>
    <xf numFmtId="0" fontId="5" fillId="0" borderId="10" xfId="0" applyFont="1" applyBorder="1"/>
    <xf numFmtId="0" fontId="5" fillId="0" borderId="11" xfId="0" applyFont="1" applyBorder="1"/>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sharedStrings" Target="sharedStrings.xml"/><Relationship Id="rId7" Type="http://schemas.openxmlformats.org/officeDocument/2006/relationships/theme" Target="theme/theme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15</xdr:col>
      <xdr:colOff>0</xdr:colOff>
      <xdr:row>2</xdr:row>
      <xdr:rowOff>0</xdr:rowOff>
    </xdr:from>
    <xdr:ext cx="1333500" cy="514350"/>
    <xdr:pic>
      <xdr:nvPicPr>
        <xdr:cNvPr id="2" name="image1.png" descr="Picture"/>
        <xdr:cNvPicPr preferRelativeResize="0"/>
      </xdr:nvPicPr>
      <xdr:blipFill>
        <a:blip r:embed="rId1" cstate="print"/>
        <a:stretch>
          <a:fillRect/>
        </a:stretch>
      </xdr:blipFill>
      <xdr:spPr>
        <a:xfrm>
          <a:off x="3314700" y="409575"/>
          <a:ext cx="1333500" cy="514350"/>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AK1000"/>
  <sheetViews>
    <sheetView showGridLines="0" workbookViewId="0">
      <selection activeCell="A1" sqref="A1"/>
    </sheetView>
  </sheetViews>
  <sheetFormatPr defaultColWidth="14.4285714285714" defaultRowHeight="15" customHeight="1"/>
  <cols>
    <col min="1" max="1" width="3.71428571428571" customWidth="1"/>
    <col min="2" max="37" width="3.28571428571429" customWidth="1"/>
  </cols>
  <sheetData>
    <row r="1" ht="19.5" customHeight="1"/>
    <row r="2" ht="12.75" customHeight="1" spans="2:37">
      <c r="B2" s="50"/>
      <c r="C2" s="51"/>
      <c r="D2" s="51"/>
      <c r="E2" s="51"/>
      <c r="F2" s="51"/>
      <c r="G2" s="51"/>
      <c r="H2" s="51"/>
      <c r="I2" s="51"/>
      <c r="J2" s="51"/>
      <c r="K2" s="51"/>
      <c r="L2" s="51"/>
      <c r="M2" s="51"/>
      <c r="N2" s="51"/>
      <c r="O2" s="51"/>
      <c r="P2" s="51"/>
      <c r="Q2" s="51"/>
      <c r="R2" s="51"/>
      <c r="S2" s="51"/>
      <c r="T2" s="51"/>
      <c r="U2" s="51"/>
      <c r="V2" s="51"/>
      <c r="W2" s="51"/>
      <c r="X2" s="51"/>
      <c r="Y2" s="51"/>
      <c r="Z2" s="51"/>
      <c r="AA2" s="51"/>
      <c r="AB2" s="51"/>
      <c r="AC2" s="51"/>
      <c r="AD2" s="51"/>
      <c r="AE2" s="51"/>
      <c r="AF2" s="51"/>
      <c r="AG2" s="51"/>
      <c r="AH2" s="51"/>
      <c r="AI2" s="51"/>
      <c r="AJ2" s="51"/>
      <c r="AK2" s="52"/>
    </row>
    <row r="3" ht="12.75" customHeight="1" spans="2:37">
      <c r="B3" s="53"/>
      <c r="AK3" s="54"/>
    </row>
    <row r="4" ht="12.75" customHeight="1" spans="2:37">
      <c r="B4" s="53"/>
      <c r="AK4" s="54"/>
    </row>
    <row r="5" ht="12.75" customHeight="1" spans="2:37">
      <c r="B5" s="53"/>
      <c r="AK5" s="54"/>
    </row>
    <row r="6" ht="12.75" customHeight="1" spans="2:37">
      <c r="B6" s="53"/>
      <c r="AK6" s="54"/>
    </row>
    <row r="7" ht="12.75" customHeight="1" spans="2:37">
      <c r="B7" s="53"/>
      <c r="AK7" s="54"/>
    </row>
    <row r="8" ht="12.75" customHeight="1" spans="2:37">
      <c r="B8" s="53"/>
      <c r="AK8" s="54"/>
    </row>
    <row r="9" ht="12.75" customHeight="1" spans="2:37">
      <c r="B9" s="53"/>
      <c r="AK9" s="54"/>
    </row>
    <row r="10" ht="29.25" customHeight="1" spans="2:37">
      <c r="B10" s="55" t="s">
        <v>0</v>
      </c>
      <c r="AK10" s="56"/>
    </row>
    <row r="11" ht="12.75" customHeight="1" spans="2:37">
      <c r="B11" s="53"/>
      <c r="AK11" s="54"/>
    </row>
    <row r="12" ht="39" customHeight="1" spans="2:37">
      <c r="B12" s="57" t="s">
        <v>1</v>
      </c>
      <c r="AK12" s="56"/>
    </row>
    <row r="13" ht="12.75" customHeight="1" spans="2:37">
      <c r="B13" s="53"/>
      <c r="AK13" s="54"/>
    </row>
    <row r="14" ht="12.75" customHeight="1" spans="2:37">
      <c r="B14" s="53"/>
      <c r="AK14" s="54"/>
    </row>
    <row r="15" ht="12.75" customHeight="1" spans="2:37">
      <c r="B15" s="58" t="s">
        <v>2</v>
      </c>
      <c r="AK15" s="56"/>
    </row>
    <row r="16" ht="12.75" customHeight="1" spans="2:37">
      <c r="B16" s="53"/>
      <c r="AK16" s="54"/>
    </row>
    <row r="17" ht="12.75" customHeight="1" spans="2:37">
      <c r="B17" s="53"/>
      <c r="AK17" s="54"/>
    </row>
    <row r="18" ht="12.75" customHeight="1" spans="2:37">
      <c r="B18" s="53"/>
      <c r="N18" s="59" t="s">
        <v>3</v>
      </c>
      <c r="O18" s="2"/>
      <c r="P18" s="2"/>
      <c r="Q18" s="2"/>
      <c r="R18" s="3"/>
      <c r="S18" s="59" t="s">
        <v>4</v>
      </c>
      <c r="T18" s="2"/>
      <c r="U18" s="2"/>
      <c r="V18" s="2"/>
      <c r="W18" s="3"/>
      <c r="AK18" s="54"/>
    </row>
    <row r="19" ht="12.75" customHeight="1" spans="2:37">
      <c r="B19" s="53"/>
      <c r="N19" s="59" t="s">
        <v>5</v>
      </c>
      <c r="O19" s="2"/>
      <c r="P19" s="2"/>
      <c r="Q19" s="2"/>
      <c r="R19" s="3"/>
      <c r="S19" s="59" t="s">
        <v>6</v>
      </c>
      <c r="T19" s="2"/>
      <c r="U19" s="2"/>
      <c r="V19" s="2"/>
      <c r="W19" s="3"/>
      <c r="AK19" s="54"/>
    </row>
    <row r="20" ht="12.75" customHeight="1" spans="2:37">
      <c r="B20" s="53"/>
      <c r="N20" s="59" t="s">
        <v>7</v>
      </c>
      <c r="O20" s="2"/>
      <c r="P20" s="2"/>
      <c r="Q20" s="2"/>
      <c r="R20" s="3"/>
      <c r="S20" s="60" t="s">
        <v>8</v>
      </c>
      <c r="T20" s="2"/>
      <c r="U20" s="2"/>
      <c r="V20" s="2"/>
      <c r="W20" s="3"/>
      <c r="AK20" s="54"/>
    </row>
    <row r="21" ht="12.75" customHeight="1" spans="2:37">
      <c r="B21" s="53"/>
      <c r="AK21" s="54"/>
    </row>
    <row r="22" ht="12.75" customHeight="1" spans="2:37">
      <c r="B22" s="53"/>
      <c r="AK22" s="54"/>
    </row>
    <row r="23" ht="12.75" customHeight="1" spans="2:37">
      <c r="B23" s="53"/>
      <c r="AK23" s="54"/>
    </row>
    <row r="24" ht="12.75" customHeight="1" spans="2:37">
      <c r="B24" s="53"/>
      <c r="AK24" s="54"/>
    </row>
    <row r="25" ht="12.75" customHeight="1" spans="2:37">
      <c r="B25" s="53"/>
      <c r="AK25" s="54"/>
    </row>
    <row r="26" ht="12.75" customHeight="1" spans="2:37">
      <c r="B26" s="53"/>
      <c r="AK26" s="54"/>
    </row>
    <row r="27" ht="12.75" customHeight="1" spans="2:37">
      <c r="B27" s="53"/>
      <c r="AK27" s="54"/>
    </row>
    <row r="28" ht="12.75" customHeight="1" spans="2:37">
      <c r="B28" s="53"/>
      <c r="AK28" s="54"/>
    </row>
    <row r="29" ht="12.75" customHeight="1" spans="2:37">
      <c r="B29" s="53"/>
      <c r="AK29" s="54"/>
    </row>
    <row r="30" ht="12.75" customHeight="1" spans="2:37">
      <c r="B30" s="53"/>
      <c r="AK30" s="54"/>
    </row>
    <row r="31" ht="12.75" customHeight="1" spans="2:37">
      <c r="B31" s="53"/>
      <c r="AK31" s="54"/>
    </row>
    <row r="32" ht="12.75" customHeight="1" spans="2:37">
      <c r="B32" s="53"/>
      <c r="AK32" s="54"/>
    </row>
    <row r="33" ht="12.75" customHeight="1" spans="2:37">
      <c r="B33" s="53"/>
      <c r="AK33" s="54"/>
    </row>
    <row r="34" ht="12.75" customHeight="1" spans="2:37">
      <c r="B34" s="61"/>
      <c r="C34" s="62"/>
      <c r="D34" s="62"/>
      <c r="E34" s="62"/>
      <c r="F34" s="62"/>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62"/>
      <c r="AG34" s="62"/>
      <c r="AH34" s="62"/>
      <c r="AI34" s="62"/>
      <c r="AJ34" s="62"/>
      <c r="AK34" s="63"/>
    </row>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9">
    <mergeCell ref="B10:AK10"/>
    <mergeCell ref="B12:AK12"/>
    <mergeCell ref="B15:AK15"/>
    <mergeCell ref="N18:R18"/>
    <mergeCell ref="S18:W18"/>
    <mergeCell ref="N19:R19"/>
    <mergeCell ref="S19:W19"/>
    <mergeCell ref="N20:R20"/>
    <mergeCell ref="S20:W20"/>
  </mergeCells>
  <pageMargins left="0.75" right="0.75" top="1" bottom="1" header="0" footer="0"/>
  <pageSetup paperSize="1" orientation="landscape"/>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H1000"/>
  <sheetViews>
    <sheetView showGridLines="0" workbookViewId="0">
      <selection activeCell="A1" sqref="A1"/>
    </sheetView>
  </sheetViews>
  <sheetFormatPr defaultColWidth="14.4285714285714" defaultRowHeight="15" customHeight="1"/>
  <cols>
    <col min="1" max="1" width="8" customWidth="1"/>
    <col min="2" max="34" width="3.28571428571429" customWidth="1"/>
  </cols>
  <sheetData>
    <row r="1" ht="22.5" customHeight="1" spans="1:34">
      <c r="A1" s="49" t="s">
        <v>9</v>
      </c>
      <c r="B1" s="27" t="s">
        <v>7</v>
      </c>
      <c r="C1" s="2"/>
      <c r="D1" s="2"/>
      <c r="E1" s="3"/>
      <c r="F1" s="27" t="s">
        <v>10</v>
      </c>
      <c r="G1" s="2"/>
      <c r="H1" s="3"/>
      <c r="I1" s="27" t="s">
        <v>11</v>
      </c>
      <c r="J1" s="2"/>
      <c r="K1" s="2"/>
      <c r="L1" s="2"/>
      <c r="M1" s="2"/>
      <c r="N1" s="3"/>
      <c r="O1" s="27" t="s">
        <v>12</v>
      </c>
      <c r="P1" s="2"/>
      <c r="Q1" s="2"/>
      <c r="R1" s="2"/>
      <c r="S1" s="2"/>
      <c r="T1" s="2"/>
      <c r="U1" s="2"/>
      <c r="V1" s="3"/>
      <c r="W1" s="27" t="s">
        <v>13</v>
      </c>
      <c r="X1" s="2"/>
      <c r="Y1" s="2"/>
      <c r="Z1" s="2"/>
      <c r="AA1" s="2"/>
      <c r="AB1" s="3"/>
      <c r="AC1" s="27" t="s">
        <v>14</v>
      </c>
      <c r="AD1" s="2"/>
      <c r="AE1" s="2"/>
      <c r="AF1" s="2"/>
      <c r="AG1" s="2"/>
      <c r="AH1" s="3"/>
    </row>
    <row r="2" ht="22.5" customHeight="1" spans="1:34">
      <c r="A2" s="43">
        <v>1</v>
      </c>
      <c r="B2" s="6" t="s">
        <v>15</v>
      </c>
      <c r="C2" s="2"/>
      <c r="D2" s="2"/>
      <c r="E2" s="3"/>
      <c r="F2" s="6" t="s">
        <v>6</v>
      </c>
      <c r="G2" s="2"/>
      <c r="H2" s="3"/>
      <c r="I2" s="6" t="s">
        <v>16</v>
      </c>
      <c r="J2" s="2"/>
      <c r="K2" s="2"/>
      <c r="L2" s="2"/>
      <c r="M2" s="2"/>
      <c r="N2" s="3"/>
      <c r="O2" s="4" t="s">
        <v>17</v>
      </c>
      <c r="P2" s="2"/>
      <c r="Q2" s="2"/>
      <c r="R2" s="2"/>
      <c r="S2" s="2"/>
      <c r="T2" s="2"/>
      <c r="U2" s="2"/>
      <c r="V2" s="3"/>
      <c r="W2" s="6" t="s">
        <v>18</v>
      </c>
      <c r="X2" s="2"/>
      <c r="Y2" s="2"/>
      <c r="Z2" s="2"/>
      <c r="AA2" s="2"/>
      <c r="AB2" s="3"/>
      <c r="AC2" s="6"/>
      <c r="AD2" s="2"/>
      <c r="AE2" s="2"/>
      <c r="AF2" s="2"/>
      <c r="AG2" s="2"/>
      <c r="AH2" s="3"/>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
    <mergeCell ref="B1:E1"/>
    <mergeCell ref="F1:H1"/>
    <mergeCell ref="I1:N1"/>
    <mergeCell ref="O1:V1"/>
    <mergeCell ref="W1:AB1"/>
    <mergeCell ref="AC1:AH1"/>
    <mergeCell ref="B2:E2"/>
    <mergeCell ref="F2:H2"/>
    <mergeCell ref="I2:N2"/>
    <mergeCell ref="O2:V2"/>
    <mergeCell ref="W2:AB2"/>
    <mergeCell ref="AC2:AH2"/>
  </mergeCells>
  <pageMargins left="0.75" right="0.75" top="1" bottom="1" header="0" footer="0"/>
  <pageSetup paperSize="1" orientation="landscape"/>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K1000"/>
  <sheetViews>
    <sheetView showGridLines="0" workbookViewId="0">
      <selection activeCell="A1" sqref="A1:I1"/>
    </sheetView>
  </sheetViews>
  <sheetFormatPr defaultColWidth="14.4285714285714" defaultRowHeight="15" customHeight="1"/>
  <cols>
    <col min="1" max="37" width="4.28571428571429" customWidth="1"/>
  </cols>
  <sheetData>
    <row r="1" ht="19.5" customHeight="1" spans="1:37">
      <c r="A1" s="27" t="s">
        <v>19</v>
      </c>
      <c r="B1" s="2"/>
      <c r="C1" s="2"/>
      <c r="D1" s="2"/>
      <c r="E1" s="2"/>
      <c r="F1" s="2"/>
      <c r="G1" s="2"/>
      <c r="H1" s="2"/>
      <c r="I1" s="3"/>
      <c r="J1" s="27" t="s">
        <v>20</v>
      </c>
      <c r="K1" s="2"/>
      <c r="L1" s="2"/>
      <c r="M1" s="2"/>
      <c r="N1" s="2"/>
      <c r="O1" s="2"/>
      <c r="P1" s="3"/>
      <c r="Q1" s="27" t="s">
        <v>21</v>
      </c>
      <c r="R1" s="2"/>
      <c r="S1" s="2"/>
      <c r="T1" s="2"/>
      <c r="U1" s="3"/>
      <c r="V1" s="27" t="s">
        <v>22</v>
      </c>
      <c r="W1" s="2"/>
      <c r="X1" s="2"/>
      <c r="Y1" s="3"/>
      <c r="Z1" s="27" t="s">
        <v>23</v>
      </c>
      <c r="AA1" s="2"/>
      <c r="AB1" s="2"/>
      <c r="AC1" s="3"/>
      <c r="AD1" s="27" t="s">
        <v>24</v>
      </c>
      <c r="AE1" s="2"/>
      <c r="AF1" s="2"/>
      <c r="AG1" s="3"/>
      <c r="AH1" s="27" t="s">
        <v>25</v>
      </c>
      <c r="AI1" s="2"/>
      <c r="AJ1" s="2"/>
      <c r="AK1" s="3"/>
    </row>
    <row r="2" ht="19.5" customHeight="1" spans="1:37">
      <c r="A2" s="28" t="s">
        <v>0</v>
      </c>
      <c r="B2" s="10"/>
      <c r="C2" s="10"/>
      <c r="D2" s="10"/>
      <c r="E2" s="10"/>
      <c r="F2" s="10"/>
      <c r="G2" s="10"/>
      <c r="H2" s="10"/>
      <c r="I2" s="11"/>
      <c r="J2" s="28" t="s">
        <v>26</v>
      </c>
      <c r="K2" s="10"/>
      <c r="L2" s="10"/>
      <c r="M2" s="10"/>
      <c r="N2" s="10"/>
      <c r="O2" s="10"/>
      <c r="P2" s="11"/>
      <c r="Q2" s="28" t="s">
        <v>27</v>
      </c>
      <c r="R2" s="10"/>
      <c r="S2" s="10"/>
      <c r="T2" s="10"/>
      <c r="U2" s="11"/>
      <c r="V2" s="29" t="s">
        <v>8</v>
      </c>
      <c r="W2" s="10"/>
      <c r="X2" s="10"/>
      <c r="Y2" s="11"/>
      <c r="Z2" s="28" t="s">
        <v>16</v>
      </c>
      <c r="AA2" s="10"/>
      <c r="AB2" s="10"/>
      <c r="AC2" s="11"/>
      <c r="AD2" s="29" t="s">
        <v>8</v>
      </c>
      <c r="AE2" s="10"/>
      <c r="AF2" s="10"/>
      <c r="AG2" s="11"/>
      <c r="AH2" s="28" t="s">
        <v>16</v>
      </c>
      <c r="AI2" s="10"/>
      <c r="AJ2" s="10"/>
      <c r="AK2" s="11"/>
    </row>
    <row r="3" ht="19.5" customHeight="1" spans="1:37">
      <c r="A3" s="13"/>
      <c r="B3" s="14"/>
      <c r="C3" s="14"/>
      <c r="D3" s="14"/>
      <c r="E3" s="14"/>
      <c r="F3" s="14"/>
      <c r="G3" s="14"/>
      <c r="H3" s="14"/>
      <c r="I3" s="15"/>
      <c r="J3" s="13"/>
      <c r="K3" s="14"/>
      <c r="L3" s="14"/>
      <c r="M3" s="14"/>
      <c r="N3" s="14"/>
      <c r="O3" s="14"/>
      <c r="P3" s="15"/>
      <c r="Q3" s="13"/>
      <c r="R3" s="14"/>
      <c r="S3" s="14"/>
      <c r="T3" s="14"/>
      <c r="U3" s="15"/>
      <c r="V3" s="13"/>
      <c r="W3" s="14"/>
      <c r="X3" s="14"/>
      <c r="Y3" s="15"/>
      <c r="Z3" s="13"/>
      <c r="AA3" s="14"/>
      <c r="AB3" s="14"/>
      <c r="AC3" s="15"/>
      <c r="AD3" s="13"/>
      <c r="AE3" s="14"/>
      <c r="AF3" s="14"/>
      <c r="AG3" s="15"/>
      <c r="AH3" s="13"/>
      <c r="AI3" s="14"/>
      <c r="AJ3" s="14"/>
      <c r="AK3" s="15"/>
    </row>
    <row r="5" ht="19.5" customHeight="1" spans="1:37">
      <c r="B5" s="30" t="s">
        <v>28</v>
      </c>
    </row>
    <row r="6" ht="19.5" customHeight="1" spans="1:37">
      <c r="C6" s="46" t="s">
        <v>29</v>
      </c>
    </row>
    <row r="7" ht="19.5" customHeight="1" spans="1:37">
      <c r="C7" s="46" t="s">
        <v>30</v>
      </c>
    </row>
    <row r="8" ht="19.5" customHeight="1" spans="1:37">
      <c r="C8" s="46" t="s">
        <v>31</v>
      </c>
    </row>
    <row r="9" ht="19.5" customHeight="1" spans="1:37">
      <c r="C9" s="46" t="s">
        <v>32</v>
      </c>
    </row>
    <row r="10" ht="19.5" customHeight="1" spans="1:37">
      <c r="C10" s="46" t="s">
        <v>33</v>
      </c>
    </row>
    <row r="11" ht="19.5" customHeight="1" spans="1:37">
      <c r="C11" s="46" t="s">
        <v>34</v>
      </c>
    </row>
    <row r="12" ht="19.5" customHeight="1" spans="1:37">
      <c r="C12" s="46" t="s">
        <v>35</v>
      </c>
    </row>
    <row r="14" ht="19.5" customHeight="1" spans="1:37">
      <c r="B14" s="30" t="s">
        <v>36</v>
      </c>
    </row>
    <row r="15" ht="19.5" customHeight="1" spans="1:37">
      <c r="C15" s="47" t="s">
        <v>37</v>
      </c>
      <c r="D15" s="48"/>
      <c r="E15" s="48"/>
      <c r="F15" s="48"/>
      <c r="G15" s="48"/>
      <c r="H15" s="48"/>
      <c r="I15" s="48"/>
      <c r="J15" s="48"/>
      <c r="K15" s="48"/>
      <c r="L15" s="48"/>
      <c r="M15" s="48"/>
      <c r="N15" s="48"/>
      <c r="O15" s="48"/>
      <c r="P15" s="48"/>
      <c r="Q15" s="48"/>
      <c r="R15" s="48"/>
      <c r="S15" s="48"/>
      <c r="T15" s="48"/>
      <c r="U15" s="48"/>
      <c r="V15" s="48"/>
      <c r="W15" s="48"/>
      <c r="X15" s="48"/>
      <c r="Y15" s="48"/>
      <c r="Z15" s="48"/>
      <c r="AA15" s="48"/>
      <c r="AB15" s="48"/>
      <c r="AC15" s="48"/>
      <c r="AD15" s="48"/>
      <c r="AE15" s="48"/>
      <c r="AF15" s="48"/>
      <c r="AG15" s="48"/>
      <c r="AH15" s="48"/>
      <c r="AI15" s="48"/>
      <c r="AJ15" s="48"/>
      <c r="AK15" s="48"/>
    </row>
    <row r="17" ht="19.5" customHeight="1" spans="2:33">
      <c r="B17" s="30" t="s">
        <v>38</v>
      </c>
    </row>
    <row r="19" ht="22.5" customHeight="1" spans="2:33">
      <c r="C19" s="49" t="s">
        <v>39</v>
      </c>
      <c r="D19" s="27" t="s">
        <v>40</v>
      </c>
      <c r="E19" s="2"/>
      <c r="F19" s="2"/>
      <c r="G19" s="2"/>
      <c r="H19" s="2"/>
      <c r="I19" s="2"/>
      <c r="J19" s="2"/>
      <c r="K19" s="2"/>
      <c r="L19" s="2"/>
      <c r="M19" s="2"/>
      <c r="N19" s="3"/>
      <c r="O19" s="27" t="s">
        <v>41</v>
      </c>
      <c r="P19" s="2"/>
      <c r="Q19" s="2"/>
      <c r="R19" s="2"/>
      <c r="S19" s="2"/>
      <c r="T19" s="2"/>
      <c r="U19" s="2"/>
      <c r="V19" s="2"/>
      <c r="W19" s="2"/>
      <c r="X19" s="2"/>
      <c r="Y19" s="2"/>
      <c r="Z19" s="2"/>
      <c r="AA19" s="2"/>
      <c r="AB19" s="2"/>
      <c r="AC19" s="2"/>
      <c r="AD19" s="2"/>
      <c r="AE19" s="2"/>
      <c r="AF19" s="2"/>
      <c r="AG19" s="3"/>
    </row>
    <row r="20" ht="22.5" customHeight="1" spans="2:33">
      <c r="C20" s="43">
        <v>1</v>
      </c>
      <c r="D20" s="4" t="s">
        <v>42</v>
      </c>
      <c r="E20" s="2"/>
      <c r="F20" s="2"/>
      <c r="G20" s="2"/>
      <c r="H20" s="2"/>
      <c r="I20" s="2"/>
      <c r="J20" s="2"/>
      <c r="K20" s="2"/>
      <c r="L20" s="2"/>
      <c r="M20" s="2"/>
      <c r="N20" s="3"/>
      <c r="O20" s="4" t="s">
        <v>43</v>
      </c>
      <c r="P20" s="2"/>
      <c r="Q20" s="2"/>
      <c r="R20" s="2"/>
      <c r="S20" s="2"/>
      <c r="T20" s="2"/>
      <c r="U20" s="2"/>
      <c r="V20" s="2"/>
      <c r="W20" s="2"/>
      <c r="X20" s="2"/>
      <c r="Y20" s="2"/>
      <c r="Z20" s="2"/>
      <c r="AA20" s="2"/>
      <c r="AB20" s="2"/>
      <c r="AC20" s="2"/>
      <c r="AD20" s="2"/>
      <c r="AE20" s="2"/>
      <c r="AF20" s="2"/>
      <c r="AG20" s="3"/>
    </row>
    <row r="21" ht="22.5" customHeight="1" spans="2:33">
      <c r="C21" s="43">
        <v>2</v>
      </c>
      <c r="D21" s="4" t="s">
        <v>44</v>
      </c>
      <c r="E21" s="2"/>
      <c r="F21" s="2"/>
      <c r="G21" s="2"/>
      <c r="H21" s="2"/>
      <c r="I21" s="2"/>
      <c r="J21" s="2"/>
      <c r="K21" s="2"/>
      <c r="L21" s="2"/>
      <c r="M21" s="2"/>
      <c r="N21" s="3"/>
      <c r="O21" s="4" t="s">
        <v>45</v>
      </c>
      <c r="P21" s="2"/>
      <c r="Q21" s="2"/>
      <c r="R21" s="2"/>
      <c r="S21" s="2"/>
      <c r="T21" s="2"/>
      <c r="U21" s="2"/>
      <c r="V21" s="2"/>
      <c r="W21" s="2"/>
      <c r="X21" s="2"/>
      <c r="Y21" s="2"/>
      <c r="Z21" s="2"/>
      <c r="AA21" s="2"/>
      <c r="AB21" s="2"/>
      <c r="AC21" s="2"/>
      <c r="AD21" s="2"/>
      <c r="AE21" s="2"/>
      <c r="AF21" s="2"/>
      <c r="AG21" s="3"/>
    </row>
    <row r="22" ht="22.5" customHeight="1" spans="2:33">
      <c r="C22" s="43">
        <v>3</v>
      </c>
      <c r="D22" s="4" t="s">
        <v>46</v>
      </c>
      <c r="E22" s="2"/>
      <c r="F22" s="2"/>
      <c r="G22" s="2"/>
      <c r="H22" s="2"/>
      <c r="I22" s="2"/>
      <c r="J22" s="2"/>
      <c r="K22" s="2"/>
      <c r="L22" s="2"/>
      <c r="M22" s="2"/>
      <c r="N22" s="3"/>
      <c r="O22" s="4" t="s">
        <v>47</v>
      </c>
      <c r="P22" s="2"/>
      <c r="Q22" s="2"/>
      <c r="R22" s="2"/>
      <c r="S22" s="2"/>
      <c r="T22" s="2"/>
      <c r="U22" s="2"/>
      <c r="V22" s="2"/>
      <c r="W22" s="2"/>
      <c r="X22" s="2"/>
      <c r="Y22" s="2"/>
      <c r="Z22" s="2"/>
      <c r="AA22" s="2"/>
      <c r="AB22" s="2"/>
      <c r="AC22" s="2"/>
      <c r="AD22" s="2"/>
      <c r="AE22" s="2"/>
      <c r="AF22" s="2"/>
      <c r="AG22" s="3"/>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3">
    <mergeCell ref="A1:I1"/>
    <mergeCell ref="J1:P1"/>
    <mergeCell ref="Q1:U1"/>
    <mergeCell ref="V1:Y1"/>
    <mergeCell ref="Z1:AC1"/>
    <mergeCell ref="AD1:AG1"/>
    <mergeCell ref="AH1:AK1"/>
    <mergeCell ref="B5:AK5"/>
    <mergeCell ref="C6:AK6"/>
    <mergeCell ref="C7:AK7"/>
    <mergeCell ref="C8:AK8"/>
    <mergeCell ref="C9:AK9"/>
    <mergeCell ref="C10:AK10"/>
    <mergeCell ref="C11:AK11"/>
    <mergeCell ref="C12:AK12"/>
    <mergeCell ref="B14:AK14"/>
    <mergeCell ref="C15:AK15"/>
    <mergeCell ref="B17:AK17"/>
    <mergeCell ref="D19:N19"/>
    <mergeCell ref="O19:AG19"/>
    <mergeCell ref="D20:N20"/>
    <mergeCell ref="O20:AG20"/>
    <mergeCell ref="D21:N21"/>
    <mergeCell ref="O21:AG21"/>
    <mergeCell ref="D22:N22"/>
    <mergeCell ref="O22:AG22"/>
    <mergeCell ref="A2:I3"/>
    <mergeCell ref="J2:P3"/>
    <mergeCell ref="Q2:U3"/>
    <mergeCell ref="V2:Y3"/>
    <mergeCell ref="Z2:AC3"/>
    <mergeCell ref="AD2:AG3"/>
    <mergeCell ref="AH2:AK3"/>
  </mergeCells>
  <pageMargins left="0.75" right="0.75" top="1" bottom="1" header="0" footer="0"/>
  <pageSetup paperSize="1" orientation="landscape"/>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H1000"/>
  <sheetViews>
    <sheetView showGridLines="0" workbookViewId="0">
      <selection activeCell="A1" sqref="A1:AH1"/>
    </sheetView>
  </sheetViews>
  <sheetFormatPr defaultColWidth="14.4285714285714" defaultRowHeight="15" customHeight="1"/>
  <cols>
    <col min="1" max="1" width="13" customWidth="1"/>
    <col min="2" max="34" width="5" customWidth="1"/>
  </cols>
  <sheetData>
    <row r="1" ht="28.5" customHeight="1" spans="1:34">
      <c r="A1" s="39" t="s">
        <v>48</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3"/>
    </row>
    <row r="3" ht="22.5" customHeight="1" spans="1:34">
      <c r="A3" s="16" t="s">
        <v>49</v>
      </c>
      <c r="B3" s="2"/>
      <c r="C3" s="2"/>
      <c r="D3" s="2"/>
      <c r="E3" s="2"/>
      <c r="F3" s="3"/>
      <c r="G3" s="4" t="s">
        <v>0</v>
      </c>
      <c r="H3" s="2"/>
      <c r="I3" s="2"/>
      <c r="J3" s="2"/>
      <c r="K3" s="2"/>
      <c r="L3" s="2"/>
      <c r="M3" s="2"/>
      <c r="N3" s="2"/>
      <c r="O3" s="3"/>
      <c r="P3" s="16" t="s">
        <v>50</v>
      </c>
      <c r="Q3" s="2"/>
      <c r="R3" s="2"/>
      <c r="S3" s="2"/>
      <c r="T3" s="2"/>
      <c r="U3" s="2"/>
      <c r="V3" s="2"/>
      <c r="W3" s="3"/>
      <c r="X3" s="4" t="s">
        <v>18</v>
      </c>
      <c r="Y3" s="2"/>
      <c r="Z3" s="2"/>
      <c r="AA3" s="2"/>
      <c r="AB3" s="2"/>
      <c r="AC3" s="2"/>
      <c r="AD3" s="2"/>
      <c r="AE3" s="2"/>
      <c r="AF3" s="2"/>
      <c r="AG3" s="2"/>
      <c r="AH3" s="3"/>
    </row>
    <row r="4" ht="22.5" customHeight="1" spans="1:34">
      <c r="A4" s="16" t="s">
        <v>11</v>
      </c>
      <c r="B4" s="2"/>
      <c r="C4" s="2"/>
      <c r="D4" s="2"/>
      <c r="E4" s="2"/>
      <c r="F4" s="3"/>
      <c r="G4" s="4" t="s">
        <v>16</v>
      </c>
      <c r="H4" s="2"/>
      <c r="I4" s="2"/>
      <c r="J4" s="2"/>
      <c r="K4" s="2"/>
      <c r="L4" s="2"/>
      <c r="M4" s="2"/>
      <c r="N4" s="2"/>
      <c r="O4" s="3"/>
      <c r="P4" s="16" t="s">
        <v>22</v>
      </c>
      <c r="Q4" s="2"/>
      <c r="R4" s="2"/>
      <c r="S4" s="2"/>
      <c r="T4" s="2"/>
      <c r="U4" s="2"/>
      <c r="V4" s="2"/>
      <c r="W4" s="3"/>
      <c r="X4" s="5" t="s">
        <v>8</v>
      </c>
      <c r="Y4" s="2"/>
      <c r="Z4" s="2"/>
      <c r="AA4" s="2"/>
      <c r="AB4" s="2"/>
      <c r="AC4" s="2"/>
      <c r="AD4" s="2"/>
      <c r="AE4" s="2"/>
      <c r="AF4" s="2"/>
      <c r="AG4" s="2"/>
      <c r="AH4" s="3"/>
    </row>
    <row r="6" ht="22.5" customHeight="1" spans="1:34">
      <c r="A6" s="40" t="s">
        <v>51</v>
      </c>
      <c r="B6" s="41" t="s">
        <v>52</v>
      </c>
      <c r="C6" s="10"/>
      <c r="D6" s="10"/>
      <c r="E6" s="10"/>
      <c r="F6" s="10"/>
      <c r="G6" s="11"/>
      <c r="H6" s="36" t="s">
        <v>53</v>
      </c>
      <c r="I6" s="2"/>
      <c r="J6" s="2"/>
      <c r="K6" s="2"/>
      <c r="L6" s="2"/>
      <c r="M6" s="2"/>
      <c r="N6" s="2"/>
      <c r="O6" s="2"/>
      <c r="P6" s="3"/>
      <c r="Q6" s="41" t="s">
        <v>54</v>
      </c>
      <c r="R6" s="10"/>
      <c r="S6" s="11"/>
      <c r="T6" s="36" t="s">
        <v>55</v>
      </c>
      <c r="U6" s="2"/>
      <c r="V6" s="2"/>
      <c r="W6" s="2"/>
      <c r="X6" s="2"/>
      <c r="Y6" s="2"/>
      <c r="Z6" s="2"/>
      <c r="AA6" s="2"/>
      <c r="AB6" s="2"/>
      <c r="AC6" s="2"/>
      <c r="AD6" s="2"/>
      <c r="AE6" s="2"/>
      <c r="AF6" s="2"/>
      <c r="AG6" s="2"/>
      <c r="AH6" s="3"/>
    </row>
    <row r="7" ht="22.5" customHeight="1" spans="1:34">
      <c r="A7" s="12"/>
      <c r="B7" s="13"/>
      <c r="C7" s="14"/>
      <c r="D7" s="14"/>
      <c r="E7" s="14"/>
      <c r="F7" s="14"/>
      <c r="G7" s="15"/>
      <c r="H7" s="36" t="s">
        <v>56</v>
      </c>
      <c r="I7" s="2"/>
      <c r="J7" s="3"/>
      <c r="K7" s="36" t="s">
        <v>57</v>
      </c>
      <c r="L7" s="2"/>
      <c r="M7" s="3"/>
      <c r="N7" s="36" t="s">
        <v>58</v>
      </c>
      <c r="O7" s="2"/>
      <c r="P7" s="3"/>
      <c r="Q7" s="13"/>
      <c r="R7" s="14"/>
      <c r="S7" s="15"/>
      <c r="T7" s="36" t="s">
        <v>59</v>
      </c>
      <c r="U7" s="2"/>
      <c r="V7" s="3"/>
      <c r="W7" s="36" t="s">
        <v>60</v>
      </c>
      <c r="X7" s="2"/>
      <c r="Y7" s="3"/>
      <c r="Z7" s="36" t="s">
        <v>61</v>
      </c>
      <c r="AA7" s="2"/>
      <c r="AB7" s="3"/>
      <c r="AC7" s="36" t="s">
        <v>62</v>
      </c>
      <c r="AD7" s="2"/>
      <c r="AE7" s="3"/>
      <c r="AF7" s="36" t="s">
        <v>63</v>
      </c>
      <c r="AG7" s="2"/>
      <c r="AH7" s="3"/>
    </row>
    <row r="8" ht="22.5" customHeight="1" spans="1:34">
      <c r="A8" s="42" t="s">
        <v>64</v>
      </c>
    </row>
    <row r="9" ht="22.5" customHeight="1" spans="1:34">
      <c r="A9" s="43">
        <v>1</v>
      </c>
      <c r="B9" s="4" t="s">
        <v>65</v>
      </c>
      <c r="C9" s="2"/>
      <c r="D9" s="2"/>
      <c r="E9" s="2"/>
      <c r="F9" s="2"/>
      <c r="G9" s="3"/>
      <c r="H9" s="6">
        <f ca="1" t="array" ref="H9">INDIRECT("'"&amp;$B9&amp;"'!H7",TRUE)</f>
        <v>26</v>
      </c>
      <c r="I9" s="2"/>
      <c r="J9" s="3"/>
      <c r="K9" s="6">
        <f ca="1" t="array" ref="K9">INDIRECT("'"&amp;$B9&amp;"'!K7",TRUE)</f>
        <v>31</v>
      </c>
      <c r="L9" s="2"/>
      <c r="M9" s="3"/>
      <c r="N9" s="6">
        <f ca="1" t="array" ref="N9">INDIRECT("'"&amp;$B9&amp;"'!N7",TRUE)</f>
        <v>13</v>
      </c>
      <c r="O9" s="2"/>
      <c r="P9" s="3"/>
      <c r="Q9" s="6">
        <f ca="1" t="array" ref="Q9">INDIRECT("'"&amp;$B9&amp;"'!Q7",TRUE)</f>
        <v>70</v>
      </c>
      <c r="R9" s="2"/>
      <c r="S9" s="3"/>
      <c r="T9" s="6">
        <f ca="1" t="array" ref="T9">INDIRECT("'"&amp;$B9&amp;"'!T7",TRUE)</f>
        <v>67</v>
      </c>
      <c r="U9" s="2"/>
      <c r="V9" s="3"/>
      <c r="W9" s="6">
        <f ca="1" t="array" ref="W9">INDIRECT("'"&amp;$B9&amp;"'!W7",TRUE)</f>
        <v>0</v>
      </c>
      <c r="X9" s="2"/>
      <c r="Y9" s="3"/>
      <c r="Z9" s="6">
        <f ca="1" t="array" ref="Z9">INDIRECT("'"&amp;$B9&amp;"'!Z7",TRUE)</f>
        <v>1</v>
      </c>
      <c r="AA9" s="2"/>
      <c r="AB9" s="3"/>
      <c r="AC9" s="6">
        <f ca="1" t="array" ref="AC9">INDIRECT("'"&amp;$B9&amp;"'!AC7",TRUE)</f>
        <v>2</v>
      </c>
      <c r="AD9" s="2"/>
      <c r="AE9" s="3"/>
      <c r="AF9" s="44">
        <f ca="1">IFERROR((T9+W9+AC9)/Q9,0)</f>
        <v>0.985714285714286</v>
      </c>
      <c r="AG9" s="2"/>
      <c r="AH9" s="3"/>
    </row>
    <row r="10" ht="22.5" customHeight="1" spans="1:34">
      <c r="A10" s="43">
        <v>2</v>
      </c>
      <c r="B10" s="4"/>
      <c r="C10" s="2"/>
      <c r="D10" s="2"/>
      <c r="E10" s="2"/>
      <c r="F10" s="2"/>
      <c r="G10" s="3"/>
      <c r="H10" s="6"/>
      <c r="I10" s="2"/>
      <c r="J10" s="3"/>
      <c r="K10" s="6"/>
      <c r="L10" s="2"/>
      <c r="M10" s="3"/>
      <c r="N10" s="6"/>
      <c r="O10" s="2"/>
      <c r="P10" s="3"/>
      <c r="Q10" s="6"/>
      <c r="R10" s="2"/>
      <c r="S10" s="3"/>
      <c r="T10" s="6"/>
      <c r="U10" s="2"/>
      <c r="V10" s="3"/>
      <c r="W10" s="6"/>
      <c r="X10" s="2"/>
      <c r="Y10" s="3"/>
      <c r="Z10" s="6"/>
      <c r="AA10" s="2"/>
      <c r="AB10" s="3"/>
      <c r="AC10" s="6"/>
      <c r="AD10" s="2"/>
      <c r="AE10" s="3"/>
      <c r="AF10" s="44"/>
      <c r="AG10" s="2"/>
      <c r="AH10" s="3"/>
    </row>
    <row r="11" ht="22.5" customHeight="1" spans="1:34">
      <c r="A11" s="43"/>
      <c r="B11" s="36" t="s">
        <v>54</v>
      </c>
      <c r="C11" s="2"/>
      <c r="D11" s="2"/>
      <c r="E11" s="2"/>
      <c r="F11" s="2"/>
      <c r="G11" s="3"/>
      <c r="H11" s="7">
        <f ca="1">SUM(H9:J10)</f>
        <v>26</v>
      </c>
      <c r="I11" s="2"/>
      <c r="J11" s="3"/>
      <c r="K11" s="7">
        <f ca="1">SUM(K9:M10)</f>
        <v>31</v>
      </c>
      <c r="L11" s="2"/>
      <c r="M11" s="3"/>
      <c r="N11" s="7">
        <f ca="1">SUM(N9:P10)</f>
        <v>13</v>
      </c>
      <c r="O11" s="2"/>
      <c r="P11" s="3"/>
      <c r="Q11" s="7">
        <f ca="1">SUM(Q9:S10)</f>
        <v>70</v>
      </c>
      <c r="R11" s="2"/>
      <c r="S11" s="3"/>
      <c r="T11" s="7">
        <f ca="1">SUM(T9:V10)</f>
        <v>67</v>
      </c>
      <c r="U11" s="2"/>
      <c r="V11" s="3"/>
      <c r="W11" s="7">
        <f ca="1">SUM(W9:Y10)</f>
        <v>0</v>
      </c>
      <c r="X11" s="2"/>
      <c r="Y11" s="3"/>
      <c r="Z11" s="7">
        <f ca="1">SUM(Z9:AB10)</f>
        <v>1</v>
      </c>
      <c r="AA11" s="2"/>
      <c r="AB11" s="3"/>
      <c r="AC11" s="7">
        <f ca="1">SUM(AC9:AE10)</f>
        <v>2</v>
      </c>
      <c r="AD11" s="2"/>
      <c r="AE11" s="3"/>
      <c r="AF11" s="45">
        <f ca="1">IFERROR((T11+W11+AC11)/Q11,0)</f>
        <v>0.985714285714286</v>
      </c>
      <c r="AG11" s="2"/>
      <c r="AH11" s="3"/>
    </row>
    <row r="12" ht="22.5" customHeight="1" spans="1:34">
      <c r="A12" s="42" t="s">
        <v>66</v>
      </c>
    </row>
    <row r="13" ht="22.5" customHeight="1" spans="1:34">
      <c r="A13" s="43">
        <v>1</v>
      </c>
      <c r="B13" s="4" t="s">
        <v>65</v>
      </c>
      <c r="C13" s="2"/>
      <c r="D13" s="2"/>
      <c r="E13" s="2"/>
      <c r="F13" s="2"/>
      <c r="G13" s="3"/>
      <c r="H13" s="6">
        <f ca="1" t="array" ref="H13">INDIRECT("'"&amp;$B13&amp;"'!H8",TRUE)</f>
        <v>26</v>
      </c>
      <c r="I13" s="2"/>
      <c r="J13" s="3"/>
      <c r="K13" s="6">
        <f ca="1" t="array" ref="K13">INDIRECT("'"&amp;$B13&amp;"'!K8",TRUE)</f>
        <v>31</v>
      </c>
      <c r="L13" s="2"/>
      <c r="M13" s="3"/>
      <c r="N13" s="6">
        <f ca="1" t="array" ref="N13">INDIRECT("'"&amp;$B13&amp;"'!N8",TRUE)</f>
        <v>13</v>
      </c>
      <c r="O13" s="2"/>
      <c r="P13" s="3"/>
      <c r="Q13" s="6">
        <f ca="1" t="array" ref="Q13">INDIRECT("'"&amp;$B13&amp;"'!Q8",TRUE)</f>
        <v>70</v>
      </c>
      <c r="R13" s="2"/>
      <c r="S13" s="3"/>
      <c r="T13" s="6">
        <f ca="1" t="array" ref="T13">INDIRECT("'"&amp;$B13&amp;"'!T8",TRUE)</f>
        <v>68</v>
      </c>
      <c r="U13" s="2"/>
      <c r="V13" s="3"/>
      <c r="W13" s="6">
        <f ca="1" t="array" ref="W13">INDIRECT("'"&amp;$B13&amp;"'!W8",TRUE)</f>
        <v>0</v>
      </c>
      <c r="X13" s="2"/>
      <c r="Y13" s="3"/>
      <c r="Z13" s="6">
        <f ca="1" t="array" ref="Z13">INDIRECT("'"&amp;$B13&amp;"'!Z8",TRUE)</f>
        <v>0</v>
      </c>
      <c r="AA13" s="2"/>
      <c r="AB13" s="3"/>
      <c r="AC13" s="6">
        <f ca="1" t="array" ref="AC13">INDIRECT("'"&amp;$B13&amp;"'!AC8",TRUE)</f>
        <v>2</v>
      </c>
      <c r="AD13" s="2"/>
      <c r="AE13" s="3"/>
      <c r="AF13" s="44">
        <f ca="1">IFERROR((T13+W13+AC13)/Q13,0)</f>
        <v>1</v>
      </c>
      <c r="AG13" s="2"/>
      <c r="AH13" s="3"/>
    </row>
    <row r="14" ht="22.5" customHeight="1" spans="1:34">
      <c r="A14" s="43">
        <v>2</v>
      </c>
      <c r="B14" s="4"/>
      <c r="C14" s="2"/>
      <c r="D14" s="2"/>
      <c r="E14" s="2"/>
      <c r="F14" s="2"/>
      <c r="G14" s="3"/>
      <c r="H14" s="6"/>
      <c r="I14" s="2"/>
      <c r="J14" s="3"/>
      <c r="K14" s="6"/>
      <c r="L14" s="2"/>
      <c r="M14" s="3"/>
      <c r="N14" s="6"/>
      <c r="O14" s="2"/>
      <c r="P14" s="3"/>
      <c r="Q14" s="6"/>
      <c r="R14" s="2"/>
      <c r="S14" s="3"/>
      <c r="T14" s="6"/>
      <c r="U14" s="2"/>
      <c r="V14" s="3"/>
      <c r="W14" s="6"/>
      <c r="X14" s="2"/>
      <c r="Y14" s="3"/>
      <c r="Z14" s="6"/>
      <c r="AA14" s="2"/>
      <c r="AB14" s="3"/>
      <c r="AC14" s="6"/>
      <c r="AD14" s="2"/>
      <c r="AE14" s="3"/>
      <c r="AF14" s="44"/>
      <c r="AG14" s="2"/>
      <c r="AH14" s="3"/>
    </row>
    <row r="15" ht="22.5" customHeight="1" spans="1:34">
      <c r="A15" s="43"/>
      <c r="B15" s="36" t="s">
        <v>54</v>
      </c>
      <c r="C15" s="2"/>
      <c r="D15" s="2"/>
      <c r="E15" s="2"/>
      <c r="F15" s="2"/>
      <c r="G15" s="3"/>
      <c r="H15" s="7">
        <f ca="1">SUM(H13:J14)</f>
        <v>26</v>
      </c>
      <c r="I15" s="2"/>
      <c r="J15" s="3"/>
      <c r="K15" s="7">
        <f ca="1">SUM(K13:M14)</f>
        <v>31</v>
      </c>
      <c r="L15" s="2"/>
      <c r="M15" s="3"/>
      <c r="N15" s="7">
        <f ca="1">SUM(N13:P14)</f>
        <v>13</v>
      </c>
      <c r="O15" s="2"/>
      <c r="P15" s="3"/>
      <c r="Q15" s="7">
        <f ca="1">SUM(Q13:S14)</f>
        <v>70</v>
      </c>
      <c r="R15" s="2"/>
      <c r="S15" s="3"/>
      <c r="T15" s="7">
        <f ca="1">SUM(T13:V14)</f>
        <v>68</v>
      </c>
      <c r="U15" s="2"/>
      <c r="V15" s="3"/>
      <c r="W15" s="7">
        <f ca="1">SUM(W13:Y14)</f>
        <v>0</v>
      </c>
      <c r="X15" s="2"/>
      <c r="Y15" s="3"/>
      <c r="Z15" s="7">
        <f ca="1">SUM(Z13:AB14)</f>
        <v>0</v>
      </c>
      <c r="AA15" s="2"/>
      <c r="AB15" s="3"/>
      <c r="AC15" s="7">
        <f ca="1">SUM(AC13:AE14)</f>
        <v>2</v>
      </c>
      <c r="AD15" s="2"/>
      <c r="AE15" s="3"/>
      <c r="AF15" s="45">
        <f ca="1">IFERROR((T15+W15+AC15)/Q15,0)</f>
        <v>1</v>
      </c>
      <c r="AG15" s="2"/>
      <c r="AH15" s="3"/>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2">
    <mergeCell ref="A1:AH1"/>
    <mergeCell ref="A3:F3"/>
    <mergeCell ref="G3:O3"/>
    <mergeCell ref="P3:W3"/>
    <mergeCell ref="X3:AH3"/>
    <mergeCell ref="A4:F4"/>
    <mergeCell ref="G4:O4"/>
    <mergeCell ref="P4:W4"/>
    <mergeCell ref="X4:AH4"/>
    <mergeCell ref="H6:P6"/>
    <mergeCell ref="T6:AH6"/>
    <mergeCell ref="H7:J7"/>
    <mergeCell ref="K7:M7"/>
    <mergeCell ref="N7:P7"/>
    <mergeCell ref="T7:V7"/>
    <mergeCell ref="W7:Y7"/>
    <mergeCell ref="Z7:AB7"/>
    <mergeCell ref="AC7:AE7"/>
    <mergeCell ref="AF7:AH7"/>
    <mergeCell ref="B9:G9"/>
    <mergeCell ref="H9:J9"/>
    <mergeCell ref="K9:M9"/>
    <mergeCell ref="N9:P9"/>
    <mergeCell ref="Q9:S9"/>
    <mergeCell ref="T9:V9"/>
    <mergeCell ref="W9:Y9"/>
    <mergeCell ref="Z9:AB9"/>
    <mergeCell ref="AC9:AE9"/>
    <mergeCell ref="AF9:AH9"/>
    <mergeCell ref="B10:G10"/>
    <mergeCell ref="H10:J10"/>
    <mergeCell ref="K10:M10"/>
    <mergeCell ref="N10:P10"/>
    <mergeCell ref="Q10:S10"/>
    <mergeCell ref="T10:V10"/>
    <mergeCell ref="W10:Y10"/>
    <mergeCell ref="Z10:AB10"/>
    <mergeCell ref="AC10:AE10"/>
    <mergeCell ref="AF10:AH10"/>
    <mergeCell ref="B11:G11"/>
    <mergeCell ref="H11:J11"/>
    <mergeCell ref="K11:M11"/>
    <mergeCell ref="N11:P11"/>
    <mergeCell ref="Q11:S11"/>
    <mergeCell ref="T11:V11"/>
    <mergeCell ref="W11:Y11"/>
    <mergeCell ref="Z11:AB11"/>
    <mergeCell ref="AC11:AE11"/>
    <mergeCell ref="AF11:AH11"/>
    <mergeCell ref="B13:G13"/>
    <mergeCell ref="H13:J13"/>
    <mergeCell ref="K13:M13"/>
    <mergeCell ref="N13:P13"/>
    <mergeCell ref="Q13:S13"/>
    <mergeCell ref="T13:V13"/>
    <mergeCell ref="W13:Y13"/>
    <mergeCell ref="Z13:AB13"/>
    <mergeCell ref="AC13:AE13"/>
    <mergeCell ref="AF13:AH13"/>
    <mergeCell ref="B14:G14"/>
    <mergeCell ref="H14:J14"/>
    <mergeCell ref="K14:M14"/>
    <mergeCell ref="N14:P14"/>
    <mergeCell ref="Q14:S14"/>
    <mergeCell ref="T14:V14"/>
    <mergeCell ref="W14:Y14"/>
    <mergeCell ref="Z14:AB14"/>
    <mergeCell ref="AC14:AE14"/>
    <mergeCell ref="AF14:AH14"/>
    <mergeCell ref="B15:G15"/>
    <mergeCell ref="H15:J15"/>
    <mergeCell ref="K15:M15"/>
    <mergeCell ref="N15:P15"/>
    <mergeCell ref="Q15:S15"/>
    <mergeCell ref="T15:V15"/>
    <mergeCell ref="W15:Y15"/>
    <mergeCell ref="Z15:AB15"/>
    <mergeCell ref="AC15:AE15"/>
    <mergeCell ref="AF15:AH15"/>
    <mergeCell ref="A6:A7"/>
    <mergeCell ref="B6:G7"/>
    <mergeCell ref="Q6:S7"/>
  </mergeCells>
  <pageMargins left="0.75" right="0.75" top="1" bottom="1" header="0" footer="0"/>
  <pageSetup paperSize="1" orientation="landscape"/>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K1000"/>
  <sheetViews>
    <sheetView showGridLines="0" workbookViewId="0">
      <selection activeCell="A1" sqref="A1:I1"/>
    </sheetView>
  </sheetViews>
  <sheetFormatPr defaultColWidth="14.4285714285714" defaultRowHeight="15" customHeight="1"/>
  <cols>
    <col min="1" max="37" width="4.28571428571429" customWidth="1"/>
  </cols>
  <sheetData>
    <row r="1" ht="19.5" customHeight="1" spans="1:37">
      <c r="A1" s="27" t="s">
        <v>19</v>
      </c>
      <c r="B1" s="2"/>
      <c r="C1" s="2"/>
      <c r="D1" s="2"/>
      <c r="E1" s="2"/>
      <c r="F1" s="2"/>
      <c r="G1" s="2"/>
      <c r="H1" s="2"/>
      <c r="I1" s="3"/>
      <c r="J1" s="27" t="s">
        <v>20</v>
      </c>
      <c r="K1" s="2"/>
      <c r="L1" s="2"/>
      <c r="M1" s="2"/>
      <c r="N1" s="2"/>
      <c r="O1" s="2"/>
      <c r="P1" s="3"/>
      <c r="Q1" s="27" t="s">
        <v>21</v>
      </c>
      <c r="R1" s="2"/>
      <c r="S1" s="2"/>
      <c r="T1" s="2"/>
      <c r="U1" s="3"/>
      <c r="V1" s="27" t="s">
        <v>22</v>
      </c>
      <c r="W1" s="2"/>
      <c r="X1" s="2"/>
      <c r="Y1" s="3"/>
      <c r="Z1" s="27" t="s">
        <v>23</v>
      </c>
      <c r="AA1" s="2"/>
      <c r="AB1" s="2"/>
      <c r="AC1" s="3"/>
      <c r="AD1" s="27" t="s">
        <v>24</v>
      </c>
      <c r="AE1" s="2"/>
      <c r="AF1" s="2"/>
      <c r="AG1" s="3"/>
      <c r="AH1" s="27" t="s">
        <v>25</v>
      </c>
      <c r="AI1" s="2"/>
      <c r="AJ1" s="2"/>
      <c r="AK1" s="3"/>
    </row>
    <row r="2" ht="19.5" customHeight="1" spans="1:37">
      <c r="A2" s="28" t="s">
        <v>0</v>
      </c>
      <c r="B2" s="10"/>
      <c r="C2" s="10"/>
      <c r="D2" s="10"/>
      <c r="E2" s="10"/>
      <c r="F2" s="10"/>
      <c r="G2" s="10"/>
      <c r="H2" s="10"/>
      <c r="I2" s="11"/>
      <c r="J2" s="28" t="s">
        <v>26</v>
      </c>
      <c r="K2" s="10"/>
      <c r="L2" s="10"/>
      <c r="M2" s="10"/>
      <c r="N2" s="10"/>
      <c r="O2" s="10"/>
      <c r="P2" s="11"/>
      <c r="Q2" s="28" t="s">
        <v>67</v>
      </c>
      <c r="R2" s="10"/>
      <c r="S2" s="10"/>
      <c r="T2" s="10"/>
      <c r="U2" s="11"/>
      <c r="V2" s="29" t="s">
        <v>8</v>
      </c>
      <c r="W2" s="10"/>
      <c r="X2" s="10"/>
      <c r="Y2" s="11"/>
      <c r="Z2" s="28" t="s">
        <v>16</v>
      </c>
      <c r="AA2" s="10"/>
      <c r="AB2" s="10"/>
      <c r="AC2" s="11"/>
      <c r="AD2" s="29" t="s">
        <v>8</v>
      </c>
      <c r="AE2" s="10"/>
      <c r="AF2" s="10"/>
      <c r="AG2" s="11"/>
      <c r="AH2" s="28" t="s">
        <v>16</v>
      </c>
      <c r="AI2" s="10"/>
      <c r="AJ2" s="10"/>
      <c r="AK2" s="11"/>
    </row>
    <row r="3" ht="19.5" customHeight="1" spans="1:37">
      <c r="A3" s="13"/>
      <c r="B3" s="14"/>
      <c r="C3" s="14"/>
      <c r="D3" s="14"/>
      <c r="E3" s="14"/>
      <c r="F3" s="14"/>
      <c r="G3" s="14"/>
      <c r="H3" s="14"/>
      <c r="I3" s="15"/>
      <c r="J3" s="13"/>
      <c r="K3" s="14"/>
      <c r="L3" s="14"/>
      <c r="M3" s="14"/>
      <c r="N3" s="14"/>
      <c r="O3" s="14"/>
      <c r="P3" s="15"/>
      <c r="Q3" s="13"/>
      <c r="R3" s="14"/>
      <c r="S3" s="14"/>
      <c r="T3" s="14"/>
      <c r="U3" s="15"/>
      <c r="V3" s="13"/>
      <c r="W3" s="14"/>
      <c r="X3" s="14"/>
      <c r="Y3" s="15"/>
      <c r="Z3" s="13"/>
      <c r="AA3" s="14"/>
      <c r="AB3" s="14"/>
      <c r="AC3" s="15"/>
      <c r="AD3" s="13"/>
      <c r="AE3" s="14"/>
      <c r="AF3" s="14"/>
      <c r="AG3" s="15"/>
      <c r="AH3" s="13"/>
      <c r="AI3" s="14"/>
      <c r="AJ3" s="14"/>
      <c r="AK3" s="15"/>
    </row>
    <row r="5" ht="19.5" customHeight="1" spans="1:37">
      <c r="B5" s="30" t="s">
        <v>68</v>
      </c>
    </row>
    <row r="7" ht="28.5" customHeight="1" spans="1:37">
      <c r="B7" s="31" t="s">
        <v>51</v>
      </c>
      <c r="C7" s="1" t="s">
        <v>69</v>
      </c>
      <c r="D7" s="2"/>
      <c r="E7" s="3"/>
      <c r="F7" s="1" t="s">
        <v>70</v>
      </c>
      <c r="G7" s="2"/>
      <c r="H7" s="2"/>
      <c r="I7" s="2"/>
      <c r="J7" s="2"/>
      <c r="K7" s="2"/>
      <c r="L7" s="3"/>
      <c r="M7" s="1" t="s">
        <v>71</v>
      </c>
      <c r="N7" s="2"/>
      <c r="O7" s="2"/>
      <c r="P7" s="2"/>
      <c r="Q7" s="2"/>
      <c r="R7" s="2"/>
      <c r="S7" s="2"/>
      <c r="T7" s="3"/>
      <c r="U7" s="1" t="s">
        <v>72</v>
      </c>
      <c r="V7" s="3"/>
      <c r="W7" s="1" t="s">
        <v>73</v>
      </c>
      <c r="X7" s="2"/>
      <c r="Y7" s="2"/>
      <c r="Z7" s="2"/>
      <c r="AA7" s="2"/>
      <c r="AB7" s="2"/>
      <c r="AC7" s="3"/>
      <c r="AD7" s="1" t="s">
        <v>74</v>
      </c>
      <c r="AE7" s="2"/>
      <c r="AF7" s="3"/>
    </row>
    <row r="8" ht="30" customHeight="1" spans="1:37">
      <c r="B8" s="17">
        <v>1</v>
      </c>
      <c r="C8" s="19" t="s">
        <v>75</v>
      </c>
      <c r="D8" s="2"/>
      <c r="E8" s="3"/>
      <c r="F8" s="18" t="s">
        <v>76</v>
      </c>
      <c r="G8" s="2"/>
      <c r="H8" s="2"/>
      <c r="I8" s="2"/>
      <c r="J8" s="2"/>
      <c r="K8" s="2"/>
      <c r="L8" s="3"/>
      <c r="M8" s="18" t="s">
        <v>77</v>
      </c>
      <c r="N8" s="2"/>
      <c r="O8" s="2"/>
      <c r="P8" s="2"/>
      <c r="Q8" s="2"/>
      <c r="R8" s="2"/>
      <c r="S8" s="2"/>
      <c r="T8" s="3"/>
      <c r="U8" s="32" t="s">
        <v>78</v>
      </c>
      <c r="V8" s="3"/>
      <c r="W8" s="18" t="s">
        <v>79</v>
      </c>
      <c r="X8" s="2"/>
      <c r="Y8" s="2"/>
      <c r="Z8" s="2"/>
      <c r="AA8" s="2"/>
      <c r="AB8" s="2"/>
      <c r="AC8" s="3"/>
      <c r="AD8" s="19">
        <v>265</v>
      </c>
      <c r="AE8" s="2"/>
      <c r="AF8" s="3"/>
    </row>
    <row r="9" ht="30" customHeight="1" spans="1:37">
      <c r="B9" s="17">
        <v>2</v>
      </c>
      <c r="C9" s="19" t="s">
        <v>80</v>
      </c>
      <c r="D9" s="2"/>
      <c r="E9" s="3"/>
      <c r="F9" s="18" t="s">
        <v>76</v>
      </c>
      <c r="G9" s="2"/>
      <c r="H9" s="2"/>
      <c r="I9" s="2"/>
      <c r="J9" s="2"/>
      <c r="K9" s="2"/>
      <c r="L9" s="3"/>
      <c r="M9" s="18" t="s">
        <v>81</v>
      </c>
      <c r="N9" s="2"/>
      <c r="O9" s="2"/>
      <c r="P9" s="2"/>
      <c r="Q9" s="2"/>
      <c r="R9" s="2"/>
      <c r="S9" s="2"/>
      <c r="T9" s="3"/>
      <c r="U9" s="32" t="s">
        <v>78</v>
      </c>
      <c r="V9" s="3"/>
      <c r="W9" s="18" t="s">
        <v>82</v>
      </c>
      <c r="X9" s="2"/>
      <c r="Y9" s="2"/>
      <c r="Z9" s="2"/>
      <c r="AA9" s="2"/>
      <c r="AB9" s="2"/>
      <c r="AC9" s="3"/>
      <c r="AD9" s="19">
        <v>200</v>
      </c>
      <c r="AE9" s="2"/>
      <c r="AF9" s="3"/>
    </row>
    <row r="10" ht="36" customHeight="1" spans="1:37">
      <c r="B10" s="17">
        <v>3</v>
      </c>
      <c r="C10" s="19" t="s">
        <v>83</v>
      </c>
      <c r="D10" s="2"/>
      <c r="E10" s="3"/>
      <c r="F10" s="18" t="s">
        <v>76</v>
      </c>
      <c r="G10" s="2"/>
      <c r="H10" s="2"/>
      <c r="I10" s="2"/>
      <c r="J10" s="2"/>
      <c r="K10" s="2"/>
      <c r="L10" s="3"/>
      <c r="M10" s="18" t="s">
        <v>84</v>
      </c>
      <c r="N10" s="2"/>
      <c r="O10" s="2"/>
      <c r="P10" s="2"/>
      <c r="Q10" s="2"/>
      <c r="R10" s="2"/>
      <c r="S10" s="2"/>
      <c r="T10" s="3"/>
      <c r="U10" s="32" t="s">
        <v>78</v>
      </c>
      <c r="V10" s="3"/>
      <c r="W10" s="18" t="s">
        <v>85</v>
      </c>
      <c r="X10" s="2"/>
      <c r="Y10" s="2"/>
      <c r="Z10" s="2"/>
      <c r="AA10" s="2"/>
      <c r="AB10" s="2"/>
      <c r="AC10" s="3"/>
      <c r="AD10" s="19">
        <v>50</v>
      </c>
      <c r="AE10" s="2"/>
      <c r="AF10" s="3"/>
    </row>
    <row r="11" ht="30" customHeight="1" spans="1:37">
      <c r="B11" s="17">
        <v>4</v>
      </c>
      <c r="C11" s="19" t="s">
        <v>86</v>
      </c>
      <c r="D11" s="2"/>
      <c r="E11" s="3"/>
      <c r="F11" s="18" t="s">
        <v>76</v>
      </c>
      <c r="G11" s="2"/>
      <c r="H11" s="2"/>
      <c r="I11" s="2"/>
      <c r="J11" s="2"/>
      <c r="K11" s="2"/>
      <c r="L11" s="3"/>
      <c r="M11" s="18" t="s">
        <v>87</v>
      </c>
      <c r="N11" s="2"/>
      <c r="O11" s="2"/>
      <c r="P11" s="2"/>
      <c r="Q11" s="2"/>
      <c r="R11" s="2"/>
      <c r="S11" s="2"/>
      <c r="T11" s="3"/>
      <c r="U11" s="32" t="s">
        <v>78</v>
      </c>
      <c r="V11" s="3"/>
      <c r="W11" s="18" t="s">
        <v>79</v>
      </c>
      <c r="X11" s="2"/>
      <c r="Y11" s="2"/>
      <c r="Z11" s="2"/>
      <c r="AA11" s="2"/>
      <c r="AB11" s="2"/>
      <c r="AC11" s="3"/>
      <c r="AD11" s="19">
        <v>75</v>
      </c>
      <c r="AE11" s="2"/>
      <c r="AF11" s="3"/>
    </row>
    <row r="12" ht="30" customHeight="1" spans="1:37">
      <c r="B12" s="17">
        <v>5</v>
      </c>
      <c r="C12" s="19" t="s">
        <v>88</v>
      </c>
      <c r="D12" s="2"/>
      <c r="E12" s="3"/>
      <c r="F12" s="18" t="s">
        <v>76</v>
      </c>
      <c r="G12" s="2"/>
      <c r="H12" s="2"/>
      <c r="I12" s="2"/>
      <c r="J12" s="2"/>
      <c r="K12" s="2"/>
      <c r="L12" s="3"/>
      <c r="M12" s="18" t="s">
        <v>89</v>
      </c>
      <c r="N12" s="2"/>
      <c r="O12" s="2"/>
      <c r="P12" s="2"/>
      <c r="Q12" s="2"/>
      <c r="R12" s="2"/>
      <c r="S12" s="2"/>
      <c r="T12" s="3"/>
      <c r="U12" s="32" t="s">
        <v>78</v>
      </c>
      <c r="V12" s="3"/>
      <c r="W12" s="18" t="s">
        <v>90</v>
      </c>
      <c r="X12" s="2"/>
      <c r="Y12" s="2"/>
      <c r="Z12" s="2"/>
      <c r="AA12" s="2"/>
      <c r="AB12" s="2"/>
      <c r="AC12" s="3"/>
      <c r="AD12" s="19">
        <v>30</v>
      </c>
      <c r="AE12" s="2"/>
      <c r="AF12" s="3"/>
    </row>
    <row r="13" ht="30" customHeight="1" spans="1:37">
      <c r="B13" s="17">
        <v>6</v>
      </c>
      <c r="C13" s="19" t="s">
        <v>91</v>
      </c>
      <c r="D13" s="2"/>
      <c r="E13" s="3"/>
      <c r="F13" s="18" t="s">
        <v>76</v>
      </c>
      <c r="G13" s="2"/>
      <c r="H13" s="2"/>
      <c r="I13" s="2"/>
      <c r="J13" s="2"/>
      <c r="K13" s="2"/>
      <c r="L13" s="3"/>
      <c r="M13" s="18" t="s">
        <v>92</v>
      </c>
      <c r="N13" s="2"/>
      <c r="O13" s="2"/>
      <c r="P13" s="2"/>
      <c r="Q13" s="2"/>
      <c r="R13" s="2"/>
      <c r="S13" s="2"/>
      <c r="T13" s="3"/>
      <c r="U13" s="32" t="s">
        <v>78</v>
      </c>
      <c r="V13" s="3"/>
      <c r="W13" s="18" t="s">
        <v>93</v>
      </c>
      <c r="X13" s="2"/>
      <c r="Y13" s="2"/>
      <c r="Z13" s="2"/>
      <c r="AA13" s="2"/>
      <c r="AB13" s="2"/>
      <c r="AC13" s="3"/>
      <c r="AD13" s="19">
        <v>50</v>
      </c>
      <c r="AE13" s="2"/>
      <c r="AF13" s="3"/>
    </row>
    <row r="14" ht="30" customHeight="1" spans="1:37">
      <c r="B14" s="17">
        <v>7</v>
      </c>
      <c r="C14" s="19" t="s">
        <v>94</v>
      </c>
      <c r="D14" s="2"/>
      <c r="E14" s="3"/>
      <c r="F14" s="18" t="s">
        <v>76</v>
      </c>
      <c r="G14" s="2"/>
      <c r="H14" s="2"/>
      <c r="I14" s="2"/>
      <c r="J14" s="2"/>
      <c r="K14" s="2"/>
      <c r="L14" s="3"/>
      <c r="M14" s="18" t="s">
        <v>95</v>
      </c>
      <c r="N14" s="2"/>
      <c r="O14" s="2"/>
      <c r="P14" s="2"/>
      <c r="Q14" s="2"/>
      <c r="R14" s="2"/>
      <c r="S14" s="2"/>
      <c r="T14" s="3"/>
      <c r="U14" s="32" t="s">
        <v>78</v>
      </c>
      <c r="V14" s="3"/>
      <c r="W14" s="18" t="s">
        <v>90</v>
      </c>
      <c r="X14" s="2"/>
      <c r="Y14" s="2"/>
      <c r="Z14" s="2"/>
      <c r="AA14" s="2"/>
      <c r="AB14" s="2"/>
      <c r="AC14" s="3"/>
      <c r="AD14" s="19">
        <v>10</v>
      </c>
      <c r="AE14" s="2"/>
      <c r="AF14" s="3"/>
    </row>
    <row r="15" ht="30" customHeight="1" spans="1:37">
      <c r="B15" s="17">
        <v>8</v>
      </c>
      <c r="C15" s="19" t="s">
        <v>96</v>
      </c>
      <c r="D15" s="2"/>
      <c r="E15" s="3"/>
      <c r="F15" s="18" t="s">
        <v>76</v>
      </c>
      <c r="G15" s="2"/>
      <c r="H15" s="2"/>
      <c r="I15" s="2"/>
      <c r="J15" s="2"/>
      <c r="K15" s="2"/>
      <c r="L15" s="3"/>
      <c r="M15" s="18" t="s">
        <v>97</v>
      </c>
      <c r="N15" s="2"/>
      <c r="O15" s="2"/>
      <c r="P15" s="2"/>
      <c r="Q15" s="2"/>
      <c r="R15" s="2"/>
      <c r="S15" s="2"/>
      <c r="T15" s="3"/>
      <c r="U15" s="33" t="s">
        <v>98</v>
      </c>
      <c r="V15" s="3"/>
      <c r="W15" s="18" t="s">
        <v>99</v>
      </c>
      <c r="X15" s="2"/>
      <c r="Y15" s="2"/>
      <c r="Z15" s="2"/>
      <c r="AA15" s="2"/>
      <c r="AB15" s="2"/>
      <c r="AC15" s="3"/>
      <c r="AD15" s="19">
        <v>20</v>
      </c>
      <c r="AE15" s="2"/>
      <c r="AF15" s="3"/>
    </row>
    <row r="16" ht="30" customHeight="1" spans="1:37">
      <c r="B16" s="17">
        <v>9</v>
      </c>
      <c r="C16" s="19" t="s">
        <v>100</v>
      </c>
      <c r="D16" s="2"/>
      <c r="E16" s="3"/>
      <c r="F16" s="18" t="s">
        <v>76</v>
      </c>
      <c r="G16" s="2"/>
      <c r="H16" s="2"/>
      <c r="I16" s="2"/>
      <c r="J16" s="2"/>
      <c r="K16" s="2"/>
      <c r="L16" s="3"/>
      <c r="M16" s="18" t="s">
        <v>101</v>
      </c>
      <c r="N16" s="2"/>
      <c r="O16" s="2"/>
      <c r="P16" s="2"/>
      <c r="Q16" s="2"/>
      <c r="R16" s="2"/>
      <c r="S16" s="2"/>
      <c r="T16" s="3"/>
      <c r="U16" s="32" t="s">
        <v>78</v>
      </c>
      <c r="V16" s="3"/>
      <c r="W16" s="18" t="s">
        <v>102</v>
      </c>
      <c r="X16" s="2"/>
      <c r="Y16" s="2"/>
      <c r="Z16" s="2"/>
      <c r="AA16" s="2"/>
      <c r="AB16" s="2"/>
      <c r="AC16" s="3"/>
      <c r="AD16" s="19">
        <v>8</v>
      </c>
      <c r="AE16" s="2"/>
      <c r="AF16" s="3"/>
    </row>
    <row r="17" ht="30" customHeight="1" spans="2:32">
      <c r="B17" s="17">
        <v>10</v>
      </c>
      <c r="C17" s="19" t="s">
        <v>103</v>
      </c>
      <c r="D17" s="2"/>
      <c r="E17" s="3"/>
      <c r="F17" s="18" t="s">
        <v>76</v>
      </c>
      <c r="G17" s="2"/>
      <c r="H17" s="2"/>
      <c r="I17" s="2"/>
      <c r="J17" s="2"/>
      <c r="K17" s="2"/>
      <c r="L17" s="3"/>
      <c r="M17" s="18" t="s">
        <v>104</v>
      </c>
      <c r="N17" s="2"/>
      <c r="O17" s="2"/>
      <c r="P17" s="2"/>
      <c r="Q17" s="2"/>
      <c r="R17" s="2"/>
      <c r="S17" s="2"/>
      <c r="T17" s="3"/>
      <c r="U17" s="32" t="s">
        <v>78</v>
      </c>
      <c r="V17" s="3"/>
      <c r="W17" s="18" t="s">
        <v>105</v>
      </c>
      <c r="X17" s="2"/>
      <c r="Y17" s="2"/>
      <c r="Z17" s="2"/>
      <c r="AA17" s="2"/>
      <c r="AB17" s="2"/>
      <c r="AC17" s="3"/>
      <c r="AD17" s="19">
        <v>30</v>
      </c>
      <c r="AE17" s="2"/>
      <c r="AF17" s="3"/>
    </row>
    <row r="18" ht="30" customHeight="1" spans="2:32">
      <c r="B18" s="17">
        <v>11</v>
      </c>
      <c r="C18" s="19" t="s">
        <v>106</v>
      </c>
      <c r="D18" s="2"/>
      <c r="E18" s="3"/>
      <c r="F18" s="18" t="s">
        <v>107</v>
      </c>
      <c r="G18" s="2"/>
      <c r="H18" s="2"/>
      <c r="I18" s="2"/>
      <c r="J18" s="2"/>
      <c r="K18" s="2"/>
      <c r="L18" s="3"/>
      <c r="M18" s="18" t="s">
        <v>108</v>
      </c>
      <c r="N18" s="2"/>
      <c r="O18" s="2"/>
      <c r="P18" s="2"/>
      <c r="Q18" s="2"/>
      <c r="R18" s="2"/>
      <c r="S18" s="2"/>
      <c r="T18" s="3"/>
      <c r="U18" s="33" t="s">
        <v>98</v>
      </c>
      <c r="V18" s="3"/>
      <c r="W18" s="18" t="s">
        <v>109</v>
      </c>
      <c r="X18" s="2"/>
      <c r="Y18" s="2"/>
      <c r="Z18" s="2"/>
      <c r="AA18" s="2"/>
      <c r="AB18" s="2"/>
      <c r="AC18" s="3"/>
      <c r="AD18" s="19">
        <v>100</v>
      </c>
      <c r="AE18" s="2"/>
      <c r="AF18" s="3"/>
    </row>
    <row r="19" ht="30" customHeight="1" spans="2:32">
      <c r="B19" s="17">
        <v>12</v>
      </c>
      <c r="C19" s="19" t="s">
        <v>110</v>
      </c>
      <c r="D19" s="2"/>
      <c r="E19" s="3"/>
      <c r="F19" s="18" t="s">
        <v>107</v>
      </c>
      <c r="G19" s="2"/>
      <c r="H19" s="2"/>
      <c r="I19" s="2"/>
      <c r="J19" s="2"/>
      <c r="K19" s="2"/>
      <c r="L19" s="3"/>
      <c r="M19" s="18" t="s">
        <v>111</v>
      </c>
      <c r="N19" s="2"/>
      <c r="O19" s="2"/>
      <c r="P19" s="2"/>
      <c r="Q19" s="2"/>
      <c r="R19" s="2"/>
      <c r="S19" s="2"/>
      <c r="T19" s="3"/>
      <c r="U19" s="33" t="s">
        <v>98</v>
      </c>
      <c r="V19" s="3"/>
      <c r="W19" s="18" t="s">
        <v>109</v>
      </c>
      <c r="X19" s="2"/>
      <c r="Y19" s="2"/>
      <c r="Z19" s="2"/>
      <c r="AA19" s="2"/>
      <c r="AB19" s="2"/>
      <c r="AC19" s="3"/>
      <c r="AD19" s="19">
        <v>80</v>
      </c>
      <c r="AE19" s="2"/>
      <c r="AF19" s="3"/>
    </row>
    <row r="20" ht="30" customHeight="1" spans="2:32">
      <c r="B20" s="17">
        <v>13</v>
      </c>
      <c r="C20" s="19" t="s">
        <v>112</v>
      </c>
      <c r="D20" s="2"/>
      <c r="E20" s="3"/>
      <c r="F20" s="18" t="s">
        <v>107</v>
      </c>
      <c r="G20" s="2"/>
      <c r="H20" s="2"/>
      <c r="I20" s="2"/>
      <c r="J20" s="2"/>
      <c r="K20" s="2"/>
      <c r="L20" s="3"/>
      <c r="M20" s="18" t="s">
        <v>113</v>
      </c>
      <c r="N20" s="2"/>
      <c r="O20" s="2"/>
      <c r="P20" s="2"/>
      <c r="Q20" s="2"/>
      <c r="R20" s="2"/>
      <c r="S20" s="2"/>
      <c r="T20" s="3"/>
      <c r="U20" s="33" t="s">
        <v>98</v>
      </c>
      <c r="V20" s="3"/>
      <c r="W20" s="18" t="s">
        <v>93</v>
      </c>
      <c r="X20" s="2"/>
      <c r="Y20" s="2"/>
      <c r="Z20" s="2"/>
      <c r="AA20" s="2"/>
      <c r="AB20" s="2"/>
      <c r="AC20" s="3"/>
      <c r="AD20" s="19">
        <v>60</v>
      </c>
      <c r="AE20" s="2"/>
      <c r="AF20" s="3"/>
    </row>
    <row r="21" ht="30" customHeight="1" spans="2:32">
      <c r="B21" s="17">
        <v>14</v>
      </c>
      <c r="C21" s="19" t="s">
        <v>114</v>
      </c>
      <c r="D21" s="2"/>
      <c r="E21" s="3"/>
      <c r="F21" s="18" t="s">
        <v>107</v>
      </c>
      <c r="G21" s="2"/>
      <c r="H21" s="2"/>
      <c r="I21" s="2"/>
      <c r="J21" s="2"/>
      <c r="K21" s="2"/>
      <c r="L21" s="3"/>
      <c r="M21" s="18" t="s">
        <v>115</v>
      </c>
      <c r="N21" s="2"/>
      <c r="O21" s="2"/>
      <c r="P21" s="2"/>
      <c r="Q21" s="2"/>
      <c r="R21" s="2"/>
      <c r="S21" s="2"/>
      <c r="T21" s="3"/>
      <c r="U21" s="33" t="s">
        <v>98</v>
      </c>
      <c r="V21" s="3"/>
      <c r="W21" s="18" t="s">
        <v>109</v>
      </c>
      <c r="X21" s="2"/>
      <c r="Y21" s="2"/>
      <c r="Z21" s="2"/>
      <c r="AA21" s="2"/>
      <c r="AB21" s="2"/>
      <c r="AC21" s="3"/>
      <c r="AD21" s="19">
        <v>50</v>
      </c>
      <c r="AE21" s="2"/>
      <c r="AF21" s="3"/>
    </row>
    <row r="22" ht="30" customHeight="1" spans="2:32">
      <c r="B22" s="17">
        <v>15</v>
      </c>
      <c r="C22" s="19" t="s">
        <v>116</v>
      </c>
      <c r="D22" s="2"/>
      <c r="E22" s="3"/>
      <c r="F22" s="18" t="s">
        <v>107</v>
      </c>
      <c r="G22" s="2"/>
      <c r="H22" s="2"/>
      <c r="I22" s="2"/>
      <c r="J22" s="2"/>
      <c r="K22" s="2"/>
      <c r="L22" s="3"/>
      <c r="M22" s="18" t="s">
        <v>117</v>
      </c>
      <c r="N22" s="2"/>
      <c r="O22" s="2"/>
      <c r="P22" s="2"/>
      <c r="Q22" s="2"/>
      <c r="R22" s="2"/>
      <c r="S22" s="2"/>
      <c r="T22" s="3"/>
      <c r="U22" s="33" t="s">
        <v>98</v>
      </c>
      <c r="V22" s="3"/>
      <c r="W22" s="18" t="s">
        <v>118</v>
      </c>
      <c r="X22" s="2"/>
      <c r="Y22" s="2"/>
      <c r="Z22" s="2"/>
      <c r="AA22" s="2"/>
      <c r="AB22" s="2"/>
      <c r="AC22" s="3"/>
      <c r="AD22" s="19">
        <v>30</v>
      </c>
      <c r="AE22" s="2"/>
      <c r="AF22" s="3"/>
    </row>
    <row r="23" ht="30" customHeight="1" spans="2:32">
      <c r="B23" s="17">
        <v>16</v>
      </c>
      <c r="C23" s="19" t="s">
        <v>119</v>
      </c>
      <c r="D23" s="2"/>
      <c r="E23" s="3"/>
      <c r="F23" s="18" t="s">
        <v>107</v>
      </c>
      <c r="G23" s="2"/>
      <c r="H23" s="2"/>
      <c r="I23" s="2"/>
      <c r="J23" s="2"/>
      <c r="K23" s="2"/>
      <c r="L23" s="3"/>
      <c r="M23" s="18" t="s">
        <v>120</v>
      </c>
      <c r="N23" s="2"/>
      <c r="O23" s="2"/>
      <c r="P23" s="2"/>
      <c r="Q23" s="2"/>
      <c r="R23" s="2"/>
      <c r="S23" s="2"/>
      <c r="T23" s="3"/>
      <c r="U23" s="32" t="s">
        <v>78</v>
      </c>
      <c r="V23" s="3"/>
      <c r="W23" s="18" t="s">
        <v>121</v>
      </c>
      <c r="X23" s="2"/>
      <c r="Y23" s="2"/>
      <c r="Z23" s="2"/>
      <c r="AA23" s="2"/>
      <c r="AB23" s="2"/>
      <c r="AC23" s="3"/>
      <c r="AD23" s="19">
        <v>15</v>
      </c>
      <c r="AE23" s="2"/>
      <c r="AF23" s="3"/>
    </row>
    <row r="24" ht="36" customHeight="1" spans="2:32">
      <c r="B24" s="17">
        <v>17</v>
      </c>
      <c r="C24" s="19" t="s">
        <v>122</v>
      </c>
      <c r="D24" s="2"/>
      <c r="E24" s="3"/>
      <c r="F24" s="18" t="s">
        <v>107</v>
      </c>
      <c r="G24" s="2"/>
      <c r="H24" s="2"/>
      <c r="I24" s="2"/>
      <c r="J24" s="2"/>
      <c r="K24" s="2"/>
      <c r="L24" s="3"/>
      <c r="M24" s="18" t="s">
        <v>123</v>
      </c>
      <c r="N24" s="2"/>
      <c r="O24" s="2"/>
      <c r="P24" s="2"/>
      <c r="Q24" s="2"/>
      <c r="R24" s="2"/>
      <c r="S24" s="2"/>
      <c r="T24" s="3"/>
      <c r="U24" s="33" t="s">
        <v>98</v>
      </c>
      <c r="V24" s="3"/>
      <c r="W24" s="18" t="s">
        <v>124</v>
      </c>
      <c r="X24" s="2"/>
      <c r="Y24" s="2"/>
      <c r="Z24" s="2"/>
      <c r="AA24" s="2"/>
      <c r="AB24" s="2"/>
      <c r="AC24" s="3"/>
      <c r="AD24" s="19">
        <v>45</v>
      </c>
      <c r="AE24" s="2"/>
      <c r="AF24" s="3"/>
    </row>
    <row r="25" ht="30" customHeight="1" spans="2:32">
      <c r="B25" s="17">
        <v>18</v>
      </c>
      <c r="C25" s="19" t="s">
        <v>125</v>
      </c>
      <c r="D25" s="2"/>
      <c r="E25" s="3"/>
      <c r="F25" s="18" t="s">
        <v>107</v>
      </c>
      <c r="G25" s="2"/>
      <c r="H25" s="2"/>
      <c r="I25" s="2"/>
      <c r="J25" s="2"/>
      <c r="K25" s="2"/>
      <c r="L25" s="3"/>
      <c r="M25" s="18" t="s">
        <v>126</v>
      </c>
      <c r="N25" s="2"/>
      <c r="O25" s="2"/>
      <c r="P25" s="2"/>
      <c r="Q25" s="2"/>
      <c r="R25" s="2"/>
      <c r="S25" s="2"/>
      <c r="T25" s="3"/>
      <c r="U25" s="33" t="s">
        <v>98</v>
      </c>
      <c r="V25" s="3"/>
      <c r="W25" s="18" t="s">
        <v>127</v>
      </c>
      <c r="X25" s="2"/>
      <c r="Y25" s="2"/>
      <c r="Z25" s="2"/>
      <c r="AA25" s="2"/>
      <c r="AB25" s="2"/>
      <c r="AC25" s="3"/>
      <c r="AD25" s="19">
        <v>30</v>
      </c>
      <c r="AE25" s="2"/>
      <c r="AF25" s="3"/>
    </row>
    <row r="26" ht="36" customHeight="1" spans="2:32">
      <c r="B26" s="17">
        <v>19</v>
      </c>
      <c r="C26" s="19" t="s">
        <v>128</v>
      </c>
      <c r="D26" s="2"/>
      <c r="E26" s="3"/>
      <c r="F26" s="18" t="s">
        <v>107</v>
      </c>
      <c r="G26" s="2"/>
      <c r="H26" s="2"/>
      <c r="I26" s="2"/>
      <c r="J26" s="2"/>
      <c r="K26" s="2"/>
      <c r="L26" s="3"/>
      <c r="M26" s="18" t="s">
        <v>129</v>
      </c>
      <c r="N26" s="2"/>
      <c r="O26" s="2"/>
      <c r="P26" s="2"/>
      <c r="Q26" s="2"/>
      <c r="R26" s="2"/>
      <c r="S26" s="2"/>
      <c r="T26" s="3"/>
      <c r="U26" s="33" t="s">
        <v>98</v>
      </c>
      <c r="V26" s="3"/>
      <c r="W26" s="18" t="s">
        <v>130</v>
      </c>
      <c r="X26" s="2"/>
      <c r="Y26" s="2"/>
      <c r="Z26" s="2"/>
      <c r="AA26" s="2"/>
      <c r="AB26" s="2"/>
      <c r="AC26" s="3"/>
      <c r="AD26" s="19">
        <v>25</v>
      </c>
      <c r="AE26" s="2"/>
      <c r="AF26" s="3"/>
    </row>
    <row r="27" ht="30" customHeight="1" spans="2:32">
      <c r="B27" s="17">
        <v>20</v>
      </c>
      <c r="C27" s="19" t="s">
        <v>131</v>
      </c>
      <c r="D27" s="2"/>
      <c r="E27" s="3"/>
      <c r="F27" s="18" t="s">
        <v>132</v>
      </c>
      <c r="G27" s="2"/>
      <c r="H27" s="2"/>
      <c r="I27" s="2"/>
      <c r="J27" s="2"/>
      <c r="K27" s="2"/>
      <c r="L27" s="3"/>
      <c r="M27" s="18" t="s">
        <v>133</v>
      </c>
      <c r="N27" s="2"/>
      <c r="O27" s="2"/>
      <c r="P27" s="2"/>
      <c r="Q27" s="2"/>
      <c r="R27" s="2"/>
      <c r="S27" s="2"/>
      <c r="T27" s="3"/>
      <c r="U27" s="32" t="s">
        <v>78</v>
      </c>
      <c r="V27" s="3"/>
      <c r="W27" s="18" t="s">
        <v>127</v>
      </c>
      <c r="X27" s="2"/>
      <c r="Y27" s="2"/>
      <c r="Z27" s="2"/>
      <c r="AA27" s="2"/>
      <c r="AB27" s="2"/>
      <c r="AC27" s="3"/>
      <c r="AD27" s="19">
        <v>60</v>
      </c>
      <c r="AE27" s="2"/>
      <c r="AF27" s="3"/>
    </row>
    <row r="28" ht="30" customHeight="1" spans="2:32">
      <c r="B28" s="17">
        <v>21</v>
      </c>
      <c r="C28" s="19" t="s">
        <v>134</v>
      </c>
      <c r="D28" s="2"/>
      <c r="E28" s="3"/>
      <c r="F28" s="18" t="s">
        <v>132</v>
      </c>
      <c r="G28" s="2"/>
      <c r="H28" s="2"/>
      <c r="I28" s="2"/>
      <c r="J28" s="2"/>
      <c r="K28" s="2"/>
      <c r="L28" s="3"/>
      <c r="M28" s="18" t="s">
        <v>135</v>
      </c>
      <c r="N28" s="2"/>
      <c r="O28" s="2"/>
      <c r="P28" s="2"/>
      <c r="Q28" s="2"/>
      <c r="R28" s="2"/>
      <c r="S28" s="2"/>
      <c r="T28" s="3"/>
      <c r="U28" s="33" t="s">
        <v>98</v>
      </c>
      <c r="V28" s="3"/>
      <c r="W28" s="18" t="s">
        <v>136</v>
      </c>
      <c r="X28" s="2"/>
      <c r="Y28" s="2"/>
      <c r="Z28" s="2"/>
      <c r="AA28" s="2"/>
      <c r="AB28" s="2"/>
      <c r="AC28" s="3"/>
      <c r="AD28" s="19">
        <v>16</v>
      </c>
      <c r="AE28" s="2"/>
      <c r="AF28" s="3"/>
    </row>
    <row r="29" ht="30" customHeight="1" spans="2:32">
      <c r="B29" s="17">
        <v>22</v>
      </c>
      <c r="C29" s="19" t="s">
        <v>137</v>
      </c>
      <c r="D29" s="2"/>
      <c r="E29" s="3"/>
      <c r="F29" s="18" t="s">
        <v>132</v>
      </c>
      <c r="G29" s="2"/>
      <c r="H29" s="2"/>
      <c r="I29" s="2"/>
      <c r="J29" s="2"/>
      <c r="K29" s="2"/>
      <c r="L29" s="3"/>
      <c r="M29" s="18" t="s">
        <v>138</v>
      </c>
      <c r="N29" s="2"/>
      <c r="O29" s="2"/>
      <c r="P29" s="2"/>
      <c r="Q29" s="2"/>
      <c r="R29" s="2"/>
      <c r="S29" s="2"/>
      <c r="T29" s="3"/>
      <c r="U29" s="32" t="s">
        <v>78</v>
      </c>
      <c r="V29" s="3"/>
      <c r="W29" s="18" t="s">
        <v>139</v>
      </c>
      <c r="X29" s="2"/>
      <c r="Y29" s="2"/>
      <c r="Z29" s="2"/>
      <c r="AA29" s="2"/>
      <c r="AB29" s="2"/>
      <c r="AC29" s="3"/>
      <c r="AD29" s="19">
        <v>18</v>
      </c>
      <c r="AE29" s="2"/>
      <c r="AF29" s="3"/>
    </row>
    <row r="30" ht="30" customHeight="1" spans="2:32">
      <c r="B30" s="17">
        <v>23</v>
      </c>
      <c r="C30" s="19" t="s">
        <v>140</v>
      </c>
      <c r="D30" s="2"/>
      <c r="E30" s="3"/>
      <c r="F30" s="18" t="s">
        <v>132</v>
      </c>
      <c r="G30" s="2"/>
      <c r="H30" s="2"/>
      <c r="I30" s="2"/>
      <c r="J30" s="2"/>
      <c r="K30" s="2"/>
      <c r="L30" s="3"/>
      <c r="M30" s="18" t="s">
        <v>141</v>
      </c>
      <c r="N30" s="2"/>
      <c r="O30" s="2"/>
      <c r="P30" s="2"/>
      <c r="Q30" s="2"/>
      <c r="R30" s="2"/>
      <c r="S30" s="2"/>
      <c r="T30" s="3"/>
      <c r="U30" s="33" t="s">
        <v>98</v>
      </c>
      <c r="V30" s="3"/>
      <c r="W30" s="18" t="s">
        <v>142</v>
      </c>
      <c r="X30" s="2"/>
      <c r="Y30" s="2"/>
      <c r="Z30" s="2"/>
      <c r="AA30" s="2"/>
      <c r="AB30" s="2"/>
      <c r="AC30" s="3"/>
      <c r="AD30" s="19">
        <v>8</v>
      </c>
      <c r="AE30" s="2"/>
      <c r="AF30" s="3"/>
    </row>
    <row r="31" ht="30" customHeight="1" spans="2:32">
      <c r="B31" s="17">
        <v>24</v>
      </c>
      <c r="C31" s="19" t="s">
        <v>143</v>
      </c>
      <c r="D31" s="2"/>
      <c r="E31" s="3"/>
      <c r="F31" s="18" t="s">
        <v>132</v>
      </c>
      <c r="G31" s="2"/>
      <c r="H31" s="2"/>
      <c r="I31" s="2"/>
      <c r="J31" s="2"/>
      <c r="K31" s="2"/>
      <c r="L31" s="3"/>
      <c r="M31" s="18" t="s">
        <v>144</v>
      </c>
      <c r="N31" s="2"/>
      <c r="O31" s="2"/>
      <c r="P31" s="2"/>
      <c r="Q31" s="2"/>
      <c r="R31" s="2"/>
      <c r="S31" s="2"/>
      <c r="T31" s="3"/>
      <c r="U31" s="32" t="s">
        <v>78</v>
      </c>
      <c r="V31" s="3"/>
      <c r="W31" s="18" t="s">
        <v>145</v>
      </c>
      <c r="X31" s="2"/>
      <c r="Y31" s="2"/>
      <c r="Z31" s="2"/>
      <c r="AA31" s="2"/>
      <c r="AB31" s="2"/>
      <c r="AC31" s="3"/>
      <c r="AD31" s="19">
        <v>10</v>
      </c>
      <c r="AE31" s="2"/>
      <c r="AF31" s="3"/>
    </row>
    <row r="32" ht="30" customHeight="1" spans="2:32">
      <c r="B32" s="17">
        <v>25</v>
      </c>
      <c r="C32" s="19" t="s">
        <v>146</v>
      </c>
      <c r="D32" s="2"/>
      <c r="E32" s="3"/>
      <c r="F32" s="18" t="s">
        <v>132</v>
      </c>
      <c r="G32" s="2"/>
      <c r="H32" s="2"/>
      <c r="I32" s="2"/>
      <c r="J32" s="2"/>
      <c r="K32" s="2"/>
      <c r="L32" s="3"/>
      <c r="M32" s="18" t="s">
        <v>147</v>
      </c>
      <c r="N32" s="2"/>
      <c r="O32" s="2"/>
      <c r="P32" s="2"/>
      <c r="Q32" s="2"/>
      <c r="R32" s="2"/>
      <c r="S32" s="2"/>
      <c r="T32" s="3"/>
      <c r="U32" s="33" t="s">
        <v>98</v>
      </c>
      <c r="V32" s="3"/>
      <c r="W32" s="18" t="s">
        <v>148</v>
      </c>
      <c r="X32" s="2"/>
      <c r="Y32" s="2"/>
      <c r="Z32" s="2"/>
      <c r="AA32" s="2"/>
      <c r="AB32" s="2"/>
      <c r="AC32" s="3"/>
      <c r="AD32" s="19">
        <v>30</v>
      </c>
      <c r="AE32" s="2"/>
      <c r="AF32" s="3"/>
    </row>
    <row r="33" ht="30" customHeight="1" spans="2:32">
      <c r="B33" s="17">
        <v>26</v>
      </c>
      <c r="C33" s="19" t="s">
        <v>149</v>
      </c>
      <c r="D33" s="2"/>
      <c r="E33" s="3"/>
      <c r="F33" s="18" t="s">
        <v>132</v>
      </c>
      <c r="G33" s="2"/>
      <c r="H33" s="2"/>
      <c r="I33" s="2"/>
      <c r="J33" s="2"/>
      <c r="K33" s="2"/>
      <c r="L33" s="3"/>
      <c r="M33" s="18" t="s">
        <v>150</v>
      </c>
      <c r="N33" s="2"/>
      <c r="O33" s="2"/>
      <c r="P33" s="2"/>
      <c r="Q33" s="2"/>
      <c r="R33" s="2"/>
      <c r="S33" s="2"/>
      <c r="T33" s="3"/>
      <c r="U33" s="32" t="s">
        <v>78</v>
      </c>
      <c r="V33" s="3"/>
      <c r="W33" s="18" t="s">
        <v>151</v>
      </c>
      <c r="X33" s="2"/>
      <c r="Y33" s="2"/>
      <c r="Z33" s="2"/>
      <c r="AA33" s="2"/>
      <c r="AB33" s="2"/>
      <c r="AC33" s="3"/>
      <c r="AD33" s="19">
        <v>15</v>
      </c>
      <c r="AE33" s="2"/>
      <c r="AF33" s="3"/>
    </row>
    <row r="34" ht="30" customHeight="1" spans="2:32">
      <c r="B34" s="17">
        <v>27</v>
      </c>
      <c r="C34" s="19" t="s">
        <v>152</v>
      </c>
      <c r="D34" s="2"/>
      <c r="E34" s="3"/>
      <c r="F34" s="18" t="s">
        <v>132</v>
      </c>
      <c r="G34" s="2"/>
      <c r="H34" s="2"/>
      <c r="I34" s="2"/>
      <c r="J34" s="2"/>
      <c r="K34" s="2"/>
      <c r="L34" s="3"/>
      <c r="M34" s="18" t="s">
        <v>153</v>
      </c>
      <c r="N34" s="2"/>
      <c r="O34" s="2"/>
      <c r="P34" s="2"/>
      <c r="Q34" s="2"/>
      <c r="R34" s="2"/>
      <c r="S34" s="2"/>
      <c r="T34" s="3"/>
      <c r="U34" s="32" t="s">
        <v>78</v>
      </c>
      <c r="V34" s="3"/>
      <c r="W34" s="18" t="s">
        <v>154</v>
      </c>
      <c r="X34" s="2"/>
      <c r="Y34" s="2"/>
      <c r="Z34" s="2"/>
      <c r="AA34" s="2"/>
      <c r="AB34" s="2"/>
      <c r="AC34" s="3"/>
      <c r="AD34" s="19">
        <v>18</v>
      </c>
      <c r="AE34" s="2"/>
      <c r="AF34" s="3"/>
    </row>
    <row r="35" ht="30" customHeight="1" spans="2:32">
      <c r="B35" s="17">
        <v>28</v>
      </c>
      <c r="C35" s="19" t="s">
        <v>155</v>
      </c>
      <c r="D35" s="2"/>
      <c r="E35" s="3"/>
      <c r="F35" s="18" t="s">
        <v>156</v>
      </c>
      <c r="G35" s="2"/>
      <c r="H35" s="2"/>
      <c r="I35" s="2"/>
      <c r="J35" s="2"/>
      <c r="K35" s="2"/>
      <c r="L35" s="3"/>
      <c r="M35" s="18" t="s">
        <v>157</v>
      </c>
      <c r="N35" s="2"/>
      <c r="O35" s="2"/>
      <c r="P35" s="2"/>
      <c r="Q35" s="2"/>
      <c r="R35" s="2"/>
      <c r="S35" s="2"/>
      <c r="T35" s="3"/>
      <c r="U35" s="32" t="s">
        <v>78</v>
      </c>
      <c r="V35" s="3"/>
      <c r="W35" s="18" t="s">
        <v>158</v>
      </c>
      <c r="X35" s="2"/>
      <c r="Y35" s="2"/>
      <c r="Z35" s="2"/>
      <c r="AA35" s="2"/>
      <c r="AB35" s="2"/>
      <c r="AC35" s="3"/>
      <c r="AD35" s="19">
        <v>25</v>
      </c>
      <c r="AE35" s="2"/>
      <c r="AF35" s="3"/>
    </row>
    <row r="36" ht="30" customHeight="1" spans="2:32">
      <c r="B36" s="17">
        <v>29</v>
      </c>
      <c r="C36" s="19" t="s">
        <v>159</v>
      </c>
      <c r="D36" s="2"/>
      <c r="E36" s="3"/>
      <c r="F36" s="18" t="s">
        <v>156</v>
      </c>
      <c r="G36" s="2"/>
      <c r="H36" s="2"/>
      <c r="I36" s="2"/>
      <c r="J36" s="2"/>
      <c r="K36" s="2"/>
      <c r="L36" s="3"/>
      <c r="M36" s="18" t="s">
        <v>160</v>
      </c>
      <c r="N36" s="2"/>
      <c r="O36" s="2"/>
      <c r="P36" s="2"/>
      <c r="Q36" s="2"/>
      <c r="R36" s="2"/>
      <c r="S36" s="2"/>
      <c r="T36" s="3"/>
      <c r="U36" s="32" t="s">
        <v>78</v>
      </c>
      <c r="V36" s="3"/>
      <c r="W36" s="18" t="s">
        <v>90</v>
      </c>
      <c r="X36" s="2"/>
      <c r="Y36" s="2"/>
      <c r="Z36" s="2"/>
      <c r="AA36" s="2"/>
      <c r="AB36" s="2"/>
      <c r="AC36" s="3"/>
      <c r="AD36" s="19">
        <v>8</v>
      </c>
      <c r="AE36" s="2"/>
      <c r="AF36" s="3"/>
    </row>
    <row r="37" ht="30" customHeight="1" spans="2:32">
      <c r="B37" s="17">
        <v>30</v>
      </c>
      <c r="C37" s="19" t="s">
        <v>161</v>
      </c>
      <c r="D37" s="2"/>
      <c r="E37" s="3"/>
      <c r="F37" s="18" t="s">
        <v>156</v>
      </c>
      <c r="G37" s="2"/>
      <c r="H37" s="2"/>
      <c r="I37" s="2"/>
      <c r="J37" s="2"/>
      <c r="K37" s="2"/>
      <c r="L37" s="3"/>
      <c r="M37" s="18" t="s">
        <v>162</v>
      </c>
      <c r="N37" s="2"/>
      <c r="O37" s="2"/>
      <c r="P37" s="2"/>
      <c r="Q37" s="2"/>
      <c r="R37" s="2"/>
      <c r="S37" s="2"/>
      <c r="T37" s="3"/>
      <c r="U37" s="32" t="s">
        <v>78</v>
      </c>
      <c r="V37" s="3"/>
      <c r="W37" s="18" t="s">
        <v>163</v>
      </c>
      <c r="X37" s="2"/>
      <c r="Y37" s="2"/>
      <c r="Z37" s="2"/>
      <c r="AA37" s="2"/>
      <c r="AB37" s="2"/>
      <c r="AC37" s="3"/>
      <c r="AD37" s="19">
        <v>15</v>
      </c>
      <c r="AE37" s="2"/>
      <c r="AF37" s="3"/>
    </row>
    <row r="38" ht="30" customHeight="1" spans="2:32">
      <c r="B38" s="17">
        <v>31</v>
      </c>
      <c r="C38" s="19" t="s">
        <v>164</v>
      </c>
      <c r="D38" s="2"/>
      <c r="E38" s="3"/>
      <c r="F38" s="18" t="s">
        <v>156</v>
      </c>
      <c r="G38" s="2"/>
      <c r="H38" s="2"/>
      <c r="I38" s="2"/>
      <c r="J38" s="2"/>
      <c r="K38" s="2"/>
      <c r="L38" s="3"/>
      <c r="M38" s="18" t="s">
        <v>165</v>
      </c>
      <c r="N38" s="2"/>
      <c r="O38" s="2"/>
      <c r="P38" s="2"/>
      <c r="Q38" s="2"/>
      <c r="R38" s="2"/>
      <c r="S38" s="2"/>
      <c r="T38" s="3"/>
      <c r="U38" s="32" t="s">
        <v>78</v>
      </c>
      <c r="V38" s="3"/>
      <c r="W38" s="18" t="s">
        <v>90</v>
      </c>
      <c r="X38" s="2"/>
      <c r="Y38" s="2"/>
      <c r="Z38" s="2"/>
      <c r="AA38" s="2"/>
      <c r="AB38" s="2"/>
      <c r="AC38" s="3"/>
      <c r="AD38" s="19">
        <v>40</v>
      </c>
      <c r="AE38" s="2"/>
      <c r="AF38" s="3"/>
    </row>
    <row r="39" ht="30" customHeight="1" spans="2:32">
      <c r="B39" s="17">
        <v>32</v>
      </c>
      <c r="C39" s="19" t="s">
        <v>166</v>
      </c>
      <c r="D39" s="2"/>
      <c r="E39" s="3"/>
      <c r="F39" s="18" t="s">
        <v>156</v>
      </c>
      <c r="G39" s="2"/>
      <c r="H39" s="2"/>
      <c r="I39" s="2"/>
      <c r="J39" s="2"/>
      <c r="K39" s="2"/>
      <c r="L39" s="3"/>
      <c r="M39" s="18" t="s">
        <v>167</v>
      </c>
      <c r="N39" s="2"/>
      <c r="O39" s="2"/>
      <c r="P39" s="2"/>
      <c r="Q39" s="2"/>
      <c r="R39" s="2"/>
      <c r="S39" s="2"/>
      <c r="T39" s="3"/>
      <c r="U39" s="33" t="s">
        <v>98</v>
      </c>
      <c r="V39" s="3"/>
      <c r="W39" s="18" t="s">
        <v>168</v>
      </c>
      <c r="X39" s="2"/>
      <c r="Y39" s="2"/>
      <c r="Z39" s="2"/>
      <c r="AA39" s="2"/>
      <c r="AB39" s="2"/>
      <c r="AC39" s="3"/>
      <c r="AD39" s="19">
        <v>20</v>
      </c>
      <c r="AE39" s="2"/>
      <c r="AF39" s="3"/>
    </row>
    <row r="40" ht="30" customHeight="1" spans="2:32">
      <c r="B40" s="17">
        <v>33</v>
      </c>
      <c r="C40" s="19" t="s">
        <v>169</v>
      </c>
      <c r="D40" s="2"/>
      <c r="E40" s="3"/>
      <c r="F40" s="18" t="s">
        <v>156</v>
      </c>
      <c r="G40" s="2"/>
      <c r="H40" s="2"/>
      <c r="I40" s="2"/>
      <c r="J40" s="2"/>
      <c r="K40" s="2"/>
      <c r="L40" s="3"/>
      <c r="M40" s="18" t="s">
        <v>170</v>
      </c>
      <c r="N40" s="2"/>
      <c r="O40" s="2"/>
      <c r="P40" s="2"/>
      <c r="Q40" s="2"/>
      <c r="R40" s="2"/>
      <c r="S40" s="2"/>
      <c r="T40" s="3"/>
      <c r="U40" s="33" t="s">
        <v>98</v>
      </c>
      <c r="V40" s="3"/>
      <c r="W40" s="18" t="s">
        <v>171</v>
      </c>
      <c r="X40" s="2"/>
      <c r="Y40" s="2"/>
      <c r="Z40" s="2"/>
      <c r="AA40" s="2"/>
      <c r="AB40" s="2"/>
      <c r="AC40" s="3"/>
      <c r="AD40" s="19">
        <v>12</v>
      </c>
      <c r="AE40" s="2"/>
      <c r="AF40" s="3"/>
    </row>
    <row r="41" ht="30" customHeight="1" spans="2:32">
      <c r="B41" s="17">
        <v>34</v>
      </c>
      <c r="C41" s="19" t="s">
        <v>172</v>
      </c>
      <c r="D41" s="2"/>
      <c r="E41" s="3"/>
      <c r="F41" s="18" t="s">
        <v>156</v>
      </c>
      <c r="G41" s="2"/>
      <c r="H41" s="2"/>
      <c r="I41" s="2"/>
      <c r="J41" s="2"/>
      <c r="K41" s="2"/>
      <c r="L41" s="3"/>
      <c r="M41" s="18" t="s">
        <v>173</v>
      </c>
      <c r="N41" s="2"/>
      <c r="O41" s="2"/>
      <c r="P41" s="2"/>
      <c r="Q41" s="2"/>
      <c r="R41" s="2"/>
      <c r="S41" s="2"/>
      <c r="T41" s="3"/>
      <c r="U41" s="32" t="s">
        <v>78</v>
      </c>
      <c r="V41" s="3"/>
      <c r="W41" s="18" t="s">
        <v>174</v>
      </c>
      <c r="X41" s="2"/>
      <c r="Y41" s="2"/>
      <c r="Z41" s="2"/>
      <c r="AA41" s="2"/>
      <c r="AB41" s="2"/>
      <c r="AC41" s="3"/>
      <c r="AD41" s="19">
        <v>15</v>
      </c>
      <c r="AE41" s="2"/>
      <c r="AF41" s="3"/>
    </row>
    <row r="42" ht="30" customHeight="1" spans="2:32">
      <c r="B42" s="17">
        <v>35</v>
      </c>
      <c r="C42" s="19" t="s">
        <v>175</v>
      </c>
      <c r="D42" s="2"/>
      <c r="E42" s="3"/>
      <c r="F42" s="18" t="s">
        <v>156</v>
      </c>
      <c r="G42" s="2"/>
      <c r="H42" s="2"/>
      <c r="I42" s="2"/>
      <c r="J42" s="2"/>
      <c r="K42" s="2"/>
      <c r="L42" s="3"/>
      <c r="M42" s="18" t="s">
        <v>176</v>
      </c>
      <c r="N42" s="2"/>
      <c r="O42" s="2"/>
      <c r="P42" s="2"/>
      <c r="Q42" s="2"/>
      <c r="R42" s="2"/>
      <c r="S42" s="2"/>
      <c r="T42" s="3"/>
      <c r="U42" s="33" t="s">
        <v>98</v>
      </c>
      <c r="V42" s="3"/>
      <c r="W42" s="18" t="s">
        <v>90</v>
      </c>
      <c r="X42" s="2"/>
      <c r="Y42" s="2"/>
      <c r="Z42" s="2"/>
      <c r="AA42" s="2"/>
      <c r="AB42" s="2"/>
      <c r="AC42" s="3"/>
      <c r="AD42" s="19">
        <v>30</v>
      </c>
      <c r="AE42" s="2"/>
      <c r="AF42" s="3"/>
    </row>
    <row r="43" ht="36" customHeight="1" spans="2:32">
      <c r="B43" s="17">
        <v>36</v>
      </c>
      <c r="C43" s="19" t="s">
        <v>177</v>
      </c>
      <c r="D43" s="2"/>
      <c r="E43" s="3"/>
      <c r="F43" s="18" t="s">
        <v>156</v>
      </c>
      <c r="G43" s="2"/>
      <c r="H43" s="2"/>
      <c r="I43" s="2"/>
      <c r="J43" s="2"/>
      <c r="K43" s="2"/>
      <c r="L43" s="3"/>
      <c r="M43" s="18" t="s">
        <v>178</v>
      </c>
      <c r="N43" s="2"/>
      <c r="O43" s="2"/>
      <c r="P43" s="2"/>
      <c r="Q43" s="2"/>
      <c r="R43" s="2"/>
      <c r="S43" s="2"/>
      <c r="T43" s="3"/>
      <c r="U43" s="32" t="s">
        <v>78</v>
      </c>
      <c r="V43" s="3"/>
      <c r="W43" s="18" t="s">
        <v>163</v>
      </c>
      <c r="X43" s="2"/>
      <c r="Y43" s="2"/>
      <c r="Z43" s="2"/>
      <c r="AA43" s="2"/>
      <c r="AB43" s="2"/>
      <c r="AC43" s="3"/>
      <c r="AD43" s="19">
        <v>6</v>
      </c>
      <c r="AE43" s="2"/>
      <c r="AF43" s="3"/>
    </row>
    <row r="44" ht="30" customHeight="1" spans="2:32">
      <c r="B44" s="17">
        <v>37</v>
      </c>
      <c r="C44" s="19" t="s">
        <v>179</v>
      </c>
      <c r="D44" s="2"/>
      <c r="E44" s="3"/>
      <c r="F44" s="18" t="s">
        <v>180</v>
      </c>
      <c r="G44" s="2"/>
      <c r="H44" s="2"/>
      <c r="I44" s="2"/>
      <c r="J44" s="2"/>
      <c r="K44" s="2"/>
      <c r="L44" s="3"/>
      <c r="M44" s="18" t="s">
        <v>181</v>
      </c>
      <c r="N44" s="2"/>
      <c r="O44" s="2"/>
      <c r="P44" s="2"/>
      <c r="Q44" s="2"/>
      <c r="R44" s="2"/>
      <c r="S44" s="2"/>
      <c r="T44" s="3"/>
      <c r="U44" s="34" t="s">
        <v>182</v>
      </c>
      <c r="V44" s="3"/>
      <c r="W44" s="18" t="s">
        <v>183</v>
      </c>
      <c r="X44" s="2"/>
      <c r="Y44" s="2"/>
      <c r="Z44" s="2"/>
      <c r="AA44" s="2"/>
      <c r="AB44" s="2"/>
      <c r="AC44" s="3"/>
      <c r="AD44" s="19">
        <v>60</v>
      </c>
      <c r="AE44" s="2"/>
      <c r="AF44" s="3"/>
    </row>
    <row r="45" ht="36" customHeight="1" spans="2:32">
      <c r="B45" s="17">
        <v>38</v>
      </c>
      <c r="C45" s="19" t="s">
        <v>184</v>
      </c>
      <c r="D45" s="2"/>
      <c r="E45" s="3"/>
      <c r="F45" s="18" t="s">
        <v>180</v>
      </c>
      <c r="G45" s="2"/>
      <c r="H45" s="2"/>
      <c r="I45" s="2"/>
      <c r="J45" s="2"/>
      <c r="K45" s="2"/>
      <c r="L45" s="3"/>
      <c r="M45" s="18" t="s">
        <v>185</v>
      </c>
      <c r="N45" s="2"/>
      <c r="O45" s="2"/>
      <c r="P45" s="2"/>
      <c r="Q45" s="2"/>
      <c r="R45" s="2"/>
      <c r="S45" s="2"/>
      <c r="T45" s="3"/>
      <c r="U45" s="34" t="s">
        <v>182</v>
      </c>
      <c r="V45" s="3"/>
      <c r="W45" s="18" t="s">
        <v>183</v>
      </c>
      <c r="X45" s="2"/>
      <c r="Y45" s="2"/>
      <c r="Z45" s="2"/>
      <c r="AA45" s="2"/>
      <c r="AB45" s="2"/>
      <c r="AC45" s="3"/>
      <c r="AD45" s="19">
        <v>40</v>
      </c>
      <c r="AE45" s="2"/>
      <c r="AF45" s="3"/>
    </row>
    <row r="46" ht="30" customHeight="1" spans="2:32">
      <c r="B46" s="17">
        <v>39</v>
      </c>
      <c r="C46" s="19" t="s">
        <v>186</v>
      </c>
      <c r="D46" s="2"/>
      <c r="E46" s="3"/>
      <c r="F46" s="18" t="s">
        <v>180</v>
      </c>
      <c r="G46" s="2"/>
      <c r="H46" s="2"/>
      <c r="I46" s="2"/>
      <c r="J46" s="2"/>
      <c r="K46" s="2"/>
      <c r="L46" s="3"/>
      <c r="M46" s="18" t="s">
        <v>187</v>
      </c>
      <c r="N46" s="2"/>
      <c r="O46" s="2"/>
      <c r="P46" s="2"/>
      <c r="Q46" s="2"/>
      <c r="R46" s="2"/>
      <c r="S46" s="2"/>
      <c r="T46" s="3"/>
      <c r="U46" s="34" t="s">
        <v>182</v>
      </c>
      <c r="V46" s="3"/>
      <c r="W46" s="18" t="s">
        <v>109</v>
      </c>
      <c r="X46" s="2"/>
      <c r="Y46" s="2"/>
      <c r="Z46" s="2"/>
      <c r="AA46" s="2"/>
      <c r="AB46" s="2"/>
      <c r="AC46" s="3"/>
      <c r="AD46" s="19">
        <v>25</v>
      </c>
      <c r="AE46" s="2"/>
      <c r="AF46" s="3"/>
    </row>
    <row r="47" ht="30" customHeight="1" spans="2:32">
      <c r="B47" s="17">
        <v>40</v>
      </c>
      <c r="C47" s="19" t="s">
        <v>188</v>
      </c>
      <c r="D47" s="2"/>
      <c r="E47" s="3"/>
      <c r="F47" s="18" t="s">
        <v>180</v>
      </c>
      <c r="G47" s="2"/>
      <c r="H47" s="2"/>
      <c r="I47" s="2"/>
      <c r="J47" s="2"/>
      <c r="K47" s="2"/>
      <c r="L47" s="3"/>
      <c r="M47" s="18" t="s">
        <v>189</v>
      </c>
      <c r="N47" s="2"/>
      <c r="O47" s="2"/>
      <c r="P47" s="2"/>
      <c r="Q47" s="2"/>
      <c r="R47" s="2"/>
      <c r="S47" s="2"/>
      <c r="T47" s="3"/>
      <c r="U47" s="34" t="s">
        <v>182</v>
      </c>
      <c r="V47" s="3"/>
      <c r="W47" s="18" t="s">
        <v>90</v>
      </c>
      <c r="X47" s="2"/>
      <c r="Y47" s="2"/>
      <c r="Z47" s="2"/>
      <c r="AA47" s="2"/>
      <c r="AB47" s="2"/>
      <c r="AC47" s="3"/>
      <c r="AD47" s="19">
        <v>5</v>
      </c>
      <c r="AE47" s="2"/>
      <c r="AF47" s="3"/>
    </row>
    <row r="48" ht="30" customHeight="1" spans="2:32">
      <c r="B48" s="17">
        <v>41</v>
      </c>
      <c r="C48" s="19" t="s">
        <v>190</v>
      </c>
      <c r="D48" s="2"/>
      <c r="E48" s="3"/>
      <c r="F48" s="18" t="s">
        <v>180</v>
      </c>
      <c r="G48" s="2"/>
      <c r="H48" s="2"/>
      <c r="I48" s="2"/>
      <c r="J48" s="2"/>
      <c r="K48" s="2"/>
      <c r="L48" s="3"/>
      <c r="M48" s="18" t="s">
        <v>191</v>
      </c>
      <c r="N48" s="2"/>
      <c r="O48" s="2"/>
      <c r="P48" s="2"/>
      <c r="Q48" s="2"/>
      <c r="R48" s="2"/>
      <c r="S48" s="2"/>
      <c r="T48" s="3"/>
      <c r="U48" s="32" t="s">
        <v>78</v>
      </c>
      <c r="V48" s="3"/>
      <c r="W48" s="18" t="s">
        <v>90</v>
      </c>
      <c r="X48" s="2"/>
      <c r="Y48" s="2"/>
      <c r="Z48" s="2"/>
      <c r="AA48" s="2"/>
      <c r="AB48" s="2"/>
      <c r="AC48" s="3"/>
      <c r="AD48" s="19">
        <v>5</v>
      </c>
      <c r="AE48" s="2"/>
      <c r="AF48" s="3"/>
    </row>
    <row r="49" ht="30" customHeight="1" spans="2:37">
      <c r="B49" s="17">
        <v>42</v>
      </c>
      <c r="C49" s="19" t="s">
        <v>192</v>
      </c>
      <c r="D49" s="2"/>
      <c r="E49" s="3"/>
      <c r="F49" s="18" t="s">
        <v>180</v>
      </c>
      <c r="G49" s="2"/>
      <c r="H49" s="2"/>
      <c r="I49" s="2"/>
      <c r="J49" s="2"/>
      <c r="K49" s="2"/>
      <c r="L49" s="3"/>
      <c r="M49" s="18" t="s">
        <v>193</v>
      </c>
      <c r="N49" s="2"/>
      <c r="O49" s="2"/>
      <c r="P49" s="2"/>
      <c r="Q49" s="2"/>
      <c r="R49" s="2"/>
      <c r="S49" s="2"/>
      <c r="T49" s="3"/>
      <c r="U49" s="33" t="s">
        <v>98</v>
      </c>
      <c r="V49" s="3"/>
      <c r="W49" s="18" t="s">
        <v>194</v>
      </c>
      <c r="X49" s="2"/>
      <c r="Y49" s="2"/>
      <c r="Z49" s="2"/>
      <c r="AA49" s="2"/>
      <c r="AB49" s="2"/>
      <c r="AC49" s="3"/>
      <c r="AD49" s="19">
        <v>8</v>
      </c>
      <c r="AE49" s="2"/>
      <c r="AF49" s="3"/>
    </row>
    <row r="50" ht="30" customHeight="1" spans="2:37">
      <c r="B50" s="17">
        <v>43</v>
      </c>
      <c r="C50" s="19" t="s">
        <v>195</v>
      </c>
      <c r="D50" s="2"/>
      <c r="E50" s="3"/>
      <c r="F50" s="18" t="s">
        <v>196</v>
      </c>
      <c r="G50" s="2"/>
      <c r="H50" s="2"/>
      <c r="I50" s="2"/>
      <c r="J50" s="2"/>
      <c r="K50" s="2"/>
      <c r="L50" s="3"/>
      <c r="M50" s="18" t="s">
        <v>197</v>
      </c>
      <c r="N50" s="2"/>
      <c r="O50" s="2"/>
      <c r="P50" s="2"/>
      <c r="Q50" s="2"/>
      <c r="R50" s="2"/>
      <c r="S50" s="2"/>
      <c r="T50" s="3"/>
      <c r="U50" s="33" t="s">
        <v>98</v>
      </c>
      <c r="V50" s="3"/>
      <c r="W50" s="18" t="s">
        <v>198</v>
      </c>
      <c r="X50" s="2"/>
      <c r="Y50" s="2"/>
      <c r="Z50" s="2"/>
      <c r="AA50" s="2"/>
      <c r="AB50" s="2"/>
      <c r="AC50" s="3"/>
      <c r="AD50" s="19">
        <v>12</v>
      </c>
      <c r="AE50" s="2"/>
      <c r="AF50" s="3"/>
    </row>
    <row r="51" ht="30" customHeight="1" spans="2:37">
      <c r="B51" s="17">
        <v>44</v>
      </c>
      <c r="C51" s="19" t="s">
        <v>199</v>
      </c>
      <c r="D51" s="2"/>
      <c r="E51" s="3"/>
      <c r="F51" s="18" t="s">
        <v>196</v>
      </c>
      <c r="G51" s="2"/>
      <c r="H51" s="2"/>
      <c r="I51" s="2"/>
      <c r="J51" s="2"/>
      <c r="K51" s="2"/>
      <c r="L51" s="3"/>
      <c r="M51" s="18" t="s">
        <v>200</v>
      </c>
      <c r="N51" s="2"/>
      <c r="O51" s="2"/>
      <c r="P51" s="2"/>
      <c r="Q51" s="2"/>
      <c r="R51" s="2"/>
      <c r="S51" s="2"/>
      <c r="T51" s="3"/>
      <c r="U51" s="33" t="s">
        <v>98</v>
      </c>
      <c r="V51" s="3"/>
      <c r="W51" s="18" t="s">
        <v>201</v>
      </c>
      <c r="X51" s="2"/>
      <c r="Y51" s="2"/>
      <c r="Z51" s="2"/>
      <c r="AA51" s="2"/>
      <c r="AB51" s="2"/>
      <c r="AC51" s="3"/>
      <c r="AD51" s="19">
        <v>8</v>
      </c>
      <c r="AE51" s="2"/>
      <c r="AF51" s="3"/>
    </row>
    <row r="52" ht="22.5" customHeight="1" spans="2:37">
      <c r="B52" s="35" t="s">
        <v>54</v>
      </c>
      <c r="C52" s="2"/>
      <c r="D52" s="2"/>
      <c r="E52" s="2"/>
      <c r="F52" s="2"/>
      <c r="G52" s="2"/>
      <c r="H52" s="2"/>
      <c r="I52" s="2"/>
      <c r="J52" s="2"/>
      <c r="K52" s="2"/>
      <c r="L52" s="2"/>
      <c r="M52" s="2"/>
      <c r="N52" s="2"/>
      <c r="O52" s="2"/>
      <c r="P52" s="2"/>
      <c r="Q52" s="2"/>
      <c r="R52" s="2"/>
      <c r="S52" s="2"/>
      <c r="T52" s="3"/>
      <c r="U52" s="36"/>
      <c r="V52" s="3"/>
      <c r="W52" s="36"/>
      <c r="X52" s="2"/>
      <c r="Y52" s="2"/>
      <c r="Z52" s="2"/>
      <c r="AA52" s="2"/>
      <c r="AB52" s="2"/>
      <c r="AC52" s="3"/>
      <c r="AD52" s="36">
        <f>SUM(AD8:AD51)</f>
        <v>1682</v>
      </c>
      <c r="AE52" s="2"/>
      <c r="AF52" s="3"/>
    </row>
    <row r="53" ht="15.75" customHeight="1"/>
    <row r="54" ht="19.5" customHeight="1" spans="2:37">
      <c r="B54" s="30" t="s">
        <v>202</v>
      </c>
    </row>
    <row r="55" ht="15.75" customHeight="1"/>
    <row r="56" ht="28.5" customHeight="1" spans="2:37">
      <c r="B56" s="1" t="s">
        <v>203</v>
      </c>
      <c r="C56" s="3"/>
      <c r="D56" s="1" t="s">
        <v>204</v>
      </c>
      <c r="E56" s="2"/>
      <c r="F56" s="3"/>
      <c r="G56" s="1" t="s">
        <v>205</v>
      </c>
      <c r="H56" s="2"/>
      <c r="I56" s="2"/>
      <c r="J56" s="2"/>
      <c r="K56" s="2"/>
      <c r="L56" s="3"/>
      <c r="M56" s="1" t="s">
        <v>206</v>
      </c>
      <c r="N56" s="3"/>
      <c r="O56" s="1" t="s">
        <v>207</v>
      </c>
      <c r="P56" s="2"/>
      <c r="Q56" s="3"/>
      <c r="R56" s="1" t="s">
        <v>208</v>
      </c>
      <c r="S56" s="2"/>
      <c r="T56" s="2"/>
      <c r="U56" s="2"/>
      <c r="V56" s="2"/>
      <c r="W56" s="2"/>
      <c r="X56" s="2"/>
      <c r="Y56" s="2"/>
      <c r="Z56" s="2"/>
      <c r="AA56" s="2"/>
      <c r="AB56" s="2"/>
      <c r="AC56" s="2"/>
      <c r="AD56" s="2"/>
      <c r="AE56" s="2"/>
      <c r="AF56" s="2"/>
      <c r="AG56" s="2"/>
      <c r="AH56" s="2"/>
      <c r="AI56" s="2"/>
      <c r="AJ56" s="2"/>
      <c r="AK56" s="3"/>
    </row>
    <row r="57" ht="36" customHeight="1" spans="2:37">
      <c r="B57" s="37" t="s">
        <v>209</v>
      </c>
      <c r="C57" s="3"/>
      <c r="D57" s="19" t="s">
        <v>210</v>
      </c>
      <c r="E57" s="2"/>
      <c r="F57" s="3"/>
      <c r="G57" s="18" t="s">
        <v>211</v>
      </c>
      <c r="H57" s="2"/>
      <c r="I57" s="2"/>
      <c r="J57" s="2"/>
      <c r="K57" s="2"/>
      <c r="L57" s="3"/>
      <c r="M57" s="19">
        <v>10</v>
      </c>
      <c r="N57" s="3"/>
      <c r="O57" s="19" t="s">
        <v>78</v>
      </c>
      <c r="P57" s="2"/>
      <c r="Q57" s="3"/>
      <c r="R57" s="18" t="s">
        <v>212</v>
      </c>
      <c r="S57" s="2"/>
      <c r="T57" s="2"/>
      <c r="U57" s="2"/>
      <c r="V57" s="2"/>
      <c r="W57" s="2"/>
      <c r="X57" s="2"/>
      <c r="Y57" s="2"/>
      <c r="Z57" s="2"/>
      <c r="AA57" s="2"/>
      <c r="AB57" s="2"/>
      <c r="AC57" s="2"/>
      <c r="AD57" s="2"/>
      <c r="AE57" s="2"/>
      <c r="AF57" s="2"/>
      <c r="AG57" s="2"/>
      <c r="AH57" s="2"/>
      <c r="AI57" s="2"/>
      <c r="AJ57" s="2"/>
      <c r="AK57" s="3"/>
    </row>
    <row r="58" ht="30" customHeight="1" spans="2:37">
      <c r="B58" s="37" t="s">
        <v>213</v>
      </c>
      <c r="C58" s="3"/>
      <c r="D58" s="19" t="s">
        <v>214</v>
      </c>
      <c r="E58" s="2"/>
      <c r="F58" s="3"/>
      <c r="G58" s="18" t="s">
        <v>215</v>
      </c>
      <c r="H58" s="2"/>
      <c r="I58" s="2"/>
      <c r="J58" s="2"/>
      <c r="K58" s="2"/>
      <c r="L58" s="3"/>
      <c r="M58" s="19">
        <v>9</v>
      </c>
      <c r="N58" s="3"/>
      <c r="O58" s="19" t="s">
        <v>98</v>
      </c>
      <c r="P58" s="2"/>
      <c r="Q58" s="3"/>
      <c r="R58" s="18" t="s">
        <v>216</v>
      </c>
      <c r="S58" s="2"/>
      <c r="T58" s="2"/>
      <c r="U58" s="2"/>
      <c r="V58" s="2"/>
      <c r="W58" s="2"/>
      <c r="X58" s="2"/>
      <c r="Y58" s="2"/>
      <c r="Z58" s="2"/>
      <c r="AA58" s="2"/>
      <c r="AB58" s="2"/>
      <c r="AC58" s="2"/>
      <c r="AD58" s="2"/>
      <c r="AE58" s="2"/>
      <c r="AF58" s="2"/>
      <c r="AG58" s="2"/>
      <c r="AH58" s="2"/>
      <c r="AI58" s="2"/>
      <c r="AJ58" s="2"/>
      <c r="AK58" s="3"/>
    </row>
    <row r="59" ht="36" customHeight="1" spans="2:37">
      <c r="B59" s="37" t="s">
        <v>217</v>
      </c>
      <c r="C59" s="3"/>
      <c r="D59" s="19" t="s">
        <v>218</v>
      </c>
      <c r="E59" s="2"/>
      <c r="F59" s="3"/>
      <c r="G59" s="18" t="s">
        <v>219</v>
      </c>
      <c r="H59" s="2"/>
      <c r="I59" s="2"/>
      <c r="J59" s="2"/>
      <c r="K59" s="2"/>
      <c r="L59" s="3"/>
      <c r="M59" s="19">
        <v>8</v>
      </c>
      <c r="N59" s="3"/>
      <c r="O59" s="19" t="s">
        <v>78</v>
      </c>
      <c r="P59" s="2"/>
      <c r="Q59" s="3"/>
      <c r="R59" s="18" t="s">
        <v>220</v>
      </c>
      <c r="S59" s="2"/>
      <c r="T59" s="2"/>
      <c r="U59" s="2"/>
      <c r="V59" s="2"/>
      <c r="W59" s="2"/>
      <c r="X59" s="2"/>
      <c r="Y59" s="2"/>
      <c r="Z59" s="2"/>
      <c r="AA59" s="2"/>
      <c r="AB59" s="2"/>
      <c r="AC59" s="2"/>
      <c r="AD59" s="2"/>
      <c r="AE59" s="2"/>
      <c r="AF59" s="2"/>
      <c r="AG59" s="2"/>
      <c r="AH59" s="2"/>
      <c r="AI59" s="2"/>
      <c r="AJ59" s="2"/>
      <c r="AK59" s="3"/>
    </row>
    <row r="60" ht="36" customHeight="1" spans="2:37">
      <c r="B60" s="37" t="s">
        <v>221</v>
      </c>
      <c r="C60" s="3"/>
      <c r="D60" s="19" t="s">
        <v>222</v>
      </c>
      <c r="E60" s="2"/>
      <c r="F60" s="3"/>
      <c r="G60" s="18" t="s">
        <v>223</v>
      </c>
      <c r="H60" s="2"/>
      <c r="I60" s="2"/>
      <c r="J60" s="2"/>
      <c r="K60" s="2"/>
      <c r="L60" s="3"/>
      <c r="M60" s="19">
        <v>9</v>
      </c>
      <c r="N60" s="3"/>
      <c r="O60" s="19" t="s">
        <v>78</v>
      </c>
      <c r="P60" s="2"/>
      <c r="Q60" s="3"/>
      <c r="R60" s="18" t="s">
        <v>224</v>
      </c>
      <c r="S60" s="2"/>
      <c r="T60" s="2"/>
      <c r="U60" s="2"/>
      <c r="V60" s="2"/>
      <c r="W60" s="2"/>
      <c r="X60" s="2"/>
      <c r="Y60" s="2"/>
      <c r="Z60" s="2"/>
      <c r="AA60" s="2"/>
      <c r="AB60" s="2"/>
      <c r="AC60" s="2"/>
      <c r="AD60" s="2"/>
      <c r="AE60" s="2"/>
      <c r="AF60" s="2"/>
      <c r="AG60" s="2"/>
      <c r="AH60" s="2"/>
      <c r="AI60" s="2"/>
      <c r="AJ60" s="2"/>
      <c r="AK60" s="3"/>
    </row>
    <row r="61" ht="36" customHeight="1" spans="2:37">
      <c r="B61" s="37" t="s">
        <v>225</v>
      </c>
      <c r="C61" s="3"/>
      <c r="D61" s="19" t="s">
        <v>226</v>
      </c>
      <c r="E61" s="2"/>
      <c r="F61" s="3"/>
      <c r="G61" s="18" t="s">
        <v>227</v>
      </c>
      <c r="H61" s="2"/>
      <c r="I61" s="2"/>
      <c r="J61" s="2"/>
      <c r="K61" s="2"/>
      <c r="L61" s="3"/>
      <c r="M61" s="19">
        <v>6</v>
      </c>
      <c r="N61" s="3"/>
      <c r="O61" s="19" t="s">
        <v>228</v>
      </c>
      <c r="P61" s="2"/>
      <c r="Q61" s="3"/>
      <c r="R61" s="18" t="s">
        <v>229</v>
      </c>
      <c r="S61" s="2"/>
      <c r="T61" s="2"/>
      <c r="U61" s="2"/>
      <c r="V61" s="2"/>
      <c r="W61" s="2"/>
      <c r="X61" s="2"/>
      <c r="Y61" s="2"/>
      <c r="Z61" s="2"/>
      <c r="AA61" s="2"/>
      <c r="AB61" s="2"/>
      <c r="AC61" s="2"/>
      <c r="AD61" s="2"/>
      <c r="AE61" s="2"/>
      <c r="AF61" s="2"/>
      <c r="AG61" s="2"/>
      <c r="AH61" s="2"/>
      <c r="AI61" s="2"/>
      <c r="AJ61" s="2"/>
      <c r="AK61" s="3"/>
    </row>
    <row r="62" ht="30" customHeight="1" spans="2:37">
      <c r="B62" s="37" t="s">
        <v>230</v>
      </c>
      <c r="C62" s="3"/>
      <c r="D62" s="19" t="s">
        <v>231</v>
      </c>
      <c r="E62" s="2"/>
      <c r="F62" s="3"/>
      <c r="G62" s="18" t="s">
        <v>232</v>
      </c>
      <c r="H62" s="2"/>
      <c r="I62" s="2"/>
      <c r="J62" s="2"/>
      <c r="K62" s="2"/>
      <c r="L62" s="3"/>
      <c r="M62" s="19">
        <v>2</v>
      </c>
      <c r="N62" s="3"/>
      <c r="O62" s="19" t="s">
        <v>98</v>
      </c>
      <c r="P62" s="2"/>
      <c r="Q62" s="3"/>
      <c r="R62" s="18" t="s">
        <v>233</v>
      </c>
      <c r="S62" s="2"/>
      <c r="T62" s="2"/>
      <c r="U62" s="2"/>
      <c r="V62" s="2"/>
      <c r="W62" s="2"/>
      <c r="X62" s="2"/>
      <c r="Y62" s="2"/>
      <c r="Z62" s="2"/>
      <c r="AA62" s="2"/>
      <c r="AB62" s="2"/>
      <c r="AC62" s="2"/>
      <c r="AD62" s="2"/>
      <c r="AE62" s="2"/>
      <c r="AF62" s="2"/>
      <c r="AG62" s="2"/>
      <c r="AH62" s="2"/>
      <c r="AI62" s="2"/>
      <c r="AJ62" s="2"/>
      <c r="AK62" s="3"/>
    </row>
    <row r="63" ht="15.75" customHeight="1"/>
    <row r="64" ht="30" customHeight="1" spans="2:37">
      <c r="B64" s="38" t="s">
        <v>234</v>
      </c>
      <c r="C64" s="2"/>
      <c r="D64" s="2"/>
      <c r="E64" s="2"/>
      <c r="F64" s="2"/>
      <c r="G64" s="2"/>
      <c r="H64" s="2"/>
      <c r="I64" s="2"/>
      <c r="J64" s="2"/>
      <c r="K64" s="2"/>
      <c r="L64" s="2"/>
      <c r="M64" s="2"/>
      <c r="N64" s="2"/>
      <c r="O64" s="2"/>
      <c r="P64" s="2"/>
      <c r="Q64" s="2"/>
      <c r="R64" s="2"/>
      <c r="S64" s="2"/>
      <c r="T64" s="2"/>
      <c r="U64" s="2"/>
      <c r="V64" s="2"/>
      <c r="W64" s="2"/>
      <c r="X64" s="2"/>
      <c r="Y64" s="2"/>
      <c r="Z64" s="2"/>
      <c r="AA64" s="2"/>
      <c r="AB64" s="2"/>
      <c r="AC64" s="2"/>
      <c r="AD64" s="2"/>
      <c r="AE64" s="2"/>
      <c r="AF64" s="2"/>
      <c r="AG64" s="2"/>
      <c r="AH64" s="2"/>
      <c r="AI64" s="2"/>
      <c r="AJ64" s="2"/>
      <c r="AK64" s="3"/>
    </row>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33">
    <mergeCell ref="A1:I1"/>
    <mergeCell ref="J1:P1"/>
    <mergeCell ref="Q1:U1"/>
    <mergeCell ref="V1:Y1"/>
    <mergeCell ref="Z1:AC1"/>
    <mergeCell ref="AD1:AG1"/>
    <mergeCell ref="AH1:AK1"/>
    <mergeCell ref="B5:AK5"/>
    <mergeCell ref="C7:E7"/>
    <mergeCell ref="F7:L7"/>
    <mergeCell ref="M7:T7"/>
    <mergeCell ref="U7:V7"/>
    <mergeCell ref="W7:AC7"/>
    <mergeCell ref="AD7:AF7"/>
    <mergeCell ref="C8:E8"/>
    <mergeCell ref="F8:L8"/>
    <mergeCell ref="M8:T8"/>
    <mergeCell ref="U8:V8"/>
    <mergeCell ref="W8:AC8"/>
    <mergeCell ref="AD8:AF8"/>
    <mergeCell ref="C9:E9"/>
    <mergeCell ref="F9:L9"/>
    <mergeCell ref="M9:T9"/>
    <mergeCell ref="U9:V9"/>
    <mergeCell ref="W9:AC9"/>
    <mergeCell ref="AD9:AF9"/>
    <mergeCell ref="C10:E10"/>
    <mergeCell ref="F10:L10"/>
    <mergeCell ref="M10:T10"/>
    <mergeCell ref="U10:V10"/>
    <mergeCell ref="W10:AC10"/>
    <mergeCell ref="AD10:AF10"/>
    <mergeCell ref="C11:E11"/>
    <mergeCell ref="F11:L11"/>
    <mergeCell ref="M11:T11"/>
    <mergeCell ref="U11:V11"/>
    <mergeCell ref="W11:AC11"/>
    <mergeCell ref="AD11:AF11"/>
    <mergeCell ref="C12:E12"/>
    <mergeCell ref="F12:L12"/>
    <mergeCell ref="M12:T12"/>
    <mergeCell ref="U12:V12"/>
    <mergeCell ref="W12:AC12"/>
    <mergeCell ref="AD12:AF12"/>
    <mergeCell ref="C13:E13"/>
    <mergeCell ref="F13:L13"/>
    <mergeCell ref="M13:T13"/>
    <mergeCell ref="U13:V13"/>
    <mergeCell ref="W13:AC13"/>
    <mergeCell ref="AD13:AF13"/>
    <mergeCell ref="C14:E14"/>
    <mergeCell ref="F14:L14"/>
    <mergeCell ref="M14:T14"/>
    <mergeCell ref="U14:V14"/>
    <mergeCell ref="W14:AC14"/>
    <mergeCell ref="AD14:AF14"/>
    <mergeCell ref="C15:E15"/>
    <mergeCell ref="F15:L15"/>
    <mergeCell ref="M15:T15"/>
    <mergeCell ref="U15:V15"/>
    <mergeCell ref="W15:AC15"/>
    <mergeCell ref="AD15:AF15"/>
    <mergeCell ref="C16:E16"/>
    <mergeCell ref="F16:L16"/>
    <mergeCell ref="M16:T16"/>
    <mergeCell ref="U16:V16"/>
    <mergeCell ref="W16:AC16"/>
    <mergeCell ref="AD16:AF16"/>
    <mergeCell ref="C17:E17"/>
    <mergeCell ref="F17:L17"/>
    <mergeCell ref="M17:T17"/>
    <mergeCell ref="U17:V17"/>
    <mergeCell ref="W17:AC17"/>
    <mergeCell ref="AD17:AF17"/>
    <mergeCell ref="C18:E18"/>
    <mergeCell ref="F18:L18"/>
    <mergeCell ref="M18:T18"/>
    <mergeCell ref="U18:V18"/>
    <mergeCell ref="W18:AC18"/>
    <mergeCell ref="AD18:AF18"/>
    <mergeCell ref="C19:E19"/>
    <mergeCell ref="F19:L19"/>
    <mergeCell ref="M19:T19"/>
    <mergeCell ref="U19:V19"/>
    <mergeCell ref="W19:AC19"/>
    <mergeCell ref="AD19:AF19"/>
    <mergeCell ref="C20:E20"/>
    <mergeCell ref="F20:L20"/>
    <mergeCell ref="M20:T20"/>
    <mergeCell ref="U20:V20"/>
    <mergeCell ref="W20:AC20"/>
    <mergeCell ref="AD20:AF20"/>
    <mergeCell ref="C21:E21"/>
    <mergeCell ref="F21:L21"/>
    <mergeCell ref="M21:T21"/>
    <mergeCell ref="U21:V21"/>
    <mergeCell ref="W21:AC21"/>
    <mergeCell ref="AD21:AF21"/>
    <mergeCell ref="C22:E22"/>
    <mergeCell ref="F22:L22"/>
    <mergeCell ref="M22:T22"/>
    <mergeCell ref="U22:V22"/>
    <mergeCell ref="W22:AC22"/>
    <mergeCell ref="AD22:AF22"/>
    <mergeCell ref="C23:E23"/>
    <mergeCell ref="F23:L23"/>
    <mergeCell ref="M23:T23"/>
    <mergeCell ref="U23:V23"/>
    <mergeCell ref="W23:AC23"/>
    <mergeCell ref="AD23:AF23"/>
    <mergeCell ref="C24:E24"/>
    <mergeCell ref="F24:L24"/>
    <mergeCell ref="M24:T24"/>
    <mergeCell ref="U24:V24"/>
    <mergeCell ref="W24:AC24"/>
    <mergeCell ref="AD24:AF24"/>
    <mergeCell ref="C25:E25"/>
    <mergeCell ref="F25:L25"/>
    <mergeCell ref="M25:T25"/>
    <mergeCell ref="U25:V25"/>
    <mergeCell ref="W25:AC25"/>
    <mergeCell ref="AD25:AF25"/>
    <mergeCell ref="C26:E26"/>
    <mergeCell ref="F26:L26"/>
    <mergeCell ref="M26:T26"/>
    <mergeCell ref="U26:V26"/>
    <mergeCell ref="W26:AC26"/>
    <mergeCell ref="AD26:AF26"/>
    <mergeCell ref="C27:E27"/>
    <mergeCell ref="F27:L27"/>
    <mergeCell ref="M27:T27"/>
    <mergeCell ref="U27:V27"/>
    <mergeCell ref="W27:AC27"/>
    <mergeCell ref="AD27:AF27"/>
    <mergeCell ref="C28:E28"/>
    <mergeCell ref="F28:L28"/>
    <mergeCell ref="M28:T28"/>
    <mergeCell ref="U28:V28"/>
    <mergeCell ref="W28:AC28"/>
    <mergeCell ref="AD28:AF28"/>
    <mergeCell ref="C29:E29"/>
    <mergeCell ref="F29:L29"/>
    <mergeCell ref="M29:T29"/>
    <mergeCell ref="U29:V29"/>
    <mergeCell ref="W29:AC29"/>
    <mergeCell ref="AD29:AF29"/>
    <mergeCell ref="C30:E30"/>
    <mergeCell ref="F30:L30"/>
    <mergeCell ref="M30:T30"/>
    <mergeCell ref="U30:V30"/>
    <mergeCell ref="W30:AC30"/>
    <mergeCell ref="AD30:AF30"/>
    <mergeCell ref="C31:E31"/>
    <mergeCell ref="F31:L31"/>
    <mergeCell ref="M31:T31"/>
    <mergeCell ref="U31:V31"/>
    <mergeCell ref="W31:AC31"/>
    <mergeCell ref="AD31:AF31"/>
    <mergeCell ref="C32:E32"/>
    <mergeCell ref="F32:L32"/>
    <mergeCell ref="M32:T32"/>
    <mergeCell ref="U32:V32"/>
    <mergeCell ref="W32:AC32"/>
    <mergeCell ref="AD32:AF32"/>
    <mergeCell ref="C33:E33"/>
    <mergeCell ref="F33:L33"/>
    <mergeCell ref="M33:T33"/>
    <mergeCell ref="U33:V33"/>
    <mergeCell ref="W33:AC33"/>
    <mergeCell ref="AD33:AF33"/>
    <mergeCell ref="C34:E34"/>
    <mergeCell ref="F34:L34"/>
    <mergeCell ref="M34:T34"/>
    <mergeCell ref="U34:V34"/>
    <mergeCell ref="W34:AC34"/>
    <mergeCell ref="AD34:AF34"/>
    <mergeCell ref="C35:E35"/>
    <mergeCell ref="F35:L35"/>
    <mergeCell ref="M35:T35"/>
    <mergeCell ref="U35:V35"/>
    <mergeCell ref="W35:AC35"/>
    <mergeCell ref="AD35:AF35"/>
    <mergeCell ref="C36:E36"/>
    <mergeCell ref="F36:L36"/>
    <mergeCell ref="M36:T36"/>
    <mergeCell ref="U36:V36"/>
    <mergeCell ref="W36:AC36"/>
    <mergeCell ref="AD36:AF36"/>
    <mergeCell ref="C37:E37"/>
    <mergeCell ref="F37:L37"/>
    <mergeCell ref="M37:T37"/>
    <mergeCell ref="U37:V37"/>
    <mergeCell ref="W37:AC37"/>
    <mergeCell ref="AD37:AF37"/>
    <mergeCell ref="C38:E38"/>
    <mergeCell ref="F38:L38"/>
    <mergeCell ref="M38:T38"/>
    <mergeCell ref="U38:V38"/>
    <mergeCell ref="W38:AC38"/>
    <mergeCell ref="AD38:AF38"/>
    <mergeCell ref="C39:E39"/>
    <mergeCell ref="F39:L39"/>
    <mergeCell ref="M39:T39"/>
    <mergeCell ref="U39:V39"/>
    <mergeCell ref="W39:AC39"/>
    <mergeCell ref="AD39:AF39"/>
    <mergeCell ref="C40:E40"/>
    <mergeCell ref="F40:L40"/>
    <mergeCell ref="M40:T40"/>
    <mergeCell ref="U40:V40"/>
    <mergeCell ref="W40:AC40"/>
    <mergeCell ref="AD40:AF40"/>
    <mergeCell ref="C41:E41"/>
    <mergeCell ref="F41:L41"/>
    <mergeCell ref="M41:T41"/>
    <mergeCell ref="U41:V41"/>
    <mergeCell ref="W41:AC41"/>
    <mergeCell ref="AD41:AF41"/>
    <mergeCell ref="C42:E42"/>
    <mergeCell ref="F42:L42"/>
    <mergeCell ref="M42:T42"/>
    <mergeCell ref="U42:V42"/>
    <mergeCell ref="W42:AC42"/>
    <mergeCell ref="AD42:AF42"/>
    <mergeCell ref="C43:E43"/>
    <mergeCell ref="F43:L43"/>
    <mergeCell ref="M43:T43"/>
    <mergeCell ref="U43:V43"/>
    <mergeCell ref="W43:AC43"/>
    <mergeCell ref="AD43:AF43"/>
    <mergeCell ref="C44:E44"/>
    <mergeCell ref="F44:L44"/>
    <mergeCell ref="M44:T44"/>
    <mergeCell ref="U44:V44"/>
    <mergeCell ref="W44:AC44"/>
    <mergeCell ref="AD44:AF44"/>
    <mergeCell ref="C45:E45"/>
    <mergeCell ref="F45:L45"/>
    <mergeCell ref="M45:T45"/>
    <mergeCell ref="U45:V45"/>
    <mergeCell ref="W45:AC45"/>
    <mergeCell ref="AD45:AF45"/>
    <mergeCell ref="C46:E46"/>
    <mergeCell ref="F46:L46"/>
    <mergeCell ref="M46:T46"/>
    <mergeCell ref="U46:V46"/>
    <mergeCell ref="W46:AC46"/>
    <mergeCell ref="AD46:AF46"/>
    <mergeCell ref="C47:E47"/>
    <mergeCell ref="F47:L47"/>
    <mergeCell ref="M47:T47"/>
    <mergeCell ref="U47:V47"/>
    <mergeCell ref="W47:AC47"/>
    <mergeCell ref="AD47:AF47"/>
    <mergeCell ref="C48:E48"/>
    <mergeCell ref="F48:L48"/>
    <mergeCell ref="M48:T48"/>
    <mergeCell ref="U48:V48"/>
    <mergeCell ref="W48:AC48"/>
    <mergeCell ref="AD48:AF48"/>
    <mergeCell ref="C49:E49"/>
    <mergeCell ref="F49:L49"/>
    <mergeCell ref="M49:T49"/>
    <mergeCell ref="U49:V49"/>
    <mergeCell ref="W49:AC49"/>
    <mergeCell ref="AD49:AF49"/>
    <mergeCell ref="C50:E50"/>
    <mergeCell ref="F50:L50"/>
    <mergeCell ref="M50:T50"/>
    <mergeCell ref="U50:V50"/>
    <mergeCell ref="W50:AC50"/>
    <mergeCell ref="AD50:AF50"/>
    <mergeCell ref="C51:E51"/>
    <mergeCell ref="F51:L51"/>
    <mergeCell ref="M51:T51"/>
    <mergeCell ref="U51:V51"/>
    <mergeCell ref="W51:AC51"/>
    <mergeCell ref="AD51:AF51"/>
    <mergeCell ref="B52:T52"/>
    <mergeCell ref="U52:V52"/>
    <mergeCell ref="W52:AC52"/>
    <mergeCell ref="AD52:AF52"/>
    <mergeCell ref="B54:AK54"/>
    <mergeCell ref="B56:C56"/>
    <mergeCell ref="D56:F56"/>
    <mergeCell ref="G56:L56"/>
    <mergeCell ref="M56:N56"/>
    <mergeCell ref="O56:Q56"/>
    <mergeCell ref="R56:AK56"/>
    <mergeCell ref="B57:C57"/>
    <mergeCell ref="D57:F57"/>
    <mergeCell ref="G57:L57"/>
    <mergeCell ref="M57:N57"/>
    <mergeCell ref="O57:Q57"/>
    <mergeCell ref="R57:AK57"/>
    <mergeCell ref="B58:C58"/>
    <mergeCell ref="D58:F58"/>
    <mergeCell ref="G58:L58"/>
    <mergeCell ref="M58:N58"/>
    <mergeCell ref="O58:Q58"/>
    <mergeCell ref="R58:AK58"/>
    <mergeCell ref="B59:C59"/>
    <mergeCell ref="D59:F59"/>
    <mergeCell ref="G59:L59"/>
    <mergeCell ref="M59:N59"/>
    <mergeCell ref="O59:Q59"/>
    <mergeCell ref="R59:AK59"/>
    <mergeCell ref="B60:C60"/>
    <mergeCell ref="D60:F60"/>
    <mergeCell ref="G60:L60"/>
    <mergeCell ref="M60:N60"/>
    <mergeCell ref="O60:Q60"/>
    <mergeCell ref="R60:AK60"/>
    <mergeCell ref="B61:C61"/>
    <mergeCell ref="D61:F61"/>
    <mergeCell ref="G61:L61"/>
    <mergeCell ref="M61:N61"/>
    <mergeCell ref="O61:Q61"/>
    <mergeCell ref="R61:AK61"/>
    <mergeCell ref="B62:C62"/>
    <mergeCell ref="D62:F62"/>
    <mergeCell ref="G62:L62"/>
    <mergeCell ref="M62:N62"/>
    <mergeCell ref="O62:Q62"/>
    <mergeCell ref="R62:AK62"/>
    <mergeCell ref="B64:AK64"/>
    <mergeCell ref="J2:P3"/>
    <mergeCell ref="Q2:U3"/>
    <mergeCell ref="V2:Y3"/>
    <mergeCell ref="Z2:AC3"/>
    <mergeCell ref="AD2:AG3"/>
    <mergeCell ref="AH2:AK3"/>
    <mergeCell ref="A2:I3"/>
  </mergeCells>
  <pageMargins left="0.75" right="0.75" top="1" bottom="1" header="0" footer="0"/>
  <pageSetup paperSize="1" orientation="landscape"/>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Q1000"/>
  <sheetViews>
    <sheetView showGridLines="0" tabSelected="1" topLeftCell="A47" workbookViewId="0">
      <selection activeCell="BB50" sqref="BB50:BG50"/>
    </sheetView>
  </sheetViews>
  <sheetFormatPr defaultColWidth="14.4285714285714" defaultRowHeight="15" customHeight="1"/>
  <cols>
    <col min="1" max="69" width="4" customWidth="1"/>
  </cols>
  <sheetData>
    <row r="1" ht="22.5" customHeight="1" spans="1:69">
      <c r="A1" s="1" t="s">
        <v>235</v>
      </c>
      <c r="B1" s="2"/>
      <c r="C1" s="2"/>
      <c r="D1" s="2"/>
      <c r="E1" s="3"/>
      <c r="F1" s="4" t="s">
        <v>236</v>
      </c>
      <c r="G1" s="2"/>
      <c r="H1" s="2"/>
      <c r="I1" s="2"/>
      <c r="J1" s="2"/>
      <c r="K1" s="2"/>
      <c r="L1" s="2"/>
      <c r="M1" s="2"/>
      <c r="N1" s="2"/>
      <c r="O1" s="2"/>
      <c r="P1" s="2"/>
      <c r="Q1" s="3"/>
      <c r="R1" s="1" t="s">
        <v>237</v>
      </c>
      <c r="S1" s="2"/>
      <c r="T1" s="2"/>
      <c r="U1" s="2"/>
      <c r="V1" s="3"/>
      <c r="W1" s="4" t="s">
        <v>238</v>
      </c>
      <c r="X1" s="2"/>
      <c r="Y1" s="2"/>
      <c r="Z1" s="2"/>
      <c r="AA1" s="2"/>
      <c r="AB1" s="2"/>
      <c r="AC1" s="2"/>
      <c r="AD1" s="2"/>
      <c r="AE1" s="2"/>
      <c r="AF1" s="2"/>
      <c r="AG1" s="2"/>
      <c r="AH1" s="3"/>
    </row>
    <row r="2" ht="22.5" customHeight="1" spans="1:69">
      <c r="A2" s="1" t="s">
        <v>23</v>
      </c>
      <c r="B2" s="2"/>
      <c r="C2" s="2"/>
      <c r="D2" s="2"/>
      <c r="E2" s="3"/>
      <c r="F2" s="4" t="s">
        <v>16</v>
      </c>
      <c r="G2" s="2"/>
      <c r="H2" s="2"/>
      <c r="I2" s="2"/>
      <c r="J2" s="2"/>
      <c r="K2" s="2"/>
      <c r="L2" s="2"/>
      <c r="M2" s="2"/>
      <c r="N2" s="2"/>
      <c r="O2" s="2"/>
      <c r="P2" s="2"/>
      <c r="Q2" s="3"/>
      <c r="R2" s="1" t="s">
        <v>22</v>
      </c>
      <c r="S2" s="2"/>
      <c r="T2" s="2"/>
      <c r="U2" s="2"/>
      <c r="V2" s="3"/>
      <c r="W2" s="5" t="s">
        <v>8</v>
      </c>
      <c r="X2" s="2"/>
      <c r="Y2" s="2"/>
      <c r="Z2" s="2"/>
      <c r="AA2" s="2"/>
      <c r="AB2" s="2"/>
      <c r="AC2" s="2"/>
      <c r="AD2" s="2"/>
      <c r="AE2" s="2"/>
      <c r="AF2" s="2"/>
      <c r="AG2" s="2"/>
      <c r="AH2" s="3"/>
    </row>
    <row r="3" ht="22.5" customHeight="1" spans="1:69">
      <c r="A3" s="1" t="s">
        <v>13</v>
      </c>
      <c r="B3" s="2"/>
      <c r="C3" s="2"/>
      <c r="D3" s="2"/>
      <c r="E3" s="3"/>
      <c r="F3" s="4" t="s">
        <v>18</v>
      </c>
      <c r="G3" s="2"/>
      <c r="H3" s="2"/>
      <c r="I3" s="2"/>
      <c r="J3" s="2"/>
      <c r="K3" s="2"/>
      <c r="L3" s="2"/>
      <c r="M3" s="2"/>
      <c r="N3" s="2"/>
      <c r="O3" s="2"/>
      <c r="P3" s="2"/>
      <c r="Q3" s="3"/>
      <c r="R3" s="1" t="s">
        <v>239</v>
      </c>
      <c r="S3" s="2"/>
      <c r="T3" s="2"/>
      <c r="U3" s="2"/>
      <c r="V3" s="3"/>
      <c r="W3" s="5"/>
      <c r="X3" s="2"/>
      <c r="Y3" s="2"/>
      <c r="Z3" s="2"/>
      <c r="AA3" s="2"/>
      <c r="AB3" s="2"/>
      <c r="AC3" s="2"/>
      <c r="AD3" s="2"/>
      <c r="AE3" s="2"/>
      <c r="AF3" s="2"/>
      <c r="AG3" s="2"/>
      <c r="AH3" s="3"/>
    </row>
    <row r="4" ht="22.5" customHeight="1" spans="1:69">
      <c r="A4" s="1" t="s">
        <v>240</v>
      </c>
      <c r="B4" s="2"/>
      <c r="C4" s="2"/>
      <c r="D4" s="2"/>
      <c r="E4" s="3"/>
      <c r="F4" s="4" t="s">
        <v>241</v>
      </c>
      <c r="G4" s="2"/>
      <c r="H4" s="2"/>
      <c r="I4" s="2"/>
      <c r="J4" s="2"/>
      <c r="K4" s="2"/>
      <c r="L4" s="2"/>
      <c r="M4" s="2"/>
      <c r="N4" s="2"/>
      <c r="O4" s="2"/>
      <c r="P4" s="2"/>
      <c r="Q4" s="2"/>
      <c r="R4" s="2"/>
      <c r="S4" s="2"/>
      <c r="T4" s="2"/>
      <c r="U4" s="2"/>
      <c r="V4" s="2"/>
      <c r="W4" s="2"/>
      <c r="X4" s="2"/>
      <c r="Y4" s="2"/>
      <c r="Z4" s="2"/>
      <c r="AA4" s="2"/>
      <c r="AB4" s="2"/>
      <c r="AC4" s="2"/>
      <c r="AD4" s="2"/>
      <c r="AE4" s="2"/>
      <c r="AF4" s="2"/>
      <c r="AG4" s="2"/>
      <c r="AH4" s="3"/>
    </row>
    <row r="5" ht="22.5" customHeight="1" spans="1:69">
      <c r="A5" s="1" t="s">
        <v>242</v>
      </c>
      <c r="B5" s="2"/>
      <c r="C5" s="2"/>
      <c r="D5" s="2"/>
      <c r="E5" s="2"/>
      <c r="F5" s="2"/>
      <c r="G5" s="2"/>
      <c r="H5" s="2"/>
      <c r="I5" s="2"/>
      <c r="J5" s="2"/>
      <c r="K5" s="2"/>
      <c r="L5" s="2"/>
      <c r="M5" s="2"/>
      <c r="N5" s="2"/>
      <c r="O5" s="2"/>
      <c r="P5" s="2"/>
      <c r="Q5" s="2"/>
      <c r="R5" s="2"/>
      <c r="S5" s="3"/>
      <c r="T5" s="1" t="s">
        <v>55</v>
      </c>
      <c r="U5" s="2"/>
      <c r="V5" s="2"/>
      <c r="W5" s="2"/>
      <c r="X5" s="2"/>
      <c r="Y5" s="2"/>
      <c r="Z5" s="2"/>
      <c r="AA5" s="2"/>
      <c r="AB5" s="2"/>
      <c r="AC5" s="2"/>
      <c r="AD5" s="2"/>
      <c r="AE5" s="2"/>
      <c r="AF5" s="2"/>
      <c r="AG5" s="2"/>
      <c r="AH5" s="3"/>
    </row>
    <row r="6" ht="22.5" customHeight="1" spans="1:69">
      <c r="A6" s="1" t="s">
        <v>243</v>
      </c>
      <c r="B6" s="2"/>
      <c r="C6" s="2"/>
      <c r="D6" s="2"/>
      <c r="E6" s="2"/>
      <c r="F6" s="2"/>
      <c r="G6" s="3"/>
      <c r="H6" s="1" t="s">
        <v>56</v>
      </c>
      <c r="I6" s="2"/>
      <c r="J6" s="3"/>
      <c r="K6" s="1" t="s">
        <v>57</v>
      </c>
      <c r="L6" s="2"/>
      <c r="M6" s="3"/>
      <c r="N6" s="1" t="s">
        <v>244</v>
      </c>
      <c r="O6" s="2"/>
      <c r="P6" s="3"/>
      <c r="Q6" s="1" t="s">
        <v>54</v>
      </c>
      <c r="R6" s="2"/>
      <c r="S6" s="3"/>
      <c r="T6" s="1" t="s">
        <v>59</v>
      </c>
      <c r="U6" s="2"/>
      <c r="V6" s="3"/>
      <c r="W6" s="1" t="s">
        <v>60</v>
      </c>
      <c r="X6" s="2"/>
      <c r="Y6" s="3"/>
      <c r="Z6" s="1" t="s">
        <v>61</v>
      </c>
      <c r="AA6" s="2"/>
      <c r="AB6" s="3"/>
      <c r="AC6" s="1" t="s">
        <v>62</v>
      </c>
      <c r="AD6" s="2"/>
      <c r="AE6" s="3"/>
      <c r="AF6" s="1" t="s">
        <v>54</v>
      </c>
      <c r="AG6" s="2"/>
      <c r="AH6" s="3"/>
    </row>
    <row r="7" ht="22.5" customHeight="1" spans="1:69">
      <c r="A7" s="1" t="s">
        <v>245</v>
      </c>
      <c r="B7" s="2"/>
      <c r="C7" s="2"/>
      <c r="D7" s="2"/>
      <c r="E7" s="2"/>
      <c r="F7" s="2"/>
      <c r="G7" s="3"/>
      <c r="H7" s="6">
        <f t="shared" ref="H7:H8" si="0">COUNTIF($AE$12:$AF$1049,"N")</f>
        <v>26</v>
      </c>
      <c r="I7" s="2"/>
      <c r="J7" s="3"/>
      <c r="K7" s="6">
        <f t="shared" ref="K7:K8" si="1">COUNTIF($AE$12:$AF$1049,"A")</f>
        <v>31</v>
      </c>
      <c r="L7" s="2"/>
      <c r="M7" s="3"/>
      <c r="N7" s="6">
        <f t="shared" ref="N7:N8" si="2">COUNTIF($AE$12:$AF$1049,"B")</f>
        <v>13</v>
      </c>
      <c r="O7" s="2"/>
      <c r="P7" s="3"/>
      <c r="Q7" s="7">
        <f t="shared" ref="Q7:Q8" si="3">SUM(H7:P7)</f>
        <v>70</v>
      </c>
      <c r="R7" s="2"/>
      <c r="S7" s="3"/>
      <c r="T7" s="6">
        <f>COUNTIF($AG$12:$AI$1049,T$6)</f>
        <v>67</v>
      </c>
      <c r="U7" s="2"/>
      <c r="V7" s="3"/>
      <c r="W7" s="6">
        <f>COUNTIF($AG$12:$AI$1049,W$6)</f>
        <v>0</v>
      </c>
      <c r="X7" s="2"/>
      <c r="Y7" s="3"/>
      <c r="Z7" s="6">
        <f>COUNTIF($AG$12:$AI$1049,Z$6)</f>
        <v>1</v>
      </c>
      <c r="AA7" s="2"/>
      <c r="AB7" s="3"/>
      <c r="AC7" s="6">
        <f>COUNTIF($AG$12:$AI$1049,AC$6)</f>
        <v>2</v>
      </c>
      <c r="AD7" s="2"/>
      <c r="AE7" s="3"/>
      <c r="AF7" s="7">
        <f t="shared" ref="AF7:AF8" si="4">SUM(T7:AE7)</f>
        <v>70</v>
      </c>
      <c r="AG7" s="2"/>
      <c r="AH7" s="3"/>
    </row>
    <row r="8" ht="22.5" customHeight="1" spans="1:69">
      <c r="A8" s="1" t="s">
        <v>246</v>
      </c>
      <c r="B8" s="2"/>
      <c r="C8" s="2"/>
      <c r="D8" s="2"/>
      <c r="E8" s="2"/>
      <c r="F8" s="2"/>
      <c r="G8" s="3"/>
      <c r="H8" s="6">
        <f t="shared" si="0"/>
        <v>26</v>
      </c>
      <c r="I8" s="2"/>
      <c r="J8" s="3"/>
      <c r="K8" s="6">
        <f t="shared" si="1"/>
        <v>31</v>
      </c>
      <c r="L8" s="2"/>
      <c r="M8" s="3"/>
      <c r="N8" s="6">
        <f t="shared" si="2"/>
        <v>13</v>
      </c>
      <c r="O8" s="2"/>
      <c r="P8" s="3"/>
      <c r="Q8" s="7">
        <f t="shared" si="3"/>
        <v>70</v>
      </c>
      <c r="R8" s="2"/>
      <c r="S8" s="3"/>
      <c r="T8" s="6">
        <f>COUNTIF($AV$12:$AX$1049,T$6)</f>
        <v>68</v>
      </c>
      <c r="U8" s="2"/>
      <c r="V8" s="3"/>
      <c r="W8" s="6">
        <f>COUNTIF($AV$12:$AX$1049,W$6)</f>
        <v>0</v>
      </c>
      <c r="X8" s="2"/>
      <c r="Y8" s="3"/>
      <c r="Z8" s="6">
        <f>COUNTIF($AV$12:$AX$1049,Z$6)</f>
        <v>0</v>
      </c>
      <c r="AA8" s="2"/>
      <c r="AB8" s="3"/>
      <c r="AC8" s="6">
        <f>COUNTIF($AV$12:$AX$1049,AC$6)</f>
        <v>2</v>
      </c>
      <c r="AD8" s="2"/>
      <c r="AE8" s="3"/>
      <c r="AF8" s="7">
        <f t="shared" si="4"/>
        <v>70</v>
      </c>
      <c r="AG8" s="2"/>
      <c r="AH8" s="3"/>
    </row>
    <row r="9" ht="12.75" customHeight="1"/>
    <row r="10" ht="36" customHeight="1" spans="1:69">
      <c r="A10" s="8" t="s">
        <v>51</v>
      </c>
      <c r="B10" s="9" t="s">
        <v>247</v>
      </c>
      <c r="C10" s="10"/>
      <c r="D10" s="11"/>
      <c r="E10" s="9" t="s">
        <v>248</v>
      </c>
      <c r="F10" s="10"/>
      <c r="G10" s="10"/>
      <c r="H10" s="10"/>
      <c r="I10" s="11"/>
      <c r="J10" s="9" t="s">
        <v>249</v>
      </c>
      <c r="K10" s="10"/>
      <c r="L10" s="10"/>
      <c r="M10" s="10"/>
      <c r="N10" s="10"/>
      <c r="O10" s="10"/>
      <c r="P10" s="11"/>
      <c r="Q10" s="9" t="s">
        <v>250</v>
      </c>
      <c r="R10" s="10"/>
      <c r="S10" s="10"/>
      <c r="T10" s="10"/>
      <c r="U10" s="10"/>
      <c r="V10" s="10"/>
      <c r="W10" s="11"/>
      <c r="X10" s="9" t="s">
        <v>251</v>
      </c>
      <c r="Y10" s="10"/>
      <c r="Z10" s="10"/>
      <c r="AA10" s="10"/>
      <c r="AB10" s="10"/>
      <c r="AC10" s="10"/>
      <c r="AD10" s="11"/>
      <c r="AE10" s="9" t="s">
        <v>252</v>
      </c>
      <c r="AF10" s="11"/>
      <c r="AG10" s="1" t="s">
        <v>253</v>
      </c>
      <c r="AH10" s="2"/>
      <c r="AI10" s="2"/>
      <c r="AJ10" s="2"/>
      <c r="AK10" s="2"/>
      <c r="AL10" s="2"/>
      <c r="AM10" s="2"/>
      <c r="AN10" s="2"/>
      <c r="AO10" s="2"/>
      <c r="AP10" s="2"/>
      <c r="AQ10" s="2"/>
      <c r="AR10" s="2"/>
      <c r="AS10" s="2"/>
      <c r="AT10" s="2"/>
      <c r="AU10" s="3"/>
      <c r="AV10" s="1" t="s">
        <v>254</v>
      </c>
      <c r="AW10" s="2"/>
      <c r="AX10" s="2"/>
      <c r="AY10" s="2"/>
      <c r="AZ10" s="2"/>
      <c r="BA10" s="2"/>
      <c r="BB10" s="2"/>
      <c r="BC10" s="2"/>
      <c r="BD10" s="2"/>
      <c r="BE10" s="2"/>
      <c r="BF10" s="2"/>
      <c r="BG10" s="2"/>
      <c r="BH10" s="2"/>
      <c r="BI10" s="2"/>
      <c r="BJ10" s="3"/>
      <c r="BK10" s="9" t="s">
        <v>255</v>
      </c>
      <c r="BL10" s="10"/>
      <c r="BM10" s="10"/>
      <c r="BN10" s="10"/>
      <c r="BO10" s="10"/>
      <c r="BP10" s="10"/>
      <c r="BQ10" s="11"/>
    </row>
    <row r="11" ht="36" customHeight="1" spans="1:69">
      <c r="A11" s="12"/>
      <c r="B11" s="13"/>
      <c r="C11" s="14"/>
      <c r="D11" s="15"/>
      <c r="E11" s="13"/>
      <c r="F11" s="14"/>
      <c r="G11" s="14"/>
      <c r="H11" s="14"/>
      <c r="I11" s="15"/>
      <c r="J11" s="13"/>
      <c r="K11" s="14"/>
      <c r="L11" s="14"/>
      <c r="M11" s="14"/>
      <c r="N11" s="14"/>
      <c r="O11" s="14"/>
      <c r="P11" s="15"/>
      <c r="Q11" s="13"/>
      <c r="R11" s="14"/>
      <c r="S11" s="14"/>
      <c r="T11" s="14"/>
      <c r="U11" s="14"/>
      <c r="V11" s="14"/>
      <c r="W11" s="15"/>
      <c r="X11" s="13"/>
      <c r="Y11" s="14"/>
      <c r="Z11" s="14"/>
      <c r="AA11" s="14"/>
      <c r="AB11" s="14"/>
      <c r="AC11" s="14"/>
      <c r="AD11" s="15"/>
      <c r="AE11" s="13"/>
      <c r="AF11" s="15"/>
      <c r="AG11" s="1" t="s">
        <v>256</v>
      </c>
      <c r="AH11" s="2"/>
      <c r="AI11" s="3"/>
      <c r="AJ11" s="1" t="s">
        <v>257</v>
      </c>
      <c r="AK11" s="2"/>
      <c r="AL11" s="3"/>
      <c r="AM11" s="1" t="s">
        <v>11</v>
      </c>
      <c r="AN11" s="2"/>
      <c r="AO11" s="3"/>
      <c r="AP11" s="1" t="s">
        <v>258</v>
      </c>
      <c r="AQ11" s="2"/>
      <c r="AR11" s="3"/>
      <c r="AS11" s="1" t="s">
        <v>259</v>
      </c>
      <c r="AT11" s="2"/>
      <c r="AU11" s="3"/>
      <c r="AV11" s="1" t="s">
        <v>256</v>
      </c>
      <c r="AW11" s="2"/>
      <c r="AX11" s="3"/>
      <c r="AY11" s="1" t="s">
        <v>257</v>
      </c>
      <c r="AZ11" s="2"/>
      <c r="BA11" s="3"/>
      <c r="BB11" s="1" t="s">
        <v>11</v>
      </c>
      <c r="BC11" s="2"/>
      <c r="BD11" s="3"/>
      <c r="BE11" s="1" t="s">
        <v>258</v>
      </c>
      <c r="BF11" s="2"/>
      <c r="BG11" s="3"/>
      <c r="BH11" s="1" t="s">
        <v>259</v>
      </c>
      <c r="BI11" s="2"/>
      <c r="BJ11" s="3"/>
      <c r="BK11" s="13"/>
      <c r="BL11" s="14"/>
      <c r="BM11" s="14"/>
      <c r="BN11" s="14"/>
      <c r="BO11" s="14"/>
      <c r="BP11" s="14"/>
      <c r="BQ11" s="15"/>
    </row>
    <row r="12" ht="22.5" customHeight="1" spans="1:69">
      <c r="A12" s="16" t="s">
        <v>260</v>
      </c>
      <c r="B12" s="2"/>
      <c r="C12" s="2"/>
      <c r="D12" s="2"/>
      <c r="E12" s="2"/>
      <c r="F12" s="2"/>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c r="BA12" s="2"/>
      <c r="BB12" s="2"/>
      <c r="BC12" s="2"/>
      <c r="BD12" s="2"/>
      <c r="BE12" s="2"/>
      <c r="BF12" s="2"/>
      <c r="BG12" s="2"/>
      <c r="BH12" s="2"/>
      <c r="BI12" s="2"/>
      <c r="BJ12" s="2"/>
      <c r="BK12" s="2"/>
      <c r="BL12" s="2"/>
      <c r="BM12" s="2"/>
      <c r="BN12" s="2"/>
      <c r="BO12" s="2"/>
      <c r="BP12" s="2"/>
      <c r="BQ12" s="3"/>
    </row>
    <row r="13" ht="409.5" customHeight="1" spans="1:69">
      <c r="A13" s="17">
        <v>1</v>
      </c>
      <c r="B13" s="18" t="s">
        <v>261</v>
      </c>
      <c r="C13" s="2"/>
      <c r="D13" s="3"/>
      <c r="E13" s="18" t="s">
        <v>262</v>
      </c>
      <c r="F13" s="2"/>
      <c r="G13" s="2"/>
      <c r="H13" s="2"/>
      <c r="I13" s="3"/>
      <c r="J13" s="18" t="s">
        <v>263</v>
      </c>
      <c r="K13" s="2"/>
      <c r="L13" s="2"/>
      <c r="M13" s="2"/>
      <c r="N13" s="2"/>
      <c r="O13" s="2"/>
      <c r="P13" s="3"/>
      <c r="Q13" s="18" t="s">
        <v>264</v>
      </c>
      <c r="R13" s="2"/>
      <c r="S13" s="2"/>
      <c r="T13" s="2"/>
      <c r="U13" s="2"/>
      <c r="V13" s="2"/>
      <c r="W13" s="3"/>
      <c r="X13" s="18" t="s">
        <v>265</v>
      </c>
      <c r="Y13" s="2"/>
      <c r="Z13" s="2"/>
      <c r="AA13" s="2"/>
      <c r="AB13" s="2"/>
      <c r="AC13" s="2"/>
      <c r="AD13" s="3"/>
      <c r="AE13" s="19" t="s">
        <v>209</v>
      </c>
      <c r="AF13" s="3"/>
      <c r="AG13" s="19" t="s">
        <v>59</v>
      </c>
      <c r="AH13" s="2"/>
      <c r="AI13" s="3"/>
      <c r="AJ13" s="19"/>
      <c r="AK13" s="2"/>
      <c r="AL13" s="3"/>
      <c r="AM13" s="19" t="s">
        <v>266</v>
      </c>
      <c r="AN13" s="2"/>
      <c r="AO13" s="3"/>
      <c r="AP13" s="20">
        <v>46167</v>
      </c>
      <c r="AQ13" s="2"/>
      <c r="AR13" s="3"/>
      <c r="AS13" s="19"/>
      <c r="AT13" s="2"/>
      <c r="AU13" s="3"/>
      <c r="AV13" s="19" t="s">
        <v>59</v>
      </c>
      <c r="AW13" s="2"/>
      <c r="AX13" s="3"/>
      <c r="AY13" s="19"/>
      <c r="AZ13" s="2"/>
      <c r="BA13" s="3"/>
      <c r="BB13" s="19" t="s">
        <v>267</v>
      </c>
      <c r="BC13" s="2"/>
      <c r="BD13" s="3"/>
      <c r="BE13" s="20">
        <v>46245</v>
      </c>
      <c r="BF13" s="2"/>
      <c r="BG13" s="3"/>
      <c r="BH13" s="19"/>
      <c r="BI13" s="2"/>
      <c r="BJ13" s="3"/>
      <c r="BK13" s="18" t="s">
        <v>268</v>
      </c>
      <c r="BL13" s="2"/>
      <c r="BM13" s="2"/>
      <c r="BN13" s="2"/>
      <c r="BO13" s="2"/>
      <c r="BP13" s="2"/>
      <c r="BQ13" s="3"/>
    </row>
    <row r="14" ht="399.75" customHeight="1" spans="1:69">
      <c r="A14" s="17">
        <v>2</v>
      </c>
      <c r="B14" s="18" t="s">
        <v>269</v>
      </c>
      <c r="C14" s="2"/>
      <c r="D14" s="3"/>
      <c r="E14" s="18" t="s">
        <v>270</v>
      </c>
      <c r="F14" s="2"/>
      <c r="G14" s="2"/>
      <c r="H14" s="2"/>
      <c r="I14" s="3"/>
      <c r="J14" s="18" t="s">
        <v>271</v>
      </c>
      <c r="K14" s="2"/>
      <c r="L14" s="2"/>
      <c r="M14" s="2"/>
      <c r="N14" s="2"/>
      <c r="O14" s="2"/>
      <c r="P14" s="3"/>
      <c r="Q14" s="18" t="s">
        <v>272</v>
      </c>
      <c r="R14" s="2"/>
      <c r="S14" s="2"/>
      <c r="T14" s="2"/>
      <c r="U14" s="2"/>
      <c r="V14" s="2"/>
      <c r="W14" s="3"/>
      <c r="X14" s="18" t="s">
        <v>273</v>
      </c>
      <c r="Y14" s="2"/>
      <c r="Z14" s="2"/>
      <c r="AA14" s="2"/>
      <c r="AB14" s="2"/>
      <c r="AC14" s="2"/>
      <c r="AD14" s="3"/>
      <c r="AE14" s="19" t="s">
        <v>274</v>
      </c>
      <c r="AF14" s="3"/>
      <c r="AG14" s="19" t="s">
        <v>59</v>
      </c>
      <c r="AH14" s="2"/>
      <c r="AI14" s="3"/>
      <c r="AJ14" s="19"/>
      <c r="AK14" s="2"/>
      <c r="AL14" s="3"/>
      <c r="AM14" s="19" t="s">
        <v>266</v>
      </c>
      <c r="AN14" s="2"/>
      <c r="AO14" s="3"/>
      <c r="AP14" s="20">
        <v>46167</v>
      </c>
      <c r="AQ14" s="2"/>
      <c r="AR14" s="3"/>
      <c r="AS14" s="19"/>
      <c r="AT14" s="2"/>
      <c r="AU14" s="3"/>
      <c r="AV14" s="19" t="s">
        <v>59</v>
      </c>
      <c r="AW14" s="2"/>
      <c r="AX14" s="3"/>
      <c r="AY14" s="19"/>
      <c r="AZ14" s="2"/>
      <c r="BA14" s="3"/>
      <c r="BB14" s="19" t="s">
        <v>267</v>
      </c>
      <c r="BC14" s="2"/>
      <c r="BD14" s="3"/>
      <c r="BE14" s="20">
        <v>46245</v>
      </c>
      <c r="BF14" s="2"/>
      <c r="BG14" s="3"/>
      <c r="BH14" s="19"/>
      <c r="BI14" s="2"/>
      <c r="BJ14" s="3"/>
      <c r="BK14" s="18" t="s">
        <v>275</v>
      </c>
      <c r="BL14" s="2"/>
      <c r="BM14" s="2"/>
      <c r="BN14" s="2"/>
      <c r="BO14" s="2"/>
      <c r="BP14" s="2"/>
      <c r="BQ14" s="3"/>
    </row>
    <row r="15" ht="367.5" customHeight="1" spans="1:69">
      <c r="A15" s="17">
        <v>3</v>
      </c>
      <c r="B15" s="18" t="s">
        <v>276</v>
      </c>
      <c r="C15" s="2"/>
      <c r="D15" s="3"/>
      <c r="E15" s="18" t="s">
        <v>277</v>
      </c>
      <c r="F15" s="2"/>
      <c r="G15" s="2"/>
      <c r="H15" s="2"/>
      <c r="I15" s="3"/>
      <c r="J15" s="18" t="s">
        <v>278</v>
      </c>
      <c r="K15" s="2"/>
      <c r="L15" s="2"/>
      <c r="M15" s="2"/>
      <c r="N15" s="2"/>
      <c r="O15" s="2"/>
      <c r="P15" s="3"/>
      <c r="Q15" s="18" t="s">
        <v>279</v>
      </c>
      <c r="R15" s="2"/>
      <c r="S15" s="2"/>
      <c r="T15" s="2"/>
      <c r="U15" s="2"/>
      <c r="V15" s="2"/>
      <c r="W15" s="3"/>
      <c r="X15" s="18" t="s">
        <v>280</v>
      </c>
      <c r="Y15" s="2"/>
      <c r="Z15" s="2"/>
      <c r="AA15" s="2"/>
      <c r="AB15" s="2"/>
      <c r="AC15" s="2"/>
      <c r="AD15" s="3"/>
      <c r="AE15" s="19" t="s">
        <v>274</v>
      </c>
      <c r="AF15" s="3"/>
      <c r="AG15" s="19" t="s">
        <v>59</v>
      </c>
      <c r="AH15" s="2"/>
      <c r="AI15" s="3"/>
      <c r="AJ15" s="19"/>
      <c r="AK15" s="2"/>
      <c r="AL15" s="3"/>
      <c r="AM15" s="19" t="s">
        <v>266</v>
      </c>
      <c r="AN15" s="2"/>
      <c r="AO15" s="3"/>
      <c r="AP15" s="20">
        <v>46167</v>
      </c>
      <c r="AQ15" s="2"/>
      <c r="AR15" s="3"/>
      <c r="AS15" s="19"/>
      <c r="AT15" s="2"/>
      <c r="AU15" s="3"/>
      <c r="AV15" s="19" t="s">
        <v>59</v>
      </c>
      <c r="AW15" s="2"/>
      <c r="AX15" s="3"/>
      <c r="AY15" s="19"/>
      <c r="AZ15" s="2"/>
      <c r="BA15" s="3"/>
      <c r="BB15" s="19" t="s">
        <v>267</v>
      </c>
      <c r="BC15" s="2"/>
      <c r="BD15" s="3"/>
      <c r="BE15" s="20">
        <v>46245</v>
      </c>
      <c r="BF15" s="2"/>
      <c r="BG15" s="3"/>
      <c r="BH15" s="19"/>
      <c r="BI15" s="2"/>
      <c r="BJ15" s="3"/>
      <c r="BK15" s="18" t="s">
        <v>281</v>
      </c>
      <c r="BL15" s="2"/>
      <c r="BM15" s="2"/>
      <c r="BN15" s="2"/>
      <c r="BO15" s="2"/>
      <c r="BP15" s="2"/>
      <c r="BQ15" s="3"/>
    </row>
    <row r="16" ht="319.5" customHeight="1" spans="1:69">
      <c r="A16" s="17">
        <v>4</v>
      </c>
      <c r="B16" s="18" t="s">
        <v>282</v>
      </c>
      <c r="C16" s="2"/>
      <c r="D16" s="3"/>
      <c r="E16" s="18" t="s">
        <v>283</v>
      </c>
      <c r="F16" s="2"/>
      <c r="G16" s="2"/>
      <c r="H16" s="2"/>
      <c r="I16" s="3"/>
      <c r="J16" s="18" t="s">
        <v>284</v>
      </c>
      <c r="K16" s="2"/>
      <c r="L16" s="2"/>
      <c r="M16" s="2"/>
      <c r="N16" s="2"/>
      <c r="O16" s="2"/>
      <c r="P16" s="3"/>
      <c r="Q16" s="18" t="s">
        <v>285</v>
      </c>
      <c r="R16" s="2"/>
      <c r="S16" s="2"/>
      <c r="T16" s="2"/>
      <c r="U16" s="2"/>
      <c r="V16" s="2"/>
      <c r="W16" s="3"/>
      <c r="X16" s="18" t="s">
        <v>286</v>
      </c>
      <c r="Y16" s="2"/>
      <c r="Z16" s="2"/>
      <c r="AA16" s="2"/>
      <c r="AB16" s="2"/>
      <c r="AC16" s="2"/>
      <c r="AD16" s="3"/>
      <c r="AE16" s="19" t="s">
        <v>274</v>
      </c>
      <c r="AF16" s="3"/>
      <c r="AG16" s="21" t="s">
        <v>59</v>
      </c>
      <c r="AH16" s="2"/>
      <c r="AI16" s="3"/>
      <c r="AJ16" s="22"/>
      <c r="AK16" s="2"/>
      <c r="AL16" s="3"/>
      <c r="AM16" s="21" t="s">
        <v>266</v>
      </c>
      <c r="AN16" s="2"/>
      <c r="AO16" s="3"/>
      <c r="AP16" s="23">
        <v>46167</v>
      </c>
      <c r="AQ16" s="2"/>
      <c r="AR16" s="3"/>
      <c r="AS16" s="19"/>
      <c r="AT16" s="2"/>
      <c r="AU16" s="3"/>
      <c r="AV16" s="19" t="s">
        <v>59</v>
      </c>
      <c r="AW16" s="2"/>
      <c r="AX16" s="3"/>
      <c r="AY16" s="19"/>
      <c r="AZ16" s="2"/>
      <c r="BA16" s="3"/>
      <c r="BB16" s="19" t="s">
        <v>267</v>
      </c>
      <c r="BC16" s="2"/>
      <c r="BD16" s="3"/>
      <c r="BE16" s="20">
        <v>46245</v>
      </c>
      <c r="BF16" s="2"/>
      <c r="BG16" s="3"/>
      <c r="BH16" s="19"/>
      <c r="BI16" s="2"/>
      <c r="BJ16" s="3"/>
      <c r="BK16" s="18"/>
      <c r="BL16" s="2"/>
      <c r="BM16" s="2"/>
      <c r="BN16" s="2"/>
      <c r="BO16" s="2"/>
      <c r="BP16" s="2"/>
      <c r="BQ16" s="3"/>
    </row>
    <row r="17" ht="319.5" customHeight="1" spans="1:69">
      <c r="A17" s="17">
        <v>5</v>
      </c>
      <c r="B17" s="18" t="s">
        <v>287</v>
      </c>
      <c r="C17" s="2"/>
      <c r="D17" s="3"/>
      <c r="E17" s="18" t="s">
        <v>288</v>
      </c>
      <c r="F17" s="2"/>
      <c r="G17" s="2"/>
      <c r="H17" s="2"/>
      <c r="I17" s="3"/>
      <c r="J17" s="18" t="s">
        <v>289</v>
      </c>
      <c r="K17" s="2"/>
      <c r="L17" s="2"/>
      <c r="M17" s="2"/>
      <c r="N17" s="2"/>
      <c r="O17" s="2"/>
      <c r="P17" s="3"/>
      <c r="Q17" s="18" t="s">
        <v>290</v>
      </c>
      <c r="R17" s="2"/>
      <c r="S17" s="2"/>
      <c r="T17" s="2"/>
      <c r="U17" s="2"/>
      <c r="V17" s="2"/>
      <c r="W17" s="3"/>
      <c r="X17" s="18" t="s">
        <v>291</v>
      </c>
      <c r="Y17" s="2"/>
      <c r="Z17" s="2"/>
      <c r="AA17" s="2"/>
      <c r="AB17" s="2"/>
      <c r="AC17" s="2"/>
      <c r="AD17" s="3"/>
      <c r="AE17" s="19" t="s">
        <v>274</v>
      </c>
      <c r="AF17" s="3"/>
      <c r="AG17" s="21" t="s">
        <v>59</v>
      </c>
      <c r="AH17" s="2"/>
      <c r="AI17" s="3"/>
      <c r="AJ17" s="22"/>
      <c r="AK17" s="2"/>
      <c r="AL17" s="3"/>
      <c r="AM17" s="21" t="s">
        <v>266</v>
      </c>
      <c r="AN17" s="2"/>
      <c r="AO17" s="3"/>
      <c r="AP17" s="23">
        <v>46167</v>
      </c>
      <c r="AQ17" s="2"/>
      <c r="AR17" s="3"/>
      <c r="AS17" s="19"/>
      <c r="AT17" s="2"/>
      <c r="AU17" s="3"/>
      <c r="AV17" s="19" t="s">
        <v>59</v>
      </c>
      <c r="AW17" s="2"/>
      <c r="AX17" s="3"/>
      <c r="AY17" s="19"/>
      <c r="AZ17" s="2"/>
      <c r="BA17" s="3"/>
      <c r="BB17" s="19" t="s">
        <v>267</v>
      </c>
      <c r="BC17" s="2"/>
      <c r="BD17" s="3"/>
      <c r="BE17" s="20">
        <v>46245</v>
      </c>
      <c r="BF17" s="2"/>
      <c r="BG17" s="3"/>
      <c r="BH17" s="19"/>
      <c r="BI17" s="2"/>
      <c r="BJ17" s="3"/>
      <c r="BK17" s="18" t="s">
        <v>292</v>
      </c>
      <c r="BL17" s="2"/>
      <c r="BM17" s="2"/>
      <c r="BN17" s="2"/>
      <c r="BO17" s="2"/>
      <c r="BP17" s="2"/>
      <c r="BQ17" s="3"/>
    </row>
    <row r="18" ht="22.5" customHeight="1" spans="1:69">
      <c r="A18" s="16" t="s">
        <v>293</v>
      </c>
      <c r="B18" s="2"/>
      <c r="C18" s="2"/>
      <c r="D18" s="2"/>
      <c r="E18" s="2"/>
      <c r="F18" s="2"/>
      <c r="G18" s="2"/>
      <c r="H18" s="2"/>
      <c r="I18" s="2"/>
      <c r="J18" s="2"/>
      <c r="K18" s="2"/>
      <c r="L18" s="2"/>
      <c r="M18" s="2"/>
      <c r="N18" s="2"/>
      <c r="O18" s="2"/>
      <c r="P18" s="2"/>
      <c r="Q18" s="2"/>
      <c r="R18" s="2"/>
      <c r="S18" s="2"/>
      <c r="T18" s="2"/>
      <c r="U18" s="2"/>
      <c r="V18" s="2"/>
      <c r="W18" s="2"/>
      <c r="X18" s="2"/>
      <c r="Y18" s="2"/>
      <c r="Z18" s="2"/>
      <c r="AA18" s="2"/>
      <c r="AB18" s="2"/>
      <c r="AC18" s="2"/>
      <c r="AD18" s="2"/>
      <c r="AE18" s="2"/>
      <c r="AF18" s="2"/>
      <c r="AG18" s="2"/>
      <c r="AH18" s="2"/>
      <c r="AI18" s="2"/>
      <c r="AJ18" s="2"/>
      <c r="AK18" s="2"/>
      <c r="AL18" s="2"/>
      <c r="AM18" s="2"/>
      <c r="AN18" s="2"/>
      <c r="AO18" s="2"/>
      <c r="AP18" s="2"/>
      <c r="AQ18" s="2"/>
      <c r="AR18" s="2"/>
      <c r="AS18" s="2"/>
      <c r="AT18" s="2"/>
      <c r="AU18" s="2"/>
      <c r="AV18" s="2"/>
      <c r="AW18" s="2"/>
      <c r="AX18" s="2"/>
      <c r="AY18" s="2"/>
      <c r="AZ18" s="2"/>
      <c r="BA18" s="2"/>
      <c r="BB18" s="2"/>
      <c r="BC18" s="2"/>
      <c r="BD18" s="2"/>
      <c r="BE18" s="2"/>
      <c r="BF18" s="2"/>
      <c r="BG18" s="2"/>
      <c r="BH18" s="2"/>
      <c r="BI18" s="2"/>
      <c r="BJ18" s="2"/>
      <c r="BK18" s="2"/>
      <c r="BL18" s="2"/>
      <c r="BM18" s="2"/>
      <c r="BN18" s="2"/>
      <c r="BO18" s="2"/>
      <c r="BP18" s="2"/>
      <c r="BQ18" s="3"/>
    </row>
    <row r="19" ht="409.5" customHeight="1" spans="1:69">
      <c r="A19" s="17">
        <v>6</v>
      </c>
      <c r="B19" s="18" t="s">
        <v>294</v>
      </c>
      <c r="C19" s="2"/>
      <c r="D19" s="3"/>
      <c r="E19" s="18" t="s">
        <v>295</v>
      </c>
      <c r="F19" s="2"/>
      <c r="G19" s="2"/>
      <c r="H19" s="2"/>
      <c r="I19" s="3"/>
      <c r="J19" s="18" t="s">
        <v>296</v>
      </c>
      <c r="K19" s="2"/>
      <c r="L19" s="2"/>
      <c r="M19" s="2"/>
      <c r="N19" s="2"/>
      <c r="O19" s="2"/>
      <c r="P19" s="3"/>
      <c r="Q19" s="18" t="s">
        <v>297</v>
      </c>
      <c r="R19" s="2"/>
      <c r="S19" s="2"/>
      <c r="T19" s="2"/>
      <c r="U19" s="2"/>
      <c r="V19" s="2"/>
      <c r="W19" s="3"/>
      <c r="X19" s="18" t="s">
        <v>298</v>
      </c>
      <c r="Y19" s="2"/>
      <c r="Z19" s="2"/>
      <c r="AA19" s="2"/>
      <c r="AB19" s="2"/>
      <c r="AC19" s="2"/>
      <c r="AD19" s="3"/>
      <c r="AE19" s="19" t="s">
        <v>274</v>
      </c>
      <c r="AF19" s="3"/>
      <c r="AG19" s="21" t="s">
        <v>59</v>
      </c>
      <c r="AH19" s="2"/>
      <c r="AI19" s="3"/>
      <c r="AJ19" s="22"/>
      <c r="AK19" s="2"/>
      <c r="AL19" s="3"/>
      <c r="AM19" s="21" t="s">
        <v>266</v>
      </c>
      <c r="AN19" s="2"/>
      <c r="AO19" s="3"/>
      <c r="AP19" s="23">
        <v>46167</v>
      </c>
      <c r="AQ19" s="2"/>
      <c r="AR19" s="3"/>
      <c r="AS19" s="19"/>
      <c r="AT19" s="2"/>
      <c r="AU19" s="3"/>
      <c r="AV19" s="19" t="s">
        <v>59</v>
      </c>
      <c r="AW19" s="2"/>
      <c r="AX19" s="3"/>
      <c r="AY19" s="19"/>
      <c r="AZ19" s="2"/>
      <c r="BA19" s="3"/>
      <c r="BB19" s="19" t="s">
        <v>267</v>
      </c>
      <c r="BC19" s="2"/>
      <c r="BD19" s="3"/>
      <c r="BE19" s="20">
        <v>46245</v>
      </c>
      <c r="BF19" s="2"/>
      <c r="BG19" s="3"/>
      <c r="BH19" s="19"/>
      <c r="BI19" s="2"/>
      <c r="BJ19" s="3"/>
      <c r="BK19" s="18"/>
      <c r="BL19" s="2"/>
      <c r="BM19" s="2"/>
      <c r="BN19" s="2"/>
      <c r="BO19" s="2"/>
      <c r="BP19" s="2"/>
      <c r="BQ19" s="3"/>
    </row>
    <row r="20" ht="255.75" customHeight="1" spans="1:69">
      <c r="A20" s="17">
        <v>7</v>
      </c>
      <c r="B20" s="18" t="s">
        <v>299</v>
      </c>
      <c r="C20" s="2"/>
      <c r="D20" s="3"/>
      <c r="E20" s="18" t="s">
        <v>300</v>
      </c>
      <c r="F20" s="2"/>
      <c r="G20" s="2"/>
      <c r="H20" s="2"/>
      <c r="I20" s="3"/>
      <c r="J20" s="18" t="s">
        <v>301</v>
      </c>
      <c r="K20" s="2"/>
      <c r="L20" s="2"/>
      <c r="M20" s="2"/>
      <c r="N20" s="2"/>
      <c r="O20" s="2"/>
      <c r="P20" s="3"/>
      <c r="Q20" s="18" t="s">
        <v>302</v>
      </c>
      <c r="R20" s="2"/>
      <c r="S20" s="2"/>
      <c r="T20" s="2"/>
      <c r="U20" s="2"/>
      <c r="V20" s="2"/>
      <c r="W20" s="3"/>
      <c r="X20" s="18" t="s">
        <v>303</v>
      </c>
      <c r="Y20" s="2"/>
      <c r="Z20" s="2"/>
      <c r="AA20" s="2"/>
      <c r="AB20" s="2"/>
      <c r="AC20" s="2"/>
      <c r="AD20" s="3"/>
      <c r="AE20" s="19" t="s">
        <v>274</v>
      </c>
      <c r="AF20" s="3"/>
      <c r="AG20" s="21" t="s">
        <v>59</v>
      </c>
      <c r="AH20" s="2"/>
      <c r="AI20" s="3"/>
      <c r="AJ20" s="22"/>
      <c r="AK20" s="2"/>
      <c r="AL20" s="3"/>
      <c r="AM20" s="21" t="s">
        <v>266</v>
      </c>
      <c r="AN20" s="2"/>
      <c r="AO20" s="3"/>
      <c r="AP20" s="23">
        <v>46167</v>
      </c>
      <c r="AQ20" s="2"/>
      <c r="AR20" s="3"/>
      <c r="AS20" s="19"/>
      <c r="AT20" s="2"/>
      <c r="AU20" s="3"/>
      <c r="AV20" s="19" t="s">
        <v>59</v>
      </c>
      <c r="AW20" s="2"/>
      <c r="AX20" s="3"/>
      <c r="AY20" s="19"/>
      <c r="AZ20" s="2"/>
      <c r="BA20" s="3"/>
      <c r="BB20" s="19" t="s">
        <v>267</v>
      </c>
      <c r="BC20" s="2"/>
      <c r="BD20" s="3"/>
      <c r="BE20" s="20">
        <v>46245</v>
      </c>
      <c r="BF20" s="2"/>
      <c r="BG20" s="3"/>
      <c r="BH20" s="19"/>
      <c r="BI20" s="2"/>
      <c r="BJ20" s="3"/>
      <c r="BK20" s="18"/>
      <c r="BL20" s="2"/>
      <c r="BM20" s="2"/>
      <c r="BN20" s="2"/>
      <c r="BO20" s="2"/>
      <c r="BP20" s="2"/>
      <c r="BQ20" s="3"/>
    </row>
    <row r="21" ht="175.5" customHeight="1" spans="1:69">
      <c r="A21" s="17">
        <v>8</v>
      </c>
      <c r="B21" s="18" t="s">
        <v>304</v>
      </c>
      <c r="C21" s="2"/>
      <c r="D21" s="3"/>
      <c r="E21" s="18" t="s">
        <v>305</v>
      </c>
      <c r="F21" s="2"/>
      <c r="G21" s="2"/>
      <c r="H21" s="2"/>
      <c r="I21" s="3"/>
      <c r="J21" s="18" t="s">
        <v>296</v>
      </c>
      <c r="K21" s="2"/>
      <c r="L21" s="2"/>
      <c r="M21" s="2"/>
      <c r="N21" s="2"/>
      <c r="O21" s="2"/>
      <c r="P21" s="3"/>
      <c r="Q21" s="18" t="s">
        <v>306</v>
      </c>
      <c r="R21" s="2"/>
      <c r="S21" s="2"/>
      <c r="T21" s="2"/>
      <c r="U21" s="2"/>
      <c r="V21" s="2"/>
      <c r="W21" s="3"/>
      <c r="X21" s="18" t="s">
        <v>307</v>
      </c>
      <c r="Y21" s="2"/>
      <c r="Z21" s="2"/>
      <c r="AA21" s="2"/>
      <c r="AB21" s="2"/>
      <c r="AC21" s="2"/>
      <c r="AD21" s="3"/>
      <c r="AE21" s="19" t="s">
        <v>274</v>
      </c>
      <c r="AF21" s="3"/>
      <c r="AG21" s="21" t="s">
        <v>59</v>
      </c>
      <c r="AH21" s="2"/>
      <c r="AI21" s="3"/>
      <c r="AJ21" s="22"/>
      <c r="AK21" s="2"/>
      <c r="AL21" s="3"/>
      <c r="AM21" s="21" t="s">
        <v>266</v>
      </c>
      <c r="AN21" s="2"/>
      <c r="AO21" s="3"/>
      <c r="AP21" s="23">
        <v>46167</v>
      </c>
      <c r="AQ21" s="2"/>
      <c r="AR21" s="3"/>
      <c r="AS21" s="19"/>
      <c r="AT21" s="2"/>
      <c r="AU21" s="3"/>
      <c r="AV21" s="19" t="s">
        <v>59</v>
      </c>
      <c r="AW21" s="2"/>
      <c r="AX21" s="3"/>
      <c r="AY21" s="19"/>
      <c r="AZ21" s="2"/>
      <c r="BA21" s="3"/>
      <c r="BB21" s="19" t="s">
        <v>267</v>
      </c>
      <c r="BC21" s="2"/>
      <c r="BD21" s="3"/>
      <c r="BE21" s="20">
        <v>46245</v>
      </c>
      <c r="BF21" s="2"/>
      <c r="BG21" s="3"/>
      <c r="BH21" s="19"/>
      <c r="BI21" s="2"/>
      <c r="BJ21" s="3"/>
      <c r="BK21" s="18"/>
      <c r="BL21" s="2"/>
      <c r="BM21" s="2"/>
      <c r="BN21" s="2"/>
      <c r="BO21" s="2"/>
      <c r="BP21" s="2"/>
      <c r="BQ21" s="3"/>
    </row>
    <row r="22" ht="223.5" customHeight="1" spans="1:69">
      <c r="A22" s="17">
        <v>9</v>
      </c>
      <c r="B22" s="18" t="s">
        <v>308</v>
      </c>
      <c r="C22" s="2"/>
      <c r="D22" s="3"/>
      <c r="E22" s="18" t="s">
        <v>309</v>
      </c>
      <c r="F22" s="2"/>
      <c r="G22" s="2"/>
      <c r="H22" s="2"/>
      <c r="I22" s="3"/>
      <c r="J22" s="18" t="s">
        <v>296</v>
      </c>
      <c r="K22" s="2"/>
      <c r="L22" s="2"/>
      <c r="M22" s="2"/>
      <c r="N22" s="2"/>
      <c r="O22" s="2"/>
      <c r="P22" s="3"/>
      <c r="Q22" s="18" t="s">
        <v>310</v>
      </c>
      <c r="R22" s="2"/>
      <c r="S22" s="2"/>
      <c r="T22" s="2"/>
      <c r="U22" s="2"/>
      <c r="V22" s="2"/>
      <c r="W22" s="3"/>
      <c r="X22" s="18" t="s">
        <v>311</v>
      </c>
      <c r="Y22" s="2"/>
      <c r="Z22" s="2"/>
      <c r="AA22" s="2"/>
      <c r="AB22" s="2"/>
      <c r="AC22" s="2"/>
      <c r="AD22" s="3"/>
      <c r="AE22" s="19" t="s">
        <v>274</v>
      </c>
      <c r="AF22" s="3"/>
      <c r="AG22" s="21" t="s">
        <v>59</v>
      </c>
      <c r="AH22" s="2"/>
      <c r="AI22" s="3"/>
      <c r="AJ22" s="22"/>
      <c r="AK22" s="2"/>
      <c r="AL22" s="3"/>
      <c r="AM22" s="21" t="s">
        <v>266</v>
      </c>
      <c r="AN22" s="2"/>
      <c r="AO22" s="3"/>
      <c r="AP22" s="23">
        <v>46167</v>
      </c>
      <c r="AQ22" s="2"/>
      <c r="AR22" s="3"/>
      <c r="AS22" s="19"/>
      <c r="AT22" s="2"/>
      <c r="AU22" s="3"/>
      <c r="AV22" s="19" t="s">
        <v>59</v>
      </c>
      <c r="AW22" s="2"/>
      <c r="AX22" s="3"/>
      <c r="AY22" s="19"/>
      <c r="AZ22" s="2"/>
      <c r="BA22" s="3"/>
      <c r="BB22" s="19" t="s">
        <v>267</v>
      </c>
      <c r="BC22" s="2"/>
      <c r="BD22" s="3"/>
      <c r="BE22" s="20">
        <v>46245</v>
      </c>
      <c r="BF22" s="2"/>
      <c r="BG22" s="3"/>
      <c r="BH22" s="19"/>
      <c r="BI22" s="2"/>
      <c r="BJ22" s="3"/>
      <c r="BK22" s="18"/>
      <c r="BL22" s="2"/>
      <c r="BM22" s="2"/>
      <c r="BN22" s="2"/>
      <c r="BO22" s="2"/>
      <c r="BP22" s="2"/>
      <c r="BQ22" s="3"/>
    </row>
    <row r="23" ht="223.5" customHeight="1" spans="1:69">
      <c r="A23" s="17">
        <v>10</v>
      </c>
      <c r="B23" s="18" t="s">
        <v>312</v>
      </c>
      <c r="C23" s="2"/>
      <c r="D23" s="3"/>
      <c r="E23" s="18" t="s">
        <v>313</v>
      </c>
      <c r="F23" s="2"/>
      <c r="G23" s="2"/>
      <c r="H23" s="2"/>
      <c r="I23" s="3"/>
      <c r="J23" s="18" t="s">
        <v>296</v>
      </c>
      <c r="K23" s="2"/>
      <c r="L23" s="2"/>
      <c r="M23" s="2"/>
      <c r="N23" s="2"/>
      <c r="O23" s="2"/>
      <c r="P23" s="3"/>
      <c r="Q23" s="18" t="s">
        <v>314</v>
      </c>
      <c r="R23" s="2"/>
      <c r="S23" s="2"/>
      <c r="T23" s="2"/>
      <c r="U23" s="2"/>
      <c r="V23" s="2"/>
      <c r="W23" s="3"/>
      <c r="X23" s="18" t="s">
        <v>315</v>
      </c>
      <c r="Y23" s="2"/>
      <c r="Z23" s="2"/>
      <c r="AA23" s="2"/>
      <c r="AB23" s="2"/>
      <c r="AC23" s="2"/>
      <c r="AD23" s="3"/>
      <c r="AE23" s="19" t="s">
        <v>209</v>
      </c>
      <c r="AF23" s="3"/>
      <c r="AG23" s="21" t="s">
        <v>59</v>
      </c>
      <c r="AH23" s="2"/>
      <c r="AI23" s="3"/>
      <c r="AJ23" s="22"/>
      <c r="AK23" s="2"/>
      <c r="AL23" s="3"/>
      <c r="AM23" s="21" t="s">
        <v>266</v>
      </c>
      <c r="AN23" s="2"/>
      <c r="AO23" s="3"/>
      <c r="AP23" s="23">
        <v>46167</v>
      </c>
      <c r="AQ23" s="2"/>
      <c r="AR23" s="3"/>
      <c r="AS23" s="19"/>
      <c r="AT23" s="2"/>
      <c r="AU23" s="3"/>
      <c r="AV23" s="19" t="s">
        <v>59</v>
      </c>
      <c r="AW23" s="2"/>
      <c r="AX23" s="3"/>
      <c r="AY23" s="19"/>
      <c r="AZ23" s="2"/>
      <c r="BA23" s="3"/>
      <c r="BB23" s="19" t="s">
        <v>267</v>
      </c>
      <c r="BC23" s="2"/>
      <c r="BD23" s="3"/>
      <c r="BE23" s="20">
        <v>46245</v>
      </c>
      <c r="BF23" s="2"/>
      <c r="BG23" s="3"/>
      <c r="BH23" s="19"/>
      <c r="BI23" s="2"/>
      <c r="BJ23" s="3"/>
      <c r="BK23" s="18"/>
      <c r="BL23" s="2"/>
      <c r="BM23" s="2"/>
      <c r="BN23" s="2"/>
      <c r="BO23" s="2"/>
      <c r="BP23" s="2"/>
      <c r="BQ23" s="3"/>
    </row>
    <row r="24" ht="159.75" customHeight="1" spans="1:69">
      <c r="A24" s="17">
        <v>11</v>
      </c>
      <c r="B24" s="18" t="s">
        <v>316</v>
      </c>
      <c r="C24" s="2"/>
      <c r="D24" s="3"/>
      <c r="E24" s="18" t="s">
        <v>317</v>
      </c>
      <c r="F24" s="2"/>
      <c r="G24" s="2"/>
      <c r="H24" s="2"/>
      <c r="I24" s="3"/>
      <c r="J24" s="18" t="s">
        <v>296</v>
      </c>
      <c r="K24" s="2"/>
      <c r="L24" s="2"/>
      <c r="M24" s="2"/>
      <c r="N24" s="2"/>
      <c r="O24" s="2"/>
      <c r="P24" s="3"/>
      <c r="Q24" s="18" t="s">
        <v>318</v>
      </c>
      <c r="R24" s="2"/>
      <c r="S24" s="2"/>
      <c r="T24" s="2"/>
      <c r="U24" s="2"/>
      <c r="V24" s="2"/>
      <c r="W24" s="3"/>
      <c r="X24" s="18" t="s">
        <v>319</v>
      </c>
      <c r="Y24" s="2"/>
      <c r="Z24" s="2"/>
      <c r="AA24" s="2"/>
      <c r="AB24" s="2"/>
      <c r="AC24" s="2"/>
      <c r="AD24" s="3"/>
      <c r="AE24" s="19" t="s">
        <v>274</v>
      </c>
      <c r="AF24" s="3"/>
      <c r="AG24" s="21" t="s">
        <v>59</v>
      </c>
      <c r="AH24" s="2"/>
      <c r="AI24" s="3"/>
      <c r="AJ24" s="22"/>
      <c r="AK24" s="2"/>
      <c r="AL24" s="3"/>
      <c r="AM24" s="21" t="s">
        <v>266</v>
      </c>
      <c r="AN24" s="2"/>
      <c r="AO24" s="3"/>
      <c r="AP24" s="23">
        <v>46167</v>
      </c>
      <c r="AQ24" s="2"/>
      <c r="AR24" s="3"/>
      <c r="AS24" s="19"/>
      <c r="AT24" s="2"/>
      <c r="AU24" s="3"/>
      <c r="AV24" s="19" t="s">
        <v>59</v>
      </c>
      <c r="AW24" s="2"/>
      <c r="AX24" s="3"/>
      <c r="AY24" s="19"/>
      <c r="AZ24" s="2"/>
      <c r="BA24" s="3"/>
      <c r="BB24" s="19" t="s">
        <v>267</v>
      </c>
      <c r="BC24" s="2"/>
      <c r="BD24" s="3"/>
      <c r="BE24" s="20">
        <v>46245</v>
      </c>
      <c r="BF24" s="2"/>
      <c r="BG24" s="3"/>
      <c r="BH24" s="19"/>
      <c r="BI24" s="2"/>
      <c r="BJ24" s="3"/>
      <c r="BK24" s="18" t="s">
        <v>292</v>
      </c>
      <c r="BL24" s="2"/>
      <c r="BM24" s="2"/>
      <c r="BN24" s="2"/>
      <c r="BO24" s="2"/>
      <c r="BP24" s="2"/>
      <c r="BQ24" s="3"/>
    </row>
    <row r="25" ht="22.5" customHeight="1" spans="1:69">
      <c r="A25" s="16" t="s">
        <v>320</v>
      </c>
      <c r="B25" s="2"/>
      <c r="C25" s="2"/>
      <c r="D25" s="2"/>
      <c r="E25" s="2"/>
      <c r="F25" s="2"/>
      <c r="G25" s="2"/>
      <c r="H25" s="2"/>
      <c r="I25" s="2"/>
      <c r="J25" s="2"/>
      <c r="K25" s="2"/>
      <c r="L25" s="2"/>
      <c r="M25" s="2"/>
      <c r="N25" s="2"/>
      <c r="O25" s="2"/>
      <c r="P25" s="2"/>
      <c r="Q25" s="2"/>
      <c r="R25" s="2"/>
      <c r="S25" s="2"/>
      <c r="T25" s="2"/>
      <c r="U25" s="2"/>
      <c r="V25" s="2"/>
      <c r="W25" s="2"/>
      <c r="X25" s="2"/>
      <c r="Y25" s="2"/>
      <c r="Z25" s="2"/>
      <c r="AA25" s="2"/>
      <c r="AB25" s="2"/>
      <c r="AC25" s="2"/>
      <c r="AD25" s="2"/>
      <c r="AE25" s="2"/>
      <c r="AF25" s="2"/>
      <c r="AG25" s="2"/>
      <c r="AH25" s="2"/>
      <c r="AI25" s="2"/>
      <c r="AJ25" s="2"/>
      <c r="AK25" s="2"/>
      <c r="AL25" s="2"/>
      <c r="AM25" s="2"/>
      <c r="AN25" s="2"/>
      <c r="AO25" s="2"/>
      <c r="AP25" s="2"/>
      <c r="AQ25" s="2"/>
      <c r="AR25" s="2"/>
      <c r="AS25" s="2"/>
      <c r="AT25" s="2"/>
      <c r="AU25" s="2"/>
      <c r="AV25" s="2"/>
      <c r="AW25" s="2"/>
      <c r="AX25" s="2"/>
      <c r="AY25" s="2"/>
      <c r="AZ25" s="2"/>
      <c r="BA25" s="2"/>
      <c r="BB25" s="2"/>
      <c r="BC25" s="2"/>
      <c r="BD25" s="2"/>
      <c r="BE25" s="2"/>
      <c r="BF25" s="2"/>
      <c r="BG25" s="2"/>
      <c r="BH25" s="2"/>
      <c r="BI25" s="2"/>
      <c r="BJ25" s="2"/>
      <c r="BK25" s="2"/>
      <c r="BL25" s="2"/>
      <c r="BM25" s="2"/>
      <c r="BN25" s="2"/>
      <c r="BO25" s="2"/>
      <c r="BP25" s="2"/>
      <c r="BQ25" s="3"/>
    </row>
    <row r="26" ht="175.5" customHeight="1" spans="1:69">
      <c r="A26" s="17">
        <v>12</v>
      </c>
      <c r="B26" s="18" t="s">
        <v>321</v>
      </c>
      <c r="C26" s="2"/>
      <c r="D26" s="3"/>
      <c r="E26" s="18" t="s">
        <v>322</v>
      </c>
      <c r="F26" s="2"/>
      <c r="G26" s="2"/>
      <c r="H26" s="2"/>
      <c r="I26" s="3"/>
      <c r="J26" s="18" t="s">
        <v>296</v>
      </c>
      <c r="K26" s="2"/>
      <c r="L26" s="2"/>
      <c r="M26" s="2"/>
      <c r="N26" s="2"/>
      <c r="O26" s="2"/>
      <c r="P26" s="3"/>
      <c r="Q26" s="18" t="s">
        <v>323</v>
      </c>
      <c r="R26" s="2"/>
      <c r="S26" s="2"/>
      <c r="T26" s="2"/>
      <c r="U26" s="2"/>
      <c r="V26" s="2"/>
      <c r="W26" s="3"/>
      <c r="X26" s="18" t="s">
        <v>324</v>
      </c>
      <c r="Y26" s="2"/>
      <c r="Z26" s="2"/>
      <c r="AA26" s="2"/>
      <c r="AB26" s="2"/>
      <c r="AC26" s="2"/>
      <c r="AD26" s="3"/>
      <c r="AE26" s="19" t="s">
        <v>274</v>
      </c>
      <c r="AF26" s="3"/>
      <c r="AG26" s="21" t="s">
        <v>59</v>
      </c>
      <c r="AH26" s="2"/>
      <c r="AI26" s="3"/>
      <c r="AJ26" s="22"/>
      <c r="AK26" s="2"/>
      <c r="AL26" s="3"/>
      <c r="AM26" s="21" t="s">
        <v>266</v>
      </c>
      <c r="AN26" s="2"/>
      <c r="AO26" s="3"/>
      <c r="AP26" s="23">
        <v>46167</v>
      </c>
      <c r="AQ26" s="2"/>
      <c r="AR26" s="3"/>
      <c r="AS26" s="19"/>
      <c r="AT26" s="2"/>
      <c r="AU26" s="3"/>
      <c r="AV26" s="19" t="s">
        <v>59</v>
      </c>
      <c r="AW26" s="2"/>
      <c r="AX26" s="3"/>
      <c r="AY26" s="19"/>
      <c r="AZ26" s="2"/>
      <c r="BA26" s="3"/>
      <c r="BB26" s="19" t="s">
        <v>267</v>
      </c>
      <c r="BC26" s="2"/>
      <c r="BD26" s="3"/>
      <c r="BE26" s="20">
        <v>46245</v>
      </c>
      <c r="BF26" s="2"/>
      <c r="BG26" s="3"/>
      <c r="BH26" s="19"/>
      <c r="BI26" s="2"/>
      <c r="BJ26" s="3"/>
      <c r="BK26" s="18"/>
      <c r="BL26" s="2"/>
      <c r="BM26" s="2"/>
      <c r="BN26" s="2"/>
      <c r="BO26" s="2"/>
      <c r="BP26" s="2"/>
      <c r="BQ26" s="3"/>
    </row>
    <row r="27" ht="223.5" customHeight="1" spans="1:69">
      <c r="A27" s="17">
        <v>13</v>
      </c>
      <c r="B27" s="18" t="s">
        <v>325</v>
      </c>
      <c r="C27" s="2"/>
      <c r="D27" s="3"/>
      <c r="E27" s="18" t="s">
        <v>326</v>
      </c>
      <c r="F27" s="2"/>
      <c r="G27" s="2"/>
      <c r="H27" s="2"/>
      <c r="I27" s="3"/>
      <c r="J27" s="18" t="s">
        <v>296</v>
      </c>
      <c r="K27" s="2"/>
      <c r="L27" s="2"/>
      <c r="M27" s="2"/>
      <c r="N27" s="2"/>
      <c r="O27" s="2"/>
      <c r="P27" s="3"/>
      <c r="Q27" s="18" t="s">
        <v>327</v>
      </c>
      <c r="R27" s="2"/>
      <c r="S27" s="2"/>
      <c r="T27" s="2"/>
      <c r="U27" s="2"/>
      <c r="V27" s="2"/>
      <c r="W27" s="3"/>
      <c r="X27" s="18" t="s">
        <v>328</v>
      </c>
      <c r="Y27" s="2"/>
      <c r="Z27" s="2"/>
      <c r="AA27" s="2"/>
      <c r="AB27" s="2"/>
      <c r="AC27" s="2"/>
      <c r="AD27" s="3"/>
      <c r="AE27" s="19" t="s">
        <v>274</v>
      </c>
      <c r="AF27" s="3"/>
      <c r="AG27" s="21" t="s">
        <v>59</v>
      </c>
      <c r="AH27" s="2"/>
      <c r="AI27" s="3"/>
      <c r="AJ27" s="22"/>
      <c r="AK27" s="2"/>
      <c r="AL27" s="3"/>
      <c r="AM27" s="21" t="s">
        <v>266</v>
      </c>
      <c r="AN27" s="2"/>
      <c r="AO27" s="3"/>
      <c r="AP27" s="23">
        <v>46167</v>
      </c>
      <c r="AQ27" s="2"/>
      <c r="AR27" s="3"/>
      <c r="AS27" s="19"/>
      <c r="AT27" s="2"/>
      <c r="AU27" s="3"/>
      <c r="AV27" s="19" t="s">
        <v>59</v>
      </c>
      <c r="AW27" s="2"/>
      <c r="AX27" s="3"/>
      <c r="AY27" s="19"/>
      <c r="AZ27" s="2"/>
      <c r="BA27" s="3"/>
      <c r="BB27" s="19" t="s">
        <v>267</v>
      </c>
      <c r="BC27" s="2"/>
      <c r="BD27" s="3"/>
      <c r="BE27" s="20">
        <v>46245</v>
      </c>
      <c r="BF27" s="2"/>
      <c r="BG27" s="3"/>
      <c r="BH27" s="19"/>
      <c r="BI27" s="2"/>
      <c r="BJ27" s="3"/>
      <c r="BK27" s="18"/>
      <c r="BL27" s="2"/>
      <c r="BM27" s="2"/>
      <c r="BN27" s="2"/>
      <c r="BO27" s="2"/>
      <c r="BP27" s="2"/>
      <c r="BQ27" s="3"/>
    </row>
    <row r="28" ht="175.5" customHeight="1" spans="1:69">
      <c r="A28" s="17">
        <v>14</v>
      </c>
      <c r="B28" s="18" t="s">
        <v>329</v>
      </c>
      <c r="C28" s="2"/>
      <c r="D28" s="3"/>
      <c r="E28" s="18" t="s">
        <v>330</v>
      </c>
      <c r="F28" s="2"/>
      <c r="G28" s="2"/>
      <c r="H28" s="2"/>
      <c r="I28" s="3"/>
      <c r="J28" s="18" t="s">
        <v>331</v>
      </c>
      <c r="K28" s="2"/>
      <c r="L28" s="2"/>
      <c r="M28" s="2"/>
      <c r="N28" s="2"/>
      <c r="O28" s="2"/>
      <c r="P28" s="3"/>
      <c r="Q28" s="18" t="s">
        <v>332</v>
      </c>
      <c r="R28" s="2"/>
      <c r="S28" s="2"/>
      <c r="T28" s="2"/>
      <c r="U28" s="2"/>
      <c r="V28" s="2"/>
      <c r="W28" s="3"/>
      <c r="X28" s="18" t="s">
        <v>333</v>
      </c>
      <c r="Y28" s="2"/>
      <c r="Z28" s="2"/>
      <c r="AA28" s="2"/>
      <c r="AB28" s="2"/>
      <c r="AC28" s="2"/>
      <c r="AD28" s="3"/>
      <c r="AE28" s="19" t="s">
        <v>274</v>
      </c>
      <c r="AF28" s="3"/>
      <c r="AG28" s="21" t="s">
        <v>59</v>
      </c>
      <c r="AH28" s="2"/>
      <c r="AI28" s="3"/>
      <c r="AJ28" s="22"/>
      <c r="AK28" s="2"/>
      <c r="AL28" s="3"/>
      <c r="AM28" s="21" t="s">
        <v>266</v>
      </c>
      <c r="AN28" s="2"/>
      <c r="AO28" s="3"/>
      <c r="AP28" s="23">
        <v>46167</v>
      </c>
      <c r="AQ28" s="2"/>
      <c r="AR28" s="3"/>
      <c r="AS28" s="19"/>
      <c r="AT28" s="2"/>
      <c r="AU28" s="3"/>
      <c r="AV28" s="19" t="s">
        <v>59</v>
      </c>
      <c r="AW28" s="2"/>
      <c r="AX28" s="3"/>
      <c r="AY28" s="19"/>
      <c r="AZ28" s="2"/>
      <c r="BA28" s="3"/>
      <c r="BB28" s="19" t="s">
        <v>267</v>
      </c>
      <c r="BC28" s="2"/>
      <c r="BD28" s="3"/>
      <c r="BE28" s="20">
        <v>46245</v>
      </c>
      <c r="BF28" s="2"/>
      <c r="BG28" s="3"/>
      <c r="BH28" s="19"/>
      <c r="BI28" s="2"/>
      <c r="BJ28" s="3"/>
      <c r="BK28" s="18" t="s">
        <v>292</v>
      </c>
      <c r="BL28" s="2"/>
      <c r="BM28" s="2"/>
      <c r="BN28" s="2"/>
      <c r="BO28" s="2"/>
      <c r="BP28" s="2"/>
      <c r="BQ28" s="3"/>
    </row>
    <row r="29" ht="22.5" customHeight="1" spans="1:69">
      <c r="A29" s="16" t="s">
        <v>334</v>
      </c>
      <c r="B29" s="2"/>
      <c r="C29" s="2"/>
      <c r="D29" s="2"/>
      <c r="E29" s="2"/>
      <c r="F29" s="2"/>
      <c r="G29" s="2"/>
      <c r="H29" s="2"/>
      <c r="I29" s="2"/>
      <c r="J29" s="2"/>
      <c r="K29" s="2"/>
      <c r="L29" s="2"/>
      <c r="M29" s="2"/>
      <c r="N29" s="2"/>
      <c r="O29" s="2"/>
      <c r="P29" s="2"/>
      <c r="Q29" s="2"/>
      <c r="R29" s="2"/>
      <c r="S29" s="2"/>
      <c r="T29" s="2"/>
      <c r="U29" s="2"/>
      <c r="V29" s="2"/>
      <c r="W29" s="2"/>
      <c r="X29" s="2"/>
      <c r="Y29" s="2"/>
      <c r="Z29" s="2"/>
      <c r="AA29" s="2"/>
      <c r="AB29" s="2"/>
      <c r="AC29" s="2"/>
      <c r="AD29" s="2"/>
      <c r="AE29" s="2"/>
      <c r="AF29" s="2"/>
      <c r="AG29" s="2"/>
      <c r="AH29" s="2"/>
      <c r="AI29" s="2"/>
      <c r="AJ29" s="2"/>
      <c r="AK29" s="2"/>
      <c r="AL29" s="2"/>
      <c r="AM29" s="2"/>
      <c r="AN29" s="2"/>
      <c r="AO29" s="2"/>
      <c r="AP29" s="2"/>
      <c r="AQ29" s="2"/>
      <c r="AR29" s="2"/>
      <c r="AS29" s="2"/>
      <c r="AT29" s="2"/>
      <c r="AU29" s="2"/>
      <c r="AV29" s="2"/>
      <c r="AW29" s="2"/>
      <c r="AX29" s="2"/>
      <c r="AY29" s="2"/>
      <c r="AZ29" s="2"/>
      <c r="BA29" s="2"/>
      <c r="BB29" s="2"/>
      <c r="BC29" s="2"/>
      <c r="BD29" s="2"/>
      <c r="BE29" s="2"/>
      <c r="BF29" s="2"/>
      <c r="BG29" s="2"/>
      <c r="BH29" s="2"/>
      <c r="BI29" s="2"/>
      <c r="BJ29" s="2"/>
      <c r="BK29" s="2"/>
      <c r="BL29" s="2"/>
      <c r="BM29" s="2"/>
      <c r="BN29" s="2"/>
      <c r="BO29" s="2"/>
      <c r="BP29" s="2"/>
      <c r="BQ29" s="3"/>
    </row>
    <row r="30" ht="207.75" customHeight="1" spans="1:69">
      <c r="A30" s="17">
        <v>15</v>
      </c>
      <c r="B30" s="18" t="s">
        <v>335</v>
      </c>
      <c r="C30" s="2"/>
      <c r="D30" s="3"/>
      <c r="E30" s="18" t="s">
        <v>336</v>
      </c>
      <c r="F30" s="2"/>
      <c r="G30" s="2"/>
      <c r="H30" s="2"/>
      <c r="I30" s="3"/>
      <c r="J30" s="18" t="s">
        <v>296</v>
      </c>
      <c r="K30" s="2"/>
      <c r="L30" s="2"/>
      <c r="M30" s="2"/>
      <c r="N30" s="2"/>
      <c r="O30" s="2"/>
      <c r="P30" s="3"/>
      <c r="Q30" s="18" t="s">
        <v>337</v>
      </c>
      <c r="R30" s="2"/>
      <c r="S30" s="2"/>
      <c r="T30" s="2"/>
      <c r="U30" s="2"/>
      <c r="V30" s="2"/>
      <c r="W30" s="3"/>
      <c r="X30" s="18" t="s">
        <v>338</v>
      </c>
      <c r="Y30" s="2"/>
      <c r="Z30" s="2"/>
      <c r="AA30" s="2"/>
      <c r="AB30" s="2"/>
      <c r="AC30" s="2"/>
      <c r="AD30" s="3"/>
      <c r="AE30" s="19" t="s">
        <v>209</v>
      </c>
      <c r="AF30" s="3"/>
      <c r="AG30" s="21" t="s">
        <v>59</v>
      </c>
      <c r="AH30" s="2"/>
      <c r="AI30" s="3"/>
      <c r="AJ30" s="22"/>
      <c r="AK30" s="2"/>
      <c r="AL30" s="3"/>
      <c r="AM30" s="21" t="s">
        <v>266</v>
      </c>
      <c r="AN30" s="2"/>
      <c r="AO30" s="3"/>
      <c r="AP30" s="23">
        <v>46167</v>
      </c>
      <c r="AQ30" s="2"/>
      <c r="AR30" s="3"/>
      <c r="AS30" s="19"/>
      <c r="AT30" s="2"/>
      <c r="AU30" s="3"/>
      <c r="AV30" s="19" t="s">
        <v>59</v>
      </c>
      <c r="AW30" s="2"/>
      <c r="AX30" s="3"/>
      <c r="AY30" s="19"/>
      <c r="AZ30" s="2"/>
      <c r="BA30" s="3"/>
      <c r="BB30" s="19" t="s">
        <v>267</v>
      </c>
      <c r="BC30" s="2"/>
      <c r="BD30" s="3"/>
      <c r="BE30" s="20">
        <v>46245</v>
      </c>
      <c r="BF30" s="2"/>
      <c r="BG30" s="3"/>
      <c r="BH30" s="19"/>
      <c r="BI30" s="2"/>
      <c r="BJ30" s="3"/>
      <c r="BK30" s="18"/>
      <c r="BL30" s="2"/>
      <c r="BM30" s="2"/>
      <c r="BN30" s="2"/>
      <c r="BO30" s="2"/>
      <c r="BP30" s="2"/>
      <c r="BQ30" s="3"/>
    </row>
    <row r="31" ht="192" customHeight="1" spans="1:69">
      <c r="A31" s="17">
        <v>16</v>
      </c>
      <c r="B31" s="18" t="s">
        <v>339</v>
      </c>
      <c r="C31" s="2"/>
      <c r="D31" s="3"/>
      <c r="E31" s="18" t="s">
        <v>340</v>
      </c>
      <c r="F31" s="2"/>
      <c r="G31" s="2"/>
      <c r="H31" s="2"/>
      <c r="I31" s="3"/>
      <c r="J31" s="18" t="s">
        <v>296</v>
      </c>
      <c r="K31" s="2"/>
      <c r="L31" s="2"/>
      <c r="M31" s="2"/>
      <c r="N31" s="2"/>
      <c r="O31" s="2"/>
      <c r="P31" s="3"/>
      <c r="Q31" s="18" t="s">
        <v>341</v>
      </c>
      <c r="R31" s="2"/>
      <c r="S31" s="2"/>
      <c r="T31" s="2"/>
      <c r="U31" s="2"/>
      <c r="V31" s="2"/>
      <c r="W31" s="3"/>
      <c r="X31" s="18" t="s">
        <v>342</v>
      </c>
      <c r="Y31" s="2"/>
      <c r="Z31" s="2"/>
      <c r="AA31" s="2"/>
      <c r="AB31" s="2"/>
      <c r="AC31" s="2"/>
      <c r="AD31" s="3"/>
      <c r="AE31" s="19" t="s">
        <v>213</v>
      </c>
      <c r="AF31" s="3"/>
      <c r="AG31" s="21" t="s">
        <v>59</v>
      </c>
      <c r="AH31" s="2"/>
      <c r="AI31" s="3"/>
      <c r="AJ31" s="22"/>
      <c r="AK31" s="2"/>
      <c r="AL31" s="3"/>
      <c r="AM31" s="21" t="s">
        <v>266</v>
      </c>
      <c r="AN31" s="2"/>
      <c r="AO31" s="3"/>
      <c r="AP31" s="23">
        <v>46167</v>
      </c>
      <c r="AQ31" s="2"/>
      <c r="AR31" s="3"/>
      <c r="AS31" s="19"/>
      <c r="AT31" s="2"/>
      <c r="AU31" s="3"/>
      <c r="AV31" s="19" t="s">
        <v>59</v>
      </c>
      <c r="AW31" s="2"/>
      <c r="AX31" s="3"/>
      <c r="AY31" s="19"/>
      <c r="AZ31" s="2"/>
      <c r="BA31" s="3"/>
      <c r="BB31" s="19" t="s">
        <v>267</v>
      </c>
      <c r="BC31" s="2"/>
      <c r="BD31" s="3"/>
      <c r="BE31" s="20">
        <v>46245</v>
      </c>
      <c r="BF31" s="2"/>
      <c r="BG31" s="3"/>
      <c r="BH31" s="19"/>
      <c r="BI31" s="2"/>
      <c r="BJ31" s="3"/>
      <c r="BK31" s="18"/>
      <c r="BL31" s="2"/>
      <c r="BM31" s="2"/>
      <c r="BN31" s="2"/>
      <c r="BO31" s="2"/>
      <c r="BP31" s="2"/>
      <c r="BQ31" s="3"/>
    </row>
    <row r="32" ht="255.75" customHeight="1" spans="1:69">
      <c r="A32" s="17">
        <v>17</v>
      </c>
      <c r="B32" s="18" t="s">
        <v>343</v>
      </c>
      <c r="C32" s="2"/>
      <c r="D32" s="3"/>
      <c r="E32" s="18" t="s">
        <v>344</v>
      </c>
      <c r="F32" s="2"/>
      <c r="G32" s="2"/>
      <c r="H32" s="2"/>
      <c r="I32" s="3"/>
      <c r="J32" s="18" t="s">
        <v>296</v>
      </c>
      <c r="K32" s="2"/>
      <c r="L32" s="2"/>
      <c r="M32" s="2"/>
      <c r="N32" s="2"/>
      <c r="O32" s="2"/>
      <c r="P32" s="3"/>
      <c r="Q32" s="18" t="s">
        <v>345</v>
      </c>
      <c r="R32" s="2"/>
      <c r="S32" s="2"/>
      <c r="T32" s="2"/>
      <c r="U32" s="2"/>
      <c r="V32" s="2"/>
      <c r="W32" s="3"/>
      <c r="X32" s="18" t="s">
        <v>346</v>
      </c>
      <c r="Y32" s="2"/>
      <c r="Z32" s="2"/>
      <c r="AA32" s="2"/>
      <c r="AB32" s="2"/>
      <c r="AC32" s="2"/>
      <c r="AD32" s="3"/>
      <c r="AE32" s="19" t="s">
        <v>213</v>
      </c>
      <c r="AF32" s="3"/>
      <c r="AG32" s="21" t="s">
        <v>59</v>
      </c>
      <c r="AH32" s="2"/>
      <c r="AI32" s="3"/>
      <c r="AJ32" s="22"/>
      <c r="AK32" s="2"/>
      <c r="AL32" s="3"/>
      <c r="AM32" s="21" t="s">
        <v>266</v>
      </c>
      <c r="AN32" s="2"/>
      <c r="AO32" s="3"/>
      <c r="AP32" s="23">
        <v>46167</v>
      </c>
      <c r="AQ32" s="2"/>
      <c r="AR32" s="3"/>
      <c r="AS32" s="19"/>
      <c r="AT32" s="2"/>
      <c r="AU32" s="3"/>
      <c r="AV32" s="19" t="s">
        <v>59</v>
      </c>
      <c r="AW32" s="2"/>
      <c r="AX32" s="3"/>
      <c r="AY32" s="19"/>
      <c r="AZ32" s="2"/>
      <c r="BA32" s="3"/>
      <c r="BB32" s="19" t="s">
        <v>267</v>
      </c>
      <c r="BC32" s="2"/>
      <c r="BD32" s="3"/>
      <c r="BE32" s="20">
        <v>46245</v>
      </c>
      <c r="BF32" s="2"/>
      <c r="BG32" s="3"/>
      <c r="BH32" s="19"/>
      <c r="BI32" s="2"/>
      <c r="BJ32" s="3"/>
      <c r="BK32" s="18"/>
      <c r="BL32" s="2"/>
      <c r="BM32" s="2"/>
      <c r="BN32" s="2"/>
      <c r="BO32" s="2"/>
      <c r="BP32" s="2"/>
      <c r="BQ32" s="3"/>
    </row>
    <row r="33" ht="127.5" customHeight="1" spans="1:69">
      <c r="A33" s="17">
        <v>18</v>
      </c>
      <c r="B33" s="18" t="s">
        <v>347</v>
      </c>
      <c r="C33" s="2"/>
      <c r="D33" s="3"/>
      <c r="E33" s="18" t="s">
        <v>348</v>
      </c>
      <c r="F33" s="2"/>
      <c r="G33" s="2"/>
      <c r="H33" s="2"/>
      <c r="I33" s="3"/>
      <c r="J33" s="18" t="s">
        <v>296</v>
      </c>
      <c r="K33" s="2"/>
      <c r="L33" s="2"/>
      <c r="M33" s="2"/>
      <c r="N33" s="2"/>
      <c r="O33" s="2"/>
      <c r="P33" s="3"/>
      <c r="Q33" s="18" t="s">
        <v>349</v>
      </c>
      <c r="R33" s="2"/>
      <c r="S33" s="2"/>
      <c r="T33" s="2"/>
      <c r="U33" s="2"/>
      <c r="V33" s="2"/>
      <c r="W33" s="3"/>
      <c r="X33" s="18" t="s">
        <v>350</v>
      </c>
      <c r="Y33" s="2"/>
      <c r="Z33" s="2"/>
      <c r="AA33" s="2"/>
      <c r="AB33" s="2"/>
      <c r="AC33" s="2"/>
      <c r="AD33" s="3"/>
      <c r="AE33" s="19" t="s">
        <v>209</v>
      </c>
      <c r="AF33" s="3"/>
      <c r="AG33" s="21" t="s">
        <v>59</v>
      </c>
      <c r="AH33" s="2"/>
      <c r="AI33" s="3"/>
      <c r="AJ33" s="22"/>
      <c r="AK33" s="2"/>
      <c r="AL33" s="3"/>
      <c r="AM33" s="21" t="s">
        <v>266</v>
      </c>
      <c r="AN33" s="2"/>
      <c r="AO33" s="3"/>
      <c r="AP33" s="23">
        <v>46167</v>
      </c>
      <c r="AQ33" s="2"/>
      <c r="AR33" s="3"/>
      <c r="AS33" s="19"/>
      <c r="AT33" s="2"/>
      <c r="AU33" s="3"/>
      <c r="AV33" s="19" t="s">
        <v>59</v>
      </c>
      <c r="AW33" s="2"/>
      <c r="AX33" s="3"/>
      <c r="AY33" s="19"/>
      <c r="AZ33" s="2"/>
      <c r="BA33" s="3"/>
      <c r="BB33" s="19" t="s">
        <v>267</v>
      </c>
      <c r="BC33" s="2"/>
      <c r="BD33" s="3"/>
      <c r="BE33" s="20">
        <v>46245</v>
      </c>
      <c r="BF33" s="2"/>
      <c r="BG33" s="3"/>
      <c r="BH33" s="19"/>
      <c r="BI33" s="2"/>
      <c r="BJ33" s="3"/>
      <c r="BK33" s="18"/>
      <c r="BL33" s="2"/>
      <c r="BM33" s="2"/>
      <c r="BN33" s="2"/>
      <c r="BO33" s="2"/>
      <c r="BP33" s="2"/>
      <c r="BQ33" s="3"/>
    </row>
    <row r="34" ht="159.75" customHeight="1" spans="1:69">
      <c r="A34" s="17">
        <v>19</v>
      </c>
      <c r="B34" s="18" t="s">
        <v>351</v>
      </c>
      <c r="C34" s="2"/>
      <c r="D34" s="3"/>
      <c r="E34" s="18" t="s">
        <v>352</v>
      </c>
      <c r="F34" s="2"/>
      <c r="G34" s="2"/>
      <c r="H34" s="2"/>
      <c r="I34" s="3"/>
      <c r="J34" s="18" t="s">
        <v>296</v>
      </c>
      <c r="K34" s="2"/>
      <c r="L34" s="2"/>
      <c r="M34" s="2"/>
      <c r="N34" s="2"/>
      <c r="O34" s="2"/>
      <c r="P34" s="3"/>
      <c r="Q34" s="18" t="s">
        <v>353</v>
      </c>
      <c r="R34" s="2"/>
      <c r="S34" s="2"/>
      <c r="T34" s="2"/>
      <c r="U34" s="2"/>
      <c r="V34" s="2"/>
      <c r="W34" s="3"/>
      <c r="X34" s="18" t="s">
        <v>354</v>
      </c>
      <c r="Y34" s="2"/>
      <c r="Z34" s="2"/>
      <c r="AA34" s="2"/>
      <c r="AB34" s="2"/>
      <c r="AC34" s="2"/>
      <c r="AD34" s="3"/>
      <c r="AE34" s="19" t="s">
        <v>213</v>
      </c>
      <c r="AF34" s="3"/>
      <c r="AG34" s="21" t="s">
        <v>59</v>
      </c>
      <c r="AH34" s="2"/>
      <c r="AI34" s="3"/>
      <c r="AJ34" s="22"/>
      <c r="AK34" s="2"/>
      <c r="AL34" s="3"/>
      <c r="AM34" s="21" t="s">
        <v>266</v>
      </c>
      <c r="AN34" s="2"/>
      <c r="AO34" s="3"/>
      <c r="AP34" s="23">
        <v>46167</v>
      </c>
      <c r="AQ34" s="2"/>
      <c r="AR34" s="3"/>
      <c r="AS34" s="19"/>
      <c r="AT34" s="2"/>
      <c r="AU34" s="3"/>
      <c r="AV34" s="19" t="s">
        <v>59</v>
      </c>
      <c r="AW34" s="2"/>
      <c r="AX34" s="3"/>
      <c r="AY34" s="19"/>
      <c r="AZ34" s="2"/>
      <c r="BA34" s="3"/>
      <c r="BB34" s="19" t="s">
        <v>267</v>
      </c>
      <c r="BC34" s="2"/>
      <c r="BD34" s="3"/>
      <c r="BE34" s="20">
        <v>46245</v>
      </c>
      <c r="BF34" s="2"/>
      <c r="BG34" s="3"/>
      <c r="BH34" s="19"/>
      <c r="BI34" s="2"/>
      <c r="BJ34" s="3"/>
      <c r="BK34" s="18"/>
      <c r="BL34" s="2"/>
      <c r="BM34" s="2"/>
      <c r="BN34" s="2"/>
      <c r="BO34" s="2"/>
      <c r="BP34" s="2"/>
      <c r="BQ34" s="3"/>
    </row>
    <row r="35" ht="111.75" customHeight="1" spans="1:69">
      <c r="A35" s="17">
        <v>20</v>
      </c>
      <c r="B35" s="18" t="s">
        <v>355</v>
      </c>
      <c r="C35" s="2"/>
      <c r="D35" s="3"/>
      <c r="E35" s="18" t="s">
        <v>356</v>
      </c>
      <c r="F35" s="2"/>
      <c r="G35" s="2"/>
      <c r="H35" s="2"/>
      <c r="I35" s="3"/>
      <c r="J35" s="18" t="s">
        <v>296</v>
      </c>
      <c r="K35" s="2"/>
      <c r="L35" s="2"/>
      <c r="M35" s="2"/>
      <c r="N35" s="2"/>
      <c r="O35" s="2"/>
      <c r="P35" s="3"/>
      <c r="Q35" s="18" t="s">
        <v>357</v>
      </c>
      <c r="R35" s="2"/>
      <c r="S35" s="2"/>
      <c r="T35" s="2"/>
      <c r="U35" s="2"/>
      <c r="V35" s="2"/>
      <c r="W35" s="3"/>
      <c r="X35" s="18" t="s">
        <v>358</v>
      </c>
      <c r="Y35" s="2"/>
      <c r="Z35" s="2"/>
      <c r="AA35" s="2"/>
      <c r="AB35" s="2"/>
      <c r="AC35" s="2"/>
      <c r="AD35" s="3"/>
      <c r="AE35" s="19" t="s">
        <v>213</v>
      </c>
      <c r="AF35" s="3"/>
      <c r="AG35" s="21" t="s">
        <v>59</v>
      </c>
      <c r="AH35" s="2"/>
      <c r="AI35" s="3"/>
      <c r="AJ35" s="22"/>
      <c r="AK35" s="2"/>
      <c r="AL35" s="3"/>
      <c r="AM35" s="21" t="s">
        <v>266</v>
      </c>
      <c r="AN35" s="2"/>
      <c r="AO35" s="3"/>
      <c r="AP35" s="23">
        <v>46167</v>
      </c>
      <c r="AQ35" s="2"/>
      <c r="AR35" s="3"/>
      <c r="AS35" s="19"/>
      <c r="AT35" s="2"/>
      <c r="AU35" s="3"/>
      <c r="AV35" s="19" t="s">
        <v>59</v>
      </c>
      <c r="AW35" s="2"/>
      <c r="AX35" s="3"/>
      <c r="AY35" s="19"/>
      <c r="AZ35" s="2"/>
      <c r="BA35" s="3"/>
      <c r="BB35" s="19" t="s">
        <v>267</v>
      </c>
      <c r="BC35" s="2"/>
      <c r="BD35" s="3"/>
      <c r="BE35" s="20">
        <v>46245</v>
      </c>
      <c r="BF35" s="2"/>
      <c r="BG35" s="3"/>
      <c r="BH35" s="19"/>
      <c r="BI35" s="2"/>
      <c r="BJ35" s="3"/>
      <c r="BK35" s="18"/>
      <c r="BL35" s="2"/>
      <c r="BM35" s="2"/>
      <c r="BN35" s="2"/>
      <c r="BO35" s="2"/>
      <c r="BP35" s="2"/>
      <c r="BQ35" s="3"/>
    </row>
    <row r="36" ht="223.5" customHeight="1" spans="1:69">
      <c r="A36" s="17">
        <v>21</v>
      </c>
      <c r="B36" s="18" t="s">
        <v>359</v>
      </c>
      <c r="C36" s="2"/>
      <c r="D36" s="3"/>
      <c r="E36" s="18" t="s">
        <v>360</v>
      </c>
      <c r="F36" s="2"/>
      <c r="G36" s="2"/>
      <c r="H36" s="2"/>
      <c r="I36" s="3"/>
      <c r="J36" s="18" t="s">
        <v>296</v>
      </c>
      <c r="K36" s="2"/>
      <c r="L36" s="2"/>
      <c r="M36" s="2"/>
      <c r="N36" s="2"/>
      <c r="O36" s="2"/>
      <c r="P36" s="3"/>
      <c r="Q36" s="18" t="s">
        <v>361</v>
      </c>
      <c r="R36" s="2"/>
      <c r="S36" s="2"/>
      <c r="T36" s="2"/>
      <c r="U36" s="2"/>
      <c r="V36" s="2"/>
      <c r="W36" s="3"/>
      <c r="X36" s="18" t="s">
        <v>362</v>
      </c>
      <c r="Y36" s="2"/>
      <c r="Z36" s="2"/>
      <c r="AA36" s="2"/>
      <c r="AB36" s="2"/>
      <c r="AC36" s="2"/>
      <c r="AD36" s="3"/>
      <c r="AE36" s="19" t="s">
        <v>209</v>
      </c>
      <c r="AF36" s="3"/>
      <c r="AG36" s="21" t="s">
        <v>59</v>
      </c>
      <c r="AH36" s="2"/>
      <c r="AI36" s="3"/>
      <c r="AJ36" s="22"/>
      <c r="AK36" s="2"/>
      <c r="AL36" s="3"/>
      <c r="AM36" s="21" t="s">
        <v>266</v>
      </c>
      <c r="AN36" s="2"/>
      <c r="AO36" s="3"/>
      <c r="AP36" s="23">
        <v>46167</v>
      </c>
      <c r="AQ36" s="2"/>
      <c r="AR36" s="3"/>
      <c r="AS36" s="19"/>
      <c r="AT36" s="2"/>
      <c r="AU36" s="3"/>
      <c r="AV36" s="19" t="s">
        <v>59</v>
      </c>
      <c r="AW36" s="2"/>
      <c r="AX36" s="3"/>
      <c r="AY36" s="19"/>
      <c r="AZ36" s="2"/>
      <c r="BA36" s="3"/>
      <c r="BB36" s="19" t="s">
        <v>267</v>
      </c>
      <c r="BC36" s="2"/>
      <c r="BD36" s="3"/>
      <c r="BE36" s="20">
        <v>46245</v>
      </c>
      <c r="BF36" s="2"/>
      <c r="BG36" s="3"/>
      <c r="BH36" s="19"/>
      <c r="BI36" s="2"/>
      <c r="BJ36" s="3"/>
      <c r="BK36" s="18"/>
      <c r="BL36" s="2"/>
      <c r="BM36" s="2"/>
      <c r="BN36" s="2"/>
      <c r="BO36" s="2"/>
      <c r="BP36" s="2"/>
      <c r="BQ36" s="3"/>
    </row>
    <row r="37" ht="159.75" customHeight="1" spans="1:69">
      <c r="A37" s="17">
        <v>22</v>
      </c>
      <c r="B37" s="18" t="s">
        <v>363</v>
      </c>
      <c r="C37" s="2"/>
      <c r="D37" s="3"/>
      <c r="E37" s="18" t="s">
        <v>364</v>
      </c>
      <c r="F37" s="2"/>
      <c r="G37" s="2"/>
      <c r="H37" s="2"/>
      <c r="I37" s="3"/>
      <c r="J37" s="18" t="s">
        <v>296</v>
      </c>
      <c r="K37" s="2"/>
      <c r="L37" s="2"/>
      <c r="M37" s="2"/>
      <c r="N37" s="2"/>
      <c r="O37" s="2"/>
      <c r="P37" s="3"/>
      <c r="Q37" s="18" t="s">
        <v>365</v>
      </c>
      <c r="R37" s="2"/>
      <c r="S37" s="2"/>
      <c r="T37" s="2"/>
      <c r="U37" s="2"/>
      <c r="V37" s="2"/>
      <c r="W37" s="3"/>
      <c r="X37" s="18" t="s">
        <v>366</v>
      </c>
      <c r="Y37" s="2"/>
      <c r="Z37" s="2"/>
      <c r="AA37" s="2"/>
      <c r="AB37" s="2"/>
      <c r="AC37" s="2"/>
      <c r="AD37" s="3"/>
      <c r="AE37" s="19" t="s">
        <v>213</v>
      </c>
      <c r="AF37" s="3"/>
      <c r="AG37" s="21" t="s">
        <v>59</v>
      </c>
      <c r="AH37" s="2"/>
      <c r="AI37" s="3"/>
      <c r="AJ37" s="22"/>
      <c r="AK37" s="2"/>
      <c r="AL37" s="3"/>
      <c r="AM37" s="21" t="s">
        <v>266</v>
      </c>
      <c r="AN37" s="2"/>
      <c r="AO37" s="3"/>
      <c r="AP37" s="23">
        <v>46167</v>
      </c>
      <c r="AQ37" s="2"/>
      <c r="AR37" s="3"/>
      <c r="AS37" s="19"/>
      <c r="AT37" s="2"/>
      <c r="AU37" s="3"/>
      <c r="AV37" s="19" t="s">
        <v>59</v>
      </c>
      <c r="AW37" s="2"/>
      <c r="AX37" s="3"/>
      <c r="AY37" s="19"/>
      <c r="AZ37" s="2"/>
      <c r="BA37" s="3"/>
      <c r="BB37" s="19" t="s">
        <v>267</v>
      </c>
      <c r="BC37" s="2"/>
      <c r="BD37" s="3"/>
      <c r="BE37" s="20">
        <v>46245</v>
      </c>
      <c r="BF37" s="2"/>
      <c r="BG37" s="3"/>
      <c r="BH37" s="19"/>
      <c r="BI37" s="2"/>
      <c r="BJ37" s="3"/>
      <c r="BK37" s="18"/>
      <c r="BL37" s="2"/>
      <c r="BM37" s="2"/>
      <c r="BN37" s="2"/>
      <c r="BO37" s="2"/>
      <c r="BP37" s="2"/>
      <c r="BQ37" s="3"/>
    </row>
    <row r="38" ht="192" customHeight="1" spans="1:69">
      <c r="A38" s="17">
        <v>23</v>
      </c>
      <c r="B38" s="18" t="s">
        <v>367</v>
      </c>
      <c r="C38" s="2"/>
      <c r="D38" s="3"/>
      <c r="E38" s="18" t="s">
        <v>368</v>
      </c>
      <c r="F38" s="2"/>
      <c r="G38" s="2"/>
      <c r="H38" s="2"/>
      <c r="I38" s="3"/>
      <c r="J38" s="18" t="s">
        <v>296</v>
      </c>
      <c r="K38" s="2"/>
      <c r="L38" s="2"/>
      <c r="M38" s="2"/>
      <c r="N38" s="2"/>
      <c r="O38" s="2"/>
      <c r="P38" s="3"/>
      <c r="Q38" s="18" t="s">
        <v>369</v>
      </c>
      <c r="R38" s="2"/>
      <c r="S38" s="2"/>
      <c r="T38" s="2"/>
      <c r="U38" s="2"/>
      <c r="V38" s="2"/>
      <c r="W38" s="3"/>
      <c r="X38" s="18" t="s">
        <v>370</v>
      </c>
      <c r="Y38" s="2"/>
      <c r="Z38" s="2"/>
      <c r="AA38" s="2"/>
      <c r="AB38" s="2"/>
      <c r="AC38" s="2"/>
      <c r="AD38" s="3"/>
      <c r="AE38" s="19" t="s">
        <v>209</v>
      </c>
      <c r="AF38" s="3"/>
      <c r="AG38" s="21" t="s">
        <v>59</v>
      </c>
      <c r="AH38" s="2"/>
      <c r="AI38" s="3"/>
      <c r="AJ38" s="22"/>
      <c r="AK38" s="2"/>
      <c r="AL38" s="3"/>
      <c r="AM38" s="21" t="s">
        <v>266</v>
      </c>
      <c r="AN38" s="2"/>
      <c r="AO38" s="3"/>
      <c r="AP38" s="23">
        <v>46167</v>
      </c>
      <c r="AQ38" s="2"/>
      <c r="AR38" s="3"/>
      <c r="AS38" s="19"/>
      <c r="AT38" s="2"/>
      <c r="AU38" s="3"/>
      <c r="AV38" s="19" t="s">
        <v>59</v>
      </c>
      <c r="AW38" s="2"/>
      <c r="AX38" s="3"/>
      <c r="AY38" s="19"/>
      <c r="AZ38" s="2"/>
      <c r="BA38" s="3"/>
      <c r="BB38" s="19" t="s">
        <v>267</v>
      </c>
      <c r="BC38" s="2"/>
      <c r="BD38" s="3"/>
      <c r="BE38" s="20">
        <v>46245</v>
      </c>
      <c r="BF38" s="2"/>
      <c r="BG38" s="3"/>
      <c r="BH38" s="19"/>
      <c r="BI38" s="2"/>
      <c r="BJ38" s="3"/>
      <c r="BK38" s="18"/>
      <c r="BL38" s="2"/>
      <c r="BM38" s="2"/>
      <c r="BN38" s="2"/>
      <c r="BO38" s="2"/>
      <c r="BP38" s="2"/>
      <c r="BQ38" s="3"/>
    </row>
    <row r="39" ht="175.5" customHeight="1" spans="1:69">
      <c r="A39" s="17">
        <v>24</v>
      </c>
      <c r="B39" s="18" t="s">
        <v>371</v>
      </c>
      <c r="C39" s="2"/>
      <c r="D39" s="3"/>
      <c r="E39" s="18" t="s">
        <v>372</v>
      </c>
      <c r="F39" s="2"/>
      <c r="G39" s="2"/>
      <c r="H39" s="2"/>
      <c r="I39" s="3"/>
      <c r="J39" s="18" t="s">
        <v>296</v>
      </c>
      <c r="K39" s="2"/>
      <c r="L39" s="2"/>
      <c r="M39" s="2"/>
      <c r="N39" s="2"/>
      <c r="O39" s="2"/>
      <c r="P39" s="3"/>
      <c r="Q39" s="18" t="s">
        <v>373</v>
      </c>
      <c r="R39" s="2"/>
      <c r="S39" s="2"/>
      <c r="T39" s="2"/>
      <c r="U39" s="2"/>
      <c r="V39" s="2"/>
      <c r="W39" s="3"/>
      <c r="X39" s="18" t="s">
        <v>374</v>
      </c>
      <c r="Y39" s="2"/>
      <c r="Z39" s="2"/>
      <c r="AA39" s="2"/>
      <c r="AB39" s="2"/>
      <c r="AC39" s="2"/>
      <c r="AD39" s="3"/>
      <c r="AE39" s="19" t="s">
        <v>213</v>
      </c>
      <c r="AF39" s="3"/>
      <c r="AG39" s="21" t="s">
        <v>59</v>
      </c>
      <c r="AH39" s="2"/>
      <c r="AI39" s="3"/>
      <c r="AJ39" s="22"/>
      <c r="AK39" s="2"/>
      <c r="AL39" s="3"/>
      <c r="AM39" s="21" t="s">
        <v>266</v>
      </c>
      <c r="AN39" s="2"/>
      <c r="AO39" s="3"/>
      <c r="AP39" s="23">
        <v>46167</v>
      </c>
      <c r="AQ39" s="2"/>
      <c r="AR39" s="3"/>
      <c r="AS39" s="19"/>
      <c r="AT39" s="2"/>
      <c r="AU39" s="3"/>
      <c r="AV39" s="19" t="s">
        <v>59</v>
      </c>
      <c r="AW39" s="2"/>
      <c r="AX39" s="3"/>
      <c r="AY39" s="19"/>
      <c r="AZ39" s="2"/>
      <c r="BA39" s="3"/>
      <c r="BB39" s="19" t="s">
        <v>267</v>
      </c>
      <c r="BC39" s="2"/>
      <c r="BD39" s="3"/>
      <c r="BE39" s="20">
        <v>46245</v>
      </c>
      <c r="BF39" s="2"/>
      <c r="BG39" s="3"/>
      <c r="BH39" s="19"/>
      <c r="BI39" s="2"/>
      <c r="BJ39" s="3"/>
      <c r="BK39" s="18"/>
      <c r="BL39" s="2"/>
      <c r="BM39" s="2"/>
      <c r="BN39" s="2"/>
      <c r="BO39" s="2"/>
      <c r="BP39" s="2"/>
      <c r="BQ39" s="3"/>
    </row>
    <row r="40" ht="192" customHeight="1" spans="1:69">
      <c r="A40" s="17">
        <v>25</v>
      </c>
      <c r="B40" s="18" t="s">
        <v>375</v>
      </c>
      <c r="C40" s="2"/>
      <c r="D40" s="3"/>
      <c r="E40" s="18" t="s">
        <v>376</v>
      </c>
      <c r="F40" s="2"/>
      <c r="G40" s="2"/>
      <c r="H40" s="2"/>
      <c r="I40" s="3"/>
      <c r="J40" s="18" t="s">
        <v>296</v>
      </c>
      <c r="K40" s="2"/>
      <c r="L40" s="2"/>
      <c r="M40" s="2"/>
      <c r="N40" s="2"/>
      <c r="O40" s="2"/>
      <c r="P40" s="3"/>
      <c r="Q40" s="18" t="s">
        <v>377</v>
      </c>
      <c r="R40" s="2"/>
      <c r="S40" s="2"/>
      <c r="T40" s="2"/>
      <c r="U40" s="2"/>
      <c r="V40" s="2"/>
      <c r="W40" s="3"/>
      <c r="X40" s="18" t="s">
        <v>378</v>
      </c>
      <c r="Y40" s="2"/>
      <c r="Z40" s="2"/>
      <c r="AA40" s="2"/>
      <c r="AB40" s="2"/>
      <c r="AC40" s="2"/>
      <c r="AD40" s="3"/>
      <c r="AE40" s="19" t="s">
        <v>209</v>
      </c>
      <c r="AF40" s="3"/>
      <c r="AG40" s="21" t="s">
        <v>59</v>
      </c>
      <c r="AH40" s="2"/>
      <c r="AI40" s="3"/>
      <c r="AJ40" s="22"/>
      <c r="AK40" s="2"/>
      <c r="AL40" s="3"/>
      <c r="AM40" s="21" t="s">
        <v>266</v>
      </c>
      <c r="AN40" s="2"/>
      <c r="AO40" s="3"/>
      <c r="AP40" s="23">
        <v>46167</v>
      </c>
      <c r="AQ40" s="2"/>
      <c r="AR40" s="3"/>
      <c r="AS40" s="19"/>
      <c r="AT40" s="2"/>
      <c r="AU40" s="3"/>
      <c r="AV40" s="19" t="s">
        <v>59</v>
      </c>
      <c r="AW40" s="2"/>
      <c r="AX40" s="3"/>
      <c r="AY40" s="19"/>
      <c r="AZ40" s="2"/>
      <c r="BA40" s="3"/>
      <c r="BB40" s="19" t="s">
        <v>267</v>
      </c>
      <c r="BC40" s="2"/>
      <c r="BD40" s="3"/>
      <c r="BE40" s="20">
        <v>46245</v>
      </c>
      <c r="BF40" s="2"/>
      <c r="BG40" s="3"/>
      <c r="BH40" s="19"/>
      <c r="BI40" s="2"/>
      <c r="BJ40" s="3"/>
      <c r="BK40" s="18"/>
      <c r="BL40" s="2"/>
      <c r="BM40" s="2"/>
      <c r="BN40" s="2"/>
      <c r="BO40" s="2"/>
      <c r="BP40" s="2"/>
      <c r="BQ40" s="3"/>
    </row>
    <row r="41" ht="175.5" customHeight="1" spans="1:69">
      <c r="A41" s="17">
        <v>26</v>
      </c>
      <c r="B41" s="18" t="s">
        <v>379</v>
      </c>
      <c r="C41" s="2"/>
      <c r="D41" s="3"/>
      <c r="E41" s="18" t="s">
        <v>380</v>
      </c>
      <c r="F41" s="2"/>
      <c r="G41" s="2"/>
      <c r="H41" s="2"/>
      <c r="I41" s="3"/>
      <c r="J41" s="18" t="s">
        <v>296</v>
      </c>
      <c r="K41" s="2"/>
      <c r="L41" s="2"/>
      <c r="M41" s="2"/>
      <c r="N41" s="2"/>
      <c r="O41" s="2"/>
      <c r="P41" s="3"/>
      <c r="Q41" s="18" t="s">
        <v>381</v>
      </c>
      <c r="R41" s="2"/>
      <c r="S41" s="2"/>
      <c r="T41" s="2"/>
      <c r="U41" s="2"/>
      <c r="V41" s="2"/>
      <c r="W41" s="3"/>
      <c r="X41" s="18" t="s">
        <v>382</v>
      </c>
      <c r="Y41" s="2"/>
      <c r="Z41" s="2"/>
      <c r="AA41" s="2"/>
      <c r="AB41" s="2"/>
      <c r="AC41" s="2"/>
      <c r="AD41" s="3"/>
      <c r="AE41" s="19" t="s">
        <v>213</v>
      </c>
      <c r="AF41" s="3"/>
      <c r="AG41" s="21" t="s">
        <v>59</v>
      </c>
      <c r="AH41" s="2"/>
      <c r="AI41" s="3"/>
      <c r="AJ41" s="22"/>
      <c r="AK41" s="2"/>
      <c r="AL41" s="3"/>
      <c r="AM41" s="21" t="s">
        <v>266</v>
      </c>
      <c r="AN41" s="2"/>
      <c r="AO41" s="3"/>
      <c r="AP41" s="23">
        <v>46167</v>
      </c>
      <c r="AQ41" s="2"/>
      <c r="AR41" s="3"/>
      <c r="AS41" s="19"/>
      <c r="AT41" s="2"/>
      <c r="AU41" s="3"/>
      <c r="AV41" s="19" t="s">
        <v>59</v>
      </c>
      <c r="AW41" s="2"/>
      <c r="AX41" s="3"/>
      <c r="AY41" s="19"/>
      <c r="AZ41" s="2"/>
      <c r="BA41" s="3"/>
      <c r="BB41" s="19" t="s">
        <v>267</v>
      </c>
      <c r="BC41" s="2"/>
      <c r="BD41" s="3"/>
      <c r="BE41" s="20">
        <v>46245</v>
      </c>
      <c r="BF41" s="2"/>
      <c r="BG41" s="3"/>
      <c r="BH41" s="19"/>
      <c r="BI41" s="2"/>
      <c r="BJ41" s="3"/>
      <c r="BK41" s="18"/>
      <c r="BL41" s="2"/>
      <c r="BM41" s="2"/>
      <c r="BN41" s="2"/>
      <c r="BO41" s="2"/>
      <c r="BP41" s="2"/>
      <c r="BQ41" s="3"/>
    </row>
    <row r="42" ht="207.75" customHeight="1" spans="1:69">
      <c r="A42" s="17">
        <v>27</v>
      </c>
      <c r="B42" s="18" t="s">
        <v>383</v>
      </c>
      <c r="C42" s="2"/>
      <c r="D42" s="3"/>
      <c r="E42" s="18" t="s">
        <v>384</v>
      </c>
      <c r="F42" s="2"/>
      <c r="G42" s="2"/>
      <c r="H42" s="2"/>
      <c r="I42" s="3"/>
      <c r="J42" s="18" t="s">
        <v>296</v>
      </c>
      <c r="K42" s="2"/>
      <c r="L42" s="2"/>
      <c r="M42" s="2"/>
      <c r="N42" s="2"/>
      <c r="O42" s="2"/>
      <c r="P42" s="3"/>
      <c r="Q42" s="18" t="s">
        <v>385</v>
      </c>
      <c r="R42" s="2"/>
      <c r="S42" s="2"/>
      <c r="T42" s="2"/>
      <c r="U42" s="2"/>
      <c r="V42" s="2"/>
      <c r="W42" s="3"/>
      <c r="X42" s="18" t="s">
        <v>386</v>
      </c>
      <c r="Y42" s="2"/>
      <c r="Z42" s="2"/>
      <c r="AA42" s="2"/>
      <c r="AB42" s="2"/>
      <c r="AC42" s="2"/>
      <c r="AD42" s="3"/>
      <c r="AE42" s="19" t="s">
        <v>209</v>
      </c>
      <c r="AF42" s="3"/>
      <c r="AG42" s="21" t="s">
        <v>59</v>
      </c>
      <c r="AH42" s="2"/>
      <c r="AI42" s="3"/>
      <c r="AJ42" s="22"/>
      <c r="AK42" s="2"/>
      <c r="AL42" s="3"/>
      <c r="AM42" s="21" t="s">
        <v>266</v>
      </c>
      <c r="AN42" s="2"/>
      <c r="AO42" s="3"/>
      <c r="AP42" s="23">
        <v>46167</v>
      </c>
      <c r="AQ42" s="2"/>
      <c r="AR42" s="3"/>
      <c r="AS42" s="19"/>
      <c r="AT42" s="2"/>
      <c r="AU42" s="3"/>
      <c r="AV42" s="19" t="s">
        <v>59</v>
      </c>
      <c r="AW42" s="2"/>
      <c r="AX42" s="3"/>
      <c r="AY42" s="19"/>
      <c r="AZ42" s="2"/>
      <c r="BA42" s="3"/>
      <c r="BB42" s="19" t="s">
        <v>267</v>
      </c>
      <c r="BC42" s="2"/>
      <c r="BD42" s="3"/>
      <c r="BE42" s="20">
        <v>46246</v>
      </c>
      <c r="BF42" s="2"/>
      <c r="BG42" s="3"/>
      <c r="BH42" s="19"/>
      <c r="BI42" s="2"/>
      <c r="BJ42" s="3"/>
      <c r="BK42" s="18"/>
      <c r="BL42" s="2"/>
      <c r="BM42" s="2"/>
      <c r="BN42" s="2"/>
      <c r="BO42" s="2"/>
      <c r="BP42" s="2"/>
      <c r="BQ42" s="3"/>
    </row>
    <row r="43" ht="175.5" customHeight="1" spans="1:69">
      <c r="A43" s="17">
        <v>28</v>
      </c>
      <c r="B43" s="18" t="s">
        <v>387</v>
      </c>
      <c r="C43" s="2"/>
      <c r="D43" s="3"/>
      <c r="E43" s="18" t="s">
        <v>388</v>
      </c>
      <c r="F43" s="2"/>
      <c r="G43" s="2"/>
      <c r="H43" s="2"/>
      <c r="I43" s="3"/>
      <c r="J43" s="18" t="s">
        <v>296</v>
      </c>
      <c r="K43" s="2"/>
      <c r="L43" s="2"/>
      <c r="M43" s="2"/>
      <c r="N43" s="2"/>
      <c r="O43" s="2"/>
      <c r="P43" s="3"/>
      <c r="Q43" s="18" t="s">
        <v>389</v>
      </c>
      <c r="R43" s="2"/>
      <c r="S43" s="2"/>
      <c r="T43" s="2"/>
      <c r="U43" s="2"/>
      <c r="V43" s="2"/>
      <c r="W43" s="3"/>
      <c r="X43" s="18" t="s">
        <v>390</v>
      </c>
      <c r="Y43" s="2"/>
      <c r="Z43" s="2"/>
      <c r="AA43" s="2"/>
      <c r="AB43" s="2"/>
      <c r="AC43" s="2"/>
      <c r="AD43" s="3"/>
      <c r="AE43" s="19" t="s">
        <v>213</v>
      </c>
      <c r="AF43" s="3"/>
      <c r="AG43" s="21" t="s">
        <v>59</v>
      </c>
      <c r="AH43" s="2"/>
      <c r="AI43" s="3"/>
      <c r="AJ43" s="22"/>
      <c r="AK43" s="2"/>
      <c r="AL43" s="3"/>
      <c r="AM43" s="21" t="s">
        <v>266</v>
      </c>
      <c r="AN43" s="2"/>
      <c r="AO43" s="3"/>
      <c r="AP43" s="23">
        <v>46167</v>
      </c>
      <c r="AQ43" s="2"/>
      <c r="AR43" s="3"/>
      <c r="AS43" s="19"/>
      <c r="AT43" s="2"/>
      <c r="AU43" s="3"/>
      <c r="AV43" s="19" t="s">
        <v>59</v>
      </c>
      <c r="AW43" s="2"/>
      <c r="AX43" s="3"/>
      <c r="AY43" s="19"/>
      <c r="AZ43" s="2"/>
      <c r="BA43" s="3"/>
      <c r="BB43" s="19" t="s">
        <v>267</v>
      </c>
      <c r="BC43" s="2"/>
      <c r="BD43" s="3"/>
      <c r="BE43" s="20">
        <v>46246</v>
      </c>
      <c r="BF43" s="2"/>
      <c r="BG43" s="3"/>
      <c r="BH43" s="19"/>
      <c r="BI43" s="2"/>
      <c r="BJ43" s="3"/>
      <c r="BK43" s="18"/>
      <c r="BL43" s="2"/>
      <c r="BM43" s="2"/>
      <c r="BN43" s="2"/>
      <c r="BO43" s="2"/>
      <c r="BP43" s="2"/>
      <c r="BQ43" s="3"/>
    </row>
    <row r="44" ht="192" customHeight="1" spans="1:69">
      <c r="A44" s="17">
        <v>29</v>
      </c>
      <c r="B44" s="18" t="s">
        <v>391</v>
      </c>
      <c r="C44" s="2"/>
      <c r="D44" s="3"/>
      <c r="E44" s="18" t="s">
        <v>392</v>
      </c>
      <c r="F44" s="2"/>
      <c r="G44" s="2"/>
      <c r="H44" s="2"/>
      <c r="I44" s="3"/>
      <c r="J44" s="18" t="s">
        <v>296</v>
      </c>
      <c r="K44" s="2"/>
      <c r="L44" s="2"/>
      <c r="M44" s="2"/>
      <c r="N44" s="2"/>
      <c r="O44" s="2"/>
      <c r="P44" s="3"/>
      <c r="Q44" s="18" t="s">
        <v>393</v>
      </c>
      <c r="R44" s="2"/>
      <c r="S44" s="2"/>
      <c r="T44" s="2"/>
      <c r="U44" s="2"/>
      <c r="V44" s="2"/>
      <c r="W44" s="3"/>
      <c r="X44" s="18" t="s">
        <v>394</v>
      </c>
      <c r="Y44" s="2"/>
      <c r="Z44" s="2"/>
      <c r="AA44" s="2"/>
      <c r="AB44" s="2"/>
      <c r="AC44" s="2"/>
      <c r="AD44" s="3"/>
      <c r="AE44" s="19" t="s">
        <v>209</v>
      </c>
      <c r="AF44" s="3"/>
      <c r="AG44" s="21" t="s">
        <v>59</v>
      </c>
      <c r="AH44" s="2"/>
      <c r="AI44" s="3"/>
      <c r="AJ44" s="22"/>
      <c r="AK44" s="2"/>
      <c r="AL44" s="3"/>
      <c r="AM44" s="21" t="s">
        <v>266</v>
      </c>
      <c r="AN44" s="2"/>
      <c r="AO44" s="3"/>
      <c r="AP44" s="23">
        <v>46167</v>
      </c>
      <c r="AQ44" s="2"/>
      <c r="AR44" s="3"/>
      <c r="AS44" s="19"/>
      <c r="AT44" s="2"/>
      <c r="AU44" s="3"/>
      <c r="AV44" s="19" t="s">
        <v>59</v>
      </c>
      <c r="AW44" s="2"/>
      <c r="AX44" s="3"/>
      <c r="AY44" s="19"/>
      <c r="AZ44" s="2"/>
      <c r="BA44" s="3"/>
      <c r="BB44" s="19" t="s">
        <v>267</v>
      </c>
      <c r="BC44" s="2"/>
      <c r="BD44" s="3"/>
      <c r="BE44" s="20">
        <v>46246</v>
      </c>
      <c r="BF44" s="2"/>
      <c r="BG44" s="3"/>
      <c r="BH44" s="19"/>
      <c r="BI44" s="2"/>
      <c r="BJ44" s="3"/>
      <c r="BK44" s="18"/>
      <c r="BL44" s="2"/>
      <c r="BM44" s="2"/>
      <c r="BN44" s="2"/>
      <c r="BO44" s="2"/>
      <c r="BP44" s="2"/>
      <c r="BQ44" s="3"/>
    </row>
    <row r="45" ht="175.5" customHeight="1" spans="1:69">
      <c r="A45" s="17">
        <v>30</v>
      </c>
      <c r="B45" s="18" t="s">
        <v>395</v>
      </c>
      <c r="C45" s="2"/>
      <c r="D45" s="3"/>
      <c r="E45" s="18" t="s">
        <v>396</v>
      </c>
      <c r="F45" s="2"/>
      <c r="G45" s="2"/>
      <c r="H45" s="2"/>
      <c r="I45" s="3"/>
      <c r="J45" s="18" t="s">
        <v>296</v>
      </c>
      <c r="K45" s="2"/>
      <c r="L45" s="2"/>
      <c r="M45" s="2"/>
      <c r="N45" s="2"/>
      <c r="O45" s="2"/>
      <c r="P45" s="3"/>
      <c r="Q45" s="18" t="s">
        <v>397</v>
      </c>
      <c r="R45" s="2"/>
      <c r="S45" s="2"/>
      <c r="T45" s="2"/>
      <c r="U45" s="2"/>
      <c r="V45" s="2"/>
      <c r="W45" s="3"/>
      <c r="X45" s="18" t="s">
        <v>398</v>
      </c>
      <c r="Y45" s="2"/>
      <c r="Z45" s="2"/>
      <c r="AA45" s="2"/>
      <c r="AB45" s="2"/>
      <c r="AC45" s="2"/>
      <c r="AD45" s="3"/>
      <c r="AE45" s="19" t="s">
        <v>213</v>
      </c>
      <c r="AF45" s="3"/>
      <c r="AG45" s="21" t="s">
        <v>59</v>
      </c>
      <c r="AH45" s="2"/>
      <c r="AI45" s="3"/>
      <c r="AJ45" s="22"/>
      <c r="AK45" s="2"/>
      <c r="AL45" s="3"/>
      <c r="AM45" s="21" t="s">
        <v>266</v>
      </c>
      <c r="AN45" s="2"/>
      <c r="AO45" s="3"/>
      <c r="AP45" s="23">
        <v>46167</v>
      </c>
      <c r="AQ45" s="2"/>
      <c r="AR45" s="3"/>
      <c r="AS45" s="19"/>
      <c r="AT45" s="2"/>
      <c r="AU45" s="3"/>
      <c r="AV45" s="19" t="s">
        <v>59</v>
      </c>
      <c r="AW45" s="2"/>
      <c r="AX45" s="3"/>
      <c r="AY45" s="19"/>
      <c r="AZ45" s="2"/>
      <c r="BA45" s="3"/>
      <c r="BB45" s="19" t="s">
        <v>267</v>
      </c>
      <c r="BC45" s="2"/>
      <c r="BD45" s="3"/>
      <c r="BE45" s="20">
        <v>46246</v>
      </c>
      <c r="BF45" s="2"/>
      <c r="BG45" s="3"/>
      <c r="BH45" s="19"/>
      <c r="BI45" s="2"/>
      <c r="BJ45" s="3"/>
      <c r="BK45" s="18"/>
      <c r="BL45" s="2"/>
      <c r="BM45" s="2"/>
      <c r="BN45" s="2"/>
      <c r="BO45" s="2"/>
      <c r="BP45" s="2"/>
      <c r="BQ45" s="3"/>
    </row>
    <row r="46" ht="240" customHeight="1" spans="1:69">
      <c r="A46" s="17">
        <v>31</v>
      </c>
      <c r="B46" s="18" t="s">
        <v>399</v>
      </c>
      <c r="C46" s="2"/>
      <c r="D46" s="3"/>
      <c r="E46" s="18" t="s">
        <v>400</v>
      </c>
      <c r="F46" s="2"/>
      <c r="G46" s="2"/>
      <c r="H46" s="2"/>
      <c r="I46" s="3"/>
      <c r="J46" s="18" t="s">
        <v>296</v>
      </c>
      <c r="K46" s="2"/>
      <c r="L46" s="2"/>
      <c r="M46" s="2"/>
      <c r="N46" s="2"/>
      <c r="O46" s="2"/>
      <c r="P46" s="3"/>
      <c r="Q46" s="18" t="s">
        <v>401</v>
      </c>
      <c r="R46" s="2"/>
      <c r="S46" s="2"/>
      <c r="T46" s="2"/>
      <c r="U46" s="2"/>
      <c r="V46" s="2"/>
      <c r="W46" s="3"/>
      <c r="X46" s="18" t="s">
        <v>402</v>
      </c>
      <c r="Y46" s="2"/>
      <c r="Z46" s="2"/>
      <c r="AA46" s="2"/>
      <c r="AB46" s="2"/>
      <c r="AC46" s="2"/>
      <c r="AD46" s="3"/>
      <c r="AE46" s="19" t="s">
        <v>209</v>
      </c>
      <c r="AF46" s="3"/>
      <c r="AG46" s="21" t="s">
        <v>59</v>
      </c>
      <c r="AH46" s="2"/>
      <c r="AI46" s="3"/>
      <c r="AJ46" s="22"/>
      <c r="AK46" s="2"/>
      <c r="AL46" s="3"/>
      <c r="AM46" s="21" t="s">
        <v>266</v>
      </c>
      <c r="AN46" s="2"/>
      <c r="AO46" s="3"/>
      <c r="AP46" s="23">
        <v>46167</v>
      </c>
      <c r="AQ46" s="2"/>
      <c r="AR46" s="3"/>
      <c r="AS46" s="19"/>
      <c r="AT46" s="2"/>
      <c r="AU46" s="3"/>
      <c r="AV46" s="19" t="s">
        <v>59</v>
      </c>
      <c r="AW46" s="2"/>
      <c r="AX46" s="3"/>
      <c r="AY46" s="19"/>
      <c r="AZ46" s="2"/>
      <c r="BA46" s="3"/>
      <c r="BB46" s="19" t="s">
        <v>267</v>
      </c>
      <c r="BC46" s="2"/>
      <c r="BD46" s="3"/>
      <c r="BE46" s="20">
        <v>46246</v>
      </c>
      <c r="BF46" s="2"/>
      <c r="BG46" s="3"/>
      <c r="BH46" s="19"/>
      <c r="BI46" s="2"/>
      <c r="BJ46" s="3"/>
      <c r="BK46" s="18"/>
      <c r="BL46" s="2"/>
      <c r="BM46" s="2"/>
      <c r="BN46" s="2"/>
      <c r="BO46" s="2"/>
      <c r="BP46" s="2"/>
      <c r="BQ46" s="3"/>
    </row>
    <row r="47" ht="240" customHeight="1" spans="1:69">
      <c r="A47" s="17">
        <v>32</v>
      </c>
      <c r="B47" s="18" t="s">
        <v>403</v>
      </c>
      <c r="C47" s="2"/>
      <c r="D47" s="3"/>
      <c r="E47" s="18" t="s">
        <v>404</v>
      </c>
      <c r="F47" s="2"/>
      <c r="G47" s="2"/>
      <c r="H47" s="2"/>
      <c r="I47" s="3"/>
      <c r="J47" s="18" t="s">
        <v>296</v>
      </c>
      <c r="K47" s="2"/>
      <c r="L47" s="2"/>
      <c r="M47" s="2"/>
      <c r="N47" s="2"/>
      <c r="O47" s="2"/>
      <c r="P47" s="3"/>
      <c r="Q47" s="18" t="s">
        <v>405</v>
      </c>
      <c r="R47" s="2"/>
      <c r="S47" s="2"/>
      <c r="T47" s="2"/>
      <c r="U47" s="2"/>
      <c r="V47" s="2"/>
      <c r="W47" s="3"/>
      <c r="X47" s="18" t="s">
        <v>406</v>
      </c>
      <c r="Y47" s="2"/>
      <c r="Z47" s="2"/>
      <c r="AA47" s="2"/>
      <c r="AB47" s="2"/>
      <c r="AC47" s="2"/>
      <c r="AD47" s="3"/>
      <c r="AE47" s="19" t="s">
        <v>209</v>
      </c>
      <c r="AF47" s="3"/>
      <c r="AG47" s="21" t="s">
        <v>59</v>
      </c>
      <c r="AH47" s="2"/>
      <c r="AI47" s="3"/>
      <c r="AJ47" s="22"/>
      <c r="AK47" s="2"/>
      <c r="AL47" s="3"/>
      <c r="AM47" s="21" t="s">
        <v>266</v>
      </c>
      <c r="AN47" s="2"/>
      <c r="AO47" s="3"/>
      <c r="AP47" s="23">
        <v>46167</v>
      </c>
      <c r="AQ47" s="2"/>
      <c r="AR47" s="3"/>
      <c r="AS47" s="19"/>
      <c r="AT47" s="2"/>
      <c r="AU47" s="3"/>
      <c r="AV47" s="19" t="s">
        <v>59</v>
      </c>
      <c r="AW47" s="2"/>
      <c r="AX47" s="3"/>
      <c r="AY47" s="19"/>
      <c r="AZ47" s="2"/>
      <c r="BA47" s="3"/>
      <c r="BB47" s="19" t="s">
        <v>267</v>
      </c>
      <c r="BC47" s="2"/>
      <c r="BD47" s="3"/>
      <c r="BE47" s="20">
        <v>46246</v>
      </c>
      <c r="BF47" s="2"/>
      <c r="BG47" s="3"/>
      <c r="BH47" s="19"/>
      <c r="BI47" s="2"/>
      <c r="BJ47" s="3"/>
      <c r="BK47" s="18"/>
      <c r="BL47" s="2"/>
      <c r="BM47" s="2"/>
      <c r="BN47" s="2"/>
      <c r="BO47" s="2"/>
      <c r="BP47" s="2"/>
      <c r="BQ47" s="3"/>
    </row>
    <row r="48" ht="175.5" customHeight="1" spans="1:69">
      <c r="A48" s="17">
        <v>33</v>
      </c>
      <c r="B48" s="18" t="s">
        <v>407</v>
      </c>
      <c r="C48" s="2"/>
      <c r="D48" s="3"/>
      <c r="E48" s="18" t="s">
        <v>408</v>
      </c>
      <c r="F48" s="2"/>
      <c r="G48" s="2"/>
      <c r="H48" s="2"/>
      <c r="I48" s="3"/>
      <c r="J48" s="18" t="s">
        <v>296</v>
      </c>
      <c r="K48" s="2"/>
      <c r="L48" s="2"/>
      <c r="M48" s="2"/>
      <c r="N48" s="2"/>
      <c r="O48" s="2"/>
      <c r="P48" s="3"/>
      <c r="Q48" s="18" t="s">
        <v>409</v>
      </c>
      <c r="R48" s="2"/>
      <c r="S48" s="2"/>
      <c r="T48" s="2"/>
      <c r="U48" s="2"/>
      <c r="V48" s="2"/>
      <c r="W48" s="3"/>
      <c r="X48" s="18" t="s">
        <v>410</v>
      </c>
      <c r="Y48" s="2"/>
      <c r="Z48" s="2"/>
      <c r="AA48" s="2"/>
      <c r="AB48" s="2"/>
      <c r="AC48" s="2"/>
      <c r="AD48" s="3"/>
      <c r="AE48" s="19" t="s">
        <v>209</v>
      </c>
      <c r="AF48" s="3"/>
      <c r="AG48" s="21" t="s">
        <v>59</v>
      </c>
      <c r="AH48" s="2"/>
      <c r="AI48" s="3"/>
      <c r="AJ48" s="22"/>
      <c r="AK48" s="2"/>
      <c r="AL48" s="3"/>
      <c r="AM48" s="21" t="s">
        <v>266</v>
      </c>
      <c r="AN48" s="2"/>
      <c r="AO48" s="3"/>
      <c r="AP48" s="23">
        <v>46167</v>
      </c>
      <c r="AQ48" s="2"/>
      <c r="AR48" s="3"/>
      <c r="AS48" s="19"/>
      <c r="AT48" s="2"/>
      <c r="AU48" s="3"/>
      <c r="AV48" s="19" t="s">
        <v>59</v>
      </c>
      <c r="AW48" s="2"/>
      <c r="AX48" s="3"/>
      <c r="AY48" s="19"/>
      <c r="AZ48" s="2"/>
      <c r="BA48" s="3"/>
      <c r="BB48" s="19" t="s">
        <v>267</v>
      </c>
      <c r="BC48" s="2"/>
      <c r="BD48" s="3"/>
      <c r="BE48" s="20">
        <v>46246</v>
      </c>
      <c r="BF48" s="2"/>
      <c r="BG48" s="3"/>
      <c r="BH48" s="19"/>
      <c r="BI48" s="2"/>
      <c r="BJ48" s="3"/>
      <c r="BK48" s="18"/>
      <c r="BL48" s="2"/>
      <c r="BM48" s="2"/>
      <c r="BN48" s="2"/>
      <c r="BO48" s="2"/>
      <c r="BP48" s="2"/>
      <c r="BQ48" s="3"/>
    </row>
    <row r="49" ht="175.5" customHeight="1" spans="1:69">
      <c r="A49" s="17">
        <v>34</v>
      </c>
      <c r="B49" s="18" t="s">
        <v>411</v>
      </c>
      <c r="C49" s="2"/>
      <c r="D49" s="3"/>
      <c r="E49" s="18" t="s">
        <v>412</v>
      </c>
      <c r="F49" s="2"/>
      <c r="G49" s="2"/>
      <c r="H49" s="2"/>
      <c r="I49" s="3"/>
      <c r="J49" s="18" t="s">
        <v>296</v>
      </c>
      <c r="K49" s="2"/>
      <c r="L49" s="2"/>
      <c r="M49" s="2"/>
      <c r="N49" s="2"/>
      <c r="O49" s="2"/>
      <c r="P49" s="3"/>
      <c r="Q49" s="18" t="s">
        <v>413</v>
      </c>
      <c r="R49" s="2"/>
      <c r="S49" s="2"/>
      <c r="T49" s="2"/>
      <c r="U49" s="2"/>
      <c r="V49" s="2"/>
      <c r="W49" s="3"/>
      <c r="X49" s="18" t="s">
        <v>414</v>
      </c>
      <c r="Y49" s="2"/>
      <c r="Z49" s="2"/>
      <c r="AA49" s="2"/>
      <c r="AB49" s="2"/>
      <c r="AC49" s="2"/>
      <c r="AD49" s="3"/>
      <c r="AE49" s="19" t="s">
        <v>209</v>
      </c>
      <c r="AF49" s="3"/>
      <c r="AG49" s="21" t="s">
        <v>59</v>
      </c>
      <c r="AH49" s="2"/>
      <c r="AI49" s="3"/>
      <c r="AJ49" s="22"/>
      <c r="AK49" s="2"/>
      <c r="AL49" s="3"/>
      <c r="AM49" s="21" t="s">
        <v>266</v>
      </c>
      <c r="AN49" s="2"/>
      <c r="AO49" s="3"/>
      <c r="AP49" s="23">
        <v>46167</v>
      </c>
      <c r="AQ49" s="2"/>
      <c r="AR49" s="3"/>
      <c r="AS49" s="19"/>
      <c r="AT49" s="2"/>
      <c r="AU49" s="3"/>
      <c r="AV49" s="19" t="s">
        <v>59</v>
      </c>
      <c r="AW49" s="2"/>
      <c r="AX49" s="3"/>
      <c r="AY49" s="19"/>
      <c r="AZ49" s="2"/>
      <c r="BA49" s="3"/>
      <c r="BB49" s="19" t="s">
        <v>267</v>
      </c>
      <c r="BC49" s="2"/>
      <c r="BD49" s="3"/>
      <c r="BE49" s="20">
        <v>46246</v>
      </c>
      <c r="BF49" s="2"/>
      <c r="BG49" s="3"/>
      <c r="BH49" s="19"/>
      <c r="BI49" s="2"/>
      <c r="BJ49" s="3"/>
      <c r="BK49" s="18"/>
      <c r="BL49" s="2"/>
      <c r="BM49" s="2"/>
      <c r="BN49" s="2"/>
      <c r="BO49" s="2"/>
      <c r="BP49" s="2"/>
      <c r="BQ49" s="3"/>
    </row>
    <row r="50" ht="175.5" customHeight="1" spans="1:69">
      <c r="A50" s="24">
        <v>35</v>
      </c>
      <c r="B50" s="25" t="s">
        <v>415</v>
      </c>
      <c r="C50" s="2"/>
      <c r="D50" s="3"/>
      <c r="E50" s="25" t="s">
        <v>416</v>
      </c>
      <c r="F50" s="2"/>
      <c r="G50" s="2"/>
      <c r="H50" s="2"/>
      <c r="I50" s="3"/>
      <c r="J50" s="25" t="s">
        <v>296</v>
      </c>
      <c r="K50" s="2"/>
      <c r="L50" s="2"/>
      <c r="M50" s="2"/>
      <c r="N50" s="2"/>
      <c r="O50" s="2"/>
      <c r="P50" s="3"/>
      <c r="Q50" s="25" t="s">
        <v>417</v>
      </c>
      <c r="R50" s="2"/>
      <c r="S50" s="2"/>
      <c r="T50" s="2"/>
      <c r="U50" s="2"/>
      <c r="V50" s="2"/>
      <c r="W50" s="3"/>
      <c r="X50" s="25" t="s">
        <v>418</v>
      </c>
      <c r="Y50" s="2"/>
      <c r="Z50" s="2"/>
      <c r="AA50" s="2"/>
      <c r="AB50" s="2"/>
      <c r="AC50" s="2"/>
      <c r="AD50" s="3"/>
      <c r="AE50" s="26" t="s">
        <v>209</v>
      </c>
      <c r="AF50" s="3"/>
      <c r="AG50" s="26" t="s">
        <v>62</v>
      </c>
      <c r="AH50" s="2"/>
      <c r="AI50" s="3"/>
      <c r="AJ50" s="19"/>
      <c r="AK50" s="2"/>
      <c r="AL50" s="3"/>
      <c r="AM50" s="21" t="s">
        <v>266</v>
      </c>
      <c r="AN50" s="2"/>
      <c r="AO50" s="3"/>
      <c r="AP50" s="23">
        <v>46167</v>
      </c>
      <c r="AQ50" s="2"/>
      <c r="AR50" s="3"/>
      <c r="AS50" s="19"/>
      <c r="AT50" s="2"/>
      <c r="AU50" s="3"/>
      <c r="AV50" s="26" t="s">
        <v>62</v>
      </c>
      <c r="AW50" s="2"/>
      <c r="AX50" s="3"/>
      <c r="AY50" s="19"/>
      <c r="AZ50" s="2"/>
      <c r="BA50" s="3"/>
      <c r="BB50" s="19" t="s">
        <v>267</v>
      </c>
      <c r="BC50" s="2"/>
      <c r="BD50" s="3"/>
      <c r="BE50" s="20">
        <v>46246</v>
      </c>
      <c r="BF50" s="2"/>
      <c r="BG50" s="3"/>
      <c r="BH50" s="19"/>
      <c r="BI50" s="2"/>
      <c r="BJ50" s="3"/>
      <c r="BK50" s="18"/>
      <c r="BL50" s="2"/>
      <c r="BM50" s="2"/>
      <c r="BN50" s="2"/>
      <c r="BO50" s="2"/>
      <c r="BP50" s="2"/>
      <c r="BQ50" s="3"/>
    </row>
    <row r="51" ht="303.75" customHeight="1" spans="1:69">
      <c r="A51" s="17">
        <v>36</v>
      </c>
      <c r="B51" s="18" t="s">
        <v>419</v>
      </c>
      <c r="C51" s="2"/>
      <c r="D51" s="3"/>
      <c r="E51" s="18" t="s">
        <v>420</v>
      </c>
      <c r="F51" s="2"/>
      <c r="G51" s="2"/>
      <c r="H51" s="2"/>
      <c r="I51" s="3"/>
      <c r="J51" s="18" t="s">
        <v>296</v>
      </c>
      <c r="K51" s="2"/>
      <c r="L51" s="2"/>
      <c r="M51" s="2"/>
      <c r="N51" s="2"/>
      <c r="O51" s="2"/>
      <c r="P51" s="3"/>
      <c r="Q51" s="18" t="s">
        <v>421</v>
      </c>
      <c r="R51" s="2"/>
      <c r="S51" s="2"/>
      <c r="T51" s="2"/>
      <c r="U51" s="2"/>
      <c r="V51" s="2"/>
      <c r="W51" s="3"/>
      <c r="X51" s="18" t="s">
        <v>422</v>
      </c>
      <c r="Y51" s="2"/>
      <c r="Z51" s="2"/>
      <c r="AA51" s="2"/>
      <c r="AB51" s="2"/>
      <c r="AC51" s="2"/>
      <c r="AD51" s="3"/>
      <c r="AE51" s="19" t="s">
        <v>209</v>
      </c>
      <c r="AF51" s="3"/>
      <c r="AG51" s="21" t="s">
        <v>59</v>
      </c>
      <c r="AH51" s="2"/>
      <c r="AI51" s="3"/>
      <c r="AJ51" s="22"/>
      <c r="AK51" s="2"/>
      <c r="AL51" s="3"/>
      <c r="AM51" s="21" t="s">
        <v>266</v>
      </c>
      <c r="AN51" s="2"/>
      <c r="AO51" s="3"/>
      <c r="AP51" s="23">
        <v>46167</v>
      </c>
      <c r="AQ51" s="2"/>
      <c r="AR51" s="3"/>
      <c r="AS51" s="19"/>
      <c r="AT51" s="2"/>
      <c r="AU51" s="3"/>
      <c r="AV51" s="19" t="s">
        <v>59</v>
      </c>
      <c r="AW51" s="2"/>
      <c r="AX51" s="3"/>
      <c r="AY51" s="19"/>
      <c r="AZ51" s="2"/>
      <c r="BA51" s="3"/>
      <c r="BB51" s="19" t="s">
        <v>267</v>
      </c>
      <c r="BC51" s="2"/>
      <c r="BD51" s="3"/>
      <c r="BE51" s="20">
        <v>46246</v>
      </c>
      <c r="BF51" s="2"/>
      <c r="BG51" s="3"/>
      <c r="BH51" s="19"/>
      <c r="BI51" s="2"/>
      <c r="BJ51" s="3"/>
      <c r="BK51" s="18"/>
      <c r="BL51" s="2"/>
      <c r="BM51" s="2"/>
      <c r="BN51" s="2"/>
      <c r="BO51" s="2"/>
      <c r="BP51" s="2"/>
      <c r="BQ51" s="3"/>
    </row>
    <row r="52" ht="192" customHeight="1" spans="1:69">
      <c r="A52" s="17">
        <v>37</v>
      </c>
      <c r="B52" s="18" t="s">
        <v>423</v>
      </c>
      <c r="C52" s="2"/>
      <c r="D52" s="3"/>
      <c r="E52" s="18" t="s">
        <v>424</v>
      </c>
      <c r="F52" s="2"/>
      <c r="G52" s="2"/>
      <c r="H52" s="2"/>
      <c r="I52" s="3"/>
      <c r="J52" s="18" t="s">
        <v>296</v>
      </c>
      <c r="K52" s="2"/>
      <c r="L52" s="2"/>
      <c r="M52" s="2"/>
      <c r="N52" s="2"/>
      <c r="O52" s="2"/>
      <c r="P52" s="3"/>
      <c r="Q52" s="18" t="s">
        <v>425</v>
      </c>
      <c r="R52" s="2"/>
      <c r="S52" s="2"/>
      <c r="T52" s="2"/>
      <c r="U52" s="2"/>
      <c r="V52" s="2"/>
      <c r="W52" s="3"/>
      <c r="X52" s="18" t="s">
        <v>426</v>
      </c>
      <c r="Y52" s="2"/>
      <c r="Z52" s="2"/>
      <c r="AA52" s="2"/>
      <c r="AB52" s="2"/>
      <c r="AC52" s="2"/>
      <c r="AD52" s="3"/>
      <c r="AE52" s="19" t="s">
        <v>209</v>
      </c>
      <c r="AF52" s="3"/>
      <c r="AG52" s="21" t="s">
        <v>59</v>
      </c>
      <c r="AH52" s="2"/>
      <c r="AI52" s="3"/>
      <c r="AJ52" s="22"/>
      <c r="AK52" s="2"/>
      <c r="AL52" s="3"/>
      <c r="AM52" s="21" t="s">
        <v>266</v>
      </c>
      <c r="AN52" s="2"/>
      <c r="AO52" s="3"/>
      <c r="AP52" s="23">
        <v>46167</v>
      </c>
      <c r="AQ52" s="2"/>
      <c r="AR52" s="3"/>
      <c r="AS52" s="19"/>
      <c r="AT52" s="2"/>
      <c r="AU52" s="3"/>
      <c r="AV52" s="19" t="s">
        <v>59</v>
      </c>
      <c r="AW52" s="2"/>
      <c r="AX52" s="3"/>
      <c r="AY52" s="19"/>
      <c r="AZ52" s="2"/>
      <c r="BA52" s="3"/>
      <c r="BB52" s="19" t="s">
        <v>267</v>
      </c>
      <c r="BC52" s="2"/>
      <c r="BD52" s="3"/>
      <c r="BE52" s="20">
        <v>46246</v>
      </c>
      <c r="BF52" s="2"/>
      <c r="BG52" s="3"/>
      <c r="BH52" s="19"/>
      <c r="BI52" s="2"/>
      <c r="BJ52" s="3"/>
      <c r="BK52" s="18"/>
      <c r="BL52" s="2"/>
      <c r="BM52" s="2"/>
      <c r="BN52" s="2"/>
      <c r="BO52" s="2"/>
      <c r="BP52" s="2"/>
      <c r="BQ52" s="3"/>
    </row>
    <row r="53" ht="159.75" customHeight="1" spans="1:69">
      <c r="A53" s="17">
        <v>38</v>
      </c>
      <c r="B53" s="18" t="s">
        <v>427</v>
      </c>
      <c r="C53" s="2"/>
      <c r="D53" s="3"/>
      <c r="E53" s="18" t="s">
        <v>428</v>
      </c>
      <c r="F53" s="2"/>
      <c r="G53" s="2"/>
      <c r="H53" s="2"/>
      <c r="I53" s="3"/>
      <c r="J53" s="18" t="s">
        <v>296</v>
      </c>
      <c r="K53" s="2"/>
      <c r="L53" s="2"/>
      <c r="M53" s="2"/>
      <c r="N53" s="2"/>
      <c r="O53" s="2"/>
      <c r="P53" s="3"/>
      <c r="Q53" s="18" t="s">
        <v>429</v>
      </c>
      <c r="R53" s="2"/>
      <c r="S53" s="2"/>
      <c r="T53" s="2"/>
      <c r="U53" s="2"/>
      <c r="V53" s="2"/>
      <c r="W53" s="3"/>
      <c r="X53" s="18" t="s">
        <v>426</v>
      </c>
      <c r="Y53" s="2"/>
      <c r="Z53" s="2"/>
      <c r="AA53" s="2"/>
      <c r="AB53" s="2"/>
      <c r="AC53" s="2"/>
      <c r="AD53" s="3"/>
      <c r="AE53" s="19" t="s">
        <v>209</v>
      </c>
      <c r="AF53" s="3"/>
      <c r="AG53" s="21" t="s">
        <v>59</v>
      </c>
      <c r="AH53" s="2"/>
      <c r="AI53" s="3"/>
      <c r="AJ53" s="22"/>
      <c r="AK53" s="2"/>
      <c r="AL53" s="3"/>
      <c r="AM53" s="21" t="s">
        <v>266</v>
      </c>
      <c r="AN53" s="2"/>
      <c r="AO53" s="3"/>
      <c r="AP53" s="23">
        <v>46167</v>
      </c>
      <c r="AQ53" s="2"/>
      <c r="AR53" s="3"/>
      <c r="AS53" s="19"/>
      <c r="AT53" s="2"/>
      <c r="AU53" s="3"/>
      <c r="AV53" s="19" t="s">
        <v>59</v>
      </c>
      <c r="AW53" s="2"/>
      <c r="AX53" s="3"/>
      <c r="AY53" s="19"/>
      <c r="AZ53" s="2"/>
      <c r="BA53" s="3"/>
      <c r="BB53" s="19" t="s">
        <v>267</v>
      </c>
      <c r="BC53" s="2"/>
      <c r="BD53" s="3"/>
      <c r="BE53" s="20">
        <v>46246</v>
      </c>
      <c r="BF53" s="2"/>
      <c r="BG53" s="3"/>
      <c r="BH53" s="19"/>
      <c r="BI53" s="2"/>
      <c r="BJ53" s="3"/>
      <c r="BK53" s="18"/>
      <c r="BL53" s="2"/>
      <c r="BM53" s="2"/>
      <c r="BN53" s="2"/>
      <c r="BO53" s="2"/>
      <c r="BP53" s="2"/>
      <c r="BQ53" s="3"/>
    </row>
    <row r="54" ht="207.75" customHeight="1" spans="1:69">
      <c r="A54" s="17">
        <v>39</v>
      </c>
      <c r="B54" s="18" t="s">
        <v>430</v>
      </c>
      <c r="C54" s="2"/>
      <c r="D54" s="3"/>
      <c r="E54" s="18" t="s">
        <v>431</v>
      </c>
      <c r="F54" s="2"/>
      <c r="G54" s="2"/>
      <c r="H54" s="2"/>
      <c r="I54" s="3"/>
      <c r="J54" s="18" t="s">
        <v>296</v>
      </c>
      <c r="K54" s="2"/>
      <c r="L54" s="2"/>
      <c r="M54" s="2"/>
      <c r="N54" s="2"/>
      <c r="O54" s="2"/>
      <c r="P54" s="3"/>
      <c r="Q54" s="18" t="s">
        <v>432</v>
      </c>
      <c r="R54" s="2"/>
      <c r="S54" s="2"/>
      <c r="T54" s="2"/>
      <c r="U54" s="2"/>
      <c r="V54" s="2"/>
      <c r="W54" s="3"/>
      <c r="X54" s="18" t="s">
        <v>433</v>
      </c>
      <c r="Y54" s="2"/>
      <c r="Z54" s="2"/>
      <c r="AA54" s="2"/>
      <c r="AB54" s="2"/>
      <c r="AC54" s="2"/>
      <c r="AD54" s="3"/>
      <c r="AE54" s="19" t="s">
        <v>213</v>
      </c>
      <c r="AF54" s="3"/>
      <c r="AG54" s="21" t="s">
        <v>59</v>
      </c>
      <c r="AH54" s="2"/>
      <c r="AI54" s="3"/>
      <c r="AJ54" s="22"/>
      <c r="AK54" s="2"/>
      <c r="AL54" s="3"/>
      <c r="AM54" s="21" t="s">
        <v>266</v>
      </c>
      <c r="AN54" s="2"/>
      <c r="AO54" s="3"/>
      <c r="AP54" s="23">
        <v>46167</v>
      </c>
      <c r="AQ54" s="2"/>
      <c r="AR54" s="3"/>
      <c r="AS54" s="19"/>
      <c r="AT54" s="2"/>
      <c r="AU54" s="3"/>
      <c r="AV54" s="19" t="s">
        <v>59</v>
      </c>
      <c r="AW54" s="2"/>
      <c r="AX54" s="3"/>
      <c r="AY54" s="19"/>
      <c r="AZ54" s="2"/>
      <c r="BA54" s="3"/>
      <c r="BB54" s="19" t="s">
        <v>267</v>
      </c>
      <c r="BC54" s="2"/>
      <c r="BD54" s="3"/>
      <c r="BE54" s="20">
        <v>46246</v>
      </c>
      <c r="BF54" s="2"/>
      <c r="BG54" s="3"/>
      <c r="BH54" s="19"/>
      <c r="BI54" s="2"/>
      <c r="BJ54" s="3"/>
      <c r="BK54" s="18"/>
      <c r="BL54" s="2"/>
      <c r="BM54" s="2"/>
      <c r="BN54" s="2"/>
      <c r="BO54" s="2"/>
      <c r="BP54" s="2"/>
      <c r="BQ54" s="3"/>
    </row>
    <row r="55" ht="223.5" customHeight="1" spans="1:69">
      <c r="A55" s="17">
        <v>40</v>
      </c>
      <c r="B55" s="18" t="s">
        <v>434</v>
      </c>
      <c r="C55" s="2"/>
      <c r="D55" s="3"/>
      <c r="E55" s="18" t="s">
        <v>435</v>
      </c>
      <c r="F55" s="2"/>
      <c r="G55" s="2"/>
      <c r="H55" s="2"/>
      <c r="I55" s="3"/>
      <c r="J55" s="18" t="s">
        <v>296</v>
      </c>
      <c r="K55" s="2"/>
      <c r="L55" s="2"/>
      <c r="M55" s="2"/>
      <c r="N55" s="2"/>
      <c r="O55" s="2"/>
      <c r="P55" s="3"/>
      <c r="Q55" s="18" t="s">
        <v>436</v>
      </c>
      <c r="R55" s="2"/>
      <c r="S55" s="2"/>
      <c r="T55" s="2"/>
      <c r="U55" s="2"/>
      <c r="V55" s="2"/>
      <c r="W55" s="3"/>
      <c r="X55" s="18" t="s">
        <v>437</v>
      </c>
      <c r="Y55" s="2"/>
      <c r="Z55" s="2"/>
      <c r="AA55" s="2"/>
      <c r="AB55" s="2"/>
      <c r="AC55" s="2"/>
      <c r="AD55" s="3"/>
      <c r="AE55" s="19" t="s">
        <v>213</v>
      </c>
      <c r="AF55" s="3"/>
      <c r="AG55" s="21" t="s">
        <v>59</v>
      </c>
      <c r="AH55" s="2"/>
      <c r="AI55" s="3"/>
      <c r="AJ55" s="22"/>
      <c r="AK55" s="2"/>
      <c r="AL55" s="3"/>
      <c r="AM55" s="21" t="s">
        <v>266</v>
      </c>
      <c r="AN55" s="2"/>
      <c r="AO55" s="3"/>
      <c r="AP55" s="23">
        <v>46167</v>
      </c>
      <c r="AQ55" s="2"/>
      <c r="AR55" s="3"/>
      <c r="AS55" s="19"/>
      <c r="AT55" s="2"/>
      <c r="AU55" s="3"/>
      <c r="AV55" s="19" t="s">
        <v>59</v>
      </c>
      <c r="AW55" s="2"/>
      <c r="AX55" s="3"/>
      <c r="AY55" s="19"/>
      <c r="AZ55" s="2"/>
      <c r="BA55" s="3"/>
      <c r="BB55" s="19" t="s">
        <v>267</v>
      </c>
      <c r="BC55" s="2"/>
      <c r="BD55" s="3"/>
      <c r="BE55" s="20">
        <v>46246</v>
      </c>
      <c r="BF55" s="2"/>
      <c r="BG55" s="3"/>
      <c r="BH55" s="19"/>
      <c r="BI55" s="2"/>
      <c r="BJ55" s="3"/>
      <c r="BK55" s="18"/>
      <c r="BL55" s="2"/>
      <c r="BM55" s="2"/>
      <c r="BN55" s="2"/>
      <c r="BO55" s="2"/>
      <c r="BP55" s="2"/>
      <c r="BQ55" s="3"/>
    </row>
    <row r="56" ht="192" customHeight="1" spans="1:69">
      <c r="A56" s="17">
        <v>41</v>
      </c>
      <c r="B56" s="18" t="s">
        <v>438</v>
      </c>
      <c r="C56" s="2"/>
      <c r="D56" s="3"/>
      <c r="E56" s="18" t="s">
        <v>439</v>
      </c>
      <c r="F56" s="2"/>
      <c r="G56" s="2"/>
      <c r="H56" s="2"/>
      <c r="I56" s="3"/>
      <c r="J56" s="18" t="s">
        <v>296</v>
      </c>
      <c r="K56" s="2"/>
      <c r="L56" s="2"/>
      <c r="M56" s="2"/>
      <c r="N56" s="2"/>
      <c r="O56" s="2"/>
      <c r="P56" s="3"/>
      <c r="Q56" s="18" t="s">
        <v>440</v>
      </c>
      <c r="R56" s="2"/>
      <c r="S56" s="2"/>
      <c r="T56" s="2"/>
      <c r="U56" s="2"/>
      <c r="V56" s="2"/>
      <c r="W56" s="3"/>
      <c r="X56" s="18" t="s">
        <v>441</v>
      </c>
      <c r="Y56" s="2"/>
      <c r="Z56" s="2"/>
      <c r="AA56" s="2"/>
      <c r="AB56" s="2"/>
      <c r="AC56" s="2"/>
      <c r="AD56" s="3"/>
      <c r="AE56" s="19" t="s">
        <v>209</v>
      </c>
      <c r="AF56" s="3"/>
      <c r="AG56" s="21" t="s">
        <v>59</v>
      </c>
      <c r="AH56" s="2"/>
      <c r="AI56" s="3"/>
      <c r="AJ56" s="22"/>
      <c r="AK56" s="2"/>
      <c r="AL56" s="3"/>
      <c r="AM56" s="21" t="s">
        <v>266</v>
      </c>
      <c r="AN56" s="2"/>
      <c r="AO56" s="3"/>
      <c r="AP56" s="23">
        <v>46167</v>
      </c>
      <c r="AQ56" s="2"/>
      <c r="AR56" s="3"/>
      <c r="AS56" s="19"/>
      <c r="AT56" s="2"/>
      <c r="AU56" s="3"/>
      <c r="AV56" s="19" t="s">
        <v>59</v>
      </c>
      <c r="AW56" s="2"/>
      <c r="AX56" s="3"/>
      <c r="AY56" s="19"/>
      <c r="AZ56" s="2"/>
      <c r="BA56" s="3"/>
      <c r="BB56" s="19" t="s">
        <v>267</v>
      </c>
      <c r="BC56" s="2"/>
      <c r="BD56" s="3"/>
      <c r="BE56" s="20">
        <v>46246</v>
      </c>
      <c r="BF56" s="2"/>
      <c r="BG56" s="3"/>
      <c r="BH56" s="19"/>
      <c r="BI56" s="2"/>
      <c r="BJ56" s="3"/>
      <c r="BK56" s="18"/>
      <c r="BL56" s="2"/>
      <c r="BM56" s="2"/>
      <c r="BN56" s="2"/>
      <c r="BO56" s="2"/>
      <c r="BP56" s="2"/>
      <c r="BQ56" s="3"/>
    </row>
    <row r="57" ht="207.75" customHeight="1" spans="1:69">
      <c r="A57" s="17">
        <v>42</v>
      </c>
      <c r="B57" s="18" t="s">
        <v>442</v>
      </c>
      <c r="C57" s="2"/>
      <c r="D57" s="3"/>
      <c r="E57" s="18" t="s">
        <v>443</v>
      </c>
      <c r="F57" s="2"/>
      <c r="G57" s="2"/>
      <c r="H57" s="2"/>
      <c r="I57" s="3"/>
      <c r="J57" s="18" t="s">
        <v>296</v>
      </c>
      <c r="K57" s="2"/>
      <c r="L57" s="2"/>
      <c r="M57" s="2"/>
      <c r="N57" s="2"/>
      <c r="O57" s="2"/>
      <c r="P57" s="3"/>
      <c r="Q57" s="18" t="s">
        <v>444</v>
      </c>
      <c r="R57" s="2"/>
      <c r="S57" s="2"/>
      <c r="T57" s="2"/>
      <c r="U57" s="2"/>
      <c r="V57" s="2"/>
      <c r="W57" s="3"/>
      <c r="X57" s="18" t="s">
        <v>445</v>
      </c>
      <c r="Y57" s="2"/>
      <c r="Z57" s="2"/>
      <c r="AA57" s="2"/>
      <c r="AB57" s="2"/>
      <c r="AC57" s="2"/>
      <c r="AD57" s="3"/>
      <c r="AE57" s="19" t="s">
        <v>213</v>
      </c>
      <c r="AF57" s="3"/>
      <c r="AG57" s="21" t="s">
        <v>59</v>
      </c>
      <c r="AH57" s="2"/>
      <c r="AI57" s="3"/>
      <c r="AJ57" s="22"/>
      <c r="AK57" s="2"/>
      <c r="AL57" s="3"/>
      <c r="AM57" s="21" t="s">
        <v>266</v>
      </c>
      <c r="AN57" s="2"/>
      <c r="AO57" s="3"/>
      <c r="AP57" s="23">
        <v>46167</v>
      </c>
      <c r="AQ57" s="2"/>
      <c r="AR57" s="3"/>
      <c r="AS57" s="19"/>
      <c r="AT57" s="2"/>
      <c r="AU57" s="3"/>
      <c r="AV57" s="19" t="s">
        <v>59</v>
      </c>
      <c r="AW57" s="2"/>
      <c r="AX57" s="3"/>
      <c r="AY57" s="19"/>
      <c r="AZ57" s="2"/>
      <c r="BA57" s="3"/>
      <c r="BB57" s="19" t="s">
        <v>267</v>
      </c>
      <c r="BC57" s="2"/>
      <c r="BD57" s="3"/>
      <c r="BE57" s="20">
        <v>46246</v>
      </c>
      <c r="BF57" s="2"/>
      <c r="BG57" s="3"/>
      <c r="BH57" s="19"/>
      <c r="BI57" s="2"/>
      <c r="BJ57" s="3"/>
      <c r="BK57" s="18"/>
      <c r="BL57" s="2"/>
      <c r="BM57" s="2"/>
      <c r="BN57" s="2"/>
      <c r="BO57" s="2"/>
      <c r="BP57" s="2"/>
      <c r="BQ57" s="3"/>
    </row>
    <row r="58" ht="223.5" customHeight="1" spans="1:69">
      <c r="A58" s="17">
        <v>43</v>
      </c>
      <c r="B58" s="18" t="s">
        <v>446</v>
      </c>
      <c r="C58" s="2"/>
      <c r="D58" s="3"/>
      <c r="E58" s="18" t="s">
        <v>447</v>
      </c>
      <c r="F58" s="2"/>
      <c r="G58" s="2"/>
      <c r="H58" s="2"/>
      <c r="I58" s="3"/>
      <c r="J58" s="18" t="s">
        <v>296</v>
      </c>
      <c r="K58" s="2"/>
      <c r="L58" s="2"/>
      <c r="M58" s="2"/>
      <c r="N58" s="2"/>
      <c r="O58" s="2"/>
      <c r="P58" s="3"/>
      <c r="Q58" s="18" t="s">
        <v>448</v>
      </c>
      <c r="R58" s="2"/>
      <c r="S58" s="2"/>
      <c r="T58" s="2"/>
      <c r="U58" s="2"/>
      <c r="V58" s="2"/>
      <c r="W58" s="3"/>
      <c r="X58" s="18" t="s">
        <v>449</v>
      </c>
      <c r="Y58" s="2"/>
      <c r="Z58" s="2"/>
      <c r="AA58" s="2"/>
      <c r="AB58" s="2"/>
      <c r="AC58" s="2"/>
      <c r="AD58" s="3"/>
      <c r="AE58" s="19" t="s">
        <v>213</v>
      </c>
      <c r="AF58" s="3"/>
      <c r="AG58" s="21" t="s">
        <v>59</v>
      </c>
      <c r="AH58" s="2"/>
      <c r="AI58" s="3"/>
      <c r="AJ58" s="22"/>
      <c r="AK58" s="2"/>
      <c r="AL58" s="3"/>
      <c r="AM58" s="21" t="s">
        <v>266</v>
      </c>
      <c r="AN58" s="2"/>
      <c r="AO58" s="3"/>
      <c r="AP58" s="23">
        <v>46167</v>
      </c>
      <c r="AQ58" s="2"/>
      <c r="AR58" s="3"/>
      <c r="AS58" s="19"/>
      <c r="AT58" s="2"/>
      <c r="AU58" s="3"/>
      <c r="AV58" s="19" t="s">
        <v>59</v>
      </c>
      <c r="AW58" s="2"/>
      <c r="AX58" s="3"/>
      <c r="AY58" s="19"/>
      <c r="AZ58" s="2"/>
      <c r="BA58" s="3"/>
      <c r="BB58" s="19" t="s">
        <v>267</v>
      </c>
      <c r="BC58" s="2"/>
      <c r="BD58" s="3"/>
      <c r="BE58" s="20">
        <v>46246</v>
      </c>
      <c r="BF58" s="2"/>
      <c r="BG58" s="3"/>
      <c r="BH58" s="19"/>
      <c r="BI58" s="2"/>
      <c r="BJ58" s="3"/>
      <c r="BK58" s="18"/>
      <c r="BL58" s="2"/>
      <c r="BM58" s="2"/>
      <c r="BN58" s="2"/>
      <c r="BO58" s="2"/>
      <c r="BP58" s="2"/>
      <c r="BQ58" s="3"/>
    </row>
    <row r="59" ht="192" customHeight="1" spans="1:69">
      <c r="A59" s="17">
        <v>44</v>
      </c>
      <c r="B59" s="18" t="s">
        <v>450</v>
      </c>
      <c r="C59" s="2"/>
      <c r="D59" s="3"/>
      <c r="E59" s="18" t="s">
        <v>451</v>
      </c>
      <c r="F59" s="2"/>
      <c r="G59" s="2"/>
      <c r="H59" s="2"/>
      <c r="I59" s="3"/>
      <c r="J59" s="18" t="s">
        <v>296</v>
      </c>
      <c r="K59" s="2"/>
      <c r="L59" s="2"/>
      <c r="M59" s="2"/>
      <c r="N59" s="2"/>
      <c r="O59" s="2"/>
      <c r="P59" s="3"/>
      <c r="Q59" s="18" t="s">
        <v>452</v>
      </c>
      <c r="R59" s="2"/>
      <c r="S59" s="2"/>
      <c r="T59" s="2"/>
      <c r="U59" s="2"/>
      <c r="V59" s="2"/>
      <c r="W59" s="3"/>
      <c r="X59" s="18" t="s">
        <v>453</v>
      </c>
      <c r="Y59" s="2"/>
      <c r="Z59" s="2"/>
      <c r="AA59" s="2"/>
      <c r="AB59" s="2"/>
      <c r="AC59" s="2"/>
      <c r="AD59" s="3"/>
      <c r="AE59" s="19" t="s">
        <v>274</v>
      </c>
      <c r="AF59" s="3"/>
      <c r="AG59" s="21" t="s">
        <v>59</v>
      </c>
      <c r="AH59" s="2"/>
      <c r="AI59" s="3"/>
      <c r="AJ59" s="22"/>
      <c r="AK59" s="2"/>
      <c r="AL59" s="3"/>
      <c r="AM59" s="21" t="s">
        <v>266</v>
      </c>
      <c r="AN59" s="2"/>
      <c r="AO59" s="3"/>
      <c r="AP59" s="23">
        <v>46167</v>
      </c>
      <c r="AQ59" s="2"/>
      <c r="AR59" s="3"/>
      <c r="AS59" s="19"/>
      <c r="AT59" s="2"/>
      <c r="AU59" s="3"/>
      <c r="AV59" s="19" t="s">
        <v>59</v>
      </c>
      <c r="AW59" s="2"/>
      <c r="AX59" s="3"/>
      <c r="AY59" s="19"/>
      <c r="AZ59" s="2"/>
      <c r="BA59" s="3"/>
      <c r="BB59" s="19" t="s">
        <v>267</v>
      </c>
      <c r="BC59" s="2"/>
      <c r="BD59" s="3"/>
      <c r="BE59" s="20">
        <v>46246</v>
      </c>
      <c r="BF59" s="2"/>
      <c r="BG59" s="3"/>
      <c r="BH59" s="19"/>
      <c r="BI59" s="2"/>
      <c r="BJ59" s="3"/>
      <c r="BK59" s="18"/>
      <c r="BL59" s="2"/>
      <c r="BM59" s="2"/>
      <c r="BN59" s="2"/>
      <c r="BO59" s="2"/>
      <c r="BP59" s="2"/>
      <c r="BQ59" s="3"/>
    </row>
    <row r="60" ht="144" customHeight="1" spans="1:69">
      <c r="A60" s="17">
        <v>45</v>
      </c>
      <c r="B60" s="18" t="s">
        <v>454</v>
      </c>
      <c r="C60" s="2"/>
      <c r="D60" s="3"/>
      <c r="E60" s="18" t="s">
        <v>455</v>
      </c>
      <c r="F60" s="2"/>
      <c r="G60" s="2"/>
      <c r="H60" s="2"/>
      <c r="I60" s="3"/>
      <c r="J60" s="18" t="s">
        <v>296</v>
      </c>
      <c r="K60" s="2"/>
      <c r="L60" s="2"/>
      <c r="M60" s="2"/>
      <c r="N60" s="2"/>
      <c r="O60" s="2"/>
      <c r="P60" s="3"/>
      <c r="Q60" s="18" t="s">
        <v>456</v>
      </c>
      <c r="R60" s="2"/>
      <c r="S60" s="2"/>
      <c r="T60" s="2"/>
      <c r="U60" s="2"/>
      <c r="V60" s="2"/>
      <c r="W60" s="3"/>
      <c r="X60" s="18" t="s">
        <v>457</v>
      </c>
      <c r="Y60" s="2"/>
      <c r="Z60" s="2"/>
      <c r="AA60" s="2"/>
      <c r="AB60" s="2"/>
      <c r="AC60" s="2"/>
      <c r="AD60" s="3"/>
      <c r="AE60" s="19" t="s">
        <v>274</v>
      </c>
      <c r="AF60" s="3"/>
      <c r="AG60" s="21" t="s">
        <v>59</v>
      </c>
      <c r="AH60" s="2"/>
      <c r="AI60" s="3"/>
      <c r="AJ60" s="22"/>
      <c r="AK60" s="2"/>
      <c r="AL60" s="3"/>
      <c r="AM60" s="21" t="s">
        <v>266</v>
      </c>
      <c r="AN60" s="2"/>
      <c r="AO60" s="3"/>
      <c r="AP60" s="23">
        <v>46167</v>
      </c>
      <c r="AQ60" s="2"/>
      <c r="AR60" s="3"/>
      <c r="AS60" s="19"/>
      <c r="AT60" s="2"/>
      <c r="AU60" s="3"/>
      <c r="AV60" s="19" t="s">
        <v>59</v>
      </c>
      <c r="AW60" s="2"/>
      <c r="AX60" s="3"/>
      <c r="AY60" s="19"/>
      <c r="AZ60" s="2"/>
      <c r="BA60" s="3"/>
      <c r="BB60" s="19" t="s">
        <v>267</v>
      </c>
      <c r="BC60" s="2"/>
      <c r="BD60" s="3"/>
      <c r="BE60" s="20">
        <v>46246</v>
      </c>
      <c r="BF60" s="2"/>
      <c r="BG60" s="3"/>
      <c r="BH60" s="19"/>
      <c r="BI60" s="2"/>
      <c r="BJ60" s="3"/>
      <c r="BK60" s="18"/>
      <c r="BL60" s="2"/>
      <c r="BM60" s="2"/>
      <c r="BN60" s="2"/>
      <c r="BO60" s="2"/>
      <c r="BP60" s="2"/>
      <c r="BQ60" s="3"/>
    </row>
    <row r="61" ht="192" customHeight="1" spans="1:69">
      <c r="A61" s="17">
        <v>46</v>
      </c>
      <c r="B61" s="18" t="s">
        <v>458</v>
      </c>
      <c r="C61" s="2"/>
      <c r="D61" s="3"/>
      <c r="E61" s="18" t="s">
        <v>459</v>
      </c>
      <c r="F61" s="2"/>
      <c r="G61" s="2"/>
      <c r="H61" s="2"/>
      <c r="I61" s="3"/>
      <c r="J61" s="18" t="s">
        <v>296</v>
      </c>
      <c r="K61" s="2"/>
      <c r="L61" s="2"/>
      <c r="M61" s="2"/>
      <c r="N61" s="2"/>
      <c r="O61" s="2"/>
      <c r="P61" s="3"/>
      <c r="Q61" s="18" t="s">
        <v>460</v>
      </c>
      <c r="R61" s="2"/>
      <c r="S61" s="2"/>
      <c r="T61" s="2"/>
      <c r="U61" s="2"/>
      <c r="V61" s="2"/>
      <c r="W61" s="3"/>
      <c r="X61" s="18" t="s">
        <v>461</v>
      </c>
      <c r="Y61" s="2"/>
      <c r="Z61" s="2"/>
      <c r="AA61" s="2"/>
      <c r="AB61" s="2"/>
      <c r="AC61" s="2"/>
      <c r="AD61" s="3"/>
      <c r="AE61" s="19" t="s">
        <v>274</v>
      </c>
      <c r="AF61" s="3"/>
      <c r="AG61" s="21" t="s">
        <v>59</v>
      </c>
      <c r="AH61" s="2"/>
      <c r="AI61" s="3"/>
      <c r="AJ61" s="22"/>
      <c r="AK61" s="2"/>
      <c r="AL61" s="3"/>
      <c r="AM61" s="21" t="s">
        <v>266</v>
      </c>
      <c r="AN61" s="2"/>
      <c r="AO61" s="3"/>
      <c r="AP61" s="23">
        <v>46167</v>
      </c>
      <c r="AQ61" s="2"/>
      <c r="AR61" s="3"/>
      <c r="AS61" s="19"/>
      <c r="AT61" s="2"/>
      <c r="AU61" s="3"/>
      <c r="AV61" s="19" t="s">
        <v>59</v>
      </c>
      <c r="AW61" s="2"/>
      <c r="AX61" s="3"/>
      <c r="AY61" s="19"/>
      <c r="AZ61" s="2"/>
      <c r="BA61" s="3"/>
      <c r="BB61" s="19" t="s">
        <v>267</v>
      </c>
      <c r="BC61" s="2"/>
      <c r="BD61" s="3"/>
      <c r="BE61" s="20">
        <v>46246</v>
      </c>
      <c r="BF61" s="2"/>
      <c r="BG61" s="3"/>
      <c r="BH61" s="19"/>
      <c r="BI61" s="2"/>
      <c r="BJ61" s="3"/>
      <c r="BK61" s="18"/>
      <c r="BL61" s="2"/>
      <c r="BM61" s="2"/>
      <c r="BN61" s="2"/>
      <c r="BO61" s="2"/>
      <c r="BP61" s="2"/>
      <c r="BQ61" s="3"/>
    </row>
    <row r="62" ht="207.75" customHeight="1" spans="1:69">
      <c r="A62" s="17">
        <v>47</v>
      </c>
      <c r="B62" s="18" t="s">
        <v>462</v>
      </c>
      <c r="C62" s="2"/>
      <c r="D62" s="3"/>
      <c r="E62" s="18" t="s">
        <v>463</v>
      </c>
      <c r="F62" s="2"/>
      <c r="G62" s="2"/>
      <c r="H62" s="2"/>
      <c r="I62" s="3"/>
      <c r="J62" s="18" t="s">
        <v>296</v>
      </c>
      <c r="K62" s="2"/>
      <c r="L62" s="2"/>
      <c r="M62" s="2"/>
      <c r="N62" s="2"/>
      <c r="O62" s="2"/>
      <c r="P62" s="3"/>
      <c r="Q62" s="18" t="s">
        <v>464</v>
      </c>
      <c r="R62" s="2"/>
      <c r="S62" s="2"/>
      <c r="T62" s="2"/>
      <c r="U62" s="2"/>
      <c r="V62" s="2"/>
      <c r="W62" s="3"/>
      <c r="X62" s="18" t="s">
        <v>465</v>
      </c>
      <c r="Y62" s="2"/>
      <c r="Z62" s="2"/>
      <c r="AA62" s="2"/>
      <c r="AB62" s="2"/>
      <c r="AC62" s="2"/>
      <c r="AD62" s="3"/>
      <c r="AE62" s="19" t="s">
        <v>274</v>
      </c>
      <c r="AF62" s="3"/>
      <c r="AG62" s="21" t="s">
        <v>59</v>
      </c>
      <c r="AH62" s="2"/>
      <c r="AI62" s="3"/>
      <c r="AJ62" s="22"/>
      <c r="AK62" s="2"/>
      <c r="AL62" s="3"/>
      <c r="AM62" s="21" t="s">
        <v>266</v>
      </c>
      <c r="AN62" s="2"/>
      <c r="AO62" s="3"/>
      <c r="AP62" s="23">
        <v>46167</v>
      </c>
      <c r="AQ62" s="2"/>
      <c r="AR62" s="3"/>
      <c r="AS62" s="19"/>
      <c r="AT62" s="2"/>
      <c r="AU62" s="3"/>
      <c r="AV62" s="19" t="s">
        <v>59</v>
      </c>
      <c r="AW62" s="2"/>
      <c r="AX62" s="3"/>
      <c r="AY62" s="19"/>
      <c r="AZ62" s="2"/>
      <c r="BA62" s="3"/>
      <c r="BB62" s="19" t="s">
        <v>267</v>
      </c>
      <c r="BC62" s="2"/>
      <c r="BD62" s="3"/>
      <c r="BE62" s="20">
        <v>46246</v>
      </c>
      <c r="BF62" s="2"/>
      <c r="BG62" s="3"/>
      <c r="BH62" s="19"/>
      <c r="BI62" s="2"/>
      <c r="BJ62" s="3"/>
      <c r="BK62" s="18" t="s">
        <v>292</v>
      </c>
      <c r="BL62" s="2"/>
      <c r="BM62" s="2"/>
      <c r="BN62" s="2"/>
      <c r="BO62" s="2"/>
      <c r="BP62" s="2"/>
      <c r="BQ62" s="3"/>
    </row>
    <row r="63" ht="22.5" customHeight="1" spans="1:69">
      <c r="A63" s="16" t="s">
        <v>466</v>
      </c>
      <c r="B63" s="2"/>
      <c r="C63" s="2"/>
      <c r="D63" s="2"/>
      <c r="E63" s="2"/>
      <c r="F63" s="2"/>
      <c r="G63" s="2"/>
      <c r="H63" s="2"/>
      <c r="I63" s="2"/>
      <c r="J63" s="2"/>
      <c r="K63" s="2"/>
      <c r="L63" s="2"/>
      <c r="M63" s="2"/>
      <c r="N63" s="2"/>
      <c r="O63" s="2"/>
      <c r="P63" s="2"/>
      <c r="Q63" s="2"/>
      <c r="R63" s="2"/>
      <c r="S63" s="2"/>
      <c r="T63" s="2"/>
      <c r="U63" s="2"/>
      <c r="V63" s="2"/>
      <c r="W63" s="2"/>
      <c r="X63" s="2"/>
      <c r="Y63" s="2"/>
      <c r="Z63" s="2"/>
      <c r="AA63" s="2"/>
      <c r="AB63" s="2"/>
      <c r="AC63" s="2"/>
      <c r="AD63" s="2"/>
      <c r="AE63" s="2"/>
      <c r="AF63" s="2"/>
      <c r="AG63" s="2"/>
      <c r="AH63" s="2"/>
      <c r="AI63" s="2"/>
      <c r="AJ63" s="2"/>
      <c r="AK63" s="2"/>
      <c r="AL63" s="2"/>
      <c r="AM63" s="2"/>
      <c r="AN63" s="2"/>
      <c r="AO63" s="2"/>
      <c r="AP63" s="2"/>
      <c r="AQ63" s="2"/>
      <c r="AR63" s="2"/>
      <c r="AS63" s="2"/>
      <c r="AT63" s="2"/>
      <c r="AU63" s="2"/>
      <c r="AV63" s="2"/>
      <c r="AW63" s="2"/>
      <c r="AX63" s="2"/>
      <c r="AY63" s="2"/>
      <c r="AZ63" s="2"/>
      <c r="BA63" s="2"/>
      <c r="BB63" s="2"/>
      <c r="BC63" s="2"/>
      <c r="BD63" s="2"/>
      <c r="BE63" s="2"/>
      <c r="BF63" s="2"/>
      <c r="BG63" s="2"/>
      <c r="BH63" s="2"/>
      <c r="BI63" s="2"/>
      <c r="BJ63" s="2"/>
      <c r="BK63" s="2"/>
      <c r="BL63" s="2"/>
      <c r="BM63" s="2"/>
      <c r="BN63" s="2"/>
      <c r="BO63" s="2"/>
      <c r="BP63" s="2"/>
      <c r="BQ63" s="3"/>
    </row>
    <row r="64" ht="351.75" customHeight="1" spans="1:69">
      <c r="A64" s="17">
        <v>48</v>
      </c>
      <c r="B64" s="18" t="s">
        <v>467</v>
      </c>
      <c r="C64" s="2"/>
      <c r="D64" s="3"/>
      <c r="E64" s="18" t="s">
        <v>468</v>
      </c>
      <c r="F64" s="2"/>
      <c r="G64" s="2"/>
      <c r="H64" s="2"/>
      <c r="I64" s="3"/>
      <c r="J64" s="18" t="s">
        <v>296</v>
      </c>
      <c r="K64" s="2"/>
      <c r="L64" s="2"/>
      <c r="M64" s="2"/>
      <c r="N64" s="2"/>
      <c r="O64" s="2"/>
      <c r="P64" s="3"/>
      <c r="Q64" s="18" t="s">
        <v>469</v>
      </c>
      <c r="R64" s="2"/>
      <c r="S64" s="2"/>
      <c r="T64" s="2"/>
      <c r="U64" s="2"/>
      <c r="V64" s="2"/>
      <c r="W64" s="3"/>
      <c r="X64" s="18" t="s">
        <v>470</v>
      </c>
      <c r="Y64" s="2"/>
      <c r="Z64" s="2"/>
      <c r="AA64" s="2"/>
      <c r="AB64" s="2"/>
      <c r="AC64" s="2"/>
      <c r="AD64" s="3"/>
      <c r="AE64" s="19" t="s">
        <v>274</v>
      </c>
      <c r="AF64" s="3"/>
      <c r="AG64" s="21" t="s">
        <v>59</v>
      </c>
      <c r="AH64" s="2"/>
      <c r="AI64" s="3"/>
      <c r="AJ64" s="22"/>
      <c r="AK64" s="2"/>
      <c r="AL64" s="3"/>
      <c r="AM64" s="21" t="s">
        <v>266</v>
      </c>
      <c r="AN64" s="2"/>
      <c r="AO64" s="3"/>
      <c r="AP64" s="23">
        <v>46167</v>
      </c>
      <c r="AQ64" s="2"/>
      <c r="AR64" s="3"/>
      <c r="AS64" s="19"/>
      <c r="AT64" s="2"/>
      <c r="AU64" s="3"/>
      <c r="AV64" s="19" t="s">
        <v>59</v>
      </c>
      <c r="AW64" s="2"/>
      <c r="AX64" s="3"/>
      <c r="AY64" s="19"/>
      <c r="AZ64" s="2"/>
      <c r="BA64" s="3"/>
      <c r="BB64" s="19" t="s">
        <v>267</v>
      </c>
      <c r="BC64" s="2"/>
      <c r="BD64" s="3"/>
      <c r="BE64" s="20">
        <v>46246</v>
      </c>
      <c r="BF64" s="2"/>
      <c r="BG64" s="3"/>
      <c r="BH64" s="19"/>
      <c r="BI64" s="2"/>
      <c r="BJ64" s="3"/>
      <c r="BK64" s="18"/>
      <c r="BL64" s="2"/>
      <c r="BM64" s="2"/>
      <c r="BN64" s="2"/>
      <c r="BO64" s="2"/>
      <c r="BP64" s="2"/>
      <c r="BQ64" s="3"/>
    </row>
    <row r="65" ht="303.75" customHeight="1" spans="1:69">
      <c r="A65" s="17">
        <v>49</v>
      </c>
      <c r="B65" s="18" t="s">
        <v>471</v>
      </c>
      <c r="C65" s="2"/>
      <c r="D65" s="3"/>
      <c r="E65" s="18" t="s">
        <v>472</v>
      </c>
      <c r="F65" s="2"/>
      <c r="G65" s="2"/>
      <c r="H65" s="2"/>
      <c r="I65" s="3"/>
      <c r="J65" s="18" t="s">
        <v>296</v>
      </c>
      <c r="K65" s="2"/>
      <c r="L65" s="2"/>
      <c r="M65" s="2"/>
      <c r="N65" s="2"/>
      <c r="O65" s="2"/>
      <c r="P65" s="3"/>
      <c r="Q65" s="18" t="s">
        <v>473</v>
      </c>
      <c r="R65" s="2"/>
      <c r="S65" s="2"/>
      <c r="T65" s="2"/>
      <c r="U65" s="2"/>
      <c r="V65" s="2"/>
      <c r="W65" s="3"/>
      <c r="X65" s="18" t="s">
        <v>474</v>
      </c>
      <c r="Y65" s="2"/>
      <c r="Z65" s="2"/>
      <c r="AA65" s="2"/>
      <c r="AB65" s="2"/>
      <c r="AC65" s="2"/>
      <c r="AD65" s="3"/>
      <c r="AE65" s="19" t="s">
        <v>274</v>
      </c>
      <c r="AF65" s="3"/>
      <c r="AG65" s="21" t="s">
        <v>59</v>
      </c>
      <c r="AH65" s="2"/>
      <c r="AI65" s="3"/>
      <c r="AJ65" s="22"/>
      <c r="AK65" s="2"/>
      <c r="AL65" s="3"/>
      <c r="AM65" s="21" t="s">
        <v>266</v>
      </c>
      <c r="AN65" s="2"/>
      <c r="AO65" s="3"/>
      <c r="AP65" s="23">
        <v>46167</v>
      </c>
      <c r="AQ65" s="2"/>
      <c r="AR65" s="3"/>
      <c r="AS65" s="19"/>
      <c r="AT65" s="2"/>
      <c r="AU65" s="3"/>
      <c r="AV65" s="19" t="s">
        <v>59</v>
      </c>
      <c r="AW65" s="2"/>
      <c r="AX65" s="3"/>
      <c r="AY65" s="19"/>
      <c r="AZ65" s="2"/>
      <c r="BA65" s="3"/>
      <c r="BB65" s="19" t="s">
        <v>267</v>
      </c>
      <c r="BC65" s="2"/>
      <c r="BD65" s="3"/>
      <c r="BE65" s="20">
        <v>46246</v>
      </c>
      <c r="BF65" s="2"/>
      <c r="BG65" s="3"/>
      <c r="BH65" s="19"/>
      <c r="BI65" s="2"/>
      <c r="BJ65" s="3"/>
      <c r="BK65" s="18"/>
      <c r="BL65" s="2"/>
      <c r="BM65" s="2"/>
      <c r="BN65" s="2"/>
      <c r="BO65" s="2"/>
      <c r="BP65" s="2"/>
      <c r="BQ65" s="3"/>
    </row>
    <row r="66" ht="255.75" customHeight="1" spans="1:69">
      <c r="A66" s="17">
        <v>50</v>
      </c>
      <c r="B66" s="18" t="s">
        <v>475</v>
      </c>
      <c r="C66" s="2"/>
      <c r="D66" s="3"/>
      <c r="E66" s="18" t="s">
        <v>476</v>
      </c>
      <c r="F66" s="2"/>
      <c r="G66" s="2"/>
      <c r="H66" s="2"/>
      <c r="I66" s="3"/>
      <c r="J66" s="18" t="s">
        <v>296</v>
      </c>
      <c r="K66" s="2"/>
      <c r="L66" s="2"/>
      <c r="M66" s="2"/>
      <c r="N66" s="2"/>
      <c r="O66" s="2"/>
      <c r="P66" s="3"/>
      <c r="Q66" s="18" t="s">
        <v>477</v>
      </c>
      <c r="R66" s="2"/>
      <c r="S66" s="2"/>
      <c r="T66" s="2"/>
      <c r="U66" s="2"/>
      <c r="V66" s="2"/>
      <c r="W66" s="3"/>
      <c r="X66" s="18" t="s">
        <v>478</v>
      </c>
      <c r="Y66" s="2"/>
      <c r="Z66" s="2"/>
      <c r="AA66" s="2"/>
      <c r="AB66" s="2"/>
      <c r="AC66" s="2"/>
      <c r="AD66" s="3"/>
      <c r="AE66" s="19" t="s">
        <v>274</v>
      </c>
      <c r="AF66" s="3"/>
      <c r="AG66" s="21" t="s">
        <v>59</v>
      </c>
      <c r="AH66" s="2"/>
      <c r="AI66" s="3"/>
      <c r="AJ66" s="22"/>
      <c r="AK66" s="2"/>
      <c r="AL66" s="3"/>
      <c r="AM66" s="21" t="s">
        <v>266</v>
      </c>
      <c r="AN66" s="2"/>
      <c r="AO66" s="3"/>
      <c r="AP66" s="23">
        <v>46167</v>
      </c>
      <c r="AQ66" s="2"/>
      <c r="AR66" s="3"/>
      <c r="AS66" s="19"/>
      <c r="AT66" s="2"/>
      <c r="AU66" s="3"/>
      <c r="AV66" s="19" t="s">
        <v>59</v>
      </c>
      <c r="AW66" s="2"/>
      <c r="AX66" s="3"/>
      <c r="AY66" s="19"/>
      <c r="AZ66" s="2"/>
      <c r="BA66" s="3"/>
      <c r="BB66" s="19" t="s">
        <v>267</v>
      </c>
      <c r="BC66" s="2"/>
      <c r="BD66" s="3"/>
      <c r="BE66" s="20">
        <v>46246</v>
      </c>
      <c r="BF66" s="2"/>
      <c r="BG66" s="3"/>
      <c r="BH66" s="19"/>
      <c r="BI66" s="2"/>
      <c r="BJ66" s="3"/>
      <c r="BK66" s="18"/>
      <c r="BL66" s="2"/>
      <c r="BM66" s="2"/>
      <c r="BN66" s="2"/>
      <c r="BO66" s="2"/>
      <c r="BP66" s="2"/>
      <c r="BQ66" s="3"/>
    </row>
    <row r="67" ht="288" customHeight="1" spans="1:69">
      <c r="A67" s="17">
        <v>51</v>
      </c>
      <c r="B67" s="18" t="s">
        <v>479</v>
      </c>
      <c r="C67" s="2"/>
      <c r="D67" s="3"/>
      <c r="E67" s="18" t="s">
        <v>480</v>
      </c>
      <c r="F67" s="2"/>
      <c r="G67" s="2"/>
      <c r="H67" s="2"/>
      <c r="I67" s="3"/>
      <c r="J67" s="18" t="s">
        <v>481</v>
      </c>
      <c r="K67" s="2"/>
      <c r="L67" s="2"/>
      <c r="M67" s="2"/>
      <c r="N67" s="2"/>
      <c r="O67" s="2"/>
      <c r="P67" s="3"/>
      <c r="Q67" s="18" t="s">
        <v>482</v>
      </c>
      <c r="R67" s="2"/>
      <c r="S67" s="2"/>
      <c r="T67" s="2"/>
      <c r="U67" s="2"/>
      <c r="V67" s="2"/>
      <c r="W67" s="3"/>
      <c r="X67" s="18" t="s">
        <v>483</v>
      </c>
      <c r="Y67" s="2"/>
      <c r="Z67" s="2"/>
      <c r="AA67" s="2"/>
      <c r="AB67" s="2"/>
      <c r="AC67" s="2"/>
      <c r="AD67" s="3"/>
      <c r="AE67" s="19" t="s">
        <v>209</v>
      </c>
      <c r="AF67" s="3"/>
      <c r="AG67" s="21" t="s">
        <v>59</v>
      </c>
      <c r="AH67" s="2"/>
      <c r="AI67" s="3"/>
      <c r="AJ67" s="22"/>
      <c r="AK67" s="2"/>
      <c r="AL67" s="3"/>
      <c r="AM67" s="21" t="s">
        <v>266</v>
      </c>
      <c r="AN67" s="2"/>
      <c r="AO67" s="3"/>
      <c r="AP67" s="23">
        <v>46167</v>
      </c>
      <c r="AQ67" s="2"/>
      <c r="AR67" s="3"/>
      <c r="AS67" s="19"/>
      <c r="AT67" s="2"/>
      <c r="AU67" s="3"/>
      <c r="AV67" s="19" t="s">
        <v>59</v>
      </c>
      <c r="AW67" s="2"/>
      <c r="AX67" s="3"/>
      <c r="AY67" s="19"/>
      <c r="AZ67" s="2"/>
      <c r="BA67" s="3"/>
      <c r="BB67" s="19" t="s">
        <v>267</v>
      </c>
      <c r="BC67" s="2"/>
      <c r="BD67" s="3"/>
      <c r="BE67" s="20">
        <v>46246</v>
      </c>
      <c r="BF67" s="2"/>
      <c r="BG67" s="3"/>
      <c r="BH67" s="19"/>
      <c r="BI67" s="2"/>
      <c r="BJ67" s="3"/>
      <c r="BK67" s="18"/>
      <c r="BL67" s="2"/>
      <c r="BM67" s="2"/>
      <c r="BN67" s="2"/>
      <c r="BO67" s="2"/>
      <c r="BP67" s="2"/>
      <c r="BQ67" s="3"/>
    </row>
    <row r="68" ht="288" customHeight="1" spans="1:69">
      <c r="A68" s="17">
        <v>52</v>
      </c>
      <c r="B68" s="18" t="s">
        <v>484</v>
      </c>
      <c r="C68" s="2"/>
      <c r="D68" s="3"/>
      <c r="E68" s="18" t="s">
        <v>485</v>
      </c>
      <c r="F68" s="2"/>
      <c r="G68" s="2"/>
      <c r="H68" s="2"/>
      <c r="I68" s="3"/>
      <c r="J68" s="18" t="s">
        <v>271</v>
      </c>
      <c r="K68" s="2"/>
      <c r="L68" s="2"/>
      <c r="M68" s="2"/>
      <c r="N68" s="2"/>
      <c r="O68" s="2"/>
      <c r="P68" s="3"/>
      <c r="Q68" s="18" t="s">
        <v>486</v>
      </c>
      <c r="R68" s="2"/>
      <c r="S68" s="2"/>
      <c r="T68" s="2"/>
      <c r="U68" s="2"/>
      <c r="V68" s="2"/>
      <c r="W68" s="3"/>
      <c r="X68" s="18" t="s">
        <v>487</v>
      </c>
      <c r="Y68" s="2"/>
      <c r="Z68" s="2"/>
      <c r="AA68" s="2"/>
      <c r="AB68" s="2"/>
      <c r="AC68" s="2"/>
      <c r="AD68" s="3"/>
      <c r="AE68" s="19" t="s">
        <v>274</v>
      </c>
      <c r="AF68" s="3"/>
      <c r="AG68" s="21" t="s">
        <v>59</v>
      </c>
      <c r="AH68" s="2"/>
      <c r="AI68" s="3"/>
      <c r="AJ68" s="22"/>
      <c r="AK68" s="2"/>
      <c r="AL68" s="3"/>
      <c r="AM68" s="21" t="s">
        <v>266</v>
      </c>
      <c r="AN68" s="2"/>
      <c r="AO68" s="3"/>
      <c r="AP68" s="23">
        <v>46167</v>
      </c>
      <c r="AQ68" s="2"/>
      <c r="AR68" s="3"/>
      <c r="AS68" s="19"/>
      <c r="AT68" s="2"/>
      <c r="AU68" s="3"/>
      <c r="AV68" s="19" t="s">
        <v>59</v>
      </c>
      <c r="AW68" s="2"/>
      <c r="AX68" s="3"/>
      <c r="AY68" s="19"/>
      <c r="AZ68" s="2"/>
      <c r="BA68" s="3"/>
      <c r="BB68" s="19" t="s">
        <v>267</v>
      </c>
      <c r="BC68" s="2"/>
      <c r="BD68" s="3"/>
      <c r="BE68" s="20">
        <v>46246</v>
      </c>
      <c r="BF68" s="2"/>
      <c r="BG68" s="3"/>
      <c r="BH68" s="19"/>
      <c r="BI68" s="2"/>
      <c r="BJ68" s="3"/>
      <c r="BK68" s="18"/>
      <c r="BL68" s="2"/>
      <c r="BM68" s="2"/>
      <c r="BN68" s="2"/>
      <c r="BO68" s="2"/>
      <c r="BP68" s="2"/>
      <c r="BQ68" s="3"/>
    </row>
    <row r="69" ht="240" customHeight="1" spans="1:69">
      <c r="A69" s="17">
        <v>53</v>
      </c>
      <c r="B69" s="18" t="s">
        <v>488</v>
      </c>
      <c r="C69" s="2"/>
      <c r="D69" s="3"/>
      <c r="E69" s="18" t="s">
        <v>489</v>
      </c>
      <c r="F69" s="2"/>
      <c r="G69" s="2"/>
      <c r="H69" s="2"/>
      <c r="I69" s="3"/>
      <c r="J69" s="18" t="s">
        <v>296</v>
      </c>
      <c r="K69" s="2"/>
      <c r="L69" s="2"/>
      <c r="M69" s="2"/>
      <c r="N69" s="2"/>
      <c r="O69" s="2"/>
      <c r="P69" s="3"/>
      <c r="Q69" s="18" t="s">
        <v>490</v>
      </c>
      <c r="R69" s="2"/>
      <c r="S69" s="2"/>
      <c r="T69" s="2"/>
      <c r="U69" s="2"/>
      <c r="V69" s="2"/>
      <c r="W69" s="3"/>
      <c r="X69" s="18" t="s">
        <v>491</v>
      </c>
      <c r="Y69" s="2"/>
      <c r="Z69" s="2"/>
      <c r="AA69" s="2"/>
      <c r="AB69" s="2"/>
      <c r="AC69" s="2"/>
      <c r="AD69" s="3"/>
      <c r="AE69" s="19" t="s">
        <v>274</v>
      </c>
      <c r="AF69" s="3"/>
      <c r="AG69" s="21" t="s">
        <v>59</v>
      </c>
      <c r="AH69" s="2"/>
      <c r="AI69" s="3"/>
      <c r="AJ69" s="22"/>
      <c r="AK69" s="2"/>
      <c r="AL69" s="3"/>
      <c r="AM69" s="21" t="s">
        <v>266</v>
      </c>
      <c r="AN69" s="2"/>
      <c r="AO69" s="3"/>
      <c r="AP69" s="23">
        <v>46167</v>
      </c>
      <c r="AQ69" s="2"/>
      <c r="AR69" s="3"/>
      <c r="AS69" s="19"/>
      <c r="AT69" s="2"/>
      <c r="AU69" s="3"/>
      <c r="AV69" s="19" t="s">
        <v>59</v>
      </c>
      <c r="AW69" s="2"/>
      <c r="AX69" s="3"/>
      <c r="AY69" s="19"/>
      <c r="AZ69" s="2"/>
      <c r="BA69" s="3"/>
      <c r="BB69" s="19" t="s">
        <v>267</v>
      </c>
      <c r="BC69" s="2"/>
      <c r="BD69" s="3"/>
      <c r="BE69" s="20">
        <v>46246</v>
      </c>
      <c r="BF69" s="2"/>
      <c r="BG69" s="3"/>
      <c r="BH69" s="19"/>
      <c r="BI69" s="2"/>
      <c r="BJ69" s="3"/>
      <c r="BK69" s="18"/>
      <c r="BL69" s="2"/>
      <c r="BM69" s="2"/>
      <c r="BN69" s="2"/>
      <c r="BO69" s="2"/>
      <c r="BP69" s="2"/>
      <c r="BQ69" s="3"/>
    </row>
    <row r="70" ht="255.75" customHeight="1" spans="1:69">
      <c r="A70" s="17">
        <v>54</v>
      </c>
      <c r="B70" s="18" t="s">
        <v>492</v>
      </c>
      <c r="C70" s="2"/>
      <c r="D70" s="3"/>
      <c r="E70" s="18" t="s">
        <v>493</v>
      </c>
      <c r="F70" s="2"/>
      <c r="G70" s="2"/>
      <c r="H70" s="2"/>
      <c r="I70" s="3"/>
      <c r="J70" s="18" t="s">
        <v>296</v>
      </c>
      <c r="K70" s="2"/>
      <c r="L70" s="2"/>
      <c r="M70" s="2"/>
      <c r="N70" s="2"/>
      <c r="O70" s="2"/>
      <c r="P70" s="3"/>
      <c r="Q70" s="18" t="s">
        <v>494</v>
      </c>
      <c r="R70" s="2"/>
      <c r="S70" s="2"/>
      <c r="T70" s="2"/>
      <c r="U70" s="2"/>
      <c r="V70" s="2"/>
      <c r="W70" s="3"/>
      <c r="X70" s="18" t="s">
        <v>495</v>
      </c>
      <c r="Y70" s="2"/>
      <c r="Z70" s="2"/>
      <c r="AA70" s="2"/>
      <c r="AB70" s="2"/>
      <c r="AC70" s="2"/>
      <c r="AD70" s="3"/>
      <c r="AE70" s="19" t="s">
        <v>274</v>
      </c>
      <c r="AF70" s="3"/>
      <c r="AG70" s="21" t="s">
        <v>59</v>
      </c>
      <c r="AH70" s="2"/>
      <c r="AI70" s="3"/>
      <c r="AJ70" s="22"/>
      <c r="AK70" s="2"/>
      <c r="AL70" s="3"/>
      <c r="AM70" s="21" t="s">
        <v>266</v>
      </c>
      <c r="AN70" s="2"/>
      <c r="AO70" s="3"/>
      <c r="AP70" s="23">
        <v>46167</v>
      </c>
      <c r="AQ70" s="2"/>
      <c r="AR70" s="3"/>
      <c r="AS70" s="19"/>
      <c r="AT70" s="2"/>
      <c r="AU70" s="3"/>
      <c r="AV70" s="19" t="s">
        <v>59</v>
      </c>
      <c r="AW70" s="2"/>
      <c r="AX70" s="3"/>
      <c r="AY70" s="19"/>
      <c r="AZ70" s="2"/>
      <c r="BA70" s="3"/>
      <c r="BB70" s="19" t="s">
        <v>267</v>
      </c>
      <c r="BC70" s="2"/>
      <c r="BD70" s="3"/>
      <c r="BE70" s="20">
        <v>46246</v>
      </c>
      <c r="BF70" s="2"/>
      <c r="BG70" s="3"/>
      <c r="BH70" s="19"/>
      <c r="BI70" s="2"/>
      <c r="BJ70" s="3"/>
      <c r="BK70" s="18"/>
      <c r="BL70" s="2"/>
      <c r="BM70" s="2"/>
      <c r="BN70" s="2"/>
      <c r="BO70" s="2"/>
      <c r="BP70" s="2"/>
      <c r="BQ70" s="3"/>
    </row>
    <row r="71" ht="223.5" customHeight="1" spans="1:69">
      <c r="A71" s="17">
        <v>55</v>
      </c>
      <c r="B71" s="18" t="s">
        <v>496</v>
      </c>
      <c r="C71" s="2"/>
      <c r="D71" s="3"/>
      <c r="E71" s="18" t="s">
        <v>497</v>
      </c>
      <c r="F71" s="2"/>
      <c r="G71" s="2"/>
      <c r="H71" s="2"/>
      <c r="I71" s="3"/>
      <c r="J71" s="18" t="s">
        <v>296</v>
      </c>
      <c r="K71" s="2"/>
      <c r="L71" s="2"/>
      <c r="M71" s="2"/>
      <c r="N71" s="2"/>
      <c r="O71" s="2"/>
      <c r="P71" s="3"/>
      <c r="Q71" s="18" t="s">
        <v>498</v>
      </c>
      <c r="R71" s="2"/>
      <c r="S71" s="2"/>
      <c r="T71" s="2"/>
      <c r="U71" s="2"/>
      <c r="V71" s="2"/>
      <c r="W71" s="3"/>
      <c r="X71" s="18" t="s">
        <v>499</v>
      </c>
      <c r="Y71" s="2"/>
      <c r="Z71" s="2"/>
      <c r="AA71" s="2"/>
      <c r="AB71" s="2"/>
      <c r="AC71" s="2"/>
      <c r="AD71" s="3"/>
      <c r="AE71" s="19" t="s">
        <v>274</v>
      </c>
      <c r="AF71" s="3"/>
      <c r="AG71" s="21" t="s">
        <v>59</v>
      </c>
      <c r="AH71" s="2"/>
      <c r="AI71" s="3"/>
      <c r="AJ71" s="22"/>
      <c r="AK71" s="2"/>
      <c r="AL71" s="3"/>
      <c r="AM71" s="21" t="s">
        <v>266</v>
      </c>
      <c r="AN71" s="2"/>
      <c r="AO71" s="3"/>
      <c r="AP71" s="23">
        <v>46167</v>
      </c>
      <c r="AQ71" s="2"/>
      <c r="AR71" s="3"/>
      <c r="AS71" s="19"/>
      <c r="AT71" s="2"/>
      <c r="AU71" s="3"/>
      <c r="AV71" s="19" t="s">
        <v>59</v>
      </c>
      <c r="AW71" s="2"/>
      <c r="AX71" s="3"/>
      <c r="AY71" s="19"/>
      <c r="AZ71" s="2"/>
      <c r="BA71" s="3"/>
      <c r="BB71" s="19" t="s">
        <v>267</v>
      </c>
      <c r="BC71" s="2"/>
      <c r="BD71" s="3"/>
      <c r="BE71" s="20">
        <v>46246</v>
      </c>
      <c r="BF71" s="2"/>
      <c r="BG71" s="3"/>
      <c r="BH71" s="19"/>
      <c r="BI71" s="2"/>
      <c r="BJ71" s="3"/>
      <c r="BK71" s="18" t="s">
        <v>292</v>
      </c>
      <c r="BL71" s="2"/>
      <c r="BM71" s="2"/>
      <c r="BN71" s="2"/>
      <c r="BO71" s="2"/>
      <c r="BP71" s="2"/>
      <c r="BQ71" s="3"/>
    </row>
    <row r="72" ht="22.5" customHeight="1" spans="1:69">
      <c r="A72" s="16" t="s">
        <v>500</v>
      </c>
      <c r="B72" s="2"/>
      <c r="C72" s="2"/>
      <c r="D72" s="2"/>
      <c r="E72" s="2"/>
      <c r="F72" s="2"/>
      <c r="G72" s="2"/>
      <c r="H72" s="2"/>
      <c r="I72" s="2"/>
      <c r="J72" s="2"/>
      <c r="K72" s="2"/>
      <c r="L72" s="2"/>
      <c r="M72" s="2"/>
      <c r="N72" s="2"/>
      <c r="O72" s="2"/>
      <c r="P72" s="2"/>
      <c r="Q72" s="2"/>
      <c r="R72" s="2"/>
      <c r="S72" s="2"/>
      <c r="T72" s="2"/>
      <c r="U72" s="2"/>
      <c r="V72" s="2"/>
      <c r="W72" s="2"/>
      <c r="X72" s="2"/>
      <c r="Y72" s="2"/>
      <c r="Z72" s="2"/>
      <c r="AA72" s="2"/>
      <c r="AB72" s="2"/>
      <c r="AC72" s="2"/>
      <c r="AD72" s="2"/>
      <c r="AE72" s="2"/>
      <c r="AF72" s="2"/>
      <c r="AG72" s="2"/>
      <c r="AH72" s="2"/>
      <c r="AI72" s="2"/>
      <c r="AJ72" s="2"/>
      <c r="AK72" s="2"/>
      <c r="AL72" s="2"/>
      <c r="AM72" s="2"/>
      <c r="AN72" s="2"/>
      <c r="AO72" s="2"/>
      <c r="AP72" s="2"/>
      <c r="AQ72" s="2"/>
      <c r="AR72" s="2"/>
      <c r="AS72" s="2"/>
      <c r="AT72" s="2"/>
      <c r="AU72" s="2"/>
      <c r="AV72" s="2"/>
      <c r="AW72" s="2"/>
      <c r="AX72" s="2"/>
      <c r="AY72" s="2"/>
      <c r="AZ72" s="2"/>
      <c r="BA72" s="2"/>
      <c r="BB72" s="2"/>
      <c r="BC72" s="2"/>
      <c r="BD72" s="2"/>
      <c r="BE72" s="2"/>
      <c r="BF72" s="2"/>
      <c r="BG72" s="2"/>
      <c r="BH72" s="2"/>
      <c r="BI72" s="2"/>
      <c r="BJ72" s="2"/>
      <c r="BK72" s="2"/>
      <c r="BL72" s="2"/>
      <c r="BM72" s="2"/>
      <c r="BN72" s="2"/>
      <c r="BO72" s="2"/>
      <c r="BP72" s="2"/>
      <c r="BQ72" s="3"/>
    </row>
    <row r="73" ht="207.75" customHeight="1" spans="1:69">
      <c r="A73" s="17">
        <v>56</v>
      </c>
      <c r="B73" s="18" t="s">
        <v>501</v>
      </c>
      <c r="C73" s="2"/>
      <c r="D73" s="3"/>
      <c r="E73" s="18" t="s">
        <v>502</v>
      </c>
      <c r="F73" s="2"/>
      <c r="G73" s="2"/>
      <c r="H73" s="2"/>
      <c r="I73" s="3"/>
      <c r="J73" s="18" t="s">
        <v>503</v>
      </c>
      <c r="K73" s="2"/>
      <c r="L73" s="2"/>
      <c r="M73" s="2"/>
      <c r="N73" s="2"/>
      <c r="O73" s="2"/>
      <c r="P73" s="3"/>
      <c r="Q73" s="18" t="s">
        <v>504</v>
      </c>
      <c r="R73" s="2"/>
      <c r="S73" s="2"/>
      <c r="T73" s="2"/>
      <c r="U73" s="2"/>
      <c r="V73" s="2"/>
      <c r="W73" s="3"/>
      <c r="X73" s="18" t="s">
        <v>505</v>
      </c>
      <c r="Y73" s="2"/>
      <c r="Z73" s="2"/>
      <c r="AA73" s="2"/>
      <c r="AB73" s="2"/>
      <c r="AC73" s="2"/>
      <c r="AD73" s="3"/>
      <c r="AE73" s="19" t="s">
        <v>274</v>
      </c>
      <c r="AF73" s="3"/>
      <c r="AG73" s="21" t="s">
        <v>59</v>
      </c>
      <c r="AH73" s="2"/>
      <c r="AI73" s="3"/>
      <c r="AJ73" s="22"/>
      <c r="AK73" s="2"/>
      <c r="AL73" s="3"/>
      <c r="AM73" s="21" t="s">
        <v>266</v>
      </c>
      <c r="AN73" s="2"/>
      <c r="AO73" s="3"/>
      <c r="AP73" s="23">
        <v>46167</v>
      </c>
      <c r="AQ73" s="2"/>
      <c r="AR73" s="3"/>
      <c r="AS73" s="19"/>
      <c r="AT73" s="2"/>
      <c r="AU73" s="3"/>
      <c r="AV73" s="19" t="s">
        <v>59</v>
      </c>
      <c r="AW73" s="2"/>
      <c r="AX73" s="3"/>
      <c r="AY73" s="19"/>
      <c r="AZ73" s="2"/>
      <c r="BA73" s="3"/>
      <c r="BB73" s="19" t="s">
        <v>267</v>
      </c>
      <c r="BC73" s="2"/>
      <c r="BD73" s="3"/>
      <c r="BE73" s="20">
        <v>46246</v>
      </c>
      <c r="BF73" s="2"/>
      <c r="BG73" s="3"/>
      <c r="BH73" s="19"/>
      <c r="BI73" s="2"/>
      <c r="BJ73" s="3"/>
      <c r="BK73" s="18"/>
      <c r="BL73" s="2"/>
      <c r="BM73" s="2"/>
      <c r="BN73" s="2"/>
      <c r="BO73" s="2"/>
      <c r="BP73" s="2"/>
      <c r="BQ73" s="3"/>
    </row>
    <row r="74" ht="223.5" customHeight="1" spans="1:69">
      <c r="A74" s="17">
        <v>57</v>
      </c>
      <c r="B74" s="18" t="s">
        <v>506</v>
      </c>
      <c r="C74" s="2"/>
      <c r="D74" s="3"/>
      <c r="E74" s="18" t="s">
        <v>507</v>
      </c>
      <c r="F74" s="2"/>
      <c r="G74" s="2"/>
      <c r="H74" s="2"/>
      <c r="I74" s="3"/>
      <c r="J74" s="18" t="s">
        <v>301</v>
      </c>
      <c r="K74" s="2"/>
      <c r="L74" s="2"/>
      <c r="M74" s="2"/>
      <c r="N74" s="2"/>
      <c r="O74" s="2"/>
      <c r="P74" s="3"/>
      <c r="Q74" s="18" t="s">
        <v>508</v>
      </c>
      <c r="R74" s="2"/>
      <c r="S74" s="2"/>
      <c r="T74" s="2"/>
      <c r="U74" s="2"/>
      <c r="V74" s="2"/>
      <c r="W74" s="3"/>
      <c r="X74" s="18" t="s">
        <v>509</v>
      </c>
      <c r="Y74" s="2"/>
      <c r="Z74" s="2"/>
      <c r="AA74" s="2"/>
      <c r="AB74" s="2"/>
      <c r="AC74" s="2"/>
      <c r="AD74" s="3"/>
      <c r="AE74" s="19" t="s">
        <v>209</v>
      </c>
      <c r="AF74" s="3"/>
      <c r="AG74" s="21" t="s">
        <v>59</v>
      </c>
      <c r="AH74" s="2"/>
      <c r="AI74" s="3"/>
      <c r="AJ74" s="22"/>
      <c r="AK74" s="2"/>
      <c r="AL74" s="3"/>
      <c r="AM74" s="21" t="s">
        <v>266</v>
      </c>
      <c r="AN74" s="2"/>
      <c r="AO74" s="3"/>
      <c r="AP74" s="23">
        <v>46167</v>
      </c>
      <c r="AQ74" s="2"/>
      <c r="AR74" s="3"/>
      <c r="AS74" s="19"/>
      <c r="AT74" s="2"/>
      <c r="AU74" s="3"/>
      <c r="AV74" s="19" t="s">
        <v>59</v>
      </c>
      <c r="AW74" s="2"/>
      <c r="AX74" s="3"/>
      <c r="AY74" s="19"/>
      <c r="AZ74" s="2"/>
      <c r="BA74" s="3"/>
      <c r="BB74" s="19" t="s">
        <v>267</v>
      </c>
      <c r="BC74" s="2"/>
      <c r="BD74" s="3"/>
      <c r="BE74" s="20">
        <v>46246</v>
      </c>
      <c r="BF74" s="2"/>
      <c r="BG74" s="3"/>
      <c r="BH74" s="19"/>
      <c r="BI74" s="2"/>
      <c r="BJ74" s="3"/>
      <c r="BK74" s="18"/>
      <c r="BL74" s="2"/>
      <c r="BM74" s="2"/>
      <c r="BN74" s="2"/>
      <c r="BO74" s="2"/>
      <c r="BP74" s="2"/>
      <c r="BQ74" s="3"/>
    </row>
    <row r="75" ht="319.5" customHeight="1" spans="1:69">
      <c r="A75" s="17">
        <v>58</v>
      </c>
      <c r="B75" s="18" t="s">
        <v>510</v>
      </c>
      <c r="C75" s="2"/>
      <c r="D75" s="3"/>
      <c r="E75" s="18" t="s">
        <v>511</v>
      </c>
      <c r="F75" s="2"/>
      <c r="G75" s="2"/>
      <c r="H75" s="2"/>
      <c r="I75" s="3"/>
      <c r="J75" s="18" t="s">
        <v>503</v>
      </c>
      <c r="K75" s="2"/>
      <c r="L75" s="2"/>
      <c r="M75" s="2"/>
      <c r="N75" s="2"/>
      <c r="O75" s="2"/>
      <c r="P75" s="3"/>
      <c r="Q75" s="18" t="s">
        <v>512</v>
      </c>
      <c r="R75" s="2"/>
      <c r="S75" s="2"/>
      <c r="T75" s="2"/>
      <c r="U75" s="2"/>
      <c r="V75" s="2"/>
      <c r="W75" s="3"/>
      <c r="X75" s="18" t="s">
        <v>513</v>
      </c>
      <c r="Y75" s="2"/>
      <c r="Z75" s="2"/>
      <c r="AA75" s="2"/>
      <c r="AB75" s="2"/>
      <c r="AC75" s="2"/>
      <c r="AD75" s="3"/>
      <c r="AE75" s="19" t="s">
        <v>274</v>
      </c>
      <c r="AF75" s="3"/>
      <c r="AG75" s="21" t="s">
        <v>59</v>
      </c>
      <c r="AH75" s="2"/>
      <c r="AI75" s="3"/>
      <c r="AJ75" s="22"/>
      <c r="AK75" s="2"/>
      <c r="AL75" s="3"/>
      <c r="AM75" s="21" t="s">
        <v>266</v>
      </c>
      <c r="AN75" s="2"/>
      <c r="AO75" s="3"/>
      <c r="AP75" s="23">
        <v>46167</v>
      </c>
      <c r="AQ75" s="2"/>
      <c r="AR75" s="3"/>
      <c r="AS75" s="19"/>
      <c r="AT75" s="2"/>
      <c r="AU75" s="3"/>
      <c r="AV75" s="19" t="s">
        <v>59</v>
      </c>
      <c r="AW75" s="2"/>
      <c r="AX75" s="3"/>
      <c r="AY75" s="19"/>
      <c r="AZ75" s="2"/>
      <c r="BA75" s="3"/>
      <c r="BB75" s="19" t="s">
        <v>267</v>
      </c>
      <c r="BC75" s="2"/>
      <c r="BD75" s="3"/>
      <c r="BE75" s="20">
        <v>46246</v>
      </c>
      <c r="BF75" s="2"/>
      <c r="BG75" s="3"/>
      <c r="BH75" s="19"/>
      <c r="BI75" s="2"/>
      <c r="BJ75" s="3"/>
      <c r="BK75" s="18"/>
      <c r="BL75" s="2"/>
      <c r="BM75" s="2"/>
      <c r="BN75" s="2"/>
      <c r="BO75" s="2"/>
      <c r="BP75" s="2"/>
      <c r="BQ75" s="3"/>
    </row>
    <row r="76" ht="288" customHeight="1" spans="1:69">
      <c r="A76" s="17">
        <v>59</v>
      </c>
      <c r="B76" s="18" t="s">
        <v>514</v>
      </c>
      <c r="C76" s="2"/>
      <c r="D76" s="3"/>
      <c r="E76" s="18" t="s">
        <v>515</v>
      </c>
      <c r="F76" s="2"/>
      <c r="G76" s="2"/>
      <c r="H76" s="2"/>
      <c r="I76" s="3"/>
      <c r="J76" s="18" t="s">
        <v>516</v>
      </c>
      <c r="K76" s="2"/>
      <c r="L76" s="2"/>
      <c r="M76" s="2"/>
      <c r="N76" s="2"/>
      <c r="O76" s="2"/>
      <c r="P76" s="3"/>
      <c r="Q76" s="18" t="s">
        <v>517</v>
      </c>
      <c r="R76" s="2"/>
      <c r="S76" s="2"/>
      <c r="T76" s="2"/>
      <c r="U76" s="2"/>
      <c r="V76" s="2"/>
      <c r="W76" s="3"/>
      <c r="X76" s="18" t="s">
        <v>518</v>
      </c>
      <c r="Y76" s="2"/>
      <c r="Z76" s="2"/>
      <c r="AA76" s="2"/>
      <c r="AB76" s="2"/>
      <c r="AC76" s="2"/>
      <c r="AD76" s="3"/>
      <c r="AE76" s="19" t="s">
        <v>209</v>
      </c>
      <c r="AF76" s="3"/>
      <c r="AG76" s="21" t="s">
        <v>59</v>
      </c>
      <c r="AH76" s="2"/>
      <c r="AI76" s="3"/>
      <c r="AJ76" s="22"/>
      <c r="AK76" s="2"/>
      <c r="AL76" s="3"/>
      <c r="AM76" s="21" t="s">
        <v>266</v>
      </c>
      <c r="AN76" s="2"/>
      <c r="AO76" s="3"/>
      <c r="AP76" s="23">
        <v>46167</v>
      </c>
      <c r="AQ76" s="2"/>
      <c r="AR76" s="3"/>
      <c r="AS76" s="19"/>
      <c r="AT76" s="2"/>
      <c r="AU76" s="3"/>
      <c r="AV76" s="19" t="s">
        <v>59</v>
      </c>
      <c r="AW76" s="2"/>
      <c r="AX76" s="3"/>
      <c r="AY76" s="19"/>
      <c r="AZ76" s="2"/>
      <c r="BA76" s="3"/>
      <c r="BB76" s="19" t="s">
        <v>267</v>
      </c>
      <c r="BC76" s="2"/>
      <c r="BD76" s="3"/>
      <c r="BE76" s="20">
        <v>46246</v>
      </c>
      <c r="BF76" s="2"/>
      <c r="BG76" s="3"/>
      <c r="BH76" s="19"/>
      <c r="BI76" s="2"/>
      <c r="BJ76" s="3"/>
      <c r="BK76" s="18"/>
      <c r="BL76" s="2"/>
      <c r="BM76" s="2"/>
      <c r="BN76" s="2"/>
      <c r="BO76" s="2"/>
      <c r="BP76" s="2"/>
      <c r="BQ76" s="3"/>
    </row>
    <row r="77" ht="159.75" customHeight="1" spans="1:69">
      <c r="A77" s="17">
        <v>60</v>
      </c>
      <c r="B77" s="18" t="s">
        <v>519</v>
      </c>
      <c r="C77" s="2"/>
      <c r="D77" s="3"/>
      <c r="E77" s="18" t="s">
        <v>520</v>
      </c>
      <c r="F77" s="2"/>
      <c r="G77" s="2"/>
      <c r="H77" s="2"/>
      <c r="I77" s="3"/>
      <c r="J77" s="18" t="s">
        <v>296</v>
      </c>
      <c r="K77" s="2"/>
      <c r="L77" s="2"/>
      <c r="M77" s="2"/>
      <c r="N77" s="2"/>
      <c r="O77" s="2"/>
      <c r="P77" s="3"/>
      <c r="Q77" s="18" t="s">
        <v>521</v>
      </c>
      <c r="R77" s="2"/>
      <c r="S77" s="2"/>
      <c r="T77" s="2"/>
      <c r="U77" s="2"/>
      <c r="V77" s="2"/>
      <c r="W77" s="3"/>
      <c r="X77" s="18" t="s">
        <v>522</v>
      </c>
      <c r="Y77" s="2"/>
      <c r="Z77" s="2"/>
      <c r="AA77" s="2"/>
      <c r="AB77" s="2"/>
      <c r="AC77" s="2"/>
      <c r="AD77" s="3"/>
      <c r="AE77" s="19" t="s">
        <v>209</v>
      </c>
      <c r="AF77" s="3"/>
      <c r="AG77" s="21" t="s">
        <v>59</v>
      </c>
      <c r="AH77" s="2"/>
      <c r="AI77" s="3"/>
      <c r="AJ77" s="22"/>
      <c r="AK77" s="2"/>
      <c r="AL77" s="3"/>
      <c r="AM77" s="21" t="s">
        <v>266</v>
      </c>
      <c r="AN77" s="2"/>
      <c r="AO77" s="3"/>
      <c r="AP77" s="23">
        <v>46167</v>
      </c>
      <c r="AQ77" s="2"/>
      <c r="AR77" s="3"/>
      <c r="AS77" s="19"/>
      <c r="AT77" s="2"/>
      <c r="AU77" s="3"/>
      <c r="AV77" s="19" t="s">
        <v>59</v>
      </c>
      <c r="AW77" s="2"/>
      <c r="AX77" s="3"/>
      <c r="AY77" s="19"/>
      <c r="AZ77" s="2"/>
      <c r="BA77" s="3"/>
      <c r="BB77" s="19" t="s">
        <v>267</v>
      </c>
      <c r="BC77" s="2"/>
      <c r="BD77" s="3"/>
      <c r="BE77" s="20">
        <v>46246</v>
      </c>
      <c r="BF77" s="2"/>
      <c r="BG77" s="3"/>
      <c r="BH77" s="19"/>
      <c r="BI77" s="2"/>
      <c r="BJ77" s="3"/>
      <c r="BK77" s="18"/>
      <c r="BL77" s="2"/>
      <c r="BM77" s="2"/>
      <c r="BN77" s="2"/>
      <c r="BO77" s="2"/>
      <c r="BP77" s="2"/>
      <c r="BQ77" s="3"/>
    </row>
    <row r="78" ht="192" customHeight="1" spans="1:69">
      <c r="A78" s="17">
        <v>61</v>
      </c>
      <c r="B78" s="18" t="s">
        <v>523</v>
      </c>
      <c r="C78" s="2"/>
      <c r="D78" s="3"/>
      <c r="E78" s="18" t="s">
        <v>524</v>
      </c>
      <c r="F78" s="2"/>
      <c r="G78" s="2"/>
      <c r="H78" s="2"/>
      <c r="I78" s="3"/>
      <c r="J78" s="18" t="s">
        <v>525</v>
      </c>
      <c r="K78" s="2"/>
      <c r="L78" s="2"/>
      <c r="M78" s="2"/>
      <c r="N78" s="2"/>
      <c r="O78" s="2"/>
      <c r="P78" s="3"/>
      <c r="Q78" s="18" t="s">
        <v>526</v>
      </c>
      <c r="R78" s="2"/>
      <c r="S78" s="2"/>
      <c r="T78" s="2"/>
      <c r="U78" s="2"/>
      <c r="V78" s="2"/>
      <c r="W78" s="3"/>
      <c r="X78" s="18" t="s">
        <v>527</v>
      </c>
      <c r="Y78" s="2"/>
      <c r="Z78" s="2"/>
      <c r="AA78" s="2"/>
      <c r="AB78" s="2"/>
      <c r="AC78" s="2"/>
      <c r="AD78" s="3"/>
      <c r="AE78" s="19" t="s">
        <v>209</v>
      </c>
      <c r="AF78" s="3"/>
      <c r="AG78" s="21" t="s">
        <v>59</v>
      </c>
      <c r="AH78" s="2"/>
      <c r="AI78" s="3"/>
      <c r="AJ78" s="22"/>
      <c r="AK78" s="2"/>
      <c r="AL78" s="3"/>
      <c r="AM78" s="21" t="s">
        <v>266</v>
      </c>
      <c r="AN78" s="2"/>
      <c r="AO78" s="3"/>
      <c r="AP78" s="23">
        <v>46167</v>
      </c>
      <c r="AQ78" s="2"/>
      <c r="AR78" s="3"/>
      <c r="AS78" s="19"/>
      <c r="AT78" s="2"/>
      <c r="AU78" s="3"/>
      <c r="AV78" s="19" t="s">
        <v>59</v>
      </c>
      <c r="AW78" s="2"/>
      <c r="AX78" s="3"/>
      <c r="AY78" s="19"/>
      <c r="AZ78" s="2"/>
      <c r="BA78" s="3"/>
      <c r="BB78" s="19" t="s">
        <v>267</v>
      </c>
      <c r="BC78" s="2"/>
      <c r="BD78" s="3"/>
      <c r="BE78" s="20">
        <v>46246</v>
      </c>
      <c r="BF78" s="2"/>
      <c r="BG78" s="3"/>
      <c r="BH78" s="19"/>
      <c r="BI78" s="2"/>
      <c r="BJ78" s="3"/>
      <c r="BK78" s="18"/>
      <c r="BL78" s="2"/>
      <c r="BM78" s="2"/>
      <c r="BN78" s="2"/>
      <c r="BO78" s="2"/>
      <c r="BP78" s="2"/>
      <c r="BQ78" s="3"/>
    </row>
    <row r="79" ht="255.75" customHeight="1" spans="1:69">
      <c r="A79" s="24">
        <v>62</v>
      </c>
      <c r="B79" s="25" t="s">
        <v>528</v>
      </c>
      <c r="C79" s="2"/>
      <c r="D79" s="3"/>
      <c r="E79" s="25" t="s">
        <v>529</v>
      </c>
      <c r="F79" s="2"/>
      <c r="G79" s="2"/>
      <c r="H79" s="2"/>
      <c r="I79" s="3"/>
      <c r="J79" s="25" t="s">
        <v>503</v>
      </c>
      <c r="K79" s="2"/>
      <c r="L79" s="2"/>
      <c r="M79" s="2"/>
      <c r="N79" s="2"/>
      <c r="O79" s="2"/>
      <c r="P79" s="3"/>
      <c r="Q79" s="25" t="s">
        <v>530</v>
      </c>
      <c r="R79" s="2"/>
      <c r="S79" s="2"/>
      <c r="T79" s="2"/>
      <c r="U79" s="2"/>
      <c r="V79" s="2"/>
      <c r="W79" s="3"/>
      <c r="X79" s="25" t="s">
        <v>531</v>
      </c>
      <c r="Y79" s="2"/>
      <c r="Z79" s="2"/>
      <c r="AA79" s="2"/>
      <c r="AB79" s="2"/>
      <c r="AC79" s="2"/>
      <c r="AD79" s="3"/>
      <c r="AE79" s="26" t="s">
        <v>209</v>
      </c>
      <c r="AF79" s="3"/>
      <c r="AG79" s="26" t="s">
        <v>62</v>
      </c>
      <c r="AH79" s="2"/>
      <c r="AI79" s="3"/>
      <c r="AJ79" s="26"/>
      <c r="AK79" s="2"/>
      <c r="AL79" s="3"/>
      <c r="AM79" s="21" t="s">
        <v>266</v>
      </c>
      <c r="AN79" s="2"/>
      <c r="AO79" s="3"/>
      <c r="AP79" s="23">
        <v>46167</v>
      </c>
      <c r="AQ79" s="2"/>
      <c r="AR79" s="3"/>
      <c r="AS79" s="26"/>
      <c r="AT79" s="2"/>
      <c r="AU79" s="3"/>
      <c r="AV79" s="26" t="s">
        <v>62</v>
      </c>
      <c r="AW79" s="2"/>
      <c r="AX79" s="3"/>
      <c r="AY79" s="26"/>
      <c r="AZ79" s="2"/>
      <c r="BA79" s="3"/>
      <c r="BB79" s="19" t="s">
        <v>267</v>
      </c>
      <c r="BC79" s="2"/>
      <c r="BD79" s="3"/>
      <c r="BE79" s="20">
        <v>46246</v>
      </c>
      <c r="BF79" s="2"/>
      <c r="BG79" s="3"/>
      <c r="BH79" s="26"/>
      <c r="BI79" s="2"/>
      <c r="BJ79" s="3"/>
      <c r="BK79" s="25"/>
      <c r="BL79" s="2"/>
      <c r="BM79" s="2"/>
      <c r="BN79" s="2"/>
      <c r="BO79" s="2"/>
      <c r="BP79" s="2"/>
      <c r="BQ79" s="3"/>
    </row>
    <row r="80" ht="303.75" customHeight="1" spans="1:69">
      <c r="A80" s="17">
        <v>63</v>
      </c>
      <c r="B80" s="18" t="s">
        <v>532</v>
      </c>
      <c r="C80" s="2"/>
      <c r="D80" s="3"/>
      <c r="E80" s="18" t="s">
        <v>533</v>
      </c>
      <c r="F80" s="2"/>
      <c r="G80" s="2"/>
      <c r="H80" s="2"/>
      <c r="I80" s="3"/>
      <c r="J80" s="18" t="s">
        <v>503</v>
      </c>
      <c r="K80" s="2"/>
      <c r="L80" s="2"/>
      <c r="M80" s="2"/>
      <c r="N80" s="2"/>
      <c r="O80" s="2"/>
      <c r="P80" s="3"/>
      <c r="Q80" s="18" t="s">
        <v>534</v>
      </c>
      <c r="R80" s="2"/>
      <c r="S80" s="2"/>
      <c r="T80" s="2"/>
      <c r="U80" s="2"/>
      <c r="V80" s="2"/>
      <c r="W80" s="3"/>
      <c r="X80" s="18" t="s">
        <v>535</v>
      </c>
      <c r="Y80" s="2"/>
      <c r="Z80" s="2"/>
      <c r="AA80" s="2"/>
      <c r="AB80" s="2"/>
      <c r="AC80" s="2"/>
      <c r="AD80" s="3"/>
      <c r="AE80" s="19" t="s">
        <v>274</v>
      </c>
      <c r="AF80" s="3"/>
      <c r="AG80" s="21" t="s">
        <v>59</v>
      </c>
      <c r="AH80" s="2"/>
      <c r="AI80" s="3"/>
      <c r="AJ80" s="22"/>
      <c r="AK80" s="2"/>
      <c r="AL80" s="3"/>
      <c r="AM80" s="21" t="s">
        <v>266</v>
      </c>
      <c r="AN80" s="2"/>
      <c r="AO80" s="3"/>
      <c r="AP80" s="23">
        <v>46167</v>
      </c>
      <c r="AQ80" s="2"/>
      <c r="AR80" s="3"/>
      <c r="AS80" s="19"/>
      <c r="AT80" s="2"/>
      <c r="AU80" s="3"/>
      <c r="AV80" s="19" t="s">
        <v>59</v>
      </c>
      <c r="AW80" s="2"/>
      <c r="AX80" s="3"/>
      <c r="AY80" s="19"/>
      <c r="AZ80" s="2"/>
      <c r="BA80" s="3"/>
      <c r="BB80" s="19" t="s">
        <v>267</v>
      </c>
      <c r="BC80" s="2"/>
      <c r="BD80" s="3"/>
      <c r="BE80" s="20">
        <v>46246</v>
      </c>
      <c r="BF80" s="2"/>
      <c r="BG80" s="3"/>
      <c r="BH80" s="19"/>
      <c r="BI80" s="2"/>
      <c r="BJ80" s="3"/>
      <c r="BK80" s="18" t="s">
        <v>292</v>
      </c>
      <c r="BL80" s="2"/>
      <c r="BM80" s="2"/>
      <c r="BN80" s="2"/>
      <c r="BO80" s="2"/>
      <c r="BP80" s="2"/>
      <c r="BQ80" s="3"/>
    </row>
    <row r="81" ht="22.5" customHeight="1" spans="1:69">
      <c r="A81" s="16" t="s">
        <v>536</v>
      </c>
      <c r="B81" s="2"/>
      <c r="C81" s="2"/>
      <c r="D81" s="2"/>
      <c r="E81" s="2"/>
      <c r="F81" s="2"/>
      <c r="G81" s="2"/>
      <c r="H81" s="2"/>
      <c r="I81" s="2"/>
      <c r="J81" s="2"/>
      <c r="K81" s="2"/>
      <c r="L81" s="2"/>
      <c r="M81" s="2"/>
      <c r="N81" s="2"/>
      <c r="O81" s="2"/>
      <c r="P81" s="2"/>
      <c r="Q81" s="2"/>
      <c r="R81" s="2"/>
      <c r="S81" s="2"/>
      <c r="T81" s="2"/>
      <c r="U81" s="2"/>
      <c r="V81" s="2"/>
      <c r="W81" s="2"/>
      <c r="X81" s="2"/>
      <c r="Y81" s="2"/>
      <c r="Z81" s="2"/>
      <c r="AA81" s="2"/>
      <c r="AB81" s="2"/>
      <c r="AC81" s="2"/>
      <c r="AD81" s="2"/>
      <c r="AE81" s="2"/>
      <c r="AF81" s="2"/>
      <c r="AG81" s="2"/>
      <c r="AH81" s="2"/>
      <c r="AI81" s="2"/>
      <c r="AJ81" s="2"/>
      <c r="AK81" s="2"/>
      <c r="AL81" s="2"/>
      <c r="AM81" s="2"/>
      <c r="AN81" s="2"/>
      <c r="AO81" s="2"/>
      <c r="AP81" s="2"/>
      <c r="AQ81" s="2"/>
      <c r="AR81" s="2"/>
      <c r="AS81" s="2"/>
      <c r="AT81" s="2"/>
      <c r="AU81" s="2"/>
      <c r="AV81" s="2"/>
      <c r="AW81" s="2"/>
      <c r="AX81" s="2"/>
      <c r="AY81" s="2"/>
      <c r="AZ81" s="2"/>
      <c r="BA81" s="2"/>
      <c r="BB81" s="2"/>
      <c r="BC81" s="2"/>
      <c r="BD81" s="2"/>
      <c r="BE81" s="2"/>
      <c r="BF81" s="2"/>
      <c r="BG81" s="2"/>
      <c r="BH81" s="2"/>
      <c r="BI81" s="2"/>
      <c r="BJ81" s="2"/>
      <c r="BK81" s="2"/>
      <c r="BL81" s="2"/>
      <c r="BM81" s="2"/>
      <c r="BN81" s="2"/>
      <c r="BO81" s="2"/>
      <c r="BP81" s="2"/>
      <c r="BQ81" s="3"/>
    </row>
    <row r="82" ht="255.75" customHeight="1" spans="1:69">
      <c r="A82" s="17">
        <v>64</v>
      </c>
      <c r="B82" s="18" t="s">
        <v>537</v>
      </c>
      <c r="C82" s="2"/>
      <c r="D82" s="3"/>
      <c r="E82" s="18" t="s">
        <v>538</v>
      </c>
      <c r="F82" s="2"/>
      <c r="G82" s="2"/>
      <c r="H82" s="2"/>
      <c r="I82" s="3"/>
      <c r="J82" s="18" t="s">
        <v>539</v>
      </c>
      <c r="K82" s="2"/>
      <c r="L82" s="2"/>
      <c r="M82" s="2"/>
      <c r="N82" s="2"/>
      <c r="O82" s="2"/>
      <c r="P82" s="3"/>
      <c r="Q82" s="18" t="s">
        <v>540</v>
      </c>
      <c r="R82" s="2"/>
      <c r="S82" s="2"/>
      <c r="T82" s="2"/>
      <c r="U82" s="2"/>
      <c r="V82" s="2"/>
      <c r="W82" s="3"/>
      <c r="X82" s="18" t="s">
        <v>541</v>
      </c>
      <c r="Y82" s="2"/>
      <c r="Z82" s="2"/>
      <c r="AA82" s="2"/>
      <c r="AB82" s="2"/>
      <c r="AC82" s="2"/>
      <c r="AD82" s="3"/>
      <c r="AE82" s="19" t="s">
        <v>209</v>
      </c>
      <c r="AF82" s="3"/>
      <c r="AG82" s="21" t="s">
        <v>59</v>
      </c>
      <c r="AH82" s="2"/>
      <c r="AI82" s="3"/>
      <c r="AJ82" s="22"/>
      <c r="AK82" s="2"/>
      <c r="AL82" s="3"/>
      <c r="AM82" s="21" t="s">
        <v>266</v>
      </c>
      <c r="AN82" s="2"/>
      <c r="AO82" s="3"/>
      <c r="AP82" s="23">
        <v>46167</v>
      </c>
      <c r="AQ82" s="2"/>
      <c r="AR82" s="3"/>
      <c r="AS82" s="19"/>
      <c r="AT82" s="2"/>
      <c r="AU82" s="3"/>
      <c r="AV82" s="19" t="s">
        <v>59</v>
      </c>
      <c r="AW82" s="2"/>
      <c r="AX82" s="3"/>
      <c r="AY82" s="19"/>
      <c r="AZ82" s="2"/>
      <c r="BA82" s="3"/>
      <c r="BB82" s="19" t="s">
        <v>267</v>
      </c>
      <c r="BC82" s="2"/>
      <c r="BD82" s="3"/>
      <c r="BE82" s="20">
        <v>46246</v>
      </c>
      <c r="BF82" s="2"/>
      <c r="BG82" s="3"/>
      <c r="BH82" s="19"/>
      <c r="BI82" s="2"/>
      <c r="BJ82" s="3"/>
      <c r="BK82" s="18"/>
      <c r="BL82" s="2"/>
      <c r="BM82" s="2"/>
      <c r="BN82" s="2"/>
      <c r="BO82" s="2"/>
      <c r="BP82" s="2"/>
      <c r="BQ82" s="3"/>
    </row>
    <row r="83" ht="144" customHeight="1" spans="1:69">
      <c r="A83" s="17">
        <v>65</v>
      </c>
      <c r="B83" s="18" t="s">
        <v>542</v>
      </c>
      <c r="C83" s="2"/>
      <c r="D83" s="3"/>
      <c r="E83" s="18" t="s">
        <v>543</v>
      </c>
      <c r="F83" s="2"/>
      <c r="G83" s="2"/>
      <c r="H83" s="2"/>
      <c r="I83" s="3"/>
      <c r="J83" s="18" t="s">
        <v>296</v>
      </c>
      <c r="K83" s="2"/>
      <c r="L83" s="2"/>
      <c r="M83" s="2"/>
      <c r="N83" s="2"/>
      <c r="O83" s="2"/>
      <c r="P83" s="3"/>
      <c r="Q83" s="18" t="s">
        <v>544</v>
      </c>
      <c r="R83" s="2"/>
      <c r="S83" s="2"/>
      <c r="T83" s="2"/>
      <c r="U83" s="2"/>
      <c r="V83" s="2"/>
      <c r="W83" s="3"/>
      <c r="X83" s="18" t="s">
        <v>545</v>
      </c>
      <c r="Y83" s="2"/>
      <c r="Z83" s="2"/>
      <c r="AA83" s="2"/>
      <c r="AB83" s="2"/>
      <c r="AC83" s="2"/>
      <c r="AD83" s="3"/>
      <c r="AE83" s="19" t="s">
        <v>209</v>
      </c>
      <c r="AF83" s="3"/>
      <c r="AG83" s="21" t="s">
        <v>59</v>
      </c>
      <c r="AH83" s="2"/>
      <c r="AI83" s="3"/>
      <c r="AJ83" s="22"/>
      <c r="AK83" s="2"/>
      <c r="AL83" s="3"/>
      <c r="AM83" s="21" t="s">
        <v>266</v>
      </c>
      <c r="AN83" s="2"/>
      <c r="AO83" s="3"/>
      <c r="AP83" s="23">
        <v>46167</v>
      </c>
      <c r="AQ83" s="2"/>
      <c r="AR83" s="3"/>
      <c r="AS83" s="19"/>
      <c r="AT83" s="2"/>
      <c r="AU83" s="3"/>
      <c r="AV83" s="19" t="s">
        <v>59</v>
      </c>
      <c r="AW83" s="2"/>
      <c r="AX83" s="3"/>
      <c r="AY83" s="19"/>
      <c r="AZ83" s="2"/>
      <c r="BA83" s="3"/>
      <c r="BB83" s="19" t="s">
        <v>267</v>
      </c>
      <c r="BC83" s="2"/>
      <c r="BD83" s="3"/>
      <c r="BE83" s="20">
        <v>46246</v>
      </c>
      <c r="BF83" s="2"/>
      <c r="BG83" s="3"/>
      <c r="BH83" s="19"/>
      <c r="BI83" s="2"/>
      <c r="BJ83" s="3"/>
      <c r="BK83" s="18"/>
      <c r="BL83" s="2"/>
      <c r="BM83" s="2"/>
      <c r="BN83" s="2"/>
      <c r="BO83" s="2"/>
      <c r="BP83" s="2"/>
      <c r="BQ83" s="3"/>
    </row>
    <row r="84" ht="240" customHeight="1" spans="1:69">
      <c r="A84" s="17">
        <v>66</v>
      </c>
      <c r="B84" s="18" t="s">
        <v>546</v>
      </c>
      <c r="C84" s="2"/>
      <c r="D84" s="3"/>
      <c r="E84" s="18" t="s">
        <v>547</v>
      </c>
      <c r="F84" s="2"/>
      <c r="G84" s="2"/>
      <c r="H84" s="2"/>
      <c r="I84" s="3"/>
      <c r="J84" s="18" t="s">
        <v>296</v>
      </c>
      <c r="K84" s="2"/>
      <c r="L84" s="2"/>
      <c r="M84" s="2"/>
      <c r="N84" s="2"/>
      <c r="O84" s="2"/>
      <c r="P84" s="3"/>
      <c r="Q84" s="18" t="s">
        <v>548</v>
      </c>
      <c r="R84" s="2"/>
      <c r="S84" s="2"/>
      <c r="T84" s="2"/>
      <c r="U84" s="2"/>
      <c r="V84" s="2"/>
      <c r="W84" s="3"/>
      <c r="X84" s="18" t="s">
        <v>549</v>
      </c>
      <c r="Y84" s="2"/>
      <c r="Z84" s="2"/>
      <c r="AA84" s="2"/>
      <c r="AB84" s="2"/>
      <c r="AC84" s="2"/>
      <c r="AD84" s="3"/>
      <c r="AE84" s="19" t="s">
        <v>209</v>
      </c>
      <c r="AF84" s="3"/>
      <c r="AG84" s="21" t="s">
        <v>59</v>
      </c>
      <c r="AH84" s="2"/>
      <c r="AI84" s="3"/>
      <c r="AJ84" s="22"/>
      <c r="AK84" s="2"/>
      <c r="AL84" s="3"/>
      <c r="AM84" s="21" t="s">
        <v>266</v>
      </c>
      <c r="AN84" s="2"/>
      <c r="AO84" s="3"/>
      <c r="AP84" s="23">
        <v>46167</v>
      </c>
      <c r="AQ84" s="2"/>
      <c r="AR84" s="3"/>
      <c r="AS84" s="19"/>
      <c r="AT84" s="2"/>
      <c r="AU84" s="3"/>
      <c r="AV84" s="19" t="s">
        <v>59</v>
      </c>
      <c r="AW84" s="2"/>
      <c r="AX84" s="3"/>
      <c r="AY84" s="19"/>
      <c r="AZ84" s="2"/>
      <c r="BA84" s="3"/>
      <c r="BB84" s="19" t="s">
        <v>267</v>
      </c>
      <c r="BC84" s="2"/>
      <c r="BD84" s="3"/>
      <c r="BE84" s="20">
        <v>46246</v>
      </c>
      <c r="BF84" s="2"/>
      <c r="BG84" s="3"/>
      <c r="BH84" s="19"/>
      <c r="BI84" s="2"/>
      <c r="BJ84" s="3"/>
      <c r="BK84" s="18"/>
      <c r="BL84" s="2"/>
      <c r="BM84" s="2"/>
      <c r="BN84" s="2"/>
      <c r="BO84" s="2"/>
      <c r="BP84" s="2"/>
      <c r="BQ84" s="3"/>
    </row>
    <row r="85" ht="175.5" customHeight="1" spans="1:69">
      <c r="A85" s="17">
        <v>67</v>
      </c>
      <c r="B85" s="18" t="s">
        <v>550</v>
      </c>
      <c r="C85" s="2"/>
      <c r="D85" s="3"/>
      <c r="E85" s="18" t="s">
        <v>551</v>
      </c>
      <c r="F85" s="2"/>
      <c r="G85" s="2"/>
      <c r="H85" s="2"/>
      <c r="I85" s="3"/>
      <c r="J85" s="18" t="s">
        <v>296</v>
      </c>
      <c r="K85" s="2"/>
      <c r="L85" s="2"/>
      <c r="M85" s="2"/>
      <c r="N85" s="2"/>
      <c r="O85" s="2"/>
      <c r="P85" s="3"/>
      <c r="Q85" s="18" t="s">
        <v>552</v>
      </c>
      <c r="R85" s="2"/>
      <c r="S85" s="2"/>
      <c r="T85" s="2"/>
      <c r="U85" s="2"/>
      <c r="V85" s="2"/>
      <c r="W85" s="3"/>
      <c r="X85" s="18" t="s">
        <v>553</v>
      </c>
      <c r="Y85" s="2"/>
      <c r="Z85" s="2"/>
      <c r="AA85" s="2"/>
      <c r="AB85" s="2"/>
      <c r="AC85" s="2"/>
      <c r="AD85" s="3"/>
      <c r="AE85" s="19" t="s">
        <v>209</v>
      </c>
      <c r="AF85" s="3"/>
      <c r="AG85" s="21" t="s">
        <v>59</v>
      </c>
      <c r="AH85" s="2"/>
      <c r="AI85" s="3"/>
      <c r="AJ85" s="22"/>
      <c r="AK85" s="2"/>
      <c r="AL85" s="3"/>
      <c r="AM85" s="21" t="s">
        <v>266</v>
      </c>
      <c r="AN85" s="2"/>
      <c r="AO85" s="3"/>
      <c r="AP85" s="23">
        <v>46167</v>
      </c>
      <c r="AQ85" s="2"/>
      <c r="AR85" s="3"/>
      <c r="AS85" s="19"/>
      <c r="AT85" s="2"/>
      <c r="AU85" s="3"/>
      <c r="AV85" s="19" t="s">
        <v>59</v>
      </c>
      <c r="AW85" s="2"/>
      <c r="AX85" s="3"/>
      <c r="AY85" s="19"/>
      <c r="AZ85" s="2"/>
      <c r="BA85" s="3"/>
      <c r="BB85" s="19" t="s">
        <v>267</v>
      </c>
      <c r="BC85" s="2"/>
      <c r="BD85" s="3"/>
      <c r="BE85" s="20">
        <v>46246</v>
      </c>
      <c r="BF85" s="2"/>
      <c r="BG85" s="3"/>
      <c r="BH85" s="19"/>
      <c r="BI85" s="2"/>
      <c r="BJ85" s="3"/>
      <c r="BK85" s="18"/>
      <c r="BL85" s="2"/>
      <c r="BM85" s="2"/>
      <c r="BN85" s="2"/>
      <c r="BO85" s="2"/>
      <c r="BP85" s="2"/>
      <c r="BQ85" s="3"/>
    </row>
    <row r="86" ht="288" customHeight="1" spans="1:69">
      <c r="A86" s="17">
        <v>68</v>
      </c>
      <c r="B86" s="18" t="s">
        <v>554</v>
      </c>
      <c r="C86" s="2"/>
      <c r="D86" s="3"/>
      <c r="E86" s="18" t="s">
        <v>555</v>
      </c>
      <c r="F86" s="2"/>
      <c r="G86" s="2"/>
      <c r="H86" s="2"/>
      <c r="I86" s="3"/>
      <c r="J86" s="18" t="s">
        <v>556</v>
      </c>
      <c r="K86" s="2"/>
      <c r="L86" s="2"/>
      <c r="M86" s="2"/>
      <c r="N86" s="2"/>
      <c r="O86" s="2"/>
      <c r="P86" s="3"/>
      <c r="Q86" s="18" t="s">
        <v>557</v>
      </c>
      <c r="R86" s="2"/>
      <c r="S86" s="2"/>
      <c r="T86" s="2"/>
      <c r="U86" s="2"/>
      <c r="V86" s="2"/>
      <c r="W86" s="3"/>
      <c r="X86" s="18" t="s">
        <v>558</v>
      </c>
      <c r="Y86" s="2"/>
      <c r="Z86" s="2"/>
      <c r="AA86" s="2"/>
      <c r="AB86" s="2"/>
      <c r="AC86" s="2"/>
      <c r="AD86" s="3"/>
      <c r="AE86" s="19" t="s">
        <v>209</v>
      </c>
      <c r="AF86" s="3"/>
      <c r="AG86" s="19" t="s">
        <v>61</v>
      </c>
      <c r="AH86" s="2"/>
      <c r="AI86" s="3"/>
      <c r="AJ86" s="19"/>
      <c r="AK86" s="2"/>
      <c r="AL86" s="3"/>
      <c r="AM86" s="19"/>
      <c r="AN86" s="2"/>
      <c r="AO86" s="3"/>
      <c r="AP86" s="19"/>
      <c r="AQ86" s="2"/>
      <c r="AR86" s="3"/>
      <c r="AS86" s="19"/>
      <c r="AT86" s="2"/>
      <c r="AU86" s="3"/>
      <c r="AV86" s="19" t="s">
        <v>59</v>
      </c>
      <c r="AW86" s="2"/>
      <c r="AX86" s="3"/>
      <c r="AY86" s="19"/>
      <c r="AZ86" s="2"/>
      <c r="BA86" s="3"/>
      <c r="BB86" s="19" t="s">
        <v>267</v>
      </c>
      <c r="BC86" s="2"/>
      <c r="BD86" s="3"/>
      <c r="BE86" s="20">
        <v>46246</v>
      </c>
      <c r="BF86" s="2"/>
      <c r="BG86" s="3"/>
      <c r="BH86" s="19"/>
      <c r="BI86" s="2"/>
      <c r="BJ86" s="3"/>
      <c r="BK86" s="18"/>
      <c r="BL86" s="2"/>
      <c r="BM86" s="2"/>
      <c r="BN86" s="2"/>
      <c r="BO86" s="2"/>
      <c r="BP86" s="2"/>
      <c r="BQ86" s="3"/>
    </row>
    <row r="87" ht="223.5" customHeight="1" spans="1:69">
      <c r="A87" s="17">
        <v>69</v>
      </c>
      <c r="B87" s="18" t="s">
        <v>559</v>
      </c>
      <c r="C87" s="2"/>
      <c r="D87" s="3"/>
      <c r="E87" s="18" t="s">
        <v>560</v>
      </c>
      <c r="F87" s="2"/>
      <c r="G87" s="2"/>
      <c r="H87" s="2"/>
      <c r="I87" s="3"/>
      <c r="J87" s="18" t="s">
        <v>296</v>
      </c>
      <c r="K87" s="2"/>
      <c r="L87" s="2"/>
      <c r="M87" s="2"/>
      <c r="N87" s="2"/>
      <c r="O87" s="2"/>
      <c r="P87" s="3"/>
      <c r="Q87" s="18" t="s">
        <v>561</v>
      </c>
      <c r="R87" s="2"/>
      <c r="S87" s="2"/>
      <c r="T87" s="2"/>
      <c r="U87" s="2"/>
      <c r="V87" s="2"/>
      <c r="W87" s="3"/>
      <c r="X87" s="18" t="s">
        <v>562</v>
      </c>
      <c r="Y87" s="2"/>
      <c r="Z87" s="2"/>
      <c r="AA87" s="2"/>
      <c r="AB87" s="2"/>
      <c r="AC87" s="2"/>
      <c r="AD87" s="3"/>
      <c r="AE87" s="19" t="s">
        <v>209</v>
      </c>
      <c r="AF87" s="3"/>
      <c r="AG87" s="21" t="s">
        <v>59</v>
      </c>
      <c r="AH87" s="2"/>
      <c r="AI87" s="3"/>
      <c r="AJ87" s="22"/>
      <c r="AK87" s="2"/>
      <c r="AL87" s="3"/>
      <c r="AM87" s="21" t="s">
        <v>266</v>
      </c>
      <c r="AN87" s="2"/>
      <c r="AO87" s="3"/>
      <c r="AP87" s="23">
        <v>46167</v>
      </c>
      <c r="AQ87" s="2"/>
      <c r="AR87" s="3"/>
      <c r="AS87" s="19"/>
      <c r="AT87" s="2"/>
      <c r="AU87" s="3"/>
      <c r="AV87" s="19" t="s">
        <v>59</v>
      </c>
      <c r="AW87" s="2"/>
      <c r="AX87" s="3"/>
      <c r="AY87" s="19"/>
      <c r="AZ87" s="2"/>
      <c r="BA87" s="3"/>
      <c r="BB87" s="19" t="s">
        <v>267</v>
      </c>
      <c r="BC87" s="2"/>
      <c r="BD87" s="3"/>
      <c r="BE87" s="20">
        <v>46246</v>
      </c>
      <c r="BF87" s="2"/>
      <c r="BG87" s="3"/>
      <c r="BH87" s="19"/>
      <c r="BI87" s="2"/>
      <c r="BJ87" s="3"/>
      <c r="BK87" s="18"/>
      <c r="BL87" s="2"/>
      <c r="BM87" s="2"/>
      <c r="BN87" s="2"/>
      <c r="BO87" s="2"/>
      <c r="BP87" s="2"/>
      <c r="BQ87" s="3"/>
    </row>
    <row r="88" ht="271.5" customHeight="1" spans="1:69">
      <c r="A88" s="17">
        <v>70</v>
      </c>
      <c r="B88" s="18" t="s">
        <v>563</v>
      </c>
      <c r="C88" s="2"/>
      <c r="D88" s="3"/>
      <c r="E88" s="18" t="s">
        <v>564</v>
      </c>
      <c r="F88" s="2"/>
      <c r="G88" s="2"/>
      <c r="H88" s="2"/>
      <c r="I88" s="3"/>
      <c r="J88" s="18" t="s">
        <v>296</v>
      </c>
      <c r="K88" s="2"/>
      <c r="L88" s="2"/>
      <c r="M88" s="2"/>
      <c r="N88" s="2"/>
      <c r="O88" s="2"/>
      <c r="P88" s="3"/>
      <c r="Q88" s="18" t="s">
        <v>565</v>
      </c>
      <c r="R88" s="2"/>
      <c r="S88" s="2"/>
      <c r="T88" s="2"/>
      <c r="U88" s="2"/>
      <c r="V88" s="2"/>
      <c r="W88" s="3"/>
      <c r="X88" s="18" t="s">
        <v>566</v>
      </c>
      <c r="Y88" s="2"/>
      <c r="Z88" s="2"/>
      <c r="AA88" s="2"/>
      <c r="AB88" s="2"/>
      <c r="AC88" s="2"/>
      <c r="AD88" s="3"/>
      <c r="AE88" s="19" t="s">
        <v>209</v>
      </c>
      <c r="AF88" s="3"/>
      <c r="AG88" s="21" t="s">
        <v>59</v>
      </c>
      <c r="AH88" s="2"/>
      <c r="AI88" s="3"/>
      <c r="AJ88" s="22"/>
      <c r="AK88" s="2"/>
      <c r="AL88" s="3"/>
      <c r="AM88" s="21" t="s">
        <v>266</v>
      </c>
      <c r="AN88" s="2"/>
      <c r="AO88" s="3"/>
      <c r="AP88" s="23">
        <v>46167</v>
      </c>
      <c r="AQ88" s="2"/>
      <c r="AR88" s="3"/>
      <c r="AS88" s="19"/>
      <c r="AT88" s="2"/>
      <c r="AU88" s="3"/>
      <c r="AV88" s="19" t="s">
        <v>59</v>
      </c>
      <c r="AW88" s="2"/>
      <c r="AX88" s="3"/>
      <c r="AY88" s="19"/>
      <c r="AZ88" s="2"/>
      <c r="BA88" s="3"/>
      <c r="BB88" s="19" t="s">
        <v>267</v>
      </c>
      <c r="BC88" s="2"/>
      <c r="BD88" s="3"/>
      <c r="BE88" s="20">
        <v>46246</v>
      </c>
      <c r="BF88" s="2"/>
      <c r="BG88" s="3"/>
      <c r="BH88" s="19"/>
      <c r="BI88" s="2"/>
      <c r="BJ88" s="3"/>
      <c r="BK88" s="18"/>
      <c r="BL88" s="2"/>
      <c r="BM88" s="2"/>
      <c r="BN88" s="2"/>
      <c r="BO88" s="2"/>
      <c r="BP88" s="2"/>
      <c r="BQ88" s="3"/>
    </row>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63">
    <mergeCell ref="A1:E1"/>
    <mergeCell ref="F1:Q1"/>
    <mergeCell ref="R1:V1"/>
    <mergeCell ref="W1:AH1"/>
    <mergeCell ref="A2:E2"/>
    <mergeCell ref="F2:Q2"/>
    <mergeCell ref="R2:V2"/>
    <mergeCell ref="W2:AH2"/>
    <mergeCell ref="A3:E3"/>
    <mergeCell ref="F3:Q3"/>
    <mergeCell ref="R3:V3"/>
    <mergeCell ref="W3:AH3"/>
    <mergeCell ref="A4:E4"/>
    <mergeCell ref="F4:AH4"/>
    <mergeCell ref="A5:S5"/>
    <mergeCell ref="T5:AH5"/>
    <mergeCell ref="A6:G6"/>
    <mergeCell ref="H6:J6"/>
    <mergeCell ref="K6:M6"/>
    <mergeCell ref="N6:P6"/>
    <mergeCell ref="Q6:S6"/>
    <mergeCell ref="T6:V6"/>
    <mergeCell ref="W6:Y6"/>
    <mergeCell ref="Z6:AB6"/>
    <mergeCell ref="AC6:AE6"/>
    <mergeCell ref="AF6:AH6"/>
    <mergeCell ref="A7:G7"/>
    <mergeCell ref="H7:J7"/>
    <mergeCell ref="K7:M7"/>
    <mergeCell ref="N7:P7"/>
    <mergeCell ref="Q7:S7"/>
    <mergeCell ref="T7:V7"/>
    <mergeCell ref="W7:Y7"/>
    <mergeCell ref="Z7:AB7"/>
    <mergeCell ref="AC7:AE7"/>
    <mergeCell ref="AF7:AH7"/>
    <mergeCell ref="A8:G8"/>
    <mergeCell ref="H8:J8"/>
    <mergeCell ref="K8:M8"/>
    <mergeCell ref="N8:P8"/>
    <mergeCell ref="Q8:S8"/>
    <mergeCell ref="T8:V8"/>
    <mergeCell ref="W8:Y8"/>
    <mergeCell ref="Z8:AB8"/>
    <mergeCell ref="AC8:AE8"/>
    <mergeCell ref="AF8:AH8"/>
    <mergeCell ref="AG10:AU10"/>
    <mergeCell ref="AV10:BJ10"/>
    <mergeCell ref="AG11:AI11"/>
    <mergeCell ref="AJ11:AL11"/>
    <mergeCell ref="AM11:AO11"/>
    <mergeCell ref="AP11:AR11"/>
    <mergeCell ref="AS11:AU11"/>
    <mergeCell ref="AV11:AX11"/>
    <mergeCell ref="AY11:BA11"/>
    <mergeCell ref="BB11:BD11"/>
    <mergeCell ref="BE11:BG11"/>
    <mergeCell ref="BH11:BJ11"/>
    <mergeCell ref="A12:BQ12"/>
    <mergeCell ref="B13:D13"/>
    <mergeCell ref="E13:I13"/>
    <mergeCell ref="J13:P13"/>
    <mergeCell ref="Q13:W13"/>
    <mergeCell ref="X13:AD13"/>
    <mergeCell ref="AE13:AF13"/>
    <mergeCell ref="AG13:AI13"/>
    <mergeCell ref="AJ13:AL13"/>
    <mergeCell ref="AM13:AO13"/>
    <mergeCell ref="AP13:AR13"/>
    <mergeCell ref="AS13:AU13"/>
    <mergeCell ref="AV13:AX13"/>
    <mergeCell ref="AY13:BA13"/>
    <mergeCell ref="BB13:BD13"/>
    <mergeCell ref="BE13:BG13"/>
    <mergeCell ref="BH13:BJ13"/>
    <mergeCell ref="BK13:BQ13"/>
    <mergeCell ref="B14:D14"/>
    <mergeCell ref="E14:I14"/>
    <mergeCell ref="J14:P14"/>
    <mergeCell ref="Q14:W14"/>
    <mergeCell ref="X14:AD14"/>
    <mergeCell ref="AE14:AF14"/>
    <mergeCell ref="AG14:AI14"/>
    <mergeCell ref="AJ14:AL14"/>
    <mergeCell ref="AM14:AO14"/>
    <mergeCell ref="AP14:AR14"/>
    <mergeCell ref="AS14:AU14"/>
    <mergeCell ref="AV14:AX14"/>
    <mergeCell ref="AY14:BA14"/>
    <mergeCell ref="BB14:BD14"/>
    <mergeCell ref="BE14:BG14"/>
    <mergeCell ref="BH14:BJ14"/>
    <mergeCell ref="BK14:BQ14"/>
    <mergeCell ref="B15:D15"/>
    <mergeCell ref="E15:I15"/>
    <mergeCell ref="J15:P15"/>
    <mergeCell ref="Q15:W15"/>
    <mergeCell ref="X15:AD15"/>
    <mergeCell ref="AE15:AF15"/>
    <mergeCell ref="AG15:AI15"/>
    <mergeCell ref="AJ15:AL15"/>
    <mergeCell ref="AM15:AO15"/>
    <mergeCell ref="AP15:AR15"/>
    <mergeCell ref="AS15:AU15"/>
    <mergeCell ref="AV15:AX15"/>
    <mergeCell ref="AY15:BA15"/>
    <mergeCell ref="BB15:BD15"/>
    <mergeCell ref="BE15:BG15"/>
    <mergeCell ref="BH15:BJ15"/>
    <mergeCell ref="BK15:BQ15"/>
    <mergeCell ref="B16:D16"/>
    <mergeCell ref="E16:I16"/>
    <mergeCell ref="J16:P16"/>
    <mergeCell ref="Q16:W16"/>
    <mergeCell ref="X16:AD16"/>
    <mergeCell ref="AE16:AF16"/>
    <mergeCell ref="AG16:AI16"/>
    <mergeCell ref="AJ16:AL16"/>
    <mergeCell ref="AM16:AO16"/>
    <mergeCell ref="AP16:AR16"/>
    <mergeCell ref="AS16:AU16"/>
    <mergeCell ref="AV16:AX16"/>
    <mergeCell ref="AY16:BA16"/>
    <mergeCell ref="BB16:BD16"/>
    <mergeCell ref="BE16:BG16"/>
    <mergeCell ref="BH16:BJ16"/>
    <mergeCell ref="BK16:BQ16"/>
    <mergeCell ref="B17:D17"/>
    <mergeCell ref="E17:I17"/>
    <mergeCell ref="J17:P17"/>
    <mergeCell ref="Q17:W17"/>
    <mergeCell ref="X17:AD17"/>
    <mergeCell ref="AE17:AF17"/>
    <mergeCell ref="AG17:AI17"/>
    <mergeCell ref="AJ17:AL17"/>
    <mergeCell ref="AM17:AO17"/>
    <mergeCell ref="AP17:AR17"/>
    <mergeCell ref="AS17:AU17"/>
    <mergeCell ref="AV17:AX17"/>
    <mergeCell ref="AY17:BA17"/>
    <mergeCell ref="BB17:BD17"/>
    <mergeCell ref="BE17:BG17"/>
    <mergeCell ref="BH17:BJ17"/>
    <mergeCell ref="BK17:BQ17"/>
    <mergeCell ref="A18:BQ18"/>
    <mergeCell ref="B19:D19"/>
    <mergeCell ref="E19:I19"/>
    <mergeCell ref="J19:P19"/>
    <mergeCell ref="Q19:W19"/>
    <mergeCell ref="X19:AD19"/>
    <mergeCell ref="AE19:AF19"/>
    <mergeCell ref="AG19:AI19"/>
    <mergeCell ref="AJ19:AL19"/>
    <mergeCell ref="AM19:AO19"/>
    <mergeCell ref="AP19:AR19"/>
    <mergeCell ref="AS19:AU19"/>
    <mergeCell ref="AV19:AX19"/>
    <mergeCell ref="AY19:BA19"/>
    <mergeCell ref="BB19:BD19"/>
    <mergeCell ref="BE19:BG19"/>
    <mergeCell ref="BH19:BJ19"/>
    <mergeCell ref="BK19:BQ19"/>
    <mergeCell ref="B20:D20"/>
    <mergeCell ref="E20:I20"/>
    <mergeCell ref="J20:P20"/>
    <mergeCell ref="Q20:W20"/>
    <mergeCell ref="X20:AD20"/>
    <mergeCell ref="AE20:AF20"/>
    <mergeCell ref="AG20:AI20"/>
    <mergeCell ref="AJ20:AL20"/>
    <mergeCell ref="AM20:AO20"/>
    <mergeCell ref="AP20:AR20"/>
    <mergeCell ref="AS20:AU20"/>
    <mergeCell ref="AV20:AX20"/>
    <mergeCell ref="AY20:BA20"/>
    <mergeCell ref="BB20:BD20"/>
    <mergeCell ref="BE20:BG20"/>
    <mergeCell ref="BH20:BJ20"/>
    <mergeCell ref="BK20:BQ20"/>
    <mergeCell ref="B21:D21"/>
    <mergeCell ref="E21:I21"/>
    <mergeCell ref="J21:P21"/>
    <mergeCell ref="Q21:W21"/>
    <mergeCell ref="X21:AD21"/>
    <mergeCell ref="AE21:AF21"/>
    <mergeCell ref="AG21:AI21"/>
    <mergeCell ref="AJ21:AL21"/>
    <mergeCell ref="AM21:AO21"/>
    <mergeCell ref="AP21:AR21"/>
    <mergeCell ref="AS21:AU21"/>
    <mergeCell ref="AV21:AX21"/>
    <mergeCell ref="AY21:BA21"/>
    <mergeCell ref="BB21:BD21"/>
    <mergeCell ref="BE21:BG21"/>
    <mergeCell ref="BH21:BJ21"/>
    <mergeCell ref="BK21:BQ21"/>
    <mergeCell ref="B22:D22"/>
    <mergeCell ref="E22:I22"/>
    <mergeCell ref="J22:P22"/>
    <mergeCell ref="Q22:W22"/>
    <mergeCell ref="X22:AD22"/>
    <mergeCell ref="AE22:AF22"/>
    <mergeCell ref="AG22:AI22"/>
    <mergeCell ref="AJ22:AL22"/>
    <mergeCell ref="AM22:AO22"/>
    <mergeCell ref="AP22:AR22"/>
    <mergeCell ref="AS22:AU22"/>
    <mergeCell ref="AV22:AX22"/>
    <mergeCell ref="AY22:BA22"/>
    <mergeCell ref="BB22:BD22"/>
    <mergeCell ref="BE22:BG22"/>
    <mergeCell ref="BH22:BJ22"/>
    <mergeCell ref="BK22:BQ22"/>
    <mergeCell ref="B23:D23"/>
    <mergeCell ref="E23:I23"/>
    <mergeCell ref="J23:P23"/>
    <mergeCell ref="Q23:W23"/>
    <mergeCell ref="X23:AD23"/>
    <mergeCell ref="AE23:AF23"/>
    <mergeCell ref="AG23:AI23"/>
    <mergeCell ref="AJ23:AL23"/>
    <mergeCell ref="AM23:AO23"/>
    <mergeCell ref="AP23:AR23"/>
    <mergeCell ref="AS23:AU23"/>
    <mergeCell ref="AV23:AX23"/>
    <mergeCell ref="AY23:BA23"/>
    <mergeCell ref="BB23:BD23"/>
    <mergeCell ref="BE23:BG23"/>
    <mergeCell ref="BH23:BJ23"/>
    <mergeCell ref="BK23:BQ23"/>
    <mergeCell ref="B24:D24"/>
    <mergeCell ref="E24:I24"/>
    <mergeCell ref="J24:P24"/>
    <mergeCell ref="Q24:W24"/>
    <mergeCell ref="X24:AD24"/>
    <mergeCell ref="AE24:AF24"/>
    <mergeCell ref="AG24:AI24"/>
    <mergeCell ref="AJ24:AL24"/>
    <mergeCell ref="AM24:AO24"/>
    <mergeCell ref="AP24:AR24"/>
    <mergeCell ref="AS24:AU24"/>
    <mergeCell ref="AV24:AX24"/>
    <mergeCell ref="AY24:BA24"/>
    <mergeCell ref="BB24:BD24"/>
    <mergeCell ref="BE24:BG24"/>
    <mergeCell ref="BH24:BJ24"/>
    <mergeCell ref="BK24:BQ24"/>
    <mergeCell ref="A25:BQ25"/>
    <mergeCell ref="B26:D26"/>
    <mergeCell ref="E26:I26"/>
    <mergeCell ref="J26:P26"/>
    <mergeCell ref="Q26:W26"/>
    <mergeCell ref="X26:AD26"/>
    <mergeCell ref="AE26:AF26"/>
    <mergeCell ref="AG26:AI26"/>
    <mergeCell ref="AJ26:AL26"/>
    <mergeCell ref="AM26:AO26"/>
    <mergeCell ref="AP26:AR26"/>
    <mergeCell ref="AS26:AU26"/>
    <mergeCell ref="AV26:AX26"/>
    <mergeCell ref="AY26:BA26"/>
    <mergeCell ref="BB26:BD26"/>
    <mergeCell ref="BE26:BG26"/>
    <mergeCell ref="BH26:BJ26"/>
    <mergeCell ref="BK26:BQ26"/>
    <mergeCell ref="B27:D27"/>
    <mergeCell ref="E27:I27"/>
    <mergeCell ref="J27:P27"/>
    <mergeCell ref="Q27:W27"/>
    <mergeCell ref="X27:AD27"/>
    <mergeCell ref="AE27:AF27"/>
    <mergeCell ref="AG27:AI27"/>
    <mergeCell ref="AJ27:AL27"/>
    <mergeCell ref="AM27:AO27"/>
    <mergeCell ref="AP27:AR27"/>
    <mergeCell ref="AS27:AU27"/>
    <mergeCell ref="AV27:AX27"/>
    <mergeCell ref="AY27:BA27"/>
    <mergeCell ref="BB27:BD27"/>
    <mergeCell ref="BE27:BG27"/>
    <mergeCell ref="BH27:BJ27"/>
    <mergeCell ref="BK27:BQ27"/>
    <mergeCell ref="B28:D28"/>
    <mergeCell ref="E28:I28"/>
    <mergeCell ref="J28:P28"/>
    <mergeCell ref="Q28:W28"/>
    <mergeCell ref="X28:AD28"/>
    <mergeCell ref="AE28:AF28"/>
    <mergeCell ref="AG28:AI28"/>
    <mergeCell ref="AJ28:AL28"/>
    <mergeCell ref="AM28:AO28"/>
    <mergeCell ref="AP28:AR28"/>
    <mergeCell ref="AS28:AU28"/>
    <mergeCell ref="AV28:AX28"/>
    <mergeCell ref="AY28:BA28"/>
    <mergeCell ref="BB28:BD28"/>
    <mergeCell ref="BE28:BG28"/>
    <mergeCell ref="BH28:BJ28"/>
    <mergeCell ref="BK28:BQ28"/>
    <mergeCell ref="A29:BQ29"/>
    <mergeCell ref="B30:D30"/>
    <mergeCell ref="E30:I30"/>
    <mergeCell ref="J30:P30"/>
    <mergeCell ref="Q30:W30"/>
    <mergeCell ref="X30:AD30"/>
    <mergeCell ref="AE30:AF30"/>
    <mergeCell ref="AG30:AI30"/>
    <mergeCell ref="AJ30:AL30"/>
    <mergeCell ref="AM30:AO30"/>
    <mergeCell ref="AP30:AR30"/>
    <mergeCell ref="AS30:AU30"/>
    <mergeCell ref="AV30:AX30"/>
    <mergeCell ref="AY30:BA30"/>
    <mergeCell ref="BB30:BD30"/>
    <mergeCell ref="BE30:BG30"/>
    <mergeCell ref="BH30:BJ30"/>
    <mergeCell ref="BK30:BQ30"/>
    <mergeCell ref="B31:D31"/>
    <mergeCell ref="E31:I31"/>
    <mergeCell ref="J31:P31"/>
    <mergeCell ref="Q31:W31"/>
    <mergeCell ref="X31:AD31"/>
    <mergeCell ref="AE31:AF31"/>
    <mergeCell ref="AG31:AI31"/>
    <mergeCell ref="AJ31:AL31"/>
    <mergeCell ref="AM31:AO31"/>
    <mergeCell ref="AP31:AR31"/>
    <mergeCell ref="AS31:AU31"/>
    <mergeCell ref="AV31:AX31"/>
    <mergeCell ref="AY31:BA31"/>
    <mergeCell ref="BB31:BD31"/>
    <mergeCell ref="BE31:BG31"/>
    <mergeCell ref="BH31:BJ31"/>
    <mergeCell ref="BK31:BQ31"/>
    <mergeCell ref="B32:D32"/>
    <mergeCell ref="E32:I32"/>
    <mergeCell ref="J32:P32"/>
    <mergeCell ref="Q32:W32"/>
    <mergeCell ref="X32:AD32"/>
    <mergeCell ref="AE32:AF32"/>
    <mergeCell ref="AG32:AI32"/>
    <mergeCell ref="AJ32:AL32"/>
    <mergeCell ref="AM32:AO32"/>
    <mergeCell ref="AP32:AR32"/>
    <mergeCell ref="AS32:AU32"/>
    <mergeCell ref="AV32:AX32"/>
    <mergeCell ref="AY32:BA32"/>
    <mergeCell ref="BB32:BD32"/>
    <mergeCell ref="BE32:BG32"/>
    <mergeCell ref="BH32:BJ32"/>
    <mergeCell ref="BK32:BQ32"/>
    <mergeCell ref="B33:D33"/>
    <mergeCell ref="E33:I33"/>
    <mergeCell ref="J33:P33"/>
    <mergeCell ref="Q33:W33"/>
    <mergeCell ref="X33:AD33"/>
    <mergeCell ref="AE33:AF33"/>
    <mergeCell ref="AG33:AI33"/>
    <mergeCell ref="AJ33:AL33"/>
    <mergeCell ref="AM33:AO33"/>
    <mergeCell ref="AP33:AR33"/>
    <mergeCell ref="AS33:AU33"/>
    <mergeCell ref="AV33:AX33"/>
    <mergeCell ref="AY33:BA33"/>
    <mergeCell ref="BB33:BD33"/>
    <mergeCell ref="BE33:BG33"/>
    <mergeCell ref="BH33:BJ33"/>
    <mergeCell ref="BK33:BQ33"/>
    <mergeCell ref="B34:D34"/>
    <mergeCell ref="E34:I34"/>
    <mergeCell ref="J34:P34"/>
    <mergeCell ref="Q34:W34"/>
    <mergeCell ref="X34:AD34"/>
    <mergeCell ref="AE34:AF34"/>
    <mergeCell ref="AG34:AI34"/>
    <mergeCell ref="AJ34:AL34"/>
    <mergeCell ref="AM34:AO34"/>
    <mergeCell ref="AP34:AR34"/>
    <mergeCell ref="AS34:AU34"/>
    <mergeCell ref="AV34:AX34"/>
    <mergeCell ref="AY34:BA34"/>
    <mergeCell ref="BB34:BD34"/>
    <mergeCell ref="BE34:BG34"/>
    <mergeCell ref="BH34:BJ34"/>
    <mergeCell ref="BK34:BQ34"/>
    <mergeCell ref="B35:D35"/>
    <mergeCell ref="E35:I35"/>
    <mergeCell ref="J35:P35"/>
    <mergeCell ref="Q35:W35"/>
    <mergeCell ref="X35:AD35"/>
    <mergeCell ref="AE35:AF35"/>
    <mergeCell ref="AG35:AI35"/>
    <mergeCell ref="AJ35:AL35"/>
    <mergeCell ref="AM35:AO35"/>
    <mergeCell ref="AP35:AR35"/>
    <mergeCell ref="AS35:AU35"/>
    <mergeCell ref="AV35:AX35"/>
    <mergeCell ref="AY35:BA35"/>
    <mergeCell ref="BB35:BD35"/>
    <mergeCell ref="BE35:BG35"/>
    <mergeCell ref="BH35:BJ35"/>
    <mergeCell ref="BK35:BQ35"/>
    <mergeCell ref="B36:D36"/>
    <mergeCell ref="E36:I36"/>
    <mergeCell ref="J36:P36"/>
    <mergeCell ref="Q36:W36"/>
    <mergeCell ref="X36:AD36"/>
    <mergeCell ref="AE36:AF36"/>
    <mergeCell ref="AG36:AI36"/>
    <mergeCell ref="AJ36:AL36"/>
    <mergeCell ref="AM36:AO36"/>
    <mergeCell ref="AP36:AR36"/>
    <mergeCell ref="AS36:AU36"/>
    <mergeCell ref="AV36:AX36"/>
    <mergeCell ref="AY36:BA36"/>
    <mergeCell ref="BB36:BD36"/>
    <mergeCell ref="BE36:BG36"/>
    <mergeCell ref="BH36:BJ36"/>
    <mergeCell ref="BK36:BQ36"/>
    <mergeCell ref="B37:D37"/>
    <mergeCell ref="E37:I37"/>
    <mergeCell ref="J37:P37"/>
    <mergeCell ref="Q37:W37"/>
    <mergeCell ref="X37:AD37"/>
    <mergeCell ref="AE37:AF37"/>
    <mergeCell ref="AG37:AI37"/>
    <mergeCell ref="AJ37:AL37"/>
    <mergeCell ref="AM37:AO37"/>
    <mergeCell ref="AP37:AR37"/>
    <mergeCell ref="AS37:AU37"/>
    <mergeCell ref="AV37:AX37"/>
    <mergeCell ref="AY37:BA37"/>
    <mergeCell ref="BB37:BD37"/>
    <mergeCell ref="BE37:BG37"/>
    <mergeCell ref="BH37:BJ37"/>
    <mergeCell ref="BK37:BQ37"/>
    <mergeCell ref="B38:D38"/>
    <mergeCell ref="E38:I38"/>
    <mergeCell ref="J38:P38"/>
    <mergeCell ref="Q38:W38"/>
    <mergeCell ref="X38:AD38"/>
    <mergeCell ref="AE38:AF38"/>
    <mergeCell ref="AG38:AI38"/>
    <mergeCell ref="AJ38:AL38"/>
    <mergeCell ref="AM38:AO38"/>
    <mergeCell ref="AP38:AR38"/>
    <mergeCell ref="AS38:AU38"/>
    <mergeCell ref="AV38:AX38"/>
    <mergeCell ref="AY38:BA38"/>
    <mergeCell ref="BB38:BD38"/>
    <mergeCell ref="BE38:BG38"/>
    <mergeCell ref="BH38:BJ38"/>
    <mergeCell ref="BK38:BQ38"/>
    <mergeCell ref="B39:D39"/>
    <mergeCell ref="E39:I39"/>
    <mergeCell ref="J39:P39"/>
    <mergeCell ref="Q39:W39"/>
    <mergeCell ref="X39:AD39"/>
    <mergeCell ref="AE39:AF39"/>
    <mergeCell ref="AG39:AI39"/>
    <mergeCell ref="AJ39:AL39"/>
    <mergeCell ref="AM39:AO39"/>
    <mergeCell ref="AP39:AR39"/>
    <mergeCell ref="AS39:AU39"/>
    <mergeCell ref="AV39:AX39"/>
    <mergeCell ref="AY39:BA39"/>
    <mergeCell ref="BB39:BD39"/>
    <mergeCell ref="BE39:BG39"/>
    <mergeCell ref="BH39:BJ39"/>
    <mergeCell ref="BK39:BQ39"/>
    <mergeCell ref="B40:D40"/>
    <mergeCell ref="E40:I40"/>
    <mergeCell ref="J40:P40"/>
    <mergeCell ref="Q40:W40"/>
    <mergeCell ref="X40:AD40"/>
    <mergeCell ref="AE40:AF40"/>
    <mergeCell ref="AG40:AI40"/>
    <mergeCell ref="AJ40:AL40"/>
    <mergeCell ref="AM40:AO40"/>
    <mergeCell ref="AP40:AR40"/>
    <mergeCell ref="AS40:AU40"/>
    <mergeCell ref="AV40:AX40"/>
    <mergeCell ref="AY40:BA40"/>
    <mergeCell ref="BB40:BD40"/>
    <mergeCell ref="BE40:BG40"/>
    <mergeCell ref="BH40:BJ40"/>
    <mergeCell ref="BK40:BQ40"/>
    <mergeCell ref="B41:D41"/>
    <mergeCell ref="E41:I41"/>
    <mergeCell ref="J41:P41"/>
    <mergeCell ref="Q41:W41"/>
    <mergeCell ref="X41:AD41"/>
    <mergeCell ref="AE41:AF41"/>
    <mergeCell ref="AG41:AI41"/>
    <mergeCell ref="AJ41:AL41"/>
    <mergeCell ref="AM41:AO41"/>
    <mergeCell ref="AP41:AR41"/>
    <mergeCell ref="AS41:AU41"/>
    <mergeCell ref="AV41:AX41"/>
    <mergeCell ref="AY41:BA41"/>
    <mergeCell ref="BB41:BD41"/>
    <mergeCell ref="BE41:BG41"/>
    <mergeCell ref="BH41:BJ41"/>
    <mergeCell ref="BK41:BQ41"/>
    <mergeCell ref="B42:D42"/>
    <mergeCell ref="E42:I42"/>
    <mergeCell ref="J42:P42"/>
    <mergeCell ref="Q42:W42"/>
    <mergeCell ref="X42:AD42"/>
    <mergeCell ref="AE42:AF42"/>
    <mergeCell ref="AG42:AI42"/>
    <mergeCell ref="AJ42:AL42"/>
    <mergeCell ref="AM42:AO42"/>
    <mergeCell ref="AP42:AR42"/>
    <mergeCell ref="AS42:AU42"/>
    <mergeCell ref="AV42:AX42"/>
    <mergeCell ref="AY42:BA42"/>
    <mergeCell ref="BB42:BD42"/>
    <mergeCell ref="BE42:BG42"/>
    <mergeCell ref="BH42:BJ42"/>
    <mergeCell ref="BK42:BQ42"/>
    <mergeCell ref="B43:D43"/>
    <mergeCell ref="E43:I43"/>
    <mergeCell ref="J43:P43"/>
    <mergeCell ref="Q43:W43"/>
    <mergeCell ref="X43:AD43"/>
    <mergeCell ref="AE43:AF43"/>
    <mergeCell ref="AG43:AI43"/>
    <mergeCell ref="AJ43:AL43"/>
    <mergeCell ref="AM43:AO43"/>
    <mergeCell ref="AP43:AR43"/>
    <mergeCell ref="AS43:AU43"/>
    <mergeCell ref="AV43:AX43"/>
    <mergeCell ref="AY43:BA43"/>
    <mergeCell ref="BB43:BD43"/>
    <mergeCell ref="BE43:BG43"/>
    <mergeCell ref="BH43:BJ43"/>
    <mergeCell ref="BK43:BQ43"/>
    <mergeCell ref="B44:D44"/>
    <mergeCell ref="E44:I44"/>
    <mergeCell ref="J44:P44"/>
    <mergeCell ref="Q44:W44"/>
    <mergeCell ref="X44:AD44"/>
    <mergeCell ref="AE44:AF44"/>
    <mergeCell ref="AG44:AI44"/>
    <mergeCell ref="AJ44:AL44"/>
    <mergeCell ref="AM44:AO44"/>
    <mergeCell ref="AP44:AR44"/>
    <mergeCell ref="AS44:AU44"/>
    <mergeCell ref="AV44:AX44"/>
    <mergeCell ref="AY44:BA44"/>
    <mergeCell ref="BB44:BD44"/>
    <mergeCell ref="BE44:BG44"/>
    <mergeCell ref="BH44:BJ44"/>
    <mergeCell ref="BK44:BQ44"/>
    <mergeCell ref="B45:D45"/>
    <mergeCell ref="E45:I45"/>
    <mergeCell ref="J45:P45"/>
    <mergeCell ref="Q45:W45"/>
    <mergeCell ref="X45:AD45"/>
    <mergeCell ref="AE45:AF45"/>
    <mergeCell ref="AG45:AI45"/>
    <mergeCell ref="AJ45:AL45"/>
    <mergeCell ref="AM45:AO45"/>
    <mergeCell ref="AP45:AR45"/>
    <mergeCell ref="AS45:AU45"/>
    <mergeCell ref="AV45:AX45"/>
    <mergeCell ref="AY45:BA45"/>
    <mergeCell ref="BB45:BD45"/>
    <mergeCell ref="BE45:BG45"/>
    <mergeCell ref="BH45:BJ45"/>
    <mergeCell ref="BK45:BQ45"/>
    <mergeCell ref="B46:D46"/>
    <mergeCell ref="E46:I46"/>
    <mergeCell ref="J46:P46"/>
    <mergeCell ref="Q46:W46"/>
    <mergeCell ref="X46:AD46"/>
    <mergeCell ref="AE46:AF46"/>
    <mergeCell ref="AG46:AI46"/>
    <mergeCell ref="AJ46:AL46"/>
    <mergeCell ref="AM46:AO46"/>
    <mergeCell ref="AP46:AR46"/>
    <mergeCell ref="AS46:AU46"/>
    <mergeCell ref="AV46:AX46"/>
    <mergeCell ref="AY46:BA46"/>
    <mergeCell ref="BB46:BD46"/>
    <mergeCell ref="BE46:BG46"/>
    <mergeCell ref="BH46:BJ46"/>
    <mergeCell ref="BK46:BQ46"/>
    <mergeCell ref="B47:D47"/>
    <mergeCell ref="E47:I47"/>
    <mergeCell ref="J47:P47"/>
    <mergeCell ref="Q47:W47"/>
    <mergeCell ref="X47:AD47"/>
    <mergeCell ref="AE47:AF47"/>
    <mergeCell ref="AG47:AI47"/>
    <mergeCell ref="AJ47:AL47"/>
    <mergeCell ref="AM47:AO47"/>
    <mergeCell ref="AP47:AR47"/>
    <mergeCell ref="AS47:AU47"/>
    <mergeCell ref="AV47:AX47"/>
    <mergeCell ref="AY47:BA47"/>
    <mergeCell ref="BB47:BD47"/>
    <mergeCell ref="BE47:BG47"/>
    <mergeCell ref="BH47:BJ47"/>
    <mergeCell ref="BK47:BQ47"/>
    <mergeCell ref="B48:D48"/>
    <mergeCell ref="E48:I48"/>
    <mergeCell ref="J48:P48"/>
    <mergeCell ref="Q48:W48"/>
    <mergeCell ref="X48:AD48"/>
    <mergeCell ref="AE48:AF48"/>
    <mergeCell ref="AG48:AI48"/>
    <mergeCell ref="AJ48:AL48"/>
    <mergeCell ref="AM48:AO48"/>
    <mergeCell ref="AP48:AR48"/>
    <mergeCell ref="AS48:AU48"/>
    <mergeCell ref="AV48:AX48"/>
    <mergeCell ref="AY48:BA48"/>
    <mergeCell ref="BB48:BD48"/>
    <mergeCell ref="BE48:BG48"/>
    <mergeCell ref="BH48:BJ48"/>
    <mergeCell ref="BK48:BQ48"/>
    <mergeCell ref="B49:D49"/>
    <mergeCell ref="E49:I49"/>
    <mergeCell ref="J49:P49"/>
    <mergeCell ref="Q49:W49"/>
    <mergeCell ref="X49:AD49"/>
    <mergeCell ref="AE49:AF49"/>
    <mergeCell ref="AG49:AI49"/>
    <mergeCell ref="AJ49:AL49"/>
    <mergeCell ref="AM49:AO49"/>
    <mergeCell ref="AP49:AR49"/>
    <mergeCell ref="AS49:AU49"/>
    <mergeCell ref="AV49:AX49"/>
    <mergeCell ref="AY49:BA49"/>
    <mergeCell ref="BB49:BD49"/>
    <mergeCell ref="BE49:BG49"/>
    <mergeCell ref="BH49:BJ49"/>
    <mergeCell ref="BK49:BQ49"/>
    <mergeCell ref="B50:D50"/>
    <mergeCell ref="E50:I50"/>
    <mergeCell ref="J50:P50"/>
    <mergeCell ref="Q50:W50"/>
    <mergeCell ref="X50:AD50"/>
    <mergeCell ref="AE50:AF50"/>
    <mergeCell ref="AG50:AI50"/>
    <mergeCell ref="AJ50:AL50"/>
    <mergeCell ref="AM50:AO50"/>
    <mergeCell ref="AP50:AR50"/>
    <mergeCell ref="AS50:AU50"/>
    <mergeCell ref="AV50:AX50"/>
    <mergeCell ref="AY50:BA50"/>
    <mergeCell ref="BB50:BD50"/>
    <mergeCell ref="BE50:BG50"/>
    <mergeCell ref="BH50:BJ50"/>
    <mergeCell ref="BK50:BQ50"/>
    <mergeCell ref="B51:D51"/>
    <mergeCell ref="E51:I51"/>
    <mergeCell ref="J51:P51"/>
    <mergeCell ref="Q51:W51"/>
    <mergeCell ref="X51:AD51"/>
    <mergeCell ref="AE51:AF51"/>
    <mergeCell ref="AG51:AI51"/>
    <mergeCell ref="AJ51:AL51"/>
    <mergeCell ref="AM51:AO51"/>
    <mergeCell ref="AP51:AR51"/>
    <mergeCell ref="AS51:AU51"/>
    <mergeCell ref="AV51:AX51"/>
    <mergeCell ref="AY51:BA51"/>
    <mergeCell ref="BB51:BD51"/>
    <mergeCell ref="BE51:BG51"/>
    <mergeCell ref="BH51:BJ51"/>
    <mergeCell ref="BK51:BQ51"/>
    <mergeCell ref="B52:D52"/>
    <mergeCell ref="E52:I52"/>
    <mergeCell ref="J52:P52"/>
    <mergeCell ref="Q52:W52"/>
    <mergeCell ref="X52:AD52"/>
    <mergeCell ref="AE52:AF52"/>
    <mergeCell ref="AG52:AI52"/>
    <mergeCell ref="AJ52:AL52"/>
    <mergeCell ref="AM52:AO52"/>
    <mergeCell ref="AP52:AR52"/>
    <mergeCell ref="AS52:AU52"/>
    <mergeCell ref="AV52:AX52"/>
    <mergeCell ref="AY52:BA52"/>
    <mergeCell ref="BB52:BD52"/>
    <mergeCell ref="BE52:BG52"/>
    <mergeCell ref="BH52:BJ52"/>
    <mergeCell ref="BK52:BQ52"/>
    <mergeCell ref="B53:D53"/>
    <mergeCell ref="E53:I53"/>
    <mergeCell ref="J53:P53"/>
    <mergeCell ref="Q53:W53"/>
    <mergeCell ref="X53:AD53"/>
    <mergeCell ref="AE53:AF53"/>
    <mergeCell ref="AG53:AI53"/>
    <mergeCell ref="AJ53:AL53"/>
    <mergeCell ref="AM53:AO53"/>
    <mergeCell ref="AP53:AR53"/>
    <mergeCell ref="AS53:AU53"/>
    <mergeCell ref="AV53:AX53"/>
    <mergeCell ref="AY53:BA53"/>
    <mergeCell ref="BB53:BD53"/>
    <mergeCell ref="BE53:BG53"/>
    <mergeCell ref="BH53:BJ53"/>
    <mergeCell ref="BK53:BQ53"/>
    <mergeCell ref="B54:D54"/>
    <mergeCell ref="E54:I54"/>
    <mergeCell ref="J54:P54"/>
    <mergeCell ref="Q54:W54"/>
    <mergeCell ref="X54:AD54"/>
    <mergeCell ref="AE54:AF54"/>
    <mergeCell ref="AG54:AI54"/>
    <mergeCell ref="AJ54:AL54"/>
    <mergeCell ref="AM54:AO54"/>
    <mergeCell ref="AP54:AR54"/>
    <mergeCell ref="AS54:AU54"/>
    <mergeCell ref="AV54:AX54"/>
    <mergeCell ref="AY54:BA54"/>
    <mergeCell ref="BB54:BD54"/>
    <mergeCell ref="BE54:BG54"/>
    <mergeCell ref="BH54:BJ54"/>
    <mergeCell ref="BK54:BQ54"/>
    <mergeCell ref="B55:D55"/>
    <mergeCell ref="E55:I55"/>
    <mergeCell ref="J55:P55"/>
    <mergeCell ref="Q55:W55"/>
    <mergeCell ref="X55:AD55"/>
    <mergeCell ref="AE55:AF55"/>
    <mergeCell ref="AG55:AI55"/>
    <mergeCell ref="AJ55:AL55"/>
    <mergeCell ref="AM55:AO55"/>
    <mergeCell ref="AP55:AR55"/>
    <mergeCell ref="AS55:AU55"/>
    <mergeCell ref="AV55:AX55"/>
    <mergeCell ref="AY55:BA55"/>
    <mergeCell ref="BB55:BD55"/>
    <mergeCell ref="BE55:BG55"/>
    <mergeCell ref="BH55:BJ55"/>
    <mergeCell ref="BK55:BQ55"/>
    <mergeCell ref="B56:D56"/>
    <mergeCell ref="E56:I56"/>
    <mergeCell ref="J56:P56"/>
    <mergeCell ref="Q56:W56"/>
    <mergeCell ref="X56:AD56"/>
    <mergeCell ref="AE56:AF56"/>
    <mergeCell ref="AG56:AI56"/>
    <mergeCell ref="AJ56:AL56"/>
    <mergeCell ref="AM56:AO56"/>
    <mergeCell ref="AP56:AR56"/>
    <mergeCell ref="AS56:AU56"/>
    <mergeCell ref="AV56:AX56"/>
    <mergeCell ref="AY56:BA56"/>
    <mergeCell ref="BB56:BD56"/>
    <mergeCell ref="BE56:BG56"/>
    <mergeCell ref="BH56:BJ56"/>
    <mergeCell ref="BK56:BQ56"/>
    <mergeCell ref="B57:D57"/>
    <mergeCell ref="E57:I57"/>
    <mergeCell ref="J57:P57"/>
    <mergeCell ref="Q57:W57"/>
    <mergeCell ref="X57:AD57"/>
    <mergeCell ref="AE57:AF57"/>
    <mergeCell ref="AG57:AI57"/>
    <mergeCell ref="AJ57:AL57"/>
    <mergeCell ref="AM57:AO57"/>
    <mergeCell ref="AP57:AR57"/>
    <mergeCell ref="AS57:AU57"/>
    <mergeCell ref="AV57:AX57"/>
    <mergeCell ref="AY57:BA57"/>
    <mergeCell ref="BB57:BD57"/>
    <mergeCell ref="BE57:BG57"/>
    <mergeCell ref="BH57:BJ57"/>
    <mergeCell ref="BK57:BQ57"/>
    <mergeCell ref="B58:D58"/>
    <mergeCell ref="E58:I58"/>
    <mergeCell ref="J58:P58"/>
    <mergeCell ref="Q58:W58"/>
    <mergeCell ref="X58:AD58"/>
    <mergeCell ref="AE58:AF58"/>
    <mergeCell ref="AG58:AI58"/>
    <mergeCell ref="AJ58:AL58"/>
    <mergeCell ref="AM58:AO58"/>
    <mergeCell ref="AP58:AR58"/>
    <mergeCell ref="AS58:AU58"/>
    <mergeCell ref="AV58:AX58"/>
    <mergeCell ref="AY58:BA58"/>
    <mergeCell ref="BB58:BD58"/>
    <mergeCell ref="BE58:BG58"/>
    <mergeCell ref="BH58:BJ58"/>
    <mergeCell ref="BK58:BQ58"/>
    <mergeCell ref="B59:D59"/>
    <mergeCell ref="E59:I59"/>
    <mergeCell ref="J59:P59"/>
    <mergeCell ref="Q59:W59"/>
    <mergeCell ref="X59:AD59"/>
    <mergeCell ref="AE59:AF59"/>
    <mergeCell ref="AG59:AI59"/>
    <mergeCell ref="AJ59:AL59"/>
    <mergeCell ref="AM59:AO59"/>
    <mergeCell ref="AP59:AR59"/>
    <mergeCell ref="AS59:AU59"/>
    <mergeCell ref="AV59:AX59"/>
    <mergeCell ref="AY59:BA59"/>
    <mergeCell ref="BB59:BD59"/>
    <mergeCell ref="BE59:BG59"/>
    <mergeCell ref="BH59:BJ59"/>
    <mergeCell ref="BK59:BQ59"/>
    <mergeCell ref="B60:D60"/>
    <mergeCell ref="E60:I60"/>
    <mergeCell ref="J60:P60"/>
    <mergeCell ref="Q60:W60"/>
    <mergeCell ref="X60:AD60"/>
    <mergeCell ref="AE60:AF60"/>
    <mergeCell ref="AG60:AI60"/>
    <mergeCell ref="AJ60:AL60"/>
    <mergeCell ref="AM60:AO60"/>
    <mergeCell ref="AP60:AR60"/>
    <mergeCell ref="AS60:AU60"/>
    <mergeCell ref="AV60:AX60"/>
    <mergeCell ref="AY60:BA60"/>
    <mergeCell ref="BB60:BD60"/>
    <mergeCell ref="BE60:BG60"/>
    <mergeCell ref="BH60:BJ60"/>
    <mergeCell ref="BK60:BQ60"/>
    <mergeCell ref="B61:D61"/>
    <mergeCell ref="E61:I61"/>
    <mergeCell ref="J61:P61"/>
    <mergeCell ref="Q61:W61"/>
    <mergeCell ref="X61:AD61"/>
    <mergeCell ref="AE61:AF61"/>
    <mergeCell ref="AG61:AI61"/>
    <mergeCell ref="AJ61:AL61"/>
    <mergeCell ref="AM61:AO61"/>
    <mergeCell ref="AP61:AR61"/>
    <mergeCell ref="AS61:AU61"/>
    <mergeCell ref="AV61:AX61"/>
    <mergeCell ref="AY61:BA61"/>
    <mergeCell ref="BB61:BD61"/>
    <mergeCell ref="BE61:BG61"/>
    <mergeCell ref="BH61:BJ61"/>
    <mergeCell ref="BK61:BQ61"/>
    <mergeCell ref="B62:D62"/>
    <mergeCell ref="E62:I62"/>
    <mergeCell ref="J62:P62"/>
    <mergeCell ref="Q62:W62"/>
    <mergeCell ref="X62:AD62"/>
    <mergeCell ref="AE62:AF62"/>
    <mergeCell ref="AG62:AI62"/>
    <mergeCell ref="AJ62:AL62"/>
    <mergeCell ref="AM62:AO62"/>
    <mergeCell ref="AP62:AR62"/>
    <mergeCell ref="AS62:AU62"/>
    <mergeCell ref="AV62:AX62"/>
    <mergeCell ref="AY62:BA62"/>
    <mergeCell ref="BB62:BD62"/>
    <mergeCell ref="BE62:BG62"/>
    <mergeCell ref="BH62:BJ62"/>
    <mergeCell ref="BK62:BQ62"/>
    <mergeCell ref="A63:BQ63"/>
    <mergeCell ref="B64:D64"/>
    <mergeCell ref="E64:I64"/>
    <mergeCell ref="J64:P64"/>
    <mergeCell ref="Q64:W64"/>
    <mergeCell ref="X64:AD64"/>
    <mergeCell ref="AE64:AF64"/>
    <mergeCell ref="AG64:AI64"/>
    <mergeCell ref="AJ64:AL64"/>
    <mergeCell ref="AM64:AO64"/>
    <mergeCell ref="AP64:AR64"/>
    <mergeCell ref="AS64:AU64"/>
    <mergeCell ref="AV64:AX64"/>
    <mergeCell ref="AY64:BA64"/>
    <mergeCell ref="BB64:BD64"/>
    <mergeCell ref="BE64:BG64"/>
    <mergeCell ref="BH64:BJ64"/>
    <mergeCell ref="BK64:BQ64"/>
    <mergeCell ref="B65:D65"/>
    <mergeCell ref="E65:I65"/>
    <mergeCell ref="J65:P65"/>
    <mergeCell ref="Q65:W65"/>
    <mergeCell ref="X65:AD65"/>
    <mergeCell ref="AE65:AF65"/>
    <mergeCell ref="AG65:AI65"/>
    <mergeCell ref="AJ65:AL65"/>
    <mergeCell ref="AM65:AO65"/>
    <mergeCell ref="AP65:AR65"/>
    <mergeCell ref="AS65:AU65"/>
    <mergeCell ref="AV65:AX65"/>
    <mergeCell ref="AY65:BA65"/>
    <mergeCell ref="BB65:BD65"/>
    <mergeCell ref="BE65:BG65"/>
    <mergeCell ref="BH65:BJ65"/>
    <mergeCell ref="BK65:BQ65"/>
    <mergeCell ref="B66:D66"/>
    <mergeCell ref="E66:I66"/>
    <mergeCell ref="J66:P66"/>
    <mergeCell ref="Q66:W66"/>
    <mergeCell ref="X66:AD66"/>
    <mergeCell ref="AE66:AF66"/>
    <mergeCell ref="AG66:AI66"/>
    <mergeCell ref="AJ66:AL66"/>
    <mergeCell ref="AM66:AO66"/>
    <mergeCell ref="AP66:AR66"/>
    <mergeCell ref="AS66:AU66"/>
    <mergeCell ref="AV66:AX66"/>
    <mergeCell ref="AY66:BA66"/>
    <mergeCell ref="BB66:BD66"/>
    <mergeCell ref="BE66:BG66"/>
    <mergeCell ref="BH66:BJ66"/>
    <mergeCell ref="BK66:BQ66"/>
    <mergeCell ref="B67:D67"/>
    <mergeCell ref="E67:I67"/>
    <mergeCell ref="J67:P67"/>
    <mergeCell ref="Q67:W67"/>
    <mergeCell ref="X67:AD67"/>
    <mergeCell ref="AE67:AF67"/>
    <mergeCell ref="AG67:AI67"/>
    <mergeCell ref="AJ67:AL67"/>
    <mergeCell ref="AM67:AO67"/>
    <mergeCell ref="AP67:AR67"/>
    <mergeCell ref="AS67:AU67"/>
    <mergeCell ref="AV67:AX67"/>
    <mergeCell ref="AY67:BA67"/>
    <mergeCell ref="BB67:BD67"/>
    <mergeCell ref="BE67:BG67"/>
    <mergeCell ref="BH67:BJ67"/>
    <mergeCell ref="BK67:BQ67"/>
    <mergeCell ref="B68:D68"/>
    <mergeCell ref="E68:I68"/>
    <mergeCell ref="J68:P68"/>
    <mergeCell ref="Q68:W68"/>
    <mergeCell ref="X68:AD68"/>
    <mergeCell ref="AE68:AF68"/>
    <mergeCell ref="AG68:AI68"/>
    <mergeCell ref="AJ68:AL68"/>
    <mergeCell ref="AM68:AO68"/>
    <mergeCell ref="AP68:AR68"/>
    <mergeCell ref="AS68:AU68"/>
    <mergeCell ref="AV68:AX68"/>
    <mergeCell ref="AY68:BA68"/>
    <mergeCell ref="BB68:BD68"/>
    <mergeCell ref="BE68:BG68"/>
    <mergeCell ref="BH68:BJ68"/>
    <mergeCell ref="BK68:BQ68"/>
    <mergeCell ref="B69:D69"/>
    <mergeCell ref="E69:I69"/>
    <mergeCell ref="J69:P69"/>
    <mergeCell ref="Q69:W69"/>
    <mergeCell ref="X69:AD69"/>
    <mergeCell ref="AE69:AF69"/>
    <mergeCell ref="AG69:AI69"/>
    <mergeCell ref="AJ69:AL69"/>
    <mergeCell ref="AM69:AO69"/>
    <mergeCell ref="AP69:AR69"/>
    <mergeCell ref="AS69:AU69"/>
    <mergeCell ref="AV69:AX69"/>
    <mergeCell ref="AY69:BA69"/>
    <mergeCell ref="BB69:BD69"/>
    <mergeCell ref="BE69:BG69"/>
    <mergeCell ref="BH69:BJ69"/>
    <mergeCell ref="BK69:BQ69"/>
    <mergeCell ref="B70:D70"/>
    <mergeCell ref="E70:I70"/>
    <mergeCell ref="J70:P70"/>
    <mergeCell ref="Q70:W70"/>
    <mergeCell ref="X70:AD70"/>
    <mergeCell ref="AE70:AF70"/>
    <mergeCell ref="AG70:AI70"/>
    <mergeCell ref="AJ70:AL70"/>
    <mergeCell ref="AM70:AO70"/>
    <mergeCell ref="AP70:AR70"/>
    <mergeCell ref="AS70:AU70"/>
    <mergeCell ref="AV70:AX70"/>
    <mergeCell ref="AY70:BA70"/>
    <mergeCell ref="BB70:BD70"/>
    <mergeCell ref="BE70:BG70"/>
    <mergeCell ref="BH70:BJ70"/>
    <mergeCell ref="BK70:BQ70"/>
    <mergeCell ref="B71:D71"/>
    <mergeCell ref="E71:I71"/>
    <mergeCell ref="J71:P71"/>
    <mergeCell ref="Q71:W71"/>
    <mergeCell ref="X71:AD71"/>
    <mergeCell ref="AE71:AF71"/>
    <mergeCell ref="AG71:AI71"/>
    <mergeCell ref="AJ71:AL71"/>
    <mergeCell ref="AM71:AO71"/>
    <mergeCell ref="AP71:AR71"/>
    <mergeCell ref="AS71:AU71"/>
    <mergeCell ref="AV71:AX71"/>
    <mergeCell ref="AY71:BA71"/>
    <mergeCell ref="BB71:BD71"/>
    <mergeCell ref="BE71:BG71"/>
    <mergeCell ref="BH71:BJ71"/>
    <mergeCell ref="BK71:BQ71"/>
    <mergeCell ref="A72:BQ72"/>
    <mergeCell ref="B73:D73"/>
    <mergeCell ref="E73:I73"/>
    <mergeCell ref="J73:P73"/>
    <mergeCell ref="Q73:W73"/>
    <mergeCell ref="X73:AD73"/>
    <mergeCell ref="AE73:AF73"/>
    <mergeCell ref="AG73:AI73"/>
    <mergeCell ref="AJ73:AL73"/>
    <mergeCell ref="AM73:AO73"/>
    <mergeCell ref="AP73:AR73"/>
    <mergeCell ref="AS73:AU73"/>
    <mergeCell ref="AV73:AX73"/>
    <mergeCell ref="AY73:BA73"/>
    <mergeCell ref="BB73:BD73"/>
    <mergeCell ref="BE73:BG73"/>
    <mergeCell ref="BH73:BJ73"/>
    <mergeCell ref="BK73:BQ73"/>
    <mergeCell ref="B74:D74"/>
    <mergeCell ref="E74:I74"/>
    <mergeCell ref="J74:P74"/>
    <mergeCell ref="Q74:W74"/>
    <mergeCell ref="X74:AD74"/>
    <mergeCell ref="AE74:AF74"/>
    <mergeCell ref="AG74:AI74"/>
    <mergeCell ref="AJ74:AL74"/>
    <mergeCell ref="AM74:AO74"/>
    <mergeCell ref="AP74:AR74"/>
    <mergeCell ref="AS74:AU74"/>
    <mergeCell ref="AV74:AX74"/>
    <mergeCell ref="AY74:BA74"/>
    <mergeCell ref="BB74:BD74"/>
    <mergeCell ref="BE74:BG74"/>
    <mergeCell ref="BH74:BJ74"/>
    <mergeCell ref="BK74:BQ74"/>
    <mergeCell ref="B75:D75"/>
    <mergeCell ref="E75:I75"/>
    <mergeCell ref="J75:P75"/>
    <mergeCell ref="Q75:W75"/>
    <mergeCell ref="X75:AD75"/>
    <mergeCell ref="AE75:AF75"/>
    <mergeCell ref="AG75:AI75"/>
    <mergeCell ref="AJ75:AL75"/>
    <mergeCell ref="AM75:AO75"/>
    <mergeCell ref="AP75:AR75"/>
    <mergeCell ref="AS75:AU75"/>
    <mergeCell ref="AV75:AX75"/>
    <mergeCell ref="AY75:BA75"/>
    <mergeCell ref="BB75:BD75"/>
    <mergeCell ref="BE75:BG75"/>
    <mergeCell ref="BH75:BJ75"/>
    <mergeCell ref="BK75:BQ75"/>
    <mergeCell ref="B76:D76"/>
    <mergeCell ref="E76:I76"/>
    <mergeCell ref="J76:P76"/>
    <mergeCell ref="Q76:W76"/>
    <mergeCell ref="X76:AD76"/>
    <mergeCell ref="AE76:AF76"/>
    <mergeCell ref="AG76:AI76"/>
    <mergeCell ref="AJ76:AL76"/>
    <mergeCell ref="AM76:AO76"/>
    <mergeCell ref="AP76:AR76"/>
    <mergeCell ref="AS76:AU76"/>
    <mergeCell ref="AV76:AX76"/>
    <mergeCell ref="AY76:BA76"/>
    <mergeCell ref="BB76:BD76"/>
    <mergeCell ref="BE76:BG76"/>
    <mergeCell ref="BH76:BJ76"/>
    <mergeCell ref="BK76:BQ76"/>
    <mergeCell ref="B77:D77"/>
    <mergeCell ref="E77:I77"/>
    <mergeCell ref="J77:P77"/>
    <mergeCell ref="Q77:W77"/>
    <mergeCell ref="X77:AD77"/>
    <mergeCell ref="AE77:AF77"/>
    <mergeCell ref="AG77:AI77"/>
    <mergeCell ref="AJ77:AL77"/>
    <mergeCell ref="AM77:AO77"/>
    <mergeCell ref="AP77:AR77"/>
    <mergeCell ref="AS77:AU77"/>
    <mergeCell ref="AV77:AX77"/>
    <mergeCell ref="AY77:BA77"/>
    <mergeCell ref="BB77:BD77"/>
    <mergeCell ref="BE77:BG77"/>
    <mergeCell ref="BH77:BJ77"/>
    <mergeCell ref="BK77:BQ77"/>
    <mergeCell ref="B78:D78"/>
    <mergeCell ref="E78:I78"/>
    <mergeCell ref="J78:P78"/>
    <mergeCell ref="Q78:W78"/>
    <mergeCell ref="X78:AD78"/>
    <mergeCell ref="AE78:AF78"/>
    <mergeCell ref="AG78:AI78"/>
    <mergeCell ref="AJ78:AL78"/>
    <mergeCell ref="AM78:AO78"/>
    <mergeCell ref="AP78:AR78"/>
    <mergeCell ref="AS78:AU78"/>
    <mergeCell ref="AV78:AX78"/>
    <mergeCell ref="AY78:BA78"/>
    <mergeCell ref="BB78:BD78"/>
    <mergeCell ref="BE78:BG78"/>
    <mergeCell ref="BH78:BJ78"/>
    <mergeCell ref="BK78:BQ78"/>
    <mergeCell ref="B79:D79"/>
    <mergeCell ref="E79:I79"/>
    <mergeCell ref="J79:P79"/>
    <mergeCell ref="Q79:W79"/>
    <mergeCell ref="X79:AD79"/>
    <mergeCell ref="AE79:AF79"/>
    <mergeCell ref="AG79:AI79"/>
    <mergeCell ref="AJ79:AL79"/>
    <mergeCell ref="AM79:AO79"/>
    <mergeCell ref="AP79:AR79"/>
    <mergeCell ref="AS79:AU79"/>
    <mergeCell ref="AV79:AX79"/>
    <mergeCell ref="AY79:BA79"/>
    <mergeCell ref="BB79:BD79"/>
    <mergeCell ref="BE79:BG79"/>
    <mergeCell ref="BH79:BJ79"/>
    <mergeCell ref="BK79:BQ79"/>
    <mergeCell ref="B80:D80"/>
    <mergeCell ref="E80:I80"/>
    <mergeCell ref="J80:P80"/>
    <mergeCell ref="Q80:W80"/>
    <mergeCell ref="X80:AD80"/>
    <mergeCell ref="AE80:AF80"/>
    <mergeCell ref="AG80:AI80"/>
    <mergeCell ref="AJ80:AL80"/>
    <mergeCell ref="AM80:AO80"/>
    <mergeCell ref="AP80:AR80"/>
    <mergeCell ref="AS80:AU80"/>
    <mergeCell ref="AV80:AX80"/>
    <mergeCell ref="AY80:BA80"/>
    <mergeCell ref="BB80:BD80"/>
    <mergeCell ref="BE80:BG80"/>
    <mergeCell ref="BH80:BJ80"/>
    <mergeCell ref="BK80:BQ80"/>
    <mergeCell ref="A81:BQ81"/>
    <mergeCell ref="B82:D82"/>
    <mergeCell ref="E82:I82"/>
    <mergeCell ref="J82:P82"/>
    <mergeCell ref="Q82:W82"/>
    <mergeCell ref="X82:AD82"/>
    <mergeCell ref="AE82:AF82"/>
    <mergeCell ref="AG82:AI82"/>
    <mergeCell ref="AJ82:AL82"/>
    <mergeCell ref="AM82:AO82"/>
    <mergeCell ref="AP82:AR82"/>
    <mergeCell ref="AS82:AU82"/>
    <mergeCell ref="AV82:AX82"/>
    <mergeCell ref="AY82:BA82"/>
    <mergeCell ref="BB82:BD82"/>
    <mergeCell ref="BE82:BG82"/>
    <mergeCell ref="BH82:BJ82"/>
    <mergeCell ref="BK82:BQ82"/>
    <mergeCell ref="B83:D83"/>
    <mergeCell ref="E83:I83"/>
    <mergeCell ref="J83:P83"/>
    <mergeCell ref="Q83:W83"/>
    <mergeCell ref="X83:AD83"/>
    <mergeCell ref="AE83:AF83"/>
    <mergeCell ref="AG83:AI83"/>
    <mergeCell ref="AJ83:AL83"/>
    <mergeCell ref="AM83:AO83"/>
    <mergeCell ref="AP83:AR83"/>
    <mergeCell ref="AS83:AU83"/>
    <mergeCell ref="AV83:AX83"/>
    <mergeCell ref="AY83:BA83"/>
    <mergeCell ref="BB83:BD83"/>
    <mergeCell ref="BE83:BG83"/>
    <mergeCell ref="BH83:BJ83"/>
    <mergeCell ref="BK83:BQ83"/>
    <mergeCell ref="B84:D84"/>
    <mergeCell ref="E84:I84"/>
    <mergeCell ref="J84:P84"/>
    <mergeCell ref="Q84:W84"/>
    <mergeCell ref="X84:AD84"/>
    <mergeCell ref="AE84:AF84"/>
    <mergeCell ref="AG84:AI84"/>
    <mergeCell ref="AJ84:AL84"/>
    <mergeCell ref="AM84:AO84"/>
    <mergeCell ref="AP84:AR84"/>
    <mergeCell ref="AS84:AU84"/>
    <mergeCell ref="AV84:AX84"/>
    <mergeCell ref="AY84:BA84"/>
    <mergeCell ref="BB84:BD84"/>
    <mergeCell ref="BE84:BG84"/>
    <mergeCell ref="BH84:BJ84"/>
    <mergeCell ref="BK84:BQ84"/>
    <mergeCell ref="B85:D85"/>
    <mergeCell ref="E85:I85"/>
    <mergeCell ref="J85:P85"/>
    <mergeCell ref="Q85:W85"/>
    <mergeCell ref="X85:AD85"/>
    <mergeCell ref="AE85:AF85"/>
    <mergeCell ref="AG85:AI85"/>
    <mergeCell ref="AJ85:AL85"/>
    <mergeCell ref="AM85:AO85"/>
    <mergeCell ref="AP85:AR85"/>
    <mergeCell ref="AS85:AU85"/>
    <mergeCell ref="AV85:AX85"/>
    <mergeCell ref="AY85:BA85"/>
    <mergeCell ref="BB85:BD85"/>
    <mergeCell ref="BE85:BG85"/>
    <mergeCell ref="BH85:BJ85"/>
    <mergeCell ref="BK85:BQ85"/>
    <mergeCell ref="B86:D86"/>
    <mergeCell ref="E86:I86"/>
    <mergeCell ref="J86:P86"/>
    <mergeCell ref="Q86:W86"/>
    <mergeCell ref="X86:AD86"/>
    <mergeCell ref="AE86:AF86"/>
    <mergeCell ref="AG86:AI86"/>
    <mergeCell ref="AJ86:AL86"/>
    <mergeCell ref="AM86:AO86"/>
    <mergeCell ref="AP86:AR86"/>
    <mergeCell ref="AS86:AU86"/>
    <mergeCell ref="AV86:AX86"/>
    <mergeCell ref="AY86:BA86"/>
    <mergeCell ref="BB86:BD86"/>
    <mergeCell ref="BE86:BG86"/>
    <mergeCell ref="BH86:BJ86"/>
    <mergeCell ref="BK86:BQ86"/>
    <mergeCell ref="B87:D87"/>
    <mergeCell ref="E87:I87"/>
    <mergeCell ref="J87:P87"/>
    <mergeCell ref="Q87:W87"/>
    <mergeCell ref="X87:AD87"/>
    <mergeCell ref="AE87:AF87"/>
    <mergeCell ref="AG87:AI87"/>
    <mergeCell ref="AJ87:AL87"/>
    <mergeCell ref="AM87:AO87"/>
    <mergeCell ref="AP87:AR87"/>
    <mergeCell ref="AS87:AU87"/>
    <mergeCell ref="AV87:AX87"/>
    <mergeCell ref="AY87:BA87"/>
    <mergeCell ref="BB87:BD87"/>
    <mergeCell ref="BE87:BG87"/>
    <mergeCell ref="BH87:BJ87"/>
    <mergeCell ref="BK87:BQ87"/>
    <mergeCell ref="B88:D88"/>
    <mergeCell ref="E88:I88"/>
    <mergeCell ref="J88:P88"/>
    <mergeCell ref="Q88:W88"/>
    <mergeCell ref="X88:AD88"/>
    <mergeCell ref="AE88:AF88"/>
    <mergeCell ref="AG88:AI88"/>
    <mergeCell ref="AJ88:AL88"/>
    <mergeCell ref="AM88:AO88"/>
    <mergeCell ref="AP88:AR88"/>
    <mergeCell ref="AS88:AU88"/>
    <mergeCell ref="AV88:AX88"/>
    <mergeCell ref="AY88:BA88"/>
    <mergeCell ref="BB88:BD88"/>
    <mergeCell ref="BE88:BG88"/>
    <mergeCell ref="BH88:BJ88"/>
    <mergeCell ref="BK88:BQ88"/>
    <mergeCell ref="A10:A11"/>
    <mergeCell ref="BK10:BQ11"/>
    <mergeCell ref="B10:D11"/>
    <mergeCell ref="E10:I11"/>
    <mergeCell ref="J10:P11"/>
    <mergeCell ref="Q10:W11"/>
    <mergeCell ref="X10:AD11"/>
    <mergeCell ref="AE10:AF11"/>
  </mergeCells>
  <dataValidations count="3">
    <dataValidation type="list" allowBlank="1" sqref="F1">
      <formula1>"単体テスト,結合テスト,システムテスト"</formula1>
    </dataValidation>
    <dataValidation type="list" allowBlank="1" sqref="AV50 AG13:AG17 AG19:AG24 AG26:AG28 AG30:AG62 AG64:AG71 AG73:AG80 AG82:AG88 AV13:AV17 AV19:AV24 AV26:AV28 AV30:AV49 AV51:AV62 AV64:AV71 AV73:AV80 AV82:AV88">
      <formula1>"合格,不合格,未テスト,N/A"</formula1>
    </dataValidation>
    <dataValidation type="list" allowBlank="1" sqref="AE13:AE17 AE19:AE24 AE26:AE28 AE30:AE62 AE64:AE71 AE73:AE80 AE82:AE88">
      <formula1>"N,A,B"</formula1>
    </dataValidation>
  </dataValidations>
  <pageMargins left="0.75" right="0.75" top="1" bottom="1" header="0" footer="0"/>
  <pageSetup paperSize="1" orientation="landscape"/>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6</vt:i4>
      </vt:variant>
    </vt:vector>
  </HeadingPairs>
  <TitlesOfParts>
    <vt:vector size="6" baseType="lpstr">
      <vt:lpstr>表紙</vt:lpstr>
      <vt:lpstr>変更履歴</vt:lpstr>
      <vt:lpstr>概要</vt:lpstr>
      <vt:lpstr>テスト報告書</vt:lpstr>
      <vt:lpstr>テスト観点</vt:lpstr>
      <vt:lpstr>機能</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anh.vuquang</cp:lastModifiedBy>
  <dcterms:created xsi:type="dcterms:W3CDTF">2026-05-21T08:18:00Z</dcterms:created>
  <dcterms:modified xsi:type="dcterms:W3CDTF">2026-08-28T10:17:04Z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CB26DFBA68C64D82A9F3755B66CF8A2A_12</vt:lpwstr>
  </property>
  <property fmtid="{D5CDD505-2E9C-101B-9397-08002B2CF9AE}" pid="3" name="KSOProductBuildVer">
    <vt:lpwstr>1033-12.1.0.28032</vt:lpwstr>
  </property>
  <property fmtid="{D5CDD505-2E9C-101B-9397-08002B2CF9AE}" pid="4" name="CalculationRule">
    <vt:i4>0</vt:i4>
  </property>
</Properties>
</file>