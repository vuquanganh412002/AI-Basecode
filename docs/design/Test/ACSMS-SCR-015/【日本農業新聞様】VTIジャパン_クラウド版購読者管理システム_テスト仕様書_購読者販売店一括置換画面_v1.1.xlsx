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1580" activeTab="5"/>
  </bookViews>
  <sheets>
    <sheet name="表紙" sheetId="1" r:id="rId1"/>
    <sheet name="変更履歴" sheetId="2" r:id="rId2"/>
    <sheet name="概要" sheetId="3" r:id="rId3"/>
    <sheet name="テスト報告書" sheetId="4" r:id="rId4"/>
    <sheet name="テスト観点" sheetId="5" r:id="rId5"/>
    <sheet name="機能"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<sst xmlns="http://schemas.openxmlformats.org/spreadsheetml/2006/main" count="919" uniqueCount="500">
  <si>
    <t>クラウド版購読者管理システム</t>
  </si>
  <si>
    <t>購読者販売店一括置換画面</t>
  </si>
  <si>
    <t>版1.0</t>
  </si>
  <si>
    <t>フォーマットコード</t>
  </si>
  <si>
    <t>16-BM/PM/VTI</t>
  </si>
  <si>
    <t>フォーマットバージョン</t>
  </si>
  <si>
    <t>1.0</t>
  </si>
  <si>
    <t>発行日</t>
  </si>
  <si>
    <t>2026/06/04</t>
  </si>
  <si>
    <t>項番</t>
  </si>
  <si>
    <t>バージョン</t>
  </si>
  <si>
    <t>担当者</t>
  </si>
  <si>
    <t>変更内容</t>
  </si>
  <si>
    <t>確認者</t>
  </si>
  <si>
    <t>承認者</t>
  </si>
  <si>
    <t>2026-06-04</t>
  </si>
  <si>
    <t>Kieu Thi Diem</t>
  </si>
  <si>
    <t>Tạo bản đầu tiên</t>
  </si>
  <si>
    <t>Nguyen Huy Dat</t>
  </si>
  <si>
    <t>2026-08-06</t>
  </si>
  <si>
    <t>1.1</t>
  </si>
  <si>
    <t>Tran Duc Tuyen</t>
  </si>
  <si>
    <t>Bổ sung 4 ca kiểm thử (047〜050): đánh giá điều kiện có thể thay thế theo as-of ngày áp dụng và loại trừ bản điện tử (2 ca — đồng bộ với bản tiếng Nhật), cửa hàng giao báo đích là điều kiện tìm kiếm bắt buộc kèm loại trừ người đọc đang được cửa hàng đích giao, và cửa hàng giao báo (nguồn) là tùy chọn</t>
  </si>
  <si>
    <t>システム・アプリケーション名</t>
  </si>
  <si>
    <t>ドキュメント</t>
  </si>
  <si>
    <t>シート名</t>
  </si>
  <si>
    <t>作成日</t>
  </si>
  <si>
    <t>作成者</t>
  </si>
  <si>
    <t>更新日</t>
  </si>
  <si>
    <t>更新者</t>
  </si>
  <si>
    <t>テスト仕様書</t>
  </si>
  <si>
    <t>概要</t>
  </si>
  <si>
    <t>1.システム概要</t>
  </si>
  <si>
    <t>Hệ thống này là hệ thống quản lý độc giả dạng cloud dành cho JA, cung cấp các chức năng như quản lý thông tin độc giả, quản lý lịch sử đặt báo, quản lý dữ liệu chuyển khoản tài khoản. Màn hình này cung cấp chức năng chọn nhiều độc giả đã search và thay thế hàng loạt cửa hàng giao báo (販売店).</t>
  </si>
  <si>
    <t>2.資料目的</t>
  </si>
  <si>
    <t>Đây là tài liệu mô tả chi tiết test specification được tạo mới trên hệ thống cho「Màn hình thay thế hàng loạt cửa hàng độc giả (ACSMS-SCR-015)」.</t>
  </si>
  <si>
    <t>- Mỗi test case được tạo dựa trên một kịch bản đơn lẻ (trách nhiệm đơn nhất).</t>
  </si>
  <si>
    <t>- Các bước được mô tả ở mức độ có thể tái hiện, và chỉ rõ test data.</t>
  </si>
  <si>
    <t>- Kết quả mong đợi phải đo lường được (nội dung message, kết quả query DB, HTTP status code, v.v.).</t>
  </si>
  <si>
    <t>- Mỗi test case được gán observation ID (tham chiếu danh sách quan điểm test).</t>
  </si>
  <si>
    <t>3.関連資料</t>
  </si>
  <si>
    <t>No</t>
  </si>
  <si>
    <t>資料コード</t>
  </si>
  <si>
    <t>資料名</t>
  </si>
  <si>
    <t>ACSMS-SCR-015</t>
  </si>
  <si>
    <t>Tài liệu thiết kế màn hình thay thế hàng loạt cửa hàng độc giả</t>
  </si>
  <si>
    <t>ACSMS-SCR-015-api</t>
  </si>
  <si>
    <t>Tài liệu thiết kế API thay thế hàng loạt cửa hàng độc giả</t>
  </si>
  <si>
    <t>testcase-viewpoints</t>
  </si>
  <si>
    <t>Danh sách quan điểm test chung toàn hệ thống</t>
  </si>
  <si>
    <t>&lt;単体/結合/システム&gt; テスト報告書</t>
  </si>
  <si>
    <t>プロジェクト名</t>
  </si>
  <si>
    <t>プロジェクトマネージャ</t>
  </si>
  <si>
    <t>#</t>
  </si>
  <si>
    <t>機能名</t>
  </si>
  <si>
    <t>テストケース分類</t>
  </si>
  <si>
    <t>合計</t>
  </si>
  <si>
    <t>テスト結果</t>
  </si>
  <si>
    <t>正常</t>
  </si>
  <si>
    <t>異常</t>
  </si>
  <si>
    <t>境界</t>
  </si>
  <si>
    <t>合格</t>
  </si>
  <si>
    <t>不合格</t>
  </si>
  <si>
    <t>未テスト</t>
  </si>
  <si>
    <t>N/A</t>
  </si>
  <si>
    <t>進捗（%）</t>
  </si>
  <si>
    <t>テスト1回目</t>
  </si>
  <si>
    <t>機能</t>
  </si>
  <si>
    <t>テスト2回目</t>
  </si>
  <si>
    <t>テスト観点</t>
  </si>
  <si>
    <t>1. テスト観点一覧</t>
  </si>
  <si>
    <t>観点ID</t>
  </si>
  <si>
    <t>大分類</t>
  </si>
  <si>
    <t>観点名</t>
  </si>
  <si>
    <t>リスク</t>
  </si>
  <si>
    <t>対象画面範囲</t>
  </si>
  <si>
    <t>TC見積</t>
  </si>
  <si>
    <t>VP-A-01</t>
  </si>
  <si>
    <t>A. セキュリティ・権限</t>
  </si>
  <si>
    <t>ロール別権限制御（RBAC gate）</t>
  </si>
  <si>
    <t>高</t>
  </si>
  <si>
    <t>約25保護画面</t>
  </si>
  <si>
    <t>VP-A-02</t>
  </si>
  <si>
    <t>データ範囲（DataScope）</t>
  </si>
  <si>
    <t>約20一覧／詳細画面</t>
  </si>
  <si>
    <t>VP-A-03</t>
  </si>
  <si>
    <t>項目レベル制限（Field-level restriction）</t>
  </si>
  <si>
    <t>5マスタ</t>
  </si>
  <si>
    <t>VP-A-04</t>
  </si>
  <si>
    <t>URL直接アクセス攻撃</t>
  </si>
  <si>
    <t>VP-A-05</t>
  </si>
  <si>
    <t>セッション失効／401 ハンドリング</t>
  </si>
  <si>
    <t>全システム</t>
  </si>
  <si>
    <t>VP-A-06</t>
  </si>
  <si>
    <t>XSS／HTML 描画安全性</t>
  </si>
  <si>
    <t>約20フォーム</t>
  </si>
  <si>
    <t>VP-A-07</t>
  </si>
  <si>
    <t>CSRF／Cookie セキュリティフラグ</t>
  </si>
  <si>
    <t>VP-A-08</t>
  </si>
  <si>
    <t>レート制限・Throttling</t>
  </si>
  <si>
    <t>中</t>
  </si>
  <si>
    <t>全公開API＋認証エンドポイント</t>
  </si>
  <si>
    <t>VP-A-09</t>
  </si>
  <si>
    <t>アカウントロック・解除運用</t>
  </si>
  <si>
    <t>SCR-001／002＋管理機能</t>
  </si>
  <si>
    <t>VP-A-10</t>
  </si>
  <si>
    <t>SQL インジェクション</t>
  </si>
  <si>
    <t>約20フォーム＋検索</t>
  </si>
  <si>
    <t>VP-B-01</t>
  </si>
  <si>
    <t>B. データバリデーション</t>
  </si>
  <si>
    <t>必須項目チェック</t>
  </si>
  <si>
    <t>約25フォーム</t>
  </si>
  <si>
    <t>VP-B-02</t>
  </si>
  <si>
    <t>最小／最大長境界</t>
  </si>
  <si>
    <t>VP-B-03</t>
  </si>
  <si>
    <t>形式正規表現（郵便／電話／コード）</t>
  </si>
  <si>
    <t>VP-B-04</t>
  </si>
  <si>
    <t>半角／全角ハンドリング</t>
  </si>
  <si>
    <t>VP-B-05</t>
  </si>
  <si>
    <t>日付ロジック</t>
  </si>
  <si>
    <t>約10日付付きフォーム</t>
  </si>
  <si>
    <t>VP-B-06</t>
  </si>
  <si>
    <t>通貨／パーセント形式</t>
  </si>
  <si>
    <t>2-3フォーム（単価）</t>
  </si>
  <si>
    <t>VP-B-07</t>
  </si>
  <si>
    <t>マスタコード（m_code）参照</t>
  </si>
  <si>
    <t>約15ドロップダウン付きフォーム</t>
  </si>
  <si>
    <t>VP-B-08</t>
  </si>
  <si>
    <t>キー重複（duplicate code）</t>
  </si>
  <si>
    <t>約10マスタ</t>
  </si>
  <si>
    <t>VP-B-09</t>
  </si>
  <si>
    <t>IME・全角入力・貼付ハンドリング</t>
  </si>
  <si>
    <t>全テキスト入力フォーム＋検索画面</t>
  </si>
  <si>
    <t>VP-C-01</t>
  </si>
  <si>
    <t>C. 業務ロジック</t>
  </si>
  <si>
    <t>CRUD 正常系 + DB 永続化</t>
  </si>
  <si>
    <t>VP-C-02</t>
  </si>
  <si>
    <t>同時編集競合</t>
  </si>
  <si>
    <t>約8編集画面</t>
  </si>
  <si>
    <t>VP-C-03</t>
  </si>
  <si>
    <t>論理削除 + FK 関連</t>
  </si>
  <si>
    <t>約6関連付きマスタ</t>
  </si>
  <si>
    <t>VP-C-04</t>
  </si>
  <si>
    <t>税込／税抜計算</t>
  </si>
  <si>
    <t>単価マスタ</t>
  </si>
  <si>
    <t>VP-C-05</t>
  </si>
  <si>
    <t>購読者種別ルール（読み取り専用）</t>
  </si>
  <si>
    <t>購読者マスタ</t>
  </si>
  <si>
    <t>VP-C-06</t>
  </si>
  <si>
    <t>Excel取込 部分成功</t>
  </si>
  <si>
    <t>2取込画面</t>
  </si>
  <si>
    <t>VP-C-07</t>
  </si>
  <si>
    <t>販売店一括置換</t>
  </si>
  <si>
    <t>一括置換</t>
  </si>
  <si>
    <t>VP-C-08</t>
  </si>
  <si>
    <t>レポート集計の正確性</t>
  </si>
  <si>
    <t>3レポート</t>
  </si>
  <si>
    <t>VP-D-01</t>
  </si>
  <si>
    <t>D. 統合・システム</t>
  </si>
  <si>
    <t>ログイン + MFA フロー</t>
  </si>
  <si>
    <t>SCR-001／002</t>
  </si>
  <si>
    <t>VP-D-02</t>
  </si>
  <si>
    <t>セッションスライディング 24h</t>
  </si>
  <si>
    <t>VP-D-03</t>
  </si>
  <si>
    <t>パスワード再発行フロー</t>
  </si>
  <si>
    <t>SCR-007</t>
  </si>
  <si>
    <t>VP-D-04</t>
  </si>
  <si>
    <t>監査ログの完全性</t>
  </si>
  <si>
    <t>VP-D-05</t>
  </si>
  <si>
    <t>ファイルアップロード S3</t>
  </si>
  <si>
    <t>SCR-022</t>
  </si>
  <si>
    <t>VP-D-06</t>
  </si>
  <si>
    <t>メール通知</t>
  </si>
  <si>
    <t>SCR-001／007／お知らせ</t>
  </si>
  <si>
    <t>VP-D-07</t>
  </si>
  <si>
    <t>外部 CSV 形式準拠</t>
  </si>
  <si>
    <t>SCR-008／009</t>
  </si>
  <si>
    <t>VP-D-08</t>
  </si>
  <si>
    <t>ネットワーク／500／タイムアウト</t>
  </si>
  <si>
    <t>VP-D-09</t>
  </si>
  <si>
    <t>パスワード再発行 旧token無効化＋クールダウン</t>
  </si>
  <si>
    <t>VP-E-01</t>
  </si>
  <si>
    <t>E. 非機能・ユーザビリティ</t>
  </si>
  <si>
    <t>レイアウト／デザイントークン</t>
  </si>
  <si>
    <t>低</t>
  </si>
  <si>
    <t>全画面</t>
  </si>
  <si>
    <t>VP-E-02</t>
  </si>
  <si>
    <t>レスポンシブ（モバイル／タブレット）</t>
  </si>
  <si>
    <t>VP-E-03</t>
  </si>
  <si>
    <t>キーボード操作</t>
  </si>
  <si>
    <t>VP-E-04</t>
  </si>
  <si>
    <t>ブラウザ互換性</t>
  </si>
  <si>
    <t>VP-E-05</t>
  </si>
  <si>
    <t>マルチタブセッション同期</t>
  </si>
  <si>
    <t>VP-E-07</t>
  </si>
  <si>
    <t>未保存変更ガード・ブラウザ離脱</t>
  </si>
  <si>
    <t>全 CRUD 編集フォーム</t>
  </si>
  <si>
    <t>VP-F-01</t>
  </si>
  <si>
    <t>F. 性能</t>
  </si>
  <si>
    <t>性能ベンチマーク</t>
  </si>
  <si>
    <t>全画面パフォーマンス計測対象</t>
  </si>
  <si>
    <t>VP-F-02</t>
  </si>
  <si>
    <t>大量データ表示性能</t>
  </si>
  <si>
    <t>一覧／レポート画面</t>
  </si>
  <si>
    <t>2. 観点ID 命名規約・グループ凡例</t>
  </si>
  <si>
    <t>グループ</t>
  </si>
  <si>
    <t>接頭辞</t>
  </si>
  <si>
    <t>名称</t>
  </si>
  <si>
    <t>観点数</t>
  </si>
  <si>
    <t>リスク傾向</t>
  </si>
  <si>
    <t>代表的なテスト観点</t>
  </si>
  <si>
    <t>A</t>
  </si>
  <si>
    <t>VP-A-NN</t>
  </si>
  <si>
    <t>セキュリティ・権限</t>
  </si>
  <si>
    <t>RBAC、DataScope、項目レベル制限、URL直接攻撃、セッション失効、XSS、CSRF、レート制限、アカウントロック、SQL注入</t>
  </si>
  <si>
    <t>B</t>
  </si>
  <si>
    <t>VP-B-NN</t>
  </si>
  <si>
    <t>データバリデーション</t>
  </si>
  <si>
    <t>必須／長さ／形式／半角全角／日付／通貨／m_code／重複キー／IME・貼付ハンドリング</t>
  </si>
  <si>
    <t>C</t>
  </si>
  <si>
    <t>VP-C-NN</t>
  </si>
  <si>
    <t>業務ロジック</t>
  </si>
  <si>
    <t>CRUD 永続化、同時編集競合、論理削除＋FK、税計算、購読者ルール、Excel 取込、レポート集計</t>
  </si>
  <si>
    <t>D</t>
  </si>
  <si>
    <t>VP-D-NN</t>
  </si>
  <si>
    <t>統合・システム</t>
  </si>
  <si>
    <t>ログイン＋MFA、セッション管理、パスワード再発行、監査ログ、S3、メール、CSV 準拠、ネットワーク／500</t>
  </si>
  <si>
    <t>E</t>
  </si>
  <si>
    <t>VP-E-NN</t>
  </si>
  <si>
    <t>非機能・ユーザビリティ</t>
  </si>
  <si>
    <t>低〜中</t>
  </si>
  <si>
    <t>レイアウト、レスポンシブ、キーボード操作、ブラウザ互換、マルチタブ同期、未保存変更ガード</t>
  </si>
  <si>
    <t>F</t>
  </si>
  <si>
    <t>VP-F-NN</t>
  </si>
  <si>
    <t>性能</t>
  </si>
  <si>
    <t>性能ベンチマーク、大量データ表示性能</t>
  </si>
  <si>
    <t>命名規約：VP-{グループ記号}-{NN} 形式（NN はグループ内の2桁連番）。新規観点は同グループの末尾に追加する（例：VP-A-11）。グループ記号はリスク軸による分類で、JSTQB FL の品質特性区分に準拠する。</t>
  </si>
  <si>
    <t>テストレベル</t>
  </si>
  <si>
    <t>結合テスト</t>
  </si>
  <si>
    <t>機能／モジュール</t>
  </si>
  <si>
    <t>ACSMS-SCR-015_購読者販売店一括置換画面</t>
  </si>
  <si>
    <t>確認日</t>
  </si>
  <si>
    <t>テスト環境</t>
  </si>
  <si>
    <t>Windows 10/11, Chrome, Edge</t>
  </si>
  <si>
    <t>分類</t>
  </si>
  <si>
    <t>回目</t>
  </si>
  <si>
    <t>境界値</t>
  </si>
  <si>
    <t>1回目</t>
  </si>
  <si>
    <t>2回目</t>
  </si>
  <si>
    <t>要件ID</t>
  </si>
  <si>
    <t>説明</t>
  </si>
  <si>
    <t>前提条件</t>
  </si>
  <si>
    <t>ステップ／手順</t>
  </si>
  <si>
    <t>期待結果／アウトプット</t>
  </si>
  <si>
    <t>種類</t>
  </si>
  <si>
    <t>テスト1回目の結果</t>
  </si>
  <si>
    <t>テスト2回目の結果</t>
  </si>
  <si>
    <t>備考</t>
  </si>
  <si>
    <t>結果</t>
  </si>
  <si>
    <t>実績／
アウトプット</t>
  </si>
  <si>
    <t>確認日付
（MM/DD）</t>
  </si>
  <si>
    <t>バグID</t>
  </si>
  <si>
    <t>Kiểm soát quyền truy cập (Access Control)</t>
  </si>
  <si>
    <t>ACSMS-TC-015-001</t>
  </si>
  <si>
    <t>Role NICHINO_ADMIN bị từ chối truy cập</t>
  </si>
  <si>
    <t>・role: NICHINO_ADMIN
・Đã login + đã xác thực MFA
・Role này không được cấp quyền `dokusya.replace_hanbaiten`</t>
  </si>
  <si>
    <r>
      <rPr>
        <b/>
        <sz val="10"/>
        <color rgb="FF000000"/>
        <rFont val="游ゴシック"/>
        <charset val="134"/>
      </rPr>
      <t xml:space="preserve">ステップ1：
</t>
    </r>
    <r>
      <rPr>
        <sz val="10"/>
        <color rgb="FF000000"/>
        <rFont val="游ゴシック"/>
        <charset val="134"/>
      </rPr>
      <t xml:space="preserve">Kiểm tra danh sách menu ở sidebar.
</t>
    </r>
    <r>
      <rPr>
        <b/>
        <sz val="10"/>
        <color rgb="FF000000"/>
        <rFont val="游ゴシック"/>
        <charset val="134"/>
      </rPr>
      <t xml:space="preserve">ステップ2：
</t>
    </r>
    <r>
      <rPr>
        <sz val="10"/>
        <color rgb="FF000000"/>
        <rFont val="游ゴシック"/>
        <charset val="134"/>
      </rPr>
      <t xml:space="preserve">Nhập trực tiếp `/dokusya/replace-hanbaiten` vào thanh URL của trình duyệt và thử chuyển màn hình.
</t>
    </r>
    <r>
      <rPr>
        <b/>
        <sz val="10"/>
        <color rgb="FF000000"/>
        <rFont val="游ゴシック"/>
        <charset val="134"/>
      </rPr>
      <t xml:space="preserve">ステップ3：
</t>
    </r>
    <r>
      <rPr>
        <sz val="10"/>
        <color rgb="FF000000"/>
        <rFont val="游ゴシック"/>
        <charset val="134"/>
      </rPr>
      <t>Gọi trực tiếp `POST /api/v1/dokusya/replace-hanbaiten` từ API client.</t>
    </r>
  </si>
  <si>
    <r>
      <rPr>
        <b/>
        <sz val="10"/>
        <color rgb="FF000000"/>
        <rFont val="メイリオ"/>
        <charset val="134"/>
      </rPr>
      <t xml:space="preserve">ステップ1：
</t>
    </r>
    <r>
      <rPr>
        <sz val="10"/>
        <color rgb="FF000000"/>
        <rFont val="メイリオ"/>
        <charset val="134"/>
      </rPr>
      <t xml:space="preserve">Mục menu「購読者販売店一括置換」không hiển thị ở sidebar.
</t>
    </r>
    <r>
      <rPr>
        <b/>
        <sz val="10"/>
        <color rgb="FF000000"/>
        <rFont val="メイリオ"/>
        <charset val="134"/>
      </rPr>
      <t xml:space="preserve">ステップ2：
</t>
    </r>
    <r>
      <rPr>
        <sz val="10"/>
        <color rgb="FF000000"/>
        <rFont val="メイリオ"/>
        <charset val="134"/>
      </rPr>
      <t xml:space="preserve">Việc chuyển màn hình bị chặn, hiển thị toast「アクセス権がありません。」, và chuyển đến `/dashboard`.
</t>
    </r>
    <r>
      <rPr>
        <b/>
        <sz val="10"/>
        <color rgb="FF000000"/>
        <rFont val="メイリオ"/>
        <charset val="134"/>
      </rPr>
      <t xml:space="preserve">ステップ3：
</t>
    </r>
    <r>
      <rPr>
        <sz val="10"/>
        <color rgb="FF000000"/>
        <rFont val="メイリオ"/>
        <charset val="134"/>
      </rPr>
      <t xml:space="preserve">Trả về HTTP 403 (error_code: FORBIDDEN, message「この画面へのアクセス権限がありません。」).
</t>
    </r>
    <r>
      <rPr>
        <b/>
        <sz val="10"/>
        <color rgb="FF000000"/>
        <rFont val="メイリオ"/>
        <charset val="134"/>
      </rPr>
      <t xml:space="preserve">補足：
</t>
    </r>
    <r>
      <rPr>
        <sz val="10"/>
        <color rgb="FF000000"/>
        <rFont val="メイリオ"/>
        <charset val="134"/>
      </rPr>
      <t>・Không phát sinh bất kỳ thay đổi nào trên `t_dokusya` và `t_dokusya_rireki`.</t>
    </r>
  </si>
  <si>
    <t>diem.kieuthi</t>
  </si>
  <si>
    <t>anh.vuquang</t>
  </si>
  <si>
    <t>ACSMS-TC-015-002</t>
  </si>
  <si>
    <t>Role NICHINO_STAFF bị từ chối truy cập</t>
  </si>
  <si>
    <t>・role: NICHINO_STAFF
・Đã login + đã xác thực MFA
・Role này không được cấp quyền `dokusya.replace_hanbaiten`</t>
  </si>
  <si>
    <r>
      <rPr>
        <b/>
        <sz val="10"/>
        <color rgb="FF000000"/>
        <rFont val="メイリオ"/>
        <charset val="134"/>
      </rPr>
      <t xml:space="preserve">ステップ1：
</t>
    </r>
    <r>
      <rPr>
        <sz val="10"/>
        <color rgb="FF000000"/>
        <rFont val="メイリオ"/>
        <charset val="134"/>
      </rPr>
      <t xml:space="preserve">Kiểm tra danh sách menu ở sidebar.
</t>
    </r>
    <r>
      <rPr>
        <b/>
        <sz val="10"/>
        <color rgb="FF000000"/>
        <rFont val="メイリオ"/>
        <charset val="134"/>
      </rPr>
      <t xml:space="preserve">ステップ2：
</t>
    </r>
    <r>
      <rPr>
        <sz val="10"/>
        <color rgb="FF000000"/>
        <rFont val="メイリオ"/>
        <charset val="134"/>
      </rPr>
      <t xml:space="preserve">Nhập trực tiếp `/dokusya/replace-hanbaiten` vào thanh URL của trình duyệt và thử chuyển màn hình.
</t>
    </r>
    <r>
      <rPr>
        <b/>
        <sz val="10"/>
        <color rgb="FF000000"/>
        <rFont val="メイリオ"/>
        <charset val="134"/>
      </rPr>
      <t xml:space="preserve">ステップ3：
</t>
    </r>
    <r>
      <rPr>
        <sz val="10"/>
        <color rgb="FF000000"/>
        <rFont val="メイリオ"/>
        <charset val="134"/>
      </rPr>
      <t>Gọi trực tiếp `GET /api/v1/dokusya/replace-hanbaiten/search` từ API client.</t>
    </r>
  </si>
  <si>
    <r>
      <rPr>
        <b/>
        <sz val="10"/>
        <color rgb="FF000000"/>
        <rFont val="メイリオ"/>
        <charset val="134"/>
      </rPr>
      <t xml:space="preserve">ステップ1：
</t>
    </r>
    <r>
      <rPr>
        <sz val="10"/>
        <color rgb="FF000000"/>
        <rFont val="メイリオ"/>
        <charset val="134"/>
      </rPr>
      <t xml:space="preserve">Mục menu「購読者販売店一括置換」không hiển thị ở sidebar.
</t>
    </r>
    <r>
      <rPr>
        <b/>
        <sz val="10"/>
        <color rgb="FF000000"/>
        <rFont val="メイリオ"/>
        <charset val="134"/>
      </rPr>
      <t xml:space="preserve">ステップ2：
</t>
    </r>
    <r>
      <rPr>
        <sz val="10"/>
        <color rgb="FF000000"/>
        <rFont val="メイリオ"/>
        <charset val="134"/>
      </rPr>
      <t xml:space="preserve">Việc chuyển màn hình bị chặn, hiển thị toast「アクセス権がありません。」, và chuyển đến `/dashboard`.
</t>
    </r>
    <r>
      <rPr>
        <b/>
        <sz val="10"/>
        <color rgb="FF000000"/>
        <rFont val="メイリオ"/>
        <charset val="134"/>
      </rPr>
      <t xml:space="preserve">ステップ3：
</t>
    </r>
    <r>
      <rPr>
        <sz val="10"/>
        <color rgb="FF000000"/>
        <rFont val="メイリオ"/>
        <charset val="134"/>
      </rPr>
      <t xml:space="preserve">Trả về HTTP 403 (error_code: FORBIDDEN, message「この画面へのアクセス権限がありません。」).
</t>
    </r>
    <r>
      <rPr>
        <b/>
        <sz val="10"/>
        <color rgb="FF000000"/>
        <rFont val="メイリオ"/>
        <charset val="134"/>
      </rPr>
      <t xml:space="preserve">補足：
</t>
    </r>
    <r>
      <rPr>
        <sz val="10"/>
        <color rgb="FF000000"/>
        <rFont val="メイリオ"/>
        <charset val="134"/>
      </rPr>
      <t>・Không phát sinh bất kỳ thao tác tham chiếu hay update dữ liệu nào.</t>
    </r>
  </si>
  <si>
    <t>ACSMS-TC-015-003</t>
  </si>
  <si>
    <t>Role CHUOKAI được cho phép truy cập</t>
  </si>
  <si>
    <t>・role: CHUOKAI
・Đã login + đã xác thực MFA
・Role này được cấp quyền `dokusya.replace_hanbaiten`</t>
  </si>
  <si>
    <r>
      <rPr>
        <b/>
        <sz val="10"/>
        <color rgb="FF000000"/>
        <rFont val="メイリオ"/>
        <charset val="134"/>
      </rPr>
      <t xml:space="preserve">ステップ1：
</t>
    </r>
    <r>
      <rPr>
        <sz val="10"/>
        <color rgb="FF000000"/>
        <rFont val="メイリオ"/>
        <charset val="134"/>
      </rPr>
      <t xml:space="preserve">Kiểm tra danh sách menu ở sidebar.
</t>
    </r>
    <r>
      <rPr>
        <b/>
        <sz val="10"/>
        <color rgb="FF000000"/>
        <rFont val="メイリオ"/>
        <charset val="134"/>
      </rPr>
      <t xml:space="preserve">ステップ2：
</t>
    </r>
    <r>
      <rPr>
        <sz val="10"/>
        <color rgb="FF000000"/>
        <rFont val="メイリオ"/>
        <charset val="134"/>
      </rPr>
      <t>Click vào mục menu「購読者販売店一括置換」.</t>
    </r>
  </si>
  <si>
    <r>
      <rPr>
        <b/>
        <sz val="10"/>
        <color rgb="FF000000"/>
        <rFont val="メイリオ"/>
        <charset val="134"/>
      </rPr>
      <t xml:space="preserve">ステップ1：
</t>
    </r>
    <r>
      <rPr>
        <sz val="10"/>
        <color rgb="FF000000"/>
        <rFont val="メイリオ"/>
        <charset val="134"/>
      </rPr>
      <t xml:space="preserve">Mục menu「購読者販売店一括置換」hiển thị ở sidebar.
</t>
    </r>
    <r>
      <rPr>
        <b/>
        <sz val="10"/>
        <color rgb="FF000000"/>
        <rFont val="メイリオ"/>
        <charset val="134"/>
      </rPr>
      <t xml:space="preserve">ステップ2：
</t>
    </r>
    <r>
      <rPr>
        <sz val="10"/>
        <color rgb="FF000000"/>
        <rFont val="メイリオ"/>
        <charset val="134"/>
      </rPr>
      <t xml:space="preserve">Chuyển đến màn hình thay thế hàng loạt cửa hàng độc giả (`/dokusya/replace-hanbaiten`), và không hiển thị toast từ chối truy cập.
</t>
    </r>
    <r>
      <rPr>
        <b/>
        <sz val="10"/>
        <color rgb="FF000000"/>
        <rFont val="メイリオ"/>
        <charset val="134"/>
      </rPr>
      <t xml:space="preserve">補足：
</t>
    </r>
    <r>
      <rPr>
        <sz val="10"/>
        <color rgb="FF000000"/>
        <rFont val="メイリオ"/>
        <charset val="134"/>
      </rPr>
      <t>・Theo DataScope, chỉ độc giả thuộc chuokai của mình mới là đối tượng search.</t>
    </r>
  </si>
  <si>
    <t>N</t>
  </si>
  <si>
    <t>ACSMS-TC-015-004</t>
  </si>
  <si>
    <t>Role JA_HONTEN được cho phép truy cập</t>
  </si>
  <si>
    <t>・role: JA_HONTEN
・Đã login + đã xác thực MFA
・Role này được cấp quyền `dokusya.replace_hanbaiten`</t>
  </si>
  <si>
    <r>
      <rPr>
        <b/>
        <sz val="10"/>
        <color rgb="FF000000"/>
        <rFont val="游ゴシック"/>
        <charset val="134"/>
      </rPr>
      <t xml:space="preserve">ステップ1：
</t>
    </r>
    <r>
      <rPr>
        <sz val="10"/>
        <color rgb="FF000000"/>
        <rFont val="游ゴシック"/>
        <charset val="134"/>
      </rPr>
      <t xml:space="preserve">Mục menu「購読者販売店一括置換」hiển thị ở sidebar.
</t>
    </r>
    <r>
      <rPr>
        <b/>
        <sz val="10"/>
        <color rgb="FF000000"/>
        <rFont val="游ゴシック"/>
        <charset val="134"/>
      </rPr>
      <t xml:space="preserve">ステップ2：
</t>
    </r>
    <r>
      <rPr>
        <sz val="10"/>
        <color rgb="FF000000"/>
        <rFont val="游ゴシック"/>
        <charset val="134"/>
      </rPr>
      <t xml:space="preserve">Chuyển đến màn hình thay thế hàng loạt cửa hàng độc giả (`/dokusya/replace-hanbaiten`), và không hiển thị toast từ chối truy cập.
</t>
    </r>
    <r>
      <rPr>
        <b/>
        <sz val="10"/>
        <color rgb="FF000000"/>
        <rFont val="游ゴシック"/>
        <charset val="134"/>
      </rPr>
      <t xml:space="preserve">補足：
</t>
    </r>
    <r>
      <rPr>
        <sz val="10"/>
        <color rgb="FF000000"/>
        <rFont val="游ゴシック"/>
        <charset val="134"/>
      </rPr>
      <t>・Theo DataScope, chỉ độc giả thuộc JA của mình mới là đối tượng search.</t>
    </r>
  </si>
  <si>
    <t>ACSMS-TC-015-005</t>
  </si>
  <si>
    <t>Role JA_KANRI_SHITEN được cho phép truy cập và DataScope được áp dụng</t>
  </si>
  <si>
    <t>・role: JA_KANRI_SHITEN
・Đã login + đã xác thực MFA
・Role này được cấp quyền `dokusya.replace_hanbaiten`
・Tồn tại dữ liệu độc giả thuộc chi nhánh quản lý của mình và thuộc chi nhánh quản lý khác</t>
  </si>
  <si>
    <r>
      <rPr>
        <b/>
        <sz val="10"/>
        <color rgb="FF000000"/>
        <rFont val="メイリオ"/>
        <charset val="134"/>
      </rPr>
      <t xml:space="preserve">ステップ1：
</t>
    </r>
    <r>
      <rPr>
        <sz val="10"/>
        <color rgb="FF000000"/>
        <rFont val="メイリオ"/>
        <charset val="134"/>
      </rPr>
      <t xml:space="preserve">Click vào mục menu「購読者販売店一括置換」để chuyển màn hình.
</t>
    </r>
    <r>
      <rPr>
        <b/>
        <sz val="10"/>
        <color rgb="FF000000"/>
        <rFont val="メイリオ"/>
        <charset val="134"/>
      </rPr>
      <t xml:space="preserve">ステップ2：
</t>
    </r>
    <r>
      <rPr>
        <sz val="10"/>
        <color rgb="FF000000"/>
        <rFont val="メイリオ"/>
        <charset val="134"/>
      </rPr>
      <t>Click button「検索」mà không chỉ định điều kiện search.</t>
    </r>
  </si>
  <si>
    <r>
      <rPr>
        <b/>
        <sz val="10"/>
        <color rgb="FF000000"/>
        <rFont val="游ゴシック"/>
        <charset val="134"/>
      </rPr>
      <t xml:space="preserve">ステップ1：
</t>
    </r>
    <r>
      <rPr>
        <sz val="10"/>
        <color rgb="FF000000"/>
        <rFont val="游ゴシック"/>
        <charset val="134"/>
      </rPr>
      <t xml:space="preserve">Chuyển đến màn hình thay thế hàng loạt cửa hàng độc giả (`/dokusya/replace-hanbaiten`), và không hiển thị toast từ chối truy cập.
</t>
    </r>
    <r>
      <rPr>
        <b/>
        <sz val="10"/>
        <color rgb="FF000000"/>
        <rFont val="游ゴシック"/>
        <charset val="134"/>
      </rPr>
      <t xml:space="preserve">ステップ2：
</t>
    </r>
    <r>
      <rPr>
        <sz val="10"/>
        <color rgb="FF000000"/>
        <rFont val="游ゴシック"/>
        <charset val="134"/>
      </rPr>
      <t>Hiển thì message validate「購読種別を選択してください。」với 3 item 購読種別, 適用日, 置換先配達販売店.</t>
    </r>
  </si>
  <si>
    <t>Hiển thị màn hình - Responsive (Layout &amp; Responsive)</t>
  </si>
  <si>
    <t>ACSMS-TC-015-006</t>
  </si>
  <si>
    <t>Khi hiển thị ban đầu, form search và table kết quả hiển thị rỗng</t>
  </si>
  <si>
    <t>・role: CHUOKAI
・Đã login + đã xác thực MFA</t>
  </si>
  <si>
    <r>
      <rPr>
        <b/>
        <sz val="10"/>
        <color rgb="FF000000"/>
        <rFont val="游ゴシック"/>
        <charset val="134"/>
      </rPr>
      <t xml:space="preserve">ステップ1：
</t>
    </r>
    <r>
      <rPr>
        <sz val="10"/>
        <color rgb="FF000000"/>
        <rFont val="游ゴシック"/>
        <charset val="134"/>
      </rPr>
      <t xml:space="preserve">Mở màn hình thay thế hàng loạt cửa hàng độc giả (`/dokusya/replace-hanbaiten`).
</t>
    </r>
    <r>
      <rPr>
        <b/>
        <sz val="10"/>
        <color rgb="FF000000"/>
        <rFont val="游ゴシック"/>
        <charset val="134"/>
      </rPr>
      <t xml:space="preserve">ステップ2：
</t>
    </r>
    <r>
      <rPr>
        <sz val="10"/>
        <color rgb="FF000000"/>
        <rFont val="游ゴシック"/>
        <charset val="134"/>
      </rPr>
      <t>Mở dropdown「管理支店」「配達販売店」ở khu vực search.</t>
    </r>
  </si>
  <si>
    <r>
      <rPr>
        <b/>
        <sz val="10"/>
        <color rgb="FF000000"/>
        <rFont val="メイリオ"/>
        <charset val="134"/>
      </rPr>
      <t xml:space="preserve">ステップ1：
</t>
    </r>
    <r>
      <rPr>
        <sz val="10"/>
        <color rgb="FF000000"/>
        <rFont val="メイリオ"/>
        <charset val="134"/>
      </rPr>
      <t xml:space="preserve">Các ô input của form search hiển thị rỗng, và table kết quả không hiển thị row nào.
</t>
    </r>
    <r>
      <rPr>
        <b/>
        <sz val="10"/>
        <color rgb="FF000000"/>
        <rFont val="メイリオ"/>
        <charset val="134"/>
      </rPr>
      <t xml:space="preserve">ステップ2：
</t>
    </r>
    <r>
      <rPr>
        <sz val="10"/>
        <color rgb="FF000000"/>
        <rFont val="メイリオ"/>
        <charset val="134"/>
      </rPr>
      <t xml:space="preserve">Các lựa chọn của dropdown「管理支店」và dropdown「配達販売店」được hiển thị thông qua việc load API.
</t>
    </r>
    <r>
      <rPr>
        <b/>
        <sz val="10"/>
        <color rgb="FF000000"/>
        <rFont val="メイリオ"/>
        <charset val="134"/>
      </rPr>
      <t xml:space="preserve">補足：
</t>
    </r>
    <r>
      <rPr>
        <sz val="10"/>
        <color rgb="FF000000"/>
        <rFont val="メイリオ"/>
        <charset val="134"/>
      </rPr>
      <t>・Khi hiển thị ban đầu, không phát sinh lệnh gọi API nào ngoài việc load dropdown.</t>
    </r>
  </si>
  <si>
    <t>ACSMS-TC-015-007</t>
  </si>
  <si>
    <t>Các cột của table kết quả search hiển thị đúng thiết kế</t>
  </si>
  <si>
    <t>・role: JA_HONTEN
・Đã login + đã xác thực MFA
・Tồn tại dữ liệu độc giả khớp với điều kiện search</t>
  </si>
  <si>
    <r>
      <rPr>
        <b/>
        <sz val="10"/>
        <color rgb="FF000000"/>
        <rFont val="游ゴシック"/>
        <charset val="134"/>
      </rPr>
      <t xml:space="preserve">ステップ1：
</t>
    </r>
    <r>
      <rPr>
        <sz val="10"/>
        <color rgb="FF000000"/>
        <rFont val="游ゴシック"/>
        <charset val="134"/>
      </rPr>
      <t xml:space="preserve">Nhập điều kiện search bất kỳ + với điều kiện search bắt buộc của 3 item 購読種別, 適用日, 置換先配達販売店
 và click button「検索」.
</t>
    </r>
    <r>
      <rPr>
        <b/>
        <sz val="10"/>
        <color rgb="FF000000"/>
        <rFont val="游ゴシック"/>
        <charset val="134"/>
      </rPr>
      <t xml:space="preserve">ステップ2：
</t>
    </r>
    <r>
      <rPr>
        <sz val="10"/>
        <color rgb="FF000000"/>
        <rFont val="游ゴシック"/>
        <charset val="134"/>
      </rPr>
      <t>Kiểm tra các cột header của table kết quả được hiển thị.</t>
    </r>
  </si>
  <si>
    <r>
      <rPr>
        <b/>
        <sz val="10"/>
        <color rgb="FF000000"/>
        <rFont val="メイリオ"/>
        <charset val="134"/>
      </rPr>
      <t xml:space="preserve">ステップ1：
</t>
    </r>
    <r>
      <rPr>
        <sz val="10"/>
        <color rgb="FF000000"/>
        <rFont val="メイリオ"/>
        <charset val="134"/>
      </rPr>
      <t xml:space="preserve">Dữ liệu tương ứng được hiển thị trong danh sách kết quả search.
</t>
    </r>
    <r>
      <rPr>
        <b/>
        <sz val="10"/>
        <color rgb="FF000000"/>
        <rFont val="メイリオ"/>
        <charset val="134"/>
      </rPr>
      <t xml:space="preserve">ステップ2：
</t>
    </r>
    <r>
      <rPr>
        <sz val="10"/>
        <color rgb="FF000000"/>
        <rFont val="メイリオ"/>
        <charset val="134"/>
      </rPr>
      <t xml:space="preserve">Các cột của table kết quả hiển thị theo thứ tự「チェックボックス」「すべて選択／解除」「管理支店」「支店」「組合員コード」「購読者名」「配達先郵便番号」「配達先住所」「販売店コード」「販売店名」.
</t>
    </r>
    <r>
      <rPr>
        <b/>
        <sz val="10"/>
        <color rgb="FF000000"/>
        <rFont val="メイリオ"/>
        <charset val="134"/>
      </rPr>
      <t xml:space="preserve">補足：
</t>
    </r>
    <r>
      <rPr>
        <sz val="10"/>
        <color rgb="FF000000"/>
        <rFont val="メイリオ"/>
        <charset val="134"/>
      </rPr>
      <t>・Nội dung hiển thị của các cột khớp với dữ liệu độc giả của mỗi row.</t>
    </r>
  </si>
  <si>
    <t>ACSMS-TC-015-008</t>
  </si>
  <si>
    <t>Hiển thị và trạng thái active của các button là chính xác</t>
  </si>
  <si>
    <t>・role: CHUOKAI
・Đã login + đã xác thực MFA
・Dữ liệu độc giả đang hiển thị trong danh sách kết quả search</t>
  </si>
  <si>
    <r>
      <rPr>
        <b/>
        <sz val="10"/>
        <color rgb="FF000000"/>
        <rFont val="メイリオ"/>
        <charset val="134"/>
      </rPr>
      <t xml:space="preserve">ステップ1：
</t>
    </r>
    <r>
      <rPr>
        <sz val="10"/>
        <color rgb="FF000000"/>
        <rFont val="メイリオ"/>
        <charset val="134"/>
      </rPr>
      <t xml:space="preserve">Kiểm tra các button ở trạng thái chưa chọn row nào trong danh sách kết quả search.
</t>
    </r>
    <r>
      <rPr>
        <b/>
        <sz val="10"/>
        <color rgb="FF000000"/>
        <rFont val="メイリオ"/>
        <charset val="134"/>
      </rPr>
      <t xml:space="preserve">ステップ2：
</t>
    </r>
    <r>
      <rPr>
        <sz val="10"/>
        <color rgb="FF000000"/>
        <rFont val="メイリオ"/>
        <charset val="134"/>
      </rPr>
      <t>Kiểm tra trạng thái active của từng button「検索」「検索クリア」「置換処理実行」.</t>
    </r>
  </si>
  <si>
    <r>
      <rPr>
        <b/>
        <sz val="10"/>
        <color rgb="FF000000"/>
        <rFont val="メイリオ"/>
        <charset val="134"/>
      </rPr>
      <t xml:space="preserve">ステップ1：
</t>
    </r>
    <r>
      <rPr>
        <sz val="10"/>
        <color rgb="FF000000"/>
        <rFont val="メイリオ"/>
        <charset val="134"/>
      </rPr>
      <t xml:space="preserve">Ở trạng thái chưa chọn row nào, button「置換処理実行」bị disable.
</t>
    </r>
    <r>
      <rPr>
        <b/>
        <sz val="10"/>
        <color rgb="FF000000"/>
        <rFont val="メイリオ"/>
        <charset val="134"/>
      </rPr>
      <t xml:space="preserve">ステップ2：
</t>
    </r>
    <r>
      <rPr>
        <sz val="10"/>
        <color rgb="FF000000"/>
        <rFont val="メイリオ"/>
        <charset val="134"/>
      </rPr>
      <t xml:space="preserve">Button「検索」và button「検索クリア」hiển thị ở trạng thái enable.
</t>
    </r>
    <r>
      <rPr>
        <b/>
        <sz val="10"/>
        <color rgb="FF000000"/>
        <rFont val="メイリオ"/>
        <charset val="134"/>
      </rPr>
      <t xml:space="preserve">補足：
</t>
    </r>
    <r>
      <rPr>
        <sz val="10"/>
        <color rgb="FF000000"/>
        <rFont val="メイリオ"/>
        <charset val="134"/>
      </rPr>
      <t>・Label của mỗi button hiển thị là「検索」「検索クリア」「置換処理実行」.</t>
    </r>
  </si>
  <si>
    <t>ACSMS-TC-015-009</t>
  </si>
  <si>
    <t>Khi chọn checkbox thì ngày áp dụng và đích thay thế hiển thị, button search bị disable</t>
  </si>
  <si>
    <t>・role: JA_HONTEN
・Đã login + đã xác thực MFA
・Dữ liệu độc giả đang hiển thị trong danh sách kết quả search</t>
  </si>
  <si>
    <r>
      <rPr>
        <b/>
        <sz val="10"/>
        <color rgb="FF000000"/>
        <rFont val="メイリオ"/>
        <charset val="134"/>
      </rPr>
      <t xml:space="preserve">ステップ1：
</t>
    </r>
    <r>
      <rPr>
        <sz val="10"/>
        <color rgb="FF000000"/>
        <rFont val="メイリオ"/>
        <charset val="134"/>
      </rPr>
      <t xml:space="preserve">Bật checkbox của một row bất kỳ trong table kết quả.
</t>
    </r>
    <r>
      <rPr>
        <b/>
        <sz val="10"/>
        <color rgb="FF000000"/>
        <rFont val="メイリオ"/>
        <charset val="134"/>
      </rPr>
      <t xml:space="preserve">ステップ2：
</t>
    </r>
    <r>
      <rPr>
        <sz val="10"/>
        <color rgb="FF000000"/>
        <rFont val="メイリオ"/>
        <charset val="134"/>
      </rPr>
      <t>Kiểm tra trạng thái hiển thị của màn hình và trạng thái active của button「検索」.</t>
    </r>
  </si>
  <si>
    <r>
      <rPr>
        <b/>
        <sz val="10"/>
        <color rgb="FF000000"/>
        <rFont val="メイリオ"/>
        <charset val="134"/>
      </rPr>
      <t xml:space="preserve">ステップ1：
</t>
    </r>
    <r>
      <rPr>
        <sz val="10"/>
        <color rgb="FF000000"/>
        <rFont val="メイリオ"/>
        <charset val="134"/>
      </rPr>
      <t xml:space="preserve">Ô input「適用日」và dropdown「置換先配達販売店」được hiển thị, và cả hai đều là mục bắt buộc.
</t>
    </r>
    <r>
      <rPr>
        <b/>
        <sz val="10"/>
        <color rgb="FF000000"/>
        <rFont val="メイリオ"/>
        <charset val="134"/>
      </rPr>
      <t xml:space="preserve">ステップ2：
</t>
    </r>
    <r>
      <rPr>
        <sz val="10"/>
        <color rgb="FF000000"/>
        <rFont val="メイリオ"/>
        <charset val="134"/>
      </rPr>
      <t xml:space="preserve">Ở trạng thái đã chọn từ 1 checkbox trở lên, button「検索」bị disable, và button「置換処理実行」được enable.
</t>
    </r>
    <r>
      <rPr>
        <b/>
        <sz val="10"/>
        <color rgb="FF000000"/>
        <rFont val="メイリオ"/>
        <charset val="134"/>
      </rPr>
      <t xml:space="preserve">補足：
</t>
    </r>
    <r>
      <rPr>
        <sz val="10"/>
        <color rgb="FF000000"/>
        <rFont val="メイリオ"/>
        <charset val="134"/>
      </rPr>
      <t>・Khi bỏ chọn tất cả checkbox thì「適用日」「置換先配達販売店」ẩn đi, và button「検索」được enable trở lại.</t>
    </r>
  </si>
  <si>
    <t>ACSMS-TC-015-010</t>
  </si>
  <si>
    <t>Khi hiển thị responsive không phát sinh vỡ layout</t>
  </si>
  <si>
    <r>
      <rPr>
        <b/>
        <sz val="10"/>
        <color rgb="FF000000"/>
        <rFont val="メイリオ"/>
        <charset val="134"/>
      </rPr>
      <t xml:space="preserve">ステップ1：
</t>
    </r>
    <r>
      <rPr>
        <sz val="10"/>
        <color rgb="FF000000"/>
        <rFont val="メイリオ"/>
        <charset val="134"/>
      </rPr>
      <t xml:space="preserve">Đặt chiều rộng hiển thị của trình duyệt từ 1280px trở lên và hiển thị màn hình.
</t>
    </r>
    <r>
      <rPr>
        <b/>
        <sz val="10"/>
        <color rgb="FF000000"/>
        <rFont val="メイリオ"/>
        <charset val="134"/>
      </rPr>
      <t xml:space="preserve">ステップ2：
</t>
    </r>
    <r>
      <rPr>
        <sz val="10"/>
        <color rgb="FF000000"/>
        <rFont val="メイリオ"/>
        <charset val="134"/>
      </rPr>
      <t>Thu nhỏ chiều rộng hiển thị của trình duyệt xuống khoảng 768px và hiển thị màn hình.</t>
    </r>
  </si>
  <si>
    <r>
      <rPr>
        <b/>
        <sz val="10"/>
        <color rgb="FF000000"/>
        <rFont val="メイリオ"/>
        <charset val="134"/>
      </rPr>
      <t xml:space="preserve">ステップ1：
</t>
    </r>
    <r>
      <rPr>
        <sz val="10"/>
        <color rgb="FF000000"/>
        <rFont val="メイリオ"/>
        <charset val="134"/>
      </rPr>
      <t xml:space="preserve">Form search, button, table kết quả hiển thị không chồng chéo và không bị cắt xén.
</t>
    </r>
    <r>
      <rPr>
        <b/>
        <sz val="10"/>
        <color rgb="FF000000"/>
        <rFont val="メイリオ"/>
        <charset val="134"/>
      </rPr>
      <t xml:space="preserve">ステップ2：
</t>
    </r>
    <r>
      <rPr>
        <sz val="10"/>
        <color rgb="FF000000"/>
        <rFont val="メイリオ"/>
        <charset val="134"/>
      </rPr>
      <t xml:space="preserve">Dù thu nhỏ chiều rộng màn hình thì layout cũng không vỡ, và các phần tử được sắp xếp lại ở dạng đọc được.
</t>
    </r>
    <r>
      <rPr>
        <b/>
        <sz val="10"/>
        <color rgb="FF000000"/>
        <rFont val="メイリオ"/>
        <charset val="134"/>
      </rPr>
      <t xml:space="preserve">補足：
</t>
    </r>
    <r>
      <rPr>
        <sz val="10"/>
        <color rgb="FF000000"/>
        <rFont val="メイリオ"/>
        <charset val="134"/>
      </rPr>
      <t>・Thanh scroll ngang không phát sinh ở vị trí không mong muốn.</t>
    </r>
  </si>
  <si>
    <t>ACSMS-TC-015-011</t>
  </si>
  <si>
    <t>Có thể di chuyển focus bằng thao tác bàn phím</t>
  </si>
  <si>
    <t>・role: JA_KANRI_SHITEN
・Đã login + đã xác thực MFA</t>
  </si>
  <si>
    <r>
      <rPr>
        <b/>
        <sz val="10"/>
        <color rgb="FF000000"/>
        <rFont val="メイリオ"/>
        <charset val="134"/>
      </rPr>
      <t xml:space="preserve">ステップ1：
</t>
    </r>
    <r>
      <rPr>
        <sz val="10"/>
        <color rgb="FF000000"/>
        <rFont val="メイリオ"/>
        <charset val="134"/>
      </rPr>
      <t xml:space="preserve">Đặt focus vào ô input đầu tiên ở khu vực search, và nhấn liên tục phím Tab.
</t>
    </r>
    <r>
      <rPr>
        <b/>
        <sz val="10"/>
        <color rgb="FF000000"/>
        <rFont val="メイリオ"/>
        <charset val="134"/>
      </rPr>
      <t xml:space="preserve">ステップ2：
</t>
    </r>
    <r>
      <rPr>
        <sz val="10"/>
        <color rgb="FF000000"/>
        <rFont val="メイリオ"/>
        <charset val="134"/>
      </rPr>
      <t>Thao tác button「検索」bằng phím Enter hoặc phím Space.</t>
    </r>
  </si>
  <si>
    <r>
      <rPr>
        <b/>
        <sz val="10"/>
        <color rgb="FF000000"/>
        <rFont val="メイリオ"/>
        <charset val="134"/>
      </rPr>
      <t xml:space="preserve">ステップ1：
</t>
    </r>
    <r>
      <rPr>
        <sz val="10"/>
        <color rgb="FF000000"/>
        <rFont val="メイリオ"/>
        <charset val="134"/>
      </rPr>
      <t xml:space="preserve">Khi nhấn phím Tab, focus di chuyển một cách logic theo thứ tự điều kiện search rồi đến button.
</t>
    </r>
    <r>
      <rPr>
        <b/>
        <sz val="10"/>
        <color rgb="FF000000"/>
        <rFont val="メイリオ"/>
        <charset val="134"/>
      </rPr>
      <t xml:space="preserve">ステップ2：
</t>
    </r>
    <r>
      <rPr>
        <sz val="10"/>
        <color rgb="FF000000"/>
        <rFont val="メイリオ"/>
        <charset val="134"/>
      </rPr>
      <t xml:space="preserve">Có thể thao tác button「検索」chỉ bằng bàn phím.
</t>
    </r>
    <r>
      <rPr>
        <b/>
        <sz val="10"/>
        <color rgb="FF000000"/>
        <rFont val="メイリオ"/>
        <charset val="134"/>
      </rPr>
      <t xml:space="preserve">補足：
</t>
    </r>
    <r>
      <rPr>
        <sz val="10"/>
        <color rgb="FF000000"/>
        <rFont val="メイリオ"/>
        <charset val="134"/>
      </rPr>
      <t>・Có thể hoàn thành thao tác search mà không sử dụng chuột.</t>
    </r>
  </si>
  <si>
    <t>Header - Breadcrumb (Header &amp; Breadcrumb)</t>
  </si>
  <si>
    <t>ACSMS-TC-015-012</t>
  </si>
  <si>
    <t>Tiêu đề trang hiển thị chính xác</t>
  </si>
  <si>
    <r>
      <rPr>
        <b/>
        <sz val="10"/>
        <color rgb="FF000000"/>
        <rFont val="游ゴシック"/>
        <charset val="134"/>
      </rPr>
      <t xml:space="preserve">ステップ1：
</t>
    </r>
    <r>
      <rPr>
        <sz val="10"/>
        <color rgb="FF000000"/>
        <rFont val="游ゴシック"/>
        <charset val="134"/>
      </rPr>
      <t xml:space="preserve">Mở màn hình thay thế hàng loạt cửa hàng độc giả (`/dokusya/replace-hanbaiten`).
</t>
    </r>
    <r>
      <rPr>
        <b/>
        <sz val="10"/>
        <color rgb="FF000000"/>
        <rFont val="游ゴシック"/>
        <charset val="134"/>
      </rPr>
      <t xml:space="preserve">ステップ2：
</t>
    </r>
    <r>
      <rPr>
        <sz val="10"/>
        <color rgb="FF000000"/>
        <rFont val="游ゴシック"/>
        <charset val="134"/>
      </rPr>
      <t>Kiểm tra hiển thị tiêu đề trang ở phần trên màn hình.</t>
    </r>
  </si>
  <si>
    <r>
      <rPr>
        <b/>
        <sz val="10"/>
        <color rgb="FF000000"/>
        <rFont val="游ゴシック"/>
        <charset val="134"/>
      </rPr>
      <t xml:space="preserve">ステップ1：
</t>
    </r>
    <r>
      <rPr>
        <sz val="10"/>
        <color rgb="FF000000"/>
        <rFont val="游ゴシック"/>
        <charset val="134"/>
      </rPr>
      <t xml:space="preserve">Màn hình được hiển thị.
</t>
    </r>
    <r>
      <rPr>
        <b/>
        <sz val="10"/>
        <color rgb="FF000000"/>
        <rFont val="游ゴシック"/>
        <charset val="134"/>
      </rPr>
      <t xml:space="preserve">ステップ2：
</t>
    </r>
    <r>
      <rPr>
        <sz val="10"/>
        <color rgb="FF000000"/>
        <rFont val="游ゴシック"/>
        <charset val="134"/>
      </rPr>
      <t xml:space="preserve">Tiêu đề trang hiển thị「購読者販売店一括置換」.
</t>
    </r>
    <r>
      <rPr>
        <b/>
        <sz val="10"/>
        <color rgb="FF000000"/>
        <rFont val="游ゴシック"/>
        <charset val="134"/>
      </rPr>
      <t xml:space="preserve">補足：
</t>
    </r>
    <r>
      <rPr>
        <sz val="10"/>
        <color rgb="FF000000"/>
        <rFont val="游ゴシック"/>
        <charset val="134"/>
      </rPr>
      <t>・Tiêu đề trang không bị lẫn với tiêu đề của màn hình khác.</t>
    </r>
  </si>
  <si>
    <t>ACSMS-TC-015-013</t>
  </si>
  <si>
    <t>Breadcrumb hiển thị và có thể chuyển trang khi click</t>
  </si>
  <si>
    <t>・role: JA_HONTEN
・Đã login + đã xác thực MFA</t>
  </si>
  <si>
    <r>
      <rPr>
        <b/>
        <sz val="10"/>
        <color rgb="FF000000"/>
        <rFont val="メイリオ"/>
        <charset val="134"/>
      </rPr>
      <t xml:space="preserve">ステップ1：
</t>
    </r>
    <r>
      <rPr>
        <sz val="10"/>
        <color rgb="FF000000"/>
        <rFont val="メイリオ"/>
        <charset val="134"/>
      </rPr>
      <t xml:space="preserve">Mở màn hình thay thế hàng loạt cửa hàng độc giả, và kiểm tra hiển thị breadcrumb.
</t>
    </r>
    <r>
      <rPr>
        <b/>
        <sz val="10"/>
        <color rgb="FF000000"/>
        <rFont val="メイリオ"/>
        <charset val="134"/>
      </rPr>
      <t xml:space="preserve">ステップ2：
</t>
    </r>
    <r>
      <rPr>
        <sz val="10"/>
        <color rgb="FF000000"/>
        <rFont val="メイリオ"/>
        <charset val="134"/>
      </rPr>
      <t>Click vào「ホーム」trong breadcrumb.</t>
    </r>
  </si>
  <si>
    <r>
      <rPr>
        <b/>
        <sz val="10"/>
        <color rgb="FF000000"/>
        <rFont val="メイリオ"/>
        <charset val="134"/>
      </rPr>
      <t xml:space="preserve">ステップ1：
</t>
    </r>
    <r>
      <rPr>
        <sz val="10"/>
        <color rgb="FF000000"/>
        <rFont val="メイリオ"/>
        <charset val="134"/>
      </rPr>
      <t xml:space="preserve">Breadcrumb hiển thị「ホーム &gt; 購読者販売店一括置換」.
</t>
    </r>
    <r>
      <rPr>
        <b/>
        <sz val="10"/>
        <color rgb="FF000000"/>
        <rFont val="メイリオ"/>
        <charset val="134"/>
      </rPr>
      <t xml:space="preserve">ステップ2：
</t>
    </r>
    <r>
      <rPr>
        <sz val="10"/>
        <color rgb="FF000000"/>
        <rFont val="メイリオ"/>
        <charset val="134"/>
      </rPr>
      <t xml:space="preserve">Khi click「ホーム」thì chuyển đến màn hình dashboard (`/dashboard`).
</t>
    </r>
    <r>
      <rPr>
        <b/>
        <sz val="10"/>
        <color rgb="FF000000"/>
        <rFont val="メイリオ"/>
        <charset val="134"/>
      </rPr>
      <t xml:space="preserve">補足：
</t>
    </r>
    <r>
      <rPr>
        <sz val="10"/>
        <color rgb="FF000000"/>
        <rFont val="メイリオ"/>
        <charset val="134"/>
      </rPr>
      <t>・「購読者販売店一括置換」là vị trí hiện tại nên không được thiết lập link.</t>
    </r>
  </si>
  <si>
    <t>ACSMS-TC-015-014</t>
  </si>
  <si>
    <t>Tên user đang login hiển thị ở header</t>
  </si>
  <si>
    <r>
      <rPr>
        <b/>
        <sz val="10"/>
        <color rgb="FF000000"/>
        <rFont val="メイリオ"/>
        <charset val="134"/>
      </rPr>
      <t xml:space="preserve">ステップ1：
</t>
    </r>
    <r>
      <rPr>
        <sz val="10"/>
        <color rgb="FF000000"/>
        <rFont val="メイリオ"/>
        <charset val="134"/>
      </rPr>
      <t xml:space="preserve">Mở màn hình thay thế hàng loạt cửa hàng độc giả.
</t>
    </r>
    <r>
      <rPr>
        <b/>
        <sz val="10"/>
        <color rgb="FF000000"/>
        <rFont val="メイリオ"/>
        <charset val="134"/>
      </rPr>
      <t xml:space="preserve">ステップ2：
</t>
    </r>
    <r>
      <rPr>
        <sz val="10"/>
        <color rgb="FF000000"/>
        <rFont val="メイリオ"/>
        <charset val="134"/>
      </rPr>
      <t>Kiểm tra hiển thị thông tin user ở header màn hình.</t>
    </r>
  </si>
  <si>
    <r>
      <rPr>
        <b/>
        <sz val="10"/>
        <color rgb="FF000000"/>
        <rFont val="メイリオ"/>
        <charset val="134"/>
      </rPr>
      <t xml:space="preserve">ステップ1：
</t>
    </r>
    <r>
      <rPr>
        <sz val="10"/>
        <color rgb="FF000000"/>
        <rFont val="メイリオ"/>
        <charset val="134"/>
      </rPr>
      <t xml:space="preserve">Màn hình được hiển thị.
</t>
    </r>
    <r>
      <rPr>
        <b/>
        <sz val="10"/>
        <color rgb="FF000000"/>
        <rFont val="メイリオ"/>
        <charset val="134"/>
      </rPr>
      <t xml:space="preserve">ステップ2：
</t>
    </r>
    <r>
      <rPr>
        <sz val="10"/>
        <color rgb="FF000000"/>
        <rFont val="メイリオ"/>
        <charset val="134"/>
      </rPr>
      <t xml:space="preserve">Tên user đang login hiển thị ở header.
</t>
    </r>
    <r>
      <rPr>
        <b/>
        <sz val="10"/>
        <color rgb="FF000000"/>
        <rFont val="メイリオ"/>
        <charset val="134"/>
      </rPr>
      <t xml:space="preserve">補足：
</t>
    </r>
    <r>
      <rPr>
        <sz val="10"/>
        <color rgb="FF000000"/>
        <rFont val="メイリオ"/>
        <charset val="134"/>
      </rPr>
      <t>・Tên user được hiển thị khớp với account đang login.</t>
    </r>
  </si>
  <si>
    <t>Kiểm tra input (Input Validation)</t>
  </si>
  <si>
    <t>ACSMS-TC-015-015</t>
  </si>
  <si>
    <t>Giá trị biên số ký tự của mã thành viên được xử lý chính xác</t>
  </si>
  <si>
    <r>
      <rPr>
        <b/>
        <sz val="10"/>
        <color rgb="FF000000"/>
        <rFont val="游ゴシック"/>
        <charset val="134"/>
      </rPr>
      <t xml:space="preserve">ステップ1：
</t>
    </r>
    <r>
      <rPr>
        <sz val="10"/>
        <color rgb="FF000000"/>
        <rFont val="游ゴシック"/>
        <charset val="134"/>
      </rPr>
      <t xml:space="preserve">Nhập 20 ký tự vào「組合員コード」và click button「検索」.
</t>
    </r>
    <r>
      <rPr>
        <b/>
        <sz val="10"/>
        <color rgb="FF000000"/>
        <rFont val="游ゴシック"/>
        <charset val="134"/>
      </rPr>
      <t xml:space="preserve">ステップ2：
</t>
    </r>
    <r>
      <rPr>
        <sz val="10"/>
        <color rgb="FF000000"/>
        <rFont val="游ゴシック"/>
        <charset val="134"/>
      </rPr>
      <t>Thử nhập từ 21 ký tự trở lên vào「組合員コード」.</t>
    </r>
  </si>
  <si>
    <r>
      <rPr>
        <b/>
        <sz val="10"/>
        <color rgb="FF000000"/>
        <rFont val="游ゴシック"/>
        <charset val="134"/>
      </rPr>
      <t xml:space="preserve">ステップ1：
</t>
    </r>
    <r>
      <rPr>
        <sz val="10"/>
        <color rgb="FF000000"/>
        <rFont val="游ゴシック"/>
        <charset val="134"/>
      </rPr>
      <t xml:space="preserve">Có thể nhập đến 10 ký tự, và search được thực thi.
</t>
    </r>
    <r>
      <rPr>
        <b/>
        <sz val="10"/>
        <color rgb="FF000000"/>
        <rFont val="游ゴシック"/>
        <charset val="134"/>
      </rPr>
      <t xml:space="preserve">ステップ2：
</t>
    </r>
    <r>
      <rPr>
        <sz val="10"/>
        <color rgb="FF000000"/>
        <rFont val="游ゴシック"/>
        <charset val="134"/>
      </rPr>
      <t xml:space="preserve">Không thể nhập từ ký tự thứ 11 trở đi (giới hạn bởi số ký tự tối đa 10 ký tự).
</t>
    </r>
    <r>
      <rPr>
        <b/>
        <sz val="10"/>
        <color rgb="FF000000"/>
        <rFont val="游ゴシック"/>
        <charset val="134"/>
      </rPr>
      <t xml:space="preserve">補足：
</t>
    </r>
    <r>
      <rPr>
        <sz val="10"/>
        <color rgb="FF000000"/>
        <rFont val="游ゴシック"/>
        <charset val="134"/>
      </rPr>
      <t>・Mã thành viên được search theo điều kiện khớp hoàn toàn.</t>
    </r>
  </si>
  <si>
    <t>Redmine #57608</t>
  </si>
  <si>
    <t>ACSMS-TC-015-016</t>
  </si>
  <si>
    <t>Giá trị biên số ký tự của họ tên được xử lý chính xác</t>
  </si>
  <si>
    <r>
      <rPr>
        <b/>
        <sz val="10"/>
        <color rgb="FF000000"/>
        <rFont val="游ゴシック"/>
        <charset val="134"/>
      </rPr>
      <t xml:space="preserve">ステップ1：
</t>
    </r>
    <r>
      <rPr>
        <sz val="10"/>
        <color rgb="FF000000"/>
        <rFont val="游ゴシック"/>
        <charset val="134"/>
      </rPr>
      <t xml:space="preserve">Nhập 100 ký tự vào「氏名」và click button「検索」.
</t>
    </r>
    <r>
      <rPr>
        <b/>
        <sz val="10"/>
        <color rgb="FF000000"/>
        <rFont val="游ゴシック"/>
        <charset val="134"/>
      </rPr>
      <t xml:space="preserve">ステップ2：
</t>
    </r>
    <r>
      <rPr>
        <sz val="10"/>
        <color rgb="FF000000"/>
        <rFont val="游ゴシック"/>
        <charset val="134"/>
      </rPr>
      <t>Thử nhập từ 101 ký tự trở lên vào「氏名」.</t>
    </r>
  </si>
  <si>
    <r>
      <rPr>
        <b/>
        <sz val="10"/>
        <color rgb="FF000000"/>
        <rFont val="メイリオ"/>
        <charset val="134"/>
      </rPr>
      <t xml:space="preserve">ステップ1：
</t>
    </r>
    <r>
      <rPr>
        <sz val="10"/>
        <color rgb="FF000000"/>
        <rFont val="メイリオ"/>
        <charset val="134"/>
      </rPr>
      <t xml:space="preserve">Có thể nhập đến 100 ký tự, và search được thực thi.
</t>
    </r>
    <r>
      <rPr>
        <b/>
        <sz val="10"/>
        <color rgb="FF000000"/>
        <rFont val="メイリオ"/>
        <charset val="134"/>
      </rPr>
      <t xml:space="preserve">ステップ2：
</t>
    </r>
    <r>
      <rPr>
        <sz val="10"/>
        <color rgb="FF000000"/>
        <rFont val="メイリオ"/>
        <charset val="134"/>
      </rPr>
      <t xml:space="preserve">Không thể nhập từ ký tự thứ 101 trở đi (giới hạn bởi số ký tự tối đa 100 ký tự).
</t>
    </r>
    <r>
      <rPr>
        <b/>
        <sz val="10"/>
        <color rgb="FF000000"/>
        <rFont val="メイリオ"/>
        <charset val="134"/>
      </rPr>
      <t xml:space="preserve">補足：
</t>
    </r>
    <r>
      <rPr>
        <sz val="10"/>
        <color rgb="FF000000"/>
        <rFont val="メイリオ"/>
        <charset val="134"/>
      </rPr>
      <t>・Họ tên được search theo điều kiện khớp một phần (LIKE).</t>
    </r>
  </si>
  <si>
    <t>ACSMS-TC-015-017</t>
  </si>
  <si>
    <t>Giá trị biên số ký tự của họ tên kana và địa chỉ giao báo được xử lý chính xác</t>
  </si>
  <si>
    <r>
      <rPr>
        <b/>
        <sz val="10"/>
        <color rgb="FF000000"/>
        <rFont val="游ゴシック"/>
        <charset val="134"/>
      </rPr>
      <t xml:space="preserve">ステップ1：
</t>
    </r>
    <r>
      <rPr>
        <sz val="10"/>
        <color rgb="FF000000"/>
        <rFont val="游ゴシック"/>
        <charset val="134"/>
      </rPr>
      <t xml:space="preserve">Nhập 200 ký tự vào「かな氏名」, 300 ký tự vào「配達先住所」và click button「検索」.
</t>
    </r>
    <r>
      <rPr>
        <b/>
        <sz val="10"/>
        <color rgb="FF000000"/>
        <rFont val="游ゴシック"/>
        <charset val="134"/>
      </rPr>
      <t xml:space="preserve">ステップ2：
</t>
    </r>
    <r>
      <rPr>
        <sz val="10"/>
        <color rgb="FF000000"/>
        <rFont val="游ゴシック"/>
        <charset val="134"/>
      </rPr>
      <t>Thử nhập từ 201 ký tự trở lên vào「かな氏名」, từ 301 ký tự trở lên vào「配達先住所」.</t>
    </r>
  </si>
  <si>
    <r>
      <rPr>
        <b/>
        <sz val="10"/>
        <color rgb="FF000000"/>
        <rFont val="メイリオ"/>
        <charset val="134"/>
      </rPr>
      <t xml:space="preserve">ステップ1：
</t>
    </r>
    <r>
      <rPr>
        <sz val="10"/>
        <color rgb="FF000000"/>
        <rFont val="メイリオ"/>
        <charset val="134"/>
      </rPr>
      <t xml:space="preserve">Họ tên kana có thể nhập đến 200 ký tự, địa chỉ giao báo có thể nhập đến 300 ký tự, và search được thực thi.
</t>
    </r>
    <r>
      <rPr>
        <b/>
        <sz val="10"/>
        <color rgb="FF000000"/>
        <rFont val="メイリオ"/>
        <charset val="134"/>
      </rPr>
      <t xml:space="preserve">ステップ2：
</t>
    </r>
    <r>
      <rPr>
        <sz val="10"/>
        <color rgb="FF000000"/>
        <rFont val="メイリオ"/>
        <charset val="134"/>
      </rPr>
      <t xml:space="preserve">Họ tên kana không thể nhập từ ký tự thứ 201 trở đi, địa chỉ giao báo không thể nhập từ ký tự thứ 301 trở đi (giới hạn bởi số ký tự tối đa của mỗi mục).
</t>
    </r>
    <r>
      <rPr>
        <b/>
        <sz val="10"/>
        <color rgb="FF000000"/>
        <rFont val="メイリオ"/>
        <charset val="134"/>
      </rPr>
      <t xml:space="preserve">補足：
</t>
    </r>
    <r>
      <rPr>
        <sz val="10"/>
        <color rgb="FF000000"/>
        <rFont val="メイリオ"/>
        <charset val="134"/>
      </rPr>
      <t>・Họ tên kana và địa chỉ giao báo đều được search theo điều kiện khớp một phần.</t>
    </r>
  </si>
  <si>
    <t>ACSMS-TC-015-018</t>
  </si>
  <si>
    <t>Kiểm tra tương quan của ngày bắt đầu đặt báo phát sinh lỗi</t>
  </si>
  <si>
    <r>
      <rPr>
        <b/>
        <sz val="10"/>
        <color rgb="FF000000"/>
        <rFont val="メイリオ"/>
        <charset val="134"/>
      </rPr>
      <t xml:space="preserve">ステップ1：
</t>
    </r>
    <r>
      <rPr>
        <sz val="10"/>
        <color rgb="FF000000"/>
        <rFont val="メイリオ"/>
        <charset val="134"/>
      </rPr>
      <t xml:space="preserve">Nhập 2026-06-30 vào「購読開始日FROM」, 2026-06-01 vào「購読開始日TO」.
</t>
    </r>
    <r>
      <rPr>
        <b/>
        <sz val="10"/>
        <color rgb="FF000000"/>
        <rFont val="メイリオ"/>
        <charset val="134"/>
      </rPr>
      <t xml:space="preserve">ステップ2：
</t>
    </r>
    <r>
      <rPr>
        <sz val="10"/>
        <color rgb="FF000000"/>
        <rFont val="メイリオ"/>
        <charset val="134"/>
      </rPr>
      <t>Click button「検索」.</t>
    </r>
  </si>
  <si>
    <r>
      <rPr>
        <b/>
        <sz val="10"/>
        <color rgb="FF000000"/>
        <rFont val="游ゴシック"/>
        <charset val="134"/>
      </rPr>
      <t xml:space="preserve">ステップ1：
</t>
    </r>
    <r>
      <rPr>
        <sz val="10"/>
        <color rgb="FF000000"/>
        <rFont val="游ゴシック"/>
        <charset val="134"/>
      </rPr>
      <t xml:space="preserve">Giá trị FROM và TO được phản ánh vào ô input.
</t>
    </r>
    <r>
      <rPr>
        <b/>
        <sz val="10"/>
        <color rgb="FF000000"/>
        <rFont val="游ゴシック"/>
        <charset val="134"/>
      </rPr>
      <t xml:space="preserve">ステップ2：
</t>
    </r>
    <r>
      <rPr>
        <sz val="10"/>
        <color rgb="FF000000"/>
        <rFont val="游ゴシック"/>
        <charset val="134"/>
      </rPr>
      <t xml:space="preserve">Phát sinh lỗi kiểm tra tương quan và hiển thị「「開始日」は「終了日」以前の日付を入力してください。」(error_code: DATE_RANGE_INVALID, HTTP 400).
</t>
    </r>
    <r>
      <rPr>
        <b/>
        <sz val="10"/>
        <color rgb="FF000000"/>
        <rFont val="游ゴシック"/>
        <charset val="134"/>
      </rPr>
      <t xml:space="preserve">補足：
</t>
    </r>
    <r>
      <rPr>
        <sz val="10"/>
        <color rgb="FF000000"/>
        <rFont val="游ゴシック"/>
        <charset val="134"/>
      </rPr>
      <t>・Search không được thực thi, và danh sách kết quả không được cập nhật.</t>
    </r>
  </si>
  <si>
    <t>ACSMS-TC-015-019</t>
  </si>
  <si>
    <t>Giá trị biên giới hạn trên của per_page phát sinh lỗi validation</t>
  </si>
  <si>
    <r>
      <rPr>
        <b/>
        <sz val="10"/>
        <color rgb="FF000000"/>
        <rFont val="メイリオ"/>
        <charset val="134"/>
      </rPr>
      <t xml:space="preserve">ステップ1：
</t>
    </r>
    <r>
      <rPr>
        <sz val="10"/>
        <color rgb="FF000000"/>
        <rFont val="メイリオ"/>
        <charset val="134"/>
      </rPr>
      <t xml:space="preserve">Gọi `GET /api/v1/dokusya/replace-hanbaiten/search` với `per_page=100` từ API client.
</t>
    </r>
    <r>
      <rPr>
        <b/>
        <sz val="10"/>
        <color rgb="FF000000"/>
        <rFont val="メイリオ"/>
        <charset val="134"/>
      </rPr>
      <t xml:space="preserve">ステップ2：
</t>
    </r>
    <r>
      <rPr>
        <sz val="10"/>
        <color rgb="FF000000"/>
        <rFont val="メイリオ"/>
        <charset val="134"/>
      </rPr>
      <t>Gọi cùng API đó với `per_page=101`.</t>
    </r>
  </si>
  <si>
    <r>
      <rPr>
        <b/>
        <sz val="10"/>
        <color rgb="FF000000"/>
        <rFont val="メイリオ"/>
        <charset val="134"/>
      </rPr>
      <t xml:space="preserve">ステップ1：
</t>
    </r>
    <r>
      <rPr>
        <sz val="10"/>
        <color rgb="FF000000"/>
        <rFont val="メイリオ"/>
        <charset val="134"/>
      </rPr>
      <t xml:space="preserve">Trả về HTTP 200, và có thể lấy tối đa 100 record.
</t>
    </r>
    <r>
      <rPr>
        <b/>
        <sz val="10"/>
        <color rgb="FF000000"/>
        <rFont val="メイリオ"/>
        <charset val="134"/>
      </rPr>
      <t xml:space="preserve">ステップ2：
</t>
    </r>
    <r>
      <rPr>
        <sz val="10"/>
        <color rgb="FF000000"/>
        <rFont val="メイリオ"/>
        <charset val="134"/>
      </rPr>
      <t xml:space="preserve">Trả về HTTP 400 (error_code: VALIDATION_ERROR, trong mảng errors có field: per_page, message「per_pageは1〜100の範囲で指定してください。」).
</t>
    </r>
    <r>
      <rPr>
        <b/>
        <sz val="10"/>
        <color rgb="FF000000"/>
        <rFont val="メイリオ"/>
        <charset val="134"/>
      </rPr>
      <t xml:space="preserve">補足：
</t>
    </r>
    <r>
      <rPr>
        <sz val="10"/>
        <color rgb="FF000000"/>
        <rFont val="メイリオ"/>
        <charset val="134"/>
      </rPr>
      <t>・Khi vượt quá giới hạn trên thì không trả về dữ liệu.</t>
    </r>
  </si>
  <si>
    <t>ACSMS-TC-015-020</t>
  </si>
  <si>
    <t>Khi chưa chọn đích thay thế cửa hàng giao báo thì phát sinh lỗi required</t>
  </si>
  <si>
    <r>
      <rPr>
        <b/>
        <sz val="10"/>
        <color rgb="FF000000"/>
        <rFont val="游ゴシック"/>
        <charset val="134"/>
      </rPr>
      <t xml:space="preserve">ステップ1：
</t>
    </r>
    <r>
      <rPr>
        <sz val="10"/>
        <color rgb="FF000000"/>
        <rFont val="游ゴシック"/>
        <charset val="134"/>
      </rPr>
      <t xml:space="preserve">Bật checkbox của một row bất kỳ.
</t>
    </r>
    <r>
      <rPr>
        <b/>
        <sz val="10"/>
        <color rgb="FF000000"/>
        <rFont val="游ゴシック"/>
        <charset val="134"/>
      </rPr>
      <t xml:space="preserve">ステップ2：
</t>
    </r>
    <r>
      <rPr>
        <sz val="10"/>
        <color rgb="FF000000"/>
        <rFont val="游ゴシック"/>
        <charset val="134"/>
      </rPr>
      <t>Click button「置換処理実行」khi vẫn để「置換先配達販売店」chưa chọn.</t>
    </r>
  </si>
  <si>
    <r>
      <rPr>
        <b/>
        <sz val="10"/>
        <color rgb="FF000000"/>
        <rFont val="メイリオ"/>
        <charset val="134"/>
      </rPr>
      <t xml:space="preserve">ステップ1：
</t>
    </r>
    <r>
      <rPr>
        <sz val="10"/>
        <color rgb="FF000000"/>
        <rFont val="メイリオ"/>
        <charset val="134"/>
      </rPr>
      <t xml:space="preserve">「適用日」「置換先配達販売店」được hiển thị.
</t>
    </r>
    <r>
      <rPr>
        <b/>
        <sz val="10"/>
        <color rgb="FF000000"/>
        <rFont val="メイリオ"/>
        <charset val="134"/>
      </rPr>
      <t xml:space="preserve">ステップ2：
</t>
    </r>
    <r>
      <rPr>
        <sz val="10"/>
        <color rgb="FF000000"/>
        <rFont val="メイリオ"/>
        <charset val="134"/>
      </rPr>
      <t xml:space="preserve">Ô「置換先配達販売店」hiển thị lỗi「必須項目です。」.
</t>
    </r>
    <r>
      <rPr>
        <b/>
        <sz val="10"/>
        <color rgb="FF000000"/>
        <rFont val="メイリオ"/>
        <charset val="134"/>
      </rPr>
      <t xml:space="preserve">補足：
</t>
    </r>
    <r>
      <rPr>
        <sz val="10"/>
        <color rgb="FF000000"/>
        <rFont val="メイリオ"/>
        <charset val="134"/>
      </rPr>
      <t>・API thay thế không được gọi, và không phát sinh thay đổi trên `t_dokusya`.</t>
    </r>
  </si>
  <si>
    <t>ACSMS-TC-015-021</t>
  </si>
  <si>
    <t>Khi chưa nhập ngày áp dụng thì phát sinh lỗi required</t>
  </si>
  <si>
    <r>
      <rPr>
        <b/>
        <sz val="10"/>
        <color rgb="FF000000"/>
        <rFont val="游ゴシック"/>
        <charset val="134"/>
      </rPr>
      <t xml:space="preserve">ステップ1：
</t>
    </r>
    <r>
      <rPr>
        <sz val="10"/>
        <color rgb="FF000000"/>
        <rFont val="游ゴシック"/>
        <charset val="134"/>
      </rPr>
      <t xml:space="preserve">Bật checkbox của một row bất kỳ, và chọn「置換先配達販売店」.
</t>
    </r>
    <r>
      <rPr>
        <b/>
        <sz val="10"/>
        <color rgb="FF000000"/>
        <rFont val="游ゴシック"/>
        <charset val="134"/>
      </rPr>
      <t xml:space="preserve">ステップ2：
</t>
    </r>
    <r>
      <rPr>
        <sz val="10"/>
        <color rgb="FF000000"/>
        <rFont val="游ゴシック"/>
        <charset val="134"/>
      </rPr>
      <t>Click button「置換処理実行」khi vẫn để「適用日」chưa nhập.</t>
    </r>
  </si>
  <si>
    <r>
      <rPr>
        <b/>
        <sz val="10"/>
        <color rgb="FF000000"/>
        <rFont val="メイリオ"/>
        <charset val="134"/>
      </rPr>
      <t xml:space="preserve">ステップ1：
</t>
    </r>
    <r>
      <rPr>
        <sz val="10"/>
        <color rgb="FF000000"/>
        <rFont val="メイリオ"/>
        <charset val="134"/>
      </rPr>
      <t xml:space="preserve">「適用日」「置換先配達販売店」được hiển thị, và đích thay thế được chọn.
</t>
    </r>
    <r>
      <rPr>
        <b/>
        <sz val="10"/>
        <color rgb="FF000000"/>
        <rFont val="メイリオ"/>
        <charset val="134"/>
      </rPr>
      <t xml:space="preserve">ステップ2：
</t>
    </r>
    <r>
      <rPr>
        <sz val="10"/>
        <color rgb="FF000000"/>
        <rFont val="メイリオ"/>
        <charset val="134"/>
      </rPr>
      <t xml:space="preserve">Ô「適用日」hiển thị lỗi「必須項目です。」.
</t>
    </r>
    <r>
      <rPr>
        <b/>
        <sz val="10"/>
        <color rgb="FF000000"/>
        <rFont val="メイリオ"/>
        <charset val="134"/>
      </rPr>
      <t xml:space="preserve">補足：
</t>
    </r>
    <r>
      <rPr>
        <sz val="10"/>
        <color rgb="FF000000"/>
        <rFont val="メイリオ"/>
        <charset val="134"/>
      </rPr>
      <t>・API thay thế không được gọi, và không phát sinh thay đổi trên `t_dokusya`.</t>
    </r>
  </si>
  <si>
    <t>ACSMS-TC-015-022</t>
  </si>
  <si>
    <t>Không thể chỉ định ngày quá khứ cho ngày áp dụng</t>
  </si>
  <si>
    <t>・role: JA_HONTEN
・Đã login + đã xác thực MFA
・Dữ liệu độc giả đang hiển thị trong danh sách kết quả search
・Ngày hiện tại là 2026-06-04</t>
  </si>
  <si>
    <r>
      <rPr>
        <b/>
        <sz val="10"/>
        <color rgb="FF000000"/>
        <rFont val="游ゴシック"/>
        <charset val="134"/>
      </rPr>
      <t xml:space="preserve">ステップ1：
</t>
    </r>
    <r>
      <rPr>
        <sz val="10"/>
        <color rgb="FF000000"/>
        <rFont val="游ゴシック"/>
        <charset val="134"/>
      </rPr>
      <t xml:space="preserve">Bật checkbox của một row bất kỳ, và chọn「置換先配達販売店」.
</t>
    </r>
    <r>
      <rPr>
        <b/>
        <sz val="10"/>
        <color rgb="FF000000"/>
        <rFont val="游ゴシック"/>
        <charset val="134"/>
      </rPr>
      <t xml:space="preserve">ステップ2：
</t>
    </r>
    <r>
      <rPr>
        <sz val="10"/>
        <color rgb="FF000000"/>
        <rFont val="游ゴシック"/>
        <charset val="134"/>
      </rPr>
      <t>Chỉ định ngày trước ngày hiện tại (2026-06-03) vào「適用日」và click button「置換処理実行」.</t>
    </r>
  </si>
  <si>
    <r>
      <rPr>
        <b/>
        <sz val="10"/>
        <color rgb="FF000000"/>
        <rFont val="メイリオ"/>
        <charset val="134"/>
      </rPr>
      <t xml:space="preserve">ステップ1：
</t>
    </r>
    <r>
      <rPr>
        <sz val="10"/>
        <color rgb="FF000000"/>
        <rFont val="メイリオ"/>
        <charset val="134"/>
      </rPr>
      <t xml:space="preserve">「適用日」「置換先配達販売店」được hiển thị, và đích thay thế được chọn.
</t>
    </r>
    <r>
      <rPr>
        <b/>
        <sz val="10"/>
        <color rgb="FF000000"/>
        <rFont val="メイリオ"/>
        <charset val="134"/>
      </rPr>
      <t xml:space="preserve">ステップ2：
</t>
    </r>
    <r>
      <rPr>
        <sz val="10"/>
        <color rgb="FF000000"/>
        <rFont val="メイリオ"/>
        <charset val="134"/>
      </rPr>
      <t xml:space="preserve">Không thể chọn ngày quá khứ, hoặc phía server chỉ tiếp nhận từ ngày hiện tại trở đi (ngày áp dụng chỉ từ ngày hiện tại trở đi tekiyo_date &gt;= CURRENT_DATE).
</t>
    </r>
    <r>
      <rPr>
        <b/>
        <sz val="10"/>
        <color rgb="FF000000"/>
        <rFont val="メイリオ"/>
        <charset val="134"/>
      </rPr>
      <t xml:space="preserve">補足：
</t>
    </r>
    <r>
      <rPr>
        <sz val="10"/>
        <color rgb="FF000000"/>
        <rFont val="メイリオ"/>
        <charset val="134"/>
      </rPr>
      <t>・Ngày từ ngày hiện tại (2026-06-04) trở đi có thể chỉ định bình thường.</t>
    </r>
  </si>
  <si>
    <t>ACSMS-TC-015-023</t>
  </si>
  <si>
    <t>Khoảng trắng trước sau của text search được loại bỏ rồi search</t>
  </si>
  <si>
    <t>・role: CHUOKAI
・Đã login + đã xác thực MFA
・Tồn tại dữ liệu độc giả có họ tên「山田太郎」</t>
  </si>
  <si>
    <r>
      <rPr>
        <b/>
        <sz val="10"/>
        <color rgb="FF000000"/>
        <rFont val="游ゴシック"/>
        <charset val="134"/>
      </rPr>
      <t xml:space="preserve">ステップ1：
</t>
    </r>
    <r>
      <rPr>
        <sz val="10"/>
        <color rgb="FF000000"/>
        <rFont val="游ゴシック"/>
        <charset val="134"/>
      </rPr>
      <t xml:space="preserve">Nhập vào「氏名」kèm khoảng trắng trước sau như「　山田　」.
</t>
    </r>
    <r>
      <rPr>
        <b/>
        <sz val="10"/>
        <color rgb="FF000000"/>
        <rFont val="游ゴシック"/>
        <charset val="134"/>
      </rPr>
      <t xml:space="preserve">ステップ2：
</t>
    </r>
    <r>
      <rPr>
        <sz val="10"/>
        <color rgb="FF000000"/>
        <rFont val="游ゴシック"/>
        <charset val="134"/>
      </rPr>
      <t>Click button「検索」.</t>
    </r>
  </si>
  <si>
    <r>
      <rPr>
        <b/>
        <sz val="10"/>
        <color rgb="FF000000"/>
        <rFont val="游ゴシック"/>
        <charset val="134"/>
      </rPr>
      <t xml:space="preserve">ステップ1：
</t>
    </r>
    <r>
      <rPr>
        <sz val="10"/>
        <color rgb="FF000000"/>
        <rFont val="游ゴシック"/>
        <charset val="134"/>
      </rPr>
      <t xml:space="preserve">Ô input hiển thị giá trị bao gồm khoảng trắng trước sau.
</t>
    </r>
    <r>
      <rPr>
        <b/>
        <sz val="10"/>
        <color rgb="FF000000"/>
        <rFont val="游ゴシック"/>
        <charset val="134"/>
      </rPr>
      <t xml:space="preserve">ステップ2：
</t>
    </r>
    <r>
      <rPr>
        <sz val="10"/>
        <color rgb="FF000000"/>
        <rFont val="游ゴシック"/>
        <charset val="134"/>
      </rPr>
      <t xml:space="preserve">Search được thực thi với giá trị đã loại bỏ khoảng trắng trước sau, và độc giả「山田太郎」hiển thị trong kết quả search.
</t>
    </r>
    <r>
      <rPr>
        <b/>
        <sz val="10"/>
        <color rgb="FF000000"/>
        <rFont val="游ゴシック"/>
        <charset val="134"/>
      </rPr>
      <t xml:space="preserve">補足：
</t>
    </r>
    <r>
      <rPr>
        <sz val="10"/>
        <color rgb="FF000000"/>
        <rFont val="游ゴシック"/>
        <charset val="134"/>
      </rPr>
      <t>・Số lượng kết quả search không thay đổi dù có hay không có khoảng trắng trước sau.</t>
    </r>
  </si>
  <si>
    <t>ACSMS-TC-015-024</t>
  </si>
  <si>
    <t>Input SQL injection được xử lý an toàn</t>
  </si>
  <si>
    <r>
      <rPr>
        <b/>
        <sz val="10"/>
        <color rgb="FF000000"/>
        <rFont val="游ゴシック"/>
        <charset val="134"/>
      </rPr>
      <t xml:space="preserve">ステップ1：
</t>
    </r>
    <r>
      <rPr>
        <sz val="10"/>
        <color rgb="FF000000"/>
        <rFont val="游ゴシック"/>
        <charset val="134"/>
      </rPr>
      <t xml:space="preserve">Nhập chuỗi nhắm mục đích SQL injection như `' OR '1'='1` vào「氏名」.
</t>
    </r>
    <r>
      <rPr>
        <b/>
        <sz val="10"/>
        <color rgb="FF000000"/>
        <rFont val="游ゴシック"/>
        <charset val="134"/>
      </rPr>
      <t xml:space="preserve">ステップ2：
</t>
    </r>
    <r>
      <rPr>
        <sz val="10"/>
        <color rgb="FF000000"/>
        <rFont val="游ゴシック"/>
        <charset val="134"/>
      </rPr>
      <t>Click button「検索」.</t>
    </r>
  </si>
  <si>
    <r>
      <rPr>
        <b/>
        <sz val="10"/>
        <color rgb="FF000000"/>
        <rFont val="游ゴシック"/>
        <charset val="134"/>
      </rPr>
      <t xml:space="preserve">ステップ1：
</t>
    </r>
    <r>
      <rPr>
        <sz val="10"/>
        <color rgb="FF000000"/>
        <rFont val="游ゴシック"/>
        <charset val="134"/>
      </rPr>
      <t xml:space="preserve">Ô input hiển thị nguyên chuỗi đó.
</t>
    </r>
    <r>
      <rPr>
        <b/>
        <sz val="10"/>
        <color rgb="FF000000"/>
        <rFont val="游ゴシック"/>
        <charset val="134"/>
      </rPr>
      <t xml:space="preserve">ステップ2：
</t>
    </r>
    <r>
      <rPr>
        <sz val="10"/>
        <color rgb="FF000000"/>
        <rFont val="游ゴシック"/>
        <charset val="134"/>
      </rPr>
      <t xml:space="preserve">Chuỗi input được escape an toàn và được xử lý như điều kiện search, không phát sinh hành vi bất thường như lấy toàn bộ record.
</t>
    </r>
    <r>
      <rPr>
        <b/>
        <sz val="10"/>
        <color rgb="FF000000"/>
        <rFont val="游ゴシック"/>
        <charset val="134"/>
      </rPr>
      <t xml:space="preserve">補足：
</t>
    </r>
    <r>
      <rPr>
        <sz val="10"/>
        <color rgb="FF000000"/>
        <rFont val="游ゴシック"/>
        <charset val="134"/>
      </rPr>
      <t>・Không phát sinh lỗi database hay rò rỉ dữ liệu ngoài dự kiến (được vô hiệu hóa bằng parameterized query).</t>
    </r>
  </si>
  <si>
    <t>Nghiệp vụ - Tìm kiếm (Function — Search)</t>
  </si>
  <si>
    <t>ACSMS-TC-015-025</t>
  </si>
  <si>
    <t>Chỉ độc giả khớp với điều kiện search được hiển thị</t>
  </si>
  <si>
    <t>・role: CHUOKAI
・Đã login + đã xác thực MFA
・Đã đăng ký nhiều dữ liệu độc giả</t>
  </si>
  <si>
    <r>
      <rPr>
        <b/>
        <sz val="10"/>
        <color rgb="FF000000"/>
        <rFont val="游ゴシック"/>
        <charset val="134"/>
      </rPr>
      <t xml:space="preserve">ステップ1：
</t>
    </r>
    <r>
      <rPr>
        <sz val="10"/>
        <color rgb="FF000000"/>
        <rFont val="游ゴシック"/>
        <charset val="134"/>
      </rPr>
      <t xml:space="preserve">Nhập nhiều điều kiện search như「管理支店」「組合員コード」.
</t>
    </r>
    <r>
      <rPr>
        <b/>
        <sz val="10"/>
        <color rgb="FF000000"/>
        <rFont val="游ゴシック"/>
        <charset val="134"/>
      </rPr>
      <t xml:space="preserve">ステップ2：
</t>
    </r>
    <r>
      <rPr>
        <sz val="10"/>
        <color rgb="FF000000"/>
        <rFont val="游ゴシック"/>
        <charset val="134"/>
      </rPr>
      <t>Click button「検索」.</t>
    </r>
  </si>
  <si>
    <r>
      <rPr>
        <b/>
        <sz val="10"/>
        <color rgb="FF000000"/>
        <rFont val="メイリオ"/>
        <charset val="134"/>
      </rPr>
      <t xml:space="preserve">ステップ1：
</t>
    </r>
    <r>
      <rPr>
        <sz val="10"/>
        <color rgb="FF000000"/>
        <rFont val="メイリオ"/>
        <charset val="134"/>
      </rPr>
      <t xml:space="preserve">Điều kiện search được phản ánh vào từng ô input.
</t>
    </r>
    <r>
      <rPr>
        <b/>
        <sz val="10"/>
        <color rgb="FF000000"/>
        <rFont val="メイリオ"/>
        <charset val="134"/>
      </rPr>
      <t xml:space="preserve">ステップ2：
</t>
    </r>
    <r>
      <rPr>
        <sz val="10"/>
        <color rgb="FF000000"/>
        <rFont val="メイリオ"/>
        <charset val="134"/>
      </rPr>
      <t xml:space="preserve">Chỉ độc giả khớp với điều kiện search được hiển thị trong danh sách kết quả, và độc giả không khớp điều kiện thì không hiển thị.
</t>
    </r>
    <r>
      <rPr>
        <b/>
        <sz val="10"/>
        <color rgb="FF000000"/>
        <rFont val="メイリオ"/>
        <charset val="134"/>
      </rPr>
      <t xml:space="preserve">補足：
</t>
    </r>
    <r>
      <rPr>
        <sz val="10"/>
        <color rgb="FF000000"/>
        <rFont val="メイリオ"/>
        <charset val="134"/>
      </rPr>
      <t>・Mã thành viên khớp hoàn toàn, họ tên - họ tên kana - địa chỉ giao báo được lọc theo khớp một phần.</t>
    </r>
  </si>
  <si>
    <t>ACSMS-TC-015-026</t>
  </si>
  <si>
    <t>Khi kết quả search 0 record thì hiển thị message</t>
  </si>
  <si>
    <r>
      <rPr>
        <b/>
        <sz val="10"/>
        <color rgb="FF000000"/>
        <rFont val="メイリオ"/>
        <charset val="134"/>
      </rPr>
      <t xml:space="preserve">ステップ1：
</t>
    </r>
    <r>
      <rPr>
        <sz val="10"/>
        <color rgb="FF000000"/>
        <rFont val="メイリオ"/>
        <charset val="134"/>
      </rPr>
      <t xml:space="preserve">Nhập điều kiện search không tồn tại dữ liệu tương ứng (mã thành viên không tồn tại).
</t>
    </r>
    <r>
      <rPr>
        <b/>
        <sz val="10"/>
        <color rgb="FF000000"/>
        <rFont val="メイリオ"/>
        <charset val="134"/>
      </rPr>
      <t xml:space="preserve">ステップ2：
</t>
    </r>
    <r>
      <rPr>
        <sz val="10"/>
        <color rgb="FF000000"/>
        <rFont val="メイリオ"/>
        <charset val="134"/>
      </rPr>
      <t>Click button「検索」.</t>
    </r>
  </si>
  <si>
    <r>
      <rPr>
        <b/>
        <sz val="10"/>
        <color rgb="FF000000"/>
        <rFont val="メイリオ"/>
        <charset val="134"/>
      </rPr>
      <t xml:space="preserve">ステップ1：
</t>
    </r>
    <r>
      <rPr>
        <sz val="10"/>
        <color rgb="FF000000"/>
        <rFont val="メイリオ"/>
        <charset val="134"/>
      </rPr>
      <t xml:space="preserve">Điều kiện search được phản ánh vào ô input.
</t>
    </r>
    <r>
      <rPr>
        <b/>
        <sz val="10"/>
        <color rgb="FF000000"/>
        <rFont val="メイリオ"/>
        <charset val="134"/>
      </rPr>
      <t xml:space="preserve">ステップ2：
</t>
    </r>
    <r>
      <rPr>
        <sz val="10"/>
        <color rgb="FF000000"/>
        <rFont val="メイリオ"/>
        <charset val="134"/>
      </rPr>
      <t xml:space="preserve">Danh sách kết quả là 0 record, và hiển thị「検索結果が見つかりませんでした。」(ACSMS-MSG-015-001).
</t>
    </r>
    <r>
      <rPr>
        <b/>
        <sz val="10"/>
        <color rgb="FF000000"/>
        <rFont val="メイリオ"/>
        <charset val="134"/>
      </rPr>
      <t xml:space="preserve">補足：
</t>
    </r>
    <r>
      <rPr>
        <sz val="10"/>
        <color rgb="FF000000"/>
        <rFont val="メイリオ"/>
        <charset val="134"/>
      </rPr>
      <t>・Khi 0 record thì không hiển thị error toast.</t>
    </r>
  </si>
  <si>
    <t>ACSMS-TC-015-027</t>
  </si>
  <si>
    <t>Tự động lọc theo JA của user đang login</t>
  </si>
  <si>
    <t>・role: JA_HONTEN
・Đã login + đã xác thực MFA
・Tồn tại dữ liệu độc giả của JA mình và JA khác</t>
  </si>
  <si>
    <r>
      <rPr>
        <b/>
        <sz val="10"/>
        <color rgb="FF000000"/>
        <rFont val="メイリオ"/>
        <charset val="134"/>
      </rPr>
      <t xml:space="preserve">ステップ1：
</t>
    </r>
    <r>
      <rPr>
        <sz val="10"/>
        <color rgb="FF000000"/>
        <rFont val="メイリオ"/>
        <charset val="134"/>
      </rPr>
      <t xml:space="preserve">Click button「検索」mà không chỉ định điều kiện search.
</t>
    </r>
    <r>
      <rPr>
        <b/>
        <sz val="10"/>
        <color rgb="FF000000"/>
        <rFont val="メイリオ"/>
        <charset val="134"/>
      </rPr>
      <t xml:space="preserve">ステップ2：
</t>
    </r>
    <r>
      <rPr>
        <sz val="10"/>
        <color rgb="FF000000"/>
        <rFont val="メイリオ"/>
        <charset val="134"/>
      </rPr>
      <t>Kiểm tra JA của các độc giả hiển thị trong danh sách kết quả.</t>
    </r>
  </si>
  <si>
    <r>
      <rPr>
        <b/>
        <sz val="10"/>
        <color rgb="FF000000"/>
        <rFont val="メイリオ"/>
        <charset val="134"/>
      </rPr>
      <t xml:space="preserve">ステップ1：
</t>
    </r>
    <r>
      <rPr>
        <sz val="10"/>
        <color rgb="FF000000"/>
        <rFont val="メイリオ"/>
        <charset val="134"/>
      </rPr>
      <t xml:space="preserve">Search được thực thi.
</t>
    </r>
    <r>
      <rPr>
        <b/>
        <sz val="10"/>
        <color rgb="FF000000"/>
        <rFont val="メイリオ"/>
        <charset val="134"/>
      </rPr>
      <t xml:space="preserve">ステップ2：
</t>
    </r>
    <r>
      <rPr>
        <sz val="10"/>
        <color rgb="FF000000"/>
        <rFont val="メイリオ"/>
        <charset val="134"/>
      </rPr>
      <t xml:space="preserve">Danh sách kết quả chỉ hiển thị độc giả thuộc JA của mình, và độc giả của JA khác không hiển thị.
</t>
    </r>
    <r>
      <rPr>
        <b/>
        <sz val="10"/>
        <color rgb="FF000000"/>
        <rFont val="メイリオ"/>
        <charset val="134"/>
      </rPr>
      <t xml:space="preserve">補足：
</t>
    </r>
    <r>
      <rPr>
        <sz val="10"/>
        <color rgb="FF000000"/>
        <rFont val="メイリオ"/>
        <charset val="134"/>
      </rPr>
      <t>・Theo DataScope, tự động lọc theo JA của user đang login.</t>
    </r>
  </si>
  <si>
    <t>ACSMS-TC-015-028</t>
  </si>
  <si>
    <t>Chỉ độc giả đang đăng ký là đối tượng và dữ liệu đã xóa logic bị loại trừ</t>
  </si>
  <si>
    <t>・role: CHUOKAI
・Đã login + đã xác thực MFA
・Tồn tại độc giả có `tetsuzuki_shurui` = 1 và độc giả khác
・Tồn tại độc giả đã xóa logic có `deleted_at` không phải NULL</t>
  </si>
  <si>
    <r>
      <rPr>
        <b/>
        <sz val="10"/>
        <color rgb="FF000000"/>
        <rFont val="游ゴシック"/>
        <charset val="134"/>
      </rPr>
      <t xml:space="preserve">ステップ1：
</t>
    </r>
    <r>
      <rPr>
        <sz val="10"/>
        <color rgb="FF000000"/>
        <rFont val="游ゴシック"/>
        <charset val="134"/>
      </rPr>
      <t xml:space="preserve">Click button「検索」mà không chỉ định điều kiện search.
</t>
    </r>
    <r>
      <rPr>
        <b/>
        <sz val="10"/>
        <color rgb="FF000000"/>
        <rFont val="游ゴシック"/>
        <charset val="134"/>
      </rPr>
      <t xml:space="preserve">ステップ2：
</t>
    </r>
    <r>
      <rPr>
        <sz val="10"/>
        <color rgb="FF000000"/>
        <rFont val="游ゴシック"/>
        <charset val="134"/>
      </rPr>
      <t>Kiểm tra trạng thái của các độc giả hiển thị trong danh sách kết quả.</t>
    </r>
  </si>
  <si>
    <r>
      <rPr>
        <b/>
        <sz val="10"/>
        <color rgb="FF000000"/>
        <rFont val="游ゴシック"/>
        <charset val="134"/>
      </rPr>
      <t xml:space="preserve">ステップ1：
</t>
    </r>
    <r>
      <rPr>
        <sz val="10"/>
        <color rgb="FF000000"/>
        <rFont val="游ゴシック"/>
        <charset val="134"/>
      </rPr>
      <t xml:space="preserve">Search được thực thi.
</t>
    </r>
    <r>
      <rPr>
        <b/>
        <sz val="10"/>
        <color rgb="FF000000"/>
        <rFont val="游ゴシック"/>
        <charset val="134"/>
      </rPr>
      <t xml:space="preserve">ステップ2：
</t>
    </r>
    <r>
      <rPr>
        <sz val="10"/>
        <color rgb="FF000000"/>
        <rFont val="游ゴシック"/>
        <charset val="134"/>
      </rPr>
      <t xml:space="preserve">Chỉ độc giả có `deleted_at` là NULL và thỏa mãn các điều kiện require thì hiển thị.
</t>
    </r>
    <r>
      <rPr>
        <b/>
        <sz val="10"/>
        <color rgb="FF000000"/>
        <rFont val="游ゴシック"/>
        <charset val="134"/>
      </rPr>
      <t xml:space="preserve">補足：
</t>
    </r>
    <r>
      <rPr>
        <sz val="10"/>
        <color rgb="FF000000"/>
        <rFont val="游ゴシック"/>
        <charset val="134"/>
      </rPr>
      <t>・Phân loại ngoài đối tượng và dữ liệu đã xóa logic hoàn toàn không bao gồm trong danh sách kết quả.</t>
    </r>
  </si>
  <si>
    <t>ACSMS-TC-015-029</t>
  </si>
  <si>
    <t>Pagination hoạt động 20 record mỗi trang</t>
  </si>
  <si>
    <t>・role: JA_HONTEN
・Đã login + đã xác thực MFA
・Tồn tại từ 21 độc giả trở lên khớp với điều kiện search</t>
  </si>
  <si>
    <r>
      <rPr>
        <b/>
        <sz val="10"/>
        <color rgb="FF000000"/>
        <rFont val="メイリオ"/>
        <charset val="134"/>
      </rPr>
      <t xml:space="preserve">ステップ1：
</t>
    </r>
    <r>
      <rPr>
        <sz val="10"/>
        <color rgb="FF000000"/>
        <rFont val="メイリオ"/>
        <charset val="134"/>
      </rPr>
      <t xml:space="preserve">Thực thi search, và kiểm tra số record hiển thị ở trang đầu tiên.
</t>
    </r>
    <r>
      <rPr>
        <b/>
        <sz val="10"/>
        <color rgb="FF000000"/>
        <rFont val="メイリオ"/>
        <charset val="134"/>
      </rPr>
      <t xml:space="preserve">ステップ2：
</t>
    </r>
    <r>
      <rPr>
        <sz val="10"/>
        <color rgb="FF000000"/>
        <rFont val="メイリオ"/>
        <charset val="134"/>
      </rPr>
      <t>Di chuyển sang trang thứ 2.</t>
    </r>
  </si>
  <si>
    <r>
      <rPr>
        <b/>
        <sz val="10"/>
        <color rgb="FF000000"/>
        <rFont val="メイリオ"/>
        <charset val="134"/>
      </rPr>
      <t xml:space="preserve">ステップ1：
</t>
    </r>
    <r>
      <rPr>
        <sz val="10"/>
        <color rgb="FF000000"/>
        <rFont val="メイリオ"/>
        <charset val="134"/>
      </rPr>
      <t xml:space="preserve">Trang đầu tiên hiển thị mặc định 20 record.
</t>
    </r>
    <r>
      <rPr>
        <b/>
        <sz val="10"/>
        <color rgb="FF000000"/>
        <rFont val="メイリオ"/>
        <charset val="134"/>
      </rPr>
      <t xml:space="preserve">ステップ2：
</t>
    </r>
    <r>
      <rPr>
        <sz val="10"/>
        <color rgb="FF000000"/>
        <rFont val="メイリオ"/>
        <charset val="134"/>
      </rPr>
      <t xml:space="preserve">Có thể di chuyển sang trang thứ 2, và các độc giả từ record thứ 21 trở đi được hiển thị.
</t>
    </r>
    <r>
      <rPr>
        <b/>
        <sz val="10"/>
        <color rgb="FF000000"/>
        <rFont val="メイリオ"/>
        <charset val="134"/>
      </rPr>
      <t xml:space="preserve">補足：
</t>
    </r>
    <r>
      <rPr>
        <sz val="10"/>
        <color rgb="FF000000"/>
        <rFont val="メイリオ"/>
        <charset val="134"/>
      </rPr>
      <t>・Có thể di chuyển trang trong khi vẫn giữ điều kiện search.</t>
    </r>
  </si>
  <si>
    <t>ACSMS-TC-015-030</t>
  </si>
  <si>
    <t>Sort mã cửa hàng hoạt động theo tăng dần - giảm dần</t>
  </si>
  <si>
    <t>・role: CHUOKAI
・Đã login + đã xác thực MFA
・Tồn tại nhiều độc giả có mã cửa hàng khác nhau trong kết quả search</t>
  </si>
  <si>
    <r>
      <rPr>
        <b/>
        <sz val="10"/>
        <color rgb="FF000000"/>
        <rFont val="メイリオ"/>
        <charset val="134"/>
      </rPr>
      <t xml:space="preserve">ステップ1：
</t>
    </r>
    <r>
      <rPr>
        <sz val="10"/>
        <color rgb="FF000000"/>
        <rFont val="メイリオ"/>
        <charset val="134"/>
      </rPr>
      <t xml:space="preserve">Thực thi search, và chuyển sort cột「販売店コード」sang tăng dần ▲.
</t>
    </r>
    <r>
      <rPr>
        <b/>
        <sz val="10"/>
        <color rgb="FF000000"/>
        <rFont val="メイリオ"/>
        <charset val="134"/>
      </rPr>
      <t xml:space="preserve">ステップ2：
</t>
    </r>
    <r>
      <rPr>
        <sz val="10"/>
        <color rgb="FF000000"/>
        <rFont val="メイリオ"/>
        <charset val="134"/>
      </rPr>
      <t>Chuyển sort của cùng cột sang giảm dần ▼.</t>
    </r>
  </si>
  <si>
    <r>
      <rPr>
        <b/>
        <sz val="10"/>
        <color rgb="FF000000"/>
        <rFont val="メイリオ"/>
        <charset val="134"/>
      </rPr>
      <t xml:space="preserve">ステップ1：
</t>
    </r>
    <r>
      <rPr>
        <sz val="10"/>
        <color rgb="FF000000"/>
        <rFont val="メイリオ"/>
        <charset val="134"/>
      </rPr>
      <t xml:space="preserve">Mã cửa hàng được sắp xếp tăng dần, và điều kiện search được giữ nguyên.
</t>
    </r>
    <r>
      <rPr>
        <b/>
        <sz val="10"/>
        <color rgb="FF000000"/>
        <rFont val="メイリオ"/>
        <charset val="134"/>
      </rPr>
      <t xml:space="preserve">ステップ2：
</t>
    </r>
    <r>
      <rPr>
        <sz val="10"/>
        <color rgb="FF000000"/>
        <rFont val="メイリオ"/>
        <charset val="134"/>
      </rPr>
      <t xml:space="preserve">Mã cửa hàng được sắp xếp giảm dần, và điều kiện search được giữ nguyên.
</t>
    </r>
    <r>
      <rPr>
        <b/>
        <sz val="10"/>
        <color rgb="FF000000"/>
        <rFont val="メイリオ"/>
        <charset val="134"/>
      </rPr>
      <t xml:space="preserve">補足：
</t>
    </r>
    <r>
      <rPr>
        <sz val="10"/>
        <color rgb="FF000000"/>
        <rFont val="メイリオ"/>
        <charset val="134"/>
      </rPr>
      <t>・Quản lý chi nhánh - chi nhánh - mã thành viên - mã cửa hàng là đối tượng sort.</t>
    </r>
  </si>
  <si>
    <t>Nghiệp vụ - Thay thế (Function — Replace)</t>
  </si>
  <si>
    <t>ACSMS-TC-015-031</t>
  </si>
  <si>
    <t>Cửa hàng của các độc giả đã chọn nhiều được thay thế hàng loạt</t>
  </si>
  <si>
    <t>・role: JA_HONTEN
・Đã login + đã xác thực MFA
・Tồn tại nhiều độc giả là đối tượng thay thế
・Tồn tại cửa hàng khác là đích thay thế</t>
  </si>
  <si>
    <r>
      <rPr>
        <b/>
        <sz val="10"/>
        <color rgb="FF000000"/>
        <rFont val="メイリオ"/>
        <charset val="134"/>
      </rPr>
      <t xml:space="preserve">ステップ1：
</t>
    </r>
    <r>
      <rPr>
        <sz val="10"/>
        <color rgb="FF000000"/>
        <rFont val="メイリオ"/>
        <charset val="134"/>
      </rPr>
      <t xml:space="preserve">Thực thi search, và tick nhiều độc giả là đối tượng.
</t>
    </r>
    <r>
      <rPr>
        <b/>
        <sz val="10"/>
        <color rgb="FF000000"/>
        <rFont val="メイリオ"/>
        <charset val="134"/>
      </rPr>
      <t xml:space="preserve">ステップ2：
</t>
    </r>
    <r>
      <rPr>
        <sz val="10"/>
        <color rgb="FF000000"/>
        <rFont val="メイリオ"/>
        <charset val="134"/>
      </rPr>
      <t xml:space="preserve">Chọn ngày từ ngày hiện tại trở đi vào「適用日」, chọn cửa hàng khác với hiện tại vào「置換先配達販売店」, và click button「置換処理実行」.
</t>
    </r>
    <r>
      <rPr>
        <b/>
        <sz val="10"/>
        <color rgb="FF000000"/>
        <rFont val="メイリオ"/>
        <charset val="134"/>
      </rPr>
      <t xml:space="preserve">ステップ3：
</t>
    </r>
    <r>
      <rPr>
        <sz val="10"/>
        <color rgb="FF000000"/>
        <rFont val="メイリオ"/>
        <charset val="134"/>
      </rPr>
      <t>Click「実行」trong dialog xác nhận.</t>
    </r>
  </si>
  <si>
    <r>
      <rPr>
        <b/>
        <sz val="10"/>
        <color rgb="FF000000"/>
        <rFont val="メイリオ"/>
        <charset val="134"/>
      </rPr>
      <t xml:space="preserve">ステップ1：
</t>
    </r>
    <r>
      <rPr>
        <sz val="10"/>
        <color rgb="FF000000"/>
        <rFont val="メイリオ"/>
        <charset val="134"/>
      </rPr>
      <t xml:space="preserve">Số lượng độc giả đã tick chuyển sang trạng thái đã chọn.
</t>
    </r>
    <r>
      <rPr>
        <b/>
        <sz val="10"/>
        <color rgb="FF000000"/>
        <rFont val="メイリオ"/>
        <charset val="134"/>
      </rPr>
      <t xml:space="preserve">ステップ2：
</t>
    </r>
    <r>
      <rPr>
        <sz val="10"/>
        <color rgb="FF000000"/>
        <rFont val="メイリオ"/>
        <charset val="134"/>
      </rPr>
      <t xml:space="preserve">Dialog xác nhận hiển thị「選択した購読者の販売店を置換します。よろしいでしょうか？」(ACSMS-MSG-015-007).
</t>
    </r>
    <r>
      <rPr>
        <b/>
        <sz val="10"/>
        <color rgb="FF000000"/>
        <rFont val="メイリオ"/>
        <charset val="134"/>
      </rPr>
      <t xml:space="preserve">ステップ3：
</t>
    </r>
    <r>
      <rPr>
        <sz val="10"/>
        <color rgb="FF000000"/>
        <rFont val="メイリオ"/>
        <charset val="134"/>
      </rPr>
      <t xml:space="preserve">API thay thế được gọi, và các điều sau được thực thi.
</t>
    </r>
    <r>
      <rPr>
        <sz val="10"/>
        <color rgb="FF000000"/>
        <rFont val="メイリオ"/>
        <charset val="134"/>
      </rPr>
      <t xml:space="preserve">・Hiển thị「置換処理が完了しました。」(ACSMS-MSG-015-008).
</t>
    </r>
    <r>
      <rPr>
        <sz val="10"/>
        <color rgb="FF000000"/>
        <rFont val="メイリオ"/>
        <charset val="134"/>
      </rPr>
      <t xml:space="preserve">・Lựa chọn row được hủy, và danh sách được load lại.
</t>
    </r>
    <r>
      <rPr>
        <b/>
        <sz val="10"/>
        <color rgb="FF000000"/>
        <rFont val="メイリオ"/>
        <charset val="134"/>
      </rPr>
      <t xml:space="preserve">補足：
</t>
    </r>
    <r>
      <rPr>
        <sz val="10"/>
        <color rgb="FF000000"/>
        <rFont val="メイリオ"/>
        <charset val="134"/>
      </rPr>
      <t xml:space="preserve">・Các row đối tượng của `t_dokusya` được UPDATE (hanbaiten_id=cửa hàng mới, rireki_no=rireki_no+1, cập nhật updated_at - updated_by), và thêm 1 row cho mỗi đối tượng vào `t_dokusya_rireki`.
</t>
    </r>
    <r>
      <rPr>
        <sz val="10"/>
        <color rgb="FF000000"/>
        <rFont val="メイリオ"/>
        <charset val="134"/>
      </rPr>
      <t>・Log thao tác có operation=UPDATE, result_status=1 được record vào `t_log` trong cùng một transaction.</t>
    </r>
  </si>
  <si>
    <t>ACSMS-TC-015-032</t>
  </si>
  <si>
    <t>Chọn tất cả / hủy chọn hoạt động</t>
  </si>
  <si>
    <t>・role: CHUOKAI
・Đã login + đã xác thực MFA
・Nhiều độc giả đang hiển thị trong danh sách kết quả search</t>
  </si>
  <si>
    <r>
      <rPr>
        <b/>
        <sz val="10"/>
        <color rgb="FF000000"/>
        <rFont val="メイリオ"/>
        <charset val="134"/>
      </rPr>
      <t xml:space="preserve">ステップ1：
</t>
    </r>
    <r>
      <rPr>
        <sz val="10"/>
        <color rgb="FF000000"/>
        <rFont val="メイリオ"/>
        <charset val="134"/>
      </rPr>
      <t xml:space="preserve">Bật checkbox「すべて選択／解除」ở header.
</t>
    </r>
    <r>
      <rPr>
        <b/>
        <sz val="10"/>
        <color rgb="FF000000"/>
        <rFont val="メイリオ"/>
        <charset val="134"/>
      </rPr>
      <t xml:space="preserve">ステップ2：
</t>
    </r>
    <r>
      <rPr>
        <sz val="10"/>
        <color rgb="FF000000"/>
        <rFont val="メイリオ"/>
        <charset val="134"/>
      </rPr>
      <t>Tắt checkbox đó.</t>
    </r>
  </si>
  <si>
    <r>
      <rPr>
        <b/>
        <sz val="10"/>
        <color rgb="FF000000"/>
        <rFont val="メイリオ"/>
        <charset val="134"/>
      </rPr>
      <t xml:space="preserve">ステップ1：
</t>
    </r>
    <r>
      <rPr>
        <sz val="10"/>
        <color rgb="FF000000"/>
        <rFont val="メイリオ"/>
        <charset val="134"/>
      </rPr>
      <t xml:space="preserve">Checkbox của tất cả row đang hiển thị được bật, và button「置換処理実行」được enable.
</t>
    </r>
    <r>
      <rPr>
        <b/>
        <sz val="10"/>
        <color rgb="FF000000"/>
        <rFont val="メイリオ"/>
        <charset val="134"/>
      </rPr>
      <t xml:space="preserve">ステップ2：
</t>
    </r>
    <r>
      <rPr>
        <sz val="10"/>
        <color rgb="FF000000"/>
        <rFont val="メイリオ"/>
        <charset val="134"/>
      </rPr>
      <t xml:space="preserve">Checkbox của tất cả row đang hiển thị được tắt, và button「置換処理実行」bị disable.
</t>
    </r>
    <r>
      <rPr>
        <b/>
        <sz val="10"/>
        <color rgb="FF000000"/>
        <rFont val="メイリオ"/>
        <charset val="134"/>
      </rPr>
      <t xml:space="preserve">補足：
</t>
    </r>
    <r>
      <rPr>
        <sz val="10"/>
        <color rgb="FF000000"/>
        <rFont val="メイリオ"/>
        <charset val="134"/>
      </rPr>
      <t>・Khi đang chọn tất cả mà bỏ chọn checkbox của một row riêng lẻ, trạng thái của「すべて選択／解除」chuyển sang đang hủy.</t>
    </r>
  </si>
  <si>
    <t>ACSMS-TC-015-033</t>
  </si>
  <si>
    <t>Khi cancel ở dialog xác nhận thì thay thế không được thực thi</t>
  </si>
  <si>
    <t>・role: JA_HONTEN
・Đã login + đã xác thực MFA
・Tồn tại độc giả là đối tượng thay thế</t>
  </si>
  <si>
    <r>
      <rPr>
        <b/>
        <sz val="10"/>
        <color rgb="FF000000"/>
        <rFont val="メイリオ"/>
        <charset val="134"/>
      </rPr>
      <t xml:space="preserve">ステップ1：
</t>
    </r>
    <r>
      <rPr>
        <sz val="10"/>
        <color rgb="FF000000"/>
        <rFont val="メイリオ"/>
        <charset val="134"/>
      </rPr>
      <t xml:space="preserve">Tick độc giả đối tượng, nhập「適用日」「置換先配達販売店」và click button「置換処理実行」.
</t>
    </r>
    <r>
      <rPr>
        <b/>
        <sz val="10"/>
        <color rgb="FF000000"/>
        <rFont val="メイリオ"/>
        <charset val="134"/>
      </rPr>
      <t xml:space="preserve">ステップ2：
</t>
    </r>
    <r>
      <rPr>
        <sz val="10"/>
        <color rgb="FF000000"/>
        <rFont val="メイリオ"/>
        <charset val="134"/>
      </rPr>
      <t>Click「キャンセル」trong dialog xác nhận.</t>
    </r>
  </si>
  <si>
    <r>
      <rPr>
        <b/>
        <sz val="10"/>
        <color rgb="FF000000"/>
        <rFont val="メイリオ"/>
        <charset val="134"/>
      </rPr>
      <t xml:space="preserve">ステップ1：
</t>
    </r>
    <r>
      <rPr>
        <sz val="10"/>
        <color rgb="FF000000"/>
        <rFont val="メイリオ"/>
        <charset val="134"/>
      </rPr>
      <t xml:space="preserve">Dialog xác nhận hiển thị「選択した購読者の販売店を置換します。よろしいでしょうか？」(ACSMS-MSG-015-007).
</t>
    </r>
    <r>
      <rPr>
        <b/>
        <sz val="10"/>
        <color rgb="FF000000"/>
        <rFont val="メイリオ"/>
        <charset val="134"/>
      </rPr>
      <t xml:space="preserve">ステップ2：
</t>
    </r>
    <r>
      <rPr>
        <sz val="10"/>
        <color rgb="FF000000"/>
        <rFont val="メイリオ"/>
        <charset val="134"/>
      </rPr>
      <t xml:space="preserve">Dialog chỉ đóng lại mà API thay thế không được gọi, và trạng thái lựa chọn được giữ nguyên.
</t>
    </r>
    <r>
      <rPr>
        <b/>
        <sz val="10"/>
        <color rgb="FF000000"/>
        <rFont val="メイリオ"/>
        <charset val="134"/>
      </rPr>
      <t xml:space="preserve">補足：
</t>
    </r>
    <r>
      <rPr>
        <sz val="10"/>
        <color rgb="FF000000"/>
        <rFont val="メイリオ"/>
        <charset val="134"/>
      </rPr>
      <t>・Không phát sinh bất kỳ thay đổi nào trên `t_dokusya` - `t_dokusya_rireki` - `t_log`.</t>
    </r>
  </si>
  <si>
    <t>ACSMS-TC-015-034</t>
  </si>
  <si>
    <t>Khi chỉ định cùng cửa hàng hiện tại làm đích thay thế thì phát sinh lỗi</t>
  </si>
  <si>
    <t>・role: CHUOKAI
・Đã login + đã xác thực MFA
・Tồn tại độc giả đã biết rõ cửa hàng hiện tại</t>
  </si>
  <si>
    <r>
      <rPr>
        <b/>
        <sz val="10"/>
        <color rgb="FF000000"/>
        <rFont val="游ゴシック"/>
        <charset val="134"/>
      </rPr>
      <t xml:space="preserve">ステップ1：
</t>
    </r>
    <r>
      <rPr>
        <sz val="10"/>
        <color rgb="FF000000"/>
        <rFont val="游ゴシック"/>
        <charset val="134"/>
      </rPr>
      <t xml:space="preserve">Tick độc giả đó, và nhập ngày từ ngày hiện tại trở đi vào「適用日」.
</t>
    </r>
    <r>
      <rPr>
        <b/>
        <sz val="10"/>
        <color rgb="FF000000"/>
        <rFont val="游ゴシック"/>
        <charset val="134"/>
      </rPr>
      <t xml:space="preserve">ステップ2：
</t>
    </r>
    <r>
      <rPr>
        <sz val="10"/>
        <color rgb="FF000000"/>
        <rFont val="游ゴシック"/>
        <charset val="134"/>
      </rPr>
      <t>Chọn cùng cửa hàng với hiện tại vào「置換先配達販売店」, click button「置換処理実行」và「実行」.</t>
    </r>
  </si>
  <si>
    <r>
      <rPr>
        <b/>
        <sz val="10"/>
        <color rgb="FF000000"/>
        <rFont val="游ゴシック"/>
        <charset val="134"/>
      </rPr>
      <t xml:space="preserve">ステップ1：
</t>
    </r>
    <r>
      <rPr>
        <sz val="10"/>
        <color rgb="FF000000"/>
        <rFont val="游ゴシック"/>
        <charset val="134"/>
      </rPr>
      <t xml:space="preserve">Tick và ngày áp dụng được phản ánh.
</t>
    </r>
    <r>
      <rPr>
        <b/>
        <sz val="10"/>
        <color rgb="FF000000"/>
        <rFont val="游ゴシック"/>
        <charset val="134"/>
      </rPr>
      <t xml:space="preserve">ステップ2：
</t>
    </r>
    <r>
      <rPr>
        <sz val="10"/>
        <color rgb="FF000000"/>
        <rFont val="游ゴシック"/>
        <charset val="134"/>
      </rPr>
      <t xml:space="preserve">Hiển thị「現在の販売店と同じ販売店は選択できません。」(ACSMS-MSG-015-005) (error_code: SAME_HANBAITEN, HTTP 400).
</t>
    </r>
    <r>
      <rPr>
        <b/>
        <sz val="10"/>
        <color rgb="FF000000"/>
        <rFont val="游ゴシック"/>
        <charset val="134"/>
      </rPr>
      <t xml:space="preserve">補足：
</t>
    </r>
    <r>
      <rPr>
        <sz val="10"/>
        <color rgb="FF000000"/>
        <rFont val="游ゴシック"/>
        <charset val="134"/>
      </rPr>
      <t>・Thay thế không được thực thi, và không phát sinh thay đổi trên `t_dokusya`.</t>
    </r>
  </si>
  <si>
    <t>ACSMS-TC-015-035</t>
  </si>
  <si>
    <t>Khi bao gồm độc giả đọc kèm (併読者) làm đối tượng thì phát sinh lỗi</t>
  </si>
  <si>
    <t>・role: JA_HONTEN
・Đã login + đã xác thực MFA
・Tồn tại độc giả có `dokusya_shubetsu` = 3 (độc giả đọc kèm)</t>
  </si>
  <si>
    <r>
      <rPr>
        <b/>
        <sz val="10"/>
        <color rgb="FF000000"/>
        <rFont val="メイリオ"/>
        <charset val="134"/>
      </rPr>
      <t xml:space="preserve">ステップ1：
</t>
    </r>
    <r>
      <rPr>
        <sz val="10"/>
        <color rgb="FF000000"/>
        <rFont val="メイリオ"/>
        <charset val="134"/>
      </rPr>
      <t xml:space="preserve">Tick độc giả đọc kèm (`dokusya_shubetsu` = 3), và nhập「適用日」「置換先配達販売店」.
</t>
    </r>
    <r>
      <rPr>
        <b/>
        <sz val="10"/>
        <color rgb="FF000000"/>
        <rFont val="メイリオ"/>
        <charset val="134"/>
      </rPr>
      <t xml:space="preserve">ステップ2：
</t>
    </r>
    <r>
      <rPr>
        <sz val="10"/>
        <color rgb="FF000000"/>
        <rFont val="メイリオ"/>
        <charset val="134"/>
      </rPr>
      <t>Click button「置換処理実行」và「実行」.</t>
    </r>
  </si>
  <si>
    <r>
      <rPr>
        <b/>
        <sz val="10"/>
        <color rgb="FF000000"/>
        <rFont val="メイリオ"/>
        <charset val="134"/>
      </rPr>
      <t xml:space="preserve">ステップ1：
</t>
    </r>
    <r>
      <rPr>
        <sz val="10"/>
        <color rgb="FF000000"/>
        <rFont val="メイリオ"/>
        <charset val="134"/>
      </rPr>
      <t xml:space="preserve">Tick và input được phản ánh.
</t>
    </r>
    <r>
      <rPr>
        <b/>
        <sz val="10"/>
        <color rgb="FF000000"/>
        <rFont val="メイリオ"/>
        <charset val="134"/>
      </rPr>
      <t xml:space="preserve">ステップ2：
</t>
    </r>
    <r>
      <rPr>
        <sz val="10"/>
        <color rgb="FF000000"/>
        <rFont val="メイリオ"/>
        <charset val="134"/>
      </rPr>
      <t xml:space="preserve">Hiển thị「電子版クレカ決済者・併読者は編集・削除できません。」(ACSMS-MSG-015-006) (error_code: INELIGIBLE_DOKUSYA, HTTP 400).
</t>
    </r>
    <r>
      <rPr>
        <b/>
        <sz val="10"/>
        <color rgb="FF000000"/>
        <rFont val="メイリオ"/>
        <charset val="134"/>
      </rPr>
      <t xml:space="preserve">補足：
</t>
    </r>
    <r>
      <rPr>
        <sz val="10"/>
        <color rgb="FF000000"/>
        <rFont val="メイリオ"/>
        <charset val="134"/>
      </rPr>
      <t>・Thay thế không được thực thi, và không phát sinh thay đổi trên `t_dokusya` - `t_dokusya_rireki`.</t>
    </r>
  </si>
  <si>
    <t>Chỉ có thể thay thế hàng loạt cửa hàng đối với độc giả đọc báo giấy (dokusya_shubetsu=1).</t>
  </si>
  <si>
    <t>ACSMS-TC-015-036</t>
  </si>
  <si>
    <t>Khi bao gồm độc giả thanh toán thẻ tín dụng bản điện tử làm đối tượng thì phát sinh lỗi</t>
  </si>
  <si>
    <t>・role: CHUOKAI
・Đã login + đã xác thực MFA
・Tồn tại độc giả có `dokusya_shubetsu` = 2 và `shiharai_hoho` = 6 (độc giả thanh toán thẻ tín dụng bản điện tử)</t>
  </si>
  <si>
    <r>
      <rPr>
        <b/>
        <sz val="10"/>
        <color rgb="FF000000"/>
        <rFont val="メイリオ"/>
        <charset val="134"/>
      </rPr>
      <t xml:space="preserve">ステップ1：
</t>
    </r>
    <r>
      <rPr>
        <sz val="10"/>
        <color rgb="FF000000"/>
        <rFont val="メイリオ"/>
        <charset val="134"/>
      </rPr>
      <t xml:space="preserve">Tick độc giả thanh toán thẻ tín dụng bản điện tử (`dokusya_shubetsu` = 2 và `shiharai_hoho` = 6), và nhập「適用日」「置換先配達販売店」.
</t>
    </r>
    <r>
      <rPr>
        <b/>
        <sz val="10"/>
        <color rgb="FF000000"/>
        <rFont val="メイリオ"/>
        <charset val="134"/>
      </rPr>
      <t xml:space="preserve">ステップ2：
</t>
    </r>
    <r>
      <rPr>
        <sz val="10"/>
        <color rgb="FF000000"/>
        <rFont val="メイリオ"/>
        <charset val="134"/>
      </rPr>
      <t>Click button「置換処理実行」và「実行」.</t>
    </r>
  </si>
  <si>
    <r>
      <rPr>
        <b/>
        <sz val="10"/>
        <color rgb="FF000000"/>
        <rFont val="游ゴシック"/>
        <charset val="134"/>
      </rPr>
      <t xml:space="preserve">ステップ1：
</t>
    </r>
    <r>
      <rPr>
        <sz val="10"/>
        <color rgb="FF000000"/>
        <rFont val="游ゴシック"/>
        <charset val="134"/>
      </rPr>
      <t xml:space="preserve">Tick và input được phản ánh.
</t>
    </r>
    <r>
      <rPr>
        <b/>
        <sz val="10"/>
        <color rgb="FF000000"/>
        <rFont val="游ゴシック"/>
        <charset val="134"/>
      </rPr>
      <t xml:space="preserve">ステップ2：
</t>
    </r>
    <r>
      <rPr>
        <sz val="10"/>
        <color rgb="FF000000"/>
        <rFont val="游ゴシック"/>
        <charset val="134"/>
      </rPr>
      <t xml:space="preserve">Hiển thị「電子版クレカ決済者・併読者は編集・削除できません。」(ACSMS-MSG-015-006) (error_code: INELIGIBLE_DOKUSYA, HTTP 400).
</t>
    </r>
    <r>
      <rPr>
        <b/>
        <sz val="10"/>
        <color rgb="FF000000"/>
        <rFont val="游ゴシック"/>
        <charset val="134"/>
      </rPr>
      <t xml:space="preserve">補足：
</t>
    </r>
    <r>
      <rPr>
        <sz val="10"/>
        <color rgb="FF000000"/>
        <rFont val="游ゴシック"/>
        <charset val="134"/>
      </rPr>
      <t>・Thay thế không được thực thi, và không phát sinh thay đổi trên `t_dokusya` - `t_dokusya_rireki`.</t>
    </r>
  </si>
  <si>
    <t>ACSMS-TC-015-037</t>
  </si>
  <si>
    <t>Khi chỉ định ID độc giả không tồn tại thì phát sinh lỗi</t>
  </si>
  <si>
    <r>
      <rPr>
        <b/>
        <sz val="10"/>
        <color rgb="FF000000"/>
        <rFont val="游ゴシック"/>
        <charset val="134"/>
      </rPr>
      <t xml:space="preserve">ステップ1：
</t>
    </r>
    <r>
      <rPr>
        <sz val="10"/>
        <color rgb="FF000000"/>
        <rFont val="游ゴシック"/>
        <charset val="134"/>
      </rPr>
      <t xml:space="preserve">Gọi `POST /api/v1/dokusya/replace-hanbaiten` từ API client.
</t>
    </r>
    <r>
      <rPr>
        <b/>
        <sz val="10"/>
        <color rgb="FF000000"/>
        <rFont val="游ゴシック"/>
        <charset val="134"/>
      </rPr>
      <t xml:space="preserve">ステップ2：
</t>
    </r>
    <r>
      <rPr>
        <sz val="10"/>
        <color rgb="FF000000"/>
        <rFont val="游ゴシック"/>
        <charset val="134"/>
      </rPr>
      <t>Gửi kèm ID độc giả không tồn tại trong dokusya_ids.</t>
    </r>
  </si>
  <si>
    <r>
      <rPr>
        <b/>
        <sz val="10"/>
        <color rgb="FF000000"/>
        <rFont val="メイリオ"/>
        <charset val="134"/>
      </rPr>
      <t xml:space="preserve">ステップ1：
</t>
    </r>
    <r>
      <rPr>
        <sz val="10"/>
        <color rgb="FF000000"/>
        <rFont val="メイリオ"/>
        <charset val="134"/>
      </rPr>
      <t xml:space="preserve">Request được tiếp nhận.
</t>
    </r>
    <r>
      <rPr>
        <b/>
        <sz val="10"/>
        <color rgb="FF000000"/>
        <rFont val="メイリオ"/>
        <charset val="134"/>
      </rPr>
      <t xml:space="preserve">ステップ2：
</t>
    </r>
    <r>
      <rPr>
        <sz val="10"/>
        <color rgb="FF000000"/>
        <rFont val="メイリオ"/>
        <charset val="134"/>
      </rPr>
      <t xml:space="preserve">Trả về HTTP 404 (error_code: NOT_FOUND, message「指定された購読者が見つかりません。」).
</t>
    </r>
    <r>
      <rPr>
        <b/>
        <sz val="10"/>
        <color rgb="FF000000"/>
        <rFont val="メイリオ"/>
        <charset val="134"/>
      </rPr>
      <t xml:space="preserve">補足：
</t>
    </r>
    <r>
      <rPr>
        <sz val="10"/>
        <color rgb="FF000000"/>
        <rFont val="メイリオ"/>
        <charset val="134"/>
      </rPr>
      <t>・Thay thế không được thực thi, và toàn bộ được rollback.</t>
    </r>
  </si>
  <si>
    <t>ACSMS-TC-015-038</t>
  </si>
  <si>
    <t>Khi một phần xử lý thay thế thất bại thì toàn bộ được rollback</t>
  </si>
  <si>
    <t>・role: CHUOKAI
・Đã login + đã xác thực MFA
・Tồn tại nhiều độc giả là đối tượng thay thế, và có thể tái hiện tình huống một phần phát sinh lỗi update</t>
  </si>
  <si>
    <r>
      <rPr>
        <b/>
        <sz val="10"/>
        <color rgb="FF000000"/>
        <rFont val="メイリオ"/>
        <charset val="134"/>
      </rPr>
      <t xml:space="preserve">ステップ1：
</t>
    </r>
    <r>
      <rPr>
        <sz val="10"/>
        <color rgb="FF000000"/>
        <rFont val="メイリオ"/>
        <charset val="134"/>
      </rPr>
      <t xml:space="preserve">Chọn nhiều độc giả, nhập「適用日」「置換先配達販売店」và thực thi xử lý thay thế.
</t>
    </r>
    <r>
      <rPr>
        <b/>
        <sz val="10"/>
        <color rgb="FF000000"/>
        <rFont val="メイリオ"/>
        <charset val="134"/>
      </rPr>
      <t xml:space="preserve">ステップ2：
</t>
    </r>
    <r>
      <rPr>
        <sz val="10"/>
        <color rgb="FF000000"/>
        <rFont val="メイリオ"/>
        <charset val="134"/>
      </rPr>
      <t>Phát sinh tình huống một phần độc giả update thất bại giữa chừng quá trình update.</t>
    </r>
  </si>
  <si>
    <r>
      <rPr>
        <b/>
        <sz val="10"/>
        <color rgb="FF000000"/>
        <rFont val="メイリオ"/>
        <charset val="134"/>
      </rPr>
      <t xml:space="preserve">ステップ1：
</t>
    </r>
    <r>
      <rPr>
        <sz val="10"/>
        <color rgb="FF000000"/>
        <rFont val="メイリオ"/>
        <charset val="134"/>
      </rPr>
      <t xml:space="preserve">API thay thế được gọi qua dialog xác nhận (ACSMS-MSG-015-007).
</t>
    </r>
    <r>
      <rPr>
        <b/>
        <sz val="10"/>
        <color rgb="FF000000"/>
        <rFont val="メイリオ"/>
        <charset val="134"/>
      </rPr>
      <t xml:space="preserve">ステップ2：
</t>
    </r>
    <r>
      <rPr>
        <sz val="10"/>
        <color rgb="FF000000"/>
        <rFont val="メイリオ"/>
        <charset val="134"/>
      </rPr>
      <t xml:space="preserve">Xử lý được thực thi trong một transaction đơn nhất, và khi một phần thất bại thì toàn bộ được rollback.
</t>
    </r>
    <r>
      <rPr>
        <sz val="10"/>
        <color rgb="FF000000"/>
        <rFont val="メイリオ"/>
        <charset val="134"/>
      </rPr>
      <t xml:space="preserve">・`t_dokusya` - `t_dokusya_rireki` của các độc giả khác đã thành công cũng trở về trạng thái trước khi thay đổi.
</t>
    </r>
    <r>
      <rPr>
        <sz val="10"/>
        <color rgb="FF000000"/>
        <rFont val="メイリオ"/>
        <charset val="134"/>
      </rPr>
      <t xml:space="preserve">・Error message được hiển thị.
</t>
    </r>
    <r>
      <rPr>
        <b/>
        <sz val="10"/>
        <color rgb="FF000000"/>
        <rFont val="メイリオ"/>
        <charset val="134"/>
      </rPr>
      <t xml:space="preserve">補足：
</t>
    </r>
    <r>
      <rPr>
        <sz val="10"/>
        <color rgb="FF000000"/>
        <rFont val="メイリオ"/>
        <charset val="134"/>
      </rPr>
      <t>・Khi phát sinh exception, log có log_type=3 của `t_log` được record bên ngoài transaction.</t>
    </r>
  </si>
  <si>
    <t>ACSMS-TC-015-039</t>
  </si>
  <si>
    <t>DataScope violation khi cố thay thế độc giả thuộc JA khác</t>
  </si>
  <si>
    <t>・role: CHUOKAI
・Đã login + đã xác thực MFA
・Tồn tại độc giả thuộc JA khác với trung ương hội của mình</t>
  </si>
  <si>
    <r>
      <rPr>
        <b/>
        <sz val="10"/>
        <color rgb="FF000000"/>
        <rFont val="メイリオ"/>
        <charset val="134"/>
      </rPr>
      <t xml:space="preserve">ステップ1：
</t>
    </r>
    <r>
      <rPr>
        <sz val="10"/>
        <color rgb="FF000000"/>
        <rFont val="メイリオ"/>
        <charset val="134"/>
      </rPr>
      <t xml:space="preserve">Tìm kiếm và hiển thị danh sách độc giả thuộc scope của mình.
</t>
    </r>
    <r>
      <rPr>
        <b/>
        <sz val="10"/>
        <color rgb="FF000000"/>
        <rFont val="メイリオ"/>
        <charset val="134"/>
      </rPr>
      <t xml:space="preserve">ステップ2：
</t>
    </r>
    <r>
      <rPr>
        <sz val="10"/>
        <color rgb="FF000000"/>
        <rFont val="メイリオ"/>
        <charset val="134"/>
      </rPr>
      <t xml:space="preserve">Gửi POST `/api/v1/dokusya/replace-hanbaiten` qua DevTools với `dokusya_ids` chứa `dokusya_id` thuộc JA khác.
</t>
    </r>
    <r>
      <rPr>
        <b/>
        <sz val="10"/>
        <color rgb="FF000000"/>
        <rFont val="メイリオ"/>
        <charset val="134"/>
      </rPr>
      <t xml:space="preserve">ステップ3：
</t>
    </r>
    <r>
      <rPr>
        <sz val="10"/>
        <color rgb="FF000000"/>
        <rFont val="メイリオ"/>
        <charset val="134"/>
      </rPr>
      <t>Kiểm tra DB `SELECT hanbaiten_id, rireki_no FROM t_dokusya WHERE dokusya_id = :other_ja_dokusya_id`.</t>
    </r>
  </si>
  <si>
    <r>
      <rPr>
        <b/>
        <sz val="10"/>
        <color rgb="FF000000"/>
        <rFont val="メイリオ"/>
        <charset val="134"/>
      </rPr>
      <t xml:space="preserve">ステップ2：
</t>
    </r>
    <r>
      <rPr>
        <sz val="10"/>
        <color rgb="FF000000"/>
        <rFont val="メイリオ"/>
        <charset val="134"/>
      </rPr>
      <t xml:space="preserve">Trả về HTTP 403 (error_code: DATA_SCOPE_VIOLATION, message このデータへのアクセス権限がありません。).
</t>
    </r>
    <r>
      <rPr>
        <b/>
        <sz val="10"/>
        <color rgb="FF000000"/>
        <rFont val="メイリオ"/>
        <charset val="134"/>
      </rPr>
      <t xml:space="preserve">ステップ3：
</t>
    </r>
    <r>
      <rPr>
        <sz val="10"/>
        <color rgb="FF000000"/>
        <rFont val="メイリオ"/>
        <charset val="134"/>
      </rPr>
      <t xml:space="preserve">・`hanbaiten_id` của `t_dokusya` không được cập nhật.
</t>
    </r>
    <r>
      <rPr>
        <sz val="10"/>
        <color rgb="FF000000"/>
        <rFont val="メイリオ"/>
        <charset val="134"/>
      </rPr>
      <t xml:space="preserve">・`rireki_no` không bị thay đổi.
</t>
    </r>
    <r>
      <rPr>
        <b/>
        <sz val="10"/>
        <color rgb="FF000000"/>
        <rFont val="メイリオ"/>
        <charset val="134"/>
      </rPr>
      <t xml:space="preserve">補足：
</t>
    </r>
    <r>
      <rPr>
        <sz val="10"/>
        <color rgb="FF000000"/>
        <rFont val="メイリオ"/>
        <charset val="134"/>
      </rPr>
      <t xml:space="preserve">・Việc truy cập record của JA khác bị từ chối bởi kiểm tra DataScope phía server.
</t>
    </r>
    <r>
      <rPr>
        <sz val="10"/>
        <color rgb="FF000000"/>
        <rFont val="メイリオ"/>
        <charset val="134"/>
      </rPr>
      <t>・Không có lịch sử được thêm vào `t_dokusya_rireki`.</t>
    </r>
  </si>
  <si>
    <t>Xử lý lỗi chung (Common Error Handling)</t>
  </si>
  <si>
    <t>ACSMS-TC-015-040</t>
  </si>
  <si>
    <t>Khi hết session thì chuyển đến màn hình login</t>
  </si>
  <si>
    <t>・role: CHUOKAI
・Đã login + đã xác thực MFA
・Có thể tái hiện trạng thái session hết hạn</t>
  </si>
  <si>
    <r>
      <rPr>
        <b/>
        <sz val="10"/>
        <color rgb="FF000000"/>
        <rFont val="メイリオ"/>
        <charset val="134"/>
      </rPr>
      <t xml:space="preserve">ステップ1：
</t>
    </r>
    <r>
      <rPr>
        <sz val="10"/>
        <color rgb="FF000000"/>
        <rFont val="メイリオ"/>
        <charset val="134"/>
      </rPr>
      <t xml:space="preserve">Click button「検索」ở trạng thái session đã hết hạn.
</t>
    </r>
    <r>
      <rPr>
        <b/>
        <sz val="10"/>
        <color rgb="FF000000"/>
        <rFont val="メイリオ"/>
        <charset val="134"/>
      </rPr>
      <t xml:space="preserve">ステップ2：
</t>
    </r>
    <r>
      <rPr>
        <sz val="10"/>
        <color rgb="FF000000"/>
        <rFont val="メイリオ"/>
        <charset val="134"/>
      </rPr>
      <t>Kiểm tra phản hồi từ server.</t>
    </r>
  </si>
  <si>
    <r>
      <rPr>
        <b/>
        <sz val="10"/>
        <color rgb="FF000000"/>
        <rFont val="游ゴシック"/>
        <charset val="134"/>
      </rPr>
      <t xml:space="preserve">ステップ1：
</t>
    </r>
    <r>
      <rPr>
        <sz val="10"/>
        <color rgb="FF000000"/>
        <rFont val="游ゴシック"/>
        <charset val="134"/>
      </rPr>
      <t xml:space="preserve">API search được gọi.
</t>
    </r>
    <r>
      <rPr>
        <b/>
        <sz val="10"/>
        <color rgb="FF000000"/>
        <rFont val="游ゴシック"/>
        <charset val="134"/>
      </rPr>
      <t xml:space="preserve">ステップ2：
</t>
    </r>
    <r>
      <rPr>
        <sz val="10"/>
        <color rgb="FF000000"/>
        <rFont val="游ゴシック"/>
        <charset val="134"/>
      </rPr>
      <t xml:space="preserve">Trả về HTTP 401 (error_code: UNAUTHORIZED, message「セッションが切れました。再度ログインしてください。」), và chuyển đến màn hình login (`/login`).
</t>
    </r>
    <r>
      <rPr>
        <b/>
        <sz val="10"/>
        <color rgb="FF000000"/>
        <rFont val="游ゴシック"/>
        <charset val="134"/>
      </rPr>
      <t xml:space="preserve">補足：
</t>
    </r>
    <r>
      <rPr>
        <sz val="10"/>
        <color rgb="FF000000"/>
        <rFont val="游ゴシック"/>
        <charset val="134"/>
      </rPr>
      <t>・Thông tin user ở local được hủy.</t>
    </r>
  </si>
  <si>
    <t>ACSMS-TC-015-041</t>
  </si>
  <si>
    <t>Khi gửi parameter không hợp lệ thì phát sinh lỗi</t>
  </si>
  <si>
    <r>
      <rPr>
        <b/>
        <sz val="10"/>
        <color rgb="FF000000"/>
        <rFont val="游ゴシック"/>
        <charset val="134"/>
      </rPr>
      <t xml:space="preserve">ステップ1：
</t>
    </r>
    <r>
      <rPr>
        <sz val="10"/>
        <color rgb="FF000000"/>
        <rFont val="游ゴシック"/>
        <charset val="134"/>
      </rPr>
      <t xml:space="preserve">Gọi `POST /api/v1/dokusya/replace-hanbaiten` từ API client.
</t>
    </r>
    <r>
      <rPr>
        <b/>
        <sz val="10"/>
        <color rgb="FF000000"/>
        <rFont val="游ゴシック"/>
        <charset val="134"/>
      </rPr>
      <t xml:space="preserve">ステップ2：
</t>
    </r>
    <r>
      <rPr>
        <sz val="10"/>
        <color rgb="FF000000"/>
        <rFont val="游ゴシック"/>
        <charset val="134"/>
      </rPr>
      <t>Thiết lập giá trị không hợp lệ khác số vào new_hanbaiten_id và gửi.</t>
    </r>
  </si>
  <si>
    <r>
      <rPr>
        <b/>
        <sz val="10"/>
        <color rgb="FF000000"/>
        <rFont val="游ゴシック"/>
        <charset val="134"/>
      </rPr>
      <t xml:space="preserve">ステップ1：
</t>
    </r>
    <r>
      <rPr>
        <sz val="10"/>
        <color rgb="FF000000"/>
        <rFont val="游ゴシック"/>
        <charset val="134"/>
      </rPr>
      <t xml:space="preserve">Request được gửi.
</t>
    </r>
    <r>
      <rPr>
        <b/>
        <sz val="10"/>
        <color rgb="FF000000"/>
        <rFont val="游ゴシック"/>
        <charset val="134"/>
      </rPr>
      <t xml:space="preserve">ステップ2：
</t>
    </r>
    <r>
      <rPr>
        <sz val="10"/>
        <color rgb="FF000000"/>
        <rFont val="游ゴシック"/>
        <charset val="134"/>
      </rPr>
      <t xml:space="preserve">Trả về HTTP 400 (error_code: BAD_REQUEST, message「リクエストパラメータが不正です。」).
</t>
    </r>
    <r>
      <rPr>
        <b/>
        <sz val="10"/>
        <color rgb="FF000000"/>
        <rFont val="游ゴシック"/>
        <charset val="134"/>
      </rPr>
      <t xml:space="preserve">補足：
</t>
    </r>
    <r>
      <rPr>
        <sz val="10"/>
        <color rgb="FF000000"/>
        <rFont val="游ゴシック"/>
        <charset val="134"/>
      </rPr>
      <t>・Thay thế không được thực thi, và không phát sinh thay đổi trên `t_dokusya`.</t>
    </r>
  </si>
  <si>
    <t>ACSMS-TC-015-042</t>
  </si>
  <si>
    <t>Khi thiếu mục bắt buộc thì lỗi validation được trả về dưới dạng mảng</t>
  </si>
  <si>
    <r>
      <rPr>
        <b/>
        <sz val="10"/>
        <color rgb="FF000000"/>
        <rFont val="メイリオ"/>
        <charset val="134"/>
      </rPr>
      <t xml:space="preserve">ステップ1：
</t>
    </r>
    <r>
      <rPr>
        <sz val="10"/>
        <color rgb="FF000000"/>
        <rFont val="メイリオ"/>
        <charset val="134"/>
      </rPr>
      <t xml:space="preserve">Gọi `POST /api/v1/dokusya/replace-hanbaiten` từ API client.
</t>
    </r>
    <r>
      <rPr>
        <b/>
        <sz val="10"/>
        <color rgb="FF000000"/>
        <rFont val="メイリオ"/>
        <charset val="134"/>
      </rPr>
      <t xml:space="preserve">ステップ2：
</t>
    </r>
    <r>
      <rPr>
        <sz val="10"/>
        <color rgb="FF000000"/>
        <rFont val="メイリオ"/>
        <charset val="134"/>
      </rPr>
      <t>Gửi với dokusya_ids - new_hanbaiten_id - joho_henko_tekiyo_date chưa thiết lập.</t>
    </r>
  </si>
  <si>
    <r>
      <rPr>
        <b/>
        <sz val="10"/>
        <color rgb="FF000000"/>
        <rFont val="メイリオ"/>
        <charset val="134"/>
      </rPr>
      <t xml:space="preserve">ステップ1：
</t>
    </r>
    <r>
      <rPr>
        <sz val="10"/>
        <color rgb="FF000000"/>
        <rFont val="メイリオ"/>
        <charset val="134"/>
      </rPr>
      <t xml:space="preserve">Request được gửi.
</t>
    </r>
    <r>
      <rPr>
        <b/>
        <sz val="10"/>
        <color rgb="FF000000"/>
        <rFont val="メイリオ"/>
        <charset val="134"/>
      </rPr>
      <t xml:space="preserve">ステップ2：
</t>
    </r>
    <r>
      <rPr>
        <sz val="10"/>
        <color rgb="FF000000"/>
        <rFont val="メイリオ"/>
        <charset val="134"/>
      </rPr>
      <t xml:space="preserve">Trả về HTTP 400 (error_code: VALIDATION_ERROR, message「入力値が不正です。詳細はerrorsフィールドを確認してください。」), và field - message của từng mục thiếu được trả về ở dạng mảng trong field errors.
</t>
    </r>
    <r>
      <rPr>
        <b/>
        <sz val="10"/>
        <color rgb="FF000000"/>
        <rFont val="メイリオ"/>
        <charset val="134"/>
      </rPr>
      <t xml:space="preserve">補足：
</t>
    </r>
    <r>
      <rPr>
        <sz val="10"/>
        <color rgb="FF000000"/>
        <rFont val="メイリオ"/>
        <charset val="134"/>
      </rPr>
      <t>・Thay thế không được thực thi.</t>
    </r>
  </si>
  <si>
    <t>ACSMS-TC-015-043</t>
  </si>
  <si>
    <t>Khi vượt rate limit thì phát sinh lỗi</t>
  </si>
  <si>
    <r>
      <rPr>
        <b/>
        <sz val="10"/>
        <color rgb="FF000000"/>
        <rFont val="メイリオ"/>
        <charset val="134"/>
      </rPr>
      <t xml:space="preserve">ステップ1：
</t>
    </r>
    <r>
      <rPr>
        <sz val="10"/>
        <color rgb="FF000000"/>
        <rFont val="メイリオ"/>
        <charset val="134"/>
      </rPr>
      <t xml:space="preserve">Thực thi liên tục「検索」hoặc「置換処理実行」với số lần vượt giới hạn trên trong thời gian ngắn.
</t>
    </r>
    <r>
      <rPr>
        <b/>
        <sz val="10"/>
        <color rgb="FF000000"/>
        <rFont val="メイリオ"/>
        <charset val="134"/>
      </rPr>
      <t xml:space="preserve">ステップ2：
</t>
    </r>
    <r>
      <rPr>
        <sz val="10"/>
        <color rgb="FF000000"/>
        <rFont val="メイリオ"/>
        <charset val="134"/>
      </rPr>
      <t>Kiểm tra phản hồi từ server.</t>
    </r>
  </si>
  <si>
    <r>
      <rPr>
        <b/>
        <sz val="10"/>
        <color rgb="FF000000"/>
        <rFont val="メイリオ"/>
        <charset val="134"/>
      </rPr>
      <t xml:space="preserve">ステップ1：
</t>
    </r>
    <r>
      <rPr>
        <sz val="10"/>
        <color rgb="FF000000"/>
        <rFont val="メイリオ"/>
        <charset val="134"/>
      </rPr>
      <t xml:space="preserve">API được gọi liên tục.
</t>
    </r>
    <r>
      <rPr>
        <b/>
        <sz val="10"/>
        <color rgb="FF000000"/>
        <rFont val="メイリオ"/>
        <charset val="134"/>
      </rPr>
      <t xml:space="preserve">ステップ2：
</t>
    </r>
    <r>
      <rPr>
        <sz val="10"/>
        <color rgb="FF000000"/>
        <rFont val="メイリオ"/>
        <charset val="134"/>
      </rPr>
      <t xml:space="preserve">Trả về HTTP 429 (error_code: TOO_MANY_REQUESTS, message「リクエスト回数が上限を超えました。しばらくしてから再度お試しください。」).
</t>
    </r>
    <r>
      <rPr>
        <b/>
        <sz val="10"/>
        <color rgb="FF000000"/>
        <rFont val="メイリオ"/>
        <charset val="134"/>
      </rPr>
      <t xml:space="preserve">補足：
</t>
    </r>
    <r>
      <rPr>
        <sz val="10"/>
        <color rgb="FF000000"/>
        <rFont val="メイリオ"/>
        <charset val="134"/>
      </rPr>
      <t>・Việc vượt rate limit được thông báo bằng toast.</t>
    </r>
  </si>
  <si>
    <t>ACSMS-TC-015-044</t>
  </si>
  <si>
    <t>Khi lỗi nội bộ server thì hiển thị error message</t>
  </si>
  <si>
    <t>・role: CHUOKAI
・Đã login + đã xác thực MFA
・Có thể tái hiện tình huống phía server phát sinh lỗi nội bộ</t>
  </si>
  <si>
    <r>
      <rPr>
        <b/>
        <sz val="10"/>
        <color rgb="FF000000"/>
        <rFont val="メイリオ"/>
        <charset val="134"/>
      </rPr>
      <t xml:space="preserve">ステップ1：
</t>
    </r>
    <r>
      <rPr>
        <sz val="10"/>
        <color rgb="FF000000"/>
        <rFont val="メイリオ"/>
        <charset val="134"/>
      </rPr>
      <t xml:space="preserve">Thực thi「検索」hoặc「置換処理実行」trong tình huống phía server phát sinh lỗi nội bộ.
</t>
    </r>
    <r>
      <rPr>
        <b/>
        <sz val="10"/>
        <color rgb="FF000000"/>
        <rFont val="メイリオ"/>
        <charset val="134"/>
      </rPr>
      <t xml:space="preserve">ステップ2：
</t>
    </r>
    <r>
      <rPr>
        <sz val="10"/>
        <color rgb="FF000000"/>
        <rFont val="メイリオ"/>
        <charset val="134"/>
      </rPr>
      <t>Kiểm tra phản hồi từ server.</t>
    </r>
  </si>
  <si>
    <r>
      <rPr>
        <b/>
        <sz val="10"/>
        <color rgb="FF000000"/>
        <rFont val="メイリオ"/>
        <charset val="134"/>
      </rPr>
      <t xml:space="preserve">ステップ1：
</t>
    </r>
    <r>
      <rPr>
        <sz val="10"/>
        <color rgb="FF000000"/>
        <rFont val="メイリオ"/>
        <charset val="134"/>
      </rPr>
      <t xml:space="preserve">API được gọi.
</t>
    </r>
    <r>
      <rPr>
        <b/>
        <sz val="10"/>
        <color rgb="FF000000"/>
        <rFont val="メイリオ"/>
        <charset val="134"/>
      </rPr>
      <t xml:space="preserve">ステップ2：
</t>
    </r>
    <r>
      <rPr>
        <sz val="10"/>
        <color rgb="FF000000"/>
        <rFont val="メイリオ"/>
        <charset val="134"/>
      </rPr>
      <t xml:space="preserve">Trả về HTTP 500 (error_code: INTERNAL_SERVER_ERROR), và hiển thị「システムエラーが発生しました。しばらくしてから再度お試しください。」(ACSMS-MSG-015-003).
</t>
    </r>
    <r>
      <rPr>
        <b/>
        <sz val="10"/>
        <color rgb="FF000000"/>
        <rFont val="メイリオ"/>
        <charset val="134"/>
      </rPr>
      <t xml:space="preserve">補足：
</t>
    </r>
    <r>
      <rPr>
        <sz val="10"/>
        <color rgb="FF000000"/>
        <rFont val="メイリオ"/>
        <charset val="134"/>
      </rPr>
      <t>・Chi tiết lỗi nội bộ hay stack trace không hiển thị ở phía frontend.</t>
    </r>
  </si>
  <si>
    <t>ACSMS-TC-015-045</t>
  </si>
  <si>
    <t>Khi nhắm độc giả đã xóa làm đối tượng thì phát sinh lỗi</t>
  </si>
  <si>
    <t>・role: JA_HONTEN
・Đã login + đã xác thực MFA
・Tồn tại độc giả đã xóa logic có `deleted_at` không phải NULL</t>
  </si>
  <si>
    <r>
      <rPr>
        <b/>
        <sz val="10"/>
        <color rgb="FF000000"/>
        <rFont val="メイリオ"/>
        <charset val="134"/>
      </rPr>
      <t xml:space="preserve">ステップ1：
</t>
    </r>
    <r>
      <rPr>
        <sz val="10"/>
        <color rgb="FF000000"/>
        <rFont val="メイリオ"/>
        <charset val="134"/>
      </rPr>
      <t xml:space="preserve">Gọi API thay thế kèm ID độc giả đã bị xóa logic bằng thao tác khác, trong số các ID độc giả lấy được sau khi search.
</t>
    </r>
    <r>
      <rPr>
        <b/>
        <sz val="10"/>
        <color rgb="FF000000"/>
        <rFont val="メイリオ"/>
        <charset val="134"/>
      </rPr>
      <t xml:space="preserve">ステップ2：
</t>
    </r>
    <r>
      <rPr>
        <sz val="10"/>
        <color rgb="FF000000"/>
        <rFont val="メイリオ"/>
        <charset val="134"/>
      </rPr>
      <t>Kiểm tra phản hồi từ server.</t>
    </r>
  </si>
  <si>
    <r>
      <rPr>
        <b/>
        <sz val="10"/>
        <color rgb="FF000000"/>
        <rFont val="メイリオ"/>
        <charset val="134"/>
      </rPr>
      <t xml:space="preserve">ステップ1：
</t>
    </r>
    <r>
      <rPr>
        <sz val="10"/>
        <color rgb="FF000000"/>
        <rFont val="メイリオ"/>
        <charset val="134"/>
      </rPr>
      <t xml:space="preserve">Request được gửi.
</t>
    </r>
    <r>
      <rPr>
        <b/>
        <sz val="10"/>
        <color rgb="FF000000"/>
        <rFont val="メイリオ"/>
        <charset val="134"/>
      </rPr>
      <t xml:space="preserve">ステップ2：
</t>
    </r>
    <r>
      <rPr>
        <sz val="10"/>
        <color rgb="FF000000"/>
        <rFont val="メイリオ"/>
        <charset val="134"/>
      </rPr>
      <t xml:space="preserve">Trả về HTTP 404 (error_code: NOT_FOUND, message「指定された購読者が見つかりません。」).
</t>
    </r>
    <r>
      <rPr>
        <b/>
        <sz val="10"/>
        <color rgb="FF000000"/>
        <rFont val="メイリオ"/>
        <charset val="134"/>
      </rPr>
      <t xml:space="preserve">補足：
</t>
    </r>
    <r>
      <rPr>
        <sz val="10"/>
        <color rgb="FF000000"/>
        <rFont val="メイリオ"/>
        <charset val="134"/>
      </rPr>
      <t>・Thay thế đối với dữ liệu đã xóa không được thực thi, và toàn bộ được rollback.</t>
    </r>
  </si>
  <si>
    <t>ACSMS-TC-015-046</t>
  </si>
  <si>
    <t>Khi mất kết nối mạng thì hiển thị toast</t>
  </si>
  <si>
    <t>・role: CHUOKAI
・Đã login + đã xác thực MFA
・Có thể đặt Network của DevTools sang offline</t>
  </si>
  <si>
    <r>
      <rPr>
        <b/>
        <sz val="10"/>
        <color rgb="FF000000"/>
        <rFont val="メイリオ"/>
        <charset val="134"/>
      </rPr>
      <t xml:space="preserve">ステップ1：
</t>
    </r>
    <r>
      <rPr>
        <sz val="10"/>
        <color rgb="FF000000"/>
        <rFont val="メイリオ"/>
        <charset val="134"/>
      </rPr>
      <t xml:space="preserve">Đặt Network của DevTools sang offline.
</t>
    </r>
    <r>
      <rPr>
        <b/>
        <sz val="10"/>
        <color rgb="FF000000"/>
        <rFont val="メイリオ"/>
        <charset val="134"/>
      </rPr>
      <t xml:space="preserve">ステップ2：
</t>
    </r>
    <r>
      <rPr>
        <sz val="10"/>
        <color rgb="FF000000"/>
        <rFont val="メイリオ"/>
        <charset val="134"/>
      </rPr>
      <t>Thực thi「検索」hoặc「置換処理実行」.</t>
    </r>
  </si>
  <si>
    <r>
      <rPr>
        <b/>
        <sz val="10"/>
        <color rgb="FF000000"/>
        <rFont val="メイリオ"/>
        <charset val="134"/>
      </rPr>
      <t xml:space="preserve">ステップ1：
</t>
    </r>
    <r>
      <rPr>
        <sz val="10"/>
        <color rgb="FF000000"/>
        <rFont val="メイリオ"/>
        <charset val="134"/>
      </rPr>
      <t xml:space="preserve">Mạng chuyển sang trạng thái mất kết nối.
</t>
    </r>
    <r>
      <rPr>
        <b/>
        <sz val="10"/>
        <color rgb="FF000000"/>
        <rFont val="メイリオ"/>
        <charset val="134"/>
      </rPr>
      <t xml:space="preserve">ステップ2：
</t>
    </r>
    <r>
      <rPr>
        <sz val="10"/>
        <color rgb="FF000000"/>
        <rFont val="メイリオ"/>
        <charset val="134"/>
      </rPr>
      <t xml:space="preserve">Lỗi giao tiếp được bắt ở phía frontend, và toast lỗi mạng được hiển thị.
</t>
    </r>
    <r>
      <rPr>
        <b/>
        <sz val="10"/>
        <color rgb="FF000000"/>
        <rFont val="メイリオ"/>
        <charset val="134"/>
      </rPr>
      <t xml:space="preserve">補足：
</t>
    </r>
    <r>
      <rPr>
        <sz val="10"/>
        <color rgb="FF000000"/>
        <rFont val="メイリオ"/>
        <charset val="134"/>
      </rPr>
      <t>・Sau khi giao tiếp khôi phục thì có thể thao tác lại.</t>
    </r>
  </si>
  <si>
    <t>Logic nghiệp vụ — Đánh giá as-of・Điều kiện cửa hàng đích (Function — As-of / Destination)</t>
  </si>
  <si>
    <t>ACSMS-TC-015-047</t>
  </si>
  <si>
    <t>Chỉ những người đọc có thể thay thế tại thời điểm ngày áp dụng mới hiển thị trong kết quả tìm kiếm</t>
  </si>
  <si>
    <t>・role: CHUOKAI
・Đã đăng nhập + đã xác thực MFA
・Người đọc A: ngày bắt đầu đọc báo=2026-05-01, ngày dự kiến hủy=không có
・Người đọc B: ngày bắt đầu đọc báo=2026-05-01, ngày dự kiến hủy=2026-08-01
・Người đọc C: ngày bắt đầu đọc báo=2026-10-01 (bắt đầu ở tương lai), ngày dự kiến hủy=không có</t>
  </si>
  <si>
    <t>ACSMS-TC-015-048</t>
  </si>
  <si>
    <t>Khi chọn bản điện tử ở loại đăng ký thì hiển thị thông báo ngoài phạm vi và không tìm kiếm được</t>
  </si>
  <si>
    <t>・role: JA_HONTEN
・Đã đăng nhập + đã xác thực MFA
・Radio loại đăng ký hiển thị "紙版" (bản giấy) và "電子版" (bản điện tử) (không hiển thị 併読 - kết hợp)</t>
  </si>
  <si>
    <t>ACSMS-TC-015-049</t>
  </si>
  <si>
    <t>Cửa hàng giao báo đích là điều kiện tìm kiếm (bắt buộc) và loại trừ người đọc đang được cửa hàng đích giao</t>
  </si>
  <si>
    <t>・role: JA_HONTEN (có quyền `dokusya.replace_hanbaiten`)
・Tồn tại người đọc loại đăng ký=bản giấy・đang đọc báo như sau (ngày áp dụng là 2030/09/01)
・(a) 3 người có cửa hàng giao báo của lịch sử hiệu lực tại ngày áp dụng = cửa hàng A (nguồn thay thế)
・(b) 2 người có cửa hàng giao báo của lịch sử hiệu lực tại ngày áp dụng = cửa hàng B (đích thay thế)
・(c) 2 người có cửa hàng giao báo của lịch sử hiệu lực tại ngày áp dụng = cửa hàng C (không phải A cũng không phải B)</t>
  </si>
  <si>
    <t>ACSMS-TC-015-050</t>
  </si>
  <si>
    <t>Cửa hàng giao báo (nguồn thay thế) là tùy chọn, khi không chỉ định thì đối tượng là toàn bộ cửa hàng trừ cửa hàng đích</t>
  </si>
  <si>
    <t>・role: JA_HONTEN (có quyền `dokusya.replace_hanbaiten`)
・Dữ liệu giống ACSMS-TC-015-049 (cửa hàng A 3 bản ghi・cửa hàng B 2 bản ghi・cửa hàng C 2 bản ghi)</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</si>
</sst>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d/mm/yyyy"/>
    <numFmt numFmtId="179" formatCode="0.0%"/>
  </numFmts>
  <fonts count="34">
    <font>
      <sz val="11"/>
      <color theme="1"/>
      <name val="Calibri"/>
      <charset val="134"/>
      <scheme val="minor"/>
    </font>
    <font>
      <b/>
      <sz val="11"/>
      <color rgb="FF000000"/>
      <name val="游ゴシック"/>
      <charset val="134"/>
    </font>
    <font>
      <sz val="11"/>
      <name val="Calibri"/>
      <charset val="134"/>
      <scheme val="minor"/>
    </font>
    <font>
      <sz val="11"/>
      <color rgb="FF000000"/>
      <name val="游ゴシック"/>
      <charset val="134"/>
    </font>
    <font>
      <sz val="11"/>
      <color theme="1"/>
      <name val="Arial"/>
      <charset val="134"/>
    </font>
    <font>
      <i/>
      <sz val="11"/>
      <color rgb="FF000000"/>
      <name val="游ゴシック"/>
      <charset val="134"/>
    </font>
    <font>
      <b/>
      <sz val="14"/>
      <color rgb="FF000000"/>
      <name val="游ゴシック"/>
      <charset val="134"/>
    </font>
    <font>
      <sz val="11"/>
      <color theme="1"/>
      <name val="Calibri"/>
      <charset val="134"/>
    </font>
    <font>
      <sz val="26"/>
      <color rgb="FF1F3864"/>
      <name val="游ゴシック"/>
      <charset val="134"/>
    </font>
    <font>
      <sz val="24"/>
      <color rgb="FF1F3864"/>
      <name val="游ゴシック"/>
      <charset val="134"/>
    </font>
    <font>
      <sz val="15"/>
      <color theme="1"/>
      <name val="游ゴシック"/>
      <charset val="134"/>
    </font>
    <font>
      <sz val="10"/>
      <color rgb="FF000000"/>
      <name val="游ゴシック"/>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0"/>
      <color rgb="FF000000"/>
      <name val="メイリオ"/>
      <charset val="134"/>
    </font>
    <font>
      <sz val="10"/>
      <color rgb="FF000000"/>
      <name val="メイリオ"/>
      <charset val="134"/>
    </font>
    <font>
      <b/>
      <sz val="10"/>
      <color rgb="FF000000"/>
      <name val="游ゴシック"/>
      <charset val="134"/>
    </font>
  </fonts>
  <fills count="41">
    <fill>
      <patternFill patternType="none"/>
    </fill>
    <fill>
      <patternFill patternType="gray125"/>
    </fill>
    <fill>
      <patternFill patternType="solid">
        <fgColor rgb="FFDEEAF6"/>
        <bgColor rgb="FFDEEAF6"/>
      </patternFill>
    </fill>
    <fill>
      <patternFill patternType="solid">
        <fgColor rgb="FFBDD6EE"/>
        <bgColor rgb="FFBDD6EE"/>
      </patternFill>
    </fill>
    <fill>
      <patternFill patternType="solid">
        <fgColor rgb="FFB4C6E7"/>
        <bgColor rgb="FFB4C6E7"/>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FFFF99"/>
        <bgColor rgb="FFFFFF99"/>
      </patternFill>
    </fill>
    <fill>
      <patternFill patternType="solid">
        <fgColor rgb="FFD9E2F3"/>
        <bgColor rgb="FFD9E2F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10" borderId="15"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6" applyNumberFormat="0" applyFill="0" applyAlignment="0" applyProtection="0">
      <alignment vertical="center"/>
    </xf>
    <xf numFmtId="0" fontId="18" fillId="0" borderId="16" applyNumberFormat="0" applyFill="0" applyAlignment="0" applyProtection="0">
      <alignment vertical="center"/>
    </xf>
    <xf numFmtId="0" fontId="19" fillId="0" borderId="17" applyNumberFormat="0" applyFill="0" applyAlignment="0" applyProtection="0">
      <alignment vertical="center"/>
    </xf>
    <xf numFmtId="0" fontId="19" fillId="0" borderId="0" applyNumberFormat="0" applyFill="0" applyBorder="0" applyAlignment="0" applyProtection="0">
      <alignment vertical="center"/>
    </xf>
    <xf numFmtId="0" fontId="20" fillId="11" borderId="18" applyNumberFormat="0" applyAlignment="0" applyProtection="0">
      <alignment vertical="center"/>
    </xf>
    <xf numFmtId="0" fontId="21" fillId="12" borderId="19" applyNumberFormat="0" applyAlignment="0" applyProtection="0">
      <alignment vertical="center"/>
    </xf>
    <xf numFmtId="0" fontId="22" fillId="12" borderId="18" applyNumberFormat="0" applyAlignment="0" applyProtection="0">
      <alignment vertical="center"/>
    </xf>
    <xf numFmtId="0" fontId="23" fillId="13" borderId="20" applyNumberFormat="0" applyAlignment="0" applyProtection="0">
      <alignment vertical="center"/>
    </xf>
    <xf numFmtId="0" fontId="24" fillId="0" borderId="21" applyNumberFormat="0" applyFill="0" applyAlignment="0" applyProtection="0">
      <alignment vertical="center"/>
    </xf>
    <xf numFmtId="0" fontId="25" fillId="0" borderId="22" applyNumberFormat="0" applyFill="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29" fillId="36" borderId="0" applyNumberFormat="0" applyBorder="0" applyAlignment="0" applyProtection="0">
      <alignment vertical="center"/>
    </xf>
    <xf numFmtId="0" fontId="29" fillId="37" borderId="0" applyNumberFormat="0" applyBorder="0" applyAlignment="0" applyProtection="0">
      <alignment vertical="center"/>
    </xf>
    <xf numFmtId="0" fontId="30" fillId="38" borderId="0" applyNumberFormat="0" applyBorder="0" applyAlignment="0" applyProtection="0">
      <alignment vertical="center"/>
    </xf>
    <xf numFmtId="0" fontId="30" fillId="39" borderId="0" applyNumberFormat="0" applyBorder="0" applyAlignment="0" applyProtection="0">
      <alignment vertical="center"/>
    </xf>
    <xf numFmtId="0" fontId="29" fillId="40" borderId="0" applyNumberFormat="0" applyBorder="0" applyAlignment="0" applyProtection="0">
      <alignment vertical="center"/>
    </xf>
  </cellStyleXfs>
  <cellXfs count="59">
    <xf numFmtId="0" fontId="0" fillId="0" borderId="0" xfId="0" applyFont="1" applyAlignment="1"/>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3" fillId="0" borderId="1" xfId="0" applyFont="1" applyBorder="1" applyAlignment="1">
      <alignment horizontal="left"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0" fontId="1" fillId="3" borderId="1" xfId="0" applyFont="1" applyFill="1" applyBorder="1" applyAlignment="1">
      <alignment horizontal="left" vertical="center" wrapText="1"/>
    </xf>
    <xf numFmtId="0" fontId="3" fillId="0" borderId="12" xfId="0" applyFont="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4" fillId="0" borderId="1" xfId="0" applyFont="1" applyBorder="1" applyAlignment="1">
      <alignment horizontal="center" vertical="top" wrapText="1"/>
    </xf>
    <xf numFmtId="178" fontId="4" fillId="0" borderId="1" xfId="0" applyNumberFormat="1" applyFont="1" applyBorder="1" applyAlignment="1">
      <alignment horizontal="center" vertical="top" wrapText="1"/>
    </xf>
    <xf numFmtId="0" fontId="1" fillId="4" borderId="1" xfId="0" applyFont="1" applyFill="1" applyBorder="1" applyAlignment="1">
      <alignment horizontal="center" vertical="center" wrapText="1"/>
    </xf>
    <xf numFmtId="0" fontId="3" fillId="0" borderId="5" xfId="0" applyFont="1" applyBorder="1" applyAlignment="1">
      <alignment horizontal="center" vertical="center" wrapText="1"/>
    </xf>
    <xf numFmtId="49" fontId="3" fillId="0" borderId="5" xfId="0" applyNumberFormat="1" applyFont="1" applyBorder="1" applyAlignment="1">
      <alignment horizontal="center" vertical="center" wrapText="1"/>
    </xf>
    <xf numFmtId="0" fontId="1" fillId="0" borderId="0" xfId="0" applyFont="1" applyAlignment="1">
      <alignment horizontal="left" vertical="center" wrapText="1"/>
    </xf>
    <xf numFmtId="0" fontId="1" fillId="2" borderId="12" xfId="0" applyFont="1" applyFill="1" applyBorder="1" applyAlignment="1">
      <alignment horizontal="center" vertical="center" wrapText="1"/>
    </xf>
    <xf numFmtId="0" fontId="1" fillId="5" borderId="1" xfId="0" applyFont="1" applyFill="1" applyBorder="1" applyAlignment="1">
      <alignment horizontal="center" vertical="top" wrapText="1"/>
    </xf>
    <xf numFmtId="0" fontId="1" fillId="6" borderId="1" xfId="0" applyFont="1" applyFill="1" applyBorder="1" applyAlignment="1">
      <alignment horizontal="center" vertical="top" wrapText="1"/>
    </xf>
    <xf numFmtId="0" fontId="1" fillId="7" borderId="1" xfId="0" applyFont="1" applyFill="1" applyBorder="1" applyAlignment="1">
      <alignment horizontal="center" vertical="top" wrapText="1"/>
    </xf>
    <xf numFmtId="0" fontId="1" fillId="3" borderId="1" xfId="0" applyFont="1" applyFill="1" applyBorder="1" applyAlignment="1">
      <alignment horizontal="right" vertical="center" wrapText="1"/>
    </xf>
    <xf numFmtId="0" fontId="1" fillId="3" borderId="1" xfId="0" applyFont="1" applyFill="1" applyBorder="1" applyAlignment="1">
      <alignment horizontal="center" vertical="center" wrapText="1"/>
    </xf>
    <xf numFmtId="0" fontId="1" fillId="0" borderId="1" xfId="0" applyFont="1" applyBorder="1" applyAlignment="1">
      <alignment horizontal="center" vertical="top" wrapText="1"/>
    </xf>
    <xf numFmtId="0" fontId="5" fillId="0" borderId="1" xfId="0" applyFont="1" applyBorder="1" applyAlignment="1">
      <alignment horizontal="left" vertical="top" wrapText="1"/>
    </xf>
    <xf numFmtId="0" fontId="6" fillId="4" borderId="1"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2" borderId="12" xfId="0" applyFont="1" applyFill="1" applyBorder="1" applyAlignment="1">
      <alignment horizontal="left" vertical="center" wrapText="1"/>
    </xf>
    <xf numFmtId="0" fontId="3" fillId="0" borderId="12" xfId="0" applyFont="1" applyBorder="1" applyAlignment="1">
      <alignment horizontal="center" vertical="center" wrapText="1"/>
    </xf>
    <xf numFmtId="179" fontId="3" fillId="0" borderId="1" xfId="0" applyNumberFormat="1" applyFont="1" applyBorder="1" applyAlignment="1">
      <alignment horizontal="center" vertical="center" wrapText="1"/>
    </xf>
    <xf numFmtId="179" fontId="1" fillId="0" borderId="1" xfId="0" applyNumberFormat="1" applyFont="1" applyBorder="1" applyAlignment="1">
      <alignment horizontal="center" vertical="center" wrapText="1"/>
    </xf>
    <xf numFmtId="0" fontId="3" fillId="0" borderId="0" xfId="0" applyFont="1" applyAlignment="1">
      <alignment horizontal="left" vertical="center" wrapText="1"/>
    </xf>
    <xf numFmtId="0" fontId="1" fillId="8" borderId="0" xfId="0" applyFont="1" applyFill="1" applyBorder="1" applyAlignment="1">
      <alignment horizontal="left" vertical="center" wrapText="1"/>
    </xf>
    <xf numFmtId="0" fontId="2" fillId="0" borderId="0" xfId="0" applyFont="1" applyBorder="1"/>
    <xf numFmtId="0" fontId="1" fillId="4" borderId="12" xfId="0" applyFont="1" applyFill="1" applyBorder="1" applyAlignment="1">
      <alignment horizontal="center" vertical="center" wrapText="1"/>
    </xf>
    <xf numFmtId="0" fontId="7" fillId="0" borderId="5" xfId="0" applyFont="1" applyBorder="1"/>
    <xf numFmtId="0" fontId="7" fillId="0" borderId="6" xfId="0" applyFont="1" applyBorder="1"/>
    <xf numFmtId="0" fontId="7" fillId="0" borderId="7" xfId="0" applyFont="1" applyBorder="1"/>
    <xf numFmtId="0" fontId="7" fillId="0" borderId="13" xfId="0" applyFont="1" applyBorder="1"/>
    <xf numFmtId="0" fontId="7" fillId="0" borderId="14" xfId="0" applyFont="1" applyBorder="1"/>
    <xf numFmtId="0" fontId="8" fillId="0" borderId="13" xfId="0" applyFont="1" applyBorder="1" applyAlignment="1">
      <alignment horizontal="center" vertical="center" wrapText="1"/>
    </xf>
    <xf numFmtId="0" fontId="2" fillId="0" borderId="14" xfId="0" applyFont="1" applyBorder="1"/>
    <xf numFmtId="0" fontId="9" fillId="0" borderId="13" xfId="0" applyFont="1" applyBorder="1" applyAlignment="1">
      <alignment horizontal="center" vertical="center" wrapText="1"/>
    </xf>
    <xf numFmtId="0" fontId="10" fillId="0" borderId="13" xfId="0" applyFont="1" applyBorder="1" applyAlignment="1">
      <alignment horizontal="center" vertical="center" wrapText="1"/>
    </xf>
    <xf numFmtId="0" fontId="11" fillId="9" borderId="1" xfId="0" applyFont="1" applyFill="1" applyBorder="1" applyAlignment="1">
      <alignment horizontal="center" vertical="center" wrapText="1"/>
    </xf>
    <xf numFmtId="49" fontId="11" fillId="9" borderId="1" xfId="0" applyNumberFormat="1" applyFont="1" applyFill="1" applyBorder="1" applyAlignment="1">
      <alignment horizontal="center" vertical="center" wrapText="1"/>
    </xf>
    <xf numFmtId="0" fontId="7" fillId="0" borderId="9" xfId="0" applyFont="1" applyBorder="1"/>
    <xf numFmtId="0" fontId="7" fillId="0" borderId="10" xfId="0" applyFont="1" applyBorder="1"/>
    <xf numFmtId="0" fontId="7" fillId="0" borderId="11" xfId="0" applyFont="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15</xdr:col>
      <xdr:colOff>0</xdr:colOff>
      <xdr:row>2</xdr:row>
      <xdr:rowOff>0</xdr:rowOff>
    </xdr:from>
    <xdr:ext cx="1333500" cy="514350"/>
    <xdr:pic>
      <xdr:nvPicPr>
        <xdr:cNvPr id="2" name="image1.png" descr="Picture"/>
        <xdr:cNvPicPr preferRelativeResize="0"/>
      </xdr:nvPicPr>
      <xdr:blipFill>
        <a:blip r:embed="rId1" cstate="print"/>
        <a:stretch>
          <a:fillRect/>
        </a:stretch>
      </xdr:blipFill>
      <xdr:spPr>
        <a:xfrm>
          <a:off x="3314700" y="409575"/>
          <a:ext cx="1333500" cy="5143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K1000"/>
  <sheetViews>
    <sheetView showGridLines="0" workbookViewId="0">
      <selection activeCell="A1" sqref="A1"/>
    </sheetView>
  </sheetViews>
  <sheetFormatPr defaultColWidth="14.4285714285714" defaultRowHeight="15" customHeight="1"/>
  <cols>
    <col min="1" max="1" width="3.71428571428571" customWidth="1"/>
    <col min="2" max="37" width="3.28571428571429" customWidth="1"/>
  </cols>
  <sheetData>
    <row r="1" ht="19.5" customHeight="1"/>
    <row r="2" ht="12.75" customHeight="1" spans="2:37">
      <c r="B2" s="45"/>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7"/>
    </row>
    <row r="3" ht="12.75" customHeight="1" spans="2:37">
      <c r="B3" s="48"/>
      <c r="AK3" s="49"/>
    </row>
    <row r="4" ht="12.75" customHeight="1" spans="2:37">
      <c r="B4" s="48"/>
      <c r="AK4" s="49"/>
    </row>
    <row r="5" ht="12.75" customHeight="1" spans="2:37">
      <c r="B5" s="48"/>
      <c r="AK5" s="49"/>
    </row>
    <row r="6" ht="12.75" customHeight="1" spans="2:37">
      <c r="B6" s="48"/>
      <c r="AK6" s="49"/>
    </row>
    <row r="7" ht="12.75" customHeight="1" spans="2:37">
      <c r="B7" s="48"/>
      <c r="AK7" s="49"/>
    </row>
    <row r="8" ht="12.75" customHeight="1" spans="2:37">
      <c r="B8" s="48"/>
      <c r="AK8" s="49"/>
    </row>
    <row r="9" ht="12.75" customHeight="1" spans="2:37">
      <c r="B9" s="48"/>
      <c r="AK9" s="49"/>
    </row>
    <row r="10" ht="29.25" customHeight="1" spans="2:37">
      <c r="B10" s="50" t="s">
        <v>0</v>
      </c>
      <c r="AK10" s="51"/>
    </row>
    <row r="11" ht="12.75" customHeight="1" spans="2:37">
      <c r="B11" s="48"/>
      <c r="AK11" s="49"/>
    </row>
    <row r="12" ht="39" customHeight="1" spans="2:37">
      <c r="B12" s="52" t="s">
        <v>1</v>
      </c>
      <c r="AK12" s="51"/>
    </row>
    <row r="13" ht="12.75" customHeight="1" spans="2:37">
      <c r="B13" s="48"/>
      <c r="AK13" s="49"/>
    </row>
    <row r="14" ht="12.75" customHeight="1" spans="2:37">
      <c r="B14" s="48"/>
      <c r="AK14" s="49"/>
    </row>
    <row r="15" ht="12.75" customHeight="1" spans="2:37">
      <c r="B15" s="53" t="s">
        <v>2</v>
      </c>
      <c r="AK15" s="51"/>
    </row>
    <row r="16" ht="12.75" customHeight="1" spans="2:37">
      <c r="B16" s="48"/>
      <c r="AK16" s="49"/>
    </row>
    <row r="17" ht="12.75" customHeight="1" spans="2:37">
      <c r="B17" s="48"/>
      <c r="AK17" s="49"/>
    </row>
    <row r="18" ht="12.75" customHeight="1" spans="2:37">
      <c r="B18" s="48"/>
      <c r="N18" s="54" t="s">
        <v>3</v>
      </c>
      <c r="O18" s="2"/>
      <c r="P18" s="2"/>
      <c r="Q18" s="2"/>
      <c r="R18" s="3"/>
      <c r="S18" s="54" t="s">
        <v>4</v>
      </c>
      <c r="T18" s="2"/>
      <c r="U18" s="2"/>
      <c r="V18" s="2"/>
      <c r="W18" s="3"/>
      <c r="AK18" s="49"/>
    </row>
    <row r="19" ht="12.75" customHeight="1" spans="2:37">
      <c r="B19" s="48"/>
      <c r="N19" s="54" t="s">
        <v>5</v>
      </c>
      <c r="O19" s="2"/>
      <c r="P19" s="2"/>
      <c r="Q19" s="2"/>
      <c r="R19" s="3"/>
      <c r="S19" s="54" t="s">
        <v>6</v>
      </c>
      <c r="T19" s="2"/>
      <c r="U19" s="2"/>
      <c r="V19" s="2"/>
      <c r="W19" s="3"/>
      <c r="AK19" s="49"/>
    </row>
    <row r="20" ht="12.75" customHeight="1" spans="2:37">
      <c r="B20" s="48"/>
      <c r="N20" s="54" t="s">
        <v>7</v>
      </c>
      <c r="O20" s="2"/>
      <c r="P20" s="2"/>
      <c r="Q20" s="2"/>
      <c r="R20" s="3"/>
      <c r="S20" s="55" t="s">
        <v>8</v>
      </c>
      <c r="T20" s="2"/>
      <c r="U20" s="2"/>
      <c r="V20" s="2"/>
      <c r="W20" s="3"/>
      <c r="AK20" s="49"/>
    </row>
    <row r="21" ht="12.75" customHeight="1" spans="2:37">
      <c r="B21" s="48"/>
      <c r="AK21" s="49"/>
    </row>
    <row r="22" ht="12.75" customHeight="1" spans="2:37">
      <c r="B22" s="48"/>
      <c r="AK22" s="49"/>
    </row>
    <row r="23" ht="12.75" customHeight="1" spans="2:37">
      <c r="B23" s="48"/>
      <c r="AK23" s="49"/>
    </row>
    <row r="24" ht="12.75" customHeight="1" spans="2:37">
      <c r="B24" s="48"/>
      <c r="AK24" s="49"/>
    </row>
    <row r="25" ht="12.75" customHeight="1" spans="2:37">
      <c r="B25" s="48"/>
      <c r="AK25" s="49"/>
    </row>
    <row r="26" ht="12.75" customHeight="1" spans="2:37">
      <c r="B26" s="48"/>
      <c r="AK26" s="49"/>
    </row>
    <row r="27" ht="12.75" customHeight="1" spans="2:37">
      <c r="B27" s="48"/>
      <c r="AK27" s="49"/>
    </row>
    <row r="28" ht="12.75" customHeight="1" spans="2:37">
      <c r="B28" s="48"/>
      <c r="AK28" s="49"/>
    </row>
    <row r="29" ht="12.75" customHeight="1" spans="2:37">
      <c r="B29" s="48"/>
      <c r="AK29" s="49"/>
    </row>
    <row r="30" ht="12.75" customHeight="1" spans="2:37">
      <c r="B30" s="48"/>
      <c r="AK30" s="49"/>
    </row>
    <row r="31" ht="12.75" customHeight="1" spans="2:37">
      <c r="B31" s="48"/>
      <c r="AK31" s="49"/>
    </row>
    <row r="32" ht="12.75" customHeight="1" spans="2:37">
      <c r="B32" s="48"/>
      <c r="AK32" s="49"/>
    </row>
    <row r="33" ht="12.75" customHeight="1" spans="2:37">
      <c r="B33" s="48"/>
      <c r="AK33" s="49"/>
    </row>
    <row r="34" ht="12.75" customHeight="1" spans="2:37">
      <c r="B34" s="56"/>
      <c r="C34" s="57"/>
      <c r="D34" s="57"/>
      <c r="E34" s="57"/>
      <c r="F34" s="57"/>
      <c r="G34" s="57"/>
      <c r="H34" s="57"/>
      <c r="I34" s="57"/>
      <c r="J34" s="57"/>
      <c r="K34" s="57"/>
      <c r="L34" s="57"/>
      <c r="M34" s="57"/>
      <c r="N34" s="57"/>
      <c r="O34" s="57"/>
      <c r="P34" s="57"/>
      <c r="Q34" s="57"/>
      <c r="R34" s="57"/>
      <c r="S34" s="57"/>
      <c r="T34" s="57"/>
      <c r="U34" s="57"/>
      <c r="V34" s="57"/>
      <c r="W34" s="57"/>
      <c r="X34" s="57"/>
      <c r="Y34" s="57"/>
      <c r="Z34" s="57"/>
      <c r="AA34" s="57"/>
      <c r="AB34" s="57"/>
      <c r="AC34" s="57"/>
      <c r="AD34" s="57"/>
      <c r="AE34" s="57"/>
      <c r="AF34" s="57"/>
      <c r="AG34" s="57"/>
      <c r="AH34" s="57"/>
      <c r="AI34" s="57"/>
      <c r="AJ34" s="57"/>
      <c r="AK34" s="58"/>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B10:AK10"/>
    <mergeCell ref="B12:AK12"/>
    <mergeCell ref="B15:AK15"/>
    <mergeCell ref="N18:R18"/>
    <mergeCell ref="S18:W18"/>
    <mergeCell ref="N19:R19"/>
    <mergeCell ref="S19:W19"/>
    <mergeCell ref="N20:R20"/>
    <mergeCell ref="S20:W20"/>
  </mergeCells>
  <pageMargins left="0.75" right="0.75" top="1" bottom="1" header="0" footer="0"/>
  <pageSetup paperSize="1"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000"/>
  <sheetViews>
    <sheetView showGridLines="0" workbookViewId="0">
      <selection activeCell="A1" sqref="A1"/>
    </sheetView>
  </sheetViews>
  <sheetFormatPr defaultColWidth="14.4285714285714" defaultRowHeight="15" customHeight="1"/>
  <cols>
    <col min="1" max="1" width="8" customWidth="1"/>
    <col min="2" max="34" width="3.28571428571429" customWidth="1"/>
  </cols>
  <sheetData>
    <row r="1" ht="22.5" customHeight="1" spans="1:34">
      <c r="A1" s="44" t="s">
        <v>9</v>
      </c>
      <c r="B1" s="22" t="s">
        <v>7</v>
      </c>
      <c r="C1" s="2"/>
      <c r="D1" s="2"/>
      <c r="E1" s="3"/>
      <c r="F1" s="22" t="s">
        <v>10</v>
      </c>
      <c r="G1" s="2"/>
      <c r="H1" s="3"/>
      <c r="I1" s="22" t="s">
        <v>11</v>
      </c>
      <c r="J1" s="2"/>
      <c r="K1" s="2"/>
      <c r="L1" s="2"/>
      <c r="M1" s="2"/>
      <c r="N1" s="3"/>
      <c r="O1" s="22" t="s">
        <v>12</v>
      </c>
      <c r="P1" s="2"/>
      <c r="Q1" s="2"/>
      <c r="R1" s="2"/>
      <c r="S1" s="2"/>
      <c r="T1" s="2"/>
      <c r="U1" s="2"/>
      <c r="V1" s="3"/>
      <c r="W1" s="22" t="s">
        <v>13</v>
      </c>
      <c r="X1" s="2"/>
      <c r="Y1" s="2"/>
      <c r="Z1" s="2"/>
      <c r="AA1" s="2"/>
      <c r="AB1" s="3"/>
      <c r="AC1" s="22" t="s">
        <v>14</v>
      </c>
      <c r="AD1" s="2"/>
      <c r="AE1" s="2"/>
      <c r="AF1" s="2"/>
      <c r="AG1" s="2"/>
      <c r="AH1" s="3"/>
    </row>
    <row r="2" ht="22.5" customHeight="1" spans="1:34">
      <c r="A2" s="38">
        <v>1</v>
      </c>
      <c r="B2" s="6" t="s">
        <v>15</v>
      </c>
      <c r="C2" s="2"/>
      <c r="D2" s="2"/>
      <c r="E2" s="3"/>
      <c r="F2" s="6" t="s">
        <v>6</v>
      </c>
      <c r="G2" s="2"/>
      <c r="H2" s="3"/>
      <c r="I2" s="6" t="s">
        <v>16</v>
      </c>
      <c r="J2" s="2"/>
      <c r="K2" s="2"/>
      <c r="L2" s="2"/>
      <c r="M2" s="2"/>
      <c r="N2" s="3"/>
      <c r="O2" s="4" t="s">
        <v>17</v>
      </c>
      <c r="P2" s="2"/>
      <c r="Q2" s="2"/>
      <c r="R2" s="2"/>
      <c r="S2" s="2"/>
      <c r="T2" s="2"/>
      <c r="U2" s="2"/>
      <c r="V2" s="3"/>
      <c r="W2" s="6" t="s">
        <v>18</v>
      </c>
      <c r="X2" s="2"/>
      <c r="Y2" s="2"/>
      <c r="Z2" s="2"/>
      <c r="AA2" s="2"/>
      <c r="AB2" s="3"/>
      <c r="AC2" s="6" t="s">
        <v>18</v>
      </c>
      <c r="AD2" s="2"/>
      <c r="AE2" s="2"/>
      <c r="AF2" s="2"/>
      <c r="AG2" s="2"/>
      <c r="AH2" s="3"/>
    </row>
    <row r="3" ht="22.5" customHeight="1" spans="1:34">
      <c r="A3" s="38">
        <v>2</v>
      </c>
      <c r="B3" s="6" t="s">
        <v>19</v>
      </c>
      <c r="C3" s="2"/>
      <c r="D3" s="2"/>
      <c r="E3" s="3"/>
      <c r="F3" s="6" t="s">
        <v>20</v>
      </c>
      <c r="G3" s="2"/>
      <c r="H3" s="3"/>
      <c r="I3" s="6" t="s">
        <v>21</v>
      </c>
      <c r="J3" s="2"/>
      <c r="K3" s="2"/>
      <c r="L3" s="2"/>
      <c r="M3" s="2"/>
      <c r="N3" s="3"/>
      <c r="O3" s="4" t="s">
        <v>22</v>
      </c>
      <c r="P3" s="2"/>
      <c r="Q3" s="2"/>
      <c r="R3" s="2"/>
      <c r="S3" s="2"/>
      <c r="T3" s="2"/>
      <c r="U3" s="2"/>
      <c r="V3" s="3"/>
      <c r="W3" s="6"/>
      <c r="X3" s="2"/>
      <c r="Y3" s="2"/>
      <c r="Z3" s="2"/>
      <c r="AA3" s="2"/>
      <c r="AB3" s="3"/>
      <c r="AC3" s="6"/>
      <c r="AD3" s="2"/>
      <c r="AE3" s="2"/>
      <c r="AF3" s="2"/>
      <c r="AG3" s="2"/>
      <c r="AH3"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B1:E1"/>
    <mergeCell ref="F1:H1"/>
    <mergeCell ref="I1:N1"/>
    <mergeCell ref="O1:V1"/>
    <mergeCell ref="W1:AB1"/>
    <mergeCell ref="AC1:AH1"/>
    <mergeCell ref="B2:E2"/>
    <mergeCell ref="F2:H2"/>
    <mergeCell ref="I2:N2"/>
    <mergeCell ref="O2:V2"/>
    <mergeCell ref="W2:AB2"/>
    <mergeCell ref="AC2:AH2"/>
    <mergeCell ref="B3:E3"/>
    <mergeCell ref="F3:H3"/>
    <mergeCell ref="I3:N3"/>
    <mergeCell ref="O3:V3"/>
    <mergeCell ref="W3:AB3"/>
    <mergeCell ref="AC3:AH3"/>
  </mergeCells>
  <pageMargins left="0.75" right="0.75" top="1" bottom="1"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0"/>
  <sheetViews>
    <sheetView showGridLines="0" workbookViewId="0">
      <selection activeCell="A1" sqref="A1:I1"/>
    </sheetView>
  </sheetViews>
  <sheetFormatPr defaultColWidth="14.4285714285714" defaultRowHeight="15" customHeight="1"/>
  <cols>
    <col min="1" max="37" width="4.28571428571429" customWidth="1"/>
  </cols>
  <sheetData>
    <row r="1" ht="19.5" customHeight="1" spans="1:37">
      <c r="A1" s="22" t="s">
        <v>23</v>
      </c>
      <c r="B1" s="2"/>
      <c r="C1" s="2"/>
      <c r="D1" s="2"/>
      <c r="E1" s="2"/>
      <c r="F1" s="2"/>
      <c r="G1" s="2"/>
      <c r="H1" s="2"/>
      <c r="I1" s="3"/>
      <c r="J1" s="22" t="s">
        <v>24</v>
      </c>
      <c r="K1" s="2"/>
      <c r="L1" s="2"/>
      <c r="M1" s="2"/>
      <c r="N1" s="2"/>
      <c r="O1" s="2"/>
      <c r="P1" s="3"/>
      <c r="Q1" s="22" t="s">
        <v>25</v>
      </c>
      <c r="R1" s="2"/>
      <c r="S1" s="2"/>
      <c r="T1" s="2"/>
      <c r="U1" s="3"/>
      <c r="V1" s="22" t="s">
        <v>26</v>
      </c>
      <c r="W1" s="2"/>
      <c r="X1" s="2"/>
      <c r="Y1" s="3"/>
      <c r="Z1" s="22" t="s">
        <v>27</v>
      </c>
      <c r="AA1" s="2"/>
      <c r="AB1" s="2"/>
      <c r="AC1" s="3"/>
      <c r="AD1" s="22" t="s">
        <v>28</v>
      </c>
      <c r="AE1" s="2"/>
      <c r="AF1" s="2"/>
      <c r="AG1" s="3"/>
      <c r="AH1" s="22" t="s">
        <v>29</v>
      </c>
      <c r="AI1" s="2"/>
      <c r="AJ1" s="2"/>
      <c r="AK1" s="3"/>
    </row>
    <row r="2" ht="19.5" customHeight="1" spans="1:37">
      <c r="A2" s="23" t="s">
        <v>0</v>
      </c>
      <c r="B2" s="10"/>
      <c r="C2" s="10"/>
      <c r="D2" s="10"/>
      <c r="E2" s="10"/>
      <c r="F2" s="10"/>
      <c r="G2" s="10"/>
      <c r="H2" s="10"/>
      <c r="I2" s="11"/>
      <c r="J2" s="23" t="s">
        <v>30</v>
      </c>
      <c r="K2" s="10"/>
      <c r="L2" s="10"/>
      <c r="M2" s="10"/>
      <c r="N2" s="10"/>
      <c r="O2" s="10"/>
      <c r="P2" s="11"/>
      <c r="Q2" s="23" t="s">
        <v>31</v>
      </c>
      <c r="R2" s="10"/>
      <c r="S2" s="10"/>
      <c r="T2" s="10"/>
      <c r="U2" s="11"/>
      <c r="V2" s="24" t="s">
        <v>8</v>
      </c>
      <c r="W2" s="10"/>
      <c r="X2" s="10"/>
      <c r="Y2" s="11"/>
      <c r="Z2" s="23" t="s">
        <v>16</v>
      </c>
      <c r="AA2" s="10"/>
      <c r="AB2" s="10"/>
      <c r="AC2" s="11"/>
      <c r="AD2" s="24" t="s">
        <v>8</v>
      </c>
      <c r="AE2" s="10"/>
      <c r="AF2" s="10"/>
      <c r="AG2" s="11"/>
      <c r="AH2" s="23" t="s">
        <v>16</v>
      </c>
      <c r="AI2" s="10"/>
      <c r="AJ2" s="10"/>
      <c r="AK2" s="11"/>
    </row>
    <row r="3" ht="19.5" customHeight="1" spans="1:37">
      <c r="A3" s="13"/>
      <c r="B3" s="14"/>
      <c r="C3" s="14"/>
      <c r="D3" s="14"/>
      <c r="E3" s="14"/>
      <c r="F3" s="14"/>
      <c r="G3" s="14"/>
      <c r="H3" s="14"/>
      <c r="I3" s="15"/>
      <c r="J3" s="13"/>
      <c r="K3" s="14"/>
      <c r="L3" s="14"/>
      <c r="M3" s="14"/>
      <c r="N3" s="14"/>
      <c r="O3" s="14"/>
      <c r="P3" s="15"/>
      <c r="Q3" s="13"/>
      <c r="R3" s="14"/>
      <c r="S3" s="14"/>
      <c r="T3" s="14"/>
      <c r="U3" s="15"/>
      <c r="V3" s="13"/>
      <c r="W3" s="14"/>
      <c r="X3" s="14"/>
      <c r="Y3" s="15"/>
      <c r="Z3" s="13"/>
      <c r="AA3" s="14"/>
      <c r="AB3" s="14"/>
      <c r="AC3" s="15"/>
      <c r="AD3" s="13"/>
      <c r="AE3" s="14"/>
      <c r="AF3" s="14"/>
      <c r="AG3" s="15"/>
      <c r="AH3" s="13"/>
      <c r="AI3" s="14"/>
      <c r="AJ3" s="14"/>
      <c r="AK3" s="15"/>
    </row>
    <row r="5" ht="19.5" customHeight="1" spans="1:37">
      <c r="B5" s="25" t="s">
        <v>32</v>
      </c>
    </row>
    <row r="6" ht="19.5" customHeight="1" spans="1:37">
      <c r="C6" s="41" t="s">
        <v>33</v>
      </c>
    </row>
    <row r="8" ht="19.5" customHeight="1" spans="1:37">
      <c r="B8" s="25" t="s">
        <v>34</v>
      </c>
    </row>
    <row r="9" ht="19.5" customHeight="1" spans="1:37">
      <c r="C9" s="42" t="s">
        <v>35</v>
      </c>
      <c r="D9" s="43"/>
      <c r="E9" s="43"/>
      <c r="F9" s="43"/>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row>
    <row r="10" ht="19.5" customHeight="1" spans="1:37">
      <c r="C10" s="42" t="s">
        <v>36</v>
      </c>
      <c r="D10" s="43"/>
      <c r="E10" s="43"/>
      <c r="F10" s="43"/>
      <c r="G10" s="43"/>
      <c r="H10" s="43"/>
      <c r="I10" s="43"/>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row>
    <row r="11" ht="19.5" customHeight="1" spans="1:37">
      <c r="C11" s="42" t="s">
        <v>37</v>
      </c>
      <c r="D11" s="43"/>
      <c r="E11" s="43"/>
      <c r="F11" s="43"/>
      <c r="G11" s="43"/>
      <c r="H11" s="43"/>
      <c r="I11" s="43"/>
      <c r="J11" s="43"/>
      <c r="K11" s="43"/>
      <c r="L11" s="43"/>
      <c r="M11" s="43"/>
      <c r="N11" s="43"/>
      <c r="O11" s="43"/>
      <c r="P11" s="43"/>
      <c r="Q11" s="43"/>
      <c r="R11" s="43"/>
      <c r="S11" s="43"/>
      <c r="T11" s="43"/>
      <c r="U11" s="43"/>
      <c r="V11" s="43"/>
      <c r="W11" s="43"/>
      <c r="X11" s="43"/>
      <c r="Y11" s="43"/>
      <c r="Z11" s="43"/>
      <c r="AA11" s="43"/>
      <c r="AB11" s="43"/>
      <c r="AC11" s="43"/>
      <c r="AD11" s="43"/>
      <c r="AE11" s="43"/>
      <c r="AF11" s="43"/>
      <c r="AG11" s="43"/>
      <c r="AH11" s="43"/>
      <c r="AI11" s="43"/>
      <c r="AJ11" s="43"/>
      <c r="AK11" s="43"/>
    </row>
    <row r="12" ht="19.5" customHeight="1" spans="1:37">
      <c r="C12" s="42" t="s">
        <v>38</v>
      </c>
      <c r="D12" s="43"/>
      <c r="E12" s="43"/>
      <c r="F12" s="43"/>
      <c r="G12" s="43"/>
      <c r="H12" s="43"/>
      <c r="I12" s="43"/>
      <c r="J12" s="43"/>
      <c r="K12" s="43"/>
      <c r="L12" s="43"/>
      <c r="M12" s="43"/>
      <c r="N12" s="43"/>
      <c r="O12" s="43"/>
      <c r="P12" s="43"/>
      <c r="Q12" s="43"/>
      <c r="R12" s="43"/>
      <c r="S12" s="43"/>
      <c r="T12" s="43"/>
      <c r="U12" s="43"/>
      <c r="V12" s="43"/>
      <c r="W12" s="43"/>
      <c r="X12" s="43"/>
      <c r="Y12" s="43"/>
      <c r="Z12" s="43"/>
      <c r="AA12" s="43"/>
      <c r="AB12" s="43"/>
      <c r="AC12" s="43"/>
      <c r="AD12" s="43"/>
      <c r="AE12" s="43"/>
      <c r="AF12" s="43"/>
      <c r="AG12" s="43"/>
      <c r="AH12" s="43"/>
      <c r="AI12" s="43"/>
      <c r="AJ12" s="43"/>
      <c r="AK12" s="43"/>
    </row>
    <row r="13" ht="19.5" customHeight="1" spans="1:37">
      <c r="C13" s="42" t="s">
        <v>39</v>
      </c>
      <c r="D13" s="43"/>
      <c r="E13" s="43"/>
      <c r="F13" s="43"/>
      <c r="G13" s="43"/>
      <c r="H13" s="43"/>
      <c r="I13" s="43"/>
      <c r="J13" s="43"/>
      <c r="K13" s="43"/>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row>
    <row r="15" ht="19.5" customHeight="1" spans="1:37">
      <c r="B15" s="25" t="s">
        <v>40</v>
      </c>
    </row>
    <row r="17" ht="22.5" customHeight="1" spans="3:33">
      <c r="C17" s="44" t="s">
        <v>41</v>
      </c>
      <c r="D17" s="22" t="s">
        <v>42</v>
      </c>
      <c r="E17" s="2"/>
      <c r="F17" s="2"/>
      <c r="G17" s="2"/>
      <c r="H17" s="2"/>
      <c r="I17" s="2"/>
      <c r="J17" s="2"/>
      <c r="K17" s="2"/>
      <c r="L17" s="2"/>
      <c r="M17" s="2"/>
      <c r="N17" s="3"/>
      <c r="O17" s="22" t="s">
        <v>43</v>
      </c>
      <c r="P17" s="2"/>
      <c r="Q17" s="2"/>
      <c r="R17" s="2"/>
      <c r="S17" s="2"/>
      <c r="T17" s="2"/>
      <c r="U17" s="2"/>
      <c r="V17" s="2"/>
      <c r="W17" s="2"/>
      <c r="X17" s="2"/>
      <c r="Y17" s="2"/>
      <c r="Z17" s="2"/>
      <c r="AA17" s="2"/>
      <c r="AB17" s="2"/>
      <c r="AC17" s="2"/>
      <c r="AD17" s="2"/>
      <c r="AE17" s="2"/>
      <c r="AF17" s="2"/>
      <c r="AG17" s="3"/>
    </row>
    <row r="18" ht="22.5" customHeight="1" spans="3:33">
      <c r="C18" s="38">
        <v>1</v>
      </c>
      <c r="D18" s="4" t="s">
        <v>44</v>
      </c>
      <c r="E18" s="2"/>
      <c r="F18" s="2"/>
      <c r="G18" s="2"/>
      <c r="H18" s="2"/>
      <c r="I18" s="2"/>
      <c r="J18" s="2"/>
      <c r="K18" s="2"/>
      <c r="L18" s="2"/>
      <c r="M18" s="2"/>
      <c r="N18" s="3"/>
      <c r="O18" s="4" t="s">
        <v>45</v>
      </c>
      <c r="P18" s="2"/>
      <c r="Q18" s="2"/>
      <c r="R18" s="2"/>
      <c r="S18" s="2"/>
      <c r="T18" s="2"/>
      <c r="U18" s="2"/>
      <c r="V18" s="2"/>
      <c r="W18" s="2"/>
      <c r="X18" s="2"/>
      <c r="Y18" s="2"/>
      <c r="Z18" s="2"/>
      <c r="AA18" s="2"/>
      <c r="AB18" s="2"/>
      <c r="AC18" s="2"/>
      <c r="AD18" s="2"/>
      <c r="AE18" s="2"/>
      <c r="AF18" s="2"/>
      <c r="AG18" s="3"/>
    </row>
    <row r="19" ht="22.5" customHeight="1" spans="3:33">
      <c r="C19" s="38">
        <v>2</v>
      </c>
      <c r="D19" s="4" t="s">
        <v>46</v>
      </c>
      <c r="E19" s="2"/>
      <c r="F19" s="2"/>
      <c r="G19" s="2"/>
      <c r="H19" s="2"/>
      <c r="I19" s="2"/>
      <c r="J19" s="2"/>
      <c r="K19" s="2"/>
      <c r="L19" s="2"/>
      <c r="M19" s="2"/>
      <c r="N19" s="3"/>
      <c r="O19" s="4" t="s">
        <v>47</v>
      </c>
      <c r="P19" s="2"/>
      <c r="Q19" s="2"/>
      <c r="R19" s="2"/>
      <c r="S19" s="2"/>
      <c r="T19" s="2"/>
      <c r="U19" s="2"/>
      <c r="V19" s="2"/>
      <c r="W19" s="2"/>
      <c r="X19" s="2"/>
      <c r="Y19" s="2"/>
      <c r="Z19" s="2"/>
      <c r="AA19" s="2"/>
      <c r="AB19" s="2"/>
      <c r="AC19" s="2"/>
      <c r="AD19" s="2"/>
      <c r="AE19" s="2"/>
      <c r="AF19" s="2"/>
      <c r="AG19" s="3"/>
    </row>
    <row r="20" ht="22.5" customHeight="1" spans="3:33">
      <c r="C20" s="38">
        <v>3</v>
      </c>
      <c r="D20" s="4" t="s">
        <v>48</v>
      </c>
      <c r="E20" s="2"/>
      <c r="F20" s="2"/>
      <c r="G20" s="2"/>
      <c r="H20" s="2"/>
      <c r="I20" s="2"/>
      <c r="J20" s="2"/>
      <c r="K20" s="2"/>
      <c r="L20" s="2"/>
      <c r="M20" s="2"/>
      <c r="N20" s="3"/>
      <c r="O20" s="4" t="s">
        <v>49</v>
      </c>
      <c r="P20" s="2"/>
      <c r="Q20" s="2"/>
      <c r="R20" s="2"/>
      <c r="S20" s="2"/>
      <c r="T20" s="2"/>
      <c r="U20" s="2"/>
      <c r="V20" s="2"/>
      <c r="W20" s="2"/>
      <c r="X20" s="2"/>
      <c r="Y20" s="2"/>
      <c r="Z20" s="2"/>
      <c r="AA20" s="2"/>
      <c r="AB20" s="2"/>
      <c r="AC20" s="2"/>
      <c r="AD20" s="2"/>
      <c r="AE20" s="2"/>
      <c r="AF20" s="2"/>
      <c r="AG20"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A1:I1"/>
    <mergeCell ref="J1:P1"/>
    <mergeCell ref="Q1:U1"/>
    <mergeCell ref="V1:Y1"/>
    <mergeCell ref="Z1:AC1"/>
    <mergeCell ref="AD1:AG1"/>
    <mergeCell ref="AH1:AK1"/>
    <mergeCell ref="B5:AK5"/>
    <mergeCell ref="C6:AK6"/>
    <mergeCell ref="B8:AK8"/>
    <mergeCell ref="C9:AK9"/>
    <mergeCell ref="C10:AK10"/>
    <mergeCell ref="C11:AK11"/>
    <mergeCell ref="C12:AK12"/>
    <mergeCell ref="C13:AK13"/>
    <mergeCell ref="B15:AK15"/>
    <mergeCell ref="D17:N17"/>
    <mergeCell ref="O17:AG17"/>
    <mergeCell ref="D18:N18"/>
    <mergeCell ref="O18:AG18"/>
    <mergeCell ref="D19:N19"/>
    <mergeCell ref="O19:AG19"/>
    <mergeCell ref="D20:N20"/>
    <mergeCell ref="O20:AG20"/>
    <mergeCell ref="A2:I3"/>
    <mergeCell ref="J2:P3"/>
    <mergeCell ref="Q2:U3"/>
    <mergeCell ref="V2:Y3"/>
    <mergeCell ref="Z2:AC3"/>
    <mergeCell ref="AD2:AG3"/>
    <mergeCell ref="AH2:AK3"/>
  </mergeCells>
  <pageMargins left="0.75" right="0.75" top="1" bottom="1"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000"/>
  <sheetViews>
    <sheetView showGridLines="0" workbookViewId="0">
      <selection activeCell="A1" sqref="A1:AH1"/>
    </sheetView>
  </sheetViews>
  <sheetFormatPr defaultColWidth="14.4285714285714" defaultRowHeight="15" customHeight="1"/>
  <cols>
    <col min="1" max="1" width="13" customWidth="1"/>
    <col min="2" max="34" width="5" customWidth="1"/>
  </cols>
  <sheetData>
    <row r="1" ht="28.5" customHeight="1" spans="1:34">
      <c r="A1" s="34" t="s">
        <v>50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3"/>
    </row>
    <row r="3" ht="22.5" customHeight="1" spans="1:34">
      <c r="A3" s="16" t="s">
        <v>51</v>
      </c>
      <c r="B3" s="2"/>
      <c r="C3" s="2"/>
      <c r="D3" s="2"/>
      <c r="E3" s="2"/>
      <c r="F3" s="3"/>
      <c r="G3" s="4" t="s">
        <v>0</v>
      </c>
      <c r="H3" s="2"/>
      <c r="I3" s="2"/>
      <c r="J3" s="2"/>
      <c r="K3" s="2"/>
      <c r="L3" s="2"/>
      <c r="M3" s="2"/>
      <c r="N3" s="2"/>
      <c r="O3" s="3"/>
      <c r="P3" s="16" t="s">
        <v>52</v>
      </c>
      <c r="Q3" s="2"/>
      <c r="R3" s="2"/>
      <c r="S3" s="2"/>
      <c r="T3" s="2"/>
      <c r="U3" s="2"/>
      <c r="V3" s="2"/>
      <c r="W3" s="3"/>
      <c r="X3" s="4" t="s">
        <v>18</v>
      </c>
      <c r="Y3" s="2"/>
      <c r="Z3" s="2"/>
      <c r="AA3" s="2"/>
      <c r="AB3" s="2"/>
      <c r="AC3" s="2"/>
      <c r="AD3" s="2"/>
      <c r="AE3" s="2"/>
      <c r="AF3" s="2"/>
      <c r="AG3" s="2"/>
      <c r="AH3" s="3"/>
    </row>
    <row r="4" ht="22.5" customHeight="1" spans="1:34">
      <c r="A4" s="16" t="s">
        <v>11</v>
      </c>
      <c r="B4" s="2"/>
      <c r="C4" s="2"/>
      <c r="D4" s="2"/>
      <c r="E4" s="2"/>
      <c r="F4" s="3"/>
      <c r="G4" s="4" t="s">
        <v>16</v>
      </c>
      <c r="H4" s="2"/>
      <c r="I4" s="2"/>
      <c r="J4" s="2"/>
      <c r="K4" s="2"/>
      <c r="L4" s="2"/>
      <c r="M4" s="2"/>
      <c r="N4" s="2"/>
      <c r="O4" s="3"/>
      <c r="P4" s="16" t="s">
        <v>26</v>
      </c>
      <c r="Q4" s="2"/>
      <c r="R4" s="2"/>
      <c r="S4" s="2"/>
      <c r="T4" s="2"/>
      <c r="U4" s="2"/>
      <c r="V4" s="2"/>
      <c r="W4" s="3"/>
      <c r="X4" s="5" t="s">
        <v>8</v>
      </c>
      <c r="Y4" s="2"/>
      <c r="Z4" s="2"/>
      <c r="AA4" s="2"/>
      <c r="AB4" s="2"/>
      <c r="AC4" s="2"/>
      <c r="AD4" s="2"/>
      <c r="AE4" s="2"/>
      <c r="AF4" s="2"/>
      <c r="AG4" s="2"/>
      <c r="AH4" s="3"/>
    </row>
    <row r="6" ht="22.5" customHeight="1" spans="1:34">
      <c r="A6" s="35" t="s">
        <v>53</v>
      </c>
      <c r="B6" s="36" t="s">
        <v>54</v>
      </c>
      <c r="C6" s="10"/>
      <c r="D6" s="10"/>
      <c r="E6" s="10"/>
      <c r="F6" s="10"/>
      <c r="G6" s="11"/>
      <c r="H6" s="31" t="s">
        <v>55</v>
      </c>
      <c r="I6" s="2"/>
      <c r="J6" s="2"/>
      <c r="K6" s="2"/>
      <c r="L6" s="2"/>
      <c r="M6" s="2"/>
      <c r="N6" s="2"/>
      <c r="O6" s="2"/>
      <c r="P6" s="3"/>
      <c r="Q6" s="36" t="s">
        <v>56</v>
      </c>
      <c r="R6" s="10"/>
      <c r="S6" s="11"/>
      <c r="T6" s="31" t="s">
        <v>57</v>
      </c>
      <c r="U6" s="2"/>
      <c r="V6" s="2"/>
      <c r="W6" s="2"/>
      <c r="X6" s="2"/>
      <c r="Y6" s="2"/>
      <c r="Z6" s="2"/>
      <c r="AA6" s="2"/>
      <c r="AB6" s="2"/>
      <c r="AC6" s="2"/>
      <c r="AD6" s="2"/>
      <c r="AE6" s="2"/>
      <c r="AF6" s="2"/>
      <c r="AG6" s="2"/>
      <c r="AH6" s="3"/>
    </row>
    <row r="7" ht="22.5" customHeight="1" spans="1:34">
      <c r="A7" s="12"/>
      <c r="B7" s="13"/>
      <c r="C7" s="14"/>
      <c r="D7" s="14"/>
      <c r="E7" s="14"/>
      <c r="F7" s="14"/>
      <c r="G7" s="15"/>
      <c r="H7" s="31" t="s">
        <v>58</v>
      </c>
      <c r="I7" s="2"/>
      <c r="J7" s="3"/>
      <c r="K7" s="31" t="s">
        <v>59</v>
      </c>
      <c r="L7" s="2"/>
      <c r="M7" s="3"/>
      <c r="N7" s="31" t="s">
        <v>60</v>
      </c>
      <c r="O7" s="2"/>
      <c r="P7" s="3"/>
      <c r="Q7" s="13"/>
      <c r="R7" s="14"/>
      <c r="S7" s="15"/>
      <c r="T7" s="31" t="s">
        <v>61</v>
      </c>
      <c r="U7" s="2"/>
      <c r="V7" s="3"/>
      <c r="W7" s="31" t="s">
        <v>62</v>
      </c>
      <c r="X7" s="2"/>
      <c r="Y7" s="3"/>
      <c r="Z7" s="31" t="s">
        <v>63</v>
      </c>
      <c r="AA7" s="2"/>
      <c r="AB7" s="3"/>
      <c r="AC7" s="31" t="s">
        <v>64</v>
      </c>
      <c r="AD7" s="2"/>
      <c r="AE7" s="3"/>
      <c r="AF7" s="31" t="s">
        <v>65</v>
      </c>
      <c r="AG7" s="2"/>
      <c r="AH7" s="3"/>
    </row>
    <row r="8" ht="22.5" customHeight="1" spans="1:34">
      <c r="A8" s="37" t="s">
        <v>66</v>
      </c>
    </row>
    <row r="9" ht="22.5" customHeight="1" spans="1:34">
      <c r="A9" s="38">
        <v>1</v>
      </c>
      <c r="B9" s="4" t="s">
        <v>67</v>
      </c>
      <c r="C9" s="2"/>
      <c r="D9" s="2"/>
      <c r="E9" s="2"/>
      <c r="F9" s="2"/>
      <c r="G9" s="3"/>
      <c r="H9" s="6">
        <f ca="1" t="array" ref="H9">INDIRECT("'"&amp;$B9&amp;"'!H7",TRUE)</f>
        <v>26</v>
      </c>
      <c r="I9" s="2"/>
      <c r="J9" s="3"/>
      <c r="K9" s="6">
        <f ca="1" t="array" ref="K9">INDIRECT("'"&amp;$B9&amp;"'!K7",TRUE)</f>
        <v>19</v>
      </c>
      <c r="L9" s="2"/>
      <c r="M9" s="3"/>
      <c r="N9" s="6">
        <f ca="1" t="array" ref="N9">INDIRECT("'"&amp;$B9&amp;"'!N7",TRUE)</f>
        <v>5</v>
      </c>
      <c r="O9" s="2"/>
      <c r="P9" s="3"/>
      <c r="Q9" s="6">
        <f ca="1" t="array" ref="Q9">INDIRECT("'"&amp;$B9&amp;"'!Q7",TRUE)</f>
        <v>50</v>
      </c>
      <c r="R9" s="2"/>
      <c r="S9" s="3"/>
      <c r="T9" s="6">
        <f ca="1" t="array" ref="T9">INDIRECT("'"&amp;$B9&amp;"'!T7",TRUE)</f>
        <v>43</v>
      </c>
      <c r="U9" s="2"/>
      <c r="V9" s="3"/>
      <c r="W9" s="6">
        <f ca="1" t="array" ref="W9">INDIRECT("'"&amp;$B9&amp;"'!W7",TRUE)</f>
        <v>0</v>
      </c>
      <c r="X9" s="2"/>
      <c r="Y9" s="3"/>
      <c r="Z9" s="6">
        <f ca="1" t="array" ref="Z9">INDIRECT("'"&amp;$B9&amp;"'!Z7",TRUE)</f>
        <v>5</v>
      </c>
      <c r="AA9" s="2"/>
      <c r="AB9" s="3"/>
      <c r="AC9" s="6">
        <f ca="1" t="array" ref="AC9">INDIRECT("'"&amp;$B9&amp;"'!AC7",TRUE)</f>
        <v>2</v>
      </c>
      <c r="AD9" s="2"/>
      <c r="AE9" s="3"/>
      <c r="AF9" s="39">
        <f ca="1">IFERROR((T9+W9+AC9)/Q9,0)</f>
        <v>0.9</v>
      </c>
      <c r="AG9" s="2"/>
      <c r="AH9" s="3"/>
    </row>
    <row r="10" ht="22.5" customHeight="1" spans="1:34">
      <c r="A10" s="38">
        <v>2</v>
      </c>
      <c r="B10" s="4"/>
      <c r="C10" s="2"/>
      <c r="D10" s="2"/>
      <c r="E10" s="2"/>
      <c r="F10" s="2"/>
      <c r="G10" s="3"/>
      <c r="H10" s="6"/>
      <c r="I10" s="2"/>
      <c r="J10" s="3"/>
      <c r="K10" s="6"/>
      <c r="L10" s="2"/>
      <c r="M10" s="3"/>
      <c r="N10" s="6"/>
      <c r="O10" s="2"/>
      <c r="P10" s="3"/>
      <c r="Q10" s="6"/>
      <c r="R10" s="2"/>
      <c r="S10" s="3"/>
      <c r="T10" s="6"/>
      <c r="U10" s="2"/>
      <c r="V10" s="3"/>
      <c r="W10" s="6"/>
      <c r="X10" s="2"/>
      <c r="Y10" s="3"/>
      <c r="Z10" s="6"/>
      <c r="AA10" s="2"/>
      <c r="AB10" s="3"/>
      <c r="AC10" s="6"/>
      <c r="AD10" s="2"/>
      <c r="AE10" s="3"/>
      <c r="AF10" s="39"/>
      <c r="AG10" s="2"/>
      <c r="AH10" s="3"/>
    </row>
    <row r="11" ht="22.5" customHeight="1" spans="1:34">
      <c r="A11" s="38"/>
      <c r="B11" s="31" t="s">
        <v>56</v>
      </c>
      <c r="C11" s="2"/>
      <c r="D11" s="2"/>
      <c r="E11" s="2"/>
      <c r="F11" s="2"/>
      <c r="G11" s="3"/>
      <c r="H11" s="7">
        <f ca="1">SUM(H9:J10)</f>
        <v>26</v>
      </c>
      <c r="I11" s="2"/>
      <c r="J11" s="3"/>
      <c r="K11" s="7">
        <f ca="1">SUM(K9:M10)</f>
        <v>19</v>
      </c>
      <c r="L11" s="2"/>
      <c r="M11" s="3"/>
      <c r="N11" s="7">
        <f ca="1">SUM(N9:P10)</f>
        <v>5</v>
      </c>
      <c r="O11" s="2"/>
      <c r="P11" s="3"/>
      <c r="Q11" s="7">
        <f ca="1">SUM(Q9:S10)</f>
        <v>50</v>
      </c>
      <c r="R11" s="2"/>
      <c r="S11" s="3"/>
      <c r="T11" s="7">
        <f ca="1">SUM(T9:V10)</f>
        <v>43</v>
      </c>
      <c r="U11" s="2"/>
      <c r="V11" s="3"/>
      <c r="W11" s="7">
        <f ca="1">SUM(W9:Y10)</f>
        <v>0</v>
      </c>
      <c r="X11" s="2"/>
      <c r="Y11" s="3"/>
      <c r="Z11" s="7">
        <f ca="1">SUM(Z9:AB10)</f>
        <v>5</v>
      </c>
      <c r="AA11" s="2"/>
      <c r="AB11" s="3"/>
      <c r="AC11" s="7">
        <f ca="1">SUM(AC9:AE10)</f>
        <v>2</v>
      </c>
      <c r="AD11" s="2"/>
      <c r="AE11" s="3"/>
      <c r="AF11" s="40">
        <f ca="1">IFERROR((T11+W11+AC11)/Q11,0)</f>
        <v>0.9</v>
      </c>
      <c r="AG11" s="2"/>
      <c r="AH11" s="3"/>
    </row>
    <row r="12" ht="22.5" customHeight="1" spans="1:34">
      <c r="A12" s="37" t="s">
        <v>68</v>
      </c>
    </row>
    <row r="13" ht="22.5" customHeight="1" spans="1:34">
      <c r="A13" s="38">
        <v>1</v>
      </c>
      <c r="B13" s="4" t="s">
        <v>67</v>
      </c>
      <c r="C13" s="2"/>
      <c r="D13" s="2"/>
      <c r="E13" s="2"/>
      <c r="F13" s="2"/>
      <c r="G13" s="3"/>
      <c r="H13" s="6">
        <f ca="1" t="array" ref="H13">INDIRECT("'"&amp;$B13&amp;"'!H8",TRUE)</f>
        <v>26</v>
      </c>
      <c r="I13" s="2"/>
      <c r="J13" s="3"/>
      <c r="K13" s="6">
        <f ca="1" t="array" ref="K13">INDIRECT("'"&amp;$B13&amp;"'!K8",TRUE)</f>
        <v>19</v>
      </c>
      <c r="L13" s="2"/>
      <c r="M13" s="3"/>
      <c r="N13" s="6">
        <f ca="1" t="array" ref="N13">INDIRECT("'"&amp;$B13&amp;"'!N8",TRUE)</f>
        <v>5</v>
      </c>
      <c r="O13" s="2"/>
      <c r="P13" s="3"/>
      <c r="Q13" s="6">
        <f ca="1" t="array" ref="Q13">INDIRECT("'"&amp;$B13&amp;"'!Q8",TRUE)</f>
        <v>50</v>
      </c>
      <c r="R13" s="2"/>
      <c r="S13" s="3"/>
      <c r="T13" s="6">
        <f ca="1" t="array" ref="T13">INDIRECT("'"&amp;$B13&amp;"'!T8",TRUE)</f>
        <v>47</v>
      </c>
      <c r="U13" s="2"/>
      <c r="V13" s="3"/>
      <c r="W13" s="6">
        <f ca="1" t="array" ref="W13">INDIRECT("'"&amp;$B13&amp;"'!W8",TRUE)</f>
        <v>0</v>
      </c>
      <c r="X13" s="2"/>
      <c r="Y13" s="3"/>
      <c r="Z13" s="6">
        <f ca="1" t="array" ref="Z13">INDIRECT("'"&amp;$B13&amp;"'!Z8",TRUE)</f>
        <v>0</v>
      </c>
      <c r="AA13" s="2"/>
      <c r="AB13" s="3"/>
      <c r="AC13" s="6">
        <f ca="1" t="array" ref="AC13">INDIRECT("'"&amp;$B13&amp;"'!AC8",TRUE)</f>
        <v>3</v>
      </c>
      <c r="AD13" s="2"/>
      <c r="AE13" s="3"/>
      <c r="AF13" s="39">
        <f ca="1">IFERROR((T13+W13+AC13)/Q13,0)</f>
        <v>1</v>
      </c>
      <c r="AG13" s="2"/>
      <c r="AH13" s="3"/>
    </row>
    <row r="14" ht="22.5" customHeight="1" spans="1:34">
      <c r="A14" s="38">
        <v>2</v>
      </c>
      <c r="B14" s="4"/>
      <c r="C14" s="2"/>
      <c r="D14" s="2"/>
      <c r="E14" s="2"/>
      <c r="F14" s="2"/>
      <c r="G14" s="3"/>
      <c r="H14" s="6"/>
      <c r="I14" s="2"/>
      <c r="J14" s="3"/>
      <c r="K14" s="6"/>
      <c r="L14" s="2"/>
      <c r="M14" s="3"/>
      <c r="N14" s="6"/>
      <c r="O14" s="2"/>
      <c r="P14" s="3"/>
      <c r="Q14" s="6"/>
      <c r="R14" s="2"/>
      <c r="S14" s="3"/>
      <c r="T14" s="6"/>
      <c r="U14" s="2"/>
      <c r="V14" s="3"/>
      <c r="W14" s="6"/>
      <c r="X14" s="2"/>
      <c r="Y14" s="3"/>
      <c r="Z14" s="6"/>
      <c r="AA14" s="2"/>
      <c r="AB14" s="3"/>
      <c r="AC14" s="6"/>
      <c r="AD14" s="2"/>
      <c r="AE14" s="3"/>
      <c r="AF14" s="39"/>
      <c r="AG14" s="2"/>
      <c r="AH14" s="3"/>
    </row>
    <row r="15" ht="22.5" customHeight="1" spans="1:34">
      <c r="A15" s="38"/>
      <c r="B15" s="31" t="s">
        <v>56</v>
      </c>
      <c r="C15" s="2"/>
      <c r="D15" s="2"/>
      <c r="E15" s="2"/>
      <c r="F15" s="2"/>
      <c r="G15" s="3"/>
      <c r="H15" s="7">
        <f ca="1">SUM(H13:J14)</f>
        <v>26</v>
      </c>
      <c r="I15" s="2"/>
      <c r="J15" s="3"/>
      <c r="K15" s="7">
        <f ca="1">SUM(K13:M14)</f>
        <v>19</v>
      </c>
      <c r="L15" s="2"/>
      <c r="M15" s="3"/>
      <c r="N15" s="7">
        <f ca="1">SUM(N13:P14)</f>
        <v>5</v>
      </c>
      <c r="O15" s="2"/>
      <c r="P15" s="3"/>
      <c r="Q15" s="7">
        <f ca="1">SUM(Q13:S14)</f>
        <v>50</v>
      </c>
      <c r="R15" s="2"/>
      <c r="S15" s="3"/>
      <c r="T15" s="7">
        <f ca="1">SUM(T13:V14)</f>
        <v>47</v>
      </c>
      <c r="U15" s="2"/>
      <c r="V15" s="3"/>
      <c r="W15" s="7">
        <f ca="1">SUM(W13:Y14)</f>
        <v>0</v>
      </c>
      <c r="X15" s="2"/>
      <c r="Y15" s="3"/>
      <c r="Z15" s="7">
        <f ca="1">SUM(Z13:AB14)</f>
        <v>0</v>
      </c>
      <c r="AA15" s="2"/>
      <c r="AB15" s="3"/>
      <c r="AC15" s="7">
        <f ca="1">SUM(AC13:AE14)</f>
        <v>3</v>
      </c>
      <c r="AD15" s="2"/>
      <c r="AE15" s="3"/>
      <c r="AF15" s="40">
        <f ca="1">IFERROR((T15+W15+AC15)/Q15,0)</f>
        <v>1</v>
      </c>
      <c r="AG15" s="2"/>
      <c r="AH15"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A1:AH1"/>
    <mergeCell ref="A3:F3"/>
    <mergeCell ref="G3:O3"/>
    <mergeCell ref="P3:W3"/>
    <mergeCell ref="X3:AH3"/>
    <mergeCell ref="A4:F4"/>
    <mergeCell ref="G4:O4"/>
    <mergeCell ref="P4:W4"/>
    <mergeCell ref="X4:AH4"/>
    <mergeCell ref="H6:P6"/>
    <mergeCell ref="T6:AH6"/>
    <mergeCell ref="H7:J7"/>
    <mergeCell ref="K7:M7"/>
    <mergeCell ref="N7:P7"/>
    <mergeCell ref="T7:V7"/>
    <mergeCell ref="W7:Y7"/>
    <mergeCell ref="Z7:AB7"/>
    <mergeCell ref="AC7:AE7"/>
    <mergeCell ref="AF7:AH7"/>
    <mergeCell ref="B9:G9"/>
    <mergeCell ref="H9:J9"/>
    <mergeCell ref="K9:M9"/>
    <mergeCell ref="N9:P9"/>
    <mergeCell ref="Q9:S9"/>
    <mergeCell ref="T9:V9"/>
    <mergeCell ref="W9:Y9"/>
    <mergeCell ref="Z9:AB9"/>
    <mergeCell ref="AC9:AE9"/>
    <mergeCell ref="AF9:AH9"/>
    <mergeCell ref="B10:G10"/>
    <mergeCell ref="H10:J10"/>
    <mergeCell ref="K10:M10"/>
    <mergeCell ref="N10:P10"/>
    <mergeCell ref="Q10:S10"/>
    <mergeCell ref="T10:V10"/>
    <mergeCell ref="W10:Y10"/>
    <mergeCell ref="Z10:AB10"/>
    <mergeCell ref="AC10:AE10"/>
    <mergeCell ref="AF10:AH10"/>
    <mergeCell ref="B11:G11"/>
    <mergeCell ref="H11:J11"/>
    <mergeCell ref="K11:M11"/>
    <mergeCell ref="N11:P11"/>
    <mergeCell ref="Q11:S11"/>
    <mergeCell ref="T11:V11"/>
    <mergeCell ref="W11:Y11"/>
    <mergeCell ref="Z11:AB11"/>
    <mergeCell ref="AC11:AE11"/>
    <mergeCell ref="AF11:AH11"/>
    <mergeCell ref="B13:G13"/>
    <mergeCell ref="H13:J13"/>
    <mergeCell ref="K13:M13"/>
    <mergeCell ref="N13:P13"/>
    <mergeCell ref="Q13:S13"/>
    <mergeCell ref="T13:V13"/>
    <mergeCell ref="W13:Y13"/>
    <mergeCell ref="Z13:AB13"/>
    <mergeCell ref="AC13:AE13"/>
    <mergeCell ref="AF13:AH13"/>
    <mergeCell ref="B14:G14"/>
    <mergeCell ref="H14:J14"/>
    <mergeCell ref="K14:M14"/>
    <mergeCell ref="N14:P14"/>
    <mergeCell ref="Q14:S14"/>
    <mergeCell ref="T14:V14"/>
    <mergeCell ref="W14:Y14"/>
    <mergeCell ref="Z14:AB14"/>
    <mergeCell ref="AC14:AE14"/>
    <mergeCell ref="AF14:AH14"/>
    <mergeCell ref="B15:G15"/>
    <mergeCell ref="H15:J15"/>
    <mergeCell ref="K15:M15"/>
    <mergeCell ref="N15:P15"/>
    <mergeCell ref="Q15:S15"/>
    <mergeCell ref="T15:V15"/>
    <mergeCell ref="W15:Y15"/>
    <mergeCell ref="Z15:AB15"/>
    <mergeCell ref="AC15:AE15"/>
    <mergeCell ref="AF15:AH15"/>
    <mergeCell ref="A6:A7"/>
    <mergeCell ref="B6:G7"/>
    <mergeCell ref="Q6:S7"/>
  </mergeCells>
  <pageMargins left="0.75" right="0.75" top="1" bottom="1" header="0" footer="0"/>
  <pageSetup paperSize="1"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0"/>
  <sheetViews>
    <sheetView showGridLines="0" workbookViewId="0">
      <selection activeCell="A1" sqref="A1:I1"/>
    </sheetView>
  </sheetViews>
  <sheetFormatPr defaultColWidth="14.4285714285714" defaultRowHeight="15" customHeight="1"/>
  <cols>
    <col min="1" max="37" width="4.28571428571429" customWidth="1"/>
  </cols>
  <sheetData>
    <row r="1" ht="19.5" customHeight="1" spans="1:37">
      <c r="A1" s="22" t="s">
        <v>23</v>
      </c>
      <c r="B1" s="2"/>
      <c r="C1" s="2"/>
      <c r="D1" s="2"/>
      <c r="E1" s="2"/>
      <c r="F1" s="2"/>
      <c r="G1" s="2"/>
      <c r="H1" s="2"/>
      <c r="I1" s="3"/>
      <c r="J1" s="22" t="s">
        <v>24</v>
      </c>
      <c r="K1" s="2"/>
      <c r="L1" s="2"/>
      <c r="M1" s="2"/>
      <c r="N1" s="2"/>
      <c r="O1" s="2"/>
      <c r="P1" s="3"/>
      <c r="Q1" s="22" t="s">
        <v>25</v>
      </c>
      <c r="R1" s="2"/>
      <c r="S1" s="2"/>
      <c r="T1" s="2"/>
      <c r="U1" s="3"/>
      <c r="V1" s="22" t="s">
        <v>26</v>
      </c>
      <c r="W1" s="2"/>
      <c r="X1" s="2"/>
      <c r="Y1" s="3"/>
      <c r="Z1" s="22" t="s">
        <v>27</v>
      </c>
      <c r="AA1" s="2"/>
      <c r="AB1" s="2"/>
      <c r="AC1" s="3"/>
      <c r="AD1" s="22" t="s">
        <v>28</v>
      </c>
      <c r="AE1" s="2"/>
      <c r="AF1" s="2"/>
      <c r="AG1" s="3"/>
      <c r="AH1" s="22" t="s">
        <v>29</v>
      </c>
      <c r="AI1" s="2"/>
      <c r="AJ1" s="2"/>
      <c r="AK1" s="3"/>
    </row>
    <row r="2" ht="19.5" customHeight="1" spans="1:37">
      <c r="A2" s="23" t="s">
        <v>0</v>
      </c>
      <c r="B2" s="10"/>
      <c r="C2" s="10"/>
      <c r="D2" s="10"/>
      <c r="E2" s="10"/>
      <c r="F2" s="10"/>
      <c r="G2" s="10"/>
      <c r="H2" s="10"/>
      <c r="I2" s="11"/>
      <c r="J2" s="23" t="s">
        <v>30</v>
      </c>
      <c r="K2" s="10"/>
      <c r="L2" s="10"/>
      <c r="M2" s="10"/>
      <c r="N2" s="10"/>
      <c r="O2" s="10"/>
      <c r="P2" s="11"/>
      <c r="Q2" s="23" t="s">
        <v>69</v>
      </c>
      <c r="R2" s="10"/>
      <c r="S2" s="10"/>
      <c r="T2" s="10"/>
      <c r="U2" s="11"/>
      <c r="V2" s="24" t="s">
        <v>8</v>
      </c>
      <c r="W2" s="10"/>
      <c r="X2" s="10"/>
      <c r="Y2" s="11"/>
      <c r="Z2" s="23" t="s">
        <v>16</v>
      </c>
      <c r="AA2" s="10"/>
      <c r="AB2" s="10"/>
      <c r="AC2" s="11"/>
      <c r="AD2" s="24" t="s">
        <v>8</v>
      </c>
      <c r="AE2" s="10"/>
      <c r="AF2" s="10"/>
      <c r="AG2" s="11"/>
      <c r="AH2" s="23" t="s">
        <v>16</v>
      </c>
      <c r="AI2" s="10"/>
      <c r="AJ2" s="10"/>
      <c r="AK2" s="11"/>
    </row>
    <row r="3" ht="19.5" customHeight="1" spans="1:37">
      <c r="A3" s="13"/>
      <c r="B3" s="14"/>
      <c r="C3" s="14"/>
      <c r="D3" s="14"/>
      <c r="E3" s="14"/>
      <c r="F3" s="14"/>
      <c r="G3" s="14"/>
      <c r="H3" s="14"/>
      <c r="I3" s="15"/>
      <c r="J3" s="13"/>
      <c r="K3" s="14"/>
      <c r="L3" s="14"/>
      <c r="M3" s="14"/>
      <c r="N3" s="14"/>
      <c r="O3" s="14"/>
      <c r="P3" s="15"/>
      <c r="Q3" s="13"/>
      <c r="R3" s="14"/>
      <c r="S3" s="14"/>
      <c r="T3" s="14"/>
      <c r="U3" s="15"/>
      <c r="V3" s="13"/>
      <c r="W3" s="14"/>
      <c r="X3" s="14"/>
      <c r="Y3" s="15"/>
      <c r="Z3" s="13"/>
      <c r="AA3" s="14"/>
      <c r="AB3" s="14"/>
      <c r="AC3" s="15"/>
      <c r="AD3" s="13"/>
      <c r="AE3" s="14"/>
      <c r="AF3" s="14"/>
      <c r="AG3" s="15"/>
      <c r="AH3" s="13"/>
      <c r="AI3" s="14"/>
      <c r="AJ3" s="14"/>
      <c r="AK3" s="15"/>
    </row>
    <row r="5" ht="19.5" customHeight="1" spans="1:37">
      <c r="B5" s="25" t="s">
        <v>70</v>
      </c>
    </row>
    <row r="7" ht="28.5" customHeight="1" spans="1:37">
      <c r="B7" s="26" t="s">
        <v>53</v>
      </c>
      <c r="C7" s="1" t="s">
        <v>71</v>
      </c>
      <c r="D7" s="2"/>
      <c r="E7" s="3"/>
      <c r="F7" s="1" t="s">
        <v>72</v>
      </c>
      <c r="G7" s="2"/>
      <c r="H7" s="2"/>
      <c r="I7" s="2"/>
      <c r="J7" s="2"/>
      <c r="K7" s="2"/>
      <c r="L7" s="3"/>
      <c r="M7" s="1" t="s">
        <v>73</v>
      </c>
      <c r="N7" s="2"/>
      <c r="O7" s="2"/>
      <c r="P7" s="2"/>
      <c r="Q7" s="2"/>
      <c r="R7" s="2"/>
      <c r="S7" s="2"/>
      <c r="T7" s="3"/>
      <c r="U7" s="1" t="s">
        <v>74</v>
      </c>
      <c r="V7" s="3"/>
      <c r="W7" s="1" t="s">
        <v>75</v>
      </c>
      <c r="X7" s="2"/>
      <c r="Y7" s="2"/>
      <c r="Z7" s="2"/>
      <c r="AA7" s="2"/>
      <c r="AB7" s="2"/>
      <c r="AC7" s="3"/>
      <c r="AD7" s="1" t="s">
        <v>76</v>
      </c>
      <c r="AE7" s="2"/>
      <c r="AF7" s="3"/>
    </row>
    <row r="8" ht="30" customHeight="1" spans="1:37">
      <c r="B8" s="17">
        <v>1</v>
      </c>
      <c r="C8" s="19" t="s">
        <v>77</v>
      </c>
      <c r="D8" s="2"/>
      <c r="E8" s="3"/>
      <c r="F8" s="18" t="s">
        <v>78</v>
      </c>
      <c r="G8" s="2"/>
      <c r="H8" s="2"/>
      <c r="I8" s="2"/>
      <c r="J8" s="2"/>
      <c r="K8" s="2"/>
      <c r="L8" s="3"/>
      <c r="M8" s="18" t="s">
        <v>79</v>
      </c>
      <c r="N8" s="2"/>
      <c r="O8" s="2"/>
      <c r="P8" s="2"/>
      <c r="Q8" s="2"/>
      <c r="R8" s="2"/>
      <c r="S8" s="2"/>
      <c r="T8" s="3"/>
      <c r="U8" s="27" t="s">
        <v>80</v>
      </c>
      <c r="V8" s="3"/>
      <c r="W8" s="18" t="s">
        <v>81</v>
      </c>
      <c r="X8" s="2"/>
      <c r="Y8" s="2"/>
      <c r="Z8" s="2"/>
      <c r="AA8" s="2"/>
      <c r="AB8" s="2"/>
      <c r="AC8" s="3"/>
      <c r="AD8" s="19">
        <v>265</v>
      </c>
      <c r="AE8" s="2"/>
      <c r="AF8" s="3"/>
    </row>
    <row r="9" ht="30" customHeight="1" spans="1:37">
      <c r="B9" s="17">
        <v>2</v>
      </c>
      <c r="C9" s="19" t="s">
        <v>82</v>
      </c>
      <c r="D9" s="2"/>
      <c r="E9" s="3"/>
      <c r="F9" s="18" t="s">
        <v>78</v>
      </c>
      <c r="G9" s="2"/>
      <c r="H9" s="2"/>
      <c r="I9" s="2"/>
      <c r="J9" s="2"/>
      <c r="K9" s="2"/>
      <c r="L9" s="3"/>
      <c r="M9" s="18" t="s">
        <v>83</v>
      </c>
      <c r="N9" s="2"/>
      <c r="O9" s="2"/>
      <c r="P9" s="2"/>
      <c r="Q9" s="2"/>
      <c r="R9" s="2"/>
      <c r="S9" s="2"/>
      <c r="T9" s="3"/>
      <c r="U9" s="27" t="s">
        <v>80</v>
      </c>
      <c r="V9" s="3"/>
      <c r="W9" s="18" t="s">
        <v>84</v>
      </c>
      <c r="X9" s="2"/>
      <c r="Y9" s="2"/>
      <c r="Z9" s="2"/>
      <c r="AA9" s="2"/>
      <c r="AB9" s="2"/>
      <c r="AC9" s="3"/>
      <c r="AD9" s="19">
        <v>200</v>
      </c>
      <c r="AE9" s="2"/>
      <c r="AF9" s="3"/>
    </row>
    <row r="10" ht="36" customHeight="1" spans="1:37">
      <c r="B10" s="17">
        <v>3</v>
      </c>
      <c r="C10" s="19" t="s">
        <v>85</v>
      </c>
      <c r="D10" s="2"/>
      <c r="E10" s="3"/>
      <c r="F10" s="18" t="s">
        <v>78</v>
      </c>
      <c r="G10" s="2"/>
      <c r="H10" s="2"/>
      <c r="I10" s="2"/>
      <c r="J10" s="2"/>
      <c r="K10" s="2"/>
      <c r="L10" s="3"/>
      <c r="M10" s="18" t="s">
        <v>86</v>
      </c>
      <c r="N10" s="2"/>
      <c r="O10" s="2"/>
      <c r="P10" s="2"/>
      <c r="Q10" s="2"/>
      <c r="R10" s="2"/>
      <c r="S10" s="2"/>
      <c r="T10" s="3"/>
      <c r="U10" s="27" t="s">
        <v>80</v>
      </c>
      <c r="V10" s="3"/>
      <c r="W10" s="18" t="s">
        <v>87</v>
      </c>
      <c r="X10" s="2"/>
      <c r="Y10" s="2"/>
      <c r="Z10" s="2"/>
      <c r="AA10" s="2"/>
      <c r="AB10" s="2"/>
      <c r="AC10" s="3"/>
      <c r="AD10" s="19">
        <v>50</v>
      </c>
      <c r="AE10" s="2"/>
      <c r="AF10" s="3"/>
    </row>
    <row r="11" ht="30" customHeight="1" spans="1:37">
      <c r="B11" s="17">
        <v>4</v>
      </c>
      <c r="C11" s="19" t="s">
        <v>88</v>
      </c>
      <c r="D11" s="2"/>
      <c r="E11" s="3"/>
      <c r="F11" s="18" t="s">
        <v>78</v>
      </c>
      <c r="G11" s="2"/>
      <c r="H11" s="2"/>
      <c r="I11" s="2"/>
      <c r="J11" s="2"/>
      <c r="K11" s="2"/>
      <c r="L11" s="3"/>
      <c r="M11" s="18" t="s">
        <v>89</v>
      </c>
      <c r="N11" s="2"/>
      <c r="O11" s="2"/>
      <c r="P11" s="2"/>
      <c r="Q11" s="2"/>
      <c r="R11" s="2"/>
      <c r="S11" s="2"/>
      <c r="T11" s="3"/>
      <c r="U11" s="27" t="s">
        <v>80</v>
      </c>
      <c r="V11" s="3"/>
      <c r="W11" s="18" t="s">
        <v>81</v>
      </c>
      <c r="X11" s="2"/>
      <c r="Y11" s="2"/>
      <c r="Z11" s="2"/>
      <c r="AA11" s="2"/>
      <c r="AB11" s="2"/>
      <c r="AC11" s="3"/>
      <c r="AD11" s="19">
        <v>75</v>
      </c>
      <c r="AE11" s="2"/>
      <c r="AF11" s="3"/>
    </row>
    <row r="12" ht="30" customHeight="1" spans="1:37">
      <c r="B12" s="17">
        <v>5</v>
      </c>
      <c r="C12" s="19" t="s">
        <v>90</v>
      </c>
      <c r="D12" s="2"/>
      <c r="E12" s="3"/>
      <c r="F12" s="18" t="s">
        <v>78</v>
      </c>
      <c r="G12" s="2"/>
      <c r="H12" s="2"/>
      <c r="I12" s="2"/>
      <c r="J12" s="2"/>
      <c r="K12" s="2"/>
      <c r="L12" s="3"/>
      <c r="M12" s="18" t="s">
        <v>91</v>
      </c>
      <c r="N12" s="2"/>
      <c r="O12" s="2"/>
      <c r="P12" s="2"/>
      <c r="Q12" s="2"/>
      <c r="R12" s="2"/>
      <c r="S12" s="2"/>
      <c r="T12" s="3"/>
      <c r="U12" s="27" t="s">
        <v>80</v>
      </c>
      <c r="V12" s="3"/>
      <c r="W12" s="18" t="s">
        <v>92</v>
      </c>
      <c r="X12" s="2"/>
      <c r="Y12" s="2"/>
      <c r="Z12" s="2"/>
      <c r="AA12" s="2"/>
      <c r="AB12" s="2"/>
      <c r="AC12" s="3"/>
      <c r="AD12" s="19">
        <v>30</v>
      </c>
      <c r="AE12" s="2"/>
      <c r="AF12" s="3"/>
    </row>
    <row r="13" ht="30" customHeight="1" spans="1:37">
      <c r="B13" s="17">
        <v>6</v>
      </c>
      <c r="C13" s="19" t="s">
        <v>93</v>
      </c>
      <c r="D13" s="2"/>
      <c r="E13" s="3"/>
      <c r="F13" s="18" t="s">
        <v>78</v>
      </c>
      <c r="G13" s="2"/>
      <c r="H13" s="2"/>
      <c r="I13" s="2"/>
      <c r="J13" s="2"/>
      <c r="K13" s="2"/>
      <c r="L13" s="3"/>
      <c r="M13" s="18" t="s">
        <v>94</v>
      </c>
      <c r="N13" s="2"/>
      <c r="O13" s="2"/>
      <c r="P13" s="2"/>
      <c r="Q13" s="2"/>
      <c r="R13" s="2"/>
      <c r="S13" s="2"/>
      <c r="T13" s="3"/>
      <c r="U13" s="27" t="s">
        <v>80</v>
      </c>
      <c r="V13" s="3"/>
      <c r="W13" s="18" t="s">
        <v>95</v>
      </c>
      <c r="X13" s="2"/>
      <c r="Y13" s="2"/>
      <c r="Z13" s="2"/>
      <c r="AA13" s="2"/>
      <c r="AB13" s="2"/>
      <c r="AC13" s="3"/>
      <c r="AD13" s="19">
        <v>50</v>
      </c>
      <c r="AE13" s="2"/>
      <c r="AF13" s="3"/>
    </row>
    <row r="14" ht="30" customHeight="1" spans="1:37">
      <c r="B14" s="17">
        <v>7</v>
      </c>
      <c r="C14" s="19" t="s">
        <v>96</v>
      </c>
      <c r="D14" s="2"/>
      <c r="E14" s="3"/>
      <c r="F14" s="18" t="s">
        <v>78</v>
      </c>
      <c r="G14" s="2"/>
      <c r="H14" s="2"/>
      <c r="I14" s="2"/>
      <c r="J14" s="2"/>
      <c r="K14" s="2"/>
      <c r="L14" s="3"/>
      <c r="M14" s="18" t="s">
        <v>97</v>
      </c>
      <c r="N14" s="2"/>
      <c r="O14" s="2"/>
      <c r="P14" s="2"/>
      <c r="Q14" s="2"/>
      <c r="R14" s="2"/>
      <c r="S14" s="2"/>
      <c r="T14" s="3"/>
      <c r="U14" s="27" t="s">
        <v>80</v>
      </c>
      <c r="V14" s="3"/>
      <c r="W14" s="18" t="s">
        <v>92</v>
      </c>
      <c r="X14" s="2"/>
      <c r="Y14" s="2"/>
      <c r="Z14" s="2"/>
      <c r="AA14" s="2"/>
      <c r="AB14" s="2"/>
      <c r="AC14" s="3"/>
      <c r="AD14" s="19">
        <v>10</v>
      </c>
      <c r="AE14" s="2"/>
      <c r="AF14" s="3"/>
    </row>
    <row r="15" ht="30" customHeight="1" spans="1:37">
      <c r="B15" s="17">
        <v>8</v>
      </c>
      <c r="C15" s="19" t="s">
        <v>98</v>
      </c>
      <c r="D15" s="2"/>
      <c r="E15" s="3"/>
      <c r="F15" s="18" t="s">
        <v>78</v>
      </c>
      <c r="G15" s="2"/>
      <c r="H15" s="2"/>
      <c r="I15" s="2"/>
      <c r="J15" s="2"/>
      <c r="K15" s="2"/>
      <c r="L15" s="3"/>
      <c r="M15" s="18" t="s">
        <v>99</v>
      </c>
      <c r="N15" s="2"/>
      <c r="O15" s="2"/>
      <c r="P15" s="2"/>
      <c r="Q15" s="2"/>
      <c r="R15" s="2"/>
      <c r="S15" s="2"/>
      <c r="T15" s="3"/>
      <c r="U15" s="28" t="s">
        <v>100</v>
      </c>
      <c r="V15" s="3"/>
      <c r="W15" s="18" t="s">
        <v>101</v>
      </c>
      <c r="X15" s="2"/>
      <c r="Y15" s="2"/>
      <c r="Z15" s="2"/>
      <c r="AA15" s="2"/>
      <c r="AB15" s="2"/>
      <c r="AC15" s="3"/>
      <c r="AD15" s="19">
        <v>20</v>
      </c>
      <c r="AE15" s="2"/>
      <c r="AF15" s="3"/>
    </row>
    <row r="16" ht="30" customHeight="1" spans="1:37">
      <c r="B16" s="17">
        <v>9</v>
      </c>
      <c r="C16" s="19" t="s">
        <v>102</v>
      </c>
      <c r="D16" s="2"/>
      <c r="E16" s="3"/>
      <c r="F16" s="18" t="s">
        <v>78</v>
      </c>
      <c r="G16" s="2"/>
      <c r="H16" s="2"/>
      <c r="I16" s="2"/>
      <c r="J16" s="2"/>
      <c r="K16" s="2"/>
      <c r="L16" s="3"/>
      <c r="M16" s="18" t="s">
        <v>103</v>
      </c>
      <c r="N16" s="2"/>
      <c r="O16" s="2"/>
      <c r="P16" s="2"/>
      <c r="Q16" s="2"/>
      <c r="R16" s="2"/>
      <c r="S16" s="2"/>
      <c r="T16" s="3"/>
      <c r="U16" s="27" t="s">
        <v>80</v>
      </c>
      <c r="V16" s="3"/>
      <c r="W16" s="18" t="s">
        <v>104</v>
      </c>
      <c r="X16" s="2"/>
      <c r="Y16" s="2"/>
      <c r="Z16" s="2"/>
      <c r="AA16" s="2"/>
      <c r="AB16" s="2"/>
      <c r="AC16" s="3"/>
      <c r="AD16" s="19">
        <v>8</v>
      </c>
      <c r="AE16" s="2"/>
      <c r="AF16" s="3"/>
    </row>
    <row r="17" ht="30" customHeight="1" spans="2:32">
      <c r="B17" s="17">
        <v>10</v>
      </c>
      <c r="C17" s="19" t="s">
        <v>105</v>
      </c>
      <c r="D17" s="2"/>
      <c r="E17" s="3"/>
      <c r="F17" s="18" t="s">
        <v>78</v>
      </c>
      <c r="G17" s="2"/>
      <c r="H17" s="2"/>
      <c r="I17" s="2"/>
      <c r="J17" s="2"/>
      <c r="K17" s="2"/>
      <c r="L17" s="3"/>
      <c r="M17" s="18" t="s">
        <v>106</v>
      </c>
      <c r="N17" s="2"/>
      <c r="O17" s="2"/>
      <c r="P17" s="2"/>
      <c r="Q17" s="2"/>
      <c r="R17" s="2"/>
      <c r="S17" s="2"/>
      <c r="T17" s="3"/>
      <c r="U17" s="27" t="s">
        <v>80</v>
      </c>
      <c r="V17" s="3"/>
      <c r="W17" s="18" t="s">
        <v>107</v>
      </c>
      <c r="X17" s="2"/>
      <c r="Y17" s="2"/>
      <c r="Z17" s="2"/>
      <c r="AA17" s="2"/>
      <c r="AB17" s="2"/>
      <c r="AC17" s="3"/>
      <c r="AD17" s="19">
        <v>30</v>
      </c>
      <c r="AE17" s="2"/>
      <c r="AF17" s="3"/>
    </row>
    <row r="18" ht="30" customHeight="1" spans="2:32">
      <c r="B18" s="17">
        <v>11</v>
      </c>
      <c r="C18" s="19" t="s">
        <v>108</v>
      </c>
      <c r="D18" s="2"/>
      <c r="E18" s="3"/>
      <c r="F18" s="18" t="s">
        <v>109</v>
      </c>
      <c r="G18" s="2"/>
      <c r="H18" s="2"/>
      <c r="I18" s="2"/>
      <c r="J18" s="2"/>
      <c r="K18" s="2"/>
      <c r="L18" s="3"/>
      <c r="M18" s="18" t="s">
        <v>110</v>
      </c>
      <c r="N18" s="2"/>
      <c r="O18" s="2"/>
      <c r="P18" s="2"/>
      <c r="Q18" s="2"/>
      <c r="R18" s="2"/>
      <c r="S18" s="2"/>
      <c r="T18" s="3"/>
      <c r="U18" s="28" t="s">
        <v>100</v>
      </c>
      <c r="V18" s="3"/>
      <c r="W18" s="18" t="s">
        <v>111</v>
      </c>
      <c r="X18" s="2"/>
      <c r="Y18" s="2"/>
      <c r="Z18" s="2"/>
      <c r="AA18" s="2"/>
      <c r="AB18" s="2"/>
      <c r="AC18" s="3"/>
      <c r="AD18" s="19">
        <v>100</v>
      </c>
      <c r="AE18" s="2"/>
      <c r="AF18" s="3"/>
    </row>
    <row r="19" ht="30" customHeight="1" spans="2:32">
      <c r="B19" s="17">
        <v>12</v>
      </c>
      <c r="C19" s="19" t="s">
        <v>112</v>
      </c>
      <c r="D19" s="2"/>
      <c r="E19" s="3"/>
      <c r="F19" s="18" t="s">
        <v>109</v>
      </c>
      <c r="G19" s="2"/>
      <c r="H19" s="2"/>
      <c r="I19" s="2"/>
      <c r="J19" s="2"/>
      <c r="K19" s="2"/>
      <c r="L19" s="3"/>
      <c r="M19" s="18" t="s">
        <v>113</v>
      </c>
      <c r="N19" s="2"/>
      <c r="O19" s="2"/>
      <c r="P19" s="2"/>
      <c r="Q19" s="2"/>
      <c r="R19" s="2"/>
      <c r="S19" s="2"/>
      <c r="T19" s="3"/>
      <c r="U19" s="28" t="s">
        <v>100</v>
      </c>
      <c r="V19" s="3"/>
      <c r="W19" s="18" t="s">
        <v>111</v>
      </c>
      <c r="X19" s="2"/>
      <c r="Y19" s="2"/>
      <c r="Z19" s="2"/>
      <c r="AA19" s="2"/>
      <c r="AB19" s="2"/>
      <c r="AC19" s="3"/>
      <c r="AD19" s="19">
        <v>80</v>
      </c>
      <c r="AE19" s="2"/>
      <c r="AF19" s="3"/>
    </row>
    <row r="20" ht="30" customHeight="1" spans="2:32">
      <c r="B20" s="17">
        <v>13</v>
      </c>
      <c r="C20" s="19" t="s">
        <v>114</v>
      </c>
      <c r="D20" s="2"/>
      <c r="E20" s="3"/>
      <c r="F20" s="18" t="s">
        <v>109</v>
      </c>
      <c r="G20" s="2"/>
      <c r="H20" s="2"/>
      <c r="I20" s="2"/>
      <c r="J20" s="2"/>
      <c r="K20" s="2"/>
      <c r="L20" s="3"/>
      <c r="M20" s="18" t="s">
        <v>115</v>
      </c>
      <c r="N20" s="2"/>
      <c r="O20" s="2"/>
      <c r="P20" s="2"/>
      <c r="Q20" s="2"/>
      <c r="R20" s="2"/>
      <c r="S20" s="2"/>
      <c r="T20" s="3"/>
      <c r="U20" s="28" t="s">
        <v>100</v>
      </c>
      <c r="V20" s="3"/>
      <c r="W20" s="18" t="s">
        <v>95</v>
      </c>
      <c r="X20" s="2"/>
      <c r="Y20" s="2"/>
      <c r="Z20" s="2"/>
      <c r="AA20" s="2"/>
      <c r="AB20" s="2"/>
      <c r="AC20" s="3"/>
      <c r="AD20" s="19">
        <v>60</v>
      </c>
      <c r="AE20" s="2"/>
      <c r="AF20" s="3"/>
    </row>
    <row r="21" ht="30" customHeight="1" spans="2:32">
      <c r="B21" s="17">
        <v>14</v>
      </c>
      <c r="C21" s="19" t="s">
        <v>116</v>
      </c>
      <c r="D21" s="2"/>
      <c r="E21" s="3"/>
      <c r="F21" s="18" t="s">
        <v>109</v>
      </c>
      <c r="G21" s="2"/>
      <c r="H21" s="2"/>
      <c r="I21" s="2"/>
      <c r="J21" s="2"/>
      <c r="K21" s="2"/>
      <c r="L21" s="3"/>
      <c r="M21" s="18" t="s">
        <v>117</v>
      </c>
      <c r="N21" s="2"/>
      <c r="O21" s="2"/>
      <c r="P21" s="2"/>
      <c r="Q21" s="2"/>
      <c r="R21" s="2"/>
      <c r="S21" s="2"/>
      <c r="T21" s="3"/>
      <c r="U21" s="28" t="s">
        <v>100</v>
      </c>
      <c r="V21" s="3"/>
      <c r="W21" s="18" t="s">
        <v>111</v>
      </c>
      <c r="X21" s="2"/>
      <c r="Y21" s="2"/>
      <c r="Z21" s="2"/>
      <c r="AA21" s="2"/>
      <c r="AB21" s="2"/>
      <c r="AC21" s="3"/>
      <c r="AD21" s="19">
        <v>50</v>
      </c>
      <c r="AE21" s="2"/>
      <c r="AF21" s="3"/>
    </row>
    <row r="22" ht="30" customHeight="1" spans="2:32">
      <c r="B22" s="17">
        <v>15</v>
      </c>
      <c r="C22" s="19" t="s">
        <v>118</v>
      </c>
      <c r="D22" s="2"/>
      <c r="E22" s="3"/>
      <c r="F22" s="18" t="s">
        <v>109</v>
      </c>
      <c r="G22" s="2"/>
      <c r="H22" s="2"/>
      <c r="I22" s="2"/>
      <c r="J22" s="2"/>
      <c r="K22" s="2"/>
      <c r="L22" s="3"/>
      <c r="M22" s="18" t="s">
        <v>119</v>
      </c>
      <c r="N22" s="2"/>
      <c r="O22" s="2"/>
      <c r="P22" s="2"/>
      <c r="Q22" s="2"/>
      <c r="R22" s="2"/>
      <c r="S22" s="2"/>
      <c r="T22" s="3"/>
      <c r="U22" s="28" t="s">
        <v>100</v>
      </c>
      <c r="V22" s="3"/>
      <c r="W22" s="18" t="s">
        <v>120</v>
      </c>
      <c r="X22" s="2"/>
      <c r="Y22" s="2"/>
      <c r="Z22" s="2"/>
      <c r="AA22" s="2"/>
      <c r="AB22" s="2"/>
      <c r="AC22" s="3"/>
      <c r="AD22" s="19">
        <v>30</v>
      </c>
      <c r="AE22" s="2"/>
      <c r="AF22" s="3"/>
    </row>
    <row r="23" ht="30" customHeight="1" spans="2:32">
      <c r="B23" s="17">
        <v>16</v>
      </c>
      <c r="C23" s="19" t="s">
        <v>121</v>
      </c>
      <c r="D23" s="2"/>
      <c r="E23" s="3"/>
      <c r="F23" s="18" t="s">
        <v>109</v>
      </c>
      <c r="G23" s="2"/>
      <c r="H23" s="2"/>
      <c r="I23" s="2"/>
      <c r="J23" s="2"/>
      <c r="K23" s="2"/>
      <c r="L23" s="3"/>
      <c r="M23" s="18" t="s">
        <v>122</v>
      </c>
      <c r="N23" s="2"/>
      <c r="O23" s="2"/>
      <c r="P23" s="2"/>
      <c r="Q23" s="2"/>
      <c r="R23" s="2"/>
      <c r="S23" s="2"/>
      <c r="T23" s="3"/>
      <c r="U23" s="27" t="s">
        <v>80</v>
      </c>
      <c r="V23" s="3"/>
      <c r="W23" s="18" t="s">
        <v>123</v>
      </c>
      <c r="X23" s="2"/>
      <c r="Y23" s="2"/>
      <c r="Z23" s="2"/>
      <c r="AA23" s="2"/>
      <c r="AB23" s="2"/>
      <c r="AC23" s="3"/>
      <c r="AD23" s="19">
        <v>15</v>
      </c>
      <c r="AE23" s="2"/>
      <c r="AF23" s="3"/>
    </row>
    <row r="24" ht="36" customHeight="1" spans="2:32">
      <c r="B24" s="17">
        <v>17</v>
      </c>
      <c r="C24" s="19" t="s">
        <v>124</v>
      </c>
      <c r="D24" s="2"/>
      <c r="E24" s="3"/>
      <c r="F24" s="18" t="s">
        <v>109</v>
      </c>
      <c r="G24" s="2"/>
      <c r="H24" s="2"/>
      <c r="I24" s="2"/>
      <c r="J24" s="2"/>
      <c r="K24" s="2"/>
      <c r="L24" s="3"/>
      <c r="M24" s="18" t="s">
        <v>125</v>
      </c>
      <c r="N24" s="2"/>
      <c r="O24" s="2"/>
      <c r="P24" s="2"/>
      <c r="Q24" s="2"/>
      <c r="R24" s="2"/>
      <c r="S24" s="2"/>
      <c r="T24" s="3"/>
      <c r="U24" s="28" t="s">
        <v>100</v>
      </c>
      <c r="V24" s="3"/>
      <c r="W24" s="18" t="s">
        <v>126</v>
      </c>
      <c r="X24" s="2"/>
      <c r="Y24" s="2"/>
      <c r="Z24" s="2"/>
      <c r="AA24" s="2"/>
      <c r="AB24" s="2"/>
      <c r="AC24" s="3"/>
      <c r="AD24" s="19">
        <v>45</v>
      </c>
      <c r="AE24" s="2"/>
      <c r="AF24" s="3"/>
    </row>
    <row r="25" ht="30" customHeight="1" spans="2:32">
      <c r="B25" s="17">
        <v>18</v>
      </c>
      <c r="C25" s="19" t="s">
        <v>127</v>
      </c>
      <c r="D25" s="2"/>
      <c r="E25" s="3"/>
      <c r="F25" s="18" t="s">
        <v>109</v>
      </c>
      <c r="G25" s="2"/>
      <c r="H25" s="2"/>
      <c r="I25" s="2"/>
      <c r="J25" s="2"/>
      <c r="K25" s="2"/>
      <c r="L25" s="3"/>
      <c r="M25" s="18" t="s">
        <v>128</v>
      </c>
      <c r="N25" s="2"/>
      <c r="O25" s="2"/>
      <c r="P25" s="2"/>
      <c r="Q25" s="2"/>
      <c r="R25" s="2"/>
      <c r="S25" s="2"/>
      <c r="T25" s="3"/>
      <c r="U25" s="28" t="s">
        <v>100</v>
      </c>
      <c r="V25" s="3"/>
      <c r="W25" s="18" t="s">
        <v>129</v>
      </c>
      <c r="X25" s="2"/>
      <c r="Y25" s="2"/>
      <c r="Z25" s="2"/>
      <c r="AA25" s="2"/>
      <c r="AB25" s="2"/>
      <c r="AC25" s="3"/>
      <c r="AD25" s="19">
        <v>30</v>
      </c>
      <c r="AE25" s="2"/>
      <c r="AF25" s="3"/>
    </row>
    <row r="26" ht="36" customHeight="1" spans="2:32">
      <c r="B26" s="17">
        <v>19</v>
      </c>
      <c r="C26" s="19" t="s">
        <v>130</v>
      </c>
      <c r="D26" s="2"/>
      <c r="E26" s="3"/>
      <c r="F26" s="18" t="s">
        <v>109</v>
      </c>
      <c r="G26" s="2"/>
      <c r="H26" s="2"/>
      <c r="I26" s="2"/>
      <c r="J26" s="2"/>
      <c r="K26" s="2"/>
      <c r="L26" s="3"/>
      <c r="M26" s="18" t="s">
        <v>131</v>
      </c>
      <c r="N26" s="2"/>
      <c r="O26" s="2"/>
      <c r="P26" s="2"/>
      <c r="Q26" s="2"/>
      <c r="R26" s="2"/>
      <c r="S26" s="2"/>
      <c r="T26" s="3"/>
      <c r="U26" s="28" t="s">
        <v>100</v>
      </c>
      <c r="V26" s="3"/>
      <c r="W26" s="18" t="s">
        <v>132</v>
      </c>
      <c r="X26" s="2"/>
      <c r="Y26" s="2"/>
      <c r="Z26" s="2"/>
      <c r="AA26" s="2"/>
      <c r="AB26" s="2"/>
      <c r="AC26" s="3"/>
      <c r="AD26" s="19">
        <v>25</v>
      </c>
      <c r="AE26" s="2"/>
      <c r="AF26" s="3"/>
    </row>
    <row r="27" ht="30" customHeight="1" spans="2:32">
      <c r="B27" s="17">
        <v>20</v>
      </c>
      <c r="C27" s="19" t="s">
        <v>133</v>
      </c>
      <c r="D27" s="2"/>
      <c r="E27" s="3"/>
      <c r="F27" s="18" t="s">
        <v>134</v>
      </c>
      <c r="G27" s="2"/>
      <c r="H27" s="2"/>
      <c r="I27" s="2"/>
      <c r="J27" s="2"/>
      <c r="K27" s="2"/>
      <c r="L27" s="3"/>
      <c r="M27" s="18" t="s">
        <v>135</v>
      </c>
      <c r="N27" s="2"/>
      <c r="O27" s="2"/>
      <c r="P27" s="2"/>
      <c r="Q27" s="2"/>
      <c r="R27" s="2"/>
      <c r="S27" s="2"/>
      <c r="T27" s="3"/>
      <c r="U27" s="27" t="s">
        <v>80</v>
      </c>
      <c r="V27" s="3"/>
      <c r="W27" s="18" t="s">
        <v>129</v>
      </c>
      <c r="X27" s="2"/>
      <c r="Y27" s="2"/>
      <c r="Z27" s="2"/>
      <c r="AA27" s="2"/>
      <c r="AB27" s="2"/>
      <c r="AC27" s="3"/>
      <c r="AD27" s="19">
        <v>60</v>
      </c>
      <c r="AE27" s="2"/>
      <c r="AF27" s="3"/>
    </row>
    <row r="28" ht="30" customHeight="1" spans="2:32">
      <c r="B28" s="17">
        <v>21</v>
      </c>
      <c r="C28" s="19" t="s">
        <v>136</v>
      </c>
      <c r="D28" s="2"/>
      <c r="E28" s="3"/>
      <c r="F28" s="18" t="s">
        <v>134</v>
      </c>
      <c r="G28" s="2"/>
      <c r="H28" s="2"/>
      <c r="I28" s="2"/>
      <c r="J28" s="2"/>
      <c r="K28" s="2"/>
      <c r="L28" s="3"/>
      <c r="M28" s="18" t="s">
        <v>137</v>
      </c>
      <c r="N28" s="2"/>
      <c r="O28" s="2"/>
      <c r="P28" s="2"/>
      <c r="Q28" s="2"/>
      <c r="R28" s="2"/>
      <c r="S28" s="2"/>
      <c r="T28" s="3"/>
      <c r="U28" s="28" t="s">
        <v>100</v>
      </c>
      <c r="V28" s="3"/>
      <c r="W28" s="18" t="s">
        <v>138</v>
      </c>
      <c r="X28" s="2"/>
      <c r="Y28" s="2"/>
      <c r="Z28" s="2"/>
      <c r="AA28" s="2"/>
      <c r="AB28" s="2"/>
      <c r="AC28" s="3"/>
      <c r="AD28" s="19">
        <v>16</v>
      </c>
      <c r="AE28" s="2"/>
      <c r="AF28" s="3"/>
    </row>
    <row r="29" ht="30" customHeight="1" spans="2:32">
      <c r="B29" s="17">
        <v>22</v>
      </c>
      <c r="C29" s="19" t="s">
        <v>139</v>
      </c>
      <c r="D29" s="2"/>
      <c r="E29" s="3"/>
      <c r="F29" s="18" t="s">
        <v>134</v>
      </c>
      <c r="G29" s="2"/>
      <c r="H29" s="2"/>
      <c r="I29" s="2"/>
      <c r="J29" s="2"/>
      <c r="K29" s="2"/>
      <c r="L29" s="3"/>
      <c r="M29" s="18" t="s">
        <v>140</v>
      </c>
      <c r="N29" s="2"/>
      <c r="O29" s="2"/>
      <c r="P29" s="2"/>
      <c r="Q29" s="2"/>
      <c r="R29" s="2"/>
      <c r="S29" s="2"/>
      <c r="T29" s="3"/>
      <c r="U29" s="27" t="s">
        <v>80</v>
      </c>
      <c r="V29" s="3"/>
      <c r="W29" s="18" t="s">
        <v>141</v>
      </c>
      <c r="X29" s="2"/>
      <c r="Y29" s="2"/>
      <c r="Z29" s="2"/>
      <c r="AA29" s="2"/>
      <c r="AB29" s="2"/>
      <c r="AC29" s="3"/>
      <c r="AD29" s="19">
        <v>18</v>
      </c>
      <c r="AE29" s="2"/>
      <c r="AF29" s="3"/>
    </row>
    <row r="30" ht="30" customHeight="1" spans="2:32">
      <c r="B30" s="17">
        <v>23</v>
      </c>
      <c r="C30" s="19" t="s">
        <v>142</v>
      </c>
      <c r="D30" s="2"/>
      <c r="E30" s="3"/>
      <c r="F30" s="18" t="s">
        <v>134</v>
      </c>
      <c r="G30" s="2"/>
      <c r="H30" s="2"/>
      <c r="I30" s="2"/>
      <c r="J30" s="2"/>
      <c r="K30" s="2"/>
      <c r="L30" s="3"/>
      <c r="M30" s="18" t="s">
        <v>143</v>
      </c>
      <c r="N30" s="2"/>
      <c r="O30" s="2"/>
      <c r="P30" s="2"/>
      <c r="Q30" s="2"/>
      <c r="R30" s="2"/>
      <c r="S30" s="2"/>
      <c r="T30" s="3"/>
      <c r="U30" s="28" t="s">
        <v>100</v>
      </c>
      <c r="V30" s="3"/>
      <c r="W30" s="18" t="s">
        <v>144</v>
      </c>
      <c r="X30" s="2"/>
      <c r="Y30" s="2"/>
      <c r="Z30" s="2"/>
      <c r="AA30" s="2"/>
      <c r="AB30" s="2"/>
      <c r="AC30" s="3"/>
      <c r="AD30" s="19">
        <v>8</v>
      </c>
      <c r="AE30" s="2"/>
      <c r="AF30" s="3"/>
    </row>
    <row r="31" ht="30" customHeight="1" spans="2:32">
      <c r="B31" s="17">
        <v>24</v>
      </c>
      <c r="C31" s="19" t="s">
        <v>145</v>
      </c>
      <c r="D31" s="2"/>
      <c r="E31" s="3"/>
      <c r="F31" s="18" t="s">
        <v>134</v>
      </c>
      <c r="G31" s="2"/>
      <c r="H31" s="2"/>
      <c r="I31" s="2"/>
      <c r="J31" s="2"/>
      <c r="K31" s="2"/>
      <c r="L31" s="3"/>
      <c r="M31" s="18" t="s">
        <v>146</v>
      </c>
      <c r="N31" s="2"/>
      <c r="O31" s="2"/>
      <c r="P31" s="2"/>
      <c r="Q31" s="2"/>
      <c r="R31" s="2"/>
      <c r="S31" s="2"/>
      <c r="T31" s="3"/>
      <c r="U31" s="27" t="s">
        <v>80</v>
      </c>
      <c r="V31" s="3"/>
      <c r="W31" s="18" t="s">
        <v>147</v>
      </c>
      <c r="X31" s="2"/>
      <c r="Y31" s="2"/>
      <c r="Z31" s="2"/>
      <c r="AA31" s="2"/>
      <c r="AB31" s="2"/>
      <c r="AC31" s="3"/>
      <c r="AD31" s="19">
        <v>10</v>
      </c>
      <c r="AE31" s="2"/>
      <c r="AF31" s="3"/>
    </row>
    <row r="32" ht="30" customHeight="1" spans="2:32">
      <c r="B32" s="17">
        <v>25</v>
      </c>
      <c r="C32" s="19" t="s">
        <v>148</v>
      </c>
      <c r="D32" s="2"/>
      <c r="E32" s="3"/>
      <c r="F32" s="18" t="s">
        <v>134</v>
      </c>
      <c r="G32" s="2"/>
      <c r="H32" s="2"/>
      <c r="I32" s="2"/>
      <c r="J32" s="2"/>
      <c r="K32" s="2"/>
      <c r="L32" s="3"/>
      <c r="M32" s="18" t="s">
        <v>149</v>
      </c>
      <c r="N32" s="2"/>
      <c r="O32" s="2"/>
      <c r="P32" s="2"/>
      <c r="Q32" s="2"/>
      <c r="R32" s="2"/>
      <c r="S32" s="2"/>
      <c r="T32" s="3"/>
      <c r="U32" s="28" t="s">
        <v>100</v>
      </c>
      <c r="V32" s="3"/>
      <c r="W32" s="18" t="s">
        <v>150</v>
      </c>
      <c r="X32" s="2"/>
      <c r="Y32" s="2"/>
      <c r="Z32" s="2"/>
      <c r="AA32" s="2"/>
      <c r="AB32" s="2"/>
      <c r="AC32" s="3"/>
      <c r="AD32" s="19">
        <v>30</v>
      </c>
      <c r="AE32" s="2"/>
      <c r="AF32" s="3"/>
    </row>
    <row r="33" ht="30" customHeight="1" spans="2:32">
      <c r="B33" s="17">
        <v>26</v>
      </c>
      <c r="C33" s="19" t="s">
        <v>151</v>
      </c>
      <c r="D33" s="2"/>
      <c r="E33" s="3"/>
      <c r="F33" s="18" t="s">
        <v>134</v>
      </c>
      <c r="G33" s="2"/>
      <c r="H33" s="2"/>
      <c r="I33" s="2"/>
      <c r="J33" s="2"/>
      <c r="K33" s="2"/>
      <c r="L33" s="3"/>
      <c r="M33" s="18" t="s">
        <v>152</v>
      </c>
      <c r="N33" s="2"/>
      <c r="O33" s="2"/>
      <c r="P33" s="2"/>
      <c r="Q33" s="2"/>
      <c r="R33" s="2"/>
      <c r="S33" s="2"/>
      <c r="T33" s="3"/>
      <c r="U33" s="27" t="s">
        <v>80</v>
      </c>
      <c r="V33" s="3"/>
      <c r="W33" s="18" t="s">
        <v>153</v>
      </c>
      <c r="X33" s="2"/>
      <c r="Y33" s="2"/>
      <c r="Z33" s="2"/>
      <c r="AA33" s="2"/>
      <c r="AB33" s="2"/>
      <c r="AC33" s="3"/>
      <c r="AD33" s="19">
        <v>15</v>
      </c>
      <c r="AE33" s="2"/>
      <c r="AF33" s="3"/>
    </row>
    <row r="34" ht="30" customHeight="1" spans="2:32">
      <c r="B34" s="17">
        <v>27</v>
      </c>
      <c r="C34" s="19" t="s">
        <v>154</v>
      </c>
      <c r="D34" s="2"/>
      <c r="E34" s="3"/>
      <c r="F34" s="18" t="s">
        <v>134</v>
      </c>
      <c r="G34" s="2"/>
      <c r="H34" s="2"/>
      <c r="I34" s="2"/>
      <c r="J34" s="2"/>
      <c r="K34" s="2"/>
      <c r="L34" s="3"/>
      <c r="M34" s="18" t="s">
        <v>155</v>
      </c>
      <c r="N34" s="2"/>
      <c r="O34" s="2"/>
      <c r="P34" s="2"/>
      <c r="Q34" s="2"/>
      <c r="R34" s="2"/>
      <c r="S34" s="2"/>
      <c r="T34" s="3"/>
      <c r="U34" s="27" t="s">
        <v>80</v>
      </c>
      <c r="V34" s="3"/>
      <c r="W34" s="18" t="s">
        <v>156</v>
      </c>
      <c r="X34" s="2"/>
      <c r="Y34" s="2"/>
      <c r="Z34" s="2"/>
      <c r="AA34" s="2"/>
      <c r="AB34" s="2"/>
      <c r="AC34" s="3"/>
      <c r="AD34" s="19">
        <v>18</v>
      </c>
      <c r="AE34" s="2"/>
      <c r="AF34" s="3"/>
    </row>
    <row r="35" ht="30" customHeight="1" spans="2:32">
      <c r="B35" s="17">
        <v>28</v>
      </c>
      <c r="C35" s="19" t="s">
        <v>157</v>
      </c>
      <c r="D35" s="2"/>
      <c r="E35" s="3"/>
      <c r="F35" s="18" t="s">
        <v>158</v>
      </c>
      <c r="G35" s="2"/>
      <c r="H35" s="2"/>
      <c r="I35" s="2"/>
      <c r="J35" s="2"/>
      <c r="K35" s="2"/>
      <c r="L35" s="3"/>
      <c r="M35" s="18" t="s">
        <v>159</v>
      </c>
      <c r="N35" s="2"/>
      <c r="O35" s="2"/>
      <c r="P35" s="2"/>
      <c r="Q35" s="2"/>
      <c r="R35" s="2"/>
      <c r="S35" s="2"/>
      <c r="T35" s="3"/>
      <c r="U35" s="27" t="s">
        <v>80</v>
      </c>
      <c r="V35" s="3"/>
      <c r="W35" s="18" t="s">
        <v>160</v>
      </c>
      <c r="X35" s="2"/>
      <c r="Y35" s="2"/>
      <c r="Z35" s="2"/>
      <c r="AA35" s="2"/>
      <c r="AB35" s="2"/>
      <c r="AC35" s="3"/>
      <c r="AD35" s="19">
        <v>25</v>
      </c>
      <c r="AE35" s="2"/>
      <c r="AF35" s="3"/>
    </row>
    <row r="36" ht="30" customHeight="1" spans="2:32">
      <c r="B36" s="17">
        <v>29</v>
      </c>
      <c r="C36" s="19" t="s">
        <v>161</v>
      </c>
      <c r="D36" s="2"/>
      <c r="E36" s="3"/>
      <c r="F36" s="18" t="s">
        <v>158</v>
      </c>
      <c r="G36" s="2"/>
      <c r="H36" s="2"/>
      <c r="I36" s="2"/>
      <c r="J36" s="2"/>
      <c r="K36" s="2"/>
      <c r="L36" s="3"/>
      <c r="M36" s="18" t="s">
        <v>162</v>
      </c>
      <c r="N36" s="2"/>
      <c r="O36" s="2"/>
      <c r="P36" s="2"/>
      <c r="Q36" s="2"/>
      <c r="R36" s="2"/>
      <c r="S36" s="2"/>
      <c r="T36" s="3"/>
      <c r="U36" s="27" t="s">
        <v>80</v>
      </c>
      <c r="V36" s="3"/>
      <c r="W36" s="18" t="s">
        <v>92</v>
      </c>
      <c r="X36" s="2"/>
      <c r="Y36" s="2"/>
      <c r="Z36" s="2"/>
      <c r="AA36" s="2"/>
      <c r="AB36" s="2"/>
      <c r="AC36" s="3"/>
      <c r="AD36" s="19">
        <v>8</v>
      </c>
      <c r="AE36" s="2"/>
      <c r="AF36" s="3"/>
    </row>
    <row r="37" ht="30" customHeight="1" spans="2:32">
      <c r="B37" s="17">
        <v>30</v>
      </c>
      <c r="C37" s="19" t="s">
        <v>163</v>
      </c>
      <c r="D37" s="2"/>
      <c r="E37" s="3"/>
      <c r="F37" s="18" t="s">
        <v>158</v>
      </c>
      <c r="G37" s="2"/>
      <c r="H37" s="2"/>
      <c r="I37" s="2"/>
      <c r="J37" s="2"/>
      <c r="K37" s="2"/>
      <c r="L37" s="3"/>
      <c r="M37" s="18" t="s">
        <v>164</v>
      </c>
      <c r="N37" s="2"/>
      <c r="O37" s="2"/>
      <c r="P37" s="2"/>
      <c r="Q37" s="2"/>
      <c r="R37" s="2"/>
      <c r="S37" s="2"/>
      <c r="T37" s="3"/>
      <c r="U37" s="27" t="s">
        <v>80</v>
      </c>
      <c r="V37" s="3"/>
      <c r="W37" s="18" t="s">
        <v>165</v>
      </c>
      <c r="X37" s="2"/>
      <c r="Y37" s="2"/>
      <c r="Z37" s="2"/>
      <c r="AA37" s="2"/>
      <c r="AB37" s="2"/>
      <c r="AC37" s="3"/>
      <c r="AD37" s="19">
        <v>15</v>
      </c>
      <c r="AE37" s="2"/>
      <c r="AF37" s="3"/>
    </row>
    <row r="38" ht="30" customHeight="1" spans="2:32">
      <c r="B38" s="17">
        <v>31</v>
      </c>
      <c r="C38" s="19" t="s">
        <v>166</v>
      </c>
      <c r="D38" s="2"/>
      <c r="E38" s="3"/>
      <c r="F38" s="18" t="s">
        <v>158</v>
      </c>
      <c r="G38" s="2"/>
      <c r="H38" s="2"/>
      <c r="I38" s="2"/>
      <c r="J38" s="2"/>
      <c r="K38" s="2"/>
      <c r="L38" s="3"/>
      <c r="M38" s="18" t="s">
        <v>167</v>
      </c>
      <c r="N38" s="2"/>
      <c r="O38" s="2"/>
      <c r="P38" s="2"/>
      <c r="Q38" s="2"/>
      <c r="R38" s="2"/>
      <c r="S38" s="2"/>
      <c r="T38" s="3"/>
      <c r="U38" s="27" t="s">
        <v>80</v>
      </c>
      <c r="V38" s="3"/>
      <c r="W38" s="18" t="s">
        <v>92</v>
      </c>
      <c r="X38" s="2"/>
      <c r="Y38" s="2"/>
      <c r="Z38" s="2"/>
      <c r="AA38" s="2"/>
      <c r="AB38" s="2"/>
      <c r="AC38" s="3"/>
      <c r="AD38" s="19">
        <v>40</v>
      </c>
      <c r="AE38" s="2"/>
      <c r="AF38" s="3"/>
    </row>
    <row r="39" ht="30" customHeight="1" spans="2:32">
      <c r="B39" s="17">
        <v>32</v>
      </c>
      <c r="C39" s="19" t="s">
        <v>168</v>
      </c>
      <c r="D39" s="2"/>
      <c r="E39" s="3"/>
      <c r="F39" s="18" t="s">
        <v>158</v>
      </c>
      <c r="G39" s="2"/>
      <c r="H39" s="2"/>
      <c r="I39" s="2"/>
      <c r="J39" s="2"/>
      <c r="K39" s="2"/>
      <c r="L39" s="3"/>
      <c r="M39" s="18" t="s">
        <v>169</v>
      </c>
      <c r="N39" s="2"/>
      <c r="O39" s="2"/>
      <c r="P39" s="2"/>
      <c r="Q39" s="2"/>
      <c r="R39" s="2"/>
      <c r="S39" s="2"/>
      <c r="T39" s="3"/>
      <c r="U39" s="28" t="s">
        <v>100</v>
      </c>
      <c r="V39" s="3"/>
      <c r="W39" s="18" t="s">
        <v>170</v>
      </c>
      <c r="X39" s="2"/>
      <c r="Y39" s="2"/>
      <c r="Z39" s="2"/>
      <c r="AA39" s="2"/>
      <c r="AB39" s="2"/>
      <c r="AC39" s="3"/>
      <c r="AD39" s="19">
        <v>20</v>
      </c>
      <c r="AE39" s="2"/>
      <c r="AF39" s="3"/>
    </row>
    <row r="40" ht="30" customHeight="1" spans="2:32">
      <c r="B40" s="17">
        <v>33</v>
      </c>
      <c r="C40" s="19" t="s">
        <v>171</v>
      </c>
      <c r="D40" s="2"/>
      <c r="E40" s="3"/>
      <c r="F40" s="18" t="s">
        <v>158</v>
      </c>
      <c r="G40" s="2"/>
      <c r="H40" s="2"/>
      <c r="I40" s="2"/>
      <c r="J40" s="2"/>
      <c r="K40" s="2"/>
      <c r="L40" s="3"/>
      <c r="M40" s="18" t="s">
        <v>172</v>
      </c>
      <c r="N40" s="2"/>
      <c r="O40" s="2"/>
      <c r="P40" s="2"/>
      <c r="Q40" s="2"/>
      <c r="R40" s="2"/>
      <c r="S40" s="2"/>
      <c r="T40" s="3"/>
      <c r="U40" s="28" t="s">
        <v>100</v>
      </c>
      <c r="V40" s="3"/>
      <c r="W40" s="18" t="s">
        <v>173</v>
      </c>
      <c r="X40" s="2"/>
      <c r="Y40" s="2"/>
      <c r="Z40" s="2"/>
      <c r="AA40" s="2"/>
      <c r="AB40" s="2"/>
      <c r="AC40" s="3"/>
      <c r="AD40" s="19">
        <v>12</v>
      </c>
      <c r="AE40" s="2"/>
      <c r="AF40" s="3"/>
    </row>
    <row r="41" ht="30" customHeight="1" spans="2:32">
      <c r="B41" s="17">
        <v>34</v>
      </c>
      <c r="C41" s="19" t="s">
        <v>174</v>
      </c>
      <c r="D41" s="2"/>
      <c r="E41" s="3"/>
      <c r="F41" s="18" t="s">
        <v>158</v>
      </c>
      <c r="G41" s="2"/>
      <c r="H41" s="2"/>
      <c r="I41" s="2"/>
      <c r="J41" s="2"/>
      <c r="K41" s="2"/>
      <c r="L41" s="3"/>
      <c r="M41" s="18" t="s">
        <v>175</v>
      </c>
      <c r="N41" s="2"/>
      <c r="O41" s="2"/>
      <c r="P41" s="2"/>
      <c r="Q41" s="2"/>
      <c r="R41" s="2"/>
      <c r="S41" s="2"/>
      <c r="T41" s="3"/>
      <c r="U41" s="27" t="s">
        <v>80</v>
      </c>
      <c r="V41" s="3"/>
      <c r="W41" s="18" t="s">
        <v>176</v>
      </c>
      <c r="X41" s="2"/>
      <c r="Y41" s="2"/>
      <c r="Z41" s="2"/>
      <c r="AA41" s="2"/>
      <c r="AB41" s="2"/>
      <c r="AC41" s="3"/>
      <c r="AD41" s="19">
        <v>15</v>
      </c>
      <c r="AE41" s="2"/>
      <c r="AF41" s="3"/>
    </row>
    <row r="42" ht="30" customHeight="1" spans="2:32">
      <c r="B42" s="17">
        <v>35</v>
      </c>
      <c r="C42" s="19" t="s">
        <v>177</v>
      </c>
      <c r="D42" s="2"/>
      <c r="E42" s="3"/>
      <c r="F42" s="18" t="s">
        <v>158</v>
      </c>
      <c r="G42" s="2"/>
      <c r="H42" s="2"/>
      <c r="I42" s="2"/>
      <c r="J42" s="2"/>
      <c r="K42" s="2"/>
      <c r="L42" s="3"/>
      <c r="M42" s="18" t="s">
        <v>178</v>
      </c>
      <c r="N42" s="2"/>
      <c r="O42" s="2"/>
      <c r="P42" s="2"/>
      <c r="Q42" s="2"/>
      <c r="R42" s="2"/>
      <c r="S42" s="2"/>
      <c r="T42" s="3"/>
      <c r="U42" s="28" t="s">
        <v>100</v>
      </c>
      <c r="V42" s="3"/>
      <c r="W42" s="18" t="s">
        <v>92</v>
      </c>
      <c r="X42" s="2"/>
      <c r="Y42" s="2"/>
      <c r="Z42" s="2"/>
      <c r="AA42" s="2"/>
      <c r="AB42" s="2"/>
      <c r="AC42" s="3"/>
      <c r="AD42" s="19">
        <v>30</v>
      </c>
      <c r="AE42" s="2"/>
      <c r="AF42" s="3"/>
    </row>
    <row r="43" ht="36" customHeight="1" spans="2:32">
      <c r="B43" s="17">
        <v>36</v>
      </c>
      <c r="C43" s="19" t="s">
        <v>179</v>
      </c>
      <c r="D43" s="2"/>
      <c r="E43" s="3"/>
      <c r="F43" s="18" t="s">
        <v>158</v>
      </c>
      <c r="G43" s="2"/>
      <c r="H43" s="2"/>
      <c r="I43" s="2"/>
      <c r="J43" s="2"/>
      <c r="K43" s="2"/>
      <c r="L43" s="3"/>
      <c r="M43" s="18" t="s">
        <v>180</v>
      </c>
      <c r="N43" s="2"/>
      <c r="O43" s="2"/>
      <c r="P43" s="2"/>
      <c r="Q43" s="2"/>
      <c r="R43" s="2"/>
      <c r="S43" s="2"/>
      <c r="T43" s="3"/>
      <c r="U43" s="27" t="s">
        <v>80</v>
      </c>
      <c r="V43" s="3"/>
      <c r="W43" s="18" t="s">
        <v>165</v>
      </c>
      <c r="X43" s="2"/>
      <c r="Y43" s="2"/>
      <c r="Z43" s="2"/>
      <c r="AA43" s="2"/>
      <c r="AB43" s="2"/>
      <c r="AC43" s="3"/>
      <c r="AD43" s="19">
        <v>6</v>
      </c>
      <c r="AE43" s="2"/>
      <c r="AF43" s="3"/>
    </row>
    <row r="44" ht="30" customHeight="1" spans="2:32">
      <c r="B44" s="17">
        <v>37</v>
      </c>
      <c r="C44" s="19" t="s">
        <v>181</v>
      </c>
      <c r="D44" s="2"/>
      <c r="E44" s="3"/>
      <c r="F44" s="18" t="s">
        <v>182</v>
      </c>
      <c r="G44" s="2"/>
      <c r="H44" s="2"/>
      <c r="I44" s="2"/>
      <c r="J44" s="2"/>
      <c r="K44" s="2"/>
      <c r="L44" s="3"/>
      <c r="M44" s="18" t="s">
        <v>183</v>
      </c>
      <c r="N44" s="2"/>
      <c r="O44" s="2"/>
      <c r="P44" s="2"/>
      <c r="Q44" s="2"/>
      <c r="R44" s="2"/>
      <c r="S44" s="2"/>
      <c r="T44" s="3"/>
      <c r="U44" s="29" t="s">
        <v>184</v>
      </c>
      <c r="V44" s="3"/>
      <c r="W44" s="18" t="s">
        <v>185</v>
      </c>
      <c r="X44" s="2"/>
      <c r="Y44" s="2"/>
      <c r="Z44" s="2"/>
      <c r="AA44" s="2"/>
      <c r="AB44" s="2"/>
      <c r="AC44" s="3"/>
      <c r="AD44" s="19">
        <v>60</v>
      </c>
      <c r="AE44" s="2"/>
      <c r="AF44" s="3"/>
    </row>
    <row r="45" ht="36" customHeight="1" spans="2:32">
      <c r="B45" s="17">
        <v>38</v>
      </c>
      <c r="C45" s="19" t="s">
        <v>186</v>
      </c>
      <c r="D45" s="2"/>
      <c r="E45" s="3"/>
      <c r="F45" s="18" t="s">
        <v>182</v>
      </c>
      <c r="G45" s="2"/>
      <c r="H45" s="2"/>
      <c r="I45" s="2"/>
      <c r="J45" s="2"/>
      <c r="K45" s="2"/>
      <c r="L45" s="3"/>
      <c r="M45" s="18" t="s">
        <v>187</v>
      </c>
      <c r="N45" s="2"/>
      <c r="O45" s="2"/>
      <c r="P45" s="2"/>
      <c r="Q45" s="2"/>
      <c r="R45" s="2"/>
      <c r="S45" s="2"/>
      <c r="T45" s="3"/>
      <c r="U45" s="29" t="s">
        <v>184</v>
      </c>
      <c r="V45" s="3"/>
      <c r="W45" s="18" t="s">
        <v>185</v>
      </c>
      <c r="X45" s="2"/>
      <c r="Y45" s="2"/>
      <c r="Z45" s="2"/>
      <c r="AA45" s="2"/>
      <c r="AB45" s="2"/>
      <c r="AC45" s="3"/>
      <c r="AD45" s="19">
        <v>40</v>
      </c>
      <c r="AE45" s="2"/>
      <c r="AF45" s="3"/>
    </row>
    <row r="46" ht="30" customHeight="1" spans="2:32">
      <c r="B46" s="17">
        <v>39</v>
      </c>
      <c r="C46" s="19" t="s">
        <v>188</v>
      </c>
      <c r="D46" s="2"/>
      <c r="E46" s="3"/>
      <c r="F46" s="18" t="s">
        <v>182</v>
      </c>
      <c r="G46" s="2"/>
      <c r="H46" s="2"/>
      <c r="I46" s="2"/>
      <c r="J46" s="2"/>
      <c r="K46" s="2"/>
      <c r="L46" s="3"/>
      <c r="M46" s="18" t="s">
        <v>189</v>
      </c>
      <c r="N46" s="2"/>
      <c r="O46" s="2"/>
      <c r="P46" s="2"/>
      <c r="Q46" s="2"/>
      <c r="R46" s="2"/>
      <c r="S46" s="2"/>
      <c r="T46" s="3"/>
      <c r="U46" s="29" t="s">
        <v>184</v>
      </c>
      <c r="V46" s="3"/>
      <c r="W46" s="18" t="s">
        <v>111</v>
      </c>
      <c r="X46" s="2"/>
      <c r="Y46" s="2"/>
      <c r="Z46" s="2"/>
      <c r="AA46" s="2"/>
      <c r="AB46" s="2"/>
      <c r="AC46" s="3"/>
      <c r="AD46" s="19">
        <v>25</v>
      </c>
      <c r="AE46" s="2"/>
      <c r="AF46" s="3"/>
    </row>
    <row r="47" ht="30" customHeight="1" spans="2:32">
      <c r="B47" s="17">
        <v>40</v>
      </c>
      <c r="C47" s="19" t="s">
        <v>190</v>
      </c>
      <c r="D47" s="2"/>
      <c r="E47" s="3"/>
      <c r="F47" s="18" t="s">
        <v>182</v>
      </c>
      <c r="G47" s="2"/>
      <c r="H47" s="2"/>
      <c r="I47" s="2"/>
      <c r="J47" s="2"/>
      <c r="K47" s="2"/>
      <c r="L47" s="3"/>
      <c r="M47" s="18" t="s">
        <v>191</v>
      </c>
      <c r="N47" s="2"/>
      <c r="O47" s="2"/>
      <c r="P47" s="2"/>
      <c r="Q47" s="2"/>
      <c r="R47" s="2"/>
      <c r="S47" s="2"/>
      <c r="T47" s="3"/>
      <c r="U47" s="29" t="s">
        <v>184</v>
      </c>
      <c r="V47" s="3"/>
      <c r="W47" s="18" t="s">
        <v>92</v>
      </c>
      <c r="X47" s="2"/>
      <c r="Y47" s="2"/>
      <c r="Z47" s="2"/>
      <c r="AA47" s="2"/>
      <c r="AB47" s="2"/>
      <c r="AC47" s="3"/>
      <c r="AD47" s="19">
        <v>5</v>
      </c>
      <c r="AE47" s="2"/>
      <c r="AF47" s="3"/>
    </row>
    <row r="48" ht="30" customHeight="1" spans="2:32">
      <c r="B48" s="17">
        <v>41</v>
      </c>
      <c r="C48" s="19" t="s">
        <v>192</v>
      </c>
      <c r="D48" s="2"/>
      <c r="E48" s="3"/>
      <c r="F48" s="18" t="s">
        <v>182</v>
      </c>
      <c r="G48" s="2"/>
      <c r="H48" s="2"/>
      <c r="I48" s="2"/>
      <c r="J48" s="2"/>
      <c r="K48" s="2"/>
      <c r="L48" s="3"/>
      <c r="M48" s="18" t="s">
        <v>193</v>
      </c>
      <c r="N48" s="2"/>
      <c r="O48" s="2"/>
      <c r="P48" s="2"/>
      <c r="Q48" s="2"/>
      <c r="R48" s="2"/>
      <c r="S48" s="2"/>
      <c r="T48" s="3"/>
      <c r="U48" s="27" t="s">
        <v>80</v>
      </c>
      <c r="V48" s="3"/>
      <c r="W48" s="18" t="s">
        <v>92</v>
      </c>
      <c r="X48" s="2"/>
      <c r="Y48" s="2"/>
      <c r="Z48" s="2"/>
      <c r="AA48" s="2"/>
      <c r="AB48" s="2"/>
      <c r="AC48" s="3"/>
      <c r="AD48" s="19">
        <v>5</v>
      </c>
      <c r="AE48" s="2"/>
      <c r="AF48" s="3"/>
    </row>
    <row r="49" ht="30" customHeight="1" spans="2:37">
      <c r="B49" s="17">
        <v>42</v>
      </c>
      <c r="C49" s="19" t="s">
        <v>194</v>
      </c>
      <c r="D49" s="2"/>
      <c r="E49" s="3"/>
      <c r="F49" s="18" t="s">
        <v>182</v>
      </c>
      <c r="G49" s="2"/>
      <c r="H49" s="2"/>
      <c r="I49" s="2"/>
      <c r="J49" s="2"/>
      <c r="K49" s="2"/>
      <c r="L49" s="3"/>
      <c r="M49" s="18" t="s">
        <v>195</v>
      </c>
      <c r="N49" s="2"/>
      <c r="O49" s="2"/>
      <c r="P49" s="2"/>
      <c r="Q49" s="2"/>
      <c r="R49" s="2"/>
      <c r="S49" s="2"/>
      <c r="T49" s="3"/>
      <c r="U49" s="28" t="s">
        <v>100</v>
      </c>
      <c r="V49" s="3"/>
      <c r="W49" s="18" t="s">
        <v>196</v>
      </c>
      <c r="X49" s="2"/>
      <c r="Y49" s="2"/>
      <c r="Z49" s="2"/>
      <c r="AA49" s="2"/>
      <c r="AB49" s="2"/>
      <c r="AC49" s="3"/>
      <c r="AD49" s="19">
        <v>8</v>
      </c>
      <c r="AE49" s="2"/>
      <c r="AF49" s="3"/>
    </row>
    <row r="50" ht="30" customHeight="1" spans="2:37">
      <c r="B50" s="17">
        <v>43</v>
      </c>
      <c r="C50" s="19" t="s">
        <v>197</v>
      </c>
      <c r="D50" s="2"/>
      <c r="E50" s="3"/>
      <c r="F50" s="18" t="s">
        <v>198</v>
      </c>
      <c r="G50" s="2"/>
      <c r="H50" s="2"/>
      <c r="I50" s="2"/>
      <c r="J50" s="2"/>
      <c r="K50" s="2"/>
      <c r="L50" s="3"/>
      <c r="M50" s="18" t="s">
        <v>199</v>
      </c>
      <c r="N50" s="2"/>
      <c r="O50" s="2"/>
      <c r="P50" s="2"/>
      <c r="Q50" s="2"/>
      <c r="R50" s="2"/>
      <c r="S50" s="2"/>
      <c r="T50" s="3"/>
      <c r="U50" s="28" t="s">
        <v>100</v>
      </c>
      <c r="V50" s="3"/>
      <c r="W50" s="18" t="s">
        <v>200</v>
      </c>
      <c r="X50" s="2"/>
      <c r="Y50" s="2"/>
      <c r="Z50" s="2"/>
      <c r="AA50" s="2"/>
      <c r="AB50" s="2"/>
      <c r="AC50" s="3"/>
      <c r="AD50" s="19">
        <v>12</v>
      </c>
      <c r="AE50" s="2"/>
      <c r="AF50" s="3"/>
    </row>
    <row r="51" ht="30" customHeight="1" spans="2:37">
      <c r="B51" s="17">
        <v>44</v>
      </c>
      <c r="C51" s="19" t="s">
        <v>201</v>
      </c>
      <c r="D51" s="2"/>
      <c r="E51" s="3"/>
      <c r="F51" s="18" t="s">
        <v>198</v>
      </c>
      <c r="G51" s="2"/>
      <c r="H51" s="2"/>
      <c r="I51" s="2"/>
      <c r="J51" s="2"/>
      <c r="K51" s="2"/>
      <c r="L51" s="3"/>
      <c r="M51" s="18" t="s">
        <v>202</v>
      </c>
      <c r="N51" s="2"/>
      <c r="O51" s="2"/>
      <c r="P51" s="2"/>
      <c r="Q51" s="2"/>
      <c r="R51" s="2"/>
      <c r="S51" s="2"/>
      <c r="T51" s="3"/>
      <c r="U51" s="28" t="s">
        <v>100</v>
      </c>
      <c r="V51" s="3"/>
      <c r="W51" s="18" t="s">
        <v>203</v>
      </c>
      <c r="X51" s="2"/>
      <c r="Y51" s="2"/>
      <c r="Z51" s="2"/>
      <c r="AA51" s="2"/>
      <c r="AB51" s="2"/>
      <c r="AC51" s="3"/>
      <c r="AD51" s="19">
        <v>8</v>
      </c>
      <c r="AE51" s="2"/>
      <c r="AF51" s="3"/>
    </row>
    <row r="52" ht="22.5" customHeight="1" spans="2:37">
      <c r="B52" s="30" t="s">
        <v>56</v>
      </c>
      <c r="C52" s="2"/>
      <c r="D52" s="2"/>
      <c r="E52" s="2"/>
      <c r="F52" s="2"/>
      <c r="G52" s="2"/>
      <c r="H52" s="2"/>
      <c r="I52" s="2"/>
      <c r="J52" s="2"/>
      <c r="K52" s="2"/>
      <c r="L52" s="2"/>
      <c r="M52" s="2"/>
      <c r="N52" s="2"/>
      <c r="O52" s="2"/>
      <c r="P52" s="2"/>
      <c r="Q52" s="2"/>
      <c r="R52" s="2"/>
      <c r="S52" s="2"/>
      <c r="T52" s="3"/>
      <c r="U52" s="31"/>
      <c r="V52" s="3"/>
      <c r="W52" s="31"/>
      <c r="X52" s="2"/>
      <c r="Y52" s="2"/>
      <c r="Z52" s="2"/>
      <c r="AA52" s="2"/>
      <c r="AB52" s="2"/>
      <c r="AC52" s="3"/>
      <c r="AD52" s="31">
        <f>SUM(AD8:AD51)</f>
        <v>1682</v>
      </c>
      <c r="AE52" s="2"/>
      <c r="AF52" s="3"/>
    </row>
    <row r="53" ht="15.75" customHeight="1"/>
    <row r="54" ht="19.5" customHeight="1" spans="2:37">
      <c r="B54" s="25" t="s">
        <v>204</v>
      </c>
    </row>
    <row r="55" ht="15.75" customHeight="1"/>
    <row r="56" ht="28.5" customHeight="1" spans="2:37">
      <c r="B56" s="1" t="s">
        <v>205</v>
      </c>
      <c r="C56" s="3"/>
      <c r="D56" s="1" t="s">
        <v>206</v>
      </c>
      <c r="E56" s="2"/>
      <c r="F56" s="3"/>
      <c r="G56" s="1" t="s">
        <v>207</v>
      </c>
      <c r="H56" s="2"/>
      <c r="I56" s="2"/>
      <c r="J56" s="2"/>
      <c r="K56" s="2"/>
      <c r="L56" s="3"/>
      <c r="M56" s="1" t="s">
        <v>208</v>
      </c>
      <c r="N56" s="3"/>
      <c r="O56" s="1" t="s">
        <v>209</v>
      </c>
      <c r="P56" s="2"/>
      <c r="Q56" s="3"/>
      <c r="R56" s="1" t="s">
        <v>210</v>
      </c>
      <c r="S56" s="2"/>
      <c r="T56" s="2"/>
      <c r="U56" s="2"/>
      <c r="V56" s="2"/>
      <c r="W56" s="2"/>
      <c r="X56" s="2"/>
      <c r="Y56" s="2"/>
      <c r="Z56" s="2"/>
      <c r="AA56" s="2"/>
      <c r="AB56" s="2"/>
      <c r="AC56" s="2"/>
      <c r="AD56" s="2"/>
      <c r="AE56" s="2"/>
      <c r="AF56" s="2"/>
      <c r="AG56" s="2"/>
      <c r="AH56" s="2"/>
      <c r="AI56" s="2"/>
      <c r="AJ56" s="2"/>
      <c r="AK56" s="3"/>
    </row>
    <row r="57" ht="36" customHeight="1" spans="2:37">
      <c r="B57" s="32" t="s">
        <v>211</v>
      </c>
      <c r="C57" s="3"/>
      <c r="D57" s="19" t="s">
        <v>212</v>
      </c>
      <c r="E57" s="2"/>
      <c r="F57" s="3"/>
      <c r="G57" s="18" t="s">
        <v>213</v>
      </c>
      <c r="H57" s="2"/>
      <c r="I57" s="2"/>
      <c r="J57" s="2"/>
      <c r="K57" s="2"/>
      <c r="L57" s="3"/>
      <c r="M57" s="19">
        <v>10</v>
      </c>
      <c r="N57" s="3"/>
      <c r="O57" s="19" t="s">
        <v>80</v>
      </c>
      <c r="P57" s="2"/>
      <c r="Q57" s="3"/>
      <c r="R57" s="18" t="s">
        <v>214</v>
      </c>
      <c r="S57" s="2"/>
      <c r="T57" s="2"/>
      <c r="U57" s="2"/>
      <c r="V57" s="2"/>
      <c r="W57" s="2"/>
      <c r="X57" s="2"/>
      <c r="Y57" s="2"/>
      <c r="Z57" s="2"/>
      <c r="AA57" s="2"/>
      <c r="AB57" s="2"/>
      <c r="AC57" s="2"/>
      <c r="AD57" s="2"/>
      <c r="AE57" s="2"/>
      <c r="AF57" s="2"/>
      <c r="AG57" s="2"/>
      <c r="AH57" s="2"/>
      <c r="AI57" s="2"/>
      <c r="AJ57" s="2"/>
      <c r="AK57" s="3"/>
    </row>
    <row r="58" ht="30" customHeight="1" spans="2:37">
      <c r="B58" s="32" t="s">
        <v>215</v>
      </c>
      <c r="C58" s="3"/>
      <c r="D58" s="19" t="s">
        <v>216</v>
      </c>
      <c r="E58" s="2"/>
      <c r="F58" s="3"/>
      <c r="G58" s="18" t="s">
        <v>217</v>
      </c>
      <c r="H58" s="2"/>
      <c r="I58" s="2"/>
      <c r="J58" s="2"/>
      <c r="K58" s="2"/>
      <c r="L58" s="3"/>
      <c r="M58" s="19">
        <v>9</v>
      </c>
      <c r="N58" s="3"/>
      <c r="O58" s="19" t="s">
        <v>100</v>
      </c>
      <c r="P58" s="2"/>
      <c r="Q58" s="3"/>
      <c r="R58" s="18" t="s">
        <v>218</v>
      </c>
      <c r="S58" s="2"/>
      <c r="T58" s="2"/>
      <c r="U58" s="2"/>
      <c r="V58" s="2"/>
      <c r="W58" s="2"/>
      <c r="X58" s="2"/>
      <c r="Y58" s="2"/>
      <c r="Z58" s="2"/>
      <c r="AA58" s="2"/>
      <c r="AB58" s="2"/>
      <c r="AC58" s="2"/>
      <c r="AD58" s="2"/>
      <c r="AE58" s="2"/>
      <c r="AF58" s="2"/>
      <c r="AG58" s="2"/>
      <c r="AH58" s="2"/>
      <c r="AI58" s="2"/>
      <c r="AJ58" s="2"/>
      <c r="AK58" s="3"/>
    </row>
    <row r="59" ht="36" customHeight="1" spans="2:37">
      <c r="B59" s="32" t="s">
        <v>219</v>
      </c>
      <c r="C59" s="3"/>
      <c r="D59" s="19" t="s">
        <v>220</v>
      </c>
      <c r="E59" s="2"/>
      <c r="F59" s="3"/>
      <c r="G59" s="18" t="s">
        <v>221</v>
      </c>
      <c r="H59" s="2"/>
      <c r="I59" s="2"/>
      <c r="J59" s="2"/>
      <c r="K59" s="2"/>
      <c r="L59" s="3"/>
      <c r="M59" s="19">
        <v>8</v>
      </c>
      <c r="N59" s="3"/>
      <c r="O59" s="19" t="s">
        <v>80</v>
      </c>
      <c r="P59" s="2"/>
      <c r="Q59" s="3"/>
      <c r="R59" s="18" t="s">
        <v>222</v>
      </c>
      <c r="S59" s="2"/>
      <c r="T59" s="2"/>
      <c r="U59" s="2"/>
      <c r="V59" s="2"/>
      <c r="W59" s="2"/>
      <c r="X59" s="2"/>
      <c r="Y59" s="2"/>
      <c r="Z59" s="2"/>
      <c r="AA59" s="2"/>
      <c r="AB59" s="2"/>
      <c r="AC59" s="2"/>
      <c r="AD59" s="2"/>
      <c r="AE59" s="2"/>
      <c r="AF59" s="2"/>
      <c r="AG59" s="2"/>
      <c r="AH59" s="2"/>
      <c r="AI59" s="2"/>
      <c r="AJ59" s="2"/>
      <c r="AK59" s="3"/>
    </row>
    <row r="60" ht="36" customHeight="1" spans="2:37">
      <c r="B60" s="32" t="s">
        <v>223</v>
      </c>
      <c r="C60" s="3"/>
      <c r="D60" s="19" t="s">
        <v>224</v>
      </c>
      <c r="E60" s="2"/>
      <c r="F60" s="3"/>
      <c r="G60" s="18" t="s">
        <v>225</v>
      </c>
      <c r="H60" s="2"/>
      <c r="I60" s="2"/>
      <c r="J60" s="2"/>
      <c r="K60" s="2"/>
      <c r="L60" s="3"/>
      <c r="M60" s="19">
        <v>9</v>
      </c>
      <c r="N60" s="3"/>
      <c r="O60" s="19" t="s">
        <v>80</v>
      </c>
      <c r="P60" s="2"/>
      <c r="Q60" s="3"/>
      <c r="R60" s="18" t="s">
        <v>226</v>
      </c>
      <c r="S60" s="2"/>
      <c r="T60" s="2"/>
      <c r="U60" s="2"/>
      <c r="V60" s="2"/>
      <c r="W60" s="2"/>
      <c r="X60" s="2"/>
      <c r="Y60" s="2"/>
      <c r="Z60" s="2"/>
      <c r="AA60" s="2"/>
      <c r="AB60" s="2"/>
      <c r="AC60" s="2"/>
      <c r="AD60" s="2"/>
      <c r="AE60" s="2"/>
      <c r="AF60" s="2"/>
      <c r="AG60" s="2"/>
      <c r="AH60" s="2"/>
      <c r="AI60" s="2"/>
      <c r="AJ60" s="2"/>
      <c r="AK60" s="3"/>
    </row>
    <row r="61" ht="36" customHeight="1" spans="2:37">
      <c r="B61" s="32" t="s">
        <v>227</v>
      </c>
      <c r="C61" s="3"/>
      <c r="D61" s="19" t="s">
        <v>228</v>
      </c>
      <c r="E61" s="2"/>
      <c r="F61" s="3"/>
      <c r="G61" s="18" t="s">
        <v>229</v>
      </c>
      <c r="H61" s="2"/>
      <c r="I61" s="2"/>
      <c r="J61" s="2"/>
      <c r="K61" s="2"/>
      <c r="L61" s="3"/>
      <c r="M61" s="19">
        <v>6</v>
      </c>
      <c r="N61" s="3"/>
      <c r="O61" s="19" t="s">
        <v>230</v>
      </c>
      <c r="P61" s="2"/>
      <c r="Q61" s="3"/>
      <c r="R61" s="18" t="s">
        <v>231</v>
      </c>
      <c r="S61" s="2"/>
      <c r="T61" s="2"/>
      <c r="U61" s="2"/>
      <c r="V61" s="2"/>
      <c r="W61" s="2"/>
      <c r="X61" s="2"/>
      <c r="Y61" s="2"/>
      <c r="Z61" s="2"/>
      <c r="AA61" s="2"/>
      <c r="AB61" s="2"/>
      <c r="AC61" s="2"/>
      <c r="AD61" s="2"/>
      <c r="AE61" s="2"/>
      <c r="AF61" s="2"/>
      <c r="AG61" s="2"/>
      <c r="AH61" s="2"/>
      <c r="AI61" s="2"/>
      <c r="AJ61" s="2"/>
      <c r="AK61" s="3"/>
    </row>
    <row r="62" ht="30" customHeight="1" spans="2:37">
      <c r="B62" s="32" t="s">
        <v>232</v>
      </c>
      <c r="C62" s="3"/>
      <c r="D62" s="19" t="s">
        <v>233</v>
      </c>
      <c r="E62" s="2"/>
      <c r="F62" s="3"/>
      <c r="G62" s="18" t="s">
        <v>234</v>
      </c>
      <c r="H62" s="2"/>
      <c r="I62" s="2"/>
      <c r="J62" s="2"/>
      <c r="K62" s="2"/>
      <c r="L62" s="3"/>
      <c r="M62" s="19">
        <v>2</v>
      </c>
      <c r="N62" s="3"/>
      <c r="O62" s="19" t="s">
        <v>100</v>
      </c>
      <c r="P62" s="2"/>
      <c r="Q62" s="3"/>
      <c r="R62" s="18" t="s">
        <v>235</v>
      </c>
      <c r="S62" s="2"/>
      <c r="T62" s="2"/>
      <c r="U62" s="2"/>
      <c r="V62" s="2"/>
      <c r="W62" s="2"/>
      <c r="X62" s="2"/>
      <c r="Y62" s="2"/>
      <c r="Z62" s="2"/>
      <c r="AA62" s="2"/>
      <c r="AB62" s="2"/>
      <c r="AC62" s="2"/>
      <c r="AD62" s="2"/>
      <c r="AE62" s="2"/>
      <c r="AF62" s="2"/>
      <c r="AG62" s="2"/>
      <c r="AH62" s="2"/>
      <c r="AI62" s="2"/>
      <c r="AJ62" s="2"/>
      <c r="AK62" s="3"/>
    </row>
    <row r="63" ht="15.75" customHeight="1"/>
    <row r="64" ht="30" customHeight="1" spans="2:37">
      <c r="B64" s="33" t="s">
        <v>236</v>
      </c>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3"/>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3">
    <mergeCell ref="A1:I1"/>
    <mergeCell ref="J1:P1"/>
    <mergeCell ref="Q1:U1"/>
    <mergeCell ref="V1:Y1"/>
    <mergeCell ref="Z1:AC1"/>
    <mergeCell ref="AD1:AG1"/>
    <mergeCell ref="AH1:AK1"/>
    <mergeCell ref="B5:AK5"/>
    <mergeCell ref="C7:E7"/>
    <mergeCell ref="F7:L7"/>
    <mergeCell ref="M7:T7"/>
    <mergeCell ref="U7:V7"/>
    <mergeCell ref="W7:AC7"/>
    <mergeCell ref="AD7:AF7"/>
    <mergeCell ref="C8:E8"/>
    <mergeCell ref="F8:L8"/>
    <mergeCell ref="M8:T8"/>
    <mergeCell ref="U8:V8"/>
    <mergeCell ref="W8:AC8"/>
    <mergeCell ref="AD8:AF8"/>
    <mergeCell ref="C9:E9"/>
    <mergeCell ref="F9:L9"/>
    <mergeCell ref="M9:T9"/>
    <mergeCell ref="U9:V9"/>
    <mergeCell ref="W9:AC9"/>
    <mergeCell ref="AD9:AF9"/>
    <mergeCell ref="C10:E10"/>
    <mergeCell ref="F10:L10"/>
    <mergeCell ref="M10:T10"/>
    <mergeCell ref="U10:V10"/>
    <mergeCell ref="W10:AC10"/>
    <mergeCell ref="AD10:AF10"/>
    <mergeCell ref="C11:E11"/>
    <mergeCell ref="F11:L11"/>
    <mergeCell ref="M11:T11"/>
    <mergeCell ref="U11:V11"/>
    <mergeCell ref="W11:AC11"/>
    <mergeCell ref="AD11:AF11"/>
    <mergeCell ref="C12:E12"/>
    <mergeCell ref="F12:L12"/>
    <mergeCell ref="M12:T12"/>
    <mergeCell ref="U12:V12"/>
    <mergeCell ref="W12:AC12"/>
    <mergeCell ref="AD12:AF12"/>
    <mergeCell ref="C13:E13"/>
    <mergeCell ref="F13:L13"/>
    <mergeCell ref="M13:T13"/>
    <mergeCell ref="U13:V13"/>
    <mergeCell ref="W13:AC13"/>
    <mergeCell ref="AD13:AF13"/>
    <mergeCell ref="C14:E14"/>
    <mergeCell ref="F14:L14"/>
    <mergeCell ref="M14:T14"/>
    <mergeCell ref="U14:V14"/>
    <mergeCell ref="W14:AC14"/>
    <mergeCell ref="AD14:AF14"/>
    <mergeCell ref="C15:E15"/>
    <mergeCell ref="F15:L15"/>
    <mergeCell ref="M15:T15"/>
    <mergeCell ref="U15:V15"/>
    <mergeCell ref="W15:AC15"/>
    <mergeCell ref="AD15:AF15"/>
    <mergeCell ref="C16:E16"/>
    <mergeCell ref="F16:L16"/>
    <mergeCell ref="M16:T16"/>
    <mergeCell ref="U16:V16"/>
    <mergeCell ref="W16:AC16"/>
    <mergeCell ref="AD16:AF16"/>
    <mergeCell ref="C17:E17"/>
    <mergeCell ref="F17:L17"/>
    <mergeCell ref="M17:T17"/>
    <mergeCell ref="U17:V17"/>
    <mergeCell ref="W17:AC17"/>
    <mergeCell ref="AD17:AF17"/>
    <mergeCell ref="C18:E18"/>
    <mergeCell ref="F18:L18"/>
    <mergeCell ref="M18:T18"/>
    <mergeCell ref="U18:V18"/>
    <mergeCell ref="W18:AC18"/>
    <mergeCell ref="AD18:AF18"/>
    <mergeCell ref="C19:E19"/>
    <mergeCell ref="F19:L19"/>
    <mergeCell ref="M19:T19"/>
    <mergeCell ref="U19:V19"/>
    <mergeCell ref="W19:AC19"/>
    <mergeCell ref="AD19:AF19"/>
    <mergeCell ref="C20:E20"/>
    <mergeCell ref="F20:L20"/>
    <mergeCell ref="M20:T20"/>
    <mergeCell ref="U20:V20"/>
    <mergeCell ref="W20:AC20"/>
    <mergeCell ref="AD20:AF20"/>
    <mergeCell ref="C21:E21"/>
    <mergeCell ref="F21:L21"/>
    <mergeCell ref="M21:T21"/>
    <mergeCell ref="U21:V21"/>
    <mergeCell ref="W21:AC21"/>
    <mergeCell ref="AD21:AF21"/>
    <mergeCell ref="C22:E22"/>
    <mergeCell ref="F22:L22"/>
    <mergeCell ref="M22:T22"/>
    <mergeCell ref="U22:V22"/>
    <mergeCell ref="W22:AC22"/>
    <mergeCell ref="AD22:AF22"/>
    <mergeCell ref="C23:E23"/>
    <mergeCell ref="F23:L23"/>
    <mergeCell ref="M23:T23"/>
    <mergeCell ref="U23:V23"/>
    <mergeCell ref="W23:AC23"/>
    <mergeCell ref="AD23:AF23"/>
    <mergeCell ref="C24:E24"/>
    <mergeCell ref="F24:L24"/>
    <mergeCell ref="M24:T24"/>
    <mergeCell ref="U24:V24"/>
    <mergeCell ref="W24:AC24"/>
    <mergeCell ref="AD24:AF24"/>
    <mergeCell ref="C25:E25"/>
    <mergeCell ref="F25:L25"/>
    <mergeCell ref="M25:T25"/>
    <mergeCell ref="U25:V25"/>
    <mergeCell ref="W25:AC25"/>
    <mergeCell ref="AD25:AF25"/>
    <mergeCell ref="C26:E26"/>
    <mergeCell ref="F26:L26"/>
    <mergeCell ref="M26:T26"/>
    <mergeCell ref="U26:V26"/>
    <mergeCell ref="W26:AC26"/>
    <mergeCell ref="AD26:AF26"/>
    <mergeCell ref="C27:E27"/>
    <mergeCell ref="F27:L27"/>
    <mergeCell ref="M27:T27"/>
    <mergeCell ref="U27:V27"/>
    <mergeCell ref="W27:AC27"/>
    <mergeCell ref="AD27:AF27"/>
    <mergeCell ref="C28:E28"/>
    <mergeCell ref="F28:L28"/>
    <mergeCell ref="M28:T28"/>
    <mergeCell ref="U28:V28"/>
    <mergeCell ref="W28:AC28"/>
    <mergeCell ref="AD28:AF28"/>
    <mergeCell ref="C29:E29"/>
    <mergeCell ref="F29:L29"/>
    <mergeCell ref="M29:T29"/>
    <mergeCell ref="U29:V29"/>
    <mergeCell ref="W29:AC29"/>
    <mergeCell ref="AD29:AF29"/>
    <mergeCell ref="C30:E30"/>
    <mergeCell ref="F30:L30"/>
    <mergeCell ref="M30:T30"/>
    <mergeCell ref="U30:V30"/>
    <mergeCell ref="W30:AC30"/>
    <mergeCell ref="AD30:AF30"/>
    <mergeCell ref="C31:E31"/>
    <mergeCell ref="F31:L31"/>
    <mergeCell ref="M31:T31"/>
    <mergeCell ref="U31:V31"/>
    <mergeCell ref="W31:AC31"/>
    <mergeCell ref="AD31:AF31"/>
    <mergeCell ref="C32:E32"/>
    <mergeCell ref="F32:L32"/>
    <mergeCell ref="M32:T32"/>
    <mergeCell ref="U32:V32"/>
    <mergeCell ref="W32:AC32"/>
    <mergeCell ref="AD32:AF32"/>
    <mergeCell ref="C33:E33"/>
    <mergeCell ref="F33:L33"/>
    <mergeCell ref="M33:T33"/>
    <mergeCell ref="U33:V33"/>
    <mergeCell ref="W33:AC33"/>
    <mergeCell ref="AD33:AF33"/>
    <mergeCell ref="C34:E34"/>
    <mergeCell ref="F34:L34"/>
    <mergeCell ref="M34:T34"/>
    <mergeCell ref="U34:V34"/>
    <mergeCell ref="W34:AC34"/>
    <mergeCell ref="AD34:AF34"/>
    <mergeCell ref="C35:E35"/>
    <mergeCell ref="F35:L35"/>
    <mergeCell ref="M35:T35"/>
    <mergeCell ref="U35:V35"/>
    <mergeCell ref="W35:AC35"/>
    <mergeCell ref="AD35:AF35"/>
    <mergeCell ref="C36:E36"/>
    <mergeCell ref="F36:L36"/>
    <mergeCell ref="M36:T36"/>
    <mergeCell ref="U36:V36"/>
    <mergeCell ref="W36:AC36"/>
    <mergeCell ref="AD36:AF36"/>
    <mergeCell ref="C37:E37"/>
    <mergeCell ref="F37:L37"/>
    <mergeCell ref="M37:T37"/>
    <mergeCell ref="U37:V37"/>
    <mergeCell ref="W37:AC37"/>
    <mergeCell ref="AD37:AF37"/>
    <mergeCell ref="C38:E38"/>
    <mergeCell ref="F38:L38"/>
    <mergeCell ref="M38:T38"/>
    <mergeCell ref="U38:V38"/>
    <mergeCell ref="W38:AC38"/>
    <mergeCell ref="AD38:AF38"/>
    <mergeCell ref="C39:E39"/>
    <mergeCell ref="F39:L39"/>
    <mergeCell ref="M39:T39"/>
    <mergeCell ref="U39:V39"/>
    <mergeCell ref="W39:AC39"/>
    <mergeCell ref="AD39:AF39"/>
    <mergeCell ref="C40:E40"/>
    <mergeCell ref="F40:L40"/>
    <mergeCell ref="M40:T40"/>
    <mergeCell ref="U40:V40"/>
    <mergeCell ref="W40:AC40"/>
    <mergeCell ref="AD40:AF40"/>
    <mergeCell ref="C41:E41"/>
    <mergeCell ref="F41:L41"/>
    <mergeCell ref="M41:T41"/>
    <mergeCell ref="U41:V41"/>
    <mergeCell ref="W41:AC41"/>
    <mergeCell ref="AD41:AF41"/>
    <mergeCell ref="C42:E42"/>
    <mergeCell ref="F42:L42"/>
    <mergeCell ref="M42:T42"/>
    <mergeCell ref="U42:V42"/>
    <mergeCell ref="W42:AC42"/>
    <mergeCell ref="AD42:AF42"/>
    <mergeCell ref="C43:E43"/>
    <mergeCell ref="F43:L43"/>
    <mergeCell ref="M43:T43"/>
    <mergeCell ref="U43:V43"/>
    <mergeCell ref="W43:AC43"/>
    <mergeCell ref="AD43:AF43"/>
    <mergeCell ref="C44:E44"/>
    <mergeCell ref="F44:L44"/>
    <mergeCell ref="M44:T44"/>
    <mergeCell ref="U44:V44"/>
    <mergeCell ref="W44:AC44"/>
    <mergeCell ref="AD44:AF44"/>
    <mergeCell ref="C45:E45"/>
    <mergeCell ref="F45:L45"/>
    <mergeCell ref="M45:T45"/>
    <mergeCell ref="U45:V45"/>
    <mergeCell ref="W45:AC45"/>
    <mergeCell ref="AD45:AF45"/>
    <mergeCell ref="C46:E46"/>
    <mergeCell ref="F46:L46"/>
    <mergeCell ref="M46:T46"/>
    <mergeCell ref="U46:V46"/>
    <mergeCell ref="W46:AC46"/>
    <mergeCell ref="AD46:AF46"/>
    <mergeCell ref="C47:E47"/>
    <mergeCell ref="F47:L47"/>
    <mergeCell ref="M47:T47"/>
    <mergeCell ref="U47:V47"/>
    <mergeCell ref="W47:AC47"/>
    <mergeCell ref="AD47:AF47"/>
    <mergeCell ref="C48:E48"/>
    <mergeCell ref="F48:L48"/>
    <mergeCell ref="M48:T48"/>
    <mergeCell ref="U48:V48"/>
    <mergeCell ref="W48:AC48"/>
    <mergeCell ref="AD48:AF48"/>
    <mergeCell ref="C49:E49"/>
    <mergeCell ref="F49:L49"/>
    <mergeCell ref="M49:T49"/>
    <mergeCell ref="U49:V49"/>
    <mergeCell ref="W49:AC49"/>
    <mergeCell ref="AD49:AF49"/>
    <mergeCell ref="C50:E50"/>
    <mergeCell ref="F50:L50"/>
    <mergeCell ref="M50:T50"/>
    <mergeCell ref="U50:V50"/>
    <mergeCell ref="W50:AC50"/>
    <mergeCell ref="AD50:AF50"/>
    <mergeCell ref="C51:E51"/>
    <mergeCell ref="F51:L51"/>
    <mergeCell ref="M51:T51"/>
    <mergeCell ref="U51:V51"/>
    <mergeCell ref="W51:AC51"/>
    <mergeCell ref="AD51:AF51"/>
    <mergeCell ref="B52:T52"/>
    <mergeCell ref="U52:V52"/>
    <mergeCell ref="W52:AC52"/>
    <mergeCell ref="AD52:AF52"/>
    <mergeCell ref="B54:AK54"/>
    <mergeCell ref="B56:C56"/>
    <mergeCell ref="D56:F56"/>
    <mergeCell ref="G56:L56"/>
    <mergeCell ref="M56:N56"/>
    <mergeCell ref="O56:Q56"/>
    <mergeCell ref="R56:AK56"/>
    <mergeCell ref="B57:C57"/>
    <mergeCell ref="D57:F57"/>
    <mergeCell ref="G57:L57"/>
    <mergeCell ref="M57:N57"/>
    <mergeCell ref="O57:Q57"/>
    <mergeCell ref="R57:AK57"/>
    <mergeCell ref="B58:C58"/>
    <mergeCell ref="D58:F58"/>
    <mergeCell ref="G58:L58"/>
    <mergeCell ref="M58:N58"/>
    <mergeCell ref="O58:Q58"/>
    <mergeCell ref="R58:AK58"/>
    <mergeCell ref="B59:C59"/>
    <mergeCell ref="D59:F59"/>
    <mergeCell ref="G59:L59"/>
    <mergeCell ref="M59:N59"/>
    <mergeCell ref="O59:Q59"/>
    <mergeCell ref="R59:AK59"/>
    <mergeCell ref="B60:C60"/>
    <mergeCell ref="D60:F60"/>
    <mergeCell ref="G60:L60"/>
    <mergeCell ref="M60:N60"/>
    <mergeCell ref="O60:Q60"/>
    <mergeCell ref="R60:AK60"/>
    <mergeCell ref="B61:C61"/>
    <mergeCell ref="D61:F61"/>
    <mergeCell ref="G61:L61"/>
    <mergeCell ref="M61:N61"/>
    <mergeCell ref="O61:Q61"/>
    <mergeCell ref="R61:AK61"/>
    <mergeCell ref="B62:C62"/>
    <mergeCell ref="D62:F62"/>
    <mergeCell ref="G62:L62"/>
    <mergeCell ref="M62:N62"/>
    <mergeCell ref="O62:Q62"/>
    <mergeCell ref="R62:AK62"/>
    <mergeCell ref="B64:AK64"/>
    <mergeCell ref="J2:P3"/>
    <mergeCell ref="Q2:U3"/>
    <mergeCell ref="V2:Y3"/>
    <mergeCell ref="Z2:AC3"/>
    <mergeCell ref="AD2:AG3"/>
    <mergeCell ref="AH2:AK3"/>
    <mergeCell ref="A2:I3"/>
  </mergeCells>
  <pageMargins left="0.75" right="0.75" top="1" bottom="1" header="0" footer="0"/>
  <pageSetup paperSize="1"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1000"/>
  <sheetViews>
    <sheetView showGridLines="0" tabSelected="1" topLeftCell="A68" workbookViewId="0">
      <selection activeCell="AX75" sqref="AX75"/>
    </sheetView>
  </sheetViews>
  <sheetFormatPr defaultColWidth="14.4285714285714" defaultRowHeight="15" customHeight="1"/>
  <cols>
    <col min="1" max="69" width="4" customWidth="1"/>
  </cols>
  <sheetData>
    <row r="1" ht="22.5" customHeight="1" spans="1:69">
      <c r="A1" s="1" t="s">
        <v>237</v>
      </c>
      <c r="B1" s="2"/>
      <c r="C1" s="2"/>
      <c r="D1" s="2"/>
      <c r="E1" s="3"/>
      <c r="F1" s="4" t="s">
        <v>238</v>
      </c>
      <c r="G1" s="2"/>
      <c r="H1" s="2"/>
      <c r="I1" s="2"/>
      <c r="J1" s="2"/>
      <c r="K1" s="2"/>
      <c r="L1" s="2"/>
      <c r="M1" s="2"/>
      <c r="N1" s="2"/>
      <c r="O1" s="2"/>
      <c r="P1" s="2"/>
      <c r="Q1" s="3"/>
      <c r="R1" s="1" t="s">
        <v>239</v>
      </c>
      <c r="S1" s="2"/>
      <c r="T1" s="2"/>
      <c r="U1" s="2"/>
      <c r="V1" s="3"/>
      <c r="W1" s="4" t="s">
        <v>240</v>
      </c>
      <c r="X1" s="2"/>
      <c r="Y1" s="2"/>
      <c r="Z1" s="2"/>
      <c r="AA1" s="2"/>
      <c r="AB1" s="2"/>
      <c r="AC1" s="2"/>
      <c r="AD1" s="2"/>
      <c r="AE1" s="2"/>
      <c r="AF1" s="2"/>
      <c r="AG1" s="2"/>
      <c r="AH1" s="3"/>
    </row>
    <row r="2" ht="22.5" customHeight="1" spans="1:69">
      <c r="A2" s="1" t="s">
        <v>27</v>
      </c>
      <c r="B2" s="2"/>
      <c r="C2" s="2"/>
      <c r="D2" s="2"/>
      <c r="E2" s="3"/>
      <c r="F2" s="4" t="s">
        <v>16</v>
      </c>
      <c r="G2" s="2"/>
      <c r="H2" s="2"/>
      <c r="I2" s="2"/>
      <c r="J2" s="2"/>
      <c r="K2" s="2"/>
      <c r="L2" s="2"/>
      <c r="M2" s="2"/>
      <c r="N2" s="2"/>
      <c r="O2" s="2"/>
      <c r="P2" s="2"/>
      <c r="Q2" s="3"/>
      <c r="R2" s="1" t="s">
        <v>26</v>
      </c>
      <c r="S2" s="2"/>
      <c r="T2" s="2"/>
      <c r="U2" s="2"/>
      <c r="V2" s="3"/>
      <c r="W2" s="5" t="s">
        <v>8</v>
      </c>
      <c r="X2" s="2"/>
      <c r="Y2" s="2"/>
      <c r="Z2" s="2"/>
      <c r="AA2" s="2"/>
      <c r="AB2" s="2"/>
      <c r="AC2" s="2"/>
      <c r="AD2" s="2"/>
      <c r="AE2" s="2"/>
      <c r="AF2" s="2"/>
      <c r="AG2" s="2"/>
      <c r="AH2" s="3"/>
    </row>
    <row r="3" ht="22.5" customHeight="1" spans="1:69">
      <c r="A3" s="1" t="s">
        <v>13</v>
      </c>
      <c r="B3" s="2"/>
      <c r="C3" s="2"/>
      <c r="D3" s="2"/>
      <c r="E3" s="3"/>
      <c r="F3" s="4" t="s">
        <v>18</v>
      </c>
      <c r="G3" s="2"/>
      <c r="H3" s="2"/>
      <c r="I3" s="2"/>
      <c r="J3" s="2"/>
      <c r="K3" s="2"/>
      <c r="L3" s="2"/>
      <c r="M3" s="2"/>
      <c r="N3" s="2"/>
      <c r="O3" s="2"/>
      <c r="P3" s="2"/>
      <c r="Q3" s="3"/>
      <c r="R3" s="1" t="s">
        <v>241</v>
      </c>
      <c r="S3" s="2"/>
      <c r="T3" s="2"/>
      <c r="U3" s="2"/>
      <c r="V3" s="3"/>
      <c r="W3" s="5"/>
      <c r="X3" s="2"/>
      <c r="Y3" s="2"/>
      <c r="Z3" s="2"/>
      <c r="AA3" s="2"/>
      <c r="AB3" s="2"/>
      <c r="AC3" s="2"/>
      <c r="AD3" s="2"/>
      <c r="AE3" s="2"/>
      <c r="AF3" s="2"/>
      <c r="AG3" s="2"/>
      <c r="AH3" s="3"/>
    </row>
    <row r="4" ht="22.5" customHeight="1" spans="1:69">
      <c r="A4" s="1" t="s">
        <v>242</v>
      </c>
      <c r="B4" s="2"/>
      <c r="C4" s="2"/>
      <c r="D4" s="2"/>
      <c r="E4" s="3"/>
      <c r="F4" s="4" t="s">
        <v>243</v>
      </c>
      <c r="G4" s="2"/>
      <c r="H4" s="2"/>
      <c r="I4" s="2"/>
      <c r="J4" s="2"/>
      <c r="K4" s="2"/>
      <c r="L4" s="2"/>
      <c r="M4" s="2"/>
      <c r="N4" s="2"/>
      <c r="O4" s="2"/>
      <c r="P4" s="2"/>
      <c r="Q4" s="2"/>
      <c r="R4" s="2"/>
      <c r="S4" s="2"/>
      <c r="T4" s="2"/>
      <c r="U4" s="2"/>
      <c r="V4" s="2"/>
      <c r="W4" s="2"/>
      <c r="X4" s="2"/>
      <c r="Y4" s="2"/>
      <c r="Z4" s="2"/>
      <c r="AA4" s="2"/>
      <c r="AB4" s="2"/>
      <c r="AC4" s="2"/>
      <c r="AD4" s="2"/>
      <c r="AE4" s="2"/>
      <c r="AF4" s="2"/>
      <c r="AG4" s="2"/>
      <c r="AH4" s="3"/>
    </row>
    <row r="5" ht="22.5" customHeight="1" spans="1:69">
      <c r="A5" s="1" t="s">
        <v>244</v>
      </c>
      <c r="B5" s="2"/>
      <c r="C5" s="2"/>
      <c r="D5" s="2"/>
      <c r="E5" s="2"/>
      <c r="F5" s="2"/>
      <c r="G5" s="2"/>
      <c r="H5" s="2"/>
      <c r="I5" s="2"/>
      <c r="J5" s="2"/>
      <c r="K5" s="2"/>
      <c r="L5" s="2"/>
      <c r="M5" s="2"/>
      <c r="N5" s="2"/>
      <c r="O5" s="2"/>
      <c r="P5" s="2"/>
      <c r="Q5" s="2"/>
      <c r="R5" s="2"/>
      <c r="S5" s="3"/>
      <c r="T5" s="1" t="s">
        <v>57</v>
      </c>
      <c r="U5" s="2"/>
      <c r="V5" s="2"/>
      <c r="W5" s="2"/>
      <c r="X5" s="2"/>
      <c r="Y5" s="2"/>
      <c r="Z5" s="2"/>
      <c r="AA5" s="2"/>
      <c r="AB5" s="2"/>
      <c r="AC5" s="2"/>
      <c r="AD5" s="2"/>
      <c r="AE5" s="2"/>
      <c r="AF5" s="2"/>
      <c r="AG5" s="2"/>
      <c r="AH5" s="3"/>
    </row>
    <row r="6" ht="22.5" customHeight="1" spans="1:69">
      <c r="A6" s="1" t="s">
        <v>245</v>
      </c>
      <c r="B6" s="2"/>
      <c r="C6" s="2"/>
      <c r="D6" s="2"/>
      <c r="E6" s="2"/>
      <c r="F6" s="2"/>
      <c r="G6" s="3"/>
      <c r="H6" s="1" t="s">
        <v>58</v>
      </c>
      <c r="I6" s="2"/>
      <c r="J6" s="3"/>
      <c r="K6" s="1" t="s">
        <v>59</v>
      </c>
      <c r="L6" s="2"/>
      <c r="M6" s="3"/>
      <c r="N6" s="1" t="s">
        <v>246</v>
      </c>
      <c r="O6" s="2"/>
      <c r="P6" s="3"/>
      <c r="Q6" s="1" t="s">
        <v>56</v>
      </c>
      <c r="R6" s="2"/>
      <c r="S6" s="3"/>
      <c r="T6" s="1" t="s">
        <v>61</v>
      </c>
      <c r="U6" s="2"/>
      <c r="V6" s="3"/>
      <c r="W6" s="1" t="s">
        <v>62</v>
      </c>
      <c r="X6" s="2"/>
      <c r="Y6" s="3"/>
      <c r="Z6" s="1" t="s">
        <v>63</v>
      </c>
      <c r="AA6" s="2"/>
      <c r="AB6" s="3"/>
      <c r="AC6" s="1" t="s">
        <v>64</v>
      </c>
      <c r="AD6" s="2"/>
      <c r="AE6" s="3"/>
      <c r="AF6" s="1" t="s">
        <v>56</v>
      </c>
      <c r="AG6" s="2"/>
      <c r="AH6" s="3"/>
    </row>
    <row r="7" ht="22.5" customHeight="1" spans="1:69">
      <c r="A7" s="1" t="s">
        <v>247</v>
      </c>
      <c r="B7" s="2"/>
      <c r="C7" s="2"/>
      <c r="D7" s="2"/>
      <c r="E7" s="2"/>
      <c r="F7" s="2"/>
      <c r="G7" s="3"/>
      <c r="H7" s="6">
        <f t="shared" ref="H7:H8" si="0">COUNTIF($AE$12:$AF$1049,"N")</f>
        <v>26</v>
      </c>
      <c r="I7" s="2"/>
      <c r="J7" s="3"/>
      <c r="K7" s="6">
        <f t="shared" ref="K7:K8" si="1">COUNTIF($AE$12:$AF$1049,"A")</f>
        <v>19</v>
      </c>
      <c r="L7" s="2"/>
      <c r="M7" s="3"/>
      <c r="N7" s="6">
        <f t="shared" ref="N7:N8" si="2">COUNTIF($AE$12:$AF$1049,"B")</f>
        <v>5</v>
      </c>
      <c r="O7" s="2"/>
      <c r="P7" s="3"/>
      <c r="Q7" s="7">
        <f t="shared" ref="Q7:Q8" si="3">SUM(H7:P7)</f>
        <v>50</v>
      </c>
      <c r="R7" s="2"/>
      <c r="S7" s="3"/>
      <c r="T7" s="6">
        <f>COUNTIF($AG$12:$AI$1049,T$6)</f>
        <v>43</v>
      </c>
      <c r="U7" s="2"/>
      <c r="V7" s="3"/>
      <c r="W7" s="6">
        <f>COUNTIF($AG$12:$AI$1049,W$6)</f>
        <v>0</v>
      </c>
      <c r="X7" s="2"/>
      <c r="Y7" s="3"/>
      <c r="Z7" s="6">
        <f>COUNTIF($AG$12:$AI$1049,Z$6)</f>
        <v>5</v>
      </c>
      <c r="AA7" s="2"/>
      <c r="AB7" s="3"/>
      <c r="AC7" s="6">
        <f>COUNTIF($AG$12:$AI$1049,AC$6)</f>
        <v>2</v>
      </c>
      <c r="AD7" s="2"/>
      <c r="AE7" s="3"/>
      <c r="AF7" s="7">
        <f t="shared" ref="AF7:AF8" si="4">SUM(T7:AE7)</f>
        <v>50</v>
      </c>
      <c r="AG7" s="2"/>
      <c r="AH7" s="3"/>
    </row>
    <row r="8" ht="22.5" customHeight="1" spans="1:69">
      <c r="A8" s="1" t="s">
        <v>248</v>
      </c>
      <c r="B8" s="2"/>
      <c r="C8" s="2"/>
      <c r="D8" s="2"/>
      <c r="E8" s="2"/>
      <c r="F8" s="2"/>
      <c r="G8" s="3"/>
      <c r="H8" s="6">
        <f t="shared" si="0"/>
        <v>26</v>
      </c>
      <c r="I8" s="2"/>
      <c r="J8" s="3"/>
      <c r="K8" s="6">
        <f t="shared" si="1"/>
        <v>19</v>
      </c>
      <c r="L8" s="2"/>
      <c r="M8" s="3"/>
      <c r="N8" s="6">
        <f t="shared" si="2"/>
        <v>5</v>
      </c>
      <c r="O8" s="2"/>
      <c r="P8" s="3"/>
      <c r="Q8" s="7">
        <f t="shared" si="3"/>
        <v>50</v>
      </c>
      <c r="R8" s="2"/>
      <c r="S8" s="3"/>
      <c r="T8" s="6">
        <f>COUNTIF($AV$12:$AX$1049,T$6)</f>
        <v>47</v>
      </c>
      <c r="U8" s="2"/>
      <c r="V8" s="3"/>
      <c r="W8" s="6">
        <f>COUNTIF($AV$12:$AX$1049,W$6)</f>
        <v>0</v>
      </c>
      <c r="X8" s="2"/>
      <c r="Y8" s="3"/>
      <c r="Z8" s="6">
        <f>COUNTIF($AV$12:$AX$1049,Z$6)</f>
        <v>0</v>
      </c>
      <c r="AA8" s="2"/>
      <c r="AB8" s="3"/>
      <c r="AC8" s="6">
        <f>COUNTIF($AV$12:$AX$1049,AC$6)</f>
        <v>3</v>
      </c>
      <c r="AD8" s="2"/>
      <c r="AE8" s="3"/>
      <c r="AF8" s="7">
        <f t="shared" si="4"/>
        <v>50</v>
      </c>
      <c r="AG8" s="2"/>
      <c r="AH8" s="3"/>
    </row>
    <row r="9" ht="12.75" customHeight="1"/>
    <row r="10" ht="36" customHeight="1" spans="1:69">
      <c r="A10" s="8" t="s">
        <v>53</v>
      </c>
      <c r="B10" s="9" t="s">
        <v>249</v>
      </c>
      <c r="C10" s="10"/>
      <c r="D10" s="11"/>
      <c r="E10" s="9" t="s">
        <v>250</v>
      </c>
      <c r="F10" s="10"/>
      <c r="G10" s="10"/>
      <c r="H10" s="10"/>
      <c r="I10" s="11"/>
      <c r="J10" s="9" t="s">
        <v>251</v>
      </c>
      <c r="K10" s="10"/>
      <c r="L10" s="10"/>
      <c r="M10" s="10"/>
      <c r="N10" s="10"/>
      <c r="O10" s="10"/>
      <c r="P10" s="11"/>
      <c r="Q10" s="9" t="s">
        <v>252</v>
      </c>
      <c r="R10" s="10"/>
      <c r="S10" s="10"/>
      <c r="T10" s="10"/>
      <c r="U10" s="10"/>
      <c r="V10" s="10"/>
      <c r="W10" s="11"/>
      <c r="X10" s="9" t="s">
        <v>253</v>
      </c>
      <c r="Y10" s="10"/>
      <c r="Z10" s="10"/>
      <c r="AA10" s="10"/>
      <c r="AB10" s="10"/>
      <c r="AC10" s="10"/>
      <c r="AD10" s="11"/>
      <c r="AE10" s="9" t="s">
        <v>254</v>
      </c>
      <c r="AF10" s="11"/>
      <c r="AG10" s="1" t="s">
        <v>255</v>
      </c>
      <c r="AH10" s="2"/>
      <c r="AI10" s="2"/>
      <c r="AJ10" s="2"/>
      <c r="AK10" s="2"/>
      <c r="AL10" s="2"/>
      <c r="AM10" s="2"/>
      <c r="AN10" s="2"/>
      <c r="AO10" s="2"/>
      <c r="AP10" s="2"/>
      <c r="AQ10" s="2"/>
      <c r="AR10" s="2"/>
      <c r="AS10" s="2"/>
      <c r="AT10" s="2"/>
      <c r="AU10" s="3"/>
      <c r="AV10" s="1" t="s">
        <v>256</v>
      </c>
      <c r="AW10" s="2"/>
      <c r="AX10" s="2"/>
      <c r="AY10" s="2"/>
      <c r="AZ10" s="2"/>
      <c r="BA10" s="2"/>
      <c r="BB10" s="2"/>
      <c r="BC10" s="2"/>
      <c r="BD10" s="2"/>
      <c r="BE10" s="2"/>
      <c r="BF10" s="2"/>
      <c r="BG10" s="2"/>
      <c r="BH10" s="2"/>
      <c r="BI10" s="2"/>
      <c r="BJ10" s="3"/>
      <c r="BK10" s="9" t="s">
        <v>257</v>
      </c>
      <c r="BL10" s="10"/>
      <c r="BM10" s="10"/>
      <c r="BN10" s="10"/>
      <c r="BO10" s="10"/>
      <c r="BP10" s="10"/>
      <c r="BQ10" s="11"/>
    </row>
    <row r="11" ht="36" customHeight="1" spans="1:69">
      <c r="A11" s="12"/>
      <c r="B11" s="13"/>
      <c r="C11" s="14"/>
      <c r="D11" s="15"/>
      <c r="E11" s="13"/>
      <c r="F11" s="14"/>
      <c r="G11" s="14"/>
      <c r="H11" s="14"/>
      <c r="I11" s="15"/>
      <c r="J11" s="13"/>
      <c r="K11" s="14"/>
      <c r="L11" s="14"/>
      <c r="M11" s="14"/>
      <c r="N11" s="14"/>
      <c r="O11" s="14"/>
      <c r="P11" s="15"/>
      <c r="Q11" s="13"/>
      <c r="R11" s="14"/>
      <c r="S11" s="14"/>
      <c r="T11" s="14"/>
      <c r="U11" s="14"/>
      <c r="V11" s="14"/>
      <c r="W11" s="15"/>
      <c r="X11" s="13"/>
      <c r="Y11" s="14"/>
      <c r="Z11" s="14"/>
      <c r="AA11" s="14"/>
      <c r="AB11" s="14"/>
      <c r="AC11" s="14"/>
      <c r="AD11" s="15"/>
      <c r="AE11" s="13"/>
      <c r="AF11" s="15"/>
      <c r="AG11" s="1" t="s">
        <v>258</v>
      </c>
      <c r="AH11" s="2"/>
      <c r="AI11" s="3"/>
      <c r="AJ11" s="1" t="s">
        <v>259</v>
      </c>
      <c r="AK11" s="2"/>
      <c r="AL11" s="3"/>
      <c r="AM11" s="1" t="s">
        <v>11</v>
      </c>
      <c r="AN11" s="2"/>
      <c r="AO11" s="3"/>
      <c r="AP11" s="1" t="s">
        <v>260</v>
      </c>
      <c r="AQ11" s="2"/>
      <c r="AR11" s="3"/>
      <c r="AS11" s="1" t="s">
        <v>261</v>
      </c>
      <c r="AT11" s="2"/>
      <c r="AU11" s="3"/>
      <c r="AV11" s="1" t="s">
        <v>258</v>
      </c>
      <c r="AW11" s="2"/>
      <c r="AX11" s="3"/>
      <c r="AY11" s="1" t="s">
        <v>259</v>
      </c>
      <c r="AZ11" s="2"/>
      <c r="BA11" s="3"/>
      <c r="BB11" s="1" t="s">
        <v>11</v>
      </c>
      <c r="BC11" s="2"/>
      <c r="BD11" s="3"/>
      <c r="BE11" s="1" t="s">
        <v>260</v>
      </c>
      <c r="BF11" s="2"/>
      <c r="BG11" s="3"/>
      <c r="BH11" s="1" t="s">
        <v>261</v>
      </c>
      <c r="BI11" s="2"/>
      <c r="BJ11" s="3"/>
      <c r="BK11" s="13"/>
      <c r="BL11" s="14"/>
      <c r="BM11" s="14"/>
      <c r="BN11" s="14"/>
      <c r="BO11" s="14"/>
      <c r="BP11" s="14"/>
      <c r="BQ11" s="15"/>
    </row>
    <row r="12" ht="22.5" customHeight="1" spans="1:69">
      <c r="A12" s="16" t="s">
        <v>262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3"/>
    </row>
    <row r="13" ht="336" customHeight="1" spans="1:69">
      <c r="A13" s="17">
        <v>1</v>
      </c>
      <c r="B13" s="18" t="s">
        <v>263</v>
      </c>
      <c r="C13" s="2"/>
      <c r="D13" s="3"/>
      <c r="E13" s="18" t="s">
        <v>264</v>
      </c>
      <c r="F13" s="2"/>
      <c r="G13" s="2"/>
      <c r="H13" s="2"/>
      <c r="I13" s="3"/>
      <c r="J13" s="18" t="s">
        <v>265</v>
      </c>
      <c r="K13" s="2"/>
      <c r="L13" s="2"/>
      <c r="M13" s="2"/>
      <c r="N13" s="2"/>
      <c r="O13" s="2"/>
      <c r="P13" s="3"/>
      <c r="Q13" s="18" t="s">
        <v>266</v>
      </c>
      <c r="R13" s="2"/>
      <c r="S13" s="2"/>
      <c r="T13" s="2"/>
      <c r="U13" s="2"/>
      <c r="V13" s="2"/>
      <c r="W13" s="3"/>
      <c r="X13" s="18" t="s">
        <v>267</v>
      </c>
      <c r="Y13" s="2"/>
      <c r="Z13" s="2"/>
      <c r="AA13" s="2"/>
      <c r="AB13" s="2"/>
      <c r="AC13" s="2"/>
      <c r="AD13" s="3"/>
      <c r="AE13" s="19" t="s">
        <v>211</v>
      </c>
      <c r="AF13" s="3"/>
      <c r="AG13" s="20" t="s">
        <v>61</v>
      </c>
      <c r="AH13" s="2"/>
      <c r="AI13" s="3"/>
      <c r="AJ13" s="19"/>
      <c r="AK13" s="2"/>
      <c r="AL13" s="3"/>
      <c r="AM13" s="20" t="s">
        <v>268</v>
      </c>
      <c r="AN13" s="2"/>
      <c r="AO13" s="3"/>
      <c r="AP13" s="21">
        <v>46192</v>
      </c>
      <c r="AQ13" s="2"/>
      <c r="AR13" s="3"/>
      <c r="AS13" s="19"/>
      <c r="AT13" s="2"/>
      <c r="AU13" s="3"/>
      <c r="AV13" s="19" t="s">
        <v>61</v>
      </c>
      <c r="AW13" s="2"/>
      <c r="AX13" s="3"/>
      <c r="AY13" s="19"/>
      <c r="AZ13" s="2"/>
      <c r="BA13" s="3"/>
      <c r="BB13" s="19" t="s">
        <v>269</v>
      </c>
      <c r="BC13" s="2"/>
      <c r="BD13" s="3"/>
      <c r="BE13" s="21">
        <v>46246</v>
      </c>
      <c r="BF13" s="2"/>
      <c r="BG13" s="3"/>
      <c r="BH13" s="19"/>
      <c r="BI13" s="2"/>
      <c r="BJ13" s="3"/>
      <c r="BK13" s="18"/>
      <c r="BL13" s="2"/>
      <c r="BM13" s="2"/>
      <c r="BN13" s="2"/>
      <c r="BO13" s="2"/>
      <c r="BP13" s="2"/>
      <c r="BQ13" s="3"/>
    </row>
    <row r="14" ht="336" customHeight="1" spans="1:69">
      <c r="A14" s="17">
        <v>2</v>
      </c>
      <c r="B14" s="18" t="s">
        <v>270</v>
      </c>
      <c r="C14" s="2"/>
      <c r="D14" s="3"/>
      <c r="E14" s="18" t="s">
        <v>271</v>
      </c>
      <c r="F14" s="2"/>
      <c r="G14" s="2"/>
      <c r="H14" s="2"/>
      <c r="I14" s="3"/>
      <c r="J14" s="18" t="s">
        <v>272</v>
      </c>
      <c r="K14" s="2"/>
      <c r="L14" s="2"/>
      <c r="M14" s="2"/>
      <c r="N14" s="2"/>
      <c r="O14" s="2"/>
      <c r="P14" s="3"/>
      <c r="Q14" s="18" t="s">
        <v>273</v>
      </c>
      <c r="R14" s="2"/>
      <c r="S14" s="2"/>
      <c r="T14" s="2"/>
      <c r="U14" s="2"/>
      <c r="V14" s="2"/>
      <c r="W14" s="3"/>
      <c r="X14" s="18" t="s">
        <v>274</v>
      </c>
      <c r="Y14" s="2"/>
      <c r="Z14" s="2"/>
      <c r="AA14" s="2"/>
      <c r="AB14" s="2"/>
      <c r="AC14" s="2"/>
      <c r="AD14" s="3"/>
      <c r="AE14" s="19" t="s">
        <v>211</v>
      </c>
      <c r="AF14" s="3"/>
      <c r="AG14" s="20" t="s">
        <v>61</v>
      </c>
      <c r="AH14" s="2"/>
      <c r="AI14" s="3"/>
      <c r="AJ14" s="19"/>
      <c r="AK14" s="2"/>
      <c r="AL14" s="3"/>
      <c r="AM14" s="20" t="s">
        <v>268</v>
      </c>
      <c r="AN14" s="2"/>
      <c r="AO14" s="3"/>
      <c r="AP14" s="21">
        <v>46192</v>
      </c>
      <c r="AQ14" s="2"/>
      <c r="AR14" s="3"/>
      <c r="AS14" s="19"/>
      <c r="AT14" s="2"/>
      <c r="AU14" s="3"/>
      <c r="AV14" s="19" t="s">
        <v>61</v>
      </c>
      <c r="AW14" s="2"/>
      <c r="AX14" s="3"/>
      <c r="AY14" s="19"/>
      <c r="AZ14" s="2"/>
      <c r="BA14" s="3"/>
      <c r="BB14" s="19" t="s">
        <v>269</v>
      </c>
      <c r="BC14" s="2"/>
      <c r="BD14" s="3"/>
      <c r="BE14" s="21">
        <v>46246</v>
      </c>
      <c r="BF14" s="2"/>
      <c r="BG14" s="3"/>
      <c r="BH14" s="19"/>
      <c r="BI14" s="2"/>
      <c r="BJ14" s="3"/>
      <c r="BK14" s="18"/>
      <c r="BL14" s="2"/>
      <c r="BM14" s="2"/>
      <c r="BN14" s="2"/>
      <c r="BO14" s="2"/>
      <c r="BP14" s="2"/>
      <c r="BQ14" s="3"/>
    </row>
    <row r="15" ht="240" customHeight="1" spans="1:69">
      <c r="A15" s="17">
        <v>3</v>
      </c>
      <c r="B15" s="18" t="s">
        <v>275</v>
      </c>
      <c r="C15" s="2"/>
      <c r="D15" s="3"/>
      <c r="E15" s="18" t="s">
        <v>276</v>
      </c>
      <c r="F15" s="2"/>
      <c r="G15" s="2"/>
      <c r="H15" s="2"/>
      <c r="I15" s="3"/>
      <c r="J15" s="18" t="s">
        <v>277</v>
      </c>
      <c r="K15" s="2"/>
      <c r="L15" s="2"/>
      <c r="M15" s="2"/>
      <c r="N15" s="2"/>
      <c r="O15" s="2"/>
      <c r="P15" s="3"/>
      <c r="Q15" s="18" t="s">
        <v>278</v>
      </c>
      <c r="R15" s="2"/>
      <c r="S15" s="2"/>
      <c r="T15" s="2"/>
      <c r="U15" s="2"/>
      <c r="V15" s="2"/>
      <c r="W15" s="3"/>
      <c r="X15" s="18" t="s">
        <v>279</v>
      </c>
      <c r="Y15" s="2"/>
      <c r="Z15" s="2"/>
      <c r="AA15" s="2"/>
      <c r="AB15" s="2"/>
      <c r="AC15" s="2"/>
      <c r="AD15" s="3"/>
      <c r="AE15" s="19" t="s">
        <v>280</v>
      </c>
      <c r="AF15" s="3"/>
      <c r="AG15" s="20" t="s">
        <v>61</v>
      </c>
      <c r="AH15" s="2"/>
      <c r="AI15" s="3"/>
      <c r="AJ15" s="19"/>
      <c r="AK15" s="2"/>
      <c r="AL15" s="3"/>
      <c r="AM15" s="20" t="s">
        <v>268</v>
      </c>
      <c r="AN15" s="2"/>
      <c r="AO15" s="3"/>
      <c r="AP15" s="21">
        <v>46192</v>
      </c>
      <c r="AQ15" s="2"/>
      <c r="AR15" s="3"/>
      <c r="AS15" s="19"/>
      <c r="AT15" s="2"/>
      <c r="AU15" s="3"/>
      <c r="AV15" s="19" t="s">
        <v>61</v>
      </c>
      <c r="AW15" s="2"/>
      <c r="AX15" s="3"/>
      <c r="AY15" s="19"/>
      <c r="AZ15" s="2"/>
      <c r="BA15" s="3"/>
      <c r="BB15" s="19" t="s">
        <v>269</v>
      </c>
      <c r="BC15" s="2"/>
      <c r="BD15" s="3"/>
      <c r="BE15" s="21">
        <v>46246</v>
      </c>
      <c r="BF15" s="2"/>
      <c r="BG15" s="3"/>
      <c r="BH15" s="19"/>
      <c r="BI15" s="2"/>
      <c r="BJ15" s="3"/>
      <c r="BK15" s="18"/>
      <c r="BL15" s="2"/>
      <c r="BM15" s="2"/>
      <c r="BN15" s="2"/>
      <c r="BO15" s="2"/>
      <c r="BP15" s="2"/>
      <c r="BQ15" s="3"/>
    </row>
    <row r="16" ht="240" customHeight="1" spans="1:69">
      <c r="A16" s="17">
        <v>4</v>
      </c>
      <c r="B16" s="18" t="s">
        <v>281</v>
      </c>
      <c r="C16" s="2"/>
      <c r="D16" s="3"/>
      <c r="E16" s="18" t="s">
        <v>282</v>
      </c>
      <c r="F16" s="2"/>
      <c r="G16" s="2"/>
      <c r="H16" s="2"/>
      <c r="I16" s="3"/>
      <c r="J16" s="18" t="s">
        <v>283</v>
      </c>
      <c r="K16" s="2"/>
      <c r="L16" s="2"/>
      <c r="M16" s="2"/>
      <c r="N16" s="2"/>
      <c r="O16" s="2"/>
      <c r="P16" s="3"/>
      <c r="Q16" s="18" t="s">
        <v>278</v>
      </c>
      <c r="R16" s="2"/>
      <c r="S16" s="2"/>
      <c r="T16" s="2"/>
      <c r="U16" s="2"/>
      <c r="V16" s="2"/>
      <c r="W16" s="3"/>
      <c r="X16" s="18" t="s">
        <v>284</v>
      </c>
      <c r="Y16" s="2"/>
      <c r="Z16" s="2"/>
      <c r="AA16" s="2"/>
      <c r="AB16" s="2"/>
      <c r="AC16" s="2"/>
      <c r="AD16" s="3"/>
      <c r="AE16" s="19" t="s">
        <v>280</v>
      </c>
      <c r="AF16" s="3"/>
      <c r="AG16" s="20" t="s">
        <v>61</v>
      </c>
      <c r="AH16" s="2"/>
      <c r="AI16" s="3"/>
      <c r="AJ16" s="19"/>
      <c r="AK16" s="2"/>
      <c r="AL16" s="3"/>
      <c r="AM16" s="20" t="s">
        <v>268</v>
      </c>
      <c r="AN16" s="2"/>
      <c r="AO16" s="3"/>
      <c r="AP16" s="21">
        <v>46192</v>
      </c>
      <c r="AQ16" s="2"/>
      <c r="AR16" s="3"/>
      <c r="AS16" s="19"/>
      <c r="AT16" s="2"/>
      <c r="AU16" s="3"/>
      <c r="AV16" s="19" t="s">
        <v>61</v>
      </c>
      <c r="AW16" s="2"/>
      <c r="AX16" s="3"/>
      <c r="AY16" s="19"/>
      <c r="AZ16" s="2"/>
      <c r="BA16" s="3"/>
      <c r="BB16" s="19" t="s">
        <v>269</v>
      </c>
      <c r="BC16" s="2"/>
      <c r="BD16" s="3"/>
      <c r="BE16" s="21">
        <v>46246</v>
      </c>
      <c r="BF16" s="2"/>
      <c r="BG16" s="3"/>
      <c r="BH16" s="19"/>
      <c r="BI16" s="2"/>
      <c r="BJ16" s="3"/>
      <c r="BK16" s="18"/>
      <c r="BL16" s="2"/>
      <c r="BM16" s="2"/>
      <c r="BN16" s="2"/>
      <c r="BO16" s="2"/>
      <c r="BP16" s="2"/>
      <c r="BQ16" s="3"/>
    </row>
    <row r="17" ht="288" customHeight="1" spans="1:69">
      <c r="A17" s="17">
        <v>5</v>
      </c>
      <c r="B17" s="18" t="s">
        <v>285</v>
      </c>
      <c r="C17" s="2"/>
      <c r="D17" s="3"/>
      <c r="E17" s="18" t="s">
        <v>286</v>
      </c>
      <c r="F17" s="2"/>
      <c r="G17" s="2"/>
      <c r="H17" s="2"/>
      <c r="I17" s="3"/>
      <c r="J17" s="18" t="s">
        <v>287</v>
      </c>
      <c r="K17" s="2"/>
      <c r="L17" s="2"/>
      <c r="M17" s="2"/>
      <c r="N17" s="2"/>
      <c r="O17" s="2"/>
      <c r="P17" s="3"/>
      <c r="Q17" s="18" t="s">
        <v>288</v>
      </c>
      <c r="R17" s="2"/>
      <c r="S17" s="2"/>
      <c r="T17" s="2"/>
      <c r="U17" s="2"/>
      <c r="V17" s="2"/>
      <c r="W17" s="3"/>
      <c r="X17" s="18" t="s">
        <v>289</v>
      </c>
      <c r="Y17" s="2"/>
      <c r="Z17" s="2"/>
      <c r="AA17" s="2"/>
      <c r="AB17" s="2"/>
      <c r="AC17" s="2"/>
      <c r="AD17" s="3"/>
      <c r="AE17" s="19" t="s">
        <v>280</v>
      </c>
      <c r="AF17" s="3"/>
      <c r="AG17" s="20" t="s">
        <v>61</v>
      </c>
      <c r="AH17" s="2"/>
      <c r="AI17" s="3"/>
      <c r="AJ17" s="19"/>
      <c r="AK17" s="2"/>
      <c r="AL17" s="3"/>
      <c r="AM17" s="20" t="s">
        <v>268</v>
      </c>
      <c r="AN17" s="2"/>
      <c r="AO17" s="3"/>
      <c r="AP17" s="21">
        <v>46192</v>
      </c>
      <c r="AQ17" s="2"/>
      <c r="AR17" s="3"/>
      <c r="AS17" s="19"/>
      <c r="AT17" s="2"/>
      <c r="AU17" s="3"/>
      <c r="AV17" s="19" t="s">
        <v>61</v>
      </c>
      <c r="AW17" s="2"/>
      <c r="AX17" s="3"/>
      <c r="AY17" s="19"/>
      <c r="AZ17" s="2"/>
      <c r="BA17" s="3"/>
      <c r="BB17" s="19" t="s">
        <v>269</v>
      </c>
      <c r="BC17" s="2"/>
      <c r="BD17" s="3"/>
      <c r="BE17" s="21">
        <v>46246</v>
      </c>
      <c r="BF17" s="2"/>
      <c r="BG17" s="3"/>
      <c r="BH17" s="19"/>
      <c r="BI17" s="2"/>
      <c r="BJ17" s="3"/>
      <c r="BK17" s="18"/>
      <c r="BL17" s="2"/>
      <c r="BM17" s="2"/>
      <c r="BN17" s="2"/>
      <c r="BO17" s="2"/>
      <c r="BP17" s="2"/>
      <c r="BQ17" s="3"/>
    </row>
    <row r="18" ht="22.5" customHeight="1" spans="1:69">
      <c r="A18" s="16" t="s">
        <v>290</v>
      </c>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3"/>
    </row>
    <row r="19" ht="240" customHeight="1" spans="1:69">
      <c r="A19" s="17">
        <v>6</v>
      </c>
      <c r="B19" s="18" t="s">
        <v>291</v>
      </c>
      <c r="C19" s="2"/>
      <c r="D19" s="3"/>
      <c r="E19" s="18" t="s">
        <v>292</v>
      </c>
      <c r="F19" s="2"/>
      <c r="G19" s="2"/>
      <c r="H19" s="2"/>
      <c r="I19" s="3"/>
      <c r="J19" s="18" t="s">
        <v>293</v>
      </c>
      <c r="K19" s="2"/>
      <c r="L19" s="2"/>
      <c r="M19" s="2"/>
      <c r="N19" s="2"/>
      <c r="O19" s="2"/>
      <c r="P19" s="3"/>
      <c r="Q19" s="18" t="s">
        <v>294</v>
      </c>
      <c r="R19" s="2"/>
      <c r="S19" s="2"/>
      <c r="T19" s="2"/>
      <c r="U19" s="2"/>
      <c r="V19" s="2"/>
      <c r="W19" s="3"/>
      <c r="X19" s="18" t="s">
        <v>295</v>
      </c>
      <c r="Y19" s="2"/>
      <c r="Z19" s="2"/>
      <c r="AA19" s="2"/>
      <c r="AB19" s="2"/>
      <c r="AC19" s="2"/>
      <c r="AD19" s="3"/>
      <c r="AE19" s="19" t="s">
        <v>280</v>
      </c>
      <c r="AF19" s="3"/>
      <c r="AG19" s="20" t="s">
        <v>61</v>
      </c>
      <c r="AH19" s="2"/>
      <c r="AI19" s="3"/>
      <c r="AJ19" s="19"/>
      <c r="AK19" s="2"/>
      <c r="AL19" s="3"/>
      <c r="AM19" s="20" t="s">
        <v>268</v>
      </c>
      <c r="AN19" s="2"/>
      <c r="AO19" s="3"/>
      <c r="AP19" s="21">
        <v>46192</v>
      </c>
      <c r="AQ19" s="2"/>
      <c r="AR19" s="3"/>
      <c r="AS19" s="19"/>
      <c r="AT19" s="2"/>
      <c r="AU19" s="3"/>
      <c r="AV19" s="19" t="s">
        <v>61</v>
      </c>
      <c r="AW19" s="2"/>
      <c r="AX19" s="3"/>
      <c r="AY19" s="19"/>
      <c r="AZ19" s="2"/>
      <c r="BA19" s="3"/>
      <c r="BB19" s="19" t="s">
        <v>269</v>
      </c>
      <c r="BC19" s="2"/>
      <c r="BD19" s="3"/>
      <c r="BE19" s="21">
        <v>46246</v>
      </c>
      <c r="BF19" s="2"/>
      <c r="BG19" s="3"/>
      <c r="BH19" s="19"/>
      <c r="BI19" s="2"/>
      <c r="BJ19" s="3"/>
      <c r="BK19" s="18"/>
      <c r="BL19" s="2"/>
      <c r="BM19" s="2"/>
      <c r="BN19" s="2"/>
      <c r="BO19" s="2"/>
      <c r="BP19" s="2"/>
      <c r="BQ19" s="3"/>
    </row>
    <row r="20" ht="288" customHeight="1" spans="1:69">
      <c r="A20" s="17">
        <v>7</v>
      </c>
      <c r="B20" s="18" t="s">
        <v>296</v>
      </c>
      <c r="C20" s="2"/>
      <c r="D20" s="3"/>
      <c r="E20" s="18" t="s">
        <v>297</v>
      </c>
      <c r="F20" s="2"/>
      <c r="G20" s="2"/>
      <c r="H20" s="2"/>
      <c r="I20" s="3"/>
      <c r="J20" s="18" t="s">
        <v>298</v>
      </c>
      <c r="K20" s="2"/>
      <c r="L20" s="2"/>
      <c r="M20" s="2"/>
      <c r="N20" s="2"/>
      <c r="O20" s="2"/>
      <c r="P20" s="3"/>
      <c r="Q20" s="18" t="s">
        <v>299</v>
      </c>
      <c r="R20" s="2"/>
      <c r="S20" s="2"/>
      <c r="T20" s="2"/>
      <c r="U20" s="2"/>
      <c r="V20" s="2"/>
      <c r="W20" s="3"/>
      <c r="X20" s="18" t="s">
        <v>300</v>
      </c>
      <c r="Y20" s="2"/>
      <c r="Z20" s="2"/>
      <c r="AA20" s="2"/>
      <c r="AB20" s="2"/>
      <c r="AC20" s="2"/>
      <c r="AD20" s="3"/>
      <c r="AE20" s="19" t="s">
        <v>280</v>
      </c>
      <c r="AF20" s="3"/>
      <c r="AG20" s="20" t="s">
        <v>61</v>
      </c>
      <c r="AH20" s="2"/>
      <c r="AI20" s="3"/>
      <c r="AJ20" s="19"/>
      <c r="AK20" s="2"/>
      <c r="AL20" s="3"/>
      <c r="AM20" s="20" t="s">
        <v>268</v>
      </c>
      <c r="AN20" s="2"/>
      <c r="AO20" s="3"/>
      <c r="AP20" s="21">
        <v>46192</v>
      </c>
      <c r="AQ20" s="2"/>
      <c r="AR20" s="3"/>
      <c r="AS20" s="19"/>
      <c r="AT20" s="2"/>
      <c r="AU20" s="3"/>
      <c r="AV20" s="19" t="s">
        <v>61</v>
      </c>
      <c r="AW20" s="2"/>
      <c r="AX20" s="3"/>
      <c r="AY20" s="19"/>
      <c r="AZ20" s="2"/>
      <c r="BA20" s="3"/>
      <c r="BB20" s="19" t="s">
        <v>269</v>
      </c>
      <c r="BC20" s="2"/>
      <c r="BD20" s="3"/>
      <c r="BE20" s="21">
        <v>46246</v>
      </c>
      <c r="BF20" s="2"/>
      <c r="BG20" s="3"/>
      <c r="BH20" s="19"/>
      <c r="BI20" s="2"/>
      <c r="BJ20" s="3"/>
      <c r="BK20" s="18"/>
      <c r="BL20" s="2"/>
      <c r="BM20" s="2"/>
      <c r="BN20" s="2"/>
      <c r="BO20" s="2"/>
      <c r="BP20" s="2"/>
      <c r="BQ20" s="3"/>
    </row>
    <row r="21" ht="223.5" customHeight="1" spans="1:69">
      <c r="A21" s="17">
        <v>8</v>
      </c>
      <c r="B21" s="18" t="s">
        <v>301</v>
      </c>
      <c r="C21" s="2"/>
      <c r="D21" s="3"/>
      <c r="E21" s="18" t="s">
        <v>302</v>
      </c>
      <c r="F21" s="2"/>
      <c r="G21" s="2"/>
      <c r="H21" s="2"/>
      <c r="I21" s="3"/>
      <c r="J21" s="18" t="s">
        <v>303</v>
      </c>
      <c r="K21" s="2"/>
      <c r="L21" s="2"/>
      <c r="M21" s="2"/>
      <c r="N21" s="2"/>
      <c r="O21" s="2"/>
      <c r="P21" s="3"/>
      <c r="Q21" s="18" t="s">
        <v>304</v>
      </c>
      <c r="R21" s="2"/>
      <c r="S21" s="2"/>
      <c r="T21" s="2"/>
      <c r="U21" s="2"/>
      <c r="V21" s="2"/>
      <c r="W21" s="3"/>
      <c r="X21" s="18" t="s">
        <v>305</v>
      </c>
      <c r="Y21" s="2"/>
      <c r="Z21" s="2"/>
      <c r="AA21" s="2"/>
      <c r="AB21" s="2"/>
      <c r="AC21" s="2"/>
      <c r="AD21" s="3"/>
      <c r="AE21" s="19" t="s">
        <v>280</v>
      </c>
      <c r="AF21" s="3"/>
      <c r="AG21" s="20" t="s">
        <v>61</v>
      </c>
      <c r="AH21" s="2"/>
      <c r="AI21" s="3"/>
      <c r="AJ21" s="19"/>
      <c r="AK21" s="2"/>
      <c r="AL21" s="3"/>
      <c r="AM21" s="20" t="s">
        <v>268</v>
      </c>
      <c r="AN21" s="2"/>
      <c r="AO21" s="3"/>
      <c r="AP21" s="21">
        <v>46192</v>
      </c>
      <c r="AQ21" s="2"/>
      <c r="AR21" s="3"/>
      <c r="AS21" s="19"/>
      <c r="AT21" s="2"/>
      <c r="AU21" s="3"/>
      <c r="AV21" s="19" t="s">
        <v>61</v>
      </c>
      <c r="AW21" s="2"/>
      <c r="AX21" s="3"/>
      <c r="AY21" s="19"/>
      <c r="AZ21" s="2"/>
      <c r="BA21" s="3"/>
      <c r="BB21" s="19" t="s">
        <v>269</v>
      </c>
      <c r="BC21" s="2"/>
      <c r="BD21" s="3"/>
      <c r="BE21" s="21">
        <v>46246</v>
      </c>
      <c r="BF21" s="2"/>
      <c r="BG21" s="3"/>
      <c r="BH21" s="19"/>
      <c r="BI21" s="2"/>
      <c r="BJ21" s="3"/>
      <c r="BK21" s="18"/>
      <c r="BL21" s="2"/>
      <c r="BM21" s="2"/>
      <c r="BN21" s="2"/>
      <c r="BO21" s="2"/>
      <c r="BP21" s="2"/>
      <c r="BQ21" s="3"/>
    </row>
    <row r="22" ht="271.5" customHeight="1" spans="1:69">
      <c r="A22" s="17">
        <v>9</v>
      </c>
      <c r="B22" s="18" t="s">
        <v>306</v>
      </c>
      <c r="C22" s="2"/>
      <c r="D22" s="3"/>
      <c r="E22" s="18" t="s">
        <v>307</v>
      </c>
      <c r="F22" s="2"/>
      <c r="G22" s="2"/>
      <c r="H22" s="2"/>
      <c r="I22" s="3"/>
      <c r="J22" s="18" t="s">
        <v>308</v>
      </c>
      <c r="K22" s="2"/>
      <c r="L22" s="2"/>
      <c r="M22" s="2"/>
      <c r="N22" s="2"/>
      <c r="O22" s="2"/>
      <c r="P22" s="3"/>
      <c r="Q22" s="18" t="s">
        <v>309</v>
      </c>
      <c r="R22" s="2"/>
      <c r="S22" s="2"/>
      <c r="T22" s="2"/>
      <c r="U22" s="2"/>
      <c r="V22" s="2"/>
      <c r="W22" s="3"/>
      <c r="X22" s="18" t="s">
        <v>310</v>
      </c>
      <c r="Y22" s="2"/>
      <c r="Z22" s="2"/>
      <c r="AA22" s="2"/>
      <c r="AB22" s="2"/>
      <c r="AC22" s="2"/>
      <c r="AD22" s="3"/>
      <c r="AE22" s="19" t="s">
        <v>280</v>
      </c>
      <c r="AF22" s="3"/>
      <c r="AG22" s="20" t="s">
        <v>61</v>
      </c>
      <c r="AH22" s="2"/>
      <c r="AI22" s="3"/>
      <c r="AJ22" s="19"/>
      <c r="AK22" s="2"/>
      <c r="AL22" s="3"/>
      <c r="AM22" s="20" t="s">
        <v>268</v>
      </c>
      <c r="AN22" s="2"/>
      <c r="AO22" s="3"/>
      <c r="AP22" s="21">
        <v>46192</v>
      </c>
      <c r="AQ22" s="2"/>
      <c r="AR22" s="3"/>
      <c r="AS22" s="19"/>
      <c r="AT22" s="2"/>
      <c r="AU22" s="3"/>
      <c r="AV22" s="19" t="s">
        <v>61</v>
      </c>
      <c r="AW22" s="2"/>
      <c r="AX22" s="3"/>
      <c r="AY22" s="19"/>
      <c r="AZ22" s="2"/>
      <c r="BA22" s="3"/>
      <c r="BB22" s="19" t="s">
        <v>269</v>
      </c>
      <c r="BC22" s="2"/>
      <c r="BD22" s="3"/>
      <c r="BE22" s="21">
        <v>46246</v>
      </c>
      <c r="BF22" s="2"/>
      <c r="BG22" s="3"/>
      <c r="BH22" s="19"/>
      <c r="BI22" s="2"/>
      <c r="BJ22" s="3"/>
      <c r="BK22" s="18"/>
      <c r="BL22" s="2"/>
      <c r="BM22" s="2"/>
      <c r="BN22" s="2"/>
      <c r="BO22" s="2"/>
      <c r="BP22" s="2"/>
      <c r="BQ22" s="3"/>
    </row>
    <row r="23" ht="240" customHeight="1" spans="1:69">
      <c r="A23" s="17">
        <v>10</v>
      </c>
      <c r="B23" s="18" t="s">
        <v>311</v>
      </c>
      <c r="C23" s="2"/>
      <c r="D23" s="3"/>
      <c r="E23" s="18" t="s">
        <v>312</v>
      </c>
      <c r="F23" s="2"/>
      <c r="G23" s="2"/>
      <c r="H23" s="2"/>
      <c r="I23" s="3"/>
      <c r="J23" s="18" t="s">
        <v>293</v>
      </c>
      <c r="K23" s="2"/>
      <c r="L23" s="2"/>
      <c r="M23" s="2"/>
      <c r="N23" s="2"/>
      <c r="O23" s="2"/>
      <c r="P23" s="3"/>
      <c r="Q23" s="18" t="s">
        <v>313</v>
      </c>
      <c r="R23" s="2"/>
      <c r="S23" s="2"/>
      <c r="T23" s="2"/>
      <c r="U23" s="2"/>
      <c r="V23" s="2"/>
      <c r="W23" s="3"/>
      <c r="X23" s="18" t="s">
        <v>314</v>
      </c>
      <c r="Y23" s="2"/>
      <c r="Z23" s="2"/>
      <c r="AA23" s="2"/>
      <c r="AB23" s="2"/>
      <c r="AC23" s="2"/>
      <c r="AD23" s="3"/>
      <c r="AE23" s="19" t="s">
        <v>280</v>
      </c>
      <c r="AF23" s="3"/>
      <c r="AG23" s="20" t="s">
        <v>61</v>
      </c>
      <c r="AH23" s="2"/>
      <c r="AI23" s="3"/>
      <c r="AJ23" s="19"/>
      <c r="AK23" s="2"/>
      <c r="AL23" s="3"/>
      <c r="AM23" s="20" t="s">
        <v>268</v>
      </c>
      <c r="AN23" s="2"/>
      <c r="AO23" s="3"/>
      <c r="AP23" s="21">
        <v>46192</v>
      </c>
      <c r="AQ23" s="2"/>
      <c r="AR23" s="3"/>
      <c r="AS23" s="19"/>
      <c r="AT23" s="2"/>
      <c r="AU23" s="3"/>
      <c r="AV23" s="19" t="s">
        <v>61</v>
      </c>
      <c r="AW23" s="2"/>
      <c r="AX23" s="3"/>
      <c r="AY23" s="19"/>
      <c r="AZ23" s="2"/>
      <c r="BA23" s="3"/>
      <c r="BB23" s="19" t="s">
        <v>269</v>
      </c>
      <c r="BC23" s="2"/>
      <c r="BD23" s="3"/>
      <c r="BE23" s="21">
        <v>46246</v>
      </c>
      <c r="BF23" s="2"/>
      <c r="BG23" s="3"/>
      <c r="BH23" s="19"/>
      <c r="BI23" s="2"/>
      <c r="BJ23" s="3"/>
      <c r="BK23" s="18"/>
      <c r="BL23" s="2"/>
      <c r="BM23" s="2"/>
      <c r="BN23" s="2"/>
      <c r="BO23" s="2"/>
      <c r="BP23" s="2"/>
      <c r="BQ23" s="3"/>
    </row>
    <row r="24" ht="223.5" customHeight="1" spans="1:69">
      <c r="A24" s="17">
        <v>11</v>
      </c>
      <c r="B24" s="18" t="s">
        <v>315</v>
      </c>
      <c r="C24" s="2"/>
      <c r="D24" s="3"/>
      <c r="E24" s="18" t="s">
        <v>316</v>
      </c>
      <c r="F24" s="2"/>
      <c r="G24" s="2"/>
      <c r="H24" s="2"/>
      <c r="I24" s="3"/>
      <c r="J24" s="18" t="s">
        <v>317</v>
      </c>
      <c r="K24" s="2"/>
      <c r="L24" s="2"/>
      <c r="M24" s="2"/>
      <c r="N24" s="2"/>
      <c r="O24" s="2"/>
      <c r="P24" s="3"/>
      <c r="Q24" s="18" t="s">
        <v>318</v>
      </c>
      <c r="R24" s="2"/>
      <c r="S24" s="2"/>
      <c r="T24" s="2"/>
      <c r="U24" s="2"/>
      <c r="V24" s="2"/>
      <c r="W24" s="3"/>
      <c r="X24" s="18" t="s">
        <v>319</v>
      </c>
      <c r="Y24" s="2"/>
      <c r="Z24" s="2"/>
      <c r="AA24" s="2"/>
      <c r="AB24" s="2"/>
      <c r="AC24" s="2"/>
      <c r="AD24" s="3"/>
      <c r="AE24" s="19" t="s">
        <v>280</v>
      </c>
      <c r="AF24" s="3"/>
      <c r="AG24" s="20" t="s">
        <v>61</v>
      </c>
      <c r="AH24" s="2"/>
      <c r="AI24" s="3"/>
      <c r="AJ24" s="19"/>
      <c r="AK24" s="2"/>
      <c r="AL24" s="3"/>
      <c r="AM24" s="20" t="s">
        <v>268</v>
      </c>
      <c r="AN24" s="2"/>
      <c r="AO24" s="3"/>
      <c r="AP24" s="21">
        <v>46192</v>
      </c>
      <c r="AQ24" s="2"/>
      <c r="AR24" s="3"/>
      <c r="AS24" s="19"/>
      <c r="AT24" s="2"/>
      <c r="AU24" s="3"/>
      <c r="AV24" s="19" t="s">
        <v>61</v>
      </c>
      <c r="AW24" s="2"/>
      <c r="AX24" s="3"/>
      <c r="AY24" s="19"/>
      <c r="AZ24" s="2"/>
      <c r="BA24" s="3"/>
      <c r="BB24" s="19" t="s">
        <v>269</v>
      </c>
      <c r="BC24" s="2"/>
      <c r="BD24" s="3"/>
      <c r="BE24" s="21">
        <v>46246</v>
      </c>
      <c r="BF24" s="2"/>
      <c r="BG24" s="3"/>
      <c r="BH24" s="19"/>
      <c r="BI24" s="2"/>
      <c r="BJ24" s="3"/>
      <c r="BK24" s="18"/>
      <c r="BL24" s="2"/>
      <c r="BM24" s="2"/>
      <c r="BN24" s="2"/>
      <c r="BO24" s="2"/>
      <c r="BP24" s="2"/>
      <c r="BQ24" s="3"/>
    </row>
    <row r="25" ht="22.5" customHeight="1" spans="1:69">
      <c r="A25" s="16" t="s">
        <v>320</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3"/>
    </row>
    <row r="26" ht="175.5" customHeight="1" spans="1:69">
      <c r="A26" s="17">
        <v>12</v>
      </c>
      <c r="B26" s="18" t="s">
        <v>321</v>
      </c>
      <c r="C26" s="2"/>
      <c r="D26" s="3"/>
      <c r="E26" s="18" t="s">
        <v>322</v>
      </c>
      <c r="F26" s="2"/>
      <c r="G26" s="2"/>
      <c r="H26" s="2"/>
      <c r="I26" s="3"/>
      <c r="J26" s="18" t="s">
        <v>293</v>
      </c>
      <c r="K26" s="2"/>
      <c r="L26" s="2"/>
      <c r="M26" s="2"/>
      <c r="N26" s="2"/>
      <c r="O26" s="2"/>
      <c r="P26" s="3"/>
      <c r="Q26" s="18" t="s">
        <v>323</v>
      </c>
      <c r="R26" s="2"/>
      <c r="S26" s="2"/>
      <c r="T26" s="2"/>
      <c r="U26" s="2"/>
      <c r="V26" s="2"/>
      <c r="W26" s="3"/>
      <c r="X26" s="18" t="s">
        <v>324</v>
      </c>
      <c r="Y26" s="2"/>
      <c r="Z26" s="2"/>
      <c r="AA26" s="2"/>
      <c r="AB26" s="2"/>
      <c r="AC26" s="2"/>
      <c r="AD26" s="3"/>
      <c r="AE26" s="19" t="s">
        <v>280</v>
      </c>
      <c r="AF26" s="3"/>
      <c r="AG26" s="20" t="s">
        <v>61</v>
      </c>
      <c r="AH26" s="2"/>
      <c r="AI26" s="3"/>
      <c r="AJ26" s="19"/>
      <c r="AK26" s="2"/>
      <c r="AL26" s="3"/>
      <c r="AM26" s="20" t="s">
        <v>268</v>
      </c>
      <c r="AN26" s="2"/>
      <c r="AO26" s="3"/>
      <c r="AP26" s="21">
        <v>46192</v>
      </c>
      <c r="AQ26" s="2"/>
      <c r="AR26" s="3"/>
      <c r="AS26" s="19"/>
      <c r="AT26" s="2"/>
      <c r="AU26" s="3"/>
      <c r="AV26" s="19" t="s">
        <v>61</v>
      </c>
      <c r="AW26" s="2"/>
      <c r="AX26" s="3"/>
      <c r="AY26" s="19"/>
      <c r="AZ26" s="2"/>
      <c r="BA26" s="3"/>
      <c r="BB26" s="19" t="s">
        <v>269</v>
      </c>
      <c r="BC26" s="2"/>
      <c r="BD26" s="3"/>
      <c r="BE26" s="21">
        <v>46246</v>
      </c>
      <c r="BF26" s="2"/>
      <c r="BG26" s="3"/>
      <c r="BH26" s="19"/>
      <c r="BI26" s="2"/>
      <c r="BJ26" s="3"/>
      <c r="BK26" s="18"/>
      <c r="BL26" s="2"/>
      <c r="BM26" s="2"/>
      <c r="BN26" s="2"/>
      <c r="BO26" s="2"/>
      <c r="BP26" s="2"/>
      <c r="BQ26" s="3"/>
    </row>
    <row r="27" ht="207.75" customHeight="1" spans="1:69">
      <c r="A27" s="17">
        <v>13</v>
      </c>
      <c r="B27" s="18" t="s">
        <v>325</v>
      </c>
      <c r="C27" s="2"/>
      <c r="D27" s="3"/>
      <c r="E27" s="18" t="s">
        <v>326</v>
      </c>
      <c r="F27" s="2"/>
      <c r="G27" s="2"/>
      <c r="H27" s="2"/>
      <c r="I27" s="3"/>
      <c r="J27" s="18" t="s">
        <v>327</v>
      </c>
      <c r="K27" s="2"/>
      <c r="L27" s="2"/>
      <c r="M27" s="2"/>
      <c r="N27" s="2"/>
      <c r="O27" s="2"/>
      <c r="P27" s="3"/>
      <c r="Q27" s="18" t="s">
        <v>328</v>
      </c>
      <c r="R27" s="2"/>
      <c r="S27" s="2"/>
      <c r="T27" s="2"/>
      <c r="U27" s="2"/>
      <c r="V27" s="2"/>
      <c r="W27" s="3"/>
      <c r="X27" s="18" t="s">
        <v>329</v>
      </c>
      <c r="Y27" s="2"/>
      <c r="Z27" s="2"/>
      <c r="AA27" s="2"/>
      <c r="AB27" s="2"/>
      <c r="AC27" s="2"/>
      <c r="AD27" s="3"/>
      <c r="AE27" s="19" t="s">
        <v>280</v>
      </c>
      <c r="AF27" s="3"/>
      <c r="AG27" s="20" t="s">
        <v>61</v>
      </c>
      <c r="AH27" s="2"/>
      <c r="AI27" s="3"/>
      <c r="AJ27" s="19"/>
      <c r="AK27" s="2"/>
      <c r="AL27" s="3"/>
      <c r="AM27" s="20" t="s">
        <v>268</v>
      </c>
      <c r="AN27" s="2"/>
      <c r="AO27" s="3"/>
      <c r="AP27" s="21">
        <v>46192</v>
      </c>
      <c r="AQ27" s="2"/>
      <c r="AR27" s="3"/>
      <c r="AS27" s="19"/>
      <c r="AT27" s="2"/>
      <c r="AU27" s="3"/>
      <c r="AV27" s="19" t="s">
        <v>61</v>
      </c>
      <c r="AW27" s="2"/>
      <c r="AX27" s="3"/>
      <c r="AY27" s="19"/>
      <c r="AZ27" s="2"/>
      <c r="BA27" s="3"/>
      <c r="BB27" s="19" t="s">
        <v>269</v>
      </c>
      <c r="BC27" s="2"/>
      <c r="BD27" s="3"/>
      <c r="BE27" s="21">
        <v>46246</v>
      </c>
      <c r="BF27" s="2"/>
      <c r="BG27" s="3"/>
      <c r="BH27" s="19"/>
      <c r="BI27" s="2"/>
      <c r="BJ27" s="3"/>
      <c r="BK27" s="18"/>
      <c r="BL27" s="2"/>
      <c r="BM27" s="2"/>
      <c r="BN27" s="2"/>
      <c r="BO27" s="2"/>
      <c r="BP27" s="2"/>
      <c r="BQ27" s="3"/>
    </row>
    <row r="28" ht="159.75" customHeight="1" spans="1:69">
      <c r="A28" s="17">
        <v>14</v>
      </c>
      <c r="B28" s="18" t="s">
        <v>330</v>
      </c>
      <c r="C28" s="2"/>
      <c r="D28" s="3"/>
      <c r="E28" s="18" t="s">
        <v>331</v>
      </c>
      <c r="F28" s="2"/>
      <c r="G28" s="2"/>
      <c r="H28" s="2"/>
      <c r="I28" s="3"/>
      <c r="J28" s="18" t="s">
        <v>317</v>
      </c>
      <c r="K28" s="2"/>
      <c r="L28" s="2"/>
      <c r="M28" s="2"/>
      <c r="N28" s="2"/>
      <c r="O28" s="2"/>
      <c r="P28" s="3"/>
      <c r="Q28" s="18" t="s">
        <v>332</v>
      </c>
      <c r="R28" s="2"/>
      <c r="S28" s="2"/>
      <c r="T28" s="2"/>
      <c r="U28" s="2"/>
      <c r="V28" s="2"/>
      <c r="W28" s="3"/>
      <c r="X28" s="18" t="s">
        <v>333</v>
      </c>
      <c r="Y28" s="2"/>
      <c r="Z28" s="2"/>
      <c r="AA28" s="2"/>
      <c r="AB28" s="2"/>
      <c r="AC28" s="2"/>
      <c r="AD28" s="3"/>
      <c r="AE28" s="19" t="s">
        <v>280</v>
      </c>
      <c r="AF28" s="3"/>
      <c r="AG28" s="20" t="s">
        <v>61</v>
      </c>
      <c r="AH28" s="2"/>
      <c r="AI28" s="3"/>
      <c r="AJ28" s="19"/>
      <c r="AK28" s="2"/>
      <c r="AL28" s="3"/>
      <c r="AM28" s="20" t="s">
        <v>268</v>
      </c>
      <c r="AN28" s="2"/>
      <c r="AO28" s="3"/>
      <c r="AP28" s="21">
        <v>46192</v>
      </c>
      <c r="AQ28" s="2"/>
      <c r="AR28" s="3"/>
      <c r="AS28" s="19"/>
      <c r="AT28" s="2"/>
      <c r="AU28" s="3"/>
      <c r="AV28" s="19" t="s">
        <v>61</v>
      </c>
      <c r="AW28" s="2"/>
      <c r="AX28" s="3"/>
      <c r="AY28" s="19"/>
      <c r="AZ28" s="2"/>
      <c r="BA28" s="3"/>
      <c r="BB28" s="19" t="s">
        <v>269</v>
      </c>
      <c r="BC28" s="2"/>
      <c r="BD28" s="3"/>
      <c r="BE28" s="21">
        <v>46246</v>
      </c>
      <c r="BF28" s="2"/>
      <c r="BG28" s="3"/>
      <c r="BH28" s="19"/>
      <c r="BI28" s="2"/>
      <c r="BJ28" s="3"/>
      <c r="BK28" s="18"/>
      <c r="BL28" s="2"/>
      <c r="BM28" s="2"/>
      <c r="BN28" s="2"/>
      <c r="BO28" s="2"/>
      <c r="BP28" s="2"/>
      <c r="BQ28" s="3"/>
    </row>
    <row r="29" ht="22.5" customHeight="1" spans="1:69">
      <c r="A29" s="16" t="s">
        <v>334</v>
      </c>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3"/>
    </row>
    <row r="30" ht="207.75" customHeight="1" spans="1:69">
      <c r="A30" s="17">
        <v>15</v>
      </c>
      <c r="B30" s="18" t="s">
        <v>335</v>
      </c>
      <c r="C30" s="2"/>
      <c r="D30" s="3"/>
      <c r="E30" s="18" t="s">
        <v>336</v>
      </c>
      <c r="F30" s="2"/>
      <c r="G30" s="2"/>
      <c r="H30" s="2"/>
      <c r="I30" s="3"/>
      <c r="J30" s="18" t="s">
        <v>293</v>
      </c>
      <c r="K30" s="2"/>
      <c r="L30" s="2"/>
      <c r="M30" s="2"/>
      <c r="N30" s="2"/>
      <c r="O30" s="2"/>
      <c r="P30" s="3"/>
      <c r="Q30" s="18" t="s">
        <v>337</v>
      </c>
      <c r="R30" s="2"/>
      <c r="S30" s="2"/>
      <c r="T30" s="2"/>
      <c r="U30" s="2"/>
      <c r="V30" s="2"/>
      <c r="W30" s="3"/>
      <c r="X30" s="18" t="s">
        <v>338</v>
      </c>
      <c r="Y30" s="2"/>
      <c r="Z30" s="2"/>
      <c r="AA30" s="2"/>
      <c r="AB30" s="2"/>
      <c r="AC30" s="2"/>
      <c r="AD30" s="3"/>
      <c r="AE30" s="19" t="s">
        <v>215</v>
      </c>
      <c r="AF30" s="3"/>
      <c r="AG30" s="20" t="s">
        <v>61</v>
      </c>
      <c r="AH30" s="2"/>
      <c r="AI30" s="3"/>
      <c r="AJ30" s="19"/>
      <c r="AK30" s="2"/>
      <c r="AL30" s="3"/>
      <c r="AM30" s="20" t="s">
        <v>268</v>
      </c>
      <c r="AN30" s="2"/>
      <c r="AO30" s="3"/>
      <c r="AP30" s="21">
        <v>46192</v>
      </c>
      <c r="AQ30" s="2"/>
      <c r="AR30" s="3"/>
      <c r="AS30" s="19"/>
      <c r="AT30" s="2"/>
      <c r="AU30" s="3"/>
      <c r="AV30" s="20" t="s">
        <v>61</v>
      </c>
      <c r="AW30" s="2"/>
      <c r="AX30" s="3"/>
      <c r="AY30" s="19"/>
      <c r="AZ30" s="2"/>
      <c r="BA30" s="3"/>
      <c r="BB30" s="19" t="s">
        <v>269</v>
      </c>
      <c r="BC30" s="2"/>
      <c r="BD30" s="3"/>
      <c r="BE30" s="21">
        <v>46246</v>
      </c>
      <c r="BF30" s="2"/>
      <c r="BG30" s="3"/>
      <c r="BH30" s="19"/>
      <c r="BI30" s="2"/>
      <c r="BJ30" s="3"/>
      <c r="BK30" s="18" t="s">
        <v>339</v>
      </c>
      <c r="BL30" s="2"/>
      <c r="BM30" s="2"/>
      <c r="BN30" s="2"/>
      <c r="BO30" s="2"/>
      <c r="BP30" s="2"/>
      <c r="BQ30" s="3"/>
    </row>
    <row r="31" ht="207.75" customHeight="1" spans="1:69">
      <c r="A31" s="17">
        <v>16</v>
      </c>
      <c r="B31" s="18" t="s">
        <v>340</v>
      </c>
      <c r="C31" s="2"/>
      <c r="D31" s="3"/>
      <c r="E31" s="18" t="s">
        <v>341</v>
      </c>
      <c r="F31" s="2"/>
      <c r="G31" s="2"/>
      <c r="H31" s="2"/>
      <c r="I31" s="3"/>
      <c r="J31" s="18" t="s">
        <v>327</v>
      </c>
      <c r="K31" s="2"/>
      <c r="L31" s="2"/>
      <c r="M31" s="2"/>
      <c r="N31" s="2"/>
      <c r="O31" s="2"/>
      <c r="P31" s="3"/>
      <c r="Q31" s="18" t="s">
        <v>342</v>
      </c>
      <c r="R31" s="2"/>
      <c r="S31" s="2"/>
      <c r="T31" s="2"/>
      <c r="U31" s="2"/>
      <c r="V31" s="2"/>
      <c r="W31" s="3"/>
      <c r="X31" s="18" t="s">
        <v>343</v>
      </c>
      <c r="Y31" s="2"/>
      <c r="Z31" s="2"/>
      <c r="AA31" s="2"/>
      <c r="AB31" s="2"/>
      <c r="AC31" s="2"/>
      <c r="AD31" s="3"/>
      <c r="AE31" s="19" t="s">
        <v>215</v>
      </c>
      <c r="AF31" s="3"/>
      <c r="AG31" s="20" t="s">
        <v>61</v>
      </c>
      <c r="AH31" s="2"/>
      <c r="AI31" s="3"/>
      <c r="AJ31" s="19"/>
      <c r="AK31" s="2"/>
      <c r="AL31" s="3"/>
      <c r="AM31" s="20" t="s">
        <v>268</v>
      </c>
      <c r="AN31" s="2"/>
      <c r="AO31" s="3"/>
      <c r="AP31" s="21">
        <v>46192</v>
      </c>
      <c r="AQ31" s="2"/>
      <c r="AR31" s="3"/>
      <c r="AS31" s="19"/>
      <c r="AT31" s="2"/>
      <c r="AU31" s="3"/>
      <c r="AV31" s="20" t="s">
        <v>61</v>
      </c>
      <c r="AW31" s="2"/>
      <c r="AX31" s="3"/>
      <c r="AY31" s="19"/>
      <c r="AZ31" s="2"/>
      <c r="BA31" s="3"/>
      <c r="BB31" s="19" t="s">
        <v>269</v>
      </c>
      <c r="BC31" s="2"/>
      <c r="BD31" s="3"/>
      <c r="BE31" s="21">
        <v>46246</v>
      </c>
      <c r="BF31" s="2"/>
      <c r="BG31" s="3"/>
      <c r="BH31" s="19"/>
      <c r="BI31" s="2"/>
      <c r="BJ31" s="3"/>
      <c r="BK31" s="18" t="s">
        <v>339</v>
      </c>
      <c r="BL31" s="2"/>
      <c r="BM31" s="2"/>
      <c r="BN31" s="2"/>
      <c r="BO31" s="2"/>
      <c r="BP31" s="2"/>
      <c r="BQ31" s="3"/>
    </row>
    <row r="32" ht="288" customHeight="1" spans="1:69">
      <c r="A32" s="17">
        <v>17</v>
      </c>
      <c r="B32" s="18" t="s">
        <v>344</v>
      </c>
      <c r="C32" s="2"/>
      <c r="D32" s="3"/>
      <c r="E32" s="18" t="s">
        <v>345</v>
      </c>
      <c r="F32" s="2"/>
      <c r="G32" s="2"/>
      <c r="H32" s="2"/>
      <c r="I32" s="3"/>
      <c r="J32" s="18" t="s">
        <v>293</v>
      </c>
      <c r="K32" s="2"/>
      <c r="L32" s="2"/>
      <c r="M32" s="2"/>
      <c r="N32" s="2"/>
      <c r="O32" s="2"/>
      <c r="P32" s="3"/>
      <c r="Q32" s="18" t="s">
        <v>346</v>
      </c>
      <c r="R32" s="2"/>
      <c r="S32" s="2"/>
      <c r="T32" s="2"/>
      <c r="U32" s="2"/>
      <c r="V32" s="2"/>
      <c r="W32" s="3"/>
      <c r="X32" s="18" t="s">
        <v>347</v>
      </c>
      <c r="Y32" s="2"/>
      <c r="Z32" s="2"/>
      <c r="AA32" s="2"/>
      <c r="AB32" s="2"/>
      <c r="AC32" s="2"/>
      <c r="AD32" s="3"/>
      <c r="AE32" s="19" t="s">
        <v>215</v>
      </c>
      <c r="AF32" s="3"/>
      <c r="AG32" s="20" t="s">
        <v>61</v>
      </c>
      <c r="AH32" s="2"/>
      <c r="AI32" s="3"/>
      <c r="AJ32" s="19"/>
      <c r="AK32" s="2"/>
      <c r="AL32" s="3"/>
      <c r="AM32" s="20" t="s">
        <v>268</v>
      </c>
      <c r="AN32" s="2"/>
      <c r="AO32" s="3"/>
      <c r="AP32" s="21">
        <v>46192</v>
      </c>
      <c r="AQ32" s="2"/>
      <c r="AR32" s="3"/>
      <c r="AS32" s="19"/>
      <c r="AT32" s="2"/>
      <c r="AU32" s="3"/>
      <c r="AV32" s="19" t="s">
        <v>64</v>
      </c>
      <c r="AW32" s="2"/>
      <c r="AX32" s="3"/>
      <c r="AY32" s="19"/>
      <c r="AZ32" s="2"/>
      <c r="BA32" s="3"/>
      <c r="BB32" s="19" t="s">
        <v>269</v>
      </c>
      <c r="BC32" s="2"/>
      <c r="BD32" s="3"/>
      <c r="BE32" s="21">
        <v>46246</v>
      </c>
      <c r="BF32" s="2"/>
      <c r="BG32" s="3"/>
      <c r="BH32" s="19"/>
      <c r="BI32" s="2"/>
      <c r="BJ32" s="3"/>
      <c r="BK32" s="18" t="s">
        <v>339</v>
      </c>
      <c r="BL32" s="2"/>
      <c r="BM32" s="2"/>
      <c r="BN32" s="2"/>
      <c r="BO32" s="2"/>
      <c r="BP32" s="2"/>
      <c r="BQ32" s="3"/>
    </row>
    <row r="33" ht="255.75" customHeight="1" spans="1:69">
      <c r="A33" s="17">
        <v>18</v>
      </c>
      <c r="B33" s="18" t="s">
        <v>348</v>
      </c>
      <c r="C33" s="2"/>
      <c r="D33" s="3"/>
      <c r="E33" s="18" t="s">
        <v>349</v>
      </c>
      <c r="F33" s="2"/>
      <c r="G33" s="2"/>
      <c r="H33" s="2"/>
      <c r="I33" s="3"/>
      <c r="J33" s="18" t="s">
        <v>327</v>
      </c>
      <c r="K33" s="2"/>
      <c r="L33" s="2"/>
      <c r="M33" s="2"/>
      <c r="N33" s="2"/>
      <c r="O33" s="2"/>
      <c r="P33" s="3"/>
      <c r="Q33" s="18" t="s">
        <v>350</v>
      </c>
      <c r="R33" s="2"/>
      <c r="S33" s="2"/>
      <c r="T33" s="2"/>
      <c r="U33" s="2"/>
      <c r="V33" s="2"/>
      <c r="W33" s="3"/>
      <c r="X33" s="18" t="s">
        <v>351</v>
      </c>
      <c r="Y33" s="2"/>
      <c r="Z33" s="2"/>
      <c r="AA33" s="2"/>
      <c r="AB33" s="2"/>
      <c r="AC33" s="2"/>
      <c r="AD33" s="3"/>
      <c r="AE33" s="19" t="s">
        <v>211</v>
      </c>
      <c r="AF33" s="3"/>
      <c r="AG33" s="20" t="s">
        <v>61</v>
      </c>
      <c r="AH33" s="2"/>
      <c r="AI33" s="3"/>
      <c r="AJ33" s="19"/>
      <c r="AK33" s="2"/>
      <c r="AL33" s="3"/>
      <c r="AM33" s="20" t="s">
        <v>268</v>
      </c>
      <c r="AN33" s="2"/>
      <c r="AO33" s="3"/>
      <c r="AP33" s="21">
        <v>46192</v>
      </c>
      <c r="AQ33" s="2"/>
      <c r="AR33" s="3"/>
      <c r="AS33" s="19"/>
      <c r="AT33" s="2"/>
      <c r="AU33" s="3"/>
      <c r="AV33" s="19" t="s">
        <v>61</v>
      </c>
      <c r="AW33" s="2"/>
      <c r="AX33" s="3"/>
      <c r="AY33" s="19"/>
      <c r="AZ33" s="2"/>
      <c r="BA33" s="3"/>
      <c r="BB33" s="19" t="s">
        <v>269</v>
      </c>
      <c r="BC33" s="2"/>
      <c r="BD33" s="3"/>
      <c r="BE33" s="21">
        <v>46246</v>
      </c>
      <c r="BF33" s="2"/>
      <c r="BG33" s="3"/>
      <c r="BH33" s="19"/>
      <c r="BI33" s="2"/>
      <c r="BJ33" s="3"/>
      <c r="BK33" s="18"/>
      <c r="BL33" s="2"/>
      <c r="BM33" s="2"/>
      <c r="BN33" s="2"/>
      <c r="BO33" s="2"/>
      <c r="BP33" s="2"/>
      <c r="BQ33" s="3"/>
    </row>
    <row r="34" ht="223.5" customHeight="1" spans="1:69">
      <c r="A34" s="17">
        <v>19</v>
      </c>
      <c r="B34" s="18" t="s">
        <v>352</v>
      </c>
      <c r="C34" s="2"/>
      <c r="D34" s="3"/>
      <c r="E34" s="18" t="s">
        <v>353</v>
      </c>
      <c r="F34" s="2"/>
      <c r="G34" s="2"/>
      <c r="H34" s="2"/>
      <c r="I34" s="3"/>
      <c r="J34" s="18" t="s">
        <v>293</v>
      </c>
      <c r="K34" s="2"/>
      <c r="L34" s="2"/>
      <c r="M34" s="2"/>
      <c r="N34" s="2"/>
      <c r="O34" s="2"/>
      <c r="P34" s="3"/>
      <c r="Q34" s="18" t="s">
        <v>354</v>
      </c>
      <c r="R34" s="2"/>
      <c r="S34" s="2"/>
      <c r="T34" s="2"/>
      <c r="U34" s="2"/>
      <c r="V34" s="2"/>
      <c r="W34" s="3"/>
      <c r="X34" s="18" t="s">
        <v>355</v>
      </c>
      <c r="Y34" s="2"/>
      <c r="Z34" s="2"/>
      <c r="AA34" s="2"/>
      <c r="AB34" s="2"/>
      <c r="AC34" s="2"/>
      <c r="AD34" s="3"/>
      <c r="AE34" s="19" t="s">
        <v>215</v>
      </c>
      <c r="AF34" s="3"/>
      <c r="AG34" s="20" t="s">
        <v>61</v>
      </c>
      <c r="AH34" s="2"/>
      <c r="AI34" s="3"/>
      <c r="AJ34" s="19"/>
      <c r="AK34" s="2"/>
      <c r="AL34" s="3"/>
      <c r="AM34" s="20" t="s">
        <v>268</v>
      </c>
      <c r="AN34" s="2"/>
      <c r="AO34" s="3"/>
      <c r="AP34" s="21">
        <v>46192</v>
      </c>
      <c r="AQ34" s="2"/>
      <c r="AR34" s="3"/>
      <c r="AS34" s="19"/>
      <c r="AT34" s="2"/>
      <c r="AU34" s="3"/>
      <c r="AV34" s="19" t="s">
        <v>61</v>
      </c>
      <c r="AW34" s="2"/>
      <c r="AX34" s="3"/>
      <c r="AY34" s="19"/>
      <c r="AZ34" s="2"/>
      <c r="BA34" s="3"/>
      <c r="BB34" s="19" t="s">
        <v>269</v>
      </c>
      <c r="BC34" s="2"/>
      <c r="BD34" s="3"/>
      <c r="BE34" s="21">
        <v>46246</v>
      </c>
      <c r="BF34" s="2"/>
      <c r="BG34" s="3"/>
      <c r="BH34" s="19"/>
      <c r="BI34" s="2"/>
      <c r="BJ34" s="3"/>
      <c r="BK34" s="18"/>
      <c r="BL34" s="2"/>
      <c r="BM34" s="2"/>
      <c r="BN34" s="2"/>
      <c r="BO34" s="2"/>
      <c r="BP34" s="2"/>
      <c r="BQ34" s="3"/>
    </row>
    <row r="35" ht="192" customHeight="1" spans="1:69">
      <c r="A35" s="17">
        <v>20</v>
      </c>
      <c r="B35" s="18" t="s">
        <v>356</v>
      </c>
      <c r="C35" s="2"/>
      <c r="D35" s="3"/>
      <c r="E35" s="18" t="s">
        <v>357</v>
      </c>
      <c r="F35" s="2"/>
      <c r="G35" s="2"/>
      <c r="H35" s="2"/>
      <c r="I35" s="3"/>
      <c r="J35" s="18" t="s">
        <v>308</v>
      </c>
      <c r="K35" s="2"/>
      <c r="L35" s="2"/>
      <c r="M35" s="2"/>
      <c r="N35" s="2"/>
      <c r="O35" s="2"/>
      <c r="P35" s="3"/>
      <c r="Q35" s="18" t="s">
        <v>358</v>
      </c>
      <c r="R35" s="2"/>
      <c r="S35" s="2"/>
      <c r="T35" s="2"/>
      <c r="U35" s="2"/>
      <c r="V35" s="2"/>
      <c r="W35" s="3"/>
      <c r="X35" s="18" t="s">
        <v>359</v>
      </c>
      <c r="Y35" s="2"/>
      <c r="Z35" s="2"/>
      <c r="AA35" s="2"/>
      <c r="AB35" s="2"/>
      <c r="AC35" s="2"/>
      <c r="AD35" s="3"/>
      <c r="AE35" s="19" t="s">
        <v>211</v>
      </c>
      <c r="AF35" s="3"/>
      <c r="AG35" s="20" t="s">
        <v>61</v>
      </c>
      <c r="AH35" s="2"/>
      <c r="AI35" s="3"/>
      <c r="AJ35" s="19"/>
      <c r="AK35" s="2"/>
      <c r="AL35" s="3"/>
      <c r="AM35" s="20" t="s">
        <v>268</v>
      </c>
      <c r="AN35" s="2"/>
      <c r="AO35" s="3"/>
      <c r="AP35" s="21">
        <v>46192</v>
      </c>
      <c r="AQ35" s="2"/>
      <c r="AR35" s="3"/>
      <c r="AS35" s="19"/>
      <c r="AT35" s="2"/>
      <c r="AU35" s="3"/>
      <c r="AV35" s="19" t="s">
        <v>61</v>
      </c>
      <c r="AW35" s="2"/>
      <c r="AX35" s="3"/>
      <c r="AY35" s="19"/>
      <c r="AZ35" s="2"/>
      <c r="BA35" s="3"/>
      <c r="BB35" s="19" t="s">
        <v>269</v>
      </c>
      <c r="BC35" s="2"/>
      <c r="BD35" s="3"/>
      <c r="BE35" s="21">
        <v>46246</v>
      </c>
      <c r="BF35" s="2"/>
      <c r="BG35" s="3"/>
      <c r="BH35" s="19"/>
      <c r="BI35" s="2"/>
      <c r="BJ35" s="3"/>
      <c r="BK35" s="18"/>
      <c r="BL35" s="2"/>
      <c r="BM35" s="2"/>
      <c r="BN35" s="2"/>
      <c r="BO35" s="2"/>
      <c r="BP35" s="2"/>
      <c r="BQ35" s="3"/>
    </row>
    <row r="36" ht="207.75" customHeight="1" spans="1:69">
      <c r="A36" s="17">
        <v>21</v>
      </c>
      <c r="B36" s="18" t="s">
        <v>360</v>
      </c>
      <c r="C36" s="2"/>
      <c r="D36" s="3"/>
      <c r="E36" s="18" t="s">
        <v>361</v>
      </c>
      <c r="F36" s="2"/>
      <c r="G36" s="2"/>
      <c r="H36" s="2"/>
      <c r="I36" s="3"/>
      <c r="J36" s="18" t="s">
        <v>303</v>
      </c>
      <c r="K36" s="2"/>
      <c r="L36" s="2"/>
      <c r="M36" s="2"/>
      <c r="N36" s="2"/>
      <c r="O36" s="2"/>
      <c r="P36" s="3"/>
      <c r="Q36" s="18" t="s">
        <v>362</v>
      </c>
      <c r="R36" s="2"/>
      <c r="S36" s="2"/>
      <c r="T36" s="2"/>
      <c r="U36" s="2"/>
      <c r="V36" s="2"/>
      <c r="W36" s="3"/>
      <c r="X36" s="18" t="s">
        <v>363</v>
      </c>
      <c r="Y36" s="2"/>
      <c r="Z36" s="2"/>
      <c r="AA36" s="2"/>
      <c r="AB36" s="2"/>
      <c r="AC36" s="2"/>
      <c r="AD36" s="3"/>
      <c r="AE36" s="19" t="s">
        <v>211</v>
      </c>
      <c r="AF36" s="3"/>
      <c r="AG36" s="20" t="s">
        <v>61</v>
      </c>
      <c r="AH36" s="2"/>
      <c r="AI36" s="3"/>
      <c r="AJ36" s="19"/>
      <c r="AK36" s="2"/>
      <c r="AL36" s="3"/>
      <c r="AM36" s="20" t="s">
        <v>268</v>
      </c>
      <c r="AN36" s="2"/>
      <c r="AO36" s="3"/>
      <c r="AP36" s="21">
        <v>46192</v>
      </c>
      <c r="AQ36" s="2"/>
      <c r="AR36" s="3"/>
      <c r="AS36" s="19"/>
      <c r="AT36" s="2"/>
      <c r="AU36" s="3"/>
      <c r="AV36" s="19" t="s">
        <v>61</v>
      </c>
      <c r="AW36" s="2"/>
      <c r="AX36" s="3"/>
      <c r="AY36" s="19"/>
      <c r="AZ36" s="2"/>
      <c r="BA36" s="3"/>
      <c r="BB36" s="19" t="s">
        <v>269</v>
      </c>
      <c r="BC36" s="2"/>
      <c r="BD36" s="3"/>
      <c r="BE36" s="21">
        <v>46246</v>
      </c>
      <c r="BF36" s="2"/>
      <c r="BG36" s="3"/>
      <c r="BH36" s="19"/>
      <c r="BI36" s="2"/>
      <c r="BJ36" s="3"/>
      <c r="BK36" s="18"/>
      <c r="BL36" s="2"/>
      <c r="BM36" s="2"/>
      <c r="BN36" s="2"/>
      <c r="BO36" s="2"/>
      <c r="BP36" s="2"/>
      <c r="BQ36" s="3"/>
    </row>
    <row r="37" ht="271.5" customHeight="1" spans="1:69">
      <c r="A37" s="17">
        <v>22</v>
      </c>
      <c r="B37" s="18" t="s">
        <v>364</v>
      </c>
      <c r="C37" s="2"/>
      <c r="D37" s="3"/>
      <c r="E37" s="18" t="s">
        <v>365</v>
      </c>
      <c r="F37" s="2"/>
      <c r="G37" s="2"/>
      <c r="H37" s="2"/>
      <c r="I37" s="3"/>
      <c r="J37" s="18" t="s">
        <v>366</v>
      </c>
      <c r="K37" s="2"/>
      <c r="L37" s="2"/>
      <c r="M37" s="2"/>
      <c r="N37" s="2"/>
      <c r="O37" s="2"/>
      <c r="P37" s="3"/>
      <c r="Q37" s="18" t="s">
        <v>367</v>
      </c>
      <c r="R37" s="2"/>
      <c r="S37" s="2"/>
      <c r="T37" s="2"/>
      <c r="U37" s="2"/>
      <c r="V37" s="2"/>
      <c r="W37" s="3"/>
      <c r="X37" s="18" t="s">
        <v>368</v>
      </c>
      <c r="Y37" s="2"/>
      <c r="Z37" s="2"/>
      <c r="AA37" s="2"/>
      <c r="AB37" s="2"/>
      <c r="AC37" s="2"/>
      <c r="AD37" s="3"/>
      <c r="AE37" s="19" t="s">
        <v>215</v>
      </c>
      <c r="AF37" s="3"/>
      <c r="AG37" s="20" t="s">
        <v>61</v>
      </c>
      <c r="AH37" s="2"/>
      <c r="AI37" s="3"/>
      <c r="AJ37" s="19"/>
      <c r="AK37" s="2"/>
      <c r="AL37" s="3"/>
      <c r="AM37" s="20" t="s">
        <v>268</v>
      </c>
      <c r="AN37" s="2"/>
      <c r="AO37" s="3"/>
      <c r="AP37" s="21">
        <v>46192</v>
      </c>
      <c r="AQ37" s="2"/>
      <c r="AR37" s="3"/>
      <c r="AS37" s="19"/>
      <c r="AT37" s="2"/>
      <c r="AU37" s="3"/>
      <c r="AV37" s="19" t="s">
        <v>61</v>
      </c>
      <c r="AW37" s="2"/>
      <c r="AX37" s="3"/>
      <c r="AY37" s="19"/>
      <c r="AZ37" s="2"/>
      <c r="BA37" s="3"/>
      <c r="BB37" s="19" t="s">
        <v>269</v>
      </c>
      <c r="BC37" s="2"/>
      <c r="BD37" s="3"/>
      <c r="BE37" s="21">
        <v>46246</v>
      </c>
      <c r="BF37" s="2"/>
      <c r="BG37" s="3"/>
      <c r="BH37" s="19"/>
      <c r="BI37" s="2"/>
      <c r="BJ37" s="3"/>
      <c r="BK37" s="18"/>
      <c r="BL37" s="2"/>
      <c r="BM37" s="2"/>
      <c r="BN37" s="2"/>
      <c r="BO37" s="2"/>
      <c r="BP37" s="2"/>
      <c r="BQ37" s="3"/>
    </row>
    <row r="38" ht="240" customHeight="1" spans="1:69">
      <c r="A38" s="17">
        <v>23</v>
      </c>
      <c r="B38" s="18" t="s">
        <v>369</v>
      </c>
      <c r="C38" s="2"/>
      <c r="D38" s="3"/>
      <c r="E38" s="18" t="s">
        <v>370</v>
      </c>
      <c r="F38" s="2"/>
      <c r="G38" s="2"/>
      <c r="H38" s="2"/>
      <c r="I38" s="3"/>
      <c r="J38" s="18" t="s">
        <v>371</v>
      </c>
      <c r="K38" s="2"/>
      <c r="L38" s="2"/>
      <c r="M38" s="2"/>
      <c r="N38" s="2"/>
      <c r="O38" s="2"/>
      <c r="P38" s="3"/>
      <c r="Q38" s="18" t="s">
        <v>372</v>
      </c>
      <c r="R38" s="2"/>
      <c r="S38" s="2"/>
      <c r="T38" s="2"/>
      <c r="U38" s="2"/>
      <c r="V38" s="2"/>
      <c r="W38" s="3"/>
      <c r="X38" s="18" t="s">
        <v>373</v>
      </c>
      <c r="Y38" s="2"/>
      <c r="Z38" s="2"/>
      <c r="AA38" s="2"/>
      <c r="AB38" s="2"/>
      <c r="AC38" s="2"/>
      <c r="AD38" s="3"/>
      <c r="AE38" s="19" t="s">
        <v>280</v>
      </c>
      <c r="AF38" s="3"/>
      <c r="AG38" s="19" t="s">
        <v>64</v>
      </c>
      <c r="AH38" s="2"/>
      <c r="AI38" s="3"/>
      <c r="AJ38" s="19"/>
      <c r="AK38" s="2"/>
      <c r="AL38" s="3"/>
      <c r="AM38" s="20" t="s">
        <v>268</v>
      </c>
      <c r="AN38" s="2"/>
      <c r="AO38" s="3"/>
      <c r="AP38" s="21">
        <v>46192</v>
      </c>
      <c r="AQ38" s="2"/>
      <c r="AR38" s="3"/>
      <c r="AS38" s="19"/>
      <c r="AT38" s="2"/>
      <c r="AU38" s="3"/>
      <c r="AV38" s="19" t="s">
        <v>61</v>
      </c>
      <c r="AW38" s="2"/>
      <c r="AX38" s="3"/>
      <c r="AY38" s="19"/>
      <c r="AZ38" s="2"/>
      <c r="BA38" s="3"/>
      <c r="BB38" s="19" t="s">
        <v>269</v>
      </c>
      <c r="BC38" s="2"/>
      <c r="BD38" s="3"/>
      <c r="BE38" s="21">
        <v>46246</v>
      </c>
      <c r="BF38" s="2"/>
      <c r="BG38" s="3"/>
      <c r="BH38" s="19"/>
      <c r="BI38" s="2"/>
      <c r="BJ38" s="3"/>
      <c r="BK38" s="18"/>
      <c r="BL38" s="2"/>
      <c r="BM38" s="2"/>
      <c r="BN38" s="2"/>
      <c r="BO38" s="2"/>
      <c r="BP38" s="2"/>
      <c r="BQ38" s="3"/>
    </row>
    <row r="39" ht="255.75" customHeight="1" spans="1:69">
      <c r="A39" s="17">
        <v>24</v>
      </c>
      <c r="B39" s="18" t="s">
        <v>374</v>
      </c>
      <c r="C39" s="2"/>
      <c r="D39" s="3"/>
      <c r="E39" s="18" t="s">
        <v>375</v>
      </c>
      <c r="F39" s="2"/>
      <c r="G39" s="2"/>
      <c r="H39" s="2"/>
      <c r="I39" s="3"/>
      <c r="J39" s="18" t="s">
        <v>327</v>
      </c>
      <c r="K39" s="2"/>
      <c r="L39" s="2"/>
      <c r="M39" s="2"/>
      <c r="N39" s="2"/>
      <c r="O39" s="2"/>
      <c r="P39" s="3"/>
      <c r="Q39" s="18" t="s">
        <v>376</v>
      </c>
      <c r="R39" s="2"/>
      <c r="S39" s="2"/>
      <c r="T39" s="2"/>
      <c r="U39" s="2"/>
      <c r="V39" s="2"/>
      <c r="W39" s="3"/>
      <c r="X39" s="18" t="s">
        <v>377</v>
      </c>
      <c r="Y39" s="2"/>
      <c r="Z39" s="2"/>
      <c r="AA39" s="2"/>
      <c r="AB39" s="2"/>
      <c r="AC39" s="2"/>
      <c r="AD39" s="3"/>
      <c r="AE39" s="19" t="s">
        <v>211</v>
      </c>
      <c r="AF39" s="3"/>
      <c r="AG39" s="20" t="s">
        <v>61</v>
      </c>
      <c r="AH39" s="2"/>
      <c r="AI39" s="3"/>
      <c r="AJ39" s="19"/>
      <c r="AK39" s="2"/>
      <c r="AL39" s="3"/>
      <c r="AM39" s="20" t="s">
        <v>268</v>
      </c>
      <c r="AN39" s="2"/>
      <c r="AO39" s="3"/>
      <c r="AP39" s="21">
        <v>46192</v>
      </c>
      <c r="AQ39" s="2"/>
      <c r="AR39" s="3"/>
      <c r="AS39" s="19"/>
      <c r="AT39" s="2"/>
      <c r="AU39" s="3"/>
      <c r="AV39" s="19" t="s">
        <v>61</v>
      </c>
      <c r="AW39" s="2"/>
      <c r="AX39" s="3"/>
      <c r="AY39" s="19"/>
      <c r="AZ39" s="2"/>
      <c r="BA39" s="3"/>
      <c r="BB39" s="19" t="s">
        <v>269</v>
      </c>
      <c r="BC39" s="2"/>
      <c r="BD39" s="3"/>
      <c r="BE39" s="21">
        <v>46246</v>
      </c>
      <c r="BF39" s="2"/>
      <c r="BG39" s="3"/>
      <c r="BH39" s="19"/>
      <c r="BI39" s="2"/>
      <c r="BJ39" s="3"/>
      <c r="BK39" s="18"/>
      <c r="BL39" s="2"/>
      <c r="BM39" s="2"/>
      <c r="BN39" s="2"/>
      <c r="BO39" s="2"/>
      <c r="BP39" s="2"/>
      <c r="BQ39" s="3"/>
    </row>
    <row r="40" ht="22.5" customHeight="1" spans="1:69">
      <c r="A40" s="16" t="s">
        <v>378</v>
      </c>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3"/>
    </row>
    <row r="41" ht="255.75" customHeight="1" spans="1:69">
      <c r="A41" s="17">
        <v>25</v>
      </c>
      <c r="B41" s="18" t="s">
        <v>379</v>
      </c>
      <c r="C41" s="2"/>
      <c r="D41" s="3"/>
      <c r="E41" s="18" t="s">
        <v>380</v>
      </c>
      <c r="F41" s="2"/>
      <c r="G41" s="2"/>
      <c r="H41" s="2"/>
      <c r="I41" s="3"/>
      <c r="J41" s="18" t="s">
        <v>381</v>
      </c>
      <c r="K41" s="2"/>
      <c r="L41" s="2"/>
      <c r="M41" s="2"/>
      <c r="N41" s="2"/>
      <c r="O41" s="2"/>
      <c r="P41" s="3"/>
      <c r="Q41" s="18" t="s">
        <v>382</v>
      </c>
      <c r="R41" s="2"/>
      <c r="S41" s="2"/>
      <c r="T41" s="2"/>
      <c r="U41" s="2"/>
      <c r="V41" s="2"/>
      <c r="W41" s="3"/>
      <c r="X41" s="18" t="s">
        <v>383</v>
      </c>
      <c r="Y41" s="2"/>
      <c r="Z41" s="2"/>
      <c r="AA41" s="2"/>
      <c r="AB41" s="2"/>
      <c r="AC41" s="2"/>
      <c r="AD41" s="3"/>
      <c r="AE41" s="19" t="s">
        <v>280</v>
      </c>
      <c r="AF41" s="3"/>
      <c r="AG41" s="20" t="s">
        <v>61</v>
      </c>
      <c r="AH41" s="2"/>
      <c r="AI41" s="3"/>
      <c r="AJ41" s="19"/>
      <c r="AK41" s="2"/>
      <c r="AL41" s="3"/>
      <c r="AM41" s="20" t="s">
        <v>268</v>
      </c>
      <c r="AN41" s="2"/>
      <c r="AO41" s="3"/>
      <c r="AP41" s="21">
        <v>46192</v>
      </c>
      <c r="AQ41" s="2"/>
      <c r="AR41" s="3"/>
      <c r="AS41" s="19"/>
      <c r="AT41" s="2"/>
      <c r="AU41" s="3"/>
      <c r="AV41" s="19" t="s">
        <v>61</v>
      </c>
      <c r="AW41" s="2"/>
      <c r="AX41" s="3"/>
      <c r="AY41" s="19"/>
      <c r="AZ41" s="2"/>
      <c r="BA41" s="3"/>
      <c r="BB41" s="19" t="s">
        <v>269</v>
      </c>
      <c r="BC41" s="2"/>
      <c r="BD41" s="3"/>
      <c r="BE41" s="21">
        <v>46246</v>
      </c>
      <c r="BF41" s="2"/>
      <c r="BG41" s="3"/>
      <c r="BH41" s="19"/>
      <c r="BI41" s="2"/>
      <c r="BJ41" s="3"/>
      <c r="BK41" s="18"/>
      <c r="BL41" s="2"/>
      <c r="BM41" s="2"/>
      <c r="BN41" s="2"/>
      <c r="BO41" s="2"/>
      <c r="BP41" s="2"/>
      <c r="BQ41" s="3"/>
    </row>
    <row r="42" ht="207.75" customHeight="1" spans="1:69">
      <c r="A42" s="17">
        <v>26</v>
      </c>
      <c r="B42" s="18" t="s">
        <v>384</v>
      </c>
      <c r="C42" s="2"/>
      <c r="D42" s="3"/>
      <c r="E42" s="18" t="s">
        <v>385</v>
      </c>
      <c r="F42" s="2"/>
      <c r="G42" s="2"/>
      <c r="H42" s="2"/>
      <c r="I42" s="3"/>
      <c r="J42" s="18" t="s">
        <v>327</v>
      </c>
      <c r="K42" s="2"/>
      <c r="L42" s="2"/>
      <c r="M42" s="2"/>
      <c r="N42" s="2"/>
      <c r="O42" s="2"/>
      <c r="P42" s="3"/>
      <c r="Q42" s="18" t="s">
        <v>386</v>
      </c>
      <c r="R42" s="2"/>
      <c r="S42" s="2"/>
      <c r="T42" s="2"/>
      <c r="U42" s="2"/>
      <c r="V42" s="2"/>
      <c r="W42" s="3"/>
      <c r="X42" s="18" t="s">
        <v>387</v>
      </c>
      <c r="Y42" s="2"/>
      <c r="Z42" s="2"/>
      <c r="AA42" s="2"/>
      <c r="AB42" s="2"/>
      <c r="AC42" s="2"/>
      <c r="AD42" s="3"/>
      <c r="AE42" s="19" t="s">
        <v>280</v>
      </c>
      <c r="AF42" s="3"/>
      <c r="AG42" s="20" t="s">
        <v>61</v>
      </c>
      <c r="AH42" s="2"/>
      <c r="AI42" s="3"/>
      <c r="AJ42" s="19"/>
      <c r="AK42" s="2"/>
      <c r="AL42" s="3"/>
      <c r="AM42" s="20" t="s">
        <v>268</v>
      </c>
      <c r="AN42" s="2"/>
      <c r="AO42" s="3"/>
      <c r="AP42" s="21">
        <v>46192</v>
      </c>
      <c r="AQ42" s="2"/>
      <c r="AR42" s="3"/>
      <c r="AS42" s="19"/>
      <c r="AT42" s="2"/>
      <c r="AU42" s="3"/>
      <c r="AV42" s="19" t="s">
        <v>61</v>
      </c>
      <c r="AW42" s="2"/>
      <c r="AX42" s="3"/>
      <c r="AY42" s="19"/>
      <c r="AZ42" s="2"/>
      <c r="BA42" s="3"/>
      <c r="BB42" s="19" t="s">
        <v>269</v>
      </c>
      <c r="BC42" s="2"/>
      <c r="BD42" s="3"/>
      <c r="BE42" s="21">
        <v>46246</v>
      </c>
      <c r="BF42" s="2"/>
      <c r="BG42" s="3"/>
      <c r="BH42" s="19"/>
      <c r="BI42" s="2"/>
      <c r="BJ42" s="3"/>
      <c r="BK42" s="18"/>
      <c r="BL42" s="2"/>
      <c r="BM42" s="2"/>
      <c r="BN42" s="2"/>
      <c r="BO42" s="2"/>
      <c r="BP42" s="2"/>
      <c r="BQ42" s="3"/>
    </row>
    <row r="43" ht="207.75" customHeight="1" spans="1:69">
      <c r="A43" s="17">
        <v>27</v>
      </c>
      <c r="B43" s="18" t="s">
        <v>388</v>
      </c>
      <c r="C43" s="2"/>
      <c r="D43" s="3"/>
      <c r="E43" s="18" t="s">
        <v>389</v>
      </c>
      <c r="F43" s="2"/>
      <c r="G43" s="2"/>
      <c r="H43" s="2"/>
      <c r="I43" s="3"/>
      <c r="J43" s="18" t="s">
        <v>390</v>
      </c>
      <c r="K43" s="2"/>
      <c r="L43" s="2"/>
      <c r="M43" s="2"/>
      <c r="N43" s="2"/>
      <c r="O43" s="2"/>
      <c r="P43" s="3"/>
      <c r="Q43" s="18" t="s">
        <v>391</v>
      </c>
      <c r="R43" s="2"/>
      <c r="S43" s="2"/>
      <c r="T43" s="2"/>
      <c r="U43" s="2"/>
      <c r="V43" s="2"/>
      <c r="W43" s="3"/>
      <c r="X43" s="18" t="s">
        <v>392</v>
      </c>
      <c r="Y43" s="2"/>
      <c r="Z43" s="2"/>
      <c r="AA43" s="2"/>
      <c r="AB43" s="2"/>
      <c r="AC43" s="2"/>
      <c r="AD43" s="3"/>
      <c r="AE43" s="19" t="s">
        <v>280</v>
      </c>
      <c r="AF43" s="3"/>
      <c r="AG43" s="20" t="s">
        <v>61</v>
      </c>
      <c r="AH43" s="2"/>
      <c r="AI43" s="3"/>
      <c r="AJ43" s="19"/>
      <c r="AK43" s="2"/>
      <c r="AL43" s="3"/>
      <c r="AM43" s="20" t="s">
        <v>268</v>
      </c>
      <c r="AN43" s="2"/>
      <c r="AO43" s="3"/>
      <c r="AP43" s="21">
        <v>46192</v>
      </c>
      <c r="AQ43" s="2"/>
      <c r="AR43" s="3"/>
      <c r="AS43" s="19"/>
      <c r="AT43" s="2"/>
      <c r="AU43" s="3"/>
      <c r="AV43" s="19" t="s">
        <v>61</v>
      </c>
      <c r="AW43" s="2"/>
      <c r="AX43" s="3"/>
      <c r="AY43" s="19"/>
      <c r="AZ43" s="2"/>
      <c r="BA43" s="3"/>
      <c r="BB43" s="19" t="s">
        <v>269</v>
      </c>
      <c r="BC43" s="2"/>
      <c r="BD43" s="3"/>
      <c r="BE43" s="21">
        <v>46246</v>
      </c>
      <c r="BF43" s="2"/>
      <c r="BG43" s="3"/>
      <c r="BH43" s="19"/>
      <c r="BI43" s="2"/>
      <c r="BJ43" s="3"/>
      <c r="BK43" s="18"/>
      <c r="BL43" s="2"/>
      <c r="BM43" s="2"/>
      <c r="BN43" s="2"/>
      <c r="BO43" s="2"/>
      <c r="BP43" s="2"/>
      <c r="BQ43" s="3"/>
    </row>
    <row r="44" ht="255.75" customHeight="1" spans="1:69">
      <c r="A44" s="17">
        <v>28</v>
      </c>
      <c r="B44" s="18" t="s">
        <v>393</v>
      </c>
      <c r="C44" s="2"/>
      <c r="D44" s="3"/>
      <c r="E44" s="18" t="s">
        <v>394</v>
      </c>
      <c r="F44" s="2"/>
      <c r="G44" s="2"/>
      <c r="H44" s="2"/>
      <c r="I44" s="3"/>
      <c r="J44" s="18" t="s">
        <v>395</v>
      </c>
      <c r="K44" s="2"/>
      <c r="L44" s="2"/>
      <c r="M44" s="2"/>
      <c r="N44" s="2"/>
      <c r="O44" s="2"/>
      <c r="P44" s="3"/>
      <c r="Q44" s="18" t="s">
        <v>396</v>
      </c>
      <c r="R44" s="2"/>
      <c r="S44" s="2"/>
      <c r="T44" s="2"/>
      <c r="U44" s="2"/>
      <c r="V44" s="2"/>
      <c r="W44" s="3"/>
      <c r="X44" s="18" t="s">
        <v>397</v>
      </c>
      <c r="Y44" s="2"/>
      <c r="Z44" s="2"/>
      <c r="AA44" s="2"/>
      <c r="AB44" s="2"/>
      <c r="AC44" s="2"/>
      <c r="AD44" s="3"/>
      <c r="AE44" s="19" t="s">
        <v>280</v>
      </c>
      <c r="AF44" s="3"/>
      <c r="AG44" s="20" t="s">
        <v>61</v>
      </c>
      <c r="AH44" s="2"/>
      <c r="AI44" s="3"/>
      <c r="AJ44" s="19"/>
      <c r="AK44" s="2"/>
      <c r="AL44" s="3"/>
      <c r="AM44" s="20" t="s">
        <v>268</v>
      </c>
      <c r="AN44" s="2"/>
      <c r="AO44" s="3"/>
      <c r="AP44" s="21">
        <v>46192</v>
      </c>
      <c r="AQ44" s="2"/>
      <c r="AR44" s="3"/>
      <c r="AS44" s="19"/>
      <c r="AT44" s="2"/>
      <c r="AU44" s="3"/>
      <c r="AV44" s="19" t="s">
        <v>61</v>
      </c>
      <c r="AW44" s="2"/>
      <c r="AX44" s="3"/>
      <c r="AY44" s="19"/>
      <c r="AZ44" s="2"/>
      <c r="BA44" s="3"/>
      <c r="BB44" s="19" t="s">
        <v>269</v>
      </c>
      <c r="BC44" s="2"/>
      <c r="BD44" s="3"/>
      <c r="BE44" s="21">
        <v>46246</v>
      </c>
      <c r="BF44" s="2"/>
      <c r="BG44" s="3"/>
      <c r="BH44" s="19"/>
      <c r="BI44" s="2"/>
      <c r="BJ44" s="3"/>
      <c r="BK44" s="18"/>
      <c r="BL44" s="2"/>
      <c r="BM44" s="2"/>
      <c r="BN44" s="2"/>
      <c r="BO44" s="2"/>
      <c r="BP44" s="2"/>
      <c r="BQ44" s="3"/>
    </row>
    <row r="45" ht="223.5" customHeight="1" spans="1:69">
      <c r="A45" s="17">
        <v>29</v>
      </c>
      <c r="B45" s="18" t="s">
        <v>398</v>
      </c>
      <c r="C45" s="2"/>
      <c r="D45" s="3"/>
      <c r="E45" s="18" t="s">
        <v>399</v>
      </c>
      <c r="F45" s="2"/>
      <c r="G45" s="2"/>
      <c r="H45" s="2"/>
      <c r="I45" s="3"/>
      <c r="J45" s="18" t="s">
        <v>400</v>
      </c>
      <c r="K45" s="2"/>
      <c r="L45" s="2"/>
      <c r="M45" s="2"/>
      <c r="N45" s="2"/>
      <c r="O45" s="2"/>
      <c r="P45" s="3"/>
      <c r="Q45" s="18" t="s">
        <v>401</v>
      </c>
      <c r="R45" s="2"/>
      <c r="S45" s="2"/>
      <c r="T45" s="2"/>
      <c r="U45" s="2"/>
      <c r="V45" s="2"/>
      <c r="W45" s="3"/>
      <c r="X45" s="18" t="s">
        <v>402</v>
      </c>
      <c r="Y45" s="2"/>
      <c r="Z45" s="2"/>
      <c r="AA45" s="2"/>
      <c r="AB45" s="2"/>
      <c r="AC45" s="2"/>
      <c r="AD45" s="3"/>
      <c r="AE45" s="19" t="s">
        <v>280</v>
      </c>
      <c r="AF45" s="3"/>
      <c r="AG45" s="20" t="s">
        <v>61</v>
      </c>
      <c r="AH45" s="2"/>
      <c r="AI45" s="3"/>
      <c r="AJ45" s="19"/>
      <c r="AK45" s="2"/>
      <c r="AL45" s="3"/>
      <c r="AM45" s="20" t="s">
        <v>268</v>
      </c>
      <c r="AN45" s="2"/>
      <c r="AO45" s="3"/>
      <c r="AP45" s="21">
        <v>46192</v>
      </c>
      <c r="AQ45" s="2"/>
      <c r="AR45" s="3"/>
      <c r="AS45" s="19"/>
      <c r="AT45" s="2"/>
      <c r="AU45" s="3"/>
      <c r="AV45" s="19" t="s">
        <v>61</v>
      </c>
      <c r="AW45" s="2"/>
      <c r="AX45" s="3"/>
      <c r="AY45" s="19"/>
      <c r="AZ45" s="2"/>
      <c r="BA45" s="3"/>
      <c r="BB45" s="19" t="s">
        <v>269</v>
      </c>
      <c r="BC45" s="2"/>
      <c r="BD45" s="3"/>
      <c r="BE45" s="21">
        <v>46246</v>
      </c>
      <c r="BF45" s="2"/>
      <c r="BG45" s="3"/>
      <c r="BH45" s="19"/>
      <c r="BI45" s="2"/>
      <c r="BJ45" s="3"/>
      <c r="BK45" s="18"/>
      <c r="BL45" s="2"/>
      <c r="BM45" s="2"/>
      <c r="BN45" s="2"/>
      <c r="BO45" s="2"/>
      <c r="BP45" s="2"/>
      <c r="BQ45" s="3"/>
    </row>
    <row r="46" ht="223.5" customHeight="1" spans="1:69">
      <c r="A46" s="17">
        <v>30</v>
      </c>
      <c r="B46" s="18" t="s">
        <v>403</v>
      </c>
      <c r="C46" s="2"/>
      <c r="D46" s="3"/>
      <c r="E46" s="18" t="s">
        <v>404</v>
      </c>
      <c r="F46" s="2"/>
      <c r="G46" s="2"/>
      <c r="H46" s="2"/>
      <c r="I46" s="3"/>
      <c r="J46" s="18" t="s">
        <v>405</v>
      </c>
      <c r="K46" s="2"/>
      <c r="L46" s="2"/>
      <c r="M46" s="2"/>
      <c r="N46" s="2"/>
      <c r="O46" s="2"/>
      <c r="P46" s="3"/>
      <c r="Q46" s="18" t="s">
        <v>406</v>
      </c>
      <c r="R46" s="2"/>
      <c r="S46" s="2"/>
      <c r="T46" s="2"/>
      <c r="U46" s="2"/>
      <c r="V46" s="2"/>
      <c r="W46" s="3"/>
      <c r="X46" s="18" t="s">
        <v>407</v>
      </c>
      <c r="Y46" s="2"/>
      <c r="Z46" s="2"/>
      <c r="AA46" s="2"/>
      <c r="AB46" s="2"/>
      <c r="AC46" s="2"/>
      <c r="AD46" s="3"/>
      <c r="AE46" s="19" t="s">
        <v>280</v>
      </c>
      <c r="AF46" s="3"/>
      <c r="AG46" s="20" t="s">
        <v>61</v>
      </c>
      <c r="AH46" s="2"/>
      <c r="AI46" s="3"/>
      <c r="AJ46" s="19"/>
      <c r="AK46" s="2"/>
      <c r="AL46" s="3"/>
      <c r="AM46" s="20" t="s">
        <v>268</v>
      </c>
      <c r="AN46" s="2"/>
      <c r="AO46" s="3"/>
      <c r="AP46" s="21">
        <v>46192</v>
      </c>
      <c r="AQ46" s="2"/>
      <c r="AR46" s="3"/>
      <c r="AS46" s="19"/>
      <c r="AT46" s="2"/>
      <c r="AU46" s="3"/>
      <c r="AV46" s="19" t="s">
        <v>61</v>
      </c>
      <c r="AW46" s="2"/>
      <c r="AX46" s="3"/>
      <c r="AY46" s="19"/>
      <c r="AZ46" s="2"/>
      <c r="BA46" s="3"/>
      <c r="BB46" s="19" t="s">
        <v>269</v>
      </c>
      <c r="BC46" s="2"/>
      <c r="BD46" s="3"/>
      <c r="BE46" s="21">
        <v>46246</v>
      </c>
      <c r="BF46" s="2"/>
      <c r="BG46" s="3"/>
      <c r="BH46" s="19"/>
      <c r="BI46" s="2"/>
      <c r="BJ46" s="3"/>
      <c r="BK46" s="18"/>
      <c r="BL46" s="2"/>
      <c r="BM46" s="2"/>
      <c r="BN46" s="2"/>
      <c r="BO46" s="2"/>
      <c r="BP46" s="2"/>
      <c r="BQ46" s="3"/>
    </row>
    <row r="47" ht="22.5" customHeight="1" spans="1:69">
      <c r="A47" s="16" t="s">
        <v>408</v>
      </c>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3"/>
    </row>
    <row r="48" ht="409.5" customHeight="1" spans="1:69">
      <c r="A48" s="17">
        <v>31</v>
      </c>
      <c r="B48" s="18" t="s">
        <v>409</v>
      </c>
      <c r="C48" s="2"/>
      <c r="D48" s="3"/>
      <c r="E48" s="18" t="s">
        <v>410</v>
      </c>
      <c r="F48" s="2"/>
      <c r="G48" s="2"/>
      <c r="H48" s="2"/>
      <c r="I48" s="3"/>
      <c r="J48" s="18" t="s">
        <v>411</v>
      </c>
      <c r="K48" s="2"/>
      <c r="L48" s="2"/>
      <c r="M48" s="2"/>
      <c r="N48" s="2"/>
      <c r="O48" s="2"/>
      <c r="P48" s="3"/>
      <c r="Q48" s="18" t="s">
        <v>412</v>
      </c>
      <c r="R48" s="2"/>
      <c r="S48" s="2"/>
      <c r="T48" s="2"/>
      <c r="U48" s="2"/>
      <c r="V48" s="2"/>
      <c r="W48" s="3"/>
      <c r="X48" s="18" t="s">
        <v>413</v>
      </c>
      <c r="Y48" s="2"/>
      <c r="Z48" s="2"/>
      <c r="AA48" s="2"/>
      <c r="AB48" s="2"/>
      <c r="AC48" s="2"/>
      <c r="AD48" s="3"/>
      <c r="AE48" s="19" t="s">
        <v>280</v>
      </c>
      <c r="AF48" s="3"/>
      <c r="AG48" s="20" t="s">
        <v>61</v>
      </c>
      <c r="AH48" s="2"/>
      <c r="AI48" s="3"/>
      <c r="AJ48" s="19"/>
      <c r="AK48" s="2"/>
      <c r="AL48" s="3"/>
      <c r="AM48" s="20" t="s">
        <v>268</v>
      </c>
      <c r="AN48" s="2"/>
      <c r="AO48" s="3"/>
      <c r="AP48" s="21">
        <v>46192</v>
      </c>
      <c r="AQ48" s="2"/>
      <c r="AR48" s="3"/>
      <c r="AS48" s="19"/>
      <c r="AT48" s="2"/>
      <c r="AU48" s="3"/>
      <c r="AV48" s="19" t="s">
        <v>61</v>
      </c>
      <c r="AW48" s="2"/>
      <c r="AX48" s="3"/>
      <c r="AY48" s="19"/>
      <c r="AZ48" s="2"/>
      <c r="BA48" s="3"/>
      <c r="BB48" s="19" t="s">
        <v>269</v>
      </c>
      <c r="BC48" s="2"/>
      <c r="BD48" s="3"/>
      <c r="BE48" s="21">
        <v>46246</v>
      </c>
      <c r="BF48" s="2"/>
      <c r="BG48" s="3"/>
      <c r="BH48" s="19"/>
      <c r="BI48" s="2"/>
      <c r="BJ48" s="3"/>
      <c r="BK48" s="18"/>
      <c r="BL48" s="2"/>
      <c r="BM48" s="2"/>
      <c r="BN48" s="2"/>
      <c r="BO48" s="2"/>
      <c r="BP48" s="2"/>
      <c r="BQ48" s="3"/>
    </row>
    <row r="49" ht="271.5" customHeight="1" spans="1:69">
      <c r="A49" s="17">
        <v>32</v>
      </c>
      <c r="B49" s="18" t="s">
        <v>414</v>
      </c>
      <c r="C49" s="2"/>
      <c r="D49" s="3"/>
      <c r="E49" s="18" t="s">
        <v>415</v>
      </c>
      <c r="F49" s="2"/>
      <c r="G49" s="2"/>
      <c r="H49" s="2"/>
      <c r="I49" s="3"/>
      <c r="J49" s="18" t="s">
        <v>416</v>
      </c>
      <c r="K49" s="2"/>
      <c r="L49" s="2"/>
      <c r="M49" s="2"/>
      <c r="N49" s="2"/>
      <c r="O49" s="2"/>
      <c r="P49" s="3"/>
      <c r="Q49" s="18" t="s">
        <v>417</v>
      </c>
      <c r="R49" s="2"/>
      <c r="S49" s="2"/>
      <c r="T49" s="2"/>
      <c r="U49" s="2"/>
      <c r="V49" s="2"/>
      <c r="W49" s="3"/>
      <c r="X49" s="18" t="s">
        <v>418</v>
      </c>
      <c r="Y49" s="2"/>
      <c r="Z49" s="2"/>
      <c r="AA49" s="2"/>
      <c r="AB49" s="2"/>
      <c r="AC49" s="2"/>
      <c r="AD49" s="3"/>
      <c r="AE49" s="19" t="s">
        <v>280</v>
      </c>
      <c r="AF49" s="3"/>
      <c r="AG49" s="20" t="s">
        <v>61</v>
      </c>
      <c r="AH49" s="2"/>
      <c r="AI49" s="3"/>
      <c r="AJ49" s="19"/>
      <c r="AK49" s="2"/>
      <c r="AL49" s="3"/>
      <c r="AM49" s="20" t="s">
        <v>268</v>
      </c>
      <c r="AN49" s="2"/>
      <c r="AO49" s="3"/>
      <c r="AP49" s="21">
        <v>46192</v>
      </c>
      <c r="AQ49" s="2"/>
      <c r="AR49" s="3"/>
      <c r="AS49" s="19"/>
      <c r="AT49" s="2"/>
      <c r="AU49" s="3"/>
      <c r="AV49" s="19" t="s">
        <v>61</v>
      </c>
      <c r="AW49" s="2"/>
      <c r="AX49" s="3"/>
      <c r="AY49" s="19"/>
      <c r="AZ49" s="2"/>
      <c r="BA49" s="3"/>
      <c r="BB49" s="19" t="s">
        <v>269</v>
      </c>
      <c r="BC49" s="2"/>
      <c r="BD49" s="3"/>
      <c r="BE49" s="21">
        <v>46246</v>
      </c>
      <c r="BF49" s="2"/>
      <c r="BG49" s="3"/>
      <c r="BH49" s="19"/>
      <c r="BI49" s="2"/>
      <c r="BJ49" s="3"/>
      <c r="BK49" s="18"/>
      <c r="BL49" s="2"/>
      <c r="BM49" s="2"/>
      <c r="BN49" s="2"/>
      <c r="BO49" s="2"/>
      <c r="BP49" s="2"/>
      <c r="BQ49" s="3"/>
    </row>
    <row r="50" ht="271.5" customHeight="1" spans="1:69">
      <c r="A50" s="17">
        <v>33</v>
      </c>
      <c r="B50" s="18" t="s">
        <v>419</v>
      </c>
      <c r="C50" s="2"/>
      <c r="D50" s="3"/>
      <c r="E50" s="18" t="s">
        <v>420</v>
      </c>
      <c r="F50" s="2"/>
      <c r="G50" s="2"/>
      <c r="H50" s="2"/>
      <c r="I50" s="3"/>
      <c r="J50" s="18" t="s">
        <v>421</v>
      </c>
      <c r="K50" s="2"/>
      <c r="L50" s="2"/>
      <c r="M50" s="2"/>
      <c r="N50" s="2"/>
      <c r="O50" s="2"/>
      <c r="P50" s="3"/>
      <c r="Q50" s="18" t="s">
        <v>422</v>
      </c>
      <c r="R50" s="2"/>
      <c r="S50" s="2"/>
      <c r="T50" s="2"/>
      <c r="U50" s="2"/>
      <c r="V50" s="2"/>
      <c r="W50" s="3"/>
      <c r="X50" s="18" t="s">
        <v>423</v>
      </c>
      <c r="Y50" s="2"/>
      <c r="Z50" s="2"/>
      <c r="AA50" s="2"/>
      <c r="AB50" s="2"/>
      <c r="AC50" s="2"/>
      <c r="AD50" s="3"/>
      <c r="AE50" s="19" t="s">
        <v>280</v>
      </c>
      <c r="AF50" s="3"/>
      <c r="AG50" s="20" t="s">
        <v>61</v>
      </c>
      <c r="AH50" s="2"/>
      <c r="AI50" s="3"/>
      <c r="AJ50" s="19"/>
      <c r="AK50" s="2"/>
      <c r="AL50" s="3"/>
      <c r="AM50" s="20" t="s">
        <v>268</v>
      </c>
      <c r="AN50" s="2"/>
      <c r="AO50" s="3"/>
      <c r="AP50" s="21">
        <v>46192</v>
      </c>
      <c r="AQ50" s="2"/>
      <c r="AR50" s="3"/>
      <c r="AS50" s="19"/>
      <c r="AT50" s="2"/>
      <c r="AU50" s="3"/>
      <c r="AV50" s="19" t="s">
        <v>61</v>
      </c>
      <c r="AW50" s="2"/>
      <c r="AX50" s="3"/>
      <c r="AY50" s="19"/>
      <c r="AZ50" s="2"/>
      <c r="BA50" s="3"/>
      <c r="BB50" s="19" t="s">
        <v>269</v>
      </c>
      <c r="BC50" s="2"/>
      <c r="BD50" s="3"/>
      <c r="BE50" s="21">
        <v>46246</v>
      </c>
      <c r="BF50" s="2"/>
      <c r="BG50" s="3"/>
      <c r="BH50" s="19"/>
      <c r="BI50" s="2"/>
      <c r="BJ50" s="3"/>
      <c r="BK50" s="18"/>
      <c r="BL50" s="2"/>
      <c r="BM50" s="2"/>
      <c r="BN50" s="2"/>
      <c r="BO50" s="2"/>
      <c r="BP50" s="2"/>
      <c r="BQ50" s="3"/>
    </row>
    <row r="51" ht="240" customHeight="1" spans="1:69">
      <c r="A51" s="17">
        <v>34</v>
      </c>
      <c r="B51" s="18" t="s">
        <v>424</v>
      </c>
      <c r="C51" s="2"/>
      <c r="D51" s="3"/>
      <c r="E51" s="18" t="s">
        <v>425</v>
      </c>
      <c r="F51" s="2"/>
      <c r="G51" s="2"/>
      <c r="H51" s="2"/>
      <c r="I51" s="3"/>
      <c r="J51" s="18" t="s">
        <v>426</v>
      </c>
      <c r="K51" s="2"/>
      <c r="L51" s="2"/>
      <c r="M51" s="2"/>
      <c r="N51" s="2"/>
      <c r="O51" s="2"/>
      <c r="P51" s="3"/>
      <c r="Q51" s="18" t="s">
        <v>427</v>
      </c>
      <c r="R51" s="2"/>
      <c r="S51" s="2"/>
      <c r="T51" s="2"/>
      <c r="U51" s="2"/>
      <c r="V51" s="2"/>
      <c r="W51" s="3"/>
      <c r="X51" s="18" t="s">
        <v>428</v>
      </c>
      <c r="Y51" s="2"/>
      <c r="Z51" s="2"/>
      <c r="AA51" s="2"/>
      <c r="AB51" s="2"/>
      <c r="AC51" s="2"/>
      <c r="AD51" s="3"/>
      <c r="AE51" s="19" t="s">
        <v>211</v>
      </c>
      <c r="AF51" s="3"/>
      <c r="AG51" s="20" t="s">
        <v>61</v>
      </c>
      <c r="AH51" s="2"/>
      <c r="AI51" s="3"/>
      <c r="AJ51" s="19"/>
      <c r="AK51" s="2"/>
      <c r="AL51" s="3"/>
      <c r="AM51" s="20" t="s">
        <v>268</v>
      </c>
      <c r="AN51" s="2"/>
      <c r="AO51" s="3"/>
      <c r="AP51" s="21">
        <v>46192</v>
      </c>
      <c r="AQ51" s="2"/>
      <c r="AR51" s="3"/>
      <c r="AS51" s="19"/>
      <c r="AT51" s="2"/>
      <c r="AU51" s="3"/>
      <c r="AV51" s="19" t="s">
        <v>61</v>
      </c>
      <c r="AW51" s="2"/>
      <c r="AX51" s="3"/>
      <c r="AY51" s="19"/>
      <c r="AZ51" s="2"/>
      <c r="BA51" s="3"/>
      <c r="BB51" s="19" t="s">
        <v>269</v>
      </c>
      <c r="BC51" s="2"/>
      <c r="BD51" s="3"/>
      <c r="BE51" s="21">
        <v>46246</v>
      </c>
      <c r="BF51" s="2"/>
      <c r="BG51" s="3"/>
      <c r="BH51" s="19"/>
      <c r="BI51" s="2"/>
      <c r="BJ51" s="3"/>
      <c r="BK51" s="18"/>
      <c r="BL51" s="2"/>
      <c r="BM51" s="2"/>
      <c r="BN51" s="2"/>
      <c r="BO51" s="2"/>
      <c r="BP51" s="2"/>
      <c r="BQ51" s="3"/>
    </row>
    <row r="52" ht="240" customHeight="1" spans="1:69">
      <c r="A52" s="17">
        <v>35</v>
      </c>
      <c r="B52" s="18" t="s">
        <v>429</v>
      </c>
      <c r="C52" s="2"/>
      <c r="D52" s="3"/>
      <c r="E52" s="18" t="s">
        <v>430</v>
      </c>
      <c r="F52" s="2"/>
      <c r="G52" s="2"/>
      <c r="H52" s="2"/>
      <c r="I52" s="3"/>
      <c r="J52" s="18" t="s">
        <v>431</v>
      </c>
      <c r="K52" s="2"/>
      <c r="L52" s="2"/>
      <c r="M52" s="2"/>
      <c r="N52" s="2"/>
      <c r="O52" s="2"/>
      <c r="P52" s="3"/>
      <c r="Q52" s="18" t="s">
        <v>432</v>
      </c>
      <c r="R52" s="2"/>
      <c r="S52" s="2"/>
      <c r="T52" s="2"/>
      <c r="U52" s="2"/>
      <c r="V52" s="2"/>
      <c r="W52" s="3"/>
      <c r="X52" s="18" t="s">
        <v>433</v>
      </c>
      <c r="Y52" s="2"/>
      <c r="Z52" s="2"/>
      <c r="AA52" s="2"/>
      <c r="AB52" s="2"/>
      <c r="AC52" s="2"/>
      <c r="AD52" s="3"/>
      <c r="AE52" s="19" t="s">
        <v>211</v>
      </c>
      <c r="AF52" s="3"/>
      <c r="AG52" s="19" t="s">
        <v>64</v>
      </c>
      <c r="AH52" s="2"/>
      <c r="AI52" s="3"/>
      <c r="AJ52" s="19"/>
      <c r="AK52" s="2"/>
      <c r="AL52" s="3"/>
      <c r="AM52" s="20" t="s">
        <v>268</v>
      </c>
      <c r="AN52" s="2"/>
      <c r="AO52" s="3"/>
      <c r="AP52" s="21">
        <v>46192</v>
      </c>
      <c r="AQ52" s="2"/>
      <c r="AR52" s="3"/>
      <c r="AS52" s="19"/>
      <c r="AT52" s="2"/>
      <c r="AU52" s="3"/>
      <c r="AV52" s="19" t="s">
        <v>64</v>
      </c>
      <c r="AW52" s="2"/>
      <c r="AX52" s="3"/>
      <c r="AY52" s="19"/>
      <c r="AZ52" s="2"/>
      <c r="BA52" s="3"/>
      <c r="BB52" s="19" t="s">
        <v>269</v>
      </c>
      <c r="BC52" s="2"/>
      <c r="BD52" s="3"/>
      <c r="BE52" s="21">
        <v>46246</v>
      </c>
      <c r="BF52" s="2"/>
      <c r="BG52" s="3"/>
      <c r="BH52" s="19"/>
      <c r="BI52" s="2"/>
      <c r="BJ52" s="3"/>
      <c r="BK52" s="18" t="s">
        <v>434</v>
      </c>
      <c r="BL52" s="2"/>
      <c r="BM52" s="2"/>
      <c r="BN52" s="2"/>
      <c r="BO52" s="2"/>
      <c r="BP52" s="2"/>
      <c r="BQ52" s="3"/>
    </row>
    <row r="53" ht="240" customHeight="1" spans="1:69">
      <c r="A53" s="17">
        <v>36</v>
      </c>
      <c r="B53" s="18" t="s">
        <v>435</v>
      </c>
      <c r="C53" s="2"/>
      <c r="D53" s="3"/>
      <c r="E53" s="18" t="s">
        <v>436</v>
      </c>
      <c r="F53" s="2"/>
      <c r="G53" s="2"/>
      <c r="H53" s="2"/>
      <c r="I53" s="3"/>
      <c r="J53" s="18" t="s">
        <v>437</v>
      </c>
      <c r="K53" s="2"/>
      <c r="L53" s="2"/>
      <c r="M53" s="2"/>
      <c r="N53" s="2"/>
      <c r="O53" s="2"/>
      <c r="P53" s="3"/>
      <c r="Q53" s="18" t="s">
        <v>438</v>
      </c>
      <c r="R53" s="2"/>
      <c r="S53" s="2"/>
      <c r="T53" s="2"/>
      <c r="U53" s="2"/>
      <c r="V53" s="2"/>
      <c r="W53" s="3"/>
      <c r="X53" s="18" t="s">
        <v>439</v>
      </c>
      <c r="Y53" s="2"/>
      <c r="Z53" s="2"/>
      <c r="AA53" s="2"/>
      <c r="AB53" s="2"/>
      <c r="AC53" s="2"/>
      <c r="AD53" s="3"/>
      <c r="AE53" s="19" t="s">
        <v>211</v>
      </c>
      <c r="AF53" s="3"/>
      <c r="AG53" s="20" t="s">
        <v>61</v>
      </c>
      <c r="AH53" s="2"/>
      <c r="AI53" s="3"/>
      <c r="AJ53" s="19"/>
      <c r="AK53" s="2"/>
      <c r="AL53" s="3"/>
      <c r="AM53" s="20" t="s">
        <v>268</v>
      </c>
      <c r="AN53" s="2"/>
      <c r="AO53" s="3"/>
      <c r="AP53" s="21">
        <v>46192</v>
      </c>
      <c r="AQ53" s="2"/>
      <c r="AR53" s="3"/>
      <c r="AS53" s="19"/>
      <c r="AT53" s="2"/>
      <c r="AU53" s="3"/>
      <c r="AV53" s="19" t="s">
        <v>64</v>
      </c>
      <c r="AW53" s="2"/>
      <c r="AX53" s="3"/>
      <c r="AY53" s="19"/>
      <c r="AZ53" s="2"/>
      <c r="BA53" s="3"/>
      <c r="BB53" s="19" t="s">
        <v>269</v>
      </c>
      <c r="BC53" s="2"/>
      <c r="BD53" s="3"/>
      <c r="BE53" s="21">
        <v>46246</v>
      </c>
      <c r="BF53" s="2"/>
      <c r="BG53" s="3"/>
      <c r="BH53" s="19"/>
      <c r="BI53" s="2"/>
      <c r="BJ53" s="3"/>
      <c r="BK53" s="18" t="s">
        <v>434</v>
      </c>
      <c r="BL53" s="2"/>
      <c r="BM53" s="2"/>
      <c r="BN53" s="2"/>
      <c r="BO53" s="2"/>
      <c r="BP53" s="2"/>
      <c r="BQ53" s="3"/>
    </row>
    <row r="54" ht="207.75" customHeight="1" spans="1:69">
      <c r="A54" s="17">
        <v>37</v>
      </c>
      <c r="B54" s="18" t="s">
        <v>440</v>
      </c>
      <c r="C54" s="2"/>
      <c r="D54" s="3"/>
      <c r="E54" s="18" t="s">
        <v>441</v>
      </c>
      <c r="F54" s="2"/>
      <c r="G54" s="2"/>
      <c r="H54" s="2"/>
      <c r="I54" s="3"/>
      <c r="J54" s="18" t="s">
        <v>327</v>
      </c>
      <c r="K54" s="2"/>
      <c r="L54" s="2"/>
      <c r="M54" s="2"/>
      <c r="N54" s="2"/>
      <c r="O54" s="2"/>
      <c r="P54" s="3"/>
      <c r="Q54" s="18" t="s">
        <v>442</v>
      </c>
      <c r="R54" s="2"/>
      <c r="S54" s="2"/>
      <c r="T54" s="2"/>
      <c r="U54" s="2"/>
      <c r="V54" s="2"/>
      <c r="W54" s="3"/>
      <c r="X54" s="18" t="s">
        <v>443</v>
      </c>
      <c r="Y54" s="2"/>
      <c r="Z54" s="2"/>
      <c r="AA54" s="2"/>
      <c r="AB54" s="2"/>
      <c r="AC54" s="2"/>
      <c r="AD54" s="3"/>
      <c r="AE54" s="19" t="s">
        <v>211</v>
      </c>
      <c r="AF54" s="3"/>
      <c r="AG54" s="20" t="s">
        <v>61</v>
      </c>
      <c r="AH54" s="2"/>
      <c r="AI54" s="3"/>
      <c r="AJ54" s="19"/>
      <c r="AK54" s="2"/>
      <c r="AL54" s="3"/>
      <c r="AM54" s="20" t="s">
        <v>268</v>
      </c>
      <c r="AN54" s="2"/>
      <c r="AO54" s="3"/>
      <c r="AP54" s="21">
        <v>46192</v>
      </c>
      <c r="AQ54" s="2"/>
      <c r="AR54" s="3"/>
      <c r="AS54" s="19"/>
      <c r="AT54" s="2"/>
      <c r="AU54" s="3"/>
      <c r="AV54" s="19" t="s">
        <v>61</v>
      </c>
      <c r="AW54" s="2"/>
      <c r="AX54" s="3"/>
      <c r="AY54" s="19"/>
      <c r="AZ54" s="2"/>
      <c r="BA54" s="3"/>
      <c r="BB54" s="19" t="s">
        <v>269</v>
      </c>
      <c r="BC54" s="2"/>
      <c r="BD54" s="3"/>
      <c r="BE54" s="21">
        <v>46246</v>
      </c>
      <c r="BF54" s="2"/>
      <c r="BG54" s="3"/>
      <c r="BH54" s="19"/>
      <c r="BI54" s="2"/>
      <c r="BJ54" s="3"/>
      <c r="BK54" s="18"/>
      <c r="BL54" s="2"/>
      <c r="BM54" s="2"/>
      <c r="BN54" s="2"/>
      <c r="BO54" s="2"/>
      <c r="BP54" s="2"/>
      <c r="BQ54" s="3"/>
    </row>
    <row r="55" ht="351.75" customHeight="1" spans="1:69">
      <c r="A55" s="17">
        <v>38</v>
      </c>
      <c r="B55" s="18" t="s">
        <v>444</v>
      </c>
      <c r="C55" s="2"/>
      <c r="D55" s="3"/>
      <c r="E55" s="18" t="s">
        <v>445</v>
      </c>
      <c r="F55" s="2"/>
      <c r="G55" s="2"/>
      <c r="H55" s="2"/>
      <c r="I55" s="3"/>
      <c r="J55" s="18" t="s">
        <v>446</v>
      </c>
      <c r="K55" s="2"/>
      <c r="L55" s="2"/>
      <c r="M55" s="2"/>
      <c r="N55" s="2"/>
      <c r="O55" s="2"/>
      <c r="P55" s="3"/>
      <c r="Q55" s="18" t="s">
        <v>447</v>
      </c>
      <c r="R55" s="2"/>
      <c r="S55" s="2"/>
      <c r="T55" s="2"/>
      <c r="U55" s="2"/>
      <c r="V55" s="2"/>
      <c r="W55" s="3"/>
      <c r="X55" s="18" t="s">
        <v>448</v>
      </c>
      <c r="Y55" s="2"/>
      <c r="Z55" s="2"/>
      <c r="AA55" s="2"/>
      <c r="AB55" s="2"/>
      <c r="AC55" s="2"/>
      <c r="AD55" s="3"/>
      <c r="AE55" s="19" t="s">
        <v>211</v>
      </c>
      <c r="AF55" s="3"/>
      <c r="AG55" s="20" t="s">
        <v>61</v>
      </c>
      <c r="AH55" s="2"/>
      <c r="AI55" s="3"/>
      <c r="AJ55" s="19"/>
      <c r="AK55" s="2"/>
      <c r="AL55" s="3"/>
      <c r="AM55" s="20" t="s">
        <v>268</v>
      </c>
      <c r="AN55" s="2"/>
      <c r="AO55" s="3"/>
      <c r="AP55" s="21">
        <v>46192</v>
      </c>
      <c r="AQ55" s="2"/>
      <c r="AR55" s="3"/>
      <c r="AS55" s="19"/>
      <c r="AT55" s="2"/>
      <c r="AU55" s="3"/>
      <c r="AV55" s="19" t="s">
        <v>61</v>
      </c>
      <c r="AW55" s="2"/>
      <c r="AX55" s="3"/>
      <c r="AY55" s="19"/>
      <c r="AZ55" s="2"/>
      <c r="BA55" s="3"/>
      <c r="BB55" s="19" t="s">
        <v>269</v>
      </c>
      <c r="BC55" s="2"/>
      <c r="BD55" s="3"/>
      <c r="BE55" s="21">
        <v>46246</v>
      </c>
      <c r="BF55" s="2"/>
      <c r="BG55" s="3"/>
      <c r="BH55" s="19"/>
      <c r="BI55" s="2"/>
      <c r="BJ55" s="3"/>
      <c r="BK55" s="18"/>
      <c r="BL55" s="2"/>
      <c r="BM55" s="2"/>
      <c r="BN55" s="2"/>
      <c r="BO55" s="2"/>
      <c r="BP55" s="2"/>
      <c r="BQ55" s="3"/>
    </row>
    <row r="56" ht="288" customHeight="1" spans="1:69">
      <c r="A56" s="17">
        <v>39</v>
      </c>
      <c r="B56" s="18" t="s">
        <v>449</v>
      </c>
      <c r="C56" s="2"/>
      <c r="D56" s="3"/>
      <c r="E56" s="18" t="s">
        <v>450</v>
      </c>
      <c r="F56" s="2"/>
      <c r="G56" s="2"/>
      <c r="H56" s="2"/>
      <c r="I56" s="3"/>
      <c r="J56" s="18" t="s">
        <v>451</v>
      </c>
      <c r="K56" s="2"/>
      <c r="L56" s="2"/>
      <c r="M56" s="2"/>
      <c r="N56" s="2"/>
      <c r="O56" s="2"/>
      <c r="P56" s="3"/>
      <c r="Q56" s="18" t="s">
        <v>452</v>
      </c>
      <c r="R56" s="2"/>
      <c r="S56" s="2"/>
      <c r="T56" s="2"/>
      <c r="U56" s="2"/>
      <c r="V56" s="2"/>
      <c r="W56" s="3"/>
      <c r="X56" s="18" t="s">
        <v>453</v>
      </c>
      <c r="Y56" s="2"/>
      <c r="Z56" s="2"/>
      <c r="AA56" s="2"/>
      <c r="AB56" s="2"/>
      <c r="AC56" s="2"/>
      <c r="AD56" s="3"/>
      <c r="AE56" s="19" t="s">
        <v>211</v>
      </c>
      <c r="AF56" s="3"/>
      <c r="AG56" s="20" t="s">
        <v>61</v>
      </c>
      <c r="AH56" s="2"/>
      <c r="AI56" s="3"/>
      <c r="AJ56" s="19"/>
      <c r="AK56" s="2"/>
      <c r="AL56" s="3"/>
      <c r="AM56" s="20" t="s">
        <v>268</v>
      </c>
      <c r="AN56" s="2"/>
      <c r="AO56" s="3"/>
      <c r="AP56" s="21">
        <v>46192</v>
      </c>
      <c r="AQ56" s="2"/>
      <c r="AR56" s="3"/>
      <c r="AS56" s="19"/>
      <c r="AT56" s="2"/>
      <c r="AU56" s="3"/>
      <c r="AV56" s="19" t="s">
        <v>61</v>
      </c>
      <c r="AW56" s="2"/>
      <c r="AX56" s="3"/>
      <c r="AY56" s="19"/>
      <c r="AZ56" s="2"/>
      <c r="BA56" s="3"/>
      <c r="BB56" s="19" t="s">
        <v>269</v>
      </c>
      <c r="BC56" s="2"/>
      <c r="BD56" s="3"/>
      <c r="BE56" s="21">
        <v>46246</v>
      </c>
      <c r="BF56" s="2"/>
      <c r="BG56" s="3"/>
      <c r="BH56" s="19"/>
      <c r="BI56" s="2"/>
      <c r="BJ56" s="3"/>
      <c r="BK56" s="18"/>
      <c r="BL56" s="2"/>
      <c r="BM56" s="2"/>
      <c r="BN56" s="2"/>
      <c r="BO56" s="2"/>
      <c r="BP56" s="2"/>
      <c r="BQ56" s="3"/>
    </row>
    <row r="57" ht="22.5" customHeight="1" spans="1:69">
      <c r="A57" s="16" t="s">
        <v>454</v>
      </c>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3"/>
    </row>
    <row r="58" ht="223.5" customHeight="1" spans="1:69">
      <c r="A58" s="17">
        <v>40</v>
      </c>
      <c r="B58" s="18" t="s">
        <v>455</v>
      </c>
      <c r="C58" s="2"/>
      <c r="D58" s="3"/>
      <c r="E58" s="18" t="s">
        <v>456</v>
      </c>
      <c r="F58" s="2"/>
      <c r="G58" s="2"/>
      <c r="H58" s="2"/>
      <c r="I58" s="3"/>
      <c r="J58" s="18" t="s">
        <v>457</v>
      </c>
      <c r="K58" s="2"/>
      <c r="L58" s="2"/>
      <c r="M58" s="2"/>
      <c r="N58" s="2"/>
      <c r="O58" s="2"/>
      <c r="P58" s="3"/>
      <c r="Q58" s="18" t="s">
        <v>458</v>
      </c>
      <c r="R58" s="2"/>
      <c r="S58" s="2"/>
      <c r="T58" s="2"/>
      <c r="U58" s="2"/>
      <c r="V58" s="2"/>
      <c r="W58" s="3"/>
      <c r="X58" s="18" t="s">
        <v>459</v>
      </c>
      <c r="Y58" s="2"/>
      <c r="Z58" s="2"/>
      <c r="AA58" s="2"/>
      <c r="AB58" s="2"/>
      <c r="AC58" s="2"/>
      <c r="AD58" s="3"/>
      <c r="AE58" s="19" t="s">
        <v>211</v>
      </c>
      <c r="AF58" s="3"/>
      <c r="AG58" s="20" t="s">
        <v>61</v>
      </c>
      <c r="AH58" s="2"/>
      <c r="AI58" s="3"/>
      <c r="AJ58" s="19"/>
      <c r="AK58" s="2"/>
      <c r="AL58" s="3"/>
      <c r="AM58" s="20" t="s">
        <v>268</v>
      </c>
      <c r="AN58" s="2"/>
      <c r="AO58" s="3"/>
      <c r="AP58" s="21">
        <v>46192</v>
      </c>
      <c r="AQ58" s="2"/>
      <c r="AR58" s="3"/>
      <c r="AS58" s="19"/>
      <c r="AT58" s="2"/>
      <c r="AU58" s="3"/>
      <c r="AV58" s="19" t="s">
        <v>61</v>
      </c>
      <c r="AW58" s="2"/>
      <c r="AX58" s="3"/>
      <c r="AY58" s="19"/>
      <c r="AZ58" s="2"/>
      <c r="BA58" s="3"/>
      <c r="BB58" s="19" t="s">
        <v>269</v>
      </c>
      <c r="BC58" s="2"/>
      <c r="BD58" s="3"/>
      <c r="BE58" s="21">
        <v>46246</v>
      </c>
      <c r="BF58" s="2"/>
      <c r="BG58" s="3"/>
      <c r="BH58" s="19"/>
      <c r="BI58" s="2"/>
      <c r="BJ58" s="3"/>
      <c r="BK58" s="18"/>
      <c r="BL58" s="2"/>
      <c r="BM58" s="2"/>
      <c r="BN58" s="2"/>
      <c r="BO58" s="2"/>
      <c r="BP58" s="2"/>
      <c r="BQ58" s="3"/>
    </row>
    <row r="59" ht="207.75" customHeight="1" spans="1:69">
      <c r="A59" s="17">
        <v>41</v>
      </c>
      <c r="B59" s="18" t="s">
        <v>460</v>
      </c>
      <c r="C59" s="2"/>
      <c r="D59" s="3"/>
      <c r="E59" s="18" t="s">
        <v>461</v>
      </c>
      <c r="F59" s="2"/>
      <c r="G59" s="2"/>
      <c r="H59" s="2"/>
      <c r="I59" s="3"/>
      <c r="J59" s="18" t="s">
        <v>327</v>
      </c>
      <c r="K59" s="2"/>
      <c r="L59" s="2"/>
      <c r="M59" s="2"/>
      <c r="N59" s="2"/>
      <c r="O59" s="2"/>
      <c r="P59" s="3"/>
      <c r="Q59" s="18" t="s">
        <v>462</v>
      </c>
      <c r="R59" s="2"/>
      <c r="S59" s="2"/>
      <c r="T59" s="2"/>
      <c r="U59" s="2"/>
      <c r="V59" s="2"/>
      <c r="W59" s="3"/>
      <c r="X59" s="18" t="s">
        <v>463</v>
      </c>
      <c r="Y59" s="2"/>
      <c r="Z59" s="2"/>
      <c r="AA59" s="2"/>
      <c r="AB59" s="2"/>
      <c r="AC59" s="2"/>
      <c r="AD59" s="3"/>
      <c r="AE59" s="19" t="s">
        <v>211</v>
      </c>
      <c r="AF59" s="3"/>
      <c r="AG59" s="20" t="s">
        <v>61</v>
      </c>
      <c r="AH59" s="2"/>
      <c r="AI59" s="3"/>
      <c r="AJ59" s="19"/>
      <c r="AK59" s="2"/>
      <c r="AL59" s="3"/>
      <c r="AM59" s="20" t="s">
        <v>268</v>
      </c>
      <c r="AN59" s="2"/>
      <c r="AO59" s="3"/>
      <c r="AP59" s="21">
        <v>46192</v>
      </c>
      <c r="AQ59" s="2"/>
      <c r="AR59" s="3"/>
      <c r="AS59" s="19"/>
      <c r="AT59" s="2"/>
      <c r="AU59" s="3"/>
      <c r="AV59" s="19" t="s">
        <v>61</v>
      </c>
      <c r="AW59" s="2"/>
      <c r="AX59" s="3"/>
      <c r="AY59" s="19"/>
      <c r="AZ59" s="2"/>
      <c r="BA59" s="3"/>
      <c r="BB59" s="19" t="s">
        <v>269</v>
      </c>
      <c r="BC59" s="2"/>
      <c r="BD59" s="3"/>
      <c r="BE59" s="21">
        <v>46246</v>
      </c>
      <c r="BF59" s="2"/>
      <c r="BG59" s="3"/>
      <c r="BH59" s="19"/>
      <c r="BI59" s="2"/>
      <c r="BJ59" s="3"/>
      <c r="BK59" s="18"/>
      <c r="BL59" s="2"/>
      <c r="BM59" s="2"/>
      <c r="BN59" s="2"/>
      <c r="BO59" s="2"/>
      <c r="BP59" s="2"/>
      <c r="BQ59" s="3"/>
    </row>
    <row r="60" ht="255.75" customHeight="1" spans="1:69">
      <c r="A60" s="17">
        <v>42</v>
      </c>
      <c r="B60" s="18" t="s">
        <v>464</v>
      </c>
      <c r="C60" s="2"/>
      <c r="D60" s="3"/>
      <c r="E60" s="18" t="s">
        <v>465</v>
      </c>
      <c r="F60" s="2"/>
      <c r="G60" s="2"/>
      <c r="H60" s="2"/>
      <c r="I60" s="3"/>
      <c r="J60" s="18" t="s">
        <v>293</v>
      </c>
      <c r="K60" s="2"/>
      <c r="L60" s="2"/>
      <c r="M60" s="2"/>
      <c r="N60" s="2"/>
      <c r="O60" s="2"/>
      <c r="P60" s="3"/>
      <c r="Q60" s="18" t="s">
        <v>466</v>
      </c>
      <c r="R60" s="2"/>
      <c r="S60" s="2"/>
      <c r="T60" s="2"/>
      <c r="U60" s="2"/>
      <c r="V60" s="2"/>
      <c r="W60" s="3"/>
      <c r="X60" s="18" t="s">
        <v>467</v>
      </c>
      <c r="Y60" s="2"/>
      <c r="Z60" s="2"/>
      <c r="AA60" s="2"/>
      <c r="AB60" s="2"/>
      <c r="AC60" s="2"/>
      <c r="AD60" s="3"/>
      <c r="AE60" s="19" t="s">
        <v>211</v>
      </c>
      <c r="AF60" s="3"/>
      <c r="AG60" s="20" t="s">
        <v>61</v>
      </c>
      <c r="AH60" s="2"/>
      <c r="AI60" s="3"/>
      <c r="AJ60" s="19"/>
      <c r="AK60" s="2"/>
      <c r="AL60" s="3"/>
      <c r="AM60" s="20" t="s">
        <v>268</v>
      </c>
      <c r="AN60" s="2"/>
      <c r="AO60" s="3"/>
      <c r="AP60" s="21">
        <v>46192</v>
      </c>
      <c r="AQ60" s="2"/>
      <c r="AR60" s="3"/>
      <c r="AS60" s="19"/>
      <c r="AT60" s="2"/>
      <c r="AU60" s="3"/>
      <c r="AV60" s="19" t="s">
        <v>61</v>
      </c>
      <c r="AW60" s="2"/>
      <c r="AX60" s="3"/>
      <c r="AY60" s="19"/>
      <c r="AZ60" s="2"/>
      <c r="BA60" s="3"/>
      <c r="BB60" s="19" t="s">
        <v>269</v>
      </c>
      <c r="BC60" s="2"/>
      <c r="BD60" s="3"/>
      <c r="BE60" s="21">
        <v>46246</v>
      </c>
      <c r="BF60" s="2"/>
      <c r="BG60" s="3"/>
      <c r="BH60" s="19"/>
      <c r="BI60" s="2"/>
      <c r="BJ60" s="3"/>
      <c r="BK60" s="18"/>
      <c r="BL60" s="2"/>
      <c r="BM60" s="2"/>
      <c r="BN60" s="2"/>
      <c r="BO60" s="2"/>
      <c r="BP60" s="2"/>
      <c r="BQ60" s="3"/>
    </row>
    <row r="61" ht="207.75" customHeight="1" spans="1:69">
      <c r="A61" s="17">
        <v>43</v>
      </c>
      <c r="B61" s="18" t="s">
        <v>468</v>
      </c>
      <c r="C61" s="2"/>
      <c r="D61" s="3"/>
      <c r="E61" s="18" t="s">
        <v>469</v>
      </c>
      <c r="F61" s="2"/>
      <c r="G61" s="2"/>
      <c r="H61" s="2"/>
      <c r="I61" s="3"/>
      <c r="J61" s="18" t="s">
        <v>327</v>
      </c>
      <c r="K61" s="2"/>
      <c r="L61" s="2"/>
      <c r="M61" s="2"/>
      <c r="N61" s="2"/>
      <c r="O61" s="2"/>
      <c r="P61" s="3"/>
      <c r="Q61" s="18" t="s">
        <v>470</v>
      </c>
      <c r="R61" s="2"/>
      <c r="S61" s="2"/>
      <c r="T61" s="2"/>
      <c r="U61" s="2"/>
      <c r="V61" s="2"/>
      <c r="W61" s="3"/>
      <c r="X61" s="18" t="s">
        <v>471</v>
      </c>
      <c r="Y61" s="2"/>
      <c r="Z61" s="2"/>
      <c r="AA61" s="2"/>
      <c r="AB61" s="2"/>
      <c r="AC61" s="2"/>
      <c r="AD61" s="3"/>
      <c r="AE61" s="19" t="s">
        <v>211</v>
      </c>
      <c r="AF61" s="3"/>
      <c r="AG61" s="20" t="s">
        <v>61</v>
      </c>
      <c r="AH61" s="2"/>
      <c r="AI61" s="3"/>
      <c r="AJ61" s="19"/>
      <c r="AK61" s="2"/>
      <c r="AL61" s="3"/>
      <c r="AM61" s="20" t="s">
        <v>268</v>
      </c>
      <c r="AN61" s="2"/>
      <c r="AO61" s="3"/>
      <c r="AP61" s="21">
        <v>46192</v>
      </c>
      <c r="AQ61" s="2"/>
      <c r="AR61" s="3"/>
      <c r="AS61" s="19"/>
      <c r="AT61" s="2"/>
      <c r="AU61" s="3"/>
      <c r="AV61" s="19" t="s">
        <v>61</v>
      </c>
      <c r="AW61" s="2"/>
      <c r="AX61" s="3"/>
      <c r="AY61" s="19"/>
      <c r="AZ61" s="2"/>
      <c r="BA61" s="3"/>
      <c r="BB61" s="19" t="s">
        <v>269</v>
      </c>
      <c r="BC61" s="2"/>
      <c r="BD61" s="3"/>
      <c r="BE61" s="21">
        <v>46246</v>
      </c>
      <c r="BF61" s="2"/>
      <c r="BG61" s="3"/>
      <c r="BH61" s="19"/>
      <c r="BI61" s="2"/>
      <c r="BJ61" s="3"/>
      <c r="BK61" s="18"/>
      <c r="BL61" s="2"/>
      <c r="BM61" s="2"/>
      <c r="BN61" s="2"/>
      <c r="BO61" s="2"/>
      <c r="BP61" s="2"/>
      <c r="BQ61" s="3"/>
    </row>
    <row r="62" ht="240" customHeight="1" spans="1:69">
      <c r="A62" s="17">
        <v>44</v>
      </c>
      <c r="B62" s="18" t="s">
        <v>472</v>
      </c>
      <c r="C62" s="2"/>
      <c r="D62" s="3"/>
      <c r="E62" s="18" t="s">
        <v>473</v>
      </c>
      <c r="F62" s="2"/>
      <c r="G62" s="2"/>
      <c r="H62" s="2"/>
      <c r="I62" s="3"/>
      <c r="J62" s="18" t="s">
        <v>474</v>
      </c>
      <c r="K62" s="2"/>
      <c r="L62" s="2"/>
      <c r="M62" s="2"/>
      <c r="N62" s="2"/>
      <c r="O62" s="2"/>
      <c r="P62" s="3"/>
      <c r="Q62" s="18" t="s">
        <v>475</v>
      </c>
      <c r="R62" s="2"/>
      <c r="S62" s="2"/>
      <c r="T62" s="2"/>
      <c r="U62" s="2"/>
      <c r="V62" s="2"/>
      <c r="W62" s="3"/>
      <c r="X62" s="18" t="s">
        <v>476</v>
      </c>
      <c r="Y62" s="2"/>
      <c r="Z62" s="2"/>
      <c r="AA62" s="2"/>
      <c r="AB62" s="2"/>
      <c r="AC62" s="2"/>
      <c r="AD62" s="3"/>
      <c r="AE62" s="19" t="s">
        <v>211</v>
      </c>
      <c r="AF62" s="3"/>
      <c r="AG62" s="19" t="s">
        <v>63</v>
      </c>
      <c r="AH62" s="2"/>
      <c r="AI62" s="3"/>
      <c r="AJ62" s="19"/>
      <c r="AK62" s="2"/>
      <c r="AL62" s="3"/>
      <c r="AM62" s="20" t="s">
        <v>268</v>
      </c>
      <c r="AN62" s="2"/>
      <c r="AO62" s="3"/>
      <c r="AP62" s="21">
        <v>46192</v>
      </c>
      <c r="AQ62" s="2"/>
      <c r="AR62" s="3"/>
      <c r="AS62" s="19"/>
      <c r="AT62" s="2"/>
      <c r="AU62" s="3"/>
      <c r="AV62" s="19" t="s">
        <v>61</v>
      </c>
      <c r="AW62" s="2"/>
      <c r="AX62" s="3"/>
      <c r="AY62" s="19"/>
      <c r="AZ62" s="2"/>
      <c r="BA62" s="3"/>
      <c r="BB62" s="19" t="s">
        <v>269</v>
      </c>
      <c r="BC62" s="2"/>
      <c r="BD62" s="3"/>
      <c r="BE62" s="21">
        <v>46246</v>
      </c>
      <c r="BF62" s="2"/>
      <c r="BG62" s="3"/>
      <c r="BH62" s="19"/>
      <c r="BI62" s="2"/>
      <c r="BJ62" s="3"/>
      <c r="BK62" s="18"/>
      <c r="BL62" s="2"/>
      <c r="BM62" s="2"/>
      <c r="BN62" s="2"/>
      <c r="BO62" s="2"/>
      <c r="BP62" s="2"/>
      <c r="BQ62" s="3"/>
    </row>
    <row r="63" ht="207.75" customHeight="1" spans="1:69">
      <c r="A63" s="17">
        <v>45</v>
      </c>
      <c r="B63" s="18" t="s">
        <v>477</v>
      </c>
      <c r="C63" s="2"/>
      <c r="D63" s="3"/>
      <c r="E63" s="18" t="s">
        <v>478</v>
      </c>
      <c r="F63" s="2"/>
      <c r="G63" s="2"/>
      <c r="H63" s="2"/>
      <c r="I63" s="3"/>
      <c r="J63" s="18" t="s">
        <v>479</v>
      </c>
      <c r="K63" s="2"/>
      <c r="L63" s="2"/>
      <c r="M63" s="2"/>
      <c r="N63" s="2"/>
      <c r="O63" s="2"/>
      <c r="P63" s="3"/>
      <c r="Q63" s="18" t="s">
        <v>480</v>
      </c>
      <c r="R63" s="2"/>
      <c r="S63" s="2"/>
      <c r="T63" s="2"/>
      <c r="U63" s="2"/>
      <c r="V63" s="2"/>
      <c r="W63" s="3"/>
      <c r="X63" s="18" t="s">
        <v>481</v>
      </c>
      <c r="Y63" s="2"/>
      <c r="Z63" s="2"/>
      <c r="AA63" s="2"/>
      <c r="AB63" s="2"/>
      <c r="AC63" s="2"/>
      <c r="AD63" s="3"/>
      <c r="AE63" s="19" t="s">
        <v>211</v>
      </c>
      <c r="AF63" s="3"/>
      <c r="AG63" s="20" t="s">
        <v>61</v>
      </c>
      <c r="AH63" s="2"/>
      <c r="AI63" s="3"/>
      <c r="AJ63" s="19"/>
      <c r="AK63" s="2"/>
      <c r="AL63" s="3"/>
      <c r="AM63" s="20" t="s">
        <v>268</v>
      </c>
      <c r="AN63" s="2"/>
      <c r="AO63" s="3"/>
      <c r="AP63" s="21">
        <v>46192</v>
      </c>
      <c r="AQ63" s="2"/>
      <c r="AR63" s="3"/>
      <c r="AS63" s="19"/>
      <c r="AT63" s="2"/>
      <c r="AU63" s="3"/>
      <c r="AV63" s="19" t="s">
        <v>61</v>
      </c>
      <c r="AW63" s="2"/>
      <c r="AX63" s="3"/>
      <c r="AY63" s="19"/>
      <c r="AZ63" s="2"/>
      <c r="BA63" s="3"/>
      <c r="BB63" s="19" t="s">
        <v>269</v>
      </c>
      <c r="BC63" s="2"/>
      <c r="BD63" s="3"/>
      <c r="BE63" s="21">
        <v>46246</v>
      </c>
      <c r="BF63" s="2"/>
      <c r="BG63" s="3"/>
      <c r="BH63" s="19"/>
      <c r="BI63" s="2"/>
      <c r="BJ63" s="3"/>
      <c r="BK63" s="18"/>
      <c r="BL63" s="2"/>
      <c r="BM63" s="2"/>
      <c r="BN63" s="2"/>
      <c r="BO63" s="2"/>
      <c r="BP63" s="2"/>
      <c r="BQ63" s="3"/>
    </row>
    <row r="64" ht="192" customHeight="1" spans="1:69">
      <c r="A64" s="17">
        <v>46</v>
      </c>
      <c r="B64" s="18" t="s">
        <v>482</v>
      </c>
      <c r="C64" s="2"/>
      <c r="D64" s="3"/>
      <c r="E64" s="18" t="s">
        <v>483</v>
      </c>
      <c r="F64" s="2"/>
      <c r="G64" s="2"/>
      <c r="H64" s="2"/>
      <c r="I64" s="3"/>
      <c r="J64" s="18" t="s">
        <v>484</v>
      </c>
      <c r="K64" s="2"/>
      <c r="L64" s="2"/>
      <c r="M64" s="2"/>
      <c r="N64" s="2"/>
      <c r="O64" s="2"/>
      <c r="P64" s="3"/>
      <c r="Q64" s="18" t="s">
        <v>485</v>
      </c>
      <c r="R64" s="2"/>
      <c r="S64" s="2"/>
      <c r="T64" s="2"/>
      <c r="U64" s="2"/>
      <c r="V64" s="2"/>
      <c r="W64" s="3"/>
      <c r="X64" s="18" t="s">
        <v>486</v>
      </c>
      <c r="Y64" s="2"/>
      <c r="Z64" s="2"/>
      <c r="AA64" s="2"/>
      <c r="AB64" s="2"/>
      <c r="AC64" s="2"/>
      <c r="AD64" s="3"/>
      <c r="AE64" s="19" t="s">
        <v>211</v>
      </c>
      <c r="AF64" s="3"/>
      <c r="AG64" s="20" t="s">
        <v>61</v>
      </c>
      <c r="AH64" s="2"/>
      <c r="AI64" s="3"/>
      <c r="AJ64" s="19"/>
      <c r="AK64" s="2"/>
      <c r="AL64" s="3"/>
      <c r="AM64" s="20" t="s">
        <v>268</v>
      </c>
      <c r="AN64" s="2"/>
      <c r="AO64" s="3"/>
      <c r="AP64" s="21">
        <v>46192</v>
      </c>
      <c r="AQ64" s="2"/>
      <c r="AR64" s="3"/>
      <c r="AS64" s="19"/>
      <c r="AT64" s="2"/>
      <c r="AU64" s="3"/>
      <c r="AV64" s="19" t="s">
        <v>61</v>
      </c>
      <c r="AW64" s="2"/>
      <c r="AX64" s="3"/>
      <c r="AY64" s="19"/>
      <c r="AZ64" s="2"/>
      <c r="BA64" s="3"/>
      <c r="BB64" s="19" t="s">
        <v>269</v>
      </c>
      <c r="BC64" s="2"/>
      <c r="BD64" s="3"/>
      <c r="BE64" s="21">
        <v>46246</v>
      </c>
      <c r="BF64" s="2"/>
      <c r="BG64" s="3"/>
      <c r="BH64" s="19"/>
      <c r="BI64" s="2"/>
      <c r="BJ64" s="3"/>
      <c r="BK64" s="18"/>
      <c r="BL64" s="2"/>
      <c r="BM64" s="2"/>
      <c r="BN64" s="2"/>
      <c r="BO64" s="2"/>
      <c r="BP64" s="2"/>
      <c r="BQ64" s="3"/>
    </row>
    <row r="65" ht="22.5" customHeight="1" spans="1:69">
      <c r="A65" s="16" t="s">
        <v>487</v>
      </c>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3"/>
    </row>
    <row r="66" ht="207.75" customHeight="1" spans="1:69">
      <c r="A66" s="17">
        <v>47</v>
      </c>
      <c r="B66" s="18" t="s">
        <v>488</v>
      </c>
      <c r="C66" s="2"/>
      <c r="D66" s="3"/>
      <c r="E66" s="18" t="s">
        <v>489</v>
      </c>
      <c r="F66" s="2"/>
      <c r="G66" s="2"/>
      <c r="H66" s="2"/>
      <c r="I66" s="3"/>
      <c r="J66" s="18" t="s">
        <v>490</v>
      </c>
      <c r="K66" s="2"/>
      <c r="L66" s="2"/>
      <c r="M66" s="2"/>
      <c r="N66" s="2"/>
      <c r="O66" s="2"/>
      <c r="P66" s="3"/>
      <c r="Q66" s="18"/>
      <c r="R66" s="2"/>
      <c r="S66" s="2"/>
      <c r="T66" s="2"/>
      <c r="U66" s="2"/>
      <c r="V66" s="2"/>
      <c r="W66" s="3"/>
      <c r="X66" s="18"/>
      <c r="Y66" s="2"/>
      <c r="Z66" s="2"/>
      <c r="AA66" s="2"/>
      <c r="AB66" s="2"/>
      <c r="AC66" s="2"/>
      <c r="AD66" s="3"/>
      <c r="AE66" s="19" t="s">
        <v>280</v>
      </c>
      <c r="AF66" s="3"/>
      <c r="AG66" s="19" t="s">
        <v>63</v>
      </c>
      <c r="AH66" s="2"/>
      <c r="AI66" s="3"/>
      <c r="AJ66" s="19"/>
      <c r="AK66" s="2"/>
      <c r="AL66" s="3"/>
      <c r="AM66" s="20" t="s">
        <v>268</v>
      </c>
      <c r="AN66" s="2"/>
      <c r="AO66" s="3"/>
      <c r="AP66" s="21">
        <v>46192</v>
      </c>
      <c r="AQ66" s="2"/>
      <c r="AR66" s="3"/>
      <c r="AS66" s="19"/>
      <c r="AT66" s="2"/>
      <c r="AU66" s="3"/>
      <c r="AV66" s="19" t="s">
        <v>61</v>
      </c>
      <c r="AW66" s="2"/>
      <c r="AX66" s="3"/>
      <c r="AY66" s="19"/>
      <c r="AZ66" s="2"/>
      <c r="BA66" s="3"/>
      <c r="BB66" s="19" t="s">
        <v>269</v>
      </c>
      <c r="BC66" s="2"/>
      <c r="BD66" s="3"/>
      <c r="BE66" s="21">
        <v>46246</v>
      </c>
      <c r="BF66" s="2"/>
      <c r="BG66" s="3"/>
      <c r="BH66" s="19"/>
      <c r="BI66" s="2"/>
      <c r="BJ66" s="3"/>
      <c r="BK66" s="18"/>
      <c r="BL66" s="2"/>
      <c r="BM66" s="2"/>
      <c r="BN66" s="2"/>
      <c r="BO66" s="2"/>
      <c r="BP66" s="2"/>
      <c r="BQ66" s="3"/>
    </row>
    <row r="67" ht="111.75" customHeight="1" spans="1:69">
      <c r="A67" s="17">
        <v>48</v>
      </c>
      <c r="B67" s="18" t="s">
        <v>491</v>
      </c>
      <c r="C67" s="2"/>
      <c r="D67" s="3"/>
      <c r="E67" s="18" t="s">
        <v>492</v>
      </c>
      <c r="F67" s="2"/>
      <c r="G67" s="2"/>
      <c r="H67" s="2"/>
      <c r="I67" s="3"/>
      <c r="J67" s="18" t="s">
        <v>493</v>
      </c>
      <c r="K67" s="2"/>
      <c r="L67" s="2"/>
      <c r="M67" s="2"/>
      <c r="N67" s="2"/>
      <c r="O67" s="2"/>
      <c r="P67" s="3"/>
      <c r="Q67" s="18"/>
      <c r="R67" s="2"/>
      <c r="S67" s="2"/>
      <c r="T67" s="2"/>
      <c r="U67" s="2"/>
      <c r="V67" s="2"/>
      <c r="W67" s="3"/>
      <c r="X67" s="18"/>
      <c r="Y67" s="2"/>
      <c r="Z67" s="2"/>
      <c r="AA67" s="2"/>
      <c r="AB67" s="2"/>
      <c r="AC67" s="2"/>
      <c r="AD67" s="3"/>
      <c r="AE67" s="19" t="s">
        <v>280</v>
      </c>
      <c r="AF67" s="3"/>
      <c r="AG67" s="19" t="s">
        <v>63</v>
      </c>
      <c r="AH67" s="2"/>
      <c r="AI67" s="3"/>
      <c r="AJ67" s="19"/>
      <c r="AK67" s="2"/>
      <c r="AL67" s="3"/>
      <c r="AM67" s="20" t="s">
        <v>268</v>
      </c>
      <c r="AN67" s="2"/>
      <c r="AO67" s="3"/>
      <c r="AP67" s="21">
        <v>46192</v>
      </c>
      <c r="AQ67" s="2"/>
      <c r="AR67" s="3"/>
      <c r="AS67" s="19"/>
      <c r="AT67" s="2"/>
      <c r="AU67" s="3"/>
      <c r="AV67" s="19" t="s">
        <v>61</v>
      </c>
      <c r="AW67" s="2"/>
      <c r="AX67" s="3"/>
      <c r="AY67" s="19"/>
      <c r="AZ67" s="2"/>
      <c r="BA67" s="3"/>
      <c r="BB67" s="19" t="s">
        <v>269</v>
      </c>
      <c r="BC67" s="2"/>
      <c r="BD67" s="3"/>
      <c r="BE67" s="21">
        <v>46246</v>
      </c>
      <c r="BF67" s="2"/>
      <c r="BG67" s="3"/>
      <c r="BH67" s="19"/>
      <c r="BI67" s="2"/>
      <c r="BJ67" s="3"/>
      <c r="BK67" s="18"/>
      <c r="BL67" s="2"/>
      <c r="BM67" s="2"/>
      <c r="BN67" s="2"/>
      <c r="BO67" s="2"/>
      <c r="BP67" s="2"/>
      <c r="BQ67" s="3"/>
    </row>
    <row r="68" ht="303.75" customHeight="1" spans="1:69">
      <c r="A68" s="17">
        <v>49</v>
      </c>
      <c r="B68" s="18" t="s">
        <v>494</v>
      </c>
      <c r="C68" s="2"/>
      <c r="D68" s="3"/>
      <c r="E68" s="18" t="s">
        <v>495</v>
      </c>
      <c r="F68" s="2"/>
      <c r="G68" s="2"/>
      <c r="H68" s="2"/>
      <c r="I68" s="3"/>
      <c r="J68" s="18" t="s">
        <v>496</v>
      </c>
      <c r="K68" s="2"/>
      <c r="L68" s="2"/>
      <c r="M68" s="2"/>
      <c r="N68" s="2"/>
      <c r="O68" s="2"/>
      <c r="P68" s="3"/>
      <c r="Q68" s="18"/>
      <c r="R68" s="2"/>
      <c r="S68" s="2"/>
      <c r="T68" s="2"/>
      <c r="U68" s="2"/>
      <c r="V68" s="2"/>
      <c r="W68" s="3"/>
      <c r="X68" s="18"/>
      <c r="Y68" s="2"/>
      <c r="Z68" s="2"/>
      <c r="AA68" s="2"/>
      <c r="AB68" s="2"/>
      <c r="AC68" s="2"/>
      <c r="AD68" s="3"/>
      <c r="AE68" s="19" t="s">
        <v>280</v>
      </c>
      <c r="AF68" s="3"/>
      <c r="AG68" s="19" t="s">
        <v>63</v>
      </c>
      <c r="AH68" s="2"/>
      <c r="AI68" s="3"/>
      <c r="AJ68" s="19"/>
      <c r="AK68" s="2"/>
      <c r="AL68" s="3"/>
      <c r="AM68" s="20" t="s">
        <v>268</v>
      </c>
      <c r="AN68" s="2"/>
      <c r="AO68" s="3"/>
      <c r="AP68" s="21">
        <v>46192</v>
      </c>
      <c r="AQ68" s="2"/>
      <c r="AR68" s="3"/>
      <c r="AS68" s="19"/>
      <c r="AT68" s="2"/>
      <c r="AU68" s="3"/>
      <c r="AV68" s="19" t="s">
        <v>61</v>
      </c>
      <c r="AW68" s="2"/>
      <c r="AX68" s="3"/>
      <c r="AY68" s="19"/>
      <c r="AZ68" s="2"/>
      <c r="BA68" s="3"/>
      <c r="BB68" s="19" t="s">
        <v>269</v>
      </c>
      <c r="BC68" s="2"/>
      <c r="BD68" s="3"/>
      <c r="BE68" s="21">
        <v>46246</v>
      </c>
      <c r="BF68" s="2"/>
      <c r="BG68" s="3"/>
      <c r="BH68" s="19"/>
      <c r="BI68" s="2"/>
      <c r="BJ68" s="3"/>
      <c r="BK68" s="18"/>
      <c r="BL68" s="2"/>
      <c r="BM68" s="2"/>
      <c r="BN68" s="2"/>
      <c r="BO68" s="2"/>
      <c r="BP68" s="2"/>
      <c r="BQ68" s="3"/>
    </row>
    <row r="69" ht="96" customHeight="1" spans="1:69">
      <c r="A69" s="17">
        <v>50</v>
      </c>
      <c r="B69" s="18" t="s">
        <v>497</v>
      </c>
      <c r="C69" s="2"/>
      <c r="D69" s="3"/>
      <c r="E69" s="18" t="s">
        <v>498</v>
      </c>
      <c r="F69" s="2"/>
      <c r="G69" s="2"/>
      <c r="H69" s="2"/>
      <c r="I69" s="3"/>
      <c r="J69" s="18" t="s">
        <v>499</v>
      </c>
      <c r="K69" s="2"/>
      <c r="L69" s="2"/>
      <c r="M69" s="2"/>
      <c r="N69" s="2"/>
      <c r="O69" s="2"/>
      <c r="P69" s="3"/>
      <c r="Q69" s="18"/>
      <c r="R69" s="2"/>
      <c r="S69" s="2"/>
      <c r="T69" s="2"/>
      <c r="U69" s="2"/>
      <c r="V69" s="2"/>
      <c r="W69" s="3"/>
      <c r="X69" s="18"/>
      <c r="Y69" s="2"/>
      <c r="Z69" s="2"/>
      <c r="AA69" s="2"/>
      <c r="AB69" s="2"/>
      <c r="AC69" s="2"/>
      <c r="AD69" s="3"/>
      <c r="AE69" s="19" t="s">
        <v>280</v>
      </c>
      <c r="AF69" s="3"/>
      <c r="AG69" s="19" t="s">
        <v>63</v>
      </c>
      <c r="AH69" s="2"/>
      <c r="AI69" s="3"/>
      <c r="AJ69" s="19"/>
      <c r="AK69" s="2"/>
      <c r="AL69" s="3"/>
      <c r="AM69" s="20" t="s">
        <v>268</v>
      </c>
      <c r="AN69" s="2"/>
      <c r="AO69" s="3"/>
      <c r="AP69" s="21">
        <v>46192</v>
      </c>
      <c r="AQ69" s="2"/>
      <c r="AR69" s="3"/>
      <c r="AS69" s="19"/>
      <c r="AT69" s="2"/>
      <c r="AU69" s="3"/>
      <c r="AV69" s="19" t="s">
        <v>61</v>
      </c>
      <c r="AW69" s="2"/>
      <c r="AX69" s="3"/>
      <c r="AY69" s="19"/>
      <c r="AZ69" s="2"/>
      <c r="BA69" s="3"/>
      <c r="BB69" s="19" t="s">
        <v>269</v>
      </c>
      <c r="BC69" s="2"/>
      <c r="BD69" s="3"/>
      <c r="BE69" s="21">
        <v>46246</v>
      </c>
      <c r="BF69" s="2"/>
      <c r="BG69" s="3"/>
      <c r="BH69" s="19"/>
      <c r="BI69" s="2"/>
      <c r="BJ69" s="3"/>
      <c r="BK69" s="18"/>
      <c r="BL69" s="2"/>
      <c r="BM69" s="2"/>
      <c r="BN69" s="2"/>
      <c r="BO69" s="2"/>
      <c r="BP69" s="2"/>
      <c r="BQ69" s="3"/>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4">
    <mergeCell ref="A1:E1"/>
    <mergeCell ref="F1:Q1"/>
    <mergeCell ref="R1:V1"/>
    <mergeCell ref="W1:AH1"/>
    <mergeCell ref="A2:E2"/>
    <mergeCell ref="F2:Q2"/>
    <mergeCell ref="R2:V2"/>
    <mergeCell ref="W2:AH2"/>
    <mergeCell ref="A3:E3"/>
    <mergeCell ref="F3:Q3"/>
    <mergeCell ref="R3:V3"/>
    <mergeCell ref="W3:AH3"/>
    <mergeCell ref="A4:E4"/>
    <mergeCell ref="F4:AH4"/>
    <mergeCell ref="A5:S5"/>
    <mergeCell ref="T5:AH5"/>
    <mergeCell ref="A6:G6"/>
    <mergeCell ref="H6:J6"/>
    <mergeCell ref="K6:M6"/>
    <mergeCell ref="N6:P6"/>
    <mergeCell ref="Q6:S6"/>
    <mergeCell ref="T6:V6"/>
    <mergeCell ref="W6:Y6"/>
    <mergeCell ref="Z6:AB6"/>
    <mergeCell ref="AC6:AE6"/>
    <mergeCell ref="AF6:AH6"/>
    <mergeCell ref="A7:G7"/>
    <mergeCell ref="H7:J7"/>
    <mergeCell ref="K7:M7"/>
    <mergeCell ref="N7:P7"/>
    <mergeCell ref="Q7:S7"/>
    <mergeCell ref="T7:V7"/>
    <mergeCell ref="W7:Y7"/>
    <mergeCell ref="Z7:AB7"/>
    <mergeCell ref="AC7:AE7"/>
    <mergeCell ref="AF7:AH7"/>
    <mergeCell ref="A8:G8"/>
    <mergeCell ref="H8:J8"/>
    <mergeCell ref="K8:M8"/>
    <mergeCell ref="N8:P8"/>
    <mergeCell ref="Q8:S8"/>
    <mergeCell ref="T8:V8"/>
    <mergeCell ref="W8:Y8"/>
    <mergeCell ref="Z8:AB8"/>
    <mergeCell ref="AC8:AE8"/>
    <mergeCell ref="AF8:AH8"/>
    <mergeCell ref="AG10:AU10"/>
    <mergeCell ref="AV10:BJ10"/>
    <mergeCell ref="AG11:AI11"/>
    <mergeCell ref="AJ11:AL11"/>
    <mergeCell ref="AM11:AO11"/>
    <mergeCell ref="AP11:AR11"/>
    <mergeCell ref="AS11:AU11"/>
    <mergeCell ref="AV11:AX11"/>
    <mergeCell ref="AY11:BA11"/>
    <mergeCell ref="BB11:BD11"/>
    <mergeCell ref="BE11:BG11"/>
    <mergeCell ref="BH11:BJ11"/>
    <mergeCell ref="A12:BQ12"/>
    <mergeCell ref="B13:D13"/>
    <mergeCell ref="E13:I13"/>
    <mergeCell ref="J13:P13"/>
    <mergeCell ref="Q13:W13"/>
    <mergeCell ref="X13:AD13"/>
    <mergeCell ref="AE13:AF13"/>
    <mergeCell ref="AG13:AI13"/>
    <mergeCell ref="AJ13:AL13"/>
    <mergeCell ref="AM13:AO13"/>
    <mergeCell ref="AP13:AR13"/>
    <mergeCell ref="AS13:AU13"/>
    <mergeCell ref="AV13:AX13"/>
    <mergeCell ref="AY13:BA13"/>
    <mergeCell ref="BB13:BD13"/>
    <mergeCell ref="BE13:BG13"/>
    <mergeCell ref="BH13:BJ13"/>
    <mergeCell ref="BK13:BQ13"/>
    <mergeCell ref="B14:D14"/>
    <mergeCell ref="E14:I14"/>
    <mergeCell ref="J14:P14"/>
    <mergeCell ref="Q14:W14"/>
    <mergeCell ref="X14:AD14"/>
    <mergeCell ref="AE14:AF14"/>
    <mergeCell ref="AG14:AI14"/>
    <mergeCell ref="AJ14:AL14"/>
    <mergeCell ref="AM14:AO14"/>
    <mergeCell ref="AP14:AR14"/>
    <mergeCell ref="AS14:AU14"/>
    <mergeCell ref="AV14:AX14"/>
    <mergeCell ref="AY14:BA14"/>
    <mergeCell ref="BB14:BD14"/>
    <mergeCell ref="BE14:BG14"/>
    <mergeCell ref="BH14:BJ14"/>
    <mergeCell ref="BK14:BQ14"/>
    <mergeCell ref="B15:D15"/>
    <mergeCell ref="E15:I15"/>
    <mergeCell ref="J15:P15"/>
    <mergeCell ref="Q15:W15"/>
    <mergeCell ref="X15:AD15"/>
    <mergeCell ref="AE15:AF15"/>
    <mergeCell ref="AG15:AI15"/>
    <mergeCell ref="AJ15:AL15"/>
    <mergeCell ref="AM15:AO15"/>
    <mergeCell ref="AP15:AR15"/>
    <mergeCell ref="AS15:AU15"/>
    <mergeCell ref="AV15:AX15"/>
    <mergeCell ref="AY15:BA15"/>
    <mergeCell ref="BB15:BD15"/>
    <mergeCell ref="BE15:BG15"/>
    <mergeCell ref="BH15:BJ15"/>
    <mergeCell ref="BK15:BQ15"/>
    <mergeCell ref="B16:D16"/>
    <mergeCell ref="E16:I16"/>
    <mergeCell ref="J16:P16"/>
    <mergeCell ref="Q16:W16"/>
    <mergeCell ref="X16:AD16"/>
    <mergeCell ref="AE16:AF16"/>
    <mergeCell ref="AG16:AI16"/>
    <mergeCell ref="AJ16:AL16"/>
    <mergeCell ref="AM16:AO16"/>
    <mergeCell ref="AP16:AR16"/>
    <mergeCell ref="AS16:AU16"/>
    <mergeCell ref="AV16:AX16"/>
    <mergeCell ref="AY16:BA16"/>
    <mergeCell ref="BB16:BD16"/>
    <mergeCell ref="BE16:BG16"/>
    <mergeCell ref="BH16:BJ16"/>
    <mergeCell ref="BK16:BQ16"/>
    <mergeCell ref="B17:D17"/>
    <mergeCell ref="E17:I17"/>
    <mergeCell ref="J17:P17"/>
    <mergeCell ref="Q17:W17"/>
    <mergeCell ref="X17:AD17"/>
    <mergeCell ref="AE17:AF17"/>
    <mergeCell ref="AG17:AI17"/>
    <mergeCell ref="AJ17:AL17"/>
    <mergeCell ref="AM17:AO17"/>
    <mergeCell ref="AP17:AR17"/>
    <mergeCell ref="AS17:AU17"/>
    <mergeCell ref="AV17:AX17"/>
    <mergeCell ref="AY17:BA17"/>
    <mergeCell ref="BB17:BD17"/>
    <mergeCell ref="BE17:BG17"/>
    <mergeCell ref="BH17:BJ17"/>
    <mergeCell ref="BK17:BQ17"/>
    <mergeCell ref="A18:BQ18"/>
    <mergeCell ref="B19:D19"/>
    <mergeCell ref="E19:I19"/>
    <mergeCell ref="J19:P19"/>
    <mergeCell ref="Q19:W19"/>
    <mergeCell ref="X19:AD19"/>
    <mergeCell ref="AE19:AF19"/>
    <mergeCell ref="AG19:AI19"/>
    <mergeCell ref="AJ19:AL19"/>
    <mergeCell ref="AM19:AO19"/>
    <mergeCell ref="AP19:AR19"/>
    <mergeCell ref="AS19:AU19"/>
    <mergeCell ref="AV19:AX19"/>
    <mergeCell ref="AY19:BA19"/>
    <mergeCell ref="BB19:BD19"/>
    <mergeCell ref="BE19:BG19"/>
    <mergeCell ref="BH19:BJ19"/>
    <mergeCell ref="BK19:BQ19"/>
    <mergeCell ref="B20:D20"/>
    <mergeCell ref="E20:I20"/>
    <mergeCell ref="J20:P20"/>
    <mergeCell ref="Q20:W20"/>
    <mergeCell ref="X20:AD20"/>
    <mergeCell ref="AE20:AF20"/>
    <mergeCell ref="AG20:AI20"/>
    <mergeCell ref="AJ20:AL20"/>
    <mergeCell ref="AM20:AO20"/>
    <mergeCell ref="AP20:AR20"/>
    <mergeCell ref="AS20:AU20"/>
    <mergeCell ref="AV20:AX20"/>
    <mergeCell ref="AY20:BA20"/>
    <mergeCell ref="BB20:BD20"/>
    <mergeCell ref="BE20:BG20"/>
    <mergeCell ref="BH20:BJ20"/>
    <mergeCell ref="BK20:BQ20"/>
    <mergeCell ref="B21:D21"/>
    <mergeCell ref="E21:I21"/>
    <mergeCell ref="J21:P21"/>
    <mergeCell ref="Q21:W21"/>
    <mergeCell ref="X21:AD21"/>
    <mergeCell ref="AE21:AF21"/>
    <mergeCell ref="AG21:AI21"/>
    <mergeCell ref="AJ21:AL21"/>
    <mergeCell ref="AM21:AO21"/>
    <mergeCell ref="AP21:AR21"/>
    <mergeCell ref="AS21:AU21"/>
    <mergeCell ref="AV21:AX21"/>
    <mergeCell ref="AY21:BA21"/>
    <mergeCell ref="BB21:BD21"/>
    <mergeCell ref="BE21:BG21"/>
    <mergeCell ref="BH21:BJ21"/>
    <mergeCell ref="BK21:BQ21"/>
    <mergeCell ref="B22:D22"/>
    <mergeCell ref="E22:I22"/>
    <mergeCell ref="J22:P22"/>
    <mergeCell ref="Q22:W22"/>
    <mergeCell ref="X22:AD22"/>
    <mergeCell ref="AE22:AF22"/>
    <mergeCell ref="AG22:AI22"/>
    <mergeCell ref="AJ22:AL22"/>
    <mergeCell ref="AM22:AO22"/>
    <mergeCell ref="AP22:AR22"/>
    <mergeCell ref="AS22:AU22"/>
    <mergeCell ref="AV22:AX22"/>
    <mergeCell ref="AY22:BA22"/>
    <mergeCell ref="BB22:BD22"/>
    <mergeCell ref="BE22:BG22"/>
    <mergeCell ref="BH22:BJ22"/>
    <mergeCell ref="BK22:BQ22"/>
    <mergeCell ref="B23:D23"/>
    <mergeCell ref="E23:I23"/>
    <mergeCell ref="J23:P23"/>
    <mergeCell ref="Q23:W23"/>
    <mergeCell ref="X23:AD23"/>
    <mergeCell ref="AE23:AF23"/>
    <mergeCell ref="AG23:AI23"/>
    <mergeCell ref="AJ23:AL23"/>
    <mergeCell ref="AM23:AO23"/>
    <mergeCell ref="AP23:AR23"/>
    <mergeCell ref="AS23:AU23"/>
    <mergeCell ref="AV23:AX23"/>
    <mergeCell ref="AY23:BA23"/>
    <mergeCell ref="BB23:BD23"/>
    <mergeCell ref="BE23:BG23"/>
    <mergeCell ref="BH23:BJ23"/>
    <mergeCell ref="BK23:BQ23"/>
    <mergeCell ref="B24:D24"/>
    <mergeCell ref="E24:I24"/>
    <mergeCell ref="J24:P24"/>
    <mergeCell ref="Q24:W24"/>
    <mergeCell ref="X24:AD24"/>
    <mergeCell ref="AE24:AF24"/>
    <mergeCell ref="AG24:AI24"/>
    <mergeCell ref="AJ24:AL24"/>
    <mergeCell ref="AM24:AO24"/>
    <mergeCell ref="AP24:AR24"/>
    <mergeCell ref="AS24:AU24"/>
    <mergeCell ref="AV24:AX24"/>
    <mergeCell ref="AY24:BA24"/>
    <mergeCell ref="BB24:BD24"/>
    <mergeCell ref="BE24:BG24"/>
    <mergeCell ref="BH24:BJ24"/>
    <mergeCell ref="BK24:BQ24"/>
    <mergeCell ref="A25:BQ25"/>
    <mergeCell ref="B26:D26"/>
    <mergeCell ref="E26:I26"/>
    <mergeCell ref="J26:P26"/>
    <mergeCell ref="Q26:W26"/>
    <mergeCell ref="X26:AD26"/>
    <mergeCell ref="AE26:AF26"/>
    <mergeCell ref="AG26:AI26"/>
    <mergeCell ref="AJ26:AL26"/>
    <mergeCell ref="AM26:AO26"/>
    <mergeCell ref="AP26:AR26"/>
    <mergeCell ref="AS26:AU26"/>
    <mergeCell ref="AV26:AX26"/>
    <mergeCell ref="AY26:BA26"/>
    <mergeCell ref="BB26:BD26"/>
    <mergeCell ref="BE26:BG26"/>
    <mergeCell ref="BH26:BJ26"/>
    <mergeCell ref="BK26:BQ26"/>
    <mergeCell ref="B27:D27"/>
    <mergeCell ref="E27:I27"/>
    <mergeCell ref="J27:P27"/>
    <mergeCell ref="Q27:W27"/>
    <mergeCell ref="X27:AD27"/>
    <mergeCell ref="AE27:AF27"/>
    <mergeCell ref="AG27:AI27"/>
    <mergeCell ref="AJ27:AL27"/>
    <mergeCell ref="AM27:AO27"/>
    <mergeCell ref="AP27:AR27"/>
    <mergeCell ref="AS27:AU27"/>
    <mergeCell ref="AV27:AX27"/>
    <mergeCell ref="AY27:BA27"/>
    <mergeCell ref="BB27:BD27"/>
    <mergeCell ref="BE27:BG27"/>
    <mergeCell ref="BH27:BJ27"/>
    <mergeCell ref="BK27:BQ27"/>
    <mergeCell ref="B28:D28"/>
    <mergeCell ref="E28:I28"/>
    <mergeCell ref="J28:P28"/>
    <mergeCell ref="Q28:W28"/>
    <mergeCell ref="X28:AD28"/>
    <mergeCell ref="AE28:AF28"/>
    <mergeCell ref="AG28:AI28"/>
    <mergeCell ref="AJ28:AL28"/>
    <mergeCell ref="AM28:AO28"/>
    <mergeCell ref="AP28:AR28"/>
    <mergeCell ref="AS28:AU28"/>
    <mergeCell ref="AV28:AX28"/>
    <mergeCell ref="AY28:BA28"/>
    <mergeCell ref="BB28:BD28"/>
    <mergeCell ref="BE28:BG28"/>
    <mergeCell ref="BH28:BJ28"/>
    <mergeCell ref="BK28:BQ28"/>
    <mergeCell ref="A29:BQ29"/>
    <mergeCell ref="B30:D30"/>
    <mergeCell ref="E30:I30"/>
    <mergeCell ref="J30:P30"/>
    <mergeCell ref="Q30:W30"/>
    <mergeCell ref="X30:AD30"/>
    <mergeCell ref="AE30:AF30"/>
    <mergeCell ref="AG30:AI30"/>
    <mergeCell ref="AJ30:AL30"/>
    <mergeCell ref="AM30:AO30"/>
    <mergeCell ref="AP30:AR30"/>
    <mergeCell ref="AS30:AU30"/>
    <mergeCell ref="AV30:AX30"/>
    <mergeCell ref="AY30:BA30"/>
    <mergeCell ref="BB30:BD30"/>
    <mergeCell ref="BE30:BG30"/>
    <mergeCell ref="BH30:BJ30"/>
    <mergeCell ref="BK30:BQ30"/>
    <mergeCell ref="B31:D31"/>
    <mergeCell ref="E31:I31"/>
    <mergeCell ref="J31:P31"/>
    <mergeCell ref="Q31:W31"/>
    <mergeCell ref="X31:AD31"/>
    <mergeCell ref="AE31:AF31"/>
    <mergeCell ref="AG31:AI31"/>
    <mergeCell ref="AJ31:AL31"/>
    <mergeCell ref="AM31:AO31"/>
    <mergeCell ref="AP31:AR31"/>
    <mergeCell ref="AS31:AU31"/>
    <mergeCell ref="AV31:AX31"/>
    <mergeCell ref="AY31:BA31"/>
    <mergeCell ref="BB31:BD31"/>
    <mergeCell ref="BE31:BG31"/>
    <mergeCell ref="BH31:BJ31"/>
    <mergeCell ref="BK31:BQ31"/>
    <mergeCell ref="B32:D32"/>
    <mergeCell ref="E32:I32"/>
    <mergeCell ref="J32:P32"/>
    <mergeCell ref="Q32:W32"/>
    <mergeCell ref="X32:AD32"/>
    <mergeCell ref="AE32:AF32"/>
    <mergeCell ref="AG32:AI32"/>
    <mergeCell ref="AJ32:AL32"/>
    <mergeCell ref="AM32:AO32"/>
    <mergeCell ref="AP32:AR32"/>
    <mergeCell ref="AS32:AU32"/>
    <mergeCell ref="AV32:AX32"/>
    <mergeCell ref="AY32:BA32"/>
    <mergeCell ref="BB32:BD32"/>
    <mergeCell ref="BE32:BG32"/>
    <mergeCell ref="BH32:BJ32"/>
    <mergeCell ref="BK32:BQ32"/>
    <mergeCell ref="B33:D33"/>
    <mergeCell ref="E33:I33"/>
    <mergeCell ref="J33:P33"/>
    <mergeCell ref="Q33:W33"/>
    <mergeCell ref="X33:AD33"/>
    <mergeCell ref="AE33:AF33"/>
    <mergeCell ref="AG33:AI33"/>
    <mergeCell ref="AJ33:AL33"/>
    <mergeCell ref="AM33:AO33"/>
    <mergeCell ref="AP33:AR33"/>
    <mergeCell ref="AS33:AU33"/>
    <mergeCell ref="AV33:AX33"/>
    <mergeCell ref="AY33:BA33"/>
    <mergeCell ref="BB33:BD33"/>
    <mergeCell ref="BE33:BG33"/>
    <mergeCell ref="BH33:BJ33"/>
    <mergeCell ref="BK33:BQ33"/>
    <mergeCell ref="B34:D34"/>
    <mergeCell ref="E34:I34"/>
    <mergeCell ref="J34:P34"/>
    <mergeCell ref="Q34:W34"/>
    <mergeCell ref="X34:AD34"/>
    <mergeCell ref="AE34:AF34"/>
    <mergeCell ref="AG34:AI34"/>
    <mergeCell ref="AJ34:AL34"/>
    <mergeCell ref="AM34:AO34"/>
    <mergeCell ref="AP34:AR34"/>
    <mergeCell ref="AS34:AU34"/>
    <mergeCell ref="AV34:AX34"/>
    <mergeCell ref="AY34:BA34"/>
    <mergeCell ref="BB34:BD34"/>
    <mergeCell ref="BE34:BG34"/>
    <mergeCell ref="BH34:BJ34"/>
    <mergeCell ref="BK34:BQ34"/>
    <mergeCell ref="B35:D35"/>
    <mergeCell ref="E35:I35"/>
    <mergeCell ref="J35:P35"/>
    <mergeCell ref="Q35:W35"/>
    <mergeCell ref="X35:AD35"/>
    <mergeCell ref="AE35:AF35"/>
    <mergeCell ref="AG35:AI35"/>
    <mergeCell ref="AJ35:AL35"/>
    <mergeCell ref="AM35:AO35"/>
    <mergeCell ref="AP35:AR35"/>
    <mergeCell ref="AS35:AU35"/>
    <mergeCell ref="AV35:AX35"/>
    <mergeCell ref="AY35:BA35"/>
    <mergeCell ref="BB35:BD35"/>
    <mergeCell ref="BE35:BG35"/>
    <mergeCell ref="BH35:BJ35"/>
    <mergeCell ref="BK35:BQ35"/>
    <mergeCell ref="B36:D36"/>
    <mergeCell ref="E36:I36"/>
    <mergeCell ref="J36:P36"/>
    <mergeCell ref="Q36:W36"/>
    <mergeCell ref="X36:AD36"/>
    <mergeCell ref="AE36:AF36"/>
    <mergeCell ref="AG36:AI36"/>
    <mergeCell ref="AJ36:AL36"/>
    <mergeCell ref="AM36:AO36"/>
    <mergeCell ref="AP36:AR36"/>
    <mergeCell ref="AS36:AU36"/>
    <mergeCell ref="AV36:AX36"/>
    <mergeCell ref="AY36:BA36"/>
    <mergeCell ref="BB36:BD36"/>
    <mergeCell ref="BE36:BG36"/>
    <mergeCell ref="BH36:BJ36"/>
    <mergeCell ref="BK36:BQ36"/>
    <mergeCell ref="B37:D37"/>
    <mergeCell ref="E37:I37"/>
    <mergeCell ref="J37:P37"/>
    <mergeCell ref="Q37:W37"/>
    <mergeCell ref="X37:AD37"/>
    <mergeCell ref="AE37:AF37"/>
    <mergeCell ref="AG37:AI37"/>
    <mergeCell ref="AJ37:AL37"/>
    <mergeCell ref="AM37:AO37"/>
    <mergeCell ref="AP37:AR37"/>
    <mergeCell ref="AS37:AU37"/>
    <mergeCell ref="AV37:AX37"/>
    <mergeCell ref="AY37:BA37"/>
    <mergeCell ref="BB37:BD37"/>
    <mergeCell ref="BE37:BG37"/>
    <mergeCell ref="BH37:BJ37"/>
    <mergeCell ref="BK37:BQ37"/>
    <mergeCell ref="B38:D38"/>
    <mergeCell ref="E38:I38"/>
    <mergeCell ref="J38:P38"/>
    <mergeCell ref="Q38:W38"/>
    <mergeCell ref="X38:AD38"/>
    <mergeCell ref="AE38:AF38"/>
    <mergeCell ref="AG38:AI38"/>
    <mergeCell ref="AJ38:AL38"/>
    <mergeCell ref="AM38:AO38"/>
    <mergeCell ref="AP38:AR38"/>
    <mergeCell ref="AS38:AU38"/>
    <mergeCell ref="AV38:AX38"/>
    <mergeCell ref="AY38:BA38"/>
    <mergeCell ref="BB38:BD38"/>
    <mergeCell ref="BE38:BG38"/>
    <mergeCell ref="BH38:BJ38"/>
    <mergeCell ref="BK38:BQ38"/>
    <mergeCell ref="B39:D39"/>
    <mergeCell ref="E39:I39"/>
    <mergeCell ref="J39:P39"/>
    <mergeCell ref="Q39:W39"/>
    <mergeCell ref="X39:AD39"/>
    <mergeCell ref="AE39:AF39"/>
    <mergeCell ref="AG39:AI39"/>
    <mergeCell ref="AJ39:AL39"/>
    <mergeCell ref="AM39:AO39"/>
    <mergeCell ref="AP39:AR39"/>
    <mergeCell ref="AS39:AU39"/>
    <mergeCell ref="AV39:AX39"/>
    <mergeCell ref="AY39:BA39"/>
    <mergeCell ref="BB39:BD39"/>
    <mergeCell ref="BE39:BG39"/>
    <mergeCell ref="BH39:BJ39"/>
    <mergeCell ref="BK39:BQ39"/>
    <mergeCell ref="A40:BQ40"/>
    <mergeCell ref="B41:D41"/>
    <mergeCell ref="E41:I41"/>
    <mergeCell ref="J41:P41"/>
    <mergeCell ref="Q41:W41"/>
    <mergeCell ref="X41:AD41"/>
    <mergeCell ref="AE41:AF41"/>
    <mergeCell ref="AG41:AI41"/>
    <mergeCell ref="AJ41:AL41"/>
    <mergeCell ref="AM41:AO41"/>
    <mergeCell ref="AP41:AR41"/>
    <mergeCell ref="AS41:AU41"/>
    <mergeCell ref="AV41:AX41"/>
    <mergeCell ref="AY41:BA41"/>
    <mergeCell ref="BB41:BD41"/>
    <mergeCell ref="BE41:BG41"/>
    <mergeCell ref="BH41:BJ41"/>
    <mergeCell ref="BK41:BQ41"/>
    <mergeCell ref="B42:D42"/>
    <mergeCell ref="E42:I42"/>
    <mergeCell ref="J42:P42"/>
    <mergeCell ref="Q42:W42"/>
    <mergeCell ref="X42:AD42"/>
    <mergeCell ref="AE42:AF42"/>
    <mergeCell ref="AG42:AI42"/>
    <mergeCell ref="AJ42:AL42"/>
    <mergeCell ref="AM42:AO42"/>
    <mergeCell ref="AP42:AR42"/>
    <mergeCell ref="AS42:AU42"/>
    <mergeCell ref="AV42:AX42"/>
    <mergeCell ref="AY42:BA42"/>
    <mergeCell ref="BB42:BD42"/>
    <mergeCell ref="BE42:BG42"/>
    <mergeCell ref="BH42:BJ42"/>
    <mergeCell ref="BK42:BQ42"/>
    <mergeCell ref="B43:D43"/>
    <mergeCell ref="E43:I43"/>
    <mergeCell ref="J43:P43"/>
    <mergeCell ref="Q43:W43"/>
    <mergeCell ref="X43:AD43"/>
    <mergeCell ref="AE43:AF43"/>
    <mergeCell ref="AG43:AI43"/>
    <mergeCell ref="AJ43:AL43"/>
    <mergeCell ref="AM43:AO43"/>
    <mergeCell ref="AP43:AR43"/>
    <mergeCell ref="AS43:AU43"/>
    <mergeCell ref="AV43:AX43"/>
    <mergeCell ref="AY43:BA43"/>
    <mergeCell ref="BB43:BD43"/>
    <mergeCell ref="BE43:BG43"/>
    <mergeCell ref="BH43:BJ43"/>
    <mergeCell ref="BK43:BQ43"/>
    <mergeCell ref="B44:D44"/>
    <mergeCell ref="E44:I44"/>
    <mergeCell ref="J44:P44"/>
    <mergeCell ref="Q44:W44"/>
    <mergeCell ref="X44:AD44"/>
    <mergeCell ref="AE44:AF44"/>
    <mergeCell ref="AG44:AI44"/>
    <mergeCell ref="AJ44:AL44"/>
    <mergeCell ref="AM44:AO44"/>
    <mergeCell ref="AP44:AR44"/>
    <mergeCell ref="AS44:AU44"/>
    <mergeCell ref="AV44:AX44"/>
    <mergeCell ref="AY44:BA44"/>
    <mergeCell ref="BB44:BD44"/>
    <mergeCell ref="BE44:BG44"/>
    <mergeCell ref="BH44:BJ44"/>
    <mergeCell ref="BK44:BQ44"/>
    <mergeCell ref="B45:D45"/>
    <mergeCell ref="E45:I45"/>
    <mergeCell ref="J45:P45"/>
    <mergeCell ref="Q45:W45"/>
    <mergeCell ref="X45:AD45"/>
    <mergeCell ref="AE45:AF45"/>
    <mergeCell ref="AG45:AI45"/>
    <mergeCell ref="AJ45:AL45"/>
    <mergeCell ref="AM45:AO45"/>
    <mergeCell ref="AP45:AR45"/>
    <mergeCell ref="AS45:AU45"/>
    <mergeCell ref="AV45:AX45"/>
    <mergeCell ref="AY45:BA45"/>
    <mergeCell ref="BB45:BD45"/>
    <mergeCell ref="BE45:BG45"/>
    <mergeCell ref="BH45:BJ45"/>
    <mergeCell ref="BK45:BQ45"/>
    <mergeCell ref="B46:D46"/>
    <mergeCell ref="E46:I46"/>
    <mergeCell ref="J46:P46"/>
    <mergeCell ref="Q46:W46"/>
    <mergeCell ref="X46:AD46"/>
    <mergeCell ref="AE46:AF46"/>
    <mergeCell ref="AG46:AI46"/>
    <mergeCell ref="AJ46:AL46"/>
    <mergeCell ref="AM46:AO46"/>
    <mergeCell ref="AP46:AR46"/>
    <mergeCell ref="AS46:AU46"/>
    <mergeCell ref="AV46:AX46"/>
    <mergeCell ref="AY46:BA46"/>
    <mergeCell ref="BB46:BD46"/>
    <mergeCell ref="BE46:BG46"/>
    <mergeCell ref="BH46:BJ46"/>
    <mergeCell ref="BK46:BQ46"/>
    <mergeCell ref="A47:BQ47"/>
    <mergeCell ref="B48:D48"/>
    <mergeCell ref="E48:I48"/>
    <mergeCell ref="J48:P48"/>
    <mergeCell ref="Q48:W48"/>
    <mergeCell ref="X48:AD48"/>
    <mergeCell ref="AE48:AF48"/>
    <mergeCell ref="AG48:AI48"/>
    <mergeCell ref="AJ48:AL48"/>
    <mergeCell ref="AM48:AO48"/>
    <mergeCell ref="AP48:AR48"/>
    <mergeCell ref="AS48:AU48"/>
    <mergeCell ref="AV48:AX48"/>
    <mergeCell ref="AY48:BA48"/>
    <mergeCell ref="BB48:BD48"/>
    <mergeCell ref="BE48:BG48"/>
    <mergeCell ref="BH48:BJ48"/>
    <mergeCell ref="BK48:BQ48"/>
    <mergeCell ref="B49:D49"/>
    <mergeCell ref="E49:I49"/>
    <mergeCell ref="J49:P49"/>
    <mergeCell ref="Q49:W49"/>
    <mergeCell ref="X49:AD49"/>
    <mergeCell ref="AE49:AF49"/>
    <mergeCell ref="AG49:AI49"/>
    <mergeCell ref="AJ49:AL49"/>
    <mergeCell ref="AM49:AO49"/>
    <mergeCell ref="AP49:AR49"/>
    <mergeCell ref="AS49:AU49"/>
    <mergeCell ref="AV49:AX49"/>
    <mergeCell ref="AY49:BA49"/>
    <mergeCell ref="BB49:BD49"/>
    <mergeCell ref="BE49:BG49"/>
    <mergeCell ref="BH49:BJ49"/>
    <mergeCell ref="BK49:BQ49"/>
    <mergeCell ref="B50:D50"/>
    <mergeCell ref="E50:I50"/>
    <mergeCell ref="J50:P50"/>
    <mergeCell ref="Q50:W50"/>
    <mergeCell ref="X50:AD50"/>
    <mergeCell ref="AE50:AF50"/>
    <mergeCell ref="AG50:AI50"/>
    <mergeCell ref="AJ50:AL50"/>
    <mergeCell ref="AM50:AO50"/>
    <mergeCell ref="AP50:AR50"/>
    <mergeCell ref="AS50:AU50"/>
    <mergeCell ref="AV50:AX50"/>
    <mergeCell ref="AY50:BA50"/>
    <mergeCell ref="BB50:BD50"/>
    <mergeCell ref="BE50:BG50"/>
    <mergeCell ref="BH50:BJ50"/>
    <mergeCell ref="BK50:BQ50"/>
    <mergeCell ref="B51:D51"/>
    <mergeCell ref="E51:I51"/>
    <mergeCell ref="J51:P51"/>
    <mergeCell ref="Q51:W51"/>
    <mergeCell ref="X51:AD51"/>
    <mergeCell ref="AE51:AF51"/>
    <mergeCell ref="AG51:AI51"/>
    <mergeCell ref="AJ51:AL51"/>
    <mergeCell ref="AM51:AO51"/>
    <mergeCell ref="AP51:AR51"/>
    <mergeCell ref="AS51:AU51"/>
    <mergeCell ref="AV51:AX51"/>
    <mergeCell ref="AY51:BA51"/>
    <mergeCell ref="BB51:BD51"/>
    <mergeCell ref="BE51:BG51"/>
    <mergeCell ref="BH51:BJ51"/>
    <mergeCell ref="BK51:BQ51"/>
    <mergeCell ref="B52:D52"/>
    <mergeCell ref="E52:I52"/>
    <mergeCell ref="J52:P52"/>
    <mergeCell ref="Q52:W52"/>
    <mergeCell ref="X52:AD52"/>
    <mergeCell ref="AE52:AF52"/>
    <mergeCell ref="AG52:AI52"/>
    <mergeCell ref="AJ52:AL52"/>
    <mergeCell ref="AM52:AO52"/>
    <mergeCell ref="AP52:AR52"/>
    <mergeCell ref="AS52:AU52"/>
    <mergeCell ref="AV52:AX52"/>
    <mergeCell ref="AY52:BA52"/>
    <mergeCell ref="BB52:BD52"/>
    <mergeCell ref="BE52:BG52"/>
    <mergeCell ref="BH52:BJ52"/>
    <mergeCell ref="BK52:BQ52"/>
    <mergeCell ref="B53:D53"/>
    <mergeCell ref="E53:I53"/>
    <mergeCell ref="J53:P53"/>
    <mergeCell ref="Q53:W53"/>
    <mergeCell ref="X53:AD53"/>
    <mergeCell ref="AE53:AF53"/>
    <mergeCell ref="AG53:AI53"/>
    <mergeCell ref="AJ53:AL53"/>
    <mergeCell ref="AM53:AO53"/>
    <mergeCell ref="AP53:AR53"/>
    <mergeCell ref="AS53:AU53"/>
    <mergeCell ref="AV53:AX53"/>
    <mergeCell ref="AY53:BA53"/>
    <mergeCell ref="BB53:BD53"/>
    <mergeCell ref="BE53:BG53"/>
    <mergeCell ref="BH53:BJ53"/>
    <mergeCell ref="BK53:BQ53"/>
    <mergeCell ref="B54:D54"/>
    <mergeCell ref="E54:I54"/>
    <mergeCell ref="J54:P54"/>
    <mergeCell ref="Q54:W54"/>
    <mergeCell ref="X54:AD54"/>
    <mergeCell ref="AE54:AF54"/>
    <mergeCell ref="AG54:AI54"/>
    <mergeCell ref="AJ54:AL54"/>
    <mergeCell ref="AM54:AO54"/>
    <mergeCell ref="AP54:AR54"/>
    <mergeCell ref="AS54:AU54"/>
    <mergeCell ref="AV54:AX54"/>
    <mergeCell ref="AY54:BA54"/>
    <mergeCell ref="BB54:BD54"/>
    <mergeCell ref="BE54:BG54"/>
    <mergeCell ref="BH54:BJ54"/>
    <mergeCell ref="BK54:BQ54"/>
    <mergeCell ref="B55:D55"/>
    <mergeCell ref="E55:I55"/>
    <mergeCell ref="J55:P55"/>
    <mergeCell ref="Q55:W55"/>
    <mergeCell ref="X55:AD55"/>
    <mergeCell ref="AE55:AF55"/>
    <mergeCell ref="AG55:AI55"/>
    <mergeCell ref="AJ55:AL55"/>
    <mergeCell ref="AM55:AO55"/>
    <mergeCell ref="AP55:AR55"/>
    <mergeCell ref="AS55:AU55"/>
    <mergeCell ref="AV55:AX55"/>
    <mergeCell ref="AY55:BA55"/>
    <mergeCell ref="BB55:BD55"/>
    <mergeCell ref="BE55:BG55"/>
    <mergeCell ref="BH55:BJ55"/>
    <mergeCell ref="BK55:BQ55"/>
    <mergeCell ref="B56:D56"/>
    <mergeCell ref="E56:I56"/>
    <mergeCell ref="J56:P56"/>
    <mergeCell ref="Q56:W56"/>
    <mergeCell ref="X56:AD56"/>
    <mergeCell ref="AE56:AF56"/>
    <mergeCell ref="AG56:AI56"/>
    <mergeCell ref="AJ56:AL56"/>
    <mergeCell ref="AM56:AO56"/>
    <mergeCell ref="AP56:AR56"/>
    <mergeCell ref="AS56:AU56"/>
    <mergeCell ref="AV56:AX56"/>
    <mergeCell ref="AY56:BA56"/>
    <mergeCell ref="BB56:BD56"/>
    <mergeCell ref="BE56:BG56"/>
    <mergeCell ref="BH56:BJ56"/>
    <mergeCell ref="BK56:BQ56"/>
    <mergeCell ref="A57:BQ57"/>
    <mergeCell ref="B58:D58"/>
    <mergeCell ref="E58:I58"/>
    <mergeCell ref="J58:P58"/>
    <mergeCell ref="Q58:W58"/>
    <mergeCell ref="X58:AD58"/>
    <mergeCell ref="AE58:AF58"/>
    <mergeCell ref="AG58:AI58"/>
    <mergeCell ref="AJ58:AL58"/>
    <mergeCell ref="AM58:AO58"/>
    <mergeCell ref="AP58:AR58"/>
    <mergeCell ref="AS58:AU58"/>
    <mergeCell ref="AV58:AX58"/>
    <mergeCell ref="AY58:BA58"/>
    <mergeCell ref="BB58:BD58"/>
    <mergeCell ref="BE58:BG58"/>
    <mergeCell ref="BH58:BJ58"/>
    <mergeCell ref="BK58:BQ58"/>
    <mergeCell ref="B59:D59"/>
    <mergeCell ref="E59:I59"/>
    <mergeCell ref="J59:P59"/>
    <mergeCell ref="Q59:W59"/>
    <mergeCell ref="X59:AD59"/>
    <mergeCell ref="AE59:AF59"/>
    <mergeCell ref="AG59:AI59"/>
    <mergeCell ref="AJ59:AL59"/>
    <mergeCell ref="AM59:AO59"/>
    <mergeCell ref="AP59:AR59"/>
    <mergeCell ref="AS59:AU59"/>
    <mergeCell ref="AV59:AX59"/>
    <mergeCell ref="AY59:BA59"/>
    <mergeCell ref="BB59:BD59"/>
    <mergeCell ref="BE59:BG59"/>
    <mergeCell ref="BH59:BJ59"/>
    <mergeCell ref="BK59:BQ59"/>
    <mergeCell ref="B60:D60"/>
    <mergeCell ref="E60:I60"/>
    <mergeCell ref="J60:P60"/>
    <mergeCell ref="Q60:W60"/>
    <mergeCell ref="X60:AD60"/>
    <mergeCell ref="AE60:AF60"/>
    <mergeCell ref="AG60:AI60"/>
    <mergeCell ref="AJ60:AL60"/>
    <mergeCell ref="AM60:AO60"/>
    <mergeCell ref="AP60:AR60"/>
    <mergeCell ref="AS60:AU60"/>
    <mergeCell ref="AV60:AX60"/>
    <mergeCell ref="AY60:BA60"/>
    <mergeCell ref="BB60:BD60"/>
    <mergeCell ref="BE60:BG60"/>
    <mergeCell ref="BH60:BJ60"/>
    <mergeCell ref="BK60:BQ60"/>
    <mergeCell ref="B61:D61"/>
    <mergeCell ref="E61:I61"/>
    <mergeCell ref="J61:P61"/>
    <mergeCell ref="Q61:W61"/>
    <mergeCell ref="X61:AD61"/>
    <mergeCell ref="AE61:AF61"/>
    <mergeCell ref="AG61:AI61"/>
    <mergeCell ref="AJ61:AL61"/>
    <mergeCell ref="AM61:AO61"/>
    <mergeCell ref="AP61:AR61"/>
    <mergeCell ref="AS61:AU61"/>
    <mergeCell ref="AV61:AX61"/>
    <mergeCell ref="AY61:BA61"/>
    <mergeCell ref="BB61:BD61"/>
    <mergeCell ref="BE61:BG61"/>
    <mergeCell ref="BH61:BJ61"/>
    <mergeCell ref="BK61:BQ61"/>
    <mergeCell ref="B62:D62"/>
    <mergeCell ref="E62:I62"/>
    <mergeCell ref="J62:P62"/>
    <mergeCell ref="Q62:W62"/>
    <mergeCell ref="X62:AD62"/>
    <mergeCell ref="AE62:AF62"/>
    <mergeCell ref="AG62:AI62"/>
    <mergeCell ref="AJ62:AL62"/>
    <mergeCell ref="AM62:AO62"/>
    <mergeCell ref="AP62:AR62"/>
    <mergeCell ref="AS62:AU62"/>
    <mergeCell ref="AV62:AX62"/>
    <mergeCell ref="AY62:BA62"/>
    <mergeCell ref="BB62:BD62"/>
    <mergeCell ref="BE62:BG62"/>
    <mergeCell ref="BH62:BJ62"/>
    <mergeCell ref="BK62:BQ62"/>
    <mergeCell ref="B63:D63"/>
    <mergeCell ref="E63:I63"/>
    <mergeCell ref="J63:P63"/>
    <mergeCell ref="Q63:W63"/>
    <mergeCell ref="X63:AD63"/>
    <mergeCell ref="AE63:AF63"/>
    <mergeCell ref="AG63:AI63"/>
    <mergeCell ref="AJ63:AL63"/>
    <mergeCell ref="AM63:AO63"/>
    <mergeCell ref="AP63:AR63"/>
    <mergeCell ref="AS63:AU63"/>
    <mergeCell ref="AV63:AX63"/>
    <mergeCell ref="AY63:BA63"/>
    <mergeCell ref="BB63:BD63"/>
    <mergeCell ref="BE63:BG63"/>
    <mergeCell ref="BH63:BJ63"/>
    <mergeCell ref="BK63:BQ63"/>
    <mergeCell ref="B64:D64"/>
    <mergeCell ref="E64:I64"/>
    <mergeCell ref="J64:P64"/>
    <mergeCell ref="Q64:W64"/>
    <mergeCell ref="X64:AD64"/>
    <mergeCell ref="AE64:AF64"/>
    <mergeCell ref="AG64:AI64"/>
    <mergeCell ref="AJ64:AL64"/>
    <mergeCell ref="AM64:AO64"/>
    <mergeCell ref="AP64:AR64"/>
    <mergeCell ref="AS64:AU64"/>
    <mergeCell ref="AV64:AX64"/>
    <mergeCell ref="AY64:BA64"/>
    <mergeCell ref="BB64:BD64"/>
    <mergeCell ref="BE64:BG64"/>
    <mergeCell ref="BH64:BJ64"/>
    <mergeCell ref="BK64:BQ64"/>
    <mergeCell ref="A65:BQ65"/>
    <mergeCell ref="B66:D66"/>
    <mergeCell ref="E66:I66"/>
    <mergeCell ref="J66:P66"/>
    <mergeCell ref="Q66:W66"/>
    <mergeCell ref="X66:AD66"/>
    <mergeCell ref="AE66:AF66"/>
    <mergeCell ref="AG66:AI66"/>
    <mergeCell ref="AJ66:AL66"/>
    <mergeCell ref="AM66:AO66"/>
    <mergeCell ref="AP66:AR66"/>
    <mergeCell ref="AS66:AU66"/>
    <mergeCell ref="AV66:AX66"/>
    <mergeCell ref="AY66:BA66"/>
    <mergeCell ref="BB66:BD66"/>
    <mergeCell ref="BE66:BG66"/>
    <mergeCell ref="BH66:BJ66"/>
    <mergeCell ref="BK66:BQ66"/>
    <mergeCell ref="B67:D67"/>
    <mergeCell ref="E67:I67"/>
    <mergeCell ref="J67:P67"/>
    <mergeCell ref="Q67:W67"/>
    <mergeCell ref="X67:AD67"/>
    <mergeCell ref="AE67:AF67"/>
    <mergeCell ref="AG67:AI67"/>
    <mergeCell ref="AJ67:AL67"/>
    <mergeCell ref="AM67:AO67"/>
    <mergeCell ref="AP67:AR67"/>
    <mergeCell ref="AS67:AU67"/>
    <mergeCell ref="AV67:AX67"/>
    <mergeCell ref="AY67:BA67"/>
    <mergeCell ref="BB67:BD67"/>
    <mergeCell ref="BE67:BG67"/>
    <mergeCell ref="BH67:BJ67"/>
    <mergeCell ref="BK67:BQ67"/>
    <mergeCell ref="B68:D68"/>
    <mergeCell ref="E68:I68"/>
    <mergeCell ref="J68:P68"/>
    <mergeCell ref="Q68:W68"/>
    <mergeCell ref="X68:AD68"/>
    <mergeCell ref="AE68:AF68"/>
    <mergeCell ref="AG68:AI68"/>
    <mergeCell ref="AJ68:AL68"/>
    <mergeCell ref="AM68:AO68"/>
    <mergeCell ref="AP68:AR68"/>
    <mergeCell ref="AS68:AU68"/>
    <mergeCell ref="AV68:AX68"/>
    <mergeCell ref="AY68:BA68"/>
    <mergeCell ref="BB68:BD68"/>
    <mergeCell ref="BE68:BG68"/>
    <mergeCell ref="BH68:BJ68"/>
    <mergeCell ref="BK68:BQ68"/>
    <mergeCell ref="B69:D69"/>
    <mergeCell ref="E69:I69"/>
    <mergeCell ref="J69:P69"/>
    <mergeCell ref="Q69:W69"/>
    <mergeCell ref="X69:AD69"/>
    <mergeCell ref="AE69:AF69"/>
    <mergeCell ref="AG69:AI69"/>
    <mergeCell ref="AJ69:AL69"/>
    <mergeCell ref="AM69:AO69"/>
    <mergeCell ref="AP69:AR69"/>
    <mergeCell ref="AS69:AU69"/>
    <mergeCell ref="AV69:AX69"/>
    <mergeCell ref="AY69:BA69"/>
    <mergeCell ref="BB69:BD69"/>
    <mergeCell ref="BE69:BG69"/>
    <mergeCell ref="BH69:BJ69"/>
    <mergeCell ref="BK69:BQ69"/>
    <mergeCell ref="A10:A11"/>
    <mergeCell ref="BK10:BQ11"/>
    <mergeCell ref="B10:D11"/>
    <mergeCell ref="E10:I11"/>
    <mergeCell ref="J10:P11"/>
    <mergeCell ref="Q10:W11"/>
    <mergeCell ref="X10:AD11"/>
    <mergeCell ref="AE10:AF11"/>
  </mergeCells>
  <dataValidations count="3">
    <dataValidation type="list" allowBlank="1" sqref="F1">
      <formula1>"単体テスト,結合テスト,システムテスト"</formula1>
    </dataValidation>
    <dataValidation type="list" allowBlank="1" sqref="AV30 AV31 AG13:AG17 AG19:AG24 AG26:AG28 AG30:AG39 AG41:AG46 AG48:AG56 AG58:AG64 AG66:AG69 AV13:AV17 AV19:AV24 AV26:AV28 AV32:AV39 AV41:AV46 AV48:AV56 AV58:AV64 AV66:AV69">
      <formula1>"合格,不合格,未テスト,N/A"</formula1>
    </dataValidation>
    <dataValidation type="list" allowBlank="1" sqref="AE13:AE17 AE19:AE24 AE26:AE28 AE30:AE39 AE41:AE46 AE48:AE56 AE58:AE64 AE66:AE69">
      <formula1>"N,A,B"</formula1>
    </dataValidation>
  </dataValidations>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表紙</vt:lpstr>
      <vt:lpstr>変更履歴</vt:lpstr>
      <vt:lpstr>概要</vt:lpstr>
      <vt:lpstr>テスト報告書</vt:lpstr>
      <vt:lpstr>テスト観点</vt:lpstr>
      <vt:lpstr>機能</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anh.vuquang</cp:lastModifiedBy>
  <dcterms:created xsi:type="dcterms:W3CDTF">2026-08-06T09:16:00Z</dcterms:created>
  <dcterms:modified xsi:type="dcterms:W3CDTF">2026-08-28T09:42:28Z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02BE3A74D7664B51B04A73B42FD8B24A_12</vt:lpwstr>
  </property>
  <property fmtid="{D5CDD505-2E9C-101B-9397-08002B2CF9AE}" pid="3" name="KSOProductBuildVer">
    <vt:lpwstr>1033-12.1.0.28032</vt:lpwstr>
  </property>
  <property fmtid="{D5CDD505-2E9C-101B-9397-08002B2CF9AE}" pid="4" name="CalculationRule">
    <vt:i4>0</vt:i4>
  </property>
</Properties>
</file>