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YRvGF6ino8Kre/q/cW0QcqhwMuDDcdKO22hdGvQGZzc="/>
    </ext>
  </extLst>
</workbook>
</file>

<file path=xl/sharedStrings.xml><?xml version="1.0" encoding="utf-8"?>
<sst xmlns="http://schemas.openxmlformats.org/spreadsheetml/2006/main" count="782" uniqueCount="481">
  <si>
    <t>クラウド版購読者管理システム</t>
  </si>
  <si>
    <t>購読者販売店一括置換画面</t>
  </si>
  <si>
    <t>版1.0</t>
  </si>
  <si>
    <t>フォーマットコード</t>
  </si>
  <si>
    <t>16-BM/PM/VTI</t>
  </si>
  <si>
    <t>フォーマットバージョン</t>
  </si>
  <si>
    <t>1.0</t>
  </si>
  <si>
    <t>発行日</t>
  </si>
  <si>
    <t>2026/06/04</t>
  </si>
  <si>
    <t>項番</t>
  </si>
  <si>
    <t>バージョン</t>
  </si>
  <si>
    <t>担当者</t>
  </si>
  <si>
    <t>変更内容</t>
  </si>
  <si>
    <t>確認者</t>
  </si>
  <si>
    <t>承認者</t>
  </si>
  <si>
    <t>2026-06-04</t>
  </si>
  <si>
    <t>Kieu Thi Diem</t>
  </si>
  <si>
    <t>Tạo bản đầu tiên</t>
  </si>
  <si>
    <t>Nguyen Huy Dat</t>
  </si>
  <si>
    <t>システム・アプリケーション名</t>
  </si>
  <si>
    <t>ドキュメント</t>
  </si>
  <si>
    <t>シート名</t>
  </si>
  <si>
    <t>作成日</t>
  </si>
  <si>
    <t>作成者</t>
  </si>
  <si>
    <t>更新日</t>
  </si>
  <si>
    <t>更新者</t>
  </si>
  <si>
    <t>テスト仕様書</t>
  </si>
  <si>
    <t>概要</t>
  </si>
  <si>
    <t>1.システム概要</t>
  </si>
  <si>
    <t>Hệ thống này là hệ thống quản lý độc giả dạng cloud dành cho JA, cung cấp các chức năng như quản lý thông tin độc giả, quản lý lịch sử đặt báo, quản lý dữ liệu chuyển khoản tài khoản. Màn hình này cung cấp chức năng chọn nhiều độc giả đã search và thay thế hàng loạt cửa hàng giao báo (販売店).</t>
  </si>
  <si>
    <t>2.資料目的</t>
  </si>
  <si>
    <t>Đây là tài liệu mô tả chi tiết test specification được tạo mới trên hệ thống cho「Màn hình thay thế hàng loạt cửa hàng độc giả (ACSMS-SCR-015)」.</t>
  </si>
  <si>
    <t>- Mỗi test case được tạo dựa trên một kịch bản đơn lẻ (trách nhiệm đơn nhất).</t>
  </si>
  <si>
    <t>- Các bước được mô tả ở mức độ có thể tái hiện, và chỉ rõ test data.</t>
  </si>
  <si>
    <t>- Kết quả mong đợi phải đo lường được (nội dung message, kết quả query DB, HTTP status code, v.v.).</t>
  </si>
  <si>
    <t>- Mỗi test case được gán observation ID (tham chiếu danh sách quan điểm test).</t>
  </si>
  <si>
    <t>3.関連資料</t>
  </si>
  <si>
    <t>No</t>
  </si>
  <si>
    <t>資料コード</t>
  </si>
  <si>
    <t>資料名</t>
  </si>
  <si>
    <t>ACSMS-SCR-015</t>
  </si>
  <si>
    <t>Tài liệu thiết kế màn hình thay thế hàng loạt cửa hàng độc giả</t>
  </si>
  <si>
    <t>ACSMS-SCR-015-api</t>
  </si>
  <si>
    <t>Tài liệu thiết kế API thay thế hàng loạt cửa hàng độc giả</t>
  </si>
  <si>
    <t>testcase-viewpoints</t>
  </si>
  <si>
    <t>Danh sách quan điểm test chung toàn hệ thống</t>
  </si>
  <si>
    <t>&lt;単体/結合/システム&gt; テスト報告書</t>
  </si>
  <si>
    <t>プロジェクト名</t>
  </si>
  <si>
    <t>プロジェクトマネージャ</t>
  </si>
  <si>
    <t>#</t>
  </si>
  <si>
    <t>機能名</t>
  </si>
  <si>
    <t>テストケース分類</t>
  </si>
  <si>
    <t>合計</t>
  </si>
  <si>
    <t>テスト結果</t>
  </si>
  <si>
    <t>正常</t>
  </si>
  <si>
    <t>異常</t>
  </si>
  <si>
    <t>境界</t>
  </si>
  <si>
    <t>合格</t>
  </si>
  <si>
    <t>不合格</t>
  </si>
  <si>
    <t>未テスト</t>
  </si>
  <si>
    <t>N/A</t>
  </si>
  <si>
    <t>進捗（%）</t>
  </si>
  <si>
    <t>テスト1回目</t>
  </si>
  <si>
    <t>機能</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</si>
  <si>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</si>
  <si>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</si>
  <si>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</si>
  <si>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</si>
  <si>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</si>
  <si>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</si>
  <si>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</si>
  <si>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</si>
  <si>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</si>
  <si>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</si>
  <si>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</si>
  <si>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</si>
  <si>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</si>
  <si>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</si>
  <si>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</si>
  <si>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</si>
  <si>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</si>
  <si>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</si>
  <si>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</si>
  <si>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</si>
  <si>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</si>
  <si>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</si>
  <si>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</si>
  <si>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</si>
  <si>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</si>
  <si>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</si>
  <si>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</si>
  <si>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約20フォーム</t>
  </si>
  <si>
    <t>VP-A-07</t>
  </si>
  <si>
    <t>CSRF／Cookie セキュリティフラグ</t>
  </si>
  <si>
    <t>VP-A-08</t>
  </si>
  <si>
    <t>レート制限・Throttling</t>
  </si>
  <si>
    <t>中</t>
  </si>
  <si>
    <t>全公開API＋認証エンドポイント</t>
  </si>
  <si>
    <t>VP-A-09</t>
  </si>
  <si>
    <t>アカウントロック・解除運用</t>
  </si>
  <si>
    <t>SCR-001／002＋管理機能</t>
  </si>
  <si>
    <t>VP-A-10</t>
  </si>
  <si>
    <t>SQL インジェクション</t>
  </si>
  <si>
    <t>約20フォーム＋検索</t>
  </si>
  <si>
    <t>VP-B-01</t>
  </si>
  <si>
    <t>B. データバリデーション</t>
  </si>
  <si>
    <t>必須項目チェック</t>
  </si>
  <si>
    <t>約25フォーム</t>
  </si>
  <si>
    <t>VP-B-02</t>
  </si>
  <si>
    <t>最小／最大長境界</t>
  </si>
  <si>
    <t>VP-B-03</t>
  </si>
  <si>
    <t>形式正規表現（郵便／電話／コード）</t>
  </si>
  <si>
    <t>VP-B-04</t>
  </si>
  <si>
    <t>半角／全角ハンドリング</t>
  </si>
  <si>
    <t>VP-B-05</t>
  </si>
  <si>
    <t>日付ロジック</t>
  </si>
  <si>
    <t>約10日付付きフォーム</t>
  </si>
  <si>
    <t>VP-B-06</t>
  </si>
  <si>
    <t>通貨／パーセント形式</t>
  </si>
  <si>
    <t>2-3フォーム（単価）</t>
  </si>
  <si>
    <t>VP-B-07</t>
  </si>
  <si>
    <t>マスタコード（m_code）参照</t>
  </si>
  <si>
    <t>約15ドロップダウン付きフォーム</t>
  </si>
  <si>
    <t>VP-B-08</t>
  </si>
  <si>
    <t>キー重複（duplicate code）</t>
  </si>
  <si>
    <t>約10マスタ</t>
  </si>
  <si>
    <t>VP-B-09</t>
  </si>
  <si>
    <t>IME・全角入力・貼付ハンドリング</t>
  </si>
  <si>
    <t>全テキスト入力フォーム＋検索画面</t>
  </si>
  <si>
    <t>VP-C-01</t>
  </si>
  <si>
    <t>C. 業務ロジック</t>
  </si>
  <si>
    <t>CRUD 正常系 + DB 永続化</t>
  </si>
  <si>
    <t>VP-C-02</t>
  </si>
  <si>
    <t>同時編集競合</t>
  </si>
  <si>
    <t>約8編集画面</t>
  </si>
  <si>
    <t>VP-C-03</t>
  </si>
  <si>
    <t>論理削除 + FK 関連</t>
  </si>
  <si>
    <t>約6関連付きマスタ</t>
  </si>
  <si>
    <t>VP-C-04</t>
  </si>
  <si>
    <t>税込／税抜計算</t>
  </si>
  <si>
    <t>単価マスタ</t>
  </si>
  <si>
    <t>VP-C-05</t>
  </si>
  <si>
    <t>購読者種別ルール（読み取り専用）</t>
  </si>
  <si>
    <t>購読者マスタ</t>
  </si>
  <si>
    <t>VP-C-06</t>
  </si>
  <si>
    <t>Excel取込 部分成功</t>
  </si>
  <si>
    <t>2取込画面</t>
  </si>
  <si>
    <t>VP-C-07</t>
  </si>
  <si>
    <t>販売店一括置換</t>
  </si>
  <si>
    <t>一括置換</t>
  </si>
  <si>
    <t>VP-C-08</t>
  </si>
  <si>
    <t>レポート集計の正確性</t>
  </si>
  <si>
    <t>3レポート</t>
  </si>
  <si>
    <t>VP-D-01</t>
  </si>
  <si>
    <t>D. 統合・システム</t>
  </si>
  <si>
    <t>ログイン + MFA フロー</t>
  </si>
  <si>
    <t>SCR-001／002</t>
  </si>
  <si>
    <t>VP-D-02</t>
  </si>
  <si>
    <t>セッションスライディング 24h</t>
  </si>
  <si>
    <t>VP-D-03</t>
  </si>
  <si>
    <t>パスワード再発行フロー</t>
  </si>
  <si>
    <t>SCR-007</t>
  </si>
  <si>
    <t>VP-D-04</t>
  </si>
  <si>
    <t>監査ログの完全性</t>
  </si>
  <si>
    <t>VP-D-05</t>
  </si>
  <si>
    <t>ファイルアップロード S3</t>
  </si>
  <si>
    <t>SCR-022</t>
  </si>
  <si>
    <t>VP-D-06</t>
  </si>
  <si>
    <t>メール通知</t>
  </si>
  <si>
    <t>SCR-001／007／お知らせ</t>
  </si>
  <si>
    <t>VP-D-07</t>
  </si>
  <si>
    <t>外部 CSV 形式準拠</t>
  </si>
  <si>
    <t>SCR-008／009</t>
  </si>
  <si>
    <t>VP-D-08</t>
  </si>
  <si>
    <t>ネットワーク／500／タイムアウト</t>
  </si>
  <si>
    <t>VP-D-09</t>
  </si>
  <si>
    <t>パスワード再発行 旧token無効化＋クールダウン</t>
  </si>
  <si>
    <t>VP-E-01</t>
  </si>
  <si>
    <t>E. 非機能・ユーザビリティ</t>
  </si>
  <si>
    <t>レイアウト／デザイントークン</t>
  </si>
  <si>
    <t>低</t>
  </si>
  <si>
    <t>全画面</t>
  </si>
  <si>
    <t>VP-E-02</t>
  </si>
  <si>
    <t>レスポンシブ（モバイル／タブレット）</t>
  </si>
  <si>
    <t>VP-E-03</t>
  </si>
  <si>
    <t>キーボード操作</t>
  </si>
  <si>
    <t>VP-E-04</t>
  </si>
  <si>
    <t>ブラウザ互換性</t>
  </si>
  <si>
    <t>VP-E-05</t>
  </si>
  <si>
    <t>マルチタブセッション同期</t>
  </si>
  <si>
    <t>VP-E-07</t>
  </si>
  <si>
    <t>未保存変更ガード・ブラウザ離脱</t>
  </si>
  <si>
    <t>全 CRUD 編集フォーム</t>
  </si>
  <si>
    <t>VP-F-01</t>
  </si>
  <si>
    <t>F. 性能</t>
  </si>
  <si>
    <t>性能ベンチマーク</t>
  </si>
  <si>
    <t>全画面パフォーマンス計測対象</t>
  </si>
  <si>
    <t>VP-F-02</t>
  </si>
  <si>
    <t>大量データ表示性能</t>
  </si>
  <si>
    <t>一覧／レポート画面</t>
  </si>
  <si>
    <t>2. 観点ID 命名規約・グループ凡例</t>
  </si>
  <si>
    <t>グループ</t>
  </si>
  <si>
    <t>接頭辞</t>
  </si>
  <si>
    <t>名称</t>
  </si>
  <si>
    <t>観点数</t>
  </si>
  <si>
    <t>リスク傾向</t>
  </si>
  <si>
    <t>代表的なテスト観点</t>
  </si>
  <si>
    <t>A</t>
  </si>
  <si>
    <t>VP-A-NN</t>
  </si>
  <si>
    <t>セキュリティ・権限</t>
  </si>
  <si>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</si>
  <si>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</si>
  <si>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</si>
  <si>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</si>
  <si>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</si>
  <si>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</si>
  <si>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</si>
  <si>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</si>
  <si>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</si>
  <si>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</si>
  <si>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</si>
  <si>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</si>
  <si>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</si>
  <si>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E</t>
  </si>
  <si>
    <t>VP-E-NN</t>
  </si>
  <si>
    <t>非機能・ユーザビリティ</t>
  </si>
  <si>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</si>
  <si>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</si>
  <si>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</si>
  <si>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</si>
  <si>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</si>
  <si>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</si>
  <si>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</si>
  <si>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テストレベル</t>
  </si>
  <si>
    <t>結合テスト</t>
  </si>
  <si>
    <t>機能／モジュール</t>
  </si>
  <si>
    <t>ACSMS-SCR-015_購読者販売店一括置換画面</t>
  </si>
  <si>
    <t>確認日</t>
  </si>
  <si>
    <t>テスト環境</t>
  </si>
  <si>
    <t>Windows 10/11, Chrome, Edge</t>
  </si>
  <si>
    <t>分類</t>
  </si>
  <si>
    <t>回目</t>
  </si>
  <si>
    <t>境界値</t>
  </si>
  <si>
    <t>1回目</t>
  </si>
  <si>
    <t>2回目</t>
  </si>
  <si>
    <t>要件ID</t>
  </si>
  <si>
    <t>説明</t>
  </si>
  <si>
    <t>前提条件</t>
  </si>
  <si>
    <t>ステップ／手順</t>
  </si>
  <si>
    <t>期待結果／アウトプット</t>
  </si>
  <si>
    <t>種類</t>
  </si>
  <si>
    <t>テスト1回目の結果</t>
  </si>
  <si>
    <t>テスト2回目の結果</t>
  </si>
  <si>
    <t>備考</t>
  </si>
  <si>
    <t>結果</t>
  </si>
  <si>
    <t>実績／
アウトプット</t>
  </si>
  <si>
    <t>確認日付
（MM/DD）</t>
  </si>
  <si>
    <t>バグID</t>
  </si>
  <si>
    <t>Kiểm soát quyền truy cập (Access Control)</t>
  </si>
  <si>
    <t>ACSMS-TC-015-001</t>
  </si>
  <si>
    <t>Role NICHINO_ADMIN bị từ chối truy cập</t>
  </si>
  <si>
    <t>・role: NICHINO_ADMIN
・Đã login + đã xác thực MFA
・Role này không được cấp quyền `dokusya.replace_hanbaiten`</t>
  </si>
  <si>
    <r>
      <rPr>
        <rFont val="メイリオ"/>
        <b/>
        <color rgb="FF000000"/>
        <sz val="10.0"/>
      </rPr>
      <t xml:space="preserve">ステップ1：
</t>
    </r>
    <r>
      <rPr>
        <rFont val="メイリオ"/>
        <color rgb="FF000000"/>
        <sz val="10.0"/>
      </rPr>
      <t xml:space="preserve">Kiểm tra danh sách menu ở sidebar.
</t>
    </r>
    <r>
      <rPr>
        <rFont val="メイリオ"/>
        <b/>
        <color rgb="FF000000"/>
        <sz val="10.0"/>
      </rPr>
      <t xml:space="preserve">ステップ2：
</t>
    </r>
    <r>
      <rPr>
        <rFont val="メイリオ"/>
        <color rgb="FF000000"/>
        <sz val="10.0"/>
      </rPr>
      <t xml:space="preserve">Nhập trực tiếp `/dokusya/replace-hanbaiten` vào thanh URL của trình duyệt và thử chuyển màn hình.
</t>
    </r>
    <r>
      <rPr>
        <rFont val="メイリオ"/>
        <b/>
        <color rgb="FF000000"/>
        <sz val="10.0"/>
      </rPr>
      <t xml:space="preserve">ステップ3：
</t>
    </r>
    <r>
      <rPr>
        <rFont val="メイリオ"/>
        <color rgb="FF000000"/>
        <sz val="10.0"/>
      </rPr>
      <t>Gọi trực tiếp `POST /api/v1/dokusya/replace-hanbaiten` từ API client.</t>
    </r>
  </si>
  <si>
    <r>
      <rPr>
        <rFont val="メイリオ"/>
        <b/>
        <color rgb="FF000000"/>
        <sz val="10.0"/>
      </rPr>
      <t xml:space="preserve">ステップ1：
</t>
    </r>
    <r>
      <rPr>
        <rFont val="メイリオ"/>
        <color rgb="FF000000"/>
        <sz val="10.0"/>
      </rPr>
      <t xml:space="preserve">Mục menu「購読者販売店一括置換」không hiển thị ở sidebar.
</t>
    </r>
    <r>
      <rPr>
        <rFont val="メイリオ"/>
        <b/>
        <color rgb="FF000000"/>
        <sz val="10.0"/>
      </rPr>
      <t xml:space="preserve">ステップ2：
</t>
    </r>
    <r>
      <rPr>
        <rFont val="メイリオ"/>
        <color rgb="FF000000"/>
        <sz val="10.0"/>
      </rPr>
      <t xml:space="preserve">Việc chuyển màn hình bị chặn, hiển thị toast「アクセス権がありません。」, và chuyển đến `/dashboard`.
</t>
    </r>
    <r>
      <rPr>
        <rFont val="メイリオ"/>
        <b/>
        <color rgb="FF000000"/>
        <sz val="10.0"/>
      </rPr>
      <t xml:space="preserve">ステップ3：
</t>
    </r>
    <r>
      <rPr>
        <rFont val="メイリオ"/>
        <color rgb="FF000000"/>
        <sz val="10.0"/>
      </rPr>
      <t xml:space="preserve">Trả về HTTP 403 (error_code: FORBIDDEN, message「この画面へのアクセス権限がありません。」).
</t>
    </r>
    <r>
      <rPr>
        <rFont val="メイリオ"/>
        <b/>
        <color rgb="FF000000"/>
        <sz val="10.0"/>
      </rPr>
      <t xml:space="preserve">補足：
</t>
    </r>
    <r>
      <rPr>
        <rFont val="メイリオ"/>
        <color rgb="FF000000"/>
        <sz val="10.0"/>
      </rPr>
      <t>・Không phát sinh bất kỳ thay đổi nào trên `t_dokusya` và `t_dokusya_rireki`.</t>
    </r>
  </si>
  <si>
    <t>diem.kieuthi</t>
  </si>
  <si>
    <t>ACSMS-TC-015-002</t>
  </si>
  <si>
    <t>Role NICHINO_STAFF bị từ chối truy cập</t>
  </si>
  <si>
    <t>・role: NICHINO_STAFF
・Đã login + đã xác thực MFA
・Role này không được cấp quyền `dokusya.replace_hanbaiten`</t>
  </si>
  <si>
    <r>
      <rPr>
        <rFont val="メイリオ"/>
        <b/>
        <color rgb="FF000000"/>
        <sz val="10.0"/>
      </rPr>
      <t xml:space="preserve">ステップ1：
</t>
    </r>
    <r>
      <rPr>
        <rFont val="メイリオ"/>
        <color rgb="FF000000"/>
        <sz val="10.0"/>
      </rPr>
      <t xml:space="preserve">Kiểm tra danh sách menu ở sidebar.
</t>
    </r>
    <r>
      <rPr>
        <rFont val="メイリオ"/>
        <b/>
        <color rgb="FF000000"/>
        <sz val="10.0"/>
      </rPr>
      <t xml:space="preserve">ステップ2：
</t>
    </r>
    <r>
      <rPr>
        <rFont val="メイリオ"/>
        <color rgb="FF000000"/>
        <sz val="10.0"/>
      </rPr>
      <t xml:space="preserve">Nhập trực tiếp `/dokusya/replace-hanbaiten` vào thanh URL của trình duyệt và thử chuyển màn hình.
</t>
    </r>
    <r>
      <rPr>
        <rFont val="メイリオ"/>
        <b/>
        <color rgb="FF000000"/>
        <sz val="10.0"/>
      </rPr>
      <t xml:space="preserve">ステップ3：
</t>
    </r>
    <r>
      <rPr>
        <rFont val="メイリオ"/>
        <color rgb="FF000000"/>
        <sz val="10.0"/>
      </rPr>
      <t>Gọi trực tiếp `GET /api/v1/dokusya/replace-hanbaiten/search` từ API client.</t>
    </r>
  </si>
  <si>
    <r>
      <rPr>
        <rFont val="メイリオ"/>
        <b/>
        <color rgb="FF000000"/>
        <sz val="10.0"/>
      </rPr>
      <t xml:space="preserve">ステップ1：
</t>
    </r>
    <r>
      <rPr>
        <rFont val="メイリオ"/>
        <color rgb="FF000000"/>
        <sz val="10.0"/>
      </rPr>
      <t xml:space="preserve">Mục menu「購読者販売店一括置換」không hiển thị ở sidebar.
</t>
    </r>
    <r>
      <rPr>
        <rFont val="メイリオ"/>
        <b/>
        <color rgb="FF000000"/>
        <sz val="10.0"/>
      </rPr>
      <t xml:space="preserve">ステップ2：
</t>
    </r>
    <r>
      <rPr>
        <rFont val="メイリオ"/>
        <color rgb="FF000000"/>
        <sz val="10.0"/>
      </rPr>
      <t xml:space="preserve">Việc chuyển màn hình bị chặn, hiển thị toast「アクセス権がありません。」, và chuyển đến `/dashboard`.
</t>
    </r>
    <r>
      <rPr>
        <rFont val="メイリオ"/>
        <b/>
        <color rgb="FF000000"/>
        <sz val="10.0"/>
      </rPr>
      <t xml:space="preserve">ステップ3：
</t>
    </r>
    <r>
      <rPr>
        <rFont val="メイリオ"/>
        <color rgb="FF000000"/>
        <sz val="10.0"/>
      </rPr>
      <t xml:space="preserve">Trả về HTTP 403 (error_code: FORBIDDEN, message「この画面へのアクセス権限がありません。」).
</t>
    </r>
    <r>
      <rPr>
        <rFont val="メイリオ"/>
        <b/>
        <color rgb="FF000000"/>
        <sz val="10.0"/>
      </rPr>
      <t xml:space="preserve">補足：
</t>
    </r>
    <r>
      <rPr>
        <rFont val="メイリオ"/>
        <color rgb="FF000000"/>
        <sz val="10.0"/>
      </rPr>
      <t>・Không phát sinh bất kỳ thao tác tham chiếu hay update dữ liệu nào.</t>
    </r>
  </si>
  <si>
    <t>ACSMS-TC-015-003</t>
  </si>
  <si>
    <t>Role CHUOKAI được cho phép truy cập</t>
  </si>
  <si>
    <t>・role: CHUOKAI
・Đã login + đã xác thực MFA
・Role này được cấp quyền `dokusya.replace_hanbaiten`</t>
  </si>
  <si>
    <r>
      <rPr>
        <rFont val="メイリオ"/>
        <b/>
        <color rgb="FF000000"/>
        <sz val="10.0"/>
      </rPr>
      <t xml:space="preserve">ステップ1：
</t>
    </r>
    <r>
      <rPr>
        <rFont val="メイリオ"/>
        <color rgb="FF000000"/>
        <sz val="10.0"/>
      </rPr>
      <t xml:space="preserve">Kiểm tra danh sách menu ở sidebar.
</t>
    </r>
    <r>
      <rPr>
        <rFont val="メイリオ"/>
        <b/>
        <color rgb="FF000000"/>
        <sz val="10.0"/>
      </rPr>
      <t xml:space="preserve">ステップ2：
</t>
    </r>
    <r>
      <rPr>
        <rFont val="メイリオ"/>
        <color rgb="FF000000"/>
        <sz val="10.0"/>
      </rPr>
      <t>Click vào mục menu「購読者販売店一括置換」.</t>
    </r>
  </si>
  <si>
    <r>
      <rPr>
        <rFont val="メイリオ"/>
        <b/>
        <color rgb="FF000000"/>
        <sz val="10.0"/>
      </rPr>
      <t xml:space="preserve">ステップ1：
</t>
    </r>
    <r>
      <rPr>
        <rFont val="メイリオ"/>
        <color rgb="FF000000"/>
        <sz val="10.0"/>
      </rPr>
      <t xml:space="preserve">Mục menu「購読者販売店一括置換」hiển thị ở sidebar.
</t>
    </r>
    <r>
      <rPr>
        <rFont val="メイリオ"/>
        <b/>
        <color rgb="FF000000"/>
        <sz val="10.0"/>
      </rPr>
      <t xml:space="preserve">ステップ2：
</t>
    </r>
    <r>
      <rPr>
        <rFont val="メイリオ"/>
        <color rgb="FF000000"/>
        <sz val="10.0"/>
      </rPr>
      <t xml:space="preserve">Chuyển đến màn hình thay thế hàng loạt cửa hàng độc giả (`/dokusya/replace-hanbaiten`), và không hiển thị toast từ chối truy cập.
</t>
    </r>
    <r>
      <rPr>
        <rFont val="メイリオ"/>
        <b/>
        <color rgb="FF000000"/>
        <sz val="10.0"/>
      </rPr>
      <t xml:space="preserve">補足：
</t>
    </r>
    <r>
      <rPr>
        <rFont val="メイリオ"/>
        <color rgb="FF000000"/>
        <sz val="10.0"/>
      </rPr>
      <t>・Theo DataScope, chỉ độc giả thuộc chuokai của mình mới là đối tượng search.</t>
    </r>
  </si>
  <si>
    <t>N</t>
  </si>
  <si>
    <t>ACSMS-TC-015-004</t>
  </si>
  <si>
    <t>Role JA_HONTEN được cho phép truy cập</t>
  </si>
  <si>
    <t>・role: JA_HONTEN
・Đã login + đã xác thực MFA
・Role này được cấp quyền `dokusya.replace_hanbaiten`</t>
  </si>
  <si>
    <r>
      <rPr>
        <rFont val="メイリオ"/>
        <b/>
        <color rgb="FF000000"/>
        <sz val="10.0"/>
      </rPr>
      <t xml:space="preserve">ステップ1：
</t>
    </r>
    <r>
      <rPr>
        <rFont val="メイリオ"/>
        <color rgb="FF000000"/>
        <sz val="10.0"/>
      </rPr>
      <t xml:space="preserve">Kiểm tra danh sách menu ở sidebar.
</t>
    </r>
    <r>
      <rPr>
        <rFont val="メイリオ"/>
        <b/>
        <color rgb="FF000000"/>
        <sz val="10.0"/>
      </rPr>
      <t xml:space="preserve">ステップ2：
</t>
    </r>
    <r>
      <rPr>
        <rFont val="メイリオ"/>
        <color rgb="FF000000"/>
        <sz val="10.0"/>
      </rPr>
      <t>Click vào mục menu「購読者販売店一括置換」.</t>
    </r>
  </si>
  <si>
    <r>
      <rPr>
        <rFont val="メイリオ"/>
        <b/>
        <color rgb="FF000000"/>
        <sz val="10.0"/>
      </rPr>
      <t xml:space="preserve">ステップ1：
</t>
    </r>
    <r>
      <rPr>
        <rFont val="メイリオ"/>
        <color rgb="FF000000"/>
        <sz val="10.0"/>
      </rPr>
      <t xml:space="preserve">Mục menu「購読者販売店一括置換」hiển thị ở sidebar.
</t>
    </r>
    <r>
      <rPr>
        <rFont val="メイリオ"/>
        <b/>
        <color rgb="FF000000"/>
        <sz val="10.0"/>
      </rPr>
      <t xml:space="preserve">ステップ2：
</t>
    </r>
    <r>
      <rPr>
        <rFont val="メイリオ"/>
        <color rgb="FF000000"/>
        <sz val="10.0"/>
      </rPr>
      <t xml:space="preserve">Chuyển đến màn hình thay thế hàng loạt cửa hàng độc giả (`/dokusya/replace-hanbaiten`), và không hiển thị toast từ chối truy cập.
</t>
    </r>
    <r>
      <rPr>
        <rFont val="メイリオ"/>
        <b/>
        <color rgb="FF000000"/>
        <sz val="10.0"/>
      </rPr>
      <t xml:space="preserve">補足：
</t>
    </r>
    <r>
      <rPr>
        <rFont val="メイリオ"/>
        <color rgb="FF000000"/>
        <sz val="10.0"/>
      </rPr>
      <t>・Theo DataScope, chỉ độc giả thuộc JA của mình mới là đối tượng search.</t>
    </r>
  </si>
  <si>
    <t>ACSMS-TC-015-005</t>
  </si>
  <si>
    <t>Role JA_KANRI_SHITEN được cho phép truy cập và DataScope được áp dụng</t>
  </si>
  <si>
    <t>・role: JA_KANRI_SHITEN
・Đã login + đã xác thực MFA
・Role này được cấp quyền `dokusya.replace_hanbaiten`
・Tồn tại dữ liệu độc giả thuộc chi nhánh quản lý của mình và thuộc chi nhánh quản lý khác</t>
  </si>
  <si>
    <r>
      <rPr>
        <rFont val="メイリオ"/>
        <b/>
        <color rgb="FF000000"/>
        <sz val="10.0"/>
      </rPr>
      <t xml:space="preserve">ステップ1：
</t>
    </r>
    <r>
      <rPr>
        <rFont val="メイリオ"/>
        <color rgb="FF000000"/>
        <sz val="10.0"/>
      </rPr>
      <t xml:space="preserve">Click vào mục menu「購読者販売店一括置換」để chuyển màn hình.
</t>
    </r>
    <r>
      <rPr>
        <rFont val="メイリオ"/>
        <b/>
        <color rgb="FF000000"/>
        <sz val="10.0"/>
      </rPr>
      <t xml:space="preserve">ステップ2：
</t>
    </r>
    <r>
      <rPr>
        <rFont val="メイリオ"/>
        <color rgb="FF000000"/>
        <sz val="10.0"/>
      </rPr>
      <t>Click button「検索」mà không chỉ định điều kiện search.</t>
    </r>
  </si>
  <si>
    <r>
      <rPr>
        <rFont val="メイリオ"/>
        <b/>
        <color rgb="FF000000"/>
        <sz val="10.0"/>
      </rPr>
      <t xml:space="preserve">ステップ1：
</t>
    </r>
    <r>
      <rPr>
        <rFont val="メイリオ"/>
        <color rgb="FF000000"/>
        <sz val="10.0"/>
      </rPr>
      <t xml:space="preserve">Chuyển đến màn hình thay thế hàng loạt cửa hàng độc giả (`/dokusya/replace-hanbaiten`), và không hiển thị toast từ chối truy cập.
</t>
    </r>
    <r>
      <rPr>
        <rFont val="メイリオ"/>
        <b/>
        <color rgb="FF000000"/>
        <sz val="10.0"/>
      </rPr>
      <t xml:space="preserve">ステップ2：
</t>
    </r>
    <r>
      <rPr>
        <rFont val="メイリオ"/>
        <color rgb="FF000000"/>
        <sz val="10.0"/>
      </rPr>
      <t xml:space="preserve">Danh sách kết quả search chỉ hiển thị độc giả thuộc chi nhánh quản lý của mình, và không hiển thị độc giả thuộc chi nhánh quản lý khác.
</t>
    </r>
    <r>
      <rPr>
        <rFont val="メイリオ"/>
        <b/>
        <color rgb="FF000000"/>
        <sz val="10.0"/>
      </rPr>
      <t xml:space="preserve">補足：
</t>
    </r>
    <r>
      <rPr>
        <rFont val="メイリオ"/>
        <color rgb="FF000000"/>
        <sz val="10.0"/>
      </rPr>
      <t>・Theo DataScope, tự động lọc theo chi nhánh quản lý của user đang login.</t>
    </r>
  </si>
  <si>
    <t>Hiển thị màn hình - Responsive (Layout &amp; Responsive)</t>
  </si>
  <si>
    <t>ACSMS-TC-015-006</t>
  </si>
  <si>
    <t>Khi hiển thị ban đầu, form search và table kết quả hiển thị rỗng</t>
  </si>
  <si>
    <t>・role: CHUOKAI
・Đã login + đã xác thực MFA</t>
  </si>
  <si>
    <r>
      <rPr>
        <rFont val="メイリオ"/>
        <b/>
        <color rgb="FF000000"/>
        <sz val="10.0"/>
      </rPr>
      <t xml:space="preserve">ステップ1：
</t>
    </r>
    <r>
      <rPr>
        <rFont val="メイリオ"/>
        <color rgb="FF000000"/>
        <sz val="10.0"/>
      </rPr>
      <t xml:space="preserve">Mở màn hình thay thế hàng loạt cửa hàng độc giả (`/dokusya/replace-hanbaiten`).
</t>
    </r>
    <r>
      <rPr>
        <rFont val="メイリオ"/>
        <b/>
        <color rgb="FF000000"/>
        <sz val="10.0"/>
      </rPr>
      <t xml:space="preserve">ステップ2：
</t>
    </r>
    <r>
      <rPr>
        <rFont val="メイリオ"/>
        <color rgb="FF000000"/>
        <sz val="10.0"/>
      </rPr>
      <t>Mở dropdown「管理支店」「配達販売店」ở khu vực search.</t>
    </r>
  </si>
  <si>
    <r>
      <rPr>
        <rFont val="メイリオ"/>
        <b/>
        <color rgb="FF000000"/>
        <sz val="10.0"/>
      </rPr>
      <t xml:space="preserve">ステップ1：
</t>
    </r>
    <r>
      <rPr>
        <rFont val="メイリオ"/>
        <color rgb="FF000000"/>
        <sz val="10.0"/>
      </rPr>
      <t xml:space="preserve">Các ô input của form search hiển thị rỗng, và table kết quả không hiển thị row nào.
</t>
    </r>
    <r>
      <rPr>
        <rFont val="メイリオ"/>
        <b/>
        <color rgb="FF000000"/>
        <sz val="10.0"/>
      </rPr>
      <t xml:space="preserve">ステップ2：
</t>
    </r>
    <r>
      <rPr>
        <rFont val="メイリオ"/>
        <color rgb="FF000000"/>
        <sz val="10.0"/>
      </rPr>
      <t xml:space="preserve">Các lựa chọn của dropdown「管理支店」và dropdown「配達販売店」được hiển thị thông qua việc load API.
</t>
    </r>
    <r>
      <rPr>
        <rFont val="メイリオ"/>
        <b/>
        <color rgb="FF000000"/>
        <sz val="10.0"/>
      </rPr>
      <t xml:space="preserve">補足：
</t>
    </r>
    <r>
      <rPr>
        <rFont val="メイリオ"/>
        <color rgb="FF000000"/>
        <sz val="10.0"/>
      </rPr>
      <t>・Khi hiển thị ban đầu, không phát sinh lệnh gọi API nào ngoài việc load dropdown.</t>
    </r>
  </si>
  <si>
    <t>ACSMS-TC-015-007</t>
  </si>
  <si>
    <t>Các cột của table kết quả search hiển thị đúng thiết kế</t>
  </si>
  <si>
    <t>・role: JA_HONTEN
・Đã login + đã xác thực MFA
・Tồn tại dữ liệu độc giả khớp với điều kiện search</t>
  </si>
  <si>
    <r>
      <rPr>
        <rFont val="メイリオ"/>
        <b/>
        <color rgb="FF000000"/>
        <sz val="10.0"/>
      </rPr>
      <t xml:space="preserve">ステップ1：
</t>
    </r>
    <r>
      <rPr>
        <rFont val="メイリオ"/>
        <color rgb="FF000000"/>
        <sz val="10.0"/>
      </rPr>
      <t xml:space="preserve">Nhập điều kiện search bất kỳ và click button「検索」.
</t>
    </r>
    <r>
      <rPr>
        <rFont val="メイリオ"/>
        <b/>
        <color rgb="FF000000"/>
        <sz val="10.0"/>
      </rPr>
      <t xml:space="preserve">ステップ2：
</t>
    </r>
    <r>
      <rPr>
        <rFont val="メイリオ"/>
        <color rgb="FF000000"/>
        <sz val="10.0"/>
      </rPr>
      <t>Kiểm tra các cột header của table kết quả được hiển thị.</t>
    </r>
  </si>
  <si>
    <r>
      <rPr>
        <rFont val="メイリオ"/>
        <b/>
        <color rgb="FF000000"/>
        <sz val="10.0"/>
      </rPr>
      <t xml:space="preserve">ステップ1：
</t>
    </r>
    <r>
      <rPr>
        <rFont val="メイリオ"/>
        <color rgb="FF000000"/>
        <sz val="10.0"/>
      </rPr>
      <t xml:space="preserve">Dữ liệu tương ứng được hiển thị trong danh sách kết quả search.
</t>
    </r>
    <r>
      <rPr>
        <rFont val="メイリオ"/>
        <b/>
        <color rgb="FF000000"/>
        <sz val="10.0"/>
      </rPr>
      <t xml:space="preserve">ステップ2：
</t>
    </r>
    <r>
      <rPr>
        <rFont val="メイリオ"/>
        <color rgb="FF000000"/>
        <sz val="10.0"/>
      </rPr>
      <t xml:space="preserve">Các cột của table kết quả hiển thị theo thứ tự「チェックボックス」「すべて選択／解除」「管理支店」「支店」「組合員コード」「購読者名」「配達先郵便番号」「配達先住所」「販売店コード」「販売店名」.
</t>
    </r>
    <r>
      <rPr>
        <rFont val="メイリオ"/>
        <b/>
        <color rgb="FF000000"/>
        <sz val="10.0"/>
      </rPr>
      <t xml:space="preserve">補足：
</t>
    </r>
    <r>
      <rPr>
        <rFont val="メイリオ"/>
        <color rgb="FF000000"/>
        <sz val="10.0"/>
      </rPr>
      <t>・Nội dung hiển thị của các cột khớp với dữ liệu độc giả của mỗi row.</t>
    </r>
  </si>
  <si>
    <t>ACSMS-TC-015-008</t>
  </si>
  <si>
    <t>Hiển thị và trạng thái active của các button là chính xác</t>
  </si>
  <si>
    <t>・role: CHUOKAI
・Đã login + đã xác thực MFA
・Dữ liệu độc giả đang hiển thị trong danh sách kết quả search</t>
  </si>
  <si>
    <r>
      <rPr>
        <rFont val="メイリオ"/>
        <b/>
        <color rgb="FF000000"/>
        <sz val="10.0"/>
      </rPr>
      <t xml:space="preserve">ステップ1：
</t>
    </r>
    <r>
      <rPr>
        <rFont val="メイリオ"/>
        <color rgb="FF000000"/>
        <sz val="10.0"/>
      </rPr>
      <t xml:space="preserve">Kiểm tra các button ở trạng thái chưa chọn row nào trong danh sách kết quả search.
</t>
    </r>
    <r>
      <rPr>
        <rFont val="メイリオ"/>
        <b/>
        <color rgb="FF000000"/>
        <sz val="10.0"/>
      </rPr>
      <t xml:space="preserve">ステップ2：
</t>
    </r>
    <r>
      <rPr>
        <rFont val="メイリオ"/>
        <color rgb="FF000000"/>
        <sz val="10.0"/>
      </rPr>
      <t>Kiểm tra trạng thái active của từng button「検索」「検索クリア」「置換処理実行」.</t>
    </r>
  </si>
  <si>
    <r>
      <rPr>
        <rFont val="メイリオ"/>
        <b/>
        <color rgb="FF000000"/>
        <sz val="10.0"/>
      </rPr>
      <t xml:space="preserve">ステップ1：
</t>
    </r>
    <r>
      <rPr>
        <rFont val="メイリオ"/>
        <color rgb="FF000000"/>
        <sz val="10.0"/>
      </rPr>
      <t xml:space="preserve">Ở trạng thái chưa chọn row nào, button「置換処理実行」bị disable.
</t>
    </r>
    <r>
      <rPr>
        <rFont val="メイリオ"/>
        <b/>
        <color rgb="FF000000"/>
        <sz val="10.0"/>
      </rPr>
      <t xml:space="preserve">ステップ2：
</t>
    </r>
    <r>
      <rPr>
        <rFont val="メイリオ"/>
        <color rgb="FF000000"/>
        <sz val="10.0"/>
      </rPr>
      <t xml:space="preserve">Button「検索」và button「検索クリア」hiển thị ở trạng thái enable.
</t>
    </r>
    <r>
      <rPr>
        <rFont val="メイリオ"/>
        <b/>
        <color rgb="FF000000"/>
        <sz val="10.0"/>
      </rPr>
      <t xml:space="preserve">補足：
</t>
    </r>
    <r>
      <rPr>
        <rFont val="メイリオ"/>
        <color rgb="FF000000"/>
        <sz val="10.0"/>
      </rPr>
      <t>・Label của mỗi button hiển thị là「検索」「検索クリア」「置換処理実行」.</t>
    </r>
  </si>
  <si>
    <t>ACSMS-TC-015-009</t>
  </si>
  <si>
    <t>Khi chọn checkbox thì ngày áp dụng và đích thay thế hiển thị, button search bị disable</t>
  </si>
  <si>
    <t>・role: JA_HONTEN
・Đã login + đã xác thực MFA
・Dữ liệu độc giả đang hiển thị trong danh sách kết quả search</t>
  </si>
  <si>
    <r>
      <rPr>
        <rFont val="メイリオ"/>
        <b/>
        <color rgb="FF000000"/>
        <sz val="10.0"/>
      </rPr>
      <t xml:space="preserve">ステップ1：
</t>
    </r>
    <r>
      <rPr>
        <rFont val="メイリオ"/>
        <color rgb="FF000000"/>
        <sz val="10.0"/>
      </rPr>
      <t xml:space="preserve">Bật checkbox của một row bất kỳ trong table kết quả.
</t>
    </r>
    <r>
      <rPr>
        <rFont val="メイリオ"/>
        <b/>
        <color rgb="FF000000"/>
        <sz val="10.0"/>
      </rPr>
      <t xml:space="preserve">ステップ2：
</t>
    </r>
    <r>
      <rPr>
        <rFont val="メイリオ"/>
        <color rgb="FF000000"/>
        <sz val="10.0"/>
      </rPr>
      <t>Kiểm tra trạng thái hiển thị của màn hình và trạng thái active của button「検索」.</t>
    </r>
  </si>
  <si>
    <r>
      <rPr>
        <rFont val="メイリオ"/>
        <b/>
        <color rgb="FF000000"/>
        <sz val="10.0"/>
      </rPr>
      <t xml:space="preserve">ステップ1：
</t>
    </r>
    <r>
      <rPr>
        <rFont val="メイリオ"/>
        <color rgb="FF000000"/>
        <sz val="10.0"/>
      </rPr>
      <t xml:space="preserve">Ô input「適用日」và dropdown「置換先配達販売店」được hiển thị, và cả hai đều là mục bắt buộc.
</t>
    </r>
    <r>
      <rPr>
        <rFont val="メイリオ"/>
        <b/>
        <color rgb="FF000000"/>
        <sz val="10.0"/>
      </rPr>
      <t xml:space="preserve">ステップ2：
</t>
    </r>
    <r>
      <rPr>
        <rFont val="メイリオ"/>
        <color rgb="FF000000"/>
        <sz val="10.0"/>
      </rPr>
      <t xml:space="preserve">Ở trạng thái đã chọn từ 1 checkbox trở lên, button「検索」bị disable, và button「置換処理実行」được enable.
</t>
    </r>
    <r>
      <rPr>
        <rFont val="メイリオ"/>
        <b/>
        <color rgb="FF000000"/>
        <sz val="10.0"/>
      </rPr>
      <t xml:space="preserve">補足：
</t>
    </r>
    <r>
      <rPr>
        <rFont val="メイリオ"/>
        <color rgb="FF000000"/>
        <sz val="10.0"/>
      </rPr>
      <t>・Khi bỏ chọn tất cả checkbox thì「適用日」「置換先配達販売店」ẩn đi, và button「検索」được enable trở lại.</t>
    </r>
  </si>
  <si>
    <t>ACSMS-TC-015-010</t>
  </si>
  <si>
    <t>Khi hiển thị responsive không phát sinh vỡ layout</t>
  </si>
  <si>
    <r>
      <rPr>
        <rFont val="メイリオ"/>
        <b/>
        <color rgb="FF000000"/>
        <sz val="10.0"/>
      </rPr>
      <t xml:space="preserve">ステップ1：
</t>
    </r>
    <r>
      <rPr>
        <rFont val="メイリオ"/>
        <color rgb="FF000000"/>
        <sz val="10.0"/>
      </rPr>
      <t xml:space="preserve">Đặt chiều rộng hiển thị của trình duyệt từ 1280px trở lên và hiển thị màn hình.
</t>
    </r>
    <r>
      <rPr>
        <rFont val="メイリオ"/>
        <b/>
        <color rgb="FF000000"/>
        <sz val="10.0"/>
      </rPr>
      <t xml:space="preserve">ステップ2：
</t>
    </r>
    <r>
      <rPr>
        <rFont val="メイリオ"/>
        <color rgb="FF000000"/>
        <sz val="10.0"/>
      </rPr>
      <t>Thu nhỏ chiều rộng hiển thị của trình duyệt xuống khoảng 768px và hiển thị màn hình.</t>
    </r>
  </si>
  <si>
    <r>
      <rPr>
        <rFont val="メイリオ"/>
        <b/>
        <color rgb="FF000000"/>
        <sz val="10.0"/>
      </rPr>
      <t xml:space="preserve">ステップ1：
</t>
    </r>
    <r>
      <rPr>
        <rFont val="メイリオ"/>
        <color rgb="FF000000"/>
        <sz val="10.0"/>
      </rPr>
      <t xml:space="preserve">Form search, button, table kết quả hiển thị không chồng chéo và không bị cắt xén.
</t>
    </r>
    <r>
      <rPr>
        <rFont val="メイリオ"/>
        <b/>
        <color rgb="FF000000"/>
        <sz val="10.0"/>
      </rPr>
      <t xml:space="preserve">ステップ2：
</t>
    </r>
    <r>
      <rPr>
        <rFont val="メイリオ"/>
        <color rgb="FF000000"/>
        <sz val="10.0"/>
      </rPr>
      <t xml:space="preserve">Dù thu nhỏ chiều rộng màn hình thì layout cũng không vỡ, và các phần tử được sắp xếp lại ở dạng đọc được.
</t>
    </r>
    <r>
      <rPr>
        <rFont val="メイリオ"/>
        <b/>
        <color rgb="FF000000"/>
        <sz val="10.0"/>
      </rPr>
      <t xml:space="preserve">補足：
</t>
    </r>
    <r>
      <rPr>
        <rFont val="メイリオ"/>
        <color rgb="FF000000"/>
        <sz val="10.0"/>
      </rPr>
      <t>・Thanh scroll ngang không phát sinh ở vị trí không mong muốn.</t>
    </r>
  </si>
  <si>
    <t>ACSMS-TC-015-011</t>
  </si>
  <si>
    <t>Có thể di chuyển focus bằng thao tác bàn phím</t>
  </si>
  <si>
    <t>・role: JA_KANRI_SHITEN
・Đã login + đã xác thực MFA</t>
  </si>
  <si>
    <r>
      <rPr>
        <rFont val="メイリオ"/>
        <b/>
        <color rgb="FF000000"/>
        <sz val="10.0"/>
      </rPr>
      <t xml:space="preserve">ステップ1：
</t>
    </r>
    <r>
      <rPr>
        <rFont val="メイリオ"/>
        <color rgb="FF000000"/>
        <sz val="10.0"/>
      </rPr>
      <t xml:space="preserve">Đặt focus vào ô input đầu tiên ở khu vực search, và nhấn liên tục phím Tab.
</t>
    </r>
    <r>
      <rPr>
        <rFont val="メイリオ"/>
        <b/>
        <color rgb="FF000000"/>
        <sz val="10.0"/>
      </rPr>
      <t xml:space="preserve">ステップ2：
</t>
    </r>
    <r>
      <rPr>
        <rFont val="メイリオ"/>
        <color rgb="FF000000"/>
        <sz val="10.0"/>
      </rPr>
      <t>Thao tác button「検索」bằng phím Enter hoặc phím Space.</t>
    </r>
  </si>
  <si>
    <r>
      <rPr>
        <rFont val="メイリオ"/>
        <b/>
        <color rgb="FF000000"/>
        <sz val="10.0"/>
      </rPr>
      <t xml:space="preserve">ステップ1：
</t>
    </r>
    <r>
      <rPr>
        <rFont val="メイリオ"/>
        <color rgb="FF000000"/>
        <sz val="10.0"/>
      </rPr>
      <t xml:space="preserve">Khi nhấn phím Tab, focus di chuyển một cách logic theo thứ tự điều kiện search rồi đến button.
</t>
    </r>
    <r>
      <rPr>
        <rFont val="メイリオ"/>
        <b/>
        <color rgb="FF000000"/>
        <sz val="10.0"/>
      </rPr>
      <t xml:space="preserve">ステップ2：
</t>
    </r>
    <r>
      <rPr>
        <rFont val="メイリオ"/>
        <color rgb="FF000000"/>
        <sz val="10.0"/>
      </rPr>
      <t xml:space="preserve">Có thể thao tác button「検索」chỉ bằng bàn phím.
</t>
    </r>
    <r>
      <rPr>
        <rFont val="メイリオ"/>
        <b/>
        <color rgb="FF000000"/>
        <sz val="10.0"/>
      </rPr>
      <t xml:space="preserve">補足：
</t>
    </r>
    <r>
      <rPr>
        <rFont val="メイリオ"/>
        <color rgb="FF000000"/>
        <sz val="10.0"/>
      </rPr>
      <t>・Có thể hoàn thành thao tác search mà không sử dụng chuột.</t>
    </r>
  </si>
  <si>
    <t>Header - Breadcrumb (Header &amp; Breadcrumb)</t>
  </si>
  <si>
    <t>ACSMS-TC-015-012</t>
  </si>
  <si>
    <t>Tiêu đề trang hiển thị chính xác</t>
  </si>
  <si>
    <r>
      <rPr>
        <rFont val="メイリオ"/>
        <b/>
        <color rgb="FF000000"/>
        <sz val="10.0"/>
      </rPr>
      <t xml:space="preserve">ステップ1：
</t>
    </r>
    <r>
      <rPr>
        <rFont val="メイリオ"/>
        <color rgb="FF000000"/>
        <sz val="10.0"/>
      </rPr>
      <t xml:space="preserve">Mở màn hình thay thế hàng loạt cửa hàng độc giả (`/dokusya/replace-hanbaiten`).
</t>
    </r>
    <r>
      <rPr>
        <rFont val="メイリオ"/>
        <b/>
        <color rgb="FF000000"/>
        <sz val="10.0"/>
      </rPr>
      <t xml:space="preserve">ステップ2：
</t>
    </r>
    <r>
      <rPr>
        <rFont val="メイリオ"/>
        <color rgb="FF000000"/>
        <sz val="10.0"/>
      </rPr>
      <t>Kiểm tra hiển thị tiêu đề trang ở phần trên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</si>
  <si>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Tiêu đề trang hiển thị「購読者販売店一括置換」.
</t>
    </r>
    <r>
      <rPr>
        <rFont val="メイリオ"/>
        <b/>
        <color rgb="FF000000"/>
        <sz val="10.0"/>
      </rPr>
      <t xml:space="preserve">補足：
</t>
    </r>
    <r>
      <rPr>
        <rFont val="メイリオ"/>
        <color rgb="FF000000"/>
        <sz val="10.0"/>
      </rPr>
      <t>・Tiêu đề trang không bị lẫn với tiêu đề của màn hình khác.</t>
    </r>
  </si>
  <si>
    <t>ACSMS-TC-015-013</t>
  </si>
  <si>
    <t>Breadcrumb hiển thị và có thể chuyển trang khi click</t>
  </si>
  <si>
    <t>・role: JA_HONTEN
・Đã login + đã xác thực MFA</t>
  </si>
  <si>
    <r>
      <rPr>
        <rFont val="メイリオ"/>
        <b/>
        <color rgb="FF000000"/>
        <sz val="10.0"/>
      </rPr>
      <t xml:space="preserve">ステップ1：
</t>
    </r>
    <r>
      <rPr>
        <rFont val="メイリオ"/>
        <color rgb="FF000000"/>
        <sz val="10.0"/>
      </rPr>
      <t xml:space="preserve">Mở màn hình thay thế hàng loạt cửa hàng độc giả, và kiểm tra hiển thị breadcrumb.
</t>
    </r>
    <r>
      <rPr>
        <rFont val="メイリオ"/>
        <b/>
        <color rgb="FF000000"/>
        <sz val="10.0"/>
      </rPr>
      <t xml:space="preserve">ステップ2：
</t>
    </r>
    <r>
      <rPr>
        <rFont val="メイリオ"/>
        <color rgb="FF000000"/>
        <sz val="10.0"/>
      </rPr>
      <t>Click vào「ホーム」trong breadcrumb.</t>
    </r>
  </si>
  <si>
    <r>
      <rPr>
        <rFont val="メイリオ"/>
        <b/>
        <color rgb="FF000000"/>
        <sz val="10.0"/>
      </rPr>
      <t xml:space="preserve">ステップ1：
</t>
    </r>
    <r>
      <rPr>
        <rFont val="メイリオ"/>
        <color rgb="FF000000"/>
        <sz val="10.0"/>
      </rPr>
      <t xml:space="preserve">Breadcrumb hiển thị「ホーム &gt; 購読者販売店一括置換」.
</t>
    </r>
    <r>
      <rPr>
        <rFont val="メイリオ"/>
        <b/>
        <color rgb="FF000000"/>
        <sz val="10.0"/>
      </rPr>
      <t xml:space="preserve">ステップ2：
</t>
    </r>
    <r>
      <rPr>
        <rFont val="メイリオ"/>
        <color rgb="FF000000"/>
        <sz val="10.0"/>
      </rPr>
      <t xml:space="preserve">Khi click「ホーム」thì chuyển đến màn hình dashboard (`/dashboard`).
</t>
    </r>
    <r>
      <rPr>
        <rFont val="メイリオ"/>
        <b/>
        <color rgb="FF000000"/>
        <sz val="10.0"/>
      </rPr>
      <t xml:space="preserve">補足：
</t>
    </r>
    <r>
      <rPr>
        <rFont val="メイリオ"/>
        <color rgb="FF000000"/>
        <sz val="10.0"/>
      </rPr>
      <t>・「購読者販売店一括置換」là vị trí hiện tại nên không được thiết lập link.</t>
    </r>
  </si>
  <si>
    <t>ACSMS-TC-015-014</t>
  </si>
  <si>
    <t>Tên user đang login hiển thị ở header</t>
  </si>
  <si>
    <r>
      <rPr>
        <rFont val="メイリオ"/>
        <b/>
        <color rgb="FF000000"/>
        <sz val="10.0"/>
      </rPr>
      <t xml:space="preserve">ステップ1：
</t>
    </r>
    <r>
      <rPr>
        <rFont val="メイリオ"/>
        <color rgb="FF000000"/>
        <sz val="10.0"/>
      </rPr>
      <t xml:space="preserve">Mở màn hình thay thế hàng loạt cửa hàng độc giả.
</t>
    </r>
    <r>
      <rPr>
        <rFont val="メイリオ"/>
        <b/>
        <color rgb="FF000000"/>
        <sz val="10.0"/>
      </rPr>
      <t xml:space="preserve">ステップ2：
</t>
    </r>
    <r>
      <rPr>
        <rFont val="メイリオ"/>
        <color rgb="FF000000"/>
        <sz val="10.0"/>
      </rPr>
      <t>Kiểm tra hiển thị thông tin user ở header màn hình.</t>
    </r>
  </si>
  <si>
    <r>
      <rPr>
        <rFont val="メイリオ"/>
        <b/>
        <color rgb="FF000000"/>
        <sz val="10.0"/>
      </rPr>
      <t xml:space="preserve">ステップ1：
</t>
    </r>
    <r>
      <rPr>
        <rFont val="メイリオ"/>
        <color rgb="FF000000"/>
        <sz val="10.0"/>
      </rPr>
      <t xml:space="preserve">Màn hình được hiển thị.
</t>
    </r>
    <r>
      <rPr>
        <rFont val="メイリオ"/>
        <b/>
        <color rgb="FF000000"/>
        <sz val="10.0"/>
      </rPr>
      <t xml:space="preserve">ステップ2：
</t>
    </r>
    <r>
      <rPr>
        <rFont val="メイリオ"/>
        <color rgb="FF000000"/>
        <sz val="10.0"/>
      </rPr>
      <t xml:space="preserve">Tên user đang login hiển thị ở header.
</t>
    </r>
    <r>
      <rPr>
        <rFont val="メイリオ"/>
        <b/>
        <color rgb="FF000000"/>
        <sz val="10.0"/>
      </rPr>
      <t xml:space="preserve">補足：
</t>
    </r>
    <r>
      <rPr>
        <rFont val="メイリオ"/>
        <color rgb="FF000000"/>
        <sz val="10.0"/>
      </rPr>
      <t>・Tên user được hiển thị khớp với account đang login.</t>
    </r>
  </si>
  <si>
    <t>Kiểm tra input (Input Validation)</t>
  </si>
  <si>
    <t>ACSMS-TC-015-015</t>
  </si>
  <si>
    <t>Giá trị biên số ký tự của mã thành viên được xử lý chính xác</t>
  </si>
  <si>
    <r>
      <rPr>
        <rFont val="游ゴシック"/>
        <b/>
        <color rgb="FF000000"/>
        <sz val="10.0"/>
      </rPr>
      <t xml:space="preserve">ステップ1：
</t>
    </r>
    <r>
      <rPr>
        <rFont val="游ゴシック"/>
        <color rgb="FF000000"/>
        <sz val="10.0"/>
      </rPr>
      <t xml:space="preserve">Nhập 20 ký tự vào「組合員コード」và click button「検索」.
</t>
    </r>
  </si>
  <si>
    <r>
      <rPr>
        <rFont val="游ゴシック"/>
        <b/>
        <color rgb="FF000000"/>
        <sz val="10.0"/>
      </rPr>
      <t xml:space="preserve">ステップ1：
</t>
    </r>
    <r>
      <rPr>
        <rFont val="游ゴシック"/>
        <color rgb="FF000000"/>
        <sz val="10.0"/>
      </rPr>
      <t xml:space="preserve">Có thể nhập đến 20 ký tự, và search được thực thi.
</t>
    </r>
    <r>
      <rPr>
        <rFont val="游ゴシック"/>
        <b/>
        <color rgb="FF000000"/>
        <sz val="10.0"/>
      </rPr>
      <t xml:space="preserve">補足：
</t>
    </r>
    <r>
      <rPr>
        <rFont val="游ゴシック"/>
        <color rgb="FF000000"/>
        <sz val="10.0"/>
      </rPr>
      <t>・Mã thành viên được search theo điều kiện khớp hoàn toàn.</t>
    </r>
  </si>
  <si>
    <t>ACSMS-TC-015-016</t>
  </si>
  <si>
    <t>Giá trị biên số ký tự của họ tên được xử lý chính xác</t>
  </si>
  <si>
    <r>
      <rPr>
        <rFont val="游ゴシック"/>
        <b/>
        <color rgb="FF000000"/>
        <sz val="10.0"/>
      </rPr>
      <t xml:space="preserve">ステップ1：
</t>
    </r>
    <r>
      <rPr>
        <rFont val="游ゴシック"/>
        <color rgb="FF000000"/>
        <sz val="10.0"/>
      </rPr>
      <t xml:space="preserve">Nhập 100 ký tự vào「氏名」và click button「検索」.
</t>
    </r>
  </si>
  <si>
    <r>
      <rPr>
        <rFont val="游ゴシック"/>
        <b/>
        <color rgb="FF000000"/>
        <sz val="10.0"/>
      </rPr>
      <t xml:space="preserve">ステップ1：
</t>
    </r>
    <r>
      <rPr>
        <rFont val="游ゴシック"/>
        <color rgb="FF000000"/>
        <sz val="10.0"/>
      </rPr>
      <t xml:space="preserve">Có thể nhập đến 100 ký tự, và search được thực thi.
</t>
    </r>
    <r>
      <rPr>
        <rFont val="游ゴシック"/>
        <b/>
        <color rgb="FF000000"/>
        <sz val="10.0"/>
      </rPr>
      <t xml:space="preserve">補足：
</t>
    </r>
    <r>
      <rPr>
        <rFont val="游ゴシック"/>
        <color rgb="FF000000"/>
        <sz val="10.0"/>
      </rPr>
      <t>・Họ tên được search theo điều kiện khớp một phần (LIKE).</t>
    </r>
  </si>
  <si>
    <t>ACSMS-TC-015-017</t>
  </si>
  <si>
    <t>Giá trị biên số ký tự của họ tên kana và địa chỉ giao báo được xử lý chính xác</t>
  </si>
  <si>
    <r>
      <rPr>
        <rFont val="游ゴシック"/>
        <b/>
        <color rgb="FF000000"/>
        <sz val="10.0"/>
      </rPr>
      <t xml:space="preserve">ステップ1：
</t>
    </r>
    <r>
      <rPr>
        <rFont val="游ゴシック"/>
        <color rgb="FF000000"/>
        <sz val="10.0"/>
      </rPr>
      <t xml:space="preserve">Nhập 50 ký tự vào「かな氏名」, 50 ký tự vào「配達先住所」và click button「検索」.
</t>
    </r>
  </si>
  <si>
    <r>
      <rPr>
        <rFont val="游ゴシック"/>
        <b/>
        <color rgb="FF000000"/>
        <sz val="10.0"/>
      </rPr>
      <t xml:space="preserve">ステップ1：
</t>
    </r>
    <r>
      <rPr>
        <rFont val="游ゴシック"/>
        <color rgb="FF000000"/>
        <sz val="10.0"/>
      </rPr>
      <t xml:space="preserve">Họ tên kana có thể nhập đến 50 ký tự, địa chỉ giao báo có thể nhập đến 50 ký tự, và search được thực thi.
</t>
    </r>
    <r>
      <rPr>
        <rFont val="游ゴシック"/>
        <b/>
        <color rgb="FF000000"/>
        <sz val="10.0"/>
      </rPr>
      <t xml:space="preserve">補足：
</t>
    </r>
    <r>
      <rPr>
        <rFont val="游ゴシック"/>
        <color rgb="FF000000"/>
        <sz val="10.0"/>
      </rPr>
      <t>・Họ tên kana và địa chỉ giao báo đều được search theo điều kiện khớp một phần.</t>
    </r>
  </si>
  <si>
    <t>ACSMS-TC-015-018</t>
  </si>
  <si>
    <t>Kiểm tra tương quan của ngày bắt đầu đặt báo phát sinh lỗi</t>
  </si>
  <si>
    <r>
      <rPr>
        <rFont val="メイリオ"/>
        <b/>
        <color rgb="FF000000"/>
        <sz val="10.0"/>
      </rPr>
      <t xml:space="preserve">ステップ1：
</t>
    </r>
    <r>
      <rPr>
        <rFont val="メイリオ"/>
        <color rgb="FF000000"/>
        <sz val="10.0"/>
      </rPr>
      <t xml:space="preserve">Nhập 2026-06-30 vào「購読開始日FROM」, 2026-06-01 vào「購読開始日TO」.
</t>
    </r>
    <r>
      <rPr>
        <rFont val="メイリオ"/>
        <b/>
        <color rgb="FF000000"/>
        <sz val="10.0"/>
      </rPr>
      <t xml:space="preserve">ステップ2：
</t>
    </r>
    <r>
      <rPr>
        <rFont val="メイリオ"/>
        <color rgb="FF000000"/>
        <sz val="10.0"/>
      </rPr>
      <t>Click button「検索」.</t>
    </r>
  </si>
  <si>
    <r>
      <rPr>
        <rFont val="メイリオ"/>
        <b/>
        <color rgb="FF000000"/>
        <sz val="10.0"/>
      </rPr>
      <t xml:space="preserve">ステップ1：
</t>
    </r>
    <r>
      <rPr>
        <rFont val="メイリオ"/>
        <color rgb="FF000000"/>
        <sz val="10.0"/>
      </rPr>
      <t xml:space="preserve">Giá trị FROM và TO được phản ánh vào ô input.
</t>
    </r>
    <r>
      <rPr>
        <rFont val="メイリオ"/>
        <b/>
        <color rgb="FF000000"/>
        <sz val="10.0"/>
      </rPr>
      <t xml:space="preserve">ステップ2：
</t>
    </r>
    <r>
      <rPr>
        <rFont val="メイリオ"/>
        <color rgb="FF000000"/>
        <sz val="10.0"/>
      </rPr>
      <t xml:space="preserve">Phát sinh lỗi kiểm tra tương quan và hiển thị「「開始日」は「終了日」以前の日付を入力してください。」(error_code: DATE_RANGE_INVALID, HTTP 400).
</t>
    </r>
    <r>
      <rPr>
        <rFont val="メイリオ"/>
        <b/>
        <color rgb="FF000000"/>
        <sz val="10.0"/>
      </rPr>
      <t xml:space="preserve">補足：
</t>
    </r>
    <r>
      <rPr>
        <rFont val="メイリオ"/>
        <color rgb="FF000000"/>
        <sz val="10.0"/>
      </rPr>
      <t>・Search không được thực thi, và danh sách kết quả không được cập nhật.</t>
    </r>
  </si>
  <si>
    <t>ACSMS-TC-015-019</t>
  </si>
  <si>
    <t>Giá trị biên giới hạn trên của per_page phát sinh lỗi validation</t>
  </si>
  <si>
    <r>
      <rPr>
        <rFont val="メイリオ"/>
        <b/>
        <color rgb="FF000000"/>
        <sz val="10.0"/>
      </rPr>
      <t xml:space="preserve">ステップ1：
</t>
    </r>
    <r>
      <rPr>
        <rFont val="メイリオ"/>
        <color rgb="FF000000"/>
        <sz val="10.0"/>
      </rPr>
      <t xml:space="preserve">Gọi `GET /api/v1/dokusya/replace-hanbaiten/search` với `per_page=100` từ API client.
</t>
    </r>
    <r>
      <rPr>
        <rFont val="メイリオ"/>
        <b/>
        <color rgb="FF000000"/>
        <sz val="10.0"/>
      </rPr>
      <t xml:space="preserve">ステップ2：
</t>
    </r>
    <r>
      <rPr>
        <rFont val="メイリオ"/>
        <color rgb="FF000000"/>
        <sz val="10.0"/>
      </rPr>
      <t>Gọi cùng API đó với `per_page=101`.</t>
    </r>
  </si>
  <si>
    <r>
      <rPr>
        <rFont val="メイリオ"/>
        <b/>
        <color rgb="FF000000"/>
        <sz val="10.0"/>
      </rPr>
      <t xml:space="preserve">ステップ1：
</t>
    </r>
    <r>
      <rPr>
        <rFont val="メイリオ"/>
        <color rgb="FF000000"/>
        <sz val="10.0"/>
      </rPr>
      <t xml:space="preserve">Trả về HTTP 200, và có thể lấy tối đa 100 record.
</t>
    </r>
    <r>
      <rPr>
        <rFont val="メイリオ"/>
        <b/>
        <color rgb="FF000000"/>
        <sz val="10.0"/>
      </rPr>
      <t xml:space="preserve">ステップ2：
</t>
    </r>
    <r>
      <rPr>
        <rFont val="メイリオ"/>
        <color rgb="FF000000"/>
        <sz val="10.0"/>
      </rPr>
      <t xml:space="preserve">Trả về HTTP 400 (error_code: VALIDATION_ERROR, trong mảng errors có field: per_page, message「per_pageは1〜100の範囲で指定してください。」).
</t>
    </r>
    <r>
      <rPr>
        <rFont val="メイリオ"/>
        <b/>
        <color rgb="FF000000"/>
        <sz val="10.0"/>
      </rPr>
      <t xml:space="preserve">補足：
</t>
    </r>
    <r>
      <rPr>
        <rFont val="メイリオ"/>
        <color rgb="FF000000"/>
        <sz val="10.0"/>
      </rPr>
      <t>・Khi vượt quá giới hạn trên thì không trả về dữ liệu.</t>
    </r>
  </si>
  <si>
    <t>ACSMS-TC-015-020</t>
  </si>
  <si>
    <t>Khi chưa chọn đích thay thế cửa hàng giao báo thì phát sinh lỗi required</t>
  </si>
  <si>
    <r>
      <rPr>
        <rFont val="メイリオ"/>
        <b/>
        <color rgb="FF000000"/>
        <sz val="10.0"/>
      </rPr>
      <t xml:space="preserve">ステップ1：
</t>
    </r>
    <r>
      <rPr>
        <rFont val="メイリオ"/>
        <color rgb="FF000000"/>
        <sz val="10.0"/>
      </rPr>
      <t xml:space="preserve">Bật checkbox của một row bất kỳ.
</t>
    </r>
    <r>
      <rPr>
        <rFont val="メイリオ"/>
        <b/>
        <color rgb="FF000000"/>
        <sz val="10.0"/>
      </rPr>
      <t xml:space="preserve">ステップ2：
</t>
    </r>
    <r>
      <rPr>
        <rFont val="メイリオ"/>
        <color rgb="FF000000"/>
        <sz val="10.0"/>
      </rPr>
      <t>Click button「置換処理実行」khi vẫn để「置換先配達販売店」chưa chọn.</t>
    </r>
  </si>
  <si>
    <r>
      <rPr>
        <rFont val="メイリオ"/>
        <b/>
        <color rgb="FF000000"/>
        <sz val="10.0"/>
      </rPr>
      <t xml:space="preserve">ステップ1：
</t>
    </r>
    <r>
      <rPr>
        <rFont val="メイリオ"/>
        <color rgb="FF000000"/>
        <sz val="10.0"/>
      </rPr>
      <t xml:space="preserve">「適用日」「置換先配達販売店」được hiển thị.
</t>
    </r>
    <r>
      <rPr>
        <rFont val="メイリオ"/>
        <b/>
        <color rgb="FF000000"/>
        <sz val="10.0"/>
      </rPr>
      <t xml:space="preserve">ステップ2：
</t>
    </r>
    <r>
      <rPr>
        <rFont val="メイリオ"/>
        <color rgb="FF000000"/>
        <sz val="10.0"/>
      </rPr>
      <t xml:space="preserve">Ô「置換先配達販売店」hiển thị lỗi「必須項目です。」.
</t>
    </r>
    <r>
      <rPr>
        <rFont val="メイリオ"/>
        <b/>
        <color rgb="FF000000"/>
        <sz val="10.0"/>
      </rPr>
      <t xml:space="preserve">補足：
</t>
    </r>
    <r>
      <rPr>
        <rFont val="メイリオ"/>
        <color rgb="FF000000"/>
        <sz val="10.0"/>
      </rPr>
      <t>・API thay thế không được gọi, và không phát sinh thay đổi trên `t_dokusya`.</t>
    </r>
  </si>
  <si>
    <t>ACSMS-TC-015-021</t>
  </si>
  <si>
    <t>Khi chưa nhập ngày áp dụng thì phát sinh lỗi required</t>
  </si>
  <si>
    <r>
      <rPr>
        <rFont val="メイリオ"/>
        <b/>
        <color rgb="FF000000"/>
        <sz val="10.0"/>
      </rPr>
      <t xml:space="preserve">ステップ1：
</t>
    </r>
    <r>
      <rPr>
        <rFont val="メイリオ"/>
        <color rgb="FF000000"/>
        <sz val="10.0"/>
      </rPr>
      <t xml:space="preserve">Bật checkbox của một row bất kỳ, và chọn「置換先配達販売店」.
</t>
    </r>
    <r>
      <rPr>
        <rFont val="メイリオ"/>
        <b/>
        <color rgb="FF000000"/>
        <sz val="10.0"/>
      </rPr>
      <t xml:space="preserve">ステップ2：
</t>
    </r>
    <r>
      <rPr>
        <rFont val="メイリオ"/>
        <color rgb="FF000000"/>
        <sz val="10.0"/>
      </rPr>
      <t>Click button「置換処理実行」khi vẫn để「適用日」chưa nhập.</t>
    </r>
  </si>
  <si>
    <r>
      <rPr>
        <rFont val="メイリオ"/>
        <b/>
        <color rgb="FF000000"/>
        <sz val="10.0"/>
      </rPr>
      <t xml:space="preserve">ステップ1：
</t>
    </r>
    <r>
      <rPr>
        <rFont val="メイリオ"/>
        <color rgb="FF000000"/>
        <sz val="10.0"/>
      </rPr>
      <t xml:space="preserve">「適用日」「置換先配達販売店」được hiển thị, và đích thay thế được chọn.
</t>
    </r>
    <r>
      <rPr>
        <rFont val="メイリオ"/>
        <b/>
        <color rgb="FF000000"/>
        <sz val="10.0"/>
      </rPr>
      <t xml:space="preserve">ステップ2：
</t>
    </r>
    <r>
      <rPr>
        <rFont val="メイリオ"/>
        <color rgb="FF000000"/>
        <sz val="10.0"/>
      </rPr>
      <t xml:space="preserve">Ô「適用日」hiển thị lỗi「必須項目です。」.
</t>
    </r>
    <r>
      <rPr>
        <rFont val="メイリオ"/>
        <b/>
        <color rgb="FF000000"/>
        <sz val="10.0"/>
      </rPr>
      <t xml:space="preserve">補足：
</t>
    </r>
    <r>
      <rPr>
        <rFont val="メイリオ"/>
        <color rgb="FF000000"/>
        <sz val="10.0"/>
      </rPr>
      <t>・API thay thế không được gọi, và không phát sinh thay đổi trên `t_dokusya`.</t>
    </r>
  </si>
  <si>
    <t>ACSMS-TC-015-022</t>
  </si>
  <si>
    <t>Không thể chỉ định ngày quá khứ cho ngày áp dụng</t>
  </si>
  <si>
    <t>・role: JA_HONTEN
・Đã login + đã xác thực MFA
・Dữ liệu độc giả đang hiển thị trong danh sách kết quả search
・Ngày hiện tại là 2026-06-04</t>
  </si>
  <si>
    <r>
      <rPr>
        <rFont val="メイリオ"/>
        <b/>
        <color rgb="FF000000"/>
        <sz val="10.0"/>
      </rPr>
      <t xml:space="preserve">ステップ1：
</t>
    </r>
    <r>
      <rPr>
        <rFont val="メイリオ"/>
        <color rgb="FF000000"/>
        <sz val="10.0"/>
      </rPr>
      <t xml:space="preserve">Bật checkbox của một row bất kỳ, và chọn「置換先配達販売店」.
</t>
    </r>
    <r>
      <rPr>
        <rFont val="メイリオ"/>
        <b/>
        <color rgb="FF000000"/>
        <sz val="10.0"/>
      </rPr>
      <t xml:space="preserve">ステップ2：
</t>
    </r>
    <r>
      <rPr>
        <rFont val="メイリオ"/>
        <color rgb="FF000000"/>
        <sz val="10.0"/>
      </rPr>
      <t>Chỉ định ngày trước ngày hiện tại (2026-06-03) vào「適用日」và click button「置換処理実行」.</t>
    </r>
  </si>
  <si>
    <r>
      <rPr>
        <rFont val="メイリオ"/>
        <b/>
        <color rgb="FF000000"/>
        <sz val="10.0"/>
      </rPr>
      <t xml:space="preserve">ステップ1：
</t>
    </r>
    <r>
      <rPr>
        <rFont val="メイリオ"/>
        <color rgb="FF000000"/>
        <sz val="10.0"/>
      </rPr>
      <t xml:space="preserve">「適用日」「置換先配達販売店」được hiển thị, và đích thay thế được chọn.
</t>
    </r>
    <r>
      <rPr>
        <rFont val="メイリオ"/>
        <b/>
        <color rgb="FF000000"/>
        <sz val="10.0"/>
      </rPr>
      <t xml:space="preserve">ステップ2：
</t>
    </r>
    <r>
      <rPr>
        <rFont val="メイリオ"/>
        <color rgb="FF000000"/>
        <sz val="10.0"/>
      </rPr>
      <t xml:space="preserve">Không thể chọn ngày quá khứ, hoặc phía server chỉ tiếp nhận từ ngày hiện tại trở đi (ngày áp dụng chỉ từ ngày hiện tại trở đi tekiyo_date &gt;= CURRENT_DATE).
</t>
    </r>
    <r>
      <rPr>
        <rFont val="メイリオ"/>
        <b/>
        <color rgb="FF000000"/>
        <sz val="10.0"/>
      </rPr>
      <t xml:space="preserve">補足：
</t>
    </r>
    <r>
      <rPr>
        <rFont val="メイリオ"/>
        <color rgb="FF000000"/>
        <sz val="10.0"/>
      </rPr>
      <t>・Ngày từ ngày hiện tại (2026-06-04) trở đi có thể chỉ định bình thường.</t>
    </r>
  </si>
  <si>
    <t>ACSMS-TC-015-023</t>
  </si>
  <si>
    <t>Khoảng trắng trước sau của text search được loại bỏ rồi search</t>
  </si>
  <si>
    <t>・role: CHUOKAI
・Đã login + đã xác thực MFA
・Tồn tại dữ liệu độc giả có họ tên「山田太郎」</t>
  </si>
  <si>
    <r>
      <rPr>
        <rFont val="メイリオ"/>
        <b/>
        <strike/>
        <color rgb="FF000000"/>
        <sz val="10.0"/>
      </rPr>
      <t xml:space="preserve">ステップ1：
</t>
    </r>
    <r>
      <rPr>
        <rFont val="メイリオ"/>
        <strike/>
        <color rgb="FF000000"/>
        <sz val="10.0"/>
      </rPr>
      <t xml:space="preserve">Nhập vào「氏名」kèm khoảng trắng trước sau như「　山田　」.
</t>
    </r>
    <r>
      <rPr>
        <rFont val="メイリオ"/>
        <b/>
        <strike/>
        <color rgb="FF000000"/>
        <sz val="10.0"/>
      </rPr>
      <t xml:space="preserve">ステップ2：
</t>
    </r>
    <r>
      <rPr>
        <rFont val="メイリオ"/>
        <strike/>
        <color rgb="FF000000"/>
        <sz val="10.0"/>
      </rPr>
      <t>Click button「検索」.</t>
    </r>
  </si>
  <si>
    <r>
      <rPr>
        <rFont val="メイリオ"/>
        <b/>
        <strike/>
        <color rgb="FF000000"/>
        <sz val="10.0"/>
      </rPr>
      <t xml:space="preserve">ステップ1：
</t>
    </r>
    <r>
      <rPr>
        <rFont val="メイリオ"/>
        <strike/>
        <color rgb="FF000000"/>
        <sz val="10.0"/>
      </rPr>
      <t xml:space="preserve">Ô input hiển thị giá trị bao gồm khoảng trắng trước sau.
</t>
    </r>
    <r>
      <rPr>
        <rFont val="メイリオ"/>
        <b/>
        <strike/>
        <color rgb="FF000000"/>
        <sz val="10.0"/>
      </rPr>
      <t xml:space="preserve">ステップ2：
</t>
    </r>
    <r>
      <rPr>
        <rFont val="メイリオ"/>
        <strike/>
        <color rgb="FF000000"/>
        <sz val="10.0"/>
      </rPr>
      <t xml:space="preserve">Search được thực thi với giá trị đã loại bỏ khoảng trắng trước sau, và độc giả「山田太郎」hiển thị trong kết quả search.
</t>
    </r>
    <r>
      <rPr>
        <rFont val="メイリオ"/>
        <b/>
        <strike/>
        <color rgb="FF000000"/>
        <sz val="10.0"/>
      </rPr>
      <t xml:space="preserve">補足：
</t>
    </r>
    <r>
      <rPr>
        <rFont val="メイリオ"/>
        <strike/>
        <color rgb="FF000000"/>
        <sz val="10.0"/>
      </rPr>
      <t>・Số lượng kết quả search không thay đổi dù có hay không có khoảng trắng trước sau.</t>
    </r>
  </si>
  <si>
    <t>ACSMS-TC-015-024</t>
  </si>
  <si>
    <t>Input SQL injection được xử lý an toàn</t>
  </si>
  <si>
    <r>
      <rPr>
        <rFont val="游ゴシック"/>
        <b/>
        <color rgb="FF000000"/>
        <sz val="10.0"/>
      </rPr>
      <t xml:space="preserve">ステップ1：
</t>
    </r>
    <r>
      <rPr>
        <rFont val="游ゴシック"/>
        <color rgb="FF000000"/>
        <sz val="10.0"/>
      </rPr>
      <t xml:space="preserve">Nhập chuỗi nhắm mục đích SQL injection như `' OR '1'='1` vào「氏名」.
</t>
    </r>
    <r>
      <rPr>
        <rFont val="游ゴシック"/>
        <b/>
        <color rgb="FF000000"/>
        <sz val="10.0"/>
      </rPr>
      <t xml:space="preserve">ステップ2：
</t>
    </r>
    <r>
      <rPr>
        <rFont val="游ゴシック"/>
        <color rgb="FF000000"/>
        <sz val="10.0"/>
      </rPr>
      <t>Click button「検索」.</t>
    </r>
  </si>
  <si>
    <r>
      <rPr>
        <rFont val="メイリオ"/>
        <b/>
        <color rgb="FF000000"/>
        <sz val="10.0"/>
      </rPr>
      <t xml:space="preserve">ステップ1：
</t>
    </r>
    <r>
      <rPr>
        <rFont val="メイリオ"/>
        <color rgb="FF000000"/>
        <sz val="10.0"/>
      </rPr>
      <t xml:space="preserve">Ô input hiển thị nguyên chuỗi đó.
</t>
    </r>
    <r>
      <rPr>
        <rFont val="メイリオ"/>
        <b/>
        <color rgb="FF000000"/>
        <sz val="10.0"/>
      </rPr>
      <t xml:space="preserve">ステップ2：
</t>
    </r>
    <r>
      <rPr>
        <rFont val="メイリオ"/>
        <color rgb="FF000000"/>
        <sz val="10.0"/>
      </rPr>
      <t xml:space="preserve">Chuỗi input được escape an toàn và được xử lý như điều kiện search, không phát sinh hành vi bất thường như lấy toàn bộ record.
</t>
    </r>
    <r>
      <rPr>
        <rFont val="メイリオ"/>
        <b/>
        <color rgb="FF000000"/>
        <sz val="10.0"/>
      </rPr>
      <t xml:space="preserve">補足：
</t>
    </r>
    <r>
      <rPr>
        <rFont val="メイリオ"/>
        <color rgb="FF000000"/>
        <sz val="10.0"/>
      </rPr>
      <t>・Không phát sinh lỗi database hay rò rỉ dữ liệu ngoài dự kiến (được vô hiệu hóa bằng parameterized query).</t>
    </r>
  </si>
  <si>
    <t>Nghiệp vụ - Tìm kiếm (Function — Search)</t>
  </si>
  <si>
    <t>ACSMS-TC-015-025</t>
  </si>
  <si>
    <t>Chỉ độc giả khớp với điều kiện search được hiển thị</t>
  </si>
  <si>
    <t>・role: CHUOKAI
・Đã login + đã xác thực MFA
・Đã đăng ký nhiều dữ liệu độc giả</t>
  </si>
  <si>
    <r>
      <rPr>
        <rFont val="メイリオ"/>
        <b/>
        <color rgb="FF000000"/>
        <sz val="10.0"/>
      </rPr>
      <t xml:space="preserve">ステップ1：
</t>
    </r>
    <r>
      <rPr>
        <rFont val="メイリオ"/>
        <color rgb="FF000000"/>
        <sz val="10.0"/>
      </rPr>
      <t xml:space="preserve">Nhập nhiều điều kiện search như「管理支店」「組合員コード」.
</t>
    </r>
    <r>
      <rPr>
        <rFont val="メイリオ"/>
        <b/>
        <color rgb="FF000000"/>
        <sz val="10.0"/>
      </rPr>
      <t xml:space="preserve">ステップ2：
</t>
    </r>
    <r>
      <rPr>
        <rFont val="メイリオ"/>
        <color rgb="FF000000"/>
        <sz val="10.0"/>
      </rPr>
      <t>Click button「検索」.</t>
    </r>
  </si>
  <si>
    <r>
      <rPr>
        <rFont val="メイリオ"/>
        <b/>
        <color rgb="FF000000"/>
        <sz val="10.0"/>
      </rPr>
      <t xml:space="preserve">ステップ1：
</t>
    </r>
    <r>
      <rPr>
        <rFont val="メイリオ"/>
        <color rgb="FF000000"/>
        <sz val="10.0"/>
      </rPr>
      <t xml:space="preserve">Điều kiện search được phản ánh vào từng ô input.
</t>
    </r>
    <r>
      <rPr>
        <rFont val="メイリオ"/>
        <b/>
        <color rgb="FF000000"/>
        <sz val="10.0"/>
      </rPr>
      <t xml:space="preserve">ステップ2：
</t>
    </r>
    <r>
      <rPr>
        <rFont val="メイリオ"/>
        <color rgb="FF000000"/>
        <sz val="10.0"/>
      </rPr>
      <t xml:space="preserve">Chỉ độc giả khớp với điều kiện search được hiển thị trong danh sách kết quả, và độc giả không khớp điều kiện thì không hiển thị.
</t>
    </r>
    <r>
      <rPr>
        <rFont val="メイリオ"/>
        <b/>
        <color rgb="FF000000"/>
        <sz val="10.0"/>
      </rPr>
      <t xml:space="preserve">補足：
</t>
    </r>
    <r>
      <rPr>
        <rFont val="メイリオ"/>
        <color rgb="FF000000"/>
        <sz val="10.0"/>
      </rPr>
      <t>・Mã thành viên khớp hoàn toàn, họ tên - họ tên kana - địa chỉ giao báo được lọc theo khớp một phần.</t>
    </r>
  </si>
  <si>
    <t>ACSMS-TC-015-026</t>
  </si>
  <si>
    <t>Khi kết quả search 0 record thì hiển thị message</t>
  </si>
  <si>
    <r>
      <rPr>
        <rFont val="メイリオ"/>
        <b/>
        <color rgb="FF000000"/>
        <sz val="10.0"/>
      </rPr>
      <t xml:space="preserve">ステップ1：
</t>
    </r>
    <r>
      <rPr>
        <rFont val="メイリオ"/>
        <color rgb="FF000000"/>
        <sz val="10.0"/>
      </rPr>
      <t xml:space="preserve">Nhập điều kiện search không tồn tại dữ liệu tương ứng (mã thành viên không tồn tại).
</t>
    </r>
    <r>
      <rPr>
        <rFont val="メイリオ"/>
        <b/>
        <color rgb="FF000000"/>
        <sz val="10.0"/>
      </rPr>
      <t xml:space="preserve">ステップ2：
</t>
    </r>
    <r>
      <rPr>
        <rFont val="メイリオ"/>
        <color rgb="FF000000"/>
        <sz val="10.0"/>
      </rPr>
      <t>Click button「検索」.</t>
    </r>
  </si>
  <si>
    <r>
      <rPr>
        <rFont val="メイリオ"/>
        <b/>
        <color rgb="FF000000"/>
        <sz val="10.0"/>
      </rPr>
      <t xml:space="preserve">ステップ1：
</t>
    </r>
    <r>
      <rPr>
        <rFont val="メイリオ"/>
        <color rgb="FF000000"/>
        <sz val="10.0"/>
      </rPr>
      <t xml:space="preserve">Điều kiện search được phản ánh vào ô input.
</t>
    </r>
    <r>
      <rPr>
        <rFont val="メイリオ"/>
        <b/>
        <color rgb="FF000000"/>
        <sz val="10.0"/>
      </rPr>
      <t xml:space="preserve">ステップ2：
</t>
    </r>
    <r>
      <rPr>
        <rFont val="メイリオ"/>
        <color rgb="FF000000"/>
        <sz val="10.0"/>
      </rPr>
      <t xml:space="preserve">Danh sách kết quả là 0 record, và hiển thị「検索結果が見つかりませんでした。」(ACSMS-MSG-015-001).
</t>
    </r>
    <r>
      <rPr>
        <rFont val="メイリオ"/>
        <b/>
        <color rgb="FF000000"/>
        <sz val="10.0"/>
      </rPr>
      <t xml:space="preserve">補足：
</t>
    </r>
    <r>
      <rPr>
        <rFont val="メイリオ"/>
        <color rgb="FF000000"/>
        <sz val="10.0"/>
      </rPr>
      <t>・Khi 0 record thì không hiển thị error toast.</t>
    </r>
  </si>
  <si>
    <t>ACSMS-TC-015-027</t>
  </si>
  <si>
    <t>Tự động lọc theo JA của user đang login</t>
  </si>
  <si>
    <t>・role: JA_HONTEN
・Đã login + đã xác thực MFA
・Tồn tại dữ liệu độc giả của JA mình và JA khác</t>
  </si>
  <si>
    <r>
      <rPr>
        <rFont val="メイリオ"/>
        <b/>
        <color rgb="FF000000"/>
        <sz val="10.0"/>
      </rPr>
      <t xml:space="preserve">ステップ1：
</t>
    </r>
    <r>
      <rPr>
        <rFont val="メイリオ"/>
        <color rgb="FF000000"/>
        <sz val="10.0"/>
      </rPr>
      <t xml:space="preserve">Click button「検索」mà không chỉ định điều kiện search.
</t>
    </r>
    <r>
      <rPr>
        <rFont val="メイリオ"/>
        <b/>
        <color rgb="FF000000"/>
        <sz val="10.0"/>
      </rPr>
      <t xml:space="preserve">ステップ2：
</t>
    </r>
    <r>
      <rPr>
        <rFont val="メイリオ"/>
        <color rgb="FF000000"/>
        <sz val="10.0"/>
      </rPr>
      <t>Kiểm tra JA của các độc giả hiển thị trong danh sách kết quả.</t>
    </r>
  </si>
  <si>
    <r>
      <rPr>
        <rFont val="メイリオ"/>
        <b/>
        <color rgb="FF000000"/>
        <sz val="10.0"/>
      </rPr>
      <t xml:space="preserve">ステップ1：
</t>
    </r>
    <r>
      <rPr>
        <rFont val="メイリオ"/>
        <color rgb="FF000000"/>
        <sz val="10.0"/>
      </rPr>
      <t xml:space="preserve">Search được thực thi.
</t>
    </r>
    <r>
      <rPr>
        <rFont val="メイリオ"/>
        <b/>
        <color rgb="FF000000"/>
        <sz val="10.0"/>
      </rPr>
      <t xml:space="preserve">ステップ2：
</t>
    </r>
    <r>
      <rPr>
        <rFont val="メイリオ"/>
        <color rgb="FF000000"/>
        <sz val="10.0"/>
      </rPr>
      <t xml:space="preserve">Danh sách kết quả chỉ hiển thị độc giả thuộc JA của mình, và độc giả của JA khác không hiển thị.
</t>
    </r>
    <r>
      <rPr>
        <rFont val="メイリオ"/>
        <b/>
        <color rgb="FF000000"/>
        <sz val="10.0"/>
      </rPr>
      <t xml:space="preserve">補足：
</t>
    </r>
    <r>
      <rPr>
        <rFont val="メイリオ"/>
        <color rgb="FF000000"/>
        <sz val="10.0"/>
      </rPr>
      <t>・Theo DataScope, tự động lọc theo JA của user đang login.</t>
    </r>
  </si>
  <si>
    <t>ACSMS-TC-015-028</t>
  </si>
  <si>
    <t>Chỉ độc giả đang đăng ký là đối tượng và dữ liệu đã xóa logic bị loại trừ</t>
  </si>
  <si>
    <t>・role: CHUOKAI
・Đã login + đã xác thực MFA
・Tồn tại độc giả có `tetsuzuki_shurui` = 1 và độc giả khác
・Tồn tại độc giả đã xóa logic có `deleted_at` không phải NULL</t>
  </si>
  <si>
    <r>
      <rPr>
        <rFont val="メイリオ"/>
        <b/>
        <color rgb="FF000000"/>
        <sz val="10.0"/>
      </rPr>
      <t xml:space="preserve">ステップ1：
</t>
    </r>
    <r>
      <rPr>
        <rFont val="メイリオ"/>
        <color rgb="FF000000"/>
        <sz val="10.0"/>
      </rPr>
      <t xml:space="preserve">Click button「検索」mà không chỉ định điều kiện search.
</t>
    </r>
    <r>
      <rPr>
        <rFont val="メイリオ"/>
        <b/>
        <color rgb="FF000000"/>
        <sz val="10.0"/>
      </rPr>
      <t xml:space="preserve">ステップ2：
</t>
    </r>
    <r>
      <rPr>
        <rFont val="メイリオ"/>
        <color rgb="FF000000"/>
        <sz val="10.0"/>
      </rPr>
      <t>Kiểm tra trạng thái của các độc giả hiển thị trong danh sách kết quả.</t>
    </r>
  </si>
  <si>
    <r>
      <rPr>
        <rFont val="メイリオ"/>
        <b/>
        <color rgb="FF000000"/>
        <sz val="10.0"/>
      </rPr>
      <t xml:space="preserve">ステップ1：
</t>
    </r>
    <r>
      <rPr>
        <rFont val="メイリオ"/>
        <color rgb="FF000000"/>
        <sz val="10.0"/>
      </rPr>
      <t xml:space="preserve">Search được thực thi.
</t>
    </r>
    <r>
      <rPr>
        <rFont val="メイリオ"/>
        <b/>
        <color rgb="FF000000"/>
        <sz val="10.0"/>
      </rPr>
      <t xml:space="preserve">ステップ2：
</t>
    </r>
    <r>
      <rPr>
        <rFont val="メイリオ"/>
        <color rgb="FF000000"/>
        <sz val="10.0"/>
      </rPr>
      <t xml:space="preserve">Chỉ độc giả có `tetsuzuki_shurui` = 1 (đang đăng ký) được hiển thị, và độc giả đã xóa logic có `deleted_at` không phải NULL thì không hiển thị.
</t>
    </r>
    <r>
      <rPr>
        <rFont val="メイリオ"/>
        <b/>
        <color rgb="FF000000"/>
        <sz val="10.0"/>
      </rPr>
      <t xml:space="preserve">補足：
</t>
    </r>
    <r>
      <rPr>
        <rFont val="メイリオ"/>
        <color rgb="FF000000"/>
        <sz val="10.0"/>
      </rPr>
      <t>・Phân loại ngoài đối tượng và dữ liệu đã xóa logic hoàn toàn không bao gồm trong danh sách kết quả.</t>
    </r>
  </si>
  <si>
    <t>ACSMS-TC-015-029</t>
  </si>
  <si>
    <t>Pagination hoạt động 20 record mỗi trang</t>
  </si>
  <si>
    <t>・role: JA_HONTEN
・Đã login + đã xác thực MFA
・Tồn tại từ 21 độc giả trở lên khớp với điều kiện search</t>
  </si>
  <si>
    <r>
      <rPr>
        <rFont val="メイリオ"/>
        <b/>
        <color rgb="FF000000"/>
        <sz val="10.0"/>
      </rPr>
      <t xml:space="preserve">ステップ1：
</t>
    </r>
    <r>
      <rPr>
        <rFont val="メイリオ"/>
        <color rgb="FF000000"/>
        <sz val="10.0"/>
      </rPr>
      <t xml:space="preserve">Thực thi search, và kiểm tra số record hiển thị ở trang đầu tiên.
</t>
    </r>
    <r>
      <rPr>
        <rFont val="メイリオ"/>
        <b/>
        <color rgb="FF000000"/>
        <sz val="10.0"/>
      </rPr>
      <t xml:space="preserve">ステップ2：
</t>
    </r>
    <r>
      <rPr>
        <rFont val="メイリオ"/>
        <color rgb="FF000000"/>
        <sz val="10.0"/>
      </rPr>
      <t>Di chuyển sang trang thứ 2.</t>
    </r>
  </si>
  <si>
    <r>
      <rPr>
        <rFont val="メイリオ"/>
        <b/>
        <color rgb="FF000000"/>
        <sz val="10.0"/>
      </rPr>
      <t xml:space="preserve">ステップ1：
</t>
    </r>
    <r>
      <rPr>
        <rFont val="メイリオ"/>
        <color rgb="FF000000"/>
        <sz val="10.0"/>
      </rPr>
      <t xml:space="preserve">Trang đầu tiên hiển thị mặc định 20 record.
</t>
    </r>
    <r>
      <rPr>
        <rFont val="メイリオ"/>
        <b/>
        <color rgb="FF000000"/>
        <sz val="10.0"/>
      </rPr>
      <t xml:space="preserve">ステップ2：
</t>
    </r>
    <r>
      <rPr>
        <rFont val="メイリオ"/>
        <color rgb="FF000000"/>
        <sz val="10.0"/>
      </rPr>
      <t xml:space="preserve">Có thể di chuyển sang trang thứ 2, và các độc giả từ record thứ 21 trở đi được hiển thị.
</t>
    </r>
    <r>
      <rPr>
        <rFont val="メイリオ"/>
        <b/>
        <color rgb="FF000000"/>
        <sz val="10.0"/>
      </rPr>
      <t xml:space="preserve">補足：
</t>
    </r>
    <r>
      <rPr>
        <rFont val="メイリオ"/>
        <color rgb="FF000000"/>
        <sz val="10.0"/>
      </rPr>
      <t>・Có thể di chuyển trang trong khi vẫn giữ điều kiện search.</t>
    </r>
  </si>
  <si>
    <t>ACSMS-TC-015-030</t>
  </si>
  <si>
    <t>Sort mã cửa hàng hoạt động theo tăng dần - giảm dần</t>
  </si>
  <si>
    <t>・role: CHUOKAI
・Đã login + đã xác thực MFA
・Tồn tại nhiều độc giả có mã cửa hàng khác nhau trong kết quả search</t>
  </si>
  <si>
    <r>
      <rPr>
        <rFont val="メイリオ"/>
        <b/>
        <color rgb="FF000000"/>
        <sz val="10.0"/>
      </rPr>
      <t xml:space="preserve">ステップ1：
</t>
    </r>
    <r>
      <rPr>
        <rFont val="メイリオ"/>
        <color rgb="FF000000"/>
        <sz val="10.0"/>
      </rPr>
      <t xml:space="preserve">Thực thi search, và chuyển sort cột「販売店コード」sang tăng dần ▲.
</t>
    </r>
    <r>
      <rPr>
        <rFont val="メイリオ"/>
        <b/>
        <color rgb="FF000000"/>
        <sz val="10.0"/>
      </rPr>
      <t xml:space="preserve">ステップ2：
</t>
    </r>
    <r>
      <rPr>
        <rFont val="メイリオ"/>
        <color rgb="FF000000"/>
        <sz val="10.0"/>
      </rPr>
      <t>Chuyển sort của cùng cột sang giảm dần ▼.</t>
    </r>
  </si>
  <si>
    <r>
      <rPr>
        <rFont val="メイリオ"/>
        <b/>
        <color rgb="FF000000"/>
        <sz val="10.0"/>
      </rPr>
      <t xml:space="preserve">ステップ1：
</t>
    </r>
    <r>
      <rPr>
        <rFont val="メイリオ"/>
        <color rgb="FF000000"/>
        <sz val="10.0"/>
      </rPr>
      <t xml:space="preserve">Mã cửa hàng được sắp xếp tăng dần, và điều kiện search được giữ nguyên.
</t>
    </r>
    <r>
      <rPr>
        <rFont val="メイリオ"/>
        <b/>
        <color rgb="FF000000"/>
        <sz val="10.0"/>
      </rPr>
      <t xml:space="preserve">ステップ2：
</t>
    </r>
    <r>
      <rPr>
        <rFont val="メイリオ"/>
        <color rgb="FF000000"/>
        <sz val="10.0"/>
      </rPr>
      <t xml:space="preserve">Mã cửa hàng được sắp xếp giảm dần, và điều kiện search được giữ nguyên.
</t>
    </r>
    <r>
      <rPr>
        <rFont val="メイリオ"/>
        <b/>
        <color rgb="FF000000"/>
        <sz val="10.0"/>
      </rPr>
      <t xml:space="preserve">補足：
</t>
    </r>
    <r>
      <rPr>
        <rFont val="メイリオ"/>
        <color rgb="FF000000"/>
        <sz val="10.0"/>
      </rPr>
      <t>・Quản lý chi nhánh - chi nhánh - mã thành viên - mã cửa hàng là đối tượng sort.</t>
    </r>
  </si>
  <si>
    <t>Nghiệp vụ - Thay thế (Function — Replace)</t>
  </si>
  <si>
    <t>ACSMS-TC-015-031</t>
  </si>
  <si>
    <t>Cửa hàng của các độc giả đã chọn nhiều được thay thế hàng loạt</t>
  </si>
  <si>
    <t>・role: JA_HONTEN
・Đã login + đã xác thực MFA
・Tồn tại nhiều độc giả là đối tượng thay thế
・Tồn tại cửa hàng khác là đích thay thế</t>
  </si>
  <si>
    <r>
      <rPr>
        <rFont val="メイリオ"/>
        <b/>
        <color rgb="FF000000"/>
        <sz val="10.0"/>
      </rPr>
      <t xml:space="preserve">ステップ1：
</t>
    </r>
    <r>
      <rPr>
        <rFont val="メイリオ"/>
        <color rgb="FF000000"/>
        <sz val="10.0"/>
      </rPr>
      <t xml:space="preserve">Thực thi search, và tick nhiều độc giả là đối tượng.
</t>
    </r>
    <r>
      <rPr>
        <rFont val="メイリオ"/>
        <b/>
        <color rgb="FF000000"/>
        <sz val="10.0"/>
      </rPr>
      <t xml:space="preserve">ステップ2：
</t>
    </r>
    <r>
      <rPr>
        <rFont val="メイリオ"/>
        <color rgb="FF000000"/>
        <sz val="10.0"/>
      </rPr>
      <t xml:space="preserve">Chọn ngày từ ngày hiện tại trở đi vào「適用日」, chọn cửa hàng khác với hiện tại vào「置換先配達販売店」, và click button「置換処理実行」.
</t>
    </r>
    <r>
      <rPr>
        <rFont val="メイリオ"/>
        <b/>
        <color rgb="FF000000"/>
        <sz val="10.0"/>
      </rPr>
      <t xml:space="preserve">ステップ3：
</t>
    </r>
    <r>
      <rPr>
        <rFont val="メイリオ"/>
        <color rgb="FF000000"/>
        <sz val="10.0"/>
      </rPr>
      <t>Click「実行」trong dialog xác nhận.</t>
    </r>
  </si>
  <si>
    <r>
      <rPr>
        <rFont val="メイリオ"/>
        <b/>
        <color rgb="FF000000"/>
        <sz val="10.0"/>
      </rPr>
      <t xml:space="preserve">ステップ1：
</t>
    </r>
    <r>
      <rPr>
        <rFont val="メイリオ"/>
        <color rgb="FF000000"/>
        <sz val="10.0"/>
      </rPr>
      <t xml:space="preserve">Số lượng độc giả đã tick chuyển sang trạng thái đã chọn.
</t>
    </r>
    <r>
      <rPr>
        <rFont val="メイリオ"/>
        <b/>
        <color rgb="FF000000"/>
        <sz val="10.0"/>
      </rPr>
      <t xml:space="preserve">ステップ2：
</t>
    </r>
    <r>
      <rPr>
        <rFont val="メイリオ"/>
        <color rgb="FF000000"/>
        <sz val="10.0"/>
      </rPr>
      <t xml:space="preserve">Dialog xác nhận hiển thị「選択した購読者の販売店を置換します。よろしいでしょうか？」(ACSMS-MSG-015-007).
</t>
    </r>
    <r>
      <rPr>
        <rFont val="メイリオ"/>
        <b/>
        <color rgb="FF000000"/>
        <sz val="10.0"/>
      </rPr>
      <t xml:space="preserve">ステップ3：
</t>
    </r>
    <r>
      <rPr>
        <rFont val="メイリオ"/>
        <color rgb="FF000000"/>
        <sz val="10.0"/>
      </rPr>
      <t xml:space="preserve">API thay thế được gọi, và các điều sau được thực thi.
</t>
    </r>
    <r>
      <rPr>
        <rFont val="メイリオ"/>
        <color rgb="FF000000"/>
        <sz val="10.0"/>
      </rPr>
      <t xml:space="preserve">・Hiển thị「置換処理が完了しました。」(ACSMS-MSG-015-008).
</t>
    </r>
    <r>
      <rPr>
        <rFont val="メイリオ"/>
        <color rgb="FF000000"/>
        <sz val="10.0"/>
      </rPr>
      <t xml:space="preserve">・Lựa chọn row được hủy, và danh sách được load lại.
</t>
    </r>
    <r>
      <rPr>
        <rFont val="メイリオ"/>
        <b/>
        <color rgb="FF000000"/>
        <sz val="10.0"/>
      </rPr>
      <t xml:space="preserve">補足：
</t>
    </r>
    <r>
      <rPr>
        <rFont val="メイリオ"/>
        <color rgb="FF000000"/>
        <sz val="10.0"/>
      </rPr>
      <t xml:space="preserve">・Các row đối tượng của `t_dokusya` được UPDATE (hanbaiten_id=cửa hàng mới, rireki_no=rireki_no+1, cập nhật updated_at - updated_by), và thêm 1 row cho mỗi đối tượng vào `t_dokusya_rireki`.
</t>
    </r>
    <r>
      <rPr>
        <rFont val="メイリオ"/>
        <color rgb="FF000000"/>
        <sz val="10.0"/>
      </rPr>
      <t>・Log thao tác có operation=UPDATE, result_status=1 được record vào `t_log` trong cùng một transaction.</t>
    </r>
  </si>
  <si>
    <t>ACSMS-TC-015-032</t>
  </si>
  <si>
    <t>Chọn tất cả / hủy chọn hoạt động</t>
  </si>
  <si>
    <t>・role: CHUOKAI
・Đã login + đã xác thực MFA
・Nhiều độc giả đang hiển thị trong danh sách kết quả search</t>
  </si>
  <si>
    <r>
      <rPr>
        <rFont val="メイリオ"/>
        <b/>
        <color rgb="FF000000"/>
        <sz val="10.0"/>
      </rPr>
      <t xml:space="preserve">ステップ1：
</t>
    </r>
    <r>
      <rPr>
        <rFont val="メイリオ"/>
        <color rgb="FF000000"/>
        <sz val="10.0"/>
      </rPr>
      <t xml:space="preserve">Bật checkbox「すべて選択／解除」ở header.
</t>
    </r>
    <r>
      <rPr>
        <rFont val="メイリオ"/>
        <b/>
        <color rgb="FF000000"/>
        <sz val="10.0"/>
      </rPr>
      <t xml:space="preserve">ステップ2：
</t>
    </r>
    <r>
      <rPr>
        <rFont val="メイリオ"/>
        <color rgb="FF000000"/>
        <sz val="10.0"/>
      </rPr>
      <t>Tắt checkbox đó.</t>
    </r>
  </si>
  <si>
    <r>
      <rPr>
        <rFont val="メイリオ"/>
        <b/>
        <color rgb="FF000000"/>
        <sz val="10.0"/>
      </rPr>
      <t xml:space="preserve">ステップ1：
</t>
    </r>
    <r>
      <rPr>
        <rFont val="メイリオ"/>
        <color rgb="FF000000"/>
        <sz val="10.0"/>
      </rPr>
      <t xml:space="preserve">Checkbox của tất cả row đang hiển thị được bật, và button「置換処理実行」được enable.
</t>
    </r>
    <r>
      <rPr>
        <rFont val="メイリオ"/>
        <b/>
        <color rgb="FF000000"/>
        <sz val="10.0"/>
      </rPr>
      <t xml:space="preserve">ステップ2：
</t>
    </r>
    <r>
      <rPr>
        <rFont val="メイリオ"/>
        <color rgb="FF000000"/>
        <sz val="10.0"/>
      </rPr>
      <t xml:space="preserve">Checkbox của tất cả row đang hiển thị được tắt, và button「置換処理実行」bị disable.
</t>
    </r>
    <r>
      <rPr>
        <rFont val="メイリオ"/>
        <b/>
        <color rgb="FF000000"/>
        <sz val="10.0"/>
      </rPr>
      <t xml:space="preserve">補足：
</t>
    </r>
    <r>
      <rPr>
        <rFont val="メイリオ"/>
        <color rgb="FF000000"/>
        <sz val="10.0"/>
      </rPr>
      <t>・Khi đang chọn tất cả mà bỏ chọn checkbox của một row riêng lẻ, trạng thái của「すべて選択／解除」chuyển sang đang hủy.</t>
    </r>
  </si>
  <si>
    <t>ACSMS-TC-015-033</t>
  </si>
  <si>
    <t>Khi cancel ở dialog xác nhận thì thay thế không được thực thi</t>
  </si>
  <si>
    <t>・role: JA_HONTEN
・Đã login + đã xác thực MFA
・Tồn tại độc giả là đối tượng thay thế</t>
  </si>
  <si>
    <r>
      <rPr>
        <rFont val="メイリオ"/>
        <b/>
        <color rgb="FF000000"/>
        <sz val="10.0"/>
      </rPr>
      <t xml:space="preserve">ステップ1：
</t>
    </r>
    <r>
      <rPr>
        <rFont val="メイリオ"/>
        <color rgb="FF000000"/>
        <sz val="10.0"/>
      </rPr>
      <t xml:space="preserve">Tick độc giả đối tượng, nhập「適用日」「置換先配達販売店」và click button「置換処理実行」.
</t>
    </r>
    <r>
      <rPr>
        <rFont val="メイリオ"/>
        <b/>
        <color rgb="FF000000"/>
        <sz val="10.0"/>
      </rPr>
      <t xml:space="preserve">ステップ2：
</t>
    </r>
    <r>
      <rPr>
        <rFont val="メイリオ"/>
        <color rgb="FF000000"/>
        <sz val="10.0"/>
      </rPr>
      <t>Click「キャンセル」trong dialog xác nhận.</t>
    </r>
  </si>
  <si>
    <r>
      <rPr>
        <rFont val="メイリオ"/>
        <b/>
        <color rgb="FF000000"/>
        <sz val="10.0"/>
      </rPr>
      <t xml:space="preserve">ステップ1：
</t>
    </r>
    <r>
      <rPr>
        <rFont val="メイリオ"/>
        <color rgb="FF000000"/>
        <sz val="10.0"/>
      </rPr>
      <t xml:space="preserve">Dialog xác nhận hiển thị「選択した購読者の販売店を置換します。よろしいでしょうか？」(ACSMS-MSG-015-007).
</t>
    </r>
    <r>
      <rPr>
        <rFont val="メイリオ"/>
        <b/>
        <color rgb="FF000000"/>
        <sz val="10.0"/>
      </rPr>
      <t xml:space="preserve">ステップ2：
</t>
    </r>
    <r>
      <rPr>
        <rFont val="メイリオ"/>
        <color rgb="FF000000"/>
        <sz val="10.0"/>
      </rPr>
      <t xml:space="preserve">Dialog chỉ đóng lại mà API thay thế không được gọi, và trạng thái lựa chọn được giữ nguyên.
</t>
    </r>
    <r>
      <rPr>
        <rFont val="メイリオ"/>
        <b/>
        <color rgb="FF000000"/>
        <sz val="10.0"/>
      </rPr>
      <t xml:space="preserve">補足：
</t>
    </r>
    <r>
      <rPr>
        <rFont val="メイリオ"/>
        <color rgb="FF000000"/>
        <sz val="10.0"/>
      </rPr>
      <t>・Không phát sinh bất kỳ thay đổi nào trên `t_dokusya` - `t_dokusya_rireki` - `t_log`.</t>
    </r>
  </si>
  <si>
    <t>ACSMS-TC-015-034</t>
  </si>
  <si>
    <t>Khi chỉ định cùng cửa hàng hiện tại làm đích thay thế thì phát sinh lỗi</t>
  </si>
  <si>
    <t>・role: CHUOKAI
・Đã login + đã xác thực MFA
・Tồn tại độc giả đã biết rõ cửa hàng hiện tại</t>
  </si>
  <si>
    <r>
      <rPr>
        <rFont val="メイリオ"/>
        <b/>
        <color rgb="FF000000"/>
        <sz val="10.0"/>
      </rPr>
      <t xml:space="preserve">ステップ1：
</t>
    </r>
    <r>
      <rPr>
        <rFont val="メイリオ"/>
        <color rgb="FF000000"/>
        <sz val="10.0"/>
      </rPr>
      <t xml:space="preserve">Tick độc giả đó, và nhập ngày từ ngày hiện tại trở đi vào「適用日」.
</t>
    </r>
    <r>
      <rPr>
        <rFont val="メイリオ"/>
        <b/>
        <color rgb="FF000000"/>
        <sz val="10.0"/>
      </rPr>
      <t xml:space="preserve">ステップ2：
</t>
    </r>
    <r>
      <rPr>
        <rFont val="メイリオ"/>
        <color rgb="FF000000"/>
        <sz val="10.0"/>
      </rPr>
      <t>Chọn cùng cửa hàng với hiện tại vào「置換先配達販売店」, click button「置換処理実行」và「実行」.</t>
    </r>
  </si>
  <si>
    <r>
      <rPr>
        <rFont val="メイリオ"/>
        <b/>
        <color rgb="FF000000"/>
        <sz val="10.0"/>
      </rPr>
      <t xml:space="preserve">ステップ1：
</t>
    </r>
    <r>
      <rPr>
        <rFont val="メイリオ"/>
        <color rgb="FF000000"/>
        <sz val="10.0"/>
      </rPr>
      <t xml:space="preserve">Tick và ngày áp dụng được phản ánh.
</t>
    </r>
    <r>
      <rPr>
        <rFont val="メイリオ"/>
        <b/>
        <color rgb="FF000000"/>
        <sz val="10.0"/>
      </rPr>
      <t xml:space="preserve">ステップ2：
</t>
    </r>
    <r>
      <rPr>
        <rFont val="メイリオ"/>
        <color rgb="FF000000"/>
        <sz val="10.0"/>
      </rPr>
      <t xml:space="preserve">Hiển thị「現在の販売店と同じ販売店は選択できません。」(ACSMS-MSG-015-005) (error_code: SAME_HANBAITEN, HTTP 400).
</t>
    </r>
    <r>
      <rPr>
        <rFont val="メイリオ"/>
        <b/>
        <color rgb="FF000000"/>
        <sz val="10.0"/>
      </rPr>
      <t xml:space="preserve">補足：
</t>
    </r>
    <r>
      <rPr>
        <rFont val="メイリオ"/>
        <color rgb="FF000000"/>
        <sz val="10.0"/>
      </rPr>
      <t>・Thay thế không được thực thi, và không phát sinh thay đổi trên `t_dokusya`.</t>
    </r>
  </si>
  <si>
    <t>ACSMS-TC-015-035</t>
  </si>
  <si>
    <t>Khi bao gồm độc giả đọc kèm (併読者) làm đối tượng thì phát sinh lỗi</t>
  </si>
  <si>
    <t>・role: JA_HONTEN
・Đã login + đã xác thực MFA
・Tồn tại độc giả có `dokusya_shubetsu` = 3 (độc giả đọc kèm)</t>
  </si>
  <si>
    <r>
      <rPr>
        <rFont val="メイリオ"/>
        <b/>
        <color rgb="FF000000"/>
        <sz val="10.0"/>
      </rPr>
      <t xml:space="preserve">ステップ1：
</t>
    </r>
    <r>
      <rPr>
        <rFont val="メイリオ"/>
        <color rgb="FF000000"/>
        <sz val="10.0"/>
      </rPr>
      <t xml:space="preserve">Tick độc giả đọc kèm (`dokusya_shubetsu` = 3), và nhập「適用日」「置換先配達販売店」.
</t>
    </r>
    <r>
      <rPr>
        <rFont val="メイリオ"/>
        <b/>
        <color rgb="FF000000"/>
        <sz val="10.0"/>
      </rPr>
      <t xml:space="preserve">ステップ2：
</t>
    </r>
    <r>
      <rPr>
        <rFont val="メイリオ"/>
        <color rgb="FF000000"/>
        <sz val="10.0"/>
      </rPr>
      <t>Click button「置換処理実行」và「実行」.</t>
    </r>
  </si>
  <si>
    <r>
      <rPr>
        <rFont val="メイリオ"/>
        <b/>
        <color rgb="FF000000"/>
        <sz val="10.0"/>
      </rPr>
      <t xml:space="preserve">ステップ1：
</t>
    </r>
    <r>
      <rPr>
        <rFont val="メイリオ"/>
        <color rgb="FF000000"/>
        <sz val="10.0"/>
      </rPr>
      <t xml:space="preserve">Tick và input được phản ánh.
</t>
    </r>
    <r>
      <rPr>
        <rFont val="メイリオ"/>
        <b/>
        <color rgb="FF000000"/>
        <sz val="10.0"/>
      </rPr>
      <t xml:space="preserve">ステップ2：
</t>
    </r>
    <r>
      <rPr>
        <rFont val="メイリオ"/>
        <color rgb="FF000000"/>
        <sz val="10.0"/>
      </rPr>
      <t xml:space="preserve">Hiển thị「電子版クレカ決済者・併読者は編集・削除できません。」(ACSMS-MSG-015-006) (error_code: INELIGIBLE_DOKUSYA, HTTP 400).
</t>
    </r>
    <r>
      <rPr>
        <rFont val="メイリオ"/>
        <b/>
        <color rgb="FF000000"/>
        <sz val="10.0"/>
      </rPr>
      <t xml:space="preserve">補足：
</t>
    </r>
    <r>
      <rPr>
        <rFont val="メイリオ"/>
        <color rgb="FF000000"/>
        <sz val="10.0"/>
      </rPr>
      <t>・Thay thế không được thực thi, và không phát sinh thay đổi trên `t_dokusya` - `t_dokusya_rireki`.</t>
    </r>
  </si>
  <si>
    <t>ACSMS-TC-015-036</t>
  </si>
  <si>
    <t>Khi bao gồm độc giả thanh toán thẻ tín dụng bản điện tử làm đối tượng thì phát sinh lỗi</t>
  </si>
  <si>
    <t>・role: CHUOKAI
・Đã login + đã xác thực MFA
・Tồn tại độc giả có `dokusya_shubetsu` = 2 và `shiharai_hoho` = 6 (độc giả thanh toán thẻ tín dụng bản điện tử)</t>
  </si>
  <si>
    <r>
      <rPr>
        <rFont val="メイリオ"/>
        <b/>
        <color rgb="FF000000"/>
        <sz val="10.0"/>
      </rPr>
      <t xml:space="preserve">ステップ1：
</t>
    </r>
    <r>
      <rPr>
        <rFont val="メイリオ"/>
        <color rgb="FF000000"/>
        <sz val="10.0"/>
      </rPr>
      <t xml:space="preserve">Tick độc giả thanh toán thẻ tín dụng bản điện tử (`dokusya_shubetsu` = 2 và `shiharai_hoho` = 6), và nhập「適用日」「置換先配達販売店」.
</t>
    </r>
    <r>
      <rPr>
        <rFont val="メイリオ"/>
        <b/>
        <color rgb="FF000000"/>
        <sz val="10.0"/>
      </rPr>
      <t xml:space="preserve">ステップ2：
</t>
    </r>
    <r>
      <rPr>
        <rFont val="メイリオ"/>
        <color rgb="FF000000"/>
        <sz val="10.0"/>
      </rPr>
      <t>Click button「置換処理実行」và「実行」.</t>
    </r>
  </si>
  <si>
    <r>
      <rPr>
        <rFont val="メイリオ"/>
        <b/>
        <color rgb="FF000000"/>
        <sz val="10.0"/>
      </rPr>
      <t xml:space="preserve">ステップ1：
</t>
    </r>
    <r>
      <rPr>
        <rFont val="メイリオ"/>
        <color rgb="FF000000"/>
        <sz val="10.0"/>
      </rPr>
      <t xml:space="preserve">Tick và input được phản ánh.
</t>
    </r>
    <r>
      <rPr>
        <rFont val="メイリオ"/>
        <b/>
        <color rgb="FF000000"/>
        <sz val="10.0"/>
      </rPr>
      <t xml:space="preserve">ステップ2：
</t>
    </r>
    <r>
      <rPr>
        <rFont val="メイリオ"/>
        <color rgb="FF000000"/>
        <sz val="10.0"/>
      </rPr>
      <t xml:space="preserve">Hiển thị「電子版クレカ決済者・併読者は編集・削除できません。」(ACSMS-MSG-015-006) (error_code: INELIGIBLE_DOKUSYA, HTTP 400).
</t>
    </r>
    <r>
      <rPr>
        <rFont val="メイリオ"/>
        <b/>
        <color rgb="FF000000"/>
        <sz val="10.0"/>
      </rPr>
      <t xml:space="preserve">補足：
</t>
    </r>
    <r>
      <rPr>
        <rFont val="メイリオ"/>
        <color rgb="FF000000"/>
        <sz val="10.0"/>
      </rPr>
      <t>・Thay thế không được thực thi, và không phát sinh thay đổi trên `t_dokusya` - `t_dokusya_rireki`.</t>
    </r>
  </si>
  <si>
    <t>ACSMS-TC-015-037</t>
  </si>
  <si>
    <t>Khi chỉ định ID độc giả không tồn tại thì phát sinh lỗi</t>
  </si>
  <si>
    <r>
      <rPr>
        <rFont val="メイリオ"/>
        <b/>
        <color rgb="FF000000"/>
        <sz val="10.0"/>
      </rPr>
      <t xml:space="preserve">ステップ1：
</t>
    </r>
    <r>
      <rPr>
        <rFont val="メイリオ"/>
        <color rgb="FF000000"/>
        <sz val="10.0"/>
      </rPr>
      <t xml:space="preserve">Gọi `POST /api/v1/dokusya/replace-hanbaiten` từ API client.
</t>
    </r>
    <r>
      <rPr>
        <rFont val="メイリオ"/>
        <b/>
        <color rgb="FF000000"/>
        <sz val="10.0"/>
      </rPr>
      <t xml:space="preserve">ステップ2：
</t>
    </r>
    <r>
      <rPr>
        <rFont val="メイリオ"/>
        <color rgb="FF000000"/>
        <sz val="10.0"/>
      </rPr>
      <t>Gửi kèm ID độc giả không tồn tại trong dokusya_ids.</t>
    </r>
  </si>
  <si>
    <r>
      <rPr>
        <rFont val="メイリオ"/>
        <b/>
        <color rgb="FF000000"/>
        <sz val="10.0"/>
      </rPr>
      <t xml:space="preserve">ステップ1：
</t>
    </r>
    <r>
      <rPr>
        <rFont val="メイリオ"/>
        <color rgb="FF000000"/>
        <sz val="10.0"/>
      </rPr>
      <t xml:space="preserve">Request được tiếp nhận.
</t>
    </r>
    <r>
      <rPr>
        <rFont val="メイリオ"/>
        <b/>
        <color rgb="FF000000"/>
        <sz val="10.0"/>
      </rPr>
      <t xml:space="preserve">ステップ2：
</t>
    </r>
    <r>
      <rPr>
        <rFont val="メイリオ"/>
        <color rgb="FF000000"/>
        <sz val="10.0"/>
      </rPr>
      <t xml:space="preserve">Trả về HTTP 404 (error_code: NOT_FOUND, message「指定された購読者が見つかりません。」).
</t>
    </r>
    <r>
      <rPr>
        <rFont val="メイリオ"/>
        <b/>
        <color rgb="FF000000"/>
        <sz val="10.0"/>
      </rPr>
      <t xml:space="preserve">補足：
</t>
    </r>
    <r>
      <rPr>
        <rFont val="メイリオ"/>
        <color rgb="FF000000"/>
        <sz val="10.0"/>
      </rPr>
      <t>・Thay thế không được thực thi, và toàn bộ được rollback.</t>
    </r>
  </si>
  <si>
    <t>ACSMS-TC-015-038</t>
  </si>
  <si>
    <t>Khi một phần xử lý thay thế thất bại thì toàn bộ được rollback</t>
  </si>
  <si>
    <t>・role: CHUOKAI
・Đã login + đã xác thực MFA
・Tồn tại nhiều độc giả là đối tượng thay thế, và có thể tái hiện tình huống một phần phát sinh lỗi update</t>
  </si>
  <si>
    <r>
      <rPr>
        <rFont val="メイリオ"/>
        <b/>
        <color rgb="FF000000"/>
        <sz val="10.0"/>
      </rPr>
      <t xml:space="preserve">ステップ1：
</t>
    </r>
    <r>
      <rPr>
        <rFont val="メイリオ"/>
        <color rgb="FF000000"/>
        <sz val="10.0"/>
      </rPr>
      <t xml:space="preserve">Chọn nhiều độc giả, nhập「適用日」「置換先配達販売店」và thực thi xử lý thay thế.
</t>
    </r>
    <r>
      <rPr>
        <rFont val="メイリオ"/>
        <b/>
        <color rgb="FF000000"/>
        <sz val="10.0"/>
      </rPr>
      <t xml:space="preserve">ステップ2：
</t>
    </r>
    <r>
      <rPr>
        <rFont val="メイリオ"/>
        <color rgb="FF000000"/>
        <sz val="10.0"/>
      </rPr>
      <t>Phát sinh tình huống một phần độc giả update thất bại giữa chừng quá trình update.</t>
    </r>
  </si>
  <si>
    <r>
      <rPr>
        <rFont val="メイリオ"/>
        <b/>
        <color rgb="FF000000"/>
        <sz val="10.0"/>
      </rPr>
      <t xml:space="preserve">ステップ1：
</t>
    </r>
    <r>
      <rPr>
        <rFont val="メイリオ"/>
        <color rgb="FF000000"/>
        <sz val="10.0"/>
      </rPr>
      <t xml:space="preserve">API thay thế được gọi qua dialog xác nhận (ACSMS-MSG-015-007).
</t>
    </r>
    <r>
      <rPr>
        <rFont val="メイリオ"/>
        <b/>
        <color rgb="FF000000"/>
        <sz val="10.0"/>
      </rPr>
      <t xml:space="preserve">ステップ2：
</t>
    </r>
    <r>
      <rPr>
        <rFont val="メイリオ"/>
        <color rgb="FF000000"/>
        <sz val="10.0"/>
      </rPr>
      <t xml:space="preserve">Xử lý được thực thi trong một transaction đơn nhất, và khi một phần thất bại thì toàn bộ được rollback.
</t>
    </r>
    <r>
      <rPr>
        <rFont val="メイリオ"/>
        <color rgb="FF000000"/>
        <sz val="10.0"/>
      </rPr>
      <t xml:space="preserve">・`t_dokusya` - `t_dokusya_rireki` của các độc giả khác đã thành công cũng trở về trạng thái trước khi thay đổi.
</t>
    </r>
    <r>
      <rPr>
        <rFont val="メイリオ"/>
        <color rgb="FF000000"/>
        <sz val="10.0"/>
      </rPr>
      <t xml:space="preserve">・Error message được hiển thị.
</t>
    </r>
    <r>
      <rPr>
        <rFont val="メイリオ"/>
        <b/>
        <color rgb="FF000000"/>
        <sz val="10.0"/>
      </rPr>
      <t xml:space="preserve">補足：
</t>
    </r>
    <r>
      <rPr>
        <rFont val="メイリオ"/>
        <color rgb="FF000000"/>
        <sz val="10.0"/>
      </rPr>
      <t>・Khi phát sinh exception, log có log_type=3 của `t_log` được record bên ngoài transaction.</t>
    </r>
  </si>
  <si>
    <t>ACSMS-TC-015-039</t>
  </si>
  <si>
    <t>DataScope violation khi cố thay thế độc giả thuộc JA khác</t>
  </si>
  <si>
    <t>・role: CHUOKAI
・Đã login + đã xác thực MFA
・Tồn tại độc giả thuộc JA khác với trung ương hội của mình</t>
  </si>
  <si>
    <r>
      <rPr>
        <rFont val="メイリオ"/>
        <b/>
        <color rgb="FF000000"/>
        <sz val="10.0"/>
      </rPr>
      <t xml:space="preserve">ステップ1：
</t>
    </r>
    <r>
      <rPr>
        <rFont val="メイリオ"/>
        <color rgb="FF000000"/>
        <sz val="10.0"/>
      </rPr>
      <t xml:space="preserve">Tìm kiếm và hiển thị danh sách độc giả thuộc scope của mình.
</t>
    </r>
    <r>
      <rPr>
        <rFont val="メイリオ"/>
        <b/>
        <color rgb="FF000000"/>
        <sz val="10.0"/>
      </rPr>
      <t xml:space="preserve">ステップ2：
</t>
    </r>
    <r>
      <rPr>
        <rFont val="メイリオ"/>
        <color rgb="FF000000"/>
        <sz val="10.0"/>
      </rPr>
      <t xml:space="preserve">Gửi POST `/api/v1/dokusya/replace-hanbaiten` qua DevTools với `dokusya_ids` chứa `dokusya_id` thuộc JA khác.
</t>
    </r>
    <r>
      <rPr>
        <rFont val="メイリオ"/>
        <b/>
        <color rgb="FF000000"/>
        <sz val="10.0"/>
      </rPr>
      <t xml:space="preserve">ステップ3：
</t>
    </r>
    <r>
      <rPr>
        <rFont val="メイリオ"/>
        <color rgb="FF000000"/>
        <sz val="10.0"/>
      </rPr>
      <t>Kiểm tra DB `SELECT hanbaiten_id, rireki_no FROM t_dokusya WHERE dokusya_id = :other_ja_dokusya_id`.</t>
    </r>
  </si>
  <si>
    <r>
      <rPr>
        <rFont val="メイリオ"/>
        <b/>
        <color rgb="FF000000"/>
        <sz val="10.0"/>
      </rPr>
      <t xml:space="preserve">ステップ2：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ステップ3：
</t>
    </r>
    <r>
      <rPr>
        <rFont val="メイリオ"/>
        <color rgb="FF000000"/>
        <sz val="10.0"/>
      </rPr>
      <t xml:space="preserve">・`hanbaiten_id` của `t_dokusya` không được cập nhật.
</t>
    </r>
    <r>
      <rPr>
        <rFont val="メイリオ"/>
        <color rgb="FF000000"/>
        <sz val="10.0"/>
      </rPr>
      <t xml:space="preserve">・`rireki_no` không bị thay đổi.
</t>
    </r>
    <r>
      <rPr>
        <rFont val="メイリオ"/>
        <b/>
        <color rgb="FF000000"/>
        <sz val="10.0"/>
      </rPr>
      <t xml:space="preserve">補足：
</t>
    </r>
    <r>
      <rPr>
        <rFont val="メイリオ"/>
        <color rgb="FF000000"/>
        <sz val="10.0"/>
      </rPr>
      <t xml:space="preserve">・Việc truy cập record của JA khác bị từ chối bởi kiểm tra DataScope phía server.
</t>
    </r>
    <r>
      <rPr>
        <rFont val="メイリオ"/>
        <color rgb="FF000000"/>
        <sz val="10.0"/>
      </rPr>
      <t>・Không có lịch sử được thêm vào `t_dokusya_rireki`.</t>
    </r>
  </si>
  <si>
    <t>Xử lý lỗi chung (Common Error Handling)</t>
  </si>
  <si>
    <t>ACSMS-TC-015-040</t>
  </si>
  <si>
    <t>Khi hết session thì chuyển đến màn hình login</t>
  </si>
  <si>
    <t>・role: CHUOKAI
・Đã login + đã xác thực MFA
・Có thể tái hiện trạng thái session hết hạn</t>
  </si>
  <si>
    <r>
      <rPr>
        <rFont val="メイリオ"/>
        <b/>
        <color rgb="FF000000"/>
        <sz val="10.0"/>
      </rPr>
      <t xml:space="preserve">ステップ1：
</t>
    </r>
    <r>
      <rPr>
        <rFont val="メイリオ"/>
        <color rgb="FF000000"/>
        <sz val="10.0"/>
      </rPr>
      <t xml:space="preserve">Click button「検索」ở trạng thái session đã hết hạn.
</t>
    </r>
    <r>
      <rPr>
        <rFont val="メイリオ"/>
        <b/>
        <color rgb="FF000000"/>
        <sz val="10.0"/>
      </rPr>
      <t xml:space="preserve">ステップ2：
</t>
    </r>
    <r>
      <rPr>
        <rFont val="メイリオ"/>
        <color rgb="FF000000"/>
        <sz val="10.0"/>
      </rPr>
      <t>Kiểm tra phản hồi từ server.</t>
    </r>
  </si>
  <si>
    <r>
      <rPr>
        <rFont val="メイリオ"/>
        <b/>
        <color rgb="FF000000"/>
        <sz val="10.0"/>
      </rPr>
      <t xml:space="preserve">ステップ1：
</t>
    </r>
    <r>
      <rPr>
        <rFont val="メイリオ"/>
        <color rgb="FF000000"/>
        <sz val="10.0"/>
      </rPr>
      <t xml:space="preserve">API search được gọi.
</t>
    </r>
    <r>
      <rPr>
        <rFont val="メイリオ"/>
        <b/>
        <color rgb="FF000000"/>
        <sz val="10.0"/>
      </rPr>
      <t xml:space="preserve">ステップ2：
</t>
    </r>
    <r>
      <rPr>
        <rFont val="メイリオ"/>
        <color rgb="FF000000"/>
        <sz val="10.0"/>
      </rPr>
      <t xml:space="preserve">Trả về HTTP 401 (error_code: UNAUTHORIZED, message「セッションが切れました。再度ログインしてください。」), và chuyển đến màn hình login (`/login`).
</t>
    </r>
    <r>
      <rPr>
        <rFont val="メイリオ"/>
        <b/>
        <color rgb="FF000000"/>
        <sz val="10.0"/>
      </rPr>
      <t xml:space="preserve">補足：
</t>
    </r>
    <r>
      <rPr>
        <rFont val="メイリオ"/>
        <color rgb="FF000000"/>
        <sz val="10.0"/>
      </rPr>
      <t>・Thông tin user ở local được hủy.</t>
    </r>
  </si>
  <si>
    <t>ACSMS-TC-015-041</t>
  </si>
  <si>
    <t>Khi gửi parameter không hợp lệ thì phát sinh lỗi</t>
  </si>
  <si>
    <r>
      <rPr>
        <rFont val="メイリオ"/>
        <b/>
        <color rgb="FF000000"/>
        <sz val="10.0"/>
      </rPr>
      <t xml:space="preserve">ステップ1：
</t>
    </r>
    <r>
      <rPr>
        <rFont val="メイリオ"/>
        <color rgb="FF000000"/>
        <sz val="10.0"/>
      </rPr>
      <t xml:space="preserve">Gọi `POST /api/v1/dokusya/replace-hanbaiten` từ API client.
</t>
    </r>
    <r>
      <rPr>
        <rFont val="メイリオ"/>
        <b/>
        <color rgb="FF000000"/>
        <sz val="10.0"/>
      </rPr>
      <t xml:space="preserve">ステップ2：
</t>
    </r>
    <r>
      <rPr>
        <rFont val="メイリオ"/>
        <color rgb="FF000000"/>
        <sz val="10.0"/>
      </rPr>
      <t>Thiết lập giá trị không hợp lệ khác số vào new_hanbaiten_id và gửi.</t>
    </r>
  </si>
  <si>
    <r>
      <rPr>
        <rFont val="メイリオ"/>
        <b/>
        <color rgb="FF000000"/>
        <sz val="10.0"/>
      </rPr>
      <t xml:space="preserve">ステップ1：
</t>
    </r>
    <r>
      <rPr>
        <rFont val="メイリオ"/>
        <color rgb="FF000000"/>
        <sz val="10.0"/>
      </rPr>
      <t xml:space="preserve">Request được gửi.
</t>
    </r>
    <r>
      <rPr>
        <rFont val="メイリオ"/>
        <b/>
        <color rgb="FF000000"/>
        <sz val="10.0"/>
      </rPr>
      <t xml:space="preserve">ステップ2：
</t>
    </r>
    <r>
      <rPr>
        <rFont val="メイリオ"/>
        <color rgb="FF000000"/>
        <sz val="10.0"/>
      </rPr>
      <t xml:space="preserve">Trả về HTTP 400 (error_code: BAD_REQUEST, message「リクエストパラメータが不正です。」).
</t>
    </r>
    <r>
      <rPr>
        <rFont val="メイリオ"/>
        <b/>
        <color rgb="FF000000"/>
        <sz val="10.0"/>
      </rPr>
      <t xml:space="preserve">補足：
</t>
    </r>
    <r>
      <rPr>
        <rFont val="メイリオ"/>
        <color rgb="FF000000"/>
        <sz val="10.0"/>
      </rPr>
      <t>・Thay thế không được thực thi, và không phát sinh thay đổi trên `t_dokusya`.</t>
    </r>
  </si>
  <si>
    <t>ACSMS-TC-015-042</t>
  </si>
  <si>
    <t>Khi thiếu mục bắt buộc thì lỗi validation được trả về dưới dạng mảng</t>
  </si>
  <si>
    <r>
      <rPr>
        <rFont val="メイリオ"/>
        <b/>
        <color rgb="FF000000"/>
        <sz val="10.0"/>
      </rPr>
      <t xml:space="preserve">ステップ1：
</t>
    </r>
    <r>
      <rPr>
        <rFont val="メイリオ"/>
        <color rgb="FF000000"/>
        <sz val="10.0"/>
      </rPr>
      <t xml:space="preserve">Gọi `POST /api/v1/dokusya/replace-hanbaiten` từ API client.
</t>
    </r>
    <r>
      <rPr>
        <rFont val="メイリオ"/>
        <b/>
        <color rgb="FF000000"/>
        <sz val="10.0"/>
      </rPr>
      <t xml:space="preserve">ステップ2：
</t>
    </r>
    <r>
      <rPr>
        <rFont val="メイリオ"/>
        <color rgb="FF000000"/>
        <sz val="10.0"/>
      </rPr>
      <t>Gửi với dokusya_ids - new_hanbaiten_id - hanbaiten_tekiyo_date chưa thiết lập.</t>
    </r>
  </si>
  <si>
    <r>
      <rPr>
        <rFont val="メイリオ"/>
        <b/>
        <color rgb="FF000000"/>
        <sz val="10.0"/>
      </rPr>
      <t xml:space="preserve">ステップ1：
</t>
    </r>
    <r>
      <rPr>
        <rFont val="メイリオ"/>
        <color rgb="FF000000"/>
        <sz val="10.0"/>
      </rPr>
      <t xml:space="preserve">Request được gửi.
</t>
    </r>
    <r>
      <rPr>
        <rFont val="メイリオ"/>
        <b/>
        <color rgb="FF000000"/>
        <sz val="10.0"/>
      </rPr>
      <t xml:space="preserve">ステップ2：
</t>
    </r>
    <r>
      <rPr>
        <rFont val="メイリオ"/>
        <color rgb="FF000000"/>
        <sz val="10.0"/>
      </rPr>
      <t xml:space="preserve">Trả về HTTP 400 (error_code: VALIDATION_ERROR, message「入力値が不正です。詳細はerrorsフィールドを確認してください。」), và field - message của từng mục thiếu được trả về ở dạng mảng trong field errors.
</t>
    </r>
    <r>
      <rPr>
        <rFont val="メイリオ"/>
        <b/>
        <color rgb="FF000000"/>
        <sz val="10.0"/>
      </rPr>
      <t xml:space="preserve">補足：
</t>
    </r>
    <r>
      <rPr>
        <rFont val="メイリオ"/>
        <color rgb="FF000000"/>
        <sz val="10.0"/>
      </rPr>
      <t>・Thay thế không được thực thi.</t>
    </r>
  </si>
  <si>
    <t>ACSMS-TC-015-043</t>
  </si>
  <si>
    <t>Khi vượt rate limit thì phát sinh lỗi</t>
  </si>
  <si>
    <r>
      <rPr>
        <rFont val="メイリオ"/>
        <b/>
        <color rgb="FF000000"/>
        <sz val="10.0"/>
      </rPr>
      <t xml:space="preserve">ステップ1：
</t>
    </r>
    <r>
      <rPr>
        <rFont val="メイリオ"/>
        <color rgb="FF000000"/>
        <sz val="10.0"/>
      </rPr>
      <t xml:space="preserve">Thực thi liên tục「検索」hoặc「置換処理実行」với số lần vượt giới hạn trên trong thời gian ngắn.
</t>
    </r>
    <r>
      <rPr>
        <rFont val="メイリオ"/>
        <b/>
        <color rgb="FF000000"/>
        <sz val="10.0"/>
      </rPr>
      <t xml:space="preserve">ステップ2：
</t>
    </r>
    <r>
      <rPr>
        <rFont val="メイリオ"/>
        <color rgb="FF000000"/>
        <sz val="10.0"/>
      </rPr>
      <t>Kiểm tra phản hồi từ server.</t>
    </r>
  </si>
  <si>
    <r>
      <rPr>
        <rFont val="メイリオ"/>
        <b/>
        <color rgb="FF000000"/>
        <sz val="10.0"/>
      </rPr>
      <t xml:space="preserve">ステップ1：
</t>
    </r>
    <r>
      <rPr>
        <rFont val="メイリオ"/>
        <color rgb="FF000000"/>
        <sz val="10.0"/>
      </rPr>
      <t xml:space="preserve">API được gọi liên tục.
</t>
    </r>
    <r>
      <rPr>
        <rFont val="メイリオ"/>
        <b/>
        <color rgb="FF000000"/>
        <sz val="10.0"/>
      </rPr>
      <t xml:space="preserve">ステップ2：
</t>
    </r>
    <r>
      <rPr>
        <rFont val="メイリオ"/>
        <color rgb="FF000000"/>
        <sz val="10.0"/>
      </rPr>
      <t xml:space="preserve">Trả về HTTP 429 (error_code: TOO_MANY_REQUESTS, message「リクエスト回数が上限を超えました。しばらくしてから再度お試しください。」).
</t>
    </r>
    <r>
      <rPr>
        <rFont val="メイリオ"/>
        <b/>
        <color rgb="FF000000"/>
        <sz val="10.0"/>
      </rPr>
      <t xml:space="preserve">補足：
</t>
    </r>
    <r>
      <rPr>
        <rFont val="メイリオ"/>
        <color rgb="FF000000"/>
        <sz val="10.0"/>
      </rPr>
      <t>・Việc vượt rate limit được thông báo bằng toast.</t>
    </r>
  </si>
  <si>
    <t>ACSMS-TC-015-044</t>
  </si>
  <si>
    <t>Khi lỗi nội bộ server thì hiển thị error message</t>
  </si>
  <si>
    <t>・role: CHUOKAI
・Đã login + đã xác thực MFA
・Có thể tái hiện tình huống phía server phát sinh lỗi nội bộ</t>
  </si>
  <si>
    <r>
      <rPr>
        <rFont val="メイリオ"/>
        <b/>
        <color rgb="FF000000"/>
        <sz val="10.0"/>
      </rPr>
      <t xml:space="preserve">ステップ1：
</t>
    </r>
    <r>
      <rPr>
        <rFont val="メイリオ"/>
        <color rgb="FF000000"/>
        <sz val="10.0"/>
      </rPr>
      <t xml:space="preserve">Thực thi「検索」hoặc「置換処理実行」trong tình huống phía server phát sinh lỗi nội bộ.
</t>
    </r>
    <r>
      <rPr>
        <rFont val="メイリオ"/>
        <b/>
        <color rgb="FF000000"/>
        <sz val="10.0"/>
      </rPr>
      <t xml:space="preserve">ステップ2：
</t>
    </r>
    <r>
      <rPr>
        <rFont val="メイリオ"/>
        <color rgb="FF000000"/>
        <sz val="10.0"/>
      </rPr>
      <t>Kiểm tra phản hồi từ server.</t>
    </r>
  </si>
  <si>
    <r>
      <rPr>
        <rFont val="メイリオ"/>
        <b/>
        <color rgb="FF000000"/>
        <sz val="10.0"/>
      </rPr>
      <t xml:space="preserve">ステップ1：
</t>
    </r>
    <r>
      <rPr>
        <rFont val="メイリオ"/>
        <color rgb="FF000000"/>
        <sz val="10.0"/>
      </rPr>
      <t xml:space="preserve">API được gọi.
</t>
    </r>
    <r>
      <rPr>
        <rFont val="メイリオ"/>
        <b/>
        <color rgb="FF000000"/>
        <sz val="10.0"/>
      </rPr>
      <t xml:space="preserve">ステップ2：
</t>
    </r>
    <r>
      <rPr>
        <rFont val="メイリオ"/>
        <color rgb="FF000000"/>
        <sz val="10.0"/>
      </rPr>
      <t xml:space="preserve">Trả về HTTP 500 (error_code: INTERNAL_SERVER_ERROR), và hiển thị「システムエラーが発生しました。しばらくしてから再度お試しください。」(ACSMS-MSG-015-003).
</t>
    </r>
    <r>
      <rPr>
        <rFont val="メイリオ"/>
        <b/>
        <color rgb="FF000000"/>
        <sz val="10.0"/>
      </rPr>
      <t xml:space="preserve">補足：
</t>
    </r>
    <r>
      <rPr>
        <rFont val="メイリオ"/>
        <color rgb="FF000000"/>
        <sz val="10.0"/>
      </rPr>
      <t>・Chi tiết lỗi nội bộ hay stack trace không hiển thị ở phía frontend.</t>
    </r>
  </si>
  <si>
    <t>ACSMS-TC-015-045</t>
  </si>
  <si>
    <t>Khi nhắm độc giả đã xóa làm đối tượng thì phát sinh lỗi</t>
  </si>
  <si>
    <t>・role: JA_HONTEN
・Đã login + đã xác thực MFA
・Tồn tại độc giả đã xóa logic có `deleted_at` không phải NULL</t>
  </si>
  <si>
    <r>
      <rPr>
        <rFont val="メイリオ"/>
        <b/>
        <color rgb="FF000000"/>
        <sz val="10.0"/>
      </rPr>
      <t xml:space="preserve">ステップ1：
</t>
    </r>
    <r>
      <rPr>
        <rFont val="メイリオ"/>
        <color rgb="FF000000"/>
        <sz val="10.0"/>
      </rPr>
      <t xml:space="preserve">Gọi API thay thế kèm ID độc giả đã bị xóa logic bằng thao tác khác, trong số các ID độc giả lấy được sau khi search.
</t>
    </r>
    <r>
      <rPr>
        <rFont val="メイリオ"/>
        <b/>
        <color rgb="FF000000"/>
        <sz val="10.0"/>
      </rPr>
      <t xml:space="preserve">ステップ2：
</t>
    </r>
    <r>
      <rPr>
        <rFont val="メイリオ"/>
        <color rgb="FF000000"/>
        <sz val="10.0"/>
      </rPr>
      <t>Kiểm tra phản hồi từ server.</t>
    </r>
  </si>
  <si>
    <r>
      <rPr>
        <rFont val="メイリオ"/>
        <b/>
        <color rgb="FF000000"/>
        <sz val="10.0"/>
      </rPr>
      <t xml:space="preserve">ステップ1：
</t>
    </r>
    <r>
      <rPr>
        <rFont val="メイリオ"/>
        <color rgb="FF000000"/>
        <sz val="10.0"/>
      </rPr>
      <t xml:space="preserve">Request được gửi.
</t>
    </r>
    <r>
      <rPr>
        <rFont val="メイリオ"/>
        <b/>
        <color rgb="FF000000"/>
        <sz val="10.0"/>
      </rPr>
      <t xml:space="preserve">ステップ2：
</t>
    </r>
    <r>
      <rPr>
        <rFont val="メイリオ"/>
        <color rgb="FF000000"/>
        <sz val="10.0"/>
      </rPr>
      <t xml:space="preserve">Trả về HTTP 404 (error_code: NOT_FOUND, message「指定された購読者が見つかりません。」).
</t>
    </r>
    <r>
      <rPr>
        <rFont val="メイリオ"/>
        <b/>
        <color rgb="FF000000"/>
        <sz val="10.0"/>
      </rPr>
      <t xml:space="preserve">補足：
</t>
    </r>
    <r>
      <rPr>
        <rFont val="メイリオ"/>
        <color rgb="FF000000"/>
        <sz val="10.0"/>
      </rPr>
      <t>・Thay thế đối với dữ liệu đã xóa không được thực thi, và toàn bộ được rollback.</t>
    </r>
  </si>
  <si>
    <t>ACSMS-TC-015-046</t>
  </si>
  <si>
    <t>Khi mất kết nối mạng thì hiển thị toast</t>
  </si>
  <si>
    <t>・role: CHUOKAI
・Đã login + đã xác thực MFA
・Có thể đặt Network của DevTools sang offline</t>
  </si>
  <si>
    <r>
      <rPr>
        <rFont val="メイリオ"/>
        <b/>
        <color rgb="FF000000"/>
        <sz val="10.0"/>
      </rPr>
      <t xml:space="preserve">ステップ1：
</t>
    </r>
    <r>
      <rPr>
        <rFont val="メイリオ"/>
        <color rgb="FF000000"/>
        <sz val="10.0"/>
      </rPr>
      <t xml:space="preserve">Đặt Network của DevTools sang offline.
</t>
    </r>
    <r>
      <rPr>
        <rFont val="メイリオ"/>
        <b/>
        <color rgb="FF000000"/>
        <sz val="10.0"/>
      </rPr>
      <t xml:space="preserve">ステップ2：
</t>
    </r>
    <r>
      <rPr>
        <rFont val="メイリオ"/>
        <color rgb="FF000000"/>
        <sz val="10.0"/>
      </rPr>
      <t>Thực thi「検索」hoặc「置換処理実行」.</t>
    </r>
  </si>
  <si>
    <r>
      <rPr>
        <rFont val="メイリオ"/>
        <b/>
        <color rgb="FF000000"/>
        <sz val="10.0"/>
      </rPr>
      <t xml:space="preserve">ステップ1：
</t>
    </r>
    <r>
      <rPr>
        <rFont val="メイリオ"/>
        <color rgb="FF000000"/>
        <sz val="10.0"/>
      </rPr>
      <t xml:space="preserve">Mạng chuyển sang trạng thái mất kết nối.
</t>
    </r>
    <r>
      <rPr>
        <rFont val="メイリオ"/>
        <b/>
        <color rgb="FF000000"/>
        <sz val="10.0"/>
      </rPr>
      <t xml:space="preserve">ステップ2：
</t>
    </r>
    <r>
      <rPr>
        <rFont val="メイリオ"/>
        <color rgb="FF000000"/>
        <sz val="10.0"/>
      </rPr>
      <t xml:space="preserve">Lỗi giao tiếp được bắt ở phía frontend, và toast lỗi mạng được hiển thị.
</t>
    </r>
    <r>
      <rPr>
        <rFont val="メイリオ"/>
        <b/>
        <color rgb="FF000000"/>
        <sz val="10.0"/>
      </rPr>
      <t xml:space="preserve">補足：
</t>
    </r>
    <r>
      <rPr>
        <rFont val="メイリオ"/>
        <color rgb="FF000000"/>
        <sz val="10.0"/>
      </rPr>
      <t>・Sau khi giao tiếp khôi phục thì có thể thao tác lại.</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</si>
</sst>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d/mm/yyyy"/>
  </numFmts>
  <fonts count="13">
    <font>
      <sz val="11.0"/>
      <color theme="1"/>
      <name val="Calibri"/>
      <scheme val="minor"/>
    </font>
    <font>
      <sz val="11.0"/>
      <color theme="1"/>
      <name val="Calibri"/>
    </font>
    <font>
      <sz val="26.0"/>
      <color rgb="FF1F3864"/>
      <name val="游ゴシック"/>
    </font>
    <font/>
    <font>
      <sz val="24.0"/>
      <color rgb="FF1F3864"/>
      <name val="游ゴシック"/>
    </font>
    <font>
      <sz val="15.0"/>
      <color theme="1"/>
      <name val="游ゴシック"/>
    </font>
    <font>
      <sz val="10.0"/>
      <color rgb="FF000000"/>
      <name val="游ゴシック"/>
    </font>
    <font>
      <b/>
      <sz val="11.0"/>
      <color rgb="FF000000"/>
      <name val="游ゴシック"/>
    </font>
    <font>
      <sz val="11.0"/>
      <color rgb="FF000000"/>
      <name val="游ゴシック"/>
    </font>
    <font>
      <b/>
      <sz val="14.0"/>
      <color rgb="FF000000"/>
      <name val="游ゴシック"/>
    </font>
    <font>
      <i/>
      <sz val="11.0"/>
      <color rgb="FF000000"/>
      <name val="游ゴシック"/>
    </font>
    <font>
      <sz val="11.0"/>
      <color theme="1"/>
      <name val="Arial"/>
    </font>
    <font>
      <strike/>
      <sz val="11.0"/>
      <color rgb="FF000000"/>
      <name val="游ゴシック"/>
    </font>
  </fonts>
  <fills count="10">
    <fill>
      <patternFill patternType="none"/>
    </fill>
    <fill>
      <patternFill patternType="lightGray"/>
    </fill>
    <fill>
      <patternFill patternType="solid">
        <fgColor rgb="FFD9E2F3"/>
        <bgColor rgb="FFD9E2F3"/>
      </patternFill>
    </fill>
    <fill>
      <patternFill patternType="solid">
        <fgColor rgb="FFB4C6E7"/>
        <bgColor rgb="FFB4C6E7"/>
      </patternFill>
    </fill>
    <fill>
      <patternFill patternType="solid">
        <fgColor rgb="FFFFFF99"/>
        <bgColor rgb="FFFFFF99"/>
      </patternFill>
    </fill>
    <fill>
      <patternFill patternType="solid">
        <fgColor rgb="FFBDD6EE"/>
        <bgColor rgb="FFBDD6EE"/>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4" fillId="0" fontId="2" numFmtId="0" xfId="0" applyAlignment="1" applyBorder="1" applyFont="1">
      <alignment horizontal="center" shrinkToFit="0" vertical="center" wrapText="1"/>
    </xf>
    <xf borderId="5" fillId="0" fontId="3" numFmtId="0" xfId="0" applyBorder="1" applyFont="1"/>
    <xf borderId="4" fillId="0" fontId="4"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6" fillId="2" fontId="6" numFmtId="0" xfId="0" applyAlignment="1" applyBorder="1" applyFill="1" applyFont="1">
      <alignment horizontal="center" shrinkToFit="0" vertical="center" wrapText="1"/>
    </xf>
    <xf borderId="7" fillId="0" fontId="3" numFmtId="0" xfId="0" applyBorder="1" applyFont="1"/>
    <xf borderId="8" fillId="0" fontId="3" numFmtId="0" xfId="0" applyBorder="1" applyFont="1"/>
    <xf borderId="6" fillId="2" fontId="6" numFmtId="49" xfId="0" applyAlignment="1" applyBorder="1" applyFont="1" applyNumberFormat="1">
      <alignment horizontal="center" shrinkToFit="0" vertical="center" wrapText="1"/>
    </xf>
    <xf borderId="9" fillId="0" fontId="1" numFmtId="0" xfId="0" applyBorder="1" applyFont="1"/>
    <xf borderId="10" fillId="0" fontId="1" numFmtId="0" xfId="0" applyBorder="1" applyFont="1"/>
    <xf borderId="11" fillId="0" fontId="1" numFmtId="0" xfId="0" applyBorder="1" applyFont="1"/>
    <xf borderId="12" fillId="3" fontId="7" numFmtId="0" xfId="0" applyAlignment="1" applyBorder="1" applyFill="1" applyFont="1">
      <alignment horizontal="center" shrinkToFit="0" vertical="center" wrapText="1"/>
    </xf>
    <xf borderId="6" fillId="3" fontId="7" numFmtId="0" xfId="0" applyAlignment="1" applyBorder="1" applyFont="1">
      <alignment horizontal="center" shrinkToFit="0" vertical="center" wrapText="1"/>
    </xf>
    <xf borderId="12" fillId="0" fontId="8"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6" fillId="0" fontId="8" numFmtId="0" xfId="0" applyAlignment="1" applyBorder="1" applyFont="1">
      <alignment horizontal="left" shrinkToFit="0" vertical="center" wrapText="1"/>
    </xf>
    <xf borderId="1" fillId="0" fontId="8" numFmtId="0" xfId="0" applyAlignment="1" applyBorder="1" applyFont="1">
      <alignment horizontal="center" shrinkToFit="0" vertical="center" wrapText="1"/>
    </xf>
    <xf borderId="2" fillId="0" fontId="3" numFmtId="0" xfId="0" applyBorder="1" applyFont="1"/>
    <xf borderId="3" fillId="0" fontId="3" numFmtId="0" xfId="0" applyBorder="1" applyFont="1"/>
    <xf borderId="1" fillId="0" fontId="8" numFmtId="49" xfId="0" applyAlignment="1" applyBorder="1" applyFont="1" applyNumberFormat="1">
      <alignment horizontal="center" shrinkToFit="0" vertical="center" wrapText="1"/>
    </xf>
    <xf borderId="9" fillId="0" fontId="3" numFmtId="0" xfId="0" applyBorder="1" applyFont="1"/>
    <xf borderId="10" fillId="0" fontId="3" numFmtId="0" xfId="0" applyBorder="1" applyFont="1"/>
    <xf borderId="11" fillId="0" fontId="3" numFmtId="0" xfId="0" applyBorder="1" applyFont="1"/>
    <xf borderId="0" fillId="0" fontId="7" numFmtId="0" xfId="0" applyAlignment="1" applyFont="1">
      <alignment horizontal="left" shrinkToFit="0" vertical="center" wrapText="1"/>
    </xf>
    <xf borderId="0" fillId="0" fontId="8" numFmtId="0" xfId="0" applyAlignment="1" applyFont="1">
      <alignment horizontal="left" shrinkToFit="0" vertical="center" wrapText="1"/>
    </xf>
    <xf borderId="13" fillId="4" fontId="7" numFmtId="0" xfId="0" applyAlignment="1" applyBorder="1" applyFill="1" applyFont="1">
      <alignment horizontal="left" shrinkToFit="0" vertical="center" wrapText="1"/>
    </xf>
    <xf borderId="14" fillId="0" fontId="3" numFmtId="0" xfId="0" applyBorder="1" applyFont="1"/>
    <xf borderId="15" fillId="0" fontId="3" numFmtId="0" xfId="0" applyBorder="1" applyFont="1"/>
    <xf borderId="6" fillId="3" fontId="9" numFmtId="0" xfId="0" applyAlignment="1" applyBorder="1" applyFont="1">
      <alignment horizontal="center" shrinkToFit="0" vertical="center" wrapText="1"/>
    </xf>
    <xf borderId="6" fillId="5" fontId="7" numFmtId="0" xfId="0" applyAlignment="1" applyBorder="1" applyFill="1" applyFont="1">
      <alignment horizontal="left" shrinkToFit="0" vertical="center" wrapText="1"/>
    </xf>
    <xf borderId="6" fillId="0" fontId="8" numFmtId="49" xfId="0" applyAlignment="1" applyBorder="1" applyFont="1" applyNumberFormat="1">
      <alignment horizontal="left" shrinkToFit="0" vertical="center" wrapText="1"/>
    </xf>
    <xf borderId="16" fillId="5" fontId="7" numFmtId="0" xfId="0" applyAlignment="1" applyBorder="1" applyFont="1">
      <alignment horizontal="center" shrinkToFit="0" vertical="center" wrapText="1"/>
    </xf>
    <xf borderId="1" fillId="5" fontId="7" numFmtId="0" xfId="0" applyAlignment="1" applyBorder="1" applyFont="1">
      <alignment horizontal="center" shrinkToFit="0" vertical="center" wrapText="1"/>
    </xf>
    <xf borderId="6" fillId="5" fontId="7" numFmtId="0" xfId="0" applyAlignment="1" applyBorder="1" applyFont="1">
      <alignment horizontal="center" shrinkToFit="0" vertical="center" wrapText="1"/>
    </xf>
    <xf borderId="17" fillId="0" fontId="3" numFmtId="0" xfId="0" applyBorder="1" applyFont="1"/>
    <xf borderId="12" fillId="6" fontId="7" numFmtId="0" xfId="0" applyAlignment="1" applyBorder="1" applyFill="1" applyFont="1">
      <alignment horizontal="left" shrinkToFit="0" vertical="center" wrapText="1"/>
    </xf>
    <xf borderId="6" fillId="0" fontId="8" numFmtId="164" xfId="0" applyAlignment="1" applyBorder="1" applyFont="1" applyNumberFormat="1">
      <alignment horizontal="center" shrinkToFit="0" vertical="center" wrapText="1"/>
    </xf>
    <xf borderId="6" fillId="0" fontId="7" numFmtId="0" xfId="0" applyAlignment="1" applyBorder="1" applyFont="1">
      <alignment horizontal="center" shrinkToFit="0" vertical="center" wrapText="1"/>
    </xf>
    <xf borderId="6" fillId="0" fontId="7" numFmtId="164" xfId="0" applyAlignment="1" applyBorder="1" applyFont="1" applyNumberFormat="1">
      <alignment horizontal="center" shrinkToFit="0" vertical="center" wrapText="1"/>
    </xf>
    <xf borderId="12" fillId="6" fontId="7" numFmtId="0" xfId="0" applyAlignment="1" applyBorder="1" applyFont="1">
      <alignment horizontal="center" shrinkToFit="0" vertical="center" wrapText="1"/>
    </xf>
    <xf borderId="6" fillId="6" fontId="7" numFmtId="0" xfId="0" applyAlignment="1" applyBorder="1" applyFont="1">
      <alignment horizontal="center" shrinkToFit="0" vertical="center" wrapText="1"/>
    </xf>
    <xf borderId="12" fillId="0" fontId="8" numFmtId="0" xfId="0" applyAlignment="1" applyBorder="1" applyFont="1">
      <alignment horizontal="center" shrinkToFit="0" vertical="top" wrapText="1"/>
    </xf>
    <xf borderId="6" fillId="0" fontId="8" numFmtId="0" xfId="0" applyAlignment="1" applyBorder="1" applyFont="1">
      <alignment horizontal="center" shrinkToFit="0" vertical="top" wrapText="1"/>
    </xf>
    <xf borderId="6" fillId="0" fontId="8" numFmtId="0" xfId="0" applyAlignment="1" applyBorder="1" applyFont="1">
      <alignment horizontal="left" shrinkToFit="0" vertical="top" wrapText="1"/>
    </xf>
    <xf borderId="6" fillId="7" fontId="7" numFmtId="0" xfId="0" applyAlignment="1" applyBorder="1" applyFill="1" applyFont="1">
      <alignment horizontal="center" shrinkToFit="0" vertical="top" wrapText="1"/>
    </xf>
    <xf borderId="6" fillId="8" fontId="7" numFmtId="0" xfId="0" applyAlignment="1" applyBorder="1" applyFill="1" applyFont="1">
      <alignment horizontal="center" shrinkToFit="0" vertical="top" wrapText="1"/>
    </xf>
    <xf borderId="6" fillId="9" fontId="7" numFmtId="0" xfId="0" applyAlignment="1" applyBorder="1" applyFill="1" applyFont="1">
      <alignment horizontal="center" shrinkToFit="0" vertical="top" wrapText="1"/>
    </xf>
    <xf borderId="6" fillId="5" fontId="7" numFmtId="0" xfId="0" applyAlignment="1" applyBorder="1" applyFont="1">
      <alignment horizontal="right" shrinkToFit="0" vertical="center" wrapText="1"/>
    </xf>
    <xf borderId="6" fillId="0" fontId="7" numFmtId="0" xfId="0" applyAlignment="1" applyBorder="1" applyFont="1">
      <alignment horizontal="center" shrinkToFit="0" vertical="top" wrapText="1"/>
    </xf>
    <xf borderId="6" fillId="0" fontId="10" numFmtId="0" xfId="0" applyAlignment="1" applyBorder="1" applyFont="1">
      <alignment horizontal="left" shrinkToFit="0" vertical="top" wrapText="1"/>
    </xf>
    <xf borderId="16" fillId="6" fontId="7" numFmtId="0" xfId="0" applyAlignment="1" applyBorder="1" applyFont="1">
      <alignment horizontal="center" shrinkToFit="0" vertical="center" wrapText="1"/>
    </xf>
    <xf borderId="1" fillId="6" fontId="7" numFmtId="0" xfId="0" applyAlignment="1" applyBorder="1" applyFont="1">
      <alignment horizontal="center" shrinkToFit="0" vertical="center" wrapText="1"/>
    </xf>
    <xf borderId="6" fillId="0" fontId="8" numFmtId="0" xfId="0" applyAlignment="1" applyBorder="1" applyFont="1">
      <alignment horizontal="center" readingOrder="0" shrinkToFit="0" vertical="top" wrapText="1"/>
    </xf>
    <xf borderId="6" fillId="0" fontId="8" numFmtId="165" xfId="0" applyAlignment="1" applyBorder="1" applyFont="1" applyNumberFormat="1">
      <alignment horizontal="center" readingOrder="0" shrinkToFit="0" vertical="top" wrapText="1"/>
    </xf>
    <xf borderId="6" fillId="0" fontId="11" numFmtId="0" xfId="0" applyAlignment="1" applyBorder="1" applyFont="1">
      <alignment horizontal="center" shrinkToFit="0" vertical="top" wrapText="1"/>
    </xf>
    <xf borderId="6" fillId="0" fontId="1" numFmtId="0" xfId="0" applyAlignment="1" applyBorder="1" applyFont="1">
      <alignment vertical="top"/>
    </xf>
    <xf borderId="6" fillId="0" fontId="11" numFmtId="165" xfId="0" applyAlignment="1" applyBorder="1" applyFont="1" applyNumberFormat="1">
      <alignment horizontal="center" shrinkToFit="0" vertical="top" wrapText="1"/>
    </xf>
    <xf borderId="6" fillId="0" fontId="8" numFmtId="0" xfId="0" applyAlignment="1" applyBorder="1" applyFont="1">
      <alignment horizontal="left" readingOrder="0" shrinkToFit="0" vertical="top" wrapText="1"/>
    </xf>
    <xf borderId="12" fillId="0" fontId="12" numFmtId="0" xfId="0" applyAlignment="1" applyBorder="1" applyFont="1">
      <alignment horizontal="center" shrinkToFit="0" vertical="top" wrapText="1"/>
    </xf>
    <xf borderId="6" fillId="0" fontId="12" numFmtId="0" xfId="0" applyAlignment="1" applyBorder="1" applyFont="1">
      <alignment horizontal="left" shrinkToFit="0" vertical="top" wrapText="1"/>
    </xf>
    <xf borderId="6" fillId="0" fontId="12"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3"/>
    </row>
    <row r="3" ht="12.75" customHeight="1">
      <c r="B3" s="4"/>
      <c r="AK3" s="5"/>
    </row>
    <row r="4" ht="12.75" customHeight="1">
      <c r="B4" s="4"/>
      <c r="AK4" s="5"/>
    </row>
    <row r="5" ht="12.75" customHeight="1">
      <c r="B5" s="4"/>
      <c r="AK5" s="5"/>
    </row>
    <row r="6" ht="12.75" customHeight="1">
      <c r="B6" s="4"/>
      <c r="AK6" s="5"/>
    </row>
    <row r="7" ht="12.75" customHeight="1">
      <c r="B7" s="4"/>
      <c r="AK7" s="5"/>
    </row>
    <row r="8" ht="12.75" customHeight="1">
      <c r="B8" s="4"/>
      <c r="AK8" s="5"/>
    </row>
    <row r="9" ht="12.75" customHeight="1">
      <c r="B9" s="4"/>
      <c r="AK9" s="5"/>
    </row>
    <row r="10" ht="29.25" customHeight="1">
      <c r="B10" s="6" t="s">
        <v>0</v>
      </c>
      <c r="AK10" s="7"/>
    </row>
    <row r="11" ht="12.75" customHeight="1">
      <c r="B11" s="4"/>
      <c r="AK11" s="5"/>
    </row>
    <row r="12" ht="39.0" customHeight="1">
      <c r="B12" s="8" t="s">
        <v>1</v>
      </c>
      <c r="AK12" s="7"/>
    </row>
    <row r="13" ht="12.75" customHeight="1">
      <c r="B13" s="4"/>
      <c r="AK13" s="5"/>
    </row>
    <row r="14" ht="12.75" customHeight="1">
      <c r="B14" s="4"/>
      <c r="AK14" s="5"/>
    </row>
    <row r="15" ht="12.75" customHeight="1">
      <c r="B15" s="9" t="s">
        <v>2</v>
      </c>
      <c r="AK15" s="7"/>
    </row>
    <row r="16" ht="12.75" customHeight="1">
      <c r="B16" s="4"/>
      <c r="AK16" s="5"/>
    </row>
    <row r="17" ht="12.75" customHeight="1">
      <c r="B17" s="4"/>
      <c r="AK17" s="5"/>
    </row>
    <row r="18" ht="12.75" customHeight="1">
      <c r="B18" s="4"/>
      <c r="N18" s="10" t="s">
        <v>3</v>
      </c>
      <c r="O18" s="11"/>
      <c r="P18" s="11"/>
      <c r="Q18" s="11"/>
      <c r="R18" s="12"/>
      <c r="S18" s="10" t="s">
        <v>4</v>
      </c>
      <c r="T18" s="11"/>
      <c r="U18" s="11"/>
      <c r="V18" s="11"/>
      <c r="W18" s="12"/>
      <c r="AK18" s="5"/>
    </row>
    <row r="19" ht="12.75" customHeight="1">
      <c r="B19" s="4"/>
      <c r="N19" s="10" t="s">
        <v>5</v>
      </c>
      <c r="O19" s="11"/>
      <c r="P19" s="11"/>
      <c r="Q19" s="11"/>
      <c r="R19" s="12"/>
      <c r="S19" s="10" t="s">
        <v>6</v>
      </c>
      <c r="T19" s="11"/>
      <c r="U19" s="11"/>
      <c r="V19" s="11"/>
      <c r="W19" s="12"/>
      <c r="AK19" s="5"/>
    </row>
    <row r="20" ht="12.75" customHeight="1">
      <c r="B20" s="4"/>
      <c r="N20" s="10" t="s">
        <v>7</v>
      </c>
      <c r="O20" s="11"/>
      <c r="P20" s="11"/>
      <c r="Q20" s="11"/>
      <c r="R20" s="12"/>
      <c r="S20" s="13" t="s">
        <v>8</v>
      </c>
      <c r="T20" s="11"/>
      <c r="U20" s="11"/>
      <c r="V20" s="11"/>
      <c r="W20" s="12"/>
      <c r="AK20" s="5"/>
    </row>
    <row r="21" ht="12.75" customHeight="1">
      <c r="B21" s="4"/>
      <c r="AK21" s="5"/>
    </row>
    <row r="22" ht="12.75" customHeight="1">
      <c r="B22" s="4"/>
      <c r="AK22" s="5"/>
    </row>
    <row r="23" ht="12.75" customHeight="1">
      <c r="B23" s="4"/>
      <c r="AK23" s="5"/>
    </row>
    <row r="24" ht="12.75" customHeight="1">
      <c r="B24" s="4"/>
      <c r="AK24" s="5"/>
    </row>
    <row r="25" ht="12.75" customHeight="1">
      <c r="B25" s="4"/>
      <c r="AK25" s="5"/>
    </row>
    <row r="26" ht="12.75" customHeight="1">
      <c r="B26" s="4"/>
      <c r="AK26" s="5"/>
    </row>
    <row r="27" ht="12.75" customHeight="1">
      <c r="B27" s="4"/>
      <c r="AK27" s="5"/>
    </row>
    <row r="28" ht="12.75" customHeight="1">
      <c r="B28" s="4"/>
      <c r="AK28" s="5"/>
    </row>
    <row r="29" ht="12.75" customHeight="1">
      <c r="B29" s="4"/>
      <c r="AK29" s="5"/>
    </row>
    <row r="30" ht="12.75" customHeight="1">
      <c r="B30" s="4"/>
      <c r="AK30" s="5"/>
    </row>
    <row r="31" ht="12.75" customHeight="1">
      <c r="B31" s="4"/>
      <c r="AK31" s="5"/>
    </row>
    <row r="32" ht="12.75" customHeight="1">
      <c r="B32" s="4"/>
      <c r="AK32" s="5"/>
    </row>
    <row r="33" ht="12.75" customHeight="1">
      <c r="B33" s="4"/>
      <c r="AK33" s="5"/>
    </row>
    <row r="34" ht="12.75" customHeight="1">
      <c r="B34" s="14"/>
      <c r="C34" s="15"/>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6"/>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7" t="s">
        <v>9</v>
      </c>
      <c r="B1" s="18" t="s">
        <v>7</v>
      </c>
      <c r="C1" s="11"/>
      <c r="D1" s="11"/>
      <c r="E1" s="12"/>
      <c r="F1" s="18" t="s">
        <v>10</v>
      </c>
      <c r="G1" s="11"/>
      <c r="H1" s="12"/>
      <c r="I1" s="18" t="s">
        <v>11</v>
      </c>
      <c r="J1" s="11"/>
      <c r="K1" s="11"/>
      <c r="L1" s="11"/>
      <c r="M1" s="11"/>
      <c r="N1" s="12"/>
      <c r="O1" s="18" t="s">
        <v>12</v>
      </c>
      <c r="P1" s="11"/>
      <c r="Q1" s="11"/>
      <c r="R1" s="11"/>
      <c r="S1" s="11"/>
      <c r="T1" s="11"/>
      <c r="U1" s="11"/>
      <c r="V1" s="12"/>
      <c r="W1" s="18" t="s">
        <v>13</v>
      </c>
      <c r="X1" s="11"/>
      <c r="Y1" s="11"/>
      <c r="Z1" s="11"/>
      <c r="AA1" s="11"/>
      <c r="AB1" s="12"/>
      <c r="AC1" s="18" t="s">
        <v>14</v>
      </c>
      <c r="AD1" s="11"/>
      <c r="AE1" s="11"/>
      <c r="AF1" s="11"/>
      <c r="AG1" s="11"/>
      <c r="AH1" s="12"/>
    </row>
    <row r="2" ht="22.5" customHeight="1">
      <c r="A2" s="19">
        <v>1.0</v>
      </c>
      <c r="B2" s="20" t="s">
        <v>15</v>
      </c>
      <c r="C2" s="11"/>
      <c r="D2" s="11"/>
      <c r="E2" s="12"/>
      <c r="F2" s="20" t="s">
        <v>6</v>
      </c>
      <c r="G2" s="11"/>
      <c r="H2" s="12"/>
      <c r="I2" s="20" t="s">
        <v>16</v>
      </c>
      <c r="J2" s="11"/>
      <c r="K2" s="11"/>
      <c r="L2" s="11"/>
      <c r="M2" s="11"/>
      <c r="N2" s="12"/>
      <c r="O2" s="21" t="s">
        <v>17</v>
      </c>
      <c r="P2" s="11"/>
      <c r="Q2" s="11"/>
      <c r="R2" s="11"/>
      <c r="S2" s="11"/>
      <c r="T2" s="11"/>
      <c r="U2" s="11"/>
      <c r="V2" s="12"/>
      <c r="W2" s="20" t="s">
        <v>18</v>
      </c>
      <c r="X2" s="11"/>
      <c r="Y2" s="11"/>
      <c r="Z2" s="11"/>
      <c r="AA2" s="11"/>
      <c r="AB2" s="12"/>
      <c r="AC2" s="20" t="s">
        <v>18</v>
      </c>
      <c r="AD2" s="11"/>
      <c r="AE2" s="11"/>
      <c r="AF2" s="11"/>
      <c r="AG2" s="11"/>
      <c r="AH2"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F2:H2"/>
    <mergeCell ref="I2:N2"/>
    <mergeCell ref="O2:V2"/>
    <mergeCell ref="W2:AB2"/>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27</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4" ht="15.0" customHeight="1"/>
    <row r="5" ht="19.5" customHeight="1">
      <c r="B5" s="29" t="s">
        <v>28</v>
      </c>
    </row>
    <row r="6" ht="19.5" customHeight="1">
      <c r="C6" s="30" t="s">
        <v>29</v>
      </c>
    </row>
    <row r="7" ht="15.0" customHeight="1"/>
    <row r="8" ht="19.5" customHeight="1">
      <c r="B8" s="29" t="s">
        <v>30</v>
      </c>
    </row>
    <row r="9" ht="19.5" customHeight="1">
      <c r="C9" s="31" t="s">
        <v>31</v>
      </c>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3"/>
    </row>
    <row r="10" ht="19.5" customHeight="1">
      <c r="C10" s="31" t="s">
        <v>32</v>
      </c>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3"/>
    </row>
    <row r="11" ht="19.5" customHeight="1">
      <c r="C11" s="31" t="s">
        <v>33</v>
      </c>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3"/>
    </row>
    <row r="12" ht="19.5" customHeight="1">
      <c r="C12" s="31" t="s">
        <v>34</v>
      </c>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3"/>
    </row>
    <row r="13" ht="19.5" customHeight="1">
      <c r="C13" s="31" t="s">
        <v>35</v>
      </c>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3"/>
    </row>
    <row r="14" ht="15.0" customHeight="1"/>
    <row r="15" ht="19.5" customHeight="1">
      <c r="B15" s="29" t="s">
        <v>36</v>
      </c>
    </row>
    <row r="16" ht="15.0" customHeight="1"/>
    <row r="17" ht="22.5" customHeight="1">
      <c r="C17" s="17" t="s">
        <v>37</v>
      </c>
      <c r="D17" s="18" t="s">
        <v>38</v>
      </c>
      <c r="E17" s="11"/>
      <c r="F17" s="11"/>
      <c r="G17" s="11"/>
      <c r="H17" s="11"/>
      <c r="I17" s="11"/>
      <c r="J17" s="11"/>
      <c r="K17" s="11"/>
      <c r="L17" s="11"/>
      <c r="M17" s="11"/>
      <c r="N17" s="12"/>
      <c r="O17" s="18" t="s">
        <v>39</v>
      </c>
      <c r="P17" s="11"/>
      <c r="Q17" s="11"/>
      <c r="R17" s="11"/>
      <c r="S17" s="11"/>
      <c r="T17" s="11"/>
      <c r="U17" s="11"/>
      <c r="V17" s="11"/>
      <c r="W17" s="11"/>
      <c r="X17" s="11"/>
      <c r="Y17" s="11"/>
      <c r="Z17" s="11"/>
      <c r="AA17" s="11"/>
      <c r="AB17" s="11"/>
      <c r="AC17" s="11"/>
      <c r="AD17" s="11"/>
      <c r="AE17" s="11"/>
      <c r="AF17" s="11"/>
      <c r="AG17" s="12"/>
    </row>
    <row r="18" ht="22.5" customHeight="1">
      <c r="C18" s="19">
        <v>1.0</v>
      </c>
      <c r="D18" s="21" t="s">
        <v>40</v>
      </c>
      <c r="E18" s="11"/>
      <c r="F18" s="11"/>
      <c r="G18" s="11"/>
      <c r="H18" s="11"/>
      <c r="I18" s="11"/>
      <c r="J18" s="11"/>
      <c r="K18" s="11"/>
      <c r="L18" s="11"/>
      <c r="M18" s="11"/>
      <c r="N18" s="12"/>
      <c r="O18" s="21" t="s">
        <v>41</v>
      </c>
      <c r="P18" s="11"/>
      <c r="Q18" s="11"/>
      <c r="R18" s="11"/>
      <c r="S18" s="11"/>
      <c r="T18" s="11"/>
      <c r="U18" s="11"/>
      <c r="V18" s="11"/>
      <c r="W18" s="11"/>
      <c r="X18" s="11"/>
      <c r="Y18" s="11"/>
      <c r="Z18" s="11"/>
      <c r="AA18" s="11"/>
      <c r="AB18" s="11"/>
      <c r="AC18" s="11"/>
      <c r="AD18" s="11"/>
      <c r="AE18" s="11"/>
      <c r="AF18" s="11"/>
      <c r="AG18" s="12"/>
    </row>
    <row r="19" ht="22.5" customHeight="1">
      <c r="C19" s="19">
        <v>2.0</v>
      </c>
      <c r="D19" s="21" t="s">
        <v>42</v>
      </c>
      <c r="E19" s="11"/>
      <c r="F19" s="11"/>
      <c r="G19" s="11"/>
      <c r="H19" s="11"/>
      <c r="I19" s="11"/>
      <c r="J19" s="11"/>
      <c r="K19" s="11"/>
      <c r="L19" s="11"/>
      <c r="M19" s="11"/>
      <c r="N19" s="12"/>
      <c r="O19" s="21" t="s">
        <v>43</v>
      </c>
      <c r="P19" s="11"/>
      <c r="Q19" s="11"/>
      <c r="R19" s="11"/>
      <c r="S19" s="11"/>
      <c r="T19" s="11"/>
      <c r="U19" s="11"/>
      <c r="V19" s="11"/>
      <c r="W19" s="11"/>
      <c r="X19" s="11"/>
      <c r="Y19" s="11"/>
      <c r="Z19" s="11"/>
      <c r="AA19" s="11"/>
      <c r="AB19" s="11"/>
      <c r="AC19" s="11"/>
      <c r="AD19" s="11"/>
      <c r="AE19" s="11"/>
      <c r="AF19" s="11"/>
      <c r="AG19" s="12"/>
    </row>
    <row r="20" ht="22.5" customHeight="1">
      <c r="C20" s="19">
        <v>3.0</v>
      </c>
      <c r="D20" s="21" t="s">
        <v>44</v>
      </c>
      <c r="E20" s="11"/>
      <c r="F20" s="11"/>
      <c r="G20" s="11"/>
      <c r="H20" s="11"/>
      <c r="I20" s="11"/>
      <c r="J20" s="11"/>
      <c r="K20" s="11"/>
      <c r="L20" s="11"/>
      <c r="M20" s="11"/>
      <c r="N20" s="12"/>
      <c r="O20" s="21" t="s">
        <v>45</v>
      </c>
      <c r="P20" s="11"/>
      <c r="Q20" s="11"/>
      <c r="R20" s="11"/>
      <c r="S20" s="11"/>
      <c r="T20" s="11"/>
      <c r="U20" s="11"/>
      <c r="V20" s="11"/>
      <c r="W20" s="11"/>
      <c r="X20" s="11"/>
      <c r="Y20" s="11"/>
      <c r="Z20" s="11"/>
      <c r="AA20" s="11"/>
      <c r="AB20" s="11"/>
      <c r="AC20" s="11"/>
      <c r="AD20" s="11"/>
      <c r="AE20" s="11"/>
      <c r="AF20" s="11"/>
      <c r="AG20"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B8:AK8"/>
    <mergeCell ref="C9:AK9"/>
    <mergeCell ref="C10:AK10"/>
    <mergeCell ref="C11:AK11"/>
    <mergeCell ref="C12:AK12"/>
    <mergeCell ref="D19:N19"/>
    <mergeCell ref="D20:N20"/>
    <mergeCell ref="C13:AK13"/>
    <mergeCell ref="B15:AK15"/>
    <mergeCell ref="D17:N17"/>
    <mergeCell ref="O17:AG17"/>
    <mergeCell ref="D18:N18"/>
    <mergeCell ref="O18:AG18"/>
    <mergeCell ref="O19:AG19"/>
    <mergeCell ref="O20:AG20"/>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34" t="s">
        <v>46</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2"/>
    </row>
    <row r="3" ht="22.5" customHeight="1">
      <c r="A3" s="35" t="s">
        <v>47</v>
      </c>
      <c r="B3" s="11"/>
      <c r="C3" s="11"/>
      <c r="D3" s="11"/>
      <c r="E3" s="11"/>
      <c r="F3" s="12"/>
      <c r="G3" s="21" t="s">
        <v>0</v>
      </c>
      <c r="H3" s="11"/>
      <c r="I3" s="11"/>
      <c r="J3" s="11"/>
      <c r="K3" s="11"/>
      <c r="L3" s="11"/>
      <c r="M3" s="11"/>
      <c r="N3" s="11"/>
      <c r="O3" s="12"/>
      <c r="P3" s="35" t="s">
        <v>48</v>
      </c>
      <c r="Q3" s="11"/>
      <c r="R3" s="11"/>
      <c r="S3" s="11"/>
      <c r="T3" s="11"/>
      <c r="U3" s="11"/>
      <c r="V3" s="11"/>
      <c r="W3" s="12"/>
      <c r="X3" s="21" t="s">
        <v>18</v>
      </c>
      <c r="Y3" s="11"/>
      <c r="Z3" s="11"/>
      <c r="AA3" s="11"/>
      <c r="AB3" s="11"/>
      <c r="AC3" s="11"/>
      <c r="AD3" s="11"/>
      <c r="AE3" s="11"/>
      <c r="AF3" s="11"/>
      <c r="AG3" s="11"/>
      <c r="AH3" s="12"/>
    </row>
    <row r="4" ht="22.5" customHeight="1">
      <c r="A4" s="35" t="s">
        <v>11</v>
      </c>
      <c r="B4" s="11"/>
      <c r="C4" s="11"/>
      <c r="D4" s="11"/>
      <c r="E4" s="11"/>
      <c r="F4" s="12"/>
      <c r="G4" s="21" t="s">
        <v>16</v>
      </c>
      <c r="H4" s="11"/>
      <c r="I4" s="11"/>
      <c r="J4" s="11"/>
      <c r="K4" s="11"/>
      <c r="L4" s="11"/>
      <c r="M4" s="11"/>
      <c r="N4" s="11"/>
      <c r="O4" s="12"/>
      <c r="P4" s="35" t="s">
        <v>22</v>
      </c>
      <c r="Q4" s="11"/>
      <c r="R4" s="11"/>
      <c r="S4" s="11"/>
      <c r="T4" s="11"/>
      <c r="U4" s="11"/>
      <c r="V4" s="11"/>
      <c r="W4" s="12"/>
      <c r="X4" s="36" t="s">
        <v>8</v>
      </c>
      <c r="Y4" s="11"/>
      <c r="Z4" s="11"/>
      <c r="AA4" s="11"/>
      <c r="AB4" s="11"/>
      <c r="AC4" s="11"/>
      <c r="AD4" s="11"/>
      <c r="AE4" s="11"/>
      <c r="AF4" s="11"/>
      <c r="AG4" s="11"/>
      <c r="AH4" s="12"/>
    </row>
    <row r="6" ht="22.5" customHeight="1">
      <c r="A6" s="37" t="s">
        <v>49</v>
      </c>
      <c r="B6" s="38" t="s">
        <v>50</v>
      </c>
      <c r="C6" s="23"/>
      <c r="D6" s="23"/>
      <c r="E6" s="23"/>
      <c r="F6" s="23"/>
      <c r="G6" s="24"/>
      <c r="H6" s="39" t="s">
        <v>51</v>
      </c>
      <c r="I6" s="11"/>
      <c r="J6" s="11"/>
      <c r="K6" s="11"/>
      <c r="L6" s="11"/>
      <c r="M6" s="11"/>
      <c r="N6" s="11"/>
      <c r="O6" s="11"/>
      <c r="P6" s="12"/>
      <c r="Q6" s="38" t="s">
        <v>52</v>
      </c>
      <c r="R6" s="23"/>
      <c r="S6" s="24"/>
      <c r="T6" s="39" t="s">
        <v>53</v>
      </c>
      <c r="U6" s="11"/>
      <c r="V6" s="11"/>
      <c r="W6" s="11"/>
      <c r="X6" s="11"/>
      <c r="Y6" s="11"/>
      <c r="Z6" s="11"/>
      <c r="AA6" s="11"/>
      <c r="AB6" s="11"/>
      <c r="AC6" s="11"/>
      <c r="AD6" s="11"/>
      <c r="AE6" s="11"/>
      <c r="AF6" s="11"/>
      <c r="AG6" s="11"/>
      <c r="AH6" s="12"/>
    </row>
    <row r="7" ht="22.5" customHeight="1">
      <c r="A7" s="40"/>
      <c r="B7" s="26"/>
      <c r="C7" s="27"/>
      <c r="D7" s="27"/>
      <c r="E7" s="27"/>
      <c r="F7" s="27"/>
      <c r="G7" s="28"/>
      <c r="H7" s="39" t="s">
        <v>54</v>
      </c>
      <c r="I7" s="11"/>
      <c r="J7" s="12"/>
      <c r="K7" s="39" t="s">
        <v>55</v>
      </c>
      <c r="L7" s="11"/>
      <c r="M7" s="12"/>
      <c r="N7" s="39" t="s">
        <v>56</v>
      </c>
      <c r="O7" s="11"/>
      <c r="P7" s="12"/>
      <c r="Q7" s="26"/>
      <c r="R7" s="27"/>
      <c r="S7" s="28"/>
      <c r="T7" s="39" t="s">
        <v>57</v>
      </c>
      <c r="U7" s="11"/>
      <c r="V7" s="12"/>
      <c r="W7" s="39" t="s">
        <v>58</v>
      </c>
      <c r="X7" s="11"/>
      <c r="Y7" s="12"/>
      <c r="Z7" s="39" t="s">
        <v>59</v>
      </c>
      <c r="AA7" s="11"/>
      <c r="AB7" s="12"/>
      <c r="AC7" s="39" t="s">
        <v>60</v>
      </c>
      <c r="AD7" s="11"/>
      <c r="AE7" s="12"/>
      <c r="AF7" s="39" t="s">
        <v>61</v>
      </c>
      <c r="AG7" s="11"/>
      <c r="AH7" s="12"/>
    </row>
    <row r="8" ht="22.5" customHeight="1">
      <c r="A8" s="41" t="s">
        <v>62</v>
      </c>
    </row>
    <row r="9" ht="22.5" customHeight="1">
      <c r="A9" s="19">
        <v>1.0</v>
      </c>
      <c r="B9" s="21" t="s">
        <v>63</v>
      </c>
      <c r="C9" s="11"/>
      <c r="D9" s="11"/>
      <c r="E9" s="11"/>
      <c r="F9" s="11"/>
      <c r="G9" s="12"/>
      <c r="H9" s="20">
        <f t="array" ref="H9">INDIRECT("'"&amp;$B9&amp;"'!H7",TRUE)</f>
        <v>22</v>
      </c>
      <c r="I9" s="11"/>
      <c r="J9" s="12"/>
      <c r="K9" s="20">
        <f t="array" ref="K9">INDIRECT("'"&amp;$B9&amp;"'!K7",TRUE)</f>
        <v>19</v>
      </c>
      <c r="L9" s="11"/>
      <c r="M9" s="12"/>
      <c r="N9" s="20">
        <f t="array" ref="N9">INDIRECT("'"&amp;$B9&amp;"'!N7",TRUE)</f>
        <v>5</v>
      </c>
      <c r="O9" s="11"/>
      <c r="P9" s="12"/>
      <c r="Q9" s="20">
        <f t="array" ref="Q9">INDIRECT("'"&amp;$B9&amp;"'!Q7",TRUE)</f>
        <v>46</v>
      </c>
      <c r="R9" s="11"/>
      <c r="S9" s="12"/>
      <c r="T9" s="20">
        <f t="array" ref="T9">INDIRECT("'"&amp;$B9&amp;"'!T7",TRUE)</f>
        <v>43</v>
      </c>
      <c r="U9" s="11"/>
      <c r="V9" s="12"/>
      <c r="W9" s="20">
        <f t="array" ref="W9">INDIRECT("'"&amp;$B9&amp;"'!W7",TRUE)</f>
        <v>0</v>
      </c>
      <c r="X9" s="11"/>
      <c r="Y9" s="12"/>
      <c r="Z9" s="20">
        <f t="array" ref="Z9">INDIRECT("'"&amp;$B9&amp;"'!Z7",TRUE)</f>
        <v>2</v>
      </c>
      <c r="AA9" s="11"/>
      <c r="AB9" s="12"/>
      <c r="AC9" s="20">
        <f t="array" ref="AC9">INDIRECT("'"&amp;$B9&amp;"'!AC7",TRUE)</f>
        <v>1</v>
      </c>
      <c r="AD9" s="11"/>
      <c r="AE9" s="12"/>
      <c r="AF9" s="42">
        <f>IFERROR((T9+W9+AC9)/Q9,0)</f>
        <v>0.9565217391</v>
      </c>
      <c r="AG9" s="11"/>
      <c r="AH9" s="12"/>
    </row>
    <row r="10" ht="22.5" customHeight="1">
      <c r="A10" s="19">
        <v>2.0</v>
      </c>
      <c r="B10" s="21"/>
      <c r="C10" s="11"/>
      <c r="D10" s="11"/>
      <c r="E10" s="11"/>
      <c r="F10" s="11"/>
      <c r="G10" s="12"/>
      <c r="H10" s="20"/>
      <c r="I10" s="11"/>
      <c r="J10" s="12"/>
      <c r="K10" s="20"/>
      <c r="L10" s="11"/>
      <c r="M10" s="12"/>
      <c r="N10" s="20"/>
      <c r="O10" s="11"/>
      <c r="P10" s="12"/>
      <c r="Q10" s="20"/>
      <c r="R10" s="11"/>
      <c r="S10" s="12"/>
      <c r="T10" s="20"/>
      <c r="U10" s="11"/>
      <c r="V10" s="12"/>
      <c r="W10" s="20"/>
      <c r="X10" s="11"/>
      <c r="Y10" s="12"/>
      <c r="Z10" s="20"/>
      <c r="AA10" s="11"/>
      <c r="AB10" s="12"/>
      <c r="AC10" s="20"/>
      <c r="AD10" s="11"/>
      <c r="AE10" s="12"/>
      <c r="AF10" s="42"/>
      <c r="AG10" s="11"/>
      <c r="AH10" s="12"/>
    </row>
    <row r="11" ht="22.5" customHeight="1">
      <c r="A11" s="19"/>
      <c r="B11" s="39" t="s">
        <v>52</v>
      </c>
      <c r="C11" s="11"/>
      <c r="D11" s="11"/>
      <c r="E11" s="11"/>
      <c r="F11" s="11"/>
      <c r="G11" s="12"/>
      <c r="H11" s="43">
        <f>SUM(H9:J10)</f>
        <v>22</v>
      </c>
      <c r="I11" s="11"/>
      <c r="J11" s="12"/>
      <c r="K11" s="43">
        <f>SUM(K9:M10)</f>
        <v>19</v>
      </c>
      <c r="L11" s="11"/>
      <c r="M11" s="12"/>
      <c r="N11" s="43">
        <f>SUM(N9:P10)</f>
        <v>5</v>
      </c>
      <c r="O11" s="11"/>
      <c r="P11" s="12"/>
      <c r="Q11" s="43">
        <f>SUM(Q9:S10)</f>
        <v>46</v>
      </c>
      <c r="R11" s="11"/>
      <c r="S11" s="12"/>
      <c r="T11" s="43">
        <f>SUM(T9:V10)</f>
        <v>43</v>
      </c>
      <c r="U11" s="11"/>
      <c r="V11" s="12"/>
      <c r="W11" s="43">
        <f>SUM(W9:Y10)</f>
        <v>0</v>
      </c>
      <c r="X11" s="11"/>
      <c r="Y11" s="12"/>
      <c r="Z11" s="43">
        <f>SUM(Z9:AB10)</f>
        <v>2</v>
      </c>
      <c r="AA11" s="11"/>
      <c r="AB11" s="12"/>
      <c r="AC11" s="43">
        <f>SUM(AC9:AE10)</f>
        <v>1</v>
      </c>
      <c r="AD11" s="11"/>
      <c r="AE11" s="12"/>
      <c r="AF11" s="44">
        <f>IFERROR((T11+W11+AC11)/Q11,0)</f>
        <v>0.9565217391</v>
      </c>
      <c r="AG11" s="11"/>
      <c r="AH11" s="12"/>
    </row>
    <row r="12" ht="22.5" customHeight="1">
      <c r="A12" s="41" t="s">
        <v>64</v>
      </c>
    </row>
    <row r="13" ht="22.5" customHeight="1">
      <c r="A13" s="19">
        <v>1.0</v>
      </c>
      <c r="B13" s="21" t="s">
        <v>63</v>
      </c>
      <c r="C13" s="11"/>
      <c r="D13" s="11"/>
      <c r="E13" s="11"/>
      <c r="F13" s="11"/>
      <c r="G13" s="12"/>
      <c r="H13" s="20">
        <f t="array" ref="H13">INDIRECT("'"&amp;$B13&amp;"'!H8",TRUE)</f>
        <v>22</v>
      </c>
      <c r="I13" s="11"/>
      <c r="J13" s="12"/>
      <c r="K13" s="20">
        <f t="array" ref="K13">INDIRECT("'"&amp;$B13&amp;"'!K8",TRUE)</f>
        <v>19</v>
      </c>
      <c r="L13" s="11"/>
      <c r="M13" s="12"/>
      <c r="N13" s="20">
        <f t="array" ref="N13">INDIRECT("'"&amp;$B13&amp;"'!N8",TRUE)</f>
        <v>5</v>
      </c>
      <c r="O13" s="11"/>
      <c r="P13" s="12"/>
      <c r="Q13" s="20">
        <f t="array" ref="Q13">INDIRECT("'"&amp;$B13&amp;"'!Q8",TRUE)</f>
        <v>46</v>
      </c>
      <c r="R13" s="11"/>
      <c r="S13" s="12"/>
      <c r="T13" s="20">
        <f t="array" ref="T13">INDIRECT("'"&amp;$B13&amp;"'!T8",TRUE)</f>
        <v>0</v>
      </c>
      <c r="U13" s="11"/>
      <c r="V13" s="12"/>
      <c r="W13" s="20">
        <f t="array" ref="W13">INDIRECT("'"&amp;$B13&amp;"'!W8",TRUE)</f>
        <v>0</v>
      </c>
      <c r="X13" s="11"/>
      <c r="Y13" s="12"/>
      <c r="Z13" s="20">
        <f t="array" ref="Z13">INDIRECT("'"&amp;$B13&amp;"'!Z8",TRUE)</f>
        <v>0</v>
      </c>
      <c r="AA13" s="11"/>
      <c r="AB13" s="12"/>
      <c r="AC13" s="20">
        <f t="array" ref="AC13">INDIRECT("'"&amp;$B13&amp;"'!AC8",TRUE)</f>
        <v>0</v>
      </c>
      <c r="AD13" s="11"/>
      <c r="AE13" s="12"/>
      <c r="AF13" s="42">
        <f>IFERROR((T13+W13+AC13)/Q13,0)</f>
        <v>0</v>
      </c>
      <c r="AG13" s="11"/>
      <c r="AH13" s="12"/>
    </row>
    <row r="14" ht="22.5" customHeight="1">
      <c r="A14" s="19">
        <v>2.0</v>
      </c>
      <c r="B14" s="21"/>
      <c r="C14" s="11"/>
      <c r="D14" s="11"/>
      <c r="E14" s="11"/>
      <c r="F14" s="11"/>
      <c r="G14" s="12"/>
      <c r="H14" s="20"/>
      <c r="I14" s="11"/>
      <c r="J14" s="12"/>
      <c r="K14" s="20"/>
      <c r="L14" s="11"/>
      <c r="M14" s="12"/>
      <c r="N14" s="20"/>
      <c r="O14" s="11"/>
      <c r="P14" s="12"/>
      <c r="Q14" s="20"/>
      <c r="R14" s="11"/>
      <c r="S14" s="12"/>
      <c r="T14" s="20"/>
      <c r="U14" s="11"/>
      <c r="V14" s="12"/>
      <c r="W14" s="20"/>
      <c r="X14" s="11"/>
      <c r="Y14" s="12"/>
      <c r="Z14" s="20"/>
      <c r="AA14" s="11"/>
      <c r="AB14" s="12"/>
      <c r="AC14" s="20"/>
      <c r="AD14" s="11"/>
      <c r="AE14" s="12"/>
      <c r="AF14" s="42"/>
      <c r="AG14" s="11"/>
      <c r="AH14" s="12"/>
    </row>
    <row r="15" ht="22.5" customHeight="1">
      <c r="A15" s="19"/>
      <c r="B15" s="39" t="s">
        <v>52</v>
      </c>
      <c r="C15" s="11"/>
      <c r="D15" s="11"/>
      <c r="E15" s="11"/>
      <c r="F15" s="11"/>
      <c r="G15" s="12"/>
      <c r="H15" s="43">
        <f>SUM(H13:J14)</f>
        <v>22</v>
      </c>
      <c r="I15" s="11"/>
      <c r="J15" s="12"/>
      <c r="K15" s="43">
        <f>SUM(K13:M14)</f>
        <v>19</v>
      </c>
      <c r="L15" s="11"/>
      <c r="M15" s="12"/>
      <c r="N15" s="43">
        <f>SUM(N13:P14)</f>
        <v>5</v>
      </c>
      <c r="O15" s="11"/>
      <c r="P15" s="12"/>
      <c r="Q15" s="43">
        <f>SUM(Q13:S14)</f>
        <v>46</v>
      </c>
      <c r="R15" s="11"/>
      <c r="S15" s="12"/>
      <c r="T15" s="43">
        <f>SUM(T13:V14)</f>
        <v>0</v>
      </c>
      <c r="U15" s="11"/>
      <c r="V15" s="12"/>
      <c r="W15" s="43">
        <f>SUM(W13:Y14)</f>
        <v>0</v>
      </c>
      <c r="X15" s="11"/>
      <c r="Y15" s="12"/>
      <c r="Z15" s="43">
        <f>SUM(Z13:AB14)</f>
        <v>0</v>
      </c>
      <c r="AA15" s="11"/>
      <c r="AB15" s="12"/>
      <c r="AC15" s="43">
        <f>SUM(AC13:AE14)</f>
        <v>0</v>
      </c>
      <c r="AD15" s="11"/>
      <c r="AE15" s="12"/>
      <c r="AF15" s="44">
        <f>IFERROR((T15+W15+AC15)/Q15,0)</f>
        <v>0</v>
      </c>
      <c r="AG15" s="11"/>
      <c r="AH15" s="1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18" t="s">
        <v>19</v>
      </c>
      <c r="B1" s="11"/>
      <c r="C1" s="11"/>
      <c r="D1" s="11"/>
      <c r="E1" s="11"/>
      <c r="F1" s="11"/>
      <c r="G1" s="11"/>
      <c r="H1" s="11"/>
      <c r="I1" s="12"/>
      <c r="J1" s="18" t="s">
        <v>20</v>
      </c>
      <c r="K1" s="11"/>
      <c r="L1" s="11"/>
      <c r="M1" s="11"/>
      <c r="N1" s="11"/>
      <c r="O1" s="11"/>
      <c r="P1" s="12"/>
      <c r="Q1" s="18" t="s">
        <v>21</v>
      </c>
      <c r="R1" s="11"/>
      <c r="S1" s="11"/>
      <c r="T1" s="11"/>
      <c r="U1" s="12"/>
      <c r="V1" s="18" t="s">
        <v>22</v>
      </c>
      <c r="W1" s="11"/>
      <c r="X1" s="11"/>
      <c r="Y1" s="12"/>
      <c r="Z1" s="18" t="s">
        <v>23</v>
      </c>
      <c r="AA1" s="11"/>
      <c r="AB1" s="11"/>
      <c r="AC1" s="12"/>
      <c r="AD1" s="18" t="s">
        <v>24</v>
      </c>
      <c r="AE1" s="11"/>
      <c r="AF1" s="11"/>
      <c r="AG1" s="12"/>
      <c r="AH1" s="18" t="s">
        <v>25</v>
      </c>
      <c r="AI1" s="11"/>
      <c r="AJ1" s="11"/>
      <c r="AK1" s="12"/>
    </row>
    <row r="2" ht="19.5" customHeight="1">
      <c r="A2" s="22" t="s">
        <v>0</v>
      </c>
      <c r="B2" s="23"/>
      <c r="C2" s="23"/>
      <c r="D2" s="23"/>
      <c r="E2" s="23"/>
      <c r="F2" s="23"/>
      <c r="G2" s="23"/>
      <c r="H2" s="23"/>
      <c r="I2" s="24"/>
      <c r="J2" s="22" t="s">
        <v>26</v>
      </c>
      <c r="K2" s="23"/>
      <c r="L2" s="23"/>
      <c r="M2" s="23"/>
      <c r="N2" s="23"/>
      <c r="O2" s="23"/>
      <c r="P2" s="24"/>
      <c r="Q2" s="22" t="s">
        <v>65</v>
      </c>
      <c r="R2" s="23"/>
      <c r="S2" s="23"/>
      <c r="T2" s="23"/>
      <c r="U2" s="24"/>
      <c r="V2" s="25" t="s">
        <v>8</v>
      </c>
      <c r="W2" s="23"/>
      <c r="X2" s="23"/>
      <c r="Y2" s="24"/>
      <c r="Z2" s="22" t="s">
        <v>16</v>
      </c>
      <c r="AA2" s="23"/>
      <c r="AB2" s="23"/>
      <c r="AC2" s="24"/>
      <c r="AD2" s="25" t="s">
        <v>8</v>
      </c>
      <c r="AE2" s="23"/>
      <c r="AF2" s="23"/>
      <c r="AG2" s="24"/>
      <c r="AH2" s="22" t="s">
        <v>16</v>
      </c>
      <c r="AI2" s="23"/>
      <c r="AJ2" s="23"/>
      <c r="AK2" s="24"/>
    </row>
    <row r="3" ht="19.5" customHeight="1">
      <c r="A3" s="26"/>
      <c r="B3" s="27"/>
      <c r="C3" s="27"/>
      <c r="D3" s="27"/>
      <c r="E3" s="27"/>
      <c r="F3" s="27"/>
      <c r="G3" s="27"/>
      <c r="H3" s="27"/>
      <c r="I3" s="28"/>
      <c r="J3" s="26"/>
      <c r="K3" s="27"/>
      <c r="L3" s="27"/>
      <c r="M3" s="27"/>
      <c r="N3" s="27"/>
      <c r="O3" s="27"/>
      <c r="P3" s="28"/>
      <c r="Q3" s="26"/>
      <c r="R3" s="27"/>
      <c r="S3" s="27"/>
      <c r="T3" s="27"/>
      <c r="U3" s="28"/>
      <c r="V3" s="26"/>
      <c r="W3" s="27"/>
      <c r="X3" s="27"/>
      <c r="Y3" s="28"/>
      <c r="Z3" s="26"/>
      <c r="AA3" s="27"/>
      <c r="AB3" s="27"/>
      <c r="AC3" s="28"/>
      <c r="AD3" s="26"/>
      <c r="AE3" s="27"/>
      <c r="AF3" s="27"/>
      <c r="AG3" s="28"/>
      <c r="AH3" s="26"/>
      <c r="AI3" s="27"/>
      <c r="AJ3" s="27"/>
      <c r="AK3" s="28"/>
    </row>
    <row r="5" ht="19.5" customHeight="1">
      <c r="B5" s="29" t="s">
        <v>66</v>
      </c>
    </row>
    <row r="7" ht="28.5" customHeight="1">
      <c r="B7" s="45" t="s">
        <v>49</v>
      </c>
      <c r="C7" s="46" t="s">
        <v>67</v>
      </c>
      <c r="D7" s="11"/>
      <c r="E7" s="12"/>
      <c r="F7" s="46" t="s">
        <v>68</v>
      </c>
      <c r="G7" s="11"/>
      <c r="H7" s="11"/>
      <c r="I7" s="11"/>
      <c r="J7" s="11"/>
      <c r="K7" s="11"/>
      <c r="L7" s="12"/>
      <c r="M7" s="46" t="s">
        <v>69</v>
      </c>
      <c r="N7" s="11"/>
      <c r="O7" s="11"/>
      <c r="P7" s="11"/>
      <c r="Q7" s="11"/>
      <c r="R7" s="11"/>
      <c r="S7" s="11"/>
      <c r="T7" s="12"/>
      <c r="U7" s="46" t="s">
        <v>70</v>
      </c>
      <c r="V7" s="12"/>
      <c r="W7" s="46" t="s">
        <v>71</v>
      </c>
      <c r="X7" s="11"/>
      <c r="Y7" s="11"/>
      <c r="Z7" s="11"/>
      <c r="AA7" s="11"/>
      <c r="AB7" s="11"/>
      <c r="AC7" s="12"/>
      <c r="AD7" s="46" t="s">
        <v>72</v>
      </c>
      <c r="AE7" s="11"/>
      <c r="AF7" s="12"/>
    </row>
    <row r="8" ht="30.0" customHeight="1">
      <c r="B8" s="47">
        <v>1.0</v>
      </c>
      <c r="C8" s="48" t="s">
        <v>73</v>
      </c>
      <c r="D8" s="11"/>
      <c r="E8" s="12"/>
      <c r="F8" s="49" t="s">
        <v>74</v>
      </c>
      <c r="G8" s="11"/>
      <c r="H8" s="11"/>
      <c r="I8" s="11"/>
      <c r="J8" s="11"/>
      <c r="K8" s="11"/>
      <c r="L8" s="12"/>
      <c r="M8" s="49" t="s">
        <v>75</v>
      </c>
      <c r="N8" s="11"/>
      <c r="O8" s="11"/>
      <c r="P8" s="11"/>
      <c r="Q8" s="11"/>
      <c r="R8" s="11"/>
      <c r="S8" s="11"/>
      <c r="T8" s="12"/>
      <c r="U8" s="50" t="s">
        <v>76</v>
      </c>
      <c r="V8" s="12"/>
      <c r="W8" s="49" t="s">
        <v>77</v>
      </c>
      <c r="X8" s="11"/>
      <c r="Y8" s="11"/>
      <c r="Z8" s="11"/>
      <c r="AA8" s="11"/>
      <c r="AB8" s="11"/>
      <c r="AC8" s="12"/>
      <c r="AD8" s="48">
        <v>265.0</v>
      </c>
      <c r="AE8" s="11"/>
      <c r="AF8" s="12"/>
    </row>
    <row r="9" ht="30.0" customHeight="1">
      <c r="B9" s="47">
        <v>2.0</v>
      </c>
      <c r="C9" s="48" t="s">
        <v>78</v>
      </c>
      <c r="D9" s="11"/>
      <c r="E9" s="12"/>
      <c r="F9" s="49" t="s">
        <v>74</v>
      </c>
      <c r="G9" s="11"/>
      <c r="H9" s="11"/>
      <c r="I9" s="11"/>
      <c r="J9" s="11"/>
      <c r="K9" s="11"/>
      <c r="L9" s="12"/>
      <c r="M9" s="49" t="s">
        <v>79</v>
      </c>
      <c r="N9" s="11"/>
      <c r="O9" s="11"/>
      <c r="P9" s="11"/>
      <c r="Q9" s="11"/>
      <c r="R9" s="11"/>
      <c r="S9" s="11"/>
      <c r="T9" s="12"/>
      <c r="U9" s="50" t="s">
        <v>76</v>
      </c>
      <c r="V9" s="12"/>
      <c r="W9" s="49" t="s">
        <v>80</v>
      </c>
      <c r="X9" s="11"/>
      <c r="Y9" s="11"/>
      <c r="Z9" s="11"/>
      <c r="AA9" s="11"/>
      <c r="AB9" s="11"/>
      <c r="AC9" s="12"/>
      <c r="AD9" s="48">
        <v>200.0</v>
      </c>
      <c r="AE9" s="11"/>
      <c r="AF9" s="12"/>
    </row>
    <row r="10" ht="36.0" customHeight="1">
      <c r="B10" s="47">
        <v>3.0</v>
      </c>
      <c r="C10" s="48" t="s">
        <v>81</v>
      </c>
      <c r="D10" s="11"/>
      <c r="E10" s="12"/>
      <c r="F10" s="49" t="s">
        <v>74</v>
      </c>
      <c r="G10" s="11"/>
      <c r="H10" s="11"/>
      <c r="I10" s="11"/>
      <c r="J10" s="11"/>
      <c r="K10" s="11"/>
      <c r="L10" s="12"/>
      <c r="M10" s="49" t="s">
        <v>82</v>
      </c>
      <c r="N10" s="11"/>
      <c r="O10" s="11"/>
      <c r="P10" s="11"/>
      <c r="Q10" s="11"/>
      <c r="R10" s="11"/>
      <c r="S10" s="11"/>
      <c r="T10" s="12"/>
      <c r="U10" s="50" t="s">
        <v>76</v>
      </c>
      <c r="V10" s="12"/>
      <c r="W10" s="49" t="s">
        <v>83</v>
      </c>
      <c r="X10" s="11"/>
      <c r="Y10" s="11"/>
      <c r="Z10" s="11"/>
      <c r="AA10" s="11"/>
      <c r="AB10" s="11"/>
      <c r="AC10" s="12"/>
      <c r="AD10" s="48">
        <v>50.0</v>
      </c>
      <c r="AE10" s="11"/>
      <c r="AF10" s="12"/>
    </row>
    <row r="11" ht="30.0" customHeight="1">
      <c r="B11" s="47">
        <v>4.0</v>
      </c>
      <c r="C11" s="48" t="s">
        <v>84</v>
      </c>
      <c r="D11" s="11"/>
      <c r="E11" s="12"/>
      <c r="F11" s="49" t="s">
        <v>74</v>
      </c>
      <c r="G11" s="11"/>
      <c r="H11" s="11"/>
      <c r="I11" s="11"/>
      <c r="J11" s="11"/>
      <c r="K11" s="11"/>
      <c r="L11" s="12"/>
      <c r="M11" s="49" t="s">
        <v>85</v>
      </c>
      <c r="N11" s="11"/>
      <c r="O11" s="11"/>
      <c r="P11" s="11"/>
      <c r="Q11" s="11"/>
      <c r="R11" s="11"/>
      <c r="S11" s="11"/>
      <c r="T11" s="12"/>
      <c r="U11" s="50" t="s">
        <v>76</v>
      </c>
      <c r="V11" s="12"/>
      <c r="W11" s="49" t="s">
        <v>77</v>
      </c>
      <c r="X11" s="11"/>
      <c r="Y11" s="11"/>
      <c r="Z11" s="11"/>
      <c r="AA11" s="11"/>
      <c r="AB11" s="11"/>
      <c r="AC11" s="12"/>
      <c r="AD11" s="48">
        <v>75.0</v>
      </c>
      <c r="AE11" s="11"/>
      <c r="AF11" s="12"/>
    </row>
    <row r="12" ht="30.0" customHeight="1">
      <c r="B12" s="47">
        <v>5.0</v>
      </c>
      <c r="C12" s="48" t="s">
        <v>86</v>
      </c>
      <c r="D12" s="11"/>
      <c r="E12" s="12"/>
      <c r="F12" s="49" t="s">
        <v>74</v>
      </c>
      <c r="G12" s="11"/>
      <c r="H12" s="11"/>
      <c r="I12" s="11"/>
      <c r="J12" s="11"/>
      <c r="K12" s="11"/>
      <c r="L12" s="12"/>
      <c r="M12" s="49" t="s">
        <v>87</v>
      </c>
      <c r="N12" s="11"/>
      <c r="O12" s="11"/>
      <c r="P12" s="11"/>
      <c r="Q12" s="11"/>
      <c r="R12" s="11"/>
      <c r="S12" s="11"/>
      <c r="T12" s="12"/>
      <c r="U12" s="50" t="s">
        <v>76</v>
      </c>
      <c r="V12" s="12"/>
      <c r="W12" s="49" t="s">
        <v>88</v>
      </c>
      <c r="X12" s="11"/>
      <c r="Y12" s="11"/>
      <c r="Z12" s="11"/>
      <c r="AA12" s="11"/>
      <c r="AB12" s="11"/>
      <c r="AC12" s="12"/>
      <c r="AD12" s="48">
        <v>30.0</v>
      </c>
      <c r="AE12" s="11"/>
      <c r="AF12" s="12"/>
    </row>
    <row r="13" ht="30.0" customHeight="1">
      <c r="B13" s="47">
        <v>6.0</v>
      </c>
      <c r="C13" s="48" t="s">
        <v>89</v>
      </c>
      <c r="D13" s="11"/>
      <c r="E13" s="12"/>
      <c r="F13" s="49" t="s">
        <v>74</v>
      </c>
      <c r="G13" s="11"/>
      <c r="H13" s="11"/>
      <c r="I13" s="11"/>
      <c r="J13" s="11"/>
      <c r="K13" s="11"/>
      <c r="L13" s="12"/>
      <c r="M13" s="49" t="s">
        <v>90</v>
      </c>
      <c r="N13" s="11"/>
      <c r="O13" s="11"/>
      <c r="P13" s="11"/>
      <c r="Q13" s="11"/>
      <c r="R13" s="11"/>
      <c r="S13" s="11"/>
      <c r="T13" s="12"/>
      <c r="U13" s="50" t="s">
        <v>76</v>
      </c>
      <c r="V13" s="12"/>
      <c r="W13" s="49" t="s">
        <v>91</v>
      </c>
      <c r="X13" s="11"/>
      <c r="Y13" s="11"/>
      <c r="Z13" s="11"/>
      <c r="AA13" s="11"/>
      <c r="AB13" s="11"/>
      <c r="AC13" s="12"/>
      <c r="AD13" s="48">
        <v>50.0</v>
      </c>
      <c r="AE13" s="11"/>
      <c r="AF13" s="12"/>
    </row>
    <row r="14" ht="30.0" customHeight="1">
      <c r="B14" s="47">
        <v>7.0</v>
      </c>
      <c r="C14" s="48" t="s">
        <v>92</v>
      </c>
      <c r="D14" s="11"/>
      <c r="E14" s="12"/>
      <c r="F14" s="49" t="s">
        <v>74</v>
      </c>
      <c r="G14" s="11"/>
      <c r="H14" s="11"/>
      <c r="I14" s="11"/>
      <c r="J14" s="11"/>
      <c r="K14" s="11"/>
      <c r="L14" s="12"/>
      <c r="M14" s="49" t="s">
        <v>93</v>
      </c>
      <c r="N14" s="11"/>
      <c r="O14" s="11"/>
      <c r="P14" s="11"/>
      <c r="Q14" s="11"/>
      <c r="R14" s="11"/>
      <c r="S14" s="11"/>
      <c r="T14" s="12"/>
      <c r="U14" s="50" t="s">
        <v>76</v>
      </c>
      <c r="V14" s="12"/>
      <c r="W14" s="49" t="s">
        <v>88</v>
      </c>
      <c r="X14" s="11"/>
      <c r="Y14" s="11"/>
      <c r="Z14" s="11"/>
      <c r="AA14" s="11"/>
      <c r="AB14" s="11"/>
      <c r="AC14" s="12"/>
      <c r="AD14" s="48">
        <v>10.0</v>
      </c>
      <c r="AE14" s="11"/>
      <c r="AF14" s="12"/>
    </row>
    <row r="15" ht="30.0" customHeight="1">
      <c r="B15" s="47">
        <v>8.0</v>
      </c>
      <c r="C15" s="48" t="s">
        <v>94</v>
      </c>
      <c r="D15" s="11"/>
      <c r="E15" s="12"/>
      <c r="F15" s="49" t="s">
        <v>74</v>
      </c>
      <c r="G15" s="11"/>
      <c r="H15" s="11"/>
      <c r="I15" s="11"/>
      <c r="J15" s="11"/>
      <c r="K15" s="11"/>
      <c r="L15" s="12"/>
      <c r="M15" s="49" t="s">
        <v>95</v>
      </c>
      <c r="N15" s="11"/>
      <c r="O15" s="11"/>
      <c r="P15" s="11"/>
      <c r="Q15" s="11"/>
      <c r="R15" s="11"/>
      <c r="S15" s="11"/>
      <c r="T15" s="12"/>
      <c r="U15" s="51" t="s">
        <v>96</v>
      </c>
      <c r="V15" s="12"/>
      <c r="W15" s="49" t="s">
        <v>97</v>
      </c>
      <c r="X15" s="11"/>
      <c r="Y15" s="11"/>
      <c r="Z15" s="11"/>
      <c r="AA15" s="11"/>
      <c r="AB15" s="11"/>
      <c r="AC15" s="12"/>
      <c r="AD15" s="48">
        <v>20.0</v>
      </c>
      <c r="AE15" s="11"/>
      <c r="AF15" s="12"/>
    </row>
    <row r="16" ht="30.0" customHeight="1">
      <c r="B16" s="47">
        <v>9.0</v>
      </c>
      <c r="C16" s="48" t="s">
        <v>98</v>
      </c>
      <c r="D16" s="11"/>
      <c r="E16" s="12"/>
      <c r="F16" s="49" t="s">
        <v>74</v>
      </c>
      <c r="G16" s="11"/>
      <c r="H16" s="11"/>
      <c r="I16" s="11"/>
      <c r="J16" s="11"/>
      <c r="K16" s="11"/>
      <c r="L16" s="12"/>
      <c r="M16" s="49" t="s">
        <v>99</v>
      </c>
      <c r="N16" s="11"/>
      <c r="O16" s="11"/>
      <c r="P16" s="11"/>
      <c r="Q16" s="11"/>
      <c r="R16" s="11"/>
      <c r="S16" s="11"/>
      <c r="T16" s="12"/>
      <c r="U16" s="50" t="s">
        <v>76</v>
      </c>
      <c r="V16" s="12"/>
      <c r="W16" s="49" t="s">
        <v>100</v>
      </c>
      <c r="X16" s="11"/>
      <c r="Y16" s="11"/>
      <c r="Z16" s="11"/>
      <c r="AA16" s="11"/>
      <c r="AB16" s="11"/>
      <c r="AC16" s="12"/>
      <c r="AD16" s="48">
        <v>8.0</v>
      </c>
      <c r="AE16" s="11"/>
      <c r="AF16" s="12"/>
    </row>
    <row r="17" ht="30.0" customHeight="1">
      <c r="B17" s="47">
        <v>10.0</v>
      </c>
      <c r="C17" s="48" t="s">
        <v>101</v>
      </c>
      <c r="D17" s="11"/>
      <c r="E17" s="12"/>
      <c r="F17" s="49" t="s">
        <v>74</v>
      </c>
      <c r="G17" s="11"/>
      <c r="H17" s="11"/>
      <c r="I17" s="11"/>
      <c r="J17" s="11"/>
      <c r="K17" s="11"/>
      <c r="L17" s="12"/>
      <c r="M17" s="49" t="s">
        <v>102</v>
      </c>
      <c r="N17" s="11"/>
      <c r="O17" s="11"/>
      <c r="P17" s="11"/>
      <c r="Q17" s="11"/>
      <c r="R17" s="11"/>
      <c r="S17" s="11"/>
      <c r="T17" s="12"/>
      <c r="U17" s="50" t="s">
        <v>76</v>
      </c>
      <c r="V17" s="12"/>
      <c r="W17" s="49" t="s">
        <v>103</v>
      </c>
      <c r="X17" s="11"/>
      <c r="Y17" s="11"/>
      <c r="Z17" s="11"/>
      <c r="AA17" s="11"/>
      <c r="AB17" s="11"/>
      <c r="AC17" s="12"/>
      <c r="AD17" s="48">
        <v>30.0</v>
      </c>
      <c r="AE17" s="11"/>
      <c r="AF17" s="12"/>
    </row>
    <row r="18" ht="30.0" customHeight="1">
      <c r="B18" s="47">
        <v>11.0</v>
      </c>
      <c r="C18" s="48" t="s">
        <v>104</v>
      </c>
      <c r="D18" s="11"/>
      <c r="E18" s="12"/>
      <c r="F18" s="49" t="s">
        <v>105</v>
      </c>
      <c r="G18" s="11"/>
      <c r="H18" s="11"/>
      <c r="I18" s="11"/>
      <c r="J18" s="11"/>
      <c r="K18" s="11"/>
      <c r="L18" s="12"/>
      <c r="M18" s="49" t="s">
        <v>106</v>
      </c>
      <c r="N18" s="11"/>
      <c r="O18" s="11"/>
      <c r="P18" s="11"/>
      <c r="Q18" s="11"/>
      <c r="R18" s="11"/>
      <c r="S18" s="11"/>
      <c r="T18" s="12"/>
      <c r="U18" s="51" t="s">
        <v>96</v>
      </c>
      <c r="V18" s="12"/>
      <c r="W18" s="49" t="s">
        <v>107</v>
      </c>
      <c r="X18" s="11"/>
      <c r="Y18" s="11"/>
      <c r="Z18" s="11"/>
      <c r="AA18" s="11"/>
      <c r="AB18" s="11"/>
      <c r="AC18" s="12"/>
      <c r="AD18" s="48">
        <v>100.0</v>
      </c>
      <c r="AE18" s="11"/>
      <c r="AF18" s="12"/>
    </row>
    <row r="19" ht="30.0" customHeight="1">
      <c r="B19" s="47">
        <v>12.0</v>
      </c>
      <c r="C19" s="48" t="s">
        <v>108</v>
      </c>
      <c r="D19" s="11"/>
      <c r="E19" s="12"/>
      <c r="F19" s="49" t="s">
        <v>105</v>
      </c>
      <c r="G19" s="11"/>
      <c r="H19" s="11"/>
      <c r="I19" s="11"/>
      <c r="J19" s="11"/>
      <c r="K19" s="11"/>
      <c r="L19" s="12"/>
      <c r="M19" s="49" t="s">
        <v>109</v>
      </c>
      <c r="N19" s="11"/>
      <c r="O19" s="11"/>
      <c r="P19" s="11"/>
      <c r="Q19" s="11"/>
      <c r="R19" s="11"/>
      <c r="S19" s="11"/>
      <c r="T19" s="12"/>
      <c r="U19" s="51" t="s">
        <v>96</v>
      </c>
      <c r="V19" s="12"/>
      <c r="W19" s="49" t="s">
        <v>107</v>
      </c>
      <c r="X19" s="11"/>
      <c r="Y19" s="11"/>
      <c r="Z19" s="11"/>
      <c r="AA19" s="11"/>
      <c r="AB19" s="11"/>
      <c r="AC19" s="12"/>
      <c r="AD19" s="48">
        <v>80.0</v>
      </c>
      <c r="AE19" s="11"/>
      <c r="AF19" s="12"/>
    </row>
    <row r="20" ht="30.0" customHeight="1">
      <c r="B20" s="47">
        <v>13.0</v>
      </c>
      <c r="C20" s="48" t="s">
        <v>110</v>
      </c>
      <c r="D20" s="11"/>
      <c r="E20" s="12"/>
      <c r="F20" s="49" t="s">
        <v>105</v>
      </c>
      <c r="G20" s="11"/>
      <c r="H20" s="11"/>
      <c r="I20" s="11"/>
      <c r="J20" s="11"/>
      <c r="K20" s="11"/>
      <c r="L20" s="12"/>
      <c r="M20" s="49" t="s">
        <v>111</v>
      </c>
      <c r="N20" s="11"/>
      <c r="O20" s="11"/>
      <c r="P20" s="11"/>
      <c r="Q20" s="11"/>
      <c r="R20" s="11"/>
      <c r="S20" s="11"/>
      <c r="T20" s="12"/>
      <c r="U20" s="51" t="s">
        <v>96</v>
      </c>
      <c r="V20" s="12"/>
      <c r="W20" s="49" t="s">
        <v>91</v>
      </c>
      <c r="X20" s="11"/>
      <c r="Y20" s="11"/>
      <c r="Z20" s="11"/>
      <c r="AA20" s="11"/>
      <c r="AB20" s="11"/>
      <c r="AC20" s="12"/>
      <c r="AD20" s="48">
        <v>60.0</v>
      </c>
      <c r="AE20" s="11"/>
      <c r="AF20" s="12"/>
    </row>
    <row r="21" ht="30.0" customHeight="1">
      <c r="B21" s="47">
        <v>14.0</v>
      </c>
      <c r="C21" s="48" t="s">
        <v>112</v>
      </c>
      <c r="D21" s="11"/>
      <c r="E21" s="12"/>
      <c r="F21" s="49" t="s">
        <v>105</v>
      </c>
      <c r="G21" s="11"/>
      <c r="H21" s="11"/>
      <c r="I21" s="11"/>
      <c r="J21" s="11"/>
      <c r="K21" s="11"/>
      <c r="L21" s="12"/>
      <c r="M21" s="49" t="s">
        <v>113</v>
      </c>
      <c r="N21" s="11"/>
      <c r="O21" s="11"/>
      <c r="P21" s="11"/>
      <c r="Q21" s="11"/>
      <c r="R21" s="11"/>
      <c r="S21" s="11"/>
      <c r="T21" s="12"/>
      <c r="U21" s="51" t="s">
        <v>96</v>
      </c>
      <c r="V21" s="12"/>
      <c r="W21" s="49" t="s">
        <v>107</v>
      </c>
      <c r="X21" s="11"/>
      <c r="Y21" s="11"/>
      <c r="Z21" s="11"/>
      <c r="AA21" s="11"/>
      <c r="AB21" s="11"/>
      <c r="AC21" s="12"/>
      <c r="AD21" s="48">
        <v>50.0</v>
      </c>
      <c r="AE21" s="11"/>
      <c r="AF21" s="12"/>
    </row>
    <row r="22" ht="30.0" customHeight="1">
      <c r="B22" s="47">
        <v>15.0</v>
      </c>
      <c r="C22" s="48" t="s">
        <v>114</v>
      </c>
      <c r="D22" s="11"/>
      <c r="E22" s="12"/>
      <c r="F22" s="49" t="s">
        <v>105</v>
      </c>
      <c r="G22" s="11"/>
      <c r="H22" s="11"/>
      <c r="I22" s="11"/>
      <c r="J22" s="11"/>
      <c r="K22" s="11"/>
      <c r="L22" s="12"/>
      <c r="M22" s="49" t="s">
        <v>115</v>
      </c>
      <c r="N22" s="11"/>
      <c r="O22" s="11"/>
      <c r="P22" s="11"/>
      <c r="Q22" s="11"/>
      <c r="R22" s="11"/>
      <c r="S22" s="11"/>
      <c r="T22" s="12"/>
      <c r="U22" s="51" t="s">
        <v>96</v>
      </c>
      <c r="V22" s="12"/>
      <c r="W22" s="49" t="s">
        <v>116</v>
      </c>
      <c r="X22" s="11"/>
      <c r="Y22" s="11"/>
      <c r="Z22" s="11"/>
      <c r="AA22" s="11"/>
      <c r="AB22" s="11"/>
      <c r="AC22" s="12"/>
      <c r="AD22" s="48">
        <v>30.0</v>
      </c>
      <c r="AE22" s="11"/>
      <c r="AF22" s="12"/>
    </row>
    <row r="23" ht="30.0" customHeight="1">
      <c r="B23" s="47">
        <v>16.0</v>
      </c>
      <c r="C23" s="48" t="s">
        <v>117</v>
      </c>
      <c r="D23" s="11"/>
      <c r="E23" s="12"/>
      <c r="F23" s="49" t="s">
        <v>105</v>
      </c>
      <c r="G23" s="11"/>
      <c r="H23" s="11"/>
      <c r="I23" s="11"/>
      <c r="J23" s="11"/>
      <c r="K23" s="11"/>
      <c r="L23" s="12"/>
      <c r="M23" s="49" t="s">
        <v>118</v>
      </c>
      <c r="N23" s="11"/>
      <c r="O23" s="11"/>
      <c r="P23" s="11"/>
      <c r="Q23" s="11"/>
      <c r="R23" s="11"/>
      <c r="S23" s="11"/>
      <c r="T23" s="12"/>
      <c r="U23" s="50" t="s">
        <v>76</v>
      </c>
      <c r="V23" s="12"/>
      <c r="W23" s="49" t="s">
        <v>119</v>
      </c>
      <c r="X23" s="11"/>
      <c r="Y23" s="11"/>
      <c r="Z23" s="11"/>
      <c r="AA23" s="11"/>
      <c r="AB23" s="11"/>
      <c r="AC23" s="12"/>
      <c r="AD23" s="48">
        <v>15.0</v>
      </c>
      <c r="AE23" s="11"/>
      <c r="AF23" s="12"/>
    </row>
    <row r="24" ht="36.0" customHeight="1">
      <c r="B24" s="47">
        <v>17.0</v>
      </c>
      <c r="C24" s="48" t="s">
        <v>120</v>
      </c>
      <c r="D24" s="11"/>
      <c r="E24" s="12"/>
      <c r="F24" s="49" t="s">
        <v>105</v>
      </c>
      <c r="G24" s="11"/>
      <c r="H24" s="11"/>
      <c r="I24" s="11"/>
      <c r="J24" s="11"/>
      <c r="K24" s="11"/>
      <c r="L24" s="12"/>
      <c r="M24" s="49" t="s">
        <v>121</v>
      </c>
      <c r="N24" s="11"/>
      <c r="O24" s="11"/>
      <c r="P24" s="11"/>
      <c r="Q24" s="11"/>
      <c r="R24" s="11"/>
      <c r="S24" s="11"/>
      <c r="T24" s="12"/>
      <c r="U24" s="51" t="s">
        <v>96</v>
      </c>
      <c r="V24" s="12"/>
      <c r="W24" s="49" t="s">
        <v>122</v>
      </c>
      <c r="X24" s="11"/>
      <c r="Y24" s="11"/>
      <c r="Z24" s="11"/>
      <c r="AA24" s="11"/>
      <c r="AB24" s="11"/>
      <c r="AC24" s="12"/>
      <c r="AD24" s="48">
        <v>45.0</v>
      </c>
      <c r="AE24" s="11"/>
      <c r="AF24" s="12"/>
    </row>
    <row r="25" ht="30.0" customHeight="1">
      <c r="B25" s="47">
        <v>18.0</v>
      </c>
      <c r="C25" s="48" t="s">
        <v>123</v>
      </c>
      <c r="D25" s="11"/>
      <c r="E25" s="12"/>
      <c r="F25" s="49" t="s">
        <v>105</v>
      </c>
      <c r="G25" s="11"/>
      <c r="H25" s="11"/>
      <c r="I25" s="11"/>
      <c r="J25" s="11"/>
      <c r="K25" s="11"/>
      <c r="L25" s="12"/>
      <c r="M25" s="49" t="s">
        <v>124</v>
      </c>
      <c r="N25" s="11"/>
      <c r="O25" s="11"/>
      <c r="P25" s="11"/>
      <c r="Q25" s="11"/>
      <c r="R25" s="11"/>
      <c r="S25" s="11"/>
      <c r="T25" s="12"/>
      <c r="U25" s="51" t="s">
        <v>96</v>
      </c>
      <c r="V25" s="12"/>
      <c r="W25" s="49" t="s">
        <v>125</v>
      </c>
      <c r="X25" s="11"/>
      <c r="Y25" s="11"/>
      <c r="Z25" s="11"/>
      <c r="AA25" s="11"/>
      <c r="AB25" s="11"/>
      <c r="AC25" s="12"/>
      <c r="AD25" s="48">
        <v>30.0</v>
      </c>
      <c r="AE25" s="11"/>
      <c r="AF25" s="12"/>
    </row>
    <row r="26" ht="36.0" customHeight="1">
      <c r="B26" s="47">
        <v>19.0</v>
      </c>
      <c r="C26" s="48" t="s">
        <v>126</v>
      </c>
      <c r="D26" s="11"/>
      <c r="E26" s="12"/>
      <c r="F26" s="49" t="s">
        <v>105</v>
      </c>
      <c r="G26" s="11"/>
      <c r="H26" s="11"/>
      <c r="I26" s="11"/>
      <c r="J26" s="11"/>
      <c r="K26" s="11"/>
      <c r="L26" s="12"/>
      <c r="M26" s="49" t="s">
        <v>127</v>
      </c>
      <c r="N26" s="11"/>
      <c r="O26" s="11"/>
      <c r="P26" s="11"/>
      <c r="Q26" s="11"/>
      <c r="R26" s="11"/>
      <c r="S26" s="11"/>
      <c r="T26" s="12"/>
      <c r="U26" s="51" t="s">
        <v>96</v>
      </c>
      <c r="V26" s="12"/>
      <c r="W26" s="49" t="s">
        <v>128</v>
      </c>
      <c r="X26" s="11"/>
      <c r="Y26" s="11"/>
      <c r="Z26" s="11"/>
      <c r="AA26" s="11"/>
      <c r="AB26" s="11"/>
      <c r="AC26" s="12"/>
      <c r="AD26" s="48">
        <v>25.0</v>
      </c>
      <c r="AE26" s="11"/>
      <c r="AF26" s="12"/>
    </row>
    <row r="27" ht="30.0" customHeight="1">
      <c r="B27" s="47">
        <v>20.0</v>
      </c>
      <c r="C27" s="48" t="s">
        <v>129</v>
      </c>
      <c r="D27" s="11"/>
      <c r="E27" s="12"/>
      <c r="F27" s="49" t="s">
        <v>130</v>
      </c>
      <c r="G27" s="11"/>
      <c r="H27" s="11"/>
      <c r="I27" s="11"/>
      <c r="J27" s="11"/>
      <c r="K27" s="11"/>
      <c r="L27" s="12"/>
      <c r="M27" s="49" t="s">
        <v>131</v>
      </c>
      <c r="N27" s="11"/>
      <c r="O27" s="11"/>
      <c r="P27" s="11"/>
      <c r="Q27" s="11"/>
      <c r="R27" s="11"/>
      <c r="S27" s="11"/>
      <c r="T27" s="12"/>
      <c r="U27" s="50" t="s">
        <v>76</v>
      </c>
      <c r="V27" s="12"/>
      <c r="W27" s="49" t="s">
        <v>125</v>
      </c>
      <c r="X27" s="11"/>
      <c r="Y27" s="11"/>
      <c r="Z27" s="11"/>
      <c r="AA27" s="11"/>
      <c r="AB27" s="11"/>
      <c r="AC27" s="12"/>
      <c r="AD27" s="48">
        <v>60.0</v>
      </c>
      <c r="AE27" s="11"/>
      <c r="AF27" s="12"/>
    </row>
    <row r="28" ht="30.0" customHeight="1">
      <c r="B28" s="47">
        <v>21.0</v>
      </c>
      <c r="C28" s="48" t="s">
        <v>132</v>
      </c>
      <c r="D28" s="11"/>
      <c r="E28" s="12"/>
      <c r="F28" s="49" t="s">
        <v>130</v>
      </c>
      <c r="G28" s="11"/>
      <c r="H28" s="11"/>
      <c r="I28" s="11"/>
      <c r="J28" s="11"/>
      <c r="K28" s="11"/>
      <c r="L28" s="12"/>
      <c r="M28" s="49" t="s">
        <v>133</v>
      </c>
      <c r="N28" s="11"/>
      <c r="O28" s="11"/>
      <c r="P28" s="11"/>
      <c r="Q28" s="11"/>
      <c r="R28" s="11"/>
      <c r="S28" s="11"/>
      <c r="T28" s="12"/>
      <c r="U28" s="51" t="s">
        <v>96</v>
      </c>
      <c r="V28" s="12"/>
      <c r="W28" s="49" t="s">
        <v>134</v>
      </c>
      <c r="X28" s="11"/>
      <c r="Y28" s="11"/>
      <c r="Z28" s="11"/>
      <c r="AA28" s="11"/>
      <c r="AB28" s="11"/>
      <c r="AC28" s="12"/>
      <c r="AD28" s="48">
        <v>16.0</v>
      </c>
      <c r="AE28" s="11"/>
      <c r="AF28" s="12"/>
    </row>
    <row r="29" ht="30.0" customHeight="1">
      <c r="B29" s="47">
        <v>22.0</v>
      </c>
      <c r="C29" s="48" t="s">
        <v>135</v>
      </c>
      <c r="D29" s="11"/>
      <c r="E29" s="12"/>
      <c r="F29" s="49" t="s">
        <v>130</v>
      </c>
      <c r="G29" s="11"/>
      <c r="H29" s="11"/>
      <c r="I29" s="11"/>
      <c r="J29" s="11"/>
      <c r="K29" s="11"/>
      <c r="L29" s="12"/>
      <c r="M29" s="49" t="s">
        <v>136</v>
      </c>
      <c r="N29" s="11"/>
      <c r="O29" s="11"/>
      <c r="P29" s="11"/>
      <c r="Q29" s="11"/>
      <c r="R29" s="11"/>
      <c r="S29" s="11"/>
      <c r="T29" s="12"/>
      <c r="U29" s="50" t="s">
        <v>76</v>
      </c>
      <c r="V29" s="12"/>
      <c r="W29" s="49" t="s">
        <v>137</v>
      </c>
      <c r="X29" s="11"/>
      <c r="Y29" s="11"/>
      <c r="Z29" s="11"/>
      <c r="AA29" s="11"/>
      <c r="AB29" s="11"/>
      <c r="AC29" s="12"/>
      <c r="AD29" s="48">
        <v>18.0</v>
      </c>
      <c r="AE29" s="11"/>
      <c r="AF29" s="12"/>
    </row>
    <row r="30" ht="30.0" customHeight="1">
      <c r="B30" s="47">
        <v>23.0</v>
      </c>
      <c r="C30" s="48" t="s">
        <v>138</v>
      </c>
      <c r="D30" s="11"/>
      <c r="E30" s="12"/>
      <c r="F30" s="49" t="s">
        <v>130</v>
      </c>
      <c r="G30" s="11"/>
      <c r="H30" s="11"/>
      <c r="I30" s="11"/>
      <c r="J30" s="11"/>
      <c r="K30" s="11"/>
      <c r="L30" s="12"/>
      <c r="M30" s="49" t="s">
        <v>139</v>
      </c>
      <c r="N30" s="11"/>
      <c r="O30" s="11"/>
      <c r="P30" s="11"/>
      <c r="Q30" s="11"/>
      <c r="R30" s="11"/>
      <c r="S30" s="11"/>
      <c r="T30" s="12"/>
      <c r="U30" s="51" t="s">
        <v>96</v>
      </c>
      <c r="V30" s="12"/>
      <c r="W30" s="49" t="s">
        <v>140</v>
      </c>
      <c r="X30" s="11"/>
      <c r="Y30" s="11"/>
      <c r="Z30" s="11"/>
      <c r="AA30" s="11"/>
      <c r="AB30" s="11"/>
      <c r="AC30" s="12"/>
      <c r="AD30" s="48">
        <v>8.0</v>
      </c>
      <c r="AE30" s="11"/>
      <c r="AF30" s="12"/>
    </row>
    <row r="31" ht="30.0" customHeight="1">
      <c r="B31" s="47">
        <v>24.0</v>
      </c>
      <c r="C31" s="48" t="s">
        <v>141</v>
      </c>
      <c r="D31" s="11"/>
      <c r="E31" s="12"/>
      <c r="F31" s="49" t="s">
        <v>130</v>
      </c>
      <c r="G31" s="11"/>
      <c r="H31" s="11"/>
      <c r="I31" s="11"/>
      <c r="J31" s="11"/>
      <c r="K31" s="11"/>
      <c r="L31" s="12"/>
      <c r="M31" s="49" t="s">
        <v>142</v>
      </c>
      <c r="N31" s="11"/>
      <c r="O31" s="11"/>
      <c r="P31" s="11"/>
      <c r="Q31" s="11"/>
      <c r="R31" s="11"/>
      <c r="S31" s="11"/>
      <c r="T31" s="12"/>
      <c r="U31" s="50" t="s">
        <v>76</v>
      </c>
      <c r="V31" s="12"/>
      <c r="W31" s="49" t="s">
        <v>143</v>
      </c>
      <c r="X31" s="11"/>
      <c r="Y31" s="11"/>
      <c r="Z31" s="11"/>
      <c r="AA31" s="11"/>
      <c r="AB31" s="11"/>
      <c r="AC31" s="12"/>
      <c r="AD31" s="48">
        <v>10.0</v>
      </c>
      <c r="AE31" s="11"/>
      <c r="AF31" s="12"/>
    </row>
    <row r="32" ht="30.0" customHeight="1">
      <c r="B32" s="47">
        <v>25.0</v>
      </c>
      <c r="C32" s="48" t="s">
        <v>144</v>
      </c>
      <c r="D32" s="11"/>
      <c r="E32" s="12"/>
      <c r="F32" s="49" t="s">
        <v>130</v>
      </c>
      <c r="G32" s="11"/>
      <c r="H32" s="11"/>
      <c r="I32" s="11"/>
      <c r="J32" s="11"/>
      <c r="K32" s="11"/>
      <c r="L32" s="12"/>
      <c r="M32" s="49" t="s">
        <v>145</v>
      </c>
      <c r="N32" s="11"/>
      <c r="O32" s="11"/>
      <c r="P32" s="11"/>
      <c r="Q32" s="11"/>
      <c r="R32" s="11"/>
      <c r="S32" s="11"/>
      <c r="T32" s="12"/>
      <c r="U32" s="51" t="s">
        <v>96</v>
      </c>
      <c r="V32" s="12"/>
      <c r="W32" s="49" t="s">
        <v>146</v>
      </c>
      <c r="X32" s="11"/>
      <c r="Y32" s="11"/>
      <c r="Z32" s="11"/>
      <c r="AA32" s="11"/>
      <c r="AB32" s="11"/>
      <c r="AC32" s="12"/>
      <c r="AD32" s="48">
        <v>30.0</v>
      </c>
      <c r="AE32" s="11"/>
      <c r="AF32" s="12"/>
    </row>
    <row r="33" ht="30.0" customHeight="1">
      <c r="B33" s="47">
        <v>26.0</v>
      </c>
      <c r="C33" s="48" t="s">
        <v>147</v>
      </c>
      <c r="D33" s="11"/>
      <c r="E33" s="12"/>
      <c r="F33" s="49" t="s">
        <v>130</v>
      </c>
      <c r="G33" s="11"/>
      <c r="H33" s="11"/>
      <c r="I33" s="11"/>
      <c r="J33" s="11"/>
      <c r="K33" s="11"/>
      <c r="L33" s="12"/>
      <c r="M33" s="49" t="s">
        <v>148</v>
      </c>
      <c r="N33" s="11"/>
      <c r="O33" s="11"/>
      <c r="P33" s="11"/>
      <c r="Q33" s="11"/>
      <c r="R33" s="11"/>
      <c r="S33" s="11"/>
      <c r="T33" s="12"/>
      <c r="U33" s="50" t="s">
        <v>76</v>
      </c>
      <c r="V33" s="12"/>
      <c r="W33" s="49" t="s">
        <v>149</v>
      </c>
      <c r="X33" s="11"/>
      <c r="Y33" s="11"/>
      <c r="Z33" s="11"/>
      <c r="AA33" s="11"/>
      <c r="AB33" s="11"/>
      <c r="AC33" s="12"/>
      <c r="AD33" s="48">
        <v>15.0</v>
      </c>
      <c r="AE33" s="11"/>
      <c r="AF33" s="12"/>
    </row>
    <row r="34" ht="30.0" customHeight="1">
      <c r="B34" s="47">
        <v>27.0</v>
      </c>
      <c r="C34" s="48" t="s">
        <v>150</v>
      </c>
      <c r="D34" s="11"/>
      <c r="E34" s="12"/>
      <c r="F34" s="49" t="s">
        <v>130</v>
      </c>
      <c r="G34" s="11"/>
      <c r="H34" s="11"/>
      <c r="I34" s="11"/>
      <c r="J34" s="11"/>
      <c r="K34" s="11"/>
      <c r="L34" s="12"/>
      <c r="M34" s="49" t="s">
        <v>151</v>
      </c>
      <c r="N34" s="11"/>
      <c r="O34" s="11"/>
      <c r="P34" s="11"/>
      <c r="Q34" s="11"/>
      <c r="R34" s="11"/>
      <c r="S34" s="11"/>
      <c r="T34" s="12"/>
      <c r="U34" s="50" t="s">
        <v>76</v>
      </c>
      <c r="V34" s="12"/>
      <c r="W34" s="49" t="s">
        <v>152</v>
      </c>
      <c r="X34" s="11"/>
      <c r="Y34" s="11"/>
      <c r="Z34" s="11"/>
      <c r="AA34" s="11"/>
      <c r="AB34" s="11"/>
      <c r="AC34" s="12"/>
      <c r="AD34" s="48">
        <v>18.0</v>
      </c>
      <c r="AE34" s="11"/>
      <c r="AF34" s="12"/>
    </row>
    <row r="35" ht="30.0" customHeight="1">
      <c r="B35" s="47">
        <v>28.0</v>
      </c>
      <c r="C35" s="48" t="s">
        <v>153</v>
      </c>
      <c r="D35" s="11"/>
      <c r="E35" s="12"/>
      <c r="F35" s="49" t="s">
        <v>154</v>
      </c>
      <c r="G35" s="11"/>
      <c r="H35" s="11"/>
      <c r="I35" s="11"/>
      <c r="J35" s="11"/>
      <c r="K35" s="11"/>
      <c r="L35" s="12"/>
      <c r="M35" s="49" t="s">
        <v>155</v>
      </c>
      <c r="N35" s="11"/>
      <c r="O35" s="11"/>
      <c r="P35" s="11"/>
      <c r="Q35" s="11"/>
      <c r="R35" s="11"/>
      <c r="S35" s="11"/>
      <c r="T35" s="12"/>
      <c r="U35" s="50" t="s">
        <v>76</v>
      </c>
      <c r="V35" s="12"/>
      <c r="W35" s="49" t="s">
        <v>156</v>
      </c>
      <c r="X35" s="11"/>
      <c r="Y35" s="11"/>
      <c r="Z35" s="11"/>
      <c r="AA35" s="11"/>
      <c r="AB35" s="11"/>
      <c r="AC35" s="12"/>
      <c r="AD35" s="48">
        <v>25.0</v>
      </c>
      <c r="AE35" s="11"/>
      <c r="AF35" s="12"/>
    </row>
    <row r="36" ht="30.0" customHeight="1">
      <c r="B36" s="47">
        <v>29.0</v>
      </c>
      <c r="C36" s="48" t="s">
        <v>157</v>
      </c>
      <c r="D36" s="11"/>
      <c r="E36" s="12"/>
      <c r="F36" s="49" t="s">
        <v>154</v>
      </c>
      <c r="G36" s="11"/>
      <c r="H36" s="11"/>
      <c r="I36" s="11"/>
      <c r="J36" s="11"/>
      <c r="K36" s="11"/>
      <c r="L36" s="12"/>
      <c r="M36" s="49" t="s">
        <v>158</v>
      </c>
      <c r="N36" s="11"/>
      <c r="O36" s="11"/>
      <c r="P36" s="11"/>
      <c r="Q36" s="11"/>
      <c r="R36" s="11"/>
      <c r="S36" s="11"/>
      <c r="T36" s="12"/>
      <c r="U36" s="50" t="s">
        <v>76</v>
      </c>
      <c r="V36" s="12"/>
      <c r="W36" s="49" t="s">
        <v>88</v>
      </c>
      <c r="X36" s="11"/>
      <c r="Y36" s="11"/>
      <c r="Z36" s="11"/>
      <c r="AA36" s="11"/>
      <c r="AB36" s="11"/>
      <c r="AC36" s="12"/>
      <c r="AD36" s="48">
        <v>8.0</v>
      </c>
      <c r="AE36" s="11"/>
      <c r="AF36" s="12"/>
    </row>
    <row r="37" ht="30.0" customHeight="1">
      <c r="B37" s="47">
        <v>30.0</v>
      </c>
      <c r="C37" s="48" t="s">
        <v>159</v>
      </c>
      <c r="D37" s="11"/>
      <c r="E37" s="12"/>
      <c r="F37" s="49" t="s">
        <v>154</v>
      </c>
      <c r="G37" s="11"/>
      <c r="H37" s="11"/>
      <c r="I37" s="11"/>
      <c r="J37" s="11"/>
      <c r="K37" s="11"/>
      <c r="L37" s="12"/>
      <c r="M37" s="49" t="s">
        <v>160</v>
      </c>
      <c r="N37" s="11"/>
      <c r="O37" s="11"/>
      <c r="P37" s="11"/>
      <c r="Q37" s="11"/>
      <c r="R37" s="11"/>
      <c r="S37" s="11"/>
      <c r="T37" s="12"/>
      <c r="U37" s="50" t="s">
        <v>76</v>
      </c>
      <c r="V37" s="12"/>
      <c r="W37" s="49" t="s">
        <v>161</v>
      </c>
      <c r="X37" s="11"/>
      <c r="Y37" s="11"/>
      <c r="Z37" s="11"/>
      <c r="AA37" s="11"/>
      <c r="AB37" s="11"/>
      <c r="AC37" s="12"/>
      <c r="AD37" s="48">
        <v>15.0</v>
      </c>
      <c r="AE37" s="11"/>
      <c r="AF37" s="12"/>
    </row>
    <row r="38" ht="30.0" customHeight="1">
      <c r="B38" s="47">
        <v>31.0</v>
      </c>
      <c r="C38" s="48" t="s">
        <v>162</v>
      </c>
      <c r="D38" s="11"/>
      <c r="E38" s="12"/>
      <c r="F38" s="49" t="s">
        <v>154</v>
      </c>
      <c r="G38" s="11"/>
      <c r="H38" s="11"/>
      <c r="I38" s="11"/>
      <c r="J38" s="11"/>
      <c r="K38" s="11"/>
      <c r="L38" s="12"/>
      <c r="M38" s="49" t="s">
        <v>163</v>
      </c>
      <c r="N38" s="11"/>
      <c r="O38" s="11"/>
      <c r="P38" s="11"/>
      <c r="Q38" s="11"/>
      <c r="R38" s="11"/>
      <c r="S38" s="11"/>
      <c r="T38" s="12"/>
      <c r="U38" s="50" t="s">
        <v>76</v>
      </c>
      <c r="V38" s="12"/>
      <c r="W38" s="49" t="s">
        <v>88</v>
      </c>
      <c r="X38" s="11"/>
      <c r="Y38" s="11"/>
      <c r="Z38" s="11"/>
      <c r="AA38" s="11"/>
      <c r="AB38" s="11"/>
      <c r="AC38" s="12"/>
      <c r="AD38" s="48">
        <v>40.0</v>
      </c>
      <c r="AE38" s="11"/>
      <c r="AF38" s="12"/>
    </row>
    <row r="39" ht="30.0" customHeight="1">
      <c r="B39" s="47">
        <v>32.0</v>
      </c>
      <c r="C39" s="48" t="s">
        <v>164</v>
      </c>
      <c r="D39" s="11"/>
      <c r="E39" s="12"/>
      <c r="F39" s="49" t="s">
        <v>154</v>
      </c>
      <c r="G39" s="11"/>
      <c r="H39" s="11"/>
      <c r="I39" s="11"/>
      <c r="J39" s="11"/>
      <c r="K39" s="11"/>
      <c r="L39" s="12"/>
      <c r="M39" s="49" t="s">
        <v>165</v>
      </c>
      <c r="N39" s="11"/>
      <c r="O39" s="11"/>
      <c r="P39" s="11"/>
      <c r="Q39" s="11"/>
      <c r="R39" s="11"/>
      <c r="S39" s="11"/>
      <c r="T39" s="12"/>
      <c r="U39" s="51" t="s">
        <v>96</v>
      </c>
      <c r="V39" s="12"/>
      <c r="W39" s="49" t="s">
        <v>166</v>
      </c>
      <c r="X39" s="11"/>
      <c r="Y39" s="11"/>
      <c r="Z39" s="11"/>
      <c r="AA39" s="11"/>
      <c r="AB39" s="11"/>
      <c r="AC39" s="12"/>
      <c r="AD39" s="48">
        <v>20.0</v>
      </c>
      <c r="AE39" s="11"/>
      <c r="AF39" s="12"/>
    </row>
    <row r="40" ht="30.0" customHeight="1">
      <c r="B40" s="47">
        <v>33.0</v>
      </c>
      <c r="C40" s="48" t="s">
        <v>167</v>
      </c>
      <c r="D40" s="11"/>
      <c r="E40" s="12"/>
      <c r="F40" s="49" t="s">
        <v>154</v>
      </c>
      <c r="G40" s="11"/>
      <c r="H40" s="11"/>
      <c r="I40" s="11"/>
      <c r="J40" s="11"/>
      <c r="K40" s="11"/>
      <c r="L40" s="12"/>
      <c r="M40" s="49" t="s">
        <v>168</v>
      </c>
      <c r="N40" s="11"/>
      <c r="O40" s="11"/>
      <c r="P40" s="11"/>
      <c r="Q40" s="11"/>
      <c r="R40" s="11"/>
      <c r="S40" s="11"/>
      <c r="T40" s="12"/>
      <c r="U40" s="51" t="s">
        <v>96</v>
      </c>
      <c r="V40" s="12"/>
      <c r="W40" s="49" t="s">
        <v>169</v>
      </c>
      <c r="X40" s="11"/>
      <c r="Y40" s="11"/>
      <c r="Z40" s="11"/>
      <c r="AA40" s="11"/>
      <c r="AB40" s="11"/>
      <c r="AC40" s="12"/>
      <c r="AD40" s="48">
        <v>12.0</v>
      </c>
      <c r="AE40" s="11"/>
      <c r="AF40" s="12"/>
    </row>
    <row r="41" ht="30.0" customHeight="1">
      <c r="B41" s="47">
        <v>34.0</v>
      </c>
      <c r="C41" s="48" t="s">
        <v>170</v>
      </c>
      <c r="D41" s="11"/>
      <c r="E41" s="12"/>
      <c r="F41" s="49" t="s">
        <v>154</v>
      </c>
      <c r="G41" s="11"/>
      <c r="H41" s="11"/>
      <c r="I41" s="11"/>
      <c r="J41" s="11"/>
      <c r="K41" s="11"/>
      <c r="L41" s="12"/>
      <c r="M41" s="49" t="s">
        <v>171</v>
      </c>
      <c r="N41" s="11"/>
      <c r="O41" s="11"/>
      <c r="P41" s="11"/>
      <c r="Q41" s="11"/>
      <c r="R41" s="11"/>
      <c r="S41" s="11"/>
      <c r="T41" s="12"/>
      <c r="U41" s="50" t="s">
        <v>76</v>
      </c>
      <c r="V41" s="12"/>
      <c r="W41" s="49" t="s">
        <v>172</v>
      </c>
      <c r="X41" s="11"/>
      <c r="Y41" s="11"/>
      <c r="Z41" s="11"/>
      <c r="AA41" s="11"/>
      <c r="AB41" s="11"/>
      <c r="AC41" s="12"/>
      <c r="AD41" s="48">
        <v>15.0</v>
      </c>
      <c r="AE41" s="11"/>
      <c r="AF41" s="12"/>
    </row>
    <row r="42" ht="30.0" customHeight="1">
      <c r="B42" s="47">
        <v>35.0</v>
      </c>
      <c r="C42" s="48" t="s">
        <v>173</v>
      </c>
      <c r="D42" s="11"/>
      <c r="E42" s="12"/>
      <c r="F42" s="49" t="s">
        <v>154</v>
      </c>
      <c r="G42" s="11"/>
      <c r="H42" s="11"/>
      <c r="I42" s="11"/>
      <c r="J42" s="11"/>
      <c r="K42" s="11"/>
      <c r="L42" s="12"/>
      <c r="M42" s="49" t="s">
        <v>174</v>
      </c>
      <c r="N42" s="11"/>
      <c r="O42" s="11"/>
      <c r="P42" s="11"/>
      <c r="Q42" s="11"/>
      <c r="R42" s="11"/>
      <c r="S42" s="11"/>
      <c r="T42" s="12"/>
      <c r="U42" s="51" t="s">
        <v>96</v>
      </c>
      <c r="V42" s="12"/>
      <c r="W42" s="49" t="s">
        <v>88</v>
      </c>
      <c r="X42" s="11"/>
      <c r="Y42" s="11"/>
      <c r="Z42" s="11"/>
      <c r="AA42" s="11"/>
      <c r="AB42" s="11"/>
      <c r="AC42" s="12"/>
      <c r="AD42" s="48">
        <v>30.0</v>
      </c>
      <c r="AE42" s="11"/>
      <c r="AF42" s="12"/>
    </row>
    <row r="43" ht="36.0" customHeight="1">
      <c r="B43" s="47">
        <v>36.0</v>
      </c>
      <c r="C43" s="48" t="s">
        <v>175</v>
      </c>
      <c r="D43" s="11"/>
      <c r="E43" s="12"/>
      <c r="F43" s="49" t="s">
        <v>154</v>
      </c>
      <c r="G43" s="11"/>
      <c r="H43" s="11"/>
      <c r="I43" s="11"/>
      <c r="J43" s="11"/>
      <c r="K43" s="11"/>
      <c r="L43" s="12"/>
      <c r="M43" s="49" t="s">
        <v>176</v>
      </c>
      <c r="N43" s="11"/>
      <c r="O43" s="11"/>
      <c r="P43" s="11"/>
      <c r="Q43" s="11"/>
      <c r="R43" s="11"/>
      <c r="S43" s="11"/>
      <c r="T43" s="12"/>
      <c r="U43" s="50" t="s">
        <v>76</v>
      </c>
      <c r="V43" s="12"/>
      <c r="W43" s="49" t="s">
        <v>161</v>
      </c>
      <c r="X43" s="11"/>
      <c r="Y43" s="11"/>
      <c r="Z43" s="11"/>
      <c r="AA43" s="11"/>
      <c r="AB43" s="11"/>
      <c r="AC43" s="12"/>
      <c r="AD43" s="48">
        <v>6.0</v>
      </c>
      <c r="AE43" s="11"/>
      <c r="AF43" s="12"/>
    </row>
    <row r="44" ht="30.0" customHeight="1">
      <c r="B44" s="47">
        <v>37.0</v>
      </c>
      <c r="C44" s="48" t="s">
        <v>177</v>
      </c>
      <c r="D44" s="11"/>
      <c r="E44" s="12"/>
      <c r="F44" s="49" t="s">
        <v>178</v>
      </c>
      <c r="G44" s="11"/>
      <c r="H44" s="11"/>
      <c r="I44" s="11"/>
      <c r="J44" s="11"/>
      <c r="K44" s="11"/>
      <c r="L44" s="12"/>
      <c r="M44" s="49" t="s">
        <v>179</v>
      </c>
      <c r="N44" s="11"/>
      <c r="O44" s="11"/>
      <c r="P44" s="11"/>
      <c r="Q44" s="11"/>
      <c r="R44" s="11"/>
      <c r="S44" s="11"/>
      <c r="T44" s="12"/>
      <c r="U44" s="52" t="s">
        <v>180</v>
      </c>
      <c r="V44" s="12"/>
      <c r="W44" s="49" t="s">
        <v>181</v>
      </c>
      <c r="X44" s="11"/>
      <c r="Y44" s="11"/>
      <c r="Z44" s="11"/>
      <c r="AA44" s="11"/>
      <c r="AB44" s="11"/>
      <c r="AC44" s="12"/>
      <c r="AD44" s="48">
        <v>60.0</v>
      </c>
      <c r="AE44" s="11"/>
      <c r="AF44" s="12"/>
    </row>
    <row r="45" ht="36.0" customHeight="1">
      <c r="B45" s="47">
        <v>38.0</v>
      </c>
      <c r="C45" s="48" t="s">
        <v>182</v>
      </c>
      <c r="D45" s="11"/>
      <c r="E45" s="12"/>
      <c r="F45" s="49" t="s">
        <v>178</v>
      </c>
      <c r="G45" s="11"/>
      <c r="H45" s="11"/>
      <c r="I45" s="11"/>
      <c r="J45" s="11"/>
      <c r="K45" s="11"/>
      <c r="L45" s="12"/>
      <c r="M45" s="49" t="s">
        <v>183</v>
      </c>
      <c r="N45" s="11"/>
      <c r="O45" s="11"/>
      <c r="P45" s="11"/>
      <c r="Q45" s="11"/>
      <c r="R45" s="11"/>
      <c r="S45" s="11"/>
      <c r="T45" s="12"/>
      <c r="U45" s="52" t="s">
        <v>180</v>
      </c>
      <c r="V45" s="12"/>
      <c r="W45" s="49" t="s">
        <v>181</v>
      </c>
      <c r="X45" s="11"/>
      <c r="Y45" s="11"/>
      <c r="Z45" s="11"/>
      <c r="AA45" s="11"/>
      <c r="AB45" s="11"/>
      <c r="AC45" s="12"/>
      <c r="AD45" s="48">
        <v>40.0</v>
      </c>
      <c r="AE45" s="11"/>
      <c r="AF45" s="12"/>
    </row>
    <row r="46" ht="30.0" customHeight="1">
      <c r="B46" s="47">
        <v>39.0</v>
      </c>
      <c r="C46" s="48" t="s">
        <v>184</v>
      </c>
      <c r="D46" s="11"/>
      <c r="E46" s="12"/>
      <c r="F46" s="49" t="s">
        <v>178</v>
      </c>
      <c r="G46" s="11"/>
      <c r="H46" s="11"/>
      <c r="I46" s="11"/>
      <c r="J46" s="11"/>
      <c r="K46" s="11"/>
      <c r="L46" s="12"/>
      <c r="M46" s="49" t="s">
        <v>185</v>
      </c>
      <c r="N46" s="11"/>
      <c r="O46" s="11"/>
      <c r="P46" s="11"/>
      <c r="Q46" s="11"/>
      <c r="R46" s="11"/>
      <c r="S46" s="11"/>
      <c r="T46" s="12"/>
      <c r="U46" s="52" t="s">
        <v>180</v>
      </c>
      <c r="V46" s="12"/>
      <c r="W46" s="49" t="s">
        <v>107</v>
      </c>
      <c r="X46" s="11"/>
      <c r="Y46" s="11"/>
      <c r="Z46" s="11"/>
      <c r="AA46" s="11"/>
      <c r="AB46" s="11"/>
      <c r="AC46" s="12"/>
      <c r="AD46" s="48">
        <v>25.0</v>
      </c>
      <c r="AE46" s="11"/>
      <c r="AF46" s="12"/>
    </row>
    <row r="47" ht="30.0" customHeight="1">
      <c r="B47" s="47">
        <v>40.0</v>
      </c>
      <c r="C47" s="48" t="s">
        <v>186</v>
      </c>
      <c r="D47" s="11"/>
      <c r="E47" s="12"/>
      <c r="F47" s="49" t="s">
        <v>178</v>
      </c>
      <c r="G47" s="11"/>
      <c r="H47" s="11"/>
      <c r="I47" s="11"/>
      <c r="J47" s="11"/>
      <c r="K47" s="11"/>
      <c r="L47" s="12"/>
      <c r="M47" s="49" t="s">
        <v>187</v>
      </c>
      <c r="N47" s="11"/>
      <c r="O47" s="11"/>
      <c r="P47" s="11"/>
      <c r="Q47" s="11"/>
      <c r="R47" s="11"/>
      <c r="S47" s="11"/>
      <c r="T47" s="12"/>
      <c r="U47" s="52" t="s">
        <v>180</v>
      </c>
      <c r="V47" s="12"/>
      <c r="W47" s="49" t="s">
        <v>88</v>
      </c>
      <c r="X47" s="11"/>
      <c r="Y47" s="11"/>
      <c r="Z47" s="11"/>
      <c r="AA47" s="11"/>
      <c r="AB47" s="11"/>
      <c r="AC47" s="12"/>
      <c r="AD47" s="48">
        <v>5.0</v>
      </c>
      <c r="AE47" s="11"/>
      <c r="AF47" s="12"/>
    </row>
    <row r="48" ht="30.0" customHeight="1">
      <c r="B48" s="47">
        <v>41.0</v>
      </c>
      <c r="C48" s="48" t="s">
        <v>188</v>
      </c>
      <c r="D48" s="11"/>
      <c r="E48" s="12"/>
      <c r="F48" s="49" t="s">
        <v>178</v>
      </c>
      <c r="G48" s="11"/>
      <c r="H48" s="11"/>
      <c r="I48" s="11"/>
      <c r="J48" s="11"/>
      <c r="K48" s="11"/>
      <c r="L48" s="12"/>
      <c r="M48" s="49" t="s">
        <v>189</v>
      </c>
      <c r="N48" s="11"/>
      <c r="O48" s="11"/>
      <c r="P48" s="11"/>
      <c r="Q48" s="11"/>
      <c r="R48" s="11"/>
      <c r="S48" s="11"/>
      <c r="T48" s="12"/>
      <c r="U48" s="50" t="s">
        <v>76</v>
      </c>
      <c r="V48" s="12"/>
      <c r="W48" s="49" t="s">
        <v>88</v>
      </c>
      <c r="X48" s="11"/>
      <c r="Y48" s="11"/>
      <c r="Z48" s="11"/>
      <c r="AA48" s="11"/>
      <c r="AB48" s="11"/>
      <c r="AC48" s="12"/>
      <c r="AD48" s="48">
        <v>5.0</v>
      </c>
      <c r="AE48" s="11"/>
      <c r="AF48" s="12"/>
    </row>
    <row r="49" ht="30.0" customHeight="1">
      <c r="B49" s="47">
        <v>42.0</v>
      </c>
      <c r="C49" s="48" t="s">
        <v>190</v>
      </c>
      <c r="D49" s="11"/>
      <c r="E49" s="12"/>
      <c r="F49" s="49" t="s">
        <v>178</v>
      </c>
      <c r="G49" s="11"/>
      <c r="H49" s="11"/>
      <c r="I49" s="11"/>
      <c r="J49" s="11"/>
      <c r="K49" s="11"/>
      <c r="L49" s="12"/>
      <c r="M49" s="49" t="s">
        <v>191</v>
      </c>
      <c r="N49" s="11"/>
      <c r="O49" s="11"/>
      <c r="P49" s="11"/>
      <c r="Q49" s="11"/>
      <c r="R49" s="11"/>
      <c r="S49" s="11"/>
      <c r="T49" s="12"/>
      <c r="U49" s="51" t="s">
        <v>96</v>
      </c>
      <c r="V49" s="12"/>
      <c r="W49" s="49" t="s">
        <v>192</v>
      </c>
      <c r="X49" s="11"/>
      <c r="Y49" s="11"/>
      <c r="Z49" s="11"/>
      <c r="AA49" s="11"/>
      <c r="AB49" s="11"/>
      <c r="AC49" s="12"/>
      <c r="AD49" s="48">
        <v>8.0</v>
      </c>
      <c r="AE49" s="11"/>
      <c r="AF49" s="12"/>
    </row>
    <row r="50" ht="30.0" customHeight="1">
      <c r="B50" s="47">
        <v>43.0</v>
      </c>
      <c r="C50" s="48" t="s">
        <v>193</v>
      </c>
      <c r="D50" s="11"/>
      <c r="E50" s="12"/>
      <c r="F50" s="49" t="s">
        <v>194</v>
      </c>
      <c r="G50" s="11"/>
      <c r="H50" s="11"/>
      <c r="I50" s="11"/>
      <c r="J50" s="11"/>
      <c r="K50" s="11"/>
      <c r="L50" s="12"/>
      <c r="M50" s="49" t="s">
        <v>195</v>
      </c>
      <c r="N50" s="11"/>
      <c r="O50" s="11"/>
      <c r="P50" s="11"/>
      <c r="Q50" s="11"/>
      <c r="R50" s="11"/>
      <c r="S50" s="11"/>
      <c r="T50" s="12"/>
      <c r="U50" s="51" t="s">
        <v>96</v>
      </c>
      <c r="V50" s="12"/>
      <c r="W50" s="49" t="s">
        <v>196</v>
      </c>
      <c r="X50" s="11"/>
      <c r="Y50" s="11"/>
      <c r="Z50" s="11"/>
      <c r="AA50" s="11"/>
      <c r="AB50" s="11"/>
      <c r="AC50" s="12"/>
      <c r="AD50" s="48">
        <v>12.0</v>
      </c>
      <c r="AE50" s="11"/>
      <c r="AF50" s="12"/>
    </row>
    <row r="51" ht="30.0" customHeight="1">
      <c r="B51" s="47">
        <v>44.0</v>
      </c>
      <c r="C51" s="48" t="s">
        <v>197</v>
      </c>
      <c r="D51" s="11"/>
      <c r="E51" s="12"/>
      <c r="F51" s="49" t="s">
        <v>194</v>
      </c>
      <c r="G51" s="11"/>
      <c r="H51" s="11"/>
      <c r="I51" s="11"/>
      <c r="J51" s="11"/>
      <c r="K51" s="11"/>
      <c r="L51" s="12"/>
      <c r="M51" s="49" t="s">
        <v>198</v>
      </c>
      <c r="N51" s="11"/>
      <c r="O51" s="11"/>
      <c r="P51" s="11"/>
      <c r="Q51" s="11"/>
      <c r="R51" s="11"/>
      <c r="S51" s="11"/>
      <c r="T51" s="12"/>
      <c r="U51" s="51" t="s">
        <v>96</v>
      </c>
      <c r="V51" s="12"/>
      <c r="W51" s="49" t="s">
        <v>199</v>
      </c>
      <c r="X51" s="11"/>
      <c r="Y51" s="11"/>
      <c r="Z51" s="11"/>
      <c r="AA51" s="11"/>
      <c r="AB51" s="11"/>
      <c r="AC51" s="12"/>
      <c r="AD51" s="48">
        <v>8.0</v>
      </c>
      <c r="AE51" s="11"/>
      <c r="AF51" s="12"/>
    </row>
    <row r="52" ht="22.5" customHeight="1">
      <c r="B52" s="53" t="s">
        <v>52</v>
      </c>
      <c r="C52" s="11"/>
      <c r="D52" s="11"/>
      <c r="E52" s="11"/>
      <c r="F52" s="11"/>
      <c r="G52" s="11"/>
      <c r="H52" s="11"/>
      <c r="I52" s="11"/>
      <c r="J52" s="11"/>
      <c r="K52" s="11"/>
      <c r="L52" s="11"/>
      <c r="M52" s="11"/>
      <c r="N52" s="11"/>
      <c r="O52" s="11"/>
      <c r="P52" s="11"/>
      <c r="Q52" s="11"/>
      <c r="R52" s="11"/>
      <c r="S52" s="11"/>
      <c r="T52" s="12"/>
      <c r="U52" s="39"/>
      <c r="V52" s="12"/>
      <c r="W52" s="39"/>
      <c r="X52" s="11"/>
      <c r="Y52" s="11"/>
      <c r="Z52" s="11"/>
      <c r="AA52" s="11"/>
      <c r="AB52" s="11"/>
      <c r="AC52" s="12"/>
      <c r="AD52" s="39">
        <f>SUM(AD8:AD51)</f>
        <v>1682</v>
      </c>
      <c r="AE52" s="11"/>
      <c r="AF52" s="12"/>
    </row>
    <row r="53" ht="15.75" customHeight="1"/>
    <row r="54" ht="19.5" customHeight="1">
      <c r="B54" s="29" t="s">
        <v>200</v>
      </c>
    </row>
    <row r="55" ht="15.75" customHeight="1"/>
    <row r="56" ht="28.5" customHeight="1">
      <c r="B56" s="46" t="s">
        <v>201</v>
      </c>
      <c r="C56" s="12"/>
      <c r="D56" s="46" t="s">
        <v>202</v>
      </c>
      <c r="E56" s="11"/>
      <c r="F56" s="12"/>
      <c r="G56" s="46" t="s">
        <v>203</v>
      </c>
      <c r="H56" s="11"/>
      <c r="I56" s="11"/>
      <c r="J56" s="11"/>
      <c r="K56" s="11"/>
      <c r="L56" s="12"/>
      <c r="M56" s="46" t="s">
        <v>204</v>
      </c>
      <c r="N56" s="12"/>
      <c r="O56" s="46" t="s">
        <v>205</v>
      </c>
      <c r="P56" s="11"/>
      <c r="Q56" s="12"/>
      <c r="R56" s="46" t="s">
        <v>206</v>
      </c>
      <c r="S56" s="11"/>
      <c r="T56" s="11"/>
      <c r="U56" s="11"/>
      <c r="V56" s="11"/>
      <c r="W56" s="11"/>
      <c r="X56" s="11"/>
      <c r="Y56" s="11"/>
      <c r="Z56" s="11"/>
      <c r="AA56" s="11"/>
      <c r="AB56" s="11"/>
      <c r="AC56" s="11"/>
      <c r="AD56" s="11"/>
      <c r="AE56" s="11"/>
      <c r="AF56" s="11"/>
      <c r="AG56" s="11"/>
      <c r="AH56" s="11"/>
      <c r="AI56" s="11"/>
      <c r="AJ56" s="11"/>
      <c r="AK56" s="12"/>
    </row>
    <row r="57" ht="36.0" customHeight="1">
      <c r="B57" s="54" t="s">
        <v>207</v>
      </c>
      <c r="C57" s="12"/>
      <c r="D57" s="48" t="s">
        <v>208</v>
      </c>
      <c r="E57" s="11"/>
      <c r="F57" s="12"/>
      <c r="G57" s="49" t="s">
        <v>209</v>
      </c>
      <c r="H57" s="11"/>
      <c r="I57" s="11"/>
      <c r="J57" s="11"/>
      <c r="K57" s="11"/>
      <c r="L57" s="12"/>
      <c r="M57" s="48">
        <v>10.0</v>
      </c>
      <c r="N57" s="12"/>
      <c r="O57" s="48" t="s">
        <v>76</v>
      </c>
      <c r="P57" s="11"/>
      <c r="Q57" s="12"/>
      <c r="R57" s="49" t="s">
        <v>210</v>
      </c>
      <c r="S57" s="11"/>
      <c r="T57" s="11"/>
      <c r="U57" s="11"/>
      <c r="V57" s="11"/>
      <c r="W57" s="11"/>
      <c r="X57" s="11"/>
      <c r="Y57" s="11"/>
      <c r="Z57" s="11"/>
      <c r="AA57" s="11"/>
      <c r="AB57" s="11"/>
      <c r="AC57" s="11"/>
      <c r="AD57" s="11"/>
      <c r="AE57" s="11"/>
      <c r="AF57" s="11"/>
      <c r="AG57" s="11"/>
      <c r="AH57" s="11"/>
      <c r="AI57" s="11"/>
      <c r="AJ57" s="11"/>
      <c r="AK57" s="12"/>
    </row>
    <row r="58" ht="30.0" customHeight="1">
      <c r="B58" s="54" t="s">
        <v>211</v>
      </c>
      <c r="C58" s="12"/>
      <c r="D58" s="48" t="s">
        <v>212</v>
      </c>
      <c r="E58" s="11"/>
      <c r="F58" s="12"/>
      <c r="G58" s="49" t="s">
        <v>213</v>
      </c>
      <c r="H58" s="11"/>
      <c r="I58" s="11"/>
      <c r="J58" s="11"/>
      <c r="K58" s="11"/>
      <c r="L58" s="12"/>
      <c r="M58" s="48">
        <v>9.0</v>
      </c>
      <c r="N58" s="12"/>
      <c r="O58" s="48" t="s">
        <v>96</v>
      </c>
      <c r="P58" s="11"/>
      <c r="Q58" s="12"/>
      <c r="R58" s="49" t="s">
        <v>214</v>
      </c>
      <c r="S58" s="11"/>
      <c r="T58" s="11"/>
      <c r="U58" s="11"/>
      <c r="V58" s="11"/>
      <c r="W58" s="11"/>
      <c r="X58" s="11"/>
      <c r="Y58" s="11"/>
      <c r="Z58" s="11"/>
      <c r="AA58" s="11"/>
      <c r="AB58" s="11"/>
      <c r="AC58" s="11"/>
      <c r="AD58" s="11"/>
      <c r="AE58" s="11"/>
      <c r="AF58" s="11"/>
      <c r="AG58" s="11"/>
      <c r="AH58" s="11"/>
      <c r="AI58" s="11"/>
      <c r="AJ58" s="11"/>
      <c r="AK58" s="12"/>
    </row>
    <row r="59" ht="36.0" customHeight="1">
      <c r="B59" s="54" t="s">
        <v>215</v>
      </c>
      <c r="C59" s="12"/>
      <c r="D59" s="48" t="s">
        <v>216</v>
      </c>
      <c r="E59" s="11"/>
      <c r="F59" s="12"/>
      <c r="G59" s="49" t="s">
        <v>217</v>
      </c>
      <c r="H59" s="11"/>
      <c r="I59" s="11"/>
      <c r="J59" s="11"/>
      <c r="K59" s="11"/>
      <c r="L59" s="12"/>
      <c r="M59" s="48">
        <v>8.0</v>
      </c>
      <c r="N59" s="12"/>
      <c r="O59" s="48" t="s">
        <v>76</v>
      </c>
      <c r="P59" s="11"/>
      <c r="Q59" s="12"/>
      <c r="R59" s="49" t="s">
        <v>218</v>
      </c>
      <c r="S59" s="11"/>
      <c r="T59" s="11"/>
      <c r="U59" s="11"/>
      <c r="V59" s="11"/>
      <c r="W59" s="11"/>
      <c r="X59" s="11"/>
      <c r="Y59" s="11"/>
      <c r="Z59" s="11"/>
      <c r="AA59" s="11"/>
      <c r="AB59" s="11"/>
      <c r="AC59" s="11"/>
      <c r="AD59" s="11"/>
      <c r="AE59" s="11"/>
      <c r="AF59" s="11"/>
      <c r="AG59" s="11"/>
      <c r="AH59" s="11"/>
      <c r="AI59" s="11"/>
      <c r="AJ59" s="11"/>
      <c r="AK59" s="12"/>
    </row>
    <row r="60" ht="36.0" customHeight="1">
      <c r="B60" s="54" t="s">
        <v>219</v>
      </c>
      <c r="C60" s="12"/>
      <c r="D60" s="48" t="s">
        <v>220</v>
      </c>
      <c r="E60" s="11"/>
      <c r="F60" s="12"/>
      <c r="G60" s="49" t="s">
        <v>221</v>
      </c>
      <c r="H60" s="11"/>
      <c r="I60" s="11"/>
      <c r="J60" s="11"/>
      <c r="K60" s="11"/>
      <c r="L60" s="12"/>
      <c r="M60" s="48">
        <v>9.0</v>
      </c>
      <c r="N60" s="12"/>
      <c r="O60" s="48" t="s">
        <v>76</v>
      </c>
      <c r="P60" s="11"/>
      <c r="Q60" s="12"/>
      <c r="R60" s="49" t="s">
        <v>222</v>
      </c>
      <c r="S60" s="11"/>
      <c r="T60" s="11"/>
      <c r="U60" s="11"/>
      <c r="V60" s="11"/>
      <c r="W60" s="11"/>
      <c r="X60" s="11"/>
      <c r="Y60" s="11"/>
      <c r="Z60" s="11"/>
      <c r="AA60" s="11"/>
      <c r="AB60" s="11"/>
      <c r="AC60" s="11"/>
      <c r="AD60" s="11"/>
      <c r="AE60" s="11"/>
      <c r="AF60" s="11"/>
      <c r="AG60" s="11"/>
      <c r="AH60" s="11"/>
      <c r="AI60" s="11"/>
      <c r="AJ60" s="11"/>
      <c r="AK60" s="12"/>
    </row>
    <row r="61" ht="36.0" customHeight="1">
      <c r="B61" s="54" t="s">
        <v>223</v>
      </c>
      <c r="C61" s="12"/>
      <c r="D61" s="48" t="s">
        <v>224</v>
      </c>
      <c r="E61" s="11"/>
      <c r="F61" s="12"/>
      <c r="G61" s="49" t="s">
        <v>225</v>
      </c>
      <c r="H61" s="11"/>
      <c r="I61" s="11"/>
      <c r="J61" s="11"/>
      <c r="K61" s="11"/>
      <c r="L61" s="12"/>
      <c r="M61" s="48">
        <v>6.0</v>
      </c>
      <c r="N61" s="12"/>
      <c r="O61" s="48" t="s">
        <v>226</v>
      </c>
      <c r="P61" s="11"/>
      <c r="Q61" s="12"/>
      <c r="R61" s="49" t="s">
        <v>227</v>
      </c>
      <c r="S61" s="11"/>
      <c r="T61" s="11"/>
      <c r="U61" s="11"/>
      <c r="V61" s="11"/>
      <c r="W61" s="11"/>
      <c r="X61" s="11"/>
      <c r="Y61" s="11"/>
      <c r="Z61" s="11"/>
      <c r="AA61" s="11"/>
      <c r="AB61" s="11"/>
      <c r="AC61" s="11"/>
      <c r="AD61" s="11"/>
      <c r="AE61" s="11"/>
      <c r="AF61" s="11"/>
      <c r="AG61" s="11"/>
      <c r="AH61" s="11"/>
      <c r="AI61" s="11"/>
      <c r="AJ61" s="11"/>
      <c r="AK61" s="12"/>
    </row>
    <row r="62" ht="30.0" customHeight="1">
      <c r="B62" s="54" t="s">
        <v>228</v>
      </c>
      <c r="C62" s="12"/>
      <c r="D62" s="48" t="s">
        <v>229</v>
      </c>
      <c r="E62" s="11"/>
      <c r="F62" s="12"/>
      <c r="G62" s="49" t="s">
        <v>230</v>
      </c>
      <c r="H62" s="11"/>
      <c r="I62" s="11"/>
      <c r="J62" s="11"/>
      <c r="K62" s="11"/>
      <c r="L62" s="12"/>
      <c r="M62" s="48">
        <v>2.0</v>
      </c>
      <c r="N62" s="12"/>
      <c r="O62" s="48" t="s">
        <v>96</v>
      </c>
      <c r="P62" s="11"/>
      <c r="Q62" s="12"/>
      <c r="R62" s="49" t="s">
        <v>231</v>
      </c>
      <c r="S62" s="11"/>
      <c r="T62" s="11"/>
      <c r="U62" s="11"/>
      <c r="V62" s="11"/>
      <c r="W62" s="11"/>
      <c r="X62" s="11"/>
      <c r="Y62" s="11"/>
      <c r="Z62" s="11"/>
      <c r="AA62" s="11"/>
      <c r="AB62" s="11"/>
      <c r="AC62" s="11"/>
      <c r="AD62" s="11"/>
      <c r="AE62" s="11"/>
      <c r="AF62" s="11"/>
      <c r="AG62" s="11"/>
      <c r="AH62" s="11"/>
      <c r="AI62" s="11"/>
      <c r="AJ62" s="11"/>
      <c r="AK62" s="12"/>
    </row>
    <row r="63" ht="15.75" customHeight="1"/>
    <row r="64" ht="30.0" customHeight="1">
      <c r="B64" s="55" t="s">
        <v>232</v>
      </c>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233</v>
      </c>
      <c r="B1" s="11"/>
      <c r="C1" s="11"/>
      <c r="D1" s="11"/>
      <c r="E1" s="12"/>
      <c r="F1" s="21" t="s">
        <v>234</v>
      </c>
      <c r="G1" s="11"/>
      <c r="H1" s="11"/>
      <c r="I1" s="11"/>
      <c r="J1" s="11"/>
      <c r="K1" s="11"/>
      <c r="L1" s="11"/>
      <c r="M1" s="11"/>
      <c r="N1" s="11"/>
      <c r="O1" s="11"/>
      <c r="P1" s="11"/>
      <c r="Q1" s="12"/>
      <c r="R1" s="46" t="s">
        <v>235</v>
      </c>
      <c r="S1" s="11"/>
      <c r="T1" s="11"/>
      <c r="U1" s="11"/>
      <c r="V1" s="12"/>
      <c r="W1" s="21" t="s">
        <v>236</v>
      </c>
      <c r="X1" s="11"/>
      <c r="Y1" s="11"/>
      <c r="Z1" s="11"/>
      <c r="AA1" s="11"/>
      <c r="AB1" s="11"/>
      <c r="AC1" s="11"/>
      <c r="AD1" s="11"/>
      <c r="AE1" s="11"/>
      <c r="AF1" s="11"/>
      <c r="AG1" s="11"/>
      <c r="AH1" s="12"/>
    </row>
    <row r="2" ht="22.5" customHeight="1">
      <c r="A2" s="46" t="s">
        <v>23</v>
      </c>
      <c r="B2" s="11"/>
      <c r="C2" s="11"/>
      <c r="D2" s="11"/>
      <c r="E2" s="12"/>
      <c r="F2" s="21" t="s">
        <v>16</v>
      </c>
      <c r="G2" s="11"/>
      <c r="H2" s="11"/>
      <c r="I2" s="11"/>
      <c r="J2" s="11"/>
      <c r="K2" s="11"/>
      <c r="L2" s="11"/>
      <c r="M2" s="11"/>
      <c r="N2" s="11"/>
      <c r="O2" s="11"/>
      <c r="P2" s="11"/>
      <c r="Q2" s="12"/>
      <c r="R2" s="46" t="s">
        <v>22</v>
      </c>
      <c r="S2" s="11"/>
      <c r="T2" s="11"/>
      <c r="U2" s="11"/>
      <c r="V2" s="12"/>
      <c r="W2" s="36" t="s">
        <v>8</v>
      </c>
      <c r="X2" s="11"/>
      <c r="Y2" s="11"/>
      <c r="Z2" s="11"/>
      <c r="AA2" s="11"/>
      <c r="AB2" s="11"/>
      <c r="AC2" s="11"/>
      <c r="AD2" s="11"/>
      <c r="AE2" s="11"/>
      <c r="AF2" s="11"/>
      <c r="AG2" s="11"/>
      <c r="AH2" s="12"/>
    </row>
    <row r="3" ht="22.5" customHeight="1">
      <c r="A3" s="46" t="s">
        <v>13</v>
      </c>
      <c r="B3" s="11"/>
      <c r="C3" s="11"/>
      <c r="D3" s="11"/>
      <c r="E3" s="12"/>
      <c r="F3" s="21" t="s">
        <v>18</v>
      </c>
      <c r="G3" s="11"/>
      <c r="H3" s="11"/>
      <c r="I3" s="11"/>
      <c r="J3" s="11"/>
      <c r="K3" s="11"/>
      <c r="L3" s="11"/>
      <c r="M3" s="11"/>
      <c r="N3" s="11"/>
      <c r="O3" s="11"/>
      <c r="P3" s="11"/>
      <c r="Q3" s="12"/>
      <c r="R3" s="46" t="s">
        <v>237</v>
      </c>
      <c r="S3" s="11"/>
      <c r="T3" s="11"/>
      <c r="U3" s="11"/>
      <c r="V3" s="12"/>
      <c r="W3" s="36"/>
      <c r="X3" s="11"/>
      <c r="Y3" s="11"/>
      <c r="Z3" s="11"/>
      <c r="AA3" s="11"/>
      <c r="AB3" s="11"/>
      <c r="AC3" s="11"/>
      <c r="AD3" s="11"/>
      <c r="AE3" s="11"/>
      <c r="AF3" s="11"/>
      <c r="AG3" s="11"/>
      <c r="AH3" s="12"/>
    </row>
    <row r="4" ht="22.5" customHeight="1">
      <c r="A4" s="46" t="s">
        <v>238</v>
      </c>
      <c r="B4" s="11"/>
      <c r="C4" s="11"/>
      <c r="D4" s="11"/>
      <c r="E4" s="12"/>
      <c r="F4" s="21" t="s">
        <v>239</v>
      </c>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ht="22.5" customHeight="1">
      <c r="A5" s="46" t="s">
        <v>240</v>
      </c>
      <c r="B5" s="11"/>
      <c r="C5" s="11"/>
      <c r="D5" s="11"/>
      <c r="E5" s="11"/>
      <c r="F5" s="11"/>
      <c r="G5" s="11"/>
      <c r="H5" s="11"/>
      <c r="I5" s="11"/>
      <c r="J5" s="11"/>
      <c r="K5" s="11"/>
      <c r="L5" s="11"/>
      <c r="M5" s="11"/>
      <c r="N5" s="11"/>
      <c r="O5" s="11"/>
      <c r="P5" s="11"/>
      <c r="Q5" s="11"/>
      <c r="R5" s="11"/>
      <c r="S5" s="12"/>
      <c r="T5" s="46" t="s">
        <v>53</v>
      </c>
      <c r="U5" s="11"/>
      <c r="V5" s="11"/>
      <c r="W5" s="11"/>
      <c r="X5" s="11"/>
      <c r="Y5" s="11"/>
      <c r="Z5" s="11"/>
      <c r="AA5" s="11"/>
      <c r="AB5" s="11"/>
      <c r="AC5" s="11"/>
      <c r="AD5" s="11"/>
      <c r="AE5" s="11"/>
      <c r="AF5" s="11"/>
      <c r="AG5" s="11"/>
      <c r="AH5" s="12"/>
    </row>
    <row r="6" ht="22.5" customHeight="1">
      <c r="A6" s="46" t="s">
        <v>241</v>
      </c>
      <c r="B6" s="11"/>
      <c r="C6" s="11"/>
      <c r="D6" s="11"/>
      <c r="E6" s="11"/>
      <c r="F6" s="11"/>
      <c r="G6" s="12"/>
      <c r="H6" s="46" t="s">
        <v>54</v>
      </c>
      <c r="I6" s="11"/>
      <c r="J6" s="12"/>
      <c r="K6" s="46" t="s">
        <v>55</v>
      </c>
      <c r="L6" s="11"/>
      <c r="M6" s="12"/>
      <c r="N6" s="46" t="s">
        <v>242</v>
      </c>
      <c r="O6" s="11"/>
      <c r="P6" s="12"/>
      <c r="Q6" s="46" t="s">
        <v>52</v>
      </c>
      <c r="R6" s="11"/>
      <c r="S6" s="12"/>
      <c r="T6" s="46" t="s">
        <v>57</v>
      </c>
      <c r="U6" s="11"/>
      <c r="V6" s="12"/>
      <c r="W6" s="46" t="s">
        <v>58</v>
      </c>
      <c r="X6" s="11"/>
      <c r="Y6" s="12"/>
      <c r="Z6" s="46" t="s">
        <v>59</v>
      </c>
      <c r="AA6" s="11"/>
      <c r="AB6" s="12"/>
      <c r="AC6" s="46" t="s">
        <v>60</v>
      </c>
      <c r="AD6" s="11"/>
      <c r="AE6" s="12"/>
      <c r="AF6" s="46" t="s">
        <v>52</v>
      </c>
      <c r="AG6" s="11"/>
      <c r="AH6" s="12"/>
    </row>
    <row r="7" ht="22.5" customHeight="1">
      <c r="A7" s="46" t="s">
        <v>243</v>
      </c>
      <c r="B7" s="11"/>
      <c r="C7" s="11"/>
      <c r="D7" s="11"/>
      <c r="E7" s="11"/>
      <c r="F7" s="11"/>
      <c r="G7" s="12"/>
      <c r="H7" s="20">
        <f t="shared" ref="H7:H8" si="1">COUNTIF($AE$12:$AF$1049,"N")</f>
        <v>22</v>
      </c>
      <c r="I7" s="11"/>
      <c r="J7" s="12"/>
      <c r="K7" s="20">
        <f t="shared" ref="K7:K8" si="2">COUNTIF($AE$12:$AF$1049,"A")</f>
        <v>19</v>
      </c>
      <c r="L7" s="11"/>
      <c r="M7" s="12"/>
      <c r="N7" s="20">
        <f t="shared" ref="N7:N8" si="3">COUNTIF($AE$12:$AF$1049,"B")</f>
        <v>5</v>
      </c>
      <c r="O7" s="11"/>
      <c r="P7" s="12"/>
      <c r="Q7" s="43">
        <f t="shared" ref="Q7:Q8" si="4">SUM(H7:P7)</f>
        <v>46</v>
      </c>
      <c r="R7" s="11"/>
      <c r="S7" s="12"/>
      <c r="T7" s="20">
        <f>COUNTIF($AG$12:$AI$1049,T$6)</f>
        <v>43</v>
      </c>
      <c r="U7" s="11"/>
      <c r="V7" s="12"/>
      <c r="W7" s="20">
        <f>COUNTIF($AG$12:$AI$1049,W$6)</f>
        <v>0</v>
      </c>
      <c r="X7" s="11"/>
      <c r="Y7" s="12"/>
      <c r="Z7" s="20">
        <f>COUNTIF($AG$12:$AI$1049,Z$6)</f>
        <v>2</v>
      </c>
      <c r="AA7" s="11"/>
      <c r="AB7" s="12"/>
      <c r="AC7" s="20">
        <f>COUNTIF($AG$12:$AI$1049,AC$6)</f>
        <v>1</v>
      </c>
      <c r="AD7" s="11"/>
      <c r="AE7" s="12"/>
      <c r="AF7" s="43">
        <f t="shared" ref="AF7:AF8" si="5">SUM(T7:AE7)</f>
        <v>46</v>
      </c>
      <c r="AG7" s="11"/>
      <c r="AH7" s="12"/>
    </row>
    <row r="8" ht="22.5" customHeight="1">
      <c r="A8" s="46" t="s">
        <v>244</v>
      </c>
      <c r="B8" s="11"/>
      <c r="C8" s="11"/>
      <c r="D8" s="11"/>
      <c r="E8" s="11"/>
      <c r="F8" s="11"/>
      <c r="G8" s="12"/>
      <c r="H8" s="20">
        <f t="shared" si="1"/>
        <v>22</v>
      </c>
      <c r="I8" s="11"/>
      <c r="J8" s="12"/>
      <c r="K8" s="20">
        <f t="shared" si="2"/>
        <v>19</v>
      </c>
      <c r="L8" s="11"/>
      <c r="M8" s="12"/>
      <c r="N8" s="20">
        <f t="shared" si="3"/>
        <v>5</v>
      </c>
      <c r="O8" s="11"/>
      <c r="P8" s="12"/>
      <c r="Q8" s="43">
        <f t="shared" si="4"/>
        <v>46</v>
      </c>
      <c r="R8" s="11"/>
      <c r="S8" s="12"/>
      <c r="T8" s="20">
        <f>COUNTIF($AV$12:$AX$1049,T$6)</f>
        <v>0</v>
      </c>
      <c r="U8" s="11"/>
      <c r="V8" s="12"/>
      <c r="W8" s="20">
        <f>COUNTIF($AV$12:$AX$1049,W$6)</f>
        <v>0</v>
      </c>
      <c r="X8" s="11"/>
      <c r="Y8" s="12"/>
      <c r="Z8" s="20">
        <f>COUNTIF($AV$12:$AX$1049,Z$6)</f>
        <v>0</v>
      </c>
      <c r="AA8" s="11"/>
      <c r="AB8" s="12"/>
      <c r="AC8" s="20">
        <f>COUNTIF($AV$12:$AX$1049,AC$6)</f>
        <v>0</v>
      </c>
      <c r="AD8" s="11"/>
      <c r="AE8" s="12"/>
      <c r="AF8" s="43">
        <f t="shared" si="5"/>
        <v>0</v>
      </c>
      <c r="AG8" s="11"/>
      <c r="AH8" s="12"/>
    </row>
    <row r="9" ht="12.75" customHeight="1"/>
    <row r="10" ht="36.0" customHeight="1">
      <c r="A10" s="56" t="s">
        <v>49</v>
      </c>
      <c r="B10" s="57" t="s">
        <v>245</v>
      </c>
      <c r="C10" s="23"/>
      <c r="D10" s="24"/>
      <c r="E10" s="57" t="s">
        <v>246</v>
      </c>
      <c r="F10" s="23"/>
      <c r="G10" s="23"/>
      <c r="H10" s="23"/>
      <c r="I10" s="24"/>
      <c r="J10" s="57" t="s">
        <v>247</v>
      </c>
      <c r="K10" s="23"/>
      <c r="L10" s="23"/>
      <c r="M10" s="23"/>
      <c r="N10" s="23"/>
      <c r="O10" s="23"/>
      <c r="P10" s="24"/>
      <c r="Q10" s="57" t="s">
        <v>248</v>
      </c>
      <c r="R10" s="23"/>
      <c r="S10" s="23"/>
      <c r="T10" s="23"/>
      <c r="U10" s="23"/>
      <c r="V10" s="23"/>
      <c r="W10" s="24"/>
      <c r="X10" s="57" t="s">
        <v>249</v>
      </c>
      <c r="Y10" s="23"/>
      <c r="Z10" s="23"/>
      <c r="AA10" s="23"/>
      <c r="AB10" s="23"/>
      <c r="AC10" s="23"/>
      <c r="AD10" s="24"/>
      <c r="AE10" s="57" t="s">
        <v>250</v>
      </c>
      <c r="AF10" s="24"/>
      <c r="AG10" s="46" t="s">
        <v>251</v>
      </c>
      <c r="AH10" s="11"/>
      <c r="AI10" s="11"/>
      <c r="AJ10" s="11"/>
      <c r="AK10" s="11"/>
      <c r="AL10" s="11"/>
      <c r="AM10" s="11"/>
      <c r="AN10" s="11"/>
      <c r="AO10" s="11"/>
      <c r="AP10" s="11"/>
      <c r="AQ10" s="11"/>
      <c r="AR10" s="11"/>
      <c r="AS10" s="11"/>
      <c r="AT10" s="11"/>
      <c r="AU10" s="12"/>
      <c r="AV10" s="46" t="s">
        <v>252</v>
      </c>
      <c r="AW10" s="11"/>
      <c r="AX10" s="11"/>
      <c r="AY10" s="11"/>
      <c r="AZ10" s="11"/>
      <c r="BA10" s="11"/>
      <c r="BB10" s="11"/>
      <c r="BC10" s="11"/>
      <c r="BD10" s="11"/>
      <c r="BE10" s="11"/>
      <c r="BF10" s="11"/>
      <c r="BG10" s="11"/>
      <c r="BH10" s="11"/>
      <c r="BI10" s="11"/>
      <c r="BJ10" s="12"/>
      <c r="BK10" s="57" t="s">
        <v>253</v>
      </c>
      <c r="BL10" s="23"/>
      <c r="BM10" s="23"/>
      <c r="BN10" s="23"/>
      <c r="BO10" s="23"/>
      <c r="BP10" s="23"/>
      <c r="BQ10" s="24"/>
    </row>
    <row r="11" ht="36.0" customHeight="1">
      <c r="A11" s="40"/>
      <c r="B11" s="26"/>
      <c r="C11" s="27"/>
      <c r="D11" s="28"/>
      <c r="E11" s="26"/>
      <c r="F11" s="27"/>
      <c r="G11" s="27"/>
      <c r="H11" s="27"/>
      <c r="I11" s="28"/>
      <c r="J11" s="26"/>
      <c r="K11" s="27"/>
      <c r="L11" s="27"/>
      <c r="M11" s="27"/>
      <c r="N11" s="27"/>
      <c r="O11" s="27"/>
      <c r="P11" s="28"/>
      <c r="Q11" s="26"/>
      <c r="R11" s="27"/>
      <c r="S11" s="27"/>
      <c r="T11" s="27"/>
      <c r="U11" s="27"/>
      <c r="V11" s="27"/>
      <c r="W11" s="28"/>
      <c r="X11" s="26"/>
      <c r="Y11" s="27"/>
      <c r="Z11" s="27"/>
      <c r="AA11" s="27"/>
      <c r="AB11" s="27"/>
      <c r="AC11" s="27"/>
      <c r="AD11" s="28"/>
      <c r="AE11" s="26"/>
      <c r="AF11" s="28"/>
      <c r="AG11" s="46" t="s">
        <v>254</v>
      </c>
      <c r="AH11" s="11"/>
      <c r="AI11" s="12"/>
      <c r="AJ11" s="46" t="s">
        <v>255</v>
      </c>
      <c r="AK11" s="11"/>
      <c r="AL11" s="12"/>
      <c r="AM11" s="46" t="s">
        <v>11</v>
      </c>
      <c r="AN11" s="11"/>
      <c r="AO11" s="12"/>
      <c r="AP11" s="46" t="s">
        <v>256</v>
      </c>
      <c r="AQ11" s="11"/>
      <c r="AR11" s="12"/>
      <c r="AS11" s="46" t="s">
        <v>257</v>
      </c>
      <c r="AT11" s="11"/>
      <c r="AU11" s="12"/>
      <c r="AV11" s="46" t="s">
        <v>254</v>
      </c>
      <c r="AW11" s="11"/>
      <c r="AX11" s="12"/>
      <c r="AY11" s="46" t="s">
        <v>255</v>
      </c>
      <c r="AZ11" s="11"/>
      <c r="BA11" s="12"/>
      <c r="BB11" s="46" t="s">
        <v>11</v>
      </c>
      <c r="BC11" s="11"/>
      <c r="BD11" s="12"/>
      <c r="BE11" s="46" t="s">
        <v>256</v>
      </c>
      <c r="BF11" s="11"/>
      <c r="BG11" s="12"/>
      <c r="BH11" s="46" t="s">
        <v>257</v>
      </c>
      <c r="BI11" s="11"/>
      <c r="BJ11" s="12"/>
      <c r="BK11" s="26"/>
      <c r="BL11" s="27"/>
      <c r="BM11" s="27"/>
      <c r="BN11" s="27"/>
      <c r="BO11" s="27"/>
      <c r="BP11" s="27"/>
      <c r="BQ11" s="28"/>
    </row>
    <row r="12" ht="22.5" customHeight="1">
      <c r="A12" s="35" t="s">
        <v>258</v>
      </c>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2"/>
    </row>
    <row r="13" ht="336.0" customHeight="1">
      <c r="A13" s="47">
        <v>1.0</v>
      </c>
      <c r="B13" s="49" t="s">
        <v>259</v>
      </c>
      <c r="C13" s="11"/>
      <c r="D13" s="12"/>
      <c r="E13" s="49" t="s">
        <v>260</v>
      </c>
      <c r="F13" s="11"/>
      <c r="G13" s="11"/>
      <c r="H13" s="11"/>
      <c r="I13" s="12"/>
      <c r="J13" s="49" t="s">
        <v>261</v>
      </c>
      <c r="K13" s="11"/>
      <c r="L13" s="11"/>
      <c r="M13" s="11"/>
      <c r="N13" s="11"/>
      <c r="O13" s="11"/>
      <c r="P13" s="12"/>
      <c r="Q13" s="49" t="s">
        <v>262</v>
      </c>
      <c r="R13" s="11"/>
      <c r="S13" s="11"/>
      <c r="T13" s="11"/>
      <c r="U13" s="11"/>
      <c r="V13" s="11"/>
      <c r="W13" s="12"/>
      <c r="X13" s="49" t="s">
        <v>263</v>
      </c>
      <c r="Y13" s="11"/>
      <c r="Z13" s="11"/>
      <c r="AA13" s="11"/>
      <c r="AB13" s="11"/>
      <c r="AC13" s="11"/>
      <c r="AD13" s="12"/>
      <c r="AE13" s="48" t="s">
        <v>207</v>
      </c>
      <c r="AF13" s="12"/>
      <c r="AG13" s="58" t="s">
        <v>57</v>
      </c>
      <c r="AH13" s="11"/>
      <c r="AI13" s="12"/>
      <c r="AJ13" s="48"/>
      <c r="AK13" s="11"/>
      <c r="AL13" s="12"/>
      <c r="AM13" s="58" t="s">
        <v>264</v>
      </c>
      <c r="AN13" s="11"/>
      <c r="AO13" s="12"/>
      <c r="AP13" s="59">
        <v>46192.0</v>
      </c>
      <c r="AQ13" s="11"/>
      <c r="AR13" s="12"/>
      <c r="AS13" s="48"/>
      <c r="AT13" s="11"/>
      <c r="AU13" s="12"/>
      <c r="AV13" s="48"/>
      <c r="AW13" s="11"/>
      <c r="AX13" s="12"/>
      <c r="AY13" s="48"/>
      <c r="AZ13" s="11"/>
      <c r="BA13" s="12"/>
      <c r="BB13" s="48"/>
      <c r="BC13" s="11"/>
      <c r="BD13" s="12"/>
      <c r="BE13" s="48"/>
      <c r="BF13" s="11"/>
      <c r="BG13" s="12"/>
      <c r="BH13" s="48"/>
      <c r="BI13" s="11"/>
      <c r="BJ13" s="12"/>
      <c r="BK13" s="49"/>
      <c r="BL13" s="11"/>
      <c r="BM13" s="11"/>
      <c r="BN13" s="11"/>
      <c r="BO13" s="11"/>
      <c r="BP13" s="11"/>
      <c r="BQ13" s="12"/>
    </row>
    <row r="14" ht="336.0" customHeight="1">
      <c r="A14" s="47">
        <v>2.0</v>
      </c>
      <c r="B14" s="49" t="s">
        <v>265</v>
      </c>
      <c r="C14" s="11"/>
      <c r="D14" s="12"/>
      <c r="E14" s="49" t="s">
        <v>266</v>
      </c>
      <c r="F14" s="11"/>
      <c r="G14" s="11"/>
      <c r="H14" s="11"/>
      <c r="I14" s="12"/>
      <c r="J14" s="49" t="s">
        <v>267</v>
      </c>
      <c r="K14" s="11"/>
      <c r="L14" s="11"/>
      <c r="M14" s="11"/>
      <c r="N14" s="11"/>
      <c r="O14" s="11"/>
      <c r="P14" s="12"/>
      <c r="Q14" s="49" t="s">
        <v>268</v>
      </c>
      <c r="R14" s="11"/>
      <c r="S14" s="11"/>
      <c r="T14" s="11"/>
      <c r="U14" s="11"/>
      <c r="V14" s="11"/>
      <c r="W14" s="12"/>
      <c r="X14" s="49" t="s">
        <v>269</v>
      </c>
      <c r="Y14" s="11"/>
      <c r="Z14" s="11"/>
      <c r="AA14" s="11"/>
      <c r="AB14" s="11"/>
      <c r="AC14" s="11"/>
      <c r="AD14" s="12"/>
      <c r="AE14" s="48" t="s">
        <v>207</v>
      </c>
      <c r="AF14" s="12"/>
      <c r="AG14" s="58" t="s">
        <v>57</v>
      </c>
      <c r="AH14" s="11"/>
      <c r="AI14" s="12"/>
      <c r="AJ14" s="48"/>
      <c r="AK14" s="11"/>
      <c r="AL14" s="12"/>
      <c r="AM14" s="58" t="s">
        <v>264</v>
      </c>
      <c r="AN14" s="11"/>
      <c r="AO14" s="12"/>
      <c r="AP14" s="59">
        <v>46192.0</v>
      </c>
      <c r="AQ14" s="11"/>
      <c r="AR14" s="12"/>
      <c r="AS14" s="48"/>
      <c r="AT14" s="11"/>
      <c r="AU14" s="12"/>
      <c r="AV14" s="48"/>
      <c r="AW14" s="11"/>
      <c r="AX14" s="12"/>
      <c r="AY14" s="48"/>
      <c r="AZ14" s="11"/>
      <c r="BA14" s="12"/>
      <c r="BB14" s="48"/>
      <c r="BC14" s="11"/>
      <c r="BD14" s="12"/>
      <c r="BE14" s="48"/>
      <c r="BF14" s="11"/>
      <c r="BG14" s="12"/>
      <c r="BH14" s="48"/>
      <c r="BI14" s="11"/>
      <c r="BJ14" s="12"/>
      <c r="BK14" s="49"/>
      <c r="BL14" s="11"/>
      <c r="BM14" s="11"/>
      <c r="BN14" s="11"/>
      <c r="BO14" s="11"/>
      <c r="BP14" s="11"/>
      <c r="BQ14" s="12"/>
    </row>
    <row r="15" ht="240.0" customHeight="1">
      <c r="A15" s="47">
        <v>3.0</v>
      </c>
      <c r="B15" s="49" t="s">
        <v>270</v>
      </c>
      <c r="C15" s="11"/>
      <c r="D15" s="12"/>
      <c r="E15" s="49" t="s">
        <v>271</v>
      </c>
      <c r="F15" s="11"/>
      <c r="G15" s="11"/>
      <c r="H15" s="11"/>
      <c r="I15" s="12"/>
      <c r="J15" s="49" t="s">
        <v>272</v>
      </c>
      <c r="K15" s="11"/>
      <c r="L15" s="11"/>
      <c r="M15" s="11"/>
      <c r="N15" s="11"/>
      <c r="O15" s="11"/>
      <c r="P15" s="12"/>
      <c r="Q15" s="49" t="s">
        <v>273</v>
      </c>
      <c r="R15" s="11"/>
      <c r="S15" s="11"/>
      <c r="T15" s="11"/>
      <c r="U15" s="11"/>
      <c r="V15" s="11"/>
      <c r="W15" s="12"/>
      <c r="X15" s="49" t="s">
        <v>274</v>
      </c>
      <c r="Y15" s="11"/>
      <c r="Z15" s="11"/>
      <c r="AA15" s="11"/>
      <c r="AB15" s="11"/>
      <c r="AC15" s="11"/>
      <c r="AD15" s="12"/>
      <c r="AE15" s="48" t="s">
        <v>275</v>
      </c>
      <c r="AF15" s="12"/>
      <c r="AG15" s="60" t="s">
        <v>57</v>
      </c>
      <c r="AH15" s="11"/>
      <c r="AI15" s="12"/>
      <c r="AJ15" s="61"/>
      <c r="AK15" s="11"/>
      <c r="AL15" s="12"/>
      <c r="AM15" s="60" t="s">
        <v>264</v>
      </c>
      <c r="AN15" s="11"/>
      <c r="AO15" s="12"/>
      <c r="AP15" s="62">
        <v>46192.0</v>
      </c>
      <c r="AQ15" s="11"/>
      <c r="AR15" s="12"/>
      <c r="AS15" s="48"/>
      <c r="AT15" s="11"/>
      <c r="AU15" s="12"/>
      <c r="AV15" s="48"/>
      <c r="AW15" s="11"/>
      <c r="AX15" s="12"/>
      <c r="AY15" s="48"/>
      <c r="AZ15" s="11"/>
      <c r="BA15" s="12"/>
      <c r="BB15" s="48"/>
      <c r="BC15" s="11"/>
      <c r="BD15" s="12"/>
      <c r="BE15" s="48"/>
      <c r="BF15" s="11"/>
      <c r="BG15" s="12"/>
      <c r="BH15" s="48"/>
      <c r="BI15" s="11"/>
      <c r="BJ15" s="12"/>
      <c r="BK15" s="49"/>
      <c r="BL15" s="11"/>
      <c r="BM15" s="11"/>
      <c r="BN15" s="11"/>
      <c r="BO15" s="11"/>
      <c r="BP15" s="11"/>
      <c r="BQ15" s="12"/>
    </row>
    <row r="16" ht="240.0" customHeight="1">
      <c r="A16" s="47">
        <v>4.0</v>
      </c>
      <c r="B16" s="49" t="s">
        <v>276</v>
      </c>
      <c r="C16" s="11"/>
      <c r="D16" s="12"/>
      <c r="E16" s="49" t="s">
        <v>277</v>
      </c>
      <c r="F16" s="11"/>
      <c r="G16" s="11"/>
      <c r="H16" s="11"/>
      <c r="I16" s="12"/>
      <c r="J16" s="49" t="s">
        <v>278</v>
      </c>
      <c r="K16" s="11"/>
      <c r="L16" s="11"/>
      <c r="M16" s="11"/>
      <c r="N16" s="11"/>
      <c r="O16" s="11"/>
      <c r="P16" s="12"/>
      <c r="Q16" s="49" t="s">
        <v>279</v>
      </c>
      <c r="R16" s="11"/>
      <c r="S16" s="11"/>
      <c r="T16" s="11"/>
      <c r="U16" s="11"/>
      <c r="V16" s="11"/>
      <c r="W16" s="12"/>
      <c r="X16" s="49" t="s">
        <v>280</v>
      </c>
      <c r="Y16" s="11"/>
      <c r="Z16" s="11"/>
      <c r="AA16" s="11"/>
      <c r="AB16" s="11"/>
      <c r="AC16" s="11"/>
      <c r="AD16" s="12"/>
      <c r="AE16" s="48" t="s">
        <v>275</v>
      </c>
      <c r="AF16" s="12"/>
      <c r="AG16" s="60" t="s">
        <v>57</v>
      </c>
      <c r="AH16" s="11"/>
      <c r="AI16" s="12"/>
      <c r="AJ16" s="61"/>
      <c r="AK16" s="11"/>
      <c r="AL16" s="12"/>
      <c r="AM16" s="60" t="s">
        <v>264</v>
      </c>
      <c r="AN16" s="11"/>
      <c r="AO16" s="12"/>
      <c r="AP16" s="62">
        <v>46192.0</v>
      </c>
      <c r="AQ16" s="11"/>
      <c r="AR16" s="12"/>
      <c r="AS16" s="48"/>
      <c r="AT16" s="11"/>
      <c r="AU16" s="12"/>
      <c r="AV16" s="48"/>
      <c r="AW16" s="11"/>
      <c r="AX16" s="12"/>
      <c r="AY16" s="48"/>
      <c r="AZ16" s="11"/>
      <c r="BA16" s="12"/>
      <c r="BB16" s="48"/>
      <c r="BC16" s="11"/>
      <c r="BD16" s="12"/>
      <c r="BE16" s="48"/>
      <c r="BF16" s="11"/>
      <c r="BG16" s="12"/>
      <c r="BH16" s="48"/>
      <c r="BI16" s="11"/>
      <c r="BJ16" s="12"/>
      <c r="BK16" s="49"/>
      <c r="BL16" s="11"/>
      <c r="BM16" s="11"/>
      <c r="BN16" s="11"/>
      <c r="BO16" s="11"/>
      <c r="BP16" s="11"/>
      <c r="BQ16" s="12"/>
    </row>
    <row r="17" ht="288.0" customHeight="1">
      <c r="A17" s="47">
        <v>5.0</v>
      </c>
      <c r="B17" s="49" t="s">
        <v>281</v>
      </c>
      <c r="C17" s="11"/>
      <c r="D17" s="12"/>
      <c r="E17" s="49" t="s">
        <v>282</v>
      </c>
      <c r="F17" s="11"/>
      <c r="G17" s="11"/>
      <c r="H17" s="11"/>
      <c r="I17" s="12"/>
      <c r="J17" s="49" t="s">
        <v>283</v>
      </c>
      <c r="K17" s="11"/>
      <c r="L17" s="11"/>
      <c r="M17" s="11"/>
      <c r="N17" s="11"/>
      <c r="O17" s="11"/>
      <c r="P17" s="12"/>
      <c r="Q17" s="49" t="s">
        <v>284</v>
      </c>
      <c r="R17" s="11"/>
      <c r="S17" s="11"/>
      <c r="T17" s="11"/>
      <c r="U17" s="11"/>
      <c r="V17" s="11"/>
      <c r="W17" s="12"/>
      <c r="X17" s="49" t="s">
        <v>285</v>
      </c>
      <c r="Y17" s="11"/>
      <c r="Z17" s="11"/>
      <c r="AA17" s="11"/>
      <c r="AB17" s="11"/>
      <c r="AC17" s="11"/>
      <c r="AD17" s="12"/>
      <c r="AE17" s="48" t="s">
        <v>275</v>
      </c>
      <c r="AF17" s="12"/>
      <c r="AG17" s="60" t="s">
        <v>57</v>
      </c>
      <c r="AH17" s="11"/>
      <c r="AI17" s="12"/>
      <c r="AJ17" s="61"/>
      <c r="AK17" s="11"/>
      <c r="AL17" s="12"/>
      <c r="AM17" s="60" t="s">
        <v>264</v>
      </c>
      <c r="AN17" s="11"/>
      <c r="AO17" s="12"/>
      <c r="AP17" s="62">
        <v>46192.0</v>
      </c>
      <c r="AQ17" s="11"/>
      <c r="AR17" s="12"/>
      <c r="AS17" s="48"/>
      <c r="AT17" s="11"/>
      <c r="AU17" s="12"/>
      <c r="AV17" s="48"/>
      <c r="AW17" s="11"/>
      <c r="AX17" s="12"/>
      <c r="AY17" s="48"/>
      <c r="AZ17" s="11"/>
      <c r="BA17" s="12"/>
      <c r="BB17" s="48"/>
      <c r="BC17" s="11"/>
      <c r="BD17" s="12"/>
      <c r="BE17" s="48"/>
      <c r="BF17" s="11"/>
      <c r="BG17" s="12"/>
      <c r="BH17" s="48"/>
      <c r="BI17" s="11"/>
      <c r="BJ17" s="12"/>
      <c r="BK17" s="49"/>
      <c r="BL17" s="11"/>
      <c r="BM17" s="11"/>
      <c r="BN17" s="11"/>
      <c r="BO17" s="11"/>
      <c r="BP17" s="11"/>
      <c r="BQ17" s="12"/>
    </row>
    <row r="18" ht="22.5" customHeight="1">
      <c r="A18" s="35" t="s">
        <v>286</v>
      </c>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2"/>
    </row>
    <row r="19" ht="240.0" customHeight="1">
      <c r="A19" s="47">
        <v>6.0</v>
      </c>
      <c r="B19" s="49" t="s">
        <v>287</v>
      </c>
      <c r="C19" s="11"/>
      <c r="D19" s="12"/>
      <c r="E19" s="49" t="s">
        <v>288</v>
      </c>
      <c r="F19" s="11"/>
      <c r="G19" s="11"/>
      <c r="H19" s="11"/>
      <c r="I19" s="12"/>
      <c r="J19" s="49" t="s">
        <v>289</v>
      </c>
      <c r="K19" s="11"/>
      <c r="L19" s="11"/>
      <c r="M19" s="11"/>
      <c r="N19" s="11"/>
      <c r="O19" s="11"/>
      <c r="P19" s="12"/>
      <c r="Q19" s="49" t="s">
        <v>290</v>
      </c>
      <c r="R19" s="11"/>
      <c r="S19" s="11"/>
      <c r="T19" s="11"/>
      <c r="U19" s="11"/>
      <c r="V19" s="11"/>
      <c r="W19" s="12"/>
      <c r="X19" s="49" t="s">
        <v>291</v>
      </c>
      <c r="Y19" s="11"/>
      <c r="Z19" s="11"/>
      <c r="AA19" s="11"/>
      <c r="AB19" s="11"/>
      <c r="AC19" s="11"/>
      <c r="AD19" s="12"/>
      <c r="AE19" s="48" t="s">
        <v>275</v>
      </c>
      <c r="AF19" s="12"/>
      <c r="AG19" s="60" t="s">
        <v>57</v>
      </c>
      <c r="AH19" s="11"/>
      <c r="AI19" s="12"/>
      <c r="AJ19" s="61"/>
      <c r="AK19" s="11"/>
      <c r="AL19" s="12"/>
      <c r="AM19" s="60" t="s">
        <v>264</v>
      </c>
      <c r="AN19" s="11"/>
      <c r="AO19" s="12"/>
      <c r="AP19" s="62">
        <v>46192.0</v>
      </c>
      <c r="AQ19" s="11"/>
      <c r="AR19" s="12"/>
      <c r="AS19" s="48"/>
      <c r="AT19" s="11"/>
      <c r="AU19" s="12"/>
      <c r="AV19" s="48"/>
      <c r="AW19" s="11"/>
      <c r="AX19" s="12"/>
      <c r="AY19" s="48"/>
      <c r="AZ19" s="11"/>
      <c r="BA19" s="12"/>
      <c r="BB19" s="48"/>
      <c r="BC19" s="11"/>
      <c r="BD19" s="12"/>
      <c r="BE19" s="48"/>
      <c r="BF19" s="11"/>
      <c r="BG19" s="12"/>
      <c r="BH19" s="48"/>
      <c r="BI19" s="11"/>
      <c r="BJ19" s="12"/>
      <c r="BK19" s="49"/>
      <c r="BL19" s="11"/>
      <c r="BM19" s="11"/>
      <c r="BN19" s="11"/>
      <c r="BO19" s="11"/>
      <c r="BP19" s="11"/>
      <c r="BQ19" s="12"/>
    </row>
    <row r="20" ht="288.0" customHeight="1">
      <c r="A20" s="47">
        <v>7.0</v>
      </c>
      <c r="B20" s="49" t="s">
        <v>292</v>
      </c>
      <c r="C20" s="11"/>
      <c r="D20" s="12"/>
      <c r="E20" s="49" t="s">
        <v>293</v>
      </c>
      <c r="F20" s="11"/>
      <c r="G20" s="11"/>
      <c r="H20" s="11"/>
      <c r="I20" s="12"/>
      <c r="J20" s="49" t="s">
        <v>294</v>
      </c>
      <c r="K20" s="11"/>
      <c r="L20" s="11"/>
      <c r="M20" s="11"/>
      <c r="N20" s="11"/>
      <c r="O20" s="11"/>
      <c r="P20" s="12"/>
      <c r="Q20" s="49" t="s">
        <v>295</v>
      </c>
      <c r="R20" s="11"/>
      <c r="S20" s="11"/>
      <c r="T20" s="11"/>
      <c r="U20" s="11"/>
      <c r="V20" s="11"/>
      <c r="W20" s="12"/>
      <c r="X20" s="49" t="s">
        <v>296</v>
      </c>
      <c r="Y20" s="11"/>
      <c r="Z20" s="11"/>
      <c r="AA20" s="11"/>
      <c r="AB20" s="11"/>
      <c r="AC20" s="11"/>
      <c r="AD20" s="12"/>
      <c r="AE20" s="48" t="s">
        <v>275</v>
      </c>
      <c r="AF20" s="12"/>
      <c r="AG20" s="60" t="s">
        <v>57</v>
      </c>
      <c r="AH20" s="11"/>
      <c r="AI20" s="12"/>
      <c r="AJ20" s="61"/>
      <c r="AK20" s="11"/>
      <c r="AL20" s="12"/>
      <c r="AM20" s="60" t="s">
        <v>264</v>
      </c>
      <c r="AN20" s="11"/>
      <c r="AO20" s="12"/>
      <c r="AP20" s="62">
        <v>46192.0</v>
      </c>
      <c r="AQ20" s="11"/>
      <c r="AR20" s="12"/>
      <c r="AS20" s="48"/>
      <c r="AT20" s="11"/>
      <c r="AU20" s="12"/>
      <c r="AV20" s="48"/>
      <c r="AW20" s="11"/>
      <c r="AX20" s="12"/>
      <c r="AY20" s="48"/>
      <c r="AZ20" s="11"/>
      <c r="BA20" s="12"/>
      <c r="BB20" s="48"/>
      <c r="BC20" s="11"/>
      <c r="BD20" s="12"/>
      <c r="BE20" s="48"/>
      <c r="BF20" s="11"/>
      <c r="BG20" s="12"/>
      <c r="BH20" s="48"/>
      <c r="BI20" s="11"/>
      <c r="BJ20" s="12"/>
      <c r="BK20" s="49"/>
      <c r="BL20" s="11"/>
      <c r="BM20" s="11"/>
      <c r="BN20" s="11"/>
      <c r="BO20" s="11"/>
      <c r="BP20" s="11"/>
      <c r="BQ20" s="12"/>
    </row>
    <row r="21" ht="223.5" customHeight="1">
      <c r="A21" s="47">
        <v>8.0</v>
      </c>
      <c r="B21" s="49" t="s">
        <v>297</v>
      </c>
      <c r="C21" s="11"/>
      <c r="D21" s="12"/>
      <c r="E21" s="49" t="s">
        <v>298</v>
      </c>
      <c r="F21" s="11"/>
      <c r="G21" s="11"/>
      <c r="H21" s="11"/>
      <c r="I21" s="12"/>
      <c r="J21" s="49" t="s">
        <v>299</v>
      </c>
      <c r="K21" s="11"/>
      <c r="L21" s="11"/>
      <c r="M21" s="11"/>
      <c r="N21" s="11"/>
      <c r="O21" s="11"/>
      <c r="P21" s="12"/>
      <c r="Q21" s="49" t="s">
        <v>300</v>
      </c>
      <c r="R21" s="11"/>
      <c r="S21" s="11"/>
      <c r="T21" s="11"/>
      <c r="U21" s="11"/>
      <c r="V21" s="11"/>
      <c r="W21" s="12"/>
      <c r="X21" s="49" t="s">
        <v>301</v>
      </c>
      <c r="Y21" s="11"/>
      <c r="Z21" s="11"/>
      <c r="AA21" s="11"/>
      <c r="AB21" s="11"/>
      <c r="AC21" s="11"/>
      <c r="AD21" s="12"/>
      <c r="AE21" s="48" t="s">
        <v>275</v>
      </c>
      <c r="AF21" s="12"/>
      <c r="AG21" s="60" t="s">
        <v>57</v>
      </c>
      <c r="AH21" s="11"/>
      <c r="AI21" s="12"/>
      <c r="AJ21" s="61"/>
      <c r="AK21" s="11"/>
      <c r="AL21" s="12"/>
      <c r="AM21" s="60" t="s">
        <v>264</v>
      </c>
      <c r="AN21" s="11"/>
      <c r="AO21" s="12"/>
      <c r="AP21" s="62">
        <v>46192.0</v>
      </c>
      <c r="AQ21" s="11"/>
      <c r="AR21" s="12"/>
      <c r="AS21" s="48"/>
      <c r="AT21" s="11"/>
      <c r="AU21" s="12"/>
      <c r="AV21" s="48"/>
      <c r="AW21" s="11"/>
      <c r="AX21" s="12"/>
      <c r="AY21" s="48"/>
      <c r="AZ21" s="11"/>
      <c r="BA21" s="12"/>
      <c r="BB21" s="48"/>
      <c r="BC21" s="11"/>
      <c r="BD21" s="12"/>
      <c r="BE21" s="48"/>
      <c r="BF21" s="11"/>
      <c r="BG21" s="12"/>
      <c r="BH21" s="48"/>
      <c r="BI21" s="11"/>
      <c r="BJ21" s="12"/>
      <c r="BK21" s="49"/>
      <c r="BL21" s="11"/>
      <c r="BM21" s="11"/>
      <c r="BN21" s="11"/>
      <c r="BO21" s="11"/>
      <c r="BP21" s="11"/>
      <c r="BQ21" s="12"/>
    </row>
    <row r="22" ht="271.5" customHeight="1">
      <c r="A22" s="47">
        <v>9.0</v>
      </c>
      <c r="B22" s="49" t="s">
        <v>302</v>
      </c>
      <c r="C22" s="11"/>
      <c r="D22" s="12"/>
      <c r="E22" s="49" t="s">
        <v>303</v>
      </c>
      <c r="F22" s="11"/>
      <c r="G22" s="11"/>
      <c r="H22" s="11"/>
      <c r="I22" s="12"/>
      <c r="J22" s="49" t="s">
        <v>304</v>
      </c>
      <c r="K22" s="11"/>
      <c r="L22" s="11"/>
      <c r="M22" s="11"/>
      <c r="N22" s="11"/>
      <c r="O22" s="11"/>
      <c r="P22" s="12"/>
      <c r="Q22" s="49" t="s">
        <v>305</v>
      </c>
      <c r="R22" s="11"/>
      <c r="S22" s="11"/>
      <c r="T22" s="11"/>
      <c r="U22" s="11"/>
      <c r="V22" s="11"/>
      <c r="W22" s="12"/>
      <c r="X22" s="49" t="s">
        <v>306</v>
      </c>
      <c r="Y22" s="11"/>
      <c r="Z22" s="11"/>
      <c r="AA22" s="11"/>
      <c r="AB22" s="11"/>
      <c r="AC22" s="11"/>
      <c r="AD22" s="12"/>
      <c r="AE22" s="48" t="s">
        <v>275</v>
      </c>
      <c r="AF22" s="12"/>
      <c r="AG22" s="60" t="s">
        <v>57</v>
      </c>
      <c r="AH22" s="11"/>
      <c r="AI22" s="12"/>
      <c r="AJ22" s="61"/>
      <c r="AK22" s="11"/>
      <c r="AL22" s="12"/>
      <c r="AM22" s="60" t="s">
        <v>264</v>
      </c>
      <c r="AN22" s="11"/>
      <c r="AO22" s="12"/>
      <c r="AP22" s="62">
        <v>46192.0</v>
      </c>
      <c r="AQ22" s="11"/>
      <c r="AR22" s="12"/>
      <c r="AS22" s="48"/>
      <c r="AT22" s="11"/>
      <c r="AU22" s="12"/>
      <c r="AV22" s="48"/>
      <c r="AW22" s="11"/>
      <c r="AX22" s="12"/>
      <c r="AY22" s="48"/>
      <c r="AZ22" s="11"/>
      <c r="BA22" s="12"/>
      <c r="BB22" s="48"/>
      <c r="BC22" s="11"/>
      <c r="BD22" s="12"/>
      <c r="BE22" s="48"/>
      <c r="BF22" s="11"/>
      <c r="BG22" s="12"/>
      <c r="BH22" s="48"/>
      <c r="BI22" s="11"/>
      <c r="BJ22" s="12"/>
      <c r="BK22" s="49"/>
      <c r="BL22" s="11"/>
      <c r="BM22" s="11"/>
      <c r="BN22" s="11"/>
      <c r="BO22" s="11"/>
      <c r="BP22" s="11"/>
      <c r="BQ22" s="12"/>
    </row>
    <row r="23" ht="240.0" customHeight="1">
      <c r="A23" s="47">
        <v>10.0</v>
      </c>
      <c r="B23" s="49" t="s">
        <v>307</v>
      </c>
      <c r="C23" s="11"/>
      <c r="D23" s="12"/>
      <c r="E23" s="49" t="s">
        <v>308</v>
      </c>
      <c r="F23" s="11"/>
      <c r="G23" s="11"/>
      <c r="H23" s="11"/>
      <c r="I23" s="12"/>
      <c r="J23" s="49" t="s">
        <v>289</v>
      </c>
      <c r="K23" s="11"/>
      <c r="L23" s="11"/>
      <c r="M23" s="11"/>
      <c r="N23" s="11"/>
      <c r="O23" s="11"/>
      <c r="P23" s="12"/>
      <c r="Q23" s="49" t="s">
        <v>309</v>
      </c>
      <c r="R23" s="11"/>
      <c r="S23" s="11"/>
      <c r="T23" s="11"/>
      <c r="U23" s="11"/>
      <c r="V23" s="11"/>
      <c r="W23" s="12"/>
      <c r="X23" s="49" t="s">
        <v>310</v>
      </c>
      <c r="Y23" s="11"/>
      <c r="Z23" s="11"/>
      <c r="AA23" s="11"/>
      <c r="AB23" s="11"/>
      <c r="AC23" s="11"/>
      <c r="AD23" s="12"/>
      <c r="AE23" s="48" t="s">
        <v>275</v>
      </c>
      <c r="AF23" s="12"/>
      <c r="AG23" s="60" t="s">
        <v>57</v>
      </c>
      <c r="AH23" s="11"/>
      <c r="AI23" s="12"/>
      <c r="AJ23" s="61"/>
      <c r="AK23" s="11"/>
      <c r="AL23" s="12"/>
      <c r="AM23" s="60" t="s">
        <v>264</v>
      </c>
      <c r="AN23" s="11"/>
      <c r="AO23" s="12"/>
      <c r="AP23" s="62">
        <v>46192.0</v>
      </c>
      <c r="AQ23" s="11"/>
      <c r="AR23" s="12"/>
      <c r="AS23" s="48"/>
      <c r="AT23" s="11"/>
      <c r="AU23" s="12"/>
      <c r="AV23" s="48"/>
      <c r="AW23" s="11"/>
      <c r="AX23" s="12"/>
      <c r="AY23" s="48"/>
      <c r="AZ23" s="11"/>
      <c r="BA23" s="12"/>
      <c r="BB23" s="48"/>
      <c r="BC23" s="11"/>
      <c r="BD23" s="12"/>
      <c r="BE23" s="48"/>
      <c r="BF23" s="11"/>
      <c r="BG23" s="12"/>
      <c r="BH23" s="48"/>
      <c r="BI23" s="11"/>
      <c r="BJ23" s="12"/>
      <c r="BK23" s="49"/>
      <c r="BL23" s="11"/>
      <c r="BM23" s="11"/>
      <c r="BN23" s="11"/>
      <c r="BO23" s="11"/>
      <c r="BP23" s="11"/>
      <c r="BQ23" s="12"/>
    </row>
    <row r="24" ht="223.5" customHeight="1">
      <c r="A24" s="47">
        <v>11.0</v>
      </c>
      <c r="B24" s="49" t="s">
        <v>311</v>
      </c>
      <c r="C24" s="11"/>
      <c r="D24" s="12"/>
      <c r="E24" s="49" t="s">
        <v>312</v>
      </c>
      <c r="F24" s="11"/>
      <c r="G24" s="11"/>
      <c r="H24" s="11"/>
      <c r="I24" s="12"/>
      <c r="J24" s="49" t="s">
        <v>313</v>
      </c>
      <c r="K24" s="11"/>
      <c r="L24" s="11"/>
      <c r="M24" s="11"/>
      <c r="N24" s="11"/>
      <c r="O24" s="11"/>
      <c r="P24" s="12"/>
      <c r="Q24" s="49" t="s">
        <v>314</v>
      </c>
      <c r="R24" s="11"/>
      <c r="S24" s="11"/>
      <c r="T24" s="11"/>
      <c r="U24" s="11"/>
      <c r="V24" s="11"/>
      <c r="W24" s="12"/>
      <c r="X24" s="49" t="s">
        <v>315</v>
      </c>
      <c r="Y24" s="11"/>
      <c r="Z24" s="11"/>
      <c r="AA24" s="11"/>
      <c r="AB24" s="11"/>
      <c r="AC24" s="11"/>
      <c r="AD24" s="12"/>
      <c r="AE24" s="48" t="s">
        <v>275</v>
      </c>
      <c r="AF24" s="12"/>
      <c r="AG24" s="60" t="s">
        <v>57</v>
      </c>
      <c r="AH24" s="11"/>
      <c r="AI24" s="12"/>
      <c r="AJ24" s="61"/>
      <c r="AK24" s="11"/>
      <c r="AL24" s="12"/>
      <c r="AM24" s="60" t="s">
        <v>264</v>
      </c>
      <c r="AN24" s="11"/>
      <c r="AO24" s="12"/>
      <c r="AP24" s="62">
        <v>46192.0</v>
      </c>
      <c r="AQ24" s="11"/>
      <c r="AR24" s="12"/>
      <c r="AS24" s="48"/>
      <c r="AT24" s="11"/>
      <c r="AU24" s="12"/>
      <c r="AV24" s="48"/>
      <c r="AW24" s="11"/>
      <c r="AX24" s="12"/>
      <c r="AY24" s="48"/>
      <c r="AZ24" s="11"/>
      <c r="BA24" s="12"/>
      <c r="BB24" s="48"/>
      <c r="BC24" s="11"/>
      <c r="BD24" s="12"/>
      <c r="BE24" s="48"/>
      <c r="BF24" s="11"/>
      <c r="BG24" s="12"/>
      <c r="BH24" s="48"/>
      <c r="BI24" s="11"/>
      <c r="BJ24" s="12"/>
      <c r="BK24" s="49"/>
      <c r="BL24" s="11"/>
      <c r="BM24" s="11"/>
      <c r="BN24" s="11"/>
      <c r="BO24" s="11"/>
      <c r="BP24" s="11"/>
      <c r="BQ24" s="12"/>
    </row>
    <row r="25" ht="22.5" customHeight="1">
      <c r="A25" s="35" t="s">
        <v>316</v>
      </c>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2"/>
    </row>
    <row r="26" ht="175.5" customHeight="1">
      <c r="A26" s="47">
        <v>12.0</v>
      </c>
      <c r="B26" s="49" t="s">
        <v>317</v>
      </c>
      <c r="C26" s="11"/>
      <c r="D26" s="12"/>
      <c r="E26" s="49" t="s">
        <v>318</v>
      </c>
      <c r="F26" s="11"/>
      <c r="G26" s="11"/>
      <c r="H26" s="11"/>
      <c r="I26" s="12"/>
      <c r="J26" s="49" t="s">
        <v>289</v>
      </c>
      <c r="K26" s="11"/>
      <c r="L26" s="11"/>
      <c r="M26" s="11"/>
      <c r="N26" s="11"/>
      <c r="O26" s="11"/>
      <c r="P26" s="12"/>
      <c r="Q26" s="49" t="s">
        <v>319</v>
      </c>
      <c r="R26" s="11"/>
      <c r="S26" s="11"/>
      <c r="T26" s="11"/>
      <c r="U26" s="11"/>
      <c r="V26" s="11"/>
      <c r="W26" s="12"/>
      <c r="X26" s="49" t="s">
        <v>320</v>
      </c>
      <c r="Y26" s="11"/>
      <c r="Z26" s="11"/>
      <c r="AA26" s="11"/>
      <c r="AB26" s="11"/>
      <c r="AC26" s="11"/>
      <c r="AD26" s="12"/>
      <c r="AE26" s="48" t="s">
        <v>275</v>
      </c>
      <c r="AF26" s="12"/>
      <c r="AG26" s="60" t="s">
        <v>57</v>
      </c>
      <c r="AH26" s="11"/>
      <c r="AI26" s="12"/>
      <c r="AJ26" s="61"/>
      <c r="AK26" s="11"/>
      <c r="AL26" s="12"/>
      <c r="AM26" s="60" t="s">
        <v>264</v>
      </c>
      <c r="AN26" s="11"/>
      <c r="AO26" s="12"/>
      <c r="AP26" s="62">
        <v>46192.0</v>
      </c>
      <c r="AQ26" s="11"/>
      <c r="AR26" s="12"/>
      <c r="AS26" s="48"/>
      <c r="AT26" s="11"/>
      <c r="AU26" s="12"/>
      <c r="AV26" s="48"/>
      <c r="AW26" s="11"/>
      <c r="AX26" s="12"/>
      <c r="AY26" s="48"/>
      <c r="AZ26" s="11"/>
      <c r="BA26" s="12"/>
      <c r="BB26" s="48"/>
      <c r="BC26" s="11"/>
      <c r="BD26" s="12"/>
      <c r="BE26" s="48"/>
      <c r="BF26" s="11"/>
      <c r="BG26" s="12"/>
      <c r="BH26" s="48"/>
      <c r="BI26" s="11"/>
      <c r="BJ26" s="12"/>
      <c r="BK26" s="49"/>
      <c r="BL26" s="11"/>
      <c r="BM26" s="11"/>
      <c r="BN26" s="11"/>
      <c r="BO26" s="11"/>
      <c r="BP26" s="11"/>
      <c r="BQ26" s="12"/>
    </row>
    <row r="27" ht="207.75" customHeight="1">
      <c r="A27" s="47">
        <v>13.0</v>
      </c>
      <c r="B27" s="49" t="s">
        <v>321</v>
      </c>
      <c r="C27" s="11"/>
      <c r="D27" s="12"/>
      <c r="E27" s="49" t="s">
        <v>322</v>
      </c>
      <c r="F27" s="11"/>
      <c r="G27" s="11"/>
      <c r="H27" s="11"/>
      <c r="I27" s="12"/>
      <c r="J27" s="49" t="s">
        <v>323</v>
      </c>
      <c r="K27" s="11"/>
      <c r="L27" s="11"/>
      <c r="M27" s="11"/>
      <c r="N27" s="11"/>
      <c r="O27" s="11"/>
      <c r="P27" s="12"/>
      <c r="Q27" s="49" t="s">
        <v>324</v>
      </c>
      <c r="R27" s="11"/>
      <c r="S27" s="11"/>
      <c r="T27" s="11"/>
      <c r="U27" s="11"/>
      <c r="V27" s="11"/>
      <c r="W27" s="12"/>
      <c r="X27" s="49" t="s">
        <v>325</v>
      </c>
      <c r="Y27" s="11"/>
      <c r="Z27" s="11"/>
      <c r="AA27" s="11"/>
      <c r="AB27" s="11"/>
      <c r="AC27" s="11"/>
      <c r="AD27" s="12"/>
      <c r="AE27" s="48" t="s">
        <v>275</v>
      </c>
      <c r="AF27" s="12"/>
      <c r="AG27" s="60" t="s">
        <v>57</v>
      </c>
      <c r="AH27" s="11"/>
      <c r="AI27" s="12"/>
      <c r="AJ27" s="61"/>
      <c r="AK27" s="11"/>
      <c r="AL27" s="12"/>
      <c r="AM27" s="60" t="s">
        <v>264</v>
      </c>
      <c r="AN27" s="11"/>
      <c r="AO27" s="12"/>
      <c r="AP27" s="62">
        <v>46192.0</v>
      </c>
      <c r="AQ27" s="11"/>
      <c r="AR27" s="12"/>
      <c r="AS27" s="48"/>
      <c r="AT27" s="11"/>
      <c r="AU27" s="12"/>
      <c r="AV27" s="48"/>
      <c r="AW27" s="11"/>
      <c r="AX27" s="12"/>
      <c r="AY27" s="48"/>
      <c r="AZ27" s="11"/>
      <c r="BA27" s="12"/>
      <c r="BB27" s="48"/>
      <c r="BC27" s="11"/>
      <c r="BD27" s="12"/>
      <c r="BE27" s="48"/>
      <c r="BF27" s="11"/>
      <c r="BG27" s="12"/>
      <c r="BH27" s="48"/>
      <c r="BI27" s="11"/>
      <c r="BJ27" s="12"/>
      <c r="BK27" s="49"/>
      <c r="BL27" s="11"/>
      <c r="BM27" s="11"/>
      <c r="BN27" s="11"/>
      <c r="BO27" s="11"/>
      <c r="BP27" s="11"/>
      <c r="BQ27" s="12"/>
    </row>
    <row r="28" ht="159.75" customHeight="1">
      <c r="A28" s="47">
        <v>14.0</v>
      </c>
      <c r="B28" s="49" t="s">
        <v>326</v>
      </c>
      <c r="C28" s="11"/>
      <c r="D28" s="12"/>
      <c r="E28" s="49" t="s">
        <v>327</v>
      </c>
      <c r="F28" s="11"/>
      <c r="G28" s="11"/>
      <c r="H28" s="11"/>
      <c r="I28" s="12"/>
      <c r="J28" s="49" t="s">
        <v>313</v>
      </c>
      <c r="K28" s="11"/>
      <c r="L28" s="11"/>
      <c r="M28" s="11"/>
      <c r="N28" s="11"/>
      <c r="O28" s="11"/>
      <c r="P28" s="12"/>
      <c r="Q28" s="49" t="s">
        <v>328</v>
      </c>
      <c r="R28" s="11"/>
      <c r="S28" s="11"/>
      <c r="T28" s="11"/>
      <c r="U28" s="11"/>
      <c r="V28" s="11"/>
      <c r="W28" s="12"/>
      <c r="X28" s="49" t="s">
        <v>329</v>
      </c>
      <c r="Y28" s="11"/>
      <c r="Z28" s="11"/>
      <c r="AA28" s="11"/>
      <c r="AB28" s="11"/>
      <c r="AC28" s="11"/>
      <c r="AD28" s="12"/>
      <c r="AE28" s="48" t="s">
        <v>275</v>
      </c>
      <c r="AF28" s="12"/>
      <c r="AG28" s="60" t="s">
        <v>57</v>
      </c>
      <c r="AH28" s="11"/>
      <c r="AI28" s="12"/>
      <c r="AJ28" s="61"/>
      <c r="AK28" s="11"/>
      <c r="AL28" s="12"/>
      <c r="AM28" s="60" t="s">
        <v>264</v>
      </c>
      <c r="AN28" s="11"/>
      <c r="AO28" s="12"/>
      <c r="AP28" s="62">
        <v>46192.0</v>
      </c>
      <c r="AQ28" s="11"/>
      <c r="AR28" s="12"/>
      <c r="AS28" s="48"/>
      <c r="AT28" s="11"/>
      <c r="AU28" s="12"/>
      <c r="AV28" s="48"/>
      <c r="AW28" s="11"/>
      <c r="AX28" s="12"/>
      <c r="AY28" s="48"/>
      <c r="AZ28" s="11"/>
      <c r="BA28" s="12"/>
      <c r="BB28" s="48"/>
      <c r="BC28" s="11"/>
      <c r="BD28" s="12"/>
      <c r="BE28" s="48"/>
      <c r="BF28" s="11"/>
      <c r="BG28" s="12"/>
      <c r="BH28" s="48"/>
      <c r="BI28" s="11"/>
      <c r="BJ28" s="12"/>
      <c r="BK28" s="49"/>
      <c r="BL28" s="11"/>
      <c r="BM28" s="11"/>
      <c r="BN28" s="11"/>
      <c r="BO28" s="11"/>
      <c r="BP28" s="11"/>
      <c r="BQ28" s="12"/>
    </row>
    <row r="29" ht="22.5" customHeight="1">
      <c r="A29" s="35" t="s">
        <v>330</v>
      </c>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2"/>
    </row>
    <row r="30" ht="207.75" customHeight="1">
      <c r="A30" s="47">
        <v>15.0</v>
      </c>
      <c r="B30" s="49" t="s">
        <v>331</v>
      </c>
      <c r="C30" s="11"/>
      <c r="D30" s="12"/>
      <c r="E30" s="49" t="s">
        <v>332</v>
      </c>
      <c r="F30" s="11"/>
      <c r="G30" s="11"/>
      <c r="H30" s="11"/>
      <c r="I30" s="12"/>
      <c r="J30" s="49" t="s">
        <v>289</v>
      </c>
      <c r="K30" s="11"/>
      <c r="L30" s="11"/>
      <c r="M30" s="11"/>
      <c r="N30" s="11"/>
      <c r="O30" s="11"/>
      <c r="P30" s="12"/>
      <c r="Q30" s="63" t="s">
        <v>333</v>
      </c>
      <c r="R30" s="11"/>
      <c r="S30" s="11"/>
      <c r="T30" s="11"/>
      <c r="U30" s="11"/>
      <c r="V30" s="11"/>
      <c r="W30" s="12"/>
      <c r="X30" s="63" t="s">
        <v>334</v>
      </c>
      <c r="Y30" s="11"/>
      <c r="Z30" s="11"/>
      <c r="AA30" s="11"/>
      <c r="AB30" s="11"/>
      <c r="AC30" s="11"/>
      <c r="AD30" s="12"/>
      <c r="AE30" s="48" t="s">
        <v>211</v>
      </c>
      <c r="AF30" s="12"/>
      <c r="AG30" s="60" t="s">
        <v>57</v>
      </c>
      <c r="AH30" s="11"/>
      <c r="AI30" s="12"/>
      <c r="AJ30" s="61"/>
      <c r="AK30" s="11"/>
      <c r="AL30" s="12"/>
      <c r="AM30" s="60" t="s">
        <v>264</v>
      </c>
      <c r="AN30" s="11"/>
      <c r="AO30" s="12"/>
      <c r="AP30" s="62">
        <v>46192.0</v>
      </c>
      <c r="AQ30" s="11"/>
      <c r="AR30" s="12"/>
      <c r="AS30" s="48"/>
      <c r="AT30" s="11"/>
      <c r="AU30" s="12"/>
      <c r="AV30" s="48"/>
      <c r="AW30" s="11"/>
      <c r="AX30" s="12"/>
      <c r="AY30" s="48"/>
      <c r="AZ30" s="11"/>
      <c r="BA30" s="12"/>
      <c r="BB30" s="48"/>
      <c r="BC30" s="11"/>
      <c r="BD30" s="12"/>
      <c r="BE30" s="48"/>
      <c r="BF30" s="11"/>
      <c r="BG30" s="12"/>
      <c r="BH30" s="48"/>
      <c r="BI30" s="11"/>
      <c r="BJ30" s="12"/>
      <c r="BK30" s="49"/>
      <c r="BL30" s="11"/>
      <c r="BM30" s="11"/>
      <c r="BN30" s="11"/>
      <c r="BO30" s="11"/>
      <c r="BP30" s="11"/>
      <c r="BQ30" s="12"/>
    </row>
    <row r="31" ht="207.75" customHeight="1">
      <c r="A31" s="47">
        <v>16.0</v>
      </c>
      <c r="B31" s="49" t="s">
        <v>335</v>
      </c>
      <c r="C31" s="11"/>
      <c r="D31" s="12"/>
      <c r="E31" s="49" t="s">
        <v>336</v>
      </c>
      <c r="F31" s="11"/>
      <c r="G31" s="11"/>
      <c r="H31" s="11"/>
      <c r="I31" s="12"/>
      <c r="J31" s="49" t="s">
        <v>323</v>
      </c>
      <c r="K31" s="11"/>
      <c r="L31" s="11"/>
      <c r="M31" s="11"/>
      <c r="N31" s="11"/>
      <c r="O31" s="11"/>
      <c r="P31" s="12"/>
      <c r="Q31" s="63" t="s">
        <v>337</v>
      </c>
      <c r="R31" s="11"/>
      <c r="S31" s="11"/>
      <c r="T31" s="11"/>
      <c r="U31" s="11"/>
      <c r="V31" s="11"/>
      <c r="W31" s="12"/>
      <c r="X31" s="63" t="s">
        <v>338</v>
      </c>
      <c r="Y31" s="11"/>
      <c r="Z31" s="11"/>
      <c r="AA31" s="11"/>
      <c r="AB31" s="11"/>
      <c r="AC31" s="11"/>
      <c r="AD31" s="12"/>
      <c r="AE31" s="48" t="s">
        <v>211</v>
      </c>
      <c r="AF31" s="12"/>
      <c r="AG31" s="60" t="s">
        <v>57</v>
      </c>
      <c r="AH31" s="11"/>
      <c r="AI31" s="12"/>
      <c r="AJ31" s="61"/>
      <c r="AK31" s="11"/>
      <c r="AL31" s="12"/>
      <c r="AM31" s="60" t="s">
        <v>264</v>
      </c>
      <c r="AN31" s="11"/>
      <c r="AO31" s="12"/>
      <c r="AP31" s="62">
        <v>46192.0</v>
      </c>
      <c r="AQ31" s="11"/>
      <c r="AR31" s="12"/>
      <c r="AS31" s="48"/>
      <c r="AT31" s="11"/>
      <c r="AU31" s="12"/>
      <c r="AV31" s="48"/>
      <c r="AW31" s="11"/>
      <c r="AX31" s="12"/>
      <c r="AY31" s="48"/>
      <c r="AZ31" s="11"/>
      <c r="BA31" s="12"/>
      <c r="BB31" s="48"/>
      <c r="BC31" s="11"/>
      <c r="BD31" s="12"/>
      <c r="BE31" s="48"/>
      <c r="BF31" s="11"/>
      <c r="BG31" s="12"/>
      <c r="BH31" s="48"/>
      <c r="BI31" s="11"/>
      <c r="BJ31" s="12"/>
      <c r="BK31" s="49"/>
      <c r="BL31" s="11"/>
      <c r="BM31" s="11"/>
      <c r="BN31" s="11"/>
      <c r="BO31" s="11"/>
      <c r="BP31" s="11"/>
      <c r="BQ31" s="12"/>
    </row>
    <row r="32" ht="288.0" customHeight="1">
      <c r="A32" s="47">
        <v>17.0</v>
      </c>
      <c r="B32" s="49" t="s">
        <v>339</v>
      </c>
      <c r="C32" s="11"/>
      <c r="D32" s="12"/>
      <c r="E32" s="49" t="s">
        <v>340</v>
      </c>
      <c r="F32" s="11"/>
      <c r="G32" s="11"/>
      <c r="H32" s="11"/>
      <c r="I32" s="12"/>
      <c r="J32" s="49" t="s">
        <v>289</v>
      </c>
      <c r="K32" s="11"/>
      <c r="L32" s="11"/>
      <c r="M32" s="11"/>
      <c r="N32" s="11"/>
      <c r="O32" s="11"/>
      <c r="P32" s="12"/>
      <c r="Q32" s="63" t="s">
        <v>341</v>
      </c>
      <c r="R32" s="11"/>
      <c r="S32" s="11"/>
      <c r="T32" s="11"/>
      <c r="U32" s="11"/>
      <c r="V32" s="11"/>
      <c r="W32" s="12"/>
      <c r="X32" s="63" t="s">
        <v>342</v>
      </c>
      <c r="Y32" s="11"/>
      <c r="Z32" s="11"/>
      <c r="AA32" s="11"/>
      <c r="AB32" s="11"/>
      <c r="AC32" s="11"/>
      <c r="AD32" s="12"/>
      <c r="AE32" s="48" t="s">
        <v>211</v>
      </c>
      <c r="AF32" s="12"/>
      <c r="AG32" s="60" t="s">
        <v>57</v>
      </c>
      <c r="AH32" s="11"/>
      <c r="AI32" s="12"/>
      <c r="AJ32" s="61"/>
      <c r="AK32" s="11"/>
      <c r="AL32" s="12"/>
      <c r="AM32" s="60" t="s">
        <v>264</v>
      </c>
      <c r="AN32" s="11"/>
      <c r="AO32" s="12"/>
      <c r="AP32" s="62">
        <v>46192.0</v>
      </c>
      <c r="AQ32" s="11"/>
      <c r="AR32" s="12"/>
      <c r="AS32" s="48"/>
      <c r="AT32" s="11"/>
      <c r="AU32" s="12"/>
      <c r="AV32" s="48"/>
      <c r="AW32" s="11"/>
      <c r="AX32" s="12"/>
      <c r="AY32" s="48"/>
      <c r="AZ32" s="11"/>
      <c r="BA32" s="12"/>
      <c r="BB32" s="48"/>
      <c r="BC32" s="11"/>
      <c r="BD32" s="12"/>
      <c r="BE32" s="48"/>
      <c r="BF32" s="11"/>
      <c r="BG32" s="12"/>
      <c r="BH32" s="48"/>
      <c r="BI32" s="11"/>
      <c r="BJ32" s="12"/>
      <c r="BK32" s="49"/>
      <c r="BL32" s="11"/>
      <c r="BM32" s="11"/>
      <c r="BN32" s="11"/>
      <c r="BO32" s="11"/>
      <c r="BP32" s="11"/>
      <c r="BQ32" s="12"/>
    </row>
    <row r="33" ht="255.75" customHeight="1">
      <c r="A33" s="47">
        <v>18.0</v>
      </c>
      <c r="B33" s="49" t="s">
        <v>343</v>
      </c>
      <c r="C33" s="11"/>
      <c r="D33" s="12"/>
      <c r="E33" s="49" t="s">
        <v>344</v>
      </c>
      <c r="F33" s="11"/>
      <c r="G33" s="11"/>
      <c r="H33" s="11"/>
      <c r="I33" s="12"/>
      <c r="J33" s="49" t="s">
        <v>323</v>
      </c>
      <c r="K33" s="11"/>
      <c r="L33" s="11"/>
      <c r="M33" s="11"/>
      <c r="N33" s="11"/>
      <c r="O33" s="11"/>
      <c r="P33" s="12"/>
      <c r="Q33" s="49" t="s">
        <v>345</v>
      </c>
      <c r="R33" s="11"/>
      <c r="S33" s="11"/>
      <c r="T33" s="11"/>
      <c r="U33" s="11"/>
      <c r="V33" s="11"/>
      <c r="W33" s="12"/>
      <c r="X33" s="49" t="s">
        <v>346</v>
      </c>
      <c r="Y33" s="11"/>
      <c r="Z33" s="11"/>
      <c r="AA33" s="11"/>
      <c r="AB33" s="11"/>
      <c r="AC33" s="11"/>
      <c r="AD33" s="12"/>
      <c r="AE33" s="48" t="s">
        <v>207</v>
      </c>
      <c r="AF33" s="12"/>
      <c r="AG33" s="60" t="s">
        <v>57</v>
      </c>
      <c r="AH33" s="11"/>
      <c r="AI33" s="12"/>
      <c r="AJ33" s="61"/>
      <c r="AK33" s="11"/>
      <c r="AL33" s="12"/>
      <c r="AM33" s="60" t="s">
        <v>264</v>
      </c>
      <c r="AN33" s="11"/>
      <c r="AO33" s="12"/>
      <c r="AP33" s="62">
        <v>46192.0</v>
      </c>
      <c r="AQ33" s="11"/>
      <c r="AR33" s="12"/>
      <c r="AS33" s="48"/>
      <c r="AT33" s="11"/>
      <c r="AU33" s="12"/>
      <c r="AV33" s="48"/>
      <c r="AW33" s="11"/>
      <c r="AX33" s="12"/>
      <c r="AY33" s="48"/>
      <c r="AZ33" s="11"/>
      <c r="BA33" s="12"/>
      <c r="BB33" s="48"/>
      <c r="BC33" s="11"/>
      <c r="BD33" s="12"/>
      <c r="BE33" s="48"/>
      <c r="BF33" s="11"/>
      <c r="BG33" s="12"/>
      <c r="BH33" s="48"/>
      <c r="BI33" s="11"/>
      <c r="BJ33" s="12"/>
      <c r="BK33" s="49"/>
      <c r="BL33" s="11"/>
      <c r="BM33" s="11"/>
      <c r="BN33" s="11"/>
      <c r="BO33" s="11"/>
      <c r="BP33" s="11"/>
      <c r="BQ33" s="12"/>
    </row>
    <row r="34" ht="223.5" customHeight="1">
      <c r="A34" s="47">
        <v>19.0</v>
      </c>
      <c r="B34" s="49" t="s">
        <v>347</v>
      </c>
      <c r="C34" s="11"/>
      <c r="D34" s="12"/>
      <c r="E34" s="49" t="s">
        <v>348</v>
      </c>
      <c r="F34" s="11"/>
      <c r="G34" s="11"/>
      <c r="H34" s="11"/>
      <c r="I34" s="12"/>
      <c r="J34" s="49" t="s">
        <v>289</v>
      </c>
      <c r="K34" s="11"/>
      <c r="L34" s="11"/>
      <c r="M34" s="11"/>
      <c r="N34" s="11"/>
      <c r="O34" s="11"/>
      <c r="P34" s="12"/>
      <c r="Q34" s="49" t="s">
        <v>349</v>
      </c>
      <c r="R34" s="11"/>
      <c r="S34" s="11"/>
      <c r="T34" s="11"/>
      <c r="U34" s="11"/>
      <c r="V34" s="11"/>
      <c r="W34" s="12"/>
      <c r="X34" s="49" t="s">
        <v>350</v>
      </c>
      <c r="Y34" s="11"/>
      <c r="Z34" s="11"/>
      <c r="AA34" s="11"/>
      <c r="AB34" s="11"/>
      <c r="AC34" s="11"/>
      <c r="AD34" s="12"/>
      <c r="AE34" s="48" t="s">
        <v>211</v>
      </c>
      <c r="AF34" s="12"/>
      <c r="AG34" s="60" t="s">
        <v>57</v>
      </c>
      <c r="AH34" s="11"/>
      <c r="AI34" s="12"/>
      <c r="AJ34" s="61"/>
      <c r="AK34" s="11"/>
      <c r="AL34" s="12"/>
      <c r="AM34" s="60" t="s">
        <v>264</v>
      </c>
      <c r="AN34" s="11"/>
      <c r="AO34" s="12"/>
      <c r="AP34" s="62">
        <v>46192.0</v>
      </c>
      <c r="AQ34" s="11"/>
      <c r="AR34" s="12"/>
      <c r="AS34" s="48"/>
      <c r="AT34" s="11"/>
      <c r="AU34" s="12"/>
      <c r="AV34" s="48"/>
      <c r="AW34" s="11"/>
      <c r="AX34" s="12"/>
      <c r="AY34" s="48"/>
      <c r="AZ34" s="11"/>
      <c r="BA34" s="12"/>
      <c r="BB34" s="48"/>
      <c r="BC34" s="11"/>
      <c r="BD34" s="12"/>
      <c r="BE34" s="48"/>
      <c r="BF34" s="11"/>
      <c r="BG34" s="12"/>
      <c r="BH34" s="48"/>
      <c r="BI34" s="11"/>
      <c r="BJ34" s="12"/>
      <c r="BK34" s="49"/>
      <c r="BL34" s="11"/>
      <c r="BM34" s="11"/>
      <c r="BN34" s="11"/>
      <c r="BO34" s="11"/>
      <c r="BP34" s="11"/>
      <c r="BQ34" s="12"/>
    </row>
    <row r="35" ht="192.0" customHeight="1">
      <c r="A35" s="47">
        <v>20.0</v>
      </c>
      <c r="B35" s="49" t="s">
        <v>351</v>
      </c>
      <c r="C35" s="11"/>
      <c r="D35" s="12"/>
      <c r="E35" s="49" t="s">
        <v>352</v>
      </c>
      <c r="F35" s="11"/>
      <c r="G35" s="11"/>
      <c r="H35" s="11"/>
      <c r="I35" s="12"/>
      <c r="J35" s="49" t="s">
        <v>304</v>
      </c>
      <c r="K35" s="11"/>
      <c r="L35" s="11"/>
      <c r="M35" s="11"/>
      <c r="N35" s="11"/>
      <c r="O35" s="11"/>
      <c r="P35" s="12"/>
      <c r="Q35" s="49" t="s">
        <v>353</v>
      </c>
      <c r="R35" s="11"/>
      <c r="S35" s="11"/>
      <c r="T35" s="11"/>
      <c r="U35" s="11"/>
      <c r="V35" s="11"/>
      <c r="W35" s="12"/>
      <c r="X35" s="49" t="s">
        <v>354</v>
      </c>
      <c r="Y35" s="11"/>
      <c r="Z35" s="11"/>
      <c r="AA35" s="11"/>
      <c r="AB35" s="11"/>
      <c r="AC35" s="11"/>
      <c r="AD35" s="12"/>
      <c r="AE35" s="48" t="s">
        <v>207</v>
      </c>
      <c r="AF35" s="12"/>
      <c r="AG35" s="60" t="s">
        <v>57</v>
      </c>
      <c r="AH35" s="11"/>
      <c r="AI35" s="12"/>
      <c r="AJ35" s="61"/>
      <c r="AK35" s="11"/>
      <c r="AL35" s="12"/>
      <c r="AM35" s="60" t="s">
        <v>264</v>
      </c>
      <c r="AN35" s="11"/>
      <c r="AO35" s="12"/>
      <c r="AP35" s="62">
        <v>46192.0</v>
      </c>
      <c r="AQ35" s="11"/>
      <c r="AR35" s="12"/>
      <c r="AS35" s="48"/>
      <c r="AT35" s="11"/>
      <c r="AU35" s="12"/>
      <c r="AV35" s="48"/>
      <c r="AW35" s="11"/>
      <c r="AX35" s="12"/>
      <c r="AY35" s="48"/>
      <c r="AZ35" s="11"/>
      <c r="BA35" s="12"/>
      <c r="BB35" s="48"/>
      <c r="BC35" s="11"/>
      <c r="BD35" s="12"/>
      <c r="BE35" s="48"/>
      <c r="BF35" s="11"/>
      <c r="BG35" s="12"/>
      <c r="BH35" s="48"/>
      <c r="BI35" s="11"/>
      <c r="BJ35" s="12"/>
      <c r="BK35" s="49"/>
      <c r="BL35" s="11"/>
      <c r="BM35" s="11"/>
      <c r="BN35" s="11"/>
      <c r="BO35" s="11"/>
      <c r="BP35" s="11"/>
      <c r="BQ35" s="12"/>
    </row>
    <row r="36" ht="207.75" customHeight="1">
      <c r="A36" s="47">
        <v>21.0</v>
      </c>
      <c r="B36" s="49" t="s">
        <v>355</v>
      </c>
      <c r="C36" s="11"/>
      <c r="D36" s="12"/>
      <c r="E36" s="49" t="s">
        <v>356</v>
      </c>
      <c r="F36" s="11"/>
      <c r="G36" s="11"/>
      <c r="H36" s="11"/>
      <c r="I36" s="12"/>
      <c r="J36" s="49" t="s">
        <v>299</v>
      </c>
      <c r="K36" s="11"/>
      <c r="L36" s="11"/>
      <c r="M36" s="11"/>
      <c r="N36" s="11"/>
      <c r="O36" s="11"/>
      <c r="P36" s="12"/>
      <c r="Q36" s="49" t="s">
        <v>357</v>
      </c>
      <c r="R36" s="11"/>
      <c r="S36" s="11"/>
      <c r="T36" s="11"/>
      <c r="U36" s="11"/>
      <c r="V36" s="11"/>
      <c r="W36" s="12"/>
      <c r="X36" s="49" t="s">
        <v>358</v>
      </c>
      <c r="Y36" s="11"/>
      <c r="Z36" s="11"/>
      <c r="AA36" s="11"/>
      <c r="AB36" s="11"/>
      <c r="AC36" s="11"/>
      <c r="AD36" s="12"/>
      <c r="AE36" s="48" t="s">
        <v>207</v>
      </c>
      <c r="AF36" s="12"/>
      <c r="AG36" s="60" t="s">
        <v>57</v>
      </c>
      <c r="AH36" s="11"/>
      <c r="AI36" s="12"/>
      <c r="AJ36" s="61"/>
      <c r="AK36" s="11"/>
      <c r="AL36" s="12"/>
      <c r="AM36" s="60" t="s">
        <v>264</v>
      </c>
      <c r="AN36" s="11"/>
      <c r="AO36" s="12"/>
      <c r="AP36" s="62">
        <v>46192.0</v>
      </c>
      <c r="AQ36" s="11"/>
      <c r="AR36" s="12"/>
      <c r="AS36" s="48"/>
      <c r="AT36" s="11"/>
      <c r="AU36" s="12"/>
      <c r="AV36" s="48"/>
      <c r="AW36" s="11"/>
      <c r="AX36" s="12"/>
      <c r="AY36" s="48"/>
      <c r="AZ36" s="11"/>
      <c r="BA36" s="12"/>
      <c r="BB36" s="48"/>
      <c r="BC36" s="11"/>
      <c r="BD36" s="12"/>
      <c r="BE36" s="48"/>
      <c r="BF36" s="11"/>
      <c r="BG36" s="12"/>
      <c r="BH36" s="48"/>
      <c r="BI36" s="11"/>
      <c r="BJ36" s="12"/>
      <c r="BK36" s="49"/>
      <c r="BL36" s="11"/>
      <c r="BM36" s="11"/>
      <c r="BN36" s="11"/>
      <c r="BO36" s="11"/>
      <c r="BP36" s="11"/>
      <c r="BQ36" s="12"/>
    </row>
    <row r="37" ht="271.5" customHeight="1">
      <c r="A37" s="47">
        <v>22.0</v>
      </c>
      <c r="B37" s="49" t="s">
        <v>359</v>
      </c>
      <c r="C37" s="11"/>
      <c r="D37" s="12"/>
      <c r="E37" s="49" t="s">
        <v>360</v>
      </c>
      <c r="F37" s="11"/>
      <c r="G37" s="11"/>
      <c r="H37" s="11"/>
      <c r="I37" s="12"/>
      <c r="J37" s="49" t="s">
        <v>361</v>
      </c>
      <c r="K37" s="11"/>
      <c r="L37" s="11"/>
      <c r="M37" s="11"/>
      <c r="N37" s="11"/>
      <c r="O37" s="11"/>
      <c r="P37" s="12"/>
      <c r="Q37" s="49" t="s">
        <v>362</v>
      </c>
      <c r="R37" s="11"/>
      <c r="S37" s="11"/>
      <c r="T37" s="11"/>
      <c r="U37" s="11"/>
      <c r="V37" s="11"/>
      <c r="W37" s="12"/>
      <c r="X37" s="49" t="s">
        <v>363</v>
      </c>
      <c r="Y37" s="11"/>
      <c r="Z37" s="11"/>
      <c r="AA37" s="11"/>
      <c r="AB37" s="11"/>
      <c r="AC37" s="11"/>
      <c r="AD37" s="12"/>
      <c r="AE37" s="48" t="s">
        <v>211</v>
      </c>
      <c r="AF37" s="12"/>
      <c r="AG37" s="60" t="s">
        <v>57</v>
      </c>
      <c r="AH37" s="11"/>
      <c r="AI37" s="12"/>
      <c r="AJ37" s="61"/>
      <c r="AK37" s="11"/>
      <c r="AL37" s="12"/>
      <c r="AM37" s="60" t="s">
        <v>264</v>
      </c>
      <c r="AN37" s="11"/>
      <c r="AO37" s="12"/>
      <c r="AP37" s="62">
        <v>46192.0</v>
      </c>
      <c r="AQ37" s="11"/>
      <c r="AR37" s="12"/>
      <c r="AS37" s="48"/>
      <c r="AT37" s="11"/>
      <c r="AU37" s="12"/>
      <c r="AV37" s="48"/>
      <c r="AW37" s="11"/>
      <c r="AX37" s="12"/>
      <c r="AY37" s="48"/>
      <c r="AZ37" s="11"/>
      <c r="BA37" s="12"/>
      <c r="BB37" s="48"/>
      <c r="BC37" s="11"/>
      <c r="BD37" s="12"/>
      <c r="BE37" s="48"/>
      <c r="BF37" s="11"/>
      <c r="BG37" s="12"/>
      <c r="BH37" s="48"/>
      <c r="BI37" s="11"/>
      <c r="BJ37" s="12"/>
      <c r="BK37" s="49"/>
      <c r="BL37" s="11"/>
      <c r="BM37" s="11"/>
      <c r="BN37" s="11"/>
      <c r="BO37" s="11"/>
      <c r="BP37" s="11"/>
      <c r="BQ37" s="12"/>
    </row>
    <row r="38" ht="240.0" customHeight="1">
      <c r="A38" s="64">
        <v>23.0</v>
      </c>
      <c r="B38" s="65" t="s">
        <v>364</v>
      </c>
      <c r="C38" s="11"/>
      <c r="D38" s="12"/>
      <c r="E38" s="65" t="s">
        <v>365</v>
      </c>
      <c r="F38" s="11"/>
      <c r="G38" s="11"/>
      <c r="H38" s="11"/>
      <c r="I38" s="12"/>
      <c r="J38" s="65" t="s">
        <v>366</v>
      </c>
      <c r="K38" s="11"/>
      <c r="L38" s="11"/>
      <c r="M38" s="11"/>
      <c r="N38" s="11"/>
      <c r="O38" s="11"/>
      <c r="P38" s="12"/>
      <c r="Q38" s="65" t="s">
        <v>367</v>
      </c>
      <c r="R38" s="11"/>
      <c r="S38" s="11"/>
      <c r="T38" s="11"/>
      <c r="U38" s="11"/>
      <c r="V38" s="11"/>
      <c r="W38" s="12"/>
      <c r="X38" s="65" t="s">
        <v>368</v>
      </c>
      <c r="Y38" s="11"/>
      <c r="Z38" s="11"/>
      <c r="AA38" s="11"/>
      <c r="AB38" s="11"/>
      <c r="AC38" s="11"/>
      <c r="AD38" s="12"/>
      <c r="AE38" s="66" t="s">
        <v>275</v>
      </c>
      <c r="AF38" s="12"/>
      <c r="AG38" s="58" t="s">
        <v>60</v>
      </c>
      <c r="AH38" s="11"/>
      <c r="AI38" s="12"/>
      <c r="AJ38" s="48"/>
      <c r="AK38" s="11"/>
      <c r="AL38" s="12"/>
      <c r="AM38" s="48"/>
      <c r="AN38" s="11"/>
      <c r="AO38" s="12"/>
      <c r="AP38" s="48"/>
      <c r="AQ38" s="11"/>
      <c r="AR38" s="12"/>
      <c r="AS38" s="48"/>
      <c r="AT38" s="11"/>
      <c r="AU38" s="12"/>
      <c r="AV38" s="48"/>
      <c r="AW38" s="11"/>
      <c r="AX38" s="12"/>
      <c r="AY38" s="48"/>
      <c r="AZ38" s="11"/>
      <c r="BA38" s="12"/>
      <c r="BB38" s="48"/>
      <c r="BC38" s="11"/>
      <c r="BD38" s="12"/>
      <c r="BE38" s="48"/>
      <c r="BF38" s="11"/>
      <c r="BG38" s="12"/>
      <c r="BH38" s="48"/>
      <c r="BI38" s="11"/>
      <c r="BJ38" s="12"/>
      <c r="BK38" s="49"/>
      <c r="BL38" s="11"/>
      <c r="BM38" s="11"/>
      <c r="BN38" s="11"/>
      <c r="BO38" s="11"/>
      <c r="BP38" s="11"/>
      <c r="BQ38" s="12"/>
    </row>
    <row r="39" ht="255.75" customHeight="1">
      <c r="A39" s="47">
        <v>24.0</v>
      </c>
      <c r="B39" s="49" t="s">
        <v>369</v>
      </c>
      <c r="C39" s="11"/>
      <c r="D39" s="12"/>
      <c r="E39" s="49" t="s">
        <v>370</v>
      </c>
      <c r="F39" s="11"/>
      <c r="G39" s="11"/>
      <c r="H39" s="11"/>
      <c r="I39" s="12"/>
      <c r="J39" s="49" t="s">
        <v>323</v>
      </c>
      <c r="K39" s="11"/>
      <c r="L39" s="11"/>
      <c r="M39" s="11"/>
      <c r="N39" s="11"/>
      <c r="O39" s="11"/>
      <c r="P39" s="12"/>
      <c r="Q39" s="63" t="s">
        <v>371</v>
      </c>
      <c r="R39" s="11"/>
      <c r="S39" s="11"/>
      <c r="T39" s="11"/>
      <c r="U39" s="11"/>
      <c r="V39" s="11"/>
      <c r="W39" s="12"/>
      <c r="X39" s="49" t="s">
        <v>372</v>
      </c>
      <c r="Y39" s="11"/>
      <c r="Z39" s="11"/>
      <c r="AA39" s="11"/>
      <c r="AB39" s="11"/>
      <c r="AC39" s="11"/>
      <c r="AD39" s="12"/>
      <c r="AE39" s="48" t="s">
        <v>207</v>
      </c>
      <c r="AF39" s="12"/>
      <c r="AG39" s="60" t="s">
        <v>57</v>
      </c>
      <c r="AH39" s="11"/>
      <c r="AI39" s="12"/>
      <c r="AJ39" s="61"/>
      <c r="AK39" s="11"/>
      <c r="AL39" s="12"/>
      <c r="AM39" s="60" t="s">
        <v>264</v>
      </c>
      <c r="AN39" s="11"/>
      <c r="AO39" s="12"/>
      <c r="AP39" s="62">
        <v>46192.0</v>
      </c>
      <c r="AQ39" s="11"/>
      <c r="AR39" s="12"/>
      <c r="AS39" s="48"/>
      <c r="AT39" s="11"/>
      <c r="AU39" s="12"/>
      <c r="AV39" s="48"/>
      <c r="AW39" s="11"/>
      <c r="AX39" s="12"/>
      <c r="AY39" s="48"/>
      <c r="AZ39" s="11"/>
      <c r="BA39" s="12"/>
      <c r="BB39" s="48"/>
      <c r="BC39" s="11"/>
      <c r="BD39" s="12"/>
      <c r="BE39" s="48"/>
      <c r="BF39" s="11"/>
      <c r="BG39" s="12"/>
      <c r="BH39" s="48"/>
      <c r="BI39" s="11"/>
      <c r="BJ39" s="12"/>
      <c r="BK39" s="49"/>
      <c r="BL39" s="11"/>
      <c r="BM39" s="11"/>
      <c r="BN39" s="11"/>
      <c r="BO39" s="11"/>
      <c r="BP39" s="11"/>
      <c r="BQ39" s="12"/>
    </row>
    <row r="40" ht="22.5" customHeight="1">
      <c r="A40" s="35" t="s">
        <v>373</v>
      </c>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2"/>
    </row>
    <row r="41" ht="255.75" customHeight="1">
      <c r="A41" s="47">
        <v>25.0</v>
      </c>
      <c r="B41" s="49" t="s">
        <v>374</v>
      </c>
      <c r="C41" s="11"/>
      <c r="D41" s="12"/>
      <c r="E41" s="49" t="s">
        <v>375</v>
      </c>
      <c r="F41" s="11"/>
      <c r="G41" s="11"/>
      <c r="H41" s="11"/>
      <c r="I41" s="12"/>
      <c r="J41" s="49" t="s">
        <v>376</v>
      </c>
      <c r="K41" s="11"/>
      <c r="L41" s="11"/>
      <c r="M41" s="11"/>
      <c r="N41" s="11"/>
      <c r="O41" s="11"/>
      <c r="P41" s="12"/>
      <c r="Q41" s="49" t="s">
        <v>377</v>
      </c>
      <c r="R41" s="11"/>
      <c r="S41" s="11"/>
      <c r="T41" s="11"/>
      <c r="U41" s="11"/>
      <c r="V41" s="11"/>
      <c r="W41" s="12"/>
      <c r="X41" s="49" t="s">
        <v>378</v>
      </c>
      <c r="Y41" s="11"/>
      <c r="Z41" s="11"/>
      <c r="AA41" s="11"/>
      <c r="AB41" s="11"/>
      <c r="AC41" s="11"/>
      <c r="AD41" s="12"/>
      <c r="AE41" s="48" t="s">
        <v>275</v>
      </c>
      <c r="AF41" s="12"/>
      <c r="AG41" s="60" t="s">
        <v>57</v>
      </c>
      <c r="AH41" s="11"/>
      <c r="AI41" s="12"/>
      <c r="AJ41" s="61"/>
      <c r="AK41" s="11"/>
      <c r="AL41" s="12"/>
      <c r="AM41" s="60" t="s">
        <v>264</v>
      </c>
      <c r="AN41" s="11"/>
      <c r="AO41" s="12"/>
      <c r="AP41" s="62">
        <v>46192.0</v>
      </c>
      <c r="AQ41" s="11"/>
      <c r="AR41" s="12"/>
      <c r="AS41" s="48"/>
      <c r="AT41" s="11"/>
      <c r="AU41" s="12"/>
      <c r="AV41" s="48"/>
      <c r="AW41" s="11"/>
      <c r="AX41" s="12"/>
      <c r="AY41" s="48"/>
      <c r="AZ41" s="11"/>
      <c r="BA41" s="12"/>
      <c r="BB41" s="48"/>
      <c r="BC41" s="11"/>
      <c r="BD41" s="12"/>
      <c r="BE41" s="48"/>
      <c r="BF41" s="11"/>
      <c r="BG41" s="12"/>
      <c r="BH41" s="48"/>
      <c r="BI41" s="11"/>
      <c r="BJ41" s="12"/>
      <c r="BK41" s="49"/>
      <c r="BL41" s="11"/>
      <c r="BM41" s="11"/>
      <c r="BN41" s="11"/>
      <c r="BO41" s="11"/>
      <c r="BP41" s="11"/>
      <c r="BQ41" s="12"/>
    </row>
    <row r="42" ht="207.75" customHeight="1">
      <c r="A42" s="47">
        <v>26.0</v>
      </c>
      <c r="B42" s="49" t="s">
        <v>379</v>
      </c>
      <c r="C42" s="11"/>
      <c r="D42" s="12"/>
      <c r="E42" s="49" t="s">
        <v>380</v>
      </c>
      <c r="F42" s="11"/>
      <c r="G42" s="11"/>
      <c r="H42" s="11"/>
      <c r="I42" s="12"/>
      <c r="J42" s="49" t="s">
        <v>323</v>
      </c>
      <c r="K42" s="11"/>
      <c r="L42" s="11"/>
      <c r="M42" s="11"/>
      <c r="N42" s="11"/>
      <c r="O42" s="11"/>
      <c r="P42" s="12"/>
      <c r="Q42" s="49" t="s">
        <v>381</v>
      </c>
      <c r="R42" s="11"/>
      <c r="S42" s="11"/>
      <c r="T42" s="11"/>
      <c r="U42" s="11"/>
      <c r="V42" s="11"/>
      <c r="W42" s="12"/>
      <c r="X42" s="49" t="s">
        <v>382</v>
      </c>
      <c r="Y42" s="11"/>
      <c r="Z42" s="11"/>
      <c r="AA42" s="11"/>
      <c r="AB42" s="11"/>
      <c r="AC42" s="11"/>
      <c r="AD42" s="12"/>
      <c r="AE42" s="48" t="s">
        <v>275</v>
      </c>
      <c r="AF42" s="12"/>
      <c r="AG42" s="60" t="s">
        <v>57</v>
      </c>
      <c r="AH42" s="11"/>
      <c r="AI42" s="12"/>
      <c r="AJ42" s="61"/>
      <c r="AK42" s="11"/>
      <c r="AL42" s="12"/>
      <c r="AM42" s="60" t="s">
        <v>264</v>
      </c>
      <c r="AN42" s="11"/>
      <c r="AO42" s="12"/>
      <c r="AP42" s="62">
        <v>46192.0</v>
      </c>
      <c r="AQ42" s="11"/>
      <c r="AR42" s="12"/>
      <c r="AS42" s="48"/>
      <c r="AT42" s="11"/>
      <c r="AU42" s="12"/>
      <c r="AV42" s="48"/>
      <c r="AW42" s="11"/>
      <c r="AX42" s="12"/>
      <c r="AY42" s="48"/>
      <c r="AZ42" s="11"/>
      <c r="BA42" s="12"/>
      <c r="BB42" s="48"/>
      <c r="BC42" s="11"/>
      <c r="BD42" s="12"/>
      <c r="BE42" s="48"/>
      <c r="BF42" s="11"/>
      <c r="BG42" s="12"/>
      <c r="BH42" s="48"/>
      <c r="BI42" s="11"/>
      <c r="BJ42" s="12"/>
      <c r="BK42" s="49"/>
      <c r="BL42" s="11"/>
      <c r="BM42" s="11"/>
      <c r="BN42" s="11"/>
      <c r="BO42" s="11"/>
      <c r="BP42" s="11"/>
      <c r="BQ42" s="12"/>
    </row>
    <row r="43" ht="207.75" customHeight="1">
      <c r="A43" s="47">
        <v>27.0</v>
      </c>
      <c r="B43" s="49" t="s">
        <v>383</v>
      </c>
      <c r="C43" s="11"/>
      <c r="D43" s="12"/>
      <c r="E43" s="49" t="s">
        <v>384</v>
      </c>
      <c r="F43" s="11"/>
      <c r="G43" s="11"/>
      <c r="H43" s="11"/>
      <c r="I43" s="12"/>
      <c r="J43" s="49" t="s">
        <v>385</v>
      </c>
      <c r="K43" s="11"/>
      <c r="L43" s="11"/>
      <c r="M43" s="11"/>
      <c r="N43" s="11"/>
      <c r="O43" s="11"/>
      <c r="P43" s="12"/>
      <c r="Q43" s="49" t="s">
        <v>386</v>
      </c>
      <c r="R43" s="11"/>
      <c r="S43" s="11"/>
      <c r="T43" s="11"/>
      <c r="U43" s="11"/>
      <c r="V43" s="11"/>
      <c r="W43" s="12"/>
      <c r="X43" s="49" t="s">
        <v>387</v>
      </c>
      <c r="Y43" s="11"/>
      <c r="Z43" s="11"/>
      <c r="AA43" s="11"/>
      <c r="AB43" s="11"/>
      <c r="AC43" s="11"/>
      <c r="AD43" s="12"/>
      <c r="AE43" s="48" t="s">
        <v>275</v>
      </c>
      <c r="AF43" s="12"/>
      <c r="AG43" s="60" t="s">
        <v>57</v>
      </c>
      <c r="AH43" s="11"/>
      <c r="AI43" s="12"/>
      <c r="AJ43" s="61"/>
      <c r="AK43" s="11"/>
      <c r="AL43" s="12"/>
      <c r="AM43" s="60" t="s">
        <v>264</v>
      </c>
      <c r="AN43" s="11"/>
      <c r="AO43" s="12"/>
      <c r="AP43" s="62">
        <v>46192.0</v>
      </c>
      <c r="AQ43" s="11"/>
      <c r="AR43" s="12"/>
      <c r="AS43" s="48"/>
      <c r="AT43" s="11"/>
      <c r="AU43" s="12"/>
      <c r="AV43" s="48"/>
      <c r="AW43" s="11"/>
      <c r="AX43" s="12"/>
      <c r="AY43" s="48"/>
      <c r="AZ43" s="11"/>
      <c r="BA43" s="12"/>
      <c r="BB43" s="48"/>
      <c r="BC43" s="11"/>
      <c r="BD43" s="12"/>
      <c r="BE43" s="48"/>
      <c r="BF43" s="11"/>
      <c r="BG43" s="12"/>
      <c r="BH43" s="48"/>
      <c r="BI43" s="11"/>
      <c r="BJ43" s="12"/>
      <c r="BK43" s="49"/>
      <c r="BL43" s="11"/>
      <c r="BM43" s="11"/>
      <c r="BN43" s="11"/>
      <c r="BO43" s="11"/>
      <c r="BP43" s="11"/>
      <c r="BQ43" s="12"/>
    </row>
    <row r="44" ht="255.75" customHeight="1">
      <c r="A44" s="47">
        <v>28.0</v>
      </c>
      <c r="B44" s="49" t="s">
        <v>388</v>
      </c>
      <c r="C44" s="11"/>
      <c r="D44" s="12"/>
      <c r="E44" s="49" t="s">
        <v>389</v>
      </c>
      <c r="F44" s="11"/>
      <c r="G44" s="11"/>
      <c r="H44" s="11"/>
      <c r="I44" s="12"/>
      <c r="J44" s="49" t="s">
        <v>390</v>
      </c>
      <c r="K44" s="11"/>
      <c r="L44" s="11"/>
      <c r="M44" s="11"/>
      <c r="N44" s="11"/>
      <c r="O44" s="11"/>
      <c r="P44" s="12"/>
      <c r="Q44" s="49" t="s">
        <v>391</v>
      </c>
      <c r="R44" s="11"/>
      <c r="S44" s="11"/>
      <c r="T44" s="11"/>
      <c r="U44" s="11"/>
      <c r="V44" s="11"/>
      <c r="W44" s="12"/>
      <c r="X44" s="49" t="s">
        <v>392</v>
      </c>
      <c r="Y44" s="11"/>
      <c r="Z44" s="11"/>
      <c r="AA44" s="11"/>
      <c r="AB44" s="11"/>
      <c r="AC44" s="11"/>
      <c r="AD44" s="12"/>
      <c r="AE44" s="48" t="s">
        <v>275</v>
      </c>
      <c r="AF44" s="12"/>
      <c r="AG44" s="60" t="s">
        <v>57</v>
      </c>
      <c r="AH44" s="11"/>
      <c r="AI44" s="12"/>
      <c r="AJ44" s="61"/>
      <c r="AK44" s="11"/>
      <c r="AL44" s="12"/>
      <c r="AM44" s="60" t="s">
        <v>264</v>
      </c>
      <c r="AN44" s="11"/>
      <c r="AO44" s="12"/>
      <c r="AP44" s="62">
        <v>46192.0</v>
      </c>
      <c r="AQ44" s="11"/>
      <c r="AR44" s="12"/>
      <c r="AS44" s="48"/>
      <c r="AT44" s="11"/>
      <c r="AU44" s="12"/>
      <c r="AV44" s="48"/>
      <c r="AW44" s="11"/>
      <c r="AX44" s="12"/>
      <c r="AY44" s="48"/>
      <c r="AZ44" s="11"/>
      <c r="BA44" s="12"/>
      <c r="BB44" s="48"/>
      <c r="BC44" s="11"/>
      <c r="BD44" s="12"/>
      <c r="BE44" s="48"/>
      <c r="BF44" s="11"/>
      <c r="BG44" s="12"/>
      <c r="BH44" s="48"/>
      <c r="BI44" s="11"/>
      <c r="BJ44" s="12"/>
      <c r="BK44" s="49"/>
      <c r="BL44" s="11"/>
      <c r="BM44" s="11"/>
      <c r="BN44" s="11"/>
      <c r="BO44" s="11"/>
      <c r="BP44" s="11"/>
      <c r="BQ44" s="12"/>
    </row>
    <row r="45" ht="223.5" customHeight="1">
      <c r="A45" s="47">
        <v>29.0</v>
      </c>
      <c r="B45" s="49" t="s">
        <v>393</v>
      </c>
      <c r="C45" s="11"/>
      <c r="D45" s="12"/>
      <c r="E45" s="49" t="s">
        <v>394</v>
      </c>
      <c r="F45" s="11"/>
      <c r="G45" s="11"/>
      <c r="H45" s="11"/>
      <c r="I45" s="12"/>
      <c r="J45" s="49" t="s">
        <v>395</v>
      </c>
      <c r="K45" s="11"/>
      <c r="L45" s="11"/>
      <c r="M45" s="11"/>
      <c r="N45" s="11"/>
      <c r="O45" s="11"/>
      <c r="P45" s="12"/>
      <c r="Q45" s="49" t="s">
        <v>396</v>
      </c>
      <c r="R45" s="11"/>
      <c r="S45" s="11"/>
      <c r="T45" s="11"/>
      <c r="U45" s="11"/>
      <c r="V45" s="11"/>
      <c r="W45" s="12"/>
      <c r="X45" s="49" t="s">
        <v>397</v>
      </c>
      <c r="Y45" s="11"/>
      <c r="Z45" s="11"/>
      <c r="AA45" s="11"/>
      <c r="AB45" s="11"/>
      <c r="AC45" s="11"/>
      <c r="AD45" s="12"/>
      <c r="AE45" s="48" t="s">
        <v>275</v>
      </c>
      <c r="AF45" s="12"/>
      <c r="AG45" s="60" t="s">
        <v>57</v>
      </c>
      <c r="AH45" s="11"/>
      <c r="AI45" s="12"/>
      <c r="AJ45" s="61"/>
      <c r="AK45" s="11"/>
      <c r="AL45" s="12"/>
      <c r="AM45" s="60" t="s">
        <v>264</v>
      </c>
      <c r="AN45" s="11"/>
      <c r="AO45" s="12"/>
      <c r="AP45" s="62">
        <v>46192.0</v>
      </c>
      <c r="AQ45" s="11"/>
      <c r="AR45" s="12"/>
      <c r="AS45" s="48"/>
      <c r="AT45" s="11"/>
      <c r="AU45" s="12"/>
      <c r="AV45" s="48"/>
      <c r="AW45" s="11"/>
      <c r="AX45" s="12"/>
      <c r="AY45" s="48"/>
      <c r="AZ45" s="11"/>
      <c r="BA45" s="12"/>
      <c r="BB45" s="48"/>
      <c r="BC45" s="11"/>
      <c r="BD45" s="12"/>
      <c r="BE45" s="48"/>
      <c r="BF45" s="11"/>
      <c r="BG45" s="12"/>
      <c r="BH45" s="48"/>
      <c r="BI45" s="11"/>
      <c r="BJ45" s="12"/>
      <c r="BK45" s="49"/>
      <c r="BL45" s="11"/>
      <c r="BM45" s="11"/>
      <c r="BN45" s="11"/>
      <c r="BO45" s="11"/>
      <c r="BP45" s="11"/>
      <c r="BQ45" s="12"/>
    </row>
    <row r="46" ht="223.5" customHeight="1">
      <c r="A46" s="47">
        <v>30.0</v>
      </c>
      <c r="B46" s="49" t="s">
        <v>398</v>
      </c>
      <c r="C46" s="11"/>
      <c r="D46" s="12"/>
      <c r="E46" s="49" t="s">
        <v>399</v>
      </c>
      <c r="F46" s="11"/>
      <c r="G46" s="11"/>
      <c r="H46" s="11"/>
      <c r="I46" s="12"/>
      <c r="J46" s="49" t="s">
        <v>400</v>
      </c>
      <c r="K46" s="11"/>
      <c r="L46" s="11"/>
      <c r="M46" s="11"/>
      <c r="N46" s="11"/>
      <c r="O46" s="11"/>
      <c r="P46" s="12"/>
      <c r="Q46" s="49" t="s">
        <v>401</v>
      </c>
      <c r="R46" s="11"/>
      <c r="S46" s="11"/>
      <c r="T46" s="11"/>
      <c r="U46" s="11"/>
      <c r="V46" s="11"/>
      <c r="W46" s="12"/>
      <c r="X46" s="49" t="s">
        <v>402</v>
      </c>
      <c r="Y46" s="11"/>
      <c r="Z46" s="11"/>
      <c r="AA46" s="11"/>
      <c r="AB46" s="11"/>
      <c r="AC46" s="11"/>
      <c r="AD46" s="12"/>
      <c r="AE46" s="48" t="s">
        <v>275</v>
      </c>
      <c r="AF46" s="12"/>
      <c r="AG46" s="60" t="s">
        <v>57</v>
      </c>
      <c r="AH46" s="11"/>
      <c r="AI46" s="12"/>
      <c r="AJ46" s="61"/>
      <c r="AK46" s="11"/>
      <c r="AL46" s="12"/>
      <c r="AM46" s="60" t="s">
        <v>264</v>
      </c>
      <c r="AN46" s="11"/>
      <c r="AO46" s="12"/>
      <c r="AP46" s="62">
        <v>46192.0</v>
      </c>
      <c r="AQ46" s="11"/>
      <c r="AR46" s="12"/>
      <c r="AS46" s="48"/>
      <c r="AT46" s="11"/>
      <c r="AU46" s="12"/>
      <c r="AV46" s="48"/>
      <c r="AW46" s="11"/>
      <c r="AX46" s="12"/>
      <c r="AY46" s="48"/>
      <c r="AZ46" s="11"/>
      <c r="BA46" s="12"/>
      <c r="BB46" s="48"/>
      <c r="BC46" s="11"/>
      <c r="BD46" s="12"/>
      <c r="BE46" s="48"/>
      <c r="BF46" s="11"/>
      <c r="BG46" s="12"/>
      <c r="BH46" s="48"/>
      <c r="BI46" s="11"/>
      <c r="BJ46" s="12"/>
      <c r="BK46" s="49"/>
      <c r="BL46" s="11"/>
      <c r="BM46" s="11"/>
      <c r="BN46" s="11"/>
      <c r="BO46" s="11"/>
      <c r="BP46" s="11"/>
      <c r="BQ46" s="12"/>
    </row>
    <row r="47" ht="22.5" customHeight="1">
      <c r="A47" s="35" t="s">
        <v>403</v>
      </c>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2"/>
    </row>
    <row r="48" ht="450.0" customHeight="1">
      <c r="A48" s="47">
        <v>31.0</v>
      </c>
      <c r="B48" s="49" t="s">
        <v>404</v>
      </c>
      <c r="C48" s="11"/>
      <c r="D48" s="12"/>
      <c r="E48" s="49" t="s">
        <v>405</v>
      </c>
      <c r="F48" s="11"/>
      <c r="G48" s="11"/>
      <c r="H48" s="11"/>
      <c r="I48" s="12"/>
      <c r="J48" s="49" t="s">
        <v>406</v>
      </c>
      <c r="K48" s="11"/>
      <c r="L48" s="11"/>
      <c r="M48" s="11"/>
      <c r="N48" s="11"/>
      <c r="O48" s="11"/>
      <c r="P48" s="12"/>
      <c r="Q48" s="49" t="s">
        <v>407</v>
      </c>
      <c r="R48" s="11"/>
      <c r="S48" s="11"/>
      <c r="T48" s="11"/>
      <c r="U48" s="11"/>
      <c r="V48" s="11"/>
      <c r="W48" s="12"/>
      <c r="X48" s="49" t="s">
        <v>408</v>
      </c>
      <c r="Y48" s="11"/>
      <c r="Z48" s="11"/>
      <c r="AA48" s="11"/>
      <c r="AB48" s="11"/>
      <c r="AC48" s="11"/>
      <c r="AD48" s="12"/>
      <c r="AE48" s="48" t="s">
        <v>275</v>
      </c>
      <c r="AF48" s="12"/>
      <c r="AG48" s="60" t="s">
        <v>57</v>
      </c>
      <c r="AH48" s="11"/>
      <c r="AI48" s="12"/>
      <c r="AJ48" s="61"/>
      <c r="AK48" s="11"/>
      <c r="AL48" s="12"/>
      <c r="AM48" s="60" t="s">
        <v>264</v>
      </c>
      <c r="AN48" s="11"/>
      <c r="AO48" s="12"/>
      <c r="AP48" s="62">
        <v>46192.0</v>
      </c>
      <c r="AQ48" s="11"/>
      <c r="AR48" s="12"/>
      <c r="AS48" s="48"/>
      <c r="AT48" s="11"/>
      <c r="AU48" s="12"/>
      <c r="AV48" s="48"/>
      <c r="AW48" s="11"/>
      <c r="AX48" s="12"/>
      <c r="AY48" s="48"/>
      <c r="AZ48" s="11"/>
      <c r="BA48" s="12"/>
      <c r="BB48" s="48"/>
      <c r="BC48" s="11"/>
      <c r="BD48" s="12"/>
      <c r="BE48" s="48"/>
      <c r="BF48" s="11"/>
      <c r="BG48" s="12"/>
      <c r="BH48" s="48"/>
      <c r="BI48" s="11"/>
      <c r="BJ48" s="12"/>
      <c r="BK48" s="49"/>
      <c r="BL48" s="11"/>
      <c r="BM48" s="11"/>
      <c r="BN48" s="11"/>
      <c r="BO48" s="11"/>
      <c r="BP48" s="11"/>
      <c r="BQ48" s="12"/>
    </row>
    <row r="49" ht="271.5" customHeight="1">
      <c r="A49" s="47">
        <v>32.0</v>
      </c>
      <c r="B49" s="49" t="s">
        <v>409</v>
      </c>
      <c r="C49" s="11"/>
      <c r="D49" s="12"/>
      <c r="E49" s="49" t="s">
        <v>410</v>
      </c>
      <c r="F49" s="11"/>
      <c r="G49" s="11"/>
      <c r="H49" s="11"/>
      <c r="I49" s="12"/>
      <c r="J49" s="49" t="s">
        <v>411</v>
      </c>
      <c r="K49" s="11"/>
      <c r="L49" s="11"/>
      <c r="M49" s="11"/>
      <c r="N49" s="11"/>
      <c r="O49" s="11"/>
      <c r="P49" s="12"/>
      <c r="Q49" s="49" t="s">
        <v>412</v>
      </c>
      <c r="R49" s="11"/>
      <c r="S49" s="11"/>
      <c r="T49" s="11"/>
      <c r="U49" s="11"/>
      <c r="V49" s="11"/>
      <c r="W49" s="12"/>
      <c r="X49" s="49" t="s">
        <v>413</v>
      </c>
      <c r="Y49" s="11"/>
      <c r="Z49" s="11"/>
      <c r="AA49" s="11"/>
      <c r="AB49" s="11"/>
      <c r="AC49" s="11"/>
      <c r="AD49" s="12"/>
      <c r="AE49" s="48" t="s">
        <v>275</v>
      </c>
      <c r="AF49" s="12"/>
      <c r="AG49" s="60" t="s">
        <v>57</v>
      </c>
      <c r="AH49" s="11"/>
      <c r="AI49" s="12"/>
      <c r="AJ49" s="61"/>
      <c r="AK49" s="11"/>
      <c r="AL49" s="12"/>
      <c r="AM49" s="60" t="s">
        <v>264</v>
      </c>
      <c r="AN49" s="11"/>
      <c r="AO49" s="12"/>
      <c r="AP49" s="62">
        <v>46192.0</v>
      </c>
      <c r="AQ49" s="11"/>
      <c r="AR49" s="12"/>
      <c r="AS49" s="48"/>
      <c r="AT49" s="11"/>
      <c r="AU49" s="12"/>
      <c r="AV49" s="48"/>
      <c r="AW49" s="11"/>
      <c r="AX49" s="12"/>
      <c r="AY49" s="48"/>
      <c r="AZ49" s="11"/>
      <c r="BA49" s="12"/>
      <c r="BB49" s="48"/>
      <c r="BC49" s="11"/>
      <c r="BD49" s="12"/>
      <c r="BE49" s="48"/>
      <c r="BF49" s="11"/>
      <c r="BG49" s="12"/>
      <c r="BH49" s="48"/>
      <c r="BI49" s="11"/>
      <c r="BJ49" s="12"/>
      <c r="BK49" s="49"/>
      <c r="BL49" s="11"/>
      <c r="BM49" s="11"/>
      <c r="BN49" s="11"/>
      <c r="BO49" s="11"/>
      <c r="BP49" s="11"/>
      <c r="BQ49" s="12"/>
    </row>
    <row r="50" ht="271.5" customHeight="1">
      <c r="A50" s="47">
        <v>33.0</v>
      </c>
      <c r="B50" s="49" t="s">
        <v>414</v>
      </c>
      <c r="C50" s="11"/>
      <c r="D50" s="12"/>
      <c r="E50" s="49" t="s">
        <v>415</v>
      </c>
      <c r="F50" s="11"/>
      <c r="G50" s="11"/>
      <c r="H50" s="11"/>
      <c r="I50" s="12"/>
      <c r="J50" s="49" t="s">
        <v>416</v>
      </c>
      <c r="K50" s="11"/>
      <c r="L50" s="11"/>
      <c r="M50" s="11"/>
      <c r="N50" s="11"/>
      <c r="O50" s="11"/>
      <c r="P50" s="12"/>
      <c r="Q50" s="49" t="s">
        <v>417</v>
      </c>
      <c r="R50" s="11"/>
      <c r="S50" s="11"/>
      <c r="T50" s="11"/>
      <c r="U50" s="11"/>
      <c r="V50" s="11"/>
      <c r="W50" s="12"/>
      <c r="X50" s="49" t="s">
        <v>418</v>
      </c>
      <c r="Y50" s="11"/>
      <c r="Z50" s="11"/>
      <c r="AA50" s="11"/>
      <c r="AB50" s="11"/>
      <c r="AC50" s="11"/>
      <c r="AD50" s="12"/>
      <c r="AE50" s="48" t="s">
        <v>275</v>
      </c>
      <c r="AF50" s="12"/>
      <c r="AG50" s="60" t="s">
        <v>57</v>
      </c>
      <c r="AH50" s="11"/>
      <c r="AI50" s="12"/>
      <c r="AJ50" s="61"/>
      <c r="AK50" s="11"/>
      <c r="AL50" s="12"/>
      <c r="AM50" s="60" t="s">
        <v>264</v>
      </c>
      <c r="AN50" s="11"/>
      <c r="AO50" s="12"/>
      <c r="AP50" s="62">
        <v>46192.0</v>
      </c>
      <c r="AQ50" s="11"/>
      <c r="AR50" s="12"/>
      <c r="AS50" s="48"/>
      <c r="AT50" s="11"/>
      <c r="AU50" s="12"/>
      <c r="AV50" s="48"/>
      <c r="AW50" s="11"/>
      <c r="AX50" s="12"/>
      <c r="AY50" s="48"/>
      <c r="AZ50" s="11"/>
      <c r="BA50" s="12"/>
      <c r="BB50" s="48"/>
      <c r="BC50" s="11"/>
      <c r="BD50" s="12"/>
      <c r="BE50" s="48"/>
      <c r="BF50" s="11"/>
      <c r="BG50" s="12"/>
      <c r="BH50" s="48"/>
      <c r="BI50" s="11"/>
      <c r="BJ50" s="12"/>
      <c r="BK50" s="49"/>
      <c r="BL50" s="11"/>
      <c r="BM50" s="11"/>
      <c r="BN50" s="11"/>
      <c r="BO50" s="11"/>
      <c r="BP50" s="11"/>
      <c r="BQ50" s="12"/>
    </row>
    <row r="51" ht="240.0" customHeight="1">
      <c r="A51" s="47">
        <v>34.0</v>
      </c>
      <c r="B51" s="49" t="s">
        <v>419</v>
      </c>
      <c r="C51" s="11"/>
      <c r="D51" s="12"/>
      <c r="E51" s="49" t="s">
        <v>420</v>
      </c>
      <c r="F51" s="11"/>
      <c r="G51" s="11"/>
      <c r="H51" s="11"/>
      <c r="I51" s="12"/>
      <c r="J51" s="49" t="s">
        <v>421</v>
      </c>
      <c r="K51" s="11"/>
      <c r="L51" s="11"/>
      <c r="M51" s="11"/>
      <c r="N51" s="11"/>
      <c r="O51" s="11"/>
      <c r="P51" s="12"/>
      <c r="Q51" s="49" t="s">
        <v>422</v>
      </c>
      <c r="R51" s="11"/>
      <c r="S51" s="11"/>
      <c r="T51" s="11"/>
      <c r="U51" s="11"/>
      <c r="V51" s="11"/>
      <c r="W51" s="12"/>
      <c r="X51" s="49" t="s">
        <v>423</v>
      </c>
      <c r="Y51" s="11"/>
      <c r="Z51" s="11"/>
      <c r="AA51" s="11"/>
      <c r="AB51" s="11"/>
      <c r="AC51" s="11"/>
      <c r="AD51" s="12"/>
      <c r="AE51" s="48" t="s">
        <v>207</v>
      </c>
      <c r="AF51" s="12"/>
      <c r="AG51" s="60" t="s">
        <v>57</v>
      </c>
      <c r="AH51" s="11"/>
      <c r="AI51" s="12"/>
      <c r="AJ51" s="61"/>
      <c r="AK51" s="11"/>
      <c r="AL51" s="12"/>
      <c r="AM51" s="60" t="s">
        <v>264</v>
      </c>
      <c r="AN51" s="11"/>
      <c r="AO51" s="12"/>
      <c r="AP51" s="62">
        <v>46192.0</v>
      </c>
      <c r="AQ51" s="11"/>
      <c r="AR51" s="12"/>
      <c r="AS51" s="48"/>
      <c r="AT51" s="11"/>
      <c r="AU51" s="12"/>
      <c r="AV51" s="48"/>
      <c r="AW51" s="11"/>
      <c r="AX51" s="12"/>
      <c r="AY51" s="48"/>
      <c r="AZ51" s="11"/>
      <c r="BA51" s="12"/>
      <c r="BB51" s="48"/>
      <c r="BC51" s="11"/>
      <c r="BD51" s="12"/>
      <c r="BE51" s="48"/>
      <c r="BF51" s="11"/>
      <c r="BG51" s="12"/>
      <c r="BH51" s="48"/>
      <c r="BI51" s="11"/>
      <c r="BJ51" s="12"/>
      <c r="BK51" s="49"/>
      <c r="BL51" s="11"/>
      <c r="BM51" s="11"/>
      <c r="BN51" s="11"/>
      <c r="BO51" s="11"/>
      <c r="BP51" s="11"/>
      <c r="BQ51" s="12"/>
    </row>
    <row r="52" ht="240.0" customHeight="1">
      <c r="A52" s="47">
        <v>35.0</v>
      </c>
      <c r="B52" s="49" t="s">
        <v>424</v>
      </c>
      <c r="C52" s="11"/>
      <c r="D52" s="12"/>
      <c r="E52" s="49" t="s">
        <v>425</v>
      </c>
      <c r="F52" s="11"/>
      <c r="G52" s="11"/>
      <c r="H52" s="11"/>
      <c r="I52" s="12"/>
      <c r="J52" s="49" t="s">
        <v>426</v>
      </c>
      <c r="K52" s="11"/>
      <c r="L52" s="11"/>
      <c r="M52" s="11"/>
      <c r="N52" s="11"/>
      <c r="O52" s="11"/>
      <c r="P52" s="12"/>
      <c r="Q52" s="49" t="s">
        <v>427</v>
      </c>
      <c r="R52" s="11"/>
      <c r="S52" s="11"/>
      <c r="T52" s="11"/>
      <c r="U52" s="11"/>
      <c r="V52" s="11"/>
      <c r="W52" s="12"/>
      <c r="X52" s="49" t="s">
        <v>428</v>
      </c>
      <c r="Y52" s="11"/>
      <c r="Z52" s="11"/>
      <c r="AA52" s="11"/>
      <c r="AB52" s="11"/>
      <c r="AC52" s="11"/>
      <c r="AD52" s="12"/>
      <c r="AE52" s="48" t="s">
        <v>207</v>
      </c>
      <c r="AF52" s="12"/>
      <c r="AG52" s="58" t="s">
        <v>59</v>
      </c>
      <c r="AH52" s="11"/>
      <c r="AI52" s="12"/>
      <c r="AJ52" s="48"/>
      <c r="AK52" s="11"/>
      <c r="AL52" s="12"/>
      <c r="AM52" s="48"/>
      <c r="AN52" s="11"/>
      <c r="AO52" s="12"/>
      <c r="AP52" s="48"/>
      <c r="AQ52" s="11"/>
      <c r="AR52" s="12"/>
      <c r="AS52" s="48"/>
      <c r="AT52" s="11"/>
      <c r="AU52" s="12"/>
      <c r="AV52" s="48"/>
      <c r="AW52" s="11"/>
      <c r="AX52" s="12"/>
      <c r="AY52" s="48"/>
      <c r="AZ52" s="11"/>
      <c r="BA52" s="12"/>
      <c r="BB52" s="48"/>
      <c r="BC52" s="11"/>
      <c r="BD52" s="12"/>
      <c r="BE52" s="48"/>
      <c r="BF52" s="11"/>
      <c r="BG52" s="12"/>
      <c r="BH52" s="48"/>
      <c r="BI52" s="11"/>
      <c r="BJ52" s="12"/>
      <c r="BK52" s="49"/>
      <c r="BL52" s="11"/>
      <c r="BM52" s="11"/>
      <c r="BN52" s="11"/>
      <c r="BO52" s="11"/>
      <c r="BP52" s="11"/>
      <c r="BQ52" s="12"/>
    </row>
    <row r="53" ht="240.0" customHeight="1">
      <c r="A53" s="47">
        <v>36.0</v>
      </c>
      <c r="B53" s="49" t="s">
        <v>429</v>
      </c>
      <c r="C53" s="11"/>
      <c r="D53" s="12"/>
      <c r="E53" s="49" t="s">
        <v>430</v>
      </c>
      <c r="F53" s="11"/>
      <c r="G53" s="11"/>
      <c r="H53" s="11"/>
      <c r="I53" s="12"/>
      <c r="J53" s="49" t="s">
        <v>431</v>
      </c>
      <c r="K53" s="11"/>
      <c r="L53" s="11"/>
      <c r="M53" s="11"/>
      <c r="N53" s="11"/>
      <c r="O53" s="11"/>
      <c r="P53" s="12"/>
      <c r="Q53" s="49" t="s">
        <v>432</v>
      </c>
      <c r="R53" s="11"/>
      <c r="S53" s="11"/>
      <c r="T53" s="11"/>
      <c r="U53" s="11"/>
      <c r="V53" s="11"/>
      <c r="W53" s="12"/>
      <c r="X53" s="49" t="s">
        <v>433</v>
      </c>
      <c r="Y53" s="11"/>
      <c r="Z53" s="11"/>
      <c r="AA53" s="11"/>
      <c r="AB53" s="11"/>
      <c r="AC53" s="11"/>
      <c r="AD53" s="12"/>
      <c r="AE53" s="48" t="s">
        <v>207</v>
      </c>
      <c r="AF53" s="12"/>
      <c r="AG53" s="60" t="s">
        <v>57</v>
      </c>
      <c r="AH53" s="11"/>
      <c r="AI53" s="12"/>
      <c r="AJ53" s="61"/>
      <c r="AK53" s="11"/>
      <c r="AL53" s="12"/>
      <c r="AM53" s="60" t="s">
        <v>264</v>
      </c>
      <c r="AN53" s="11"/>
      <c r="AO53" s="12"/>
      <c r="AP53" s="62">
        <v>46192.0</v>
      </c>
      <c r="AQ53" s="11"/>
      <c r="AR53" s="12"/>
      <c r="AS53" s="48"/>
      <c r="AT53" s="11"/>
      <c r="AU53" s="12"/>
      <c r="AV53" s="48"/>
      <c r="AW53" s="11"/>
      <c r="AX53" s="12"/>
      <c r="AY53" s="48"/>
      <c r="AZ53" s="11"/>
      <c r="BA53" s="12"/>
      <c r="BB53" s="48"/>
      <c r="BC53" s="11"/>
      <c r="BD53" s="12"/>
      <c r="BE53" s="48"/>
      <c r="BF53" s="11"/>
      <c r="BG53" s="12"/>
      <c r="BH53" s="48"/>
      <c r="BI53" s="11"/>
      <c r="BJ53" s="12"/>
      <c r="BK53" s="49"/>
      <c r="BL53" s="11"/>
      <c r="BM53" s="11"/>
      <c r="BN53" s="11"/>
      <c r="BO53" s="11"/>
      <c r="BP53" s="11"/>
      <c r="BQ53" s="12"/>
    </row>
    <row r="54" ht="207.75" customHeight="1">
      <c r="A54" s="47">
        <v>37.0</v>
      </c>
      <c r="B54" s="49" t="s">
        <v>434</v>
      </c>
      <c r="C54" s="11"/>
      <c r="D54" s="12"/>
      <c r="E54" s="49" t="s">
        <v>435</v>
      </c>
      <c r="F54" s="11"/>
      <c r="G54" s="11"/>
      <c r="H54" s="11"/>
      <c r="I54" s="12"/>
      <c r="J54" s="49" t="s">
        <v>323</v>
      </c>
      <c r="K54" s="11"/>
      <c r="L54" s="11"/>
      <c r="M54" s="11"/>
      <c r="N54" s="11"/>
      <c r="O54" s="11"/>
      <c r="P54" s="12"/>
      <c r="Q54" s="49" t="s">
        <v>436</v>
      </c>
      <c r="R54" s="11"/>
      <c r="S54" s="11"/>
      <c r="T54" s="11"/>
      <c r="U54" s="11"/>
      <c r="V54" s="11"/>
      <c r="W54" s="12"/>
      <c r="X54" s="49" t="s">
        <v>437</v>
      </c>
      <c r="Y54" s="11"/>
      <c r="Z54" s="11"/>
      <c r="AA54" s="11"/>
      <c r="AB54" s="11"/>
      <c r="AC54" s="11"/>
      <c r="AD54" s="12"/>
      <c r="AE54" s="48" t="s">
        <v>207</v>
      </c>
      <c r="AF54" s="12"/>
      <c r="AG54" s="60" t="s">
        <v>57</v>
      </c>
      <c r="AH54" s="11"/>
      <c r="AI54" s="12"/>
      <c r="AJ54" s="61"/>
      <c r="AK54" s="11"/>
      <c r="AL54" s="12"/>
      <c r="AM54" s="60" t="s">
        <v>264</v>
      </c>
      <c r="AN54" s="11"/>
      <c r="AO54" s="12"/>
      <c r="AP54" s="62">
        <v>46192.0</v>
      </c>
      <c r="AQ54" s="11"/>
      <c r="AR54" s="12"/>
      <c r="AS54" s="48"/>
      <c r="AT54" s="11"/>
      <c r="AU54" s="12"/>
      <c r="AV54" s="48"/>
      <c r="AW54" s="11"/>
      <c r="AX54" s="12"/>
      <c r="AY54" s="48"/>
      <c r="AZ54" s="11"/>
      <c r="BA54" s="12"/>
      <c r="BB54" s="48"/>
      <c r="BC54" s="11"/>
      <c r="BD54" s="12"/>
      <c r="BE54" s="48"/>
      <c r="BF54" s="11"/>
      <c r="BG54" s="12"/>
      <c r="BH54" s="48"/>
      <c r="BI54" s="11"/>
      <c r="BJ54" s="12"/>
      <c r="BK54" s="49"/>
      <c r="BL54" s="11"/>
      <c r="BM54" s="11"/>
      <c r="BN54" s="11"/>
      <c r="BO54" s="11"/>
      <c r="BP54" s="11"/>
      <c r="BQ54" s="12"/>
    </row>
    <row r="55" ht="351.75" customHeight="1">
      <c r="A55" s="47">
        <v>38.0</v>
      </c>
      <c r="B55" s="49" t="s">
        <v>438</v>
      </c>
      <c r="C55" s="11"/>
      <c r="D55" s="12"/>
      <c r="E55" s="49" t="s">
        <v>439</v>
      </c>
      <c r="F55" s="11"/>
      <c r="G55" s="11"/>
      <c r="H55" s="11"/>
      <c r="I55" s="12"/>
      <c r="J55" s="49" t="s">
        <v>440</v>
      </c>
      <c r="K55" s="11"/>
      <c r="L55" s="11"/>
      <c r="M55" s="11"/>
      <c r="N55" s="11"/>
      <c r="O55" s="11"/>
      <c r="P55" s="12"/>
      <c r="Q55" s="49" t="s">
        <v>441</v>
      </c>
      <c r="R55" s="11"/>
      <c r="S55" s="11"/>
      <c r="T55" s="11"/>
      <c r="U55" s="11"/>
      <c r="V55" s="11"/>
      <c r="W55" s="12"/>
      <c r="X55" s="49" t="s">
        <v>442</v>
      </c>
      <c r="Y55" s="11"/>
      <c r="Z55" s="11"/>
      <c r="AA55" s="11"/>
      <c r="AB55" s="11"/>
      <c r="AC55" s="11"/>
      <c r="AD55" s="12"/>
      <c r="AE55" s="48" t="s">
        <v>207</v>
      </c>
      <c r="AF55" s="12"/>
      <c r="AG55" s="60" t="s">
        <v>57</v>
      </c>
      <c r="AH55" s="11"/>
      <c r="AI55" s="12"/>
      <c r="AJ55" s="61"/>
      <c r="AK55" s="11"/>
      <c r="AL55" s="12"/>
      <c r="AM55" s="60" t="s">
        <v>264</v>
      </c>
      <c r="AN55" s="11"/>
      <c r="AO55" s="12"/>
      <c r="AP55" s="62">
        <v>46192.0</v>
      </c>
      <c r="AQ55" s="11"/>
      <c r="AR55" s="12"/>
      <c r="AS55" s="48"/>
      <c r="AT55" s="11"/>
      <c r="AU55" s="12"/>
      <c r="AV55" s="48"/>
      <c r="AW55" s="11"/>
      <c r="AX55" s="12"/>
      <c r="AY55" s="48"/>
      <c r="AZ55" s="11"/>
      <c r="BA55" s="12"/>
      <c r="BB55" s="48"/>
      <c r="BC55" s="11"/>
      <c r="BD55" s="12"/>
      <c r="BE55" s="48"/>
      <c r="BF55" s="11"/>
      <c r="BG55" s="12"/>
      <c r="BH55" s="48"/>
      <c r="BI55" s="11"/>
      <c r="BJ55" s="12"/>
      <c r="BK55" s="49"/>
      <c r="BL55" s="11"/>
      <c r="BM55" s="11"/>
      <c r="BN55" s="11"/>
      <c r="BO55" s="11"/>
      <c r="BP55" s="11"/>
      <c r="BQ55" s="12"/>
    </row>
    <row r="56" ht="288.0" customHeight="1">
      <c r="A56" s="47">
        <v>39.0</v>
      </c>
      <c r="B56" s="49" t="s">
        <v>443</v>
      </c>
      <c r="C56" s="11"/>
      <c r="D56" s="12"/>
      <c r="E56" s="49" t="s">
        <v>444</v>
      </c>
      <c r="F56" s="11"/>
      <c r="G56" s="11"/>
      <c r="H56" s="11"/>
      <c r="I56" s="12"/>
      <c r="J56" s="49" t="s">
        <v>445</v>
      </c>
      <c r="K56" s="11"/>
      <c r="L56" s="11"/>
      <c r="M56" s="11"/>
      <c r="N56" s="11"/>
      <c r="O56" s="11"/>
      <c r="P56" s="12"/>
      <c r="Q56" s="49" t="s">
        <v>446</v>
      </c>
      <c r="R56" s="11"/>
      <c r="S56" s="11"/>
      <c r="T56" s="11"/>
      <c r="U56" s="11"/>
      <c r="V56" s="11"/>
      <c r="W56" s="12"/>
      <c r="X56" s="49" t="s">
        <v>447</v>
      </c>
      <c r="Y56" s="11"/>
      <c r="Z56" s="11"/>
      <c r="AA56" s="11"/>
      <c r="AB56" s="11"/>
      <c r="AC56" s="11"/>
      <c r="AD56" s="12"/>
      <c r="AE56" s="48" t="s">
        <v>207</v>
      </c>
      <c r="AF56" s="12"/>
      <c r="AG56" s="60" t="s">
        <v>57</v>
      </c>
      <c r="AH56" s="11"/>
      <c r="AI56" s="12"/>
      <c r="AJ56" s="61"/>
      <c r="AK56" s="11"/>
      <c r="AL56" s="12"/>
      <c r="AM56" s="60" t="s">
        <v>264</v>
      </c>
      <c r="AN56" s="11"/>
      <c r="AO56" s="12"/>
      <c r="AP56" s="62">
        <v>46192.0</v>
      </c>
      <c r="AQ56" s="11"/>
      <c r="AR56" s="12"/>
      <c r="AS56" s="48"/>
      <c r="AT56" s="11"/>
      <c r="AU56" s="12"/>
      <c r="AV56" s="48"/>
      <c r="AW56" s="11"/>
      <c r="AX56" s="12"/>
      <c r="AY56" s="48"/>
      <c r="AZ56" s="11"/>
      <c r="BA56" s="12"/>
      <c r="BB56" s="48"/>
      <c r="BC56" s="11"/>
      <c r="BD56" s="12"/>
      <c r="BE56" s="48"/>
      <c r="BF56" s="11"/>
      <c r="BG56" s="12"/>
      <c r="BH56" s="48"/>
      <c r="BI56" s="11"/>
      <c r="BJ56" s="12"/>
      <c r="BK56" s="49"/>
      <c r="BL56" s="11"/>
      <c r="BM56" s="11"/>
      <c r="BN56" s="11"/>
      <c r="BO56" s="11"/>
      <c r="BP56" s="11"/>
      <c r="BQ56" s="12"/>
    </row>
    <row r="57" ht="22.5" customHeight="1">
      <c r="A57" s="35" t="s">
        <v>448</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2"/>
    </row>
    <row r="58" ht="223.5" customHeight="1">
      <c r="A58" s="47">
        <v>40.0</v>
      </c>
      <c r="B58" s="49" t="s">
        <v>449</v>
      </c>
      <c r="C58" s="11"/>
      <c r="D58" s="12"/>
      <c r="E58" s="49" t="s">
        <v>450</v>
      </c>
      <c r="F58" s="11"/>
      <c r="G58" s="11"/>
      <c r="H58" s="11"/>
      <c r="I58" s="12"/>
      <c r="J58" s="49" t="s">
        <v>451</v>
      </c>
      <c r="K58" s="11"/>
      <c r="L58" s="11"/>
      <c r="M58" s="11"/>
      <c r="N58" s="11"/>
      <c r="O58" s="11"/>
      <c r="P58" s="12"/>
      <c r="Q58" s="49" t="s">
        <v>452</v>
      </c>
      <c r="R58" s="11"/>
      <c r="S58" s="11"/>
      <c r="T58" s="11"/>
      <c r="U58" s="11"/>
      <c r="V58" s="11"/>
      <c r="W58" s="12"/>
      <c r="X58" s="49" t="s">
        <v>453</v>
      </c>
      <c r="Y58" s="11"/>
      <c r="Z58" s="11"/>
      <c r="AA58" s="11"/>
      <c r="AB58" s="11"/>
      <c r="AC58" s="11"/>
      <c r="AD58" s="12"/>
      <c r="AE58" s="48" t="s">
        <v>207</v>
      </c>
      <c r="AF58" s="12"/>
      <c r="AG58" s="60" t="s">
        <v>57</v>
      </c>
      <c r="AH58" s="11"/>
      <c r="AI58" s="12"/>
      <c r="AJ58" s="61"/>
      <c r="AK58" s="11"/>
      <c r="AL58" s="12"/>
      <c r="AM58" s="60" t="s">
        <v>264</v>
      </c>
      <c r="AN58" s="11"/>
      <c r="AO58" s="12"/>
      <c r="AP58" s="62">
        <v>46192.0</v>
      </c>
      <c r="AQ58" s="11"/>
      <c r="AR58" s="12"/>
      <c r="AS58" s="48"/>
      <c r="AT58" s="11"/>
      <c r="AU58" s="12"/>
      <c r="AV58" s="48"/>
      <c r="AW58" s="11"/>
      <c r="AX58" s="12"/>
      <c r="AY58" s="48"/>
      <c r="AZ58" s="11"/>
      <c r="BA58" s="12"/>
      <c r="BB58" s="48"/>
      <c r="BC58" s="11"/>
      <c r="BD58" s="12"/>
      <c r="BE58" s="48"/>
      <c r="BF58" s="11"/>
      <c r="BG58" s="12"/>
      <c r="BH58" s="48"/>
      <c r="BI58" s="11"/>
      <c r="BJ58" s="12"/>
      <c r="BK58" s="49"/>
      <c r="BL58" s="11"/>
      <c r="BM58" s="11"/>
      <c r="BN58" s="11"/>
      <c r="BO58" s="11"/>
      <c r="BP58" s="11"/>
      <c r="BQ58" s="12"/>
    </row>
    <row r="59" ht="207.75" customHeight="1">
      <c r="A59" s="47">
        <v>41.0</v>
      </c>
      <c r="B59" s="49" t="s">
        <v>454</v>
      </c>
      <c r="C59" s="11"/>
      <c r="D59" s="12"/>
      <c r="E59" s="49" t="s">
        <v>455</v>
      </c>
      <c r="F59" s="11"/>
      <c r="G59" s="11"/>
      <c r="H59" s="11"/>
      <c r="I59" s="12"/>
      <c r="J59" s="49" t="s">
        <v>323</v>
      </c>
      <c r="K59" s="11"/>
      <c r="L59" s="11"/>
      <c r="M59" s="11"/>
      <c r="N59" s="11"/>
      <c r="O59" s="11"/>
      <c r="P59" s="12"/>
      <c r="Q59" s="49" t="s">
        <v>456</v>
      </c>
      <c r="R59" s="11"/>
      <c r="S59" s="11"/>
      <c r="T59" s="11"/>
      <c r="U59" s="11"/>
      <c r="V59" s="11"/>
      <c r="W59" s="12"/>
      <c r="X59" s="49" t="s">
        <v>457</v>
      </c>
      <c r="Y59" s="11"/>
      <c r="Z59" s="11"/>
      <c r="AA59" s="11"/>
      <c r="AB59" s="11"/>
      <c r="AC59" s="11"/>
      <c r="AD59" s="12"/>
      <c r="AE59" s="48" t="s">
        <v>207</v>
      </c>
      <c r="AF59" s="12"/>
      <c r="AG59" s="60" t="s">
        <v>57</v>
      </c>
      <c r="AH59" s="11"/>
      <c r="AI59" s="12"/>
      <c r="AJ59" s="61"/>
      <c r="AK59" s="11"/>
      <c r="AL59" s="12"/>
      <c r="AM59" s="60" t="s">
        <v>264</v>
      </c>
      <c r="AN59" s="11"/>
      <c r="AO59" s="12"/>
      <c r="AP59" s="62">
        <v>46192.0</v>
      </c>
      <c r="AQ59" s="11"/>
      <c r="AR59" s="12"/>
      <c r="AS59" s="48"/>
      <c r="AT59" s="11"/>
      <c r="AU59" s="12"/>
      <c r="AV59" s="48"/>
      <c r="AW59" s="11"/>
      <c r="AX59" s="12"/>
      <c r="AY59" s="48"/>
      <c r="AZ59" s="11"/>
      <c r="BA59" s="12"/>
      <c r="BB59" s="48"/>
      <c r="BC59" s="11"/>
      <c r="BD59" s="12"/>
      <c r="BE59" s="48"/>
      <c r="BF59" s="11"/>
      <c r="BG59" s="12"/>
      <c r="BH59" s="48"/>
      <c r="BI59" s="11"/>
      <c r="BJ59" s="12"/>
      <c r="BK59" s="49"/>
      <c r="BL59" s="11"/>
      <c r="BM59" s="11"/>
      <c r="BN59" s="11"/>
      <c r="BO59" s="11"/>
      <c r="BP59" s="11"/>
      <c r="BQ59" s="12"/>
    </row>
    <row r="60" ht="255.75" customHeight="1">
      <c r="A60" s="47">
        <v>42.0</v>
      </c>
      <c r="B60" s="49" t="s">
        <v>458</v>
      </c>
      <c r="C60" s="11"/>
      <c r="D60" s="12"/>
      <c r="E60" s="49" t="s">
        <v>459</v>
      </c>
      <c r="F60" s="11"/>
      <c r="G60" s="11"/>
      <c r="H60" s="11"/>
      <c r="I60" s="12"/>
      <c r="J60" s="49" t="s">
        <v>289</v>
      </c>
      <c r="K60" s="11"/>
      <c r="L60" s="11"/>
      <c r="M60" s="11"/>
      <c r="N60" s="11"/>
      <c r="O60" s="11"/>
      <c r="P60" s="12"/>
      <c r="Q60" s="49" t="s">
        <v>460</v>
      </c>
      <c r="R60" s="11"/>
      <c r="S60" s="11"/>
      <c r="T60" s="11"/>
      <c r="U60" s="11"/>
      <c r="V60" s="11"/>
      <c r="W60" s="12"/>
      <c r="X60" s="49" t="s">
        <v>461</v>
      </c>
      <c r="Y60" s="11"/>
      <c r="Z60" s="11"/>
      <c r="AA60" s="11"/>
      <c r="AB60" s="11"/>
      <c r="AC60" s="11"/>
      <c r="AD60" s="12"/>
      <c r="AE60" s="48" t="s">
        <v>207</v>
      </c>
      <c r="AF60" s="12"/>
      <c r="AG60" s="60" t="s">
        <v>57</v>
      </c>
      <c r="AH60" s="11"/>
      <c r="AI60" s="12"/>
      <c r="AJ60" s="61"/>
      <c r="AK60" s="11"/>
      <c r="AL60" s="12"/>
      <c r="AM60" s="60" t="s">
        <v>264</v>
      </c>
      <c r="AN60" s="11"/>
      <c r="AO60" s="12"/>
      <c r="AP60" s="62">
        <v>46192.0</v>
      </c>
      <c r="AQ60" s="11"/>
      <c r="AR60" s="12"/>
      <c r="AS60" s="48"/>
      <c r="AT60" s="11"/>
      <c r="AU60" s="12"/>
      <c r="AV60" s="48"/>
      <c r="AW60" s="11"/>
      <c r="AX60" s="12"/>
      <c r="AY60" s="48"/>
      <c r="AZ60" s="11"/>
      <c r="BA60" s="12"/>
      <c r="BB60" s="48"/>
      <c r="BC60" s="11"/>
      <c r="BD60" s="12"/>
      <c r="BE60" s="48"/>
      <c r="BF60" s="11"/>
      <c r="BG60" s="12"/>
      <c r="BH60" s="48"/>
      <c r="BI60" s="11"/>
      <c r="BJ60" s="12"/>
      <c r="BK60" s="49"/>
      <c r="BL60" s="11"/>
      <c r="BM60" s="11"/>
      <c r="BN60" s="11"/>
      <c r="BO60" s="11"/>
      <c r="BP60" s="11"/>
      <c r="BQ60" s="12"/>
    </row>
    <row r="61" ht="207.75" customHeight="1">
      <c r="A61" s="47">
        <v>43.0</v>
      </c>
      <c r="B61" s="49" t="s">
        <v>462</v>
      </c>
      <c r="C61" s="11"/>
      <c r="D61" s="12"/>
      <c r="E61" s="49" t="s">
        <v>463</v>
      </c>
      <c r="F61" s="11"/>
      <c r="G61" s="11"/>
      <c r="H61" s="11"/>
      <c r="I61" s="12"/>
      <c r="J61" s="49" t="s">
        <v>323</v>
      </c>
      <c r="K61" s="11"/>
      <c r="L61" s="11"/>
      <c r="M61" s="11"/>
      <c r="N61" s="11"/>
      <c r="O61" s="11"/>
      <c r="P61" s="12"/>
      <c r="Q61" s="49" t="s">
        <v>464</v>
      </c>
      <c r="R61" s="11"/>
      <c r="S61" s="11"/>
      <c r="T61" s="11"/>
      <c r="U61" s="11"/>
      <c r="V61" s="11"/>
      <c r="W61" s="12"/>
      <c r="X61" s="49" t="s">
        <v>465</v>
      </c>
      <c r="Y61" s="11"/>
      <c r="Z61" s="11"/>
      <c r="AA61" s="11"/>
      <c r="AB61" s="11"/>
      <c r="AC61" s="11"/>
      <c r="AD61" s="12"/>
      <c r="AE61" s="48" t="s">
        <v>207</v>
      </c>
      <c r="AF61" s="12"/>
      <c r="AG61" s="60" t="s">
        <v>57</v>
      </c>
      <c r="AH61" s="11"/>
      <c r="AI61" s="12"/>
      <c r="AJ61" s="61"/>
      <c r="AK61" s="11"/>
      <c r="AL61" s="12"/>
      <c r="AM61" s="60" t="s">
        <v>264</v>
      </c>
      <c r="AN61" s="11"/>
      <c r="AO61" s="12"/>
      <c r="AP61" s="62">
        <v>46192.0</v>
      </c>
      <c r="AQ61" s="11"/>
      <c r="AR61" s="12"/>
      <c r="AS61" s="48"/>
      <c r="AT61" s="11"/>
      <c r="AU61" s="12"/>
      <c r="AV61" s="48"/>
      <c r="AW61" s="11"/>
      <c r="AX61" s="12"/>
      <c r="AY61" s="48"/>
      <c r="AZ61" s="11"/>
      <c r="BA61" s="12"/>
      <c r="BB61" s="48"/>
      <c r="BC61" s="11"/>
      <c r="BD61" s="12"/>
      <c r="BE61" s="48"/>
      <c r="BF61" s="11"/>
      <c r="BG61" s="12"/>
      <c r="BH61" s="48"/>
      <c r="BI61" s="11"/>
      <c r="BJ61" s="12"/>
      <c r="BK61" s="49"/>
      <c r="BL61" s="11"/>
      <c r="BM61" s="11"/>
      <c r="BN61" s="11"/>
      <c r="BO61" s="11"/>
      <c r="BP61" s="11"/>
      <c r="BQ61" s="12"/>
    </row>
    <row r="62" ht="240.0" customHeight="1">
      <c r="A62" s="47">
        <v>44.0</v>
      </c>
      <c r="B62" s="49" t="s">
        <v>466</v>
      </c>
      <c r="C62" s="11"/>
      <c r="D62" s="12"/>
      <c r="E62" s="49" t="s">
        <v>467</v>
      </c>
      <c r="F62" s="11"/>
      <c r="G62" s="11"/>
      <c r="H62" s="11"/>
      <c r="I62" s="12"/>
      <c r="J62" s="49" t="s">
        <v>468</v>
      </c>
      <c r="K62" s="11"/>
      <c r="L62" s="11"/>
      <c r="M62" s="11"/>
      <c r="N62" s="11"/>
      <c r="O62" s="11"/>
      <c r="P62" s="12"/>
      <c r="Q62" s="49" t="s">
        <v>469</v>
      </c>
      <c r="R62" s="11"/>
      <c r="S62" s="11"/>
      <c r="T62" s="11"/>
      <c r="U62" s="11"/>
      <c r="V62" s="11"/>
      <c r="W62" s="12"/>
      <c r="X62" s="49" t="s">
        <v>470</v>
      </c>
      <c r="Y62" s="11"/>
      <c r="Z62" s="11"/>
      <c r="AA62" s="11"/>
      <c r="AB62" s="11"/>
      <c r="AC62" s="11"/>
      <c r="AD62" s="12"/>
      <c r="AE62" s="48" t="s">
        <v>207</v>
      </c>
      <c r="AF62" s="12"/>
      <c r="AG62" s="58" t="s">
        <v>59</v>
      </c>
      <c r="AH62" s="11"/>
      <c r="AI62" s="12"/>
      <c r="AJ62" s="48"/>
      <c r="AK62" s="11"/>
      <c r="AL62" s="12"/>
      <c r="AM62" s="48"/>
      <c r="AN62" s="11"/>
      <c r="AO62" s="12"/>
      <c r="AP62" s="48"/>
      <c r="AQ62" s="11"/>
      <c r="AR62" s="12"/>
      <c r="AS62" s="48"/>
      <c r="AT62" s="11"/>
      <c r="AU62" s="12"/>
      <c r="AV62" s="48"/>
      <c r="AW62" s="11"/>
      <c r="AX62" s="12"/>
      <c r="AY62" s="48"/>
      <c r="AZ62" s="11"/>
      <c r="BA62" s="12"/>
      <c r="BB62" s="48"/>
      <c r="BC62" s="11"/>
      <c r="BD62" s="12"/>
      <c r="BE62" s="48"/>
      <c r="BF62" s="11"/>
      <c r="BG62" s="12"/>
      <c r="BH62" s="48"/>
      <c r="BI62" s="11"/>
      <c r="BJ62" s="12"/>
      <c r="BK62" s="49"/>
      <c r="BL62" s="11"/>
      <c r="BM62" s="11"/>
      <c r="BN62" s="11"/>
      <c r="BO62" s="11"/>
      <c r="BP62" s="11"/>
      <c r="BQ62" s="12"/>
    </row>
    <row r="63" ht="207.75" customHeight="1">
      <c r="A63" s="47">
        <v>45.0</v>
      </c>
      <c r="B63" s="49" t="s">
        <v>471</v>
      </c>
      <c r="C63" s="11"/>
      <c r="D63" s="12"/>
      <c r="E63" s="49" t="s">
        <v>472</v>
      </c>
      <c r="F63" s="11"/>
      <c r="G63" s="11"/>
      <c r="H63" s="11"/>
      <c r="I63" s="12"/>
      <c r="J63" s="49" t="s">
        <v>473</v>
      </c>
      <c r="K63" s="11"/>
      <c r="L63" s="11"/>
      <c r="M63" s="11"/>
      <c r="N63" s="11"/>
      <c r="O63" s="11"/>
      <c r="P63" s="12"/>
      <c r="Q63" s="49" t="s">
        <v>474</v>
      </c>
      <c r="R63" s="11"/>
      <c r="S63" s="11"/>
      <c r="T63" s="11"/>
      <c r="U63" s="11"/>
      <c r="V63" s="11"/>
      <c r="W63" s="12"/>
      <c r="X63" s="49" t="s">
        <v>475</v>
      </c>
      <c r="Y63" s="11"/>
      <c r="Z63" s="11"/>
      <c r="AA63" s="11"/>
      <c r="AB63" s="11"/>
      <c r="AC63" s="11"/>
      <c r="AD63" s="12"/>
      <c r="AE63" s="48" t="s">
        <v>207</v>
      </c>
      <c r="AF63" s="12"/>
      <c r="AG63" s="60" t="s">
        <v>57</v>
      </c>
      <c r="AH63" s="11"/>
      <c r="AI63" s="12"/>
      <c r="AJ63" s="61"/>
      <c r="AK63" s="11"/>
      <c r="AL63" s="12"/>
      <c r="AM63" s="60" t="s">
        <v>264</v>
      </c>
      <c r="AN63" s="11"/>
      <c r="AO63" s="12"/>
      <c r="AP63" s="62">
        <v>46192.0</v>
      </c>
      <c r="AQ63" s="11"/>
      <c r="AR63" s="12"/>
      <c r="AS63" s="48"/>
      <c r="AT63" s="11"/>
      <c r="AU63" s="12"/>
      <c r="AV63" s="48"/>
      <c r="AW63" s="11"/>
      <c r="AX63" s="12"/>
      <c r="AY63" s="48"/>
      <c r="AZ63" s="11"/>
      <c r="BA63" s="12"/>
      <c r="BB63" s="48"/>
      <c r="BC63" s="11"/>
      <c r="BD63" s="12"/>
      <c r="BE63" s="48"/>
      <c r="BF63" s="11"/>
      <c r="BG63" s="12"/>
      <c r="BH63" s="48"/>
      <c r="BI63" s="11"/>
      <c r="BJ63" s="12"/>
      <c r="BK63" s="49"/>
      <c r="BL63" s="11"/>
      <c r="BM63" s="11"/>
      <c r="BN63" s="11"/>
      <c r="BO63" s="11"/>
      <c r="BP63" s="11"/>
      <c r="BQ63" s="12"/>
    </row>
    <row r="64" ht="192.0" customHeight="1">
      <c r="A64" s="47">
        <v>46.0</v>
      </c>
      <c r="B64" s="49" t="s">
        <v>476</v>
      </c>
      <c r="C64" s="11"/>
      <c r="D64" s="12"/>
      <c r="E64" s="49" t="s">
        <v>477</v>
      </c>
      <c r="F64" s="11"/>
      <c r="G64" s="11"/>
      <c r="H64" s="11"/>
      <c r="I64" s="12"/>
      <c r="J64" s="49" t="s">
        <v>478</v>
      </c>
      <c r="K64" s="11"/>
      <c r="L64" s="11"/>
      <c r="M64" s="11"/>
      <c r="N64" s="11"/>
      <c r="O64" s="11"/>
      <c r="P64" s="12"/>
      <c r="Q64" s="49" t="s">
        <v>479</v>
      </c>
      <c r="R64" s="11"/>
      <c r="S64" s="11"/>
      <c r="T64" s="11"/>
      <c r="U64" s="11"/>
      <c r="V64" s="11"/>
      <c r="W64" s="12"/>
      <c r="X64" s="49" t="s">
        <v>480</v>
      </c>
      <c r="Y64" s="11"/>
      <c r="Z64" s="11"/>
      <c r="AA64" s="11"/>
      <c r="AB64" s="11"/>
      <c r="AC64" s="11"/>
      <c r="AD64" s="12"/>
      <c r="AE64" s="48" t="s">
        <v>207</v>
      </c>
      <c r="AF64" s="12"/>
      <c r="AG64" s="60" t="s">
        <v>57</v>
      </c>
      <c r="AH64" s="11"/>
      <c r="AI64" s="12"/>
      <c r="AJ64" s="61"/>
      <c r="AK64" s="11"/>
      <c r="AL64" s="12"/>
      <c r="AM64" s="60" t="s">
        <v>264</v>
      </c>
      <c r="AN64" s="11"/>
      <c r="AO64" s="12"/>
      <c r="AP64" s="62">
        <v>46192.0</v>
      </c>
      <c r="AQ64" s="11"/>
      <c r="AR64" s="12"/>
      <c r="AS64" s="48"/>
      <c r="AT64" s="11"/>
      <c r="AU64" s="12"/>
      <c r="AV64" s="48"/>
      <c r="AW64" s="11"/>
      <c r="AX64" s="12"/>
      <c r="AY64" s="48"/>
      <c r="AZ64" s="11"/>
      <c r="BA64" s="12"/>
      <c r="BB64" s="48"/>
      <c r="BC64" s="11"/>
      <c r="BD64" s="12"/>
      <c r="BE64" s="48"/>
      <c r="BF64" s="11"/>
      <c r="BG64" s="12"/>
      <c r="BH64" s="48"/>
      <c r="BI64" s="11"/>
      <c r="BJ64" s="12"/>
      <c r="BK64" s="49"/>
      <c r="BL64" s="11"/>
      <c r="BM64" s="11"/>
      <c r="BN64" s="11"/>
      <c r="BO64" s="11"/>
      <c r="BP64" s="11"/>
      <c r="BQ64" s="1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55">
    <mergeCell ref="BE62:BG62"/>
    <mergeCell ref="BH62:BJ62"/>
    <mergeCell ref="AJ62:AL62"/>
    <mergeCell ref="AM62:AO62"/>
    <mergeCell ref="AP62:AR62"/>
    <mergeCell ref="AS62:AU62"/>
    <mergeCell ref="AV62:AX62"/>
    <mergeCell ref="AY62:BA62"/>
    <mergeCell ref="BB62:BD62"/>
    <mergeCell ref="BE60:BG60"/>
    <mergeCell ref="BH60:BJ60"/>
    <mergeCell ref="BK60:BQ60"/>
    <mergeCell ref="AS60:AU60"/>
    <mergeCell ref="AV60:AX60"/>
    <mergeCell ref="AY60:BA60"/>
    <mergeCell ref="BB60:BD60"/>
    <mergeCell ref="AJ60:AL60"/>
    <mergeCell ref="AM60:AO60"/>
    <mergeCell ref="AP60:AR60"/>
    <mergeCell ref="B60:D60"/>
    <mergeCell ref="E60:I60"/>
    <mergeCell ref="J60:P60"/>
    <mergeCell ref="Q60:W60"/>
    <mergeCell ref="X60:AD60"/>
    <mergeCell ref="AE60:AF60"/>
    <mergeCell ref="AG60:AI60"/>
    <mergeCell ref="BE61:BG61"/>
    <mergeCell ref="BH61:BJ61"/>
    <mergeCell ref="BK61:BQ61"/>
    <mergeCell ref="BK62:BQ62"/>
    <mergeCell ref="AS61:AU61"/>
    <mergeCell ref="AV61:AX61"/>
    <mergeCell ref="AY61:BA61"/>
    <mergeCell ref="BB61:BD61"/>
    <mergeCell ref="AJ61:AL61"/>
    <mergeCell ref="AM61:AO61"/>
    <mergeCell ref="AP61:AR61"/>
    <mergeCell ref="B61:D61"/>
    <mergeCell ref="E61:I61"/>
    <mergeCell ref="J61:P61"/>
    <mergeCell ref="Q61:W61"/>
    <mergeCell ref="X61:AD61"/>
    <mergeCell ref="AE61:AF61"/>
    <mergeCell ref="AG61:AI61"/>
    <mergeCell ref="B62:D62"/>
    <mergeCell ref="E62:I62"/>
    <mergeCell ref="J62:P62"/>
    <mergeCell ref="Q62:W62"/>
    <mergeCell ref="X62:AD62"/>
    <mergeCell ref="AE62:AF62"/>
    <mergeCell ref="AG62:AI62"/>
    <mergeCell ref="BE52:BG52"/>
    <mergeCell ref="BH52:BJ52"/>
    <mergeCell ref="AJ52:AL52"/>
    <mergeCell ref="AM52:AO52"/>
    <mergeCell ref="AP52:AR52"/>
    <mergeCell ref="AS52:AU52"/>
    <mergeCell ref="AV52:AX52"/>
    <mergeCell ref="AY52:BA52"/>
    <mergeCell ref="BB52:BD52"/>
    <mergeCell ref="BE50:BG50"/>
    <mergeCell ref="BH50:BJ50"/>
    <mergeCell ref="BK50:BQ50"/>
    <mergeCell ref="AS50:AU50"/>
    <mergeCell ref="AV50:AX50"/>
    <mergeCell ref="AY50:BA50"/>
    <mergeCell ref="BB50:BD50"/>
    <mergeCell ref="AJ50:AL50"/>
    <mergeCell ref="AM50:AO50"/>
    <mergeCell ref="AP50:AR50"/>
    <mergeCell ref="B50:D50"/>
    <mergeCell ref="E50:I50"/>
    <mergeCell ref="J50:P50"/>
    <mergeCell ref="Q50:W50"/>
    <mergeCell ref="X50:AD50"/>
    <mergeCell ref="AE50:AF50"/>
    <mergeCell ref="AG50:AI50"/>
    <mergeCell ref="BE51:BG51"/>
    <mergeCell ref="BH51:BJ51"/>
    <mergeCell ref="BK51:BQ51"/>
    <mergeCell ref="BK52:BQ52"/>
    <mergeCell ref="AS51:AU51"/>
    <mergeCell ref="AV51:AX51"/>
    <mergeCell ref="AY51:BA51"/>
    <mergeCell ref="BB51:BD51"/>
    <mergeCell ref="AJ51:AL51"/>
    <mergeCell ref="AM51:AO51"/>
    <mergeCell ref="AP51:AR51"/>
    <mergeCell ref="B51:D51"/>
    <mergeCell ref="E51:I51"/>
    <mergeCell ref="J51:P51"/>
    <mergeCell ref="Q51:W51"/>
    <mergeCell ref="X51:AD51"/>
    <mergeCell ref="AE51:AF51"/>
    <mergeCell ref="AG51:AI51"/>
    <mergeCell ref="B52:D52"/>
    <mergeCell ref="E52:I52"/>
    <mergeCell ref="J52:P52"/>
    <mergeCell ref="Q52:W52"/>
    <mergeCell ref="X52:AD52"/>
    <mergeCell ref="AE52:AF52"/>
    <mergeCell ref="AG52:AI52"/>
    <mergeCell ref="BE55:BG55"/>
    <mergeCell ref="BH55:BJ55"/>
    <mergeCell ref="AS55:AU55"/>
    <mergeCell ref="AV55:AX55"/>
    <mergeCell ref="AY55:BA55"/>
    <mergeCell ref="BB55:BD55"/>
    <mergeCell ref="AJ55:AL55"/>
    <mergeCell ref="AM55:AO55"/>
    <mergeCell ref="AP55:AR55"/>
    <mergeCell ref="BE53:BG53"/>
    <mergeCell ref="BH53:BJ53"/>
    <mergeCell ref="BK53:BQ53"/>
    <mergeCell ref="AS53:AU53"/>
    <mergeCell ref="AV53:AX53"/>
    <mergeCell ref="AY53:BA53"/>
    <mergeCell ref="BB53:BD53"/>
    <mergeCell ref="AJ53:AL53"/>
    <mergeCell ref="AM53:AO53"/>
    <mergeCell ref="AP53:AR53"/>
    <mergeCell ref="B53:D53"/>
    <mergeCell ref="E53:I53"/>
    <mergeCell ref="J53:P53"/>
    <mergeCell ref="Q53:W53"/>
    <mergeCell ref="X53:AD53"/>
    <mergeCell ref="AE53:AF53"/>
    <mergeCell ref="AG53:AI53"/>
    <mergeCell ref="BE54:BG54"/>
    <mergeCell ref="BH54:BJ54"/>
    <mergeCell ref="BK54:BQ54"/>
    <mergeCell ref="BK55:BQ55"/>
    <mergeCell ref="AS54:AU54"/>
    <mergeCell ref="AV54:AX54"/>
    <mergeCell ref="AY54:BA54"/>
    <mergeCell ref="BB54:BD54"/>
    <mergeCell ref="AJ54:AL54"/>
    <mergeCell ref="AM54:AO54"/>
    <mergeCell ref="AP54:AR54"/>
    <mergeCell ref="B54:D54"/>
    <mergeCell ref="E54:I54"/>
    <mergeCell ref="J54:P54"/>
    <mergeCell ref="Q54:W54"/>
    <mergeCell ref="X54:AD54"/>
    <mergeCell ref="AE54:AF54"/>
    <mergeCell ref="AG54:AI54"/>
    <mergeCell ref="B55:D55"/>
    <mergeCell ref="E55:I55"/>
    <mergeCell ref="J55:P55"/>
    <mergeCell ref="Q55:W55"/>
    <mergeCell ref="X55:AD55"/>
    <mergeCell ref="AE55:AF55"/>
    <mergeCell ref="AG55:AI55"/>
    <mergeCell ref="BE59:BG59"/>
    <mergeCell ref="BH59:BJ59"/>
    <mergeCell ref="AS59:AU59"/>
    <mergeCell ref="AV59:AX59"/>
    <mergeCell ref="AY59:BA59"/>
    <mergeCell ref="BB59:BD59"/>
    <mergeCell ref="AJ59:AL59"/>
    <mergeCell ref="AM59:AO59"/>
    <mergeCell ref="AP59:AR59"/>
    <mergeCell ref="BE56:BG56"/>
    <mergeCell ref="BH56:BJ56"/>
    <mergeCell ref="BK56:BQ56"/>
    <mergeCell ref="AS56:AU56"/>
    <mergeCell ref="AV56:AX56"/>
    <mergeCell ref="AY56:BA56"/>
    <mergeCell ref="BB56:BD56"/>
    <mergeCell ref="AJ56:AL56"/>
    <mergeCell ref="AM56:AO56"/>
    <mergeCell ref="AP56:AR56"/>
    <mergeCell ref="E56:I56"/>
    <mergeCell ref="J56:P56"/>
    <mergeCell ref="Q56:W56"/>
    <mergeCell ref="X56:AD56"/>
    <mergeCell ref="AE56:AF56"/>
    <mergeCell ref="A57:BQ57"/>
    <mergeCell ref="AG56:AI56"/>
    <mergeCell ref="BB58:BD58"/>
    <mergeCell ref="BE58:BG58"/>
    <mergeCell ref="BH58:BJ58"/>
    <mergeCell ref="BK58:BQ58"/>
    <mergeCell ref="BK59:BQ59"/>
    <mergeCell ref="AS58:AU58"/>
    <mergeCell ref="AV58:AX58"/>
    <mergeCell ref="AY58:BA58"/>
    <mergeCell ref="AJ58:AL58"/>
    <mergeCell ref="AM58:AO58"/>
    <mergeCell ref="AP58:AR58"/>
    <mergeCell ref="AG58:AI58"/>
    <mergeCell ref="B56:D56"/>
    <mergeCell ref="B58:D58"/>
    <mergeCell ref="E58:I58"/>
    <mergeCell ref="J58:P58"/>
    <mergeCell ref="Q58:W58"/>
    <mergeCell ref="X58:AD58"/>
    <mergeCell ref="AE58:AF58"/>
    <mergeCell ref="B59:D59"/>
    <mergeCell ref="E59:I59"/>
    <mergeCell ref="J59:P59"/>
    <mergeCell ref="Q59:W59"/>
    <mergeCell ref="X59:AD59"/>
    <mergeCell ref="AE59:AF59"/>
    <mergeCell ref="AG59:AI59"/>
    <mergeCell ref="BE63:BG63"/>
    <mergeCell ref="BH63:BJ63"/>
    <mergeCell ref="BK63:BQ63"/>
    <mergeCell ref="AS63:AU63"/>
    <mergeCell ref="AV63:AX63"/>
    <mergeCell ref="AY63:BA63"/>
    <mergeCell ref="BB63:BD63"/>
    <mergeCell ref="AJ63:AL63"/>
    <mergeCell ref="AM63:AO63"/>
    <mergeCell ref="AP63:AR63"/>
    <mergeCell ref="B63:D63"/>
    <mergeCell ref="E63:I63"/>
    <mergeCell ref="J63:P63"/>
    <mergeCell ref="Q63:W63"/>
    <mergeCell ref="X63:AD63"/>
    <mergeCell ref="AE63:AF63"/>
    <mergeCell ref="AG63:AI63"/>
    <mergeCell ref="B64:D64"/>
    <mergeCell ref="E64:I64"/>
    <mergeCell ref="J64:P64"/>
    <mergeCell ref="Q64:W64"/>
    <mergeCell ref="X64:AD64"/>
    <mergeCell ref="AE64:AF64"/>
    <mergeCell ref="AG64:AI64"/>
    <mergeCell ref="BE64:BG64"/>
    <mergeCell ref="BH64:BJ64"/>
    <mergeCell ref="BK64:BQ64"/>
    <mergeCell ref="AS64:AU64"/>
    <mergeCell ref="AV64:AX64"/>
    <mergeCell ref="AY64:BA64"/>
    <mergeCell ref="BB64:BD64"/>
    <mergeCell ref="AJ64:AL64"/>
    <mergeCell ref="AM64:AO64"/>
    <mergeCell ref="AP64:AR64"/>
    <mergeCell ref="BE22:BG22"/>
    <mergeCell ref="BH22:BJ22"/>
    <mergeCell ref="AS22:AU22"/>
    <mergeCell ref="AV22:AX22"/>
    <mergeCell ref="AY22:BA22"/>
    <mergeCell ref="BB22:BD22"/>
    <mergeCell ref="AJ22:AL22"/>
    <mergeCell ref="AM22:AO22"/>
    <mergeCell ref="AP22:AR22"/>
    <mergeCell ref="BE20:BG20"/>
    <mergeCell ref="BH20:BJ20"/>
    <mergeCell ref="BK20:BQ20"/>
    <mergeCell ref="AS20:AU20"/>
    <mergeCell ref="AV20:AX20"/>
    <mergeCell ref="AY20:BA20"/>
    <mergeCell ref="BB20:BD20"/>
    <mergeCell ref="AJ20:AL20"/>
    <mergeCell ref="AM20:AO20"/>
    <mergeCell ref="AP20:AR20"/>
    <mergeCell ref="B20:D20"/>
    <mergeCell ref="E20:I20"/>
    <mergeCell ref="J20:P20"/>
    <mergeCell ref="Q20:W20"/>
    <mergeCell ref="X20:AD20"/>
    <mergeCell ref="AE20:AF20"/>
    <mergeCell ref="AG20:AI20"/>
    <mergeCell ref="BE21:BG21"/>
    <mergeCell ref="BH21:BJ21"/>
    <mergeCell ref="BK21:BQ21"/>
    <mergeCell ref="BK22:BQ22"/>
    <mergeCell ref="AS21:AU21"/>
    <mergeCell ref="AV21:AX21"/>
    <mergeCell ref="AY21:BA21"/>
    <mergeCell ref="BB21:BD21"/>
    <mergeCell ref="AJ21:AL21"/>
    <mergeCell ref="AM21:AO21"/>
    <mergeCell ref="AP21:AR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B26:BD26"/>
    <mergeCell ref="BE26:BG26"/>
    <mergeCell ref="AS26:AU26"/>
    <mergeCell ref="AV26:AX26"/>
    <mergeCell ref="AY26:BA26"/>
    <mergeCell ref="AG26:AI26"/>
    <mergeCell ref="AJ26:AL26"/>
    <mergeCell ref="AM26:AO26"/>
    <mergeCell ref="AP26:AR26"/>
    <mergeCell ref="BE23:BG23"/>
    <mergeCell ref="BH23:BJ23"/>
    <mergeCell ref="BK23:BQ23"/>
    <mergeCell ref="AS23:AU23"/>
    <mergeCell ref="AV23:AX23"/>
    <mergeCell ref="AY23:BA23"/>
    <mergeCell ref="BB23:BD23"/>
    <mergeCell ref="AJ23:AL23"/>
    <mergeCell ref="AM23:AO23"/>
    <mergeCell ref="AP23:AR23"/>
    <mergeCell ref="B23:D23"/>
    <mergeCell ref="E23:I23"/>
    <mergeCell ref="J23:P23"/>
    <mergeCell ref="Q23:W23"/>
    <mergeCell ref="X23:AD23"/>
    <mergeCell ref="AE23:AF23"/>
    <mergeCell ref="AG23:AI23"/>
    <mergeCell ref="BE24:BG24"/>
    <mergeCell ref="BH24:BJ24"/>
    <mergeCell ref="BK24:BQ24"/>
    <mergeCell ref="BH26:BJ26"/>
    <mergeCell ref="BK26:BQ26"/>
    <mergeCell ref="AS24:AU24"/>
    <mergeCell ref="AV24:AX24"/>
    <mergeCell ref="AY24:BA24"/>
    <mergeCell ref="BB24:BD24"/>
    <mergeCell ref="AJ24:AL24"/>
    <mergeCell ref="AM24:AO24"/>
    <mergeCell ref="AP24:AR24"/>
    <mergeCell ref="E24:I24"/>
    <mergeCell ref="J24:P24"/>
    <mergeCell ref="Q24:W24"/>
    <mergeCell ref="X24:AD24"/>
    <mergeCell ref="AE24:AF24"/>
    <mergeCell ref="A25:BQ25"/>
    <mergeCell ref="AG24:AI24"/>
    <mergeCell ref="B24:D24"/>
    <mergeCell ref="B26:D26"/>
    <mergeCell ref="E26:I26"/>
    <mergeCell ref="J26:P26"/>
    <mergeCell ref="Q26:W26"/>
    <mergeCell ref="X26:AD26"/>
    <mergeCell ref="AE26:AF26"/>
    <mergeCell ref="BB30:BD30"/>
    <mergeCell ref="BE30:BG30"/>
    <mergeCell ref="AS30:AU30"/>
    <mergeCell ref="AV30:AX30"/>
    <mergeCell ref="AY30:BA30"/>
    <mergeCell ref="AG30:AI30"/>
    <mergeCell ref="AJ30:AL30"/>
    <mergeCell ref="AM30:AO30"/>
    <mergeCell ref="AP30:AR30"/>
    <mergeCell ref="BE27:BG27"/>
    <mergeCell ref="BH27:BJ27"/>
    <mergeCell ref="BK27:BQ27"/>
    <mergeCell ref="AS27:AU27"/>
    <mergeCell ref="AV27:AX27"/>
    <mergeCell ref="AY27:BA27"/>
    <mergeCell ref="BB27:BD27"/>
    <mergeCell ref="AJ27:AL27"/>
    <mergeCell ref="AM27:AO27"/>
    <mergeCell ref="AP27:AR27"/>
    <mergeCell ref="B27:D27"/>
    <mergeCell ref="E27:I27"/>
    <mergeCell ref="J27:P27"/>
    <mergeCell ref="Q27:W27"/>
    <mergeCell ref="X27:AD27"/>
    <mergeCell ref="AE27:AF27"/>
    <mergeCell ref="AG27:AI27"/>
    <mergeCell ref="BE28:BG28"/>
    <mergeCell ref="BH28:BJ28"/>
    <mergeCell ref="BK28:BQ28"/>
    <mergeCell ref="BH30:BJ30"/>
    <mergeCell ref="BK30:BQ30"/>
    <mergeCell ref="AS28:AU28"/>
    <mergeCell ref="AV28:AX28"/>
    <mergeCell ref="AY28:BA28"/>
    <mergeCell ref="BB28:BD28"/>
    <mergeCell ref="AJ28:AL28"/>
    <mergeCell ref="AM28:AO28"/>
    <mergeCell ref="AP28:AR28"/>
    <mergeCell ref="E28:I28"/>
    <mergeCell ref="J28:P28"/>
    <mergeCell ref="Q28:W28"/>
    <mergeCell ref="X28:AD28"/>
    <mergeCell ref="AE28:AF28"/>
    <mergeCell ref="A29:BQ29"/>
    <mergeCell ref="AG28:AI28"/>
    <mergeCell ref="B28:D28"/>
    <mergeCell ref="B30:D30"/>
    <mergeCell ref="E30:I30"/>
    <mergeCell ref="J30:P30"/>
    <mergeCell ref="Q30:W30"/>
    <mergeCell ref="X30:AD30"/>
    <mergeCell ref="AE30:AF30"/>
    <mergeCell ref="BE33:BG33"/>
    <mergeCell ref="BH33:BJ33"/>
    <mergeCell ref="AS33:AU33"/>
    <mergeCell ref="AV33:AX33"/>
    <mergeCell ref="AY33:BA33"/>
    <mergeCell ref="BB33:BD33"/>
    <mergeCell ref="AJ33:AL33"/>
    <mergeCell ref="AM33:AO33"/>
    <mergeCell ref="AP33:AR33"/>
    <mergeCell ref="BE31:BG31"/>
    <mergeCell ref="BH31:BJ31"/>
    <mergeCell ref="BK31:BQ31"/>
    <mergeCell ref="AS31:AU31"/>
    <mergeCell ref="AV31:AX31"/>
    <mergeCell ref="AY31:BA31"/>
    <mergeCell ref="BB31:BD31"/>
    <mergeCell ref="AJ31:AL31"/>
    <mergeCell ref="AM31:AO31"/>
    <mergeCell ref="AP31:AR31"/>
    <mergeCell ref="B31:D31"/>
    <mergeCell ref="E31:I31"/>
    <mergeCell ref="J31:P31"/>
    <mergeCell ref="Q31:W31"/>
    <mergeCell ref="X31:AD31"/>
    <mergeCell ref="AE31:AF31"/>
    <mergeCell ref="AG31:AI31"/>
    <mergeCell ref="BE32:BG32"/>
    <mergeCell ref="BH32:BJ32"/>
    <mergeCell ref="BK32:BQ32"/>
    <mergeCell ref="BK33:BQ33"/>
    <mergeCell ref="AS32:AU32"/>
    <mergeCell ref="AV32:AX32"/>
    <mergeCell ref="AY32:BA32"/>
    <mergeCell ref="BB32:BD32"/>
    <mergeCell ref="AJ32:AL32"/>
    <mergeCell ref="AM32:AO32"/>
    <mergeCell ref="AP32:AR32"/>
    <mergeCell ref="B32:D32"/>
    <mergeCell ref="E32:I32"/>
    <mergeCell ref="J32:P32"/>
    <mergeCell ref="Q32:W32"/>
    <mergeCell ref="X32:AD32"/>
    <mergeCell ref="AE32:AF32"/>
    <mergeCell ref="AG32:AI32"/>
    <mergeCell ref="B33:D33"/>
    <mergeCell ref="E33:I33"/>
    <mergeCell ref="J33:P33"/>
    <mergeCell ref="Q33:W33"/>
    <mergeCell ref="X33:AD33"/>
    <mergeCell ref="AE33:AF33"/>
    <mergeCell ref="AG33:AI33"/>
    <mergeCell ref="BE36:BG36"/>
    <mergeCell ref="BH36:BJ36"/>
    <mergeCell ref="AS36:AU36"/>
    <mergeCell ref="AV36:AX36"/>
    <mergeCell ref="AY36:BA36"/>
    <mergeCell ref="BB36:BD36"/>
    <mergeCell ref="AJ36:AL36"/>
    <mergeCell ref="AM36:AO36"/>
    <mergeCell ref="AP36:AR36"/>
    <mergeCell ref="BE34:BG34"/>
    <mergeCell ref="BH34:BJ34"/>
    <mergeCell ref="BK34:BQ34"/>
    <mergeCell ref="AS34:AU34"/>
    <mergeCell ref="AV34:AX34"/>
    <mergeCell ref="AY34:BA34"/>
    <mergeCell ref="BB34:BD34"/>
    <mergeCell ref="AJ34:AL34"/>
    <mergeCell ref="AM34:AO34"/>
    <mergeCell ref="AP34:AR34"/>
    <mergeCell ref="B34:D34"/>
    <mergeCell ref="E34:I34"/>
    <mergeCell ref="J34:P34"/>
    <mergeCell ref="Q34:W34"/>
    <mergeCell ref="X34:AD34"/>
    <mergeCell ref="AE34:AF34"/>
    <mergeCell ref="AG34:AI34"/>
    <mergeCell ref="BE35:BG35"/>
    <mergeCell ref="BH35:BJ35"/>
    <mergeCell ref="BK35:BQ35"/>
    <mergeCell ref="BK36:BQ36"/>
    <mergeCell ref="AS35:AU35"/>
    <mergeCell ref="AV35:AX35"/>
    <mergeCell ref="AY35:BA35"/>
    <mergeCell ref="BB35:BD35"/>
    <mergeCell ref="AJ35:AL35"/>
    <mergeCell ref="AM35:AO35"/>
    <mergeCell ref="AP35:AR35"/>
    <mergeCell ref="B35:D35"/>
    <mergeCell ref="E35:I35"/>
    <mergeCell ref="J35:P35"/>
    <mergeCell ref="Q35:W35"/>
    <mergeCell ref="X35:AD35"/>
    <mergeCell ref="AE35:AF35"/>
    <mergeCell ref="AG35:AI35"/>
    <mergeCell ref="B36:D36"/>
    <mergeCell ref="E36:I36"/>
    <mergeCell ref="J36:P36"/>
    <mergeCell ref="Q36:W36"/>
    <mergeCell ref="X36:AD36"/>
    <mergeCell ref="AE36:AF36"/>
    <mergeCell ref="AG36:AI36"/>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S15:AU15"/>
    <mergeCell ref="AV15:AX15"/>
    <mergeCell ref="AY15:BA15"/>
    <mergeCell ref="BB15:BD15"/>
    <mergeCell ref="AJ15:AL15"/>
    <mergeCell ref="AM15:AO15"/>
    <mergeCell ref="AP15:AR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S14:AU14"/>
    <mergeCell ref="AV14:AX14"/>
    <mergeCell ref="AY14:BA14"/>
    <mergeCell ref="BB14:BD14"/>
    <mergeCell ref="AJ14:AL14"/>
    <mergeCell ref="AM14:AO14"/>
    <mergeCell ref="AP14:AR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B19:BD19"/>
    <mergeCell ref="BE19:BG19"/>
    <mergeCell ref="AS19:AU19"/>
    <mergeCell ref="AV19:AX19"/>
    <mergeCell ref="AY19:BA19"/>
    <mergeCell ref="AG19:AI19"/>
    <mergeCell ref="AJ19:AL19"/>
    <mergeCell ref="AM19:AO19"/>
    <mergeCell ref="AP19:AR19"/>
    <mergeCell ref="BE16:BG16"/>
    <mergeCell ref="BH16:BJ16"/>
    <mergeCell ref="BK16:BQ16"/>
    <mergeCell ref="AS16:AU16"/>
    <mergeCell ref="AV16:AX16"/>
    <mergeCell ref="AY16:BA16"/>
    <mergeCell ref="BB16:BD16"/>
    <mergeCell ref="AJ16:AL16"/>
    <mergeCell ref="AM16:AO16"/>
    <mergeCell ref="AP16:AR16"/>
    <mergeCell ref="B16:D16"/>
    <mergeCell ref="E16:I16"/>
    <mergeCell ref="J16:P16"/>
    <mergeCell ref="Q16:W16"/>
    <mergeCell ref="X16:AD16"/>
    <mergeCell ref="AE16:AF16"/>
    <mergeCell ref="AG16:AI16"/>
    <mergeCell ref="BE17:BG17"/>
    <mergeCell ref="BH17:BJ17"/>
    <mergeCell ref="BK17:BQ17"/>
    <mergeCell ref="BH19:BJ19"/>
    <mergeCell ref="BK19:BQ19"/>
    <mergeCell ref="AS17:AU17"/>
    <mergeCell ref="AV17:AX17"/>
    <mergeCell ref="AY17:BA17"/>
    <mergeCell ref="BB17:BD17"/>
    <mergeCell ref="AJ17:AL17"/>
    <mergeCell ref="AM17:AO17"/>
    <mergeCell ref="AP17:AR17"/>
    <mergeCell ref="E17:I17"/>
    <mergeCell ref="J17:P17"/>
    <mergeCell ref="Q17:W17"/>
    <mergeCell ref="X17:AD17"/>
    <mergeCell ref="AE17:AF17"/>
    <mergeCell ref="A18:BQ18"/>
    <mergeCell ref="AG17:AI17"/>
    <mergeCell ref="B17:D17"/>
    <mergeCell ref="B19:D19"/>
    <mergeCell ref="E19:I19"/>
    <mergeCell ref="J19:P19"/>
    <mergeCell ref="Q19:W19"/>
    <mergeCell ref="X19:AD19"/>
    <mergeCell ref="AE19:AF19"/>
    <mergeCell ref="BE39:BG39"/>
    <mergeCell ref="BH39:BJ39"/>
    <mergeCell ref="AG37:AI37"/>
    <mergeCell ref="AJ37:AL37"/>
    <mergeCell ref="AM37:AO37"/>
    <mergeCell ref="AP37:AR37"/>
    <mergeCell ref="AS39:AU39"/>
    <mergeCell ref="AV39:AX39"/>
    <mergeCell ref="AY39:BA39"/>
    <mergeCell ref="BB39:BD39"/>
    <mergeCell ref="AG39:AI39"/>
    <mergeCell ref="AJ39:AL39"/>
    <mergeCell ref="AM39:AO39"/>
    <mergeCell ref="AP39:AR39"/>
    <mergeCell ref="E39:I39"/>
    <mergeCell ref="J39:P39"/>
    <mergeCell ref="Q39:W39"/>
    <mergeCell ref="X39:AD39"/>
    <mergeCell ref="AE39:AF39"/>
    <mergeCell ref="A40:BQ40"/>
    <mergeCell ref="B39:D39"/>
    <mergeCell ref="B41:D41"/>
    <mergeCell ref="E41:I41"/>
    <mergeCell ref="J41:P41"/>
    <mergeCell ref="Q41:W41"/>
    <mergeCell ref="X41:AD41"/>
    <mergeCell ref="AE41:AF41"/>
    <mergeCell ref="BH41:BJ41"/>
    <mergeCell ref="BK41:BQ41"/>
    <mergeCell ref="AM41:AO41"/>
    <mergeCell ref="AP41:AR41"/>
    <mergeCell ref="AS41:AU41"/>
    <mergeCell ref="AV41:AX41"/>
    <mergeCell ref="AY41:BA41"/>
    <mergeCell ref="BB41:BD41"/>
    <mergeCell ref="BE41:BG41"/>
    <mergeCell ref="AG41:AI41"/>
    <mergeCell ref="AJ41:AL41"/>
    <mergeCell ref="BE37:BG37"/>
    <mergeCell ref="BH37:BJ37"/>
    <mergeCell ref="BK37:BQ37"/>
    <mergeCell ref="AS37:AU37"/>
    <mergeCell ref="AV37:AX37"/>
    <mergeCell ref="AY37:BA37"/>
    <mergeCell ref="BB37:BD37"/>
    <mergeCell ref="B37:D37"/>
    <mergeCell ref="E37:I37"/>
    <mergeCell ref="J37:P37"/>
    <mergeCell ref="Q37:W37"/>
    <mergeCell ref="X37:AD37"/>
    <mergeCell ref="AE37:AF37"/>
    <mergeCell ref="BE38:BG38"/>
    <mergeCell ref="BH38:BJ38"/>
    <mergeCell ref="BK38:BQ38"/>
    <mergeCell ref="BK39:BQ39"/>
    <mergeCell ref="AJ38:AL38"/>
    <mergeCell ref="AM38:AO38"/>
    <mergeCell ref="AP38:AR38"/>
    <mergeCell ref="AS38:AU38"/>
    <mergeCell ref="AV38:AX38"/>
    <mergeCell ref="AY38:BA38"/>
    <mergeCell ref="BB38:BD38"/>
    <mergeCell ref="B38:D38"/>
    <mergeCell ref="E38:I38"/>
    <mergeCell ref="J38:P38"/>
    <mergeCell ref="Q38:W38"/>
    <mergeCell ref="X38:AD38"/>
    <mergeCell ref="AE38:AF38"/>
    <mergeCell ref="AG38:AI38"/>
    <mergeCell ref="BE42:BG42"/>
    <mergeCell ref="BH42:BJ42"/>
    <mergeCell ref="BK42:BQ42"/>
    <mergeCell ref="AS42:AU42"/>
    <mergeCell ref="AV42:AX42"/>
    <mergeCell ref="AY42:BA42"/>
    <mergeCell ref="BB42:BD42"/>
    <mergeCell ref="AG42:AI42"/>
    <mergeCell ref="AJ42:AL42"/>
    <mergeCell ref="AM42:AO42"/>
    <mergeCell ref="AP42:AR42"/>
    <mergeCell ref="AS44:AU44"/>
    <mergeCell ref="AV44:AX44"/>
    <mergeCell ref="AY44:BA44"/>
    <mergeCell ref="BB44:BD44"/>
    <mergeCell ref="AJ44:AL44"/>
    <mergeCell ref="AM44:AO44"/>
    <mergeCell ref="AP44:AR44"/>
    <mergeCell ref="B44:D44"/>
    <mergeCell ref="E44:I44"/>
    <mergeCell ref="J44:P44"/>
    <mergeCell ref="Q44:W44"/>
    <mergeCell ref="X44:AD44"/>
    <mergeCell ref="AE44:AF44"/>
    <mergeCell ref="AG44:AI44"/>
    <mergeCell ref="BE45:BG45"/>
    <mergeCell ref="BH45:BJ45"/>
    <mergeCell ref="AS45:AU45"/>
    <mergeCell ref="AV45:AX45"/>
    <mergeCell ref="AY45:BA45"/>
    <mergeCell ref="BB45:BD45"/>
    <mergeCell ref="AJ45:AL45"/>
    <mergeCell ref="AM45:AO45"/>
    <mergeCell ref="AP45:AR45"/>
    <mergeCell ref="B42:D42"/>
    <mergeCell ref="E42:I42"/>
    <mergeCell ref="J42:P42"/>
    <mergeCell ref="Q42:W42"/>
    <mergeCell ref="X42:AD42"/>
    <mergeCell ref="BE43:BG43"/>
    <mergeCell ref="BH43:BJ43"/>
    <mergeCell ref="BK43:BQ43"/>
    <mergeCell ref="AS43:AU43"/>
    <mergeCell ref="AV43:AX43"/>
    <mergeCell ref="AY43:BA43"/>
    <mergeCell ref="BB43:BD43"/>
    <mergeCell ref="AJ43:AL43"/>
    <mergeCell ref="AM43:AO43"/>
    <mergeCell ref="AP43:AR43"/>
    <mergeCell ref="B43:D43"/>
    <mergeCell ref="E43:I43"/>
    <mergeCell ref="J43:P43"/>
    <mergeCell ref="Q43:W43"/>
    <mergeCell ref="X43:AD43"/>
    <mergeCell ref="AE43:AF43"/>
    <mergeCell ref="AG43:AI43"/>
    <mergeCell ref="BE44:BG44"/>
    <mergeCell ref="BH44:BJ44"/>
    <mergeCell ref="BK44:BQ44"/>
    <mergeCell ref="BK45:BQ45"/>
    <mergeCell ref="B45:D45"/>
    <mergeCell ref="E45:I45"/>
    <mergeCell ref="J45:P45"/>
    <mergeCell ref="Q45:W45"/>
    <mergeCell ref="X45:AD45"/>
    <mergeCell ref="AE45:AF45"/>
    <mergeCell ref="AG45:AI45"/>
    <mergeCell ref="AE42:AF42"/>
    <mergeCell ref="BE49:BG49"/>
    <mergeCell ref="BH49:BJ49"/>
    <mergeCell ref="AV49:AX49"/>
    <mergeCell ref="AY49:BA49"/>
    <mergeCell ref="BB49:BD49"/>
    <mergeCell ref="AS49:AU49"/>
    <mergeCell ref="AJ49:AL49"/>
    <mergeCell ref="AM49:AO49"/>
    <mergeCell ref="AP49:AR49"/>
    <mergeCell ref="BE46:BG46"/>
    <mergeCell ref="BH46:BJ46"/>
    <mergeCell ref="BK46:BQ46"/>
    <mergeCell ref="AS46:AU46"/>
    <mergeCell ref="AV46:AX46"/>
    <mergeCell ref="AY46:BA46"/>
    <mergeCell ref="BB46:BD46"/>
    <mergeCell ref="AJ46:AL46"/>
    <mergeCell ref="AM46:AO46"/>
    <mergeCell ref="AP46:AR46"/>
    <mergeCell ref="E46:I46"/>
    <mergeCell ref="J46:P46"/>
    <mergeCell ref="Q46:W46"/>
    <mergeCell ref="X46:AD46"/>
    <mergeCell ref="AE46:AF46"/>
    <mergeCell ref="A47:BQ47"/>
    <mergeCell ref="AG46:AI46"/>
    <mergeCell ref="BB48:BD48"/>
    <mergeCell ref="BE48:BG48"/>
    <mergeCell ref="BH48:BJ48"/>
    <mergeCell ref="BK48:BQ48"/>
    <mergeCell ref="BK49:BQ49"/>
    <mergeCell ref="AS48:AU48"/>
    <mergeCell ref="AV48:AX48"/>
    <mergeCell ref="AY48:BA48"/>
    <mergeCell ref="AG48:AI48"/>
    <mergeCell ref="AJ48:AL48"/>
    <mergeCell ref="AM48:AO48"/>
    <mergeCell ref="AP48:AR48"/>
    <mergeCell ref="B46:D46"/>
    <mergeCell ref="B48:D48"/>
    <mergeCell ref="E48:I48"/>
    <mergeCell ref="J48:P48"/>
    <mergeCell ref="Q48:W48"/>
    <mergeCell ref="X48:AD48"/>
    <mergeCell ref="AE48:AF48"/>
    <mergeCell ref="B49:D49"/>
    <mergeCell ref="E49:I49"/>
    <mergeCell ref="J49:P49"/>
    <mergeCell ref="Q49:W49"/>
    <mergeCell ref="X49:AD49"/>
    <mergeCell ref="AE49:AF49"/>
    <mergeCell ref="AG49:AI49"/>
  </mergeCells>
  <dataValidations>
    <dataValidation type="list" allowBlank="1" sqref="F1">
      <formula1>"単体テスト,結合テスト,システムテスト"</formula1>
    </dataValidation>
    <dataValidation type="list" allowBlank="1" sqref="AG13:AG17 AV13:AV17 AG19:AG24 AV19:AV24 AG26:AG28 AV26:AV28 AG30:AG39 AV30:AV39 AG41:AG46 AV41:AV46 AG48:AG56 AV48:AV56 AG58:AG64 AV58:AV64">
      <formula1>"合格,不合格,未テスト,N/A"</formula1>
    </dataValidation>
    <dataValidation type="list" allowBlank="1" sqref="AE13:AE17 AE19:AE24 AE26:AE28 AE30:AE39 AE41:AE46 AE48:AE56 AE58:AE64">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2026-06-04T09:10:14Z</dcterms:created>
  <dc:creator>openpyxl</dc:creator>
</cp:coreProperties>
</file>