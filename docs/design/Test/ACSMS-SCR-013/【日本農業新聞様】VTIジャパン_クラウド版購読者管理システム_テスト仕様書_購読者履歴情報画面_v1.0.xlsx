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8800" windowHeight="11580" activeTab="5"/>
  </bookViews>
  <sheets>
    <sheet name="表紙" sheetId="1" r:id="rId1"/>
    <sheet name="変更履歴" sheetId="2" r:id="rId2"/>
    <sheet name="概要" sheetId="3" r:id="rId3"/>
    <sheet name="テスト報告書" sheetId="4" r:id="rId4"/>
    <sheet name="テスト観点" sheetId="5" r:id="rId5"/>
    <sheet name="機能" sheetId="6" r:id="rId6"/>
  </sheets>
  <calcPr calcId="191029" fullCalcOn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<sst xmlns="http://schemas.openxmlformats.org/spreadsheetml/2006/main" count="738" uniqueCount="433">
  <si>
    <t>クラウド版購読者管理システム</t>
  </si>
  <si>
    <t>購読者履歴情報画面</t>
  </si>
  <si>
    <t>版1.0</t>
  </si>
  <si>
    <t>フォーマットコード</t>
  </si>
  <si>
    <t>16-BM/PM/VTI</t>
  </si>
  <si>
    <t>フォーマットバージョン</t>
  </si>
  <si>
    <t>1.0</t>
  </si>
  <si>
    <t>発行日</t>
  </si>
  <si>
    <t>2026/06/03</t>
  </si>
  <si>
    <t>項番</t>
  </si>
  <si>
    <t>バージョン</t>
  </si>
  <si>
    <t>担当者</t>
  </si>
  <si>
    <t>変更内容</t>
  </si>
  <si>
    <t>確認者</t>
  </si>
  <si>
    <t>承認者</t>
  </si>
  <si>
    <t>2026-06-03</t>
  </si>
  <si>
    <t>Kieu Thi Diem</t>
  </si>
  <si>
    <t>Tạo mới</t>
  </si>
  <si>
    <t>Nguyen Huy Dat</t>
  </si>
  <si>
    <t>システム・アプリケーション名</t>
  </si>
  <si>
    <t>ドキュメント</t>
  </si>
  <si>
    <t>シート名</t>
  </si>
  <si>
    <t>作成日</t>
  </si>
  <si>
    <t>作成者</t>
  </si>
  <si>
    <t>更新日</t>
  </si>
  <si>
    <t>更新者</t>
  </si>
  <si>
    <t>テスト仕様書</t>
  </si>
  <si>
    <t>概要</t>
  </si>
  <si>
    <t>1.システム概要</t>
  </si>
  <si>
    <t>Hệ thống này là hệ thống quản lý độc giả dạng cloud dành cho JA,</t>
  </si>
  <si>
    <t>cung cấp các chức năng quản lý thông tin độc giả, quản lý lịch sử đặt báo, quản lý dữ liệu chuyển khoản tự động.</t>
  </si>
  <si>
    <t>Các chức năng chính gồm: đăng ký・cập nhật・tìm kiếm thông tin độc giả,</t>
  </si>
  <si>
    <t>quản lý lịch sử thay đổi nội dung đặt báo, tạo và quản lý dữ liệu chuyển khoản tự động,</t>
  </si>
  <si>
    <t>chức năng upload・download file, quản lý thông báo hệ thống.</t>
  </si>
  <si>
    <t>Ngoài ra còn hỗ trợ các chức năng bảo mật・audit như quản lý đăng nhập,</t>
  </si>
  <si>
    <t>ghi lịch sử đăng nhập, ghi log thao tác người dùng.</t>
  </si>
  <si>
    <t>2.資料目的</t>
  </si>
  <si>
    <t>Tài liệu mô tả chi tiết test specification được tạo mới trên hệ thống cho「Màn hình thông tin lịch sử độc giả（ACSMS-SCR-013）」.</t>
  </si>
  <si>
    <t>Tài liệu này tham khảo ISTQB và IEEE 829, thỏa mãn các tiêu chuẩn chất lượng sau:</t>
  </si>
  <si>
    <t>- Mỗi testcase được tạo dựa trên một scenario duy nhất (single responsibility).</t>
  </si>
  <si>
    <t>- Thủ tục được mô tả ở mức độ có thể tái hiện, testdata được nêu rõ.</t>
  </si>
  <si>
    <t>- Kết quả mong đợi phải đo lường được (nội dung message, kết quả DB query, HTTP status code v.v.).</t>
  </si>
  <si>
    <t>3.関連資料</t>
  </si>
  <si>
    <t>No</t>
  </si>
  <si>
    <t>資料コード</t>
  </si>
  <si>
    <t>資料名</t>
  </si>
  <si>
    <t>ACSMS-SCR-013</t>
  </si>
  <si>
    <t>Tài liệu thiết kế màn hình thông tin lịch sử độc giả</t>
  </si>
  <si>
    <t>ACSMS-SCR-013-api</t>
  </si>
  <si>
    <t>Tài liệu thiết kế API màn hình thông tin lịch sử độc giả</t>
  </si>
  <si>
    <t>testcase-viewpoints</t>
  </si>
  <si>
    <t>Danh sách quan điểm test chung toàn hệ thống</t>
  </si>
  <si>
    <t>&lt;単体/結合/システム&gt; テスト報告書</t>
  </si>
  <si>
    <t>プロジェクト名</t>
  </si>
  <si>
    <t>プロジェクトマネージャ</t>
  </si>
  <si>
    <t>#</t>
  </si>
  <si>
    <t>機能名</t>
  </si>
  <si>
    <t>テストケース分類</t>
  </si>
  <si>
    <t>合計</t>
  </si>
  <si>
    <t>テスト結果</t>
  </si>
  <si>
    <t>正常</t>
  </si>
  <si>
    <t>異常</t>
  </si>
  <si>
    <t>境界</t>
  </si>
  <si>
    <t>合格</t>
  </si>
  <si>
    <t>不合格</t>
  </si>
  <si>
    <t>未テスト</t>
  </si>
  <si>
    <t>N/A</t>
  </si>
  <si>
    <t>進捗（%）</t>
  </si>
  <si>
    <t>テスト1回目</t>
  </si>
  <si>
    <t>機能</t>
  </si>
  <si>
    <t>テスト2回目</t>
  </si>
  <si>
    <t>テスト観点</t>
  </si>
  <si>
    <t>1. テスト観点一覧</t>
  </si>
  <si>
    <t>観点ID</t>
  </si>
  <si>
    <t>大分類</t>
  </si>
  <si>
    <t>観点名</t>
  </si>
  <si>
    <t>リスク</t>
  </si>
  <si>
    <t>対象画面範囲</t>
  </si>
  <si>
    <t>TC見積</t>
  </si>
  <si>
    <t>VP-A-01</t>
  </si>
  <si>
    <t>A. セキュリティ・権限</t>
  </si>
  <si>
    <t>ロール別権限制御（RBAC gate）</t>
  </si>
  <si>
    <t>高</t>
  </si>
  <si>
    <t>約25保護画面</t>
  </si>
  <si>
    <t>VP-A-02</t>
  </si>
  <si>
    <t>データ範囲（DataScope）</t>
  </si>
  <si>
    <t>約20一覧／詳細画面</t>
  </si>
  <si>
    <t>VP-A-03</t>
  </si>
  <si>
    <t>項目レベル制限（Field-level restriction）</t>
  </si>
  <si>
    <t>5マスタ</t>
  </si>
  <si>
    <t>VP-A-04</t>
  </si>
  <si>
    <t>URL直接アクセス攻撃</t>
  </si>
  <si>
    <t>VP-A-05</t>
  </si>
  <si>
    <t>セッション失効／401 ハンドリング</t>
  </si>
  <si>
    <t>全システム</t>
  </si>
  <si>
    <t>VP-A-06</t>
  </si>
  <si>
    <t>XSS／HTML 描画安全性</t>
  </si>
  <si>
    <t>約20フォーム</t>
  </si>
  <si>
    <t>VP-A-07</t>
  </si>
  <si>
    <t>CSRF／Cookie セキュリティフラグ</t>
  </si>
  <si>
    <t>VP-A-08</t>
  </si>
  <si>
    <t>レート制限・Throttling</t>
  </si>
  <si>
    <t>中</t>
  </si>
  <si>
    <t>全公開API＋認証エンドポイント</t>
  </si>
  <si>
    <t>VP-A-09</t>
  </si>
  <si>
    <t>アカウントロック・解除運用</t>
  </si>
  <si>
    <t>SCR-001／002＋管理機能</t>
  </si>
  <si>
    <t>VP-A-10</t>
  </si>
  <si>
    <t>SQL インジェクション</t>
  </si>
  <si>
    <t>約20フォーム＋検索</t>
  </si>
  <si>
    <t>VP-B-01</t>
  </si>
  <si>
    <t>B. データバリデーション</t>
  </si>
  <si>
    <t>必須項目チェック</t>
  </si>
  <si>
    <t>約25フォーム</t>
  </si>
  <si>
    <t>VP-B-02</t>
  </si>
  <si>
    <t>最小／最大長境界</t>
  </si>
  <si>
    <t>VP-B-03</t>
  </si>
  <si>
    <t>形式正規表現（郵便／電話／コード）</t>
  </si>
  <si>
    <t>VP-B-04</t>
  </si>
  <si>
    <t>半角／全角ハンドリング</t>
  </si>
  <si>
    <t>VP-B-05</t>
  </si>
  <si>
    <t>日付ロジック</t>
  </si>
  <si>
    <t>約10日付付きフォーム</t>
  </si>
  <si>
    <t>VP-B-06</t>
  </si>
  <si>
    <t>通貨／パーセント形式</t>
  </si>
  <si>
    <t>2-3フォーム（単価）</t>
  </si>
  <si>
    <t>VP-B-07</t>
  </si>
  <si>
    <t>マスタコード（m_code）参照</t>
  </si>
  <si>
    <t>約15ドロップダウン付きフォーム</t>
  </si>
  <si>
    <t>VP-B-08</t>
  </si>
  <si>
    <t>キー重複（duplicate code）</t>
  </si>
  <si>
    <t>約10マスタ</t>
  </si>
  <si>
    <t>VP-B-09</t>
  </si>
  <si>
    <t>IME・全角入力・貼付ハンドリング</t>
  </si>
  <si>
    <t>全テキスト入力フォーム＋検索画面</t>
  </si>
  <si>
    <t>VP-C-01</t>
  </si>
  <si>
    <t>C. 業務ロジック</t>
  </si>
  <si>
    <t>CRUD 正常系 + DB 永続化</t>
  </si>
  <si>
    <t>VP-C-02</t>
  </si>
  <si>
    <t>同時編集競合</t>
  </si>
  <si>
    <t>約8編集画面</t>
  </si>
  <si>
    <t>VP-C-03</t>
  </si>
  <si>
    <t>論理削除 + FK 関連</t>
  </si>
  <si>
    <t>約6関連付きマスタ</t>
  </si>
  <si>
    <t>VP-C-04</t>
  </si>
  <si>
    <t>税込／税抜計算</t>
  </si>
  <si>
    <t>単価マスタ</t>
  </si>
  <si>
    <t>VP-C-05</t>
  </si>
  <si>
    <t>購読者種別ルール（読み取り専用）</t>
  </si>
  <si>
    <t>購読者マスタ</t>
  </si>
  <si>
    <t>VP-C-06</t>
  </si>
  <si>
    <t>Excel取込 部分成功</t>
  </si>
  <si>
    <t>2取込画面</t>
  </si>
  <si>
    <t>VP-C-07</t>
  </si>
  <si>
    <t>販売店一括置換</t>
  </si>
  <si>
    <t>一括置換</t>
  </si>
  <si>
    <t>VP-C-08</t>
  </si>
  <si>
    <t>レポート集計の正確性</t>
  </si>
  <si>
    <t>3レポート</t>
  </si>
  <si>
    <t>VP-D-01</t>
  </si>
  <si>
    <t>D. 統合・システム</t>
  </si>
  <si>
    <t>ログイン + MFA フロー</t>
  </si>
  <si>
    <t>SCR-001／002</t>
  </si>
  <si>
    <t>VP-D-02</t>
  </si>
  <si>
    <t>セッションスライディング 24h</t>
  </si>
  <si>
    <t>VP-D-03</t>
  </si>
  <si>
    <t>パスワード再発行フロー</t>
  </si>
  <si>
    <t>SCR-007</t>
  </si>
  <si>
    <t>VP-D-04</t>
  </si>
  <si>
    <t>監査ログの完全性</t>
  </si>
  <si>
    <t>VP-D-05</t>
  </si>
  <si>
    <t>ファイルアップロード S3</t>
  </si>
  <si>
    <t>SCR-022</t>
  </si>
  <si>
    <t>VP-D-06</t>
  </si>
  <si>
    <t>メール通知</t>
  </si>
  <si>
    <t>SCR-001／007／お知らせ</t>
  </si>
  <si>
    <t>VP-D-07</t>
  </si>
  <si>
    <t>外部 CSV 形式準拠</t>
  </si>
  <si>
    <t>SCR-008／009</t>
  </si>
  <si>
    <t>VP-D-08</t>
  </si>
  <si>
    <t>ネットワーク／500／タイムアウト</t>
  </si>
  <si>
    <t>VP-D-09</t>
  </si>
  <si>
    <t>パスワード再発行 旧token無効化＋クールダウン</t>
  </si>
  <si>
    <t>VP-E-01</t>
  </si>
  <si>
    <t>E. 非機能・ユーザビリティ</t>
  </si>
  <si>
    <t>レイアウト／デザイントークン</t>
  </si>
  <si>
    <t>低</t>
  </si>
  <si>
    <t>全画面</t>
  </si>
  <si>
    <t>VP-E-02</t>
  </si>
  <si>
    <t>レスポンシブ（モバイル／タブレット）</t>
  </si>
  <si>
    <t>VP-E-03</t>
  </si>
  <si>
    <t>キーボード操作</t>
  </si>
  <si>
    <t>VP-E-04</t>
  </si>
  <si>
    <t>ブラウザ互換性</t>
  </si>
  <si>
    <t>VP-E-05</t>
  </si>
  <si>
    <t>マルチタブセッション同期</t>
  </si>
  <si>
    <t>VP-E-07</t>
  </si>
  <si>
    <t>未保存変更ガード・ブラウザ離脱</t>
  </si>
  <si>
    <t>全 CRUD 編集フォーム</t>
  </si>
  <si>
    <t>VP-F-01</t>
  </si>
  <si>
    <t>F. 性能</t>
  </si>
  <si>
    <t>性能ベンチマーク</t>
  </si>
  <si>
    <t>全画面パフォーマンス計測対象</t>
  </si>
  <si>
    <t>VP-F-02</t>
  </si>
  <si>
    <t>大量データ表示性能</t>
  </si>
  <si>
    <t>一覧／レポート画面</t>
  </si>
  <si>
    <t>2. 観点ID 命名規約・グループ凡例</t>
  </si>
  <si>
    <t>グループ</t>
  </si>
  <si>
    <t>接頭辞</t>
  </si>
  <si>
    <t>名称</t>
  </si>
  <si>
    <t>観点数</t>
  </si>
  <si>
    <t>リスク傾向</t>
  </si>
  <si>
    <t>代表的なテスト観点</t>
  </si>
  <si>
    <t>A</t>
  </si>
  <si>
    <t>VP-A-NN</t>
  </si>
  <si>
    <t>セキュリティ・権限</t>
  </si>
  <si>
    <t>RBAC、DataScope、項目レベル制限、URL直接攻撃、セッション失効、XSS、CSRF、レート制限、アカウントロック、SQL注入</t>
  </si>
  <si>
    <t>B</t>
  </si>
  <si>
    <t>VP-B-NN</t>
  </si>
  <si>
    <t>データバリデーション</t>
  </si>
  <si>
    <t>必須／長さ／形式／半角全角／日付／通貨／m_code／重複キー／IME・貼付ハンドリング</t>
  </si>
  <si>
    <t>C</t>
  </si>
  <si>
    <t>VP-C-NN</t>
  </si>
  <si>
    <t>業務ロジック</t>
  </si>
  <si>
    <t>CRUD 永続化、同時編集競合、論理削除＋FK、税計算、購読者ルール、Excel 取込、レポート集計</t>
  </si>
  <si>
    <t>D</t>
  </si>
  <si>
    <t>VP-D-NN</t>
  </si>
  <si>
    <t>統合・システム</t>
  </si>
  <si>
    <t>ログイン＋MFA、セッション管理、パスワード再発行、監査ログ、S3、メール、CSV 準拠、ネットワーク／500</t>
  </si>
  <si>
    <t>E</t>
  </si>
  <si>
    <t>VP-E-NN</t>
  </si>
  <si>
    <t>非機能・ユーザビリティ</t>
  </si>
  <si>
    <t>低〜中</t>
  </si>
  <si>
    <t>レイアウト、レスポンシブ、キーボード操作、ブラウザ互換、マルチタブ同期、未保存変更ガード</t>
  </si>
  <si>
    <t>F</t>
  </si>
  <si>
    <t>VP-F-NN</t>
  </si>
  <si>
    <t>性能</t>
  </si>
  <si>
    <t>性能ベンチマーク、大量データ表示性能</t>
  </si>
  <si>
    <t>命名規約：VP-{グループ記号}-{NN} 形式（NN はグループ内の2桁連番）。新規観点は同グループの末尾に追加する（例：VP-A-11）。グループ記号はリスク軸による分類で、JSTQB FL の品質特性区分に準拠する。</t>
  </si>
  <si>
    <t>テストレベル</t>
  </si>
  <si>
    <t>結合テスト</t>
  </si>
  <si>
    <t>機能／モジュール</t>
  </si>
  <si>
    <t>ACSMS-SCR-013_購読者履歴情報画面</t>
  </si>
  <si>
    <t>確認日</t>
  </si>
  <si>
    <t>テスト環境</t>
  </si>
  <si>
    <t>Windows 10/11, Chrome, Edge</t>
  </si>
  <si>
    <t>分類</t>
  </si>
  <si>
    <t>回目</t>
  </si>
  <si>
    <t>境界値</t>
  </si>
  <si>
    <t>1回目</t>
  </si>
  <si>
    <t>2回目</t>
  </si>
  <si>
    <t>要件ID</t>
  </si>
  <si>
    <t>説明</t>
  </si>
  <si>
    <t>前提条件</t>
  </si>
  <si>
    <t>ステップ／手順</t>
  </si>
  <si>
    <t>期待結果／アウトプット</t>
  </si>
  <si>
    <t>種類</t>
  </si>
  <si>
    <t>テスト1回目の結果</t>
  </si>
  <si>
    <t>テスト2回目の結果</t>
  </si>
  <si>
    <t>備考</t>
  </si>
  <si>
    <t>結果</t>
  </si>
  <si>
    <t>実績／
アウトプット</t>
  </si>
  <si>
    <t>確認日付
（MM/DD）</t>
  </si>
  <si>
    <t>バグID</t>
  </si>
  <si>
    <t>Kiểm soát quyền truy cập (Access Control)</t>
  </si>
  <si>
    <t>ACSMS-TC-013-001</t>
  </si>
  <si>
    <t>Cấm truy cập màn hình (NICHINO_ADMIN)</t>
  </si>
  <si>
    <t>・role: NICHINO_ADMIN
・Đã đăng nhập + đã xác thực MFA
・Không có quyền「dokusya.view」</t>
  </si>
  <si>
    <r>
      <rPr>
        <b/>
        <sz val="10"/>
        <color rgb="FF000000"/>
        <rFont val="游ゴシック"/>
        <charset val="134"/>
      </rPr>
      <t xml:space="preserve">ステップ1：
</t>
    </r>
    <r>
      <rPr>
        <sz val="10"/>
        <color rgb="FF000000"/>
        <rFont val="游ゴシック"/>
        <charset val="134"/>
      </rPr>
      <t xml:space="preserve">Mở dashboard, xác nhận mục「購読者明細検索」không hiển thị trên sidebar và menu
</t>
    </r>
    <r>
      <rPr>
        <b/>
        <sz val="10"/>
        <color rgb="FF000000"/>
        <rFont val="游ゴシック"/>
        <charset val="134"/>
      </rPr>
      <t xml:space="preserve">ステップ2：
</t>
    </r>
    <r>
      <rPr>
        <sz val="10"/>
        <color rgb="FF000000"/>
        <rFont val="游ゴシック"/>
        <charset val="134"/>
      </rPr>
      <t xml:space="preserve">Nhập URL màn hình thông tin lịch sử độc giả (`/dokusya/1/rireki`) vào address bar trình duyệt, truy cập trực tiếp
</t>
    </r>
    <r>
      <rPr>
        <b/>
        <sz val="10"/>
        <color rgb="FF000000"/>
        <rFont val="游ゴシック"/>
        <charset val="134"/>
      </rPr>
      <t xml:space="preserve">ステップ3：
</t>
    </r>
    <r>
      <rPr>
        <sz val="10"/>
        <color rgb="FF000000"/>
        <rFont val="游ゴシック"/>
        <charset val="134"/>
      </rPr>
      <t>Gọi trực tiếp GET `/api/v1/dokusya/1/rireki` bằng tab Network của DevTools</t>
    </r>
  </si>
  <si>
    <r>
      <rPr>
        <b/>
        <sz val="10"/>
        <color rgb="FF000000"/>
        <rFont val="游ゴシック"/>
        <charset val="134"/>
      </rPr>
      <t xml:space="preserve">ステップ1：
</t>
    </r>
    <r>
      <rPr>
        <sz val="10"/>
        <color rgb="FF000000"/>
        <rFont val="游ゴシック"/>
        <charset val="134"/>
      </rPr>
      <t xml:space="preserve">Menu không hiển thị (do không có quyền `dokusya.view`)
</t>
    </r>
    <r>
      <rPr>
        <b/>
        <sz val="10"/>
        <color rgb="FF000000"/>
        <rFont val="游ゴシック"/>
        <charset val="134"/>
      </rPr>
      <t xml:space="preserve">ステップ2：
</t>
    </r>
    <r>
      <rPr>
        <sz val="10"/>
        <color rgb="FF000000"/>
        <rFont val="游ゴシック"/>
        <charset val="134"/>
      </rPr>
      <t xml:space="preserve">Toast `アクセス権がありません。` được hiển thị, và chuyển về `/dashboard`
</t>
    </r>
    <r>
      <rPr>
        <b/>
        <sz val="10"/>
        <color rgb="FF000000"/>
        <rFont val="游ゴシック"/>
        <charset val="134"/>
      </rPr>
      <t xml:space="preserve">ステップ3：
</t>
    </r>
    <r>
      <rPr>
        <sz val="10"/>
        <color rgb="FF000000"/>
        <rFont val="游ゴシック"/>
        <charset val="134"/>
      </rPr>
      <t xml:space="preserve">Trả về HTTP 403 (`error_code: FORBIDDEN`, message `この画面へのアクセス権限がありません。`)
</t>
    </r>
    <r>
      <rPr>
        <b/>
        <sz val="10"/>
        <color rgb="FF000000"/>
        <rFont val="游ゴシック"/>
        <charset val="134"/>
      </rPr>
      <t xml:space="preserve">補足：
</t>
    </r>
    <r>
      <rPr>
        <sz val="10"/>
        <color rgb="FF000000"/>
        <rFont val="游ゴシック"/>
        <charset val="134"/>
      </rPr>
      <t>・Cả 3 lớp (menu filter phía frontend, router guard phía frontend, API guard phía backend) đều kiểm soát truy cập</t>
    </r>
  </si>
  <si>
    <t>diem.kieuthi</t>
  </si>
  <si>
    <t>Hoa.nguyenhanh</t>
  </si>
  <si>
    <t>Theo ma trận quyền `account_concept.md`, quyền tham chiếu độc giả (dokusya.view) đối với NICHINO_ADMIN là ×.</t>
  </si>
  <si>
    <t>ACSMS-TC-013-002</t>
  </si>
  <si>
    <t>Cấm truy cập màn hình (NICHINO_STAFF)</t>
  </si>
  <si>
    <t>・role: NICHINO_STAFF
・Đã đăng nhập + đã xác thực MFA
・Không có quyền「dokusya.view」</t>
  </si>
  <si>
    <r>
      <rPr>
        <b/>
        <sz val="10"/>
        <color rgb="FF000000"/>
        <rFont val="メイリオ"/>
        <charset val="134"/>
      </rPr>
      <t xml:space="preserve">ステップ1：
</t>
    </r>
    <r>
      <rPr>
        <sz val="10"/>
        <color rgb="FF000000"/>
        <rFont val="メイリオ"/>
        <charset val="134"/>
      </rPr>
      <t xml:space="preserve">Mở dashboard, xác nhận mục「購読者明細検索」không hiển thị trên sidebar và menu
</t>
    </r>
    <r>
      <rPr>
        <b/>
        <sz val="10"/>
        <color rgb="FF000000"/>
        <rFont val="メイリオ"/>
        <charset val="134"/>
      </rPr>
      <t xml:space="preserve">ステップ2：
</t>
    </r>
    <r>
      <rPr>
        <sz val="10"/>
        <color rgb="FF000000"/>
        <rFont val="メイリオ"/>
        <charset val="134"/>
      </rPr>
      <t xml:space="preserve">Nhập URL màn hình thông tin lịch sử độc giả (`/dokusya/1/rireki`) vào address bar trình duyệt, truy cập trực tiếp
</t>
    </r>
    <r>
      <rPr>
        <b/>
        <sz val="10"/>
        <color rgb="FF000000"/>
        <rFont val="メイリオ"/>
        <charset val="134"/>
      </rPr>
      <t xml:space="preserve">ステップ3：
</t>
    </r>
    <r>
      <rPr>
        <sz val="10"/>
        <color rgb="FF000000"/>
        <rFont val="メイリオ"/>
        <charset val="134"/>
      </rPr>
      <t>Gọi trực tiếp GET `/api/v1/dokusya/1/rireki` bằng tab Network của DevTools</t>
    </r>
  </si>
  <si>
    <r>
      <rPr>
        <b/>
        <sz val="10"/>
        <color rgb="FF000000"/>
        <rFont val="メイリオ"/>
        <charset val="134"/>
      </rPr>
      <t xml:space="preserve">ステップ1：
</t>
    </r>
    <r>
      <rPr>
        <sz val="10"/>
        <color rgb="FF000000"/>
        <rFont val="メイリオ"/>
        <charset val="134"/>
      </rPr>
      <t xml:space="preserve">Menu không hiển thị (do không có quyền `dokusya.view`)
</t>
    </r>
    <r>
      <rPr>
        <b/>
        <sz val="10"/>
        <color rgb="FF000000"/>
        <rFont val="メイリオ"/>
        <charset val="134"/>
      </rPr>
      <t xml:space="preserve">ステップ2：
</t>
    </r>
    <r>
      <rPr>
        <sz val="10"/>
        <color rgb="FF000000"/>
        <rFont val="メイリオ"/>
        <charset val="134"/>
      </rPr>
      <t xml:space="preserve">Toast `アクセス権がありません。` được hiển thị, và chuyển về `/dashboard`
</t>
    </r>
    <r>
      <rPr>
        <b/>
        <sz val="10"/>
        <color rgb="FF000000"/>
        <rFont val="メイリオ"/>
        <charset val="134"/>
      </rPr>
      <t xml:space="preserve">ステップ3：
</t>
    </r>
    <r>
      <rPr>
        <sz val="10"/>
        <color rgb="FF000000"/>
        <rFont val="メイリオ"/>
        <charset val="134"/>
      </rPr>
      <t xml:space="preserve">Trả về HTTP 403 (`error_code: FORBIDDEN`, message `この画面へのアクセス権限がありません。`)
</t>
    </r>
    <r>
      <rPr>
        <b/>
        <sz val="10"/>
        <color rgb="FF000000"/>
        <rFont val="メイリオ"/>
        <charset val="134"/>
      </rPr>
      <t xml:space="preserve">補足：
</t>
    </r>
    <r>
      <rPr>
        <sz val="10"/>
        <color rgb="FF000000"/>
        <rFont val="メイリオ"/>
        <charset val="134"/>
      </rPr>
      <t>・NICHINO_STAFF không có quyền tham chiếu độc giả nên cả hiển thị màn hình và gọi API đều bị từ chối</t>
    </r>
  </si>
  <si>
    <t>ACSMS-TC-013-003</t>
  </si>
  <si>
    <t>Cho phép truy cập màn hình (CHUOKAI・scope chuokai của mình)</t>
  </si>
  <si>
    <t>・role: CHUOKAI (thuộc ja_id=100)
・Có quyền「dokusya.view」(seeder.md §3 ma trận No.2 ○)
・Độc giả (dokusya_id=1) thuộc chuokai của mình (ja_id=100) tồn tại và có từ 1 lịch sử trở lên</t>
  </si>
  <si>
    <r>
      <rPr>
        <b/>
        <sz val="10"/>
        <color rgb="FF000000"/>
        <rFont val="游ゴシック"/>
        <charset val="134"/>
      </rPr>
      <t xml:space="preserve">ステップ1：
</t>
    </r>
    <r>
      <rPr>
        <sz val="10"/>
        <color rgb="FF000000"/>
        <rFont val="游ゴシック"/>
        <charset val="134"/>
      </rPr>
      <t xml:space="preserve">Sau khi đăng nhập, từ màn hình đăng ký thông tin độc giả chuyển sang màn hình thông tin lịch sử của độc giả đối tượng (dokusya_id=1)
</t>
    </r>
    <r>
      <rPr>
        <b/>
        <sz val="10"/>
        <color rgb="FF000000"/>
        <rFont val="游ゴシック"/>
        <charset val="134"/>
      </rPr>
      <t xml:space="preserve">ステップ2：
</t>
    </r>
    <r>
      <rPr>
        <sz val="10"/>
        <color rgb="FF000000"/>
        <rFont val="游ゴシック"/>
        <charset val="134"/>
      </rPr>
      <t xml:space="preserve">Xác nhận URL màn hình thông tin lịch sử độc giả (`/dokusya/1/rireki`)
</t>
    </r>
    <r>
      <rPr>
        <b/>
        <sz val="10"/>
        <color rgb="FF000000"/>
        <rFont val="游ゴシック"/>
        <charset val="134"/>
      </rPr>
      <t xml:space="preserve">ステップ3：
</t>
    </r>
    <r>
      <rPr>
        <sz val="10"/>
        <color rgb="FF000000"/>
        <rFont val="游ゴシック"/>
        <charset val="134"/>
      </rPr>
      <t>Xác nhận response của GET `/api/v1/dokusya/1/rireki` bằng tab Network của DevTools</t>
    </r>
  </si>
  <si>
    <r>
      <rPr>
        <b/>
        <sz val="10"/>
        <color rgb="FF000000"/>
        <rFont val="メイリオ"/>
        <charset val="134"/>
      </rPr>
      <t xml:space="preserve">ステップ1：
</t>
    </r>
    <r>
      <rPr>
        <sz val="10"/>
        <color rgb="FF000000"/>
        <rFont val="メイリオ"/>
        <charset val="134"/>
      </rPr>
      <t xml:space="preserve">Màn hình thông tin lịch sử độc giả được hiển thị (toast không hiển thị)
</t>
    </r>
    <r>
      <rPr>
        <b/>
        <sz val="10"/>
        <color rgb="FF000000"/>
        <rFont val="メイリオ"/>
        <charset val="134"/>
      </rPr>
      <t xml:space="preserve">ステップ2：
</t>
    </r>
    <r>
      <rPr>
        <sz val="10"/>
        <color rgb="FF000000"/>
        <rFont val="メイリオ"/>
        <charset val="134"/>
      </rPr>
      <t xml:space="preserve">Danh sách lịch sử được hiển thị
</t>
    </r>
    <r>
      <rPr>
        <b/>
        <sz val="10"/>
        <color rgb="FF000000"/>
        <rFont val="メイリオ"/>
        <charset val="134"/>
      </rPr>
      <t xml:space="preserve">ステップ3：
</t>
    </r>
    <r>
      <rPr>
        <sz val="10"/>
        <color rgb="FF000000"/>
        <rFont val="メイリオ"/>
        <charset val="134"/>
      </rPr>
      <t xml:space="preserve">Trả về HTTP 200 (bao gồm mảng `data` và object `meta`)
</t>
    </r>
    <r>
      <rPr>
        <b/>
        <sz val="10"/>
        <color rgb="FF000000"/>
        <rFont val="メイリオ"/>
        <charset val="134"/>
      </rPr>
      <t xml:space="preserve">補足：
</t>
    </r>
    <r>
      <rPr>
        <sz val="10"/>
        <color rgb="FF000000"/>
        <rFont val="メイリオ"/>
        <charset val="134"/>
      </rPr>
      <t>・CHUOKAI có quyền tham chiếu độc giả nên có thể xem lịch sử độc giả trong scope chuokai của mình</t>
    </r>
  </si>
  <si>
    <t>N</t>
  </si>
  <si>
    <t>ACSMS-TC-013-004</t>
  </si>
  <si>
    <t>Cho phép truy cập màn hình (JA_HONTEN・scope JA của mình)</t>
  </si>
  <si>
    <t>・role: JA_HONTEN (thuộc ja_id=100)
・Có quyền「dokusya.view」
・Độc giả (dokusya_id=1) thuộc JA của mình (ja_id=100) tồn tại và có từ 1 lịch sử trở lên</t>
  </si>
  <si>
    <r>
      <rPr>
        <b/>
        <sz val="10"/>
        <color rgb="FF000000"/>
        <rFont val="メイリオ"/>
        <charset val="134"/>
      </rPr>
      <t xml:space="preserve">ステップ1：
</t>
    </r>
    <r>
      <rPr>
        <sz val="10"/>
        <color rgb="FF000000"/>
        <rFont val="メイリオ"/>
        <charset val="134"/>
      </rPr>
      <t xml:space="preserve">Màn hình thông tin lịch sử độc giả được hiển thị (toast không hiển thị)
</t>
    </r>
    <r>
      <rPr>
        <b/>
        <sz val="10"/>
        <color rgb="FF000000"/>
        <rFont val="メイリオ"/>
        <charset val="134"/>
      </rPr>
      <t xml:space="preserve">ステップ2：
</t>
    </r>
    <r>
      <rPr>
        <sz val="10"/>
        <color rgb="FF000000"/>
        <rFont val="メイリオ"/>
        <charset val="134"/>
      </rPr>
      <t xml:space="preserve">Danh sách lịch sử được hiển thị
</t>
    </r>
    <r>
      <rPr>
        <b/>
        <sz val="10"/>
        <color rgb="FF000000"/>
        <rFont val="メイリオ"/>
        <charset val="134"/>
      </rPr>
      <t xml:space="preserve">ステップ3：
</t>
    </r>
    <r>
      <rPr>
        <sz val="10"/>
        <color rgb="FF000000"/>
        <rFont val="メイリオ"/>
        <charset val="134"/>
      </rPr>
      <t xml:space="preserve">Trả về HTTP 200 (bao gồm mảng `data` và object `meta`)
</t>
    </r>
    <r>
      <rPr>
        <b/>
        <sz val="10"/>
        <color rgb="FF000000"/>
        <rFont val="メイリオ"/>
        <charset val="134"/>
      </rPr>
      <t xml:space="preserve">補足：
</t>
    </r>
    <r>
      <rPr>
        <sz val="10"/>
        <color rgb="FF000000"/>
        <rFont val="メイリオ"/>
        <charset val="134"/>
      </rPr>
      <t>・JA_HONTEN có quyền tham chiếu độc giả nên có thể xem lịch sử độc giả trong scope JA của mình</t>
    </r>
  </si>
  <si>
    <t>ACSMS-TC-013-005</t>
  </si>
  <si>
    <t>Cho phép truy cập màn hình (JA_KANRI_SHITEN・scope chi nhánh quản lý của mình)</t>
  </si>
  <si>
    <t>・role: JA_KANRI_SHITEN (thuộc ja_id=100 / kanri_shiten_id=10)
・Có quyền「dokusya.view」
・Độc giả (dokusya_id=1) thuộc chi nhánh quản lý của mình (ja_id=100 / kanri_shiten_id=10) tồn tại và có từ 1 lịch sử trở lên</t>
  </si>
  <si>
    <r>
      <rPr>
        <b/>
        <sz val="10"/>
        <color rgb="FF000000"/>
        <rFont val="メイリオ"/>
        <charset val="134"/>
      </rPr>
      <t xml:space="preserve">ステップ1：
</t>
    </r>
    <r>
      <rPr>
        <sz val="10"/>
        <color rgb="FF000000"/>
        <rFont val="メイリオ"/>
        <charset val="134"/>
      </rPr>
      <t xml:space="preserve">Màn hình thông tin lịch sử độc giả được hiển thị (toast không hiển thị)
</t>
    </r>
    <r>
      <rPr>
        <b/>
        <sz val="10"/>
        <color rgb="FF000000"/>
        <rFont val="メイリオ"/>
        <charset val="134"/>
      </rPr>
      <t xml:space="preserve">ステップ2：
</t>
    </r>
    <r>
      <rPr>
        <sz val="10"/>
        <color rgb="FF000000"/>
        <rFont val="メイリオ"/>
        <charset val="134"/>
      </rPr>
      <t xml:space="preserve">Danh sách lịch sử được hiển thị
</t>
    </r>
    <r>
      <rPr>
        <b/>
        <sz val="10"/>
        <color rgb="FF000000"/>
        <rFont val="メイリオ"/>
        <charset val="134"/>
      </rPr>
      <t xml:space="preserve">ステップ3：
</t>
    </r>
    <r>
      <rPr>
        <sz val="10"/>
        <color rgb="FF000000"/>
        <rFont val="メイリオ"/>
        <charset val="134"/>
      </rPr>
      <t xml:space="preserve">Trả về HTTP 200 (bao gồm mảng `data` và object `meta`)
</t>
    </r>
    <r>
      <rPr>
        <b/>
        <sz val="10"/>
        <color rgb="FF000000"/>
        <rFont val="メイリオ"/>
        <charset val="134"/>
      </rPr>
      <t xml:space="preserve">補足：
</t>
    </r>
    <r>
      <rPr>
        <sz val="10"/>
        <color rgb="FF000000"/>
        <rFont val="メイリオ"/>
        <charset val="134"/>
      </rPr>
      <t>・JA_KANRI_SHITEN có quyền tham chiếu độc giả nên có thể xem lịch sử độc giả trong scope chi nhánh quản lý của mình</t>
    </r>
  </si>
  <si>
    <t>ACSMS-TC-013-006</t>
  </si>
  <si>
    <t>Vi phạm DataScope (truy cập lịch sử độc giả của JA khác・chi nhánh quản lý khác)</t>
  </si>
  <si>
    <t>・role: JA_HONTEN (thuộc ja_id=100)
・Có quyền「dokusya.view」
・Độc giả (dokusya_id=999) của JA khác (ja_id=200) tồn tại</t>
  </si>
  <si>
    <r>
      <rPr>
        <b/>
        <sz val="10"/>
        <color rgb="FF000000"/>
        <rFont val="游ゴシック"/>
        <charset val="134"/>
      </rPr>
      <t xml:space="preserve">ステップ1：
</t>
    </r>
    <r>
      <rPr>
        <sz val="10"/>
        <color rgb="FF000000"/>
        <rFont val="游ゴシック"/>
        <charset val="134"/>
      </rPr>
      <t xml:space="preserve">Nhập URL màn hình thông tin lịch sử độc giả của JA khác (`/dokusya/999/rireki`) vào address bar, truy cập trực tiếp
</t>
    </r>
    <r>
      <rPr>
        <b/>
        <sz val="10"/>
        <color rgb="FF000000"/>
        <rFont val="游ゴシック"/>
        <charset val="134"/>
      </rPr>
      <t xml:space="preserve">ステップ2：
</t>
    </r>
    <r>
      <rPr>
        <sz val="10"/>
        <color rgb="FF000000"/>
        <rFont val="游ゴシック"/>
        <charset val="134"/>
      </rPr>
      <t xml:space="preserve">Gọi trực tiếp GET `/api/v1/dokusya/999/rireki` bằng tab Network của DevTools
</t>
    </r>
    <r>
      <rPr>
        <b/>
        <sz val="10"/>
        <color rgb="FF000000"/>
        <rFont val="游ゴシック"/>
        <charset val="134"/>
      </rPr>
      <t xml:space="preserve">ステップ3：
</t>
    </r>
    <r>
      <rPr>
        <sz val="10"/>
        <color rgb="FF000000"/>
        <rFont val="游ゴシック"/>
        <charset val="134"/>
      </rPr>
      <t>Xác nhận DB: `SELECT ja_id FROM m_dokusya WHERE dokusya_id = 999`</t>
    </r>
  </si>
  <si>
    <r>
      <rPr>
        <b/>
        <sz val="10"/>
        <color rgb="FF000000"/>
        <rFont val="メイリオ"/>
        <charset val="134"/>
      </rPr>
      <t xml:space="preserve">ステップ1：
</t>
    </r>
    <r>
      <rPr>
        <sz val="10"/>
        <color rgb="FF000000"/>
        <rFont val="メイリオ"/>
        <charset val="134"/>
      </rPr>
      <t xml:space="preserve">Lịch sử độc giả của JA khác không hiển thị
</t>
    </r>
    <r>
      <rPr>
        <b/>
        <sz val="10"/>
        <color rgb="FF000000"/>
        <rFont val="メイリオ"/>
        <charset val="134"/>
      </rPr>
      <t xml:space="preserve">ステップ2：
</t>
    </r>
    <r>
      <rPr>
        <sz val="10"/>
        <color rgb="FF000000"/>
        <rFont val="メイリオ"/>
        <charset val="134"/>
      </rPr>
      <t xml:space="preserve">Trả về HTTP 403 (`error_code: DATA_SCOPE_VIOLATION`, message `このデータへのアクセス権限がありません。`)
</t>
    </r>
    <r>
      <rPr>
        <b/>
        <sz val="10"/>
        <color rgb="FF000000"/>
        <rFont val="メイリオ"/>
        <charset val="134"/>
      </rPr>
      <t xml:space="preserve">ステップ3：
</t>
    </r>
    <r>
      <rPr>
        <sz val="10"/>
        <color rgb="FF000000"/>
        <rFont val="メイリオ"/>
        <charset val="134"/>
      </rPr>
      <t xml:space="preserve">`ja_id` của độc giả đối tượng (dokusya_id=999) là 200, nằm ngoài scope (ja_id=100) của JA_HONTEN đang đăng nhập
</t>
    </r>
    <r>
      <rPr>
        <b/>
        <sz val="10"/>
        <color rgb="FF000000"/>
        <rFont val="メイリオ"/>
        <charset val="134"/>
      </rPr>
      <t xml:space="preserve">補足：
</t>
    </r>
    <r>
      <rPr>
        <sz val="10"/>
        <color rgb="FF000000"/>
        <rFont val="メイリオ"/>
        <charset val="134"/>
      </rPr>
      <t>・Khi truy cập record của JA khác hoặc chi nhánh quản lý khác, phía backend trả về DATA_SCOPE_VIOLATION (HTTP 403) qua kiểm tra DataScope</t>
    </r>
  </si>
  <si>
    <t>ACSMS-TC-013-007</t>
  </si>
  <si>
    <t>Tấn công truy cập URL trực tiếp (dokusya_id không tồn tại)</t>
  </si>
  <si>
    <t>・role: JA_HONTEN (thuộc ja_id=100)
・Có quyền「dokusya.view」
・Độc giả (dokusya_id=99999) không tồn tại</t>
  </si>
  <si>
    <r>
      <rPr>
        <b/>
        <sz val="10"/>
        <color rgb="FF000000"/>
        <rFont val="游ゴシック"/>
        <charset val="134"/>
      </rPr>
      <t xml:space="preserve">ステップ1：
</t>
    </r>
    <r>
      <rPr>
        <sz val="10"/>
        <color rgb="FF000000"/>
        <rFont val="游ゴシック"/>
        <charset val="134"/>
      </rPr>
      <t xml:space="preserve">Nhập URL độc giả không tồn tại (`/dokusya/99999/rireki`) vào address bar, truy cập trực tiếp
</t>
    </r>
    <r>
      <rPr>
        <b/>
        <sz val="10"/>
        <color rgb="FF000000"/>
        <rFont val="游ゴシック"/>
        <charset val="134"/>
      </rPr>
      <t xml:space="preserve">ステップ2：
</t>
    </r>
    <r>
      <rPr>
        <sz val="10"/>
        <color rgb="FF000000"/>
        <rFont val="游ゴシック"/>
        <charset val="134"/>
      </rPr>
      <t xml:space="preserve">Gọi trực tiếp GET `/api/v1/dokusya/99999/rireki` bằng tab Network của DevTools
</t>
    </r>
    <r>
      <rPr>
        <b/>
        <sz val="10"/>
        <color rgb="FF000000"/>
        <rFont val="游ゴシック"/>
        <charset val="134"/>
      </rPr>
      <t xml:space="preserve">ステップ3：
</t>
    </r>
    <r>
      <rPr>
        <sz val="10"/>
        <color rgb="FF000000"/>
        <rFont val="游ゴシック"/>
        <charset val="134"/>
      </rPr>
      <t>Xác nhận DB: `SELECT COUNT(*) FROM m_dokusya WHERE dokusya_id = 99999 AND deleted_at IS NULL`</t>
    </r>
  </si>
  <si>
    <r>
      <rPr>
        <b/>
        <sz val="10"/>
        <color rgb="FF000000"/>
        <rFont val="メイリオ"/>
        <charset val="134"/>
      </rPr>
      <t xml:space="preserve">ステップ1：
</t>
    </r>
    <r>
      <rPr>
        <sz val="10"/>
        <color rgb="FF000000"/>
        <rFont val="メイリオ"/>
        <charset val="134"/>
      </rPr>
      <t xml:space="preserve">Danh sách lịch sử không hiển thị
</t>
    </r>
    <r>
      <rPr>
        <b/>
        <sz val="10"/>
        <color rgb="FF000000"/>
        <rFont val="メイリオ"/>
        <charset val="134"/>
      </rPr>
      <t xml:space="preserve">ステップ2：
</t>
    </r>
    <r>
      <rPr>
        <sz val="10"/>
        <color rgb="FF000000"/>
        <rFont val="メイリオ"/>
        <charset val="134"/>
      </rPr>
      <t xml:space="preserve">Trả về HTTP 404 (`error_code: NOT_FOUND`, message `指定された購読者が見つかりません。`)
</t>
    </r>
    <r>
      <rPr>
        <b/>
        <sz val="10"/>
        <color rgb="FF000000"/>
        <rFont val="メイリオ"/>
        <charset val="134"/>
      </rPr>
      <t xml:space="preserve">ステップ3：
</t>
    </r>
    <r>
      <rPr>
        <sz val="10"/>
        <color rgb="FF000000"/>
        <rFont val="メイリオ"/>
        <charset val="134"/>
      </rPr>
      <t xml:space="preserve">Độc giả đối tượng (dokusya_id=99999) không tồn tại trong DB (số lượng bằng 0)
</t>
    </r>
    <r>
      <rPr>
        <b/>
        <sz val="10"/>
        <color rgb="FF000000"/>
        <rFont val="メイリオ"/>
        <charset val="134"/>
      </rPr>
      <t xml:space="preserve">補足：
</t>
    </r>
    <r>
      <rPr>
        <sz val="10"/>
        <color rgb="FF000000"/>
        <rFont val="メイリオ"/>
        <charset val="134"/>
      </rPr>
      <t xml:space="preserve">・Khi truy cập URL trực tiếp với dokusya_id không tồn tại, phía backend trả về NOT_FOUND (HTTP 404)
</t>
    </r>
    <r>
      <rPr>
        <sz val="10"/>
        <color rgb="FF000000"/>
        <rFont val="メイリオ"/>
        <charset val="134"/>
      </rPr>
      <t>・Router guard phía frontend không bị bypass bởi việc giả mạo ID trên address bar</t>
    </r>
  </si>
  <si>
    <t>(なし)
---</t>
  </si>
  <si>
    <t>Hiển thị màn hình・Responsive (Layout &amp; Responsive)</t>
  </si>
  <si>
    <t>ACSMS-TC-013-008</t>
  </si>
  <si>
    <t>Layout tổng thể màn hình thông tin lịch sử độc giả khớp với thiết kế</t>
  </si>
  <si>
    <t>・role: JA_HONTEN (thuộc ja_id=100)
・Độc giả đối tượng (dokusya_id=1) có nhiều lịch sử tồn tại
・Trình duyệt: Chrome (latest), độ phân giải 1920×1080</t>
  </si>
  <si>
    <r>
      <rPr>
        <b/>
        <sz val="10"/>
        <color rgb="FF000000"/>
        <rFont val="游ゴシック"/>
        <charset val="134"/>
      </rPr>
      <t xml:space="preserve">ステップ1：
</t>
    </r>
    <r>
      <rPr>
        <sz val="10"/>
        <color rgb="FF000000"/>
        <rFont val="游ゴシック"/>
        <charset val="134"/>
      </rPr>
      <t xml:space="preserve">Mở màn hình thông tin lịch sử độc giả
</t>
    </r>
    <r>
      <rPr>
        <b/>
        <sz val="10"/>
        <color rgb="FF000000"/>
        <rFont val="游ゴシック"/>
        <charset val="134"/>
      </rPr>
      <t xml:space="preserve">ステップ2：
</t>
    </r>
    <r>
      <rPr>
        <sz val="10"/>
        <color rgb="FF000000"/>
        <rFont val="游ゴシック"/>
        <charset val="134"/>
      </rPr>
      <t xml:space="preserve">So sánh màn hình với tài liệu thiết kế
</t>
    </r>
    <r>
      <rPr>
        <b/>
        <sz val="10"/>
        <color rgb="FF000000"/>
        <rFont val="游ゴシック"/>
        <charset val="134"/>
      </rPr>
      <t xml:space="preserve">ステップ3：
</t>
    </r>
    <r>
      <rPr>
        <sz val="10"/>
        <color rgb="FF000000"/>
        <rFont val="游ゴシック"/>
        <charset val="134"/>
      </rPr>
      <t>Xác nhận vị trí từng thành phần (vị trí header, card danh sách lịch sử, button「前の画面に戻る」, pagination)</t>
    </r>
  </si>
  <si>
    <r>
      <rPr>
        <b/>
        <sz val="10"/>
        <color rgb="FF000000"/>
        <rFont val="游ゴシック"/>
        <charset val="134"/>
      </rPr>
      <t xml:space="preserve">ステップ1：
</t>
    </r>
    <r>
      <rPr>
        <sz val="10"/>
        <color rgb="FF000000"/>
        <rFont val="游ゴシック"/>
        <charset val="134"/>
      </rPr>
      <t xml:space="preserve">Màn hình thông tin lịch sử độc giả được hiển thị
</t>
    </r>
    <r>
      <rPr>
        <b/>
        <sz val="10"/>
        <color rgb="FF000000"/>
        <rFont val="游ゴシック"/>
        <charset val="134"/>
      </rPr>
      <t xml:space="preserve">ステップ2：
</t>
    </r>
    <r>
      <rPr>
        <sz val="10"/>
        <color rgb="FF000000"/>
        <rFont val="游ゴシック"/>
        <charset val="134"/>
      </rPr>
      <t xml:space="preserve">Màu nền, font, cỡ chữ, padding/margin, màu button, style card đều khớp với thiết kế
</t>
    </r>
    <r>
      <rPr>
        <b/>
        <sz val="10"/>
        <color rgb="FF000000"/>
        <rFont val="游ゴシック"/>
        <charset val="134"/>
      </rPr>
      <t xml:space="preserve">ステップ3：
</t>
    </r>
    <r>
      <rPr>
        <sz val="10"/>
        <color rgb="FF000000"/>
        <rFont val="游ゴシック"/>
        <charset val="134"/>
      </rPr>
      <t xml:space="preserve">Từng thành phần được bố trí đúng theo thiết kế
</t>
    </r>
    <r>
      <rPr>
        <b/>
        <sz val="10"/>
        <color rgb="FF000000"/>
        <rFont val="游ゴシック"/>
        <charset val="134"/>
      </rPr>
      <t xml:space="preserve">補足：
</t>
    </r>
    <r>
      <rPr>
        <sz val="10"/>
        <color rgb="FF000000"/>
        <rFont val="游ゴシック"/>
        <charset val="134"/>
      </rPr>
      <t>・Không có khác biệt thị giác so với thiết kế
・design tokens  được áp dụng (không có màu hardcode)</t>
    </r>
  </si>
  <si>
    <t>ACSMS-TC-013-009</t>
  </si>
  <si>
    <t>Hiển thị header・breadcrumb</t>
  </si>
  <si>
    <t>・role: JA_HONTEN (thuộc ja_id=100)
・Đã đăng nhập + đã xác thực MFA</t>
  </si>
  <si>
    <r>
      <rPr>
        <b/>
        <sz val="10"/>
        <color rgb="FF000000"/>
        <rFont val="メイリオ"/>
        <charset val="134"/>
      </rPr>
      <t xml:space="preserve">ステップ1：
</t>
    </r>
    <r>
      <rPr>
        <sz val="10"/>
        <color rgb="FF000000"/>
        <rFont val="メイリオ"/>
        <charset val="134"/>
      </rPr>
      <t xml:space="preserve">Xác nhận tiêu đề bên trái header phía trên màn hình
</t>
    </r>
    <r>
      <rPr>
        <b/>
        <sz val="10"/>
        <color rgb="FF000000"/>
        <rFont val="メイリオ"/>
        <charset val="134"/>
      </rPr>
      <t xml:space="preserve">ステップ2：
</t>
    </r>
    <r>
      <rPr>
        <sz val="10"/>
        <color rgb="FF000000"/>
        <rFont val="メイリオ"/>
        <charset val="134"/>
      </rPr>
      <t xml:space="preserve">Xác nhận hiển thị breadcrumb (ホーム &gt; 購読者管理 &gt; 購読者履歴情報)
</t>
    </r>
    <r>
      <rPr>
        <b/>
        <sz val="10"/>
        <color rgb="FF000000"/>
        <rFont val="メイリオ"/>
        <charset val="134"/>
      </rPr>
      <t xml:space="preserve">ステップ3：
</t>
    </r>
    <r>
      <rPr>
        <sz val="10"/>
        <color rgb="FF000000"/>
        <rFont val="メイリオ"/>
        <charset val="134"/>
      </rPr>
      <t>Xác nhận hiển thị thông tin account bên phải header</t>
    </r>
  </si>
  <si>
    <r>
      <rPr>
        <b/>
        <sz val="10"/>
        <color rgb="FF000000"/>
        <rFont val="メイリオ"/>
        <charset val="134"/>
      </rPr>
      <t xml:space="preserve">ステップ1：
</t>
    </r>
    <r>
      <rPr>
        <sz val="10"/>
        <color rgb="FF000000"/>
        <rFont val="メイリオ"/>
        <charset val="134"/>
      </rPr>
      <t xml:space="preserve">Chữ「購読者履歴情報画面」được hiển thị
</t>
    </r>
    <r>
      <rPr>
        <b/>
        <sz val="10"/>
        <color rgb="FF000000"/>
        <rFont val="メイリオ"/>
        <charset val="134"/>
      </rPr>
      <t xml:space="preserve">ステップ2：
</t>
    </r>
    <r>
      <rPr>
        <sz val="10"/>
        <color rgb="FF000000"/>
        <rFont val="メイリオ"/>
        <charset val="134"/>
      </rPr>
      <t xml:space="preserve">Breadcrumb được hiển thị theo thứ tự `ホーム &gt; 購読者管理 &gt; 購読者履歴情報`
</t>
    </r>
    <r>
      <rPr>
        <b/>
        <sz val="10"/>
        <color rgb="FF000000"/>
        <rFont val="メイリオ"/>
        <charset val="134"/>
      </rPr>
      <t xml:space="preserve">ステップ3：
</t>
    </r>
    <r>
      <rPr>
        <sz val="10"/>
        <color rgb="FF000000"/>
        <rFont val="メイリオ"/>
        <charset val="134"/>
      </rPr>
      <t xml:space="preserve">Tên account・label role đang đăng nhập được hiển thị
</t>
    </r>
    <r>
      <rPr>
        <b/>
        <sz val="10"/>
        <color rgb="FF000000"/>
        <rFont val="メイリオ"/>
        <charset val="134"/>
      </rPr>
      <t xml:space="preserve">補足：
</t>
    </r>
    <r>
      <rPr>
        <sz val="10"/>
        <color rgb="FF000000"/>
        <rFont val="メイリオ"/>
        <charset val="134"/>
      </rPr>
      <t>・Header và breadcrumb do MainLayout render, không bị render trùng lặp ở phía màn hình</t>
    </r>
  </si>
  <si>
    <t>ACSMS-TC-013-010</t>
  </si>
  <si>
    <t>Hiển thị các cột bảng danh sách lịch sử</t>
  </si>
  <si>
    <t>・role: JA_HONTEN (thuộc ja_id=100)
・Độc giả đối tượng (dokusya_id=1) có từ 1 lịch sử trở lên</t>
  </si>
  <si>
    <r>
      <rPr>
        <b/>
        <sz val="10"/>
        <color rgb="FF000000"/>
        <rFont val="メイリオ"/>
        <charset val="134"/>
      </rPr>
      <t xml:space="preserve">ステップ1：
</t>
    </r>
    <r>
      <rPr>
        <sz val="10"/>
        <color rgb="FF000000"/>
        <rFont val="メイリオ"/>
        <charset val="134"/>
      </rPr>
      <t xml:space="preserve">Xác nhận tên các cột ở hàng header của bảng danh sách lịch sử
</t>
    </r>
    <r>
      <rPr>
        <b/>
        <sz val="10"/>
        <color rgb="FF000000"/>
        <rFont val="メイリオ"/>
        <charset val="134"/>
      </rPr>
      <t xml:space="preserve">ステップ2：
</t>
    </r>
    <r>
      <rPr>
        <sz val="10"/>
        <color rgb="FF000000"/>
        <rFont val="メイリオ"/>
        <charset val="134"/>
      </rPr>
      <t xml:space="preserve">Xác nhận hiển thị giá trị của từng hàng lịch sử
</t>
    </r>
    <r>
      <rPr>
        <b/>
        <sz val="10"/>
        <color rgb="FF000000"/>
        <rFont val="メイリオ"/>
        <charset val="134"/>
      </rPr>
      <t xml:space="preserve">ステップ3：
</t>
    </r>
    <r>
      <rPr>
        <sz val="10"/>
        <color rgb="FF000000"/>
        <rFont val="メイリオ"/>
        <charset val="134"/>
      </rPr>
      <t>Xác nhận hiển thị label của các mục giá trị code (cờ mail magazine・giới tính・loại tiền gửi tài khoản trừ・loại thủ tục)</t>
    </r>
  </si>
  <si>
    <r>
      <rPr>
        <b/>
        <sz val="10"/>
        <color rgb="FF000000"/>
        <rFont val="游ゴシック"/>
        <charset val="134"/>
      </rPr>
      <t xml:space="preserve">ステップ1：
</t>
    </r>
    <r>
      <rPr>
        <sz val="10"/>
        <color rgb="FF000000"/>
        <rFont val="游ゴシック"/>
        <charset val="134"/>
      </rPr>
      <t xml:space="preserve">Các cột danh sách lịch sử theo thiết kế (履歴番号 / 購読種別 / 電子版読者種別 / 電子申込承認ステータス / 手続種別 / 管理支店 / 支店名 / 組合員コード / 購読者名 / 購読者住所 / 連絡先１ / 連絡先２ / メールアドレス / メールマガジンフラグ / 生年 / 性別 / 購読者層分類 / 農業者分類 / 購読部数 / 新聞単価 / 購読部数 / 前回購読部数 / 配達先氏名 / 配達先郵便 / 前回配達先郵便 / 配達先住所 / 前回配達先住所 / 販売店名 / 前回販売店名 / 初回購読開始日 / 増部日 / 減部日 / 購読中止日 / 変更適用日 / 最新データフラグ / 増減報告フラグ / 新規フラグ / 解約フラグ / 取消フラグ / 支払い方法 / 郵送区分 / 購読料支払いサイクル / 引落口座貯金種目 / 引落元口座店舗コード / 引落元口座店舗名 / 引落口座番号 / 引落口座名義 / 備考 / 操作) được hiển thị
</t>
    </r>
    <r>
      <rPr>
        <b/>
        <sz val="10"/>
        <color rgb="FF000000"/>
        <rFont val="游ゴシック"/>
        <charset val="134"/>
      </rPr>
      <t xml:space="preserve">ステップ2：
</t>
    </r>
    <r>
      <rPr>
        <sz val="10"/>
        <color rgb="FF000000"/>
        <rFont val="游ゴシック"/>
        <charset val="134"/>
      </rPr>
      <t xml:space="preserve">Mỗi hàng lịch sử hiển thị các giá trị như `rireki_no`, `shiten_name`, `kumiaiin_code`, `shoki_dokusya_kaishi_date` (định dạng `YYYY/MM/DD`) v.v.
</t>
    </r>
    <r>
      <rPr>
        <b/>
        <sz val="10"/>
        <color rgb="FF000000"/>
        <rFont val="游ゴシック"/>
        <charset val="134"/>
      </rPr>
      <t xml:space="preserve">ステップ3：
</t>
    </r>
    <r>
      <rPr>
        <sz val="10"/>
        <color rgb="FF000000"/>
        <rFont val="游ゴシック"/>
        <charset val="134"/>
      </rPr>
      <t xml:space="preserve">Các giá trị code (`mail_magazine_flg`, `gender`, `hikiotoshi_yokin_shubetsu`, `tetsuzuki_shurui`) được hiển thị bằng label tiếng Nhật qua `useCodesStore().label()`
</t>
    </r>
    <r>
      <rPr>
        <b/>
        <sz val="10"/>
        <color rgb="FF000000"/>
        <rFont val="游ゴシック"/>
        <charset val="134"/>
      </rPr>
      <t xml:space="preserve">補足：
</t>
    </r>
    <r>
      <rPr>
        <sz val="10"/>
        <color rgb="FF000000"/>
        <rFont val="游ゴシック"/>
        <charset val="134"/>
      </rPr>
      <t>・Label của giá trị code được lấy từ `m_code`, không bị hardcode
・Mục ngày được hiển thị theo định dạng `YYYY/MM/DD`</t>
    </r>
  </si>
  <si>
    <t>ACSMS-TC-013-011</t>
  </si>
  <si>
    <t>Highlight hàng có cờ dữ liệu mới nhất</t>
  </si>
  <si>
    <t>・role: JA_HONTEN (thuộc ja_id=100)
・Lịch sử của độc giả đối tượng (dokusya_id=1) có 1 record mới nhất với `saishin_data_flg = true`</t>
  </si>
  <si>
    <r>
      <rPr>
        <b/>
        <strike/>
        <sz val="10"/>
        <color rgb="FF000000"/>
        <rFont val="メイリオ"/>
        <charset val="134"/>
      </rPr>
      <t xml:space="preserve">ステップ1：
</t>
    </r>
    <r>
      <rPr>
        <strike/>
        <sz val="10"/>
        <color rgb="FF000000"/>
        <rFont val="メイリオ"/>
        <charset val="134"/>
      </rPr>
      <t xml:space="preserve">Xác nhận hàng đầu tiên (hàng có số lịch sử lớn nhất) của bảng danh sách lịch sử
</t>
    </r>
    <r>
      <rPr>
        <b/>
        <strike/>
        <sz val="10"/>
        <color rgb="FF000000"/>
        <rFont val="メイリオ"/>
        <charset val="134"/>
      </rPr>
      <t xml:space="preserve">ステップ2：
</t>
    </r>
    <r>
      <rPr>
        <strike/>
        <sz val="10"/>
        <color rgb="FF000000"/>
        <rFont val="メイリオ"/>
        <charset val="134"/>
      </rPr>
      <t xml:space="preserve">Xác nhận hiển thị của cột `saishin_data_flg`
</t>
    </r>
    <r>
      <rPr>
        <b/>
        <strike/>
        <sz val="10"/>
        <color rgb="FF000000"/>
        <rFont val="メイリオ"/>
        <charset val="134"/>
      </rPr>
      <t xml:space="preserve">ステップ3：
</t>
    </r>
    <r>
      <rPr>
        <strike/>
        <sz val="10"/>
        <color rgb="FF000000"/>
        <rFont val="メイリオ"/>
        <charset val="134"/>
      </rPr>
      <t>Xác nhận highlight (màu nền v.v.) của hàng dữ liệu mới nhất</t>
    </r>
  </si>
  <si>
    <r>
      <rPr>
        <b/>
        <strike/>
        <sz val="10"/>
        <color rgb="FF000000"/>
        <rFont val="メイリオ"/>
        <charset val="134"/>
      </rPr>
      <t xml:space="preserve">ステップ1：
</t>
    </r>
    <r>
      <rPr>
        <strike/>
        <sz val="10"/>
        <color rgb="FF000000"/>
        <rFont val="メイリオ"/>
        <charset val="134"/>
      </rPr>
      <t xml:space="preserve">Số lịch sử (`rireki_no`) sắp xếp giảm dần, record mới nhất hiển thị ở đầu
</t>
    </r>
    <r>
      <rPr>
        <b/>
        <strike/>
        <sz val="10"/>
        <color rgb="FF000000"/>
        <rFont val="メイリオ"/>
        <charset val="134"/>
      </rPr>
      <t xml:space="preserve">ステップ2：
</t>
    </r>
    <r>
      <rPr>
        <strike/>
        <sz val="10"/>
        <color rgb="FF000000"/>
        <rFont val="メイリオ"/>
        <charset val="134"/>
      </rPr>
      <t xml:space="preserve">Cờ dữ liệu mới nhất của hàng `saishin_data_flg = true` được hiển thị là TRUE
</t>
    </r>
    <r>
      <rPr>
        <b/>
        <strike/>
        <sz val="10"/>
        <color rgb="FF000000"/>
        <rFont val="メイリオ"/>
        <charset val="134"/>
      </rPr>
      <t xml:space="preserve">ステップ3：
</t>
    </r>
    <r>
      <rPr>
        <strike/>
        <sz val="10"/>
        <color rgb="FF000000"/>
        <rFont val="メイリオ"/>
        <charset val="134"/>
      </rPr>
      <t xml:space="preserve">Hàng dữ liệu mới nhất được highlight để phân biệt với các hàng khác
</t>
    </r>
    <r>
      <rPr>
        <b/>
        <strike/>
        <sz val="10"/>
        <color rgb="FF000000"/>
        <rFont val="メイリオ"/>
        <charset val="134"/>
      </rPr>
      <t xml:space="preserve">補足：
</t>
    </r>
    <r>
      <rPr>
        <strike/>
        <sz val="10"/>
        <color rgb="FF000000"/>
        <rFont val="メイリオ"/>
        <charset val="134"/>
      </rPr>
      <t xml:space="preserve">・Record `saishin_data_flg = true` chỉ có 1 record cho mỗi độc giả
</t>
    </r>
    <r>
      <rPr>
        <strike/>
        <sz val="10"/>
        <color rgb="FF000000"/>
        <rFont val="メイリオ"/>
        <charset val="134"/>
      </rPr>
      <t>・Record mới nhất nằm ở đầu khi sắp xếp số lịch sử giảm dần</t>
    </r>
  </si>
  <si>
    <t>ACSMS-TC-013-012</t>
  </si>
  <si>
    <t>Hoạt động responsive・horizontal scroll — PC／Tablet／Mobile</t>
  </si>
  <si>
    <t>・Đang mở màn hình thông tin lịch sử độc giả (đang hiển thị danh sách lịch sử)</t>
  </si>
  <si>
    <r>
      <rPr>
        <b/>
        <sz val="10"/>
        <color rgb="FF000000"/>
        <rFont val="メイリオ"/>
        <charset val="134"/>
      </rPr>
      <t xml:space="preserve">ステップ1：
</t>
    </r>
    <r>
      <rPr>
        <sz val="10"/>
        <color rgb="FF000000"/>
        <rFont val="メイリオ"/>
        <charset val="134"/>
      </rPr>
      <t xml:space="preserve">Đặt kích thước cửa sổ 1920×1080 (PC) và xác nhận hiển thị bảng danh sách lịch sử
</t>
    </r>
    <r>
      <rPr>
        <b/>
        <sz val="10"/>
        <color rgb="FF000000"/>
        <rFont val="メイリオ"/>
        <charset val="134"/>
      </rPr>
      <t xml:space="preserve">ステップ2：
</t>
    </r>
    <r>
      <rPr>
        <sz val="10"/>
        <color rgb="FF000000"/>
        <rFont val="メイリオ"/>
        <charset val="134"/>
      </rPr>
      <t xml:space="preserve">Đổi sang 768×1024 (Tablet) và xác nhận horizontal scroll của bảng
</t>
    </r>
    <r>
      <rPr>
        <b/>
        <sz val="10"/>
        <color rgb="FF000000"/>
        <rFont val="メイリオ"/>
        <charset val="134"/>
      </rPr>
      <t xml:space="preserve">ステップ3：
</t>
    </r>
    <r>
      <rPr>
        <sz val="10"/>
        <color rgb="FF000000"/>
        <rFont val="メイリオ"/>
        <charset val="134"/>
      </rPr>
      <t>Đổi sang 375×667 (Mobile) và xác nhận hiển thị bảng và pagination</t>
    </r>
  </si>
  <si>
    <r>
      <rPr>
        <b/>
        <sz val="10"/>
        <color rgb="FF000000"/>
        <rFont val="メイリオ"/>
        <charset val="134"/>
      </rPr>
      <t xml:space="preserve">ステップ1：
</t>
    </r>
    <r>
      <rPr>
        <sz val="10"/>
        <color rgb="FF000000"/>
        <rFont val="メイリオ"/>
        <charset val="134"/>
      </rPr>
      <t xml:space="preserve">Sidebar hiển thị cố định, bảng danh sách lịch sử hiển thị đầy đủ tất cả các cột
</t>
    </r>
    <r>
      <rPr>
        <b/>
        <sz val="10"/>
        <color rgb="FF000000"/>
        <rFont val="メイリオ"/>
        <charset val="134"/>
      </rPr>
      <t xml:space="preserve">ステップ2：
</t>
    </r>
    <r>
      <rPr>
        <sz val="10"/>
        <color rgb="FF000000"/>
        <rFont val="メイリオ"/>
        <charset val="134"/>
      </rPr>
      <t xml:space="preserve">Do số cột nhiều, horizontal scroll phát sinh trong vùng bảng, horizontal scroll của toàn màn hình không phát sinh
</t>
    </r>
    <r>
      <rPr>
        <b/>
        <sz val="10"/>
        <color rgb="FF000000"/>
        <rFont val="メイリオ"/>
        <charset val="134"/>
      </rPr>
      <t xml:space="preserve">ステップ3：
</t>
    </r>
    <r>
      <rPr>
        <sz val="10"/>
        <color rgb="FF000000"/>
        <rFont val="メイリオ"/>
        <charset val="134"/>
      </rPr>
      <t xml:space="preserve">Có thể horizontal scroll trong vùng bảng, pagination thao tác được, không vỡ layout
</t>
    </r>
    <r>
      <rPr>
        <b/>
        <sz val="10"/>
        <color rgb="FF000000"/>
        <rFont val="メイリオ"/>
        <charset val="134"/>
      </rPr>
      <t xml:space="preserve">補足：
</t>
    </r>
    <r>
      <rPr>
        <sz val="10"/>
        <color rgb="FF000000"/>
        <rFont val="メイリオ"/>
        <charset val="134"/>
      </rPr>
      <t xml:space="preserve">・Cả 3 breakpoint đều không vỡ layout
</t>
    </r>
    <r>
      <rPr>
        <sz val="10"/>
        <color rgb="FF000000"/>
        <rFont val="メイリオ"/>
        <charset val="134"/>
      </rPr>
      <t>・Danh sách lịch sử có nhiều cột có thể xem đầy đủ các mục bằng horizontal scroll trong vùng bảng</t>
    </r>
  </si>
  <si>
    <t>ACSMS-TC-013-013</t>
  </si>
  <si>
    <t>Thao tác bàn phím và thứ tự tab</t>
  </si>
  <si>
    <t>・Đang mở màn hình thông tin lịch sử độc giả, focus ở body</t>
  </si>
  <si>
    <r>
      <rPr>
        <b/>
        <sz val="10"/>
        <color rgb="FF000000"/>
        <rFont val="メイリオ"/>
        <charset val="134"/>
      </rPr>
      <t xml:space="preserve">ステップ1：
</t>
    </r>
    <r>
      <rPr>
        <sz val="10"/>
        <color rgb="FF000000"/>
        <rFont val="メイリオ"/>
        <charset val="134"/>
      </rPr>
      <t xml:space="preserve">Nhấn phím Tab liên tục và xác nhận chuyển focus
</t>
    </r>
    <r>
      <rPr>
        <b/>
        <sz val="10"/>
        <color rgb="FF000000"/>
        <rFont val="メイリオ"/>
        <charset val="134"/>
      </rPr>
      <t xml:space="preserve">ステップ2：
</t>
    </r>
    <r>
      <rPr>
        <sz val="10"/>
        <color rgb="FF000000"/>
        <rFont val="メイリオ"/>
        <charset val="134"/>
      </rPr>
      <t xml:space="preserve">Focus vào button「前の画面に戻る」và nhấn phím Enter
</t>
    </r>
    <r>
      <rPr>
        <b/>
        <sz val="10"/>
        <color rgb="FF000000"/>
        <rFont val="メイリオ"/>
        <charset val="134"/>
      </rPr>
      <t xml:space="preserve">ステップ3：
</t>
    </r>
    <r>
      <rPr>
        <sz val="10"/>
        <color rgb="FF000000"/>
        <rFont val="メイリオ"/>
        <charset val="134"/>
      </rPr>
      <t>Focus vào button số trang của pagination và nhấn phím Enter</t>
    </r>
  </si>
  <si>
    <r>
      <rPr>
        <b/>
        <sz val="10"/>
        <color rgb="FF000000"/>
        <rFont val="メイリオ"/>
        <charset val="134"/>
      </rPr>
      <t xml:space="preserve">ステップ1：
</t>
    </r>
    <r>
      <rPr>
        <sz val="10"/>
        <color rgb="FF000000"/>
        <rFont val="メイリオ"/>
        <charset val="134"/>
      </rPr>
      <t xml:space="preserve">Focus chuyển theo thứ tự button「前の画面に戻る」→ pagination
</t>
    </r>
    <r>
      <rPr>
        <b/>
        <sz val="10"/>
        <color rgb="FF000000"/>
        <rFont val="メイリオ"/>
        <charset val="134"/>
      </rPr>
      <t xml:space="preserve">ステップ2：
</t>
    </r>
    <r>
      <rPr>
        <sz val="10"/>
        <color rgb="FF000000"/>
        <rFont val="メイリオ"/>
        <charset val="134"/>
      </rPr>
      <t xml:space="preserve">Xử lý nhấn button「前の画面に戻る」được thực hiện, chuyển sang màn hình đăng ký thông tin độc giả
</t>
    </r>
    <r>
      <rPr>
        <b/>
        <sz val="10"/>
        <color rgb="FF000000"/>
        <rFont val="メイリオ"/>
        <charset val="134"/>
      </rPr>
      <t xml:space="preserve">ステップ3：
</t>
    </r>
    <r>
      <rPr>
        <sz val="10"/>
        <color rgb="FF000000"/>
        <rFont val="メイリオ"/>
        <charset val="134"/>
      </rPr>
      <t xml:space="preserve">Dữ liệu lịch sử của trang tương ứng được lấy・hiển thị
</t>
    </r>
    <r>
      <rPr>
        <b/>
        <sz val="10"/>
        <color rgb="FF000000"/>
        <rFont val="メイリオ"/>
        <charset val="134"/>
      </rPr>
      <t xml:space="preserve">補足：
</t>
    </r>
    <r>
      <rPr>
        <sz val="10"/>
        <color rgb="FF000000"/>
        <rFont val="メイリオ"/>
        <charset val="134"/>
      </rPr>
      <t xml:space="preserve">・Tất cả các phần tử thao tác đều có thể thao tác bằng bàn phím
</t>
    </r>
    <r>
      <rPr>
        <sz val="10"/>
        <color rgb="FF000000"/>
        <rFont val="メイリオ"/>
        <charset val="134"/>
      </rPr>
      <t>・Thứ tự tab đúng theo thiết kế</t>
    </r>
  </si>
  <si>
    <t>Kiểm tra input (Input Validation)</t>
  </si>
  <si>
    <t>ACSMS-TC-013-014</t>
  </si>
  <si>
    <t>Giá trị biên của tham số page (giá trị nhỏ nhất・giá trị mặc định)</t>
  </si>
  <si>
    <t>・role: JA_HONTEN (thuộc ja_id=100)
・Độc giả đối tượng (dokusya_id=1) có từ 21 lịch sử trở lên</t>
  </si>
  <si>
    <r>
      <rPr>
        <b/>
        <strike/>
        <sz val="10"/>
        <color rgb="FF000000"/>
        <rFont val="メイリオ"/>
        <charset val="134"/>
      </rPr>
      <t xml:space="preserve">ステップ1：
</t>
    </r>
    <r>
      <rPr>
        <strike/>
        <sz val="10"/>
        <color rgb="FF000000"/>
        <rFont val="メイリオ"/>
        <charset val="134"/>
      </rPr>
      <t xml:space="preserve">Thực thi `fetch('/api/v1/dokusya/1/rireki?page=1', { credentials: 'include' })` từ Console của DevTools
</t>
    </r>
    <r>
      <rPr>
        <b/>
        <strike/>
        <sz val="10"/>
        <color rgb="FF000000"/>
        <rFont val="メイリオ"/>
        <charset val="134"/>
      </rPr>
      <t xml:space="preserve">ステップ2：
</t>
    </r>
    <r>
      <rPr>
        <strike/>
        <sz val="10"/>
        <color rgb="FF000000"/>
        <rFont val="メイリオ"/>
        <charset val="134"/>
      </rPr>
      <t xml:space="preserve">Thực thi GET `/api/v1/dokusya/1/rireki` (bỏ qua `page`) và xác nhận trang mặc định
</t>
    </r>
    <r>
      <rPr>
        <b/>
        <strike/>
        <sz val="10"/>
        <color rgb="FF000000"/>
        <rFont val="メイリオ"/>
        <charset val="134"/>
      </rPr>
      <t xml:space="preserve">ステップ3：
</t>
    </r>
    <r>
      <rPr>
        <strike/>
        <sz val="10"/>
        <color rgb="FF000000"/>
        <rFont val="メイリオ"/>
        <charset val="134"/>
      </rPr>
      <t>Thực thi `fetch('/api/v1/dokusya/1/rireki?page=0', { credentials: 'include' })` từ Console của DevTools (nhỏ hơn giá trị nhỏ nhất)</t>
    </r>
  </si>
  <si>
    <r>
      <rPr>
        <b/>
        <strike/>
        <sz val="10"/>
        <color rgb="FF000000"/>
        <rFont val="メイリオ"/>
        <charset val="134"/>
      </rPr>
      <t xml:space="preserve">ステップ1：
</t>
    </r>
    <r>
      <rPr>
        <strike/>
        <sz val="10"/>
        <color rgb="FF000000"/>
        <rFont val="メイリオ"/>
        <charset val="134"/>
      </rPr>
      <t xml:space="preserve">Trả về HTTP 200 (`meta.page = 1`, lịch sử trang đầu được trả về)
</t>
    </r>
    <r>
      <rPr>
        <b/>
        <strike/>
        <sz val="10"/>
        <color rgb="FF000000"/>
        <rFont val="メイリオ"/>
        <charset val="134"/>
      </rPr>
      <t xml:space="preserve">ステップ2：
</t>
    </r>
    <r>
      <rPr>
        <strike/>
        <sz val="10"/>
        <color rgb="FF000000"/>
        <rFont val="メイリオ"/>
        <charset val="134"/>
      </rPr>
      <t xml:space="preserve">Trả về HTTP 200 (khi bỏ qua `page` thì áp dụng giá trị mặc định `1`, trang đầu được trả về)
</t>
    </r>
    <r>
      <rPr>
        <b/>
        <strike/>
        <sz val="10"/>
        <color rgb="FF000000"/>
        <rFont val="メイリオ"/>
        <charset val="134"/>
      </rPr>
      <t xml:space="preserve">ステップ3：
</t>
    </r>
    <r>
      <rPr>
        <strike/>
        <sz val="10"/>
        <color rgb="FF000000"/>
        <rFont val="メイリオ"/>
        <charset val="134"/>
      </rPr>
      <t xml:space="preserve">Trả về HTTP 400 (`error_code: VALIDATION_ERROR`, message `入力値が不正です。詳細はerrorsフィールドを確認してください。`, `page` phải `&gt;= 1`)
</t>
    </r>
    <r>
      <rPr>
        <b/>
        <strike/>
        <sz val="10"/>
        <color rgb="FF000000"/>
        <rFont val="メイリオ"/>
        <charset val="134"/>
      </rPr>
      <t xml:space="preserve">補足：
</t>
    </r>
    <r>
      <rPr>
        <strike/>
        <sz val="10"/>
        <color rgb="FF000000"/>
        <rFont val="メイリオ"/>
        <charset val="134"/>
      </rPr>
      <t xml:space="preserve">・`page` là kiểu số・`&gt;= 1`, mặc định `1` (処理手順 4.1)
</t>
    </r>
    <r>
      <rPr>
        <strike/>
        <sz val="10"/>
        <color rgb="FF000000"/>
        <rFont val="メイリオ"/>
        <charset val="134"/>
      </rPr>
      <t>・Giá trị từ `0` trở xuống sẽ báo lỗi validation</t>
    </r>
  </si>
  <si>
    <t>ACSMS-TC-013-015</t>
  </si>
  <si>
    <t>Giá trị biên của tham số per_page (nhỏ nhất 1・lớn nhất 100)</t>
  </si>
  <si>
    <t>・role: JA_HONTEN (thuộc ja_id=100)
・Độc giả đối tượng (dokusya_id=1) có từ 101 lịch sử trở lên</t>
  </si>
  <si>
    <r>
      <rPr>
        <b/>
        <strike/>
        <sz val="10"/>
        <color rgb="FF000000"/>
        <rFont val="メイリオ"/>
        <charset val="134"/>
      </rPr>
      <t xml:space="preserve">ステップ1：
</t>
    </r>
    <r>
      <rPr>
        <strike/>
        <sz val="10"/>
        <color rgb="FF000000"/>
        <rFont val="メイリオ"/>
        <charset val="134"/>
      </rPr>
      <t xml:space="preserve">Thực thi `fetch('/api/v1/dokusya/1/rireki?per_page=1', { credentials: 'include' })` từ Console của DevTools (giá trị nhỏ nhất)
</t>
    </r>
    <r>
      <rPr>
        <b/>
        <strike/>
        <sz val="10"/>
        <color rgb="FF000000"/>
        <rFont val="メイリオ"/>
        <charset val="134"/>
      </rPr>
      <t xml:space="preserve">ステップ2：
</t>
    </r>
    <r>
      <rPr>
        <strike/>
        <sz val="10"/>
        <color rgb="FF000000"/>
        <rFont val="メイリオ"/>
        <charset val="134"/>
      </rPr>
      <t xml:space="preserve">Thực thi `fetch('/api/v1/dokusya/1/rireki?per_page=100', { credentials: 'include' })` từ Console của DevTools (giá trị lớn nhất)
</t>
    </r>
    <r>
      <rPr>
        <b/>
        <strike/>
        <sz val="10"/>
        <color rgb="FF000000"/>
        <rFont val="メイリオ"/>
        <charset val="134"/>
      </rPr>
      <t xml:space="preserve">ステップ3：
</t>
    </r>
    <r>
      <rPr>
        <strike/>
        <sz val="10"/>
        <color rgb="FF000000"/>
        <rFont val="メイリオ"/>
        <charset val="134"/>
      </rPr>
      <t xml:space="preserve">Thực thi `fetch('/api/v1/dokusya/1/rireki?per_page=101', { credentials: 'include' })` từ Console của DevTools (vượt giá trị lớn nhất)
</t>
    </r>
    <r>
      <rPr>
        <b/>
        <strike/>
        <sz val="10"/>
        <color rgb="FF000000"/>
        <rFont val="メイリオ"/>
        <charset val="134"/>
      </rPr>
      <t xml:space="preserve">ステップ4：
</t>
    </r>
    <r>
      <rPr>
        <strike/>
        <sz val="10"/>
        <color rgb="FF000000"/>
        <rFont val="メイリオ"/>
        <charset val="134"/>
      </rPr>
      <t>Thực thi `fetch('/api/v1/dokusya/1/rireki?per_page=0', { credentials: 'include' })` từ Console của DevTools (nhỏ hơn giá trị nhỏ nhất)</t>
    </r>
  </si>
  <si>
    <r>
      <rPr>
        <b/>
        <strike/>
        <sz val="10"/>
        <color rgb="FF000000"/>
        <rFont val="メイリオ"/>
        <charset val="134"/>
      </rPr>
      <t xml:space="preserve">ステップ1：
</t>
    </r>
    <r>
      <rPr>
        <strike/>
        <sz val="10"/>
        <color rgb="FF000000"/>
        <rFont val="メイリオ"/>
        <charset val="134"/>
      </rPr>
      <t xml:space="preserve">Trả về HTTP 200 (`meta.per_page = 1`, chỉ trả về 1 record)
</t>
    </r>
    <r>
      <rPr>
        <b/>
        <strike/>
        <sz val="10"/>
        <color rgb="FF000000"/>
        <rFont val="メイリオ"/>
        <charset val="134"/>
      </rPr>
      <t xml:space="preserve">ステップ2：
</t>
    </r>
    <r>
      <rPr>
        <strike/>
        <sz val="10"/>
        <color rgb="FF000000"/>
        <rFont val="メイリオ"/>
        <charset val="134"/>
      </rPr>
      <t xml:space="preserve">Trả về HTTP 200 (`meta.per_page = 100`, trả về tối đa 100 record)
</t>
    </r>
    <r>
      <rPr>
        <b/>
        <strike/>
        <sz val="10"/>
        <color rgb="FF000000"/>
        <rFont val="メイリオ"/>
        <charset val="134"/>
      </rPr>
      <t xml:space="preserve">ステップ3：
</t>
    </r>
    <r>
      <rPr>
        <strike/>
        <sz val="10"/>
        <color rgb="FF000000"/>
        <rFont val="メイリオ"/>
        <charset val="134"/>
      </rPr>
      <t xml:space="preserve">Trả về HTTP 400 (`error_code: VALIDATION_ERROR`, message `入力値が不正です。詳細はerrorsフィールドを確認してください。`, `per_page` phải `1 &lt;= per_page &lt;= 100`)
</t>
    </r>
    <r>
      <rPr>
        <b/>
        <strike/>
        <sz val="10"/>
        <color rgb="FF000000"/>
        <rFont val="メイリオ"/>
        <charset val="134"/>
      </rPr>
      <t xml:space="preserve">ステップ4：
</t>
    </r>
    <r>
      <rPr>
        <strike/>
        <sz val="10"/>
        <color rgb="FF000000"/>
        <rFont val="メイリオ"/>
        <charset val="134"/>
      </rPr>
      <t xml:space="preserve">Trả về HTTP 400 (`error_code: VALIDATION_ERROR`, message `入力値が不正です。詳細はerrorsフィールドを確認してください。`)
</t>
    </r>
    <r>
      <rPr>
        <b/>
        <strike/>
        <sz val="10"/>
        <color rgb="FF000000"/>
        <rFont val="メイリオ"/>
        <charset val="134"/>
      </rPr>
      <t xml:space="preserve">補足：
</t>
    </r>
    <r>
      <rPr>
        <strike/>
        <sz val="10"/>
        <color rgb="FF000000"/>
        <rFont val="メイリオ"/>
        <charset val="134"/>
      </rPr>
      <t xml:space="preserve">・`per_page` là kiểu số・`1 &lt;= per_page &lt;= 100`, mặc định `20` (機能定義 3.1 mặc định 20, lớn nhất 100)
</t>
    </r>
    <r>
      <rPr>
        <strike/>
        <sz val="10"/>
        <color rgb="FF000000"/>
        <rFont val="メイリオ"/>
        <charset val="134"/>
      </rPr>
      <t>・Giá trị từ `0` trở xuống và từ `101` trở lên sẽ báo lỗi validation</t>
    </r>
  </si>
  <si>
    <t>ACSMS-TC-013-016</t>
  </si>
  <si>
    <t>Giá trị mặc định của per_page khi bỏ qua (20 record)</t>
  </si>
  <si>
    <r>
      <rPr>
        <b/>
        <strike/>
        <sz val="10"/>
        <color rgb="FF000000"/>
        <rFont val="メイリオ"/>
        <charset val="134"/>
      </rPr>
      <t xml:space="preserve">ステップ1：
</t>
    </r>
    <r>
      <rPr>
        <strike/>
        <sz val="10"/>
        <color rgb="FF000000"/>
        <rFont val="メイリオ"/>
        <charset val="134"/>
      </rPr>
      <t xml:space="preserve">Mở màn hình thông tin lịch sử độc giả
</t>
    </r>
    <r>
      <rPr>
        <b/>
        <strike/>
        <sz val="10"/>
        <color rgb="FF000000"/>
        <rFont val="メイリオ"/>
        <charset val="134"/>
      </rPr>
      <t xml:space="preserve">ステップ2：
</t>
    </r>
    <r>
      <rPr>
        <strike/>
        <sz val="10"/>
        <color rgb="FF000000"/>
        <rFont val="メイリオ"/>
        <charset val="134"/>
      </rPr>
      <t xml:space="preserve">Xác nhận response của GET `/api/v1/dokusya/1/rireki` (bỏ qua `per_page`) bằng tab Network của DevTools
</t>
    </r>
    <r>
      <rPr>
        <b/>
        <strike/>
        <sz val="10"/>
        <color rgb="FF000000"/>
        <rFont val="メイリオ"/>
        <charset val="134"/>
      </rPr>
      <t xml:space="preserve">ステップ3：
</t>
    </r>
    <r>
      <rPr>
        <strike/>
        <sz val="10"/>
        <color rgb="FF000000"/>
        <rFont val="メイリオ"/>
        <charset val="134"/>
      </rPr>
      <t>Xác nhận số lượng hiển thị của danh sách lịch sử</t>
    </r>
  </si>
  <si>
    <r>
      <rPr>
        <b/>
        <strike/>
        <sz val="10"/>
        <color rgb="FF000000"/>
        <rFont val="メイリオ"/>
        <charset val="134"/>
      </rPr>
      <t xml:space="preserve">ステップ1：
</t>
    </r>
    <r>
      <rPr>
        <strike/>
        <sz val="10"/>
        <color rgb="FF000000"/>
        <rFont val="メイリオ"/>
        <charset val="134"/>
      </rPr>
      <t xml:space="preserve">Danh sách lịch sử được hiển thị
</t>
    </r>
    <r>
      <rPr>
        <b/>
        <strike/>
        <sz val="10"/>
        <color rgb="FF000000"/>
        <rFont val="メイリオ"/>
        <charset val="134"/>
      </rPr>
      <t xml:space="preserve">ステップ2：
</t>
    </r>
    <r>
      <rPr>
        <strike/>
        <sz val="10"/>
        <color rgb="FF000000"/>
        <rFont val="メイリオ"/>
        <charset val="134"/>
      </rPr>
      <t xml:space="preserve">Trả về HTTP 200 (`meta.per_page = 20`)
</t>
    </r>
    <r>
      <rPr>
        <b/>
        <strike/>
        <sz val="10"/>
        <color rgb="FF000000"/>
        <rFont val="メイリオ"/>
        <charset val="134"/>
      </rPr>
      <t xml:space="preserve">ステップ3：
</t>
    </r>
    <r>
      <rPr>
        <strike/>
        <sz val="10"/>
        <color rgb="FF000000"/>
        <rFont val="メイリオ"/>
        <charset val="134"/>
      </rPr>
      <t xml:space="preserve">Tối đa 20 record lịch sử hiển thị trên mỗi trang
</t>
    </r>
    <r>
      <rPr>
        <b/>
        <strike/>
        <sz val="10"/>
        <color rgb="FF000000"/>
        <rFont val="メイリオ"/>
        <charset val="134"/>
      </rPr>
      <t xml:space="preserve">補足：
</t>
    </r>
    <r>
      <rPr>
        <strike/>
        <sz val="10"/>
        <color rgb="FF000000"/>
        <rFont val="メイリオ"/>
        <charset val="134"/>
      </rPr>
      <t>・Khi bỏ qua `per_page` thì áp dụng giá trị mặc định `20` (機能定義 3.1)</t>
    </r>
  </si>
  <si>
    <t>ACSMS-TC-013-017</t>
  </si>
  <si>
    <t>Kiểm tra danh sách cho phép của tham số sort_by</t>
  </si>
  <si>
    <r>
      <rPr>
        <b/>
        <strike/>
        <sz val="10"/>
        <color rgb="FF000000"/>
        <rFont val="メイリオ"/>
        <charset val="134"/>
      </rPr>
      <t xml:space="preserve">ステップ1：
</t>
    </r>
    <r>
      <rPr>
        <strike/>
        <sz val="10"/>
        <color rgb="FF000000"/>
        <rFont val="メイリオ"/>
        <charset val="134"/>
      </rPr>
      <t xml:space="preserve">Thực thi `fetch('/api/v1/dokusya/1/rireki?sort_by=rireki_no', { credentials: 'include' })` từ Console của DevTools (trong danh sách cho phép)
</t>
    </r>
    <r>
      <rPr>
        <b/>
        <strike/>
        <sz val="10"/>
        <color rgb="FF000000"/>
        <rFont val="メイリオ"/>
        <charset val="134"/>
      </rPr>
      <t xml:space="preserve">ステップ2：
</t>
    </r>
    <r>
      <rPr>
        <strike/>
        <sz val="10"/>
        <color rgb="FF000000"/>
        <rFont val="メイリオ"/>
        <charset val="134"/>
      </rPr>
      <t xml:space="preserve">Thực thi `fetch('/api/v1/dokusya/1/rireki?sort_by=dokusya_kaishi_date', { credentials: 'include' })` từ Console của DevTools (trong danh sách cho phép)
</t>
    </r>
    <r>
      <rPr>
        <b/>
        <strike/>
        <sz val="10"/>
        <color rgb="FF000000"/>
        <rFont val="メイリオ"/>
        <charset val="134"/>
      </rPr>
      <t xml:space="preserve">ステップ3：
</t>
    </r>
    <r>
      <rPr>
        <strike/>
        <sz val="10"/>
        <color rgb="FF000000"/>
        <rFont val="メイリオ"/>
        <charset val="134"/>
      </rPr>
      <t>Thực thi `fetch('/api/v1/dokusya/1/rireki?sort_by=password_hash', { credentials: 'include' })` từ Console của DevTools (ngoài danh sách cho phép)</t>
    </r>
  </si>
  <si>
    <r>
      <rPr>
        <b/>
        <strike/>
        <sz val="10"/>
        <color rgb="FF000000"/>
        <rFont val="メイリオ"/>
        <charset val="134"/>
      </rPr>
      <t xml:space="preserve">ステップ1：
</t>
    </r>
    <r>
      <rPr>
        <strike/>
        <sz val="10"/>
        <color rgb="FF000000"/>
        <rFont val="メイリオ"/>
        <charset val="134"/>
      </rPr>
      <t xml:space="preserve">Trả về HTTP 200 (lịch sử được sắp xếp theo `rireki_no`)
</t>
    </r>
    <r>
      <rPr>
        <b/>
        <strike/>
        <sz val="10"/>
        <color rgb="FF000000"/>
        <rFont val="メイリオ"/>
        <charset val="134"/>
      </rPr>
      <t xml:space="preserve">ステップ2：
</t>
    </r>
    <r>
      <rPr>
        <strike/>
        <sz val="10"/>
        <color rgb="FF000000"/>
        <rFont val="メイリオ"/>
        <charset val="134"/>
      </rPr>
      <t xml:space="preserve">Trả về HTTP 200 (lịch sử được sắp xếp theo `dokusya_kaishi_date`)
</t>
    </r>
    <r>
      <rPr>
        <b/>
        <strike/>
        <sz val="10"/>
        <color rgb="FF000000"/>
        <rFont val="メイリオ"/>
        <charset val="134"/>
      </rPr>
      <t xml:space="preserve">ステップ3：
</t>
    </r>
    <r>
      <rPr>
        <strike/>
        <sz val="10"/>
        <color rgb="FF000000"/>
        <rFont val="メイリオ"/>
        <charset val="134"/>
      </rPr>
      <t xml:space="preserve">Trả về HTTP 400 (`error_code: VALIDATION_ERROR`, message `入力値が不正です。詳細はerrorsフィールドを確認してください。`)
</t>
    </r>
    <r>
      <rPr>
        <b/>
        <strike/>
        <sz val="10"/>
        <color rgb="FF000000"/>
        <rFont val="メイリオ"/>
        <charset val="134"/>
      </rPr>
      <t xml:space="preserve">補足：
</t>
    </r>
    <r>
      <rPr>
        <strike/>
        <sz val="10"/>
        <color rgb="FF000000"/>
        <rFont val="メイリオ"/>
        <charset val="134"/>
      </rPr>
      <t xml:space="preserve">・Danh sách cho phép của `sort_by` là `{rireki_no, dokusya_kaishi_date, joho_henko_tekiyo_date, created_at}` (処理手順 4.1)
</t>
    </r>
    <r>
      <rPr>
        <strike/>
        <sz val="10"/>
        <color rgb="FF000000"/>
        <rFont val="メイリオ"/>
        <charset val="134"/>
      </rPr>
      <t>・Khi chỉ định tên cột ngoài danh sách cho phép sẽ báo lỗi validation, không thực hiện sort theo cột không hợp lệ</t>
    </r>
  </si>
  <si>
    <t>ACSMS-TC-013-018</t>
  </si>
  <si>
    <t>Kiểm tra giá trị cho phép của tham số sort_order</t>
  </si>
  <si>
    <t>・role: JA_HONTEN (thuộc ja_id=100)
・Độc giả đối tượng (dokusya_id=1) có từ 2 lịch sử trở lên</t>
  </si>
  <si>
    <r>
      <rPr>
        <b/>
        <strike/>
        <sz val="10"/>
        <color rgb="FF000000"/>
        <rFont val="メイリオ"/>
        <charset val="134"/>
      </rPr>
      <t xml:space="preserve">ステップ1：
</t>
    </r>
    <r>
      <rPr>
        <strike/>
        <sz val="10"/>
        <color rgb="FF000000"/>
        <rFont val="メイリオ"/>
        <charset val="134"/>
      </rPr>
      <t xml:space="preserve">Thực thi `fetch('/api/v1/dokusya/1/rireki?sort_order=asc', { credentials: 'include' })` từ Console của DevTools
</t>
    </r>
    <r>
      <rPr>
        <b/>
        <strike/>
        <sz val="10"/>
        <color rgb="FF000000"/>
        <rFont val="メイリオ"/>
        <charset val="134"/>
      </rPr>
      <t xml:space="preserve">ステップ2：
</t>
    </r>
    <r>
      <rPr>
        <strike/>
        <sz val="10"/>
        <color rgb="FF000000"/>
        <rFont val="メイリオ"/>
        <charset val="134"/>
      </rPr>
      <t xml:space="preserve">Thực thi `fetch('/api/v1/dokusya/1/rireki?sort_order=desc', { credentials: 'include' })` từ Console của DevTools
</t>
    </r>
    <r>
      <rPr>
        <b/>
        <strike/>
        <sz val="10"/>
        <color rgb="FF000000"/>
        <rFont val="メイリオ"/>
        <charset val="134"/>
      </rPr>
      <t xml:space="preserve">ステップ3：
</t>
    </r>
    <r>
      <rPr>
        <strike/>
        <sz val="10"/>
        <color rgb="FF000000"/>
        <rFont val="メイリオ"/>
        <charset val="134"/>
      </rPr>
      <t>Thực thi `fetch('/api/v1/dokusya/1/rireki?sort_order=invalid', { credentials: 'include' })` từ Console của DevTools (ngoài giá trị cho phép)</t>
    </r>
  </si>
  <si>
    <r>
      <rPr>
        <b/>
        <strike/>
        <sz val="10"/>
        <color rgb="FF000000"/>
        <rFont val="メイリオ"/>
        <charset val="134"/>
      </rPr>
      <t xml:space="preserve">ステップ1：
</t>
    </r>
    <r>
      <rPr>
        <strike/>
        <sz val="10"/>
        <color rgb="FF000000"/>
        <rFont val="メイリオ"/>
        <charset val="134"/>
      </rPr>
      <t xml:space="preserve">Trả về HTTP 200 (lịch sử được trả về theo thứ tự tăng dần của số lịch sử)
</t>
    </r>
    <r>
      <rPr>
        <b/>
        <strike/>
        <sz val="10"/>
        <color rgb="FF000000"/>
        <rFont val="メイリオ"/>
        <charset val="134"/>
      </rPr>
      <t xml:space="preserve">ステップ2：
</t>
    </r>
    <r>
      <rPr>
        <strike/>
        <sz val="10"/>
        <color rgb="FF000000"/>
        <rFont val="メイリオ"/>
        <charset val="134"/>
      </rPr>
      <t xml:space="preserve">Trả về HTTP 200 (lịch sử được trả về theo thứ tự giảm dần của số lịch sử)
</t>
    </r>
    <r>
      <rPr>
        <b/>
        <strike/>
        <sz val="10"/>
        <color rgb="FF000000"/>
        <rFont val="メイリオ"/>
        <charset val="134"/>
      </rPr>
      <t xml:space="preserve">ステップ3：
</t>
    </r>
    <r>
      <rPr>
        <strike/>
        <sz val="10"/>
        <color rgb="FF000000"/>
        <rFont val="メイリオ"/>
        <charset val="134"/>
      </rPr>
      <t xml:space="preserve">Trả về HTTP 400 (`error_code: VALIDATION_ERROR`, message `入力値が不正です。詳細はerrorsフィールドを確認してください。`)
</t>
    </r>
    <r>
      <rPr>
        <b/>
        <strike/>
        <sz val="10"/>
        <color rgb="FF000000"/>
        <rFont val="メイリオ"/>
        <charset val="134"/>
      </rPr>
      <t xml:space="preserve">補足：
</t>
    </r>
    <r>
      <rPr>
        <strike/>
        <sz val="10"/>
        <color rgb="FF000000"/>
        <rFont val="メイリオ"/>
        <charset val="134"/>
      </rPr>
      <t xml:space="preserve">・Giá trị cho phép của `sort_order` là `{asc, desc}`, mặc định `desc` (機能定義 1.2 record mới nhất ở đầu, 処理手順 4.1)
</t>
    </r>
    <r>
      <rPr>
        <strike/>
        <sz val="10"/>
        <color rgb="FF000000"/>
        <rFont val="メイリオ"/>
        <charset val="134"/>
      </rPr>
      <t>・Giá trị khác `asc` / `desc` sẽ báo lỗi validation</t>
    </r>
  </si>
  <si>
    <t>ACSMS-TC-013-019</t>
  </si>
  <si>
    <t>Kiểm tra kiểu của path parameter dokusya_id</t>
  </si>
  <si>
    <t>・role: JA_HONTEN (thuộc ja_id=100)
・Có quyền「dokusya.view」</t>
  </si>
  <si>
    <r>
      <rPr>
        <b/>
        <strike/>
        <sz val="10"/>
        <color rgb="FF000000"/>
        <rFont val="メイリオ"/>
        <charset val="134"/>
      </rPr>
      <t xml:space="preserve">ステップ1：
</t>
    </r>
    <r>
      <rPr>
        <strike/>
        <sz val="10"/>
        <color rgb="FF000000"/>
        <rFont val="メイリオ"/>
        <charset val="134"/>
      </rPr>
      <t xml:space="preserve">Thực thi `fetch('/api/v1/dokusya/abc/rireki', { credentials: 'include' })` từ Console của DevTools (không phải kiểu số)
</t>
    </r>
    <r>
      <rPr>
        <b/>
        <strike/>
        <sz val="10"/>
        <color rgb="FF000000"/>
        <rFont val="メイリオ"/>
        <charset val="134"/>
      </rPr>
      <t xml:space="preserve">ステップ2：
</t>
    </r>
    <r>
      <rPr>
        <strike/>
        <sz val="10"/>
        <color rgb="FF000000"/>
        <rFont val="メイリオ"/>
        <charset val="134"/>
      </rPr>
      <t>Xác nhận HTTP status và error_code của response</t>
    </r>
  </si>
  <si>
    <r>
      <rPr>
        <b/>
        <strike/>
        <sz val="10"/>
        <color rgb="FF000000"/>
        <rFont val="メイリオ"/>
        <charset val="134"/>
      </rPr>
      <t xml:space="preserve">ステップ1：
</t>
    </r>
    <r>
      <rPr>
        <strike/>
        <sz val="10"/>
        <color rgb="FF000000"/>
        <rFont val="メイリオ"/>
        <charset val="134"/>
      </rPr>
      <t xml:space="preserve">Request bị từ chối bởi validation phía backend
</t>
    </r>
    <r>
      <rPr>
        <b/>
        <strike/>
        <sz val="10"/>
        <color rgb="FF000000"/>
        <rFont val="メイリオ"/>
        <charset val="134"/>
      </rPr>
      <t xml:space="preserve">ステップ2：
</t>
    </r>
    <r>
      <rPr>
        <strike/>
        <sz val="10"/>
        <color rgb="FF000000"/>
        <rFont val="メイリオ"/>
        <charset val="134"/>
      </rPr>
      <t xml:space="preserve">Trả về HTTP 400 (`error_code: BAD_REQUEST`, message `リクエストパラメータが不正です。`)
</t>
    </r>
    <r>
      <rPr>
        <b/>
        <strike/>
        <sz val="10"/>
        <color rgb="FF000000"/>
        <rFont val="メイリオ"/>
        <charset val="134"/>
      </rPr>
      <t xml:space="preserve">補足：
</t>
    </r>
    <r>
      <rPr>
        <strike/>
        <sz val="10"/>
        <color rgb="FF000000"/>
        <rFont val="メイリオ"/>
        <charset val="134"/>
      </rPr>
      <t xml:space="preserve">・`dokusya_id` là kiểu số・bắt buộc (処理手順 4.1)
</t>
    </r>
    <r>
      <rPr>
        <strike/>
        <sz val="10"/>
        <color rgb="FF000000"/>
        <rFont val="メイリオ"/>
        <charset val="134"/>
      </rPr>
      <t>・Path parameter không phải kiểu số được map thành BAD_REQUEST</t>
    </r>
  </si>
  <si>
    <t>ACSMS-TC-013-020</t>
  </si>
  <si>
    <t>Input SQL injection (tham số sort_by)</t>
  </si>
  <si>
    <r>
      <rPr>
        <b/>
        <strike/>
        <sz val="10"/>
        <color rgb="FF000000"/>
        <rFont val="メイリオ"/>
        <charset val="134"/>
      </rPr>
      <t xml:space="preserve">ステップ1：
</t>
    </r>
    <r>
      <rPr>
        <strike/>
        <sz val="10"/>
        <color rgb="FF000000"/>
        <rFont val="メイリオ"/>
        <charset val="134"/>
      </rPr>
      <t xml:space="preserve">Thực thi `fetch('/api/v1/dokusya/1/rireki?sort_by=rireki_no;DROP TABLE t_dokusya_rireki;--', { credentials: 'include' })` từ Console của DevTools
</t>
    </r>
    <r>
      <rPr>
        <b/>
        <strike/>
        <sz val="10"/>
        <color rgb="FF000000"/>
        <rFont val="メイリオ"/>
        <charset val="134"/>
      </rPr>
      <t xml:space="preserve">ステップ2：
</t>
    </r>
    <r>
      <rPr>
        <strike/>
        <sz val="10"/>
        <color rgb="FF000000"/>
        <rFont val="メイリオ"/>
        <charset val="134"/>
      </rPr>
      <t xml:space="preserve">Xác nhận HTTP status và error_code của response
</t>
    </r>
    <r>
      <rPr>
        <b/>
        <strike/>
        <sz val="10"/>
        <color rgb="FF000000"/>
        <rFont val="メイリオ"/>
        <charset val="134"/>
      </rPr>
      <t xml:space="preserve">ステップ3：
</t>
    </r>
    <r>
      <rPr>
        <strike/>
        <sz val="10"/>
        <color rgb="FF000000"/>
        <rFont val="メイリオ"/>
        <charset val="134"/>
      </rPr>
      <t>Xác nhận DB: `SELECT COUNT(*) FROM t_dokusya_rireki WHERE dokusya_id = 1`</t>
    </r>
  </si>
  <si>
    <r>
      <rPr>
        <b/>
        <strike/>
        <sz val="10"/>
        <color rgb="FF000000"/>
        <rFont val="メイリオ"/>
        <charset val="134"/>
      </rPr>
      <t xml:space="preserve">ステップ1：
</t>
    </r>
    <r>
      <rPr>
        <strike/>
        <sz val="10"/>
        <color rgb="FF000000"/>
        <rFont val="メイリオ"/>
        <charset val="134"/>
      </rPr>
      <t xml:space="preserve">Request bị từ chối bởi validation phía backend
</t>
    </r>
    <r>
      <rPr>
        <b/>
        <strike/>
        <sz val="10"/>
        <color rgb="FF000000"/>
        <rFont val="メイリオ"/>
        <charset val="134"/>
      </rPr>
      <t xml:space="preserve">ステップ2：
</t>
    </r>
    <r>
      <rPr>
        <strike/>
        <sz val="10"/>
        <color rgb="FF000000"/>
        <rFont val="メイリオ"/>
        <charset val="134"/>
      </rPr>
      <t xml:space="preserve">Trả về HTTP 400 (`error_code: VALIDATION_ERROR`, message `入力値が不正です。詳細はerrorsフィールドを確認してください。`, do `sort_by` ngoài danh sách cho phép)
</t>
    </r>
    <r>
      <rPr>
        <b/>
        <strike/>
        <sz val="10"/>
        <color rgb="FF000000"/>
        <rFont val="メイリオ"/>
        <charset val="134"/>
      </rPr>
      <t xml:space="preserve">ステップ3：
</t>
    </r>
    <r>
      <rPr>
        <strike/>
        <sz val="10"/>
        <color rgb="FF000000"/>
        <rFont val="メイリオ"/>
        <charset val="134"/>
      </rPr>
      <t xml:space="preserve">Bảng `t_dokusya_rireki` không bị xóa, số lượng lịch sử của độc giả đối tượng không thay đổi
</t>
    </r>
    <r>
      <rPr>
        <b/>
        <strike/>
        <sz val="10"/>
        <color rgb="FF000000"/>
        <rFont val="メイリオ"/>
        <charset val="134"/>
      </rPr>
      <t xml:space="preserve">補足：
</t>
    </r>
    <r>
      <rPr>
        <strike/>
        <sz val="10"/>
        <color rgb="FF000000"/>
        <rFont val="メイリオ"/>
        <charset val="134"/>
      </rPr>
      <t xml:space="preserve">・`sort_by` được kiểm tra theo phương thức danh sách cho phép nên giá trị không hợp lệ chứa ký tự meta sẽ báo lỗi validation và không bị diễn giải thành cú pháp SQL
</t>
    </r>
    <r>
      <rPr>
        <strike/>
        <sz val="10"/>
        <color rgb="FF000000"/>
        <rFont val="メイリオ"/>
        <charset val="134"/>
      </rPr>
      <t>・Tất cả query được thực thi bằng parameterized query của TypeORM (cấm nối chuỗi SQL thô)</t>
    </r>
  </si>
  <si>
    <t>Logic nghiệp vụ (Function)</t>
  </si>
  <si>
    <t>ACSMS-TC-013-021</t>
  </si>
  <si>
    <t>Lấy danh sách lịch sử normal (giảm dần số lịch sử・kiểm tra meta)</t>
  </si>
  <si>
    <t>・role: JA_HONTEN (thuộc ja_id=100)
・Độc giả đối tượng (dokusya_id=1) có 3 lịch sử (`rireki_no` = 1, 2, 3)</t>
  </si>
  <si>
    <r>
      <rPr>
        <b/>
        <sz val="10"/>
        <color rgb="FF000000"/>
        <rFont val="メイリオ"/>
        <charset val="134"/>
      </rPr>
      <t xml:space="preserve">ステップ1：
</t>
    </r>
    <r>
      <rPr>
        <sz val="10"/>
        <color rgb="FF000000"/>
        <rFont val="メイリオ"/>
        <charset val="134"/>
      </rPr>
      <t xml:space="preserve">Mở màn hình thông tin lịch sử độc giả
</t>
    </r>
    <r>
      <rPr>
        <b/>
        <sz val="10"/>
        <color rgb="FF000000"/>
        <rFont val="メイリオ"/>
        <charset val="134"/>
      </rPr>
      <t xml:space="preserve">ステップ2：
</t>
    </r>
    <r>
      <rPr>
        <sz val="10"/>
        <color rgb="FF000000"/>
        <rFont val="メイリオ"/>
        <charset val="134"/>
      </rPr>
      <t xml:space="preserve">Xác nhận response của GET `/api/v1/dokusya/1/rireki?page=1&amp;per_page=20&amp;sort_by=rireki_no&amp;sort_order=desc` bằng tab Network của DevTools
</t>
    </r>
    <r>
      <rPr>
        <b/>
        <sz val="10"/>
        <color rgb="FF000000"/>
        <rFont val="メイリオ"/>
        <charset val="134"/>
      </rPr>
      <t xml:space="preserve">ステップ3：
</t>
    </r>
    <r>
      <rPr>
        <sz val="10"/>
        <color rgb="FF000000"/>
        <rFont val="メイリオ"/>
        <charset val="134"/>
      </rPr>
      <t xml:space="preserve">Xác nhận thứ tự `rireki_no` của các phần tử trong mảng `data`
</t>
    </r>
    <r>
      <rPr>
        <b/>
        <sz val="10"/>
        <color rgb="FF000000"/>
        <rFont val="メイリオ"/>
        <charset val="134"/>
      </rPr>
      <t xml:space="preserve">ステップ4：
</t>
    </r>
    <r>
      <rPr>
        <sz val="10"/>
        <color rgb="FF000000"/>
        <rFont val="メイリオ"/>
        <charset val="134"/>
      </rPr>
      <t>Xác nhận nội dung object `meta`</t>
    </r>
  </si>
  <si>
    <r>
      <rPr>
        <b/>
        <sz val="10"/>
        <color rgb="FF000000"/>
        <rFont val="メイリオ"/>
        <charset val="134"/>
      </rPr>
      <t xml:space="preserve">ステップ1：
</t>
    </r>
    <r>
      <rPr>
        <sz val="10"/>
        <color rgb="FF000000"/>
        <rFont val="メイリオ"/>
        <charset val="134"/>
      </rPr>
      <t xml:space="preserve">Danh sách lịch sử được hiển thị
</t>
    </r>
    <r>
      <rPr>
        <b/>
        <sz val="10"/>
        <color rgb="FF000000"/>
        <rFont val="メイリオ"/>
        <charset val="134"/>
      </rPr>
      <t xml:space="preserve">ステップ2：
</t>
    </r>
    <r>
      <rPr>
        <sz val="10"/>
        <color rgb="FF000000"/>
        <rFont val="メイリオ"/>
        <charset val="134"/>
      </rPr>
      <t xml:space="preserve">Trả về HTTP 200 (bao gồm mảng `data` và object `meta`)
</t>
    </r>
    <r>
      <rPr>
        <b/>
        <sz val="10"/>
        <color rgb="FF000000"/>
        <rFont val="メイリオ"/>
        <charset val="134"/>
      </rPr>
      <t xml:space="preserve">ステップ3：
</t>
    </r>
    <r>
      <rPr>
        <sz val="10"/>
        <color rgb="FF000000"/>
        <rFont val="メイリオ"/>
        <charset val="134"/>
      </rPr>
      <t xml:space="preserve">Các phần tử của `data` sắp xếp giảm dần theo `rireki_no` (3, 2, 1), record mới nhất hiển thị ở đầu
</t>
    </r>
    <r>
      <rPr>
        <b/>
        <sz val="10"/>
        <color rgb="FF000000"/>
        <rFont val="メイリオ"/>
        <charset val="134"/>
      </rPr>
      <t xml:space="preserve">ステップ4：
</t>
    </r>
    <r>
      <rPr>
        <sz val="10"/>
        <color rgb="FF000000"/>
        <rFont val="メイリオ"/>
        <charset val="134"/>
      </rPr>
      <t xml:space="preserve">`meta` bao gồm `total = 3`, `page = 1`, `per_page = 20`, `total_pages = 1`
</t>
    </r>
    <r>
      <rPr>
        <b/>
        <sz val="10"/>
        <color rgb="FF000000"/>
        <rFont val="メイリオ"/>
        <charset val="134"/>
      </rPr>
      <t xml:space="preserve">補足：
</t>
    </r>
    <r>
      <rPr>
        <sz val="10"/>
        <color rgb="FF000000"/>
        <rFont val="メイリオ"/>
        <charset val="134"/>
      </rPr>
      <t xml:space="preserve">・Sắp xếp giảm dần theo số lịch sử (`rireki_no`), record mới nhất hiển thị ở đầu (機能定義 1.2)
</t>
    </r>
    <r>
      <rPr>
        <sz val="10"/>
        <color rgb="FF000000"/>
        <rFont val="メイリオ"/>
        <charset val="134"/>
      </rPr>
      <t>・API này là API tham chiếu nên không cần ghi log thao tác (`t_log`) (処理手順 4.7)</t>
    </r>
  </si>
  <si>
    <t>ACSMS-TC-013-022</t>
  </si>
  <si>
    <t xml:space="preserve">Hiển thị khi lịch sử 0 record </t>
  </si>
  <si>
    <t>・role: JA_HONTEN (thuộc ja_id=100)
・Độc giả đối tượng (dokusya_id=2) tồn tại nhưng dữ liệu lịch sử là 0 record</t>
  </si>
  <si>
    <r>
      <rPr>
        <b/>
        <sz val="10"/>
        <color rgb="FF000000"/>
        <rFont val="メイリオ"/>
        <charset val="134"/>
      </rPr>
      <t xml:space="preserve">ステップ1：
</t>
    </r>
    <r>
      <rPr>
        <sz val="10"/>
        <color rgb="FF000000"/>
        <rFont val="メイリオ"/>
        <charset val="134"/>
      </rPr>
      <t xml:space="preserve">Mở màn hình thông tin lịch sử của độc giả không có dữ liệu lịch sử (dokusya_id=2)
</t>
    </r>
    <r>
      <rPr>
        <b/>
        <sz val="10"/>
        <color rgb="FF000000"/>
        <rFont val="メイリオ"/>
        <charset val="134"/>
      </rPr>
      <t xml:space="preserve">ステップ2：
</t>
    </r>
    <r>
      <rPr>
        <sz val="10"/>
        <color rgb="FF000000"/>
        <rFont val="メイリオ"/>
        <charset val="134"/>
      </rPr>
      <t xml:space="preserve">Xác nhận response của GET `/api/v1/dokusya/2/rireki` bằng tab Network của DevTools
</t>
    </r>
    <r>
      <rPr>
        <b/>
        <sz val="10"/>
        <color rgb="FF000000"/>
        <rFont val="メイリオ"/>
        <charset val="134"/>
      </rPr>
      <t xml:space="preserve">ステップ3：
</t>
    </r>
    <r>
      <rPr>
        <sz val="10"/>
        <color rgb="FF000000"/>
        <rFont val="メイリオ"/>
        <charset val="134"/>
      </rPr>
      <t>Xác nhận hiển thị message của màn hình</t>
    </r>
  </si>
  <si>
    <r>
      <rPr>
        <b/>
        <sz val="10"/>
        <color rgb="FF000000"/>
        <rFont val="游ゴシック"/>
        <charset val="134"/>
      </rPr>
      <t xml:space="preserve">ステップ1：
</t>
    </r>
    <r>
      <rPr>
        <sz val="10"/>
        <color rgb="FF000000"/>
        <rFont val="游ゴシック"/>
        <charset val="134"/>
      </rPr>
      <t xml:space="preserve">Không tồn tại dữ liệu trong danh sách lịch sử
</t>
    </r>
    <r>
      <rPr>
        <b/>
        <sz val="10"/>
        <color rgb="FF000000"/>
        <rFont val="游ゴシック"/>
        <charset val="134"/>
      </rPr>
      <t xml:space="preserve">ステップ2：
</t>
    </r>
    <r>
      <rPr>
        <sz val="10"/>
        <color rgb="FF000000"/>
        <rFont val="游ゴシック"/>
        <charset val="134"/>
      </rPr>
      <t xml:space="preserve">Trả về HTTP 200 (`data` là mảng rỗng, `meta.total = 0`)
</t>
    </r>
    <r>
      <rPr>
        <b/>
        <sz val="10"/>
        <color rgb="FF000000"/>
        <rFont val="游ゴシック"/>
        <charset val="134"/>
      </rPr>
      <t xml:space="preserve">ステップ3：
</t>
    </r>
    <r>
      <rPr>
        <sz val="10"/>
        <color rgb="FF000000"/>
        <rFont val="游ゴシック"/>
        <charset val="134"/>
      </rPr>
      <t xml:space="preserve">Message `履歴データが存在しません。` được hiển thị
</t>
    </r>
  </si>
  <si>
    <t>Case này không test được</t>
  </si>
  <si>
    <t>ACSMS-TC-013-023</t>
  </si>
  <si>
    <t>Lọc dữ liệu theo DataScope (JA_KANRI_SHITEN・chỉ chi nhánh quản lý của mình)</t>
  </si>
  <si>
    <t>・role: JA_KANRI_SHITEN (thuộc ja_id=100 / kanri_shiten_id=10)
・Độc giả đối tượng (dokusya_id=1) thuộc chi nhánh quản lý của mình (ja_id=100 / kanri_shiten_id=10)
・Lịch sử của độc giả đối tượng có nhiều record</t>
  </si>
  <si>
    <r>
      <rPr>
        <b/>
        <sz val="10"/>
        <color rgb="FF000000"/>
        <rFont val="メイリオ"/>
        <charset val="134"/>
      </rPr>
      <t xml:space="preserve">ステップ1：
</t>
    </r>
    <r>
      <rPr>
        <sz val="10"/>
        <color rgb="FF000000"/>
        <rFont val="メイリオ"/>
        <charset val="134"/>
      </rPr>
      <t xml:space="preserve">Mở màn hình thông tin lịch sử độc giả
</t>
    </r>
    <r>
      <rPr>
        <b/>
        <sz val="10"/>
        <color rgb="FF000000"/>
        <rFont val="メイリオ"/>
        <charset val="134"/>
      </rPr>
      <t xml:space="preserve">ステップ2：
</t>
    </r>
    <r>
      <rPr>
        <sz val="10"/>
        <color rgb="FF000000"/>
        <rFont val="メイリオ"/>
        <charset val="134"/>
      </rPr>
      <t xml:space="preserve">Xác nhận response của GET `/api/v1/dokusya/1/rireki` bằng tab Network của DevTools
</t>
    </r>
    <r>
      <rPr>
        <b/>
        <sz val="10"/>
        <color rgb="FF000000"/>
        <rFont val="メイリオ"/>
        <charset val="134"/>
      </rPr>
      <t xml:space="preserve">ステップ3：
</t>
    </r>
    <r>
      <rPr>
        <sz val="10"/>
        <color rgb="FF000000"/>
        <rFont val="メイリオ"/>
        <charset val="134"/>
      </rPr>
      <t>Xác nhận DB: `SELECT COUNT(*) FROM t_dokusya_rireki WHERE dokusya_id = 1 AND ja_id = 100 AND kanri_shiten_id = 10`</t>
    </r>
  </si>
  <si>
    <r>
      <rPr>
        <b/>
        <sz val="10"/>
        <color rgb="FF000000"/>
        <rFont val="メイリオ"/>
        <charset val="134"/>
      </rPr>
      <t xml:space="preserve">ステップ1：
</t>
    </r>
    <r>
      <rPr>
        <sz val="10"/>
        <color rgb="FF000000"/>
        <rFont val="メイリオ"/>
        <charset val="134"/>
      </rPr>
      <t xml:space="preserve">Danh sách lịch sử được hiển thị
</t>
    </r>
    <r>
      <rPr>
        <b/>
        <sz val="10"/>
        <color rgb="FF000000"/>
        <rFont val="メイリオ"/>
        <charset val="134"/>
      </rPr>
      <t xml:space="preserve">ステップ2：
</t>
    </r>
    <r>
      <rPr>
        <sz val="10"/>
        <color rgb="FF000000"/>
        <rFont val="メイリオ"/>
        <charset val="134"/>
      </rPr>
      <t xml:space="preserve">Trả về HTTP 200 (mỗi phần tử của `data` có `ja_id = 100` và `kanri_shiten_id = 10`)
</t>
    </r>
    <r>
      <rPr>
        <b/>
        <sz val="10"/>
        <color rgb="FF000000"/>
        <rFont val="メイリオ"/>
        <charset val="134"/>
      </rPr>
      <t xml:space="preserve">ステップ3：
</t>
    </r>
    <r>
      <rPr>
        <sz val="10"/>
        <color rgb="FF000000"/>
        <rFont val="メイリオ"/>
        <charset val="134"/>
      </rPr>
      <t xml:space="preserve">Số lượng trả về ở bước 2 khớp với số lượng tổng hợp DB
</t>
    </r>
    <r>
      <rPr>
        <b/>
        <sz val="10"/>
        <color rgb="FF000000"/>
        <rFont val="メイリオ"/>
        <charset val="134"/>
      </rPr>
      <t xml:space="preserve">補足：
</t>
    </r>
    <r>
      <rPr>
        <sz val="10"/>
        <color rgb="FF000000"/>
        <rFont val="メイリオ"/>
        <charset val="134"/>
      </rPr>
      <t xml:space="preserve">・JA_KANRI_SHITEN chỉ lấy dữ liệu `ja_id = :user_ja_id AND kanri_shiten_id = :user_kanri_shiten_id` (処理手順 4.2)
</t>
    </r>
    <r>
      <rPr>
        <sz val="10"/>
        <color rgb="FF000000"/>
        <rFont val="メイリオ"/>
        <charset val="134"/>
      </rPr>
      <t>・Record của chi nhánh quản lý khác không nằm trong kết quả lấy</t>
    </r>
  </si>
  <si>
    <t>ACSMS-TC-013-024</t>
  </si>
  <si>
    <t>Lấy lại dữ liệu khi đổi trang pagination</t>
  </si>
  <si>
    <t>・role: JA_HONTEN (thuộc ja_id=100)
・Độc giả đối tượng (dokusya_id=1) có từ 21 lịch sử trở lên (per_page=20 nên có từ 2 trang trở lên)</t>
  </si>
  <si>
    <r>
      <rPr>
        <b/>
        <sz val="10"/>
        <color rgb="FF000000"/>
        <rFont val="メイリオ"/>
        <charset val="134"/>
      </rPr>
      <t xml:space="preserve">ステップ1：
</t>
    </r>
    <r>
      <rPr>
        <sz val="10"/>
        <color rgb="FF000000"/>
        <rFont val="メイリオ"/>
        <charset val="134"/>
      </rPr>
      <t xml:space="preserve">Mở màn hình thông tin lịch sử độc giả và xác nhận lịch sử trang 1
</t>
    </r>
    <r>
      <rPr>
        <b/>
        <sz val="10"/>
        <color rgb="FF000000"/>
        <rFont val="メイリオ"/>
        <charset val="134"/>
      </rPr>
      <t xml:space="preserve">ステップ2：
</t>
    </r>
    <r>
      <rPr>
        <sz val="10"/>
        <color rgb="FF000000"/>
        <rFont val="メイリオ"/>
        <charset val="134"/>
      </rPr>
      <t xml:space="preserve">Nhấn trang「2」của pagination
</t>
    </r>
    <r>
      <rPr>
        <b/>
        <sz val="10"/>
        <color rgb="FF000000"/>
        <rFont val="メイリオ"/>
        <charset val="134"/>
      </rPr>
      <t xml:space="preserve">ステップ3：
</t>
    </r>
    <r>
      <rPr>
        <sz val="10"/>
        <color rgb="FF000000"/>
        <rFont val="メイリオ"/>
        <charset val="134"/>
      </rPr>
      <t>Xác nhận response của GET `/api/v1/dokusya/1/rireki?page=2&amp;per_page=20` bằng tab Network của DevTools</t>
    </r>
  </si>
  <si>
    <r>
      <rPr>
        <b/>
        <sz val="10"/>
        <color rgb="FF000000"/>
        <rFont val="メイリオ"/>
        <charset val="134"/>
      </rPr>
      <t xml:space="preserve">ステップ1：
</t>
    </r>
    <r>
      <rPr>
        <sz val="10"/>
        <color rgb="FF000000"/>
        <rFont val="メイリオ"/>
        <charset val="134"/>
      </rPr>
      <t xml:space="preserve">Lịch sử trang 1 (tối đa 20 record) được hiển thị
</t>
    </r>
    <r>
      <rPr>
        <b/>
        <sz val="10"/>
        <color rgb="FF000000"/>
        <rFont val="メイリオ"/>
        <charset val="134"/>
      </rPr>
      <t xml:space="preserve">ステップ2：
</t>
    </r>
    <r>
      <rPr>
        <sz val="10"/>
        <color rgb="FF000000"/>
        <rFont val="メイリオ"/>
        <charset val="134"/>
      </rPr>
      <t xml:space="preserve">Dữ liệu trang 2 được lấy và hiển thị
</t>
    </r>
    <r>
      <rPr>
        <b/>
        <sz val="10"/>
        <color rgb="FF000000"/>
        <rFont val="メイリオ"/>
        <charset val="134"/>
      </rPr>
      <t xml:space="preserve">ステップ3：
</t>
    </r>
    <r>
      <rPr>
        <sz val="10"/>
        <color rgb="FF000000"/>
        <rFont val="メイリオ"/>
        <charset val="134"/>
      </rPr>
      <t xml:space="preserve">Trả về HTTP 200 (`meta.page = 2`, lịch sử trang 2 được trả về)
</t>
    </r>
    <r>
      <rPr>
        <b/>
        <sz val="10"/>
        <color rgb="FF000000"/>
        <rFont val="メイリオ"/>
        <charset val="134"/>
      </rPr>
      <t xml:space="preserve">補足：
</t>
    </r>
    <r>
      <rPr>
        <sz val="10"/>
        <color rgb="FF000000"/>
        <rFont val="メイリオ"/>
        <charset val="134"/>
      </rPr>
      <t>・Khi nhấn trang khác thì lấy dữ liệu của trang đó và hiển thị (機能定義 3.1)</t>
    </r>
  </si>
  <si>
    <t>ACSMS-TC-013-025</t>
  </si>
  <si>
    <t>Sort theo chỉ định sort_order (chuyển đổi tăng dần・giảm dần)</t>
  </si>
  <si>
    <r>
      <rPr>
        <b/>
        <sz val="10"/>
        <color rgb="FF000000"/>
        <rFont val="游ゴシック"/>
        <charset val="134"/>
      </rPr>
      <t xml:space="preserve">ステップ1：
</t>
    </r>
    <r>
      <rPr>
        <sz val="10"/>
        <color rgb="FF000000"/>
        <rFont val="游ゴシック"/>
        <charset val="134"/>
      </rPr>
      <t xml:space="preserve">Thực thi `fetch('/api/v1/dokusya/1/rireki?sort_by=rireki_no&amp;sort_order=desc', { credentials: 'include' })` từ Console của DevTools và xác nhận thứ tự `data`
</t>
    </r>
    <r>
      <rPr>
        <b/>
        <sz val="10"/>
        <color rgb="FF000000"/>
        <rFont val="游ゴシック"/>
        <charset val="134"/>
      </rPr>
      <t xml:space="preserve">ステップ2：
</t>
    </r>
    <r>
      <rPr>
        <sz val="10"/>
        <color rgb="FF000000"/>
        <rFont val="游ゴシック"/>
        <charset val="134"/>
      </rPr>
      <t xml:space="preserve">Thực thi `fetch('/api/v1/dokusya/1/rireki?sort_by=rireki_no&amp;sort_order=asc', { credentials: 'include' })` từ Console của DevTools và xác nhận thứ tự `data`
</t>
    </r>
    <r>
      <rPr>
        <b/>
        <sz val="10"/>
        <color rgb="FF000000"/>
        <rFont val="游ゴシック"/>
        <charset val="134"/>
      </rPr>
      <t xml:space="preserve">ステップ3：
</t>
    </r>
    <r>
      <rPr>
        <sz val="10"/>
        <color rgb="FF000000"/>
        <rFont val="游ゴシック"/>
        <charset val="134"/>
      </rPr>
      <t>So sánh thứ tự `rireki_no` của hai response</t>
    </r>
  </si>
  <si>
    <r>
      <rPr>
        <b/>
        <sz val="10"/>
        <color rgb="FF000000"/>
        <rFont val="メイリオ"/>
        <charset val="134"/>
      </rPr>
      <t xml:space="preserve">ステップ1：
</t>
    </r>
    <r>
      <rPr>
        <sz val="10"/>
        <color rgb="FF000000"/>
        <rFont val="メイリオ"/>
        <charset val="134"/>
      </rPr>
      <t xml:space="preserve">Trả về HTTP 200 (`data` giảm dần theo `rireki_no` (3, 2, 1))
</t>
    </r>
    <r>
      <rPr>
        <b/>
        <sz val="10"/>
        <color rgb="FF000000"/>
        <rFont val="メイリオ"/>
        <charset val="134"/>
      </rPr>
      <t xml:space="preserve">ステップ2：
</t>
    </r>
    <r>
      <rPr>
        <sz val="10"/>
        <color rgb="FF000000"/>
        <rFont val="メイリオ"/>
        <charset val="134"/>
      </rPr>
      <t xml:space="preserve">Trả về HTTP 200 (`data` tăng dần theo `rireki_no` (1, 2, 3))
</t>
    </r>
    <r>
      <rPr>
        <b/>
        <sz val="10"/>
        <color rgb="FF000000"/>
        <rFont val="メイリオ"/>
        <charset val="134"/>
      </rPr>
      <t xml:space="preserve">ステップ3：
</t>
    </r>
    <r>
      <rPr>
        <sz val="10"/>
        <color rgb="FF000000"/>
        <rFont val="メイリオ"/>
        <charset val="134"/>
      </rPr>
      <t xml:space="preserve">Thứ tự sort được chuyển đổi đúng theo chỉ định `sort_order`
</t>
    </r>
    <r>
      <rPr>
        <b/>
        <sz val="10"/>
        <color rgb="FF000000"/>
        <rFont val="メイリオ"/>
        <charset val="134"/>
      </rPr>
      <t xml:space="preserve">補足：
</t>
    </r>
    <r>
      <rPr>
        <sz val="10"/>
        <color rgb="FF000000"/>
        <rFont val="メイリオ"/>
        <charset val="134"/>
      </rPr>
      <t>・Sort hoạt động đúng với tổ hợp cột (`sort_by`) trong danh sách cho phép và giá trị (`sort_order`) cho phép</t>
    </r>
  </si>
  <si>
    <t>ACSMS-TC-013-026</t>
  </si>
  <si>
    <t>Chuyển màn hình của button「前の画面に戻る」</t>
  </si>
  <si>
    <t>・role: JA_HONTEN (thuộc ja_id=100)
・Đã chuyển từ màn hình đăng ký thông tin độc giả sang màn hình thông tin lịch sử độc giả</t>
  </si>
  <si>
    <r>
      <rPr>
        <b/>
        <sz val="10"/>
        <color rgb="FF000000"/>
        <rFont val="メイリオ"/>
        <charset val="134"/>
      </rPr>
      <t xml:space="preserve">ステップ1：
</t>
    </r>
    <r>
      <rPr>
        <sz val="10"/>
        <color rgb="FF000000"/>
        <rFont val="メイリオ"/>
        <charset val="134"/>
      </rPr>
      <t xml:space="preserve">Xác nhận button「前の画面に戻る」trên màn hình thông tin lịch sử độc giả
</t>
    </r>
    <r>
      <rPr>
        <b/>
        <sz val="10"/>
        <color rgb="FF000000"/>
        <rFont val="メイリオ"/>
        <charset val="134"/>
      </rPr>
      <t xml:space="preserve">ステップ2：
</t>
    </r>
    <r>
      <rPr>
        <sz val="10"/>
        <color rgb="FF000000"/>
        <rFont val="メイリオ"/>
        <charset val="134"/>
      </rPr>
      <t xml:space="preserve">Nhấn button「前の画面に戻る」
</t>
    </r>
    <r>
      <rPr>
        <b/>
        <sz val="10"/>
        <color rgb="FF000000"/>
        <rFont val="メイリオ"/>
        <charset val="134"/>
      </rPr>
      <t xml:space="preserve">ステップ3：
</t>
    </r>
    <r>
      <rPr>
        <sz val="10"/>
        <color rgb="FF000000"/>
        <rFont val="メイリオ"/>
        <charset val="134"/>
      </rPr>
      <t>Xác nhận màn hình chuyển đến</t>
    </r>
  </si>
  <si>
    <r>
      <rPr>
        <b/>
        <sz val="10"/>
        <color rgb="FF000000"/>
        <rFont val="メイリオ"/>
        <charset val="134"/>
      </rPr>
      <t xml:space="preserve">ステップ1：
</t>
    </r>
    <r>
      <rPr>
        <sz val="10"/>
        <color rgb="FF000000"/>
        <rFont val="メイリオ"/>
        <charset val="134"/>
      </rPr>
      <t xml:space="preserve">Button「前の画面に戻る」hiển thị ở trạng thái active
</t>
    </r>
    <r>
      <rPr>
        <b/>
        <sz val="10"/>
        <color rgb="FF000000"/>
        <rFont val="メイリオ"/>
        <charset val="134"/>
      </rPr>
      <t xml:space="preserve">ステップ2：
</t>
    </r>
    <r>
      <rPr>
        <sz val="10"/>
        <color rgb="FF000000"/>
        <rFont val="メイリオ"/>
        <charset val="134"/>
      </rPr>
      <t xml:space="preserve">Xử lý chuyển màn hình được thực hiện mà không hiển thị dialog xác nhận
</t>
    </r>
    <r>
      <rPr>
        <b/>
        <sz val="10"/>
        <color rgb="FF000000"/>
        <rFont val="メイリオ"/>
        <charset val="134"/>
      </rPr>
      <t xml:space="preserve">ステップ3：
</t>
    </r>
    <r>
      <rPr>
        <sz val="10"/>
        <color rgb="FF000000"/>
        <rFont val="メイリオ"/>
        <charset val="134"/>
      </rPr>
      <t xml:space="preserve">Chuyển sang màn hình đăng ký thông tin độc giả
</t>
    </r>
    <r>
      <rPr>
        <b/>
        <sz val="10"/>
        <color rgb="FF000000"/>
        <rFont val="メイリオ"/>
        <charset val="134"/>
      </rPr>
      <t xml:space="preserve">補足：
</t>
    </r>
    <r>
      <rPr>
        <sz val="10"/>
        <color rgb="FF000000"/>
        <rFont val="メイリオ"/>
        <charset val="134"/>
      </rPr>
      <t>・Khi nhấn button「前の画面に戻る」thì quay lại màn hình đăng ký thông tin độc giả mà không có dialog xác nhận (機能定義 2.1)</t>
    </r>
  </si>
  <si>
    <t>Xử lý lỗi chung (Common Error Handling)</t>
  </si>
  <si>
    <t>ACSMS-TC-013-027</t>
  </si>
  <si>
    <t>Lỗi chung — UNAUTHORIZED — Xử lý khi session hết hạn</t>
  </si>
  <si>
    <t>・role: JA_HONTEN (thuộc ja_id=100)
・Đang hiển thị màn hình thông tin lịch sử độc giả
・Đã quá 24 giờ kể từ thao tác cuối, Redis session TTL đã hết hạn</t>
  </si>
  <si>
    <r>
      <rPr>
        <b/>
        <sz val="10"/>
        <color rgb="FF000000"/>
        <rFont val="メイリオ"/>
        <charset val="134"/>
      </rPr>
      <t xml:space="preserve">ステップ1：
</t>
    </r>
    <r>
      <rPr>
        <sz val="10"/>
        <color rgb="FF000000"/>
        <rFont val="メイリオ"/>
        <charset val="134"/>
      </rPr>
      <t xml:space="preserve">Reload màn hình thông tin lịch sử độc giả và gửi request GET `/api/v1/dokusya/1/rireki`
</t>
    </r>
    <r>
      <rPr>
        <b/>
        <sz val="10"/>
        <color rgb="FF000000"/>
        <rFont val="メイリオ"/>
        <charset val="134"/>
      </rPr>
      <t xml:space="preserve">ステップ2：
</t>
    </r>
    <r>
      <rPr>
        <sz val="10"/>
        <color rgb="FF000000"/>
        <rFont val="メイリオ"/>
        <charset val="134"/>
      </rPr>
      <t>Xác nhận nội dung response và chuyển màn hình</t>
    </r>
  </si>
  <si>
    <r>
      <rPr>
        <b/>
        <sz val="10"/>
        <color rgb="FF000000"/>
        <rFont val="メイリオ"/>
        <charset val="134"/>
      </rPr>
      <t xml:space="preserve">ステップ1：
</t>
    </r>
    <r>
      <rPr>
        <sz val="10"/>
        <color rgb="FF000000"/>
        <rFont val="メイリオ"/>
        <charset val="134"/>
      </rPr>
      <t xml:space="preserve">Trả về HTTP 401 (`error_code: UNAUTHORIZED`, message `セッションが切れました。再度ログインしてください。`)
</t>
    </r>
    <r>
      <rPr>
        <b/>
        <sz val="10"/>
        <color rgb="FF000000"/>
        <rFont val="メイリオ"/>
        <charset val="134"/>
      </rPr>
      <t xml:space="preserve">ステップ2：
</t>
    </r>
    <r>
      <rPr>
        <sz val="10"/>
        <color rgb="FF000000"/>
        <rFont val="メイリオ"/>
        <charset val="134"/>
      </rPr>
      <t xml:space="preserve">Phía frontend, trạng thái user của Pinia auth store được clear và tự động chuyển về `/login` (query `?redirect=...` được thêm vào)
</t>
    </r>
    <r>
      <rPr>
        <b/>
        <sz val="10"/>
        <color rgb="FF000000"/>
        <rFont val="メイリオ"/>
        <charset val="134"/>
      </rPr>
      <t xml:space="preserve">補足：
</t>
    </r>
    <r>
      <rPr>
        <sz val="10"/>
        <color rgb="FF000000"/>
        <rFont val="メイリオ"/>
        <charset val="134"/>
      </rPr>
      <t>・Khi session hết hạn, SessionAuthGuard phía backend trả về 401, axios interceptor phía frontend đồng nhất điều hướng về màn hình đăng nhập</t>
    </r>
  </si>
  <si>
    <t>ACSMS-TC-013-028</t>
  </si>
  <si>
    <t>Lỗi chung — BAD_REQUEST — Tham số request không hợp lệ</t>
  </si>
  <si>
    <t>・role: JA_HONTEN (thuộc ja_id=100)
・Đang mở tab Network của DevTools trình duyệt</t>
  </si>
  <si>
    <r>
      <rPr>
        <b/>
        <sz val="10"/>
        <color rgb="FF000000"/>
        <rFont val="游ゴシック"/>
        <charset val="134"/>
      </rPr>
      <t xml:space="preserve">ステップ1：
</t>
    </r>
    <r>
      <rPr>
        <sz val="10"/>
        <color rgb="FF000000"/>
        <rFont val="游ゴシック"/>
        <charset val="134"/>
      </rPr>
      <t xml:space="preserve">Thực thi `fetch('/api/v1/dokusya/1/rireki?page=abc', { credentials: 'include' })` từ Console của DevTools (chỉ định page không phải số)
</t>
    </r>
    <r>
      <rPr>
        <b/>
        <sz val="10"/>
        <color rgb="FF000000"/>
        <rFont val="游ゴシック"/>
        <charset val="134"/>
      </rPr>
      <t xml:space="preserve">ステップ2：
</t>
    </r>
    <r>
      <rPr>
        <sz val="10"/>
        <color rgb="FF000000"/>
        <rFont val="游ゴシック"/>
        <charset val="134"/>
      </rPr>
      <t>Xác nhận HTTP status và error_code của response</t>
    </r>
  </si>
  <si>
    <r>
      <rPr>
        <b/>
        <sz val="10"/>
        <color rgb="FF000000"/>
        <rFont val="游ゴシック"/>
        <charset val="134"/>
      </rPr>
      <t xml:space="preserve">ステップ1：
</t>
    </r>
    <r>
      <rPr>
        <sz val="10"/>
        <color rgb="FF000000"/>
        <rFont val="游ゴシック"/>
        <charset val="134"/>
      </rPr>
      <t xml:space="preserve">Request bị từ chối bởi validation phía backend
</t>
    </r>
    <r>
      <rPr>
        <b/>
        <sz val="10"/>
        <color rgb="FF000000"/>
        <rFont val="游ゴシック"/>
        <charset val="134"/>
      </rPr>
      <t xml:space="preserve">ステップ2：
</t>
    </r>
    <r>
      <rPr>
        <sz val="10"/>
        <color rgb="FF000000"/>
        <rFont val="游ゴシック"/>
        <charset val="134"/>
      </rPr>
      <t xml:space="preserve">Trả về HTTP 400 (`error_code: BAD_REQUEST`, message `入力値が不正です。詳細はerrorsフィールドを確認してください。`)
</t>
    </r>
    <r>
      <rPr>
        <b/>
        <sz val="10"/>
        <color rgb="FF000000"/>
        <rFont val="游ゴシック"/>
        <charset val="134"/>
      </rPr>
      <t xml:space="preserve">補足：
</t>
    </r>
    <r>
      <rPr>
        <sz val="10"/>
        <color rgb="FF000000"/>
        <rFont val="游ゴシック"/>
        <charset val="134"/>
      </rPr>
      <t>・Khi kiểu của query parameter không hợp lệ thì được map thành BAD_REQUEST</t>
    </r>
  </si>
  <si>
    <t>ACSMS-TC-013-029</t>
  </si>
  <si>
    <t>Lỗi chung — VALIDATION_ERROR — Kiểm tra hình dạng mảng errors</t>
  </si>
  <si>
    <r>
      <rPr>
        <b/>
        <strike/>
        <sz val="10"/>
        <color rgb="FF000000"/>
        <rFont val="メイリオ"/>
        <charset val="134"/>
      </rPr>
      <t xml:space="preserve">ステップ1：
</t>
    </r>
    <r>
      <rPr>
        <strike/>
        <sz val="10"/>
        <color rgb="FF000000"/>
        <rFont val="メイリオ"/>
        <charset val="134"/>
      </rPr>
      <t xml:space="preserve">Thực thi `fetch('/api/v1/dokusya/1/rireki?per_page=999&amp;sort_by=invalid_col', { credentials: 'include' })` từ Console của DevTools (chỉ định nhiều tham số không hợp lệ)
</t>
    </r>
    <r>
      <rPr>
        <b/>
        <strike/>
        <sz val="10"/>
        <color rgb="FF000000"/>
        <rFont val="メイリオ"/>
        <charset val="134"/>
      </rPr>
      <t xml:space="preserve">ステップ2：
</t>
    </r>
    <r>
      <rPr>
        <strike/>
        <sz val="10"/>
        <color rgb="FF000000"/>
        <rFont val="メイリオ"/>
        <charset val="134"/>
      </rPr>
      <t xml:space="preserve">Xác nhận HTTP status và error_code của response
</t>
    </r>
    <r>
      <rPr>
        <b/>
        <strike/>
        <sz val="10"/>
        <color rgb="FF000000"/>
        <rFont val="メイリオ"/>
        <charset val="134"/>
      </rPr>
      <t xml:space="preserve">ステップ3：
</t>
    </r>
    <r>
      <rPr>
        <strike/>
        <sz val="10"/>
        <color rgb="FF000000"/>
        <rFont val="メイリオ"/>
        <charset val="134"/>
      </rPr>
      <t>Xác nhận cấu trúc mảng `errors` của response body</t>
    </r>
  </si>
  <si>
    <r>
      <rPr>
        <b/>
        <strike/>
        <sz val="10"/>
        <color rgb="FF000000"/>
        <rFont val="メイリオ"/>
        <charset val="134"/>
      </rPr>
      <t xml:space="preserve">ステップ1：
</t>
    </r>
    <r>
      <rPr>
        <strike/>
        <sz val="10"/>
        <color rgb="FF000000"/>
        <rFont val="メイリオ"/>
        <charset val="134"/>
      </rPr>
      <t xml:space="preserve">Request bị từ chối bởi validation phía backend
</t>
    </r>
    <r>
      <rPr>
        <b/>
        <strike/>
        <sz val="10"/>
        <color rgb="FF000000"/>
        <rFont val="メイリオ"/>
        <charset val="134"/>
      </rPr>
      <t xml:space="preserve">ステップ2：
</t>
    </r>
    <r>
      <rPr>
        <strike/>
        <sz val="10"/>
        <color rgb="FF000000"/>
        <rFont val="メイリオ"/>
        <charset val="134"/>
      </rPr>
      <t xml:space="preserve">Trả về HTTP 400 (`error_code: VALIDATION_ERROR`, message `入力値が不正です。詳細はerrorsフィールドを確認してください。`)
</t>
    </r>
    <r>
      <rPr>
        <b/>
        <strike/>
        <sz val="10"/>
        <color rgb="FF000000"/>
        <rFont val="メイリオ"/>
        <charset val="134"/>
      </rPr>
      <t xml:space="preserve">ステップ3：
</t>
    </r>
    <r>
      <rPr>
        <strike/>
        <sz val="10"/>
        <color rgb="FF000000"/>
        <rFont val="メイリオ"/>
        <charset val="134"/>
      </rPr>
      <t xml:space="preserve">Response body bao gồm mảng `errors`, mỗi phần tử có `field` (tên mục) và `message` (message)
</t>
    </r>
    <r>
      <rPr>
        <b/>
        <strike/>
        <sz val="10"/>
        <color rgb="FF000000"/>
        <rFont val="メイリオ"/>
        <charset val="134"/>
      </rPr>
      <t xml:space="preserve">補足：
</t>
    </r>
    <r>
      <rPr>
        <strike/>
        <sz val="10"/>
        <color rgb="FF000000"/>
        <rFont val="メイリオ"/>
        <charset val="134"/>
      </rPr>
      <t xml:space="preserve">・Khi có nhiều tham số không hợp lệ, mảng `errors` bao gồm chi tiết lỗi cho từng mục tương ứng
</t>
    </r>
    <r>
      <rPr>
        <strike/>
        <sz val="10"/>
        <color rgb="FF000000"/>
        <rFont val="メイリオ"/>
        <charset val="134"/>
      </rPr>
      <t>・Hình dạng mảng `errors` ở dạng mà `useApiForm` phía frontend có thể map thành hiển thị lỗi theo từng mục</t>
    </r>
  </si>
  <si>
    <t>ACSMS-TC-013-030</t>
  </si>
  <si>
    <t>Lỗi chung — NOT_FOUND — Lấy lịch sử của độc giả đã bị xóa</t>
  </si>
  <si>
    <t>・role: JA_HONTEN (thuộc ja_id=100)
・Độc giả (dokusya_id=3) đã bị xóa logical (`deleted_at IS NOT NULL`)</t>
  </si>
  <si>
    <r>
      <rPr>
        <b/>
        <sz val="10"/>
        <color rgb="FF000000"/>
        <rFont val="メイリオ"/>
        <charset val="134"/>
      </rPr>
      <t xml:space="preserve">ステップ1：
</t>
    </r>
    <r>
      <rPr>
        <sz val="10"/>
        <color rgb="FF000000"/>
        <rFont val="メイリオ"/>
        <charset val="134"/>
      </rPr>
      <t xml:space="preserve">Nhập URL độc giả đã bị xóa (`/dokusya/3/rireki`) vào address bar, truy cập trực tiếp
</t>
    </r>
    <r>
      <rPr>
        <b/>
        <sz val="10"/>
        <color rgb="FF000000"/>
        <rFont val="メイリオ"/>
        <charset val="134"/>
      </rPr>
      <t xml:space="preserve">ステップ2：
</t>
    </r>
    <r>
      <rPr>
        <sz val="10"/>
        <color rgb="FF000000"/>
        <rFont val="メイリオ"/>
        <charset val="134"/>
      </rPr>
      <t xml:space="preserve">Gọi trực tiếp GET `/api/v1/dokusya/3/rireki` bằng tab Network của DevTools
</t>
    </r>
    <r>
      <rPr>
        <b/>
        <sz val="10"/>
        <color rgb="FF000000"/>
        <rFont val="メイリオ"/>
        <charset val="134"/>
      </rPr>
      <t xml:space="preserve">ステップ3：
</t>
    </r>
    <r>
      <rPr>
        <sz val="10"/>
        <color rgb="FF000000"/>
        <rFont val="メイリオ"/>
        <charset val="134"/>
      </rPr>
      <t>Xác nhận DB: `SELECT deleted_at FROM m_dokusya WHERE dokusya_id = 3`</t>
    </r>
  </si>
  <si>
    <r>
      <rPr>
        <b/>
        <sz val="10"/>
        <color rgb="FF000000"/>
        <rFont val="メイリオ"/>
        <charset val="134"/>
      </rPr>
      <t xml:space="preserve">ステップ1：
</t>
    </r>
    <r>
      <rPr>
        <sz val="10"/>
        <color rgb="FF000000"/>
        <rFont val="メイリオ"/>
        <charset val="134"/>
      </rPr>
      <t xml:space="preserve">Danh sách lịch sử không hiển thị
</t>
    </r>
    <r>
      <rPr>
        <b/>
        <sz val="10"/>
        <color rgb="FF000000"/>
        <rFont val="メイリオ"/>
        <charset val="134"/>
      </rPr>
      <t xml:space="preserve">ステップ2：
</t>
    </r>
    <r>
      <rPr>
        <sz val="10"/>
        <color rgb="FF000000"/>
        <rFont val="メイリオ"/>
        <charset val="134"/>
      </rPr>
      <t xml:space="preserve">Trả về HTTP 404 (`error_code: NOT_FOUND`, message `指定された購読者が見つかりません。`)
</t>
    </r>
    <r>
      <rPr>
        <b/>
        <sz val="10"/>
        <color rgb="FF000000"/>
        <rFont val="メイリオ"/>
        <charset val="134"/>
      </rPr>
      <t xml:space="preserve">ステップ3：
</t>
    </r>
    <r>
      <rPr>
        <sz val="10"/>
        <color rgb="FF000000"/>
        <rFont val="メイリオ"/>
        <charset val="134"/>
      </rPr>
      <t xml:space="preserve">`deleted_at` của độc giả đối tượng (dokusya_id=3) không phải NULL (đã bị xóa logical)
</t>
    </r>
    <r>
      <rPr>
        <b/>
        <sz val="10"/>
        <color rgb="FF000000"/>
        <rFont val="メイリオ"/>
        <charset val="134"/>
      </rPr>
      <t xml:space="preserve">補足：
</t>
    </r>
    <r>
      <rPr>
        <sz val="10"/>
        <color rgb="FF000000"/>
        <rFont val="メイリオ"/>
        <charset val="134"/>
      </rPr>
      <t>・Khi độc giả đối tượng đã bị xóa logical (`deleted_at IS NOT NULL`), query xác nhận tồn tại không khớp nên trả về NOT_FOUND (HTTP 404) (処理手順 4.3)</t>
    </r>
  </si>
  <si>
    <t>ACSMS-TC-013-031</t>
  </si>
  <si>
    <t>Lỗi chung — TOO_MANY_REQUESTS — Vượt giới hạn rate limit</t>
  </si>
  <si>
    <t>・role: JA_HONTEN (thuộc ja_id=100)
・Dùng script test gửi GET `/api/v1/dokusya/1/rireki` vượt giới hạn trong 1 phút</t>
  </si>
  <si>
    <r>
      <rPr>
        <b/>
        <sz val="10"/>
        <color rgb="FF000000"/>
        <rFont val="メイリオ"/>
        <charset val="134"/>
      </rPr>
      <t xml:space="preserve">ステップ1：
</t>
    </r>
    <r>
      <rPr>
        <sz val="10"/>
        <color rgb="FF000000"/>
        <rFont val="メイリオ"/>
        <charset val="134"/>
      </rPr>
      <t xml:space="preserve">Khởi động script, gửi request tần suất cao đến API lấy danh sách lịch sử
</t>
    </r>
    <r>
      <rPr>
        <b/>
        <sz val="10"/>
        <color rgb="FF000000"/>
        <rFont val="メイリオ"/>
        <charset val="134"/>
      </rPr>
      <t xml:space="preserve">ステップ2：
</t>
    </r>
    <r>
      <rPr>
        <sz val="10"/>
        <color rgb="FF000000"/>
        <rFont val="メイリオ"/>
        <charset val="134"/>
      </rPr>
      <t xml:space="preserve">Xác nhận HTTP status và error_code của response
</t>
    </r>
    <r>
      <rPr>
        <b/>
        <sz val="10"/>
        <color rgb="FF000000"/>
        <rFont val="メイリオ"/>
        <charset val="134"/>
      </rPr>
      <t xml:space="preserve">ステップ3：
</t>
    </r>
    <r>
      <rPr>
        <sz val="10"/>
        <color rgb="FF000000"/>
        <rFont val="メイリオ"/>
        <charset val="134"/>
      </rPr>
      <t>Xác nhận hiển thị toast phía màn hình</t>
    </r>
  </si>
  <si>
    <r>
      <rPr>
        <b/>
        <sz val="10"/>
        <color rgb="FF000000"/>
        <rFont val="メイリオ"/>
        <charset val="134"/>
      </rPr>
      <t xml:space="preserve">ステップ1：
</t>
    </r>
    <r>
      <rPr>
        <sz val="10"/>
        <color rgb="FF000000"/>
        <rFont val="メイリオ"/>
        <charset val="134"/>
      </rPr>
      <t xml:space="preserve">Đến số lượng giới hạn thì phản hồi bình thường, sau đó trả về 429
</t>
    </r>
    <r>
      <rPr>
        <b/>
        <sz val="10"/>
        <color rgb="FF000000"/>
        <rFont val="メイリオ"/>
        <charset val="134"/>
      </rPr>
      <t xml:space="preserve">ステップ2：
</t>
    </r>
    <r>
      <rPr>
        <sz val="10"/>
        <color rgb="FF000000"/>
        <rFont val="メイリオ"/>
        <charset val="134"/>
      </rPr>
      <t xml:space="preserve">Trả về HTTP 429 (`error_code: TOO_MANY_REQUESTS`, message `リクエスト回数が上限を超えました。しばらくしてから再度お試しください。`)
</t>
    </r>
    <r>
      <rPr>
        <b/>
        <sz val="10"/>
        <color rgb="FF000000"/>
        <rFont val="メイリオ"/>
        <charset val="134"/>
      </rPr>
      <t xml:space="preserve">ステップ3：
</t>
    </r>
    <r>
      <rPr>
        <sz val="10"/>
        <color rgb="FF000000"/>
        <rFont val="メイリオ"/>
        <charset val="134"/>
      </rPr>
      <t xml:space="preserve">Toast `リクエスト回数が上限を超えました。しばらくしてから再度お試しください。` được hiển thị
</t>
    </r>
    <r>
      <rPr>
        <b/>
        <sz val="10"/>
        <color rgb="FF000000"/>
        <rFont val="メイリオ"/>
        <charset val="134"/>
      </rPr>
      <t xml:space="preserve">補足：
</t>
    </r>
    <r>
      <rPr>
        <sz val="10"/>
        <color rgb="FF000000"/>
        <rFont val="メイリオ"/>
        <charset val="134"/>
      </rPr>
      <t xml:space="preserve">・NestJS @Throttle decorator + AWS WAF rate limit block ở cả hai lớp hạ tầng／ứng dụng
</t>
    </r>
    <r>
      <rPr>
        <sz val="10"/>
        <color rgb="FF000000"/>
        <rFont val="メイリオ"/>
        <charset val="134"/>
      </rPr>
      <t>・Tuân thủ quan điểm VP-A-08「Rate limit・Throttling」(testcase-viewpoints.md v1.1)</t>
    </r>
  </si>
  <si>
    <t>ACSMS-TC-013-032</t>
  </si>
  <si>
    <t>Lỗi chung — INTERNAL_SERVER_ERROR — Lỗi server</t>
  </si>
  <si>
    <t>・role: JA_HONTEN (thuộc ja_id=100)
・Trạng thái có thể giả lập sự cố server như lỗi kết nối DB</t>
  </si>
  <si>
    <r>
      <rPr>
        <b/>
        <sz val="10"/>
        <color rgb="FF000000"/>
        <rFont val="メイリオ"/>
        <charset val="134"/>
      </rPr>
      <t xml:space="preserve">ステップ1：
</t>
    </r>
    <r>
      <rPr>
        <sz val="10"/>
        <color rgb="FF000000"/>
        <rFont val="メイリオ"/>
        <charset val="134"/>
      </rPr>
      <t xml:space="preserve">Mở màn hình thông tin lịch sử độc giả ở trạng thái giả lập sự cố server (lỗi kết nối DB v.v.)
</t>
    </r>
    <r>
      <rPr>
        <b/>
        <sz val="10"/>
        <color rgb="FF000000"/>
        <rFont val="メイリオ"/>
        <charset val="134"/>
      </rPr>
      <t xml:space="preserve">ステップ2：
</t>
    </r>
    <r>
      <rPr>
        <sz val="10"/>
        <color rgb="FF000000"/>
        <rFont val="メイリオ"/>
        <charset val="134"/>
      </rPr>
      <t xml:space="preserve">Xác nhận HTTP status và error_code của response GET `/api/v1/dokusya/1/rireki`
</t>
    </r>
    <r>
      <rPr>
        <b/>
        <sz val="10"/>
        <color rgb="FF000000"/>
        <rFont val="メイリオ"/>
        <charset val="134"/>
      </rPr>
      <t xml:space="preserve">ステップ3：
</t>
    </r>
    <r>
      <rPr>
        <sz val="10"/>
        <color rgb="FF000000"/>
        <rFont val="メイリオ"/>
        <charset val="134"/>
      </rPr>
      <t>Xác nhận hiển thị toast phía màn hình</t>
    </r>
  </si>
  <si>
    <r>
      <rPr>
        <b/>
        <sz val="10"/>
        <color rgb="FF000000"/>
        <rFont val="メイリオ"/>
        <charset val="134"/>
      </rPr>
      <t xml:space="preserve">ステップ1：
</t>
    </r>
    <r>
      <rPr>
        <sz val="10"/>
        <color rgb="FF000000"/>
        <rFont val="メイリオ"/>
        <charset val="134"/>
      </rPr>
      <t xml:space="preserve">Xử lý lấy danh sách lịch sử thất bại
</t>
    </r>
    <r>
      <rPr>
        <b/>
        <sz val="10"/>
        <color rgb="FF000000"/>
        <rFont val="メイリオ"/>
        <charset val="134"/>
      </rPr>
      <t xml:space="preserve">ステップ2：
</t>
    </r>
    <r>
      <rPr>
        <sz val="10"/>
        <color rgb="FF000000"/>
        <rFont val="メイリオ"/>
        <charset val="134"/>
      </rPr>
      <t xml:space="preserve">Trả về HTTP 500 (`error_code: INTERNAL_SERVER_ERROR`, message `システムエラーが発生しました。しばらくしてから再度お試しください。`)
</t>
    </r>
    <r>
      <rPr>
        <b/>
        <sz val="10"/>
        <color rgb="FF000000"/>
        <rFont val="メイリオ"/>
        <charset val="134"/>
      </rPr>
      <t xml:space="preserve">ステップ3：
</t>
    </r>
    <r>
      <rPr>
        <sz val="10"/>
        <color rgb="FF000000"/>
        <rFont val="メイリオ"/>
        <charset val="134"/>
      </rPr>
      <t xml:space="preserve">Toast `システムエラーが発生しました。しばらくしてから再度お試しください。` được hiển thị
</t>
    </r>
    <r>
      <rPr>
        <b/>
        <sz val="10"/>
        <color rgb="FF000000"/>
        <rFont val="メイリオ"/>
        <charset val="134"/>
      </rPr>
      <t xml:space="preserve">補足：
</t>
    </r>
    <r>
      <rPr>
        <sz val="10"/>
        <color rgb="FF000000"/>
        <rFont val="メイリオ"/>
        <charset val="134"/>
      </rPr>
      <t xml:space="preserve">・Sự cố server như lỗi kết nối DB được map thành INTERNAL_SERVER_ERROR (処理手順 4.7)
</t>
    </r>
    <r>
      <rPr>
        <sz val="10"/>
        <color rgb="FF000000"/>
        <rFont val="メイリオ"/>
        <charset val="134"/>
      </rPr>
      <t>・Dù phát sinh lỗi ngoài dự kiến thì stack trace cũng không hiển thị cho người dùng</t>
    </r>
  </si>
  <si>
    <t>ACSMS-TC-013-033</t>
  </si>
  <si>
    <t>Lỗi chung — Xử lý khi mất kết nối mạng</t>
  </si>
  <si>
    <r>
      <rPr>
        <b/>
        <sz val="10"/>
        <color rgb="FF000000"/>
        <rFont val="メイリオ"/>
        <charset val="134"/>
      </rPr>
      <t xml:space="preserve">ステップ1：
</t>
    </r>
    <r>
      <rPr>
        <sz val="10"/>
        <color rgb="FF000000"/>
        <rFont val="メイリオ"/>
        <charset val="134"/>
      </rPr>
      <t xml:space="preserve">Thiết lập ngắt kết nối mạng (offline) ở tab Network của DevTools
</t>
    </r>
    <r>
      <rPr>
        <b/>
        <sz val="10"/>
        <color rgb="FF000000"/>
        <rFont val="メイリオ"/>
        <charset val="134"/>
      </rPr>
      <t xml:space="preserve">ステップ2：
</t>
    </r>
    <r>
      <rPr>
        <sz val="10"/>
        <color rgb="FF000000"/>
        <rFont val="メイリオ"/>
        <charset val="134"/>
      </rPr>
      <t xml:space="preserve">Reload màn hình thông tin lịch sử độc giả và gửi GET `/api/v1/dokusya/1/rireki`
</t>
    </r>
    <r>
      <rPr>
        <b/>
        <sz val="10"/>
        <color rgb="FF000000"/>
        <rFont val="メイリオ"/>
        <charset val="134"/>
      </rPr>
      <t xml:space="preserve">ステップ3：
</t>
    </r>
    <r>
      <rPr>
        <sz val="10"/>
        <color rgb="FF000000"/>
        <rFont val="メイリオ"/>
        <charset val="134"/>
      </rPr>
      <t>Xác nhận hiển thị toast phía màn hình</t>
    </r>
  </si>
  <si>
    <r>
      <rPr>
        <b/>
        <sz val="10"/>
        <color rgb="FF000000"/>
        <rFont val="メイリオ"/>
        <charset val="134"/>
      </rPr>
      <t xml:space="preserve">ステップ1：
</t>
    </r>
    <r>
      <rPr>
        <sz val="10"/>
        <color rgb="FF000000"/>
        <rFont val="メイリオ"/>
        <charset val="134"/>
      </rPr>
      <t xml:space="preserve">Trạng thái mất kết nối mạng
</t>
    </r>
    <r>
      <rPr>
        <b/>
        <sz val="10"/>
        <color rgb="FF000000"/>
        <rFont val="メイリオ"/>
        <charset val="134"/>
      </rPr>
      <t xml:space="preserve">ステップ2：
</t>
    </r>
    <r>
      <rPr>
        <sz val="10"/>
        <color rgb="FF000000"/>
        <rFont val="メイリオ"/>
        <charset val="134"/>
      </rPr>
      <t xml:space="preserve">Request API trở thành lỗi mạng
</t>
    </r>
    <r>
      <rPr>
        <b/>
        <sz val="10"/>
        <color rgb="FF000000"/>
        <rFont val="メイリオ"/>
        <charset val="134"/>
      </rPr>
      <t xml:space="preserve">ステップ3：
</t>
    </r>
    <r>
      <rPr>
        <sz val="10"/>
        <color rgb="FF000000"/>
        <rFont val="メイリオ"/>
        <charset val="134"/>
      </rPr>
      <t xml:space="preserve">Toast `ネットワークエラーが発生しました。しばらくしてから再度お試しください。` được hiển thị
</t>
    </r>
    <r>
      <rPr>
        <b/>
        <sz val="10"/>
        <color rgb="FF000000"/>
        <rFont val="メイリオ"/>
        <charset val="134"/>
      </rPr>
      <t xml:space="preserve">補足：
</t>
    </r>
    <r>
      <rPr>
        <sz val="10"/>
        <color rgb="FF000000"/>
        <rFont val="メイリオ"/>
        <charset val="134"/>
      </rPr>
      <t xml:space="preserve">・Khi mất kết nối mạng, axios interceptor phía frontend hiển thị toast lỗi mạng
</t>
    </r>
    <r>
      <rPr>
        <sz val="10"/>
        <color rgb="FF000000"/>
        <rFont val="メイリオ"/>
        <charset val="134"/>
      </rPr>
      <t>・Không phát sinh lỗi ngoài dự kiến</t>
    </r>
  </si>
  <si>
    <t>Văn bản toast lỗi mạng tuân theo implementation của axios interceptor phía frontend.
---</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</si>
</sst>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d/m/yyyy"/>
    <numFmt numFmtId="179" formatCode="yyyy/mm/dd"/>
    <numFmt numFmtId="180" formatCode="0.0%"/>
  </numFmts>
  <fonts count="37">
    <font>
      <sz val="11"/>
      <color theme="1"/>
      <name val="Calibri"/>
      <charset val="134"/>
      <scheme val="minor"/>
    </font>
    <font>
      <b/>
      <sz val="11"/>
      <color rgb="FF000000"/>
      <name val="游ゴシック"/>
      <charset val="134"/>
    </font>
    <font>
      <sz val="11"/>
      <name val="Calibri"/>
      <charset val="134"/>
      <scheme val="minor"/>
    </font>
    <font>
      <sz val="11"/>
      <color rgb="FF000000"/>
      <name val="游ゴシック"/>
      <charset val="134"/>
    </font>
    <font>
      <sz val="11"/>
      <color theme="1"/>
      <name val="Arial"/>
      <charset val="134"/>
    </font>
    <font>
      <sz val="11"/>
      <color theme="1"/>
      <name val="Calibri"/>
      <charset val="134"/>
    </font>
    <font>
      <strike/>
      <sz val="11"/>
      <color rgb="FF000000"/>
      <name val="游ゴシック"/>
      <charset val="134"/>
    </font>
    <font>
      <i/>
      <sz val="11"/>
      <color rgb="FF000000"/>
      <name val="游ゴシック"/>
      <charset val="134"/>
    </font>
    <font>
      <b/>
      <sz val="14"/>
      <color rgb="FF000000"/>
      <name val="游ゴシック"/>
      <charset val="134"/>
    </font>
    <font>
      <sz val="26"/>
      <color rgb="FF1F3864"/>
      <name val="游ゴシック"/>
      <charset val="134"/>
    </font>
    <font>
      <sz val="24"/>
      <color rgb="FF1F3864"/>
      <name val="游ゴシック"/>
      <charset val="134"/>
    </font>
    <font>
      <sz val="15"/>
      <color theme="1"/>
      <name val="游ゴシック"/>
      <charset val="134"/>
    </font>
    <font>
      <sz val="10"/>
      <color rgb="FF000000"/>
      <name val="游ゴシック"/>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b/>
      <sz val="10"/>
      <color rgb="FF000000"/>
      <name val="メイリオ"/>
      <charset val="134"/>
    </font>
    <font>
      <sz val="10"/>
      <color rgb="FF000000"/>
      <name val="メイリオ"/>
      <charset val="134"/>
    </font>
    <font>
      <b/>
      <strike/>
      <sz val="10"/>
      <color rgb="FF000000"/>
      <name val="メイリオ"/>
      <charset val="134"/>
    </font>
    <font>
      <strike/>
      <sz val="10"/>
      <color rgb="FF000000"/>
      <name val="メイリオ"/>
      <charset val="134"/>
    </font>
    <font>
      <b/>
      <sz val="10"/>
      <color rgb="FF000000"/>
      <name val="游ゴシック"/>
      <charset val="134"/>
    </font>
  </fonts>
  <fills count="42">
    <fill>
      <patternFill patternType="none"/>
    </fill>
    <fill>
      <patternFill patternType="gray125"/>
    </fill>
    <fill>
      <patternFill patternType="solid">
        <fgColor rgb="FFDEEAF6"/>
        <bgColor rgb="FFDEEAF6"/>
      </patternFill>
    </fill>
    <fill>
      <patternFill patternType="solid">
        <fgColor rgb="FFBDD6EE"/>
        <bgColor rgb="FFBDD6EE"/>
      </patternFill>
    </fill>
    <fill>
      <patternFill patternType="solid">
        <fgColor rgb="FFFFFF00"/>
        <bgColor rgb="FFFFFF00"/>
      </patternFill>
    </fill>
    <fill>
      <patternFill patternType="solid">
        <fgColor rgb="FFB4C6E7"/>
        <bgColor rgb="FFB4C6E7"/>
      </patternFill>
    </fill>
    <fill>
      <patternFill patternType="solid">
        <fgColor rgb="FFFFC7CE"/>
        <bgColor rgb="FFFFC7CE"/>
      </patternFill>
    </fill>
    <fill>
      <patternFill patternType="solid">
        <fgColor rgb="FFFFEB9C"/>
        <bgColor rgb="FFFFEB9C"/>
      </patternFill>
    </fill>
    <fill>
      <patternFill patternType="solid">
        <fgColor rgb="FFC6EFCE"/>
        <bgColor rgb="FFC6EFCE"/>
      </patternFill>
    </fill>
    <fill>
      <patternFill patternType="solid">
        <fgColor rgb="FFFFFF99"/>
        <bgColor rgb="FFFFFF99"/>
      </patternFill>
    </fill>
    <fill>
      <patternFill patternType="solid">
        <fgColor rgb="FFD9E2F3"/>
        <bgColor rgb="FFD9E2F3"/>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3">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right style="thin">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0" fillId="11" borderId="15" applyNumberFormat="0" applyFont="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8" fillId="0" borderId="16" applyNumberFormat="0" applyFill="0" applyAlignment="0" applyProtection="0">
      <alignment vertical="center"/>
    </xf>
    <xf numFmtId="0" fontId="19" fillId="0" borderId="16" applyNumberFormat="0" applyFill="0" applyAlignment="0" applyProtection="0">
      <alignment vertical="center"/>
    </xf>
    <xf numFmtId="0" fontId="20" fillId="0" borderId="17" applyNumberFormat="0" applyFill="0" applyAlignment="0" applyProtection="0">
      <alignment vertical="center"/>
    </xf>
    <xf numFmtId="0" fontId="20" fillId="0" borderId="0" applyNumberFormat="0" applyFill="0" applyBorder="0" applyAlignment="0" applyProtection="0">
      <alignment vertical="center"/>
    </xf>
    <xf numFmtId="0" fontId="21" fillId="12" borderId="18" applyNumberFormat="0" applyAlignment="0" applyProtection="0">
      <alignment vertical="center"/>
    </xf>
    <xf numFmtId="0" fontId="22" fillId="13" borderId="19" applyNumberFormat="0" applyAlignment="0" applyProtection="0">
      <alignment vertical="center"/>
    </xf>
    <xf numFmtId="0" fontId="23" fillId="13" borderId="18" applyNumberFormat="0" applyAlignment="0" applyProtection="0">
      <alignment vertical="center"/>
    </xf>
    <xf numFmtId="0" fontId="24" fillId="14" borderId="20" applyNumberFormat="0" applyAlignment="0" applyProtection="0">
      <alignment vertical="center"/>
    </xf>
    <xf numFmtId="0" fontId="25" fillId="0" borderId="21" applyNumberFormat="0" applyFill="0" applyAlignment="0" applyProtection="0">
      <alignment vertical="center"/>
    </xf>
    <xf numFmtId="0" fontId="26" fillId="0" borderId="22" applyNumberFormat="0" applyFill="0" applyAlignment="0" applyProtection="0">
      <alignment vertical="center"/>
    </xf>
    <xf numFmtId="0" fontId="27" fillId="15" borderId="0" applyNumberFormat="0" applyBorder="0" applyAlignment="0" applyProtection="0">
      <alignment vertical="center"/>
    </xf>
    <xf numFmtId="0" fontId="28" fillId="16" borderId="0" applyNumberFormat="0" applyBorder="0" applyAlignment="0" applyProtection="0">
      <alignment vertical="center"/>
    </xf>
    <xf numFmtId="0" fontId="29" fillId="17" borderId="0" applyNumberFormat="0" applyBorder="0" applyAlignment="0" applyProtection="0">
      <alignment vertical="center"/>
    </xf>
    <xf numFmtId="0" fontId="30" fillId="18" borderId="0" applyNumberFormat="0" applyBorder="0" applyAlignment="0" applyProtection="0">
      <alignment vertical="center"/>
    </xf>
    <xf numFmtId="0" fontId="31" fillId="19" borderId="0" applyNumberFormat="0" applyBorder="0" applyAlignment="0" applyProtection="0">
      <alignment vertical="center"/>
    </xf>
    <xf numFmtId="0" fontId="31" fillId="20" borderId="0" applyNumberFormat="0" applyBorder="0" applyAlignment="0" applyProtection="0">
      <alignment vertical="center"/>
    </xf>
    <xf numFmtId="0" fontId="30" fillId="21" borderId="0" applyNumberFormat="0" applyBorder="0" applyAlignment="0" applyProtection="0">
      <alignment vertical="center"/>
    </xf>
    <xf numFmtId="0" fontId="30" fillId="22" borderId="0" applyNumberFormat="0" applyBorder="0" applyAlignment="0" applyProtection="0">
      <alignment vertical="center"/>
    </xf>
    <xf numFmtId="0" fontId="31" fillId="23" borderId="0" applyNumberFormat="0" applyBorder="0" applyAlignment="0" applyProtection="0">
      <alignment vertical="center"/>
    </xf>
    <xf numFmtId="0" fontId="31" fillId="24" borderId="0" applyNumberFormat="0" applyBorder="0" applyAlignment="0" applyProtection="0">
      <alignment vertical="center"/>
    </xf>
    <xf numFmtId="0" fontId="30" fillId="25" borderId="0" applyNumberFormat="0" applyBorder="0" applyAlignment="0" applyProtection="0">
      <alignment vertical="center"/>
    </xf>
    <xf numFmtId="0" fontId="30" fillId="26" borderId="0" applyNumberFormat="0" applyBorder="0" applyAlignment="0" applyProtection="0">
      <alignment vertical="center"/>
    </xf>
    <xf numFmtId="0" fontId="31" fillId="27" borderId="0" applyNumberFormat="0" applyBorder="0" applyAlignment="0" applyProtection="0">
      <alignment vertical="center"/>
    </xf>
    <xf numFmtId="0" fontId="31" fillId="28" borderId="0" applyNumberFormat="0" applyBorder="0" applyAlignment="0" applyProtection="0">
      <alignment vertical="center"/>
    </xf>
    <xf numFmtId="0" fontId="30" fillId="29" borderId="0" applyNumberFormat="0" applyBorder="0" applyAlignment="0" applyProtection="0">
      <alignment vertical="center"/>
    </xf>
    <xf numFmtId="0" fontId="30" fillId="30" borderId="0" applyNumberFormat="0" applyBorder="0" applyAlignment="0" applyProtection="0">
      <alignment vertical="center"/>
    </xf>
    <xf numFmtId="0" fontId="31" fillId="31" borderId="0" applyNumberFormat="0" applyBorder="0" applyAlignment="0" applyProtection="0">
      <alignment vertical="center"/>
    </xf>
    <xf numFmtId="0" fontId="31" fillId="32" borderId="0" applyNumberFormat="0" applyBorder="0" applyAlignment="0" applyProtection="0">
      <alignment vertical="center"/>
    </xf>
    <xf numFmtId="0" fontId="30" fillId="33" borderId="0" applyNumberFormat="0" applyBorder="0" applyAlignment="0" applyProtection="0">
      <alignment vertical="center"/>
    </xf>
    <xf numFmtId="0" fontId="30" fillId="34" borderId="0" applyNumberFormat="0" applyBorder="0" applyAlignment="0" applyProtection="0">
      <alignment vertical="center"/>
    </xf>
    <xf numFmtId="0" fontId="31" fillId="35" borderId="0" applyNumberFormat="0" applyBorder="0" applyAlignment="0" applyProtection="0">
      <alignment vertical="center"/>
    </xf>
    <xf numFmtId="0" fontId="31" fillId="36" borderId="0" applyNumberFormat="0" applyBorder="0" applyAlignment="0" applyProtection="0">
      <alignment vertical="center"/>
    </xf>
    <xf numFmtId="0" fontId="30" fillId="37" borderId="0" applyNumberFormat="0" applyBorder="0" applyAlignment="0" applyProtection="0">
      <alignment vertical="center"/>
    </xf>
    <xf numFmtId="0" fontId="30" fillId="38" borderId="0" applyNumberFormat="0" applyBorder="0" applyAlignment="0" applyProtection="0">
      <alignment vertical="center"/>
    </xf>
    <xf numFmtId="0" fontId="31" fillId="39" borderId="0" applyNumberFormat="0" applyBorder="0" applyAlignment="0" applyProtection="0">
      <alignment vertical="center"/>
    </xf>
    <xf numFmtId="0" fontId="31" fillId="40" borderId="0" applyNumberFormat="0" applyBorder="0" applyAlignment="0" applyProtection="0">
      <alignment vertical="center"/>
    </xf>
    <xf numFmtId="0" fontId="30" fillId="41" borderId="0" applyNumberFormat="0" applyBorder="0" applyAlignment="0" applyProtection="0">
      <alignment vertical="center"/>
    </xf>
  </cellStyleXfs>
  <cellXfs count="66">
    <xf numFmtId="0" fontId="0" fillId="0" borderId="0" xfId="0" applyFont="1" applyAlignment="1"/>
    <xf numFmtId="0" fontId="1" fillId="2" borderId="1" xfId="0" applyFont="1" applyFill="1" applyBorder="1" applyAlignment="1">
      <alignment horizontal="center" vertical="center" wrapText="1"/>
    </xf>
    <xf numFmtId="0" fontId="2" fillId="0" borderId="2" xfId="0" applyFont="1" applyBorder="1"/>
    <xf numFmtId="0" fontId="2" fillId="0" borderId="3" xfId="0" applyFont="1" applyBorder="1"/>
    <xf numFmtId="0" fontId="3" fillId="0" borderId="1" xfId="0" applyFont="1" applyBorder="1" applyAlignment="1">
      <alignment horizontal="left" vertical="center" wrapText="1"/>
    </xf>
    <xf numFmtId="49" fontId="3" fillId="0" borderId="1" xfId="0" applyNumberFormat="1" applyFont="1" applyBorder="1" applyAlignment="1">
      <alignment horizontal="left" vertical="center" wrapText="1"/>
    </xf>
    <xf numFmtId="0" fontId="3" fillId="0" borderId="1" xfId="0" applyFont="1" applyBorder="1" applyAlignment="1">
      <alignment horizontal="center" vertical="center" wrapText="1"/>
    </xf>
    <xf numFmtId="0" fontId="1" fillId="0" borderId="1" xfId="0" applyFont="1" applyBorder="1" applyAlignment="1">
      <alignment horizontal="center" vertical="center" wrapText="1"/>
    </xf>
    <xf numFmtId="0" fontId="1" fillId="2" borderId="4"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2" fillId="0" borderId="6" xfId="0" applyFont="1" applyBorder="1"/>
    <xf numFmtId="0" fontId="2" fillId="0" borderId="7" xfId="0" applyFont="1" applyBorder="1"/>
    <xf numFmtId="0" fontId="2" fillId="0" borderId="8" xfId="0" applyFont="1" applyBorder="1"/>
    <xf numFmtId="0" fontId="2" fillId="0" borderId="9" xfId="0" applyFont="1" applyBorder="1"/>
    <xf numFmtId="0" fontId="2" fillId="0" borderId="10" xfId="0" applyFont="1" applyBorder="1"/>
    <xf numFmtId="0" fontId="2" fillId="0" borderId="11" xfId="0" applyFont="1" applyBorder="1"/>
    <xf numFmtId="0" fontId="1" fillId="3" borderId="1" xfId="0" applyFont="1" applyFill="1" applyBorder="1" applyAlignment="1">
      <alignment horizontal="left" vertical="center" wrapText="1"/>
    </xf>
    <xf numFmtId="0" fontId="3" fillId="0" borderId="12" xfId="0" applyFont="1" applyBorder="1" applyAlignment="1">
      <alignment horizontal="center" vertical="top" wrapText="1"/>
    </xf>
    <xf numFmtId="0" fontId="3" fillId="0" borderId="1" xfId="0" applyFont="1" applyBorder="1" applyAlignment="1">
      <alignment horizontal="left" vertical="top" wrapText="1"/>
    </xf>
    <xf numFmtId="0" fontId="3" fillId="0" borderId="1" xfId="0" applyFont="1" applyBorder="1" applyAlignment="1">
      <alignment horizontal="center" vertical="top" wrapText="1"/>
    </xf>
    <xf numFmtId="178" fontId="3" fillId="0" borderId="1" xfId="0" applyNumberFormat="1" applyFont="1" applyBorder="1" applyAlignment="1">
      <alignment horizontal="center" vertical="top" wrapText="1"/>
    </xf>
    <xf numFmtId="179" fontId="3" fillId="0" borderId="1" xfId="0" applyNumberFormat="1" applyFont="1" applyBorder="1" applyAlignment="1">
      <alignment horizontal="center" vertical="top" wrapText="1"/>
    </xf>
    <xf numFmtId="0" fontId="4" fillId="0" borderId="1" xfId="0" applyFont="1" applyBorder="1" applyAlignment="1">
      <alignment horizontal="center" vertical="top" wrapText="1"/>
    </xf>
    <xf numFmtId="0" fontId="5" fillId="0" borderId="1" xfId="0" applyFont="1" applyBorder="1" applyAlignment="1">
      <alignment vertical="top"/>
    </xf>
    <xf numFmtId="178" fontId="4" fillId="0" borderId="1" xfId="0" applyNumberFormat="1" applyFont="1" applyBorder="1" applyAlignment="1">
      <alignment horizontal="center" vertical="top" wrapText="1"/>
    </xf>
    <xf numFmtId="0" fontId="6" fillId="0" borderId="12" xfId="0" applyFont="1" applyBorder="1" applyAlignment="1">
      <alignment horizontal="center" vertical="top" wrapText="1"/>
    </xf>
    <xf numFmtId="0" fontId="6" fillId="0" borderId="1" xfId="0" applyFont="1" applyBorder="1" applyAlignment="1">
      <alignment horizontal="left" vertical="top" wrapText="1"/>
    </xf>
    <xf numFmtId="0" fontId="6" fillId="0" borderId="1" xfId="0" applyFont="1" applyBorder="1" applyAlignment="1">
      <alignment horizontal="center" vertical="top" wrapText="1"/>
    </xf>
    <xf numFmtId="0" fontId="3" fillId="4" borderId="1" xfId="0" applyFont="1" applyFill="1" applyBorder="1" applyAlignment="1">
      <alignment horizontal="left" vertical="top" wrapText="1"/>
    </xf>
    <xf numFmtId="0" fontId="1" fillId="5" borderId="1" xfId="0" applyFont="1" applyFill="1" applyBorder="1" applyAlignment="1">
      <alignment horizontal="center" vertical="center" wrapText="1"/>
    </xf>
    <xf numFmtId="0" fontId="3" fillId="0" borderId="5" xfId="0" applyFont="1" applyBorder="1" applyAlignment="1">
      <alignment horizontal="center" vertical="center" wrapText="1"/>
    </xf>
    <xf numFmtId="49" fontId="3" fillId="0" borderId="5" xfId="0" applyNumberFormat="1" applyFont="1" applyBorder="1" applyAlignment="1">
      <alignment horizontal="center" vertical="center" wrapText="1"/>
    </xf>
    <xf numFmtId="0" fontId="1" fillId="0" borderId="0" xfId="0" applyFont="1" applyAlignment="1">
      <alignment horizontal="left" vertical="center" wrapText="1"/>
    </xf>
    <xf numFmtId="0" fontId="1" fillId="2" borderId="12" xfId="0" applyFont="1" applyFill="1" applyBorder="1" applyAlignment="1">
      <alignment horizontal="center" vertical="center" wrapText="1"/>
    </xf>
    <xf numFmtId="0" fontId="1" fillId="6" borderId="1" xfId="0" applyFont="1" applyFill="1" applyBorder="1" applyAlignment="1">
      <alignment horizontal="center" vertical="top" wrapText="1"/>
    </xf>
    <xf numFmtId="0" fontId="1" fillId="7" borderId="1" xfId="0" applyFont="1" applyFill="1" applyBorder="1" applyAlignment="1">
      <alignment horizontal="center" vertical="top" wrapText="1"/>
    </xf>
    <xf numFmtId="0" fontId="1" fillId="8" borderId="1" xfId="0" applyFont="1" applyFill="1" applyBorder="1" applyAlignment="1">
      <alignment horizontal="center" vertical="top" wrapText="1"/>
    </xf>
    <xf numFmtId="0" fontId="1" fillId="3" borderId="1" xfId="0" applyFont="1" applyFill="1" applyBorder="1" applyAlignment="1">
      <alignment horizontal="right" vertical="center" wrapText="1"/>
    </xf>
    <xf numFmtId="0" fontId="1" fillId="3" borderId="1" xfId="0" applyFont="1" applyFill="1" applyBorder="1" applyAlignment="1">
      <alignment horizontal="center" vertical="center" wrapText="1"/>
    </xf>
    <xf numFmtId="0" fontId="1" fillId="0" borderId="1" xfId="0" applyFont="1" applyBorder="1" applyAlignment="1">
      <alignment horizontal="center" vertical="top" wrapText="1"/>
    </xf>
    <xf numFmtId="0" fontId="7" fillId="0" borderId="1" xfId="0" applyFont="1" applyBorder="1" applyAlignment="1">
      <alignment horizontal="left" vertical="top" wrapText="1"/>
    </xf>
    <xf numFmtId="0" fontId="8" fillId="5" borderId="1" xfId="0" applyFont="1" applyFill="1" applyBorder="1" applyAlignment="1">
      <alignment horizontal="center" vertical="center" wrapText="1"/>
    </xf>
    <xf numFmtId="0" fontId="1" fillId="3" borderId="4" xfId="0" applyFont="1" applyFill="1" applyBorder="1" applyAlignment="1">
      <alignment horizontal="center" vertical="center" wrapText="1"/>
    </xf>
    <xf numFmtId="0" fontId="1" fillId="3" borderId="5" xfId="0" applyFont="1" applyFill="1" applyBorder="1" applyAlignment="1">
      <alignment horizontal="center" vertical="center" wrapText="1"/>
    </xf>
    <xf numFmtId="0" fontId="1" fillId="2" borderId="12" xfId="0" applyFont="1" applyFill="1" applyBorder="1" applyAlignment="1">
      <alignment horizontal="left" vertical="center" wrapText="1"/>
    </xf>
    <xf numFmtId="0" fontId="3" fillId="0" borderId="12" xfId="0" applyFont="1" applyBorder="1" applyAlignment="1">
      <alignment horizontal="center" vertical="center" wrapText="1"/>
    </xf>
    <xf numFmtId="180" fontId="3" fillId="0" borderId="1" xfId="0" applyNumberFormat="1" applyFont="1" applyBorder="1" applyAlignment="1">
      <alignment horizontal="center" vertical="center" wrapText="1"/>
    </xf>
    <xf numFmtId="180" fontId="1" fillId="0" borderId="1" xfId="0" applyNumberFormat="1" applyFont="1" applyBorder="1" applyAlignment="1">
      <alignment horizontal="center" vertical="center" wrapText="1"/>
    </xf>
    <xf numFmtId="0" fontId="3" fillId="0" borderId="0" xfId="0" applyFont="1" applyAlignment="1">
      <alignment horizontal="left" vertical="center" wrapText="1"/>
    </xf>
    <xf numFmtId="0" fontId="1" fillId="9" borderId="0" xfId="0" applyFont="1" applyFill="1" applyBorder="1" applyAlignment="1">
      <alignment horizontal="left" vertical="center" wrapText="1"/>
    </xf>
    <xf numFmtId="0" fontId="2" fillId="0" borderId="0" xfId="0" applyFont="1" applyBorder="1"/>
    <xf numFmtId="0" fontId="1" fillId="5" borderId="12" xfId="0" applyFont="1" applyFill="1" applyBorder="1" applyAlignment="1">
      <alignment horizontal="center" vertical="center" wrapText="1"/>
    </xf>
    <xf numFmtId="0" fontId="5" fillId="0" borderId="5" xfId="0" applyFont="1" applyBorder="1"/>
    <xf numFmtId="0" fontId="5" fillId="0" borderId="6" xfId="0" applyFont="1" applyBorder="1"/>
    <xf numFmtId="0" fontId="5" fillId="0" borderId="7" xfId="0" applyFont="1" applyBorder="1"/>
    <xf numFmtId="0" fontId="5" fillId="0" borderId="13" xfId="0" applyFont="1" applyBorder="1"/>
    <xf numFmtId="0" fontId="5" fillId="0" borderId="14" xfId="0" applyFont="1" applyBorder="1"/>
    <xf numFmtId="0" fontId="9" fillId="0" borderId="13" xfId="0" applyFont="1" applyBorder="1" applyAlignment="1">
      <alignment horizontal="center" vertical="center" wrapText="1"/>
    </xf>
    <xf numFmtId="0" fontId="2" fillId="0" borderId="14" xfId="0" applyFont="1" applyBorder="1"/>
    <xf numFmtId="0" fontId="10" fillId="0" borderId="13" xfId="0" applyFont="1" applyBorder="1" applyAlignment="1">
      <alignment horizontal="center" vertical="center" wrapText="1"/>
    </xf>
    <xf numFmtId="0" fontId="11" fillId="0" borderId="13" xfId="0" applyFont="1" applyBorder="1" applyAlignment="1">
      <alignment horizontal="center" vertical="center" wrapText="1"/>
    </xf>
    <xf numFmtId="0" fontId="12" fillId="10" borderId="1" xfId="0" applyFont="1" applyFill="1" applyBorder="1" applyAlignment="1">
      <alignment horizontal="center" vertical="center" wrapText="1"/>
    </xf>
    <xf numFmtId="49" fontId="12" fillId="10" borderId="1" xfId="0" applyNumberFormat="1" applyFont="1" applyFill="1" applyBorder="1" applyAlignment="1">
      <alignment horizontal="center" vertical="center" wrapText="1"/>
    </xf>
    <xf numFmtId="0" fontId="5" fillId="0" borderId="9" xfId="0" applyFont="1" applyBorder="1"/>
    <xf numFmtId="0" fontId="5" fillId="0" borderId="10" xfId="0" applyFont="1" applyBorder="1"/>
    <xf numFmtId="0" fontId="5" fillId="0" borderId="11" xfId="0" applyFont="1" applyBorder="1"/>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sharedStrings" Target="sharedStrings.xml"/><Relationship Id="rId7" Type="http://schemas.openxmlformats.org/officeDocument/2006/relationships/theme" Target="theme/theme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15</xdr:col>
      <xdr:colOff>0</xdr:colOff>
      <xdr:row>2</xdr:row>
      <xdr:rowOff>0</xdr:rowOff>
    </xdr:from>
    <xdr:ext cx="1333500" cy="514350"/>
    <xdr:pic>
      <xdr:nvPicPr>
        <xdr:cNvPr id="2" name="image1.png" descr="Picture"/>
        <xdr:cNvPicPr preferRelativeResize="0"/>
      </xdr:nvPicPr>
      <xdr:blipFill>
        <a:blip r:embed="rId1" cstate="print"/>
        <a:stretch>
          <a:fillRect/>
        </a:stretch>
      </xdr:blipFill>
      <xdr:spPr>
        <a:xfrm>
          <a:off x="3314700" y="409575"/>
          <a:ext cx="1333500" cy="514350"/>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AK1000"/>
  <sheetViews>
    <sheetView showGridLines="0" workbookViewId="0">
      <selection activeCell="A1" sqref="A1"/>
    </sheetView>
  </sheetViews>
  <sheetFormatPr defaultColWidth="14.4285714285714" defaultRowHeight="15" customHeight="1"/>
  <cols>
    <col min="1" max="1" width="3.71428571428571" customWidth="1"/>
    <col min="2" max="37" width="3.28571428571429" customWidth="1"/>
  </cols>
  <sheetData>
    <row r="1" ht="19.5" customHeight="1"/>
    <row r="2" ht="12.75" customHeight="1" spans="2:37">
      <c r="B2" s="52"/>
      <c r="C2" s="53"/>
      <c r="D2" s="53"/>
      <c r="E2" s="53"/>
      <c r="F2" s="53"/>
      <c r="G2" s="53"/>
      <c r="H2" s="53"/>
      <c r="I2" s="53"/>
      <c r="J2" s="53"/>
      <c r="K2" s="53"/>
      <c r="L2" s="53"/>
      <c r="M2" s="53"/>
      <c r="N2" s="53"/>
      <c r="O2" s="53"/>
      <c r="P2" s="53"/>
      <c r="Q2" s="53"/>
      <c r="R2" s="53"/>
      <c r="S2" s="53"/>
      <c r="T2" s="53"/>
      <c r="U2" s="53"/>
      <c r="V2" s="53"/>
      <c r="W2" s="53"/>
      <c r="X2" s="53"/>
      <c r="Y2" s="53"/>
      <c r="Z2" s="53"/>
      <c r="AA2" s="53"/>
      <c r="AB2" s="53"/>
      <c r="AC2" s="53"/>
      <c r="AD2" s="53"/>
      <c r="AE2" s="53"/>
      <c r="AF2" s="53"/>
      <c r="AG2" s="53"/>
      <c r="AH2" s="53"/>
      <c r="AI2" s="53"/>
      <c r="AJ2" s="53"/>
      <c r="AK2" s="54"/>
    </row>
    <row r="3" ht="12.75" customHeight="1" spans="2:37">
      <c r="B3" s="55"/>
      <c r="AK3" s="56"/>
    </row>
    <row r="4" ht="12.75" customHeight="1" spans="2:37">
      <c r="B4" s="55"/>
      <c r="AK4" s="56"/>
    </row>
    <row r="5" ht="12.75" customHeight="1" spans="2:37">
      <c r="B5" s="55"/>
      <c r="AK5" s="56"/>
    </row>
    <row r="6" ht="12.75" customHeight="1" spans="2:37">
      <c r="B6" s="55"/>
      <c r="AK6" s="56"/>
    </row>
    <row r="7" ht="12.75" customHeight="1" spans="2:37">
      <c r="B7" s="55"/>
      <c r="AK7" s="56"/>
    </row>
    <row r="8" ht="12.75" customHeight="1" spans="2:37">
      <c r="B8" s="55"/>
      <c r="AK8" s="56"/>
    </row>
    <row r="9" ht="12.75" customHeight="1" spans="2:37">
      <c r="B9" s="55"/>
      <c r="AK9" s="56"/>
    </row>
    <row r="10" ht="29.25" customHeight="1" spans="2:37">
      <c r="B10" s="57" t="s">
        <v>0</v>
      </c>
      <c r="AK10" s="58"/>
    </row>
    <row r="11" ht="12.75" customHeight="1" spans="2:37">
      <c r="B11" s="55"/>
      <c r="AK11" s="56"/>
    </row>
    <row r="12" ht="39" customHeight="1" spans="2:37">
      <c r="B12" s="59" t="s">
        <v>1</v>
      </c>
      <c r="AK12" s="58"/>
    </row>
    <row r="13" ht="12.75" customHeight="1" spans="2:37">
      <c r="B13" s="55"/>
      <c r="AK13" s="56"/>
    </row>
    <row r="14" ht="12.75" customHeight="1" spans="2:37">
      <c r="B14" s="55"/>
      <c r="AK14" s="56"/>
    </row>
    <row r="15" ht="12.75" customHeight="1" spans="2:37">
      <c r="B15" s="60" t="s">
        <v>2</v>
      </c>
      <c r="AK15" s="58"/>
    </row>
    <row r="16" ht="12.75" customHeight="1" spans="2:37">
      <c r="B16" s="55"/>
      <c r="AK16" s="56"/>
    </row>
    <row r="17" ht="12.75" customHeight="1" spans="2:37">
      <c r="B17" s="55"/>
      <c r="AK17" s="56"/>
    </row>
    <row r="18" ht="12.75" customHeight="1" spans="2:37">
      <c r="B18" s="55"/>
      <c r="N18" s="61" t="s">
        <v>3</v>
      </c>
      <c r="O18" s="2"/>
      <c r="P18" s="2"/>
      <c r="Q18" s="2"/>
      <c r="R18" s="3"/>
      <c r="S18" s="61" t="s">
        <v>4</v>
      </c>
      <c r="T18" s="2"/>
      <c r="U18" s="2"/>
      <c r="V18" s="2"/>
      <c r="W18" s="3"/>
      <c r="AK18" s="56"/>
    </row>
    <row r="19" ht="12.75" customHeight="1" spans="2:37">
      <c r="B19" s="55"/>
      <c r="N19" s="61" t="s">
        <v>5</v>
      </c>
      <c r="O19" s="2"/>
      <c r="P19" s="2"/>
      <c r="Q19" s="2"/>
      <c r="R19" s="3"/>
      <c r="S19" s="61" t="s">
        <v>6</v>
      </c>
      <c r="T19" s="2"/>
      <c r="U19" s="2"/>
      <c r="V19" s="2"/>
      <c r="W19" s="3"/>
      <c r="AK19" s="56"/>
    </row>
    <row r="20" ht="12.75" customHeight="1" spans="2:37">
      <c r="B20" s="55"/>
      <c r="N20" s="61" t="s">
        <v>7</v>
      </c>
      <c r="O20" s="2"/>
      <c r="P20" s="2"/>
      <c r="Q20" s="2"/>
      <c r="R20" s="3"/>
      <c r="S20" s="62" t="s">
        <v>8</v>
      </c>
      <c r="T20" s="2"/>
      <c r="U20" s="2"/>
      <c r="V20" s="2"/>
      <c r="W20" s="3"/>
      <c r="AK20" s="56"/>
    </row>
    <row r="21" ht="12.75" customHeight="1" spans="2:37">
      <c r="B21" s="55"/>
      <c r="AK21" s="56"/>
    </row>
    <row r="22" ht="12.75" customHeight="1" spans="2:37">
      <c r="B22" s="55"/>
      <c r="AK22" s="56"/>
    </row>
    <row r="23" ht="12.75" customHeight="1" spans="2:37">
      <c r="B23" s="55"/>
      <c r="AK23" s="56"/>
    </row>
    <row r="24" ht="12.75" customHeight="1" spans="2:37">
      <c r="B24" s="55"/>
      <c r="AK24" s="56"/>
    </row>
    <row r="25" ht="12.75" customHeight="1" spans="2:37">
      <c r="B25" s="55"/>
      <c r="AK25" s="56"/>
    </row>
    <row r="26" ht="12.75" customHeight="1" spans="2:37">
      <c r="B26" s="55"/>
      <c r="AK26" s="56"/>
    </row>
    <row r="27" ht="12.75" customHeight="1" spans="2:37">
      <c r="B27" s="55"/>
      <c r="AK27" s="56"/>
    </row>
    <row r="28" ht="12.75" customHeight="1" spans="2:37">
      <c r="B28" s="55"/>
      <c r="AK28" s="56"/>
    </row>
    <row r="29" ht="12.75" customHeight="1" spans="2:37">
      <c r="B29" s="55"/>
      <c r="AK29" s="56"/>
    </row>
    <row r="30" ht="12.75" customHeight="1" spans="2:37">
      <c r="B30" s="55"/>
      <c r="AK30" s="56"/>
    </row>
    <row r="31" ht="12.75" customHeight="1" spans="2:37">
      <c r="B31" s="55"/>
      <c r="AK31" s="56"/>
    </row>
    <row r="32" ht="12.75" customHeight="1" spans="2:37">
      <c r="B32" s="55"/>
      <c r="AK32" s="56"/>
    </row>
    <row r="33" ht="12.75" customHeight="1" spans="2:37">
      <c r="B33" s="55"/>
      <c r="AK33" s="56"/>
    </row>
    <row r="34" ht="12.75" customHeight="1" spans="2:37">
      <c r="B34" s="63"/>
      <c r="C34" s="64"/>
      <c r="D34" s="64"/>
      <c r="E34" s="64"/>
      <c r="F34" s="64"/>
      <c r="G34" s="64"/>
      <c r="H34" s="64"/>
      <c r="I34" s="64"/>
      <c r="J34" s="64"/>
      <c r="K34" s="64"/>
      <c r="L34" s="64"/>
      <c r="M34" s="64"/>
      <c r="N34" s="64"/>
      <c r="O34" s="64"/>
      <c r="P34" s="64"/>
      <c r="Q34" s="64"/>
      <c r="R34" s="64"/>
      <c r="S34" s="64"/>
      <c r="T34" s="64"/>
      <c r="U34" s="64"/>
      <c r="V34" s="64"/>
      <c r="W34" s="64"/>
      <c r="X34" s="64"/>
      <c r="Y34" s="64"/>
      <c r="Z34" s="64"/>
      <c r="AA34" s="64"/>
      <c r="AB34" s="64"/>
      <c r="AC34" s="64"/>
      <c r="AD34" s="64"/>
      <c r="AE34" s="64"/>
      <c r="AF34" s="64"/>
      <c r="AG34" s="64"/>
      <c r="AH34" s="64"/>
      <c r="AI34" s="64"/>
      <c r="AJ34" s="64"/>
      <c r="AK34" s="65"/>
    </row>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9">
    <mergeCell ref="B10:AK10"/>
    <mergeCell ref="B12:AK12"/>
    <mergeCell ref="B15:AK15"/>
    <mergeCell ref="N18:R18"/>
    <mergeCell ref="S18:W18"/>
    <mergeCell ref="N19:R19"/>
    <mergeCell ref="S19:W19"/>
    <mergeCell ref="N20:R20"/>
    <mergeCell ref="S20:W20"/>
  </mergeCells>
  <pageMargins left="0.75" right="0.75" top="1" bottom="1" header="0" footer="0"/>
  <pageSetup paperSize="1" orientation="landscape"/>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H1000"/>
  <sheetViews>
    <sheetView showGridLines="0" workbookViewId="0">
      <selection activeCell="A1" sqref="A1"/>
    </sheetView>
  </sheetViews>
  <sheetFormatPr defaultColWidth="14.4285714285714" defaultRowHeight="15" customHeight="1"/>
  <cols>
    <col min="1" max="1" width="8" customWidth="1"/>
    <col min="2" max="34" width="3.28571428571429" customWidth="1"/>
  </cols>
  <sheetData>
    <row r="1" ht="22.5" customHeight="1" spans="1:34">
      <c r="A1" s="51" t="s">
        <v>9</v>
      </c>
      <c r="B1" s="29" t="s">
        <v>7</v>
      </c>
      <c r="C1" s="2"/>
      <c r="D1" s="2"/>
      <c r="E1" s="3"/>
      <c r="F1" s="29" t="s">
        <v>10</v>
      </c>
      <c r="G1" s="2"/>
      <c r="H1" s="3"/>
      <c r="I1" s="29" t="s">
        <v>11</v>
      </c>
      <c r="J1" s="2"/>
      <c r="K1" s="2"/>
      <c r="L1" s="2"/>
      <c r="M1" s="2"/>
      <c r="N1" s="3"/>
      <c r="O1" s="29" t="s">
        <v>12</v>
      </c>
      <c r="P1" s="2"/>
      <c r="Q1" s="2"/>
      <c r="R1" s="2"/>
      <c r="S1" s="2"/>
      <c r="T1" s="2"/>
      <c r="U1" s="2"/>
      <c r="V1" s="3"/>
      <c r="W1" s="29" t="s">
        <v>13</v>
      </c>
      <c r="X1" s="2"/>
      <c r="Y1" s="2"/>
      <c r="Z1" s="2"/>
      <c r="AA1" s="2"/>
      <c r="AB1" s="3"/>
      <c r="AC1" s="29" t="s">
        <v>14</v>
      </c>
      <c r="AD1" s="2"/>
      <c r="AE1" s="2"/>
      <c r="AF1" s="2"/>
      <c r="AG1" s="2"/>
      <c r="AH1" s="3"/>
    </row>
    <row r="2" ht="22.5" customHeight="1" spans="1:34">
      <c r="A2" s="45">
        <v>1</v>
      </c>
      <c r="B2" s="6" t="s">
        <v>15</v>
      </c>
      <c r="C2" s="2"/>
      <c r="D2" s="2"/>
      <c r="E2" s="3"/>
      <c r="F2" s="6" t="s">
        <v>6</v>
      </c>
      <c r="G2" s="2"/>
      <c r="H2" s="3"/>
      <c r="I2" s="6" t="s">
        <v>16</v>
      </c>
      <c r="J2" s="2"/>
      <c r="K2" s="2"/>
      <c r="L2" s="2"/>
      <c r="M2" s="2"/>
      <c r="N2" s="3"/>
      <c r="O2" s="4" t="s">
        <v>17</v>
      </c>
      <c r="P2" s="2"/>
      <c r="Q2" s="2"/>
      <c r="R2" s="2"/>
      <c r="S2" s="2"/>
      <c r="T2" s="2"/>
      <c r="U2" s="2"/>
      <c r="V2" s="3"/>
      <c r="W2" s="6" t="s">
        <v>18</v>
      </c>
      <c r="X2" s="2"/>
      <c r="Y2" s="2"/>
      <c r="Z2" s="2"/>
      <c r="AA2" s="2"/>
      <c r="AB2" s="3"/>
      <c r="AC2" s="6"/>
      <c r="AD2" s="2"/>
      <c r="AE2" s="2"/>
      <c r="AF2" s="2"/>
      <c r="AG2" s="2"/>
      <c r="AH2" s="3"/>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
    <mergeCell ref="B1:E1"/>
    <mergeCell ref="F1:H1"/>
    <mergeCell ref="I1:N1"/>
    <mergeCell ref="O1:V1"/>
    <mergeCell ref="W1:AB1"/>
    <mergeCell ref="AC1:AH1"/>
    <mergeCell ref="B2:E2"/>
    <mergeCell ref="F2:H2"/>
    <mergeCell ref="I2:N2"/>
    <mergeCell ref="O2:V2"/>
    <mergeCell ref="W2:AB2"/>
    <mergeCell ref="AC2:AH2"/>
  </mergeCells>
  <pageMargins left="0.75" right="0.75" top="1" bottom="1" header="0" footer="0"/>
  <pageSetup paperSize="1" orientation="landscape"/>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K1000"/>
  <sheetViews>
    <sheetView showGridLines="0" workbookViewId="0">
      <selection activeCell="A1" sqref="A1:I1"/>
    </sheetView>
  </sheetViews>
  <sheetFormatPr defaultColWidth="14.4285714285714" defaultRowHeight="15" customHeight="1"/>
  <cols>
    <col min="1" max="37" width="4.28571428571429" customWidth="1"/>
  </cols>
  <sheetData>
    <row r="1" ht="19.5" customHeight="1" spans="1:37">
      <c r="A1" s="29" t="s">
        <v>19</v>
      </c>
      <c r="B1" s="2"/>
      <c r="C1" s="2"/>
      <c r="D1" s="2"/>
      <c r="E1" s="2"/>
      <c r="F1" s="2"/>
      <c r="G1" s="2"/>
      <c r="H1" s="2"/>
      <c r="I1" s="3"/>
      <c r="J1" s="29" t="s">
        <v>20</v>
      </c>
      <c r="K1" s="2"/>
      <c r="L1" s="2"/>
      <c r="M1" s="2"/>
      <c r="N1" s="2"/>
      <c r="O1" s="2"/>
      <c r="P1" s="3"/>
      <c r="Q1" s="29" t="s">
        <v>21</v>
      </c>
      <c r="R1" s="2"/>
      <c r="S1" s="2"/>
      <c r="T1" s="2"/>
      <c r="U1" s="3"/>
      <c r="V1" s="29" t="s">
        <v>22</v>
      </c>
      <c r="W1" s="2"/>
      <c r="X1" s="2"/>
      <c r="Y1" s="3"/>
      <c r="Z1" s="29" t="s">
        <v>23</v>
      </c>
      <c r="AA1" s="2"/>
      <c r="AB1" s="2"/>
      <c r="AC1" s="3"/>
      <c r="AD1" s="29" t="s">
        <v>24</v>
      </c>
      <c r="AE1" s="2"/>
      <c r="AF1" s="2"/>
      <c r="AG1" s="3"/>
      <c r="AH1" s="29" t="s">
        <v>25</v>
      </c>
      <c r="AI1" s="2"/>
      <c r="AJ1" s="2"/>
      <c r="AK1" s="3"/>
    </row>
    <row r="2" ht="19.5" customHeight="1" spans="1:37">
      <c r="A2" s="30" t="s">
        <v>0</v>
      </c>
      <c r="B2" s="10"/>
      <c r="C2" s="10"/>
      <c r="D2" s="10"/>
      <c r="E2" s="10"/>
      <c r="F2" s="10"/>
      <c r="G2" s="10"/>
      <c r="H2" s="10"/>
      <c r="I2" s="11"/>
      <c r="J2" s="30" t="s">
        <v>26</v>
      </c>
      <c r="K2" s="10"/>
      <c r="L2" s="10"/>
      <c r="M2" s="10"/>
      <c r="N2" s="10"/>
      <c r="O2" s="10"/>
      <c r="P2" s="11"/>
      <c r="Q2" s="30" t="s">
        <v>27</v>
      </c>
      <c r="R2" s="10"/>
      <c r="S2" s="10"/>
      <c r="T2" s="10"/>
      <c r="U2" s="11"/>
      <c r="V2" s="31" t="s">
        <v>8</v>
      </c>
      <c r="W2" s="10"/>
      <c r="X2" s="10"/>
      <c r="Y2" s="11"/>
      <c r="Z2" s="30" t="s">
        <v>16</v>
      </c>
      <c r="AA2" s="10"/>
      <c r="AB2" s="10"/>
      <c r="AC2" s="11"/>
      <c r="AD2" s="31" t="s">
        <v>8</v>
      </c>
      <c r="AE2" s="10"/>
      <c r="AF2" s="10"/>
      <c r="AG2" s="11"/>
      <c r="AH2" s="30" t="s">
        <v>16</v>
      </c>
      <c r="AI2" s="10"/>
      <c r="AJ2" s="10"/>
      <c r="AK2" s="11"/>
    </row>
    <row r="3" ht="19.5" customHeight="1" spans="1:37">
      <c r="A3" s="13"/>
      <c r="B3" s="14"/>
      <c r="C3" s="14"/>
      <c r="D3" s="14"/>
      <c r="E3" s="14"/>
      <c r="F3" s="14"/>
      <c r="G3" s="14"/>
      <c r="H3" s="14"/>
      <c r="I3" s="15"/>
      <c r="J3" s="13"/>
      <c r="K3" s="14"/>
      <c r="L3" s="14"/>
      <c r="M3" s="14"/>
      <c r="N3" s="14"/>
      <c r="O3" s="14"/>
      <c r="P3" s="15"/>
      <c r="Q3" s="13"/>
      <c r="R3" s="14"/>
      <c r="S3" s="14"/>
      <c r="T3" s="14"/>
      <c r="U3" s="15"/>
      <c r="V3" s="13"/>
      <c r="W3" s="14"/>
      <c r="X3" s="14"/>
      <c r="Y3" s="15"/>
      <c r="Z3" s="13"/>
      <c r="AA3" s="14"/>
      <c r="AB3" s="14"/>
      <c r="AC3" s="15"/>
      <c r="AD3" s="13"/>
      <c r="AE3" s="14"/>
      <c r="AF3" s="14"/>
      <c r="AG3" s="15"/>
      <c r="AH3" s="13"/>
      <c r="AI3" s="14"/>
      <c r="AJ3" s="14"/>
      <c r="AK3" s="15"/>
    </row>
    <row r="5" ht="19.5" customHeight="1" spans="1:37">
      <c r="B5" s="32" t="s">
        <v>28</v>
      </c>
    </row>
    <row r="6" ht="19.5" customHeight="1" spans="1:37">
      <c r="C6" s="48" t="s">
        <v>29</v>
      </c>
    </row>
    <row r="7" ht="19.5" customHeight="1" spans="1:37">
      <c r="C7" s="48" t="s">
        <v>30</v>
      </c>
    </row>
    <row r="8" ht="19.5" customHeight="1" spans="1:37">
      <c r="C8" s="48" t="s">
        <v>31</v>
      </c>
    </row>
    <row r="9" ht="19.5" customHeight="1" spans="1:37">
      <c r="C9" s="48" t="s">
        <v>32</v>
      </c>
    </row>
    <row r="10" ht="19.5" customHeight="1" spans="1:37">
      <c r="C10" s="48" t="s">
        <v>33</v>
      </c>
    </row>
    <row r="11" ht="19.5" customHeight="1" spans="1:37">
      <c r="C11" s="48" t="s">
        <v>34</v>
      </c>
    </row>
    <row r="12" ht="19.5" customHeight="1" spans="1:37">
      <c r="C12" s="48" t="s">
        <v>35</v>
      </c>
    </row>
    <row r="14" ht="19.5" customHeight="1" spans="1:37">
      <c r="B14" s="32" t="s">
        <v>36</v>
      </c>
    </row>
    <row r="15" ht="19.5" customHeight="1" spans="1:37">
      <c r="C15" s="49" t="s">
        <v>37</v>
      </c>
      <c r="D15" s="50"/>
      <c r="E15" s="50"/>
      <c r="F15" s="50"/>
      <c r="G15" s="50"/>
      <c r="H15" s="50"/>
      <c r="I15" s="50"/>
      <c r="J15" s="50"/>
      <c r="K15" s="50"/>
      <c r="L15" s="50"/>
      <c r="M15" s="50"/>
      <c r="N15" s="50"/>
      <c r="O15" s="50"/>
      <c r="P15" s="50"/>
      <c r="Q15" s="50"/>
      <c r="R15" s="50"/>
      <c r="S15" s="50"/>
      <c r="T15" s="50"/>
      <c r="U15" s="50"/>
      <c r="V15" s="50"/>
      <c r="W15" s="50"/>
      <c r="X15" s="50"/>
      <c r="Y15" s="50"/>
      <c r="Z15" s="50"/>
      <c r="AA15" s="50"/>
      <c r="AB15" s="50"/>
      <c r="AC15" s="50"/>
      <c r="AD15" s="50"/>
      <c r="AE15" s="50"/>
      <c r="AF15" s="50"/>
      <c r="AG15" s="50"/>
      <c r="AH15" s="50"/>
      <c r="AI15" s="50"/>
      <c r="AJ15" s="50"/>
      <c r="AK15" s="50"/>
    </row>
    <row r="16" ht="19.5" customHeight="1" spans="1:37">
      <c r="C16" s="49" t="s">
        <v>38</v>
      </c>
      <c r="D16" s="50"/>
      <c r="E16" s="50"/>
      <c r="F16" s="50"/>
      <c r="G16" s="50"/>
      <c r="H16" s="50"/>
      <c r="I16" s="50"/>
      <c r="J16" s="50"/>
      <c r="K16" s="50"/>
      <c r="L16" s="50"/>
      <c r="M16" s="50"/>
      <c r="N16" s="50"/>
      <c r="O16" s="50"/>
      <c r="P16" s="50"/>
      <c r="Q16" s="50"/>
      <c r="R16" s="50"/>
      <c r="S16" s="50"/>
      <c r="T16" s="50"/>
      <c r="U16" s="50"/>
      <c r="V16" s="50"/>
      <c r="W16" s="50"/>
      <c r="X16" s="50"/>
      <c r="Y16" s="50"/>
      <c r="Z16" s="50"/>
      <c r="AA16" s="50"/>
      <c r="AB16" s="50"/>
      <c r="AC16" s="50"/>
      <c r="AD16" s="50"/>
      <c r="AE16" s="50"/>
      <c r="AF16" s="50"/>
      <c r="AG16" s="50"/>
      <c r="AH16" s="50"/>
      <c r="AI16" s="50"/>
      <c r="AJ16" s="50"/>
      <c r="AK16" s="50"/>
    </row>
    <row r="17" ht="19.5" customHeight="1" spans="2:37">
      <c r="C17" s="49" t="s">
        <v>39</v>
      </c>
      <c r="D17" s="50"/>
      <c r="E17" s="50"/>
      <c r="F17" s="50"/>
      <c r="G17" s="50"/>
      <c r="H17" s="50"/>
      <c r="I17" s="50"/>
      <c r="J17" s="50"/>
      <c r="K17" s="50"/>
      <c r="L17" s="50"/>
      <c r="M17" s="50"/>
      <c r="N17" s="50"/>
      <c r="O17" s="50"/>
      <c r="P17" s="50"/>
      <c r="Q17" s="50"/>
      <c r="R17" s="50"/>
      <c r="S17" s="50"/>
      <c r="T17" s="50"/>
      <c r="U17" s="50"/>
      <c r="V17" s="50"/>
      <c r="W17" s="50"/>
      <c r="X17" s="50"/>
      <c r="Y17" s="50"/>
      <c r="Z17" s="50"/>
      <c r="AA17" s="50"/>
      <c r="AB17" s="50"/>
      <c r="AC17" s="50"/>
      <c r="AD17" s="50"/>
      <c r="AE17" s="50"/>
      <c r="AF17" s="50"/>
      <c r="AG17" s="50"/>
      <c r="AH17" s="50"/>
      <c r="AI17" s="50"/>
      <c r="AJ17" s="50"/>
      <c r="AK17" s="50"/>
    </row>
    <row r="18" ht="19.5" customHeight="1" spans="2:37">
      <c r="C18" s="49" t="s">
        <v>40</v>
      </c>
      <c r="D18" s="50"/>
      <c r="E18" s="50"/>
      <c r="F18" s="50"/>
      <c r="G18" s="50"/>
      <c r="H18" s="50"/>
      <c r="I18" s="50"/>
      <c r="J18" s="50"/>
      <c r="K18" s="50"/>
      <c r="L18" s="50"/>
      <c r="M18" s="50"/>
      <c r="N18" s="50"/>
      <c r="O18" s="50"/>
      <c r="P18" s="50"/>
      <c r="Q18" s="50"/>
      <c r="R18" s="50"/>
      <c r="S18" s="50"/>
      <c r="T18" s="50"/>
      <c r="U18" s="50"/>
      <c r="V18" s="50"/>
      <c r="W18" s="50"/>
      <c r="X18" s="50"/>
      <c r="Y18" s="50"/>
      <c r="Z18" s="50"/>
      <c r="AA18" s="50"/>
      <c r="AB18" s="50"/>
      <c r="AC18" s="50"/>
      <c r="AD18" s="50"/>
      <c r="AE18" s="50"/>
      <c r="AF18" s="50"/>
      <c r="AG18" s="50"/>
      <c r="AH18" s="50"/>
      <c r="AI18" s="50"/>
      <c r="AJ18" s="50"/>
      <c r="AK18" s="50"/>
    </row>
    <row r="19" ht="19.5" customHeight="1" spans="2:37">
      <c r="C19" s="49" t="s">
        <v>41</v>
      </c>
      <c r="D19" s="50"/>
      <c r="E19" s="50"/>
      <c r="F19" s="50"/>
      <c r="G19" s="50"/>
      <c r="H19" s="50"/>
      <c r="I19" s="50"/>
      <c r="J19" s="50"/>
      <c r="K19" s="50"/>
      <c r="L19" s="50"/>
      <c r="M19" s="50"/>
      <c r="N19" s="50"/>
      <c r="O19" s="50"/>
      <c r="P19" s="50"/>
      <c r="Q19" s="50"/>
      <c r="R19" s="50"/>
      <c r="S19" s="50"/>
      <c r="T19" s="50"/>
      <c r="U19" s="50"/>
      <c r="V19" s="50"/>
      <c r="W19" s="50"/>
      <c r="X19" s="50"/>
      <c r="Y19" s="50"/>
      <c r="Z19" s="50"/>
      <c r="AA19" s="50"/>
      <c r="AB19" s="50"/>
      <c r="AC19" s="50"/>
      <c r="AD19" s="50"/>
      <c r="AE19" s="50"/>
      <c r="AF19" s="50"/>
      <c r="AG19" s="50"/>
      <c r="AH19" s="50"/>
      <c r="AI19" s="50"/>
      <c r="AJ19" s="50"/>
      <c r="AK19" s="50"/>
    </row>
    <row r="21" ht="19.5" customHeight="1" spans="2:37">
      <c r="B21" s="32" t="s">
        <v>42</v>
      </c>
    </row>
    <row r="23" ht="22.5" customHeight="1" spans="2:37">
      <c r="C23" s="51" t="s">
        <v>43</v>
      </c>
      <c r="D23" s="29" t="s">
        <v>44</v>
      </c>
      <c r="E23" s="2"/>
      <c r="F23" s="2"/>
      <c r="G23" s="2"/>
      <c r="H23" s="2"/>
      <c r="I23" s="2"/>
      <c r="J23" s="2"/>
      <c r="K23" s="2"/>
      <c r="L23" s="2"/>
      <c r="M23" s="2"/>
      <c r="N23" s="3"/>
      <c r="O23" s="29" t="s">
        <v>45</v>
      </c>
      <c r="P23" s="2"/>
      <c r="Q23" s="2"/>
      <c r="R23" s="2"/>
      <c r="S23" s="2"/>
      <c r="T23" s="2"/>
      <c r="U23" s="2"/>
      <c r="V23" s="2"/>
      <c r="W23" s="2"/>
      <c r="X23" s="2"/>
      <c r="Y23" s="2"/>
      <c r="Z23" s="2"/>
      <c r="AA23" s="2"/>
      <c r="AB23" s="2"/>
      <c r="AC23" s="2"/>
      <c r="AD23" s="2"/>
      <c r="AE23" s="2"/>
      <c r="AF23" s="2"/>
      <c r="AG23" s="3"/>
    </row>
    <row r="24" ht="22.5" customHeight="1" spans="2:37">
      <c r="C24" s="45">
        <v>1</v>
      </c>
      <c r="D24" s="4" t="s">
        <v>46</v>
      </c>
      <c r="E24" s="2"/>
      <c r="F24" s="2"/>
      <c r="G24" s="2"/>
      <c r="H24" s="2"/>
      <c r="I24" s="2"/>
      <c r="J24" s="2"/>
      <c r="K24" s="2"/>
      <c r="L24" s="2"/>
      <c r="M24" s="2"/>
      <c r="N24" s="3"/>
      <c r="O24" s="4" t="s">
        <v>47</v>
      </c>
      <c r="P24" s="2"/>
      <c r="Q24" s="2"/>
      <c r="R24" s="2"/>
      <c r="S24" s="2"/>
      <c r="T24" s="2"/>
      <c r="U24" s="2"/>
      <c r="V24" s="2"/>
      <c r="W24" s="2"/>
      <c r="X24" s="2"/>
      <c r="Y24" s="2"/>
      <c r="Z24" s="2"/>
      <c r="AA24" s="2"/>
      <c r="AB24" s="2"/>
      <c r="AC24" s="2"/>
      <c r="AD24" s="2"/>
      <c r="AE24" s="2"/>
      <c r="AF24" s="2"/>
      <c r="AG24" s="3"/>
    </row>
    <row r="25" ht="22.5" customHeight="1" spans="2:37">
      <c r="C25" s="45">
        <v>2</v>
      </c>
      <c r="D25" s="4" t="s">
        <v>48</v>
      </c>
      <c r="E25" s="2"/>
      <c r="F25" s="2"/>
      <c r="G25" s="2"/>
      <c r="H25" s="2"/>
      <c r="I25" s="2"/>
      <c r="J25" s="2"/>
      <c r="K25" s="2"/>
      <c r="L25" s="2"/>
      <c r="M25" s="2"/>
      <c r="N25" s="3"/>
      <c r="O25" s="4" t="s">
        <v>49</v>
      </c>
      <c r="P25" s="2"/>
      <c r="Q25" s="2"/>
      <c r="R25" s="2"/>
      <c r="S25" s="2"/>
      <c r="T25" s="2"/>
      <c r="U25" s="2"/>
      <c r="V25" s="2"/>
      <c r="W25" s="2"/>
      <c r="X25" s="2"/>
      <c r="Y25" s="2"/>
      <c r="Z25" s="2"/>
      <c r="AA25" s="2"/>
      <c r="AB25" s="2"/>
      <c r="AC25" s="2"/>
      <c r="AD25" s="2"/>
      <c r="AE25" s="2"/>
      <c r="AF25" s="2"/>
      <c r="AG25" s="3"/>
    </row>
    <row r="26" ht="22.5" customHeight="1" spans="2:37">
      <c r="C26" s="45">
        <v>3</v>
      </c>
      <c r="D26" s="4" t="s">
        <v>50</v>
      </c>
      <c r="E26" s="2"/>
      <c r="F26" s="2"/>
      <c r="G26" s="2"/>
      <c r="H26" s="2"/>
      <c r="I26" s="2"/>
      <c r="J26" s="2"/>
      <c r="K26" s="2"/>
      <c r="L26" s="2"/>
      <c r="M26" s="2"/>
      <c r="N26" s="3"/>
      <c r="O26" s="4" t="s">
        <v>51</v>
      </c>
      <c r="P26" s="2"/>
      <c r="Q26" s="2"/>
      <c r="R26" s="2"/>
      <c r="S26" s="2"/>
      <c r="T26" s="2"/>
      <c r="U26" s="2"/>
      <c r="V26" s="2"/>
      <c r="W26" s="2"/>
      <c r="X26" s="2"/>
      <c r="Y26" s="2"/>
      <c r="Z26" s="2"/>
      <c r="AA26" s="2"/>
      <c r="AB26" s="2"/>
      <c r="AC26" s="2"/>
      <c r="AD26" s="2"/>
      <c r="AE26" s="2"/>
      <c r="AF26" s="2"/>
      <c r="AG26" s="3"/>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7">
    <mergeCell ref="A1:I1"/>
    <mergeCell ref="J1:P1"/>
    <mergeCell ref="Q1:U1"/>
    <mergeCell ref="V1:Y1"/>
    <mergeCell ref="Z1:AC1"/>
    <mergeCell ref="AD1:AG1"/>
    <mergeCell ref="AH1:AK1"/>
    <mergeCell ref="B5:AK5"/>
    <mergeCell ref="C6:AK6"/>
    <mergeCell ref="C7:AK7"/>
    <mergeCell ref="C8:AK8"/>
    <mergeCell ref="C9:AK9"/>
    <mergeCell ref="C10:AK10"/>
    <mergeCell ref="C11:AK11"/>
    <mergeCell ref="C12:AK12"/>
    <mergeCell ref="B14:AK14"/>
    <mergeCell ref="C15:AK15"/>
    <mergeCell ref="C16:AK16"/>
    <mergeCell ref="C17:AK17"/>
    <mergeCell ref="C18:AK18"/>
    <mergeCell ref="C19:AK19"/>
    <mergeCell ref="B21:AK21"/>
    <mergeCell ref="D23:N23"/>
    <mergeCell ref="O23:AG23"/>
    <mergeCell ref="D24:N24"/>
    <mergeCell ref="O24:AG24"/>
    <mergeCell ref="D25:N25"/>
    <mergeCell ref="O25:AG25"/>
    <mergeCell ref="D26:N26"/>
    <mergeCell ref="O26:AG26"/>
    <mergeCell ref="A2:I3"/>
    <mergeCell ref="J2:P3"/>
    <mergeCell ref="Q2:U3"/>
    <mergeCell ref="V2:Y3"/>
    <mergeCell ref="Z2:AC3"/>
    <mergeCell ref="AD2:AG3"/>
    <mergeCell ref="AH2:AK3"/>
  </mergeCells>
  <pageMargins left="0.75" right="0.75" top="1" bottom="1" header="0" footer="0"/>
  <pageSetup paperSize="1" orientation="landscape"/>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H1000"/>
  <sheetViews>
    <sheetView showGridLines="0" workbookViewId="0">
      <selection activeCell="A1" sqref="A1:AH1"/>
    </sheetView>
  </sheetViews>
  <sheetFormatPr defaultColWidth="14.4285714285714" defaultRowHeight="15" customHeight="1"/>
  <cols>
    <col min="1" max="1" width="13" customWidth="1"/>
    <col min="2" max="34" width="5" customWidth="1"/>
  </cols>
  <sheetData>
    <row r="1" ht="28.5" customHeight="1" spans="1:34">
      <c r="A1" s="41" t="s">
        <v>52</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3"/>
    </row>
    <row r="3" ht="22.5" customHeight="1" spans="1:34">
      <c r="A3" s="16" t="s">
        <v>53</v>
      </c>
      <c r="B3" s="2"/>
      <c r="C3" s="2"/>
      <c r="D3" s="2"/>
      <c r="E3" s="2"/>
      <c r="F3" s="3"/>
      <c r="G3" s="4" t="s">
        <v>0</v>
      </c>
      <c r="H3" s="2"/>
      <c r="I3" s="2"/>
      <c r="J3" s="2"/>
      <c r="K3" s="2"/>
      <c r="L3" s="2"/>
      <c r="M3" s="2"/>
      <c r="N3" s="2"/>
      <c r="O3" s="3"/>
      <c r="P3" s="16" t="s">
        <v>54</v>
      </c>
      <c r="Q3" s="2"/>
      <c r="R3" s="2"/>
      <c r="S3" s="2"/>
      <c r="T3" s="2"/>
      <c r="U3" s="2"/>
      <c r="V3" s="2"/>
      <c r="W3" s="3"/>
      <c r="X3" s="4" t="s">
        <v>18</v>
      </c>
      <c r="Y3" s="2"/>
      <c r="Z3" s="2"/>
      <c r="AA3" s="2"/>
      <c r="AB3" s="2"/>
      <c r="AC3" s="2"/>
      <c r="AD3" s="2"/>
      <c r="AE3" s="2"/>
      <c r="AF3" s="2"/>
      <c r="AG3" s="2"/>
      <c r="AH3" s="3"/>
    </row>
    <row r="4" ht="22.5" customHeight="1" spans="1:34">
      <c r="A4" s="16" t="s">
        <v>11</v>
      </c>
      <c r="B4" s="2"/>
      <c r="C4" s="2"/>
      <c r="D4" s="2"/>
      <c r="E4" s="2"/>
      <c r="F4" s="3"/>
      <c r="G4" s="4" t="s">
        <v>16</v>
      </c>
      <c r="H4" s="2"/>
      <c r="I4" s="2"/>
      <c r="J4" s="2"/>
      <c r="K4" s="2"/>
      <c r="L4" s="2"/>
      <c r="M4" s="2"/>
      <c r="N4" s="2"/>
      <c r="O4" s="3"/>
      <c r="P4" s="16" t="s">
        <v>22</v>
      </c>
      <c r="Q4" s="2"/>
      <c r="R4" s="2"/>
      <c r="S4" s="2"/>
      <c r="T4" s="2"/>
      <c r="U4" s="2"/>
      <c r="V4" s="2"/>
      <c r="W4" s="3"/>
      <c r="X4" s="5" t="s">
        <v>8</v>
      </c>
      <c r="Y4" s="2"/>
      <c r="Z4" s="2"/>
      <c r="AA4" s="2"/>
      <c r="AB4" s="2"/>
      <c r="AC4" s="2"/>
      <c r="AD4" s="2"/>
      <c r="AE4" s="2"/>
      <c r="AF4" s="2"/>
      <c r="AG4" s="2"/>
      <c r="AH4" s="3"/>
    </row>
    <row r="6" ht="22.5" customHeight="1" spans="1:34">
      <c r="A6" s="42" t="s">
        <v>55</v>
      </c>
      <c r="B6" s="43" t="s">
        <v>56</v>
      </c>
      <c r="C6" s="10"/>
      <c r="D6" s="10"/>
      <c r="E6" s="10"/>
      <c r="F6" s="10"/>
      <c r="G6" s="11"/>
      <c r="H6" s="38" t="s">
        <v>57</v>
      </c>
      <c r="I6" s="2"/>
      <c r="J6" s="2"/>
      <c r="K6" s="2"/>
      <c r="L6" s="2"/>
      <c r="M6" s="2"/>
      <c r="N6" s="2"/>
      <c r="O6" s="2"/>
      <c r="P6" s="3"/>
      <c r="Q6" s="43" t="s">
        <v>58</v>
      </c>
      <c r="R6" s="10"/>
      <c r="S6" s="11"/>
      <c r="T6" s="38" t="s">
        <v>59</v>
      </c>
      <c r="U6" s="2"/>
      <c r="V6" s="2"/>
      <c r="W6" s="2"/>
      <c r="X6" s="2"/>
      <c r="Y6" s="2"/>
      <c r="Z6" s="2"/>
      <c r="AA6" s="2"/>
      <c r="AB6" s="2"/>
      <c r="AC6" s="2"/>
      <c r="AD6" s="2"/>
      <c r="AE6" s="2"/>
      <c r="AF6" s="2"/>
      <c r="AG6" s="2"/>
      <c r="AH6" s="3"/>
    </row>
    <row r="7" ht="22.5" customHeight="1" spans="1:34">
      <c r="A7" s="12"/>
      <c r="B7" s="13"/>
      <c r="C7" s="14"/>
      <c r="D7" s="14"/>
      <c r="E7" s="14"/>
      <c r="F7" s="14"/>
      <c r="G7" s="15"/>
      <c r="H7" s="38" t="s">
        <v>60</v>
      </c>
      <c r="I7" s="2"/>
      <c r="J7" s="3"/>
      <c r="K7" s="38" t="s">
        <v>61</v>
      </c>
      <c r="L7" s="2"/>
      <c r="M7" s="3"/>
      <c r="N7" s="38" t="s">
        <v>62</v>
      </c>
      <c r="O7" s="2"/>
      <c r="P7" s="3"/>
      <c r="Q7" s="13"/>
      <c r="R7" s="14"/>
      <c r="S7" s="15"/>
      <c r="T7" s="38" t="s">
        <v>63</v>
      </c>
      <c r="U7" s="2"/>
      <c r="V7" s="3"/>
      <c r="W7" s="38" t="s">
        <v>64</v>
      </c>
      <c r="X7" s="2"/>
      <c r="Y7" s="3"/>
      <c r="Z7" s="38" t="s">
        <v>65</v>
      </c>
      <c r="AA7" s="2"/>
      <c r="AB7" s="3"/>
      <c r="AC7" s="38" t="s">
        <v>66</v>
      </c>
      <c r="AD7" s="2"/>
      <c r="AE7" s="3"/>
      <c r="AF7" s="38" t="s">
        <v>67</v>
      </c>
      <c r="AG7" s="2"/>
      <c r="AH7" s="3"/>
    </row>
    <row r="8" ht="22.5" customHeight="1" spans="1:34">
      <c r="A8" s="44" t="s">
        <v>68</v>
      </c>
    </row>
    <row r="9" ht="22.5" customHeight="1" spans="1:34">
      <c r="A9" s="45">
        <v>1</v>
      </c>
      <c r="B9" s="4" t="s">
        <v>69</v>
      </c>
      <c r="C9" s="2"/>
      <c r="D9" s="2"/>
      <c r="E9" s="2"/>
      <c r="F9" s="2"/>
      <c r="G9" s="3"/>
      <c r="H9" s="6">
        <f ca="1" t="array" ref="H9">INDIRECT("'"&amp;$B9&amp;"'!H7",TRUE)</f>
        <v>16</v>
      </c>
      <c r="I9" s="2"/>
      <c r="J9" s="3"/>
      <c r="K9" s="6">
        <f ca="1" t="array" ref="K9">INDIRECT("'"&amp;$B9&amp;"'!K7",TRUE)</f>
        <v>15</v>
      </c>
      <c r="L9" s="2"/>
      <c r="M9" s="3"/>
      <c r="N9" s="6">
        <f ca="1" t="array" ref="N9">INDIRECT("'"&amp;$B9&amp;"'!N7",TRUE)</f>
        <v>2</v>
      </c>
      <c r="O9" s="2"/>
      <c r="P9" s="3"/>
      <c r="Q9" s="6">
        <f ca="1" t="array" ref="Q9">INDIRECT("'"&amp;$B9&amp;"'!Q7",TRUE)</f>
        <v>33</v>
      </c>
      <c r="R9" s="2"/>
      <c r="S9" s="3"/>
      <c r="T9" s="6">
        <f ca="1" t="array" ref="T9">INDIRECT("'"&amp;$B9&amp;"'!T7",TRUE)</f>
        <v>23</v>
      </c>
      <c r="U9" s="2"/>
      <c r="V9" s="3"/>
      <c r="W9" s="6">
        <f ca="1" t="array" ref="W9">INDIRECT("'"&amp;$B9&amp;"'!W7",TRUE)</f>
        <v>0</v>
      </c>
      <c r="X9" s="2"/>
      <c r="Y9" s="3"/>
      <c r="Z9" s="6">
        <f ca="1" t="array" ref="Z9">INDIRECT("'"&amp;$B9&amp;"'!Z7",TRUE)</f>
        <v>1</v>
      </c>
      <c r="AA9" s="2"/>
      <c r="AB9" s="3"/>
      <c r="AC9" s="6">
        <f ca="1" t="array" ref="AC9">INDIRECT("'"&amp;$B9&amp;"'!AC7",TRUE)</f>
        <v>9</v>
      </c>
      <c r="AD9" s="2"/>
      <c r="AE9" s="3"/>
      <c r="AF9" s="46">
        <f ca="1">IFERROR((T9+W9+AC9)/Q9,0)</f>
        <v>0.96969696969697</v>
      </c>
      <c r="AG9" s="2"/>
      <c r="AH9" s="3"/>
    </row>
    <row r="10" ht="22.5" customHeight="1" spans="1:34">
      <c r="A10" s="45">
        <v>2</v>
      </c>
      <c r="B10" s="4"/>
      <c r="C10" s="2"/>
      <c r="D10" s="2"/>
      <c r="E10" s="2"/>
      <c r="F10" s="2"/>
      <c r="G10" s="3"/>
      <c r="H10" s="6"/>
      <c r="I10" s="2"/>
      <c r="J10" s="3"/>
      <c r="K10" s="6"/>
      <c r="L10" s="2"/>
      <c r="M10" s="3"/>
      <c r="N10" s="6"/>
      <c r="O10" s="2"/>
      <c r="P10" s="3"/>
      <c r="Q10" s="6"/>
      <c r="R10" s="2"/>
      <c r="S10" s="3"/>
      <c r="T10" s="6"/>
      <c r="U10" s="2"/>
      <c r="V10" s="3"/>
      <c r="W10" s="6"/>
      <c r="X10" s="2"/>
      <c r="Y10" s="3"/>
      <c r="Z10" s="6"/>
      <c r="AA10" s="2"/>
      <c r="AB10" s="3"/>
      <c r="AC10" s="6"/>
      <c r="AD10" s="2"/>
      <c r="AE10" s="3"/>
      <c r="AF10" s="46"/>
      <c r="AG10" s="2"/>
      <c r="AH10" s="3"/>
    </row>
    <row r="11" ht="22.5" customHeight="1" spans="1:34">
      <c r="A11" s="45"/>
      <c r="B11" s="38" t="s">
        <v>58</v>
      </c>
      <c r="C11" s="2"/>
      <c r="D11" s="2"/>
      <c r="E11" s="2"/>
      <c r="F11" s="2"/>
      <c r="G11" s="3"/>
      <c r="H11" s="7">
        <f ca="1">SUM(H9:J10)</f>
        <v>16</v>
      </c>
      <c r="I11" s="2"/>
      <c r="J11" s="3"/>
      <c r="K11" s="7">
        <f ca="1">SUM(K9:M10)</f>
        <v>15</v>
      </c>
      <c r="L11" s="2"/>
      <c r="M11" s="3"/>
      <c r="N11" s="7">
        <f ca="1">SUM(N9:P10)</f>
        <v>2</v>
      </c>
      <c r="O11" s="2"/>
      <c r="P11" s="3"/>
      <c r="Q11" s="7">
        <f ca="1">SUM(Q9:S10)</f>
        <v>33</v>
      </c>
      <c r="R11" s="2"/>
      <c r="S11" s="3"/>
      <c r="T11" s="7">
        <f ca="1">SUM(T9:V10)</f>
        <v>23</v>
      </c>
      <c r="U11" s="2"/>
      <c r="V11" s="3"/>
      <c r="W11" s="7">
        <f ca="1">SUM(W9:Y10)</f>
        <v>0</v>
      </c>
      <c r="X11" s="2"/>
      <c r="Y11" s="3"/>
      <c r="Z11" s="7">
        <f ca="1">SUM(Z9:AB10)</f>
        <v>1</v>
      </c>
      <c r="AA11" s="2"/>
      <c r="AB11" s="3"/>
      <c r="AC11" s="7">
        <f ca="1">SUM(AC9:AE10)</f>
        <v>9</v>
      </c>
      <c r="AD11" s="2"/>
      <c r="AE11" s="3"/>
      <c r="AF11" s="47">
        <f ca="1">IFERROR((T11+W11+AC11)/Q11,0)</f>
        <v>0.96969696969697</v>
      </c>
      <c r="AG11" s="2"/>
      <c r="AH11" s="3"/>
    </row>
    <row r="12" ht="22.5" customHeight="1" spans="1:34">
      <c r="A12" s="44" t="s">
        <v>70</v>
      </c>
    </row>
    <row r="13" ht="22.5" customHeight="1" spans="1:34">
      <c r="A13" s="45">
        <v>1</v>
      </c>
      <c r="B13" s="4" t="s">
        <v>69</v>
      </c>
      <c r="C13" s="2"/>
      <c r="D13" s="2"/>
      <c r="E13" s="2"/>
      <c r="F13" s="2"/>
      <c r="G13" s="3"/>
      <c r="H13" s="6">
        <f ca="1" t="array" ref="H13">INDIRECT("'"&amp;$B13&amp;"'!H8",TRUE)</f>
        <v>16</v>
      </c>
      <c r="I13" s="2"/>
      <c r="J13" s="3"/>
      <c r="K13" s="6">
        <f ca="1" t="array" ref="K13">INDIRECT("'"&amp;$B13&amp;"'!K8",TRUE)</f>
        <v>15</v>
      </c>
      <c r="L13" s="2"/>
      <c r="M13" s="3"/>
      <c r="N13" s="6">
        <f ca="1" t="array" ref="N13">INDIRECT("'"&amp;$B13&amp;"'!N8",TRUE)</f>
        <v>2</v>
      </c>
      <c r="O13" s="2"/>
      <c r="P13" s="3"/>
      <c r="Q13" s="6">
        <f ca="1" t="array" ref="Q13">INDIRECT("'"&amp;$B13&amp;"'!Q8",TRUE)</f>
        <v>33</v>
      </c>
      <c r="R13" s="2"/>
      <c r="S13" s="3"/>
      <c r="T13" s="6">
        <f ca="1" t="array" ref="T13">INDIRECT("'"&amp;$B13&amp;"'!T8",TRUE)</f>
        <v>23</v>
      </c>
      <c r="U13" s="2"/>
      <c r="V13" s="3"/>
      <c r="W13" s="6">
        <f ca="1" t="array" ref="W13">INDIRECT("'"&amp;$B13&amp;"'!W8",TRUE)</f>
        <v>0</v>
      </c>
      <c r="X13" s="2"/>
      <c r="Y13" s="3"/>
      <c r="Z13" s="6">
        <f ca="1" t="array" ref="Z13">INDIRECT("'"&amp;$B13&amp;"'!Z8",TRUE)</f>
        <v>1</v>
      </c>
      <c r="AA13" s="2"/>
      <c r="AB13" s="3"/>
      <c r="AC13" s="6">
        <f ca="1" t="array" ref="AC13">INDIRECT("'"&amp;$B13&amp;"'!AC8",TRUE)</f>
        <v>9</v>
      </c>
      <c r="AD13" s="2"/>
      <c r="AE13" s="3"/>
      <c r="AF13" s="46">
        <f ca="1">IFERROR((T13+W13+AC13)/Q13,0)</f>
        <v>0.96969696969697</v>
      </c>
      <c r="AG13" s="2"/>
      <c r="AH13" s="3"/>
    </row>
    <row r="14" ht="22.5" customHeight="1" spans="1:34">
      <c r="A14" s="45">
        <v>2</v>
      </c>
      <c r="B14" s="4"/>
      <c r="C14" s="2"/>
      <c r="D14" s="2"/>
      <c r="E14" s="2"/>
      <c r="F14" s="2"/>
      <c r="G14" s="3"/>
      <c r="H14" s="6"/>
      <c r="I14" s="2"/>
      <c r="J14" s="3"/>
      <c r="K14" s="6"/>
      <c r="L14" s="2"/>
      <c r="M14" s="3"/>
      <c r="N14" s="6"/>
      <c r="O14" s="2"/>
      <c r="P14" s="3"/>
      <c r="Q14" s="6"/>
      <c r="R14" s="2"/>
      <c r="S14" s="3"/>
      <c r="T14" s="6"/>
      <c r="U14" s="2"/>
      <c r="V14" s="3"/>
      <c r="W14" s="6"/>
      <c r="X14" s="2"/>
      <c r="Y14" s="3"/>
      <c r="Z14" s="6"/>
      <c r="AA14" s="2"/>
      <c r="AB14" s="3"/>
      <c r="AC14" s="6"/>
      <c r="AD14" s="2"/>
      <c r="AE14" s="3"/>
      <c r="AF14" s="46"/>
      <c r="AG14" s="2"/>
      <c r="AH14" s="3"/>
    </row>
    <row r="15" ht="22.5" customHeight="1" spans="1:34">
      <c r="A15" s="45"/>
      <c r="B15" s="38" t="s">
        <v>58</v>
      </c>
      <c r="C15" s="2"/>
      <c r="D15" s="2"/>
      <c r="E15" s="2"/>
      <c r="F15" s="2"/>
      <c r="G15" s="3"/>
      <c r="H15" s="7">
        <f ca="1">SUM(H13:J14)</f>
        <v>16</v>
      </c>
      <c r="I15" s="2"/>
      <c r="J15" s="3"/>
      <c r="K15" s="7">
        <f ca="1">SUM(K13:M14)</f>
        <v>15</v>
      </c>
      <c r="L15" s="2"/>
      <c r="M15" s="3"/>
      <c r="N15" s="7">
        <f ca="1">SUM(N13:P14)</f>
        <v>2</v>
      </c>
      <c r="O15" s="2"/>
      <c r="P15" s="3"/>
      <c r="Q15" s="7">
        <f ca="1">SUM(Q13:S14)</f>
        <v>33</v>
      </c>
      <c r="R15" s="2"/>
      <c r="S15" s="3"/>
      <c r="T15" s="7">
        <f ca="1">SUM(T13:V14)</f>
        <v>23</v>
      </c>
      <c r="U15" s="2"/>
      <c r="V15" s="3"/>
      <c r="W15" s="7">
        <f ca="1">SUM(W13:Y14)</f>
        <v>0</v>
      </c>
      <c r="X15" s="2"/>
      <c r="Y15" s="3"/>
      <c r="Z15" s="7">
        <f ca="1">SUM(Z13:AB14)</f>
        <v>1</v>
      </c>
      <c r="AA15" s="2"/>
      <c r="AB15" s="3"/>
      <c r="AC15" s="7">
        <f ca="1">SUM(AC13:AE14)</f>
        <v>9</v>
      </c>
      <c r="AD15" s="2"/>
      <c r="AE15" s="3"/>
      <c r="AF15" s="47">
        <f ca="1">IFERROR((T15+W15+AC15)/Q15,0)</f>
        <v>0.96969696969697</v>
      </c>
      <c r="AG15" s="2"/>
      <c r="AH15" s="3"/>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2">
    <mergeCell ref="A1:AH1"/>
    <mergeCell ref="A3:F3"/>
    <mergeCell ref="G3:O3"/>
    <mergeCell ref="P3:W3"/>
    <mergeCell ref="X3:AH3"/>
    <mergeCell ref="A4:F4"/>
    <mergeCell ref="G4:O4"/>
    <mergeCell ref="P4:W4"/>
    <mergeCell ref="X4:AH4"/>
    <mergeCell ref="H6:P6"/>
    <mergeCell ref="T6:AH6"/>
    <mergeCell ref="H7:J7"/>
    <mergeCell ref="K7:M7"/>
    <mergeCell ref="N7:P7"/>
    <mergeCell ref="T7:V7"/>
    <mergeCell ref="W7:Y7"/>
    <mergeCell ref="Z7:AB7"/>
    <mergeCell ref="AC7:AE7"/>
    <mergeCell ref="AF7:AH7"/>
    <mergeCell ref="B9:G9"/>
    <mergeCell ref="H9:J9"/>
    <mergeCell ref="K9:M9"/>
    <mergeCell ref="N9:P9"/>
    <mergeCell ref="Q9:S9"/>
    <mergeCell ref="T9:V9"/>
    <mergeCell ref="W9:Y9"/>
    <mergeCell ref="Z9:AB9"/>
    <mergeCell ref="AC9:AE9"/>
    <mergeCell ref="AF9:AH9"/>
    <mergeCell ref="B10:G10"/>
    <mergeCell ref="H10:J10"/>
    <mergeCell ref="K10:M10"/>
    <mergeCell ref="N10:P10"/>
    <mergeCell ref="Q10:S10"/>
    <mergeCell ref="T10:V10"/>
    <mergeCell ref="W10:Y10"/>
    <mergeCell ref="Z10:AB10"/>
    <mergeCell ref="AC10:AE10"/>
    <mergeCell ref="AF10:AH10"/>
    <mergeCell ref="B11:G11"/>
    <mergeCell ref="H11:J11"/>
    <mergeCell ref="K11:M11"/>
    <mergeCell ref="N11:P11"/>
    <mergeCell ref="Q11:S11"/>
    <mergeCell ref="T11:V11"/>
    <mergeCell ref="W11:Y11"/>
    <mergeCell ref="Z11:AB11"/>
    <mergeCell ref="AC11:AE11"/>
    <mergeCell ref="AF11:AH11"/>
    <mergeCell ref="B13:G13"/>
    <mergeCell ref="H13:J13"/>
    <mergeCell ref="K13:M13"/>
    <mergeCell ref="N13:P13"/>
    <mergeCell ref="Q13:S13"/>
    <mergeCell ref="T13:V13"/>
    <mergeCell ref="W13:Y13"/>
    <mergeCell ref="Z13:AB13"/>
    <mergeCell ref="AC13:AE13"/>
    <mergeCell ref="AF13:AH13"/>
    <mergeCell ref="B14:G14"/>
    <mergeCell ref="H14:J14"/>
    <mergeCell ref="K14:M14"/>
    <mergeCell ref="N14:P14"/>
    <mergeCell ref="Q14:S14"/>
    <mergeCell ref="T14:V14"/>
    <mergeCell ref="W14:Y14"/>
    <mergeCell ref="Z14:AB14"/>
    <mergeCell ref="AC14:AE14"/>
    <mergeCell ref="AF14:AH14"/>
    <mergeCell ref="B15:G15"/>
    <mergeCell ref="H15:J15"/>
    <mergeCell ref="K15:M15"/>
    <mergeCell ref="N15:P15"/>
    <mergeCell ref="Q15:S15"/>
    <mergeCell ref="T15:V15"/>
    <mergeCell ref="W15:Y15"/>
    <mergeCell ref="Z15:AB15"/>
    <mergeCell ref="AC15:AE15"/>
    <mergeCell ref="AF15:AH15"/>
    <mergeCell ref="A6:A7"/>
    <mergeCell ref="B6:G7"/>
    <mergeCell ref="Q6:S7"/>
  </mergeCells>
  <pageMargins left="0.75" right="0.75" top="1" bottom="1" header="0" footer="0"/>
  <pageSetup paperSize="1" orientation="landscape"/>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K1000"/>
  <sheetViews>
    <sheetView showGridLines="0" workbookViewId="0">
      <selection activeCell="A1" sqref="A1:I1"/>
    </sheetView>
  </sheetViews>
  <sheetFormatPr defaultColWidth="14.4285714285714" defaultRowHeight="15" customHeight="1"/>
  <cols>
    <col min="1" max="37" width="4.28571428571429" customWidth="1"/>
  </cols>
  <sheetData>
    <row r="1" ht="19.5" customHeight="1" spans="1:37">
      <c r="A1" s="29" t="s">
        <v>19</v>
      </c>
      <c r="B1" s="2"/>
      <c r="C1" s="2"/>
      <c r="D1" s="2"/>
      <c r="E1" s="2"/>
      <c r="F1" s="2"/>
      <c r="G1" s="2"/>
      <c r="H1" s="2"/>
      <c r="I1" s="3"/>
      <c r="J1" s="29" t="s">
        <v>20</v>
      </c>
      <c r="K1" s="2"/>
      <c r="L1" s="2"/>
      <c r="M1" s="2"/>
      <c r="N1" s="2"/>
      <c r="O1" s="2"/>
      <c r="P1" s="3"/>
      <c r="Q1" s="29" t="s">
        <v>21</v>
      </c>
      <c r="R1" s="2"/>
      <c r="S1" s="2"/>
      <c r="T1" s="2"/>
      <c r="U1" s="3"/>
      <c r="V1" s="29" t="s">
        <v>22</v>
      </c>
      <c r="W1" s="2"/>
      <c r="X1" s="2"/>
      <c r="Y1" s="3"/>
      <c r="Z1" s="29" t="s">
        <v>23</v>
      </c>
      <c r="AA1" s="2"/>
      <c r="AB1" s="2"/>
      <c r="AC1" s="3"/>
      <c r="AD1" s="29" t="s">
        <v>24</v>
      </c>
      <c r="AE1" s="2"/>
      <c r="AF1" s="2"/>
      <c r="AG1" s="3"/>
      <c r="AH1" s="29" t="s">
        <v>25</v>
      </c>
      <c r="AI1" s="2"/>
      <c r="AJ1" s="2"/>
      <c r="AK1" s="3"/>
    </row>
    <row r="2" ht="19.5" customHeight="1" spans="1:37">
      <c r="A2" s="30" t="s">
        <v>0</v>
      </c>
      <c r="B2" s="10"/>
      <c r="C2" s="10"/>
      <c r="D2" s="10"/>
      <c r="E2" s="10"/>
      <c r="F2" s="10"/>
      <c r="G2" s="10"/>
      <c r="H2" s="10"/>
      <c r="I2" s="11"/>
      <c r="J2" s="30" t="s">
        <v>26</v>
      </c>
      <c r="K2" s="10"/>
      <c r="L2" s="10"/>
      <c r="M2" s="10"/>
      <c r="N2" s="10"/>
      <c r="O2" s="10"/>
      <c r="P2" s="11"/>
      <c r="Q2" s="30" t="s">
        <v>71</v>
      </c>
      <c r="R2" s="10"/>
      <c r="S2" s="10"/>
      <c r="T2" s="10"/>
      <c r="U2" s="11"/>
      <c r="V2" s="31" t="s">
        <v>8</v>
      </c>
      <c r="W2" s="10"/>
      <c r="X2" s="10"/>
      <c r="Y2" s="11"/>
      <c r="Z2" s="30" t="s">
        <v>16</v>
      </c>
      <c r="AA2" s="10"/>
      <c r="AB2" s="10"/>
      <c r="AC2" s="11"/>
      <c r="AD2" s="31" t="s">
        <v>8</v>
      </c>
      <c r="AE2" s="10"/>
      <c r="AF2" s="10"/>
      <c r="AG2" s="11"/>
      <c r="AH2" s="30" t="s">
        <v>16</v>
      </c>
      <c r="AI2" s="10"/>
      <c r="AJ2" s="10"/>
      <c r="AK2" s="11"/>
    </row>
    <row r="3" ht="19.5" customHeight="1" spans="1:37">
      <c r="A3" s="13"/>
      <c r="B3" s="14"/>
      <c r="C3" s="14"/>
      <c r="D3" s="14"/>
      <c r="E3" s="14"/>
      <c r="F3" s="14"/>
      <c r="G3" s="14"/>
      <c r="H3" s="14"/>
      <c r="I3" s="15"/>
      <c r="J3" s="13"/>
      <c r="K3" s="14"/>
      <c r="L3" s="14"/>
      <c r="M3" s="14"/>
      <c r="N3" s="14"/>
      <c r="O3" s="14"/>
      <c r="P3" s="15"/>
      <c r="Q3" s="13"/>
      <c r="R3" s="14"/>
      <c r="S3" s="14"/>
      <c r="T3" s="14"/>
      <c r="U3" s="15"/>
      <c r="V3" s="13"/>
      <c r="W3" s="14"/>
      <c r="X3" s="14"/>
      <c r="Y3" s="15"/>
      <c r="Z3" s="13"/>
      <c r="AA3" s="14"/>
      <c r="AB3" s="14"/>
      <c r="AC3" s="15"/>
      <c r="AD3" s="13"/>
      <c r="AE3" s="14"/>
      <c r="AF3" s="14"/>
      <c r="AG3" s="15"/>
      <c r="AH3" s="13"/>
      <c r="AI3" s="14"/>
      <c r="AJ3" s="14"/>
      <c r="AK3" s="15"/>
    </row>
    <row r="5" ht="19.5" customHeight="1" spans="1:37">
      <c r="B5" s="32" t="s">
        <v>72</v>
      </c>
    </row>
    <row r="7" ht="28.5" customHeight="1" spans="1:37">
      <c r="B7" s="33" t="s">
        <v>55</v>
      </c>
      <c r="C7" s="1" t="s">
        <v>73</v>
      </c>
      <c r="D7" s="2"/>
      <c r="E7" s="3"/>
      <c r="F7" s="1" t="s">
        <v>74</v>
      </c>
      <c r="G7" s="2"/>
      <c r="H7" s="2"/>
      <c r="I7" s="2"/>
      <c r="J7" s="2"/>
      <c r="K7" s="2"/>
      <c r="L7" s="3"/>
      <c r="M7" s="1" t="s">
        <v>75</v>
      </c>
      <c r="N7" s="2"/>
      <c r="O7" s="2"/>
      <c r="P7" s="2"/>
      <c r="Q7" s="2"/>
      <c r="R7" s="2"/>
      <c r="S7" s="2"/>
      <c r="T7" s="3"/>
      <c r="U7" s="1" t="s">
        <v>76</v>
      </c>
      <c r="V7" s="3"/>
      <c r="W7" s="1" t="s">
        <v>77</v>
      </c>
      <c r="X7" s="2"/>
      <c r="Y7" s="2"/>
      <c r="Z7" s="2"/>
      <c r="AA7" s="2"/>
      <c r="AB7" s="2"/>
      <c r="AC7" s="3"/>
      <c r="AD7" s="1" t="s">
        <v>78</v>
      </c>
      <c r="AE7" s="2"/>
      <c r="AF7" s="3"/>
    </row>
    <row r="8" ht="30" customHeight="1" spans="1:37">
      <c r="B8" s="17">
        <v>1</v>
      </c>
      <c r="C8" s="19" t="s">
        <v>79</v>
      </c>
      <c r="D8" s="2"/>
      <c r="E8" s="3"/>
      <c r="F8" s="18" t="s">
        <v>80</v>
      </c>
      <c r="G8" s="2"/>
      <c r="H8" s="2"/>
      <c r="I8" s="2"/>
      <c r="J8" s="2"/>
      <c r="K8" s="2"/>
      <c r="L8" s="3"/>
      <c r="M8" s="18" t="s">
        <v>81</v>
      </c>
      <c r="N8" s="2"/>
      <c r="O8" s="2"/>
      <c r="P8" s="2"/>
      <c r="Q8" s="2"/>
      <c r="R8" s="2"/>
      <c r="S8" s="2"/>
      <c r="T8" s="3"/>
      <c r="U8" s="34" t="s">
        <v>82</v>
      </c>
      <c r="V8" s="3"/>
      <c r="W8" s="18" t="s">
        <v>83</v>
      </c>
      <c r="X8" s="2"/>
      <c r="Y8" s="2"/>
      <c r="Z8" s="2"/>
      <c r="AA8" s="2"/>
      <c r="AB8" s="2"/>
      <c r="AC8" s="3"/>
      <c r="AD8" s="19">
        <v>265</v>
      </c>
      <c r="AE8" s="2"/>
      <c r="AF8" s="3"/>
    </row>
    <row r="9" ht="30" customHeight="1" spans="1:37">
      <c r="B9" s="17">
        <v>2</v>
      </c>
      <c r="C9" s="19" t="s">
        <v>84</v>
      </c>
      <c r="D9" s="2"/>
      <c r="E9" s="3"/>
      <c r="F9" s="18" t="s">
        <v>80</v>
      </c>
      <c r="G9" s="2"/>
      <c r="H9" s="2"/>
      <c r="I9" s="2"/>
      <c r="J9" s="2"/>
      <c r="K9" s="2"/>
      <c r="L9" s="3"/>
      <c r="M9" s="18" t="s">
        <v>85</v>
      </c>
      <c r="N9" s="2"/>
      <c r="O9" s="2"/>
      <c r="P9" s="2"/>
      <c r="Q9" s="2"/>
      <c r="R9" s="2"/>
      <c r="S9" s="2"/>
      <c r="T9" s="3"/>
      <c r="U9" s="34" t="s">
        <v>82</v>
      </c>
      <c r="V9" s="3"/>
      <c r="W9" s="18" t="s">
        <v>86</v>
      </c>
      <c r="X9" s="2"/>
      <c r="Y9" s="2"/>
      <c r="Z9" s="2"/>
      <c r="AA9" s="2"/>
      <c r="AB9" s="2"/>
      <c r="AC9" s="3"/>
      <c r="AD9" s="19">
        <v>200</v>
      </c>
      <c r="AE9" s="2"/>
      <c r="AF9" s="3"/>
    </row>
    <row r="10" ht="36" customHeight="1" spans="1:37">
      <c r="B10" s="17">
        <v>3</v>
      </c>
      <c r="C10" s="19" t="s">
        <v>87</v>
      </c>
      <c r="D10" s="2"/>
      <c r="E10" s="3"/>
      <c r="F10" s="18" t="s">
        <v>80</v>
      </c>
      <c r="G10" s="2"/>
      <c r="H10" s="2"/>
      <c r="I10" s="2"/>
      <c r="J10" s="2"/>
      <c r="K10" s="2"/>
      <c r="L10" s="3"/>
      <c r="M10" s="18" t="s">
        <v>88</v>
      </c>
      <c r="N10" s="2"/>
      <c r="O10" s="2"/>
      <c r="P10" s="2"/>
      <c r="Q10" s="2"/>
      <c r="R10" s="2"/>
      <c r="S10" s="2"/>
      <c r="T10" s="3"/>
      <c r="U10" s="34" t="s">
        <v>82</v>
      </c>
      <c r="V10" s="3"/>
      <c r="W10" s="18" t="s">
        <v>89</v>
      </c>
      <c r="X10" s="2"/>
      <c r="Y10" s="2"/>
      <c r="Z10" s="2"/>
      <c r="AA10" s="2"/>
      <c r="AB10" s="2"/>
      <c r="AC10" s="3"/>
      <c r="AD10" s="19">
        <v>50</v>
      </c>
      <c r="AE10" s="2"/>
      <c r="AF10" s="3"/>
    </row>
    <row r="11" ht="30" customHeight="1" spans="1:37">
      <c r="B11" s="17">
        <v>4</v>
      </c>
      <c r="C11" s="19" t="s">
        <v>90</v>
      </c>
      <c r="D11" s="2"/>
      <c r="E11" s="3"/>
      <c r="F11" s="18" t="s">
        <v>80</v>
      </c>
      <c r="G11" s="2"/>
      <c r="H11" s="2"/>
      <c r="I11" s="2"/>
      <c r="J11" s="2"/>
      <c r="K11" s="2"/>
      <c r="L11" s="3"/>
      <c r="M11" s="18" t="s">
        <v>91</v>
      </c>
      <c r="N11" s="2"/>
      <c r="O11" s="2"/>
      <c r="P11" s="2"/>
      <c r="Q11" s="2"/>
      <c r="R11" s="2"/>
      <c r="S11" s="2"/>
      <c r="T11" s="3"/>
      <c r="U11" s="34" t="s">
        <v>82</v>
      </c>
      <c r="V11" s="3"/>
      <c r="W11" s="18" t="s">
        <v>83</v>
      </c>
      <c r="X11" s="2"/>
      <c r="Y11" s="2"/>
      <c r="Z11" s="2"/>
      <c r="AA11" s="2"/>
      <c r="AB11" s="2"/>
      <c r="AC11" s="3"/>
      <c r="AD11" s="19">
        <v>75</v>
      </c>
      <c r="AE11" s="2"/>
      <c r="AF11" s="3"/>
    </row>
    <row r="12" ht="30" customHeight="1" spans="1:37">
      <c r="B12" s="17">
        <v>5</v>
      </c>
      <c r="C12" s="19" t="s">
        <v>92</v>
      </c>
      <c r="D12" s="2"/>
      <c r="E12" s="3"/>
      <c r="F12" s="18" t="s">
        <v>80</v>
      </c>
      <c r="G12" s="2"/>
      <c r="H12" s="2"/>
      <c r="I12" s="2"/>
      <c r="J12" s="2"/>
      <c r="K12" s="2"/>
      <c r="L12" s="3"/>
      <c r="M12" s="18" t="s">
        <v>93</v>
      </c>
      <c r="N12" s="2"/>
      <c r="O12" s="2"/>
      <c r="P12" s="2"/>
      <c r="Q12" s="2"/>
      <c r="R12" s="2"/>
      <c r="S12" s="2"/>
      <c r="T12" s="3"/>
      <c r="U12" s="34" t="s">
        <v>82</v>
      </c>
      <c r="V12" s="3"/>
      <c r="W12" s="18" t="s">
        <v>94</v>
      </c>
      <c r="X12" s="2"/>
      <c r="Y12" s="2"/>
      <c r="Z12" s="2"/>
      <c r="AA12" s="2"/>
      <c r="AB12" s="2"/>
      <c r="AC12" s="3"/>
      <c r="AD12" s="19">
        <v>30</v>
      </c>
      <c r="AE12" s="2"/>
      <c r="AF12" s="3"/>
    </row>
    <row r="13" ht="30" customHeight="1" spans="1:37">
      <c r="B13" s="17">
        <v>6</v>
      </c>
      <c r="C13" s="19" t="s">
        <v>95</v>
      </c>
      <c r="D13" s="2"/>
      <c r="E13" s="3"/>
      <c r="F13" s="18" t="s">
        <v>80</v>
      </c>
      <c r="G13" s="2"/>
      <c r="H13" s="2"/>
      <c r="I13" s="2"/>
      <c r="J13" s="2"/>
      <c r="K13" s="2"/>
      <c r="L13" s="3"/>
      <c r="M13" s="18" t="s">
        <v>96</v>
      </c>
      <c r="N13" s="2"/>
      <c r="O13" s="2"/>
      <c r="P13" s="2"/>
      <c r="Q13" s="2"/>
      <c r="R13" s="2"/>
      <c r="S13" s="2"/>
      <c r="T13" s="3"/>
      <c r="U13" s="34" t="s">
        <v>82</v>
      </c>
      <c r="V13" s="3"/>
      <c r="W13" s="18" t="s">
        <v>97</v>
      </c>
      <c r="X13" s="2"/>
      <c r="Y13" s="2"/>
      <c r="Z13" s="2"/>
      <c r="AA13" s="2"/>
      <c r="AB13" s="2"/>
      <c r="AC13" s="3"/>
      <c r="AD13" s="19">
        <v>50</v>
      </c>
      <c r="AE13" s="2"/>
      <c r="AF13" s="3"/>
    </row>
    <row r="14" ht="30" customHeight="1" spans="1:37">
      <c r="B14" s="17">
        <v>7</v>
      </c>
      <c r="C14" s="19" t="s">
        <v>98</v>
      </c>
      <c r="D14" s="2"/>
      <c r="E14" s="3"/>
      <c r="F14" s="18" t="s">
        <v>80</v>
      </c>
      <c r="G14" s="2"/>
      <c r="H14" s="2"/>
      <c r="I14" s="2"/>
      <c r="J14" s="2"/>
      <c r="K14" s="2"/>
      <c r="L14" s="3"/>
      <c r="M14" s="18" t="s">
        <v>99</v>
      </c>
      <c r="N14" s="2"/>
      <c r="O14" s="2"/>
      <c r="P14" s="2"/>
      <c r="Q14" s="2"/>
      <c r="R14" s="2"/>
      <c r="S14" s="2"/>
      <c r="T14" s="3"/>
      <c r="U14" s="34" t="s">
        <v>82</v>
      </c>
      <c r="V14" s="3"/>
      <c r="W14" s="18" t="s">
        <v>94</v>
      </c>
      <c r="X14" s="2"/>
      <c r="Y14" s="2"/>
      <c r="Z14" s="2"/>
      <c r="AA14" s="2"/>
      <c r="AB14" s="2"/>
      <c r="AC14" s="3"/>
      <c r="AD14" s="19">
        <v>10</v>
      </c>
      <c r="AE14" s="2"/>
      <c r="AF14" s="3"/>
    </row>
    <row r="15" ht="30" customHeight="1" spans="1:37">
      <c r="B15" s="17">
        <v>8</v>
      </c>
      <c r="C15" s="19" t="s">
        <v>100</v>
      </c>
      <c r="D15" s="2"/>
      <c r="E15" s="3"/>
      <c r="F15" s="18" t="s">
        <v>80</v>
      </c>
      <c r="G15" s="2"/>
      <c r="H15" s="2"/>
      <c r="I15" s="2"/>
      <c r="J15" s="2"/>
      <c r="K15" s="2"/>
      <c r="L15" s="3"/>
      <c r="M15" s="18" t="s">
        <v>101</v>
      </c>
      <c r="N15" s="2"/>
      <c r="O15" s="2"/>
      <c r="P15" s="2"/>
      <c r="Q15" s="2"/>
      <c r="R15" s="2"/>
      <c r="S15" s="2"/>
      <c r="T15" s="3"/>
      <c r="U15" s="35" t="s">
        <v>102</v>
      </c>
      <c r="V15" s="3"/>
      <c r="W15" s="18" t="s">
        <v>103</v>
      </c>
      <c r="X15" s="2"/>
      <c r="Y15" s="2"/>
      <c r="Z15" s="2"/>
      <c r="AA15" s="2"/>
      <c r="AB15" s="2"/>
      <c r="AC15" s="3"/>
      <c r="AD15" s="19">
        <v>20</v>
      </c>
      <c r="AE15" s="2"/>
      <c r="AF15" s="3"/>
    </row>
    <row r="16" ht="30" customHeight="1" spans="1:37">
      <c r="B16" s="17">
        <v>9</v>
      </c>
      <c r="C16" s="19" t="s">
        <v>104</v>
      </c>
      <c r="D16" s="2"/>
      <c r="E16" s="3"/>
      <c r="F16" s="18" t="s">
        <v>80</v>
      </c>
      <c r="G16" s="2"/>
      <c r="H16" s="2"/>
      <c r="I16" s="2"/>
      <c r="J16" s="2"/>
      <c r="K16" s="2"/>
      <c r="L16" s="3"/>
      <c r="M16" s="18" t="s">
        <v>105</v>
      </c>
      <c r="N16" s="2"/>
      <c r="O16" s="2"/>
      <c r="P16" s="2"/>
      <c r="Q16" s="2"/>
      <c r="R16" s="2"/>
      <c r="S16" s="2"/>
      <c r="T16" s="3"/>
      <c r="U16" s="34" t="s">
        <v>82</v>
      </c>
      <c r="V16" s="3"/>
      <c r="W16" s="18" t="s">
        <v>106</v>
      </c>
      <c r="X16" s="2"/>
      <c r="Y16" s="2"/>
      <c r="Z16" s="2"/>
      <c r="AA16" s="2"/>
      <c r="AB16" s="2"/>
      <c r="AC16" s="3"/>
      <c r="AD16" s="19">
        <v>8</v>
      </c>
      <c r="AE16" s="2"/>
      <c r="AF16" s="3"/>
    </row>
    <row r="17" ht="30" customHeight="1" spans="2:32">
      <c r="B17" s="17">
        <v>10</v>
      </c>
      <c r="C17" s="19" t="s">
        <v>107</v>
      </c>
      <c r="D17" s="2"/>
      <c r="E17" s="3"/>
      <c r="F17" s="18" t="s">
        <v>80</v>
      </c>
      <c r="G17" s="2"/>
      <c r="H17" s="2"/>
      <c r="I17" s="2"/>
      <c r="J17" s="2"/>
      <c r="K17" s="2"/>
      <c r="L17" s="3"/>
      <c r="M17" s="18" t="s">
        <v>108</v>
      </c>
      <c r="N17" s="2"/>
      <c r="O17" s="2"/>
      <c r="P17" s="2"/>
      <c r="Q17" s="2"/>
      <c r="R17" s="2"/>
      <c r="S17" s="2"/>
      <c r="T17" s="3"/>
      <c r="U17" s="34" t="s">
        <v>82</v>
      </c>
      <c r="V17" s="3"/>
      <c r="W17" s="18" t="s">
        <v>109</v>
      </c>
      <c r="X17" s="2"/>
      <c r="Y17" s="2"/>
      <c r="Z17" s="2"/>
      <c r="AA17" s="2"/>
      <c r="AB17" s="2"/>
      <c r="AC17" s="3"/>
      <c r="AD17" s="19">
        <v>30</v>
      </c>
      <c r="AE17" s="2"/>
      <c r="AF17" s="3"/>
    </row>
    <row r="18" ht="30" customHeight="1" spans="2:32">
      <c r="B18" s="17">
        <v>11</v>
      </c>
      <c r="C18" s="19" t="s">
        <v>110</v>
      </c>
      <c r="D18" s="2"/>
      <c r="E18" s="3"/>
      <c r="F18" s="18" t="s">
        <v>111</v>
      </c>
      <c r="G18" s="2"/>
      <c r="H18" s="2"/>
      <c r="I18" s="2"/>
      <c r="J18" s="2"/>
      <c r="K18" s="2"/>
      <c r="L18" s="3"/>
      <c r="M18" s="18" t="s">
        <v>112</v>
      </c>
      <c r="N18" s="2"/>
      <c r="O18" s="2"/>
      <c r="P18" s="2"/>
      <c r="Q18" s="2"/>
      <c r="R18" s="2"/>
      <c r="S18" s="2"/>
      <c r="T18" s="3"/>
      <c r="U18" s="35" t="s">
        <v>102</v>
      </c>
      <c r="V18" s="3"/>
      <c r="W18" s="18" t="s">
        <v>113</v>
      </c>
      <c r="X18" s="2"/>
      <c r="Y18" s="2"/>
      <c r="Z18" s="2"/>
      <c r="AA18" s="2"/>
      <c r="AB18" s="2"/>
      <c r="AC18" s="3"/>
      <c r="AD18" s="19">
        <v>100</v>
      </c>
      <c r="AE18" s="2"/>
      <c r="AF18" s="3"/>
    </row>
    <row r="19" ht="30" customHeight="1" spans="2:32">
      <c r="B19" s="17">
        <v>12</v>
      </c>
      <c r="C19" s="19" t="s">
        <v>114</v>
      </c>
      <c r="D19" s="2"/>
      <c r="E19" s="3"/>
      <c r="F19" s="18" t="s">
        <v>111</v>
      </c>
      <c r="G19" s="2"/>
      <c r="H19" s="2"/>
      <c r="I19" s="2"/>
      <c r="J19" s="2"/>
      <c r="K19" s="2"/>
      <c r="L19" s="3"/>
      <c r="M19" s="18" t="s">
        <v>115</v>
      </c>
      <c r="N19" s="2"/>
      <c r="O19" s="2"/>
      <c r="P19" s="2"/>
      <c r="Q19" s="2"/>
      <c r="R19" s="2"/>
      <c r="S19" s="2"/>
      <c r="T19" s="3"/>
      <c r="U19" s="35" t="s">
        <v>102</v>
      </c>
      <c r="V19" s="3"/>
      <c r="W19" s="18" t="s">
        <v>113</v>
      </c>
      <c r="X19" s="2"/>
      <c r="Y19" s="2"/>
      <c r="Z19" s="2"/>
      <c r="AA19" s="2"/>
      <c r="AB19" s="2"/>
      <c r="AC19" s="3"/>
      <c r="AD19" s="19">
        <v>80</v>
      </c>
      <c r="AE19" s="2"/>
      <c r="AF19" s="3"/>
    </row>
    <row r="20" ht="30" customHeight="1" spans="2:32">
      <c r="B20" s="17">
        <v>13</v>
      </c>
      <c r="C20" s="19" t="s">
        <v>116</v>
      </c>
      <c r="D20" s="2"/>
      <c r="E20" s="3"/>
      <c r="F20" s="18" t="s">
        <v>111</v>
      </c>
      <c r="G20" s="2"/>
      <c r="H20" s="2"/>
      <c r="I20" s="2"/>
      <c r="J20" s="2"/>
      <c r="K20" s="2"/>
      <c r="L20" s="3"/>
      <c r="M20" s="18" t="s">
        <v>117</v>
      </c>
      <c r="N20" s="2"/>
      <c r="O20" s="2"/>
      <c r="P20" s="2"/>
      <c r="Q20" s="2"/>
      <c r="R20" s="2"/>
      <c r="S20" s="2"/>
      <c r="T20" s="3"/>
      <c r="U20" s="35" t="s">
        <v>102</v>
      </c>
      <c r="V20" s="3"/>
      <c r="W20" s="18" t="s">
        <v>97</v>
      </c>
      <c r="X20" s="2"/>
      <c r="Y20" s="2"/>
      <c r="Z20" s="2"/>
      <c r="AA20" s="2"/>
      <c r="AB20" s="2"/>
      <c r="AC20" s="3"/>
      <c r="AD20" s="19">
        <v>60</v>
      </c>
      <c r="AE20" s="2"/>
      <c r="AF20" s="3"/>
    </row>
    <row r="21" ht="30" customHeight="1" spans="2:32">
      <c r="B21" s="17">
        <v>14</v>
      </c>
      <c r="C21" s="19" t="s">
        <v>118</v>
      </c>
      <c r="D21" s="2"/>
      <c r="E21" s="3"/>
      <c r="F21" s="18" t="s">
        <v>111</v>
      </c>
      <c r="G21" s="2"/>
      <c r="H21" s="2"/>
      <c r="I21" s="2"/>
      <c r="J21" s="2"/>
      <c r="K21" s="2"/>
      <c r="L21" s="3"/>
      <c r="M21" s="18" t="s">
        <v>119</v>
      </c>
      <c r="N21" s="2"/>
      <c r="O21" s="2"/>
      <c r="P21" s="2"/>
      <c r="Q21" s="2"/>
      <c r="R21" s="2"/>
      <c r="S21" s="2"/>
      <c r="T21" s="3"/>
      <c r="U21" s="35" t="s">
        <v>102</v>
      </c>
      <c r="V21" s="3"/>
      <c r="W21" s="18" t="s">
        <v>113</v>
      </c>
      <c r="X21" s="2"/>
      <c r="Y21" s="2"/>
      <c r="Z21" s="2"/>
      <c r="AA21" s="2"/>
      <c r="AB21" s="2"/>
      <c r="AC21" s="3"/>
      <c r="AD21" s="19">
        <v>50</v>
      </c>
      <c r="AE21" s="2"/>
      <c r="AF21" s="3"/>
    </row>
    <row r="22" ht="30" customHeight="1" spans="2:32">
      <c r="B22" s="17">
        <v>15</v>
      </c>
      <c r="C22" s="19" t="s">
        <v>120</v>
      </c>
      <c r="D22" s="2"/>
      <c r="E22" s="3"/>
      <c r="F22" s="18" t="s">
        <v>111</v>
      </c>
      <c r="G22" s="2"/>
      <c r="H22" s="2"/>
      <c r="I22" s="2"/>
      <c r="J22" s="2"/>
      <c r="K22" s="2"/>
      <c r="L22" s="3"/>
      <c r="M22" s="18" t="s">
        <v>121</v>
      </c>
      <c r="N22" s="2"/>
      <c r="O22" s="2"/>
      <c r="P22" s="2"/>
      <c r="Q22" s="2"/>
      <c r="R22" s="2"/>
      <c r="S22" s="2"/>
      <c r="T22" s="3"/>
      <c r="U22" s="35" t="s">
        <v>102</v>
      </c>
      <c r="V22" s="3"/>
      <c r="W22" s="18" t="s">
        <v>122</v>
      </c>
      <c r="X22" s="2"/>
      <c r="Y22" s="2"/>
      <c r="Z22" s="2"/>
      <c r="AA22" s="2"/>
      <c r="AB22" s="2"/>
      <c r="AC22" s="3"/>
      <c r="AD22" s="19">
        <v>30</v>
      </c>
      <c r="AE22" s="2"/>
      <c r="AF22" s="3"/>
    </row>
    <row r="23" ht="30" customHeight="1" spans="2:32">
      <c r="B23" s="17">
        <v>16</v>
      </c>
      <c r="C23" s="19" t="s">
        <v>123</v>
      </c>
      <c r="D23" s="2"/>
      <c r="E23" s="3"/>
      <c r="F23" s="18" t="s">
        <v>111</v>
      </c>
      <c r="G23" s="2"/>
      <c r="H23" s="2"/>
      <c r="I23" s="2"/>
      <c r="J23" s="2"/>
      <c r="K23" s="2"/>
      <c r="L23" s="3"/>
      <c r="M23" s="18" t="s">
        <v>124</v>
      </c>
      <c r="N23" s="2"/>
      <c r="O23" s="2"/>
      <c r="P23" s="2"/>
      <c r="Q23" s="2"/>
      <c r="R23" s="2"/>
      <c r="S23" s="2"/>
      <c r="T23" s="3"/>
      <c r="U23" s="34" t="s">
        <v>82</v>
      </c>
      <c r="V23" s="3"/>
      <c r="W23" s="18" t="s">
        <v>125</v>
      </c>
      <c r="X23" s="2"/>
      <c r="Y23" s="2"/>
      <c r="Z23" s="2"/>
      <c r="AA23" s="2"/>
      <c r="AB23" s="2"/>
      <c r="AC23" s="3"/>
      <c r="AD23" s="19">
        <v>15</v>
      </c>
      <c r="AE23" s="2"/>
      <c r="AF23" s="3"/>
    </row>
    <row r="24" ht="36" customHeight="1" spans="2:32">
      <c r="B24" s="17">
        <v>17</v>
      </c>
      <c r="C24" s="19" t="s">
        <v>126</v>
      </c>
      <c r="D24" s="2"/>
      <c r="E24" s="3"/>
      <c r="F24" s="18" t="s">
        <v>111</v>
      </c>
      <c r="G24" s="2"/>
      <c r="H24" s="2"/>
      <c r="I24" s="2"/>
      <c r="J24" s="2"/>
      <c r="K24" s="2"/>
      <c r="L24" s="3"/>
      <c r="M24" s="18" t="s">
        <v>127</v>
      </c>
      <c r="N24" s="2"/>
      <c r="O24" s="2"/>
      <c r="P24" s="2"/>
      <c r="Q24" s="2"/>
      <c r="R24" s="2"/>
      <c r="S24" s="2"/>
      <c r="T24" s="3"/>
      <c r="U24" s="35" t="s">
        <v>102</v>
      </c>
      <c r="V24" s="3"/>
      <c r="W24" s="18" t="s">
        <v>128</v>
      </c>
      <c r="X24" s="2"/>
      <c r="Y24" s="2"/>
      <c r="Z24" s="2"/>
      <c r="AA24" s="2"/>
      <c r="AB24" s="2"/>
      <c r="AC24" s="3"/>
      <c r="AD24" s="19">
        <v>45</v>
      </c>
      <c r="AE24" s="2"/>
      <c r="AF24" s="3"/>
    </row>
    <row r="25" ht="30" customHeight="1" spans="2:32">
      <c r="B25" s="17">
        <v>18</v>
      </c>
      <c r="C25" s="19" t="s">
        <v>129</v>
      </c>
      <c r="D25" s="2"/>
      <c r="E25" s="3"/>
      <c r="F25" s="18" t="s">
        <v>111</v>
      </c>
      <c r="G25" s="2"/>
      <c r="H25" s="2"/>
      <c r="I25" s="2"/>
      <c r="J25" s="2"/>
      <c r="K25" s="2"/>
      <c r="L25" s="3"/>
      <c r="M25" s="18" t="s">
        <v>130</v>
      </c>
      <c r="N25" s="2"/>
      <c r="O25" s="2"/>
      <c r="P25" s="2"/>
      <c r="Q25" s="2"/>
      <c r="R25" s="2"/>
      <c r="S25" s="2"/>
      <c r="T25" s="3"/>
      <c r="U25" s="35" t="s">
        <v>102</v>
      </c>
      <c r="V25" s="3"/>
      <c r="W25" s="18" t="s">
        <v>131</v>
      </c>
      <c r="X25" s="2"/>
      <c r="Y25" s="2"/>
      <c r="Z25" s="2"/>
      <c r="AA25" s="2"/>
      <c r="AB25" s="2"/>
      <c r="AC25" s="3"/>
      <c r="AD25" s="19">
        <v>30</v>
      </c>
      <c r="AE25" s="2"/>
      <c r="AF25" s="3"/>
    </row>
    <row r="26" ht="36" customHeight="1" spans="2:32">
      <c r="B26" s="17">
        <v>19</v>
      </c>
      <c r="C26" s="19" t="s">
        <v>132</v>
      </c>
      <c r="D26" s="2"/>
      <c r="E26" s="3"/>
      <c r="F26" s="18" t="s">
        <v>111</v>
      </c>
      <c r="G26" s="2"/>
      <c r="H26" s="2"/>
      <c r="I26" s="2"/>
      <c r="J26" s="2"/>
      <c r="K26" s="2"/>
      <c r="L26" s="3"/>
      <c r="M26" s="18" t="s">
        <v>133</v>
      </c>
      <c r="N26" s="2"/>
      <c r="O26" s="2"/>
      <c r="P26" s="2"/>
      <c r="Q26" s="2"/>
      <c r="R26" s="2"/>
      <c r="S26" s="2"/>
      <c r="T26" s="3"/>
      <c r="U26" s="35" t="s">
        <v>102</v>
      </c>
      <c r="V26" s="3"/>
      <c r="W26" s="18" t="s">
        <v>134</v>
      </c>
      <c r="X26" s="2"/>
      <c r="Y26" s="2"/>
      <c r="Z26" s="2"/>
      <c r="AA26" s="2"/>
      <c r="AB26" s="2"/>
      <c r="AC26" s="3"/>
      <c r="AD26" s="19">
        <v>25</v>
      </c>
      <c r="AE26" s="2"/>
      <c r="AF26" s="3"/>
    </row>
    <row r="27" ht="30" customHeight="1" spans="2:32">
      <c r="B27" s="17">
        <v>20</v>
      </c>
      <c r="C27" s="19" t="s">
        <v>135</v>
      </c>
      <c r="D27" s="2"/>
      <c r="E27" s="3"/>
      <c r="F27" s="18" t="s">
        <v>136</v>
      </c>
      <c r="G27" s="2"/>
      <c r="H27" s="2"/>
      <c r="I27" s="2"/>
      <c r="J27" s="2"/>
      <c r="K27" s="2"/>
      <c r="L27" s="3"/>
      <c r="M27" s="18" t="s">
        <v>137</v>
      </c>
      <c r="N27" s="2"/>
      <c r="O27" s="2"/>
      <c r="P27" s="2"/>
      <c r="Q27" s="2"/>
      <c r="R27" s="2"/>
      <c r="S27" s="2"/>
      <c r="T27" s="3"/>
      <c r="U27" s="34" t="s">
        <v>82</v>
      </c>
      <c r="V27" s="3"/>
      <c r="W27" s="18" t="s">
        <v>131</v>
      </c>
      <c r="X27" s="2"/>
      <c r="Y27" s="2"/>
      <c r="Z27" s="2"/>
      <c r="AA27" s="2"/>
      <c r="AB27" s="2"/>
      <c r="AC27" s="3"/>
      <c r="AD27" s="19">
        <v>60</v>
      </c>
      <c r="AE27" s="2"/>
      <c r="AF27" s="3"/>
    </row>
    <row r="28" ht="30" customHeight="1" spans="2:32">
      <c r="B28" s="17">
        <v>21</v>
      </c>
      <c r="C28" s="19" t="s">
        <v>138</v>
      </c>
      <c r="D28" s="2"/>
      <c r="E28" s="3"/>
      <c r="F28" s="18" t="s">
        <v>136</v>
      </c>
      <c r="G28" s="2"/>
      <c r="H28" s="2"/>
      <c r="I28" s="2"/>
      <c r="J28" s="2"/>
      <c r="K28" s="2"/>
      <c r="L28" s="3"/>
      <c r="M28" s="18" t="s">
        <v>139</v>
      </c>
      <c r="N28" s="2"/>
      <c r="O28" s="2"/>
      <c r="P28" s="2"/>
      <c r="Q28" s="2"/>
      <c r="R28" s="2"/>
      <c r="S28" s="2"/>
      <c r="T28" s="3"/>
      <c r="U28" s="35" t="s">
        <v>102</v>
      </c>
      <c r="V28" s="3"/>
      <c r="W28" s="18" t="s">
        <v>140</v>
      </c>
      <c r="X28" s="2"/>
      <c r="Y28" s="2"/>
      <c r="Z28" s="2"/>
      <c r="AA28" s="2"/>
      <c r="AB28" s="2"/>
      <c r="AC28" s="3"/>
      <c r="AD28" s="19">
        <v>16</v>
      </c>
      <c r="AE28" s="2"/>
      <c r="AF28" s="3"/>
    </row>
    <row r="29" ht="30" customHeight="1" spans="2:32">
      <c r="B29" s="17">
        <v>22</v>
      </c>
      <c r="C29" s="19" t="s">
        <v>141</v>
      </c>
      <c r="D29" s="2"/>
      <c r="E29" s="3"/>
      <c r="F29" s="18" t="s">
        <v>136</v>
      </c>
      <c r="G29" s="2"/>
      <c r="H29" s="2"/>
      <c r="I29" s="2"/>
      <c r="J29" s="2"/>
      <c r="K29" s="2"/>
      <c r="L29" s="3"/>
      <c r="M29" s="18" t="s">
        <v>142</v>
      </c>
      <c r="N29" s="2"/>
      <c r="O29" s="2"/>
      <c r="P29" s="2"/>
      <c r="Q29" s="2"/>
      <c r="R29" s="2"/>
      <c r="S29" s="2"/>
      <c r="T29" s="3"/>
      <c r="U29" s="34" t="s">
        <v>82</v>
      </c>
      <c r="V29" s="3"/>
      <c r="W29" s="18" t="s">
        <v>143</v>
      </c>
      <c r="X29" s="2"/>
      <c r="Y29" s="2"/>
      <c r="Z29" s="2"/>
      <c r="AA29" s="2"/>
      <c r="AB29" s="2"/>
      <c r="AC29" s="3"/>
      <c r="AD29" s="19">
        <v>18</v>
      </c>
      <c r="AE29" s="2"/>
      <c r="AF29" s="3"/>
    </row>
    <row r="30" ht="30" customHeight="1" spans="2:32">
      <c r="B30" s="17">
        <v>23</v>
      </c>
      <c r="C30" s="19" t="s">
        <v>144</v>
      </c>
      <c r="D30" s="2"/>
      <c r="E30" s="3"/>
      <c r="F30" s="18" t="s">
        <v>136</v>
      </c>
      <c r="G30" s="2"/>
      <c r="H30" s="2"/>
      <c r="I30" s="2"/>
      <c r="J30" s="2"/>
      <c r="K30" s="2"/>
      <c r="L30" s="3"/>
      <c r="M30" s="18" t="s">
        <v>145</v>
      </c>
      <c r="N30" s="2"/>
      <c r="O30" s="2"/>
      <c r="P30" s="2"/>
      <c r="Q30" s="2"/>
      <c r="R30" s="2"/>
      <c r="S30" s="2"/>
      <c r="T30" s="3"/>
      <c r="U30" s="35" t="s">
        <v>102</v>
      </c>
      <c r="V30" s="3"/>
      <c r="W30" s="18" t="s">
        <v>146</v>
      </c>
      <c r="X30" s="2"/>
      <c r="Y30" s="2"/>
      <c r="Z30" s="2"/>
      <c r="AA30" s="2"/>
      <c r="AB30" s="2"/>
      <c r="AC30" s="3"/>
      <c r="AD30" s="19">
        <v>8</v>
      </c>
      <c r="AE30" s="2"/>
      <c r="AF30" s="3"/>
    </row>
    <row r="31" ht="30" customHeight="1" spans="2:32">
      <c r="B31" s="17">
        <v>24</v>
      </c>
      <c r="C31" s="19" t="s">
        <v>147</v>
      </c>
      <c r="D31" s="2"/>
      <c r="E31" s="3"/>
      <c r="F31" s="18" t="s">
        <v>136</v>
      </c>
      <c r="G31" s="2"/>
      <c r="H31" s="2"/>
      <c r="I31" s="2"/>
      <c r="J31" s="2"/>
      <c r="K31" s="2"/>
      <c r="L31" s="3"/>
      <c r="M31" s="18" t="s">
        <v>148</v>
      </c>
      <c r="N31" s="2"/>
      <c r="O31" s="2"/>
      <c r="P31" s="2"/>
      <c r="Q31" s="2"/>
      <c r="R31" s="2"/>
      <c r="S31" s="2"/>
      <c r="T31" s="3"/>
      <c r="U31" s="34" t="s">
        <v>82</v>
      </c>
      <c r="V31" s="3"/>
      <c r="W31" s="18" t="s">
        <v>149</v>
      </c>
      <c r="X31" s="2"/>
      <c r="Y31" s="2"/>
      <c r="Z31" s="2"/>
      <c r="AA31" s="2"/>
      <c r="AB31" s="2"/>
      <c r="AC31" s="3"/>
      <c r="AD31" s="19">
        <v>10</v>
      </c>
      <c r="AE31" s="2"/>
      <c r="AF31" s="3"/>
    </row>
    <row r="32" ht="30" customHeight="1" spans="2:32">
      <c r="B32" s="17">
        <v>25</v>
      </c>
      <c r="C32" s="19" t="s">
        <v>150</v>
      </c>
      <c r="D32" s="2"/>
      <c r="E32" s="3"/>
      <c r="F32" s="18" t="s">
        <v>136</v>
      </c>
      <c r="G32" s="2"/>
      <c r="H32" s="2"/>
      <c r="I32" s="2"/>
      <c r="J32" s="2"/>
      <c r="K32" s="2"/>
      <c r="L32" s="3"/>
      <c r="M32" s="18" t="s">
        <v>151</v>
      </c>
      <c r="N32" s="2"/>
      <c r="O32" s="2"/>
      <c r="P32" s="2"/>
      <c r="Q32" s="2"/>
      <c r="R32" s="2"/>
      <c r="S32" s="2"/>
      <c r="T32" s="3"/>
      <c r="U32" s="35" t="s">
        <v>102</v>
      </c>
      <c r="V32" s="3"/>
      <c r="W32" s="18" t="s">
        <v>152</v>
      </c>
      <c r="X32" s="2"/>
      <c r="Y32" s="2"/>
      <c r="Z32" s="2"/>
      <c r="AA32" s="2"/>
      <c r="AB32" s="2"/>
      <c r="AC32" s="3"/>
      <c r="AD32" s="19">
        <v>30</v>
      </c>
      <c r="AE32" s="2"/>
      <c r="AF32" s="3"/>
    </row>
    <row r="33" ht="30" customHeight="1" spans="2:32">
      <c r="B33" s="17">
        <v>26</v>
      </c>
      <c r="C33" s="19" t="s">
        <v>153</v>
      </c>
      <c r="D33" s="2"/>
      <c r="E33" s="3"/>
      <c r="F33" s="18" t="s">
        <v>136</v>
      </c>
      <c r="G33" s="2"/>
      <c r="H33" s="2"/>
      <c r="I33" s="2"/>
      <c r="J33" s="2"/>
      <c r="K33" s="2"/>
      <c r="L33" s="3"/>
      <c r="M33" s="18" t="s">
        <v>154</v>
      </c>
      <c r="N33" s="2"/>
      <c r="O33" s="2"/>
      <c r="P33" s="2"/>
      <c r="Q33" s="2"/>
      <c r="R33" s="2"/>
      <c r="S33" s="2"/>
      <c r="T33" s="3"/>
      <c r="U33" s="34" t="s">
        <v>82</v>
      </c>
      <c r="V33" s="3"/>
      <c r="W33" s="18" t="s">
        <v>155</v>
      </c>
      <c r="X33" s="2"/>
      <c r="Y33" s="2"/>
      <c r="Z33" s="2"/>
      <c r="AA33" s="2"/>
      <c r="AB33" s="2"/>
      <c r="AC33" s="3"/>
      <c r="AD33" s="19">
        <v>15</v>
      </c>
      <c r="AE33" s="2"/>
      <c r="AF33" s="3"/>
    </row>
    <row r="34" ht="30" customHeight="1" spans="2:32">
      <c r="B34" s="17">
        <v>27</v>
      </c>
      <c r="C34" s="19" t="s">
        <v>156</v>
      </c>
      <c r="D34" s="2"/>
      <c r="E34" s="3"/>
      <c r="F34" s="18" t="s">
        <v>136</v>
      </c>
      <c r="G34" s="2"/>
      <c r="H34" s="2"/>
      <c r="I34" s="2"/>
      <c r="J34" s="2"/>
      <c r="K34" s="2"/>
      <c r="L34" s="3"/>
      <c r="M34" s="18" t="s">
        <v>157</v>
      </c>
      <c r="N34" s="2"/>
      <c r="O34" s="2"/>
      <c r="P34" s="2"/>
      <c r="Q34" s="2"/>
      <c r="R34" s="2"/>
      <c r="S34" s="2"/>
      <c r="T34" s="3"/>
      <c r="U34" s="34" t="s">
        <v>82</v>
      </c>
      <c r="V34" s="3"/>
      <c r="W34" s="18" t="s">
        <v>158</v>
      </c>
      <c r="X34" s="2"/>
      <c r="Y34" s="2"/>
      <c r="Z34" s="2"/>
      <c r="AA34" s="2"/>
      <c r="AB34" s="2"/>
      <c r="AC34" s="3"/>
      <c r="AD34" s="19">
        <v>18</v>
      </c>
      <c r="AE34" s="2"/>
      <c r="AF34" s="3"/>
    </row>
    <row r="35" ht="30" customHeight="1" spans="2:32">
      <c r="B35" s="17">
        <v>28</v>
      </c>
      <c r="C35" s="19" t="s">
        <v>159</v>
      </c>
      <c r="D35" s="2"/>
      <c r="E35" s="3"/>
      <c r="F35" s="18" t="s">
        <v>160</v>
      </c>
      <c r="G35" s="2"/>
      <c r="H35" s="2"/>
      <c r="I35" s="2"/>
      <c r="J35" s="2"/>
      <c r="K35" s="2"/>
      <c r="L35" s="3"/>
      <c r="M35" s="18" t="s">
        <v>161</v>
      </c>
      <c r="N35" s="2"/>
      <c r="O35" s="2"/>
      <c r="P35" s="2"/>
      <c r="Q35" s="2"/>
      <c r="R35" s="2"/>
      <c r="S35" s="2"/>
      <c r="T35" s="3"/>
      <c r="U35" s="34" t="s">
        <v>82</v>
      </c>
      <c r="V35" s="3"/>
      <c r="W35" s="18" t="s">
        <v>162</v>
      </c>
      <c r="X35" s="2"/>
      <c r="Y35" s="2"/>
      <c r="Z35" s="2"/>
      <c r="AA35" s="2"/>
      <c r="AB35" s="2"/>
      <c r="AC35" s="3"/>
      <c r="AD35" s="19">
        <v>25</v>
      </c>
      <c r="AE35" s="2"/>
      <c r="AF35" s="3"/>
    </row>
    <row r="36" ht="30" customHeight="1" spans="2:32">
      <c r="B36" s="17">
        <v>29</v>
      </c>
      <c r="C36" s="19" t="s">
        <v>163</v>
      </c>
      <c r="D36" s="2"/>
      <c r="E36" s="3"/>
      <c r="F36" s="18" t="s">
        <v>160</v>
      </c>
      <c r="G36" s="2"/>
      <c r="H36" s="2"/>
      <c r="I36" s="2"/>
      <c r="J36" s="2"/>
      <c r="K36" s="2"/>
      <c r="L36" s="3"/>
      <c r="M36" s="18" t="s">
        <v>164</v>
      </c>
      <c r="N36" s="2"/>
      <c r="O36" s="2"/>
      <c r="P36" s="2"/>
      <c r="Q36" s="2"/>
      <c r="R36" s="2"/>
      <c r="S36" s="2"/>
      <c r="T36" s="3"/>
      <c r="U36" s="34" t="s">
        <v>82</v>
      </c>
      <c r="V36" s="3"/>
      <c r="W36" s="18" t="s">
        <v>94</v>
      </c>
      <c r="X36" s="2"/>
      <c r="Y36" s="2"/>
      <c r="Z36" s="2"/>
      <c r="AA36" s="2"/>
      <c r="AB36" s="2"/>
      <c r="AC36" s="3"/>
      <c r="AD36" s="19">
        <v>8</v>
      </c>
      <c r="AE36" s="2"/>
      <c r="AF36" s="3"/>
    </row>
    <row r="37" ht="30" customHeight="1" spans="2:32">
      <c r="B37" s="17">
        <v>30</v>
      </c>
      <c r="C37" s="19" t="s">
        <v>165</v>
      </c>
      <c r="D37" s="2"/>
      <c r="E37" s="3"/>
      <c r="F37" s="18" t="s">
        <v>160</v>
      </c>
      <c r="G37" s="2"/>
      <c r="H37" s="2"/>
      <c r="I37" s="2"/>
      <c r="J37" s="2"/>
      <c r="K37" s="2"/>
      <c r="L37" s="3"/>
      <c r="M37" s="18" t="s">
        <v>166</v>
      </c>
      <c r="N37" s="2"/>
      <c r="O37" s="2"/>
      <c r="P37" s="2"/>
      <c r="Q37" s="2"/>
      <c r="R37" s="2"/>
      <c r="S37" s="2"/>
      <c r="T37" s="3"/>
      <c r="U37" s="34" t="s">
        <v>82</v>
      </c>
      <c r="V37" s="3"/>
      <c r="W37" s="18" t="s">
        <v>167</v>
      </c>
      <c r="X37" s="2"/>
      <c r="Y37" s="2"/>
      <c r="Z37" s="2"/>
      <c r="AA37" s="2"/>
      <c r="AB37" s="2"/>
      <c r="AC37" s="3"/>
      <c r="AD37" s="19">
        <v>15</v>
      </c>
      <c r="AE37" s="2"/>
      <c r="AF37" s="3"/>
    </row>
    <row r="38" ht="30" customHeight="1" spans="2:32">
      <c r="B38" s="17">
        <v>31</v>
      </c>
      <c r="C38" s="19" t="s">
        <v>168</v>
      </c>
      <c r="D38" s="2"/>
      <c r="E38" s="3"/>
      <c r="F38" s="18" t="s">
        <v>160</v>
      </c>
      <c r="G38" s="2"/>
      <c r="H38" s="2"/>
      <c r="I38" s="2"/>
      <c r="J38" s="2"/>
      <c r="K38" s="2"/>
      <c r="L38" s="3"/>
      <c r="M38" s="18" t="s">
        <v>169</v>
      </c>
      <c r="N38" s="2"/>
      <c r="O38" s="2"/>
      <c r="P38" s="2"/>
      <c r="Q38" s="2"/>
      <c r="R38" s="2"/>
      <c r="S38" s="2"/>
      <c r="T38" s="3"/>
      <c r="U38" s="34" t="s">
        <v>82</v>
      </c>
      <c r="V38" s="3"/>
      <c r="W38" s="18" t="s">
        <v>94</v>
      </c>
      <c r="X38" s="2"/>
      <c r="Y38" s="2"/>
      <c r="Z38" s="2"/>
      <c r="AA38" s="2"/>
      <c r="AB38" s="2"/>
      <c r="AC38" s="3"/>
      <c r="AD38" s="19">
        <v>40</v>
      </c>
      <c r="AE38" s="2"/>
      <c r="AF38" s="3"/>
    </row>
    <row r="39" ht="30" customHeight="1" spans="2:32">
      <c r="B39" s="17">
        <v>32</v>
      </c>
      <c r="C39" s="19" t="s">
        <v>170</v>
      </c>
      <c r="D39" s="2"/>
      <c r="E39" s="3"/>
      <c r="F39" s="18" t="s">
        <v>160</v>
      </c>
      <c r="G39" s="2"/>
      <c r="H39" s="2"/>
      <c r="I39" s="2"/>
      <c r="J39" s="2"/>
      <c r="K39" s="2"/>
      <c r="L39" s="3"/>
      <c r="M39" s="18" t="s">
        <v>171</v>
      </c>
      <c r="N39" s="2"/>
      <c r="O39" s="2"/>
      <c r="P39" s="2"/>
      <c r="Q39" s="2"/>
      <c r="R39" s="2"/>
      <c r="S39" s="2"/>
      <c r="T39" s="3"/>
      <c r="U39" s="35" t="s">
        <v>102</v>
      </c>
      <c r="V39" s="3"/>
      <c r="W39" s="18" t="s">
        <v>172</v>
      </c>
      <c r="X39" s="2"/>
      <c r="Y39" s="2"/>
      <c r="Z39" s="2"/>
      <c r="AA39" s="2"/>
      <c r="AB39" s="2"/>
      <c r="AC39" s="3"/>
      <c r="AD39" s="19">
        <v>20</v>
      </c>
      <c r="AE39" s="2"/>
      <c r="AF39" s="3"/>
    </row>
    <row r="40" ht="30" customHeight="1" spans="2:32">
      <c r="B40" s="17">
        <v>33</v>
      </c>
      <c r="C40" s="19" t="s">
        <v>173</v>
      </c>
      <c r="D40" s="2"/>
      <c r="E40" s="3"/>
      <c r="F40" s="18" t="s">
        <v>160</v>
      </c>
      <c r="G40" s="2"/>
      <c r="H40" s="2"/>
      <c r="I40" s="2"/>
      <c r="J40" s="2"/>
      <c r="K40" s="2"/>
      <c r="L40" s="3"/>
      <c r="M40" s="18" t="s">
        <v>174</v>
      </c>
      <c r="N40" s="2"/>
      <c r="O40" s="2"/>
      <c r="P40" s="2"/>
      <c r="Q40" s="2"/>
      <c r="R40" s="2"/>
      <c r="S40" s="2"/>
      <c r="T40" s="3"/>
      <c r="U40" s="35" t="s">
        <v>102</v>
      </c>
      <c r="V40" s="3"/>
      <c r="W40" s="18" t="s">
        <v>175</v>
      </c>
      <c r="X40" s="2"/>
      <c r="Y40" s="2"/>
      <c r="Z40" s="2"/>
      <c r="AA40" s="2"/>
      <c r="AB40" s="2"/>
      <c r="AC40" s="3"/>
      <c r="AD40" s="19">
        <v>12</v>
      </c>
      <c r="AE40" s="2"/>
      <c r="AF40" s="3"/>
    </row>
    <row r="41" ht="30" customHeight="1" spans="2:32">
      <c r="B41" s="17">
        <v>34</v>
      </c>
      <c r="C41" s="19" t="s">
        <v>176</v>
      </c>
      <c r="D41" s="2"/>
      <c r="E41" s="3"/>
      <c r="F41" s="18" t="s">
        <v>160</v>
      </c>
      <c r="G41" s="2"/>
      <c r="H41" s="2"/>
      <c r="I41" s="2"/>
      <c r="J41" s="2"/>
      <c r="K41" s="2"/>
      <c r="L41" s="3"/>
      <c r="M41" s="18" t="s">
        <v>177</v>
      </c>
      <c r="N41" s="2"/>
      <c r="O41" s="2"/>
      <c r="P41" s="2"/>
      <c r="Q41" s="2"/>
      <c r="R41" s="2"/>
      <c r="S41" s="2"/>
      <c r="T41" s="3"/>
      <c r="U41" s="34" t="s">
        <v>82</v>
      </c>
      <c r="V41" s="3"/>
      <c r="W41" s="18" t="s">
        <v>178</v>
      </c>
      <c r="X41" s="2"/>
      <c r="Y41" s="2"/>
      <c r="Z41" s="2"/>
      <c r="AA41" s="2"/>
      <c r="AB41" s="2"/>
      <c r="AC41" s="3"/>
      <c r="AD41" s="19">
        <v>15</v>
      </c>
      <c r="AE41" s="2"/>
      <c r="AF41" s="3"/>
    </row>
    <row r="42" ht="30" customHeight="1" spans="2:32">
      <c r="B42" s="17">
        <v>35</v>
      </c>
      <c r="C42" s="19" t="s">
        <v>179</v>
      </c>
      <c r="D42" s="2"/>
      <c r="E42" s="3"/>
      <c r="F42" s="18" t="s">
        <v>160</v>
      </c>
      <c r="G42" s="2"/>
      <c r="H42" s="2"/>
      <c r="I42" s="2"/>
      <c r="J42" s="2"/>
      <c r="K42" s="2"/>
      <c r="L42" s="3"/>
      <c r="M42" s="18" t="s">
        <v>180</v>
      </c>
      <c r="N42" s="2"/>
      <c r="O42" s="2"/>
      <c r="P42" s="2"/>
      <c r="Q42" s="2"/>
      <c r="R42" s="2"/>
      <c r="S42" s="2"/>
      <c r="T42" s="3"/>
      <c r="U42" s="35" t="s">
        <v>102</v>
      </c>
      <c r="V42" s="3"/>
      <c r="W42" s="18" t="s">
        <v>94</v>
      </c>
      <c r="X42" s="2"/>
      <c r="Y42" s="2"/>
      <c r="Z42" s="2"/>
      <c r="AA42" s="2"/>
      <c r="AB42" s="2"/>
      <c r="AC42" s="3"/>
      <c r="AD42" s="19">
        <v>30</v>
      </c>
      <c r="AE42" s="2"/>
      <c r="AF42" s="3"/>
    </row>
    <row r="43" ht="36" customHeight="1" spans="2:32">
      <c r="B43" s="17">
        <v>36</v>
      </c>
      <c r="C43" s="19" t="s">
        <v>181</v>
      </c>
      <c r="D43" s="2"/>
      <c r="E43" s="3"/>
      <c r="F43" s="18" t="s">
        <v>160</v>
      </c>
      <c r="G43" s="2"/>
      <c r="H43" s="2"/>
      <c r="I43" s="2"/>
      <c r="J43" s="2"/>
      <c r="K43" s="2"/>
      <c r="L43" s="3"/>
      <c r="M43" s="18" t="s">
        <v>182</v>
      </c>
      <c r="N43" s="2"/>
      <c r="O43" s="2"/>
      <c r="P43" s="2"/>
      <c r="Q43" s="2"/>
      <c r="R43" s="2"/>
      <c r="S43" s="2"/>
      <c r="T43" s="3"/>
      <c r="U43" s="34" t="s">
        <v>82</v>
      </c>
      <c r="V43" s="3"/>
      <c r="W43" s="18" t="s">
        <v>167</v>
      </c>
      <c r="X43" s="2"/>
      <c r="Y43" s="2"/>
      <c r="Z43" s="2"/>
      <c r="AA43" s="2"/>
      <c r="AB43" s="2"/>
      <c r="AC43" s="3"/>
      <c r="AD43" s="19">
        <v>6</v>
      </c>
      <c r="AE43" s="2"/>
      <c r="AF43" s="3"/>
    </row>
    <row r="44" ht="30" customHeight="1" spans="2:32">
      <c r="B44" s="17">
        <v>37</v>
      </c>
      <c r="C44" s="19" t="s">
        <v>183</v>
      </c>
      <c r="D44" s="2"/>
      <c r="E44" s="3"/>
      <c r="F44" s="18" t="s">
        <v>184</v>
      </c>
      <c r="G44" s="2"/>
      <c r="H44" s="2"/>
      <c r="I44" s="2"/>
      <c r="J44" s="2"/>
      <c r="K44" s="2"/>
      <c r="L44" s="3"/>
      <c r="M44" s="18" t="s">
        <v>185</v>
      </c>
      <c r="N44" s="2"/>
      <c r="O44" s="2"/>
      <c r="P44" s="2"/>
      <c r="Q44" s="2"/>
      <c r="R44" s="2"/>
      <c r="S44" s="2"/>
      <c r="T44" s="3"/>
      <c r="U44" s="36" t="s">
        <v>186</v>
      </c>
      <c r="V44" s="3"/>
      <c r="W44" s="18" t="s">
        <v>187</v>
      </c>
      <c r="X44" s="2"/>
      <c r="Y44" s="2"/>
      <c r="Z44" s="2"/>
      <c r="AA44" s="2"/>
      <c r="AB44" s="2"/>
      <c r="AC44" s="3"/>
      <c r="AD44" s="19">
        <v>60</v>
      </c>
      <c r="AE44" s="2"/>
      <c r="AF44" s="3"/>
    </row>
    <row r="45" ht="36" customHeight="1" spans="2:32">
      <c r="B45" s="17">
        <v>38</v>
      </c>
      <c r="C45" s="19" t="s">
        <v>188</v>
      </c>
      <c r="D45" s="2"/>
      <c r="E45" s="3"/>
      <c r="F45" s="18" t="s">
        <v>184</v>
      </c>
      <c r="G45" s="2"/>
      <c r="H45" s="2"/>
      <c r="I45" s="2"/>
      <c r="J45" s="2"/>
      <c r="K45" s="2"/>
      <c r="L45" s="3"/>
      <c r="M45" s="18" t="s">
        <v>189</v>
      </c>
      <c r="N45" s="2"/>
      <c r="O45" s="2"/>
      <c r="P45" s="2"/>
      <c r="Q45" s="2"/>
      <c r="R45" s="2"/>
      <c r="S45" s="2"/>
      <c r="T45" s="3"/>
      <c r="U45" s="36" t="s">
        <v>186</v>
      </c>
      <c r="V45" s="3"/>
      <c r="W45" s="18" t="s">
        <v>187</v>
      </c>
      <c r="X45" s="2"/>
      <c r="Y45" s="2"/>
      <c r="Z45" s="2"/>
      <c r="AA45" s="2"/>
      <c r="AB45" s="2"/>
      <c r="AC45" s="3"/>
      <c r="AD45" s="19">
        <v>40</v>
      </c>
      <c r="AE45" s="2"/>
      <c r="AF45" s="3"/>
    </row>
    <row r="46" ht="30" customHeight="1" spans="2:32">
      <c r="B46" s="17">
        <v>39</v>
      </c>
      <c r="C46" s="19" t="s">
        <v>190</v>
      </c>
      <c r="D46" s="2"/>
      <c r="E46" s="3"/>
      <c r="F46" s="18" t="s">
        <v>184</v>
      </c>
      <c r="G46" s="2"/>
      <c r="H46" s="2"/>
      <c r="I46" s="2"/>
      <c r="J46" s="2"/>
      <c r="K46" s="2"/>
      <c r="L46" s="3"/>
      <c r="M46" s="18" t="s">
        <v>191</v>
      </c>
      <c r="N46" s="2"/>
      <c r="O46" s="2"/>
      <c r="P46" s="2"/>
      <c r="Q46" s="2"/>
      <c r="R46" s="2"/>
      <c r="S46" s="2"/>
      <c r="T46" s="3"/>
      <c r="U46" s="36" t="s">
        <v>186</v>
      </c>
      <c r="V46" s="3"/>
      <c r="W46" s="18" t="s">
        <v>113</v>
      </c>
      <c r="X46" s="2"/>
      <c r="Y46" s="2"/>
      <c r="Z46" s="2"/>
      <c r="AA46" s="2"/>
      <c r="AB46" s="2"/>
      <c r="AC46" s="3"/>
      <c r="AD46" s="19">
        <v>25</v>
      </c>
      <c r="AE46" s="2"/>
      <c r="AF46" s="3"/>
    </row>
    <row r="47" ht="30" customHeight="1" spans="2:32">
      <c r="B47" s="17">
        <v>40</v>
      </c>
      <c r="C47" s="19" t="s">
        <v>192</v>
      </c>
      <c r="D47" s="2"/>
      <c r="E47" s="3"/>
      <c r="F47" s="18" t="s">
        <v>184</v>
      </c>
      <c r="G47" s="2"/>
      <c r="H47" s="2"/>
      <c r="I47" s="2"/>
      <c r="J47" s="2"/>
      <c r="K47" s="2"/>
      <c r="L47" s="3"/>
      <c r="M47" s="18" t="s">
        <v>193</v>
      </c>
      <c r="N47" s="2"/>
      <c r="O47" s="2"/>
      <c r="P47" s="2"/>
      <c r="Q47" s="2"/>
      <c r="R47" s="2"/>
      <c r="S47" s="2"/>
      <c r="T47" s="3"/>
      <c r="U47" s="36" t="s">
        <v>186</v>
      </c>
      <c r="V47" s="3"/>
      <c r="W47" s="18" t="s">
        <v>94</v>
      </c>
      <c r="X47" s="2"/>
      <c r="Y47" s="2"/>
      <c r="Z47" s="2"/>
      <c r="AA47" s="2"/>
      <c r="AB47" s="2"/>
      <c r="AC47" s="3"/>
      <c r="AD47" s="19">
        <v>5</v>
      </c>
      <c r="AE47" s="2"/>
      <c r="AF47" s="3"/>
    </row>
    <row r="48" ht="30" customHeight="1" spans="2:32">
      <c r="B48" s="17">
        <v>41</v>
      </c>
      <c r="C48" s="19" t="s">
        <v>194</v>
      </c>
      <c r="D48" s="2"/>
      <c r="E48" s="3"/>
      <c r="F48" s="18" t="s">
        <v>184</v>
      </c>
      <c r="G48" s="2"/>
      <c r="H48" s="2"/>
      <c r="I48" s="2"/>
      <c r="J48" s="2"/>
      <c r="K48" s="2"/>
      <c r="L48" s="3"/>
      <c r="M48" s="18" t="s">
        <v>195</v>
      </c>
      <c r="N48" s="2"/>
      <c r="O48" s="2"/>
      <c r="P48" s="2"/>
      <c r="Q48" s="2"/>
      <c r="R48" s="2"/>
      <c r="S48" s="2"/>
      <c r="T48" s="3"/>
      <c r="U48" s="34" t="s">
        <v>82</v>
      </c>
      <c r="V48" s="3"/>
      <c r="W48" s="18" t="s">
        <v>94</v>
      </c>
      <c r="X48" s="2"/>
      <c r="Y48" s="2"/>
      <c r="Z48" s="2"/>
      <c r="AA48" s="2"/>
      <c r="AB48" s="2"/>
      <c r="AC48" s="3"/>
      <c r="AD48" s="19">
        <v>5</v>
      </c>
      <c r="AE48" s="2"/>
      <c r="AF48" s="3"/>
    </row>
    <row r="49" ht="30" customHeight="1" spans="2:37">
      <c r="B49" s="17">
        <v>42</v>
      </c>
      <c r="C49" s="19" t="s">
        <v>196</v>
      </c>
      <c r="D49" s="2"/>
      <c r="E49" s="3"/>
      <c r="F49" s="18" t="s">
        <v>184</v>
      </c>
      <c r="G49" s="2"/>
      <c r="H49" s="2"/>
      <c r="I49" s="2"/>
      <c r="J49" s="2"/>
      <c r="K49" s="2"/>
      <c r="L49" s="3"/>
      <c r="M49" s="18" t="s">
        <v>197</v>
      </c>
      <c r="N49" s="2"/>
      <c r="O49" s="2"/>
      <c r="P49" s="2"/>
      <c r="Q49" s="2"/>
      <c r="R49" s="2"/>
      <c r="S49" s="2"/>
      <c r="T49" s="3"/>
      <c r="U49" s="35" t="s">
        <v>102</v>
      </c>
      <c r="V49" s="3"/>
      <c r="W49" s="18" t="s">
        <v>198</v>
      </c>
      <c r="X49" s="2"/>
      <c r="Y49" s="2"/>
      <c r="Z49" s="2"/>
      <c r="AA49" s="2"/>
      <c r="AB49" s="2"/>
      <c r="AC49" s="3"/>
      <c r="AD49" s="19">
        <v>8</v>
      </c>
      <c r="AE49" s="2"/>
      <c r="AF49" s="3"/>
    </row>
    <row r="50" ht="30" customHeight="1" spans="2:37">
      <c r="B50" s="17">
        <v>43</v>
      </c>
      <c r="C50" s="19" t="s">
        <v>199</v>
      </c>
      <c r="D50" s="2"/>
      <c r="E50" s="3"/>
      <c r="F50" s="18" t="s">
        <v>200</v>
      </c>
      <c r="G50" s="2"/>
      <c r="H50" s="2"/>
      <c r="I50" s="2"/>
      <c r="J50" s="2"/>
      <c r="K50" s="2"/>
      <c r="L50" s="3"/>
      <c r="M50" s="18" t="s">
        <v>201</v>
      </c>
      <c r="N50" s="2"/>
      <c r="O50" s="2"/>
      <c r="P50" s="2"/>
      <c r="Q50" s="2"/>
      <c r="R50" s="2"/>
      <c r="S50" s="2"/>
      <c r="T50" s="3"/>
      <c r="U50" s="35" t="s">
        <v>102</v>
      </c>
      <c r="V50" s="3"/>
      <c r="W50" s="18" t="s">
        <v>202</v>
      </c>
      <c r="X50" s="2"/>
      <c r="Y50" s="2"/>
      <c r="Z50" s="2"/>
      <c r="AA50" s="2"/>
      <c r="AB50" s="2"/>
      <c r="AC50" s="3"/>
      <c r="AD50" s="19">
        <v>12</v>
      </c>
      <c r="AE50" s="2"/>
      <c r="AF50" s="3"/>
    </row>
    <row r="51" ht="30" customHeight="1" spans="2:37">
      <c r="B51" s="17">
        <v>44</v>
      </c>
      <c r="C51" s="19" t="s">
        <v>203</v>
      </c>
      <c r="D51" s="2"/>
      <c r="E51" s="3"/>
      <c r="F51" s="18" t="s">
        <v>200</v>
      </c>
      <c r="G51" s="2"/>
      <c r="H51" s="2"/>
      <c r="I51" s="2"/>
      <c r="J51" s="2"/>
      <c r="K51" s="2"/>
      <c r="L51" s="3"/>
      <c r="M51" s="18" t="s">
        <v>204</v>
      </c>
      <c r="N51" s="2"/>
      <c r="O51" s="2"/>
      <c r="P51" s="2"/>
      <c r="Q51" s="2"/>
      <c r="R51" s="2"/>
      <c r="S51" s="2"/>
      <c r="T51" s="3"/>
      <c r="U51" s="35" t="s">
        <v>102</v>
      </c>
      <c r="V51" s="3"/>
      <c r="W51" s="18" t="s">
        <v>205</v>
      </c>
      <c r="X51" s="2"/>
      <c r="Y51" s="2"/>
      <c r="Z51" s="2"/>
      <c r="AA51" s="2"/>
      <c r="AB51" s="2"/>
      <c r="AC51" s="3"/>
      <c r="AD51" s="19">
        <v>8</v>
      </c>
      <c r="AE51" s="2"/>
      <c r="AF51" s="3"/>
    </row>
    <row r="52" ht="22.5" customHeight="1" spans="2:37">
      <c r="B52" s="37" t="s">
        <v>58</v>
      </c>
      <c r="C52" s="2"/>
      <c r="D52" s="2"/>
      <c r="E52" s="2"/>
      <c r="F52" s="2"/>
      <c r="G52" s="2"/>
      <c r="H52" s="2"/>
      <c r="I52" s="2"/>
      <c r="J52" s="2"/>
      <c r="K52" s="2"/>
      <c r="L52" s="2"/>
      <c r="M52" s="2"/>
      <c r="N52" s="2"/>
      <c r="O52" s="2"/>
      <c r="P52" s="2"/>
      <c r="Q52" s="2"/>
      <c r="R52" s="2"/>
      <c r="S52" s="2"/>
      <c r="T52" s="3"/>
      <c r="U52" s="38"/>
      <c r="V52" s="3"/>
      <c r="W52" s="38"/>
      <c r="X52" s="2"/>
      <c r="Y52" s="2"/>
      <c r="Z52" s="2"/>
      <c r="AA52" s="2"/>
      <c r="AB52" s="2"/>
      <c r="AC52" s="3"/>
      <c r="AD52" s="38">
        <f>SUM(AD8:AD51)</f>
        <v>1682</v>
      </c>
      <c r="AE52" s="2"/>
      <c r="AF52" s="3"/>
    </row>
    <row r="53" ht="15.75" customHeight="1"/>
    <row r="54" ht="19.5" customHeight="1" spans="2:37">
      <c r="B54" s="32" t="s">
        <v>206</v>
      </c>
    </row>
    <row r="55" ht="15.75" customHeight="1"/>
    <row r="56" ht="28.5" customHeight="1" spans="2:37">
      <c r="B56" s="1" t="s">
        <v>207</v>
      </c>
      <c r="C56" s="3"/>
      <c r="D56" s="1" t="s">
        <v>208</v>
      </c>
      <c r="E56" s="2"/>
      <c r="F56" s="3"/>
      <c r="G56" s="1" t="s">
        <v>209</v>
      </c>
      <c r="H56" s="2"/>
      <c r="I56" s="2"/>
      <c r="J56" s="2"/>
      <c r="K56" s="2"/>
      <c r="L56" s="3"/>
      <c r="M56" s="1" t="s">
        <v>210</v>
      </c>
      <c r="N56" s="3"/>
      <c r="O56" s="1" t="s">
        <v>211</v>
      </c>
      <c r="P56" s="2"/>
      <c r="Q56" s="3"/>
      <c r="R56" s="1" t="s">
        <v>212</v>
      </c>
      <c r="S56" s="2"/>
      <c r="T56" s="2"/>
      <c r="U56" s="2"/>
      <c r="V56" s="2"/>
      <c r="W56" s="2"/>
      <c r="X56" s="2"/>
      <c r="Y56" s="2"/>
      <c r="Z56" s="2"/>
      <c r="AA56" s="2"/>
      <c r="AB56" s="2"/>
      <c r="AC56" s="2"/>
      <c r="AD56" s="2"/>
      <c r="AE56" s="2"/>
      <c r="AF56" s="2"/>
      <c r="AG56" s="2"/>
      <c r="AH56" s="2"/>
      <c r="AI56" s="2"/>
      <c r="AJ56" s="2"/>
      <c r="AK56" s="3"/>
    </row>
    <row r="57" ht="36" customHeight="1" spans="2:37">
      <c r="B57" s="39" t="s">
        <v>213</v>
      </c>
      <c r="C57" s="3"/>
      <c r="D57" s="19" t="s">
        <v>214</v>
      </c>
      <c r="E57" s="2"/>
      <c r="F57" s="3"/>
      <c r="G57" s="18" t="s">
        <v>215</v>
      </c>
      <c r="H57" s="2"/>
      <c r="I57" s="2"/>
      <c r="J57" s="2"/>
      <c r="K57" s="2"/>
      <c r="L57" s="3"/>
      <c r="M57" s="19">
        <v>10</v>
      </c>
      <c r="N57" s="3"/>
      <c r="O57" s="19" t="s">
        <v>82</v>
      </c>
      <c r="P57" s="2"/>
      <c r="Q57" s="3"/>
      <c r="R57" s="18" t="s">
        <v>216</v>
      </c>
      <c r="S57" s="2"/>
      <c r="T57" s="2"/>
      <c r="U57" s="2"/>
      <c r="V57" s="2"/>
      <c r="W57" s="2"/>
      <c r="X57" s="2"/>
      <c r="Y57" s="2"/>
      <c r="Z57" s="2"/>
      <c r="AA57" s="2"/>
      <c r="AB57" s="2"/>
      <c r="AC57" s="2"/>
      <c r="AD57" s="2"/>
      <c r="AE57" s="2"/>
      <c r="AF57" s="2"/>
      <c r="AG57" s="2"/>
      <c r="AH57" s="2"/>
      <c r="AI57" s="2"/>
      <c r="AJ57" s="2"/>
      <c r="AK57" s="3"/>
    </row>
    <row r="58" ht="30" customHeight="1" spans="2:37">
      <c r="B58" s="39" t="s">
        <v>217</v>
      </c>
      <c r="C58" s="3"/>
      <c r="D58" s="19" t="s">
        <v>218</v>
      </c>
      <c r="E58" s="2"/>
      <c r="F58" s="3"/>
      <c r="G58" s="18" t="s">
        <v>219</v>
      </c>
      <c r="H58" s="2"/>
      <c r="I58" s="2"/>
      <c r="J58" s="2"/>
      <c r="K58" s="2"/>
      <c r="L58" s="3"/>
      <c r="M58" s="19">
        <v>9</v>
      </c>
      <c r="N58" s="3"/>
      <c r="O58" s="19" t="s">
        <v>102</v>
      </c>
      <c r="P58" s="2"/>
      <c r="Q58" s="3"/>
      <c r="R58" s="18" t="s">
        <v>220</v>
      </c>
      <c r="S58" s="2"/>
      <c r="T58" s="2"/>
      <c r="U58" s="2"/>
      <c r="V58" s="2"/>
      <c r="W58" s="2"/>
      <c r="X58" s="2"/>
      <c r="Y58" s="2"/>
      <c r="Z58" s="2"/>
      <c r="AA58" s="2"/>
      <c r="AB58" s="2"/>
      <c r="AC58" s="2"/>
      <c r="AD58" s="2"/>
      <c r="AE58" s="2"/>
      <c r="AF58" s="2"/>
      <c r="AG58" s="2"/>
      <c r="AH58" s="2"/>
      <c r="AI58" s="2"/>
      <c r="AJ58" s="2"/>
      <c r="AK58" s="3"/>
    </row>
    <row r="59" ht="36" customHeight="1" spans="2:37">
      <c r="B59" s="39" t="s">
        <v>221</v>
      </c>
      <c r="C59" s="3"/>
      <c r="D59" s="19" t="s">
        <v>222</v>
      </c>
      <c r="E59" s="2"/>
      <c r="F59" s="3"/>
      <c r="G59" s="18" t="s">
        <v>223</v>
      </c>
      <c r="H59" s="2"/>
      <c r="I59" s="2"/>
      <c r="J59" s="2"/>
      <c r="K59" s="2"/>
      <c r="L59" s="3"/>
      <c r="M59" s="19">
        <v>8</v>
      </c>
      <c r="N59" s="3"/>
      <c r="O59" s="19" t="s">
        <v>82</v>
      </c>
      <c r="P59" s="2"/>
      <c r="Q59" s="3"/>
      <c r="R59" s="18" t="s">
        <v>224</v>
      </c>
      <c r="S59" s="2"/>
      <c r="T59" s="2"/>
      <c r="U59" s="2"/>
      <c r="V59" s="2"/>
      <c r="W59" s="2"/>
      <c r="X59" s="2"/>
      <c r="Y59" s="2"/>
      <c r="Z59" s="2"/>
      <c r="AA59" s="2"/>
      <c r="AB59" s="2"/>
      <c r="AC59" s="2"/>
      <c r="AD59" s="2"/>
      <c r="AE59" s="2"/>
      <c r="AF59" s="2"/>
      <c r="AG59" s="2"/>
      <c r="AH59" s="2"/>
      <c r="AI59" s="2"/>
      <c r="AJ59" s="2"/>
      <c r="AK59" s="3"/>
    </row>
    <row r="60" ht="36" customHeight="1" spans="2:37">
      <c r="B60" s="39" t="s">
        <v>225</v>
      </c>
      <c r="C60" s="3"/>
      <c r="D60" s="19" t="s">
        <v>226</v>
      </c>
      <c r="E60" s="2"/>
      <c r="F60" s="3"/>
      <c r="G60" s="18" t="s">
        <v>227</v>
      </c>
      <c r="H60" s="2"/>
      <c r="I60" s="2"/>
      <c r="J60" s="2"/>
      <c r="K60" s="2"/>
      <c r="L60" s="3"/>
      <c r="M60" s="19">
        <v>9</v>
      </c>
      <c r="N60" s="3"/>
      <c r="O60" s="19" t="s">
        <v>82</v>
      </c>
      <c r="P60" s="2"/>
      <c r="Q60" s="3"/>
      <c r="R60" s="18" t="s">
        <v>228</v>
      </c>
      <c r="S60" s="2"/>
      <c r="T60" s="2"/>
      <c r="U60" s="2"/>
      <c r="V60" s="2"/>
      <c r="W60" s="2"/>
      <c r="X60" s="2"/>
      <c r="Y60" s="2"/>
      <c r="Z60" s="2"/>
      <c r="AA60" s="2"/>
      <c r="AB60" s="2"/>
      <c r="AC60" s="2"/>
      <c r="AD60" s="2"/>
      <c r="AE60" s="2"/>
      <c r="AF60" s="2"/>
      <c r="AG60" s="2"/>
      <c r="AH60" s="2"/>
      <c r="AI60" s="2"/>
      <c r="AJ60" s="2"/>
      <c r="AK60" s="3"/>
    </row>
    <row r="61" ht="36" customHeight="1" spans="2:37">
      <c r="B61" s="39" t="s">
        <v>229</v>
      </c>
      <c r="C61" s="3"/>
      <c r="D61" s="19" t="s">
        <v>230</v>
      </c>
      <c r="E61" s="2"/>
      <c r="F61" s="3"/>
      <c r="G61" s="18" t="s">
        <v>231</v>
      </c>
      <c r="H61" s="2"/>
      <c r="I61" s="2"/>
      <c r="J61" s="2"/>
      <c r="K61" s="2"/>
      <c r="L61" s="3"/>
      <c r="M61" s="19">
        <v>6</v>
      </c>
      <c r="N61" s="3"/>
      <c r="O61" s="19" t="s">
        <v>232</v>
      </c>
      <c r="P61" s="2"/>
      <c r="Q61" s="3"/>
      <c r="R61" s="18" t="s">
        <v>233</v>
      </c>
      <c r="S61" s="2"/>
      <c r="T61" s="2"/>
      <c r="U61" s="2"/>
      <c r="V61" s="2"/>
      <c r="W61" s="2"/>
      <c r="X61" s="2"/>
      <c r="Y61" s="2"/>
      <c r="Z61" s="2"/>
      <c r="AA61" s="2"/>
      <c r="AB61" s="2"/>
      <c r="AC61" s="2"/>
      <c r="AD61" s="2"/>
      <c r="AE61" s="2"/>
      <c r="AF61" s="2"/>
      <c r="AG61" s="2"/>
      <c r="AH61" s="2"/>
      <c r="AI61" s="2"/>
      <c r="AJ61" s="2"/>
      <c r="AK61" s="3"/>
    </row>
    <row r="62" ht="30" customHeight="1" spans="2:37">
      <c r="B62" s="39" t="s">
        <v>234</v>
      </c>
      <c r="C62" s="3"/>
      <c r="D62" s="19" t="s">
        <v>235</v>
      </c>
      <c r="E62" s="2"/>
      <c r="F62" s="3"/>
      <c r="G62" s="18" t="s">
        <v>236</v>
      </c>
      <c r="H62" s="2"/>
      <c r="I62" s="2"/>
      <c r="J62" s="2"/>
      <c r="K62" s="2"/>
      <c r="L62" s="3"/>
      <c r="M62" s="19">
        <v>2</v>
      </c>
      <c r="N62" s="3"/>
      <c r="O62" s="19" t="s">
        <v>102</v>
      </c>
      <c r="P62" s="2"/>
      <c r="Q62" s="3"/>
      <c r="R62" s="18" t="s">
        <v>237</v>
      </c>
      <c r="S62" s="2"/>
      <c r="T62" s="2"/>
      <c r="U62" s="2"/>
      <c r="V62" s="2"/>
      <c r="W62" s="2"/>
      <c r="X62" s="2"/>
      <c r="Y62" s="2"/>
      <c r="Z62" s="2"/>
      <c r="AA62" s="2"/>
      <c r="AB62" s="2"/>
      <c r="AC62" s="2"/>
      <c r="AD62" s="2"/>
      <c r="AE62" s="2"/>
      <c r="AF62" s="2"/>
      <c r="AG62" s="2"/>
      <c r="AH62" s="2"/>
      <c r="AI62" s="2"/>
      <c r="AJ62" s="2"/>
      <c r="AK62" s="3"/>
    </row>
    <row r="63" ht="15.75" customHeight="1"/>
    <row r="64" ht="30" customHeight="1" spans="2:37">
      <c r="B64" s="40" t="s">
        <v>238</v>
      </c>
      <c r="C64" s="2"/>
      <c r="D64" s="2"/>
      <c r="E64" s="2"/>
      <c r="F64" s="2"/>
      <c r="G64" s="2"/>
      <c r="H64" s="2"/>
      <c r="I64" s="2"/>
      <c r="J64" s="2"/>
      <c r="K64" s="2"/>
      <c r="L64" s="2"/>
      <c r="M64" s="2"/>
      <c r="N64" s="2"/>
      <c r="O64" s="2"/>
      <c r="P64" s="2"/>
      <c r="Q64" s="2"/>
      <c r="R64" s="2"/>
      <c r="S64" s="2"/>
      <c r="T64" s="2"/>
      <c r="U64" s="2"/>
      <c r="V64" s="2"/>
      <c r="W64" s="2"/>
      <c r="X64" s="2"/>
      <c r="Y64" s="2"/>
      <c r="Z64" s="2"/>
      <c r="AA64" s="2"/>
      <c r="AB64" s="2"/>
      <c r="AC64" s="2"/>
      <c r="AD64" s="2"/>
      <c r="AE64" s="2"/>
      <c r="AF64" s="2"/>
      <c r="AG64" s="2"/>
      <c r="AH64" s="2"/>
      <c r="AI64" s="2"/>
      <c r="AJ64" s="2"/>
      <c r="AK64" s="3"/>
    </row>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33">
    <mergeCell ref="A1:I1"/>
    <mergeCell ref="J1:P1"/>
    <mergeCell ref="Q1:U1"/>
    <mergeCell ref="V1:Y1"/>
    <mergeCell ref="Z1:AC1"/>
    <mergeCell ref="AD1:AG1"/>
    <mergeCell ref="AH1:AK1"/>
    <mergeCell ref="B5:AK5"/>
    <mergeCell ref="C7:E7"/>
    <mergeCell ref="F7:L7"/>
    <mergeCell ref="M7:T7"/>
    <mergeCell ref="U7:V7"/>
    <mergeCell ref="W7:AC7"/>
    <mergeCell ref="AD7:AF7"/>
    <mergeCell ref="C8:E8"/>
    <mergeCell ref="F8:L8"/>
    <mergeCell ref="M8:T8"/>
    <mergeCell ref="U8:V8"/>
    <mergeCell ref="W8:AC8"/>
    <mergeCell ref="AD8:AF8"/>
    <mergeCell ref="C9:E9"/>
    <mergeCell ref="F9:L9"/>
    <mergeCell ref="M9:T9"/>
    <mergeCell ref="U9:V9"/>
    <mergeCell ref="W9:AC9"/>
    <mergeCell ref="AD9:AF9"/>
    <mergeCell ref="C10:E10"/>
    <mergeCell ref="F10:L10"/>
    <mergeCell ref="M10:T10"/>
    <mergeCell ref="U10:V10"/>
    <mergeCell ref="W10:AC10"/>
    <mergeCell ref="AD10:AF10"/>
    <mergeCell ref="C11:E11"/>
    <mergeCell ref="F11:L11"/>
    <mergeCell ref="M11:T11"/>
    <mergeCell ref="U11:V11"/>
    <mergeCell ref="W11:AC11"/>
    <mergeCell ref="AD11:AF11"/>
    <mergeCell ref="C12:E12"/>
    <mergeCell ref="F12:L12"/>
    <mergeCell ref="M12:T12"/>
    <mergeCell ref="U12:V12"/>
    <mergeCell ref="W12:AC12"/>
    <mergeCell ref="AD12:AF12"/>
    <mergeCell ref="C13:E13"/>
    <mergeCell ref="F13:L13"/>
    <mergeCell ref="M13:T13"/>
    <mergeCell ref="U13:V13"/>
    <mergeCell ref="W13:AC13"/>
    <mergeCell ref="AD13:AF13"/>
    <mergeCell ref="C14:E14"/>
    <mergeCell ref="F14:L14"/>
    <mergeCell ref="M14:T14"/>
    <mergeCell ref="U14:V14"/>
    <mergeCell ref="W14:AC14"/>
    <mergeCell ref="AD14:AF14"/>
    <mergeCell ref="C15:E15"/>
    <mergeCell ref="F15:L15"/>
    <mergeCell ref="M15:T15"/>
    <mergeCell ref="U15:V15"/>
    <mergeCell ref="W15:AC15"/>
    <mergeCell ref="AD15:AF15"/>
    <mergeCell ref="C16:E16"/>
    <mergeCell ref="F16:L16"/>
    <mergeCell ref="M16:T16"/>
    <mergeCell ref="U16:V16"/>
    <mergeCell ref="W16:AC16"/>
    <mergeCell ref="AD16:AF16"/>
    <mergeCell ref="C17:E17"/>
    <mergeCell ref="F17:L17"/>
    <mergeCell ref="M17:T17"/>
    <mergeCell ref="U17:V17"/>
    <mergeCell ref="W17:AC17"/>
    <mergeCell ref="AD17:AF17"/>
    <mergeCell ref="C18:E18"/>
    <mergeCell ref="F18:L18"/>
    <mergeCell ref="M18:T18"/>
    <mergeCell ref="U18:V18"/>
    <mergeCell ref="W18:AC18"/>
    <mergeCell ref="AD18:AF18"/>
    <mergeCell ref="C19:E19"/>
    <mergeCell ref="F19:L19"/>
    <mergeCell ref="M19:T19"/>
    <mergeCell ref="U19:V19"/>
    <mergeCell ref="W19:AC19"/>
    <mergeCell ref="AD19:AF19"/>
    <mergeCell ref="C20:E20"/>
    <mergeCell ref="F20:L20"/>
    <mergeCell ref="M20:T20"/>
    <mergeCell ref="U20:V20"/>
    <mergeCell ref="W20:AC20"/>
    <mergeCell ref="AD20:AF20"/>
    <mergeCell ref="C21:E21"/>
    <mergeCell ref="F21:L21"/>
    <mergeCell ref="M21:T21"/>
    <mergeCell ref="U21:V21"/>
    <mergeCell ref="W21:AC21"/>
    <mergeCell ref="AD21:AF21"/>
    <mergeCell ref="C22:E22"/>
    <mergeCell ref="F22:L22"/>
    <mergeCell ref="M22:T22"/>
    <mergeCell ref="U22:V22"/>
    <mergeCell ref="W22:AC22"/>
    <mergeCell ref="AD22:AF22"/>
    <mergeCell ref="C23:E23"/>
    <mergeCell ref="F23:L23"/>
    <mergeCell ref="M23:T23"/>
    <mergeCell ref="U23:V23"/>
    <mergeCell ref="W23:AC23"/>
    <mergeCell ref="AD23:AF23"/>
    <mergeCell ref="C24:E24"/>
    <mergeCell ref="F24:L24"/>
    <mergeCell ref="M24:T24"/>
    <mergeCell ref="U24:V24"/>
    <mergeCell ref="W24:AC24"/>
    <mergeCell ref="AD24:AF24"/>
    <mergeCell ref="C25:E25"/>
    <mergeCell ref="F25:L25"/>
    <mergeCell ref="M25:T25"/>
    <mergeCell ref="U25:V25"/>
    <mergeCell ref="W25:AC25"/>
    <mergeCell ref="AD25:AF25"/>
    <mergeCell ref="C26:E26"/>
    <mergeCell ref="F26:L26"/>
    <mergeCell ref="M26:T26"/>
    <mergeCell ref="U26:V26"/>
    <mergeCell ref="W26:AC26"/>
    <mergeCell ref="AD26:AF26"/>
    <mergeCell ref="C27:E27"/>
    <mergeCell ref="F27:L27"/>
    <mergeCell ref="M27:T27"/>
    <mergeCell ref="U27:V27"/>
    <mergeCell ref="W27:AC27"/>
    <mergeCell ref="AD27:AF27"/>
    <mergeCell ref="C28:E28"/>
    <mergeCell ref="F28:L28"/>
    <mergeCell ref="M28:T28"/>
    <mergeCell ref="U28:V28"/>
    <mergeCell ref="W28:AC28"/>
    <mergeCell ref="AD28:AF28"/>
    <mergeCell ref="C29:E29"/>
    <mergeCell ref="F29:L29"/>
    <mergeCell ref="M29:T29"/>
    <mergeCell ref="U29:V29"/>
    <mergeCell ref="W29:AC29"/>
    <mergeCell ref="AD29:AF29"/>
    <mergeCell ref="C30:E30"/>
    <mergeCell ref="F30:L30"/>
    <mergeCell ref="M30:T30"/>
    <mergeCell ref="U30:V30"/>
    <mergeCell ref="W30:AC30"/>
    <mergeCell ref="AD30:AF30"/>
    <mergeCell ref="C31:E31"/>
    <mergeCell ref="F31:L31"/>
    <mergeCell ref="M31:T31"/>
    <mergeCell ref="U31:V31"/>
    <mergeCell ref="W31:AC31"/>
    <mergeCell ref="AD31:AF31"/>
    <mergeCell ref="C32:E32"/>
    <mergeCell ref="F32:L32"/>
    <mergeCell ref="M32:T32"/>
    <mergeCell ref="U32:V32"/>
    <mergeCell ref="W32:AC32"/>
    <mergeCell ref="AD32:AF32"/>
    <mergeCell ref="C33:E33"/>
    <mergeCell ref="F33:L33"/>
    <mergeCell ref="M33:T33"/>
    <mergeCell ref="U33:V33"/>
    <mergeCell ref="W33:AC33"/>
    <mergeCell ref="AD33:AF33"/>
    <mergeCell ref="C34:E34"/>
    <mergeCell ref="F34:L34"/>
    <mergeCell ref="M34:T34"/>
    <mergeCell ref="U34:V34"/>
    <mergeCell ref="W34:AC34"/>
    <mergeCell ref="AD34:AF34"/>
    <mergeCell ref="C35:E35"/>
    <mergeCell ref="F35:L35"/>
    <mergeCell ref="M35:T35"/>
    <mergeCell ref="U35:V35"/>
    <mergeCell ref="W35:AC35"/>
    <mergeCell ref="AD35:AF35"/>
    <mergeCell ref="C36:E36"/>
    <mergeCell ref="F36:L36"/>
    <mergeCell ref="M36:T36"/>
    <mergeCell ref="U36:V36"/>
    <mergeCell ref="W36:AC36"/>
    <mergeCell ref="AD36:AF36"/>
    <mergeCell ref="C37:E37"/>
    <mergeCell ref="F37:L37"/>
    <mergeCell ref="M37:T37"/>
    <mergeCell ref="U37:V37"/>
    <mergeCell ref="W37:AC37"/>
    <mergeCell ref="AD37:AF37"/>
    <mergeCell ref="C38:E38"/>
    <mergeCell ref="F38:L38"/>
    <mergeCell ref="M38:T38"/>
    <mergeCell ref="U38:V38"/>
    <mergeCell ref="W38:AC38"/>
    <mergeCell ref="AD38:AF38"/>
    <mergeCell ref="C39:E39"/>
    <mergeCell ref="F39:L39"/>
    <mergeCell ref="M39:T39"/>
    <mergeCell ref="U39:V39"/>
    <mergeCell ref="W39:AC39"/>
    <mergeCell ref="AD39:AF39"/>
    <mergeCell ref="C40:E40"/>
    <mergeCell ref="F40:L40"/>
    <mergeCell ref="M40:T40"/>
    <mergeCell ref="U40:V40"/>
    <mergeCell ref="W40:AC40"/>
    <mergeCell ref="AD40:AF40"/>
    <mergeCell ref="C41:E41"/>
    <mergeCell ref="F41:L41"/>
    <mergeCell ref="M41:T41"/>
    <mergeCell ref="U41:V41"/>
    <mergeCell ref="W41:AC41"/>
    <mergeCell ref="AD41:AF41"/>
    <mergeCell ref="C42:E42"/>
    <mergeCell ref="F42:L42"/>
    <mergeCell ref="M42:T42"/>
    <mergeCell ref="U42:V42"/>
    <mergeCell ref="W42:AC42"/>
    <mergeCell ref="AD42:AF42"/>
    <mergeCell ref="C43:E43"/>
    <mergeCell ref="F43:L43"/>
    <mergeCell ref="M43:T43"/>
    <mergeCell ref="U43:V43"/>
    <mergeCell ref="W43:AC43"/>
    <mergeCell ref="AD43:AF43"/>
    <mergeCell ref="C44:E44"/>
    <mergeCell ref="F44:L44"/>
    <mergeCell ref="M44:T44"/>
    <mergeCell ref="U44:V44"/>
    <mergeCell ref="W44:AC44"/>
    <mergeCell ref="AD44:AF44"/>
    <mergeCell ref="C45:E45"/>
    <mergeCell ref="F45:L45"/>
    <mergeCell ref="M45:T45"/>
    <mergeCell ref="U45:V45"/>
    <mergeCell ref="W45:AC45"/>
    <mergeCell ref="AD45:AF45"/>
    <mergeCell ref="C46:E46"/>
    <mergeCell ref="F46:L46"/>
    <mergeCell ref="M46:T46"/>
    <mergeCell ref="U46:V46"/>
    <mergeCell ref="W46:AC46"/>
    <mergeCell ref="AD46:AF46"/>
    <mergeCell ref="C47:E47"/>
    <mergeCell ref="F47:L47"/>
    <mergeCell ref="M47:T47"/>
    <mergeCell ref="U47:V47"/>
    <mergeCell ref="W47:AC47"/>
    <mergeCell ref="AD47:AF47"/>
    <mergeCell ref="C48:E48"/>
    <mergeCell ref="F48:L48"/>
    <mergeCell ref="M48:T48"/>
    <mergeCell ref="U48:V48"/>
    <mergeCell ref="W48:AC48"/>
    <mergeCell ref="AD48:AF48"/>
    <mergeCell ref="C49:E49"/>
    <mergeCell ref="F49:L49"/>
    <mergeCell ref="M49:T49"/>
    <mergeCell ref="U49:V49"/>
    <mergeCell ref="W49:AC49"/>
    <mergeCell ref="AD49:AF49"/>
    <mergeCell ref="C50:E50"/>
    <mergeCell ref="F50:L50"/>
    <mergeCell ref="M50:T50"/>
    <mergeCell ref="U50:V50"/>
    <mergeCell ref="W50:AC50"/>
    <mergeCell ref="AD50:AF50"/>
    <mergeCell ref="C51:E51"/>
    <mergeCell ref="F51:L51"/>
    <mergeCell ref="M51:T51"/>
    <mergeCell ref="U51:V51"/>
    <mergeCell ref="W51:AC51"/>
    <mergeCell ref="AD51:AF51"/>
    <mergeCell ref="B52:T52"/>
    <mergeCell ref="U52:V52"/>
    <mergeCell ref="W52:AC52"/>
    <mergeCell ref="AD52:AF52"/>
    <mergeCell ref="B54:AK54"/>
    <mergeCell ref="B56:C56"/>
    <mergeCell ref="D56:F56"/>
    <mergeCell ref="G56:L56"/>
    <mergeCell ref="M56:N56"/>
    <mergeCell ref="O56:Q56"/>
    <mergeCell ref="R56:AK56"/>
    <mergeCell ref="B57:C57"/>
    <mergeCell ref="D57:F57"/>
    <mergeCell ref="G57:L57"/>
    <mergeCell ref="M57:N57"/>
    <mergeCell ref="O57:Q57"/>
    <mergeCell ref="R57:AK57"/>
    <mergeCell ref="B58:C58"/>
    <mergeCell ref="D58:F58"/>
    <mergeCell ref="G58:L58"/>
    <mergeCell ref="M58:N58"/>
    <mergeCell ref="O58:Q58"/>
    <mergeCell ref="R58:AK58"/>
    <mergeCell ref="B59:C59"/>
    <mergeCell ref="D59:F59"/>
    <mergeCell ref="G59:L59"/>
    <mergeCell ref="M59:N59"/>
    <mergeCell ref="O59:Q59"/>
    <mergeCell ref="R59:AK59"/>
    <mergeCell ref="B60:C60"/>
    <mergeCell ref="D60:F60"/>
    <mergeCell ref="G60:L60"/>
    <mergeCell ref="M60:N60"/>
    <mergeCell ref="O60:Q60"/>
    <mergeCell ref="R60:AK60"/>
    <mergeCell ref="B61:C61"/>
    <mergeCell ref="D61:F61"/>
    <mergeCell ref="G61:L61"/>
    <mergeCell ref="M61:N61"/>
    <mergeCell ref="O61:Q61"/>
    <mergeCell ref="R61:AK61"/>
    <mergeCell ref="B62:C62"/>
    <mergeCell ref="D62:F62"/>
    <mergeCell ref="G62:L62"/>
    <mergeCell ref="M62:N62"/>
    <mergeCell ref="O62:Q62"/>
    <mergeCell ref="R62:AK62"/>
    <mergeCell ref="B64:AK64"/>
    <mergeCell ref="J2:P3"/>
    <mergeCell ref="Q2:U3"/>
    <mergeCell ref="V2:Y3"/>
    <mergeCell ref="Z2:AC3"/>
    <mergeCell ref="AD2:AG3"/>
    <mergeCell ref="AH2:AK3"/>
    <mergeCell ref="A2:I3"/>
  </mergeCells>
  <pageMargins left="0.75" right="0.75" top="1" bottom="1" header="0" footer="0"/>
  <pageSetup paperSize="1" orientation="landscape"/>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Q1000"/>
  <sheetViews>
    <sheetView showGridLines="0" tabSelected="1" zoomScale="85" zoomScaleNormal="85" topLeftCell="A49" workbookViewId="0">
      <selection activeCell="AT57" sqref="AT57"/>
    </sheetView>
  </sheetViews>
  <sheetFormatPr defaultColWidth="14.4285714285714" defaultRowHeight="15" customHeight="1"/>
  <cols>
    <col min="1" max="69" width="4" customWidth="1"/>
  </cols>
  <sheetData>
    <row r="1" ht="22.5" customHeight="1" spans="1:69">
      <c r="A1" s="1" t="s">
        <v>239</v>
      </c>
      <c r="B1" s="2"/>
      <c r="C1" s="2"/>
      <c r="D1" s="2"/>
      <c r="E1" s="3"/>
      <c r="F1" s="4" t="s">
        <v>240</v>
      </c>
      <c r="G1" s="2"/>
      <c r="H1" s="2"/>
      <c r="I1" s="2"/>
      <c r="J1" s="2"/>
      <c r="K1" s="2"/>
      <c r="L1" s="2"/>
      <c r="M1" s="2"/>
      <c r="N1" s="2"/>
      <c r="O1" s="2"/>
      <c r="P1" s="2"/>
      <c r="Q1" s="3"/>
      <c r="R1" s="1" t="s">
        <v>241</v>
      </c>
      <c r="S1" s="2"/>
      <c r="T1" s="2"/>
      <c r="U1" s="2"/>
      <c r="V1" s="3"/>
      <c r="W1" s="4" t="s">
        <v>242</v>
      </c>
      <c r="X1" s="2"/>
      <c r="Y1" s="2"/>
      <c r="Z1" s="2"/>
      <c r="AA1" s="2"/>
      <c r="AB1" s="2"/>
      <c r="AC1" s="2"/>
      <c r="AD1" s="2"/>
      <c r="AE1" s="2"/>
      <c r="AF1" s="2"/>
      <c r="AG1" s="2"/>
      <c r="AH1" s="3"/>
    </row>
    <row r="2" ht="22.5" customHeight="1" spans="1:69">
      <c r="A2" s="1" t="s">
        <v>23</v>
      </c>
      <c r="B2" s="2"/>
      <c r="C2" s="2"/>
      <c r="D2" s="2"/>
      <c r="E2" s="3"/>
      <c r="F2" s="4" t="s">
        <v>16</v>
      </c>
      <c r="G2" s="2"/>
      <c r="H2" s="2"/>
      <c r="I2" s="2"/>
      <c r="J2" s="2"/>
      <c r="K2" s="2"/>
      <c r="L2" s="2"/>
      <c r="M2" s="2"/>
      <c r="N2" s="2"/>
      <c r="O2" s="2"/>
      <c r="P2" s="2"/>
      <c r="Q2" s="3"/>
      <c r="R2" s="1" t="s">
        <v>22</v>
      </c>
      <c r="S2" s="2"/>
      <c r="T2" s="2"/>
      <c r="U2" s="2"/>
      <c r="V2" s="3"/>
      <c r="W2" s="5" t="s">
        <v>8</v>
      </c>
      <c r="X2" s="2"/>
      <c r="Y2" s="2"/>
      <c r="Z2" s="2"/>
      <c r="AA2" s="2"/>
      <c r="AB2" s="2"/>
      <c r="AC2" s="2"/>
      <c r="AD2" s="2"/>
      <c r="AE2" s="2"/>
      <c r="AF2" s="2"/>
      <c r="AG2" s="2"/>
      <c r="AH2" s="3"/>
    </row>
    <row r="3" ht="22.5" customHeight="1" spans="1:69">
      <c r="A3" s="1" t="s">
        <v>13</v>
      </c>
      <c r="B3" s="2"/>
      <c r="C3" s="2"/>
      <c r="D3" s="2"/>
      <c r="E3" s="3"/>
      <c r="F3" s="4" t="s">
        <v>18</v>
      </c>
      <c r="G3" s="2"/>
      <c r="H3" s="2"/>
      <c r="I3" s="2"/>
      <c r="J3" s="2"/>
      <c r="K3" s="2"/>
      <c r="L3" s="2"/>
      <c r="M3" s="2"/>
      <c r="N3" s="2"/>
      <c r="O3" s="2"/>
      <c r="P3" s="2"/>
      <c r="Q3" s="3"/>
      <c r="R3" s="1" t="s">
        <v>243</v>
      </c>
      <c r="S3" s="2"/>
      <c r="T3" s="2"/>
      <c r="U3" s="2"/>
      <c r="V3" s="3"/>
      <c r="W3" s="5"/>
      <c r="X3" s="2"/>
      <c r="Y3" s="2"/>
      <c r="Z3" s="2"/>
      <c r="AA3" s="2"/>
      <c r="AB3" s="2"/>
      <c r="AC3" s="2"/>
      <c r="AD3" s="2"/>
      <c r="AE3" s="2"/>
      <c r="AF3" s="2"/>
      <c r="AG3" s="2"/>
      <c r="AH3" s="3"/>
    </row>
    <row r="4" ht="22.5" customHeight="1" spans="1:69">
      <c r="A4" s="1" t="s">
        <v>244</v>
      </c>
      <c r="B4" s="2"/>
      <c r="C4" s="2"/>
      <c r="D4" s="2"/>
      <c r="E4" s="3"/>
      <c r="F4" s="4" t="s">
        <v>245</v>
      </c>
      <c r="G4" s="2"/>
      <c r="H4" s="2"/>
      <c r="I4" s="2"/>
      <c r="J4" s="2"/>
      <c r="K4" s="2"/>
      <c r="L4" s="2"/>
      <c r="M4" s="2"/>
      <c r="N4" s="2"/>
      <c r="O4" s="2"/>
      <c r="P4" s="2"/>
      <c r="Q4" s="2"/>
      <c r="R4" s="2"/>
      <c r="S4" s="2"/>
      <c r="T4" s="2"/>
      <c r="U4" s="2"/>
      <c r="V4" s="2"/>
      <c r="W4" s="2"/>
      <c r="X4" s="2"/>
      <c r="Y4" s="2"/>
      <c r="Z4" s="2"/>
      <c r="AA4" s="2"/>
      <c r="AB4" s="2"/>
      <c r="AC4" s="2"/>
      <c r="AD4" s="2"/>
      <c r="AE4" s="2"/>
      <c r="AF4" s="2"/>
      <c r="AG4" s="2"/>
      <c r="AH4" s="3"/>
    </row>
    <row r="5" ht="22.5" customHeight="1" spans="1:69">
      <c r="A5" s="1" t="s">
        <v>246</v>
      </c>
      <c r="B5" s="2"/>
      <c r="C5" s="2"/>
      <c r="D5" s="2"/>
      <c r="E5" s="2"/>
      <c r="F5" s="2"/>
      <c r="G5" s="2"/>
      <c r="H5" s="2"/>
      <c r="I5" s="2"/>
      <c r="J5" s="2"/>
      <c r="K5" s="2"/>
      <c r="L5" s="2"/>
      <c r="M5" s="2"/>
      <c r="N5" s="2"/>
      <c r="O5" s="2"/>
      <c r="P5" s="2"/>
      <c r="Q5" s="2"/>
      <c r="R5" s="2"/>
      <c r="S5" s="3"/>
      <c r="T5" s="1" t="s">
        <v>59</v>
      </c>
      <c r="U5" s="2"/>
      <c r="V5" s="2"/>
      <c r="W5" s="2"/>
      <c r="X5" s="2"/>
      <c r="Y5" s="2"/>
      <c r="Z5" s="2"/>
      <c r="AA5" s="2"/>
      <c r="AB5" s="2"/>
      <c r="AC5" s="2"/>
      <c r="AD5" s="2"/>
      <c r="AE5" s="2"/>
      <c r="AF5" s="2"/>
      <c r="AG5" s="2"/>
      <c r="AH5" s="3"/>
    </row>
    <row r="6" ht="22.5" customHeight="1" spans="1:69">
      <c r="A6" s="1" t="s">
        <v>247</v>
      </c>
      <c r="B6" s="2"/>
      <c r="C6" s="2"/>
      <c r="D6" s="2"/>
      <c r="E6" s="2"/>
      <c r="F6" s="2"/>
      <c r="G6" s="3"/>
      <c r="H6" s="1" t="s">
        <v>60</v>
      </c>
      <c r="I6" s="2"/>
      <c r="J6" s="3"/>
      <c r="K6" s="1" t="s">
        <v>61</v>
      </c>
      <c r="L6" s="2"/>
      <c r="M6" s="3"/>
      <c r="N6" s="1" t="s">
        <v>248</v>
      </c>
      <c r="O6" s="2"/>
      <c r="P6" s="3"/>
      <c r="Q6" s="1" t="s">
        <v>58</v>
      </c>
      <c r="R6" s="2"/>
      <c r="S6" s="3"/>
      <c r="T6" s="1" t="s">
        <v>63</v>
      </c>
      <c r="U6" s="2"/>
      <c r="V6" s="3"/>
      <c r="W6" s="1" t="s">
        <v>64</v>
      </c>
      <c r="X6" s="2"/>
      <c r="Y6" s="3"/>
      <c r="Z6" s="1" t="s">
        <v>65</v>
      </c>
      <c r="AA6" s="2"/>
      <c r="AB6" s="3"/>
      <c r="AC6" s="1" t="s">
        <v>66</v>
      </c>
      <c r="AD6" s="2"/>
      <c r="AE6" s="3"/>
      <c r="AF6" s="1" t="s">
        <v>58</v>
      </c>
      <c r="AG6" s="2"/>
      <c r="AH6" s="3"/>
    </row>
    <row r="7" ht="22.5" customHeight="1" spans="1:69">
      <c r="A7" s="1" t="s">
        <v>249</v>
      </c>
      <c r="B7" s="2"/>
      <c r="C7" s="2"/>
      <c r="D7" s="2"/>
      <c r="E7" s="2"/>
      <c r="F7" s="2"/>
      <c r="G7" s="3"/>
      <c r="H7" s="6">
        <f t="shared" ref="H7:H8" si="0">COUNTIF($AE$12:$AF$1049,"N")</f>
        <v>16</v>
      </c>
      <c r="I7" s="2"/>
      <c r="J7" s="3"/>
      <c r="K7" s="6">
        <f t="shared" ref="K7:K8" si="1">COUNTIF($AE$12:$AF$1049,"A")</f>
        <v>15</v>
      </c>
      <c r="L7" s="2"/>
      <c r="M7" s="3"/>
      <c r="N7" s="6">
        <f t="shared" ref="N7:N8" si="2">COUNTIF($AE$12:$AF$1049,"B")</f>
        <v>2</v>
      </c>
      <c r="O7" s="2"/>
      <c r="P7" s="3"/>
      <c r="Q7" s="7">
        <f t="shared" ref="Q7:Q8" si="3">SUM(H7:P7)</f>
        <v>33</v>
      </c>
      <c r="R7" s="2"/>
      <c r="S7" s="3"/>
      <c r="T7" s="6">
        <f>COUNTIF($AG$12:$AI$1049,T$6)</f>
        <v>23</v>
      </c>
      <c r="U7" s="2"/>
      <c r="V7" s="3"/>
      <c r="W7" s="6">
        <f>COUNTIF($AG$12:$AI$1049,W$6)</f>
        <v>0</v>
      </c>
      <c r="X7" s="2"/>
      <c r="Y7" s="3"/>
      <c r="Z7" s="6">
        <f>COUNTIF($AG$12:$AI$1049,Z$6)</f>
        <v>1</v>
      </c>
      <c r="AA7" s="2"/>
      <c r="AB7" s="3"/>
      <c r="AC7" s="6">
        <f>COUNTIF($AG$12:$AI$1049,AC$6)</f>
        <v>9</v>
      </c>
      <c r="AD7" s="2"/>
      <c r="AE7" s="3"/>
      <c r="AF7" s="7">
        <f t="shared" ref="AF7:AF8" si="4">SUM(T7:AE7)</f>
        <v>33</v>
      </c>
      <c r="AG7" s="2"/>
      <c r="AH7" s="3"/>
    </row>
    <row r="8" ht="22.5" customHeight="1" spans="1:69">
      <c r="A8" s="1" t="s">
        <v>250</v>
      </c>
      <c r="B8" s="2"/>
      <c r="C8" s="2"/>
      <c r="D8" s="2"/>
      <c r="E8" s="2"/>
      <c r="F8" s="2"/>
      <c r="G8" s="3"/>
      <c r="H8" s="6">
        <f t="shared" si="0"/>
        <v>16</v>
      </c>
      <c r="I8" s="2"/>
      <c r="J8" s="3"/>
      <c r="K8" s="6">
        <f t="shared" si="1"/>
        <v>15</v>
      </c>
      <c r="L8" s="2"/>
      <c r="M8" s="3"/>
      <c r="N8" s="6">
        <f t="shared" si="2"/>
        <v>2</v>
      </c>
      <c r="O8" s="2"/>
      <c r="P8" s="3"/>
      <c r="Q8" s="7">
        <f t="shared" si="3"/>
        <v>33</v>
      </c>
      <c r="R8" s="2"/>
      <c r="S8" s="3"/>
      <c r="T8" s="6">
        <f>COUNTIF($AV$12:$AX$1049,T$6)</f>
        <v>23</v>
      </c>
      <c r="U8" s="2"/>
      <c r="V8" s="3"/>
      <c r="W8" s="6">
        <f>COUNTIF($AV$12:$AX$1049,W$6)</f>
        <v>0</v>
      </c>
      <c r="X8" s="2"/>
      <c r="Y8" s="3"/>
      <c r="Z8" s="6">
        <f>COUNTIF($AV$12:$AX$1049,Z$6)</f>
        <v>1</v>
      </c>
      <c r="AA8" s="2"/>
      <c r="AB8" s="3"/>
      <c r="AC8" s="6">
        <f>COUNTIF($AV$12:$AX$1049,AC$6)</f>
        <v>9</v>
      </c>
      <c r="AD8" s="2"/>
      <c r="AE8" s="3"/>
      <c r="AF8" s="7">
        <f t="shared" si="4"/>
        <v>33</v>
      </c>
      <c r="AG8" s="2"/>
      <c r="AH8" s="3"/>
    </row>
    <row r="9" ht="12.75" customHeight="1"/>
    <row r="10" ht="36" customHeight="1" spans="1:69">
      <c r="A10" s="8" t="s">
        <v>55</v>
      </c>
      <c r="B10" s="9" t="s">
        <v>251</v>
      </c>
      <c r="C10" s="10"/>
      <c r="D10" s="11"/>
      <c r="E10" s="9" t="s">
        <v>252</v>
      </c>
      <c r="F10" s="10"/>
      <c r="G10" s="10"/>
      <c r="H10" s="10"/>
      <c r="I10" s="11"/>
      <c r="J10" s="9" t="s">
        <v>253</v>
      </c>
      <c r="K10" s="10"/>
      <c r="L10" s="10"/>
      <c r="M10" s="10"/>
      <c r="N10" s="10"/>
      <c r="O10" s="10"/>
      <c r="P10" s="11"/>
      <c r="Q10" s="9" t="s">
        <v>254</v>
      </c>
      <c r="R10" s="10"/>
      <c r="S10" s="10"/>
      <c r="T10" s="10"/>
      <c r="U10" s="10"/>
      <c r="V10" s="10"/>
      <c r="W10" s="11"/>
      <c r="X10" s="9" t="s">
        <v>255</v>
      </c>
      <c r="Y10" s="10"/>
      <c r="Z10" s="10"/>
      <c r="AA10" s="10"/>
      <c r="AB10" s="10"/>
      <c r="AC10" s="10"/>
      <c r="AD10" s="11"/>
      <c r="AE10" s="9" t="s">
        <v>256</v>
      </c>
      <c r="AF10" s="11"/>
      <c r="AG10" s="1" t="s">
        <v>257</v>
      </c>
      <c r="AH10" s="2"/>
      <c r="AI10" s="2"/>
      <c r="AJ10" s="2"/>
      <c r="AK10" s="2"/>
      <c r="AL10" s="2"/>
      <c r="AM10" s="2"/>
      <c r="AN10" s="2"/>
      <c r="AO10" s="2"/>
      <c r="AP10" s="2"/>
      <c r="AQ10" s="2"/>
      <c r="AR10" s="2"/>
      <c r="AS10" s="2"/>
      <c r="AT10" s="2"/>
      <c r="AU10" s="3"/>
      <c r="AV10" s="1" t="s">
        <v>258</v>
      </c>
      <c r="AW10" s="2"/>
      <c r="AX10" s="2"/>
      <c r="AY10" s="2"/>
      <c r="AZ10" s="2"/>
      <c r="BA10" s="2"/>
      <c r="BB10" s="2"/>
      <c r="BC10" s="2"/>
      <c r="BD10" s="2"/>
      <c r="BE10" s="2"/>
      <c r="BF10" s="2"/>
      <c r="BG10" s="2"/>
      <c r="BH10" s="2"/>
      <c r="BI10" s="2"/>
      <c r="BJ10" s="3"/>
      <c r="BK10" s="9" t="s">
        <v>259</v>
      </c>
      <c r="BL10" s="10"/>
      <c r="BM10" s="10"/>
      <c r="BN10" s="10"/>
      <c r="BO10" s="10"/>
      <c r="BP10" s="10"/>
      <c r="BQ10" s="11"/>
    </row>
    <row r="11" ht="36" customHeight="1" spans="1:69">
      <c r="A11" s="12"/>
      <c r="B11" s="13"/>
      <c r="C11" s="14"/>
      <c r="D11" s="15"/>
      <c r="E11" s="13"/>
      <c r="F11" s="14"/>
      <c r="G11" s="14"/>
      <c r="H11" s="14"/>
      <c r="I11" s="15"/>
      <c r="J11" s="13"/>
      <c r="K11" s="14"/>
      <c r="L11" s="14"/>
      <c r="M11" s="14"/>
      <c r="N11" s="14"/>
      <c r="O11" s="14"/>
      <c r="P11" s="15"/>
      <c r="Q11" s="13"/>
      <c r="R11" s="14"/>
      <c r="S11" s="14"/>
      <c r="T11" s="14"/>
      <c r="U11" s="14"/>
      <c r="V11" s="14"/>
      <c r="W11" s="15"/>
      <c r="X11" s="13"/>
      <c r="Y11" s="14"/>
      <c r="Z11" s="14"/>
      <c r="AA11" s="14"/>
      <c r="AB11" s="14"/>
      <c r="AC11" s="14"/>
      <c r="AD11" s="15"/>
      <c r="AE11" s="13"/>
      <c r="AF11" s="15"/>
      <c r="AG11" s="1" t="s">
        <v>260</v>
      </c>
      <c r="AH11" s="2"/>
      <c r="AI11" s="3"/>
      <c r="AJ11" s="1" t="s">
        <v>261</v>
      </c>
      <c r="AK11" s="2"/>
      <c r="AL11" s="3"/>
      <c r="AM11" s="1" t="s">
        <v>11</v>
      </c>
      <c r="AN11" s="2"/>
      <c r="AO11" s="3"/>
      <c r="AP11" s="1" t="s">
        <v>262</v>
      </c>
      <c r="AQ11" s="2"/>
      <c r="AR11" s="3"/>
      <c r="AS11" s="1" t="s">
        <v>263</v>
      </c>
      <c r="AT11" s="2"/>
      <c r="AU11" s="3"/>
      <c r="AV11" s="1" t="s">
        <v>260</v>
      </c>
      <c r="AW11" s="2"/>
      <c r="AX11" s="3"/>
      <c r="AY11" s="1" t="s">
        <v>261</v>
      </c>
      <c r="AZ11" s="2"/>
      <c r="BA11" s="3"/>
      <c r="BB11" s="1" t="s">
        <v>11</v>
      </c>
      <c r="BC11" s="2"/>
      <c r="BD11" s="3"/>
      <c r="BE11" s="1" t="s">
        <v>262</v>
      </c>
      <c r="BF11" s="2"/>
      <c r="BG11" s="3"/>
      <c r="BH11" s="1" t="s">
        <v>263</v>
      </c>
      <c r="BI11" s="2"/>
      <c r="BJ11" s="3"/>
      <c r="BK11" s="13"/>
      <c r="BL11" s="14"/>
      <c r="BM11" s="14"/>
      <c r="BN11" s="14"/>
      <c r="BO11" s="14"/>
      <c r="BP11" s="14"/>
      <c r="BQ11" s="15"/>
    </row>
    <row r="12" ht="22.5" customHeight="1" spans="1:69">
      <c r="A12" s="16" t="s">
        <v>264</v>
      </c>
      <c r="B12" s="2"/>
      <c r="C12" s="2"/>
      <c r="D12" s="2"/>
      <c r="E12" s="2"/>
      <c r="F12" s="2"/>
      <c r="G12" s="2"/>
      <c r="H12" s="2"/>
      <c r="I12" s="2"/>
      <c r="J12" s="2"/>
      <c r="K12" s="2"/>
      <c r="L12" s="2"/>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c r="AU12" s="2"/>
      <c r="AV12" s="2"/>
      <c r="AW12" s="2"/>
      <c r="AX12" s="2"/>
      <c r="AY12" s="2"/>
      <c r="AZ12" s="2"/>
      <c r="BA12" s="2"/>
      <c r="BB12" s="2"/>
      <c r="BC12" s="2"/>
      <c r="BD12" s="2"/>
      <c r="BE12" s="2"/>
      <c r="BF12" s="2"/>
      <c r="BG12" s="2"/>
      <c r="BH12" s="2"/>
      <c r="BI12" s="2"/>
      <c r="BJ12" s="2"/>
      <c r="BK12" s="2"/>
      <c r="BL12" s="2"/>
      <c r="BM12" s="2"/>
      <c r="BN12" s="2"/>
      <c r="BO12" s="2"/>
      <c r="BP12" s="2"/>
      <c r="BQ12" s="3"/>
    </row>
    <row r="13" ht="336" customHeight="1" spans="1:69">
      <c r="A13" s="17">
        <v>1</v>
      </c>
      <c r="B13" s="18" t="s">
        <v>265</v>
      </c>
      <c r="C13" s="2"/>
      <c r="D13" s="3"/>
      <c r="E13" s="18" t="s">
        <v>266</v>
      </c>
      <c r="F13" s="2"/>
      <c r="G13" s="2"/>
      <c r="H13" s="2"/>
      <c r="I13" s="3"/>
      <c r="J13" s="18" t="s">
        <v>267</v>
      </c>
      <c r="K13" s="2"/>
      <c r="L13" s="2"/>
      <c r="M13" s="2"/>
      <c r="N13" s="2"/>
      <c r="O13" s="2"/>
      <c r="P13" s="3"/>
      <c r="Q13" s="18" t="s">
        <v>268</v>
      </c>
      <c r="R13" s="2"/>
      <c r="S13" s="2"/>
      <c r="T13" s="2"/>
      <c r="U13" s="2"/>
      <c r="V13" s="2"/>
      <c r="W13" s="3"/>
      <c r="X13" s="18" t="s">
        <v>269</v>
      </c>
      <c r="Y13" s="2"/>
      <c r="Z13" s="2"/>
      <c r="AA13" s="2"/>
      <c r="AB13" s="2"/>
      <c r="AC13" s="2"/>
      <c r="AD13" s="3"/>
      <c r="AE13" s="19" t="s">
        <v>213</v>
      </c>
      <c r="AF13" s="3"/>
      <c r="AG13" s="19" t="s">
        <v>63</v>
      </c>
      <c r="AH13" s="2"/>
      <c r="AI13" s="3"/>
      <c r="AJ13" s="19"/>
      <c r="AK13" s="2"/>
      <c r="AL13" s="3"/>
      <c r="AM13" s="19" t="s">
        <v>270</v>
      </c>
      <c r="AN13" s="2"/>
      <c r="AO13" s="3"/>
      <c r="AP13" s="20">
        <v>46182</v>
      </c>
      <c r="AQ13" s="2"/>
      <c r="AR13" s="3"/>
      <c r="AS13" s="19"/>
      <c r="AT13" s="2"/>
      <c r="AU13" s="3"/>
      <c r="AV13" s="19" t="s">
        <v>63</v>
      </c>
      <c r="AW13" s="2"/>
      <c r="AX13" s="3"/>
      <c r="AY13" s="19"/>
      <c r="AZ13" s="2"/>
      <c r="BA13" s="3"/>
      <c r="BB13" s="19" t="s">
        <v>271</v>
      </c>
      <c r="BC13" s="2"/>
      <c r="BD13" s="3"/>
      <c r="BE13" s="21">
        <v>46240</v>
      </c>
      <c r="BF13" s="2"/>
      <c r="BG13" s="3"/>
      <c r="BK13" s="18" t="s">
        <v>272</v>
      </c>
      <c r="BL13" s="2"/>
      <c r="BM13" s="2"/>
      <c r="BN13" s="2"/>
      <c r="BO13" s="2"/>
      <c r="BP13" s="2"/>
      <c r="BQ13" s="3"/>
    </row>
    <row r="14" ht="319.5" customHeight="1" spans="1:69">
      <c r="A14" s="17">
        <v>2</v>
      </c>
      <c r="B14" s="18" t="s">
        <v>273</v>
      </c>
      <c r="C14" s="2"/>
      <c r="D14" s="3"/>
      <c r="E14" s="18" t="s">
        <v>274</v>
      </c>
      <c r="F14" s="2"/>
      <c r="G14" s="2"/>
      <c r="H14" s="2"/>
      <c r="I14" s="3"/>
      <c r="J14" s="18" t="s">
        <v>275</v>
      </c>
      <c r="K14" s="2"/>
      <c r="L14" s="2"/>
      <c r="M14" s="2"/>
      <c r="N14" s="2"/>
      <c r="O14" s="2"/>
      <c r="P14" s="3"/>
      <c r="Q14" s="18" t="s">
        <v>276</v>
      </c>
      <c r="R14" s="2"/>
      <c r="S14" s="2"/>
      <c r="T14" s="2"/>
      <c r="U14" s="2"/>
      <c r="V14" s="2"/>
      <c r="W14" s="3"/>
      <c r="X14" s="18" t="s">
        <v>277</v>
      </c>
      <c r="Y14" s="2"/>
      <c r="Z14" s="2"/>
      <c r="AA14" s="2"/>
      <c r="AB14" s="2"/>
      <c r="AC14" s="2"/>
      <c r="AD14" s="3"/>
      <c r="AE14" s="19" t="s">
        <v>213</v>
      </c>
      <c r="AF14" s="3"/>
      <c r="AG14" s="19" t="s">
        <v>63</v>
      </c>
      <c r="AH14" s="2"/>
      <c r="AI14" s="3"/>
      <c r="AJ14" s="19"/>
      <c r="AK14" s="2"/>
      <c r="AL14" s="3"/>
      <c r="AM14" s="19" t="s">
        <v>270</v>
      </c>
      <c r="AN14" s="2"/>
      <c r="AO14" s="3"/>
      <c r="AP14" s="20">
        <v>46182</v>
      </c>
      <c r="AQ14" s="2"/>
      <c r="AR14" s="3"/>
      <c r="AS14" s="19"/>
      <c r="AT14" s="2"/>
      <c r="AU14" s="3"/>
      <c r="AV14" s="19" t="s">
        <v>63</v>
      </c>
      <c r="AW14" s="2"/>
      <c r="AX14" s="3"/>
      <c r="AY14" s="19"/>
      <c r="AZ14" s="2"/>
      <c r="BA14" s="3"/>
      <c r="BB14" s="19" t="s">
        <v>271</v>
      </c>
      <c r="BC14" s="2"/>
      <c r="BD14" s="3"/>
      <c r="BE14" s="21">
        <v>46240</v>
      </c>
      <c r="BF14" s="2"/>
      <c r="BG14" s="3"/>
      <c r="BH14" s="19"/>
      <c r="BI14" s="2"/>
      <c r="BJ14" s="3"/>
      <c r="BK14" s="18"/>
      <c r="BL14" s="2"/>
      <c r="BM14" s="2"/>
      <c r="BN14" s="2"/>
      <c r="BO14" s="2"/>
      <c r="BP14" s="2"/>
      <c r="BQ14" s="3"/>
    </row>
    <row r="15" ht="288" customHeight="1" spans="1:69">
      <c r="A15" s="17">
        <v>3</v>
      </c>
      <c r="B15" s="18" t="s">
        <v>278</v>
      </c>
      <c r="C15" s="2"/>
      <c r="D15" s="3"/>
      <c r="E15" s="18" t="s">
        <v>279</v>
      </c>
      <c r="F15" s="2"/>
      <c r="G15" s="2"/>
      <c r="H15" s="2"/>
      <c r="I15" s="3"/>
      <c r="J15" s="18" t="s">
        <v>280</v>
      </c>
      <c r="K15" s="2"/>
      <c r="L15" s="2"/>
      <c r="M15" s="2"/>
      <c r="N15" s="2"/>
      <c r="O15" s="2"/>
      <c r="P15" s="3"/>
      <c r="Q15" s="18" t="s">
        <v>281</v>
      </c>
      <c r="R15" s="2"/>
      <c r="S15" s="2"/>
      <c r="T15" s="2"/>
      <c r="U15" s="2"/>
      <c r="V15" s="2"/>
      <c r="W15" s="3"/>
      <c r="X15" s="18" t="s">
        <v>282</v>
      </c>
      <c r="Y15" s="2"/>
      <c r="Z15" s="2"/>
      <c r="AA15" s="2"/>
      <c r="AB15" s="2"/>
      <c r="AC15" s="2"/>
      <c r="AD15" s="3"/>
      <c r="AE15" s="19" t="s">
        <v>283</v>
      </c>
      <c r="AF15" s="3"/>
      <c r="AG15" s="22" t="s">
        <v>63</v>
      </c>
      <c r="AH15" s="2"/>
      <c r="AI15" s="3"/>
      <c r="AJ15" s="23"/>
      <c r="AK15" s="2"/>
      <c r="AL15" s="3"/>
      <c r="AM15" s="22" t="s">
        <v>270</v>
      </c>
      <c r="AN15" s="2"/>
      <c r="AO15" s="3"/>
      <c r="AP15" s="24">
        <v>46182</v>
      </c>
      <c r="AQ15" s="2"/>
      <c r="AR15" s="3"/>
      <c r="AS15" s="19"/>
      <c r="AT15" s="2"/>
      <c r="AU15" s="3"/>
      <c r="AV15" s="19" t="s">
        <v>63</v>
      </c>
      <c r="AW15" s="2"/>
      <c r="AX15" s="3"/>
      <c r="AY15" s="19"/>
      <c r="AZ15" s="2"/>
      <c r="BA15" s="3"/>
      <c r="BB15" s="19" t="s">
        <v>271</v>
      </c>
      <c r="BC15" s="2"/>
      <c r="BD15" s="3"/>
      <c r="BE15" s="21">
        <v>46240</v>
      </c>
      <c r="BF15" s="2"/>
      <c r="BG15" s="3"/>
      <c r="BH15" s="19"/>
      <c r="BI15" s="2"/>
      <c r="BJ15" s="3"/>
      <c r="BK15" s="18"/>
      <c r="BL15" s="2"/>
      <c r="BM15" s="2"/>
      <c r="BN15" s="2"/>
      <c r="BO15" s="2"/>
      <c r="BP15" s="2"/>
      <c r="BQ15" s="3"/>
    </row>
    <row r="16" ht="288" customHeight="1" spans="1:69">
      <c r="A16" s="17">
        <v>4</v>
      </c>
      <c r="B16" s="18" t="s">
        <v>284</v>
      </c>
      <c r="C16" s="2"/>
      <c r="D16" s="3"/>
      <c r="E16" s="18" t="s">
        <v>285</v>
      </c>
      <c r="F16" s="2"/>
      <c r="G16" s="2"/>
      <c r="H16" s="2"/>
      <c r="I16" s="3"/>
      <c r="J16" s="18" t="s">
        <v>286</v>
      </c>
      <c r="K16" s="2"/>
      <c r="L16" s="2"/>
      <c r="M16" s="2"/>
      <c r="N16" s="2"/>
      <c r="O16" s="2"/>
      <c r="P16" s="3"/>
      <c r="Q16" s="18" t="s">
        <v>281</v>
      </c>
      <c r="R16" s="2"/>
      <c r="S16" s="2"/>
      <c r="T16" s="2"/>
      <c r="U16" s="2"/>
      <c r="V16" s="2"/>
      <c r="W16" s="3"/>
      <c r="X16" s="18" t="s">
        <v>287</v>
      </c>
      <c r="Y16" s="2"/>
      <c r="Z16" s="2"/>
      <c r="AA16" s="2"/>
      <c r="AB16" s="2"/>
      <c r="AC16" s="2"/>
      <c r="AD16" s="3"/>
      <c r="AE16" s="19" t="s">
        <v>283</v>
      </c>
      <c r="AF16" s="3"/>
      <c r="AG16" s="22" t="s">
        <v>63</v>
      </c>
      <c r="AH16" s="2"/>
      <c r="AI16" s="3"/>
      <c r="AJ16" s="23"/>
      <c r="AK16" s="2"/>
      <c r="AL16" s="3"/>
      <c r="AM16" s="22" t="s">
        <v>270</v>
      </c>
      <c r="AN16" s="2"/>
      <c r="AO16" s="3"/>
      <c r="AP16" s="24">
        <v>46182</v>
      </c>
      <c r="AQ16" s="2"/>
      <c r="AR16" s="3"/>
      <c r="AS16" s="19"/>
      <c r="AT16" s="2"/>
      <c r="AU16" s="3"/>
      <c r="AV16" s="19" t="s">
        <v>63</v>
      </c>
      <c r="AW16" s="2"/>
      <c r="AX16" s="3"/>
      <c r="AY16" s="19"/>
      <c r="AZ16" s="2"/>
      <c r="BA16" s="3"/>
      <c r="BB16" s="19" t="s">
        <v>271</v>
      </c>
      <c r="BC16" s="2"/>
      <c r="BD16" s="3"/>
      <c r="BE16" s="21">
        <v>46240</v>
      </c>
      <c r="BF16" s="2"/>
      <c r="BG16" s="3"/>
      <c r="BH16" s="19"/>
      <c r="BI16" s="2"/>
      <c r="BJ16" s="3"/>
      <c r="BK16" s="18"/>
      <c r="BL16" s="2"/>
      <c r="BM16" s="2"/>
      <c r="BN16" s="2"/>
      <c r="BO16" s="2"/>
      <c r="BP16" s="2"/>
      <c r="BQ16" s="3"/>
    </row>
    <row r="17" ht="303.75" customHeight="1" spans="1:69">
      <c r="A17" s="17">
        <v>5</v>
      </c>
      <c r="B17" s="18" t="s">
        <v>288</v>
      </c>
      <c r="C17" s="2"/>
      <c r="D17" s="3"/>
      <c r="E17" s="18" t="s">
        <v>289</v>
      </c>
      <c r="F17" s="2"/>
      <c r="G17" s="2"/>
      <c r="H17" s="2"/>
      <c r="I17" s="3"/>
      <c r="J17" s="18" t="s">
        <v>290</v>
      </c>
      <c r="K17" s="2"/>
      <c r="L17" s="2"/>
      <c r="M17" s="2"/>
      <c r="N17" s="2"/>
      <c r="O17" s="2"/>
      <c r="P17" s="3"/>
      <c r="Q17" s="18" t="s">
        <v>281</v>
      </c>
      <c r="R17" s="2"/>
      <c r="S17" s="2"/>
      <c r="T17" s="2"/>
      <c r="U17" s="2"/>
      <c r="V17" s="2"/>
      <c r="W17" s="3"/>
      <c r="X17" s="18" t="s">
        <v>291</v>
      </c>
      <c r="Y17" s="2"/>
      <c r="Z17" s="2"/>
      <c r="AA17" s="2"/>
      <c r="AB17" s="2"/>
      <c r="AC17" s="2"/>
      <c r="AD17" s="3"/>
      <c r="AE17" s="19" t="s">
        <v>283</v>
      </c>
      <c r="AF17" s="3"/>
      <c r="AG17" s="22" t="s">
        <v>63</v>
      </c>
      <c r="AH17" s="2"/>
      <c r="AI17" s="3"/>
      <c r="AJ17" s="23"/>
      <c r="AK17" s="2"/>
      <c r="AL17" s="3"/>
      <c r="AM17" s="22" t="s">
        <v>270</v>
      </c>
      <c r="AN17" s="2"/>
      <c r="AO17" s="3"/>
      <c r="AP17" s="24">
        <v>46182</v>
      </c>
      <c r="AQ17" s="2"/>
      <c r="AR17" s="3"/>
      <c r="AS17" s="19"/>
      <c r="AT17" s="2"/>
      <c r="AU17" s="3"/>
      <c r="AV17" s="19" t="s">
        <v>63</v>
      </c>
      <c r="AW17" s="2"/>
      <c r="AX17" s="3"/>
      <c r="AY17" s="19"/>
      <c r="AZ17" s="2"/>
      <c r="BA17" s="3"/>
      <c r="BB17" s="19" t="s">
        <v>271</v>
      </c>
      <c r="BC17" s="2"/>
      <c r="BD17" s="3"/>
      <c r="BE17" s="21">
        <v>46240</v>
      </c>
      <c r="BF17" s="2"/>
      <c r="BG17" s="3"/>
      <c r="BH17" s="19"/>
      <c r="BI17" s="2"/>
      <c r="BJ17" s="3"/>
      <c r="BK17" s="18"/>
      <c r="BL17" s="2"/>
      <c r="BM17" s="2"/>
      <c r="BN17" s="2"/>
      <c r="BO17" s="2"/>
      <c r="BP17" s="2"/>
      <c r="BQ17" s="3"/>
    </row>
    <row r="18" ht="351.75" customHeight="1" spans="1:69">
      <c r="A18" s="17">
        <v>6</v>
      </c>
      <c r="B18" s="18" t="s">
        <v>292</v>
      </c>
      <c r="C18" s="2"/>
      <c r="D18" s="3"/>
      <c r="E18" s="18" t="s">
        <v>293</v>
      </c>
      <c r="F18" s="2"/>
      <c r="G18" s="2"/>
      <c r="H18" s="2"/>
      <c r="I18" s="3"/>
      <c r="J18" s="18" t="s">
        <v>294</v>
      </c>
      <c r="K18" s="2"/>
      <c r="L18" s="2"/>
      <c r="M18" s="2"/>
      <c r="N18" s="2"/>
      <c r="O18" s="2"/>
      <c r="P18" s="3"/>
      <c r="Q18" s="18" t="s">
        <v>295</v>
      </c>
      <c r="R18" s="2"/>
      <c r="S18" s="2"/>
      <c r="T18" s="2"/>
      <c r="U18" s="2"/>
      <c r="V18" s="2"/>
      <c r="W18" s="3"/>
      <c r="X18" s="18" t="s">
        <v>296</v>
      </c>
      <c r="Y18" s="2"/>
      <c r="Z18" s="2"/>
      <c r="AA18" s="2"/>
      <c r="AB18" s="2"/>
      <c r="AC18" s="2"/>
      <c r="AD18" s="3"/>
      <c r="AE18" s="19" t="s">
        <v>213</v>
      </c>
      <c r="AF18" s="3"/>
      <c r="AG18" s="22" t="s">
        <v>63</v>
      </c>
      <c r="AH18" s="2"/>
      <c r="AI18" s="3"/>
      <c r="AJ18" s="23"/>
      <c r="AK18" s="2"/>
      <c r="AL18" s="3"/>
      <c r="AM18" s="22" t="s">
        <v>270</v>
      </c>
      <c r="AN18" s="2"/>
      <c r="AO18" s="3"/>
      <c r="AP18" s="24">
        <v>46182</v>
      </c>
      <c r="AQ18" s="2"/>
      <c r="AR18" s="3"/>
      <c r="AS18" s="19"/>
      <c r="AT18" s="2"/>
      <c r="AU18" s="3"/>
      <c r="AV18" s="19" t="s">
        <v>63</v>
      </c>
      <c r="AW18" s="2"/>
      <c r="AX18" s="3"/>
      <c r="AY18" s="19"/>
      <c r="AZ18" s="2"/>
      <c r="BA18" s="3"/>
      <c r="BB18" s="19" t="s">
        <v>271</v>
      </c>
      <c r="BC18" s="2"/>
      <c r="BD18" s="3"/>
      <c r="BE18" s="21">
        <v>46240</v>
      </c>
      <c r="BF18" s="2"/>
      <c r="BG18" s="3"/>
      <c r="BH18" s="19"/>
      <c r="BI18" s="2"/>
      <c r="BJ18" s="3"/>
      <c r="BK18" s="18"/>
      <c r="BL18" s="2"/>
      <c r="BM18" s="2"/>
      <c r="BN18" s="2"/>
      <c r="BO18" s="2"/>
      <c r="BP18" s="2"/>
      <c r="BQ18" s="3"/>
    </row>
    <row r="19" ht="367.5" customHeight="1" spans="1:69">
      <c r="A19" s="17">
        <v>7</v>
      </c>
      <c r="B19" s="18" t="s">
        <v>297</v>
      </c>
      <c r="C19" s="2"/>
      <c r="D19" s="3"/>
      <c r="E19" s="18" t="s">
        <v>298</v>
      </c>
      <c r="F19" s="2"/>
      <c r="G19" s="2"/>
      <c r="H19" s="2"/>
      <c r="I19" s="3"/>
      <c r="J19" s="18" t="s">
        <v>299</v>
      </c>
      <c r="K19" s="2"/>
      <c r="L19" s="2"/>
      <c r="M19" s="2"/>
      <c r="N19" s="2"/>
      <c r="O19" s="2"/>
      <c r="P19" s="3"/>
      <c r="Q19" s="18" t="s">
        <v>300</v>
      </c>
      <c r="R19" s="2"/>
      <c r="S19" s="2"/>
      <c r="T19" s="2"/>
      <c r="U19" s="2"/>
      <c r="V19" s="2"/>
      <c r="W19" s="3"/>
      <c r="X19" s="18" t="s">
        <v>301</v>
      </c>
      <c r="Y19" s="2"/>
      <c r="Z19" s="2"/>
      <c r="AA19" s="2"/>
      <c r="AB19" s="2"/>
      <c r="AC19" s="2"/>
      <c r="AD19" s="3"/>
      <c r="AE19" s="19" t="s">
        <v>213</v>
      </c>
      <c r="AF19" s="3"/>
      <c r="AG19" s="22" t="s">
        <v>63</v>
      </c>
      <c r="AH19" s="2"/>
      <c r="AI19" s="3"/>
      <c r="AJ19" s="23"/>
      <c r="AK19" s="2"/>
      <c r="AL19" s="3"/>
      <c r="AM19" s="22" t="s">
        <v>270</v>
      </c>
      <c r="AN19" s="2"/>
      <c r="AO19" s="3"/>
      <c r="AP19" s="24">
        <v>46182</v>
      </c>
      <c r="AQ19" s="2"/>
      <c r="AR19" s="3"/>
      <c r="AS19" s="19"/>
      <c r="AT19" s="2"/>
      <c r="AU19" s="3"/>
      <c r="AV19" s="19" t="s">
        <v>63</v>
      </c>
      <c r="AW19" s="2"/>
      <c r="AX19" s="3"/>
      <c r="AY19" s="19"/>
      <c r="AZ19" s="2"/>
      <c r="BA19" s="3"/>
      <c r="BB19" s="19" t="s">
        <v>271</v>
      </c>
      <c r="BC19" s="2"/>
      <c r="BD19" s="3"/>
      <c r="BE19" s="21">
        <v>46240</v>
      </c>
      <c r="BF19" s="2"/>
      <c r="BG19" s="3"/>
      <c r="BH19" s="19"/>
      <c r="BI19" s="2"/>
      <c r="BJ19" s="3"/>
      <c r="BK19" s="18" t="s">
        <v>302</v>
      </c>
      <c r="BL19" s="2"/>
      <c r="BM19" s="2"/>
      <c r="BN19" s="2"/>
      <c r="BO19" s="2"/>
      <c r="BP19" s="2"/>
      <c r="BQ19" s="3"/>
    </row>
    <row r="20" ht="22.5" customHeight="1" spans="1:69">
      <c r="A20" s="16" t="s">
        <v>303</v>
      </c>
      <c r="B20" s="2"/>
      <c r="C20" s="2"/>
      <c r="D20" s="2"/>
      <c r="E20" s="2"/>
      <c r="F20" s="2"/>
      <c r="G20" s="2"/>
      <c r="H20" s="2"/>
      <c r="I20" s="2"/>
      <c r="J20" s="2"/>
      <c r="K20" s="2"/>
      <c r="L20" s="2"/>
      <c r="M20" s="2"/>
      <c r="N20" s="2"/>
      <c r="O20" s="2"/>
      <c r="P20" s="2"/>
      <c r="Q20" s="2"/>
      <c r="R20" s="2"/>
      <c r="S20" s="2"/>
      <c r="T20" s="2"/>
      <c r="U20" s="2"/>
      <c r="V20" s="2"/>
      <c r="W20" s="2"/>
      <c r="X20" s="2"/>
      <c r="Y20" s="2"/>
      <c r="Z20" s="2"/>
      <c r="AA20" s="2"/>
      <c r="AB20" s="2"/>
      <c r="AC20" s="2"/>
      <c r="AD20" s="2"/>
      <c r="AE20" s="2"/>
      <c r="AF20" s="2"/>
      <c r="AG20" s="2"/>
      <c r="AH20" s="2"/>
      <c r="AI20" s="2"/>
      <c r="AJ20" s="2"/>
      <c r="AK20" s="2"/>
      <c r="AL20" s="2"/>
      <c r="AM20" s="2"/>
      <c r="AN20" s="2"/>
      <c r="AO20" s="2"/>
      <c r="AP20" s="2"/>
      <c r="AQ20" s="2"/>
      <c r="AR20" s="2"/>
      <c r="AS20" s="2"/>
      <c r="AT20" s="2"/>
      <c r="AU20" s="2"/>
      <c r="AV20" s="2"/>
      <c r="AW20" s="2"/>
      <c r="AX20" s="2"/>
      <c r="AY20" s="2"/>
      <c r="AZ20" s="2"/>
      <c r="BA20" s="2"/>
      <c r="BB20" s="2"/>
      <c r="BC20" s="2"/>
      <c r="BD20" s="2"/>
      <c r="BE20" s="2"/>
      <c r="BF20" s="2"/>
      <c r="BG20" s="2"/>
      <c r="BH20" s="2"/>
      <c r="BI20" s="2"/>
      <c r="BJ20" s="2"/>
      <c r="BK20" s="2"/>
      <c r="BL20" s="2"/>
      <c r="BM20" s="2"/>
      <c r="BN20" s="2"/>
      <c r="BO20" s="2"/>
      <c r="BP20" s="2"/>
      <c r="BQ20" s="3"/>
    </row>
    <row r="21" ht="303.75" customHeight="1" spans="1:69">
      <c r="A21" s="17">
        <v>8</v>
      </c>
      <c r="B21" s="18" t="s">
        <v>304</v>
      </c>
      <c r="C21" s="2"/>
      <c r="D21" s="3"/>
      <c r="E21" s="18" t="s">
        <v>305</v>
      </c>
      <c r="F21" s="2"/>
      <c r="G21" s="2"/>
      <c r="H21" s="2"/>
      <c r="I21" s="3"/>
      <c r="J21" s="18" t="s">
        <v>306</v>
      </c>
      <c r="K21" s="2"/>
      <c r="L21" s="2"/>
      <c r="M21" s="2"/>
      <c r="N21" s="2"/>
      <c r="O21" s="2"/>
      <c r="P21" s="3"/>
      <c r="Q21" s="18" t="s">
        <v>307</v>
      </c>
      <c r="R21" s="2"/>
      <c r="S21" s="2"/>
      <c r="T21" s="2"/>
      <c r="U21" s="2"/>
      <c r="V21" s="2"/>
      <c r="W21" s="3"/>
      <c r="X21" s="18" t="s">
        <v>308</v>
      </c>
      <c r="Y21" s="2"/>
      <c r="Z21" s="2"/>
      <c r="AA21" s="2"/>
      <c r="AB21" s="2"/>
      <c r="AC21" s="2"/>
      <c r="AD21" s="3"/>
      <c r="AE21" s="19" t="s">
        <v>283</v>
      </c>
      <c r="AF21" s="3"/>
      <c r="AG21" s="22" t="s">
        <v>63</v>
      </c>
      <c r="AH21" s="2"/>
      <c r="AI21" s="3"/>
      <c r="AJ21" s="23"/>
      <c r="AK21" s="2"/>
      <c r="AL21" s="3"/>
      <c r="AM21" s="22" t="s">
        <v>270</v>
      </c>
      <c r="AN21" s="2"/>
      <c r="AO21" s="3"/>
      <c r="AP21" s="24">
        <v>46182</v>
      </c>
      <c r="AQ21" s="2"/>
      <c r="AR21" s="3"/>
      <c r="AS21" s="19"/>
      <c r="AT21" s="2"/>
      <c r="AU21" s="3"/>
      <c r="AV21" s="19" t="s">
        <v>63</v>
      </c>
      <c r="AW21" s="2"/>
      <c r="AX21" s="3"/>
      <c r="AY21" s="19"/>
      <c r="AZ21" s="2"/>
      <c r="BA21" s="3"/>
      <c r="BB21" s="19" t="s">
        <v>271</v>
      </c>
      <c r="BC21" s="2"/>
      <c r="BD21" s="3"/>
      <c r="BE21" s="21">
        <v>46240</v>
      </c>
      <c r="BF21" s="2"/>
      <c r="BG21" s="3"/>
      <c r="BH21" s="19"/>
      <c r="BI21" s="2"/>
      <c r="BJ21" s="3"/>
      <c r="BK21" s="18"/>
      <c r="BL21" s="2"/>
      <c r="BM21" s="2"/>
      <c r="BN21" s="2"/>
      <c r="BO21" s="2"/>
      <c r="BP21" s="2"/>
      <c r="BQ21" s="3"/>
    </row>
    <row r="22" ht="288" customHeight="1" spans="1:69">
      <c r="A22" s="17">
        <v>9</v>
      </c>
      <c r="B22" s="18" t="s">
        <v>309</v>
      </c>
      <c r="C22" s="2"/>
      <c r="D22" s="3"/>
      <c r="E22" s="18" t="s">
        <v>310</v>
      </c>
      <c r="F22" s="2"/>
      <c r="G22" s="2"/>
      <c r="H22" s="2"/>
      <c r="I22" s="3"/>
      <c r="J22" s="18" t="s">
        <v>311</v>
      </c>
      <c r="K22" s="2"/>
      <c r="L22" s="2"/>
      <c r="M22" s="2"/>
      <c r="N22" s="2"/>
      <c r="O22" s="2"/>
      <c r="P22" s="3"/>
      <c r="Q22" s="18" t="s">
        <v>312</v>
      </c>
      <c r="R22" s="2"/>
      <c r="S22" s="2"/>
      <c r="T22" s="2"/>
      <c r="U22" s="2"/>
      <c r="V22" s="2"/>
      <c r="W22" s="3"/>
      <c r="X22" s="18" t="s">
        <v>313</v>
      </c>
      <c r="Y22" s="2"/>
      <c r="Z22" s="2"/>
      <c r="AA22" s="2"/>
      <c r="AB22" s="2"/>
      <c r="AC22" s="2"/>
      <c r="AD22" s="3"/>
      <c r="AE22" s="19" t="s">
        <v>283</v>
      </c>
      <c r="AF22" s="3"/>
      <c r="AG22" s="22" t="s">
        <v>63</v>
      </c>
      <c r="AH22" s="2"/>
      <c r="AI22" s="3"/>
      <c r="AJ22" s="23"/>
      <c r="AK22" s="2"/>
      <c r="AL22" s="3"/>
      <c r="AM22" s="22" t="s">
        <v>270</v>
      </c>
      <c r="AN22" s="2"/>
      <c r="AO22" s="3"/>
      <c r="AP22" s="24">
        <v>46182</v>
      </c>
      <c r="AQ22" s="2"/>
      <c r="AR22" s="3"/>
      <c r="AS22" s="19"/>
      <c r="AT22" s="2"/>
      <c r="AU22" s="3"/>
      <c r="AV22" s="19" t="s">
        <v>63</v>
      </c>
      <c r="AW22" s="2"/>
      <c r="AX22" s="3"/>
      <c r="AY22" s="19"/>
      <c r="AZ22" s="2"/>
      <c r="BA22" s="3"/>
      <c r="BB22" s="19" t="s">
        <v>271</v>
      </c>
      <c r="BC22" s="2"/>
      <c r="BD22" s="3"/>
      <c r="BE22" s="21">
        <v>46240</v>
      </c>
      <c r="BF22" s="2"/>
      <c r="BG22" s="3"/>
      <c r="BH22" s="19"/>
      <c r="BI22" s="2"/>
      <c r="BJ22" s="3"/>
      <c r="BK22" s="18"/>
      <c r="BL22" s="2"/>
      <c r="BM22" s="2"/>
      <c r="BN22" s="2"/>
      <c r="BO22" s="2"/>
      <c r="BP22" s="2"/>
      <c r="BQ22" s="3"/>
    </row>
    <row r="23" ht="409.5" customHeight="1" spans="1:69">
      <c r="A23" s="17">
        <v>10</v>
      </c>
      <c r="B23" s="18" t="s">
        <v>314</v>
      </c>
      <c r="C23" s="2"/>
      <c r="D23" s="3"/>
      <c r="E23" s="18" t="s">
        <v>315</v>
      </c>
      <c r="F23" s="2"/>
      <c r="G23" s="2"/>
      <c r="H23" s="2"/>
      <c r="I23" s="3"/>
      <c r="J23" s="18" t="s">
        <v>316</v>
      </c>
      <c r="K23" s="2"/>
      <c r="L23" s="2"/>
      <c r="M23" s="2"/>
      <c r="N23" s="2"/>
      <c r="O23" s="2"/>
      <c r="P23" s="3"/>
      <c r="Q23" s="18" t="s">
        <v>317</v>
      </c>
      <c r="R23" s="2"/>
      <c r="S23" s="2"/>
      <c r="T23" s="2"/>
      <c r="U23" s="2"/>
      <c r="V23" s="2"/>
      <c r="W23" s="3"/>
      <c r="X23" s="18" t="s">
        <v>318</v>
      </c>
      <c r="Y23" s="2"/>
      <c r="Z23" s="2"/>
      <c r="AA23" s="2"/>
      <c r="AB23" s="2"/>
      <c r="AC23" s="2"/>
      <c r="AD23" s="3"/>
      <c r="AE23" s="19" t="s">
        <v>283</v>
      </c>
      <c r="AF23" s="3"/>
      <c r="AG23" s="22" t="s">
        <v>63</v>
      </c>
      <c r="AH23" s="2"/>
      <c r="AI23" s="3"/>
      <c r="AJ23" s="23"/>
      <c r="AK23" s="2"/>
      <c r="AL23" s="3"/>
      <c r="AM23" s="22" t="s">
        <v>270</v>
      </c>
      <c r="AN23" s="2"/>
      <c r="AO23" s="3"/>
      <c r="AP23" s="24">
        <v>46182</v>
      </c>
      <c r="AQ23" s="2"/>
      <c r="AR23" s="3"/>
      <c r="AS23" s="19"/>
      <c r="AT23" s="2"/>
      <c r="AU23" s="3"/>
      <c r="AV23" s="19" t="s">
        <v>63</v>
      </c>
      <c r="AW23" s="2"/>
      <c r="AX23" s="3"/>
      <c r="AY23" s="19"/>
      <c r="AZ23" s="2"/>
      <c r="BA23" s="3"/>
      <c r="BB23" s="19" t="s">
        <v>271</v>
      </c>
      <c r="BC23" s="2"/>
      <c r="BD23" s="3"/>
      <c r="BE23" s="21">
        <v>46240</v>
      </c>
      <c r="BF23" s="2"/>
      <c r="BG23" s="3"/>
      <c r="BH23" s="19"/>
      <c r="BI23" s="2"/>
      <c r="BJ23" s="3"/>
      <c r="BK23" s="18"/>
      <c r="BL23" s="2"/>
      <c r="BM23" s="2"/>
      <c r="BN23" s="2"/>
      <c r="BO23" s="2"/>
      <c r="BP23" s="2"/>
      <c r="BQ23" s="3"/>
    </row>
    <row r="24" ht="351.75" customHeight="1" spans="1:69">
      <c r="A24" s="25">
        <v>11</v>
      </c>
      <c r="B24" s="26" t="s">
        <v>319</v>
      </c>
      <c r="C24" s="2"/>
      <c r="D24" s="3"/>
      <c r="E24" s="26" t="s">
        <v>320</v>
      </c>
      <c r="F24" s="2"/>
      <c r="G24" s="2"/>
      <c r="H24" s="2"/>
      <c r="I24" s="3"/>
      <c r="J24" s="26" t="s">
        <v>321</v>
      </c>
      <c r="K24" s="2"/>
      <c r="L24" s="2"/>
      <c r="M24" s="2"/>
      <c r="N24" s="2"/>
      <c r="O24" s="2"/>
      <c r="P24" s="3"/>
      <c r="Q24" s="26" t="s">
        <v>322</v>
      </c>
      <c r="R24" s="2"/>
      <c r="S24" s="2"/>
      <c r="T24" s="2"/>
      <c r="U24" s="2"/>
      <c r="V24" s="2"/>
      <c r="W24" s="3"/>
      <c r="X24" s="26" t="s">
        <v>323</v>
      </c>
      <c r="Y24" s="2"/>
      <c r="Z24" s="2"/>
      <c r="AA24" s="2"/>
      <c r="AB24" s="2"/>
      <c r="AC24" s="2"/>
      <c r="AD24" s="3"/>
      <c r="AE24" s="27" t="s">
        <v>283</v>
      </c>
      <c r="AF24" s="3"/>
      <c r="AG24" s="19" t="s">
        <v>66</v>
      </c>
      <c r="AH24" s="2"/>
      <c r="AI24" s="3"/>
      <c r="AJ24" s="19"/>
      <c r="AK24" s="2"/>
      <c r="AL24" s="3"/>
      <c r="AM24" s="19"/>
      <c r="AN24" s="2"/>
      <c r="AO24" s="3"/>
      <c r="AP24" s="19"/>
      <c r="AQ24" s="2"/>
      <c r="AR24" s="3"/>
      <c r="AS24" s="19"/>
      <c r="AT24" s="2"/>
      <c r="AU24" s="3"/>
      <c r="AV24" s="19" t="s">
        <v>66</v>
      </c>
      <c r="AW24" s="2"/>
      <c r="AX24" s="3"/>
      <c r="AY24" s="19"/>
      <c r="AZ24" s="2"/>
      <c r="BA24" s="3"/>
      <c r="BB24" s="19"/>
      <c r="BC24" s="2"/>
      <c r="BD24" s="3"/>
      <c r="BE24" s="19"/>
      <c r="BF24" s="2"/>
      <c r="BG24" s="3"/>
      <c r="BH24" s="19"/>
      <c r="BI24" s="2"/>
      <c r="BJ24" s="3"/>
      <c r="BK24" s="18"/>
      <c r="BL24" s="2"/>
      <c r="BM24" s="2"/>
      <c r="BN24" s="2"/>
      <c r="BO24" s="2"/>
      <c r="BP24" s="2"/>
      <c r="BQ24" s="3"/>
    </row>
    <row r="25" ht="384" customHeight="1" spans="1:69">
      <c r="A25" s="17">
        <v>12</v>
      </c>
      <c r="B25" s="18" t="s">
        <v>324</v>
      </c>
      <c r="C25" s="2"/>
      <c r="D25" s="3"/>
      <c r="E25" s="18" t="s">
        <v>325</v>
      </c>
      <c r="F25" s="2"/>
      <c r="G25" s="2"/>
      <c r="H25" s="2"/>
      <c r="I25" s="3"/>
      <c r="J25" s="18" t="s">
        <v>326</v>
      </c>
      <c r="K25" s="2"/>
      <c r="L25" s="2"/>
      <c r="M25" s="2"/>
      <c r="N25" s="2"/>
      <c r="O25" s="2"/>
      <c r="P25" s="3"/>
      <c r="Q25" s="18" t="s">
        <v>327</v>
      </c>
      <c r="R25" s="2"/>
      <c r="S25" s="2"/>
      <c r="T25" s="2"/>
      <c r="U25" s="2"/>
      <c r="V25" s="2"/>
      <c r="W25" s="3"/>
      <c r="X25" s="18" t="s">
        <v>328</v>
      </c>
      <c r="Y25" s="2"/>
      <c r="Z25" s="2"/>
      <c r="AA25" s="2"/>
      <c r="AB25" s="2"/>
      <c r="AC25" s="2"/>
      <c r="AD25" s="3"/>
      <c r="AE25" s="19" t="s">
        <v>283</v>
      </c>
      <c r="AF25" s="3"/>
      <c r="AG25" s="22" t="s">
        <v>63</v>
      </c>
      <c r="AH25" s="2"/>
      <c r="AI25" s="3"/>
      <c r="AJ25" s="23"/>
      <c r="AK25" s="2"/>
      <c r="AL25" s="3"/>
      <c r="AM25" s="22" t="s">
        <v>270</v>
      </c>
      <c r="AN25" s="2"/>
      <c r="AO25" s="3"/>
      <c r="AP25" s="24">
        <v>46182</v>
      </c>
      <c r="AQ25" s="2"/>
      <c r="AR25" s="3"/>
      <c r="AS25" s="19"/>
      <c r="AT25" s="2"/>
      <c r="AU25" s="3"/>
      <c r="AV25" s="19" t="s">
        <v>63</v>
      </c>
      <c r="AW25" s="2"/>
      <c r="AX25" s="3"/>
      <c r="AY25" s="19"/>
      <c r="AZ25" s="2"/>
      <c r="BA25" s="3"/>
      <c r="BB25" s="19" t="s">
        <v>271</v>
      </c>
      <c r="BC25" s="2"/>
      <c r="BD25" s="3"/>
      <c r="BE25" s="21">
        <v>46240</v>
      </c>
      <c r="BF25" s="2"/>
      <c r="BG25" s="3"/>
      <c r="BH25" s="19"/>
      <c r="BI25" s="2"/>
      <c r="BJ25" s="3"/>
      <c r="BK25" s="18"/>
      <c r="BL25" s="2"/>
      <c r="BM25" s="2"/>
      <c r="BN25" s="2"/>
      <c r="BO25" s="2"/>
      <c r="BP25" s="2"/>
      <c r="BQ25" s="3"/>
    </row>
    <row r="26" ht="336" customHeight="1" spans="1:69">
      <c r="A26" s="17">
        <v>13</v>
      </c>
      <c r="B26" s="18" t="s">
        <v>329</v>
      </c>
      <c r="C26" s="2"/>
      <c r="D26" s="3"/>
      <c r="E26" s="18" t="s">
        <v>330</v>
      </c>
      <c r="F26" s="2"/>
      <c r="G26" s="2"/>
      <c r="H26" s="2"/>
      <c r="I26" s="3"/>
      <c r="J26" s="18" t="s">
        <v>331</v>
      </c>
      <c r="K26" s="2"/>
      <c r="L26" s="2"/>
      <c r="M26" s="2"/>
      <c r="N26" s="2"/>
      <c r="O26" s="2"/>
      <c r="P26" s="3"/>
      <c r="Q26" s="18" t="s">
        <v>332</v>
      </c>
      <c r="R26" s="2"/>
      <c r="S26" s="2"/>
      <c r="T26" s="2"/>
      <c r="U26" s="2"/>
      <c r="V26" s="2"/>
      <c r="W26" s="3"/>
      <c r="X26" s="18" t="s">
        <v>333</v>
      </c>
      <c r="Y26" s="2"/>
      <c r="Z26" s="2"/>
      <c r="AA26" s="2"/>
      <c r="AB26" s="2"/>
      <c r="AC26" s="2"/>
      <c r="AD26" s="3"/>
      <c r="AE26" s="19" t="s">
        <v>283</v>
      </c>
      <c r="AF26" s="3"/>
      <c r="AG26" s="22" t="s">
        <v>63</v>
      </c>
      <c r="AH26" s="2"/>
      <c r="AI26" s="3"/>
      <c r="AJ26" s="23"/>
      <c r="AK26" s="2"/>
      <c r="AL26" s="3"/>
      <c r="AM26" s="22" t="s">
        <v>270</v>
      </c>
      <c r="AN26" s="2"/>
      <c r="AO26" s="3"/>
      <c r="AP26" s="24">
        <v>46182</v>
      </c>
      <c r="AQ26" s="2"/>
      <c r="AR26" s="3"/>
      <c r="AS26" s="19"/>
      <c r="AT26" s="2"/>
      <c r="AU26" s="3"/>
      <c r="AV26" s="19" t="s">
        <v>63</v>
      </c>
      <c r="AW26" s="2"/>
      <c r="AX26" s="3"/>
      <c r="AY26" s="19"/>
      <c r="AZ26" s="2"/>
      <c r="BA26" s="3"/>
      <c r="BB26" s="19" t="s">
        <v>271</v>
      </c>
      <c r="BC26" s="2"/>
      <c r="BD26" s="3"/>
      <c r="BE26" s="21">
        <v>46240</v>
      </c>
      <c r="BF26" s="2"/>
      <c r="BG26" s="3"/>
      <c r="BH26" s="19"/>
      <c r="BI26" s="2"/>
      <c r="BJ26" s="3"/>
      <c r="BK26" s="18" t="s">
        <v>302</v>
      </c>
      <c r="BL26" s="2"/>
      <c r="BM26" s="2"/>
      <c r="BN26" s="2"/>
      <c r="BO26" s="2"/>
      <c r="BP26" s="2"/>
      <c r="BQ26" s="3"/>
    </row>
    <row r="27" ht="22.5" customHeight="1" spans="1:69">
      <c r="A27" s="16" t="s">
        <v>334</v>
      </c>
      <c r="B27" s="2"/>
      <c r="C27" s="2"/>
      <c r="D27" s="2"/>
      <c r="E27" s="2"/>
      <c r="F27" s="2"/>
      <c r="G27" s="2"/>
      <c r="H27" s="2"/>
      <c r="I27" s="2"/>
      <c r="J27" s="2"/>
      <c r="K27" s="2"/>
      <c r="L27" s="2"/>
      <c r="M27" s="2"/>
      <c r="N27" s="2"/>
      <c r="O27" s="2"/>
      <c r="P27" s="2"/>
      <c r="Q27" s="2"/>
      <c r="R27" s="2"/>
      <c r="S27" s="2"/>
      <c r="T27" s="2"/>
      <c r="U27" s="2"/>
      <c r="V27" s="2"/>
      <c r="W27" s="2"/>
      <c r="X27" s="2"/>
      <c r="Y27" s="2"/>
      <c r="Z27" s="2"/>
      <c r="AA27" s="2"/>
      <c r="AB27" s="2"/>
      <c r="AC27" s="2"/>
      <c r="AD27" s="2"/>
      <c r="AE27" s="2"/>
      <c r="AF27" s="2"/>
      <c r="AG27" s="2"/>
      <c r="AH27" s="2"/>
      <c r="AI27" s="2"/>
      <c r="AJ27" s="2"/>
      <c r="AK27" s="2"/>
      <c r="AL27" s="2"/>
      <c r="AM27" s="2"/>
      <c r="AN27" s="2"/>
      <c r="AO27" s="2"/>
      <c r="AP27" s="2"/>
      <c r="AQ27" s="2"/>
      <c r="AR27" s="2"/>
      <c r="AS27" s="2"/>
      <c r="AT27" s="2"/>
      <c r="AU27" s="2"/>
      <c r="AV27" s="2"/>
      <c r="AW27" s="2"/>
      <c r="AX27" s="2"/>
      <c r="AY27" s="2"/>
      <c r="AZ27" s="2"/>
      <c r="BA27" s="2"/>
      <c r="BB27" s="2"/>
      <c r="BC27" s="2"/>
      <c r="BD27" s="2"/>
      <c r="BE27" s="2"/>
      <c r="BF27" s="2"/>
      <c r="BG27" s="2"/>
      <c r="BH27" s="2"/>
      <c r="BI27" s="2"/>
      <c r="BJ27" s="2"/>
      <c r="BK27" s="2"/>
      <c r="BL27" s="2"/>
      <c r="BM27" s="2"/>
      <c r="BN27" s="2"/>
      <c r="BO27" s="2"/>
      <c r="BP27" s="2"/>
      <c r="BQ27" s="3"/>
    </row>
    <row r="28" ht="367.5" customHeight="1" spans="1:69">
      <c r="A28" s="25">
        <v>14</v>
      </c>
      <c r="B28" s="26" t="s">
        <v>335</v>
      </c>
      <c r="C28" s="2"/>
      <c r="D28" s="3"/>
      <c r="E28" s="26" t="s">
        <v>336</v>
      </c>
      <c r="F28" s="2"/>
      <c r="G28" s="2"/>
      <c r="H28" s="2"/>
      <c r="I28" s="3"/>
      <c r="J28" s="26" t="s">
        <v>337</v>
      </c>
      <c r="K28" s="2"/>
      <c r="L28" s="2"/>
      <c r="M28" s="2"/>
      <c r="N28" s="2"/>
      <c r="O28" s="2"/>
      <c r="P28" s="3"/>
      <c r="Q28" s="26" t="s">
        <v>338</v>
      </c>
      <c r="R28" s="2"/>
      <c r="S28" s="2"/>
      <c r="T28" s="2"/>
      <c r="U28" s="2"/>
      <c r="V28" s="2"/>
      <c r="W28" s="3"/>
      <c r="X28" s="26" t="s">
        <v>339</v>
      </c>
      <c r="Y28" s="2"/>
      <c r="Z28" s="2"/>
      <c r="AA28" s="2"/>
      <c r="AB28" s="2"/>
      <c r="AC28" s="2"/>
      <c r="AD28" s="3"/>
      <c r="AE28" s="27" t="s">
        <v>217</v>
      </c>
      <c r="AF28" s="3"/>
      <c r="AG28" s="19" t="s">
        <v>66</v>
      </c>
      <c r="AH28" s="2"/>
      <c r="AI28" s="3"/>
      <c r="AJ28" s="19"/>
      <c r="AK28" s="2"/>
      <c r="AL28" s="3"/>
      <c r="AM28" s="19"/>
      <c r="AN28" s="2"/>
      <c r="AO28" s="3"/>
      <c r="AP28" s="19"/>
      <c r="AQ28" s="2"/>
      <c r="AR28" s="3"/>
      <c r="AS28" s="19"/>
      <c r="AT28" s="2"/>
      <c r="AU28" s="3"/>
      <c r="AV28" s="19" t="s">
        <v>66</v>
      </c>
      <c r="AW28" s="2"/>
      <c r="AX28" s="3"/>
      <c r="AY28" s="19"/>
      <c r="AZ28" s="2"/>
      <c r="BA28" s="3"/>
      <c r="BB28" s="19"/>
      <c r="BC28" s="2"/>
      <c r="BD28" s="3"/>
      <c r="BE28" s="19"/>
      <c r="BF28" s="2"/>
      <c r="BG28" s="3"/>
      <c r="BH28" s="19"/>
      <c r="BI28" s="2"/>
      <c r="BJ28" s="3"/>
      <c r="BK28" s="18"/>
      <c r="BL28" s="2"/>
      <c r="BM28" s="2"/>
      <c r="BN28" s="2"/>
      <c r="BO28" s="2"/>
      <c r="BP28" s="2"/>
      <c r="BQ28" s="3"/>
    </row>
    <row r="29" ht="409.5" customHeight="1" spans="1:69">
      <c r="A29" s="17">
        <v>15</v>
      </c>
      <c r="B29" s="26" t="s">
        <v>340</v>
      </c>
      <c r="C29" s="2"/>
      <c r="D29" s="3"/>
      <c r="E29" s="26" t="s">
        <v>341</v>
      </c>
      <c r="F29" s="2"/>
      <c r="G29" s="2"/>
      <c r="H29" s="2"/>
      <c r="I29" s="3"/>
      <c r="J29" s="26" t="s">
        <v>342</v>
      </c>
      <c r="K29" s="2"/>
      <c r="L29" s="2"/>
      <c r="M29" s="2"/>
      <c r="N29" s="2"/>
      <c r="O29" s="2"/>
      <c r="P29" s="3"/>
      <c r="Q29" s="26" t="s">
        <v>343</v>
      </c>
      <c r="R29" s="2"/>
      <c r="S29" s="2"/>
      <c r="T29" s="2"/>
      <c r="U29" s="2"/>
      <c r="V29" s="2"/>
      <c r="W29" s="3"/>
      <c r="X29" s="26" t="s">
        <v>344</v>
      </c>
      <c r="Y29" s="2"/>
      <c r="Z29" s="2"/>
      <c r="AA29" s="2"/>
      <c r="AB29" s="2"/>
      <c r="AC29" s="2"/>
      <c r="AD29" s="3"/>
      <c r="AE29" s="27" t="s">
        <v>217</v>
      </c>
      <c r="AF29" s="3"/>
      <c r="AG29" s="19" t="s">
        <v>66</v>
      </c>
      <c r="AH29" s="2"/>
      <c r="AI29" s="3"/>
      <c r="AJ29" s="19"/>
      <c r="AK29" s="2"/>
      <c r="AL29" s="3"/>
      <c r="AM29" s="19"/>
      <c r="AN29" s="2"/>
      <c r="AO29" s="3"/>
      <c r="AP29" s="19"/>
      <c r="AQ29" s="2"/>
      <c r="AR29" s="3"/>
      <c r="AS29" s="19"/>
      <c r="AT29" s="2"/>
      <c r="AU29" s="3"/>
      <c r="AV29" s="19" t="s">
        <v>66</v>
      </c>
      <c r="AW29" s="2"/>
      <c r="AX29" s="3"/>
      <c r="AY29" s="19"/>
      <c r="AZ29" s="2"/>
      <c r="BA29" s="3"/>
      <c r="BB29" s="19"/>
      <c r="BC29" s="2"/>
      <c r="BD29" s="3"/>
      <c r="BE29" s="19"/>
      <c r="BF29" s="2"/>
      <c r="BG29" s="3"/>
      <c r="BH29" s="19"/>
      <c r="BI29" s="2"/>
      <c r="BJ29" s="3"/>
      <c r="BK29" s="18"/>
      <c r="BL29" s="2"/>
      <c r="BM29" s="2"/>
      <c r="BN29" s="2"/>
      <c r="BO29" s="2"/>
      <c r="BP29" s="2"/>
      <c r="BQ29" s="3"/>
    </row>
    <row r="30" ht="255.75" customHeight="1" spans="1:69">
      <c r="A30" s="17">
        <v>16</v>
      </c>
      <c r="B30" s="26" t="s">
        <v>345</v>
      </c>
      <c r="C30" s="2"/>
      <c r="D30" s="3"/>
      <c r="E30" s="26" t="s">
        <v>346</v>
      </c>
      <c r="F30" s="2"/>
      <c r="G30" s="2"/>
      <c r="H30" s="2"/>
      <c r="I30" s="3"/>
      <c r="J30" s="26" t="s">
        <v>337</v>
      </c>
      <c r="K30" s="2"/>
      <c r="L30" s="2"/>
      <c r="M30" s="2"/>
      <c r="N30" s="2"/>
      <c r="O30" s="2"/>
      <c r="P30" s="3"/>
      <c r="Q30" s="26" t="s">
        <v>347</v>
      </c>
      <c r="R30" s="2"/>
      <c r="S30" s="2"/>
      <c r="T30" s="2"/>
      <c r="U30" s="2"/>
      <c r="V30" s="2"/>
      <c r="W30" s="3"/>
      <c r="X30" s="26" t="s">
        <v>348</v>
      </c>
      <c r="Y30" s="2"/>
      <c r="Z30" s="2"/>
      <c r="AA30" s="2"/>
      <c r="AB30" s="2"/>
      <c r="AC30" s="2"/>
      <c r="AD30" s="3"/>
      <c r="AE30" s="27" t="s">
        <v>283</v>
      </c>
      <c r="AF30" s="3"/>
      <c r="AG30" s="19" t="s">
        <v>66</v>
      </c>
      <c r="AH30" s="2"/>
      <c r="AI30" s="3"/>
      <c r="AJ30" s="19"/>
      <c r="AK30" s="2"/>
      <c r="AL30" s="3"/>
      <c r="AM30" s="19"/>
      <c r="AN30" s="2"/>
      <c r="AO30" s="3"/>
      <c r="AP30" s="19"/>
      <c r="AQ30" s="2"/>
      <c r="AR30" s="3"/>
      <c r="AS30" s="19"/>
      <c r="AT30" s="2"/>
      <c r="AU30" s="3"/>
      <c r="AV30" s="19" t="s">
        <v>66</v>
      </c>
      <c r="AW30" s="2"/>
      <c r="AX30" s="3"/>
      <c r="AY30" s="19"/>
      <c r="AZ30" s="2"/>
      <c r="BA30" s="3"/>
      <c r="BB30" s="19"/>
      <c r="BC30" s="2"/>
      <c r="BD30" s="3"/>
      <c r="BE30" s="19"/>
      <c r="BF30" s="2"/>
      <c r="BG30" s="3"/>
      <c r="BH30" s="19"/>
      <c r="BI30" s="2"/>
      <c r="BJ30" s="3"/>
      <c r="BK30" s="18"/>
      <c r="BL30" s="2"/>
      <c r="BM30" s="2"/>
      <c r="BN30" s="2"/>
      <c r="BO30" s="2"/>
      <c r="BP30" s="2"/>
      <c r="BQ30" s="3"/>
    </row>
    <row r="31" ht="409.5" customHeight="1" spans="1:69">
      <c r="A31" s="17">
        <v>17</v>
      </c>
      <c r="B31" s="26" t="s">
        <v>349</v>
      </c>
      <c r="C31" s="2"/>
      <c r="D31" s="3"/>
      <c r="E31" s="26" t="s">
        <v>350</v>
      </c>
      <c r="F31" s="2"/>
      <c r="G31" s="2"/>
      <c r="H31" s="2"/>
      <c r="I31" s="3"/>
      <c r="J31" s="26" t="s">
        <v>316</v>
      </c>
      <c r="K31" s="2"/>
      <c r="L31" s="2"/>
      <c r="M31" s="2"/>
      <c r="N31" s="2"/>
      <c r="O31" s="2"/>
      <c r="P31" s="3"/>
      <c r="Q31" s="26" t="s">
        <v>351</v>
      </c>
      <c r="R31" s="2"/>
      <c r="S31" s="2"/>
      <c r="T31" s="2"/>
      <c r="U31" s="2"/>
      <c r="V31" s="2"/>
      <c r="W31" s="3"/>
      <c r="X31" s="26" t="s">
        <v>352</v>
      </c>
      <c r="Y31" s="2"/>
      <c r="Z31" s="2"/>
      <c r="AA31" s="2"/>
      <c r="AB31" s="2"/>
      <c r="AC31" s="2"/>
      <c r="AD31" s="3"/>
      <c r="AE31" s="27" t="s">
        <v>213</v>
      </c>
      <c r="AF31" s="3"/>
      <c r="AG31" s="19" t="s">
        <v>66</v>
      </c>
      <c r="AH31" s="2"/>
      <c r="AI31" s="3"/>
      <c r="AJ31" s="19"/>
      <c r="AK31" s="2"/>
      <c r="AL31" s="3"/>
      <c r="AM31" s="19"/>
      <c r="AN31" s="2"/>
      <c r="AO31" s="3"/>
      <c r="AP31" s="19"/>
      <c r="AQ31" s="2"/>
      <c r="AR31" s="3"/>
      <c r="AS31" s="19"/>
      <c r="AT31" s="2"/>
      <c r="AU31" s="3"/>
      <c r="AV31" s="19" t="s">
        <v>66</v>
      </c>
      <c r="AW31" s="2"/>
      <c r="AX31" s="3"/>
      <c r="AY31" s="19"/>
      <c r="AZ31" s="2"/>
      <c r="BA31" s="3"/>
      <c r="BB31" s="19"/>
      <c r="BC31" s="2"/>
      <c r="BD31" s="3"/>
      <c r="BE31" s="19"/>
      <c r="BF31" s="2"/>
      <c r="BG31" s="3"/>
      <c r="BH31" s="19"/>
      <c r="BI31" s="2"/>
      <c r="BJ31" s="3"/>
      <c r="BK31" s="18"/>
      <c r="BL31" s="2"/>
      <c r="BM31" s="2"/>
      <c r="BN31" s="2"/>
      <c r="BO31" s="2"/>
      <c r="BP31" s="2"/>
      <c r="BQ31" s="3"/>
    </row>
    <row r="32" ht="399.75" customHeight="1" spans="1:69">
      <c r="A32" s="17">
        <v>18</v>
      </c>
      <c r="B32" s="26" t="s">
        <v>353</v>
      </c>
      <c r="C32" s="2"/>
      <c r="D32" s="3"/>
      <c r="E32" s="26" t="s">
        <v>354</v>
      </c>
      <c r="F32" s="2"/>
      <c r="G32" s="2"/>
      <c r="H32" s="2"/>
      <c r="I32" s="3"/>
      <c r="J32" s="26" t="s">
        <v>355</v>
      </c>
      <c r="K32" s="2"/>
      <c r="L32" s="2"/>
      <c r="M32" s="2"/>
      <c r="N32" s="2"/>
      <c r="O32" s="2"/>
      <c r="P32" s="3"/>
      <c r="Q32" s="26" t="s">
        <v>356</v>
      </c>
      <c r="R32" s="2"/>
      <c r="S32" s="2"/>
      <c r="T32" s="2"/>
      <c r="U32" s="2"/>
      <c r="V32" s="2"/>
      <c r="W32" s="3"/>
      <c r="X32" s="26" t="s">
        <v>357</v>
      </c>
      <c r="Y32" s="2"/>
      <c r="Z32" s="2"/>
      <c r="AA32" s="2"/>
      <c r="AB32" s="2"/>
      <c r="AC32" s="2"/>
      <c r="AD32" s="3"/>
      <c r="AE32" s="27" t="s">
        <v>213</v>
      </c>
      <c r="AF32" s="3"/>
      <c r="AG32" s="19" t="s">
        <v>66</v>
      </c>
      <c r="AH32" s="2"/>
      <c r="AI32" s="3"/>
      <c r="AJ32" s="19"/>
      <c r="AK32" s="2"/>
      <c r="AL32" s="3"/>
      <c r="AM32" s="19"/>
      <c r="AN32" s="2"/>
      <c r="AO32" s="3"/>
      <c r="AP32" s="19"/>
      <c r="AQ32" s="2"/>
      <c r="AR32" s="3"/>
      <c r="AS32" s="19"/>
      <c r="AT32" s="2"/>
      <c r="AU32" s="3"/>
      <c r="AV32" s="19" t="s">
        <v>66</v>
      </c>
      <c r="AW32" s="2"/>
      <c r="AX32" s="3"/>
      <c r="AY32" s="19"/>
      <c r="AZ32" s="2"/>
      <c r="BA32" s="3"/>
      <c r="BB32" s="19"/>
      <c r="BC32" s="2"/>
      <c r="BD32" s="3"/>
      <c r="BE32" s="19"/>
      <c r="BF32" s="2"/>
      <c r="BG32" s="3"/>
      <c r="BH32" s="19"/>
      <c r="BI32" s="2"/>
      <c r="BJ32" s="3"/>
      <c r="BK32" s="18"/>
      <c r="BL32" s="2"/>
      <c r="BM32" s="2"/>
      <c r="BN32" s="2"/>
      <c r="BO32" s="2"/>
      <c r="BP32" s="2"/>
      <c r="BQ32" s="3"/>
    </row>
    <row r="33" ht="255.75" customHeight="1" spans="1:69">
      <c r="A33" s="25">
        <v>19</v>
      </c>
      <c r="B33" s="26" t="s">
        <v>358</v>
      </c>
      <c r="C33" s="2"/>
      <c r="D33" s="3"/>
      <c r="E33" s="26" t="s">
        <v>359</v>
      </c>
      <c r="F33" s="2"/>
      <c r="G33" s="2"/>
      <c r="H33" s="2"/>
      <c r="I33" s="3"/>
      <c r="J33" s="26" t="s">
        <v>360</v>
      </c>
      <c r="K33" s="2"/>
      <c r="L33" s="2"/>
      <c r="M33" s="2"/>
      <c r="N33" s="2"/>
      <c r="O33" s="2"/>
      <c r="P33" s="3"/>
      <c r="Q33" s="26" t="s">
        <v>361</v>
      </c>
      <c r="R33" s="2"/>
      <c r="S33" s="2"/>
      <c r="T33" s="2"/>
      <c r="U33" s="2"/>
      <c r="V33" s="2"/>
      <c r="W33" s="3"/>
      <c r="X33" s="26" t="s">
        <v>362</v>
      </c>
      <c r="Y33" s="2"/>
      <c r="Z33" s="2"/>
      <c r="AA33" s="2"/>
      <c r="AB33" s="2"/>
      <c r="AC33" s="2"/>
      <c r="AD33" s="3"/>
      <c r="AE33" s="27" t="s">
        <v>213</v>
      </c>
      <c r="AF33" s="3"/>
      <c r="AG33" s="27" t="s">
        <v>66</v>
      </c>
      <c r="AH33" s="2"/>
      <c r="AI33" s="3"/>
      <c r="AJ33" s="27"/>
      <c r="AK33" s="2"/>
      <c r="AL33" s="3"/>
      <c r="AM33" s="27"/>
      <c r="AN33" s="2"/>
      <c r="AO33" s="3"/>
      <c r="AP33" s="27"/>
      <c r="AQ33" s="2"/>
      <c r="AR33" s="3"/>
      <c r="AS33" s="27"/>
      <c r="AT33" s="2"/>
      <c r="AU33" s="3"/>
      <c r="AV33" s="19" t="s">
        <v>66</v>
      </c>
      <c r="AW33" s="2"/>
      <c r="AX33" s="3"/>
      <c r="AY33" s="27"/>
      <c r="AZ33" s="2"/>
      <c r="BA33" s="3"/>
      <c r="BB33" s="27"/>
      <c r="BC33" s="2"/>
      <c r="BD33" s="3"/>
      <c r="BE33" s="27"/>
      <c r="BF33" s="2"/>
      <c r="BG33" s="3"/>
      <c r="BH33" s="27"/>
      <c r="BI33" s="2"/>
      <c r="BJ33" s="3"/>
      <c r="BK33" s="26"/>
      <c r="BL33" s="2"/>
      <c r="BM33" s="2"/>
      <c r="BN33" s="2"/>
      <c r="BO33" s="2"/>
      <c r="BP33" s="2"/>
      <c r="BQ33" s="3"/>
    </row>
    <row r="34" ht="409.5" customHeight="1" spans="1:69">
      <c r="A34" s="25">
        <v>20</v>
      </c>
      <c r="B34" s="26" t="s">
        <v>363</v>
      </c>
      <c r="C34" s="2"/>
      <c r="D34" s="3"/>
      <c r="E34" s="26" t="s">
        <v>364</v>
      </c>
      <c r="F34" s="2"/>
      <c r="G34" s="2"/>
      <c r="H34" s="2"/>
      <c r="I34" s="3"/>
      <c r="J34" s="26" t="s">
        <v>316</v>
      </c>
      <c r="K34" s="2"/>
      <c r="L34" s="2"/>
      <c r="M34" s="2"/>
      <c r="N34" s="2"/>
      <c r="O34" s="2"/>
      <c r="P34" s="3"/>
      <c r="Q34" s="26" t="s">
        <v>365</v>
      </c>
      <c r="R34" s="2"/>
      <c r="S34" s="2"/>
      <c r="T34" s="2"/>
      <c r="U34" s="2"/>
      <c r="V34" s="2"/>
      <c r="W34" s="3"/>
      <c r="X34" s="26" t="s">
        <v>366</v>
      </c>
      <c r="Y34" s="2"/>
      <c r="Z34" s="2"/>
      <c r="AA34" s="2"/>
      <c r="AB34" s="2"/>
      <c r="AC34" s="2"/>
      <c r="AD34" s="3"/>
      <c r="AE34" s="27" t="s">
        <v>213</v>
      </c>
      <c r="AF34" s="3"/>
      <c r="AG34" s="27" t="s">
        <v>66</v>
      </c>
      <c r="AH34" s="2"/>
      <c r="AI34" s="3"/>
      <c r="AJ34" s="27"/>
      <c r="AK34" s="2"/>
      <c r="AL34" s="3"/>
      <c r="AM34" s="27"/>
      <c r="AN34" s="2"/>
      <c r="AO34" s="3"/>
      <c r="AP34" s="27"/>
      <c r="AQ34" s="2"/>
      <c r="AR34" s="3"/>
      <c r="AS34" s="27"/>
      <c r="AT34" s="2"/>
      <c r="AU34" s="3"/>
      <c r="AV34" s="19" t="s">
        <v>66</v>
      </c>
      <c r="AW34" s="2"/>
      <c r="AX34" s="3"/>
      <c r="AY34" s="27"/>
      <c r="AZ34" s="2"/>
      <c r="BA34" s="3"/>
      <c r="BB34" s="27"/>
      <c r="BC34" s="2"/>
      <c r="BD34" s="3"/>
      <c r="BE34" s="27"/>
      <c r="BF34" s="2"/>
      <c r="BG34" s="3"/>
      <c r="BH34" s="27"/>
      <c r="BI34" s="2"/>
      <c r="BJ34" s="3"/>
      <c r="BK34" s="26" t="s">
        <v>302</v>
      </c>
      <c r="BL34" s="2"/>
      <c r="BM34" s="2"/>
      <c r="BN34" s="2"/>
      <c r="BO34" s="2"/>
      <c r="BP34" s="2"/>
      <c r="BQ34" s="3"/>
    </row>
    <row r="35" ht="22.5" customHeight="1" spans="1:69">
      <c r="A35" s="16" t="s">
        <v>367</v>
      </c>
      <c r="B35" s="2"/>
      <c r="C35" s="2"/>
      <c r="D35" s="2"/>
      <c r="E35" s="2"/>
      <c r="F35" s="2"/>
      <c r="G35" s="2"/>
      <c r="H35" s="2"/>
      <c r="I35" s="2"/>
      <c r="J35" s="2"/>
      <c r="K35" s="2"/>
      <c r="L35" s="2"/>
      <c r="M35" s="2"/>
      <c r="N35" s="2"/>
      <c r="O35" s="2"/>
      <c r="P35" s="2"/>
      <c r="Q35" s="2"/>
      <c r="R35" s="2"/>
      <c r="S35" s="2"/>
      <c r="T35" s="2"/>
      <c r="U35" s="2"/>
      <c r="V35" s="2"/>
      <c r="W35" s="2"/>
      <c r="X35" s="2"/>
      <c r="Y35" s="2"/>
      <c r="Z35" s="2"/>
      <c r="AA35" s="2"/>
      <c r="AB35" s="2"/>
      <c r="AC35" s="2"/>
      <c r="AD35" s="2"/>
      <c r="AE35" s="2"/>
      <c r="AF35" s="2"/>
      <c r="AG35" s="2"/>
      <c r="AH35" s="2"/>
      <c r="AI35" s="2"/>
      <c r="AJ35" s="2"/>
      <c r="AK35" s="2"/>
      <c r="AL35" s="2"/>
      <c r="AM35" s="2"/>
      <c r="AN35" s="2"/>
      <c r="AO35" s="2"/>
      <c r="AP35" s="2"/>
      <c r="AQ35" s="2"/>
      <c r="AR35" s="2"/>
      <c r="AS35" s="2"/>
      <c r="AT35" s="2"/>
      <c r="AU35" s="2"/>
      <c r="AV35" s="2"/>
      <c r="AW35" s="2"/>
      <c r="AX35" s="2"/>
      <c r="AY35" s="2"/>
      <c r="AZ35" s="2"/>
      <c r="BA35" s="2"/>
      <c r="BB35" s="2"/>
      <c r="BC35" s="2"/>
      <c r="BD35" s="2"/>
      <c r="BE35" s="2"/>
      <c r="BF35" s="2"/>
      <c r="BG35" s="2"/>
      <c r="BH35" s="2"/>
      <c r="BI35" s="2"/>
      <c r="BJ35" s="2"/>
      <c r="BK35" s="2"/>
      <c r="BL35" s="2"/>
      <c r="BM35" s="2"/>
      <c r="BN35" s="2"/>
      <c r="BO35" s="2"/>
      <c r="BP35" s="2"/>
      <c r="BQ35" s="3"/>
    </row>
    <row r="36" ht="409.5" customHeight="1" spans="1:69">
      <c r="A36" s="17">
        <v>21</v>
      </c>
      <c r="B36" s="18" t="s">
        <v>368</v>
      </c>
      <c r="C36" s="2"/>
      <c r="D36" s="3"/>
      <c r="E36" s="18" t="s">
        <v>369</v>
      </c>
      <c r="F36" s="2"/>
      <c r="G36" s="2"/>
      <c r="H36" s="2"/>
      <c r="I36" s="3"/>
      <c r="J36" s="18" t="s">
        <v>370</v>
      </c>
      <c r="K36" s="2"/>
      <c r="L36" s="2"/>
      <c r="M36" s="2"/>
      <c r="N36" s="2"/>
      <c r="O36" s="2"/>
      <c r="P36" s="3"/>
      <c r="Q36" s="18" t="s">
        <v>371</v>
      </c>
      <c r="R36" s="2"/>
      <c r="S36" s="2"/>
      <c r="T36" s="2"/>
      <c r="U36" s="2"/>
      <c r="V36" s="2"/>
      <c r="W36" s="3"/>
      <c r="X36" s="18" t="s">
        <v>372</v>
      </c>
      <c r="Y36" s="2"/>
      <c r="Z36" s="2"/>
      <c r="AA36" s="2"/>
      <c r="AB36" s="2"/>
      <c r="AC36" s="2"/>
      <c r="AD36" s="3"/>
      <c r="AE36" s="19" t="s">
        <v>283</v>
      </c>
      <c r="AF36" s="3"/>
      <c r="AG36" s="22" t="s">
        <v>63</v>
      </c>
      <c r="AH36" s="2"/>
      <c r="AI36" s="3"/>
      <c r="AJ36" s="23"/>
      <c r="AK36" s="2"/>
      <c r="AL36" s="3"/>
      <c r="AM36" s="22" t="s">
        <v>270</v>
      </c>
      <c r="AN36" s="2"/>
      <c r="AO36" s="3"/>
      <c r="AP36" s="24">
        <v>46182</v>
      </c>
      <c r="AQ36" s="2"/>
      <c r="AR36" s="3"/>
      <c r="AS36" s="19"/>
      <c r="AT36" s="2"/>
      <c r="AU36" s="3"/>
      <c r="AV36" s="19" t="s">
        <v>63</v>
      </c>
      <c r="AW36" s="2"/>
      <c r="AX36" s="3"/>
      <c r="AY36" s="19"/>
      <c r="AZ36" s="2"/>
      <c r="BA36" s="3"/>
      <c r="BB36" s="19" t="s">
        <v>271</v>
      </c>
      <c r="BC36" s="2"/>
      <c r="BD36" s="3"/>
      <c r="BE36" s="21">
        <v>46240</v>
      </c>
      <c r="BF36" s="2"/>
      <c r="BG36" s="3"/>
      <c r="BH36" s="19"/>
      <c r="BI36" s="2"/>
      <c r="BJ36" s="3"/>
      <c r="BK36" s="18"/>
      <c r="BL36" s="2"/>
      <c r="BM36" s="2"/>
      <c r="BN36" s="2"/>
      <c r="BO36" s="2"/>
      <c r="BP36" s="2"/>
      <c r="BQ36" s="3"/>
    </row>
    <row r="37" ht="288" customHeight="1" spans="1:69">
      <c r="A37" s="17">
        <v>22</v>
      </c>
      <c r="B37" s="28" t="s">
        <v>373</v>
      </c>
      <c r="C37" s="2"/>
      <c r="D37" s="3"/>
      <c r="E37" s="28" t="s">
        <v>374</v>
      </c>
      <c r="F37" s="2"/>
      <c r="G37" s="2"/>
      <c r="H37" s="2"/>
      <c r="I37" s="3"/>
      <c r="J37" s="28" t="s">
        <v>375</v>
      </c>
      <c r="K37" s="2"/>
      <c r="L37" s="2"/>
      <c r="M37" s="2"/>
      <c r="N37" s="2"/>
      <c r="O37" s="2"/>
      <c r="P37" s="3"/>
      <c r="Q37" s="28" t="s">
        <v>376</v>
      </c>
      <c r="R37" s="2"/>
      <c r="S37" s="2"/>
      <c r="T37" s="2"/>
      <c r="U37" s="2"/>
      <c r="V37" s="2"/>
      <c r="W37" s="3"/>
      <c r="X37" s="28" t="s">
        <v>377</v>
      </c>
      <c r="Y37" s="2"/>
      <c r="Z37" s="2"/>
      <c r="AA37" s="2"/>
      <c r="AB37" s="2"/>
      <c r="AC37" s="2"/>
      <c r="AD37" s="3"/>
      <c r="AE37" s="19" t="s">
        <v>283</v>
      </c>
      <c r="AF37" s="3"/>
      <c r="AG37" s="22" t="s">
        <v>63</v>
      </c>
      <c r="AH37" s="2"/>
      <c r="AI37" s="3"/>
      <c r="AJ37" s="23"/>
      <c r="AK37" s="2"/>
      <c r="AL37" s="3"/>
      <c r="AM37" s="22" t="s">
        <v>270</v>
      </c>
      <c r="AN37" s="2"/>
      <c r="AO37" s="3"/>
      <c r="AP37" s="24">
        <v>46182</v>
      </c>
      <c r="AQ37" s="2"/>
      <c r="AR37" s="3"/>
      <c r="AS37" s="19"/>
      <c r="AT37" s="2"/>
      <c r="AU37" s="3"/>
      <c r="AV37" s="19" t="s">
        <v>66</v>
      </c>
      <c r="AW37" s="2"/>
      <c r="AX37" s="3"/>
      <c r="AY37" s="19"/>
      <c r="AZ37" s="2"/>
      <c r="BA37" s="3"/>
      <c r="BB37" s="19" t="s">
        <v>271</v>
      </c>
      <c r="BC37" s="2"/>
      <c r="BD37" s="3"/>
      <c r="BE37" s="21">
        <v>46240</v>
      </c>
      <c r="BF37" s="2"/>
      <c r="BG37" s="3"/>
      <c r="BH37" s="19"/>
      <c r="BI37" s="2"/>
      <c r="BJ37" s="3"/>
      <c r="BK37" s="18" t="s">
        <v>378</v>
      </c>
      <c r="BL37" s="2"/>
      <c r="BM37" s="2"/>
      <c r="BN37" s="2"/>
      <c r="BO37" s="2"/>
      <c r="BP37" s="2"/>
      <c r="BQ37" s="3"/>
    </row>
    <row r="38" ht="351.75" customHeight="1" spans="1:69">
      <c r="A38" s="17">
        <v>23</v>
      </c>
      <c r="B38" s="18" t="s">
        <v>379</v>
      </c>
      <c r="C38" s="2"/>
      <c r="D38" s="3"/>
      <c r="E38" s="18" t="s">
        <v>380</v>
      </c>
      <c r="F38" s="2"/>
      <c r="G38" s="2"/>
      <c r="H38" s="2"/>
      <c r="I38" s="3"/>
      <c r="J38" s="18" t="s">
        <v>381</v>
      </c>
      <c r="K38" s="2"/>
      <c r="L38" s="2"/>
      <c r="M38" s="2"/>
      <c r="N38" s="2"/>
      <c r="O38" s="2"/>
      <c r="P38" s="3"/>
      <c r="Q38" s="18" t="s">
        <v>382</v>
      </c>
      <c r="R38" s="2"/>
      <c r="S38" s="2"/>
      <c r="T38" s="2"/>
      <c r="U38" s="2"/>
      <c r="V38" s="2"/>
      <c r="W38" s="3"/>
      <c r="X38" s="18" t="s">
        <v>383</v>
      </c>
      <c r="Y38" s="2"/>
      <c r="Z38" s="2"/>
      <c r="AA38" s="2"/>
      <c r="AB38" s="2"/>
      <c r="AC38" s="2"/>
      <c r="AD38" s="3"/>
      <c r="AE38" s="19" t="s">
        <v>283</v>
      </c>
      <c r="AF38" s="3"/>
      <c r="AG38" s="22" t="s">
        <v>63</v>
      </c>
      <c r="AH38" s="2"/>
      <c r="AI38" s="3"/>
      <c r="AJ38" s="23"/>
      <c r="AK38" s="2"/>
      <c r="AL38" s="3"/>
      <c r="AM38" s="22" t="s">
        <v>270</v>
      </c>
      <c r="AN38" s="2"/>
      <c r="AO38" s="3"/>
      <c r="AP38" s="24">
        <v>46182</v>
      </c>
      <c r="AQ38" s="2"/>
      <c r="AR38" s="3"/>
      <c r="AS38" s="19"/>
      <c r="AT38" s="2"/>
      <c r="AU38" s="3"/>
      <c r="AV38" s="19" t="s">
        <v>63</v>
      </c>
      <c r="AW38" s="2"/>
      <c r="AX38" s="3"/>
      <c r="AY38" s="19"/>
      <c r="AZ38" s="2"/>
      <c r="BA38" s="3"/>
      <c r="BB38" s="19" t="s">
        <v>271</v>
      </c>
      <c r="BC38" s="2"/>
      <c r="BD38" s="3"/>
      <c r="BE38" s="21">
        <v>46240</v>
      </c>
      <c r="BF38" s="2"/>
      <c r="BG38" s="3"/>
      <c r="BH38" s="19"/>
      <c r="BI38" s="2"/>
      <c r="BJ38" s="3"/>
      <c r="BK38" s="18"/>
      <c r="BL38" s="2"/>
      <c r="BM38" s="2"/>
      <c r="BN38" s="2"/>
      <c r="BO38" s="2"/>
      <c r="BP38" s="2"/>
      <c r="BQ38" s="3"/>
    </row>
    <row r="39" ht="271.5" customHeight="1" spans="1:69">
      <c r="A39" s="17">
        <v>24</v>
      </c>
      <c r="B39" s="18" t="s">
        <v>384</v>
      </c>
      <c r="C39" s="2"/>
      <c r="D39" s="3"/>
      <c r="E39" s="18" t="s">
        <v>385</v>
      </c>
      <c r="F39" s="2"/>
      <c r="G39" s="2"/>
      <c r="H39" s="2"/>
      <c r="I39" s="3"/>
      <c r="J39" s="18" t="s">
        <v>386</v>
      </c>
      <c r="K39" s="2"/>
      <c r="L39" s="2"/>
      <c r="M39" s="2"/>
      <c r="N39" s="2"/>
      <c r="O39" s="2"/>
      <c r="P39" s="3"/>
      <c r="Q39" s="18" t="s">
        <v>387</v>
      </c>
      <c r="R39" s="2"/>
      <c r="S39" s="2"/>
      <c r="T39" s="2"/>
      <c r="U39" s="2"/>
      <c r="V39" s="2"/>
      <c r="W39" s="3"/>
      <c r="X39" s="18" t="s">
        <v>388</v>
      </c>
      <c r="Y39" s="2"/>
      <c r="Z39" s="2"/>
      <c r="AA39" s="2"/>
      <c r="AB39" s="2"/>
      <c r="AC39" s="2"/>
      <c r="AD39" s="3"/>
      <c r="AE39" s="19" t="s">
        <v>283</v>
      </c>
      <c r="AF39" s="3"/>
      <c r="AG39" s="22" t="s">
        <v>63</v>
      </c>
      <c r="AH39" s="2"/>
      <c r="AI39" s="3"/>
      <c r="AJ39" s="23"/>
      <c r="AK39" s="2"/>
      <c r="AL39" s="3"/>
      <c r="AM39" s="22" t="s">
        <v>270</v>
      </c>
      <c r="AN39" s="2"/>
      <c r="AO39" s="3"/>
      <c r="AP39" s="24">
        <v>46182</v>
      </c>
      <c r="AQ39" s="2"/>
      <c r="AR39" s="3"/>
      <c r="AS39" s="19"/>
      <c r="AT39" s="2"/>
      <c r="AU39" s="3"/>
      <c r="AV39" s="19" t="s">
        <v>63</v>
      </c>
      <c r="AW39" s="2"/>
      <c r="AX39" s="3"/>
      <c r="AY39" s="19"/>
      <c r="AZ39" s="2"/>
      <c r="BA39" s="3"/>
      <c r="BB39" s="19" t="s">
        <v>271</v>
      </c>
      <c r="BC39" s="2"/>
      <c r="BD39" s="3"/>
      <c r="BE39" s="21">
        <v>46240</v>
      </c>
      <c r="BF39" s="2"/>
      <c r="BG39" s="3"/>
      <c r="BH39" s="19"/>
      <c r="BI39" s="2"/>
      <c r="BJ39" s="3"/>
      <c r="BK39" s="18"/>
      <c r="BL39" s="2"/>
      <c r="BM39" s="2"/>
      <c r="BN39" s="2"/>
      <c r="BO39" s="2"/>
      <c r="BP39" s="2"/>
      <c r="BQ39" s="3"/>
    </row>
    <row r="40" ht="319.5" customHeight="1" spans="1:69">
      <c r="A40" s="17">
        <v>25</v>
      </c>
      <c r="B40" s="18" t="s">
        <v>389</v>
      </c>
      <c r="C40" s="2"/>
      <c r="D40" s="3"/>
      <c r="E40" s="18" t="s">
        <v>390</v>
      </c>
      <c r="F40" s="2"/>
      <c r="G40" s="2"/>
      <c r="H40" s="2"/>
      <c r="I40" s="3"/>
      <c r="J40" s="18" t="s">
        <v>370</v>
      </c>
      <c r="K40" s="2"/>
      <c r="L40" s="2"/>
      <c r="M40" s="2"/>
      <c r="N40" s="2"/>
      <c r="O40" s="2"/>
      <c r="P40" s="3"/>
      <c r="Q40" s="18" t="s">
        <v>391</v>
      </c>
      <c r="R40" s="2"/>
      <c r="S40" s="2"/>
      <c r="T40" s="2"/>
      <c r="U40" s="2"/>
      <c r="V40" s="2"/>
      <c r="W40" s="3"/>
      <c r="X40" s="18" t="s">
        <v>392</v>
      </c>
      <c r="Y40" s="2"/>
      <c r="Z40" s="2"/>
      <c r="AA40" s="2"/>
      <c r="AB40" s="2"/>
      <c r="AC40" s="2"/>
      <c r="AD40" s="3"/>
      <c r="AE40" s="19" t="s">
        <v>283</v>
      </c>
      <c r="AF40" s="3"/>
      <c r="AG40" s="22" t="s">
        <v>63</v>
      </c>
      <c r="AH40" s="2"/>
      <c r="AI40" s="3"/>
      <c r="AJ40" s="23"/>
      <c r="AK40" s="2"/>
      <c r="AL40" s="3"/>
      <c r="AM40" s="22" t="s">
        <v>270</v>
      </c>
      <c r="AN40" s="2"/>
      <c r="AO40" s="3"/>
      <c r="AP40" s="24">
        <v>46182</v>
      </c>
      <c r="AQ40" s="2"/>
      <c r="AR40" s="3"/>
      <c r="AS40" s="19"/>
      <c r="AT40" s="2"/>
      <c r="AU40" s="3"/>
      <c r="AV40" s="19" t="s">
        <v>63</v>
      </c>
      <c r="AW40" s="2"/>
      <c r="AX40" s="3"/>
      <c r="AY40" s="19"/>
      <c r="AZ40" s="2"/>
      <c r="BA40" s="3"/>
      <c r="BB40" s="19" t="s">
        <v>271</v>
      </c>
      <c r="BC40" s="2"/>
      <c r="BD40" s="3"/>
      <c r="BE40" s="21">
        <v>46240</v>
      </c>
      <c r="BF40" s="2"/>
      <c r="BG40" s="3"/>
      <c r="BH40" s="19"/>
      <c r="BI40" s="2"/>
      <c r="BJ40" s="3"/>
      <c r="BK40" s="18"/>
      <c r="BL40" s="2"/>
      <c r="BM40" s="2"/>
      <c r="BN40" s="2"/>
      <c r="BO40" s="2"/>
      <c r="BP40" s="2"/>
      <c r="BQ40" s="3"/>
    </row>
    <row r="41" ht="303.75" customHeight="1" spans="1:69">
      <c r="A41" s="17">
        <v>26</v>
      </c>
      <c r="B41" s="18" t="s">
        <v>393</v>
      </c>
      <c r="C41" s="2"/>
      <c r="D41" s="3"/>
      <c r="E41" s="18" t="s">
        <v>394</v>
      </c>
      <c r="F41" s="2"/>
      <c r="G41" s="2"/>
      <c r="H41" s="2"/>
      <c r="I41" s="3"/>
      <c r="J41" s="18" t="s">
        <v>395</v>
      </c>
      <c r="K41" s="2"/>
      <c r="L41" s="2"/>
      <c r="M41" s="2"/>
      <c r="N41" s="2"/>
      <c r="O41" s="2"/>
      <c r="P41" s="3"/>
      <c r="Q41" s="18" t="s">
        <v>396</v>
      </c>
      <c r="R41" s="2"/>
      <c r="S41" s="2"/>
      <c r="T41" s="2"/>
      <c r="U41" s="2"/>
      <c r="V41" s="2"/>
      <c r="W41" s="3"/>
      <c r="X41" s="18" t="s">
        <v>397</v>
      </c>
      <c r="Y41" s="2"/>
      <c r="Z41" s="2"/>
      <c r="AA41" s="2"/>
      <c r="AB41" s="2"/>
      <c r="AC41" s="2"/>
      <c r="AD41" s="3"/>
      <c r="AE41" s="19" t="s">
        <v>283</v>
      </c>
      <c r="AF41" s="3"/>
      <c r="AG41" s="22" t="s">
        <v>63</v>
      </c>
      <c r="AH41" s="2"/>
      <c r="AI41" s="3"/>
      <c r="AJ41" s="23"/>
      <c r="AK41" s="2"/>
      <c r="AL41" s="3"/>
      <c r="AM41" s="22" t="s">
        <v>270</v>
      </c>
      <c r="AN41" s="2"/>
      <c r="AO41" s="3"/>
      <c r="AP41" s="24">
        <v>46182</v>
      </c>
      <c r="AQ41" s="2"/>
      <c r="AR41" s="3"/>
      <c r="AS41" s="19"/>
      <c r="AT41" s="2"/>
      <c r="AU41" s="3"/>
      <c r="AV41" s="19" t="s">
        <v>63</v>
      </c>
      <c r="AW41" s="2"/>
      <c r="AX41" s="3"/>
      <c r="AY41" s="19"/>
      <c r="AZ41" s="2"/>
      <c r="BA41" s="3"/>
      <c r="BB41" s="19" t="s">
        <v>271</v>
      </c>
      <c r="BC41" s="2"/>
      <c r="BD41" s="3"/>
      <c r="BE41" s="21">
        <v>46240</v>
      </c>
      <c r="BF41" s="2"/>
      <c r="BG41" s="3"/>
      <c r="BH41" s="19"/>
      <c r="BI41" s="2"/>
      <c r="BJ41" s="3"/>
      <c r="BK41" s="18" t="s">
        <v>302</v>
      </c>
      <c r="BL41" s="2"/>
      <c r="BM41" s="2"/>
      <c r="BN41" s="2"/>
      <c r="BO41" s="2"/>
      <c r="BP41" s="2"/>
      <c r="BQ41" s="3"/>
    </row>
    <row r="42" ht="22.5" customHeight="1" spans="1:69">
      <c r="A42" s="16" t="s">
        <v>398</v>
      </c>
      <c r="B42" s="2"/>
      <c r="C42" s="2"/>
      <c r="D42" s="2"/>
      <c r="E42" s="2"/>
      <c r="F42" s="2"/>
      <c r="G42" s="2"/>
      <c r="H42" s="2"/>
      <c r="I42" s="2"/>
      <c r="J42" s="2"/>
      <c r="K42" s="2"/>
      <c r="L42" s="2"/>
      <c r="M42" s="2"/>
      <c r="N42" s="2"/>
      <c r="O42" s="2"/>
      <c r="P42" s="2"/>
      <c r="Q42" s="2"/>
      <c r="R42" s="2"/>
      <c r="S42" s="2"/>
      <c r="T42" s="2"/>
      <c r="U42" s="2"/>
      <c r="V42" s="2"/>
      <c r="W42" s="2"/>
      <c r="X42" s="2"/>
      <c r="Y42" s="2"/>
      <c r="Z42" s="2"/>
      <c r="AA42" s="2"/>
      <c r="AB42" s="2"/>
      <c r="AC42" s="2"/>
      <c r="AD42" s="2"/>
      <c r="AE42" s="2"/>
      <c r="AF42" s="2"/>
      <c r="AG42" s="2"/>
      <c r="AH42" s="2"/>
      <c r="AI42" s="2"/>
      <c r="AJ42" s="2"/>
      <c r="AK42" s="2"/>
      <c r="AL42" s="2"/>
      <c r="AM42" s="2"/>
      <c r="AN42" s="2"/>
      <c r="AO42" s="2"/>
      <c r="AP42" s="2"/>
      <c r="AQ42" s="2"/>
      <c r="AR42" s="2"/>
      <c r="AS42" s="2"/>
      <c r="AT42" s="2"/>
      <c r="AU42" s="2"/>
      <c r="AV42" s="2"/>
      <c r="AW42" s="2"/>
      <c r="AX42" s="2"/>
      <c r="AY42" s="2"/>
      <c r="AZ42" s="2"/>
      <c r="BA42" s="2"/>
      <c r="BB42" s="2"/>
      <c r="BC42" s="2"/>
      <c r="BD42" s="2"/>
      <c r="BE42" s="2"/>
      <c r="BF42" s="2"/>
      <c r="BG42" s="2"/>
      <c r="BH42" s="2"/>
      <c r="BI42" s="2"/>
      <c r="BJ42" s="2"/>
      <c r="BK42" s="2"/>
      <c r="BL42" s="2"/>
      <c r="BM42" s="2"/>
      <c r="BN42" s="2"/>
      <c r="BO42" s="2"/>
      <c r="BP42" s="2"/>
      <c r="BQ42" s="3"/>
    </row>
    <row r="43" ht="303.75" customHeight="1" spans="1:69">
      <c r="A43" s="17">
        <v>27</v>
      </c>
      <c r="B43" s="18" t="s">
        <v>399</v>
      </c>
      <c r="C43" s="2"/>
      <c r="D43" s="3"/>
      <c r="E43" s="18" t="s">
        <v>400</v>
      </c>
      <c r="F43" s="2"/>
      <c r="G43" s="2"/>
      <c r="H43" s="2"/>
      <c r="I43" s="3"/>
      <c r="J43" s="18" t="s">
        <v>401</v>
      </c>
      <c r="K43" s="2"/>
      <c r="L43" s="2"/>
      <c r="M43" s="2"/>
      <c r="N43" s="2"/>
      <c r="O43" s="2"/>
      <c r="P43" s="3"/>
      <c r="Q43" s="18" t="s">
        <v>402</v>
      </c>
      <c r="R43" s="2"/>
      <c r="S43" s="2"/>
      <c r="T43" s="2"/>
      <c r="U43" s="2"/>
      <c r="V43" s="2"/>
      <c r="W43" s="3"/>
      <c r="X43" s="18" t="s">
        <v>403</v>
      </c>
      <c r="Y43" s="2"/>
      <c r="Z43" s="2"/>
      <c r="AA43" s="2"/>
      <c r="AB43" s="2"/>
      <c r="AC43" s="2"/>
      <c r="AD43" s="3"/>
      <c r="AE43" s="19" t="s">
        <v>213</v>
      </c>
      <c r="AF43" s="3"/>
      <c r="AG43" s="22" t="s">
        <v>63</v>
      </c>
      <c r="AH43" s="2"/>
      <c r="AI43" s="3"/>
      <c r="AJ43" s="23"/>
      <c r="AK43" s="2"/>
      <c r="AL43" s="3"/>
      <c r="AM43" s="22" t="s">
        <v>270</v>
      </c>
      <c r="AN43" s="2"/>
      <c r="AO43" s="3"/>
      <c r="AP43" s="24">
        <v>46182</v>
      </c>
      <c r="AQ43" s="2"/>
      <c r="AR43" s="3"/>
      <c r="AS43" s="19"/>
      <c r="AT43" s="2"/>
      <c r="AU43" s="3"/>
      <c r="AV43" s="19" t="s">
        <v>63</v>
      </c>
      <c r="AW43" s="2"/>
      <c r="AX43" s="3"/>
      <c r="AY43" s="19"/>
      <c r="AZ43" s="2"/>
      <c r="BA43" s="3"/>
      <c r="BB43" s="19" t="s">
        <v>271</v>
      </c>
      <c r="BC43" s="2"/>
      <c r="BD43" s="3"/>
      <c r="BE43" s="21">
        <v>46240</v>
      </c>
      <c r="BF43" s="2"/>
      <c r="BG43" s="3"/>
      <c r="BH43" s="19"/>
      <c r="BI43" s="2"/>
      <c r="BJ43" s="3"/>
      <c r="BK43" s="18"/>
      <c r="BL43" s="2"/>
      <c r="BM43" s="2"/>
      <c r="BN43" s="2"/>
      <c r="BO43" s="2"/>
      <c r="BP43" s="2"/>
      <c r="BQ43" s="3"/>
    </row>
    <row r="44" ht="223.5" customHeight="1" spans="1:69">
      <c r="A44" s="17">
        <v>28</v>
      </c>
      <c r="B44" s="18" t="s">
        <v>404</v>
      </c>
      <c r="C44" s="2"/>
      <c r="D44" s="3"/>
      <c r="E44" s="18" t="s">
        <v>405</v>
      </c>
      <c r="F44" s="2"/>
      <c r="G44" s="2"/>
      <c r="H44" s="2"/>
      <c r="I44" s="3"/>
      <c r="J44" s="18" t="s">
        <v>406</v>
      </c>
      <c r="K44" s="2"/>
      <c r="L44" s="2"/>
      <c r="M44" s="2"/>
      <c r="N44" s="2"/>
      <c r="O44" s="2"/>
      <c r="P44" s="3"/>
      <c r="Q44" s="18" t="s">
        <v>407</v>
      </c>
      <c r="R44" s="2"/>
      <c r="S44" s="2"/>
      <c r="T44" s="2"/>
      <c r="U44" s="2"/>
      <c r="V44" s="2"/>
      <c r="W44" s="3"/>
      <c r="X44" s="18" t="s">
        <v>408</v>
      </c>
      <c r="Y44" s="2"/>
      <c r="Z44" s="2"/>
      <c r="AA44" s="2"/>
      <c r="AB44" s="2"/>
      <c r="AC44" s="2"/>
      <c r="AD44" s="3"/>
      <c r="AE44" s="19" t="s">
        <v>213</v>
      </c>
      <c r="AF44" s="3"/>
      <c r="AG44" s="22" t="s">
        <v>63</v>
      </c>
      <c r="AH44" s="2"/>
      <c r="AI44" s="3"/>
      <c r="AJ44" s="23"/>
      <c r="AK44" s="2"/>
      <c r="AL44" s="3"/>
      <c r="AM44" s="22" t="s">
        <v>270</v>
      </c>
      <c r="AN44" s="2"/>
      <c r="AO44" s="3"/>
      <c r="AP44" s="24">
        <v>46182</v>
      </c>
      <c r="AQ44" s="2"/>
      <c r="AR44" s="3"/>
      <c r="AS44" s="19"/>
      <c r="AT44" s="2"/>
      <c r="AU44" s="3"/>
      <c r="AV44" s="19" t="s">
        <v>63</v>
      </c>
      <c r="AW44" s="2"/>
      <c r="AX44" s="3"/>
      <c r="AY44" s="19"/>
      <c r="AZ44" s="2"/>
      <c r="BA44" s="3"/>
      <c r="BB44" s="19" t="s">
        <v>271</v>
      </c>
      <c r="BC44" s="2"/>
      <c r="BD44" s="3"/>
      <c r="BE44" s="21">
        <v>46240</v>
      </c>
      <c r="BF44" s="2"/>
      <c r="BG44" s="3"/>
      <c r="BH44" s="19"/>
      <c r="BI44" s="2"/>
      <c r="BJ44" s="3"/>
      <c r="BK44" s="18"/>
      <c r="BL44" s="2"/>
      <c r="BM44" s="2"/>
      <c r="BN44" s="2"/>
      <c r="BO44" s="2"/>
      <c r="BP44" s="2"/>
      <c r="BQ44" s="3"/>
    </row>
    <row r="45" ht="409.5" customHeight="1" spans="1:69">
      <c r="A45" s="25">
        <v>29</v>
      </c>
      <c r="B45" s="26" t="s">
        <v>409</v>
      </c>
      <c r="C45" s="2"/>
      <c r="D45" s="3"/>
      <c r="E45" s="26" t="s">
        <v>410</v>
      </c>
      <c r="F45" s="2"/>
      <c r="G45" s="2"/>
      <c r="H45" s="2"/>
      <c r="I45" s="3"/>
      <c r="J45" s="26" t="s">
        <v>406</v>
      </c>
      <c r="K45" s="2"/>
      <c r="L45" s="2"/>
      <c r="M45" s="2"/>
      <c r="N45" s="2"/>
      <c r="O45" s="2"/>
      <c r="P45" s="3"/>
      <c r="Q45" s="26" t="s">
        <v>411</v>
      </c>
      <c r="R45" s="2"/>
      <c r="S45" s="2"/>
      <c r="T45" s="2"/>
      <c r="U45" s="2"/>
      <c r="V45" s="2"/>
      <c r="W45" s="3"/>
      <c r="X45" s="26" t="s">
        <v>412</v>
      </c>
      <c r="Y45" s="2"/>
      <c r="Z45" s="2"/>
      <c r="AA45" s="2"/>
      <c r="AB45" s="2"/>
      <c r="AC45" s="2"/>
      <c r="AD45" s="3"/>
      <c r="AE45" s="27" t="s">
        <v>213</v>
      </c>
      <c r="AF45" s="3"/>
      <c r="AG45" s="19" t="s">
        <v>66</v>
      </c>
      <c r="AH45" s="2"/>
      <c r="AI45" s="3"/>
      <c r="AJ45" s="19"/>
      <c r="AK45" s="2"/>
      <c r="AL45" s="3"/>
      <c r="AM45" s="19"/>
      <c r="AN45" s="2"/>
      <c r="AO45" s="3"/>
      <c r="AP45" s="19"/>
      <c r="AQ45" s="2"/>
      <c r="AR45" s="3"/>
      <c r="AS45" s="19"/>
      <c r="AT45" s="2"/>
      <c r="AU45" s="3"/>
      <c r="AV45" s="19" t="s">
        <v>66</v>
      </c>
      <c r="AW45" s="2"/>
      <c r="AX45" s="3"/>
      <c r="AY45" s="19"/>
      <c r="AZ45" s="2"/>
      <c r="BA45" s="3"/>
      <c r="BB45" s="19"/>
      <c r="BC45" s="2"/>
      <c r="BD45" s="3"/>
      <c r="BE45" s="19"/>
      <c r="BF45" s="2"/>
      <c r="BG45" s="3"/>
      <c r="BH45" s="19"/>
      <c r="BI45" s="2"/>
      <c r="BJ45" s="3"/>
      <c r="BK45" s="18"/>
      <c r="BL45" s="2"/>
      <c r="BM45" s="2"/>
      <c r="BN45" s="2"/>
      <c r="BO45" s="2"/>
      <c r="BP45" s="2"/>
      <c r="BQ45" s="3"/>
    </row>
    <row r="46" ht="275.25" customHeight="1" spans="1:69">
      <c r="A46" s="17">
        <v>30</v>
      </c>
      <c r="B46" s="18" t="s">
        <v>413</v>
      </c>
      <c r="C46" s="2"/>
      <c r="D46" s="3"/>
      <c r="E46" s="18" t="s">
        <v>414</v>
      </c>
      <c r="F46" s="2"/>
      <c r="G46" s="2"/>
      <c r="H46" s="2"/>
      <c r="I46" s="3"/>
      <c r="J46" s="18" t="s">
        <v>415</v>
      </c>
      <c r="K46" s="2"/>
      <c r="L46" s="2"/>
      <c r="M46" s="2"/>
      <c r="N46" s="2"/>
      <c r="O46" s="2"/>
      <c r="P46" s="3"/>
      <c r="Q46" s="18" t="s">
        <v>416</v>
      </c>
      <c r="R46" s="2"/>
      <c r="S46" s="2"/>
      <c r="T46" s="2"/>
      <c r="U46" s="2"/>
      <c r="V46" s="2"/>
      <c r="W46" s="3"/>
      <c r="X46" s="18" t="s">
        <v>417</v>
      </c>
      <c r="Y46" s="2"/>
      <c r="Z46" s="2"/>
      <c r="AA46" s="2"/>
      <c r="AB46" s="2"/>
      <c r="AC46" s="2"/>
      <c r="AD46" s="3"/>
      <c r="AE46" s="19" t="s">
        <v>213</v>
      </c>
      <c r="AF46" s="3"/>
      <c r="AG46" s="22" t="s">
        <v>63</v>
      </c>
      <c r="AH46" s="2"/>
      <c r="AI46" s="3"/>
      <c r="AJ46" s="23"/>
      <c r="AK46" s="2"/>
      <c r="AL46" s="3"/>
      <c r="AM46" s="22" t="s">
        <v>270</v>
      </c>
      <c r="AN46" s="2"/>
      <c r="AO46" s="3"/>
      <c r="AP46" s="24">
        <v>46182</v>
      </c>
      <c r="AQ46" s="2"/>
      <c r="AR46" s="3"/>
      <c r="AS46" s="19"/>
      <c r="AT46" s="2"/>
      <c r="AU46" s="3"/>
      <c r="AV46" s="19" t="s">
        <v>63</v>
      </c>
      <c r="AW46" s="2"/>
      <c r="AX46" s="3"/>
      <c r="AY46" s="19"/>
      <c r="AZ46" s="2"/>
      <c r="BA46" s="3"/>
      <c r="BB46" s="19" t="s">
        <v>271</v>
      </c>
      <c r="BC46" s="2"/>
      <c r="BD46" s="3"/>
      <c r="BE46" s="21">
        <v>46240</v>
      </c>
      <c r="BF46" s="2"/>
      <c r="BG46" s="3"/>
      <c r="BH46" s="19"/>
      <c r="BI46" s="2"/>
      <c r="BJ46" s="3"/>
      <c r="BK46" s="18"/>
      <c r="BL46" s="2"/>
      <c r="BM46" s="2"/>
      <c r="BN46" s="2"/>
      <c r="BO46" s="2"/>
      <c r="BP46" s="2"/>
      <c r="BQ46" s="3"/>
    </row>
    <row r="47" ht="309" customHeight="1" spans="1:69">
      <c r="A47" s="17">
        <v>31</v>
      </c>
      <c r="B47" s="18" t="s">
        <v>418</v>
      </c>
      <c r="C47" s="2"/>
      <c r="D47" s="3"/>
      <c r="E47" s="18" t="s">
        <v>419</v>
      </c>
      <c r="F47" s="2"/>
      <c r="G47" s="2"/>
      <c r="H47" s="2"/>
      <c r="I47" s="3"/>
      <c r="J47" s="18" t="s">
        <v>420</v>
      </c>
      <c r="K47" s="2"/>
      <c r="L47" s="2"/>
      <c r="M47" s="2"/>
      <c r="N47" s="2"/>
      <c r="O47" s="2"/>
      <c r="P47" s="3"/>
      <c r="Q47" s="18" t="s">
        <v>421</v>
      </c>
      <c r="R47" s="2"/>
      <c r="S47" s="2"/>
      <c r="T47" s="2"/>
      <c r="U47" s="2"/>
      <c r="V47" s="2"/>
      <c r="W47" s="3"/>
      <c r="X47" s="18" t="s">
        <v>422</v>
      </c>
      <c r="Y47" s="2"/>
      <c r="Z47" s="2"/>
      <c r="AA47" s="2"/>
      <c r="AB47" s="2"/>
      <c r="AC47" s="2"/>
      <c r="AD47" s="3"/>
      <c r="AE47" s="19" t="s">
        <v>213</v>
      </c>
      <c r="AF47" s="3"/>
      <c r="AG47" s="22" t="s">
        <v>63</v>
      </c>
      <c r="AH47" s="2"/>
      <c r="AI47" s="3"/>
      <c r="AJ47" s="23"/>
      <c r="AK47" s="2"/>
      <c r="AL47" s="3"/>
      <c r="AM47" s="22" t="s">
        <v>270</v>
      </c>
      <c r="AN47" s="2"/>
      <c r="AO47" s="3"/>
      <c r="AP47" s="24">
        <v>46182</v>
      </c>
      <c r="AQ47" s="2"/>
      <c r="AR47" s="3"/>
      <c r="AS47" s="19"/>
      <c r="AT47" s="2"/>
      <c r="AU47" s="3"/>
      <c r="AV47" s="19" t="s">
        <v>63</v>
      </c>
      <c r="AW47" s="2"/>
      <c r="AX47" s="3"/>
      <c r="AY47" s="19"/>
      <c r="AZ47" s="2"/>
      <c r="BA47" s="3"/>
      <c r="BB47" s="19" t="s">
        <v>271</v>
      </c>
      <c r="BC47" s="2"/>
      <c r="BD47" s="3"/>
      <c r="BE47" s="21">
        <v>46240</v>
      </c>
      <c r="BF47" s="2"/>
      <c r="BG47" s="3"/>
      <c r="BH47" s="19"/>
      <c r="BI47" s="2"/>
      <c r="BJ47" s="3"/>
      <c r="BK47" s="18"/>
      <c r="BL47" s="2"/>
      <c r="BM47" s="2"/>
      <c r="BN47" s="2"/>
      <c r="BO47" s="2"/>
      <c r="BP47" s="2"/>
      <c r="BQ47" s="3"/>
    </row>
    <row r="48" ht="308.25" customHeight="1" spans="1:69">
      <c r="A48" s="17">
        <v>32</v>
      </c>
      <c r="B48" s="18" t="s">
        <v>423</v>
      </c>
      <c r="C48" s="2"/>
      <c r="D48" s="3"/>
      <c r="E48" s="18" t="s">
        <v>424</v>
      </c>
      <c r="F48" s="2"/>
      <c r="G48" s="2"/>
      <c r="H48" s="2"/>
      <c r="I48" s="3"/>
      <c r="J48" s="18" t="s">
        <v>425</v>
      </c>
      <c r="K48" s="2"/>
      <c r="L48" s="2"/>
      <c r="M48" s="2"/>
      <c r="N48" s="2"/>
      <c r="O48" s="2"/>
      <c r="P48" s="3"/>
      <c r="Q48" s="18" t="s">
        <v>426</v>
      </c>
      <c r="R48" s="2"/>
      <c r="S48" s="2"/>
      <c r="T48" s="2"/>
      <c r="U48" s="2"/>
      <c r="V48" s="2"/>
      <c r="W48" s="3"/>
      <c r="X48" s="18" t="s">
        <v>427</v>
      </c>
      <c r="Y48" s="2"/>
      <c r="Z48" s="2"/>
      <c r="AA48" s="2"/>
      <c r="AB48" s="2"/>
      <c r="AC48" s="2"/>
      <c r="AD48" s="3"/>
      <c r="AE48" s="19" t="s">
        <v>213</v>
      </c>
      <c r="AF48" s="3"/>
      <c r="AG48" s="19" t="s">
        <v>65</v>
      </c>
      <c r="AH48" s="2"/>
      <c r="AI48" s="3"/>
      <c r="AJ48" s="19"/>
      <c r="AK48" s="2"/>
      <c r="AL48" s="3"/>
      <c r="AM48" s="19"/>
      <c r="AN48" s="2"/>
      <c r="AO48" s="3"/>
      <c r="AP48" s="19"/>
      <c r="AQ48" s="2"/>
      <c r="AR48" s="3"/>
      <c r="AS48" s="19"/>
      <c r="AT48" s="2"/>
      <c r="AU48" s="3"/>
      <c r="AV48" s="19" t="s">
        <v>63</v>
      </c>
      <c r="AW48" s="2"/>
      <c r="AX48" s="3"/>
      <c r="AY48" s="19"/>
      <c r="AZ48" s="2"/>
      <c r="BA48" s="3"/>
      <c r="BB48" s="19" t="s">
        <v>271</v>
      </c>
      <c r="BC48" s="2"/>
      <c r="BD48" s="3"/>
      <c r="BE48" s="21">
        <v>46240</v>
      </c>
      <c r="BF48" s="2"/>
      <c r="BG48" s="3"/>
      <c r="BH48" s="19"/>
      <c r="BI48" s="2"/>
      <c r="BJ48" s="3"/>
      <c r="BK48" s="18"/>
      <c r="BL48" s="2"/>
      <c r="BM48" s="2"/>
      <c r="BN48" s="2"/>
      <c r="BO48" s="2"/>
      <c r="BP48" s="2"/>
      <c r="BQ48" s="3"/>
    </row>
    <row r="49" ht="303.75" customHeight="1" spans="1:69">
      <c r="A49" s="17">
        <v>33</v>
      </c>
      <c r="B49" s="18" t="s">
        <v>428</v>
      </c>
      <c r="C49" s="2"/>
      <c r="D49" s="3"/>
      <c r="E49" s="18" t="s">
        <v>429</v>
      </c>
      <c r="F49" s="2"/>
      <c r="G49" s="2"/>
      <c r="H49" s="2"/>
      <c r="I49" s="3"/>
      <c r="J49" s="18" t="s">
        <v>406</v>
      </c>
      <c r="K49" s="2"/>
      <c r="L49" s="2"/>
      <c r="M49" s="2"/>
      <c r="N49" s="2"/>
      <c r="O49" s="2"/>
      <c r="P49" s="3"/>
      <c r="Q49" s="18" t="s">
        <v>430</v>
      </c>
      <c r="R49" s="2"/>
      <c r="S49" s="2"/>
      <c r="T49" s="2"/>
      <c r="U49" s="2"/>
      <c r="V49" s="2"/>
      <c r="W49" s="3"/>
      <c r="X49" s="18" t="s">
        <v>431</v>
      </c>
      <c r="Y49" s="2"/>
      <c r="Z49" s="2"/>
      <c r="AA49" s="2"/>
      <c r="AB49" s="2"/>
      <c r="AC49" s="2"/>
      <c r="AD49" s="3"/>
      <c r="AE49" s="19" t="s">
        <v>213</v>
      </c>
      <c r="AF49" s="3"/>
      <c r="AG49" s="22" t="s">
        <v>63</v>
      </c>
      <c r="AH49" s="2"/>
      <c r="AI49" s="3"/>
      <c r="AJ49" s="23"/>
      <c r="AK49" s="2"/>
      <c r="AL49" s="3"/>
      <c r="AM49" s="22" t="s">
        <v>270</v>
      </c>
      <c r="AN49" s="2"/>
      <c r="AO49" s="3"/>
      <c r="AP49" s="24">
        <v>46182</v>
      </c>
      <c r="AQ49" s="2"/>
      <c r="AR49" s="3"/>
      <c r="AS49" s="19"/>
      <c r="AT49" s="2"/>
      <c r="AU49" s="3"/>
      <c r="AV49" s="19" t="s">
        <v>63</v>
      </c>
      <c r="AW49" s="2"/>
      <c r="AX49" s="3"/>
      <c r="AY49" s="19"/>
      <c r="AZ49" s="2"/>
      <c r="BA49" s="3"/>
      <c r="BB49" s="19" t="s">
        <v>271</v>
      </c>
      <c r="BC49" s="2"/>
      <c r="BD49" s="3"/>
      <c r="BE49" s="21">
        <v>46240</v>
      </c>
      <c r="BF49" s="2"/>
      <c r="BG49" s="3"/>
      <c r="BH49" s="19"/>
      <c r="BI49" s="2"/>
      <c r="BJ49" s="3"/>
      <c r="BK49" s="18" t="s">
        <v>432</v>
      </c>
      <c r="BL49" s="2"/>
      <c r="BM49" s="2"/>
      <c r="BN49" s="2"/>
      <c r="BO49" s="2"/>
      <c r="BP49" s="2"/>
      <c r="BQ49" s="3"/>
    </row>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31">
    <mergeCell ref="A1:E1"/>
    <mergeCell ref="F1:Q1"/>
    <mergeCell ref="R1:V1"/>
    <mergeCell ref="W1:AH1"/>
    <mergeCell ref="A2:E2"/>
    <mergeCell ref="F2:Q2"/>
    <mergeCell ref="R2:V2"/>
    <mergeCell ref="W2:AH2"/>
    <mergeCell ref="A3:E3"/>
    <mergeCell ref="F3:Q3"/>
    <mergeCell ref="R3:V3"/>
    <mergeCell ref="W3:AH3"/>
    <mergeCell ref="A4:E4"/>
    <mergeCell ref="F4:AH4"/>
    <mergeCell ref="A5:S5"/>
    <mergeCell ref="T5:AH5"/>
    <mergeCell ref="A6:G6"/>
    <mergeCell ref="H6:J6"/>
    <mergeCell ref="K6:M6"/>
    <mergeCell ref="N6:P6"/>
    <mergeCell ref="Q6:S6"/>
    <mergeCell ref="T6:V6"/>
    <mergeCell ref="W6:Y6"/>
    <mergeCell ref="Z6:AB6"/>
    <mergeCell ref="AC6:AE6"/>
    <mergeCell ref="AF6:AH6"/>
    <mergeCell ref="A7:G7"/>
    <mergeCell ref="H7:J7"/>
    <mergeCell ref="K7:M7"/>
    <mergeCell ref="N7:P7"/>
    <mergeCell ref="Q7:S7"/>
    <mergeCell ref="T7:V7"/>
    <mergeCell ref="W7:Y7"/>
    <mergeCell ref="Z7:AB7"/>
    <mergeCell ref="AC7:AE7"/>
    <mergeCell ref="AF7:AH7"/>
    <mergeCell ref="A8:G8"/>
    <mergeCell ref="H8:J8"/>
    <mergeCell ref="K8:M8"/>
    <mergeCell ref="N8:P8"/>
    <mergeCell ref="Q8:S8"/>
    <mergeCell ref="T8:V8"/>
    <mergeCell ref="W8:Y8"/>
    <mergeCell ref="Z8:AB8"/>
    <mergeCell ref="AC8:AE8"/>
    <mergeCell ref="AF8:AH8"/>
    <mergeCell ref="AG10:AU10"/>
    <mergeCell ref="AV10:BJ10"/>
    <mergeCell ref="AG11:AI11"/>
    <mergeCell ref="AJ11:AL11"/>
    <mergeCell ref="AM11:AO11"/>
    <mergeCell ref="AP11:AR11"/>
    <mergeCell ref="AS11:AU11"/>
    <mergeCell ref="AV11:AX11"/>
    <mergeCell ref="AY11:BA11"/>
    <mergeCell ref="BB11:BD11"/>
    <mergeCell ref="BE11:BG11"/>
    <mergeCell ref="BH11:BJ11"/>
    <mergeCell ref="A12:BQ12"/>
    <mergeCell ref="B13:D13"/>
    <mergeCell ref="E13:I13"/>
    <mergeCell ref="J13:P13"/>
    <mergeCell ref="Q13:W13"/>
    <mergeCell ref="X13:AD13"/>
    <mergeCell ref="AE13:AF13"/>
    <mergeCell ref="AG13:AI13"/>
    <mergeCell ref="AJ13:AL13"/>
    <mergeCell ref="AM13:AO13"/>
    <mergeCell ref="AP13:AR13"/>
    <mergeCell ref="AS13:AU13"/>
    <mergeCell ref="AV13:AX13"/>
    <mergeCell ref="AY13:BA13"/>
    <mergeCell ref="BB13:BD13"/>
    <mergeCell ref="BE13:BG13"/>
    <mergeCell ref="BK13:BQ13"/>
    <mergeCell ref="B14:D14"/>
    <mergeCell ref="E14:I14"/>
    <mergeCell ref="J14:P14"/>
    <mergeCell ref="Q14:W14"/>
    <mergeCell ref="X14:AD14"/>
    <mergeCell ref="AE14:AF14"/>
    <mergeCell ref="AG14:AI14"/>
    <mergeCell ref="AJ14:AL14"/>
    <mergeCell ref="AM14:AO14"/>
    <mergeCell ref="AP14:AR14"/>
    <mergeCell ref="AS14:AU14"/>
    <mergeCell ref="AV14:AX14"/>
    <mergeCell ref="AY14:BA14"/>
    <mergeCell ref="BB14:BD14"/>
    <mergeCell ref="BE14:BG14"/>
    <mergeCell ref="BH14:BJ14"/>
    <mergeCell ref="BK14:BQ14"/>
    <mergeCell ref="B15:D15"/>
    <mergeCell ref="E15:I15"/>
    <mergeCell ref="J15:P15"/>
    <mergeCell ref="Q15:W15"/>
    <mergeCell ref="X15:AD15"/>
    <mergeCell ref="AE15:AF15"/>
    <mergeCell ref="AG15:AI15"/>
    <mergeCell ref="AJ15:AL15"/>
    <mergeCell ref="AM15:AO15"/>
    <mergeCell ref="AP15:AR15"/>
    <mergeCell ref="AS15:AU15"/>
    <mergeCell ref="AV15:AX15"/>
    <mergeCell ref="AY15:BA15"/>
    <mergeCell ref="BB15:BD15"/>
    <mergeCell ref="BE15:BG15"/>
    <mergeCell ref="BH15:BJ15"/>
    <mergeCell ref="BK15:BQ15"/>
    <mergeCell ref="B16:D16"/>
    <mergeCell ref="E16:I16"/>
    <mergeCell ref="J16:P16"/>
    <mergeCell ref="Q16:W16"/>
    <mergeCell ref="X16:AD16"/>
    <mergeCell ref="AE16:AF16"/>
    <mergeCell ref="AG16:AI16"/>
    <mergeCell ref="AJ16:AL16"/>
    <mergeCell ref="AM16:AO16"/>
    <mergeCell ref="AP16:AR16"/>
    <mergeCell ref="AS16:AU16"/>
    <mergeCell ref="AV16:AX16"/>
    <mergeCell ref="AY16:BA16"/>
    <mergeCell ref="BB16:BD16"/>
    <mergeCell ref="BE16:BG16"/>
    <mergeCell ref="BH16:BJ16"/>
    <mergeCell ref="BK16:BQ16"/>
    <mergeCell ref="B17:D17"/>
    <mergeCell ref="E17:I17"/>
    <mergeCell ref="J17:P17"/>
    <mergeCell ref="Q17:W17"/>
    <mergeCell ref="X17:AD17"/>
    <mergeCell ref="AE17:AF17"/>
    <mergeCell ref="AG17:AI17"/>
    <mergeCell ref="AJ17:AL17"/>
    <mergeCell ref="AM17:AO17"/>
    <mergeCell ref="AP17:AR17"/>
    <mergeCell ref="AS17:AU17"/>
    <mergeCell ref="AV17:AX17"/>
    <mergeCell ref="AY17:BA17"/>
    <mergeCell ref="BB17:BD17"/>
    <mergeCell ref="BE17:BG17"/>
    <mergeCell ref="BH17:BJ17"/>
    <mergeCell ref="BK17:BQ17"/>
    <mergeCell ref="B18:D18"/>
    <mergeCell ref="E18:I18"/>
    <mergeCell ref="J18:P18"/>
    <mergeCell ref="Q18:W18"/>
    <mergeCell ref="X18:AD18"/>
    <mergeCell ref="AE18:AF18"/>
    <mergeCell ref="AG18:AI18"/>
    <mergeCell ref="AJ18:AL18"/>
    <mergeCell ref="AM18:AO18"/>
    <mergeCell ref="AP18:AR18"/>
    <mergeCell ref="AS18:AU18"/>
    <mergeCell ref="AV18:AX18"/>
    <mergeCell ref="AY18:BA18"/>
    <mergeCell ref="BB18:BD18"/>
    <mergeCell ref="BE18:BG18"/>
    <mergeCell ref="BH18:BJ18"/>
    <mergeCell ref="BK18:BQ18"/>
    <mergeCell ref="B19:D19"/>
    <mergeCell ref="E19:I19"/>
    <mergeCell ref="J19:P19"/>
    <mergeCell ref="Q19:W19"/>
    <mergeCell ref="X19:AD19"/>
    <mergeCell ref="AE19:AF19"/>
    <mergeCell ref="AG19:AI19"/>
    <mergeCell ref="AJ19:AL19"/>
    <mergeCell ref="AM19:AO19"/>
    <mergeCell ref="AP19:AR19"/>
    <mergeCell ref="AS19:AU19"/>
    <mergeCell ref="AV19:AX19"/>
    <mergeCell ref="AY19:BA19"/>
    <mergeCell ref="BB19:BD19"/>
    <mergeCell ref="BE19:BG19"/>
    <mergeCell ref="BH19:BJ19"/>
    <mergeCell ref="BK19:BQ19"/>
    <mergeCell ref="A20:BQ20"/>
    <mergeCell ref="B21:D21"/>
    <mergeCell ref="E21:I21"/>
    <mergeCell ref="J21:P21"/>
    <mergeCell ref="Q21:W21"/>
    <mergeCell ref="X21:AD21"/>
    <mergeCell ref="AE21:AF21"/>
    <mergeCell ref="AG21:AI21"/>
    <mergeCell ref="AJ21:AL21"/>
    <mergeCell ref="AM21:AO21"/>
    <mergeCell ref="AP21:AR21"/>
    <mergeCell ref="AS21:AU21"/>
    <mergeCell ref="AV21:AX21"/>
    <mergeCell ref="AY21:BA21"/>
    <mergeCell ref="BB21:BD21"/>
    <mergeCell ref="BE21:BG21"/>
    <mergeCell ref="BH21:BJ21"/>
    <mergeCell ref="BK21:BQ21"/>
    <mergeCell ref="B22:D22"/>
    <mergeCell ref="E22:I22"/>
    <mergeCell ref="J22:P22"/>
    <mergeCell ref="Q22:W22"/>
    <mergeCell ref="X22:AD22"/>
    <mergeCell ref="AE22:AF22"/>
    <mergeCell ref="AG22:AI22"/>
    <mergeCell ref="AJ22:AL22"/>
    <mergeCell ref="AM22:AO22"/>
    <mergeCell ref="AP22:AR22"/>
    <mergeCell ref="AS22:AU22"/>
    <mergeCell ref="AV22:AX22"/>
    <mergeCell ref="AY22:BA22"/>
    <mergeCell ref="BB22:BD22"/>
    <mergeCell ref="BE22:BG22"/>
    <mergeCell ref="BH22:BJ22"/>
    <mergeCell ref="BK22:BQ22"/>
    <mergeCell ref="B23:D23"/>
    <mergeCell ref="E23:I23"/>
    <mergeCell ref="J23:P23"/>
    <mergeCell ref="Q23:W23"/>
    <mergeCell ref="X23:AD23"/>
    <mergeCell ref="AE23:AF23"/>
    <mergeCell ref="AG23:AI23"/>
    <mergeCell ref="AJ23:AL23"/>
    <mergeCell ref="AM23:AO23"/>
    <mergeCell ref="AP23:AR23"/>
    <mergeCell ref="AS23:AU23"/>
    <mergeCell ref="AV23:AX23"/>
    <mergeCell ref="AY23:BA23"/>
    <mergeCell ref="BB23:BD23"/>
    <mergeCell ref="BE23:BG23"/>
    <mergeCell ref="BH23:BJ23"/>
    <mergeCell ref="BK23:BQ23"/>
    <mergeCell ref="B24:D24"/>
    <mergeCell ref="E24:I24"/>
    <mergeCell ref="J24:P24"/>
    <mergeCell ref="Q24:W24"/>
    <mergeCell ref="X24:AD24"/>
    <mergeCell ref="AE24:AF24"/>
    <mergeCell ref="AG24:AI24"/>
    <mergeCell ref="AJ24:AL24"/>
    <mergeCell ref="AM24:AO24"/>
    <mergeCell ref="AP24:AR24"/>
    <mergeCell ref="AS24:AU24"/>
    <mergeCell ref="AV24:AX24"/>
    <mergeCell ref="AY24:BA24"/>
    <mergeCell ref="BB24:BD24"/>
    <mergeCell ref="BE24:BG24"/>
    <mergeCell ref="BH24:BJ24"/>
    <mergeCell ref="BK24:BQ24"/>
    <mergeCell ref="B25:D25"/>
    <mergeCell ref="E25:I25"/>
    <mergeCell ref="J25:P25"/>
    <mergeCell ref="Q25:W25"/>
    <mergeCell ref="X25:AD25"/>
    <mergeCell ref="AE25:AF25"/>
    <mergeCell ref="AG25:AI25"/>
    <mergeCell ref="AJ25:AL25"/>
    <mergeCell ref="AM25:AO25"/>
    <mergeCell ref="AP25:AR25"/>
    <mergeCell ref="AS25:AU25"/>
    <mergeCell ref="AV25:AX25"/>
    <mergeCell ref="AY25:BA25"/>
    <mergeCell ref="BB25:BD25"/>
    <mergeCell ref="BE25:BG25"/>
    <mergeCell ref="BH25:BJ25"/>
    <mergeCell ref="BK25:BQ25"/>
    <mergeCell ref="B26:D26"/>
    <mergeCell ref="E26:I26"/>
    <mergeCell ref="J26:P26"/>
    <mergeCell ref="Q26:W26"/>
    <mergeCell ref="X26:AD26"/>
    <mergeCell ref="AE26:AF26"/>
    <mergeCell ref="AG26:AI26"/>
    <mergeCell ref="AJ26:AL26"/>
    <mergeCell ref="AM26:AO26"/>
    <mergeCell ref="AP26:AR26"/>
    <mergeCell ref="AS26:AU26"/>
    <mergeCell ref="AV26:AX26"/>
    <mergeCell ref="AY26:BA26"/>
    <mergeCell ref="BB26:BD26"/>
    <mergeCell ref="BE26:BG26"/>
    <mergeCell ref="BH26:BJ26"/>
    <mergeCell ref="BK26:BQ26"/>
    <mergeCell ref="A27:BQ27"/>
    <mergeCell ref="B28:D28"/>
    <mergeCell ref="E28:I28"/>
    <mergeCell ref="J28:P28"/>
    <mergeCell ref="Q28:W28"/>
    <mergeCell ref="X28:AD28"/>
    <mergeCell ref="AE28:AF28"/>
    <mergeCell ref="AG28:AI28"/>
    <mergeCell ref="AJ28:AL28"/>
    <mergeCell ref="AM28:AO28"/>
    <mergeCell ref="AP28:AR28"/>
    <mergeCell ref="AS28:AU28"/>
    <mergeCell ref="AV28:AX28"/>
    <mergeCell ref="AY28:BA28"/>
    <mergeCell ref="BB28:BD28"/>
    <mergeCell ref="BE28:BG28"/>
    <mergeCell ref="BH28:BJ28"/>
    <mergeCell ref="BK28:BQ28"/>
    <mergeCell ref="B29:D29"/>
    <mergeCell ref="E29:I29"/>
    <mergeCell ref="J29:P29"/>
    <mergeCell ref="Q29:W29"/>
    <mergeCell ref="X29:AD29"/>
    <mergeCell ref="AE29:AF29"/>
    <mergeCell ref="AG29:AI29"/>
    <mergeCell ref="AJ29:AL29"/>
    <mergeCell ref="AM29:AO29"/>
    <mergeCell ref="AP29:AR29"/>
    <mergeCell ref="AS29:AU29"/>
    <mergeCell ref="AV29:AX29"/>
    <mergeCell ref="AY29:BA29"/>
    <mergeCell ref="BB29:BD29"/>
    <mergeCell ref="BE29:BG29"/>
    <mergeCell ref="BH29:BJ29"/>
    <mergeCell ref="BK29:BQ29"/>
    <mergeCell ref="B30:D30"/>
    <mergeCell ref="E30:I30"/>
    <mergeCell ref="J30:P30"/>
    <mergeCell ref="Q30:W30"/>
    <mergeCell ref="X30:AD30"/>
    <mergeCell ref="AE30:AF30"/>
    <mergeCell ref="AG30:AI30"/>
    <mergeCell ref="AJ30:AL30"/>
    <mergeCell ref="AM30:AO30"/>
    <mergeCell ref="AP30:AR30"/>
    <mergeCell ref="AS30:AU30"/>
    <mergeCell ref="AV30:AX30"/>
    <mergeCell ref="AY30:BA30"/>
    <mergeCell ref="BB30:BD30"/>
    <mergeCell ref="BE30:BG30"/>
    <mergeCell ref="BH30:BJ30"/>
    <mergeCell ref="BK30:BQ30"/>
    <mergeCell ref="B31:D31"/>
    <mergeCell ref="E31:I31"/>
    <mergeCell ref="J31:P31"/>
    <mergeCell ref="Q31:W31"/>
    <mergeCell ref="X31:AD31"/>
    <mergeCell ref="AE31:AF31"/>
    <mergeCell ref="AG31:AI31"/>
    <mergeCell ref="AJ31:AL31"/>
    <mergeCell ref="AM31:AO31"/>
    <mergeCell ref="AP31:AR31"/>
    <mergeCell ref="AS31:AU31"/>
    <mergeCell ref="AV31:AX31"/>
    <mergeCell ref="AY31:BA31"/>
    <mergeCell ref="BB31:BD31"/>
    <mergeCell ref="BE31:BG31"/>
    <mergeCell ref="BH31:BJ31"/>
    <mergeCell ref="BK31:BQ31"/>
    <mergeCell ref="B32:D32"/>
    <mergeCell ref="E32:I32"/>
    <mergeCell ref="J32:P32"/>
    <mergeCell ref="Q32:W32"/>
    <mergeCell ref="X32:AD32"/>
    <mergeCell ref="AE32:AF32"/>
    <mergeCell ref="AG32:AI32"/>
    <mergeCell ref="AJ32:AL32"/>
    <mergeCell ref="AM32:AO32"/>
    <mergeCell ref="AP32:AR32"/>
    <mergeCell ref="AS32:AU32"/>
    <mergeCell ref="AV32:AX32"/>
    <mergeCell ref="AY32:BA32"/>
    <mergeCell ref="BB32:BD32"/>
    <mergeCell ref="BE32:BG32"/>
    <mergeCell ref="BH32:BJ32"/>
    <mergeCell ref="BK32:BQ32"/>
    <mergeCell ref="B33:D33"/>
    <mergeCell ref="E33:I33"/>
    <mergeCell ref="J33:P33"/>
    <mergeCell ref="Q33:W33"/>
    <mergeCell ref="X33:AD33"/>
    <mergeCell ref="AE33:AF33"/>
    <mergeCell ref="AG33:AI33"/>
    <mergeCell ref="AJ33:AL33"/>
    <mergeCell ref="AM33:AO33"/>
    <mergeCell ref="AP33:AR33"/>
    <mergeCell ref="AS33:AU33"/>
    <mergeCell ref="AV33:AX33"/>
    <mergeCell ref="AY33:BA33"/>
    <mergeCell ref="BB33:BD33"/>
    <mergeCell ref="BE33:BG33"/>
    <mergeCell ref="BH33:BJ33"/>
    <mergeCell ref="BK33:BQ33"/>
    <mergeCell ref="B34:D34"/>
    <mergeCell ref="E34:I34"/>
    <mergeCell ref="J34:P34"/>
    <mergeCell ref="Q34:W34"/>
    <mergeCell ref="X34:AD34"/>
    <mergeCell ref="AE34:AF34"/>
    <mergeCell ref="AG34:AI34"/>
    <mergeCell ref="AJ34:AL34"/>
    <mergeCell ref="AM34:AO34"/>
    <mergeCell ref="AP34:AR34"/>
    <mergeCell ref="AS34:AU34"/>
    <mergeCell ref="AV34:AX34"/>
    <mergeCell ref="AY34:BA34"/>
    <mergeCell ref="BB34:BD34"/>
    <mergeCell ref="BE34:BG34"/>
    <mergeCell ref="BH34:BJ34"/>
    <mergeCell ref="BK34:BQ34"/>
    <mergeCell ref="A35:BQ35"/>
    <mergeCell ref="B36:D36"/>
    <mergeCell ref="E36:I36"/>
    <mergeCell ref="J36:P36"/>
    <mergeCell ref="Q36:W36"/>
    <mergeCell ref="X36:AD36"/>
    <mergeCell ref="AE36:AF36"/>
    <mergeCell ref="AG36:AI36"/>
    <mergeCell ref="AJ36:AL36"/>
    <mergeCell ref="AM36:AO36"/>
    <mergeCell ref="AP36:AR36"/>
    <mergeCell ref="AS36:AU36"/>
    <mergeCell ref="AV36:AX36"/>
    <mergeCell ref="AY36:BA36"/>
    <mergeCell ref="BB36:BD36"/>
    <mergeCell ref="BE36:BG36"/>
    <mergeCell ref="BH36:BJ36"/>
    <mergeCell ref="BK36:BQ36"/>
    <mergeCell ref="B37:D37"/>
    <mergeCell ref="E37:I37"/>
    <mergeCell ref="J37:P37"/>
    <mergeCell ref="Q37:W37"/>
    <mergeCell ref="X37:AD37"/>
    <mergeCell ref="AE37:AF37"/>
    <mergeCell ref="AG37:AI37"/>
    <mergeCell ref="AJ37:AL37"/>
    <mergeCell ref="AM37:AO37"/>
    <mergeCell ref="AP37:AR37"/>
    <mergeCell ref="AS37:AU37"/>
    <mergeCell ref="AV37:AX37"/>
    <mergeCell ref="AY37:BA37"/>
    <mergeCell ref="BB37:BD37"/>
    <mergeCell ref="BE37:BG37"/>
    <mergeCell ref="BH37:BJ37"/>
    <mergeCell ref="BK37:BQ37"/>
    <mergeCell ref="B38:D38"/>
    <mergeCell ref="E38:I38"/>
    <mergeCell ref="J38:P38"/>
    <mergeCell ref="Q38:W38"/>
    <mergeCell ref="X38:AD38"/>
    <mergeCell ref="AE38:AF38"/>
    <mergeCell ref="AG38:AI38"/>
    <mergeCell ref="AJ38:AL38"/>
    <mergeCell ref="AM38:AO38"/>
    <mergeCell ref="AP38:AR38"/>
    <mergeCell ref="AS38:AU38"/>
    <mergeCell ref="AV38:AX38"/>
    <mergeCell ref="AY38:BA38"/>
    <mergeCell ref="BB38:BD38"/>
    <mergeCell ref="BE38:BG38"/>
    <mergeCell ref="BH38:BJ38"/>
    <mergeCell ref="BK38:BQ38"/>
    <mergeCell ref="B39:D39"/>
    <mergeCell ref="E39:I39"/>
    <mergeCell ref="J39:P39"/>
    <mergeCell ref="Q39:W39"/>
    <mergeCell ref="X39:AD39"/>
    <mergeCell ref="AE39:AF39"/>
    <mergeCell ref="AG39:AI39"/>
    <mergeCell ref="AJ39:AL39"/>
    <mergeCell ref="AM39:AO39"/>
    <mergeCell ref="AP39:AR39"/>
    <mergeCell ref="AS39:AU39"/>
    <mergeCell ref="AV39:AX39"/>
    <mergeCell ref="AY39:BA39"/>
    <mergeCell ref="BB39:BD39"/>
    <mergeCell ref="BE39:BG39"/>
    <mergeCell ref="BH39:BJ39"/>
    <mergeCell ref="BK39:BQ39"/>
    <mergeCell ref="B40:D40"/>
    <mergeCell ref="E40:I40"/>
    <mergeCell ref="J40:P40"/>
    <mergeCell ref="Q40:W40"/>
    <mergeCell ref="X40:AD40"/>
    <mergeCell ref="AE40:AF40"/>
    <mergeCell ref="AG40:AI40"/>
    <mergeCell ref="AJ40:AL40"/>
    <mergeCell ref="AM40:AO40"/>
    <mergeCell ref="AP40:AR40"/>
    <mergeCell ref="AS40:AU40"/>
    <mergeCell ref="AV40:AX40"/>
    <mergeCell ref="AY40:BA40"/>
    <mergeCell ref="BB40:BD40"/>
    <mergeCell ref="BE40:BG40"/>
    <mergeCell ref="BH40:BJ40"/>
    <mergeCell ref="BK40:BQ40"/>
    <mergeCell ref="B41:D41"/>
    <mergeCell ref="E41:I41"/>
    <mergeCell ref="J41:P41"/>
    <mergeCell ref="Q41:W41"/>
    <mergeCell ref="X41:AD41"/>
    <mergeCell ref="AE41:AF41"/>
    <mergeCell ref="AG41:AI41"/>
    <mergeCell ref="AJ41:AL41"/>
    <mergeCell ref="AM41:AO41"/>
    <mergeCell ref="AP41:AR41"/>
    <mergeCell ref="AS41:AU41"/>
    <mergeCell ref="AV41:AX41"/>
    <mergeCell ref="AY41:BA41"/>
    <mergeCell ref="BB41:BD41"/>
    <mergeCell ref="BE41:BG41"/>
    <mergeCell ref="BH41:BJ41"/>
    <mergeCell ref="BK41:BQ41"/>
    <mergeCell ref="A42:BQ42"/>
    <mergeCell ref="B43:D43"/>
    <mergeCell ref="E43:I43"/>
    <mergeCell ref="J43:P43"/>
    <mergeCell ref="Q43:W43"/>
    <mergeCell ref="X43:AD43"/>
    <mergeCell ref="AE43:AF43"/>
    <mergeCell ref="AG43:AI43"/>
    <mergeCell ref="AJ43:AL43"/>
    <mergeCell ref="AM43:AO43"/>
    <mergeCell ref="AP43:AR43"/>
    <mergeCell ref="AS43:AU43"/>
    <mergeCell ref="AV43:AX43"/>
    <mergeCell ref="AY43:BA43"/>
    <mergeCell ref="BB43:BD43"/>
    <mergeCell ref="BE43:BG43"/>
    <mergeCell ref="BH43:BJ43"/>
    <mergeCell ref="BK43:BQ43"/>
    <mergeCell ref="B44:D44"/>
    <mergeCell ref="E44:I44"/>
    <mergeCell ref="J44:P44"/>
    <mergeCell ref="Q44:W44"/>
    <mergeCell ref="X44:AD44"/>
    <mergeCell ref="AE44:AF44"/>
    <mergeCell ref="AG44:AI44"/>
    <mergeCell ref="AJ44:AL44"/>
    <mergeCell ref="AM44:AO44"/>
    <mergeCell ref="AP44:AR44"/>
    <mergeCell ref="AS44:AU44"/>
    <mergeCell ref="AV44:AX44"/>
    <mergeCell ref="AY44:BA44"/>
    <mergeCell ref="BB44:BD44"/>
    <mergeCell ref="BE44:BG44"/>
    <mergeCell ref="BH44:BJ44"/>
    <mergeCell ref="BK44:BQ44"/>
    <mergeCell ref="B45:D45"/>
    <mergeCell ref="E45:I45"/>
    <mergeCell ref="J45:P45"/>
    <mergeCell ref="Q45:W45"/>
    <mergeCell ref="X45:AD45"/>
    <mergeCell ref="AE45:AF45"/>
    <mergeCell ref="AG45:AI45"/>
    <mergeCell ref="AJ45:AL45"/>
    <mergeCell ref="AM45:AO45"/>
    <mergeCell ref="AP45:AR45"/>
    <mergeCell ref="AS45:AU45"/>
    <mergeCell ref="AV45:AX45"/>
    <mergeCell ref="AY45:BA45"/>
    <mergeCell ref="BB45:BD45"/>
    <mergeCell ref="BE45:BG45"/>
    <mergeCell ref="BH45:BJ45"/>
    <mergeCell ref="BK45:BQ45"/>
    <mergeCell ref="B46:D46"/>
    <mergeCell ref="E46:I46"/>
    <mergeCell ref="J46:P46"/>
    <mergeCell ref="Q46:W46"/>
    <mergeCell ref="X46:AD46"/>
    <mergeCell ref="AE46:AF46"/>
    <mergeCell ref="AG46:AI46"/>
    <mergeCell ref="AJ46:AL46"/>
    <mergeCell ref="AM46:AO46"/>
    <mergeCell ref="AP46:AR46"/>
    <mergeCell ref="AS46:AU46"/>
    <mergeCell ref="AV46:AX46"/>
    <mergeCell ref="AY46:BA46"/>
    <mergeCell ref="BB46:BD46"/>
    <mergeCell ref="BE46:BG46"/>
    <mergeCell ref="BH46:BJ46"/>
    <mergeCell ref="BK46:BQ46"/>
    <mergeCell ref="B47:D47"/>
    <mergeCell ref="E47:I47"/>
    <mergeCell ref="J47:P47"/>
    <mergeCell ref="Q47:W47"/>
    <mergeCell ref="X47:AD47"/>
    <mergeCell ref="AE47:AF47"/>
    <mergeCell ref="AG47:AI47"/>
    <mergeCell ref="AJ47:AL47"/>
    <mergeCell ref="AM47:AO47"/>
    <mergeCell ref="AP47:AR47"/>
    <mergeCell ref="AS47:AU47"/>
    <mergeCell ref="AV47:AX47"/>
    <mergeCell ref="AY47:BA47"/>
    <mergeCell ref="BB47:BD47"/>
    <mergeCell ref="BE47:BG47"/>
    <mergeCell ref="BH47:BJ47"/>
    <mergeCell ref="BK47:BQ47"/>
    <mergeCell ref="B48:D48"/>
    <mergeCell ref="E48:I48"/>
    <mergeCell ref="J48:P48"/>
    <mergeCell ref="Q48:W48"/>
    <mergeCell ref="X48:AD48"/>
    <mergeCell ref="AE48:AF48"/>
    <mergeCell ref="AG48:AI48"/>
    <mergeCell ref="AJ48:AL48"/>
    <mergeCell ref="AM48:AO48"/>
    <mergeCell ref="AP48:AR48"/>
    <mergeCell ref="AS48:AU48"/>
    <mergeCell ref="AV48:AX48"/>
    <mergeCell ref="AY48:BA48"/>
    <mergeCell ref="BB48:BD48"/>
    <mergeCell ref="BE48:BG48"/>
    <mergeCell ref="BH48:BJ48"/>
    <mergeCell ref="BK48:BQ48"/>
    <mergeCell ref="B49:D49"/>
    <mergeCell ref="E49:I49"/>
    <mergeCell ref="J49:P49"/>
    <mergeCell ref="Q49:W49"/>
    <mergeCell ref="X49:AD49"/>
    <mergeCell ref="AE49:AF49"/>
    <mergeCell ref="AG49:AI49"/>
    <mergeCell ref="AJ49:AL49"/>
    <mergeCell ref="AM49:AO49"/>
    <mergeCell ref="AP49:AR49"/>
    <mergeCell ref="AS49:AU49"/>
    <mergeCell ref="AV49:AX49"/>
    <mergeCell ref="AY49:BA49"/>
    <mergeCell ref="BB49:BD49"/>
    <mergeCell ref="BE49:BG49"/>
    <mergeCell ref="BH49:BJ49"/>
    <mergeCell ref="BK49:BQ49"/>
    <mergeCell ref="A10:A11"/>
    <mergeCell ref="BK10:BQ11"/>
    <mergeCell ref="B10:D11"/>
    <mergeCell ref="E10:I11"/>
    <mergeCell ref="J10:P11"/>
    <mergeCell ref="Q10:W11"/>
    <mergeCell ref="X10:AD11"/>
    <mergeCell ref="AE10:AF11"/>
  </mergeCells>
  <dataValidations count="3">
    <dataValidation type="list" allowBlank="1" sqref="F1">
      <formula1>"単体テスト,結合テスト,システムテスト"</formula1>
    </dataValidation>
    <dataValidation type="list" allowBlank="1" sqref="AV24 AV28 AV29 AV30 AV31 AV32 AV33 AV34 AV45 AG13:AG19 AG21:AG26 AG28:AG34 AG36:AG41 AG43:AG49 AV13:AV19 AV21:AV23 AV25:AV26 AV36:AV41 AV43:AV44 AV46:AV49">
      <formula1>"合格,不合格,未テスト,N/A"</formula1>
    </dataValidation>
    <dataValidation type="list" allowBlank="1" sqref="AE13:AE19 AE21:AE26 AE28:AE34 AE36:AE41 AE43:AE49">
      <formula1>"N,A,B"</formula1>
    </dataValidation>
  </dataValidations>
  <pageMargins left="0.75" right="0.75" top="1" bottom="1" header="0" footer="0"/>
  <pageSetup paperSize="1" orientation="landscape"/>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6</vt:i4>
      </vt:variant>
    </vt:vector>
  </HeadingPairs>
  <TitlesOfParts>
    <vt:vector size="6" baseType="lpstr">
      <vt:lpstr>表紙</vt:lpstr>
      <vt:lpstr>変更履歴</vt:lpstr>
      <vt:lpstr>概要</vt:lpstr>
      <vt:lpstr>テスト報告書</vt:lpstr>
      <vt:lpstr>テスト観点</vt:lpstr>
      <vt:lpstr>機能</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anh.vuquang</cp:lastModifiedBy>
  <dcterms:created xsi:type="dcterms:W3CDTF">2026-06-03T06:01:00Z</dcterms:created>
  <dcterms:modified xsi:type="dcterms:W3CDTF">2026-08-28T03:41:45Z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81EE1425F2ED4B11BDAE45B9235893A4_12</vt:lpwstr>
  </property>
  <property fmtid="{D5CDD505-2E9C-101B-9397-08002B2CF9AE}" pid="3" name="KSOProductBuildVer">
    <vt:lpwstr>1033-12.1.0.28032</vt:lpwstr>
  </property>
  <property fmtid="{D5CDD505-2E9C-101B-9397-08002B2CF9AE}" pid="4" name="CalculationRule">
    <vt:i4>0</vt:i4>
  </property>
</Properties>
</file>