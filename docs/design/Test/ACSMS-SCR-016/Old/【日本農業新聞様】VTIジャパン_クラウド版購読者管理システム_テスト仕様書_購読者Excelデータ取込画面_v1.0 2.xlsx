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6d1EuUIhNhf0nAeqr4tAhf3sdQKEr+JM2ti/kqjo63A="/>
    </ext>
  </extLst>
</workbook>
</file>

<file path=xl/sharedStrings.xml><?xml version="1.0" encoding="utf-8"?>
<sst xmlns="http://schemas.openxmlformats.org/spreadsheetml/2006/main" count="729" uniqueCount="509">
  <si>
    <t>クラウド版購読者管理システム</t>
  </si>
  <si>
    <t>購読者Excelデータ取込画面</t>
  </si>
  <si>
    <t>版1.0</t>
  </si>
  <si>
    <t>フォーマットコード</t>
  </si>
  <si>
    <t>16-BM/PM/VTI</t>
  </si>
  <si>
    <t>フォーマットバージョン</t>
  </si>
  <si>
    <t>1.0</t>
  </si>
  <si>
    <t>発行日</t>
  </si>
  <si>
    <t>2026/06/04</t>
  </si>
  <si>
    <t>項番</t>
  </si>
  <si>
    <t>バージョン</t>
  </si>
  <si>
    <t>担当者</t>
  </si>
  <si>
    <t>変更内容</t>
  </si>
  <si>
    <t>確認者</t>
  </si>
  <si>
    <t>承認者</t>
  </si>
  <si>
    <t>2026-06-04</t>
  </si>
  <si>
    <t>Kieu Thi Diem</t>
  </si>
  <si>
    <t>Tạo bản đầu tiên</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</si>
  <si>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</si>
  <si>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</si>
  <si>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</si>
  <si>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</si>
  <si>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</si>
  <si>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</si>
  <si>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</si>
  <si>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</si>
  <si>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</si>
  <si>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</si>
  <si>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</si>
  <si>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một hệ thống quản lý độc giả dạng cloud dành cho JA, cung cấp các chức năng quản lý thông tin độc giả, quản lý lịch sử đăng ký, quản lý dữ liệu chuyển khoản tài khoản, v.v. Màn hình này cung cấp chức năng import hàng loạt dữ liệu độc giả từ file Excel (đăng ký mới / cập nhật toàn bộ trường / chỉ cập nhật phần đã nhập).</t>
  </si>
  <si>
    <t>2.資料目的</t>
  </si>
  <si>
    <t>Tài liệu mô tả chi tiết Test Specification được tạo mới trên hệ thống cho màn hình "Import dữ liệu Excel độc giả (ACSMS-SCR-016)".</t>
  </si>
  <si>
    <t>- Xác nhận từng chức năng hoạt động đúng theo spec thiết kế</t>
  </si>
  <si>
    <t>- Xác nhận kiểm soát quyền truy cập và DataScope được áp dụng đúng</t>
  </si>
  <si>
    <t>- Xác nhận business logic và kiểm tra giá trị nhập hoạt động đúng</t>
  </si>
  <si>
    <t>- Xác nhận luồng bất thường / xử lý lỗi chung được xử lý thích hợp</t>
  </si>
  <si>
    <t>3.関連資料</t>
  </si>
  <si>
    <t>No</t>
  </si>
  <si>
    <t>資料コード</t>
  </si>
  <si>
    <t>資料名</t>
  </si>
  <si>
    <t>ACSMS-SCR-016</t>
  </si>
  <si>
    <t>Tài liệu thiết kế màn hình Import dữ liệu Excel độc giả</t>
  </si>
  <si>
    <t>ACSMS-SCR-016-api</t>
  </si>
  <si>
    <t>Tài liệu thiết kế API Import dữ liệu Excel độc giả</t>
  </si>
  <si>
    <t>testcase-viewpoints</t>
  </si>
  <si>
    <t>Danh sách viewpoint test chung cho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</si>
  <si>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</si>
  <si>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</si>
  <si>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</si>
  <si>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</si>
  <si>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</si>
  <si>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</si>
  <si>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</si>
  <si>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</si>
  <si>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</si>
  <si>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</si>
  <si>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</si>
  <si>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</si>
  <si>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</si>
  <si>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</si>
  <si>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</si>
  <si>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</si>
  <si>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</si>
  <si>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</si>
  <si>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</si>
  <si>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</si>
  <si>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</si>
  <si>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</si>
  <si>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</si>
  <si>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</si>
  <si>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</si>
  <si>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</si>
  <si>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</si>
  <si>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</si>
  <si>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</si>
  <si>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</si>
  <si>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</si>
  <si>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</si>
  <si>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</si>
  <si>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</si>
  <si>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</si>
  <si>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</si>
  <si>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</si>
  <si>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</si>
  <si>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</si>
  <si>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</si>
  <si>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</si>
  <si>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</si>
  <si>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</si>
  <si>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</si>
  <si>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</si>
  <si>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</si>
  <si>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</si>
  <si>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</si>
  <si>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</si>
  <si>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</si>
  <si>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</si>
  <si>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</si>
  <si>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</si>
  <si>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</si>
  <si>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</si>
  <si>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</si>
  <si>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</si>
  <si>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</si>
  <si>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</si>
  <si>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</si>
  <si>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</si>
  <si>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</si>
  <si>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</si>
  <si>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</si>
  <si>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</si>
  <si>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</si>
  <si>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</si>
  <si>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</si>
  <si>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</si>
  <si>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</si>
  <si>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</si>
  <si>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</si>
  <si>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</si>
  <si>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</si>
  <si>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</si>
  <si>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</si>
  <si>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</si>
  <si>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</si>
  <si>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</si>
  <si>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</si>
  <si>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</si>
  <si>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</si>
  <si>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</si>
  <si>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</si>
  <si>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</si>
  <si>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</si>
  <si>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</si>
  <si>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</si>
  <si>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</si>
  <si>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</si>
  <si>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</si>
  <si>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</si>
  <si>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</si>
  <si>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</si>
  <si>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</si>
  <si>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</si>
  <si>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</si>
  <si>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</si>
  <si>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</si>
  <si>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</si>
  <si>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</si>
  <si>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</si>
  <si>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</si>
  <si>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</si>
  <si>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</si>
  <si>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</si>
  <si>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</si>
  <si>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</si>
  <si>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</si>
  <si>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</si>
  <si>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</si>
  <si>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</si>
  <si>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</si>
  <si>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</si>
  <si>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</si>
  <si>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</si>
  <si>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</si>
  <si>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</si>
  <si>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</si>
  <si>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</si>
  <si>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</si>
  <si>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</si>
  <si>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</si>
  <si>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</si>
  <si>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</si>
  <si>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</si>
  <si>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</si>
  <si>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</si>
  <si>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</si>
  <si>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</si>
  <si>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</si>
  <si>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</si>
  <si>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</si>
  <si>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</si>
  <si>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</si>
  <si>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</si>
  <si>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</si>
  <si>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</si>
  <si>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</si>
  <si>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</si>
  <si>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</si>
  <si>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</si>
  <si>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</si>
  <si>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</si>
  <si>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</si>
  <si>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</si>
  <si>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</si>
  <si>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</si>
  <si>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</si>
  <si>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</si>
  <si>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</si>
  <si>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</si>
  <si>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</si>
  <si>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</si>
  <si>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</si>
  <si>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</si>
  <si>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</si>
  <si>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</si>
  <si>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</si>
  <si>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</si>
  <si>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</si>
  <si>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</si>
  <si>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</si>
  <si>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</si>
  <si>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</si>
  <si>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</si>
  <si>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</si>
  <si>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</si>
  <si>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</si>
  <si>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</si>
  <si>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</si>
  <si>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</si>
  <si>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</si>
  <si>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</si>
  <si>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</si>
  <si>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</si>
  <si>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</si>
  <si>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</si>
  <si>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</si>
  <si>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</si>
  <si>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</si>
  <si>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</si>
  <si>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</si>
  <si>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</si>
  <si>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</si>
  <si>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</si>
  <si>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</si>
  <si>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</si>
  <si>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</si>
  <si>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</si>
  <si>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ACSMS-SCR-016_購読者Excelデータ取込画面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</si>
  <si>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</si>
  <si>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</si>
  <si>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</si>
  <si>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</si>
  <si>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</si>
  <si>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</si>
  <si>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</si>
  <si>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</si>
  <si>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</si>
  <si>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</si>
  <si>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</si>
  <si>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</si>
  <si>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</si>
  <si>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</si>
  <si>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</si>
  <si>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</si>
  <si>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</si>
  <si>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</si>
  <si>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</si>
  <si>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</si>
  <si>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</si>
  <si>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</si>
  <si>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ACSMS-TC-016-001</t>
  </si>
  <si>
    <t>Cấm truy cập màn hình import dữ liệu Excel độc giả với NICHINO_ADMIN</t>
  </si>
  <si>
    <t>・role: NICHINO_ADMIN
・Đã login + đã xác thực MFA
・Không có quyền `dokusya.import`</t>
  </si>
  <si>
    <r>
      <rPr>
        <rFont val="游ゴシック"/>
        <b/>
        <color rgb="FF000000"/>
        <sz val="10.0"/>
      </rPr>
      <t xml:space="preserve">ステップ1：
</t>
    </r>
    <r>
      <rPr>
        <rFont val="游ゴシック"/>
        <color rgb="FF000000"/>
        <sz val="10.0"/>
      </rPr>
      <t xml:space="preserve">Mở dashboard, kiểm tra item "購読者Excelデータ取込" trên sidebar
</t>
    </r>
    <r>
      <rPr>
        <rFont val="游ゴシック"/>
        <b/>
        <color rgb="FF000000"/>
        <sz val="10.0"/>
      </rPr>
      <t xml:space="preserve">ステップ2：
</t>
    </r>
    <r>
      <rPr>
        <rFont val="游ゴシック"/>
        <color rgb="FF000000"/>
        <sz val="10.0"/>
      </rPr>
      <t xml:space="preserve">Truy cập trực tiếp URL `/dokusya/import`
</t>
    </r>
    <r>
      <rPr>
        <rFont val="游ゴシック"/>
        <b/>
        <color rgb="FF000000"/>
        <sz val="10.0"/>
      </rPr>
      <t xml:space="preserve">ステップ3：
</t>
    </r>
    <r>
      <rPr>
        <rFont val="游ゴシック"/>
        <color rgb="FF000000"/>
        <sz val="10.0"/>
      </rPr>
      <t xml:space="preserve">Dùng DevTools gọi trực tiếp GET `/api/v1/dokusya/import/template`
</t>
    </r>
    <r>
      <rPr>
        <rFont val="游ゴシック"/>
        <b/>
        <color rgb="FF000000"/>
        <sz val="10.0"/>
      </rPr>
      <t xml:space="preserve">ステップ4：
</t>
    </r>
    <r>
      <rPr>
        <rFont val="游ゴシック"/>
        <color rgb="FF000000"/>
        <sz val="10.0"/>
      </rPr>
      <t xml:space="preserve">Dùng DevTools gửi POST `/api/v1/dokusya/import` với request body hợp lệ
</t>
    </r>
  </si>
  <si>
    <r>
      <rPr>
        <rFont val="游ゴシック"/>
        <b/>
        <color rgb="FF000000"/>
        <sz val="10.0"/>
      </rPr>
      <t xml:space="preserve">ステップ1：
</t>
    </r>
    <r>
      <rPr>
        <rFont val="游ゴシック"/>
        <color rgb="FF000000"/>
        <sz val="10.0"/>
      </rPr>
      <t xml:space="preserve">Item "購読者Excelデータ取込" không hiển thị trên sidebar (do không có quyền `dokusya.import`)
</t>
    </r>
    <r>
      <rPr>
        <rFont val="游ゴシック"/>
        <b/>
        <color rgb="FF000000"/>
        <sz val="10.0"/>
      </rPr>
      <t xml:space="preserve">ステップ2：
</t>
    </r>
    <r>
      <rPr>
        <rFont val="游ゴシック"/>
        <color rgb="FF000000"/>
        <sz val="10.0"/>
      </rPr>
      <t xml:space="preserve">Hiển thị toast `アクセス権がありません。` + chuyển về `/dashboard`
</t>
    </r>
    <r>
      <rPr>
        <rFont val="游ゴシック"/>
        <b/>
        <color rgb="FF000000"/>
        <sz val="10.0"/>
      </rPr>
      <t xml:space="preserve">ステップ3：
</t>
    </r>
    <r>
      <rPr>
        <rFont val="游ゴシック"/>
        <color rgb="FF000000"/>
        <sz val="10.0"/>
      </rPr>
      <t xml:space="preserve">Trả về HTTP 403 (`error_code: FORBIDDEN`, message `この画面へのアクセス権限がありません。`)
</t>
    </r>
    <r>
      <rPr>
        <rFont val="游ゴシック"/>
        <b/>
        <color rgb="FF000000"/>
        <sz val="10.0"/>
      </rPr>
      <t xml:space="preserve">ステップ4：
</t>
    </r>
    <r>
      <rPr>
        <rFont val="游ゴシック"/>
        <color rgb="FF000000"/>
        <sz val="10.0"/>
      </rPr>
      <t xml:space="preserve">Trả về HTTP 403 (`error_code: FORBIDDEN`, message `この画面へのアクセス権限がありません。`)
</t>
    </r>
  </si>
  <si>
    <t>Critical — Nếu fail, đồng nghĩa với việc bypass RBAC, xử lý như security incident.</t>
  </si>
  <si>
    <t>ACSMS-TC-016-002</t>
  </si>
  <si>
    <t>Cấm truy cập màn hình import dữ liệu Excel độc giả với NICHINO_STAFF</t>
  </si>
  <si>
    <t>・role: NICHINO_STAFF
・Đã login + đã xác thực MFA
・Không có quyền `dokusya.import`</t>
  </si>
  <si>
    <r>
      <rPr>
        <rFont val="メイリオ"/>
        <b/>
        <color rgb="FF000000"/>
        <sz val="10.0"/>
      </rPr>
      <t xml:space="preserve">ステップ1：
</t>
    </r>
    <r>
      <rPr>
        <rFont val="メイリオ"/>
        <color rgb="FF000000"/>
        <sz val="10.0"/>
      </rPr>
      <t xml:space="preserve">Mở dashboard, kiểm tra item "購読者Excelデータ取込" trên sidebar
</t>
    </r>
    <r>
      <rPr>
        <rFont val="メイリオ"/>
        <b/>
        <color rgb="FF000000"/>
        <sz val="10.0"/>
      </rPr>
      <t xml:space="preserve">ステップ2：
</t>
    </r>
    <r>
      <rPr>
        <rFont val="メイリオ"/>
        <color rgb="FF000000"/>
        <sz val="10.0"/>
      </rPr>
      <t xml:space="preserve">Truy cập trực tiếp URL `/dokusya/import`
</t>
    </r>
    <r>
      <rPr>
        <rFont val="メイリオ"/>
        <b/>
        <color rgb="FF000000"/>
        <sz val="10.0"/>
      </rPr>
      <t xml:space="preserve">ステップ3：
</t>
    </r>
    <r>
      <rPr>
        <rFont val="メイリオ"/>
        <color rgb="FF000000"/>
        <sz val="10.0"/>
      </rPr>
      <t>Dùng DevTools gửi POST `/api/v1/dokusya/import` với request body hợp lệ</t>
    </r>
  </si>
  <si>
    <r>
      <rPr>
        <rFont val="メイリオ"/>
        <b/>
        <color rgb="FF000000"/>
        <sz val="10.0"/>
      </rPr>
      <t xml:space="preserve">ステップ1：
</t>
    </r>
    <r>
      <rPr>
        <rFont val="メイリオ"/>
        <color rgb="FF000000"/>
        <sz val="10.0"/>
      </rPr>
      <t xml:space="preserve">Item "購読者Excelデータ取込" không hiển thị trên sidebar (do không có quyền `dokusya.import`)
</t>
    </r>
    <r>
      <rPr>
        <rFont val="メイリオ"/>
        <b/>
        <color rgb="FF000000"/>
        <sz val="10.0"/>
      </rPr>
      <t xml:space="preserve">ステップ2：
</t>
    </r>
    <r>
      <rPr>
        <rFont val="メイリオ"/>
        <color rgb="FF000000"/>
        <sz val="10.0"/>
      </rPr>
      <t xml:space="preserve">Hiển thị toast `アクセス権がありません。` + chuyển về `/dashboard`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・NICHINO_STAFF không có quyền import master độc giả (theo quy định quản lý độc giả của `account_concept.md`)
</t>
    </r>
    <r>
      <rPr>
        <rFont val="メイリオ"/>
        <color rgb="FF000000"/>
        <sz val="10.0"/>
      </rPr>
      <t>・Import độc giả chỉ có thể thực hiện bởi CHUOKAI / JA_HONTEN / JA_KANRI_SHITEN</t>
    </r>
  </si>
  <si>
    <t>ACSMS-TC-016-003</t>
  </si>
  <si>
    <t>Import dữ liệu Excel độc giả bởi CHUOKAI — chỉ import được trong phạm vi 中央会 quản lý</t>
  </si>
  <si>
    <t>・role: CHUOKAI (thuộc chuokai-001)
・JA quản lý: ja-001, ja-002 (dưới chuokai-001)
・JA của 中央会 khác: ja-099 (dưới chuokai-002)
・Đã login + đã xác thực MFA</t>
  </si>
  <si>
    <r>
      <rPr>
        <rFont val="メイリオ"/>
        <b/>
        <color rgb="FF000000"/>
        <sz val="10.0"/>
      </rPr>
      <t xml:space="preserve">ステップ1：
</t>
    </r>
    <r>
      <rPr>
        <rFont val="メイリオ"/>
        <color rgb="FF000000"/>
        <sz val="10.0"/>
      </rPr>
      <t xml:space="preserve">Truy cập URL `/dokusya/import`, upload file Excel template của ja-001, chọn chế độ import "新規登録"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Dùng DevTools gửi POST `/api/v1/dokusya/import` với request body chứa `kanri_shiten_id` thuộc ja-099</t>
    </r>
  </si>
  <si>
    <r>
      <rPr>
        <rFont val="メイリオ"/>
        <b/>
        <color rgb="FF000000"/>
        <sz val="10.0"/>
      </rPr>
      <t xml:space="preserve">ステップ1：
</t>
    </r>
    <r>
      <rPr>
        <rFont val="メイリオ"/>
        <color rgb="FF000000"/>
        <sz val="10.0"/>
      </rPr>
      <t xml:space="preserve">Màn import dữ liệu Excel độc giả được hiển thị, preview hiển thị bình thường
</t>
    </r>
    <r>
      <rPr>
        <rFont val="メイリオ"/>
        <b/>
        <color rgb="FF000000"/>
        <sz val="10.0"/>
      </rPr>
      <t xml:space="preserve">ステップ2：
</t>
    </r>
    <r>
      <rPr>
        <rFont val="メイリオ"/>
        <color rgb="FF000000"/>
        <sz val="10.0"/>
      </rPr>
      <t xml:space="preserve">Trả về HTTP 200, data được đăng ký mới dưới ja-001, lưu với `t_dokusya.ja_id = 1`
</t>
    </r>
    <r>
      <rPr>
        <rFont val="メイリオ"/>
        <b/>
        <color rgb="FF000000"/>
        <sz val="10.0"/>
      </rPr>
      <t xml:space="preserve">ステップ3：
</t>
    </r>
    <r>
      <rPr>
        <rFont val="メイリオ"/>
        <color rgb="FF000000"/>
        <sz val="10.0"/>
      </rPr>
      <t xml:space="preserve">Do data của ja-099 không thuộc `ja_id` của session CHUOKAI, trả về HTTP 403 (`error_code: DATA_SCOPE_VIOLATION`, message `このデータへのアクセス権限がありません。`)
</t>
    </r>
    <r>
      <rPr>
        <rFont val="メイリオ"/>
        <b/>
        <color rgb="FF000000"/>
        <sz val="10.0"/>
      </rPr>
      <t xml:space="preserve">補足：
</t>
    </r>
    <r>
      <rPr>
        <rFont val="メイリオ"/>
        <color rgb="FF000000"/>
        <sz val="10.0"/>
      </rPr>
      <t xml:space="preserve">・Tầng Layer 2 DataScope từ chối import vào JA ngoài phạm vi quản lý
</t>
    </r>
    <r>
      <rPr>
        <rFont val="メイリオ"/>
        <color rgb="FF000000"/>
        <sz val="10.0"/>
      </rPr>
      <t>・Phía server lọc đồng loạt bằng `ja_id` của session, chỉ định `ja_id` của JA khác trong request sẽ bị ignore hoặc error</t>
    </r>
  </si>
  <si>
    <t>N</t>
  </si>
  <si>
    <t>CHUOKAI chỉ import được độc giả thuộc JA dưới 中央会 của mình (theo `account_concept.md` quản lý độc giả).</t>
  </si>
  <si>
    <t>ACSMS-TC-016-004</t>
  </si>
  <si>
    <t>Import dữ liệu Excel độc giả bởi JA_HONTEN — chỉ import được trong JA của mình</t>
  </si>
  <si>
    <t>・role: JA_HONTEN (thuộc ja-001)
・Đã login + đã xác thực MFA</t>
  </si>
  <si>
    <r>
      <rPr>
        <rFont val="游ゴシック"/>
        <b/>
        <color rgb="FF000000"/>
        <sz val="10.0"/>
      </rPr>
      <t xml:space="preserve">ステップ1：
</t>
    </r>
    <r>
      <rPr>
        <rFont val="游ゴシック"/>
        <color rgb="FF000000"/>
        <sz val="10.0"/>
      </rPr>
      <t xml:space="preserve">Truy cập URL `/dokusya/import`, upload file Excel template của ja-001
</t>
    </r>
    <r>
      <rPr>
        <rFont val="游ゴシック"/>
        <b/>
        <color rgb="FF000000"/>
        <sz val="10.0"/>
      </rPr>
      <t xml:space="preserve">ステップ2：
</t>
    </r>
    <r>
      <rPr>
        <rFont val="游ゴシック"/>
        <color rgb="FF000000"/>
        <sz val="10.0"/>
      </rPr>
      <t xml:space="preserve">Chọn chế độ import "全項目更新", click button 取込開始 → dialog xác nhận "実行"
</t>
    </r>
    <r>
      <rPr>
        <rFont val="游ゴシック"/>
        <b/>
        <color rgb="FF000000"/>
        <sz val="10.0"/>
      </rPr>
      <t xml:space="preserve">ステップ3：
</t>
    </r>
    <r>
      <rPr>
        <rFont val="游ゴシック"/>
        <color rgb="FF000000"/>
        <sz val="10.0"/>
      </rPr>
      <t>Kiểm tra DB: `SELECT ja_id, COUNT(*) FROM t_dokusya WHERE updated_at &gt;= NOW() - INTERVAL '5 minutes' GROUP BY ja_id`</t>
    </r>
  </si>
  <si>
    <r>
      <rPr>
        <rFont val="メイリオ"/>
        <b/>
        <color rgb="FF000000"/>
        <sz val="10.0"/>
      </rPr>
      <t xml:space="preserve">ステップ1：
</t>
    </r>
    <r>
      <rPr>
        <rFont val="メイリオ"/>
        <color rgb="FF000000"/>
        <sz val="10.0"/>
      </rPr>
      <t xml:space="preserve">Màn import dữ liệu Excel độc giả được hiển thị
</t>
    </r>
    <r>
      <rPr>
        <rFont val="メイリオ"/>
        <b/>
        <color rgb="FF000000"/>
        <sz val="10.0"/>
      </rPr>
      <t xml:space="preserve">ステップ2：
</t>
    </r>
    <r>
      <rPr>
        <rFont val="メイリオ"/>
        <color rgb="FF000000"/>
        <sz val="10.0"/>
      </rPr>
      <t xml:space="preserve">Trả về HTTP 200, chỉ record của `ja_id=1` được update
</t>
    </r>
    <r>
      <rPr>
        <rFont val="メイリオ"/>
        <b/>
        <color rgb="FF000000"/>
        <sz val="10.0"/>
      </rPr>
      <t xml:space="preserve">ステップ3：
</t>
    </r>
    <r>
      <rPr>
        <rFont val="メイリオ"/>
        <color rgb="FF000000"/>
        <sz val="10.0"/>
      </rPr>
      <t xml:space="preserve">Chỉ record của `ja_id=1` được count, record của các JA khác không bị update
</t>
    </r>
    <r>
      <rPr>
        <rFont val="メイリオ"/>
        <b/>
        <color rgb="FF000000"/>
        <sz val="10.0"/>
      </rPr>
      <t xml:space="preserve">補足：
</t>
    </r>
    <r>
      <rPr>
        <rFont val="メイリオ"/>
        <color rgb="FF000000"/>
        <sz val="10.0"/>
      </rPr>
      <t xml:space="preserve">・JA_HONTEN chỉ có thể import độc giả thuộc JA của mình
</t>
    </r>
    <r>
      <rPr>
        <rFont val="メイリオ"/>
        <color rgb="FF000000"/>
        <sz val="10.0"/>
      </rPr>
      <t>・Phía server lọc bằng `ja_id = session.ja_id`</t>
    </r>
  </si>
  <si>
    <t>ACSMS-TC-016-005</t>
  </si>
  <si>
    <t>Import dữ liệu Excel độc giả bởi JA_KANRI_SHITEN — chỉ import được trong 管理支店 của mình</t>
  </si>
  <si>
    <t>・role: JA_KANRI_SHITEN (thuộc ja-001 / kanri_shiten-001)
・Đã login + đã xác thực MFA</t>
  </si>
  <si>
    <r>
      <rPr>
        <rFont val="メイリオ"/>
        <b/>
        <color rgb="FF000000"/>
        <sz val="10.0"/>
      </rPr>
      <t xml:space="preserve">ステップ1：
</t>
    </r>
    <r>
      <rPr>
        <rFont val="メイリオ"/>
        <color rgb="FF000000"/>
        <sz val="10.0"/>
      </rPr>
      <t xml:space="preserve">Truy cập URL `/dokusya/import`
</t>
    </r>
    <r>
      <rPr>
        <rFont val="メイリオ"/>
        <b/>
        <color rgb="FF000000"/>
        <sz val="10.0"/>
      </rPr>
      <t xml:space="preserve">ステップ2：
</t>
    </r>
    <r>
      <rPr>
        <rFont val="メイリオ"/>
        <color rgb="FF000000"/>
        <sz val="10.0"/>
      </rPr>
      <t xml:space="preserve">Upload file Excel template của ja-001 / kanri_shiten-001, chọn chế độ import "入力箇所のみ更新"
</t>
    </r>
    <r>
      <rPr>
        <rFont val="メイリオ"/>
        <b/>
        <color rgb="FF000000"/>
        <sz val="10.0"/>
      </rPr>
      <t xml:space="preserve">ステップ3：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</si>
  <si>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Màn import dữ liệu Excel độc giả được hiển thị
</t>
    </r>
    <r>
      <rPr>
        <rFont val="メイリオ"/>
        <b/>
        <color rgb="FF000000"/>
        <sz val="10.0"/>
      </rPr>
      <t xml:space="preserve">ステップ2：
</t>
    </r>
    <r>
      <rPr>
        <rFont val="メイリオ"/>
        <color rgb="FF000000"/>
        <sz val="10.0"/>
      </rPr>
      <t xml:space="preserve">Preview hiển thị bình thường, có thể chọn cột để import từ panel cột
</t>
    </r>
    <r>
      <rPr>
        <rFont val="メイリオ"/>
        <b/>
        <color rgb="FF000000"/>
        <sz val="10.0"/>
      </rPr>
      <t xml:space="preserve">ステップ3：
</t>
    </r>
    <r>
      <rPr>
        <rFont val="メイリオ"/>
        <color rgb="FF000000"/>
        <sz val="10.0"/>
      </rPr>
      <t xml:space="preserve">Trả về HTTP 200, chỉ record dưới 管理支店 của mình (`kanri_shiten_id`) được update
</t>
    </r>
    <r>
      <rPr>
        <rFont val="メイリオ"/>
        <b/>
        <color rgb="FF000000"/>
        <sz val="10.0"/>
      </rPr>
      <t xml:space="preserve">補足：
</t>
    </r>
    <r>
      <rPr>
        <rFont val="メイリオ"/>
        <color rgb="FF000000"/>
        <sz val="10.0"/>
      </rPr>
      <t xml:space="preserve">・JA_KANRI_SHITEN có thể import độc giả thuộc 管理支店 của mình (theo `account_concept.md` quản lý độc giả)
</t>
    </r>
    <r>
      <rPr>
        <rFont val="メイリオ"/>
        <color rgb="FF000000"/>
        <sz val="10.0"/>
      </rPr>
      <t>・Độc giả được lọc theo đơn vị 管理支店 (áp dụng DataScope `kanri_shiten_id`)</t>
    </r>
  </si>
  <si>
    <t>Hiển thị màn hình &amp; Responsive (Layout &amp; Responsive)</t>
  </si>
  <si>
    <t>ACSMS-TC-016-006</t>
  </si>
  <si>
    <t>Hiển thị ban đầu — kiểm tra trạng thái mặc định</t>
  </si>
  <si>
    <t>・role: JA_HONTEN
・Đã login + đã xác thực MFA</t>
  </si>
  <si>
    <r>
      <rPr>
        <rFont val="メイリオ"/>
        <b/>
        <color rgb="FF000000"/>
        <sz val="10.0"/>
      </rPr>
      <t xml:space="preserve">ステップ1：
</t>
    </r>
    <r>
      <rPr>
        <rFont val="メイリオ"/>
        <color rgb="FF000000"/>
        <sz val="10.0"/>
      </rPr>
      <t xml:space="preserve">Truy cập URL `/dokusya/import`
</t>
    </r>
    <r>
      <rPr>
        <rFont val="メイリオ"/>
        <b/>
        <color rgb="FF000000"/>
        <sz val="10.0"/>
      </rPr>
      <t xml:space="preserve">ステップ2：
</t>
    </r>
    <r>
      <rPr>
        <rFont val="メイリオ"/>
        <color rgb="FF000000"/>
        <sz val="10.0"/>
      </rPr>
      <t xml:space="preserve">Kiểm tra trạng thái ban đầu của các vùng trên màn hình
</t>
    </r>
    <r>
      <rPr>
        <rFont val="メイリオ"/>
        <b/>
        <color rgb="FF000000"/>
        <sz val="10.0"/>
      </rPr>
      <t xml:space="preserve">ステップ3：
</t>
    </r>
    <r>
      <rPr>
        <rFont val="メイリオ"/>
        <color rgb="FF000000"/>
        <sz val="10.0"/>
      </rPr>
      <t>Kiểm tra trạng thái checkbox của panel cột import</t>
    </r>
  </si>
  <si>
    <r>
      <rPr>
        <rFont val="メイリオ"/>
        <b/>
        <color rgb="FF000000"/>
        <sz val="10.0"/>
      </rPr>
      <t xml:space="preserve">ステップ1：
</t>
    </r>
    <r>
      <rPr>
        <rFont val="メイリオ"/>
        <color rgb="FF000000"/>
        <sz val="10.0"/>
      </rPr>
      <t xml:space="preserve">Màn import dữ liệu Excel độc giả được hiển thị
</t>
    </r>
    <r>
      <rPr>
        <rFont val="メイリオ"/>
        <b/>
        <color rgb="FF000000"/>
        <sz val="10.0"/>
      </rPr>
      <t xml:space="preserve">ステップ2：
</t>
    </r>
    <r>
      <rPr>
        <rFont val="メイリオ"/>
        <color rgb="FF000000"/>
        <sz val="10.0"/>
      </rPr>
      <t xml:space="preserve">Ô chọn file Excel hiển thị nút "ファイルを選択" và placeholder "ファイルが選択されていません", radio chế độ import đang chọn "新規登録", button template được hiển thị, panel cột import được hiển thị, vùng preview không hiển thị
</t>
    </r>
    <r>
      <rPr>
        <rFont val="メイリオ"/>
        <b/>
        <color rgb="FF000000"/>
        <sz val="10.0"/>
      </rPr>
      <t xml:space="preserve">ステップ3：
</t>
    </r>
    <r>
      <rPr>
        <rFont val="メイリオ"/>
        <color rgb="FF000000"/>
        <sz val="10.0"/>
      </rPr>
      <t xml:space="preserve">Tất cả 49 checkbox cột được hiển thị, ở chế độ đăng ký mới các cột bắt buộc (`dokusya_shubetsu`／`tetsuzuki_shurui`／`kanri_shiten_id`／`dokusya_busu`／`tanka_id`／`yubin_no`／`todofuken_code`／`shikuchoson`／`chome_banchi`／`renrakusaki_1`／`hanbaiten_id`／`shiharai_hoho`／`dokusya_kaishi_date`) ở trạng thái disable (không thể tương tác) và đã được tick
</t>
    </r>
    <r>
      <rPr>
        <rFont val="メイリオ"/>
        <b/>
        <color rgb="FF000000"/>
        <sz val="10.0"/>
      </rPr>
      <t xml:space="preserve">補足：
</t>
    </r>
    <r>
      <rPr>
        <rFont val="メイリオ"/>
        <color rgb="FF000000"/>
        <sz val="10.0"/>
      </rPr>
      <t>・Trạng thái ban đầu là chế độ đăng ký mới, cột bắt buộc luôn đã tick và không thể chọn</t>
    </r>
  </si>
  <si>
    <t>ACSMS-TC-016-007</t>
  </si>
  <si>
    <t>Kiểm tra các option của radio group chế độ import</t>
  </si>
  <si>
    <r>
      <rPr>
        <rFont val="メイリオ"/>
        <b/>
        <color rgb="FF000000"/>
        <sz val="10.0"/>
      </rPr>
      <t xml:space="preserve">ステップ1：
</t>
    </r>
    <r>
      <rPr>
        <rFont val="メイリオ"/>
        <color rgb="FF000000"/>
        <sz val="10.0"/>
      </rPr>
      <t xml:space="preserve">Truy cập URL `/dokusya/import`, kiểm tra radio group chế độ import
</t>
    </r>
    <r>
      <rPr>
        <rFont val="メイリオ"/>
        <b/>
        <color rgb="FF000000"/>
        <sz val="10.0"/>
      </rPr>
      <t xml:space="preserve">ステップ2：
</t>
    </r>
    <r>
      <rPr>
        <rFont val="メイリオ"/>
        <color rgb="FF000000"/>
        <sz val="10.0"/>
      </rPr>
      <t xml:space="preserve">Kiểm tra các option của radio button đang hiển thị
</t>
    </r>
    <r>
      <rPr>
        <rFont val="メイリオ"/>
        <b/>
        <color rgb="FF000000"/>
        <sz val="10.0"/>
      </rPr>
      <t xml:space="preserve">ステップ3：
</t>
    </r>
    <r>
      <rPr>
        <rFont val="メイリオ"/>
        <color rgb="FF000000"/>
        <sz val="10.0"/>
      </rPr>
      <t>Lần lượt click từng radio button và kiểm tra trạng thái chọn</t>
    </r>
  </si>
  <si>
    <r>
      <rPr>
        <rFont val="メイリオ"/>
        <b/>
        <color rgb="FF000000"/>
        <sz val="10.0"/>
      </rPr>
      <t xml:space="preserve">ステップ1：
</t>
    </r>
    <r>
      <rPr>
        <rFont val="メイリオ"/>
        <color rgb="FF000000"/>
        <sz val="10.0"/>
      </rPr>
      <t xml:space="preserve">3 radio button được hiển thị nằm ngang, mặc định "新規登録" đã được tick
</t>
    </r>
    <r>
      <rPr>
        <rFont val="メイリオ"/>
        <b/>
        <color rgb="FF000000"/>
        <sz val="10.0"/>
      </rPr>
      <t xml:space="preserve">ステップ2：
</t>
    </r>
    <r>
      <rPr>
        <rFont val="メイリオ"/>
        <color rgb="FF000000"/>
        <sz val="10.0"/>
      </rPr>
      <t xml:space="preserve">Label của các radio hiển thị theo thứ tự "新規登録"/"全項目更新"/"入力箇所のみ更新"
</t>
    </r>
    <r>
      <rPr>
        <rFont val="メイリオ"/>
        <b/>
        <color rgb="FF000000"/>
        <sz val="10.0"/>
      </rPr>
      <t xml:space="preserve">ステップ3：
</t>
    </r>
    <r>
      <rPr>
        <rFont val="メイリオ"/>
        <color rgb="FF000000"/>
        <sz val="10.0"/>
      </rPr>
      <t xml:space="preserve">Chỉ option được click chuyển sang trạng thái tick, các option khác bị bỏ tick, giá trị chọn được lưu trong state (NEW / UPDATE_ALL / UPDATE_PARTIAL)
</t>
    </r>
    <r>
      <rPr>
        <rFont val="メイリオ"/>
        <b/>
        <color rgb="FF000000"/>
        <sz val="10.0"/>
      </rPr>
      <t xml:space="preserve">補足：
</t>
    </r>
    <r>
      <rPr>
        <rFont val="メイリオ"/>
        <color rgb="FF000000"/>
        <sz val="10.0"/>
      </rPr>
      <t xml:space="preserve">・Mapping giữa giá trị chọn và giá trị gửi server: 新規登録→NEW, 全項目更新→UPDATE_ALL, 入力箇所のみ更新→UPDATE_PARTIAL
</t>
    </r>
    <r>
      <rPr>
        <rFont val="メイリオ"/>
        <color rgb="FF000000"/>
        <sz val="10.0"/>
      </rPr>
      <t>・Chỉ ở chế độ đăng ký mới thì cột bắt buộc mới không thể chọn</t>
    </r>
  </si>
  <si>
    <t>ACSMS-TC-016-008</t>
  </si>
  <si>
    <t>Panel cột import — kiểm tra hiển thị 49 checkbox cột</t>
  </si>
  <si>
    <r>
      <rPr>
        <rFont val="メイリオ"/>
        <b/>
        <color rgb="FF000000"/>
        <sz val="10.0"/>
      </rPr>
      <t xml:space="preserve">ステップ1：
</t>
    </r>
    <r>
      <rPr>
        <rFont val="メイリオ"/>
        <color rgb="FF000000"/>
        <sz val="10.0"/>
      </rPr>
      <t xml:space="preserve">Truy cập `/dokusya/import`, kiểm tra panel cột import
</t>
    </r>
    <r>
      <rPr>
        <rFont val="メイリオ"/>
        <b/>
        <color rgb="FF000000"/>
        <sz val="10.0"/>
      </rPr>
      <t xml:space="preserve">ステップ2：
</t>
    </r>
    <r>
      <rPr>
        <rFont val="メイリオ"/>
        <color rgb="FF000000"/>
        <sz val="10.0"/>
      </rPr>
      <t xml:space="preserve">Kiểm tra trạng thái checkbox của cột bắt buộc ở chế độ đăng ký mới
</t>
    </r>
    <r>
      <rPr>
        <rFont val="メイリオ"/>
        <b/>
        <color rgb="FF000000"/>
        <sz val="10.0"/>
      </rPr>
      <t xml:space="preserve">ステップ3：
</t>
    </r>
    <r>
      <rPr>
        <rFont val="メイリオ"/>
        <color rgb="FF000000"/>
        <sz val="10.0"/>
      </rPr>
      <t>Kiểm tra label và thứ tự của từng checkbox trên panel</t>
    </r>
  </si>
  <si>
    <r>
      <rPr>
        <rFont val="メイリオ"/>
        <b/>
        <color rgb="FF000000"/>
        <sz val="10.0"/>
      </rPr>
      <t xml:space="preserve">ステップ1：
</t>
    </r>
    <r>
      <rPr>
        <rFont val="メイリオ"/>
        <color rgb="FF000000"/>
        <sz val="10.0"/>
      </rPr>
      <t xml:space="preserve">Panel cột import được hiển thị, checkbox cho cả 49 cột được hiển thị
</t>
    </r>
    <r>
      <rPr>
        <rFont val="メイリオ"/>
        <b/>
        <color rgb="FF000000"/>
        <sz val="10.0"/>
      </rPr>
      <t xml:space="preserve">ステップ2：
</t>
    </r>
    <r>
      <rPr>
        <rFont val="メイリオ"/>
        <color rgb="FF000000"/>
        <sz val="10.0"/>
      </rPr>
      <t xml:space="preserve">Ở chế độ đăng ký mới, các cột bắt buộc (`dokusya_shubetsu`／`tetsuzuki_shurui`／`kanri_shiten_id`／`dokusya_busu`／`tanka_id`／`yubin_no`／`todofuken_code`／`shikuchoson`／`chome_banchi`／`renrakusaki_1`／`hanbaiten_id`／`shiharai_hoho`／`dokusya_kaishi_date`) được hiển thị ở trạng thái disable và đã tick
</t>
    </r>
    <r>
      <rPr>
        <rFont val="メイリオ"/>
        <b/>
        <color rgb="FF000000"/>
        <sz val="10.0"/>
      </rPr>
      <t xml:space="preserve">ステップ3：
</t>
    </r>
    <r>
      <rPr>
        <rFont val="メイリオ"/>
        <color rgb="FF000000"/>
        <sz val="10.0"/>
      </rPr>
      <t xml:space="preserve">Label cột được hiển thị theo thứ tự của `screen-design.md §画面項目定義` và định nghĩa cột template trong `api.md`
</t>
    </r>
    <r>
      <rPr>
        <rFont val="メイリオ"/>
        <b/>
        <color rgb="FF000000"/>
        <sz val="10.0"/>
      </rPr>
      <t xml:space="preserve">補足：
</t>
    </r>
    <r>
      <rPr>
        <rFont val="メイリオ"/>
        <color rgb="FF000000"/>
        <sz val="10.0"/>
      </rPr>
      <t xml:space="preserve">・Thứ tự cột khớp với file template (cố định 49 cột)
</t>
    </r>
    <r>
      <rPr>
        <rFont val="メイリオ"/>
        <color rgb="FF000000"/>
        <sz val="10.0"/>
      </rPr>
      <t>・Checkbox "すべて選択／解除" được hiển thị ở góc phải header panel</t>
    </r>
  </si>
  <si>
    <t>ACSMS-TC-016-009</t>
  </si>
  <si>
    <t>Kiểm tra vùng preview ẩn ban đầu</t>
  </si>
  <si>
    <r>
      <rPr>
        <rFont val="メイリオ"/>
        <b/>
        <color rgb="FF000000"/>
        <sz val="10.0"/>
      </rPr>
      <t xml:space="preserve">ステップ1：
</t>
    </r>
    <r>
      <rPr>
        <rFont val="メイリオ"/>
        <color rgb="FF000000"/>
        <sz val="10.0"/>
      </rPr>
      <t xml:space="preserve">Truy cập `/dokusya/import`, kiểm tra trạng thái hiển thị của vùng preview
</t>
    </r>
    <r>
      <rPr>
        <rFont val="メイリオ"/>
        <b/>
        <color rgb="FF000000"/>
        <sz val="10.0"/>
      </rPr>
      <t xml:space="preserve">ステップ2：
</t>
    </r>
    <r>
      <rPr>
        <rFont val="メイリオ"/>
        <color rgb="FF000000"/>
        <sz val="10.0"/>
      </rPr>
      <t>Kiểm tra phần dưới màn hình ở trạng thái chưa chọn file</t>
    </r>
  </si>
  <si>
    <r>
      <rPr>
        <rFont val="メイリオ"/>
        <b/>
        <color rgb="FF000000"/>
        <sz val="10.0"/>
      </rPr>
      <t xml:space="preserve">ステップ1：
</t>
    </r>
    <r>
      <rPr>
        <rFont val="メイリオ"/>
        <color rgb="FF000000"/>
        <sz val="10.0"/>
      </rPr>
      <t xml:space="preserve">Khi chưa chọn file, vùng preview không hiển thị
</t>
    </r>
    <r>
      <rPr>
        <rFont val="メイリオ"/>
        <b/>
        <color rgb="FF000000"/>
        <sz val="10.0"/>
      </rPr>
      <t xml:space="preserve">ステップ2：
</t>
    </r>
    <r>
      <rPr>
        <rFont val="メイリオ"/>
        <color rgb="FF000000"/>
        <sz val="10.0"/>
      </rPr>
      <t xml:space="preserve">Table preview không được vẽ, có hiển thị hướng dẫn rằng preview sẽ hiển thị sau khi chọn file
</t>
    </r>
    <r>
      <rPr>
        <rFont val="メイリオ"/>
        <b/>
        <color rgb="FF000000"/>
        <sz val="10.0"/>
      </rPr>
      <t xml:space="preserve">補足：
</t>
    </r>
    <r>
      <rPr>
        <rFont val="メイリオ"/>
        <color rgb="FF000000"/>
        <sz val="10.0"/>
      </rPr>
      <t>・Preview chỉ hiển thị các cột đã tick sau khi chọn file</t>
    </r>
  </si>
  <si>
    <t>ACSMS-TC-016-010</t>
  </si>
  <si>
    <t>Kiểm tra hiển thị nhóm button</t>
  </si>
  <si>
    <r>
      <rPr>
        <rFont val="メイリオ"/>
        <b/>
        <color rgb="FF000000"/>
        <sz val="10.0"/>
      </rPr>
      <t xml:space="preserve">ステップ1：
</t>
    </r>
    <r>
      <rPr>
        <rFont val="メイリオ"/>
        <color rgb="FF000000"/>
        <sz val="10.0"/>
      </rPr>
      <t xml:space="preserve">Truy cập `/dokusya/import`, kiểm tra các button trên màn hình
</t>
    </r>
    <r>
      <rPr>
        <rFont val="メイリオ"/>
        <b/>
        <color rgb="FF000000"/>
        <sz val="10.0"/>
      </rPr>
      <t xml:space="preserve">ステップ2：
</t>
    </r>
    <r>
      <rPr>
        <rFont val="メイリオ"/>
        <color rgb="FF000000"/>
        <sz val="10.0"/>
      </rPr>
      <t>Kiểm tra trạng thái active / disable của từng button</t>
    </r>
  </si>
  <si>
    <r>
      <rPr>
        <rFont val="メイリオ"/>
        <b/>
        <color rgb="FF000000"/>
        <sz val="10.0"/>
      </rPr>
      <t xml:space="preserve">ステップ1：
</t>
    </r>
    <r>
      <rPr>
        <rFont val="メイリオ"/>
        <color rgb="FF000000"/>
        <sz val="10.0"/>
      </rPr>
      <t xml:space="preserve">2 button "テンプレート" và "取込開始" được hiển thị
</t>
    </r>
    <r>
      <rPr>
        <rFont val="メイリオ"/>
        <b/>
        <color rgb="FF000000"/>
        <sz val="10.0"/>
      </rPr>
      <t xml:space="preserve">ステップ2：
</t>
    </r>
    <r>
      <rPr>
        <rFont val="メイリオ"/>
        <color rgb="FF000000"/>
        <sz val="10.0"/>
      </rPr>
      <t xml:space="preserve">Button template luôn ở trạng thái active có thể click, button 取込開始 ở trạng thái disable khi chưa chọn file
</t>
    </r>
    <r>
      <rPr>
        <rFont val="メイリオ"/>
        <b/>
        <color rgb="FF000000"/>
        <sz val="10.0"/>
      </rPr>
      <t xml:space="preserve">補足：
</t>
    </r>
    <r>
      <rPr>
        <rFont val="メイリオ"/>
        <color rgb="FF000000"/>
        <sz val="10.0"/>
      </rPr>
      <t>・Khi click button 取込開始 lúc chưa chọn file, validation error phía client phát sinh trước</t>
    </r>
  </si>
  <si>
    <t>ACSMS-TC-016-011</t>
  </si>
  <si>
    <t>Responsive — hiển thị ở chiều rộng mobile (375px)</t>
  </si>
  <si>
    <r>
      <rPr>
        <rFont val="メイリオ"/>
        <b/>
        <color rgb="FF000000"/>
        <sz val="10.0"/>
      </rPr>
      <t xml:space="preserve">ステップ1：
</t>
    </r>
    <r>
      <rPr>
        <rFont val="メイリオ"/>
        <color rgb="FF000000"/>
        <sz val="10.0"/>
      </rPr>
      <t xml:space="preserve">Đặt chiều rộng màn hình về 375px (iPhone SE) bằng DevTools
</t>
    </r>
    <r>
      <rPr>
        <rFont val="メイリオ"/>
        <b/>
        <color rgb="FF000000"/>
        <sz val="10.0"/>
      </rPr>
      <t xml:space="preserve">ステップ2：
</t>
    </r>
    <r>
      <rPr>
        <rFont val="メイリオ"/>
        <color rgb="FF000000"/>
        <sz val="10.0"/>
      </rPr>
      <t xml:space="preserve">Hiển thị `/dokusya/import`
</t>
    </r>
    <r>
      <rPr>
        <rFont val="メイリオ"/>
        <b/>
        <color rgb="FF000000"/>
        <sz val="10.0"/>
      </rPr>
      <t xml:space="preserve">ステップ3：
</t>
    </r>
    <r>
      <rPr>
        <rFont val="メイリオ"/>
        <color rgb="FF000000"/>
        <sz val="10.0"/>
      </rPr>
      <t>Kiểm tra hiển thị panel cột import và vùng preview</t>
    </r>
  </si>
  <si>
    <r>
      <rPr>
        <rFont val="メイリオ"/>
        <b/>
        <color rgb="FF000000"/>
        <sz val="10.0"/>
      </rPr>
      <t xml:space="preserve">ステップ1：
</t>
    </r>
    <r>
      <rPr>
        <rFont val="メイリオ"/>
        <color rgb="FF000000"/>
        <sz val="10.0"/>
      </rPr>
      <t xml:space="preserve">Chiều rộng màn hình được set về 375px
</t>
    </r>
    <r>
      <rPr>
        <rFont val="メイリオ"/>
        <b/>
        <color rgb="FF000000"/>
        <sz val="10.0"/>
      </rPr>
      <t xml:space="preserve">ステップ2：
</t>
    </r>
    <r>
      <rPr>
        <rFont val="メイリオ"/>
        <color rgb="FF000000"/>
        <sz val="10.0"/>
      </rPr>
      <t xml:space="preserve">Màn import dữ liệu Excel độc giả hiển thị không vỡ layout
</t>
    </r>
    <r>
      <rPr>
        <rFont val="メイリオ"/>
        <b/>
        <color rgb="FF000000"/>
        <sz val="10.0"/>
      </rPr>
      <t xml:space="preserve">ステップ3：
</t>
    </r>
    <r>
      <rPr>
        <rFont val="メイリオ"/>
        <color rgb="FF000000"/>
        <sz val="10.0"/>
      </rPr>
      <t xml:space="preserve">Panel cột import được xếp chồng theo chiều dọc, table preview có thể scroll ngang, các button hiển thị xuống dòng
</t>
    </r>
    <r>
      <rPr>
        <rFont val="メイリオ"/>
        <b/>
        <color rgb="FF000000"/>
        <sz val="10.0"/>
      </rPr>
      <t xml:space="preserve">補足：
</t>
    </r>
    <r>
      <rPr>
        <rFont val="メイリオ"/>
        <color rgb="FF000000"/>
        <sz val="10.0"/>
      </rPr>
      <t>・Tất cả chức năng (chọn file / chọn cột / 取込開始) thao tác được ở chiều rộng mobile</t>
    </r>
  </si>
  <si>
    <t>ACSMS-TC-016-012</t>
  </si>
  <si>
    <t>Kiểm tra accessibility bằng thao tác bàn phím</t>
  </si>
  <si>
    <r>
      <rPr>
        <rFont val="メイリオ"/>
        <b/>
        <color rgb="FF000000"/>
        <sz val="10.0"/>
      </rPr>
      <t xml:space="preserve">ステップ1：
</t>
    </r>
    <r>
      <rPr>
        <rFont val="メイリオ"/>
        <color rgb="FF000000"/>
        <sz val="10.0"/>
      </rPr>
      <t xml:space="preserve">Truy cập `/dokusya/import`
</t>
    </r>
    <r>
      <rPr>
        <rFont val="メイリオ"/>
        <b/>
        <color rgb="FF000000"/>
        <sz val="10.0"/>
      </rPr>
      <t xml:space="preserve">ステップ2：
</t>
    </r>
    <r>
      <rPr>
        <rFont val="メイリオ"/>
        <color rgb="FF000000"/>
        <sz val="10.0"/>
      </rPr>
      <t xml:space="preserve">Dùng phím Tab để di chuyển focus qua các UI component
</t>
    </r>
    <r>
      <rPr>
        <rFont val="メイリオ"/>
        <b/>
        <color rgb="FF000000"/>
        <sz val="10.0"/>
      </rPr>
      <t xml:space="preserve">ステップ3：
</t>
    </r>
    <r>
      <rPr>
        <rFont val="メイリオ"/>
        <color rgb="FF000000"/>
        <sz val="10.0"/>
      </rPr>
      <t xml:space="preserve">Khi focus vào checkbox, dùng phím Space để toggle on/off
</t>
    </r>
    <r>
      <rPr>
        <rFont val="メイリオ"/>
        <b/>
        <color rgb="FF000000"/>
        <sz val="10.0"/>
      </rPr>
      <t xml:space="preserve">ステップ4：
</t>
    </r>
    <r>
      <rPr>
        <rFont val="メイリオ"/>
        <color rgb="FF000000"/>
        <sz val="10.0"/>
      </rPr>
      <t>Khi focus vào button 取込開始, dùng phím Enter để click</t>
    </r>
  </si>
  <si>
    <r>
      <rPr>
        <rFont val="メイリオ"/>
        <b/>
        <color rgb="FF000000"/>
        <sz val="10.0"/>
      </rPr>
      <t xml:space="preserve">ステップ1：
</t>
    </r>
    <r>
      <rPr>
        <rFont val="メイリオ"/>
        <color rgb="FF000000"/>
        <sz val="10.0"/>
      </rPr>
      <t xml:space="preserve">Màn import dữ liệu Excel độc giả được hiển thị
</t>
    </r>
    <r>
      <rPr>
        <rFont val="メイリオ"/>
        <b/>
        <color rgb="FF000000"/>
        <sz val="10.0"/>
      </rPr>
      <t xml:space="preserve">ステップ2：
</t>
    </r>
    <r>
      <rPr>
        <rFont val="メイリオ"/>
        <color rgb="FF000000"/>
        <sz val="10.0"/>
      </rPr>
      <t xml:space="preserve">Thứ tự focus di chuyển đúng theo "button chọn file Excel → radio chế độ import (新規登録／全項目更新／入力箇所のみ更新) → button template → すべて選択／解除 → từng checkbox cột → button 取込開始"
</t>
    </r>
    <r>
      <rPr>
        <rFont val="メイリオ"/>
        <b/>
        <color rgb="FF000000"/>
        <sz val="10.0"/>
      </rPr>
      <t xml:space="preserve">ステップ3：
</t>
    </r>
    <r>
      <rPr>
        <rFont val="メイリオ"/>
        <color rgb="FF000000"/>
        <sz val="10.0"/>
      </rPr>
      <t xml:space="preserve">Nhấn phím Space toggle checkbox (checkbox cột bắt buộc ở chế độ đăng ký mới chỉ nhận focus, thao tác bị vô hiệu hóa)
</t>
    </r>
    <r>
      <rPr>
        <rFont val="メイリオ"/>
        <b/>
        <color rgb="FF000000"/>
        <sz val="10.0"/>
      </rPr>
      <t xml:space="preserve">ステップ4：
</t>
    </r>
    <r>
      <rPr>
        <rFont val="メイリオ"/>
        <color rgb="FF000000"/>
        <sz val="10.0"/>
      </rPr>
      <t xml:space="preserve">Button 取込開始 được click, nếu chưa chọn file thì validation error được hiển thị
</t>
    </r>
    <r>
      <rPr>
        <rFont val="メイリオ"/>
        <b/>
        <color rgb="FF000000"/>
        <sz val="10.0"/>
      </rPr>
      <t xml:space="preserve">補足：
</t>
    </r>
    <r>
      <rPr>
        <rFont val="メイリオ"/>
        <color rgb="FF000000"/>
        <sz val="10.0"/>
      </rPr>
      <t>・Tất cả chức năng có thể thao tác chỉ bằng bàn phím (yêu cầu A11y)</t>
    </r>
  </si>
  <si>
    <t>Header &amp; Breadcrumb</t>
  </si>
  <si>
    <t>ACSMS-TC-016-013</t>
  </si>
  <si>
    <t>Kiểm tra hiển thị title trang</t>
  </si>
  <si>
    <r>
      <rPr>
        <rFont val="メイリオ"/>
        <b/>
        <color rgb="FF000000"/>
        <sz val="10.0"/>
      </rPr>
      <t xml:space="preserve">ステップ1：
</t>
    </r>
    <r>
      <rPr>
        <rFont val="メイリオ"/>
        <color rgb="FF000000"/>
        <sz val="10.0"/>
      </rPr>
      <t xml:space="preserve">Truy cập `/dokusya/import`
</t>
    </r>
    <r>
      <rPr>
        <rFont val="メイリオ"/>
        <b/>
        <color rgb="FF000000"/>
        <sz val="10.0"/>
      </rPr>
      <t xml:space="preserve">ステップ2：
</t>
    </r>
    <r>
      <rPr>
        <rFont val="メイリオ"/>
        <color rgb="FF000000"/>
        <sz val="10.0"/>
      </rPr>
      <t>Kiểm tra title của tab browser và title của header trang</t>
    </r>
  </si>
  <si>
    <r>
      <rPr>
        <rFont val="メイリオ"/>
        <b/>
        <color rgb="FF000000"/>
        <sz val="10.0"/>
      </rPr>
      <t xml:space="preserve">ステップ1：
</t>
    </r>
    <r>
      <rPr>
        <rFont val="メイリオ"/>
        <color rgb="FF000000"/>
        <sz val="10.0"/>
      </rPr>
      <t xml:space="preserve">Màn import dữ liệu Excel độc giả được hiển thị
</t>
    </r>
    <r>
      <rPr>
        <rFont val="メイリオ"/>
        <b/>
        <color rgb="FF000000"/>
        <sz val="10.0"/>
      </rPr>
      <t xml:space="preserve">ステップ2：
</t>
    </r>
    <r>
      <rPr>
        <rFont val="メイリオ"/>
        <color rgb="FF000000"/>
        <sz val="10.0"/>
      </rPr>
      <t xml:space="preserve">Title trang hiển thị là "購読者Excelデータ取込", tab browser hiển thị `購読者Excelデータ取込 | クラウド版購読者管理システム`
</t>
    </r>
    <r>
      <rPr>
        <rFont val="メイリオ"/>
        <b/>
        <color rgb="FF000000"/>
        <sz val="10.0"/>
      </rPr>
      <t xml:space="preserve">補足：
</t>
    </r>
    <r>
      <rPr>
        <rFont val="メイリオ"/>
        <color rgb="FF000000"/>
        <sz val="10.0"/>
      </rPr>
      <t>・Title khớp với `&lt;title&gt;` và `&lt;h2&gt;` trong `index.html`</t>
    </r>
  </si>
  <si>
    <t>ACSMS-TC-016-014</t>
  </si>
  <si>
    <t>Kiểm tra hiển thị breadcrumb và thao tác chuyển trang</t>
  </si>
  <si>
    <r>
      <rPr>
        <rFont val="メイリオ"/>
        <b/>
        <color rgb="FF000000"/>
        <sz val="10.0"/>
      </rPr>
      <t xml:space="preserve">ステップ1：
</t>
    </r>
    <r>
      <rPr>
        <rFont val="メイリオ"/>
        <color rgb="FF000000"/>
        <sz val="10.0"/>
      </rPr>
      <t xml:space="preserve">Truy cập `/dokusya/import`, kiểm tra breadcrumb
</t>
    </r>
    <r>
      <rPr>
        <rFont val="メイリオ"/>
        <b/>
        <color rgb="FF000000"/>
        <sz val="10.0"/>
      </rPr>
      <t xml:space="preserve">ステップ2：
</t>
    </r>
    <r>
      <rPr>
        <rFont val="メイリオ"/>
        <color rgb="FF000000"/>
        <sz val="10.0"/>
      </rPr>
      <t xml:space="preserve">Click "ホーム" trên breadcrumb
</t>
    </r>
    <r>
      <rPr>
        <rFont val="メイリオ"/>
        <b/>
        <color rgb="FF000000"/>
        <sz val="10.0"/>
      </rPr>
      <t xml:space="preserve">ステップ3：
</t>
    </r>
    <r>
      <rPr>
        <rFont val="メイリオ"/>
        <color rgb="FF000000"/>
        <sz val="10.0"/>
      </rPr>
      <t>Quay lại `/dokusya/import`, kiểm tra segment cuối của breadcrumb</t>
    </r>
  </si>
  <si>
    <r>
      <rPr>
        <rFont val="メイリオ"/>
        <b/>
        <color rgb="FF000000"/>
        <sz val="10.0"/>
      </rPr>
      <t xml:space="preserve">ステップ1：
</t>
    </r>
    <r>
      <rPr>
        <rFont val="メイリオ"/>
        <color rgb="FF000000"/>
        <sz val="10.0"/>
      </rPr>
      <t xml:space="preserve">Breadcrumb hiển thị là "ホーム &gt; 購読者Excelデータ取込"
</t>
    </r>
    <r>
      <rPr>
        <rFont val="メイリオ"/>
        <b/>
        <color rgb="FF000000"/>
        <sz val="10.0"/>
      </rPr>
      <t xml:space="preserve">ステップ2：
</t>
    </r>
    <r>
      <rPr>
        <rFont val="メイリオ"/>
        <color rgb="FF000000"/>
        <sz val="10.0"/>
      </rPr>
      <t xml:space="preserve">Chuyển về `/dashboard`
</t>
    </r>
    <r>
      <rPr>
        <rFont val="メイリオ"/>
        <b/>
        <color rgb="FF000000"/>
        <sz val="10.0"/>
      </rPr>
      <t xml:space="preserve">ステップ3：
</t>
    </r>
    <r>
      <rPr>
        <rFont val="メイリオ"/>
        <color rgb="FF000000"/>
        <sz val="10.0"/>
      </rPr>
      <t xml:space="preserve">Segment cuối của breadcrumb (購読者Excelデータ取込) không thể click (màn đang hiển thị)
</t>
    </r>
    <r>
      <rPr>
        <rFont val="メイリオ"/>
        <b/>
        <color rgb="FF000000"/>
        <sz val="10.0"/>
      </rPr>
      <t xml:space="preserve">補足：
</t>
    </r>
    <r>
      <rPr>
        <rFont val="メイリオ"/>
        <color rgb="FF000000"/>
        <sz val="10.0"/>
      </rPr>
      <t>・Breadcrumb chuyển trang theo named route</t>
    </r>
  </si>
  <si>
    <t>ACSMS-TC-016-015</t>
  </si>
  <si>
    <t>Kiểm tra hiển thị tên user đã login trên header</t>
  </si>
  <si>
    <r>
      <rPr>
        <rFont val="メイリオ"/>
        <b/>
        <color rgb="FF000000"/>
        <sz val="10.0"/>
      </rPr>
      <t xml:space="preserve">ステップ1：
</t>
    </r>
    <r>
      <rPr>
        <rFont val="メイリオ"/>
        <color rgb="FF000000"/>
        <sz val="10.0"/>
      </rPr>
      <t xml:space="preserve">Truy cập `/dokusya/import`, kiểm tra vùng header phía trên bên phải màn hình
</t>
    </r>
    <r>
      <rPr>
        <rFont val="メイリオ"/>
        <b/>
        <color rgb="FF000000"/>
        <sz val="10.0"/>
      </rPr>
      <t xml:space="preserve">ステップ2：
</t>
    </r>
    <r>
      <rPr>
        <rFont val="メイリオ"/>
        <color rgb="FF000000"/>
        <sz val="10.0"/>
      </rPr>
      <t>Kiểm tra hiển thị profile</t>
    </r>
  </si>
  <si>
    <r>
      <rPr>
        <rFont val="メイリオ"/>
        <b/>
        <color rgb="FF000000"/>
        <sz val="10.0"/>
      </rPr>
      <t xml:space="preserve">ステップ1：
</t>
    </r>
    <r>
      <rPr>
        <rFont val="メイリオ"/>
        <color rgb="FF000000"/>
        <sz val="10.0"/>
      </rPr>
      <t xml:space="preserve">User profile được hiển thị ở phía trên bên phải màn hình
</t>
    </r>
    <r>
      <rPr>
        <rFont val="メイリオ"/>
        <b/>
        <color rgb="FF000000"/>
        <sz val="10.0"/>
      </rPr>
      <t xml:space="preserve">ステップ2：
</t>
    </r>
    <r>
      <rPr>
        <rFont val="メイリオ"/>
        <color rgb="FF000000"/>
        <sz val="10.0"/>
      </rPr>
      <t xml:space="preserve">`login_id:tên role` của user đã login được hiển thị (ví dụ: `ja-honten-01:JA本店`)
</t>
    </r>
    <r>
      <rPr>
        <rFont val="メイリオ"/>
        <b/>
        <color rgb="FF000000"/>
        <sz val="10.0"/>
      </rPr>
      <t xml:space="preserve">補足：
</t>
    </r>
    <r>
      <rPr>
        <rFont val="メイリオ"/>
        <color rgb="FF000000"/>
        <sz val="10.0"/>
      </rPr>
      <t>・Vùng header do MainLayout quản lý, các màn không vẽ lặp lại</t>
    </r>
  </si>
  <si>
    <t>Chức năng chọn file / chọn cột / preview</t>
  </si>
  <si>
    <t>ACSMS-TC-016-016</t>
  </si>
  <si>
    <t>Chọn file Excel — parse bình thường và cập nhật preview</t>
  </si>
  <si>
    <t>・role: JA_HONTEN
・Đã login + đã xác thực MFA
・File test: `.xlsx` chứa 3 dòng độc giả, sheet name "購読者", 49 cột header</t>
  </si>
  <si>
    <r>
      <rPr>
        <rFont val="メイリオ"/>
        <b/>
        <color rgb="FF000000"/>
        <sz val="10.0"/>
      </rPr>
      <t xml:space="preserve">ステップ1：
</t>
    </r>
    <r>
      <rPr>
        <rFont val="メイリオ"/>
        <color rgb="FF000000"/>
        <sz val="10.0"/>
      </rPr>
      <t xml:space="preserve">Truy cập `/dokusya/import`, click button chọn file Excel
</t>
    </r>
    <r>
      <rPr>
        <rFont val="メイリオ"/>
        <b/>
        <color rgb="FF000000"/>
        <sz val="10.0"/>
      </rPr>
      <t xml:space="preserve">ステップ2：
</t>
    </r>
    <r>
      <rPr>
        <rFont val="メイリオ"/>
        <color rgb="FF000000"/>
        <sz val="10.0"/>
      </rPr>
      <t xml:space="preserve">Chọn file test
</t>
    </r>
    <r>
      <rPr>
        <rFont val="メイリオ"/>
        <b/>
        <color rgb="FF000000"/>
        <sz val="10.0"/>
      </rPr>
      <t xml:space="preserve">ステップ3：
</t>
    </r>
    <r>
      <rPr>
        <rFont val="メイリオ"/>
        <color rgb="FF000000"/>
        <sz val="10.0"/>
      </rPr>
      <t>Kiểm tra vùng preview</t>
    </r>
  </si>
  <si>
    <r>
      <rPr>
        <rFont val="メイリオ"/>
        <b/>
        <color rgb="FF000000"/>
        <sz val="10.0"/>
      </rPr>
      <t xml:space="preserve">ステップ1：
</t>
    </r>
    <r>
      <rPr>
        <rFont val="メイリオ"/>
        <color rgb="FF000000"/>
        <sz val="10.0"/>
      </rPr>
      <t xml:space="preserve">Dialog chọn file được hiển thị, filter chỉ chấp nhận `.xlsx, .xls`
</t>
    </r>
    <r>
      <rPr>
        <rFont val="メイリオ"/>
        <b/>
        <color rgb="FF000000"/>
        <sz val="10.0"/>
      </rPr>
      <t xml:space="preserve">ステップ2：
</t>
    </r>
    <r>
      <rPr>
        <rFont val="メイリオ"/>
        <color rgb="FF000000"/>
        <sz val="10.0"/>
      </rPr>
      <t xml:space="preserve">File name được hiển thị, dialog đóng lại
</t>
    </r>
    <r>
      <rPr>
        <rFont val="メイリオ"/>
        <b/>
        <color rgb="FF000000"/>
        <sz val="10.0"/>
      </rPr>
      <t xml:space="preserve">ステップ3：
</t>
    </r>
    <r>
      <rPr>
        <rFont val="メイリオ"/>
        <color rgb="FF000000"/>
        <sz val="10.0"/>
      </rPr>
      <t xml:space="preserve">Vùng preview được hiển thị, cả 3 dòng của file test được hiển thị, header cột chỉ hiển thị các cột đã tick
</t>
    </r>
    <r>
      <rPr>
        <rFont val="メイリオ"/>
        <b/>
        <color rgb="FF000000"/>
        <sz val="10.0"/>
      </rPr>
      <t xml:space="preserve">補足：
</t>
    </r>
    <r>
      <rPr>
        <rFont val="メイリオ"/>
        <color rgb="FF000000"/>
        <sz val="10.0"/>
      </rPr>
      <t xml:space="preserve">・Khi chọn file, lấy sheet đầu tiên, parse dòng 1 là header, từ dòng 2 trở đi là data
</t>
    </r>
    <r>
      <rPr>
        <rFont val="メイリオ"/>
        <color rgb="FF000000"/>
        <sz val="10.0"/>
      </rPr>
      <t>・Khi parse fail, hiển thị ACSMS-MSG-016-001 (TC khác)</t>
    </r>
  </si>
  <si>
    <t>ACSMS-TC-016-017</t>
  </si>
  <si>
    <t>Chọn file Excel — định dạng file không hợp lệ (.csv)</t>
  </si>
  <si>
    <t>・role: JA_HONTEN
・Đã login + đã xác thực MFA
・File test: định dạng `.csv`</t>
  </si>
  <si>
    <r>
      <rPr>
        <rFont val="メイリオ"/>
        <b/>
        <color rgb="FF000000"/>
        <sz val="10.0"/>
      </rPr>
      <t xml:space="preserve">ステップ1：
</t>
    </r>
    <r>
      <rPr>
        <rFont val="メイリオ"/>
        <color rgb="FF000000"/>
        <sz val="10.0"/>
      </rPr>
      <t xml:space="preserve">Click button chọn file Excel, chọn file test (có thể đổi extension thành `.csv`)
</t>
    </r>
    <r>
      <rPr>
        <rFont val="メイリオ"/>
        <b/>
        <color rgb="FF000000"/>
        <sz val="10.0"/>
      </rPr>
      <t xml:space="preserve">ステップ2：
</t>
    </r>
    <r>
      <rPr>
        <rFont val="メイリオ"/>
        <color rgb="FF000000"/>
        <sz val="10.0"/>
      </rPr>
      <t>Kiểm tra hành vi của màn hình</t>
    </r>
  </si>
  <si>
    <r>
      <rPr>
        <rFont val="メイリオ"/>
        <b/>
        <color rgb="FF000000"/>
        <sz val="10.0"/>
      </rPr>
      <t xml:space="preserve">ステップ1：
</t>
    </r>
    <r>
      <rPr>
        <rFont val="メイリオ"/>
        <color rgb="FF000000"/>
        <sz val="10.0"/>
      </rPr>
      <t xml:space="preserve">Do filter của dialog file, `.csv` không xuất hiện trong selection hoặc nếu chọn cũng không được chấp nhận
</t>
    </r>
    <r>
      <rPr>
        <rFont val="メイリオ"/>
        <b/>
        <color rgb="FF000000"/>
        <sz val="10.0"/>
      </rPr>
      <t xml:space="preserve">ステップ2：
</t>
    </r>
    <r>
      <rPr>
        <rFont val="メイリオ"/>
        <color rgb="FF000000"/>
        <sz val="10.0"/>
      </rPr>
      <t xml:space="preserve">Hiển thị toast `Excelファイルの取り込みに失敗しました。ファイル形式を確認してください。` (ACSMS-MSG-016-001)
</t>
    </r>
    <r>
      <rPr>
        <rFont val="メイリオ"/>
        <b/>
        <color rgb="FF000000"/>
        <sz val="10.0"/>
      </rPr>
      <t xml:space="preserve">補足：
</t>
    </r>
    <r>
      <rPr>
        <rFont val="メイリオ"/>
        <color rgb="FF000000"/>
        <sz val="10.0"/>
      </rPr>
      <t xml:space="preserve">・Filter chỉ nhận `.xlsx, .xls`
</t>
    </r>
    <r>
      <rPr>
        <rFont val="メイリオ"/>
        <color rgb="FF000000"/>
        <sz val="10.0"/>
      </rPr>
      <t>・Ngay cả khi extension là `.xlsx` nhưng nội dung bị hỏng, vẫn hiển thị cùng message</t>
    </r>
  </si>
  <si>
    <t>ACSMS-TC-016-018</t>
  </si>
  <si>
    <t>Preview vẽ lại khi thay đổi checkbox cột</t>
  </si>
  <si>
    <t>・role: JA_HONTEN
・Đã login + đã xác thực MFA
・File test: đã upload `.xlsx` 3 dòng độc giả</t>
  </si>
  <si>
    <r>
      <rPr>
        <rFont val="メイリオ"/>
        <b/>
        <color rgb="FF000000"/>
        <sz val="10.0"/>
      </rPr>
      <t xml:space="preserve">ステップ1：
</t>
    </r>
    <r>
      <rPr>
        <rFont val="メイリオ"/>
        <color rgb="FF000000"/>
        <sz val="10.0"/>
      </rPr>
      <t xml:space="preserve">Xác nhận preview ban đầu hiển thị đủ 49 cột
</t>
    </r>
    <r>
      <rPr>
        <rFont val="メイリオ"/>
        <b/>
        <color rgb="FF000000"/>
        <sz val="10.0"/>
      </rPr>
      <t xml:space="preserve">ステップ2：
</t>
    </r>
    <r>
      <rPr>
        <rFont val="メイリオ"/>
        <color rgb="FF000000"/>
        <sz val="10.0"/>
      </rPr>
      <t xml:space="preserve">Bỏ tick 3 cột bất kỳ như "住所（市町村郡）"/"連絡先2"/"備考"
</t>
    </r>
    <r>
      <rPr>
        <rFont val="メイリオ"/>
        <b/>
        <color rgb="FF000000"/>
        <sz val="10.0"/>
      </rPr>
      <t xml:space="preserve">ステップ3：
</t>
    </r>
    <r>
      <rPr>
        <rFont val="メイリオ"/>
        <color rgb="FF000000"/>
        <sz val="10.0"/>
      </rPr>
      <t>Kiểm tra preview lại</t>
    </r>
  </si>
  <si>
    <r>
      <rPr>
        <rFont val="メイリオ"/>
        <b/>
        <color rgb="FF000000"/>
        <sz val="10.0"/>
      </rPr>
      <t xml:space="preserve">ステップ1：
</t>
    </r>
    <r>
      <rPr>
        <rFont val="メイリオ"/>
        <color rgb="FF000000"/>
        <sz val="10.0"/>
      </rPr>
      <t xml:space="preserve">Preview hiển thị header 49 cột và 3 dòng data
</t>
    </r>
    <r>
      <rPr>
        <rFont val="メイリオ"/>
        <b/>
        <color rgb="FF000000"/>
        <sz val="10.0"/>
      </rPr>
      <t xml:space="preserve">ステップ2：
</t>
    </r>
    <r>
      <rPr>
        <rFont val="メイリオ"/>
        <color rgb="FF000000"/>
        <sz val="10.0"/>
      </rPr>
      <t xml:space="preserve">Checkbox được bỏ tick
</t>
    </r>
    <r>
      <rPr>
        <rFont val="メイリオ"/>
        <b/>
        <color rgb="FF000000"/>
        <sz val="10.0"/>
      </rPr>
      <t xml:space="preserve">ステップ3：
</t>
    </r>
    <r>
      <rPr>
        <rFont val="メイリオ"/>
        <color rgb="FF000000"/>
        <sz val="10.0"/>
      </rPr>
      <t xml:space="preserve">3 cột bị bỏ tick không hiển thị trên preview, chỉ hiển thị header và data của 46 cột
</t>
    </r>
    <r>
      <rPr>
        <rFont val="メイリオ"/>
        <b/>
        <color rgb="FF000000"/>
        <sz val="10.0"/>
      </rPr>
      <t xml:space="preserve">補足：
</t>
    </r>
    <r>
      <rPr>
        <rFont val="メイリオ"/>
        <color rgb="FF000000"/>
        <sz val="10.0"/>
      </rPr>
      <t xml:space="preserve">・Preview vẽ lại tự động khi thay đổi checkbox
</t>
    </r>
    <r>
      <rPr>
        <rFont val="メイリオ"/>
        <color rgb="FF000000"/>
        <sz val="10.0"/>
      </rPr>
      <t>・Cột bắt buộc ở chế độ đăng ký mới không thể bỏ tick, nên đối tượng là cột tùy chọn</t>
    </r>
  </si>
  <si>
    <t>ACSMS-TC-016-019</t>
  </si>
  <si>
    <t>Chế độ đăng ký mới — không thể bỏ tick cột bắt buộc</t>
  </si>
  <si>
    <r>
      <rPr>
        <rFont val="メイリオ"/>
        <b/>
        <color rgb="FF000000"/>
        <sz val="10.0"/>
      </rPr>
      <t xml:space="preserve">ステップ1：
</t>
    </r>
    <r>
      <rPr>
        <rFont val="メイリオ"/>
        <color rgb="FF000000"/>
        <sz val="10.0"/>
      </rPr>
      <t xml:space="preserve">Truy cập `/dokusya/import`, chọn chế độ import "新規登録"
</t>
    </r>
    <r>
      <rPr>
        <rFont val="メイリオ"/>
        <b/>
        <color rgb="FF000000"/>
        <sz val="10.0"/>
      </rPr>
      <t xml:space="preserve">ステップ2：
</t>
    </r>
    <r>
      <rPr>
        <rFont val="メイリオ"/>
        <color rgb="FF000000"/>
        <sz val="10.0"/>
      </rPr>
      <t xml:space="preserve">Thao tác checkbox của cột bắt buộc như 購読種別 (`dokusya_shubetsu`) trên panel cột import
</t>
    </r>
    <r>
      <rPr>
        <rFont val="メイリオ"/>
        <b/>
        <color rgb="FF000000"/>
        <sz val="10.0"/>
      </rPr>
      <t xml:space="preserve">ステップ3：
</t>
    </r>
    <r>
      <rPr>
        <rFont val="メイリオ"/>
        <color rgb="FF000000"/>
        <sz val="10.0"/>
      </rPr>
      <t>Kiểm tra HTML attribute trên DevTools</t>
    </r>
  </si>
  <si>
    <r>
      <rPr>
        <rFont val="メイリオ"/>
        <b/>
        <color rgb="FF000000"/>
        <sz val="10.0"/>
      </rPr>
      <t xml:space="preserve">ステップ1：
</t>
    </r>
    <r>
      <rPr>
        <rFont val="メイリオ"/>
        <color rgb="FF000000"/>
        <sz val="10.0"/>
      </rPr>
      <t xml:space="preserve">Chế độ import được set về đăng ký mới
</t>
    </r>
    <r>
      <rPr>
        <rFont val="メイリオ"/>
        <b/>
        <color rgb="FF000000"/>
        <sz val="10.0"/>
      </rPr>
      <t xml:space="preserve">ステップ2：
</t>
    </r>
    <r>
      <rPr>
        <rFont val="メイリオ"/>
        <color rgb="FF000000"/>
        <sz val="10.0"/>
      </rPr>
      <t xml:space="preserve">Checkbox của cột bắt buộc ở trạng thái disable, dù click trạng thái cũng không thay đổi, luôn ở trạng thái đã tick
</t>
    </r>
    <r>
      <rPr>
        <rFont val="メイリオ"/>
        <b/>
        <color rgb="FF000000"/>
        <sz val="10.0"/>
      </rPr>
      <t xml:space="preserve">ステップ3：
</t>
    </r>
    <r>
      <rPr>
        <rFont val="メイリオ"/>
        <color rgb="FF000000"/>
        <sz val="10.0"/>
      </rPr>
      <t xml:space="preserve">Checkbox được hiển thị ở trạng thái không thể chọn (disable) và đã tick
</t>
    </r>
    <r>
      <rPr>
        <rFont val="メイリオ"/>
        <b/>
        <color rgb="FF000000"/>
        <sz val="10.0"/>
      </rPr>
      <t xml:space="preserve">補足：
</t>
    </r>
    <r>
      <rPr>
        <rFont val="メイリオ"/>
        <color rgb="FF000000"/>
        <sz val="10.0"/>
      </rPr>
      <t xml:space="preserve">・Cột bắt buộc ở chế độ đăng ký mới: `dokusya_shubetsu`／`tetsuzuki_shurui`／`kanri_shiten_id`／`dokusya_busu`／`tanka_id`／`yubin_no`／`todofuken_code`／`shikuchoson`／`chome_banchi`／`renrakusaki_1`／`hanbaiten_id`／`shiharai_hoho`／`dokusya_kaishi_date`
</t>
    </r>
    <r>
      <rPr>
        <rFont val="メイリオ"/>
        <color rgb="FF000000"/>
        <sz val="10.0"/>
      </rPr>
      <t>・Phía server cũng trả validation error nếu `selected_columns` không chứa cột bắt buộc</t>
    </r>
  </si>
  <si>
    <t>ACSMS-TC-016-020</t>
  </si>
  <si>
    <t>取込開始 khi chưa chọn file</t>
  </si>
  <si>
    <t>・role: JA_HONTEN
・Đã login + đã xác thực MFA
・Chưa chọn file</t>
  </si>
  <si>
    <r>
      <rPr>
        <rFont val="メイリオ"/>
        <b/>
        <color rgb="FF000000"/>
        <sz val="10.0"/>
      </rPr>
      <t xml:space="preserve">ステップ1：
</t>
    </r>
    <r>
      <rPr>
        <rFont val="メイリオ"/>
        <color rgb="FF000000"/>
        <sz val="10.0"/>
      </rPr>
      <t xml:space="preserve">Truy cập `/dokusya/import`, kiểm tra trạng thái button 取込開始 khi chưa chọn file
</t>
    </r>
    <r>
      <rPr>
        <rFont val="メイリオ"/>
        <b/>
        <color rgb="FF000000"/>
        <sz val="10.0"/>
      </rPr>
      <t xml:space="preserve">ステップ2：
</t>
    </r>
    <r>
      <rPr>
        <rFont val="メイリオ"/>
        <color rgb="FF000000"/>
        <sz val="10.0"/>
      </rPr>
      <t>Trên DevTools gỡ disable của button 取込開始 rồi thử click</t>
    </r>
  </si>
  <si>
    <r>
      <rPr>
        <rFont val="メイリオ"/>
        <b/>
        <color rgb="FF000000"/>
        <sz val="10.0"/>
      </rPr>
      <t xml:space="preserve">ステップ1：
</t>
    </r>
    <r>
      <rPr>
        <rFont val="メイリオ"/>
        <color rgb="FF000000"/>
        <sz val="10.0"/>
      </rPr>
      <t xml:space="preserve">Khi chưa chọn file, button 取込開始 ở trạng thái disable
</t>
    </r>
    <r>
      <rPr>
        <rFont val="メイリオ"/>
        <b/>
        <color rgb="FF000000"/>
        <sz val="10.0"/>
      </rPr>
      <t xml:space="preserve">ステップ2：
</t>
    </r>
    <r>
      <rPr>
        <rFont val="メイリオ"/>
        <color rgb="FF000000"/>
        <sz val="10.0"/>
      </rPr>
      <t xml:space="preserve">Khi click, hiển thị toast `Excelファイルの取り込みに失敗しました。ファイル形式を確認してください。` (ACSMS-MSG-016-001), request không được gửi đến server
</t>
    </r>
    <r>
      <rPr>
        <rFont val="メイリオ"/>
        <b/>
        <color rgb="FF000000"/>
        <sz val="10.0"/>
      </rPr>
      <t xml:space="preserve">補足：
</t>
    </r>
    <r>
      <rPr>
        <rFont val="メイリオ"/>
        <color rgb="FF000000"/>
        <sz val="10.0"/>
      </rPr>
      <t>・Khi chưa chọn file, phía client validate trước, xử lý import không được thực thi</t>
    </r>
  </si>
  <si>
    <t>ACSMS-TC-016-021</t>
  </si>
  <si>
    <t>Data 30001 dòng trở lên — vượt giới hạn số dòng</t>
  </si>
  <si>
    <t>・role: JA_HONTEN
・Đã login + đã xác thực MFA
・File test: `.xlsx` chứa 30001 dòng data</t>
  </si>
  <si>
    <r>
      <rPr>
        <rFont val="メイリオ"/>
        <b/>
        <color rgb="FF000000"/>
        <sz val="10.0"/>
      </rPr>
      <t xml:space="preserve">ステップ1：
</t>
    </r>
    <r>
      <rPr>
        <rFont val="メイリオ"/>
        <color rgb="FF000000"/>
        <sz val="10.0"/>
      </rPr>
      <t xml:space="preserve">Click button chọn file Excel, chọn file 30001 dòng
</t>
    </r>
    <r>
      <rPr>
        <rFont val="メイリオ"/>
        <b/>
        <color rgb="FF000000"/>
        <sz val="10.0"/>
      </rPr>
      <t xml:space="preserve">ステップ2：
</t>
    </r>
    <r>
      <rPr>
        <rFont val="メイリオ"/>
        <color rgb="FF000000"/>
        <sz val="10.0"/>
      </rPr>
      <t xml:space="preserve">Kiểm tra preview
</t>
    </r>
    <r>
      <rPr>
        <rFont val="メイリオ"/>
        <b/>
        <color rgb="FF000000"/>
        <sz val="10.0"/>
      </rPr>
      <t xml:space="preserve">ステップ3：
</t>
    </r>
    <r>
      <rPr>
        <rFont val="メイリオ"/>
        <color rgb="FF000000"/>
        <sz val="10.0"/>
      </rPr>
      <t>Click button 取込開始</t>
    </r>
  </si>
  <si>
    <r>
      <rPr>
        <rFont val="メイリオ"/>
        <b/>
        <color rgb="FF000000"/>
        <sz val="10.0"/>
      </rPr>
      <t xml:space="preserve">ステップ1：
</t>
    </r>
    <r>
      <rPr>
        <rFont val="メイリオ"/>
        <color rgb="FF000000"/>
        <sz val="10.0"/>
      </rPr>
      <t xml:space="preserve">File được chọn
</t>
    </r>
    <r>
      <rPr>
        <rFont val="メイリオ"/>
        <b/>
        <color rgb="FF000000"/>
        <sz val="10.0"/>
      </rPr>
      <t xml:space="preserve">ステップ2：
</t>
    </r>
    <r>
      <rPr>
        <rFont val="メイリオ"/>
        <color rgb="FF000000"/>
        <sz val="10.0"/>
      </rPr>
      <t xml:space="preserve">Preview hiển thị 30001 dòng (hoặc hiển thị hướng dẫn vượt giới hạn)
</t>
    </r>
    <r>
      <rPr>
        <rFont val="メイリオ"/>
        <b/>
        <color rgb="FF000000"/>
        <sz val="10.0"/>
      </rPr>
      <t xml:space="preserve">ステップ3：
</t>
    </r>
    <r>
      <rPr>
        <rFont val="メイリオ"/>
        <color rgb="FF000000"/>
        <sz val="10.0"/>
      </rPr>
      <t xml:space="preserve">Hiển thị toast `ファイルの行数が上限（30000行）を超えているため、取込みできません。` (ACSMS-MSG-016-006), request không được gửi đến server
</t>
    </r>
    <r>
      <rPr>
        <rFont val="メイリオ"/>
        <b/>
        <color rgb="FF000000"/>
        <sz val="10.0"/>
      </rPr>
      <t xml:space="preserve">補足：
</t>
    </r>
    <r>
      <rPr>
        <rFont val="メイリオ"/>
        <color rgb="FF000000"/>
        <sz val="10.0"/>
      </rPr>
      <t xml:space="preserve">・Giới hạn 30000 dòng (giá trị biên: 30000 dòng import được, 30001 dòng không được)
</t>
    </r>
    <r>
      <rPr>
        <rFont val="メイリオ"/>
        <color rgb="FF000000"/>
        <sz val="10.0"/>
      </rPr>
      <t xml:space="preserve">・Phía client check trước để giảm tải network
</t>
    </r>
    <r>
      <rPr>
        <rFont val="メイリオ"/>
        <color rgb="FF000000"/>
        <sz val="10.0"/>
      </rPr>
      <t>・Phía server cũng trả `ROW_LIMIT_EXCEEDED` (TC khác)</t>
    </r>
  </si>
  <si>
    <t>ACSMS-TC-016-022</t>
  </si>
  <si>
    <t>Kiểm tra số chữ số mã bưu điện 7 chữ số · mã 都道府県 2 chữ số</t>
  </si>
  <si>
    <t>・role: JA_HONTEN (ja_id=1)
・Đã login + đã xác thực MFA
・File test: chứa dòng có `yubin_no`="123" (sai số chữ số), `todofuken_code`="100" (sai số chữ số)</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</si>
  <si>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</si>
  <si>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Trả về HTTP 400 (`error_code: IMPORT_VALIDATION_ERROR`), mảng `errors` chứa tương đương `{ row: N, field: 'yubin_no', message: '郵便番号は7桁の半角数字で入力してください' }` và `{ row: N, field: 'todofuken_code', message: '都道府県コードは2桁で指定してください' }`, hiển thị toast `取込み処理にエラーが発生しました。「行{N}: {項目名} — {エラー理由}」` (ACSMS-MSG-016-005)
</t>
    </r>
    <r>
      <rPr>
        <rFont val="メイリオ"/>
        <b/>
        <color rgb="FF000000"/>
        <sz val="10.0"/>
      </rPr>
      <t xml:space="preserve">補足：
</t>
    </r>
    <r>
      <rPr>
        <rFont val="メイリオ"/>
        <color rgb="FF000000"/>
        <sz val="10.0"/>
      </rPr>
      <t xml:space="preserve">・Mã bưu điện là 7 chữ số sau khi bỏ dấu gạch ngang, 都道府県 là mã 2 chữ số
</t>
    </r>
    <r>
      <rPr>
        <rFont val="メイリオ"/>
        <color rgb="FF000000"/>
        <sz val="10.0"/>
      </rPr>
      <t>・Rollback toàn bộ và không đăng ký vào DB</t>
    </r>
  </si>
  <si>
    <t>ACSMS-TC-016-023</t>
  </si>
  <si>
    <t>購読種別=3 (đọc kèm) không thể import Excel</t>
  </si>
  <si>
    <t>・role: JA_HONTEN (ja_id=1)
・Đã login + đã xác thực MFA
・File test: chứa dòng có `dokusya_shubetsu`=3 (đọc kèm)</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</si>
  <si>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</si>
  <si>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Trả về HTTP 400 (`error_code: IMPORT_VALIDATION_ERROR`), mảng `errors` chứa tương đương `{ row: N, field: 'dokusya_shubetsu', message: '併読はExcel取込できません' }`, hiển thị toast `取込み処理にエラーが発生しました。「行{N}: {項目名} — {エラー理由}」` (ACSMS-MSG-016-005), rollback toàn bộ và không đăng ký vào DB
</t>
    </r>
    <r>
      <rPr>
        <rFont val="メイリオ"/>
        <b/>
        <color rgb="FF000000"/>
        <sz val="10.0"/>
      </rPr>
      <t xml:space="preserve">補足：
</t>
    </r>
    <r>
      <rPr>
        <rFont val="メイリオ"/>
        <color rgb="FF000000"/>
        <sz val="10.0"/>
      </rPr>
      <t xml:space="preserve">・購読種別=3 (đọc kèm) không thuộc đối tượng import từ màn hình (business rule)
</t>
    </r>
    <r>
      <rPr>
        <rFont val="メイリオ"/>
        <color rgb="FF000000"/>
        <sz val="10.0"/>
      </rPr>
      <t>・Đăng ký đọc kèm được thực hiện bằng nhập tay ở màn khác</t>
    </r>
  </si>
  <si>
    <t>ACSMS-TC-016-024</t>
  </si>
  <si>
    <t>Giá trị biên của 購読部数 (mới&gt;0 · hủy=0)</t>
  </si>
  <si>
    <t>・role: JA_HONTEN (ja_id=1)
・Đã login + đã xác thực MFA
・File test: chứa các dòng có `dokusya_busu`=0 ở dòng đăng ký mới, `dokusya_busu`=0 ở dòng hủy</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</si>
  <si>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Kiểm tra kết quả import của dòng hủy (手続種類＝hủy) và `dokusya_busu`=0</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</si>
  <si>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Với dòng đăng ký mới có `dokusya_busu`=0, trả về HTTP 400 (`error_code: IMPORT_VALIDATION_ERROR`), mảng `errors` chứa tương đương `{ row: N, field: 'dokusya_busu', message: '購読部数は1以上で入力してください' }`
</t>
    </r>
    <r>
      <rPr>
        <rFont val="メイリオ"/>
        <b/>
        <color rgb="FF000000"/>
        <sz val="10.0"/>
      </rPr>
      <t xml:space="preserve">ステップ3：
</t>
    </r>
    <r>
      <rPr>
        <rFont val="メイリオ"/>
        <color rgb="FF000000"/>
        <sz val="10.0"/>
      </rPr>
      <t xml:space="preserve">Dòng hủy có `dokusya_busu`=0 được xử lý như giá trị hợp lệ (điều kiện biên: đăng ký mới `dokusya_busu`&gt;0, hủy `dokusya_busu`=0)
</t>
    </r>
    <r>
      <rPr>
        <rFont val="メイリオ"/>
        <b/>
        <color rgb="FF000000"/>
        <sz val="10.0"/>
      </rPr>
      <t xml:space="preserve">補足：
</t>
    </r>
    <r>
      <rPr>
        <rFont val="メイリオ"/>
        <color rgb="FF000000"/>
        <sz val="10.0"/>
      </rPr>
      <t>・Giá trị cho phép của 購読部数: đăng ký mới `dokusya_busu`&gt;0, hủy `dokusya_busu`=0 (business rule)</t>
    </r>
  </si>
  <si>
    <t>Chức năng download template</t>
  </si>
  <si>
    <t>ACSMS-TC-016-025</t>
  </si>
  <si>
    <t>Download template — luồng bình thường</t>
  </si>
  <si>
    <r>
      <rPr>
        <rFont val="メイリオ"/>
        <b/>
        <color rgb="FF000000"/>
        <sz val="10.0"/>
      </rPr>
      <t xml:space="preserve">ステップ1：
</t>
    </r>
    <r>
      <rPr>
        <rFont val="メイリオ"/>
        <color rgb="FF000000"/>
        <sz val="10.0"/>
      </rPr>
      <t xml:space="preserve">Truy cập `/dokusya/import`, click button "テンプレート"
</t>
    </r>
    <r>
      <rPr>
        <rFont val="メイリオ"/>
        <b/>
        <color rgb="FF000000"/>
        <sz val="10.0"/>
      </rPr>
      <t xml:space="preserve">ステップ2：
</t>
    </r>
    <r>
      <rPr>
        <rFont val="メイリオ"/>
        <color rgb="FF000000"/>
        <sz val="10.0"/>
      </rPr>
      <t xml:space="preserve">Kiểm tra GET request trên DevTools tab Network
</t>
    </r>
    <r>
      <rPr>
        <rFont val="メイリオ"/>
        <b/>
        <color rgb="FF000000"/>
        <sz val="10.0"/>
      </rPr>
      <t xml:space="preserve">ステップ3：
</t>
    </r>
    <r>
      <rPr>
        <rFont val="メイリオ"/>
        <color rgb="FF000000"/>
        <sz val="10.0"/>
      </rPr>
      <t>Mở file Excel đã download</t>
    </r>
  </si>
  <si>
    <r>
      <rPr>
        <rFont val="メイリオ"/>
        <b/>
        <color rgb="FF000000"/>
        <sz val="10.0"/>
      </rPr>
      <t xml:space="preserve">ステップ1：
</t>
    </r>
    <r>
      <rPr>
        <rFont val="メイリオ"/>
        <color rgb="FF000000"/>
        <sz val="10.0"/>
      </rPr>
      <t xml:space="preserve">Dialog download file được hiển thị, tên file là `購読者Excelデータ取込_テンプレート.xlsx`
</t>
    </r>
    <r>
      <rPr>
        <rFont val="メイリオ"/>
        <b/>
        <color rgb="FF000000"/>
        <sz val="10.0"/>
      </rPr>
      <t xml:space="preserve">ステップ2：
</t>
    </r>
    <r>
      <rPr>
        <rFont val="メイリオ"/>
        <color rgb="FF000000"/>
        <sz val="10.0"/>
      </rPr>
      <t xml:space="preserve">GET `/api/v1/dokusya/import/template` được gọi, trả về HTTP 200, có chứa `Content-Type: application/vnd.openxmlformats-officedocument.spreadsheetml.sheet`, `Content-Disposition: attachment; filename="購読者Excelデータ取込_テンプレート.xlsx"`
</t>
    </r>
    <r>
      <rPr>
        <rFont val="メイリオ"/>
        <b/>
        <color rgb="FF000000"/>
        <sz val="10.0"/>
      </rPr>
      <t xml:space="preserve">ステップ3：
</t>
    </r>
    <r>
      <rPr>
        <rFont val="メイリオ"/>
        <color rgb="FF000000"/>
        <sz val="10.0"/>
      </rPr>
      <t xml:space="preserve">Sheet name là "購読者", dòng 1 chứa 49 cột header
</t>
    </r>
    <r>
      <rPr>
        <rFont val="メイリオ"/>
        <b/>
        <color rgb="FF000000"/>
        <sz val="10.0"/>
      </rPr>
      <t xml:space="preserve">補足：
</t>
    </r>
    <r>
      <rPr>
        <rFont val="メイリオ"/>
        <color rgb="FF000000"/>
        <sz val="10.0"/>
      </rPr>
      <t>・Thứ tự cột theo `screen-design.md §3.1` và `api.md §テンプレートファイル仕様` (cố định 49 cột)</t>
    </r>
  </si>
  <si>
    <t>ACSMS-TC-016-026</t>
  </si>
  <si>
    <t>Template — kiểm tra thứ tự · số lượng 49 cột header</t>
  </si>
  <si>
    <t>・role: JA_HONTEN
・Đã login + đã xác thực MFA
・Đã download template</t>
  </si>
  <si>
    <r>
      <rPr>
        <rFont val="メイリオ"/>
        <b/>
        <color rgb="FF000000"/>
        <sz val="10.0"/>
      </rPr>
      <t xml:space="preserve">ステップ1：
</t>
    </r>
    <r>
      <rPr>
        <rFont val="メイリオ"/>
        <color rgb="FF000000"/>
        <sz val="10.0"/>
      </rPr>
      <t xml:space="preserve">Mở template đã download, kiểm tra dòng 1
</t>
    </r>
    <r>
      <rPr>
        <rFont val="メイリオ"/>
        <b/>
        <color rgb="FF000000"/>
        <sz val="10.0"/>
      </rPr>
      <t xml:space="preserve">ステップ2：
</t>
    </r>
    <r>
      <rPr>
        <rFont val="メイリオ"/>
        <color rgb="FF000000"/>
        <sz val="10.0"/>
      </rPr>
      <t>Kiểm tra chuỗi header và số lượng của 49 cột</t>
    </r>
  </si>
  <si>
    <r>
      <rPr>
        <rFont val="メイリオ"/>
        <b/>
        <color rgb="FF000000"/>
        <sz val="10.0"/>
      </rPr>
      <t xml:space="preserve">ステップ1：
</t>
    </r>
    <r>
      <rPr>
        <rFont val="メイリオ"/>
        <color rgb="FF000000"/>
        <sz val="10.0"/>
      </rPr>
      <t xml:space="preserve">Trên sheet "購読者", dòng 1 hiển thị 49 cột header
</t>
    </r>
    <r>
      <rPr>
        <rFont val="メイリオ"/>
        <b/>
        <color rgb="FF000000"/>
        <sz val="10.0"/>
      </rPr>
      <t xml:space="preserve">ステップ2：
</t>
    </r>
    <r>
      <rPr>
        <rFont val="メイリオ"/>
        <color rgb="FF000000"/>
        <sz val="10.0"/>
      </rPr>
      <t xml:space="preserve">Các header xếp theo thứ tự định nghĩa của `screen-design.md §画面項目定義` và `api.md §テンプレートファイル仕様`, số cột đúng bằng 49 cột
</t>
    </r>
    <r>
      <rPr>
        <rFont val="メイリオ"/>
        <b/>
        <color rgb="FF000000"/>
        <sz val="10.0"/>
      </rPr>
      <t xml:space="preserve">補足：
</t>
    </r>
    <r>
      <rPr>
        <rFont val="メイリオ"/>
        <color rgb="FF000000"/>
        <sz val="10.0"/>
      </rPr>
      <t>・Dòng header bold, có set màu nền (api.md §テンプレートファイル仕様)</t>
    </r>
  </si>
  <si>
    <t>ACSMS-TC-016-027</t>
  </si>
  <si>
    <t>Template — kiểm soát quyền truy cập với user không có quyền</t>
  </si>
  <si>
    <t>・role: NICHINO_ADMIN (không có quyền `dokusya.import`)
・Đã login + đã xác thực MFA</t>
  </si>
  <si>
    <r>
      <rPr>
        <rFont val="メイリオ"/>
        <b/>
        <color rgb="FF000000"/>
        <sz val="10.0"/>
      </rPr>
      <t xml:space="preserve">ステップ1：
</t>
    </r>
    <r>
      <rPr>
        <rFont val="メイリオ"/>
        <color rgb="FF000000"/>
        <sz val="10.0"/>
      </rPr>
      <t>Dùng DevTools gọi trực tiếp GET `/api/v1/dokusya/import/template`</t>
    </r>
  </si>
  <si>
    <r>
      <rPr>
        <rFont val="メイリオ"/>
        <b/>
        <color rgb="FF000000"/>
        <sz val="10.0"/>
      </rPr>
      <t xml:space="preserve">ステップ1：
</t>
    </r>
    <r>
      <rPr>
        <rFont val="メイリオ"/>
        <color rgb="FF000000"/>
        <sz val="10.0"/>
      </rPr>
      <t xml:space="preserve">Trả về HTTP 403 (`error_code: FORBIDDEN`, message `この画面へのアクセス権限がありません。`), file template không được download
</t>
    </r>
    <r>
      <rPr>
        <rFont val="メイリオ"/>
        <b/>
        <color rgb="FF000000"/>
        <sz val="10.0"/>
      </rPr>
      <t xml:space="preserve">補足：
</t>
    </r>
    <r>
      <rPr>
        <rFont val="メイリオ"/>
        <color rgb="FF000000"/>
        <sz val="10.0"/>
      </rPr>
      <t>・Template cũng được bảo vệ bằng cùng quyền `dokusya.import` như API chính</t>
    </r>
  </si>
  <si>
    <t>Business logic — Xử lý import (chế độ NEW)</t>
  </si>
  <si>
    <t>ACSMS-TC-016-028</t>
  </si>
  <si>
    <t>Chế độ NEW — luồng bình thường (đăng ký mới 3 dòng)</t>
  </si>
  <si>
    <t>・role: JA_HONTEN (ja_id=1)
・Đã login + đã xác thực MFA
・File test: 3 dòng độc giả, độc giả chưa đăng ký dưới ja_id=1</t>
  </si>
  <si>
    <r>
      <rPr>
        <rFont val="メイリオ"/>
        <b/>
        <color rgb="FF000000"/>
        <sz val="10.0"/>
      </rPr>
      <t xml:space="preserve">ステップ1：
</t>
    </r>
    <r>
      <rPr>
        <rFont val="メイリオ"/>
        <color rgb="FF000000"/>
        <sz val="10.0"/>
      </rPr>
      <t xml:space="preserve">Upload file, chế độ import "新規登録", các cột bắt buộc đã tick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 xml:space="preserve">Kiểm tra DB: `SELECT * FROM t_dokusya WHERE ja_id = 1 ORDER BY created_at DESC LIMIT 3`
</t>
    </r>
    <r>
      <rPr>
        <rFont val="メイリオ"/>
        <b/>
        <color rgb="FF000000"/>
        <sz val="10.0"/>
      </rPr>
      <t xml:space="preserve">ステップ4：
</t>
    </r>
    <r>
      <rPr>
        <rFont val="メイリオ"/>
        <color rgb="FF000000"/>
        <sz val="10.0"/>
      </rPr>
      <t xml:space="preserve">Kiểm tra DB: `SELECT * FROM t_dokusya_rireki ORDER BY created_at DESC LIMIT 3`
</t>
    </r>
    <r>
      <rPr>
        <rFont val="メイリオ"/>
        <b/>
        <color rgb="FF000000"/>
        <sz val="10.0"/>
      </rPr>
      <t xml:space="preserve">ステップ5：
</t>
    </r>
    <r>
      <rPr>
        <rFont val="メイリオ"/>
        <color rgb="FF000000"/>
        <sz val="10.0"/>
      </rPr>
      <t>Kiểm tra DB: `SELECT * FROM t_log WHERE gamen_name LIKE '%ACSMS-SCR-016%' ORDER BY log_datetime DESC LIMIT 1`</t>
    </r>
  </si>
  <si>
    <r>
      <rPr>
        <rFont val="メイリオ"/>
        <b/>
        <color rgb="FF000000"/>
        <sz val="10.0"/>
      </rPr>
      <t xml:space="preserve">ステップ1：
</t>
    </r>
    <r>
      <rPr>
        <rFont val="メイリオ"/>
        <color rgb="FF000000"/>
        <sz val="10.0"/>
      </rPr>
      <t xml:space="preserve">Preview được hiển thị, dialog xác nhận `取込処理を開始します。よろしいですか？` được hiển thị (ACSMS-MSG-016-002)
</t>
    </r>
    <r>
      <rPr>
        <rFont val="メイリオ"/>
        <b/>
        <color rgb="FF000000"/>
        <sz val="10.0"/>
      </rPr>
      <t xml:space="preserve">ステップ2：
</t>
    </r>
    <r>
      <rPr>
        <rFont val="メイリオ"/>
        <color rgb="FF000000"/>
        <sz val="10.0"/>
      </rPr>
      <t xml:space="preserve">Trả về HTTP 200, response là `import_mode: "NEW"`, `created_count: 3`, hiển thị toast `正常に取り込みました。` (ACSMS-MSG-016-004), số bản ghi import được hiển thị qua toast
</t>
    </r>
    <r>
      <rPr>
        <rFont val="メイリオ"/>
        <b/>
        <color rgb="FF000000"/>
        <sz val="10.0"/>
      </rPr>
      <t xml:space="preserve">ステップ3：
</t>
    </r>
    <r>
      <rPr>
        <rFont val="メイリオ"/>
        <color rgb="FF000000"/>
        <sz val="10.0"/>
      </rPr>
      <t xml:space="preserve">3 record được đăng ký mới vào `t_dokusya`, `ja_id = 1`, `created_by` khớp với ID của user đã login
</t>
    </r>
    <r>
      <rPr>
        <rFont val="メイリオ"/>
        <b/>
        <color rgb="FF000000"/>
        <sz val="10.0"/>
      </rPr>
      <t xml:space="preserve">ステップ4：
</t>
    </r>
    <r>
      <rPr>
        <rFont val="メイリオ"/>
        <color rgb="FF000000"/>
        <sz val="10.0"/>
      </rPr>
      <t xml:space="preserve">`t_dokusya_rireki` được thêm số record lịch sử bằng số bản ghi import (3 record)
</t>
    </r>
    <r>
      <rPr>
        <rFont val="メイリオ"/>
        <b/>
        <color rgb="FF000000"/>
        <sz val="10.0"/>
      </rPr>
      <t xml:space="preserve">ステップ5：
</t>
    </r>
    <r>
      <rPr>
        <rFont val="メイリオ"/>
        <color rgb="FF000000"/>
        <sz val="10.0"/>
      </rPr>
      <t xml:space="preserve">Có 1 audit log được record, `result_status = 1`, `after_value` chứa JSON tóm tắt kết quả import
</t>
    </r>
    <r>
      <rPr>
        <rFont val="メイリオ"/>
        <b/>
        <color rgb="FF000000"/>
        <sz val="10.0"/>
      </rPr>
      <t xml:space="preserve">補足：
</t>
    </r>
    <r>
      <rPr>
        <rFont val="メイリオ"/>
        <color rgb="FF000000"/>
        <sz val="10.0"/>
      </rPr>
      <t xml:space="preserve">・Tất cả dòng được INSERT vào `t_dokusya` trong 1 transaction, audit log (`result_status=1`) được record trong cùng transaction
</t>
    </r>
    <r>
      <rPr>
        <rFont val="メイリオ"/>
        <color rgb="FF000000"/>
        <sz val="10.0"/>
      </rPr>
      <t>・Số bản ghi import được hiển thị qua toast</t>
    </r>
  </si>
  <si>
    <t>ACSMS-TC-016-029</t>
  </si>
  <si>
    <t>Chế độ NEW — dialog xác nhận "キャンセル"</t>
  </si>
  <si>
    <t>・role: JA_HONTEN (ja_id=1)
・Đã login + đã xác thực MFA
・Đã upload file test (3 dòng)</t>
  </si>
  <si>
    <r>
      <rPr>
        <rFont val="メイリオ"/>
        <b/>
        <color rgb="FF000000"/>
        <sz val="10.0"/>
      </rPr>
      <t xml:space="preserve">ステップ1：
</t>
    </r>
    <r>
      <rPr>
        <rFont val="メイリオ"/>
        <color rgb="FF000000"/>
        <sz val="10.0"/>
      </rPr>
      <t xml:space="preserve">Click button 取込開始
</t>
    </r>
    <r>
      <rPr>
        <rFont val="メイリオ"/>
        <b/>
        <color rgb="FF000000"/>
        <sz val="10.0"/>
      </rPr>
      <t xml:space="preserve">ステップ2：
</t>
    </r>
    <r>
      <rPr>
        <rFont val="メイリオ"/>
        <color rgb="FF000000"/>
        <sz val="10.0"/>
      </rPr>
      <t xml:space="preserve">Nhấn "キャンセル" trên dialog xác nhận
</t>
    </r>
    <r>
      <rPr>
        <rFont val="メイリオ"/>
        <b/>
        <color rgb="FF000000"/>
        <sz val="10.0"/>
      </rPr>
      <t xml:space="preserve">ステップ3：
</t>
    </r>
    <r>
      <rPr>
        <rFont val="メイリオ"/>
        <color rgb="FF000000"/>
        <sz val="10.0"/>
      </rPr>
      <t>Kiểm tra DB: `SELECT COUNT(*) FROM t_dokusya WHERE created_at &gt;= NOW() - INTERVAL '5 minutes'`</t>
    </r>
  </si>
  <si>
    <r>
      <rPr>
        <rFont val="メイリオ"/>
        <b/>
        <color rgb="FF000000"/>
        <sz val="10.0"/>
      </rPr>
      <t xml:space="preserve">ステップ1：
</t>
    </r>
    <r>
      <rPr>
        <rFont val="メイリオ"/>
        <color rgb="FF000000"/>
        <sz val="10.0"/>
      </rPr>
      <t xml:space="preserve">Dialog xác nhận được hiển thị (message `取込処理を開始します。よろしいですか？`, ACSMS-MSG-016-002)
</t>
    </r>
    <r>
      <rPr>
        <rFont val="メイリオ"/>
        <b/>
        <color rgb="FF000000"/>
        <sz val="10.0"/>
      </rPr>
      <t xml:space="preserve">ステップ2：
</t>
    </r>
    <r>
      <rPr>
        <rFont val="メイリオ"/>
        <color rgb="FF000000"/>
        <sz val="10.0"/>
      </rPr>
      <t xml:space="preserve">Dialog đóng lại, xử lý import không được thực thi, POST `/api/v1/dokusya/import` không được gửi
</t>
    </r>
    <r>
      <rPr>
        <rFont val="メイリオ"/>
        <b/>
        <color rgb="FF000000"/>
        <sz val="10.0"/>
      </rPr>
      <t xml:space="preserve">ステップ3：
</t>
    </r>
    <r>
      <rPr>
        <rFont val="メイリオ"/>
        <color rgb="FF000000"/>
        <sz val="10.0"/>
      </rPr>
      <t xml:space="preserve">Không có record mới được đăng ký
</t>
    </r>
    <r>
      <rPr>
        <rFont val="メイリオ"/>
        <b/>
        <color rgb="FF000000"/>
        <sz val="10.0"/>
      </rPr>
      <t xml:space="preserve">補足：
</t>
    </r>
    <r>
      <rPr>
        <rFont val="メイリオ"/>
        <color rgb="FF000000"/>
        <sz val="10.0"/>
      </rPr>
      <t>・Dialog xác nhận bắt buộc để tránh thao tác nhầm của user</t>
    </r>
  </si>
  <si>
    <t>ACSMS-TC-016-030</t>
  </si>
  <si>
    <t>Chế độ NEW — có data đã tồn tại IMPORT_VALIDATION_ERROR</t>
  </si>
  <si>
    <t>・role: JA_HONTEN (ja_id=1)
・File test: 2 dòng — độc giả đã tồn tại (đã đăng ký) / độc giả mới</t>
  </si>
  <si>
    <r>
      <rPr>
        <rFont val="メイリオ"/>
        <b/>
        <color rgb="FF000000"/>
        <sz val="10.0"/>
      </rPr>
      <t xml:space="preserve">ステップ1：
</t>
    </r>
    <r>
      <rPr>
        <rFont val="メイリオ"/>
        <color rgb="FF000000"/>
        <sz val="10.0"/>
      </rPr>
      <t xml:space="preserve">Upload file, chế độ import "新規登録", các cột bắt buộc đã tick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Kiểm tra DB: `SELECT COUNT(*) FROM t_dokusya WHERE ja_id = 1 AND created_at &gt;= NOW() - INTERVAL '5 minutes'`</t>
    </r>
  </si>
  <si>
    <r>
      <rPr>
        <rFont val="メイリオ"/>
        <b/>
        <color rgb="FF000000"/>
        <sz val="10.0"/>
      </rPr>
      <t xml:space="preserve">ステップ1：
</t>
    </r>
    <r>
      <rPr>
        <rFont val="メイリオ"/>
        <color rgb="FF000000"/>
        <sz val="10.0"/>
      </rPr>
      <t xml:space="preserve">Preview hiển thị 2 dòng
</t>
    </r>
    <r>
      <rPr>
        <rFont val="メイリオ"/>
        <b/>
        <color rgb="FF000000"/>
        <sz val="10.0"/>
      </rPr>
      <t xml:space="preserve">ステップ2：
</t>
    </r>
    <r>
      <rPr>
        <rFont val="メイリオ"/>
        <color rgb="FF000000"/>
        <sz val="10.0"/>
      </rPr>
      <t xml:space="preserve">Trả về HTTP 400 (`error_code: IMPORT_VALIDATION_ERROR`, message `Excel取込データにエラーがあります。詳細はerrorsフィールドを確認してください。`), mảng `errors` chứa lỗi theo từng dòng, hiển thị toast `取込み処理にエラーが発生しました。「行{N}: {項目名} — {エラー理由}」` (ACSMS-MSG-016-005)
</t>
    </r>
    <r>
      <rPr>
        <rFont val="メイリオ"/>
        <b/>
        <color rgb="FF000000"/>
        <sz val="10.0"/>
      </rPr>
      <t xml:space="preserve">ステップ3：
</t>
    </r>
    <r>
      <rPr>
        <rFont val="メイリオ"/>
        <color rgb="FF000000"/>
        <sz val="10.0"/>
      </rPr>
      <t xml:space="preserve">Data đã tồn tại giữ nguyên, dòng mới cũng không được đăng ký (rollback toàn bộ)
</t>
    </r>
    <r>
      <rPr>
        <rFont val="メイリオ"/>
        <b/>
        <color rgb="FF000000"/>
        <sz val="10.0"/>
      </rPr>
      <t xml:space="preserve">補足：
</t>
    </r>
    <r>
      <rPr>
        <rFont val="メイリオ"/>
        <color rgb="FF000000"/>
        <sz val="10.0"/>
      </rPr>
      <t xml:space="preserve">・Ở chế độ đăng ký mới, dòng có data đã tồn tại được xử lý như lỗi
</t>
    </r>
    <r>
      <rPr>
        <rFont val="メイリオ"/>
        <color rgb="FF000000"/>
        <sz val="10.0"/>
      </rPr>
      <t>・Chỉ cần 1 dòng error là rollback toàn bộ (transaction constraint)</t>
    </r>
  </si>
  <si>
    <t>ACSMS-TC-016-031</t>
  </si>
  <si>
    <t>Chế độ NEW — bản điện tử và thanh toán thẻ tín dụng không thể import</t>
  </si>
  <si>
    <t>・role: JA_HONTEN (ja_id=1)
・File test: chứa dòng có `dokusya_shubetsu`=2 (bản điện tử) và `shiharai_hoho`=thẻ tín dụng</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</si>
  <si>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</si>
  <si>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Trả về HTTP 400 (`error_code: IMPORT_VALIDATION_ERROR`), mảng `errors` chứa tương đương `{ row: N, field: 'shiharai_hoho', message: '電子版かつクレジットカード払いは取込できません' }`, hiển thị toast `取込み処理にエラーが発生しました。「行{N}: {項目名} — {エラー理由}」` (ACSMS-MSG-016-005), rollback toàn bộ và không đăng ký vào DB
</t>
    </r>
    <r>
      <rPr>
        <rFont val="メイリオ"/>
        <b/>
        <color rgb="FF000000"/>
        <sz val="10.0"/>
      </rPr>
      <t xml:space="preserve">補足：
</t>
    </r>
    <r>
      <rPr>
        <rFont val="メイリオ"/>
        <color rgb="FF000000"/>
        <sz val="10.0"/>
      </rPr>
      <t>・購読種別=2 (bản điện tử) và 支払方法=thẻ tín dụng không thuộc đối tượng import (business rule)</t>
    </r>
  </si>
  <si>
    <t>ACSMS-TC-016-032</t>
  </si>
  <si>
    <t>Chế độ NEW — 新聞単価 không tồn tại trong master</t>
  </si>
  <si>
    <t>・role: JA_HONTEN (ja_id=1)
・File test: chứa dòng có mã 新聞単価 chưa đăng ký trong m_tanka (tanka_type=1)</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</si>
  <si>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</si>
  <si>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Trả về HTTP 400 (`error_code: IMPORT_VALIDATION_ERROR`), mảng `errors` chứa tương đương `{ row: N, field: 'tanka_id', message: '指定された新聞単価が見つかりません' }`, hiển thị toast `取込み処理にエラーが発生しました。「行{N}: {項目名} — {エラー理由}」` (ACSMS-MSG-016-005), rollback toàn bộ và không đăng ký vào DB
</t>
    </r>
    <r>
      <rPr>
        <rFont val="メイリオ"/>
        <b/>
        <color rgb="FF000000"/>
        <sz val="10.0"/>
      </rPr>
      <t xml:space="preserve">補足：
</t>
    </r>
    <r>
      <rPr>
        <rFont val="メイリオ"/>
        <color rgb="FF000000"/>
        <sz val="10.0"/>
      </rPr>
      <t xml:space="preserve">・新聞単価 được kiểm tra bằng đối chiếu với m_tanka (`tanka_type=1`)
</t>
    </r>
    <r>
      <rPr>
        <rFont val="メイリオ"/>
        <color rgb="FF000000"/>
        <sz val="10.0"/>
      </rPr>
      <t>・Chỉ đơn giá hợp lệ dưới JA của mình mới là đối tượng đối chiếu</t>
    </r>
  </si>
  <si>
    <t>ACSMS-TC-016-033</t>
  </si>
  <si>
    <t>Chế độ NEW — giới hạn hiển thị lỗi theo từng dòng (tối đa 10 dòng)</t>
  </si>
  <si>
    <t>・role: JA_HONTEN (ja_id=1)
・File test: cả 12 dòng đều chứa lỗi giá trị nhập nào đó</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</si>
  <si>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Kiểm tra số lượng lỗi hiển thị trên màn hình</t>
    </r>
  </si>
  <si>
    <r>
      <rPr>
        <rFont val="メイリオ"/>
        <b/>
        <color rgb="FF000000"/>
        <sz val="10.0"/>
      </rPr>
      <t xml:space="preserve">ステップ1：
</t>
    </r>
    <r>
      <rPr>
        <rFont val="メイリオ"/>
        <color rgb="FF000000"/>
        <sz val="10.0"/>
      </rPr>
      <t xml:space="preserve">Preview hiển thị 12 dòng
</t>
    </r>
    <r>
      <rPr>
        <rFont val="メイリオ"/>
        <b/>
        <color rgb="FF000000"/>
        <sz val="10.0"/>
      </rPr>
      <t xml:space="preserve">ステップ2：
</t>
    </r>
    <r>
      <rPr>
        <rFont val="メイリオ"/>
        <color rgb="FF000000"/>
        <sz val="10.0"/>
      </rPr>
      <t xml:space="preserve">Trả về HTTP 400 (`error_code: IMPORT_VALIDATION_ERROR`), hiển thị toast `取込み処理にエラーが発生しました。「行{N}: {項目名} — {エラー理由}」` (ACSMS-MSG-016-005)
</t>
    </r>
    <r>
      <rPr>
        <rFont val="メイリオ"/>
        <b/>
        <color rgb="FF000000"/>
        <sz val="10.0"/>
      </rPr>
      <t xml:space="preserve">ステップ3：
</t>
    </r>
    <r>
      <rPr>
        <rFont val="メイリオ"/>
        <color rgb="FF000000"/>
        <sz val="10.0"/>
      </rPr>
      <t xml:space="preserve">Lỗi theo từng dòng hiển thị trên màn hình tối đa 10 dòng, rollback toàn bộ và không đăng ký vào DB
</t>
    </r>
    <r>
      <rPr>
        <rFont val="メイリオ"/>
        <b/>
        <color rgb="FF000000"/>
        <sz val="10.0"/>
      </rPr>
      <t xml:space="preserve">補足：
</t>
    </r>
    <r>
      <rPr>
        <rFont val="メイリオ"/>
        <color rgb="FF000000"/>
        <sz val="10.0"/>
      </rPr>
      <t>・Lỗi theo từng dòng hiển thị tối đa 10 dòng trên màn hình (đảm bảo tính dễ nhìn khi có nhiều lỗi)</t>
    </r>
  </si>
  <si>
    <t>ACSMS-TC-016-034</t>
  </si>
  <si>
    <t>Chế độ NEW — rollback toàn bộ khi có lỗi một phần</t>
  </si>
  <si>
    <t>・role: JA_HONTEN (ja_id=1)
・File test: 3 dòng (dòng 1 · dòng 2 bình thường, dòng 3 có lỗi giá trị nhập)</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</si>
  <si>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Kiểm tra DB: `SELECT COUNT(*) FROM t_dokusya WHERE ja_id = 1 AND created_at &gt;= NOW() - INTERVAL '5 minutes'`</t>
    </r>
  </si>
  <si>
    <r>
      <rPr>
        <rFont val="メイリオ"/>
        <b/>
        <color rgb="FF000000"/>
        <sz val="10.0"/>
      </rPr>
      <t xml:space="preserve">ステップ1：
</t>
    </r>
    <r>
      <rPr>
        <rFont val="メイリオ"/>
        <color rgb="FF000000"/>
        <sz val="10.0"/>
      </rPr>
      <t xml:space="preserve">Preview hiển thị 3 dòng
</t>
    </r>
    <r>
      <rPr>
        <rFont val="メイリオ"/>
        <b/>
        <color rgb="FF000000"/>
        <sz val="10.0"/>
      </rPr>
      <t xml:space="preserve">ステップ2：
</t>
    </r>
    <r>
      <rPr>
        <rFont val="メイリオ"/>
        <color rgb="FF000000"/>
        <sz val="10.0"/>
      </rPr>
      <t xml:space="preserve">Trả về HTTP 400 (`error_code: IMPORT_VALIDATION_ERROR`), mảng `errors` chứa lỗi của dòng 3, hiển thị toast `取込み処理にエラーが発生しました。「行{N}: {項目名} — {エラー理由}」` (ACSMS-MSG-016-005)
</t>
    </r>
    <r>
      <rPr>
        <rFont val="メイリオ"/>
        <b/>
        <color rgb="FF000000"/>
        <sz val="10.0"/>
      </rPr>
      <t xml:space="preserve">ステップ3：
</t>
    </r>
    <r>
      <rPr>
        <rFont val="メイリオ"/>
        <color rgb="FF000000"/>
        <sz val="10.0"/>
      </rPr>
      <t xml:space="preserve">Kể cả dòng 1 · dòng 2 bình thường cũng không có dòng nào được đăng ký (số bản ghi import=0, rollback toàn bộ)
</t>
    </r>
    <r>
      <rPr>
        <rFont val="メイリオ"/>
        <b/>
        <color rgb="FF000000"/>
        <sz val="10.0"/>
      </rPr>
      <t xml:space="preserve">補足：
</t>
    </r>
    <r>
      <rPr>
        <rFont val="メイリオ"/>
        <color rgb="FF000000"/>
        <sz val="10.0"/>
      </rPr>
      <t xml:space="preserve">・Chỉ cần 1 dòng error là rollback toàn bộ (không import từng phần)
</t>
    </r>
    <r>
      <rPr>
        <rFont val="メイリオ"/>
        <color rgb="FF000000"/>
        <sz val="10.0"/>
      </rPr>
      <t>・`t_dokusya_rireki` cũng không được thêm lịch sử</t>
    </r>
  </si>
  <si>
    <t>Business logic — Xử lý import (chế độ UPDATE_ALL)</t>
  </si>
  <si>
    <t>ACSMS-TC-016-035</t>
  </si>
  <si>
    <t>Chế độ UPDATE_ALL — luồng bình thường (cập nhật toàn bộ trường · ô trống→NULL)</t>
  </si>
  <si>
    <t>・role: JA_HONTEN (ja_id=1)
・Đã login + đã xác thực MFA
・Độc giả đã tồn tại: 連絡先2="03-2222-2222", 備考="重要顧客"
・File test: cùng độc giả, 連絡先2 và 備考 để trống, tất cả cột đã tick</t>
  </si>
  <si>
    <r>
      <rPr>
        <rFont val="メイリオ"/>
        <b/>
        <color rgb="FF000000"/>
        <sz val="10.0"/>
      </rPr>
      <t xml:space="preserve">ステップ1：
</t>
    </r>
    <r>
      <rPr>
        <rFont val="メイリオ"/>
        <color rgb="FF000000"/>
        <sz val="10.0"/>
      </rPr>
      <t xml:space="preserve">Upload file, chế độ import "全項目更新", tất cả cột đã tick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 xml:space="preserve">Kiểm tra DB: `SELECT renrakusaki_2, biko, updated_at, updated_by FROM t_dokusya WHERE ja_id = 1 ORDER BY updated_at DESC LIMIT 1`
</t>
    </r>
    <r>
      <rPr>
        <rFont val="メイリオ"/>
        <b/>
        <color rgb="FF000000"/>
        <sz val="10.0"/>
      </rPr>
      <t xml:space="preserve">ステップ4：
</t>
    </r>
    <r>
      <rPr>
        <rFont val="メイリオ"/>
        <color rgb="FF000000"/>
        <sz val="10.0"/>
      </rPr>
      <t>Kiểm tra DB: `SELECT * FROM t_dokusya_rireki ORDER BY created_at DESC LIMIT 1`</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</si>
  <si>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Trả về HTTP 200, `import_mode: "UPDATE_ALL"`, `updated_count: 1`, hiển thị toast `正常に取り込みました。` (ACSMS-MSG-016-004)
</t>
    </r>
    <r>
      <rPr>
        <rFont val="メイリオ"/>
        <b/>
        <color rgb="FF000000"/>
        <sz val="10.0"/>
      </rPr>
      <t xml:space="preserve">ステップ3：
</t>
    </r>
    <r>
      <rPr>
        <rFont val="メイリオ"/>
        <color rgb="FF000000"/>
        <sz val="10.0"/>
      </rPr>
      <t xml:space="preserve">連絡先2 và 備考 được ghi đè bằng ô trống (NULL hoặc chuỗi rỗng), `updated_at` là thời gian hiện tại, `updated_by` là ID của user đã login
</t>
    </r>
    <r>
      <rPr>
        <rFont val="メイリオ"/>
        <b/>
        <color rgb="FF000000"/>
        <sz val="10.0"/>
      </rPr>
      <t xml:space="preserve">ステップ4：
</t>
    </r>
    <r>
      <rPr>
        <rFont val="メイリオ"/>
        <color rgb="FF000000"/>
        <sz val="10.0"/>
      </rPr>
      <t xml:space="preserve">`t_dokusya_rireki` được thêm record lịch sử
</t>
    </r>
    <r>
      <rPr>
        <rFont val="メイリオ"/>
        <b/>
        <color rgb="FF000000"/>
        <sz val="10.0"/>
      </rPr>
      <t xml:space="preserve">補足：
</t>
    </r>
    <r>
      <rPr>
        <rFont val="メイリオ"/>
        <color rgb="FF000000"/>
        <sz val="10.0"/>
      </rPr>
      <t>・Chế độ UPDATE_ALL cập nhật toàn bộ trường, là cập nhật phá hủy ghi đè trường để trống trong Excel bằng NULL (hoặc chuỗi rỗng)</t>
    </r>
  </si>
  <si>
    <t>ACSMS-TC-016-036</t>
  </si>
  <si>
    <t>Chế độ UPDATE_ALL — không tồn tại IMPORT_VALIDATION_ERROR</t>
  </si>
  <si>
    <t>・role: JA_HONTEN (ja_id=1)
・File test: 3 dòng chứa độc giả chưa đăng ký trong DB</t>
  </si>
  <si>
    <r>
      <rPr>
        <rFont val="メイリオ"/>
        <b/>
        <color rgb="FF000000"/>
        <sz val="10.0"/>
      </rPr>
      <t xml:space="preserve">ステップ1：
</t>
    </r>
    <r>
      <rPr>
        <rFont val="メイリオ"/>
        <color rgb="FF000000"/>
        <sz val="10.0"/>
      </rPr>
      <t xml:space="preserve">Upload file, chế độ import "全項目更新"
</t>
    </r>
    <r>
      <rPr>
        <rFont val="メイリオ"/>
        <b/>
        <color rgb="FF000000"/>
        <sz val="10.0"/>
      </rPr>
      <t xml:space="preserve">ステップ2：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</si>
  <si>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hiển thị 3 dòng
</t>
    </r>
    <r>
      <rPr>
        <rFont val="メイリオ"/>
        <b/>
        <color rgb="FF000000"/>
        <sz val="10.0"/>
      </rPr>
      <t xml:space="preserve">ステップ2：
</t>
    </r>
    <r>
      <rPr>
        <rFont val="メイリオ"/>
        <color rgb="FF000000"/>
        <sz val="10.0"/>
      </rPr>
      <t xml:space="preserve">Trả về HTTP 400 (`error_code: IMPORT_VALIDATION_ERROR`), mảng `errors` chứa tương đương `{ row: N, field: 'dokusya', message: '指定された購読者が見つかりません' }`, hiển thị toast `取込み処理にエラーが発生しました。「行{N}: {項目名} — {エラー理由}」` (ACSMS-MSG-016-005), rollback toàn bộ và DB không thay đổi
</t>
    </r>
    <r>
      <rPr>
        <rFont val="メイリオ"/>
        <b/>
        <color rgb="FF000000"/>
        <sz val="10.0"/>
      </rPr>
      <t xml:space="preserve">補足：
</t>
    </r>
    <r>
      <rPr>
        <rFont val="メイリオ"/>
        <color rgb="FF000000"/>
        <sz val="10.0"/>
      </rPr>
      <t>・Ở chế độ UPDATE, dòng không tồn tại được xử lý như lỗi "không tồn tại"</t>
    </r>
  </si>
  <si>
    <t>ACSMS-TC-016-037</t>
  </si>
  <si>
    <t>Chế độ UPDATE_ALL — hiển thị dialog xác nhận</t>
  </si>
  <si>
    <t>・role: JA_HONTEN (ja_id=1)
・Đã upload file test (1 dòng độc giả đã tồn tại)</t>
  </si>
  <si>
    <r>
      <rPr>
        <rFont val="メイリオ"/>
        <b/>
        <color rgb="FF000000"/>
        <sz val="10.0"/>
      </rPr>
      <t xml:space="preserve">ステップ1：
</t>
    </r>
    <r>
      <rPr>
        <rFont val="メイリオ"/>
        <color rgb="FF000000"/>
        <sz val="10.0"/>
      </rPr>
      <t xml:space="preserve">Chọn chế độ import "全項目更新", click button 取込開始
</t>
    </r>
    <r>
      <rPr>
        <rFont val="メイリオ"/>
        <b/>
        <color rgb="FF000000"/>
        <sz val="10.0"/>
      </rPr>
      <t xml:space="preserve">ステップ2：
</t>
    </r>
    <r>
      <rPr>
        <rFont val="メイリオ"/>
        <color rgb="FF000000"/>
        <sz val="10.0"/>
      </rPr>
      <t xml:space="preserve">Nhấn "キャンセル" trên dialog xác nhận
</t>
    </r>
    <r>
      <rPr>
        <rFont val="メイリオ"/>
        <b/>
        <color rgb="FF000000"/>
        <sz val="10.0"/>
      </rPr>
      <t xml:space="preserve">ステップ3：
</t>
    </r>
    <r>
      <rPr>
        <rFont val="メイリオ"/>
        <color rgb="FF000000"/>
        <sz val="10.0"/>
      </rPr>
      <t>Click lại button 取込開始, nhấn "実行"</t>
    </r>
  </si>
  <si>
    <r>
      <rPr>
        <rFont val="メイリオ"/>
        <b/>
        <color rgb="FF000000"/>
        <sz val="10.0"/>
      </rPr>
      <t xml:space="preserve">ステップ1：
</t>
    </r>
    <r>
      <rPr>
        <rFont val="メイリオ"/>
        <color rgb="FF000000"/>
        <sz val="10.0"/>
      </rPr>
      <t xml:space="preserve">Dialog xác nhận được hiển thị (message `取込処理を開始します。よろしいですか？`, ACSMS-MSG-016-002)
</t>
    </r>
    <r>
      <rPr>
        <rFont val="メイリオ"/>
        <b/>
        <color rgb="FF000000"/>
        <sz val="10.0"/>
      </rPr>
      <t xml:space="preserve">ステップ2：
</t>
    </r>
    <r>
      <rPr>
        <rFont val="メイリオ"/>
        <color rgb="FF000000"/>
        <sz val="10.0"/>
      </rPr>
      <t xml:space="preserve">Dialog đóng lại, xử lý import không được thực thi
</t>
    </r>
    <r>
      <rPr>
        <rFont val="メイリオ"/>
        <b/>
        <color rgb="FF000000"/>
        <sz val="10.0"/>
      </rPr>
      <t xml:space="preserve">ステップ3：
</t>
    </r>
    <r>
      <rPr>
        <rFont val="メイリオ"/>
        <color rgb="FF000000"/>
        <sz val="10.0"/>
      </rPr>
      <t xml:space="preserve">Dialog đóng, POST `/api/v1/dokusya/import` được gửi với `import_mode: "UPDATE_ALL"`
</t>
    </r>
    <r>
      <rPr>
        <rFont val="メイリオ"/>
        <b/>
        <color rgb="FF000000"/>
        <sz val="10.0"/>
      </rPr>
      <t xml:space="preserve">補足：
</t>
    </r>
    <r>
      <rPr>
        <rFont val="メイリオ"/>
        <color rgb="FF000000"/>
        <sz val="10.0"/>
      </rPr>
      <t>・Cập nhật toàn bộ trường là cập nhật phá hủy nên dialog xác nhận đặc biệt quan trọng</t>
    </r>
  </si>
  <si>
    <t>ACSMS-TC-016-038</t>
  </si>
  <si>
    <t>Chế độ UPDATE_ALL — kiểm tra record audit log</t>
  </si>
  <si>
    <t>・role: JA_HONTEN (ja_id=1)
・Đã upload file test cập nhật 1 dòng độc giả đã tồn tại</t>
  </si>
  <si>
    <r>
      <rPr>
        <rFont val="メイリオ"/>
        <b/>
        <color rgb="FF000000"/>
        <sz val="10.0"/>
      </rPr>
      <t xml:space="preserve">ステップ1：
</t>
    </r>
    <r>
      <rPr>
        <rFont val="メイリオ"/>
        <color rgb="FF000000"/>
        <sz val="10.0"/>
      </rPr>
      <t xml:space="preserve">Chế độ import "全項目更新", click button 取込開始 → dialog xác nhận "実行"
</t>
    </r>
    <r>
      <rPr>
        <rFont val="メイリオ"/>
        <b/>
        <color rgb="FF000000"/>
        <sz val="10.0"/>
      </rPr>
      <t xml:space="preserve">ステップ2：
</t>
    </r>
    <r>
      <rPr>
        <rFont val="メイリオ"/>
        <color rgb="FF000000"/>
        <sz val="10.0"/>
      </rPr>
      <t>Kiểm tra DB: `SELECT * FROM t_log WHERE gamen_name LIKE '%ACSMS-SCR-016%' ORDER BY log_datetime DESC LIMIT 1`</t>
    </r>
  </si>
  <si>
    <r>
      <rPr>
        <rFont val="メイリオ"/>
        <b/>
        <color rgb="FF000000"/>
        <sz val="10.0"/>
      </rPr>
      <t xml:space="preserve">ステップ1：
</t>
    </r>
    <r>
      <rPr>
        <rFont val="メイリオ"/>
        <color rgb="FF000000"/>
        <sz val="10.0"/>
      </rPr>
      <t xml:space="preserve">Trả về HTTP 200, `updated_count: 1`, hiển thị toast `正常に取り込みました。` (ACSMS-MSG-016-004)
</t>
    </r>
    <r>
      <rPr>
        <rFont val="メイリオ"/>
        <b/>
        <color rgb="FF000000"/>
        <sz val="10.0"/>
      </rPr>
      <t xml:space="preserve">ステップ2：
</t>
    </r>
    <r>
      <rPr>
        <rFont val="メイリオ"/>
        <color rgb="FF000000"/>
        <sz val="10.0"/>
      </rPr>
      <t xml:space="preserve">Audit log được record, `result_status = 1`, `before_value` chứa data cũ, `after_value` chứa JSON tóm tắt cập nhật, `ja_id = 1` được record
</t>
    </r>
    <r>
      <rPr>
        <rFont val="メイリオ"/>
        <b/>
        <color rgb="FF000000"/>
        <sz val="10.0"/>
      </rPr>
      <t xml:space="preserve">補足：
</t>
    </r>
    <r>
      <rPr>
        <rFont val="メイリオ"/>
        <color rgb="FF000000"/>
        <sz val="10.0"/>
      </rPr>
      <t>・Xử lý import và record audit log được thực thi trong cùng 1 transaction</t>
    </r>
  </si>
  <si>
    <t>Business logic — Xử lý import (chế độ UPDATE_PARTIAL)</t>
  </si>
  <si>
    <t>ACSMS-TC-016-039</t>
  </si>
  <si>
    <t>Chế độ UPDATE_PARTIAL — luồng bình thường (cập nhật một phần)</t>
  </si>
  <si>
    <t>・role: JA_HONTEN (ja_id=1)
・Độc giả đã tồn tại: 連絡先1="03-1111-1111", 連絡先2="03-1111-1112", 備考="重要顧客"
・File test: cùng độc giả, chỉ 連絡先1="03-3333-3333", `selected_columns` chỉ tick "連絡先1"</t>
  </si>
  <si>
    <r>
      <rPr>
        <rFont val="メイリオ"/>
        <b/>
        <color rgb="FF000000"/>
        <sz val="10.0"/>
      </rPr>
      <t xml:space="preserve">ステップ1：
</t>
    </r>
    <r>
      <rPr>
        <rFont val="メイリオ"/>
        <color rgb="FF000000"/>
        <sz val="10.0"/>
      </rPr>
      <t xml:space="preserve">Upload file, chế độ import "入力箇所のみ更新"
</t>
    </r>
    <r>
      <rPr>
        <rFont val="メイリオ"/>
        <b/>
        <color rgb="FF000000"/>
        <sz val="10.0"/>
      </rPr>
      <t xml:space="preserve">ステップ2：
</t>
    </r>
    <r>
      <rPr>
        <rFont val="メイリオ"/>
        <color rgb="FF000000"/>
        <sz val="10.0"/>
      </rPr>
      <t xml:space="preserve">Trên panel cột import chỉ tick item key bắt buộc và "連絡先1", bỏ tick các cột khác
</t>
    </r>
    <r>
      <rPr>
        <rFont val="メイリオ"/>
        <b/>
        <color rgb="FF000000"/>
        <sz val="10.0"/>
      </rPr>
      <t xml:space="preserve">ステップ3：
</t>
    </r>
    <r>
      <rPr>
        <rFont val="メイリオ"/>
        <color rgb="FF000000"/>
        <sz val="10.0"/>
      </rPr>
      <t xml:space="preserve">Click button 取込開始 → dialog xác nhận "実行"
</t>
    </r>
    <r>
      <rPr>
        <rFont val="メイリオ"/>
        <b/>
        <color rgb="FF000000"/>
        <sz val="10.0"/>
      </rPr>
      <t xml:space="preserve">ステップ4：
</t>
    </r>
    <r>
      <rPr>
        <rFont val="メイリオ"/>
        <color rgb="FF000000"/>
        <sz val="10.0"/>
      </rPr>
      <t>Kiểm tra DB: `SELECT renrakusaki_1, renrakusaki_2, biko FROM t_dokusya WHERE ja_id = 1 ORDER BY updated_at DESC LIMIT 1`</t>
    </r>
  </si>
  <si>
    <r>
      <rPr>
        <rFont val="メイリオ"/>
        <b/>
        <color rgb="FF000000"/>
        <sz val="10.0"/>
      </rPr>
      <t xml:space="preserve">ステップ1：
</t>
    </r>
    <r>
      <rPr>
        <rFont val="メイリオ"/>
        <color rgb="FF000000"/>
        <sz val="10.0"/>
      </rPr>
      <t xml:space="preserve">Preview hiển thị 1 dòng
</t>
    </r>
    <r>
      <rPr>
        <rFont val="メイリオ"/>
        <b/>
        <color rgb="FF000000"/>
        <sz val="10.0"/>
      </rPr>
      <t xml:space="preserve">ステップ2：
</t>
    </r>
    <r>
      <rPr>
        <rFont val="メイリオ"/>
        <color rgb="FF000000"/>
        <sz val="10.0"/>
      </rPr>
      <t xml:space="preserve">Các cột bị bỏ tick không hiển thị trên preview
</t>
    </r>
    <r>
      <rPr>
        <rFont val="メイリオ"/>
        <b/>
        <color rgb="FF000000"/>
        <sz val="10.0"/>
      </rPr>
      <t xml:space="preserve">ステップ3：
</t>
    </r>
    <r>
      <rPr>
        <rFont val="メイリオ"/>
        <color rgb="FF000000"/>
        <sz val="10.0"/>
      </rPr>
      <t xml:space="preserve">Trả về HTTP 200, `import_mode: "UPDATE_PARTIAL"`, `updated_count: 1`, hiển thị toast `正常に取り込みました。` (ACSMS-MSG-016-004)
</t>
    </r>
    <r>
      <rPr>
        <rFont val="メイリオ"/>
        <b/>
        <color rgb="FF000000"/>
        <sz val="10.0"/>
      </rPr>
      <t xml:space="preserve">ステップ4：
</t>
    </r>
    <r>
      <rPr>
        <rFont val="メイリオ"/>
        <color rgb="FF000000"/>
        <sz val="10.0"/>
      </rPr>
      <t xml:space="preserve">Chỉ 連絡先1 được update thành "03-3333-3333", 連絡先2 (`03-1111-1112`) và 備考 (`重要顧客`) giữ nguyên giá trị đã tồn tại
</t>
    </r>
    <r>
      <rPr>
        <rFont val="メイリオ"/>
        <b/>
        <color rgb="FF000000"/>
        <sz val="10.0"/>
      </rPr>
      <t xml:space="preserve">補足：
</t>
    </r>
    <r>
      <rPr>
        <rFont val="メイリオ"/>
        <color rgb="FF000000"/>
        <sz val="10.0"/>
      </rPr>
      <t xml:space="preserve">・Chế độ UPDATE_PARTIAL chỉ cập nhật các cột có trong `selected_columns`, là cập nhật không phá hủy
</t>
    </r>
    <r>
      <rPr>
        <rFont val="メイリオ"/>
        <color rgb="FF000000"/>
        <sz val="10.0"/>
      </rPr>
      <t>・Trường để trống không được cập nhật (giữ giá trị đã tồn tại)</t>
    </r>
  </si>
  <si>
    <t>ACSMS-TC-016-040</t>
  </si>
  <si>
    <t>Chế độ UPDATE_PARTIAL — không tồn tại IMPORT_VALIDATION_ERROR</t>
  </si>
  <si>
    <r>
      <rPr>
        <rFont val="メイリオ"/>
        <b/>
        <color rgb="FF000000"/>
        <sz val="10.0"/>
      </rPr>
      <t xml:space="preserve">ステップ1：
</t>
    </r>
    <r>
      <rPr>
        <rFont val="メイリオ"/>
        <color rgb="FF000000"/>
        <sz val="10.0"/>
      </rPr>
      <t xml:space="preserve">Upload file, chế độ import "入力箇所のみ更新"
</t>
    </r>
    <r>
      <rPr>
        <rFont val="メイリオ"/>
        <b/>
        <color rgb="FF000000"/>
        <sz val="10.0"/>
      </rPr>
      <t xml:space="preserve">ステップ2：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</si>
  <si>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hiển thị 3 dòng
</t>
    </r>
    <r>
      <rPr>
        <rFont val="メイリオ"/>
        <b/>
        <color rgb="FF000000"/>
        <sz val="10.0"/>
      </rPr>
      <t xml:space="preserve">ステップ2：
</t>
    </r>
    <r>
      <rPr>
        <rFont val="メイリオ"/>
        <color rgb="FF000000"/>
        <sz val="10.0"/>
      </rPr>
      <t xml:space="preserve">Trả về HTTP 400 (`error_code: IMPORT_VALIDATION_ERROR`), mảng `errors` chứa tương đương `{ row: N, field: 'dokusya', message: '指定された購読者が見つかりません' }`, hiển thị toast `取込み処理にエラーが発生しました。「行{N}: {項目名} — {エラー理由}」` (ACSMS-MSG-016-005), rollback toàn bộ và DB không thay đổi
</t>
    </r>
    <r>
      <rPr>
        <rFont val="メイリオ"/>
        <b/>
        <color rgb="FF000000"/>
        <sz val="10.0"/>
      </rPr>
      <t xml:space="preserve">補足：
</t>
    </r>
    <r>
      <rPr>
        <rFont val="メイリオ"/>
        <color rgb="FF000000"/>
        <sz val="10.0"/>
      </rPr>
      <t>・Kể cả ở chế độ chỉ cập nhật phần đã nhập, dòng không tồn tại vẫn được xử lý như lỗi</t>
    </r>
  </si>
  <si>
    <t>ACSMS-TC-016-041</t>
  </si>
  <si>
    <t>Chế độ UPDATE_PARTIAL — trường chưa thay đổi được giữ nguyên</t>
  </si>
  <si>
    <t>・role: JA_HONTEN (ja_id=1)
・Độc giả đã tồn tại: 連絡先2="03-2222-2222", 備考="重要顧客", 購読部数=2
・File test: cùng độc giả, chỉ nhập 連絡先1, các trường khác để trống</t>
  </si>
  <si>
    <r>
      <rPr>
        <rFont val="メイリオ"/>
        <b/>
        <color rgb="FF000000"/>
        <sz val="10.0"/>
      </rPr>
      <t xml:space="preserve">ステップ1：
</t>
    </r>
    <r>
      <rPr>
        <rFont val="メイリオ"/>
        <color rgb="FF000000"/>
        <sz val="10.0"/>
      </rPr>
      <t xml:space="preserve">Upload file, chế độ import "入力箇所のみ更新"
</t>
    </r>
    <r>
      <rPr>
        <rFont val="メイリオ"/>
        <b/>
        <color rgb="FF000000"/>
        <sz val="10.0"/>
      </rPr>
      <t xml:space="preserve">ステップ2：
</t>
    </r>
    <r>
      <rPr>
        <rFont val="メイリオ"/>
        <color rgb="FF000000"/>
        <sz val="10.0"/>
      </rPr>
      <t xml:space="preserve">Trên panel cột import chỉ tick item key bắt buộc và "連絡先1"
</t>
    </r>
    <r>
      <rPr>
        <rFont val="メイリオ"/>
        <b/>
        <color rgb="FF000000"/>
        <sz val="10.0"/>
      </rPr>
      <t xml:space="preserve">ステップ3：
</t>
    </r>
    <r>
      <rPr>
        <rFont val="メイリオ"/>
        <color rgb="FF000000"/>
        <sz val="10.0"/>
      </rPr>
      <t xml:space="preserve">Click button 取込開始 → dialog xác nhận "実行"
</t>
    </r>
    <r>
      <rPr>
        <rFont val="メイリオ"/>
        <b/>
        <color rgb="FF000000"/>
        <sz val="10.0"/>
      </rPr>
      <t xml:space="preserve">ステップ4：
</t>
    </r>
    <r>
      <rPr>
        <rFont val="メイリオ"/>
        <color rgb="FF000000"/>
        <sz val="10.0"/>
      </rPr>
      <t>Kiểm tra DB: `SELECT renrakusaki_2, biko, dokusya_busu FROM t_dokusya WHERE ja_id = 1 ORDER BY updated_at DESC LIMIT 1`</t>
    </r>
  </si>
  <si>
    <r>
      <rPr>
        <rFont val="メイリオ"/>
        <b/>
        <color rgb="FF000000"/>
        <sz val="10.0"/>
      </rPr>
      <t xml:space="preserve">ステップ1：
</t>
    </r>
    <r>
      <rPr>
        <rFont val="メイリオ"/>
        <color rgb="FF000000"/>
        <sz val="10.0"/>
      </rPr>
      <t xml:space="preserve">Preview hiển thị 1 dòng
</t>
    </r>
    <r>
      <rPr>
        <rFont val="メイリオ"/>
        <b/>
        <color rgb="FF000000"/>
        <sz val="10.0"/>
      </rPr>
      <t xml:space="preserve">ステップ2：
</t>
    </r>
    <r>
      <rPr>
        <rFont val="メイリオ"/>
        <color rgb="FF000000"/>
        <sz val="10.0"/>
      </rPr>
      <t xml:space="preserve">Trạng thái tick được phản ánh
</t>
    </r>
    <r>
      <rPr>
        <rFont val="メイリオ"/>
        <b/>
        <color rgb="FF000000"/>
        <sz val="10.0"/>
      </rPr>
      <t xml:space="preserve">ステップ3：
</t>
    </r>
    <r>
      <rPr>
        <rFont val="メイリオ"/>
        <color rgb="FF000000"/>
        <sz val="10.0"/>
      </rPr>
      <t xml:space="preserve">Trả về HTTP 200, `updated_count: 1`, hiển thị toast `正常に取り込みました。` (ACSMS-MSG-016-004)
</t>
    </r>
    <r>
      <rPr>
        <rFont val="メイリオ"/>
        <b/>
        <color rgb="FF000000"/>
        <sz val="10.0"/>
      </rPr>
      <t xml:space="preserve">ステップ4：
</t>
    </r>
    <r>
      <rPr>
        <rFont val="メイリオ"/>
        <color rgb="FF000000"/>
        <sz val="10.0"/>
      </rPr>
      <t xml:space="preserve">連絡先2 (`03-2222-2222`), 備考 (`重要顧客`), 購読部数 (`2`) được giữ nguyên giá trị đã tồn tại (trường để trống không được cập nhật)
</t>
    </r>
    <r>
      <rPr>
        <rFont val="メイリオ"/>
        <b/>
        <color rgb="FF000000"/>
        <sz val="10.0"/>
      </rPr>
      <t xml:space="preserve">補足：
</t>
    </r>
    <r>
      <rPr>
        <rFont val="メイリオ"/>
        <color rgb="FF000000"/>
        <sz val="10.0"/>
      </rPr>
      <t>・Chế độ UPDATE_PARTIAL không ghi đè trường để trống bằng NULL, giữ giá trị đã tồn tại</t>
    </r>
  </si>
  <si>
    <t>Xử lý lỗi chung (Common Error Handling)</t>
  </si>
  <si>
    <t>ACSMS-TC-016-042</t>
  </si>
  <si>
    <t>Session hết hạn — UNAUTHORIZED tự động logout</t>
  </si>
  <si>
    <t>・role: JA_HONTEN
・TTL của session cookie đã được set thủ công về 0
・Đã upload file test</t>
  </si>
  <si>
    <r>
      <rPr>
        <rFont val="メイリオ"/>
        <b/>
        <color rgb="FF000000"/>
        <sz val="10.0"/>
      </rPr>
      <t xml:space="preserve">ステップ1：
</t>
    </r>
    <r>
      <rPr>
        <rFont val="メイリオ"/>
        <color rgb="FF000000"/>
        <sz val="10.0"/>
      </rPr>
      <t xml:space="preserve">Để màn `/dokusya/import` đang mở 24 giờ, sau đó click button 取込開始 → dialog xác nhận "実行"
</t>
    </r>
    <r>
      <rPr>
        <rFont val="メイリオ"/>
        <b/>
        <color rgb="FF000000"/>
        <sz val="10.0"/>
      </rPr>
      <t xml:space="preserve">ステップ2：
</t>
    </r>
    <r>
      <rPr>
        <rFont val="メイリオ"/>
        <color rgb="FF000000"/>
        <sz val="10.0"/>
      </rPr>
      <t>Kiểm tra hành vi của màn hình</t>
    </r>
  </si>
  <si>
    <r>
      <rPr>
        <rFont val="メイリオ"/>
        <b/>
        <color rgb="FF000000"/>
        <sz val="10.0"/>
      </rPr>
      <t xml:space="preserve">ステップ1：
</t>
    </r>
    <r>
      <rPr>
        <rFont val="メイリオ"/>
        <color rgb="FF000000"/>
        <sz val="10.0"/>
      </rPr>
      <t xml:space="preserve">POST `/api/v1/dokusya/import` trả về HTTP 401 (`error_code: UNAUTHORIZED`, message `セッションが切れました。再度ログインしてください。`)
</t>
    </r>
    <r>
      <rPr>
        <rFont val="メイリオ"/>
        <b/>
        <color rgb="FF000000"/>
        <sz val="10.0"/>
      </rPr>
      <t xml:space="preserve">ステップ2：
</t>
    </r>
    <r>
      <rPr>
        <rFont val="メイリオ"/>
        <color rgb="FF000000"/>
        <sz val="10.0"/>
      </rPr>
      <t xml:space="preserve">Trạng thái user của Pinia auth store được clear, chuyển sang `/login?redirect=/dokusya/import`, message được hiển thị qua toast
</t>
    </r>
    <r>
      <rPr>
        <rFont val="メイリオ"/>
        <b/>
        <color rgb="FF000000"/>
        <sz val="10.0"/>
      </rPr>
      <t xml:space="preserve">補足：
</t>
    </r>
    <r>
      <rPr>
        <rFont val="メイリオ"/>
        <color rgb="FF000000"/>
        <sz val="10.0"/>
      </rPr>
      <t>・`clearSession()` của auth.store được gọi, cả Pinia và Redis sessions đều bị xóa</t>
    </r>
  </si>
  <si>
    <t>ACSMS-TC-016-043</t>
  </si>
  <si>
    <t>Request parameter không hợp lệ — BAD_REQUEST</t>
  </si>
  <si>
    <r>
      <rPr>
        <rFont val="メイリオ"/>
        <b/>
        <color rgb="FF000000"/>
        <sz val="10.0"/>
      </rPr>
      <t xml:space="preserve">ステップ1：
</t>
    </r>
    <r>
      <rPr>
        <rFont val="メイリオ"/>
        <color rgb="FF000000"/>
        <sz val="10.0"/>
      </rPr>
      <t>Dùng DevTools gửi POST `/api/v1/dokusya/import` với cấu trúc không hợp lệ không chứa `rows`</t>
    </r>
  </si>
  <si>
    <r>
      <rPr>
        <rFont val="メイリオ"/>
        <b/>
        <color rgb="FF000000"/>
        <sz val="10.0"/>
      </rPr>
      <t xml:space="preserve">ステップ1：
</t>
    </r>
    <r>
      <rPr>
        <rFont val="メイリオ"/>
        <color rgb="FF000000"/>
        <sz val="10.0"/>
      </rPr>
      <t xml:space="preserve">Trả về HTTP 400 (`error_code: BAD_REQUEST`, message `リクエストパラメータが不正です。`), message tương tự được hiển thị qua toast, DB không thay đổi
</t>
    </r>
    <r>
      <rPr>
        <rFont val="メイリオ"/>
        <b/>
        <color rgb="FF000000"/>
        <sz val="10.0"/>
      </rPr>
      <t xml:space="preserve">補足：
</t>
    </r>
    <r>
      <rPr>
        <rFont val="メイリオ"/>
        <color rgb="FF000000"/>
        <sz val="10.0"/>
      </rPr>
      <t>・Cấu trúc sai của các parameter bắt buộc (`import_mode` / `selected_columns` / `rows`) được phát hiện phía server</t>
    </r>
  </si>
  <si>
    <t>ACSMS-TC-016-044</t>
  </si>
  <si>
    <t>Thiếu parameter bắt buộc — VALIDATION_ERROR</t>
  </si>
  <si>
    <r>
      <rPr>
        <rFont val="メイリオ"/>
        <b/>
        <color rgb="FF000000"/>
        <sz val="10.0"/>
      </rPr>
      <t xml:space="preserve">ステップ1：
</t>
    </r>
    <r>
      <rPr>
        <rFont val="メイリオ"/>
        <color rgb="FF000000"/>
        <sz val="10.0"/>
      </rPr>
      <t>Dùng DevTools gửi POST `/api/v1/dokusya/import` với `import_mode` không chỉ định và `selected_columns: []` (mảng rỗng)</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</si>
  <si>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mảng `errors` chứa `{ field: 'import_mode', message: '取込モードは必須です。' }` và `{ field: 'selected_columns', message: '取込対象列を1つ以上選択してください。' }`, DB không thay đổi
</t>
    </r>
    <r>
      <rPr>
        <rFont val="メイリオ"/>
        <b/>
        <color rgb="FF000000"/>
        <sz val="10.0"/>
      </rPr>
      <t xml:space="preserve">補足：
</t>
    </r>
    <r>
      <rPr>
        <rFont val="メイリオ"/>
        <color rgb="FF000000"/>
        <sz val="10.0"/>
      </rPr>
      <t>・`import_mode` chỉ cho phép `NEW` / `UPDATE_ALL` / `UPDATE_PARTIAL`, `selected_columns` là mảng tên cột vật lý 1〜49 và bắt buộc</t>
    </r>
  </si>
  <si>
    <t>ACSMS-TC-016-045</t>
  </si>
  <si>
    <t>Rate limit — TOO_MANY_REQUESTS</t>
  </si>
  <si>
    <r>
      <rPr>
        <rFont val="メイリオ"/>
        <b/>
        <color rgb="FF000000"/>
        <sz val="10.0"/>
      </rPr>
      <t xml:space="preserve">ステップ1：
</t>
    </r>
    <r>
      <rPr>
        <rFont val="メイリオ"/>
        <color rgb="FF000000"/>
        <sz val="10.0"/>
      </rPr>
      <t xml:space="preserve">Gửi liên tục POST `/api/v1/dokusya/import` 101 lần trong 1 phút
</t>
    </r>
    <r>
      <rPr>
        <rFont val="メイリオ"/>
        <b/>
        <color rgb="FF000000"/>
        <sz val="10.0"/>
      </rPr>
      <t xml:space="preserve">ステップ2：
</t>
    </r>
    <r>
      <rPr>
        <rFont val="メイリオ"/>
        <color rgb="FF000000"/>
        <sz val="10.0"/>
      </rPr>
      <t>Kiểm tra response</t>
    </r>
  </si>
  <si>
    <r>
      <rPr>
        <rFont val="メイリオ"/>
        <b/>
        <color rgb="FF000000"/>
        <sz val="10.0"/>
      </rPr>
      <t xml:space="preserve">ステップ1：
</t>
    </r>
    <r>
      <rPr>
        <rFont val="メイリオ"/>
        <color rgb="FF000000"/>
        <sz val="10.0"/>
      </rPr>
      <t xml:space="preserve">100 lần đầu trả về HTTP 200 hoặc 400, lần thứ 101 trả về HTTP 429 (`error_code: TOO_MANY_REQUESTS`, message `リクエスト回数が上限を超えました。しばらくしてから再度お試しください。`)
</t>
    </r>
    <r>
      <rPr>
        <rFont val="メイリオ"/>
        <b/>
        <color rgb="FF000000"/>
        <sz val="10.0"/>
      </rPr>
      <t xml:space="preserve">ステップ2：
</t>
    </r>
    <r>
      <rPr>
        <rFont val="メイリオ"/>
        <color rgb="FF000000"/>
        <sz val="10.0"/>
      </rPr>
      <t xml:space="preserve">Message được hiển thị qua toast
</t>
    </r>
    <r>
      <rPr>
        <rFont val="メイリオ"/>
        <b/>
        <color rgb="FF000000"/>
        <sz val="10.0"/>
      </rPr>
      <t xml:space="preserve">補足：
</t>
    </r>
    <r>
      <rPr>
        <rFont val="メイリオ"/>
        <color rgb="FF000000"/>
        <sz val="10.0"/>
      </rPr>
      <t>・Giới hạn 100 req/min bằng @nestjs/throttler</t>
    </r>
  </si>
  <si>
    <t>ACSMS-TC-016-046</t>
  </si>
  <si>
    <t>Lỗi DB phía server — INTERNAL_SERVER_ERROR</t>
  </si>
  <si>
    <t>・role: JA_HONTEN
・Đã login + đã xác thực MFA
・File test: 3 dòng độc giả</t>
  </si>
  <si>
    <r>
      <rPr>
        <rFont val="メイリオ"/>
        <b/>
        <color rgb="FF000000"/>
        <sz val="10.0"/>
      </rPr>
      <t xml:space="preserve">ステップ1：
</t>
    </r>
    <r>
      <rPr>
        <rFont val="メイリオ"/>
        <color rgb="FF000000"/>
        <sz val="10.0"/>
      </rPr>
      <t xml:space="preserve">Gửi POST `/api/v1/dokusya/import` ở trạng thái mất kết nối DB (DB dừng)
</t>
    </r>
    <r>
      <rPr>
        <rFont val="メイリオ"/>
        <b/>
        <color rgb="FF000000"/>
        <sz val="10.0"/>
      </rPr>
      <t xml:space="preserve">ステップ2：
</t>
    </r>
    <r>
      <rPr>
        <rFont val="メイリオ"/>
        <color rgb="FF000000"/>
        <sz val="10.0"/>
      </rPr>
      <t>Kiểm tra màn hình và DB log</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</si>
  <si>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hiển thị toast `システムエラーが発生しました。しばらくしてから再度お試しください。` (ACSMS-MSG-016-003)
</t>
    </r>
    <r>
      <rPr>
        <rFont val="メイリオ"/>
        <b/>
        <color rgb="FF000000"/>
        <sz val="10.0"/>
      </rPr>
      <t xml:space="preserve">ステップ2：
</t>
    </r>
    <r>
      <rPr>
        <rFont val="メイリオ"/>
        <color rgb="FF000000"/>
        <sz val="10.0"/>
      </rPr>
      <t xml:space="preserve">Transaction được rollback, không có record mới được đăng ký vào `t_dokusya`, error log (`log_type=3`, `result_status=2`) được record ngoài transaction vào `t_log`
</t>
    </r>
    <r>
      <rPr>
        <rFont val="メイリオ"/>
        <b/>
        <color rgb="FF000000"/>
        <sz val="10.0"/>
      </rPr>
      <t xml:space="preserve">補足：
</t>
    </r>
    <r>
      <rPr>
        <rFont val="メイリオ"/>
        <color rgb="FF000000"/>
        <sz val="10.0"/>
      </rPr>
      <t>・Phía server record error log ngoài transaction, nên dù business logic bị rollback thì audit log lỗi vẫn được giữ lại</t>
    </r>
  </si>
  <si>
    <t>ACSMS-TC-016-047</t>
  </si>
  <si>
    <t>FILE_FORMAT_ERROR — upload file Excel hỏng</t>
  </si>
  <si>
    <t>・role: JA_HONTEN
・Đã login + đã xác thực MFA
・File test: file hỏng có extension `.xlsx` nhưng nội dung là text file</t>
  </si>
  <si>
    <r>
      <rPr>
        <rFont val="メイリオ"/>
        <b/>
        <color rgb="FF000000"/>
        <sz val="10.0"/>
      </rPr>
      <t xml:space="preserve">ステップ1：
</t>
    </r>
    <r>
      <rPr>
        <rFont val="メイリオ"/>
        <color rgb="FF000000"/>
        <sz val="10.0"/>
      </rPr>
      <t xml:space="preserve">Chọn file hỏng, chế độ import "新規登録"
</t>
    </r>
    <r>
      <rPr>
        <rFont val="メイリオ"/>
        <b/>
        <color rgb="FF000000"/>
        <sz val="10.0"/>
      </rPr>
      <t xml:space="preserve">ステップ2：
</t>
    </r>
    <r>
      <rPr>
        <rFont val="メイリオ"/>
        <color rgb="FF000000"/>
        <sz val="10.0"/>
      </rPr>
      <t>Kiểm tra hành vi của màn hình</t>
    </r>
  </si>
  <si>
    <r>
      <rPr>
        <rFont val="メイリオ"/>
        <b/>
        <color rgb="FF000000"/>
        <sz val="10.0"/>
      </rPr>
      <t xml:space="preserve">ステップ1：
</t>
    </r>
    <r>
      <rPr>
        <rFont val="メイリオ"/>
        <color rgb="FF000000"/>
        <sz val="10.0"/>
      </rPr>
      <t xml:space="preserve">File parse fail phía frontend, hiển thị toast `Excelファイルの取り込みに失敗しました。ファイル形式を確認してください。` (ACSMS-MSG-016-001)
</t>
    </r>
    <r>
      <rPr>
        <rFont val="メイリオ"/>
        <b/>
        <color rgb="FF000000"/>
        <sz val="10.0"/>
      </rPr>
      <t xml:space="preserve">ステップ2：
</t>
    </r>
    <r>
      <rPr>
        <rFont val="メイリオ"/>
        <color rgb="FF000000"/>
        <sz val="10.0"/>
      </rPr>
      <t xml:space="preserve">Vùng preview vẫn ẩn, request không được gửi đến server, nếu được gửi đến server thì trả về HTTP 400 (`error_code: FILE_FORMAT_ERROR`, message `Excelファイルの取り込みに失敗しました。ファイル形式を確認してください。`)
</t>
    </r>
    <r>
      <rPr>
        <rFont val="メイリオ"/>
        <b/>
        <color rgb="FF000000"/>
        <sz val="10.0"/>
      </rPr>
      <t xml:space="preserve">補足：
</t>
    </r>
    <r>
      <rPr>
        <rFont val="メイリオ"/>
        <color rgb="FF000000"/>
        <sz val="10.0"/>
      </rPr>
      <t xml:space="preserve">・Phát sinh khi Excel parser phía frontend ném exception
</t>
    </r>
    <r>
      <rPr>
        <rFont val="メイリオ"/>
        <color rgb="FF000000"/>
        <sz val="10.0"/>
      </rPr>
      <t>・Phía server cũng kiểm tra tương tự, khi gửi dữ liệu dòng không hợp lệ trả về `FILE_FORMAT_ERROR`</t>
    </r>
  </si>
  <si>
    <t>ACSMS-TC-016-048</t>
  </si>
  <si>
    <t>Phía server ROW_LIMIT_EXCEEDED — gửi 30001 dòng</t>
  </si>
  <si>
    <r>
      <rPr>
        <rFont val="メイリオ"/>
        <b/>
        <color rgb="FF000000"/>
        <sz val="10.0"/>
      </rPr>
      <t xml:space="preserve">ステップ1：
</t>
    </r>
    <r>
      <rPr>
        <rFont val="メイリオ"/>
        <color rgb="FF000000"/>
        <sz val="10.0"/>
      </rPr>
      <t>Dùng DevTools gửi POST `/api/v1/dokusya/import` với `rows: [...30001 items...]`</t>
    </r>
  </si>
  <si>
    <r>
      <rPr>
        <rFont val="メイリオ"/>
        <b/>
        <color rgb="FF000000"/>
        <sz val="10.0"/>
      </rPr>
      <t xml:space="preserve">ステップ1：
</t>
    </r>
    <r>
      <rPr>
        <rFont val="メイリオ"/>
        <color rgb="FF000000"/>
        <sz val="10.0"/>
      </rPr>
      <t xml:space="preserve">Trả về HTTP 400 (`error_code: ROW_LIMIT_EXCEEDED`, message `ファイルの行数が上限（30000行）を超えているため、取込みできません。`), DB không thay đổi
</t>
    </r>
    <r>
      <rPr>
        <rFont val="メイリオ"/>
        <b/>
        <color rgb="FF000000"/>
        <sz val="10.0"/>
      </rPr>
      <t xml:space="preserve">補足：
</t>
    </r>
    <r>
      <rPr>
        <rFont val="メイリオ"/>
        <color rgb="FF000000"/>
        <sz val="10.0"/>
      </rPr>
      <t xml:space="preserve">・Phía server check lại giới hạn 30000 dòng (ngăn việc bypass phía client)
</t>
    </r>
    <r>
      <rPr>
        <rFont val="メイリオ"/>
        <color rgb="FF000000"/>
        <sz val="10.0"/>
      </rPr>
      <t>・Giá trị biên: 30000 dòng import được, 30001 dòng không được</t>
    </r>
  </si>
  <si>
    <t>ACSMS-TC-016-049</t>
  </si>
  <si>
    <t>IMPORT_VALIDATION_ERROR — kiểm tra mảng lỗi theo từng dòng</t>
  </si>
  <si>
    <t>・role: JA_HONTEN (ja_id=1)
・Đã login + đã xác thực MFA
・File test: dòng 2 sai số chữ số mã bưu điện, dòng 3 chứa 新聞単価 chưa đăng ký</t>
  </si>
  <si>
    <r>
      <rPr>
        <rFont val="メイリオ"/>
        <b/>
        <color rgb="FF000000"/>
        <sz val="10.0"/>
      </rPr>
      <t xml:space="preserve">ステップ1：
</t>
    </r>
    <r>
      <rPr>
        <rFont val="メイリオ"/>
        <color rgb="FF000000"/>
        <sz val="10.0"/>
      </rPr>
      <t xml:space="preserve">Upload file, chế độ import "新規登録"
</t>
    </r>
    <r>
      <rPr>
        <rFont val="メイリオ"/>
        <b/>
        <color rgb="FF000000"/>
        <sz val="10.0"/>
      </rPr>
      <t xml:space="preserve">ステップ2：
</t>
    </r>
    <r>
      <rPr>
        <rFont val="メイリオ"/>
        <color rgb="FF000000"/>
        <sz val="10.0"/>
      </rPr>
      <t xml:space="preserve">Click button 取込開始 → dialog xác nhận "実行"
</t>
    </r>
    <r>
      <rPr>
        <rFont val="メイリオ"/>
        <b/>
        <color rgb="FF000000"/>
        <sz val="10.0"/>
      </rPr>
      <t xml:space="preserve">ステップ3：
</t>
    </r>
    <r>
      <rPr>
        <rFont val="メイリオ"/>
        <color rgb="FF000000"/>
        <sz val="10.0"/>
      </rPr>
      <t>Kiểm tra cấu trúc mảng `errors` của response</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</si>
  <si>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Trả về HTTP 400 (`error_code: IMPORT_VALIDATION_ERROR`, message `Excel取込データにエラーがあります。詳細はerrorsフィールドを確認してください。`), hiển thị toast `取込み処理にエラーが発生しました。「行{N}: {項目名} — {エラー理由}」` (ACSMS-MSG-016-005)
</t>
    </r>
    <r>
      <rPr>
        <rFont val="メイリオ"/>
        <b/>
        <color rgb="FF000000"/>
        <sz val="10.0"/>
      </rPr>
      <t xml:space="preserve">ステップ3：
</t>
    </r>
    <r>
      <rPr>
        <rFont val="メイリオ"/>
        <color rgb="FF000000"/>
        <sz val="10.0"/>
      </rPr>
      <t xml:space="preserve">Mảng `errors` chứa lỗi có kèm số dòng (`{ row: 2, field: 'yubin_no', message: ... }`, `{ row: 3, field: 'tanka_id', message: ... }`), rollback toàn bộ và không đăng ký vào DB
</t>
    </r>
    <r>
      <rPr>
        <rFont val="メイリオ"/>
        <b/>
        <color rgb="FF000000"/>
        <sz val="10.0"/>
      </rPr>
      <t xml:space="preserve">補足：
</t>
    </r>
    <r>
      <rPr>
        <rFont val="メイリオ"/>
        <color rgb="FF000000"/>
        <sz val="10.0"/>
      </rPr>
      <t xml:space="preserve">・Lỗi theo từng dòng được trả về dạng mảng có `row`／`field`／`message`
</t>
    </r>
    <r>
      <rPr>
        <rFont val="メイリオ"/>
        <color rgb="FF000000"/>
        <sz val="10.0"/>
      </rPr>
      <t>・Phía frontend format thành dạng "行2: 郵便番号 — …" để hiển thị</t>
    </r>
  </si>
  <si>
    <t>ACSMS-TC-016-050</t>
  </si>
  <si>
    <t>DATA_SCOPE_VIOLATION — thử import data của JA khác</t>
  </si>
  <si>
    <t>・role: JA_HONTEN (ja_id=1)
・Đã login + đã xác thực MFA
・File test: chứa dòng có `kanri_shiten_id` / `hanbaiten_id` thuộc ja_id=2</t>
  </si>
  <si>
    <r>
      <rPr>
        <rFont val="メイリオ"/>
        <b/>
        <color rgb="FF000000"/>
        <sz val="10.0"/>
      </rPr>
      <t xml:space="preserve">ステップ1：
</t>
    </r>
    <r>
      <rPr>
        <rFont val="メイリオ"/>
        <color rgb="FF000000"/>
        <sz val="10.0"/>
      </rPr>
      <t>Dùng DevTools gửi POST `/api/v1/dokusya/import` với request body chứa `kanri_shiten_id` thuộc JA khác (ja_id=2)</t>
    </r>
  </si>
  <si>
    <r>
      <rPr>
        <rFont val="メイリオ"/>
        <b/>
        <color rgb="FF000000"/>
        <sz val="10.0"/>
      </rPr>
      <t xml:space="preserve">ステップ1：
</t>
    </r>
    <r>
      <rPr>
        <rFont val="メイリオ"/>
        <color rgb="FF000000"/>
        <sz val="10.0"/>
      </rPr>
      <t xml:space="preserve">Trả về HTTP 403 (`error_code: DATA_SCOPE_VIOLATION`, message `このデータへのアクセス権限がありません。`), data thuộc ja_id=2 không được import, DB không thay đổi
</t>
    </r>
    <r>
      <rPr>
        <rFont val="メイリオ"/>
        <b/>
        <color rgb="FF000000"/>
        <sz val="10.0"/>
      </rPr>
      <t xml:space="preserve">補足：
</t>
    </r>
    <r>
      <rPr>
        <rFont val="メイリオ"/>
        <color rgb="FF000000"/>
        <sz val="10.0"/>
      </rPr>
      <t>・Phía server lọc đồng loạt bằng `ja_id` của session, khi FK reference trong request (`kanri_shiten_id` / `hanbaiten_id`) thuộc JA khác thì từ chối (Layer 4 FK reference guard)</t>
    </r>
  </si>
  <si>
    <t>ACSMS-TC-016-051</t>
  </si>
  <si>
    <t>Xử lý phía frontend khi mất kết nối network</t>
  </si>
  <si>
    <r>
      <rPr>
        <rFont val="メイリオ"/>
        <b/>
        <color rgb="FF000000"/>
        <sz val="10.0"/>
      </rPr>
      <t xml:space="preserve">ステップ1：
</t>
    </r>
    <r>
      <rPr>
        <rFont val="メイリオ"/>
        <color rgb="FF000000"/>
        <sz val="10.0"/>
      </rPr>
      <t xml:space="preserve">Upload file test tại `/dokusya/import`
</t>
    </r>
    <r>
      <rPr>
        <rFont val="メイリオ"/>
        <b/>
        <color rgb="FF000000"/>
        <sz val="10.0"/>
      </rPr>
      <t xml:space="preserve">ステップ2：
</t>
    </r>
    <r>
      <rPr>
        <rFont val="メイリオ"/>
        <color rgb="FF000000"/>
        <sz val="10.0"/>
      </rPr>
      <t xml:space="preserve">Chọn "Offline" trên DevTools tab Network
</t>
    </r>
    <r>
      <rPr>
        <rFont val="メイリオ"/>
        <b/>
        <color rgb="FF000000"/>
        <sz val="10.0"/>
      </rPr>
      <t xml:space="preserve">ステップ3：
</t>
    </r>
    <r>
      <rPr>
        <rFont val="メイリオ"/>
        <color rgb="FF000000"/>
        <sz val="10.0"/>
      </rPr>
      <t>Click button 取込開始 → dialog xác nhận "実行"</t>
    </r>
  </si>
  <si>
    <r>
      <rPr>
        <rFont val="メイリオ"/>
        <b/>
        <color rgb="FF000000"/>
        <sz val="10.0"/>
      </rPr>
      <t xml:space="preserve">ステップ1：
</t>
    </r>
    <r>
      <rPr>
        <rFont val="メイリオ"/>
        <color rgb="FF000000"/>
        <sz val="10.0"/>
      </rPr>
      <t xml:space="preserve">Preview được hiển thị
</t>
    </r>
    <r>
      <rPr>
        <rFont val="メイリオ"/>
        <b/>
        <color rgb="FF000000"/>
        <sz val="10.0"/>
      </rPr>
      <t xml:space="preserve">ステップ2：
</t>
    </r>
    <r>
      <rPr>
        <rFont val="メイリオ"/>
        <color rgb="FF000000"/>
        <sz val="10.0"/>
      </rPr>
      <t xml:space="preserve">Trạng thái mất kết nối network
</t>
    </r>
    <r>
      <rPr>
        <rFont val="メイリオ"/>
        <b/>
        <color rgb="FF000000"/>
        <sz val="10.0"/>
      </rPr>
      <t xml:space="preserve">ステップ3：
</t>
    </r>
    <r>
      <rPr>
        <rFont val="メイリオ"/>
        <color rgb="FF000000"/>
        <sz val="10.0"/>
      </rPr>
      <t xml:space="preserve">Network error được catch phía frontend, hiển thị toast `ネットワークエラーが発生しました。接続を確認してください。`, trạng thái màn hình không chuyển và button 取込開始 có thể click lại
</t>
    </r>
    <r>
      <rPr>
        <rFont val="メイリオ"/>
        <b/>
        <color rgb="FF000000"/>
        <sz val="10.0"/>
      </rPr>
      <t xml:space="preserve">補足：
</t>
    </r>
    <r>
      <rPr>
        <rFont val="メイリオ"/>
        <color rgb="FF000000"/>
        <sz val="10.0"/>
      </rPr>
      <t xml:space="preserve">・Phát hiện `error.code === 'ERR_NETWORK'` của axios trong error-handler.ts
</t>
    </r>
    <r>
      <rPr>
        <rFont val="メイリオ"/>
        <color rgb="FF000000"/>
        <sz val="10.0"/>
      </rPr>
      <t>・DB không bị thay đổi</t>
    </r>
  </si>
  <si>
    <t>Message lỗi network được quản lý bởi handler chung trong `src/api/error-handler.ts`.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</si>
</sst>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s>
  <fills count="10">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6" fillId="0" fontId="8" numFmtId="0" xfId="0" applyAlignment="1" applyBorder="1" applyFont="1">
      <alignment horizontal="left" readingOrder="0" shrinkToFit="0" vertical="top" wrapText="1"/>
    </xf>
    <xf borderId="6" fillId="0" fontId="8"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v>1.0</v>
      </c>
      <c r="B2" s="20" t="s">
        <v>15</v>
      </c>
      <c r="C2" s="11"/>
      <c r="D2" s="11"/>
      <c r="E2" s="12"/>
      <c r="F2" s="20" t="s">
        <v>6</v>
      </c>
      <c r="G2" s="11"/>
      <c r="H2" s="12"/>
      <c r="I2" s="20" t="s">
        <v>16</v>
      </c>
      <c r="J2" s="11"/>
      <c r="K2" s="11"/>
      <c r="L2" s="11"/>
      <c r="M2" s="11"/>
      <c r="N2" s="12"/>
      <c r="O2" s="21" t="s">
        <v>17</v>
      </c>
      <c r="P2" s="11"/>
      <c r="Q2" s="11"/>
      <c r="R2" s="11"/>
      <c r="S2" s="11"/>
      <c r="T2" s="11"/>
      <c r="U2" s="11"/>
      <c r="V2" s="12"/>
      <c r="W2" s="20" t="s">
        <v>18</v>
      </c>
      <c r="X2" s="11"/>
      <c r="Y2" s="11"/>
      <c r="Z2" s="11"/>
      <c r="AA2" s="11"/>
      <c r="AB2" s="12"/>
      <c r="AC2" s="20" t="s">
        <v>18</v>
      </c>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27</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28</v>
      </c>
    </row>
    <row r="6" ht="19.5" customHeight="1">
      <c r="C6" s="30" t="s">
        <v>29</v>
      </c>
    </row>
    <row r="7" ht="15.0" customHeight="1"/>
    <row r="8" ht="19.5" customHeight="1">
      <c r="B8" s="29" t="s">
        <v>30</v>
      </c>
    </row>
    <row r="9" ht="19.5" customHeight="1">
      <c r="C9" s="31" t="s">
        <v>31</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3"/>
    </row>
    <row r="10" ht="19.5" customHeight="1">
      <c r="C10" s="31" t="s">
        <v>32</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3"/>
    </row>
    <row r="11" ht="19.5" customHeight="1">
      <c r="C11" s="31" t="s">
        <v>33</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3"/>
    </row>
    <row r="12" ht="19.5" customHeight="1">
      <c r="C12" s="31" t="s">
        <v>34</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3"/>
    </row>
    <row r="13" ht="19.5" customHeight="1">
      <c r="C13" s="31" t="s">
        <v>35</v>
      </c>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3"/>
    </row>
    <row r="14" ht="15.0" customHeight="1"/>
    <row r="15" ht="19.5" customHeight="1">
      <c r="B15" s="29" t="s">
        <v>36</v>
      </c>
    </row>
    <row r="16" ht="15.0" customHeight="1"/>
    <row r="17" ht="22.5" customHeight="1">
      <c r="C17" s="17" t="s">
        <v>37</v>
      </c>
      <c r="D17" s="18" t="s">
        <v>38</v>
      </c>
      <c r="E17" s="11"/>
      <c r="F17" s="11"/>
      <c r="G17" s="11"/>
      <c r="H17" s="11"/>
      <c r="I17" s="11"/>
      <c r="J17" s="11"/>
      <c r="K17" s="11"/>
      <c r="L17" s="11"/>
      <c r="M17" s="11"/>
      <c r="N17" s="12"/>
      <c r="O17" s="18" t="s">
        <v>39</v>
      </c>
      <c r="P17" s="11"/>
      <c r="Q17" s="11"/>
      <c r="R17" s="11"/>
      <c r="S17" s="11"/>
      <c r="T17" s="11"/>
      <c r="U17" s="11"/>
      <c r="V17" s="11"/>
      <c r="W17" s="11"/>
      <c r="X17" s="11"/>
      <c r="Y17" s="11"/>
      <c r="Z17" s="11"/>
      <c r="AA17" s="11"/>
      <c r="AB17" s="11"/>
      <c r="AC17" s="11"/>
      <c r="AD17" s="11"/>
      <c r="AE17" s="11"/>
      <c r="AF17" s="11"/>
      <c r="AG17" s="12"/>
    </row>
    <row r="18" ht="22.5" customHeight="1">
      <c r="C18" s="19">
        <v>1.0</v>
      </c>
      <c r="D18" s="21" t="s">
        <v>40</v>
      </c>
      <c r="E18" s="11"/>
      <c r="F18" s="11"/>
      <c r="G18" s="11"/>
      <c r="H18" s="11"/>
      <c r="I18" s="11"/>
      <c r="J18" s="11"/>
      <c r="K18" s="11"/>
      <c r="L18" s="11"/>
      <c r="M18" s="11"/>
      <c r="N18" s="12"/>
      <c r="O18" s="21" t="s">
        <v>41</v>
      </c>
      <c r="P18" s="11"/>
      <c r="Q18" s="11"/>
      <c r="R18" s="11"/>
      <c r="S18" s="11"/>
      <c r="T18" s="11"/>
      <c r="U18" s="11"/>
      <c r="V18" s="11"/>
      <c r="W18" s="11"/>
      <c r="X18" s="11"/>
      <c r="Y18" s="11"/>
      <c r="Z18" s="11"/>
      <c r="AA18" s="11"/>
      <c r="AB18" s="11"/>
      <c r="AC18" s="11"/>
      <c r="AD18" s="11"/>
      <c r="AE18" s="11"/>
      <c r="AF18" s="11"/>
      <c r="AG18" s="12"/>
    </row>
    <row r="19" ht="22.5" customHeight="1">
      <c r="C19" s="19">
        <v>2.0</v>
      </c>
      <c r="D19" s="21" t="s">
        <v>42</v>
      </c>
      <c r="E19" s="11"/>
      <c r="F19" s="11"/>
      <c r="G19" s="11"/>
      <c r="H19" s="11"/>
      <c r="I19" s="11"/>
      <c r="J19" s="11"/>
      <c r="K19" s="11"/>
      <c r="L19" s="11"/>
      <c r="M19" s="11"/>
      <c r="N19" s="12"/>
      <c r="O19" s="21" t="s">
        <v>43</v>
      </c>
      <c r="P19" s="11"/>
      <c r="Q19" s="11"/>
      <c r="R19" s="11"/>
      <c r="S19" s="11"/>
      <c r="T19" s="11"/>
      <c r="U19" s="11"/>
      <c r="V19" s="11"/>
      <c r="W19" s="11"/>
      <c r="X19" s="11"/>
      <c r="Y19" s="11"/>
      <c r="Z19" s="11"/>
      <c r="AA19" s="11"/>
      <c r="AB19" s="11"/>
      <c r="AC19" s="11"/>
      <c r="AD19" s="11"/>
      <c r="AE19" s="11"/>
      <c r="AF19" s="11"/>
      <c r="AG19" s="12"/>
    </row>
    <row r="20" ht="22.5" customHeight="1">
      <c r="C20" s="19">
        <v>3.0</v>
      </c>
      <c r="D20" s="21" t="s">
        <v>44</v>
      </c>
      <c r="E20" s="11"/>
      <c r="F20" s="11"/>
      <c r="G20" s="11"/>
      <c r="H20" s="11"/>
      <c r="I20" s="11"/>
      <c r="J20" s="11"/>
      <c r="K20" s="11"/>
      <c r="L20" s="11"/>
      <c r="M20" s="11"/>
      <c r="N20" s="12"/>
      <c r="O20" s="21" t="s">
        <v>45</v>
      </c>
      <c r="P20" s="11"/>
      <c r="Q20" s="11"/>
      <c r="R20" s="11"/>
      <c r="S20" s="11"/>
      <c r="T20" s="11"/>
      <c r="U20" s="11"/>
      <c r="V20" s="11"/>
      <c r="W20" s="11"/>
      <c r="X20" s="11"/>
      <c r="Y20" s="11"/>
      <c r="Z20" s="11"/>
      <c r="AA20" s="11"/>
      <c r="AB20" s="11"/>
      <c r="AC20" s="11"/>
      <c r="AD20" s="11"/>
      <c r="AE20" s="11"/>
      <c r="AF20" s="11"/>
      <c r="AG20"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B8:AK8"/>
    <mergeCell ref="C9:AK9"/>
    <mergeCell ref="C10:AK10"/>
    <mergeCell ref="C11:AK11"/>
    <mergeCell ref="C12:AK12"/>
    <mergeCell ref="D19:N19"/>
    <mergeCell ref="D20:N20"/>
    <mergeCell ref="C13:AK13"/>
    <mergeCell ref="B15:AK15"/>
    <mergeCell ref="D17:N17"/>
    <mergeCell ref="O17:AG17"/>
    <mergeCell ref="D18:N18"/>
    <mergeCell ref="O18:AG18"/>
    <mergeCell ref="O19:AG19"/>
    <mergeCell ref="O20:AG2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46</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47</v>
      </c>
      <c r="B3" s="11"/>
      <c r="C3" s="11"/>
      <c r="D3" s="11"/>
      <c r="E3" s="11"/>
      <c r="F3" s="12"/>
      <c r="G3" s="21" t="s">
        <v>0</v>
      </c>
      <c r="H3" s="11"/>
      <c r="I3" s="11"/>
      <c r="J3" s="11"/>
      <c r="K3" s="11"/>
      <c r="L3" s="11"/>
      <c r="M3" s="11"/>
      <c r="N3" s="11"/>
      <c r="O3" s="12"/>
      <c r="P3" s="35" t="s">
        <v>48</v>
      </c>
      <c r="Q3" s="11"/>
      <c r="R3" s="11"/>
      <c r="S3" s="11"/>
      <c r="T3" s="11"/>
      <c r="U3" s="11"/>
      <c r="V3" s="11"/>
      <c r="W3" s="12"/>
      <c r="X3" s="21" t="s">
        <v>18</v>
      </c>
      <c r="Y3" s="11"/>
      <c r="Z3" s="11"/>
      <c r="AA3" s="11"/>
      <c r="AB3" s="11"/>
      <c r="AC3" s="11"/>
      <c r="AD3" s="11"/>
      <c r="AE3" s="11"/>
      <c r="AF3" s="11"/>
      <c r="AG3" s="11"/>
      <c r="AH3" s="12"/>
    </row>
    <row r="4" ht="22.5" customHeight="1">
      <c r="A4" s="35" t="s">
        <v>11</v>
      </c>
      <c r="B4" s="11"/>
      <c r="C4" s="11"/>
      <c r="D4" s="11"/>
      <c r="E4" s="11"/>
      <c r="F4" s="12"/>
      <c r="G4" s="21" t="s">
        <v>16</v>
      </c>
      <c r="H4" s="11"/>
      <c r="I4" s="11"/>
      <c r="J4" s="11"/>
      <c r="K4" s="11"/>
      <c r="L4" s="11"/>
      <c r="M4" s="11"/>
      <c r="N4" s="11"/>
      <c r="O4" s="12"/>
      <c r="P4" s="35" t="s">
        <v>22</v>
      </c>
      <c r="Q4" s="11"/>
      <c r="R4" s="11"/>
      <c r="S4" s="11"/>
      <c r="T4" s="11"/>
      <c r="U4" s="11"/>
      <c r="V4" s="11"/>
      <c r="W4" s="12"/>
      <c r="X4" s="36" t="s">
        <v>8</v>
      </c>
      <c r="Y4" s="11"/>
      <c r="Z4" s="11"/>
      <c r="AA4" s="11"/>
      <c r="AB4" s="11"/>
      <c r="AC4" s="11"/>
      <c r="AD4" s="11"/>
      <c r="AE4" s="11"/>
      <c r="AF4" s="11"/>
      <c r="AG4" s="11"/>
      <c r="AH4" s="12"/>
    </row>
    <row r="6" ht="22.5" customHeight="1">
      <c r="A6" s="37" t="s">
        <v>49</v>
      </c>
      <c r="B6" s="38" t="s">
        <v>50</v>
      </c>
      <c r="C6" s="23"/>
      <c r="D6" s="23"/>
      <c r="E6" s="23"/>
      <c r="F6" s="23"/>
      <c r="G6" s="24"/>
      <c r="H6" s="39" t="s">
        <v>51</v>
      </c>
      <c r="I6" s="11"/>
      <c r="J6" s="11"/>
      <c r="K6" s="11"/>
      <c r="L6" s="11"/>
      <c r="M6" s="11"/>
      <c r="N6" s="11"/>
      <c r="O6" s="11"/>
      <c r="P6" s="12"/>
      <c r="Q6" s="38" t="s">
        <v>52</v>
      </c>
      <c r="R6" s="23"/>
      <c r="S6" s="24"/>
      <c r="T6" s="39" t="s">
        <v>53</v>
      </c>
      <c r="U6" s="11"/>
      <c r="V6" s="11"/>
      <c r="W6" s="11"/>
      <c r="X6" s="11"/>
      <c r="Y6" s="11"/>
      <c r="Z6" s="11"/>
      <c r="AA6" s="11"/>
      <c r="AB6" s="11"/>
      <c r="AC6" s="11"/>
      <c r="AD6" s="11"/>
      <c r="AE6" s="11"/>
      <c r="AF6" s="11"/>
      <c r="AG6" s="11"/>
      <c r="AH6" s="12"/>
    </row>
    <row r="7" ht="22.5" customHeight="1">
      <c r="A7" s="40"/>
      <c r="B7" s="26"/>
      <c r="C7" s="27"/>
      <c r="D7" s="27"/>
      <c r="E7" s="27"/>
      <c r="F7" s="27"/>
      <c r="G7" s="28"/>
      <c r="H7" s="39" t="s">
        <v>54</v>
      </c>
      <c r="I7" s="11"/>
      <c r="J7" s="12"/>
      <c r="K7" s="39" t="s">
        <v>55</v>
      </c>
      <c r="L7" s="11"/>
      <c r="M7" s="12"/>
      <c r="N7" s="39" t="s">
        <v>56</v>
      </c>
      <c r="O7" s="11"/>
      <c r="P7" s="12"/>
      <c r="Q7" s="26"/>
      <c r="R7" s="27"/>
      <c r="S7" s="28"/>
      <c r="T7" s="39" t="s">
        <v>57</v>
      </c>
      <c r="U7" s="11"/>
      <c r="V7" s="12"/>
      <c r="W7" s="39" t="s">
        <v>58</v>
      </c>
      <c r="X7" s="11"/>
      <c r="Y7" s="12"/>
      <c r="Z7" s="39" t="s">
        <v>59</v>
      </c>
      <c r="AA7" s="11"/>
      <c r="AB7" s="12"/>
      <c r="AC7" s="39" t="s">
        <v>60</v>
      </c>
      <c r="AD7" s="11"/>
      <c r="AE7" s="12"/>
      <c r="AF7" s="39" t="s">
        <v>61</v>
      </c>
      <c r="AG7" s="11"/>
      <c r="AH7" s="12"/>
    </row>
    <row r="8" ht="22.5" customHeight="1">
      <c r="A8" s="41" t="s">
        <v>62</v>
      </c>
    </row>
    <row r="9" ht="22.5" customHeight="1">
      <c r="A9" s="19">
        <v>1.0</v>
      </c>
      <c r="B9" s="21" t="s">
        <v>63</v>
      </c>
      <c r="C9" s="11"/>
      <c r="D9" s="11"/>
      <c r="E9" s="11"/>
      <c r="F9" s="11"/>
      <c r="G9" s="12"/>
      <c r="H9" s="20">
        <f t="array" ref="H9">INDIRECT("'"&amp;$B9&amp;"'!H7",TRUE)</f>
        <v>25</v>
      </c>
      <c r="I9" s="11"/>
      <c r="J9" s="12"/>
      <c r="K9" s="20">
        <f t="array" ref="K9">INDIRECT("'"&amp;$B9&amp;"'!K7",TRUE)</f>
        <v>23</v>
      </c>
      <c r="L9" s="11"/>
      <c r="M9" s="12"/>
      <c r="N9" s="20">
        <f t="array" ref="N9">INDIRECT("'"&amp;$B9&amp;"'!N7",TRUE)</f>
        <v>3</v>
      </c>
      <c r="O9" s="11"/>
      <c r="P9" s="12"/>
      <c r="Q9" s="20">
        <f t="array" ref="Q9">INDIRECT("'"&amp;$B9&amp;"'!Q7",TRUE)</f>
        <v>51</v>
      </c>
      <c r="R9" s="11"/>
      <c r="S9" s="12"/>
      <c r="T9" s="20">
        <f t="array" ref="T9">INDIRECT("'"&amp;$B9&amp;"'!T7",TRUE)</f>
        <v>0</v>
      </c>
      <c r="U9" s="11"/>
      <c r="V9" s="12"/>
      <c r="W9" s="20">
        <f t="array" ref="W9">INDIRECT("'"&amp;$B9&amp;"'!W7",TRUE)</f>
        <v>0</v>
      </c>
      <c r="X9" s="11"/>
      <c r="Y9" s="12"/>
      <c r="Z9" s="20">
        <f t="array" ref="Z9">INDIRECT("'"&amp;$B9&amp;"'!Z7",TRUE)</f>
        <v>1</v>
      </c>
      <c r="AA9" s="11"/>
      <c r="AB9" s="12"/>
      <c r="AC9" s="20">
        <f t="array" ref="AC9">INDIRECT("'"&amp;$B9&amp;"'!AC7",TRUE)</f>
        <v>0</v>
      </c>
      <c r="AD9" s="11"/>
      <c r="AE9" s="12"/>
      <c r="AF9" s="42">
        <f>IFERROR((T9+W9+AC9)/Q9,0)</f>
        <v>0</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52</v>
      </c>
      <c r="C11" s="11"/>
      <c r="D11" s="11"/>
      <c r="E11" s="11"/>
      <c r="F11" s="11"/>
      <c r="G11" s="12"/>
      <c r="H11" s="43">
        <f>SUM(H9:J10)</f>
        <v>25</v>
      </c>
      <c r="I11" s="11"/>
      <c r="J11" s="12"/>
      <c r="K11" s="43">
        <f>SUM(K9:M10)</f>
        <v>23</v>
      </c>
      <c r="L11" s="11"/>
      <c r="M11" s="12"/>
      <c r="N11" s="43">
        <f>SUM(N9:P10)</f>
        <v>3</v>
      </c>
      <c r="O11" s="11"/>
      <c r="P11" s="12"/>
      <c r="Q11" s="43">
        <f>SUM(Q9:S10)</f>
        <v>51</v>
      </c>
      <c r="R11" s="11"/>
      <c r="S11" s="12"/>
      <c r="T11" s="43">
        <f>SUM(T9:V10)</f>
        <v>0</v>
      </c>
      <c r="U11" s="11"/>
      <c r="V11" s="12"/>
      <c r="W11" s="43">
        <f>SUM(W9:Y10)</f>
        <v>0</v>
      </c>
      <c r="X11" s="11"/>
      <c r="Y11" s="12"/>
      <c r="Z11" s="43">
        <f>SUM(Z9:AB10)</f>
        <v>1</v>
      </c>
      <c r="AA11" s="11"/>
      <c r="AB11" s="12"/>
      <c r="AC11" s="43">
        <f>SUM(AC9:AE10)</f>
        <v>0</v>
      </c>
      <c r="AD11" s="11"/>
      <c r="AE11" s="12"/>
      <c r="AF11" s="44">
        <f>IFERROR((T11+W11+AC11)/Q11,0)</f>
        <v>0</v>
      </c>
      <c r="AG11" s="11"/>
      <c r="AH11" s="12"/>
    </row>
    <row r="12" ht="22.5" customHeight="1">
      <c r="A12" s="41" t="s">
        <v>64</v>
      </c>
    </row>
    <row r="13" ht="22.5" customHeight="1">
      <c r="A13" s="19">
        <v>1.0</v>
      </c>
      <c r="B13" s="21" t="s">
        <v>63</v>
      </c>
      <c r="C13" s="11"/>
      <c r="D13" s="11"/>
      <c r="E13" s="11"/>
      <c r="F13" s="11"/>
      <c r="G13" s="12"/>
      <c r="H13" s="20">
        <f t="array" ref="H13">INDIRECT("'"&amp;$B13&amp;"'!H8",TRUE)</f>
        <v>25</v>
      </c>
      <c r="I13" s="11"/>
      <c r="J13" s="12"/>
      <c r="K13" s="20">
        <f t="array" ref="K13">INDIRECT("'"&amp;$B13&amp;"'!K8",TRUE)</f>
        <v>23</v>
      </c>
      <c r="L13" s="11"/>
      <c r="M13" s="12"/>
      <c r="N13" s="20">
        <f t="array" ref="N13">INDIRECT("'"&amp;$B13&amp;"'!N8",TRUE)</f>
        <v>3</v>
      </c>
      <c r="O13" s="11"/>
      <c r="P13" s="12"/>
      <c r="Q13" s="20">
        <f t="array" ref="Q13">INDIRECT("'"&amp;$B13&amp;"'!Q8",TRUE)</f>
        <v>51</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52</v>
      </c>
      <c r="C15" s="11"/>
      <c r="D15" s="11"/>
      <c r="E15" s="11"/>
      <c r="F15" s="11"/>
      <c r="G15" s="12"/>
      <c r="H15" s="43">
        <f>SUM(H13:J14)</f>
        <v>25</v>
      </c>
      <c r="I15" s="11"/>
      <c r="J15" s="12"/>
      <c r="K15" s="43">
        <f>SUM(K13:M14)</f>
        <v>23</v>
      </c>
      <c r="L15" s="11"/>
      <c r="M15" s="12"/>
      <c r="N15" s="43">
        <f>SUM(N13:P14)</f>
        <v>3</v>
      </c>
      <c r="O15" s="11"/>
      <c r="P15" s="12"/>
      <c r="Q15" s="43">
        <f>SUM(Q13:S14)</f>
        <v>51</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65</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66</v>
      </c>
    </row>
    <row r="7" ht="28.5" customHeight="1">
      <c r="B7" s="45" t="s">
        <v>49</v>
      </c>
      <c r="C7" s="46" t="s">
        <v>67</v>
      </c>
      <c r="D7" s="11"/>
      <c r="E7" s="12"/>
      <c r="F7" s="46" t="s">
        <v>68</v>
      </c>
      <c r="G7" s="11"/>
      <c r="H7" s="11"/>
      <c r="I7" s="11"/>
      <c r="J7" s="11"/>
      <c r="K7" s="11"/>
      <c r="L7" s="12"/>
      <c r="M7" s="46" t="s">
        <v>69</v>
      </c>
      <c r="N7" s="11"/>
      <c r="O7" s="11"/>
      <c r="P7" s="11"/>
      <c r="Q7" s="11"/>
      <c r="R7" s="11"/>
      <c r="S7" s="11"/>
      <c r="T7" s="12"/>
      <c r="U7" s="46" t="s">
        <v>70</v>
      </c>
      <c r="V7" s="12"/>
      <c r="W7" s="46" t="s">
        <v>71</v>
      </c>
      <c r="X7" s="11"/>
      <c r="Y7" s="11"/>
      <c r="Z7" s="11"/>
      <c r="AA7" s="11"/>
      <c r="AB7" s="11"/>
      <c r="AC7" s="12"/>
      <c r="AD7" s="46" t="s">
        <v>72</v>
      </c>
      <c r="AE7" s="11"/>
      <c r="AF7" s="12"/>
    </row>
    <row r="8" ht="30.0" customHeight="1">
      <c r="B8" s="47">
        <v>1.0</v>
      </c>
      <c r="C8" s="48" t="s">
        <v>73</v>
      </c>
      <c r="D8" s="11"/>
      <c r="E8" s="12"/>
      <c r="F8" s="49" t="s">
        <v>74</v>
      </c>
      <c r="G8" s="11"/>
      <c r="H8" s="11"/>
      <c r="I8" s="11"/>
      <c r="J8" s="11"/>
      <c r="K8" s="11"/>
      <c r="L8" s="12"/>
      <c r="M8" s="49" t="s">
        <v>75</v>
      </c>
      <c r="N8" s="11"/>
      <c r="O8" s="11"/>
      <c r="P8" s="11"/>
      <c r="Q8" s="11"/>
      <c r="R8" s="11"/>
      <c r="S8" s="11"/>
      <c r="T8" s="12"/>
      <c r="U8" s="50" t="s">
        <v>76</v>
      </c>
      <c r="V8" s="12"/>
      <c r="W8" s="49" t="s">
        <v>77</v>
      </c>
      <c r="X8" s="11"/>
      <c r="Y8" s="11"/>
      <c r="Z8" s="11"/>
      <c r="AA8" s="11"/>
      <c r="AB8" s="11"/>
      <c r="AC8" s="12"/>
      <c r="AD8" s="48">
        <v>265.0</v>
      </c>
      <c r="AE8" s="11"/>
      <c r="AF8" s="12"/>
    </row>
    <row r="9" ht="30.0" customHeight="1">
      <c r="B9" s="47">
        <v>2.0</v>
      </c>
      <c r="C9" s="48" t="s">
        <v>78</v>
      </c>
      <c r="D9" s="11"/>
      <c r="E9" s="12"/>
      <c r="F9" s="49" t="s">
        <v>74</v>
      </c>
      <c r="G9" s="11"/>
      <c r="H9" s="11"/>
      <c r="I9" s="11"/>
      <c r="J9" s="11"/>
      <c r="K9" s="11"/>
      <c r="L9" s="12"/>
      <c r="M9" s="49" t="s">
        <v>79</v>
      </c>
      <c r="N9" s="11"/>
      <c r="O9" s="11"/>
      <c r="P9" s="11"/>
      <c r="Q9" s="11"/>
      <c r="R9" s="11"/>
      <c r="S9" s="11"/>
      <c r="T9" s="12"/>
      <c r="U9" s="50" t="s">
        <v>76</v>
      </c>
      <c r="V9" s="12"/>
      <c r="W9" s="49" t="s">
        <v>80</v>
      </c>
      <c r="X9" s="11"/>
      <c r="Y9" s="11"/>
      <c r="Z9" s="11"/>
      <c r="AA9" s="11"/>
      <c r="AB9" s="11"/>
      <c r="AC9" s="12"/>
      <c r="AD9" s="48">
        <v>200.0</v>
      </c>
      <c r="AE9" s="11"/>
      <c r="AF9" s="12"/>
    </row>
    <row r="10" ht="36.0" customHeight="1">
      <c r="B10" s="47">
        <v>3.0</v>
      </c>
      <c r="C10" s="48" t="s">
        <v>81</v>
      </c>
      <c r="D10" s="11"/>
      <c r="E10" s="12"/>
      <c r="F10" s="49" t="s">
        <v>74</v>
      </c>
      <c r="G10" s="11"/>
      <c r="H10" s="11"/>
      <c r="I10" s="11"/>
      <c r="J10" s="11"/>
      <c r="K10" s="11"/>
      <c r="L10" s="12"/>
      <c r="M10" s="49" t="s">
        <v>82</v>
      </c>
      <c r="N10" s="11"/>
      <c r="O10" s="11"/>
      <c r="P10" s="11"/>
      <c r="Q10" s="11"/>
      <c r="R10" s="11"/>
      <c r="S10" s="11"/>
      <c r="T10" s="12"/>
      <c r="U10" s="50" t="s">
        <v>76</v>
      </c>
      <c r="V10" s="12"/>
      <c r="W10" s="49" t="s">
        <v>83</v>
      </c>
      <c r="X10" s="11"/>
      <c r="Y10" s="11"/>
      <c r="Z10" s="11"/>
      <c r="AA10" s="11"/>
      <c r="AB10" s="11"/>
      <c r="AC10" s="12"/>
      <c r="AD10" s="48">
        <v>50.0</v>
      </c>
      <c r="AE10" s="11"/>
      <c r="AF10" s="12"/>
    </row>
    <row r="11" ht="30.0" customHeight="1">
      <c r="B11" s="47">
        <v>4.0</v>
      </c>
      <c r="C11" s="48" t="s">
        <v>84</v>
      </c>
      <c r="D11" s="11"/>
      <c r="E11" s="12"/>
      <c r="F11" s="49" t="s">
        <v>74</v>
      </c>
      <c r="G11" s="11"/>
      <c r="H11" s="11"/>
      <c r="I11" s="11"/>
      <c r="J11" s="11"/>
      <c r="K11" s="11"/>
      <c r="L11" s="12"/>
      <c r="M11" s="49" t="s">
        <v>85</v>
      </c>
      <c r="N11" s="11"/>
      <c r="O11" s="11"/>
      <c r="P11" s="11"/>
      <c r="Q11" s="11"/>
      <c r="R11" s="11"/>
      <c r="S11" s="11"/>
      <c r="T11" s="12"/>
      <c r="U11" s="50" t="s">
        <v>76</v>
      </c>
      <c r="V11" s="12"/>
      <c r="W11" s="49" t="s">
        <v>77</v>
      </c>
      <c r="X11" s="11"/>
      <c r="Y11" s="11"/>
      <c r="Z11" s="11"/>
      <c r="AA11" s="11"/>
      <c r="AB11" s="11"/>
      <c r="AC11" s="12"/>
      <c r="AD11" s="48">
        <v>75.0</v>
      </c>
      <c r="AE11" s="11"/>
      <c r="AF11" s="12"/>
    </row>
    <row r="12" ht="30.0" customHeight="1">
      <c r="B12" s="47">
        <v>5.0</v>
      </c>
      <c r="C12" s="48" t="s">
        <v>86</v>
      </c>
      <c r="D12" s="11"/>
      <c r="E12" s="12"/>
      <c r="F12" s="49" t="s">
        <v>74</v>
      </c>
      <c r="G12" s="11"/>
      <c r="H12" s="11"/>
      <c r="I12" s="11"/>
      <c r="J12" s="11"/>
      <c r="K12" s="11"/>
      <c r="L12" s="12"/>
      <c r="M12" s="49" t="s">
        <v>87</v>
      </c>
      <c r="N12" s="11"/>
      <c r="O12" s="11"/>
      <c r="P12" s="11"/>
      <c r="Q12" s="11"/>
      <c r="R12" s="11"/>
      <c r="S12" s="11"/>
      <c r="T12" s="12"/>
      <c r="U12" s="50" t="s">
        <v>76</v>
      </c>
      <c r="V12" s="12"/>
      <c r="W12" s="49" t="s">
        <v>88</v>
      </c>
      <c r="X12" s="11"/>
      <c r="Y12" s="11"/>
      <c r="Z12" s="11"/>
      <c r="AA12" s="11"/>
      <c r="AB12" s="11"/>
      <c r="AC12" s="12"/>
      <c r="AD12" s="48">
        <v>30.0</v>
      </c>
      <c r="AE12" s="11"/>
      <c r="AF12" s="12"/>
    </row>
    <row r="13" ht="30.0" customHeight="1">
      <c r="B13" s="47">
        <v>6.0</v>
      </c>
      <c r="C13" s="48" t="s">
        <v>89</v>
      </c>
      <c r="D13" s="11"/>
      <c r="E13" s="12"/>
      <c r="F13" s="49" t="s">
        <v>74</v>
      </c>
      <c r="G13" s="11"/>
      <c r="H13" s="11"/>
      <c r="I13" s="11"/>
      <c r="J13" s="11"/>
      <c r="K13" s="11"/>
      <c r="L13" s="12"/>
      <c r="M13" s="49" t="s">
        <v>90</v>
      </c>
      <c r="N13" s="11"/>
      <c r="O13" s="11"/>
      <c r="P13" s="11"/>
      <c r="Q13" s="11"/>
      <c r="R13" s="11"/>
      <c r="S13" s="11"/>
      <c r="T13" s="12"/>
      <c r="U13" s="50" t="s">
        <v>76</v>
      </c>
      <c r="V13" s="12"/>
      <c r="W13" s="49" t="s">
        <v>91</v>
      </c>
      <c r="X13" s="11"/>
      <c r="Y13" s="11"/>
      <c r="Z13" s="11"/>
      <c r="AA13" s="11"/>
      <c r="AB13" s="11"/>
      <c r="AC13" s="12"/>
      <c r="AD13" s="48">
        <v>50.0</v>
      </c>
      <c r="AE13" s="11"/>
      <c r="AF13" s="12"/>
    </row>
    <row r="14" ht="30.0" customHeight="1">
      <c r="B14" s="47">
        <v>7.0</v>
      </c>
      <c r="C14" s="48" t="s">
        <v>92</v>
      </c>
      <c r="D14" s="11"/>
      <c r="E14" s="12"/>
      <c r="F14" s="49" t="s">
        <v>74</v>
      </c>
      <c r="G14" s="11"/>
      <c r="H14" s="11"/>
      <c r="I14" s="11"/>
      <c r="J14" s="11"/>
      <c r="K14" s="11"/>
      <c r="L14" s="12"/>
      <c r="M14" s="49" t="s">
        <v>93</v>
      </c>
      <c r="N14" s="11"/>
      <c r="O14" s="11"/>
      <c r="P14" s="11"/>
      <c r="Q14" s="11"/>
      <c r="R14" s="11"/>
      <c r="S14" s="11"/>
      <c r="T14" s="12"/>
      <c r="U14" s="50" t="s">
        <v>76</v>
      </c>
      <c r="V14" s="12"/>
      <c r="W14" s="49" t="s">
        <v>88</v>
      </c>
      <c r="X14" s="11"/>
      <c r="Y14" s="11"/>
      <c r="Z14" s="11"/>
      <c r="AA14" s="11"/>
      <c r="AB14" s="11"/>
      <c r="AC14" s="12"/>
      <c r="AD14" s="48">
        <v>10.0</v>
      </c>
      <c r="AE14" s="11"/>
      <c r="AF14" s="12"/>
    </row>
    <row r="15" ht="30.0" customHeight="1">
      <c r="B15" s="47">
        <v>8.0</v>
      </c>
      <c r="C15" s="48" t="s">
        <v>94</v>
      </c>
      <c r="D15" s="11"/>
      <c r="E15" s="12"/>
      <c r="F15" s="49" t="s">
        <v>74</v>
      </c>
      <c r="G15" s="11"/>
      <c r="H15" s="11"/>
      <c r="I15" s="11"/>
      <c r="J15" s="11"/>
      <c r="K15" s="11"/>
      <c r="L15" s="12"/>
      <c r="M15" s="49" t="s">
        <v>95</v>
      </c>
      <c r="N15" s="11"/>
      <c r="O15" s="11"/>
      <c r="P15" s="11"/>
      <c r="Q15" s="11"/>
      <c r="R15" s="11"/>
      <c r="S15" s="11"/>
      <c r="T15" s="12"/>
      <c r="U15" s="51" t="s">
        <v>96</v>
      </c>
      <c r="V15" s="12"/>
      <c r="W15" s="49" t="s">
        <v>97</v>
      </c>
      <c r="X15" s="11"/>
      <c r="Y15" s="11"/>
      <c r="Z15" s="11"/>
      <c r="AA15" s="11"/>
      <c r="AB15" s="11"/>
      <c r="AC15" s="12"/>
      <c r="AD15" s="48">
        <v>20.0</v>
      </c>
      <c r="AE15" s="11"/>
      <c r="AF15" s="12"/>
    </row>
    <row r="16" ht="30.0" customHeight="1">
      <c r="B16" s="47">
        <v>9.0</v>
      </c>
      <c r="C16" s="48" t="s">
        <v>98</v>
      </c>
      <c r="D16" s="11"/>
      <c r="E16" s="12"/>
      <c r="F16" s="49" t="s">
        <v>74</v>
      </c>
      <c r="G16" s="11"/>
      <c r="H16" s="11"/>
      <c r="I16" s="11"/>
      <c r="J16" s="11"/>
      <c r="K16" s="11"/>
      <c r="L16" s="12"/>
      <c r="M16" s="49" t="s">
        <v>99</v>
      </c>
      <c r="N16" s="11"/>
      <c r="O16" s="11"/>
      <c r="P16" s="11"/>
      <c r="Q16" s="11"/>
      <c r="R16" s="11"/>
      <c r="S16" s="11"/>
      <c r="T16" s="12"/>
      <c r="U16" s="50" t="s">
        <v>76</v>
      </c>
      <c r="V16" s="12"/>
      <c r="W16" s="49" t="s">
        <v>100</v>
      </c>
      <c r="X16" s="11"/>
      <c r="Y16" s="11"/>
      <c r="Z16" s="11"/>
      <c r="AA16" s="11"/>
      <c r="AB16" s="11"/>
      <c r="AC16" s="12"/>
      <c r="AD16" s="48">
        <v>8.0</v>
      </c>
      <c r="AE16" s="11"/>
      <c r="AF16" s="12"/>
    </row>
    <row r="17" ht="30.0" customHeight="1">
      <c r="B17" s="47">
        <v>10.0</v>
      </c>
      <c r="C17" s="48" t="s">
        <v>101</v>
      </c>
      <c r="D17" s="11"/>
      <c r="E17" s="12"/>
      <c r="F17" s="49" t="s">
        <v>74</v>
      </c>
      <c r="G17" s="11"/>
      <c r="H17" s="11"/>
      <c r="I17" s="11"/>
      <c r="J17" s="11"/>
      <c r="K17" s="11"/>
      <c r="L17" s="12"/>
      <c r="M17" s="49" t="s">
        <v>102</v>
      </c>
      <c r="N17" s="11"/>
      <c r="O17" s="11"/>
      <c r="P17" s="11"/>
      <c r="Q17" s="11"/>
      <c r="R17" s="11"/>
      <c r="S17" s="11"/>
      <c r="T17" s="12"/>
      <c r="U17" s="50" t="s">
        <v>76</v>
      </c>
      <c r="V17" s="12"/>
      <c r="W17" s="49" t="s">
        <v>103</v>
      </c>
      <c r="X17" s="11"/>
      <c r="Y17" s="11"/>
      <c r="Z17" s="11"/>
      <c r="AA17" s="11"/>
      <c r="AB17" s="11"/>
      <c r="AC17" s="12"/>
      <c r="AD17" s="48">
        <v>30.0</v>
      </c>
      <c r="AE17" s="11"/>
      <c r="AF17" s="12"/>
    </row>
    <row r="18" ht="30.0" customHeight="1">
      <c r="B18" s="47">
        <v>11.0</v>
      </c>
      <c r="C18" s="48" t="s">
        <v>104</v>
      </c>
      <c r="D18" s="11"/>
      <c r="E18" s="12"/>
      <c r="F18" s="49" t="s">
        <v>105</v>
      </c>
      <c r="G18" s="11"/>
      <c r="H18" s="11"/>
      <c r="I18" s="11"/>
      <c r="J18" s="11"/>
      <c r="K18" s="11"/>
      <c r="L18" s="12"/>
      <c r="M18" s="49" t="s">
        <v>106</v>
      </c>
      <c r="N18" s="11"/>
      <c r="O18" s="11"/>
      <c r="P18" s="11"/>
      <c r="Q18" s="11"/>
      <c r="R18" s="11"/>
      <c r="S18" s="11"/>
      <c r="T18" s="12"/>
      <c r="U18" s="51" t="s">
        <v>96</v>
      </c>
      <c r="V18" s="12"/>
      <c r="W18" s="49" t="s">
        <v>107</v>
      </c>
      <c r="X18" s="11"/>
      <c r="Y18" s="11"/>
      <c r="Z18" s="11"/>
      <c r="AA18" s="11"/>
      <c r="AB18" s="11"/>
      <c r="AC18" s="12"/>
      <c r="AD18" s="48">
        <v>100.0</v>
      </c>
      <c r="AE18" s="11"/>
      <c r="AF18" s="12"/>
    </row>
    <row r="19" ht="30.0" customHeight="1">
      <c r="B19" s="47">
        <v>12.0</v>
      </c>
      <c r="C19" s="48" t="s">
        <v>108</v>
      </c>
      <c r="D19" s="11"/>
      <c r="E19" s="12"/>
      <c r="F19" s="49" t="s">
        <v>105</v>
      </c>
      <c r="G19" s="11"/>
      <c r="H19" s="11"/>
      <c r="I19" s="11"/>
      <c r="J19" s="11"/>
      <c r="K19" s="11"/>
      <c r="L19" s="12"/>
      <c r="M19" s="49" t="s">
        <v>109</v>
      </c>
      <c r="N19" s="11"/>
      <c r="O19" s="11"/>
      <c r="P19" s="11"/>
      <c r="Q19" s="11"/>
      <c r="R19" s="11"/>
      <c r="S19" s="11"/>
      <c r="T19" s="12"/>
      <c r="U19" s="51" t="s">
        <v>96</v>
      </c>
      <c r="V19" s="12"/>
      <c r="W19" s="49" t="s">
        <v>107</v>
      </c>
      <c r="X19" s="11"/>
      <c r="Y19" s="11"/>
      <c r="Z19" s="11"/>
      <c r="AA19" s="11"/>
      <c r="AB19" s="11"/>
      <c r="AC19" s="12"/>
      <c r="AD19" s="48">
        <v>80.0</v>
      </c>
      <c r="AE19" s="11"/>
      <c r="AF19" s="12"/>
    </row>
    <row r="20" ht="30.0" customHeight="1">
      <c r="B20" s="47">
        <v>13.0</v>
      </c>
      <c r="C20" s="48" t="s">
        <v>110</v>
      </c>
      <c r="D20" s="11"/>
      <c r="E20" s="12"/>
      <c r="F20" s="49" t="s">
        <v>105</v>
      </c>
      <c r="G20" s="11"/>
      <c r="H20" s="11"/>
      <c r="I20" s="11"/>
      <c r="J20" s="11"/>
      <c r="K20" s="11"/>
      <c r="L20" s="12"/>
      <c r="M20" s="49" t="s">
        <v>111</v>
      </c>
      <c r="N20" s="11"/>
      <c r="O20" s="11"/>
      <c r="P20" s="11"/>
      <c r="Q20" s="11"/>
      <c r="R20" s="11"/>
      <c r="S20" s="11"/>
      <c r="T20" s="12"/>
      <c r="U20" s="51" t="s">
        <v>96</v>
      </c>
      <c r="V20" s="12"/>
      <c r="W20" s="49" t="s">
        <v>91</v>
      </c>
      <c r="X20" s="11"/>
      <c r="Y20" s="11"/>
      <c r="Z20" s="11"/>
      <c r="AA20" s="11"/>
      <c r="AB20" s="11"/>
      <c r="AC20" s="12"/>
      <c r="AD20" s="48">
        <v>60.0</v>
      </c>
      <c r="AE20" s="11"/>
      <c r="AF20" s="12"/>
    </row>
    <row r="21" ht="30.0" customHeight="1">
      <c r="B21" s="47">
        <v>14.0</v>
      </c>
      <c r="C21" s="48" t="s">
        <v>112</v>
      </c>
      <c r="D21" s="11"/>
      <c r="E21" s="12"/>
      <c r="F21" s="49" t="s">
        <v>105</v>
      </c>
      <c r="G21" s="11"/>
      <c r="H21" s="11"/>
      <c r="I21" s="11"/>
      <c r="J21" s="11"/>
      <c r="K21" s="11"/>
      <c r="L21" s="12"/>
      <c r="M21" s="49" t="s">
        <v>113</v>
      </c>
      <c r="N21" s="11"/>
      <c r="O21" s="11"/>
      <c r="P21" s="11"/>
      <c r="Q21" s="11"/>
      <c r="R21" s="11"/>
      <c r="S21" s="11"/>
      <c r="T21" s="12"/>
      <c r="U21" s="51" t="s">
        <v>96</v>
      </c>
      <c r="V21" s="12"/>
      <c r="W21" s="49" t="s">
        <v>107</v>
      </c>
      <c r="X21" s="11"/>
      <c r="Y21" s="11"/>
      <c r="Z21" s="11"/>
      <c r="AA21" s="11"/>
      <c r="AB21" s="11"/>
      <c r="AC21" s="12"/>
      <c r="AD21" s="48">
        <v>50.0</v>
      </c>
      <c r="AE21" s="11"/>
      <c r="AF21" s="12"/>
    </row>
    <row r="22" ht="30.0" customHeight="1">
      <c r="B22" s="47">
        <v>15.0</v>
      </c>
      <c r="C22" s="48" t="s">
        <v>114</v>
      </c>
      <c r="D22" s="11"/>
      <c r="E22" s="12"/>
      <c r="F22" s="49" t="s">
        <v>105</v>
      </c>
      <c r="G22" s="11"/>
      <c r="H22" s="11"/>
      <c r="I22" s="11"/>
      <c r="J22" s="11"/>
      <c r="K22" s="11"/>
      <c r="L22" s="12"/>
      <c r="M22" s="49" t="s">
        <v>115</v>
      </c>
      <c r="N22" s="11"/>
      <c r="O22" s="11"/>
      <c r="P22" s="11"/>
      <c r="Q22" s="11"/>
      <c r="R22" s="11"/>
      <c r="S22" s="11"/>
      <c r="T22" s="12"/>
      <c r="U22" s="51" t="s">
        <v>96</v>
      </c>
      <c r="V22" s="12"/>
      <c r="W22" s="49" t="s">
        <v>116</v>
      </c>
      <c r="X22" s="11"/>
      <c r="Y22" s="11"/>
      <c r="Z22" s="11"/>
      <c r="AA22" s="11"/>
      <c r="AB22" s="11"/>
      <c r="AC22" s="12"/>
      <c r="AD22" s="48">
        <v>30.0</v>
      </c>
      <c r="AE22" s="11"/>
      <c r="AF22" s="12"/>
    </row>
    <row r="23" ht="30.0" customHeight="1">
      <c r="B23" s="47">
        <v>16.0</v>
      </c>
      <c r="C23" s="48" t="s">
        <v>117</v>
      </c>
      <c r="D23" s="11"/>
      <c r="E23" s="12"/>
      <c r="F23" s="49" t="s">
        <v>105</v>
      </c>
      <c r="G23" s="11"/>
      <c r="H23" s="11"/>
      <c r="I23" s="11"/>
      <c r="J23" s="11"/>
      <c r="K23" s="11"/>
      <c r="L23" s="12"/>
      <c r="M23" s="49" t="s">
        <v>118</v>
      </c>
      <c r="N23" s="11"/>
      <c r="O23" s="11"/>
      <c r="P23" s="11"/>
      <c r="Q23" s="11"/>
      <c r="R23" s="11"/>
      <c r="S23" s="11"/>
      <c r="T23" s="12"/>
      <c r="U23" s="50" t="s">
        <v>76</v>
      </c>
      <c r="V23" s="12"/>
      <c r="W23" s="49" t="s">
        <v>119</v>
      </c>
      <c r="X23" s="11"/>
      <c r="Y23" s="11"/>
      <c r="Z23" s="11"/>
      <c r="AA23" s="11"/>
      <c r="AB23" s="11"/>
      <c r="AC23" s="12"/>
      <c r="AD23" s="48">
        <v>15.0</v>
      </c>
      <c r="AE23" s="11"/>
      <c r="AF23" s="12"/>
    </row>
    <row r="24" ht="36.0" customHeight="1">
      <c r="B24" s="47">
        <v>17.0</v>
      </c>
      <c r="C24" s="48" t="s">
        <v>120</v>
      </c>
      <c r="D24" s="11"/>
      <c r="E24" s="12"/>
      <c r="F24" s="49" t="s">
        <v>105</v>
      </c>
      <c r="G24" s="11"/>
      <c r="H24" s="11"/>
      <c r="I24" s="11"/>
      <c r="J24" s="11"/>
      <c r="K24" s="11"/>
      <c r="L24" s="12"/>
      <c r="M24" s="49" t="s">
        <v>121</v>
      </c>
      <c r="N24" s="11"/>
      <c r="O24" s="11"/>
      <c r="P24" s="11"/>
      <c r="Q24" s="11"/>
      <c r="R24" s="11"/>
      <c r="S24" s="11"/>
      <c r="T24" s="12"/>
      <c r="U24" s="51" t="s">
        <v>96</v>
      </c>
      <c r="V24" s="12"/>
      <c r="W24" s="49" t="s">
        <v>122</v>
      </c>
      <c r="X24" s="11"/>
      <c r="Y24" s="11"/>
      <c r="Z24" s="11"/>
      <c r="AA24" s="11"/>
      <c r="AB24" s="11"/>
      <c r="AC24" s="12"/>
      <c r="AD24" s="48">
        <v>45.0</v>
      </c>
      <c r="AE24" s="11"/>
      <c r="AF24" s="12"/>
    </row>
    <row r="25" ht="30.0" customHeight="1">
      <c r="B25" s="47">
        <v>18.0</v>
      </c>
      <c r="C25" s="48" t="s">
        <v>123</v>
      </c>
      <c r="D25" s="11"/>
      <c r="E25" s="12"/>
      <c r="F25" s="49" t="s">
        <v>105</v>
      </c>
      <c r="G25" s="11"/>
      <c r="H25" s="11"/>
      <c r="I25" s="11"/>
      <c r="J25" s="11"/>
      <c r="K25" s="11"/>
      <c r="L25" s="12"/>
      <c r="M25" s="49" t="s">
        <v>124</v>
      </c>
      <c r="N25" s="11"/>
      <c r="O25" s="11"/>
      <c r="P25" s="11"/>
      <c r="Q25" s="11"/>
      <c r="R25" s="11"/>
      <c r="S25" s="11"/>
      <c r="T25" s="12"/>
      <c r="U25" s="51" t="s">
        <v>96</v>
      </c>
      <c r="V25" s="12"/>
      <c r="W25" s="49" t="s">
        <v>125</v>
      </c>
      <c r="X25" s="11"/>
      <c r="Y25" s="11"/>
      <c r="Z25" s="11"/>
      <c r="AA25" s="11"/>
      <c r="AB25" s="11"/>
      <c r="AC25" s="12"/>
      <c r="AD25" s="48">
        <v>30.0</v>
      </c>
      <c r="AE25" s="11"/>
      <c r="AF25" s="12"/>
    </row>
    <row r="26" ht="36.0" customHeight="1">
      <c r="B26" s="47">
        <v>19.0</v>
      </c>
      <c r="C26" s="48" t="s">
        <v>126</v>
      </c>
      <c r="D26" s="11"/>
      <c r="E26" s="12"/>
      <c r="F26" s="49" t="s">
        <v>105</v>
      </c>
      <c r="G26" s="11"/>
      <c r="H26" s="11"/>
      <c r="I26" s="11"/>
      <c r="J26" s="11"/>
      <c r="K26" s="11"/>
      <c r="L26" s="12"/>
      <c r="M26" s="49" t="s">
        <v>127</v>
      </c>
      <c r="N26" s="11"/>
      <c r="O26" s="11"/>
      <c r="P26" s="11"/>
      <c r="Q26" s="11"/>
      <c r="R26" s="11"/>
      <c r="S26" s="11"/>
      <c r="T26" s="12"/>
      <c r="U26" s="51" t="s">
        <v>96</v>
      </c>
      <c r="V26" s="12"/>
      <c r="W26" s="49" t="s">
        <v>128</v>
      </c>
      <c r="X26" s="11"/>
      <c r="Y26" s="11"/>
      <c r="Z26" s="11"/>
      <c r="AA26" s="11"/>
      <c r="AB26" s="11"/>
      <c r="AC26" s="12"/>
      <c r="AD26" s="48">
        <v>25.0</v>
      </c>
      <c r="AE26" s="11"/>
      <c r="AF26" s="12"/>
    </row>
    <row r="27" ht="30.0" customHeight="1">
      <c r="B27" s="47">
        <v>20.0</v>
      </c>
      <c r="C27" s="48" t="s">
        <v>129</v>
      </c>
      <c r="D27" s="11"/>
      <c r="E27" s="12"/>
      <c r="F27" s="49" t="s">
        <v>130</v>
      </c>
      <c r="G27" s="11"/>
      <c r="H27" s="11"/>
      <c r="I27" s="11"/>
      <c r="J27" s="11"/>
      <c r="K27" s="11"/>
      <c r="L27" s="12"/>
      <c r="M27" s="49" t="s">
        <v>131</v>
      </c>
      <c r="N27" s="11"/>
      <c r="O27" s="11"/>
      <c r="P27" s="11"/>
      <c r="Q27" s="11"/>
      <c r="R27" s="11"/>
      <c r="S27" s="11"/>
      <c r="T27" s="12"/>
      <c r="U27" s="50" t="s">
        <v>76</v>
      </c>
      <c r="V27" s="12"/>
      <c r="W27" s="49" t="s">
        <v>125</v>
      </c>
      <c r="X27" s="11"/>
      <c r="Y27" s="11"/>
      <c r="Z27" s="11"/>
      <c r="AA27" s="11"/>
      <c r="AB27" s="11"/>
      <c r="AC27" s="12"/>
      <c r="AD27" s="48">
        <v>60.0</v>
      </c>
      <c r="AE27" s="11"/>
      <c r="AF27" s="12"/>
    </row>
    <row r="28" ht="30.0" customHeight="1">
      <c r="B28" s="47">
        <v>21.0</v>
      </c>
      <c r="C28" s="48" t="s">
        <v>132</v>
      </c>
      <c r="D28" s="11"/>
      <c r="E28" s="12"/>
      <c r="F28" s="49" t="s">
        <v>130</v>
      </c>
      <c r="G28" s="11"/>
      <c r="H28" s="11"/>
      <c r="I28" s="11"/>
      <c r="J28" s="11"/>
      <c r="K28" s="11"/>
      <c r="L28" s="12"/>
      <c r="M28" s="49" t="s">
        <v>133</v>
      </c>
      <c r="N28" s="11"/>
      <c r="O28" s="11"/>
      <c r="P28" s="11"/>
      <c r="Q28" s="11"/>
      <c r="R28" s="11"/>
      <c r="S28" s="11"/>
      <c r="T28" s="12"/>
      <c r="U28" s="51" t="s">
        <v>96</v>
      </c>
      <c r="V28" s="12"/>
      <c r="W28" s="49" t="s">
        <v>134</v>
      </c>
      <c r="X28" s="11"/>
      <c r="Y28" s="11"/>
      <c r="Z28" s="11"/>
      <c r="AA28" s="11"/>
      <c r="AB28" s="11"/>
      <c r="AC28" s="12"/>
      <c r="AD28" s="48">
        <v>16.0</v>
      </c>
      <c r="AE28" s="11"/>
      <c r="AF28" s="12"/>
    </row>
    <row r="29" ht="30.0" customHeight="1">
      <c r="B29" s="47">
        <v>22.0</v>
      </c>
      <c r="C29" s="48" t="s">
        <v>135</v>
      </c>
      <c r="D29" s="11"/>
      <c r="E29" s="12"/>
      <c r="F29" s="49" t="s">
        <v>130</v>
      </c>
      <c r="G29" s="11"/>
      <c r="H29" s="11"/>
      <c r="I29" s="11"/>
      <c r="J29" s="11"/>
      <c r="K29" s="11"/>
      <c r="L29" s="12"/>
      <c r="M29" s="49" t="s">
        <v>136</v>
      </c>
      <c r="N29" s="11"/>
      <c r="O29" s="11"/>
      <c r="P29" s="11"/>
      <c r="Q29" s="11"/>
      <c r="R29" s="11"/>
      <c r="S29" s="11"/>
      <c r="T29" s="12"/>
      <c r="U29" s="50" t="s">
        <v>76</v>
      </c>
      <c r="V29" s="12"/>
      <c r="W29" s="49" t="s">
        <v>137</v>
      </c>
      <c r="X29" s="11"/>
      <c r="Y29" s="11"/>
      <c r="Z29" s="11"/>
      <c r="AA29" s="11"/>
      <c r="AB29" s="11"/>
      <c r="AC29" s="12"/>
      <c r="AD29" s="48">
        <v>18.0</v>
      </c>
      <c r="AE29" s="11"/>
      <c r="AF29" s="12"/>
    </row>
    <row r="30" ht="30.0" customHeight="1">
      <c r="B30" s="47">
        <v>23.0</v>
      </c>
      <c r="C30" s="48" t="s">
        <v>138</v>
      </c>
      <c r="D30" s="11"/>
      <c r="E30" s="12"/>
      <c r="F30" s="49" t="s">
        <v>130</v>
      </c>
      <c r="G30" s="11"/>
      <c r="H30" s="11"/>
      <c r="I30" s="11"/>
      <c r="J30" s="11"/>
      <c r="K30" s="11"/>
      <c r="L30" s="12"/>
      <c r="M30" s="49" t="s">
        <v>139</v>
      </c>
      <c r="N30" s="11"/>
      <c r="O30" s="11"/>
      <c r="P30" s="11"/>
      <c r="Q30" s="11"/>
      <c r="R30" s="11"/>
      <c r="S30" s="11"/>
      <c r="T30" s="12"/>
      <c r="U30" s="51" t="s">
        <v>96</v>
      </c>
      <c r="V30" s="12"/>
      <c r="W30" s="49" t="s">
        <v>140</v>
      </c>
      <c r="X30" s="11"/>
      <c r="Y30" s="11"/>
      <c r="Z30" s="11"/>
      <c r="AA30" s="11"/>
      <c r="AB30" s="11"/>
      <c r="AC30" s="12"/>
      <c r="AD30" s="48">
        <v>8.0</v>
      </c>
      <c r="AE30" s="11"/>
      <c r="AF30" s="12"/>
    </row>
    <row r="31" ht="30.0" customHeight="1">
      <c r="B31" s="47">
        <v>24.0</v>
      </c>
      <c r="C31" s="48" t="s">
        <v>141</v>
      </c>
      <c r="D31" s="11"/>
      <c r="E31" s="12"/>
      <c r="F31" s="49" t="s">
        <v>130</v>
      </c>
      <c r="G31" s="11"/>
      <c r="H31" s="11"/>
      <c r="I31" s="11"/>
      <c r="J31" s="11"/>
      <c r="K31" s="11"/>
      <c r="L31" s="12"/>
      <c r="M31" s="49" t="s">
        <v>142</v>
      </c>
      <c r="N31" s="11"/>
      <c r="O31" s="11"/>
      <c r="P31" s="11"/>
      <c r="Q31" s="11"/>
      <c r="R31" s="11"/>
      <c r="S31" s="11"/>
      <c r="T31" s="12"/>
      <c r="U31" s="50" t="s">
        <v>76</v>
      </c>
      <c r="V31" s="12"/>
      <c r="W31" s="49" t="s">
        <v>143</v>
      </c>
      <c r="X31" s="11"/>
      <c r="Y31" s="11"/>
      <c r="Z31" s="11"/>
      <c r="AA31" s="11"/>
      <c r="AB31" s="11"/>
      <c r="AC31" s="12"/>
      <c r="AD31" s="48">
        <v>10.0</v>
      </c>
      <c r="AE31" s="11"/>
      <c r="AF31" s="12"/>
    </row>
    <row r="32" ht="30.0" customHeight="1">
      <c r="B32" s="47">
        <v>25.0</v>
      </c>
      <c r="C32" s="48" t="s">
        <v>144</v>
      </c>
      <c r="D32" s="11"/>
      <c r="E32" s="12"/>
      <c r="F32" s="49" t="s">
        <v>130</v>
      </c>
      <c r="G32" s="11"/>
      <c r="H32" s="11"/>
      <c r="I32" s="11"/>
      <c r="J32" s="11"/>
      <c r="K32" s="11"/>
      <c r="L32" s="12"/>
      <c r="M32" s="49" t="s">
        <v>145</v>
      </c>
      <c r="N32" s="11"/>
      <c r="O32" s="11"/>
      <c r="P32" s="11"/>
      <c r="Q32" s="11"/>
      <c r="R32" s="11"/>
      <c r="S32" s="11"/>
      <c r="T32" s="12"/>
      <c r="U32" s="51" t="s">
        <v>96</v>
      </c>
      <c r="V32" s="12"/>
      <c r="W32" s="49" t="s">
        <v>146</v>
      </c>
      <c r="X32" s="11"/>
      <c r="Y32" s="11"/>
      <c r="Z32" s="11"/>
      <c r="AA32" s="11"/>
      <c r="AB32" s="11"/>
      <c r="AC32" s="12"/>
      <c r="AD32" s="48">
        <v>30.0</v>
      </c>
      <c r="AE32" s="11"/>
      <c r="AF32" s="12"/>
    </row>
    <row r="33" ht="30.0" customHeight="1">
      <c r="B33" s="47">
        <v>26.0</v>
      </c>
      <c r="C33" s="48" t="s">
        <v>147</v>
      </c>
      <c r="D33" s="11"/>
      <c r="E33" s="12"/>
      <c r="F33" s="49" t="s">
        <v>130</v>
      </c>
      <c r="G33" s="11"/>
      <c r="H33" s="11"/>
      <c r="I33" s="11"/>
      <c r="J33" s="11"/>
      <c r="K33" s="11"/>
      <c r="L33" s="12"/>
      <c r="M33" s="49" t="s">
        <v>148</v>
      </c>
      <c r="N33" s="11"/>
      <c r="O33" s="11"/>
      <c r="P33" s="11"/>
      <c r="Q33" s="11"/>
      <c r="R33" s="11"/>
      <c r="S33" s="11"/>
      <c r="T33" s="12"/>
      <c r="U33" s="50" t="s">
        <v>76</v>
      </c>
      <c r="V33" s="12"/>
      <c r="W33" s="49" t="s">
        <v>149</v>
      </c>
      <c r="X33" s="11"/>
      <c r="Y33" s="11"/>
      <c r="Z33" s="11"/>
      <c r="AA33" s="11"/>
      <c r="AB33" s="11"/>
      <c r="AC33" s="12"/>
      <c r="AD33" s="48">
        <v>15.0</v>
      </c>
      <c r="AE33" s="11"/>
      <c r="AF33" s="12"/>
    </row>
    <row r="34" ht="30.0" customHeight="1">
      <c r="B34" s="47">
        <v>27.0</v>
      </c>
      <c r="C34" s="48" t="s">
        <v>150</v>
      </c>
      <c r="D34" s="11"/>
      <c r="E34" s="12"/>
      <c r="F34" s="49" t="s">
        <v>130</v>
      </c>
      <c r="G34" s="11"/>
      <c r="H34" s="11"/>
      <c r="I34" s="11"/>
      <c r="J34" s="11"/>
      <c r="K34" s="11"/>
      <c r="L34" s="12"/>
      <c r="M34" s="49" t="s">
        <v>151</v>
      </c>
      <c r="N34" s="11"/>
      <c r="O34" s="11"/>
      <c r="P34" s="11"/>
      <c r="Q34" s="11"/>
      <c r="R34" s="11"/>
      <c r="S34" s="11"/>
      <c r="T34" s="12"/>
      <c r="U34" s="50" t="s">
        <v>76</v>
      </c>
      <c r="V34" s="12"/>
      <c r="W34" s="49" t="s">
        <v>152</v>
      </c>
      <c r="X34" s="11"/>
      <c r="Y34" s="11"/>
      <c r="Z34" s="11"/>
      <c r="AA34" s="11"/>
      <c r="AB34" s="11"/>
      <c r="AC34" s="12"/>
      <c r="AD34" s="48">
        <v>18.0</v>
      </c>
      <c r="AE34" s="11"/>
      <c r="AF34" s="12"/>
    </row>
    <row r="35" ht="30.0" customHeight="1">
      <c r="B35" s="47">
        <v>28.0</v>
      </c>
      <c r="C35" s="48" t="s">
        <v>153</v>
      </c>
      <c r="D35" s="11"/>
      <c r="E35" s="12"/>
      <c r="F35" s="49" t="s">
        <v>154</v>
      </c>
      <c r="G35" s="11"/>
      <c r="H35" s="11"/>
      <c r="I35" s="11"/>
      <c r="J35" s="11"/>
      <c r="K35" s="11"/>
      <c r="L35" s="12"/>
      <c r="M35" s="49" t="s">
        <v>155</v>
      </c>
      <c r="N35" s="11"/>
      <c r="O35" s="11"/>
      <c r="P35" s="11"/>
      <c r="Q35" s="11"/>
      <c r="R35" s="11"/>
      <c r="S35" s="11"/>
      <c r="T35" s="12"/>
      <c r="U35" s="50" t="s">
        <v>76</v>
      </c>
      <c r="V35" s="12"/>
      <c r="W35" s="49" t="s">
        <v>156</v>
      </c>
      <c r="X35" s="11"/>
      <c r="Y35" s="11"/>
      <c r="Z35" s="11"/>
      <c r="AA35" s="11"/>
      <c r="AB35" s="11"/>
      <c r="AC35" s="12"/>
      <c r="AD35" s="48">
        <v>25.0</v>
      </c>
      <c r="AE35" s="11"/>
      <c r="AF35" s="12"/>
    </row>
    <row r="36" ht="30.0" customHeight="1">
      <c r="B36" s="47">
        <v>29.0</v>
      </c>
      <c r="C36" s="48" t="s">
        <v>157</v>
      </c>
      <c r="D36" s="11"/>
      <c r="E36" s="12"/>
      <c r="F36" s="49" t="s">
        <v>154</v>
      </c>
      <c r="G36" s="11"/>
      <c r="H36" s="11"/>
      <c r="I36" s="11"/>
      <c r="J36" s="11"/>
      <c r="K36" s="11"/>
      <c r="L36" s="12"/>
      <c r="M36" s="49" t="s">
        <v>158</v>
      </c>
      <c r="N36" s="11"/>
      <c r="O36" s="11"/>
      <c r="P36" s="11"/>
      <c r="Q36" s="11"/>
      <c r="R36" s="11"/>
      <c r="S36" s="11"/>
      <c r="T36" s="12"/>
      <c r="U36" s="50" t="s">
        <v>76</v>
      </c>
      <c r="V36" s="12"/>
      <c r="W36" s="49" t="s">
        <v>88</v>
      </c>
      <c r="X36" s="11"/>
      <c r="Y36" s="11"/>
      <c r="Z36" s="11"/>
      <c r="AA36" s="11"/>
      <c r="AB36" s="11"/>
      <c r="AC36" s="12"/>
      <c r="AD36" s="48">
        <v>8.0</v>
      </c>
      <c r="AE36" s="11"/>
      <c r="AF36" s="12"/>
    </row>
    <row r="37" ht="30.0" customHeight="1">
      <c r="B37" s="47">
        <v>30.0</v>
      </c>
      <c r="C37" s="48" t="s">
        <v>159</v>
      </c>
      <c r="D37" s="11"/>
      <c r="E37" s="12"/>
      <c r="F37" s="49" t="s">
        <v>154</v>
      </c>
      <c r="G37" s="11"/>
      <c r="H37" s="11"/>
      <c r="I37" s="11"/>
      <c r="J37" s="11"/>
      <c r="K37" s="11"/>
      <c r="L37" s="12"/>
      <c r="M37" s="49" t="s">
        <v>160</v>
      </c>
      <c r="N37" s="11"/>
      <c r="O37" s="11"/>
      <c r="P37" s="11"/>
      <c r="Q37" s="11"/>
      <c r="R37" s="11"/>
      <c r="S37" s="11"/>
      <c r="T37" s="12"/>
      <c r="U37" s="50" t="s">
        <v>76</v>
      </c>
      <c r="V37" s="12"/>
      <c r="W37" s="49" t="s">
        <v>161</v>
      </c>
      <c r="X37" s="11"/>
      <c r="Y37" s="11"/>
      <c r="Z37" s="11"/>
      <c r="AA37" s="11"/>
      <c r="AB37" s="11"/>
      <c r="AC37" s="12"/>
      <c r="AD37" s="48">
        <v>15.0</v>
      </c>
      <c r="AE37" s="11"/>
      <c r="AF37" s="12"/>
    </row>
    <row r="38" ht="30.0" customHeight="1">
      <c r="B38" s="47">
        <v>31.0</v>
      </c>
      <c r="C38" s="48" t="s">
        <v>162</v>
      </c>
      <c r="D38" s="11"/>
      <c r="E38" s="12"/>
      <c r="F38" s="49" t="s">
        <v>154</v>
      </c>
      <c r="G38" s="11"/>
      <c r="H38" s="11"/>
      <c r="I38" s="11"/>
      <c r="J38" s="11"/>
      <c r="K38" s="11"/>
      <c r="L38" s="12"/>
      <c r="M38" s="49" t="s">
        <v>163</v>
      </c>
      <c r="N38" s="11"/>
      <c r="O38" s="11"/>
      <c r="P38" s="11"/>
      <c r="Q38" s="11"/>
      <c r="R38" s="11"/>
      <c r="S38" s="11"/>
      <c r="T38" s="12"/>
      <c r="U38" s="50" t="s">
        <v>76</v>
      </c>
      <c r="V38" s="12"/>
      <c r="W38" s="49" t="s">
        <v>88</v>
      </c>
      <c r="X38" s="11"/>
      <c r="Y38" s="11"/>
      <c r="Z38" s="11"/>
      <c r="AA38" s="11"/>
      <c r="AB38" s="11"/>
      <c r="AC38" s="12"/>
      <c r="AD38" s="48">
        <v>40.0</v>
      </c>
      <c r="AE38" s="11"/>
      <c r="AF38" s="12"/>
    </row>
    <row r="39" ht="30.0" customHeight="1">
      <c r="B39" s="47">
        <v>32.0</v>
      </c>
      <c r="C39" s="48" t="s">
        <v>164</v>
      </c>
      <c r="D39" s="11"/>
      <c r="E39" s="12"/>
      <c r="F39" s="49" t="s">
        <v>154</v>
      </c>
      <c r="G39" s="11"/>
      <c r="H39" s="11"/>
      <c r="I39" s="11"/>
      <c r="J39" s="11"/>
      <c r="K39" s="11"/>
      <c r="L39" s="12"/>
      <c r="M39" s="49" t="s">
        <v>165</v>
      </c>
      <c r="N39" s="11"/>
      <c r="O39" s="11"/>
      <c r="P39" s="11"/>
      <c r="Q39" s="11"/>
      <c r="R39" s="11"/>
      <c r="S39" s="11"/>
      <c r="T39" s="12"/>
      <c r="U39" s="51" t="s">
        <v>96</v>
      </c>
      <c r="V39" s="12"/>
      <c r="W39" s="49" t="s">
        <v>166</v>
      </c>
      <c r="X39" s="11"/>
      <c r="Y39" s="11"/>
      <c r="Z39" s="11"/>
      <c r="AA39" s="11"/>
      <c r="AB39" s="11"/>
      <c r="AC39" s="12"/>
      <c r="AD39" s="48">
        <v>20.0</v>
      </c>
      <c r="AE39" s="11"/>
      <c r="AF39" s="12"/>
    </row>
    <row r="40" ht="30.0" customHeight="1">
      <c r="B40" s="47">
        <v>33.0</v>
      </c>
      <c r="C40" s="48" t="s">
        <v>167</v>
      </c>
      <c r="D40" s="11"/>
      <c r="E40" s="12"/>
      <c r="F40" s="49" t="s">
        <v>154</v>
      </c>
      <c r="G40" s="11"/>
      <c r="H40" s="11"/>
      <c r="I40" s="11"/>
      <c r="J40" s="11"/>
      <c r="K40" s="11"/>
      <c r="L40" s="12"/>
      <c r="M40" s="49" t="s">
        <v>168</v>
      </c>
      <c r="N40" s="11"/>
      <c r="O40" s="11"/>
      <c r="P40" s="11"/>
      <c r="Q40" s="11"/>
      <c r="R40" s="11"/>
      <c r="S40" s="11"/>
      <c r="T40" s="12"/>
      <c r="U40" s="51" t="s">
        <v>96</v>
      </c>
      <c r="V40" s="12"/>
      <c r="W40" s="49" t="s">
        <v>169</v>
      </c>
      <c r="X40" s="11"/>
      <c r="Y40" s="11"/>
      <c r="Z40" s="11"/>
      <c r="AA40" s="11"/>
      <c r="AB40" s="11"/>
      <c r="AC40" s="12"/>
      <c r="AD40" s="48">
        <v>12.0</v>
      </c>
      <c r="AE40" s="11"/>
      <c r="AF40" s="12"/>
    </row>
    <row r="41" ht="30.0" customHeight="1">
      <c r="B41" s="47">
        <v>34.0</v>
      </c>
      <c r="C41" s="48" t="s">
        <v>170</v>
      </c>
      <c r="D41" s="11"/>
      <c r="E41" s="12"/>
      <c r="F41" s="49" t="s">
        <v>154</v>
      </c>
      <c r="G41" s="11"/>
      <c r="H41" s="11"/>
      <c r="I41" s="11"/>
      <c r="J41" s="11"/>
      <c r="K41" s="11"/>
      <c r="L41" s="12"/>
      <c r="M41" s="49" t="s">
        <v>171</v>
      </c>
      <c r="N41" s="11"/>
      <c r="O41" s="11"/>
      <c r="P41" s="11"/>
      <c r="Q41" s="11"/>
      <c r="R41" s="11"/>
      <c r="S41" s="11"/>
      <c r="T41" s="12"/>
      <c r="U41" s="50" t="s">
        <v>76</v>
      </c>
      <c r="V41" s="12"/>
      <c r="W41" s="49" t="s">
        <v>172</v>
      </c>
      <c r="X41" s="11"/>
      <c r="Y41" s="11"/>
      <c r="Z41" s="11"/>
      <c r="AA41" s="11"/>
      <c r="AB41" s="11"/>
      <c r="AC41" s="12"/>
      <c r="AD41" s="48">
        <v>15.0</v>
      </c>
      <c r="AE41" s="11"/>
      <c r="AF41" s="12"/>
    </row>
    <row r="42" ht="30.0" customHeight="1">
      <c r="B42" s="47">
        <v>35.0</v>
      </c>
      <c r="C42" s="48" t="s">
        <v>173</v>
      </c>
      <c r="D42" s="11"/>
      <c r="E42" s="12"/>
      <c r="F42" s="49" t="s">
        <v>154</v>
      </c>
      <c r="G42" s="11"/>
      <c r="H42" s="11"/>
      <c r="I42" s="11"/>
      <c r="J42" s="11"/>
      <c r="K42" s="11"/>
      <c r="L42" s="12"/>
      <c r="M42" s="49" t="s">
        <v>174</v>
      </c>
      <c r="N42" s="11"/>
      <c r="O42" s="11"/>
      <c r="P42" s="11"/>
      <c r="Q42" s="11"/>
      <c r="R42" s="11"/>
      <c r="S42" s="11"/>
      <c r="T42" s="12"/>
      <c r="U42" s="51" t="s">
        <v>96</v>
      </c>
      <c r="V42" s="12"/>
      <c r="W42" s="49" t="s">
        <v>88</v>
      </c>
      <c r="X42" s="11"/>
      <c r="Y42" s="11"/>
      <c r="Z42" s="11"/>
      <c r="AA42" s="11"/>
      <c r="AB42" s="11"/>
      <c r="AC42" s="12"/>
      <c r="AD42" s="48">
        <v>30.0</v>
      </c>
      <c r="AE42" s="11"/>
      <c r="AF42" s="12"/>
    </row>
    <row r="43" ht="36.0" customHeight="1">
      <c r="B43" s="47">
        <v>36.0</v>
      </c>
      <c r="C43" s="48" t="s">
        <v>175</v>
      </c>
      <c r="D43" s="11"/>
      <c r="E43" s="12"/>
      <c r="F43" s="49" t="s">
        <v>154</v>
      </c>
      <c r="G43" s="11"/>
      <c r="H43" s="11"/>
      <c r="I43" s="11"/>
      <c r="J43" s="11"/>
      <c r="K43" s="11"/>
      <c r="L43" s="12"/>
      <c r="M43" s="49" t="s">
        <v>176</v>
      </c>
      <c r="N43" s="11"/>
      <c r="O43" s="11"/>
      <c r="P43" s="11"/>
      <c r="Q43" s="11"/>
      <c r="R43" s="11"/>
      <c r="S43" s="11"/>
      <c r="T43" s="12"/>
      <c r="U43" s="50" t="s">
        <v>76</v>
      </c>
      <c r="V43" s="12"/>
      <c r="W43" s="49" t="s">
        <v>161</v>
      </c>
      <c r="X43" s="11"/>
      <c r="Y43" s="11"/>
      <c r="Z43" s="11"/>
      <c r="AA43" s="11"/>
      <c r="AB43" s="11"/>
      <c r="AC43" s="12"/>
      <c r="AD43" s="48">
        <v>6.0</v>
      </c>
      <c r="AE43" s="11"/>
      <c r="AF43" s="12"/>
    </row>
    <row r="44" ht="30.0" customHeight="1">
      <c r="B44" s="47">
        <v>37.0</v>
      </c>
      <c r="C44" s="48" t="s">
        <v>177</v>
      </c>
      <c r="D44" s="11"/>
      <c r="E44" s="12"/>
      <c r="F44" s="49" t="s">
        <v>178</v>
      </c>
      <c r="G44" s="11"/>
      <c r="H44" s="11"/>
      <c r="I44" s="11"/>
      <c r="J44" s="11"/>
      <c r="K44" s="11"/>
      <c r="L44" s="12"/>
      <c r="M44" s="49" t="s">
        <v>179</v>
      </c>
      <c r="N44" s="11"/>
      <c r="O44" s="11"/>
      <c r="P44" s="11"/>
      <c r="Q44" s="11"/>
      <c r="R44" s="11"/>
      <c r="S44" s="11"/>
      <c r="T44" s="12"/>
      <c r="U44" s="52" t="s">
        <v>180</v>
      </c>
      <c r="V44" s="12"/>
      <c r="W44" s="49" t="s">
        <v>181</v>
      </c>
      <c r="X44" s="11"/>
      <c r="Y44" s="11"/>
      <c r="Z44" s="11"/>
      <c r="AA44" s="11"/>
      <c r="AB44" s="11"/>
      <c r="AC44" s="12"/>
      <c r="AD44" s="48">
        <v>60.0</v>
      </c>
      <c r="AE44" s="11"/>
      <c r="AF44" s="12"/>
    </row>
    <row r="45" ht="36.0" customHeight="1">
      <c r="B45" s="47">
        <v>38.0</v>
      </c>
      <c r="C45" s="48" t="s">
        <v>182</v>
      </c>
      <c r="D45" s="11"/>
      <c r="E45" s="12"/>
      <c r="F45" s="49" t="s">
        <v>178</v>
      </c>
      <c r="G45" s="11"/>
      <c r="H45" s="11"/>
      <c r="I45" s="11"/>
      <c r="J45" s="11"/>
      <c r="K45" s="11"/>
      <c r="L45" s="12"/>
      <c r="M45" s="49" t="s">
        <v>183</v>
      </c>
      <c r="N45" s="11"/>
      <c r="O45" s="11"/>
      <c r="P45" s="11"/>
      <c r="Q45" s="11"/>
      <c r="R45" s="11"/>
      <c r="S45" s="11"/>
      <c r="T45" s="12"/>
      <c r="U45" s="52" t="s">
        <v>180</v>
      </c>
      <c r="V45" s="12"/>
      <c r="W45" s="49" t="s">
        <v>181</v>
      </c>
      <c r="X45" s="11"/>
      <c r="Y45" s="11"/>
      <c r="Z45" s="11"/>
      <c r="AA45" s="11"/>
      <c r="AB45" s="11"/>
      <c r="AC45" s="12"/>
      <c r="AD45" s="48">
        <v>40.0</v>
      </c>
      <c r="AE45" s="11"/>
      <c r="AF45" s="12"/>
    </row>
    <row r="46" ht="30.0" customHeight="1">
      <c r="B46" s="47">
        <v>39.0</v>
      </c>
      <c r="C46" s="48" t="s">
        <v>184</v>
      </c>
      <c r="D46" s="11"/>
      <c r="E46" s="12"/>
      <c r="F46" s="49" t="s">
        <v>178</v>
      </c>
      <c r="G46" s="11"/>
      <c r="H46" s="11"/>
      <c r="I46" s="11"/>
      <c r="J46" s="11"/>
      <c r="K46" s="11"/>
      <c r="L46" s="12"/>
      <c r="M46" s="49" t="s">
        <v>185</v>
      </c>
      <c r="N46" s="11"/>
      <c r="O46" s="11"/>
      <c r="P46" s="11"/>
      <c r="Q46" s="11"/>
      <c r="R46" s="11"/>
      <c r="S46" s="11"/>
      <c r="T46" s="12"/>
      <c r="U46" s="52" t="s">
        <v>180</v>
      </c>
      <c r="V46" s="12"/>
      <c r="W46" s="49" t="s">
        <v>107</v>
      </c>
      <c r="X46" s="11"/>
      <c r="Y46" s="11"/>
      <c r="Z46" s="11"/>
      <c r="AA46" s="11"/>
      <c r="AB46" s="11"/>
      <c r="AC46" s="12"/>
      <c r="AD46" s="48">
        <v>25.0</v>
      </c>
      <c r="AE46" s="11"/>
      <c r="AF46" s="12"/>
    </row>
    <row r="47" ht="30.0" customHeight="1">
      <c r="B47" s="47">
        <v>40.0</v>
      </c>
      <c r="C47" s="48" t="s">
        <v>186</v>
      </c>
      <c r="D47" s="11"/>
      <c r="E47" s="12"/>
      <c r="F47" s="49" t="s">
        <v>178</v>
      </c>
      <c r="G47" s="11"/>
      <c r="H47" s="11"/>
      <c r="I47" s="11"/>
      <c r="J47" s="11"/>
      <c r="K47" s="11"/>
      <c r="L47" s="12"/>
      <c r="M47" s="49" t="s">
        <v>187</v>
      </c>
      <c r="N47" s="11"/>
      <c r="O47" s="11"/>
      <c r="P47" s="11"/>
      <c r="Q47" s="11"/>
      <c r="R47" s="11"/>
      <c r="S47" s="11"/>
      <c r="T47" s="12"/>
      <c r="U47" s="52" t="s">
        <v>180</v>
      </c>
      <c r="V47" s="12"/>
      <c r="W47" s="49" t="s">
        <v>88</v>
      </c>
      <c r="X47" s="11"/>
      <c r="Y47" s="11"/>
      <c r="Z47" s="11"/>
      <c r="AA47" s="11"/>
      <c r="AB47" s="11"/>
      <c r="AC47" s="12"/>
      <c r="AD47" s="48">
        <v>5.0</v>
      </c>
      <c r="AE47" s="11"/>
      <c r="AF47" s="12"/>
    </row>
    <row r="48" ht="30.0" customHeight="1">
      <c r="B48" s="47">
        <v>41.0</v>
      </c>
      <c r="C48" s="48" t="s">
        <v>188</v>
      </c>
      <c r="D48" s="11"/>
      <c r="E48" s="12"/>
      <c r="F48" s="49" t="s">
        <v>178</v>
      </c>
      <c r="G48" s="11"/>
      <c r="H48" s="11"/>
      <c r="I48" s="11"/>
      <c r="J48" s="11"/>
      <c r="K48" s="11"/>
      <c r="L48" s="12"/>
      <c r="M48" s="49" t="s">
        <v>189</v>
      </c>
      <c r="N48" s="11"/>
      <c r="O48" s="11"/>
      <c r="P48" s="11"/>
      <c r="Q48" s="11"/>
      <c r="R48" s="11"/>
      <c r="S48" s="11"/>
      <c r="T48" s="12"/>
      <c r="U48" s="50" t="s">
        <v>76</v>
      </c>
      <c r="V48" s="12"/>
      <c r="W48" s="49" t="s">
        <v>88</v>
      </c>
      <c r="X48" s="11"/>
      <c r="Y48" s="11"/>
      <c r="Z48" s="11"/>
      <c r="AA48" s="11"/>
      <c r="AB48" s="11"/>
      <c r="AC48" s="12"/>
      <c r="AD48" s="48">
        <v>5.0</v>
      </c>
      <c r="AE48" s="11"/>
      <c r="AF48" s="12"/>
    </row>
    <row r="49" ht="30.0" customHeight="1">
      <c r="B49" s="47">
        <v>42.0</v>
      </c>
      <c r="C49" s="48" t="s">
        <v>190</v>
      </c>
      <c r="D49" s="11"/>
      <c r="E49" s="12"/>
      <c r="F49" s="49" t="s">
        <v>178</v>
      </c>
      <c r="G49" s="11"/>
      <c r="H49" s="11"/>
      <c r="I49" s="11"/>
      <c r="J49" s="11"/>
      <c r="K49" s="11"/>
      <c r="L49" s="12"/>
      <c r="M49" s="49" t="s">
        <v>191</v>
      </c>
      <c r="N49" s="11"/>
      <c r="O49" s="11"/>
      <c r="P49" s="11"/>
      <c r="Q49" s="11"/>
      <c r="R49" s="11"/>
      <c r="S49" s="11"/>
      <c r="T49" s="12"/>
      <c r="U49" s="51" t="s">
        <v>96</v>
      </c>
      <c r="V49" s="12"/>
      <c r="W49" s="49" t="s">
        <v>192</v>
      </c>
      <c r="X49" s="11"/>
      <c r="Y49" s="11"/>
      <c r="Z49" s="11"/>
      <c r="AA49" s="11"/>
      <c r="AB49" s="11"/>
      <c r="AC49" s="12"/>
      <c r="AD49" s="48">
        <v>8.0</v>
      </c>
      <c r="AE49" s="11"/>
      <c r="AF49" s="12"/>
    </row>
    <row r="50" ht="30.0" customHeight="1">
      <c r="B50" s="47">
        <v>43.0</v>
      </c>
      <c r="C50" s="48" t="s">
        <v>193</v>
      </c>
      <c r="D50" s="11"/>
      <c r="E50" s="12"/>
      <c r="F50" s="49" t="s">
        <v>194</v>
      </c>
      <c r="G50" s="11"/>
      <c r="H50" s="11"/>
      <c r="I50" s="11"/>
      <c r="J50" s="11"/>
      <c r="K50" s="11"/>
      <c r="L50" s="12"/>
      <c r="M50" s="49" t="s">
        <v>195</v>
      </c>
      <c r="N50" s="11"/>
      <c r="O50" s="11"/>
      <c r="P50" s="11"/>
      <c r="Q50" s="11"/>
      <c r="R50" s="11"/>
      <c r="S50" s="11"/>
      <c r="T50" s="12"/>
      <c r="U50" s="51" t="s">
        <v>96</v>
      </c>
      <c r="V50" s="12"/>
      <c r="W50" s="49" t="s">
        <v>196</v>
      </c>
      <c r="X50" s="11"/>
      <c r="Y50" s="11"/>
      <c r="Z50" s="11"/>
      <c r="AA50" s="11"/>
      <c r="AB50" s="11"/>
      <c r="AC50" s="12"/>
      <c r="AD50" s="48">
        <v>12.0</v>
      </c>
      <c r="AE50" s="11"/>
      <c r="AF50" s="12"/>
    </row>
    <row r="51" ht="30.0" customHeight="1">
      <c r="B51" s="47">
        <v>44.0</v>
      </c>
      <c r="C51" s="48" t="s">
        <v>197</v>
      </c>
      <c r="D51" s="11"/>
      <c r="E51" s="12"/>
      <c r="F51" s="49" t="s">
        <v>194</v>
      </c>
      <c r="G51" s="11"/>
      <c r="H51" s="11"/>
      <c r="I51" s="11"/>
      <c r="J51" s="11"/>
      <c r="K51" s="11"/>
      <c r="L51" s="12"/>
      <c r="M51" s="49" t="s">
        <v>198</v>
      </c>
      <c r="N51" s="11"/>
      <c r="O51" s="11"/>
      <c r="P51" s="11"/>
      <c r="Q51" s="11"/>
      <c r="R51" s="11"/>
      <c r="S51" s="11"/>
      <c r="T51" s="12"/>
      <c r="U51" s="51" t="s">
        <v>96</v>
      </c>
      <c r="V51" s="12"/>
      <c r="W51" s="49" t="s">
        <v>199</v>
      </c>
      <c r="X51" s="11"/>
      <c r="Y51" s="11"/>
      <c r="Z51" s="11"/>
      <c r="AA51" s="11"/>
      <c r="AB51" s="11"/>
      <c r="AC51" s="12"/>
      <c r="AD51" s="48">
        <v>8.0</v>
      </c>
      <c r="AE51" s="11"/>
      <c r="AF51" s="12"/>
    </row>
    <row r="52" ht="22.5" customHeight="1">
      <c r="B52" s="53" t="s">
        <v>52</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200</v>
      </c>
    </row>
    <row r="55" ht="15.75" customHeight="1"/>
    <row r="56" ht="28.5" customHeight="1">
      <c r="B56" s="46" t="s">
        <v>201</v>
      </c>
      <c r="C56" s="12"/>
      <c r="D56" s="46" t="s">
        <v>202</v>
      </c>
      <c r="E56" s="11"/>
      <c r="F56" s="12"/>
      <c r="G56" s="46" t="s">
        <v>203</v>
      </c>
      <c r="H56" s="11"/>
      <c r="I56" s="11"/>
      <c r="J56" s="11"/>
      <c r="K56" s="11"/>
      <c r="L56" s="12"/>
      <c r="M56" s="46" t="s">
        <v>204</v>
      </c>
      <c r="N56" s="12"/>
      <c r="O56" s="46" t="s">
        <v>205</v>
      </c>
      <c r="P56" s="11"/>
      <c r="Q56" s="12"/>
      <c r="R56" s="46" t="s">
        <v>206</v>
      </c>
      <c r="S56" s="11"/>
      <c r="T56" s="11"/>
      <c r="U56" s="11"/>
      <c r="V56" s="11"/>
      <c r="W56" s="11"/>
      <c r="X56" s="11"/>
      <c r="Y56" s="11"/>
      <c r="Z56" s="11"/>
      <c r="AA56" s="11"/>
      <c r="AB56" s="11"/>
      <c r="AC56" s="11"/>
      <c r="AD56" s="11"/>
      <c r="AE56" s="11"/>
      <c r="AF56" s="11"/>
      <c r="AG56" s="11"/>
      <c r="AH56" s="11"/>
      <c r="AI56" s="11"/>
      <c r="AJ56" s="11"/>
      <c r="AK56" s="12"/>
    </row>
    <row r="57" ht="36.0" customHeight="1">
      <c r="B57" s="54" t="s">
        <v>207</v>
      </c>
      <c r="C57" s="12"/>
      <c r="D57" s="48" t="s">
        <v>208</v>
      </c>
      <c r="E57" s="11"/>
      <c r="F57" s="12"/>
      <c r="G57" s="49" t="s">
        <v>209</v>
      </c>
      <c r="H57" s="11"/>
      <c r="I57" s="11"/>
      <c r="J57" s="11"/>
      <c r="K57" s="11"/>
      <c r="L57" s="12"/>
      <c r="M57" s="48">
        <v>10.0</v>
      </c>
      <c r="N57" s="12"/>
      <c r="O57" s="48" t="s">
        <v>76</v>
      </c>
      <c r="P57" s="11"/>
      <c r="Q57" s="12"/>
      <c r="R57" s="49" t="s">
        <v>210</v>
      </c>
      <c r="S57" s="11"/>
      <c r="T57" s="11"/>
      <c r="U57" s="11"/>
      <c r="V57" s="11"/>
      <c r="W57" s="11"/>
      <c r="X57" s="11"/>
      <c r="Y57" s="11"/>
      <c r="Z57" s="11"/>
      <c r="AA57" s="11"/>
      <c r="AB57" s="11"/>
      <c r="AC57" s="11"/>
      <c r="AD57" s="11"/>
      <c r="AE57" s="11"/>
      <c r="AF57" s="11"/>
      <c r="AG57" s="11"/>
      <c r="AH57" s="11"/>
      <c r="AI57" s="11"/>
      <c r="AJ57" s="11"/>
      <c r="AK57" s="12"/>
    </row>
    <row r="58" ht="30.0" customHeight="1">
      <c r="B58" s="54" t="s">
        <v>211</v>
      </c>
      <c r="C58" s="12"/>
      <c r="D58" s="48" t="s">
        <v>212</v>
      </c>
      <c r="E58" s="11"/>
      <c r="F58" s="12"/>
      <c r="G58" s="49" t="s">
        <v>213</v>
      </c>
      <c r="H58" s="11"/>
      <c r="I58" s="11"/>
      <c r="J58" s="11"/>
      <c r="K58" s="11"/>
      <c r="L58" s="12"/>
      <c r="M58" s="48">
        <v>9.0</v>
      </c>
      <c r="N58" s="12"/>
      <c r="O58" s="48" t="s">
        <v>96</v>
      </c>
      <c r="P58" s="11"/>
      <c r="Q58" s="12"/>
      <c r="R58" s="49" t="s">
        <v>214</v>
      </c>
      <c r="S58" s="11"/>
      <c r="T58" s="11"/>
      <c r="U58" s="11"/>
      <c r="V58" s="11"/>
      <c r="W58" s="11"/>
      <c r="X58" s="11"/>
      <c r="Y58" s="11"/>
      <c r="Z58" s="11"/>
      <c r="AA58" s="11"/>
      <c r="AB58" s="11"/>
      <c r="AC58" s="11"/>
      <c r="AD58" s="11"/>
      <c r="AE58" s="11"/>
      <c r="AF58" s="11"/>
      <c r="AG58" s="11"/>
      <c r="AH58" s="11"/>
      <c r="AI58" s="11"/>
      <c r="AJ58" s="11"/>
      <c r="AK58" s="12"/>
    </row>
    <row r="59" ht="36.0" customHeight="1">
      <c r="B59" s="54" t="s">
        <v>215</v>
      </c>
      <c r="C59" s="12"/>
      <c r="D59" s="48" t="s">
        <v>216</v>
      </c>
      <c r="E59" s="11"/>
      <c r="F59" s="12"/>
      <c r="G59" s="49" t="s">
        <v>217</v>
      </c>
      <c r="H59" s="11"/>
      <c r="I59" s="11"/>
      <c r="J59" s="11"/>
      <c r="K59" s="11"/>
      <c r="L59" s="12"/>
      <c r="M59" s="48">
        <v>8.0</v>
      </c>
      <c r="N59" s="12"/>
      <c r="O59" s="48" t="s">
        <v>76</v>
      </c>
      <c r="P59" s="11"/>
      <c r="Q59" s="12"/>
      <c r="R59" s="49" t="s">
        <v>218</v>
      </c>
      <c r="S59" s="11"/>
      <c r="T59" s="11"/>
      <c r="U59" s="11"/>
      <c r="V59" s="11"/>
      <c r="W59" s="11"/>
      <c r="X59" s="11"/>
      <c r="Y59" s="11"/>
      <c r="Z59" s="11"/>
      <c r="AA59" s="11"/>
      <c r="AB59" s="11"/>
      <c r="AC59" s="11"/>
      <c r="AD59" s="11"/>
      <c r="AE59" s="11"/>
      <c r="AF59" s="11"/>
      <c r="AG59" s="11"/>
      <c r="AH59" s="11"/>
      <c r="AI59" s="11"/>
      <c r="AJ59" s="11"/>
      <c r="AK59" s="12"/>
    </row>
    <row r="60" ht="36.0" customHeight="1">
      <c r="B60" s="54" t="s">
        <v>219</v>
      </c>
      <c r="C60" s="12"/>
      <c r="D60" s="48" t="s">
        <v>220</v>
      </c>
      <c r="E60" s="11"/>
      <c r="F60" s="12"/>
      <c r="G60" s="49" t="s">
        <v>221</v>
      </c>
      <c r="H60" s="11"/>
      <c r="I60" s="11"/>
      <c r="J60" s="11"/>
      <c r="K60" s="11"/>
      <c r="L60" s="12"/>
      <c r="M60" s="48">
        <v>9.0</v>
      </c>
      <c r="N60" s="12"/>
      <c r="O60" s="48" t="s">
        <v>76</v>
      </c>
      <c r="P60" s="11"/>
      <c r="Q60" s="12"/>
      <c r="R60" s="49" t="s">
        <v>222</v>
      </c>
      <c r="S60" s="11"/>
      <c r="T60" s="11"/>
      <c r="U60" s="11"/>
      <c r="V60" s="11"/>
      <c r="W60" s="11"/>
      <c r="X60" s="11"/>
      <c r="Y60" s="11"/>
      <c r="Z60" s="11"/>
      <c r="AA60" s="11"/>
      <c r="AB60" s="11"/>
      <c r="AC60" s="11"/>
      <c r="AD60" s="11"/>
      <c r="AE60" s="11"/>
      <c r="AF60" s="11"/>
      <c r="AG60" s="11"/>
      <c r="AH60" s="11"/>
      <c r="AI60" s="11"/>
      <c r="AJ60" s="11"/>
      <c r="AK60" s="12"/>
    </row>
    <row r="61" ht="36.0" customHeight="1">
      <c r="B61" s="54" t="s">
        <v>223</v>
      </c>
      <c r="C61" s="12"/>
      <c r="D61" s="48" t="s">
        <v>224</v>
      </c>
      <c r="E61" s="11"/>
      <c r="F61" s="12"/>
      <c r="G61" s="49" t="s">
        <v>225</v>
      </c>
      <c r="H61" s="11"/>
      <c r="I61" s="11"/>
      <c r="J61" s="11"/>
      <c r="K61" s="11"/>
      <c r="L61" s="12"/>
      <c r="M61" s="48">
        <v>6.0</v>
      </c>
      <c r="N61" s="12"/>
      <c r="O61" s="48" t="s">
        <v>226</v>
      </c>
      <c r="P61" s="11"/>
      <c r="Q61" s="12"/>
      <c r="R61" s="49" t="s">
        <v>227</v>
      </c>
      <c r="S61" s="11"/>
      <c r="T61" s="11"/>
      <c r="U61" s="11"/>
      <c r="V61" s="11"/>
      <c r="W61" s="11"/>
      <c r="X61" s="11"/>
      <c r="Y61" s="11"/>
      <c r="Z61" s="11"/>
      <c r="AA61" s="11"/>
      <c r="AB61" s="11"/>
      <c r="AC61" s="11"/>
      <c r="AD61" s="11"/>
      <c r="AE61" s="11"/>
      <c r="AF61" s="11"/>
      <c r="AG61" s="11"/>
      <c r="AH61" s="11"/>
      <c r="AI61" s="11"/>
      <c r="AJ61" s="11"/>
      <c r="AK61" s="12"/>
    </row>
    <row r="62" ht="30.0" customHeight="1">
      <c r="B62" s="54" t="s">
        <v>228</v>
      </c>
      <c r="C62" s="12"/>
      <c r="D62" s="48" t="s">
        <v>229</v>
      </c>
      <c r="E62" s="11"/>
      <c r="F62" s="12"/>
      <c r="G62" s="49" t="s">
        <v>230</v>
      </c>
      <c r="H62" s="11"/>
      <c r="I62" s="11"/>
      <c r="J62" s="11"/>
      <c r="K62" s="11"/>
      <c r="L62" s="12"/>
      <c r="M62" s="48">
        <v>2.0</v>
      </c>
      <c r="N62" s="12"/>
      <c r="O62" s="48" t="s">
        <v>96</v>
      </c>
      <c r="P62" s="11"/>
      <c r="Q62" s="12"/>
      <c r="R62" s="49" t="s">
        <v>231</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232</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233</v>
      </c>
      <c r="B1" s="11"/>
      <c r="C1" s="11"/>
      <c r="D1" s="11"/>
      <c r="E1" s="12"/>
      <c r="F1" s="21" t="s">
        <v>234</v>
      </c>
      <c r="G1" s="11"/>
      <c r="H1" s="11"/>
      <c r="I1" s="11"/>
      <c r="J1" s="11"/>
      <c r="K1" s="11"/>
      <c r="L1" s="11"/>
      <c r="M1" s="11"/>
      <c r="N1" s="11"/>
      <c r="O1" s="11"/>
      <c r="P1" s="11"/>
      <c r="Q1" s="12"/>
      <c r="R1" s="46" t="s">
        <v>235</v>
      </c>
      <c r="S1" s="11"/>
      <c r="T1" s="11"/>
      <c r="U1" s="11"/>
      <c r="V1" s="12"/>
      <c r="W1" s="21" t="s">
        <v>236</v>
      </c>
      <c r="X1" s="11"/>
      <c r="Y1" s="11"/>
      <c r="Z1" s="11"/>
      <c r="AA1" s="11"/>
      <c r="AB1" s="11"/>
      <c r="AC1" s="11"/>
      <c r="AD1" s="11"/>
      <c r="AE1" s="11"/>
      <c r="AF1" s="11"/>
      <c r="AG1" s="11"/>
      <c r="AH1" s="12"/>
    </row>
    <row r="2" ht="22.5" customHeight="1">
      <c r="A2" s="46" t="s">
        <v>23</v>
      </c>
      <c r="B2" s="11"/>
      <c r="C2" s="11"/>
      <c r="D2" s="11"/>
      <c r="E2" s="12"/>
      <c r="F2" s="21" t="s">
        <v>16</v>
      </c>
      <c r="G2" s="11"/>
      <c r="H2" s="11"/>
      <c r="I2" s="11"/>
      <c r="J2" s="11"/>
      <c r="K2" s="11"/>
      <c r="L2" s="11"/>
      <c r="M2" s="11"/>
      <c r="N2" s="11"/>
      <c r="O2" s="11"/>
      <c r="P2" s="11"/>
      <c r="Q2" s="12"/>
      <c r="R2" s="46" t="s">
        <v>22</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18</v>
      </c>
      <c r="G3" s="11"/>
      <c r="H3" s="11"/>
      <c r="I3" s="11"/>
      <c r="J3" s="11"/>
      <c r="K3" s="11"/>
      <c r="L3" s="11"/>
      <c r="M3" s="11"/>
      <c r="N3" s="11"/>
      <c r="O3" s="11"/>
      <c r="P3" s="11"/>
      <c r="Q3" s="12"/>
      <c r="R3" s="46" t="s">
        <v>237</v>
      </c>
      <c r="S3" s="11"/>
      <c r="T3" s="11"/>
      <c r="U3" s="11"/>
      <c r="V3" s="12"/>
      <c r="W3" s="36"/>
      <c r="X3" s="11"/>
      <c r="Y3" s="11"/>
      <c r="Z3" s="11"/>
      <c r="AA3" s="11"/>
      <c r="AB3" s="11"/>
      <c r="AC3" s="11"/>
      <c r="AD3" s="11"/>
      <c r="AE3" s="11"/>
      <c r="AF3" s="11"/>
      <c r="AG3" s="11"/>
      <c r="AH3" s="12"/>
    </row>
    <row r="4" ht="22.5" customHeight="1">
      <c r="A4" s="46" t="s">
        <v>238</v>
      </c>
      <c r="B4" s="11"/>
      <c r="C4" s="11"/>
      <c r="D4" s="11"/>
      <c r="E4" s="12"/>
      <c r="F4" s="21" t="s">
        <v>239</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240</v>
      </c>
      <c r="B5" s="11"/>
      <c r="C5" s="11"/>
      <c r="D5" s="11"/>
      <c r="E5" s="11"/>
      <c r="F5" s="11"/>
      <c r="G5" s="11"/>
      <c r="H5" s="11"/>
      <c r="I5" s="11"/>
      <c r="J5" s="11"/>
      <c r="K5" s="11"/>
      <c r="L5" s="11"/>
      <c r="M5" s="11"/>
      <c r="N5" s="11"/>
      <c r="O5" s="11"/>
      <c r="P5" s="11"/>
      <c r="Q5" s="11"/>
      <c r="R5" s="11"/>
      <c r="S5" s="12"/>
      <c r="T5" s="46" t="s">
        <v>53</v>
      </c>
      <c r="U5" s="11"/>
      <c r="V5" s="11"/>
      <c r="W5" s="11"/>
      <c r="X5" s="11"/>
      <c r="Y5" s="11"/>
      <c r="Z5" s="11"/>
      <c r="AA5" s="11"/>
      <c r="AB5" s="11"/>
      <c r="AC5" s="11"/>
      <c r="AD5" s="11"/>
      <c r="AE5" s="11"/>
      <c r="AF5" s="11"/>
      <c r="AG5" s="11"/>
      <c r="AH5" s="12"/>
    </row>
    <row r="6" ht="22.5" customHeight="1">
      <c r="A6" s="46" t="s">
        <v>241</v>
      </c>
      <c r="B6" s="11"/>
      <c r="C6" s="11"/>
      <c r="D6" s="11"/>
      <c r="E6" s="11"/>
      <c r="F6" s="11"/>
      <c r="G6" s="12"/>
      <c r="H6" s="46" t="s">
        <v>54</v>
      </c>
      <c r="I6" s="11"/>
      <c r="J6" s="12"/>
      <c r="K6" s="46" t="s">
        <v>55</v>
      </c>
      <c r="L6" s="11"/>
      <c r="M6" s="12"/>
      <c r="N6" s="46" t="s">
        <v>242</v>
      </c>
      <c r="O6" s="11"/>
      <c r="P6" s="12"/>
      <c r="Q6" s="46" t="s">
        <v>52</v>
      </c>
      <c r="R6" s="11"/>
      <c r="S6" s="12"/>
      <c r="T6" s="46" t="s">
        <v>57</v>
      </c>
      <c r="U6" s="11"/>
      <c r="V6" s="12"/>
      <c r="W6" s="46" t="s">
        <v>58</v>
      </c>
      <c r="X6" s="11"/>
      <c r="Y6" s="12"/>
      <c r="Z6" s="46" t="s">
        <v>59</v>
      </c>
      <c r="AA6" s="11"/>
      <c r="AB6" s="12"/>
      <c r="AC6" s="46" t="s">
        <v>60</v>
      </c>
      <c r="AD6" s="11"/>
      <c r="AE6" s="12"/>
      <c r="AF6" s="46" t="s">
        <v>52</v>
      </c>
      <c r="AG6" s="11"/>
      <c r="AH6" s="12"/>
    </row>
    <row r="7" ht="22.5" customHeight="1">
      <c r="A7" s="46" t="s">
        <v>243</v>
      </c>
      <c r="B7" s="11"/>
      <c r="C7" s="11"/>
      <c r="D7" s="11"/>
      <c r="E7" s="11"/>
      <c r="F7" s="11"/>
      <c r="G7" s="12"/>
      <c r="H7" s="20">
        <f t="shared" ref="H7:H8" si="1">COUNTIF($AE$12:$AF$1049,"N")</f>
        <v>25</v>
      </c>
      <c r="I7" s="11"/>
      <c r="J7" s="12"/>
      <c r="K7" s="20">
        <f t="shared" ref="K7:K8" si="2">COUNTIF($AE$12:$AF$1049,"A")</f>
        <v>23</v>
      </c>
      <c r="L7" s="11"/>
      <c r="M7" s="12"/>
      <c r="N7" s="20">
        <f t="shared" ref="N7:N8" si="3">COUNTIF($AE$12:$AF$1049,"B")</f>
        <v>3</v>
      </c>
      <c r="O7" s="11"/>
      <c r="P7" s="12"/>
      <c r="Q7" s="43">
        <f t="shared" ref="Q7:Q8" si="4">SUM(H7:P7)</f>
        <v>51</v>
      </c>
      <c r="R7" s="11"/>
      <c r="S7" s="12"/>
      <c r="T7" s="20">
        <f>COUNTIF($AG$12:$AI$1049,T$6)</f>
        <v>0</v>
      </c>
      <c r="U7" s="11"/>
      <c r="V7" s="12"/>
      <c r="W7" s="20">
        <f>COUNTIF($AG$12:$AI$1049,W$6)</f>
        <v>0</v>
      </c>
      <c r="X7" s="11"/>
      <c r="Y7" s="12"/>
      <c r="Z7" s="20">
        <f>COUNTIF($AG$12:$AI$1049,Z$6)</f>
        <v>1</v>
      </c>
      <c r="AA7" s="11"/>
      <c r="AB7" s="12"/>
      <c r="AC7" s="20">
        <f>COUNTIF($AG$12:$AI$1049,AC$6)</f>
        <v>0</v>
      </c>
      <c r="AD7" s="11"/>
      <c r="AE7" s="12"/>
      <c r="AF7" s="43">
        <f t="shared" ref="AF7:AF8" si="5">SUM(T7:AE7)</f>
        <v>1</v>
      </c>
      <c r="AG7" s="11"/>
      <c r="AH7" s="12"/>
    </row>
    <row r="8" ht="22.5" customHeight="1">
      <c r="A8" s="46" t="s">
        <v>244</v>
      </c>
      <c r="B8" s="11"/>
      <c r="C8" s="11"/>
      <c r="D8" s="11"/>
      <c r="E8" s="11"/>
      <c r="F8" s="11"/>
      <c r="G8" s="12"/>
      <c r="H8" s="20">
        <f t="shared" si="1"/>
        <v>25</v>
      </c>
      <c r="I8" s="11"/>
      <c r="J8" s="12"/>
      <c r="K8" s="20">
        <f t="shared" si="2"/>
        <v>23</v>
      </c>
      <c r="L8" s="11"/>
      <c r="M8" s="12"/>
      <c r="N8" s="20">
        <f t="shared" si="3"/>
        <v>3</v>
      </c>
      <c r="O8" s="11"/>
      <c r="P8" s="12"/>
      <c r="Q8" s="43">
        <f t="shared" si="4"/>
        <v>51</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49</v>
      </c>
      <c r="B10" s="57" t="s">
        <v>245</v>
      </c>
      <c r="C10" s="23"/>
      <c r="D10" s="24"/>
      <c r="E10" s="57" t="s">
        <v>246</v>
      </c>
      <c r="F10" s="23"/>
      <c r="G10" s="23"/>
      <c r="H10" s="23"/>
      <c r="I10" s="24"/>
      <c r="J10" s="57" t="s">
        <v>247</v>
      </c>
      <c r="K10" s="23"/>
      <c r="L10" s="23"/>
      <c r="M10" s="23"/>
      <c r="N10" s="23"/>
      <c r="O10" s="23"/>
      <c r="P10" s="24"/>
      <c r="Q10" s="57" t="s">
        <v>248</v>
      </c>
      <c r="R10" s="23"/>
      <c r="S10" s="23"/>
      <c r="T10" s="23"/>
      <c r="U10" s="23"/>
      <c r="V10" s="23"/>
      <c r="W10" s="24"/>
      <c r="X10" s="57" t="s">
        <v>249</v>
      </c>
      <c r="Y10" s="23"/>
      <c r="Z10" s="23"/>
      <c r="AA10" s="23"/>
      <c r="AB10" s="23"/>
      <c r="AC10" s="23"/>
      <c r="AD10" s="24"/>
      <c r="AE10" s="57" t="s">
        <v>250</v>
      </c>
      <c r="AF10" s="24"/>
      <c r="AG10" s="46" t="s">
        <v>251</v>
      </c>
      <c r="AH10" s="11"/>
      <c r="AI10" s="11"/>
      <c r="AJ10" s="11"/>
      <c r="AK10" s="11"/>
      <c r="AL10" s="11"/>
      <c r="AM10" s="11"/>
      <c r="AN10" s="11"/>
      <c r="AO10" s="11"/>
      <c r="AP10" s="11"/>
      <c r="AQ10" s="11"/>
      <c r="AR10" s="11"/>
      <c r="AS10" s="11"/>
      <c r="AT10" s="11"/>
      <c r="AU10" s="12"/>
      <c r="AV10" s="46" t="s">
        <v>252</v>
      </c>
      <c r="AW10" s="11"/>
      <c r="AX10" s="11"/>
      <c r="AY10" s="11"/>
      <c r="AZ10" s="11"/>
      <c r="BA10" s="11"/>
      <c r="BB10" s="11"/>
      <c r="BC10" s="11"/>
      <c r="BD10" s="11"/>
      <c r="BE10" s="11"/>
      <c r="BF10" s="11"/>
      <c r="BG10" s="11"/>
      <c r="BH10" s="11"/>
      <c r="BI10" s="11"/>
      <c r="BJ10" s="12"/>
      <c r="BK10" s="57" t="s">
        <v>253</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254</v>
      </c>
      <c r="AH11" s="11"/>
      <c r="AI11" s="12"/>
      <c r="AJ11" s="46" t="s">
        <v>255</v>
      </c>
      <c r="AK11" s="11"/>
      <c r="AL11" s="12"/>
      <c r="AM11" s="46" t="s">
        <v>11</v>
      </c>
      <c r="AN11" s="11"/>
      <c r="AO11" s="12"/>
      <c r="AP11" s="46" t="s">
        <v>256</v>
      </c>
      <c r="AQ11" s="11"/>
      <c r="AR11" s="12"/>
      <c r="AS11" s="46" t="s">
        <v>257</v>
      </c>
      <c r="AT11" s="11"/>
      <c r="AU11" s="12"/>
      <c r="AV11" s="46" t="s">
        <v>254</v>
      </c>
      <c r="AW11" s="11"/>
      <c r="AX11" s="12"/>
      <c r="AY11" s="46" t="s">
        <v>255</v>
      </c>
      <c r="AZ11" s="11"/>
      <c r="BA11" s="12"/>
      <c r="BB11" s="46" t="s">
        <v>11</v>
      </c>
      <c r="BC11" s="11"/>
      <c r="BD11" s="12"/>
      <c r="BE11" s="46" t="s">
        <v>256</v>
      </c>
      <c r="BF11" s="11"/>
      <c r="BG11" s="12"/>
      <c r="BH11" s="46" t="s">
        <v>257</v>
      </c>
      <c r="BI11" s="11"/>
      <c r="BJ11" s="12"/>
      <c r="BK11" s="26"/>
      <c r="BL11" s="27"/>
      <c r="BM11" s="27"/>
      <c r="BN11" s="27"/>
      <c r="BO11" s="27"/>
      <c r="BP11" s="27"/>
      <c r="BQ11" s="28"/>
    </row>
    <row r="12" ht="22.5" customHeight="1">
      <c r="A12" s="35" t="s">
        <v>258</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450.0" customHeight="1">
      <c r="A13" s="47">
        <v>1.0</v>
      </c>
      <c r="B13" s="49" t="s">
        <v>259</v>
      </c>
      <c r="C13" s="11"/>
      <c r="D13" s="12"/>
      <c r="E13" s="49" t="s">
        <v>260</v>
      </c>
      <c r="F13" s="11"/>
      <c r="G13" s="11"/>
      <c r="H13" s="11"/>
      <c r="I13" s="12"/>
      <c r="J13" s="49" t="s">
        <v>261</v>
      </c>
      <c r="K13" s="11"/>
      <c r="L13" s="11"/>
      <c r="M13" s="11"/>
      <c r="N13" s="11"/>
      <c r="O13" s="11"/>
      <c r="P13" s="12"/>
      <c r="Q13" s="58" t="s">
        <v>262</v>
      </c>
      <c r="R13" s="11"/>
      <c r="S13" s="11"/>
      <c r="T13" s="11"/>
      <c r="U13" s="11"/>
      <c r="V13" s="11"/>
      <c r="W13" s="12"/>
      <c r="X13" s="58" t="s">
        <v>263</v>
      </c>
      <c r="Y13" s="11"/>
      <c r="Z13" s="11"/>
      <c r="AA13" s="11"/>
      <c r="AB13" s="11"/>
      <c r="AC13" s="11"/>
      <c r="AD13" s="12"/>
      <c r="AE13" s="48" t="s">
        <v>207</v>
      </c>
      <c r="AF13" s="12"/>
      <c r="AG13" s="48"/>
      <c r="AH13" s="11"/>
      <c r="AI13" s="12"/>
      <c r="AJ13" s="48"/>
      <c r="AK13" s="11"/>
      <c r="AL13" s="12"/>
      <c r="AM13" s="48"/>
      <c r="AN13" s="11"/>
      <c r="AO13" s="12"/>
      <c r="AP13" s="48"/>
      <c r="AQ13" s="11"/>
      <c r="AR13" s="12"/>
      <c r="AS13" s="48"/>
      <c r="AT13" s="11"/>
      <c r="AU13" s="12"/>
      <c r="AV13" s="48"/>
      <c r="AW13" s="11"/>
      <c r="AX13" s="12"/>
      <c r="AY13" s="48"/>
      <c r="AZ13" s="11"/>
      <c r="BA13" s="12"/>
      <c r="BB13" s="48"/>
      <c r="BC13" s="11"/>
      <c r="BD13" s="12"/>
      <c r="BE13" s="48"/>
      <c r="BF13" s="11"/>
      <c r="BG13" s="12"/>
      <c r="BH13" s="48"/>
      <c r="BI13" s="11"/>
      <c r="BJ13" s="12"/>
      <c r="BK13" s="49" t="s">
        <v>264</v>
      </c>
      <c r="BL13" s="11"/>
      <c r="BM13" s="11"/>
      <c r="BN13" s="11"/>
      <c r="BO13" s="11"/>
      <c r="BP13" s="11"/>
      <c r="BQ13" s="12"/>
    </row>
    <row r="14" ht="399.75" customHeight="1">
      <c r="A14" s="47">
        <v>2.0</v>
      </c>
      <c r="B14" s="49" t="s">
        <v>265</v>
      </c>
      <c r="C14" s="11"/>
      <c r="D14" s="12"/>
      <c r="E14" s="49" t="s">
        <v>266</v>
      </c>
      <c r="F14" s="11"/>
      <c r="G14" s="11"/>
      <c r="H14" s="11"/>
      <c r="I14" s="12"/>
      <c r="J14" s="49" t="s">
        <v>267</v>
      </c>
      <c r="K14" s="11"/>
      <c r="L14" s="11"/>
      <c r="M14" s="11"/>
      <c r="N14" s="11"/>
      <c r="O14" s="11"/>
      <c r="P14" s="12"/>
      <c r="Q14" s="49" t="s">
        <v>268</v>
      </c>
      <c r="R14" s="11"/>
      <c r="S14" s="11"/>
      <c r="T14" s="11"/>
      <c r="U14" s="11"/>
      <c r="V14" s="11"/>
      <c r="W14" s="12"/>
      <c r="X14" s="49" t="s">
        <v>269</v>
      </c>
      <c r="Y14" s="11"/>
      <c r="Z14" s="11"/>
      <c r="AA14" s="11"/>
      <c r="AB14" s="11"/>
      <c r="AC14" s="11"/>
      <c r="AD14" s="12"/>
      <c r="AE14" s="48" t="s">
        <v>207</v>
      </c>
      <c r="AF14" s="12"/>
      <c r="AG14" s="48"/>
      <c r="AH14" s="11"/>
      <c r="AI14" s="12"/>
      <c r="AJ14" s="48"/>
      <c r="AK14" s="11"/>
      <c r="AL14" s="12"/>
      <c r="AM14" s="48"/>
      <c r="AN14" s="11"/>
      <c r="AO14" s="12"/>
      <c r="AP14" s="48"/>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432.0" customHeight="1">
      <c r="A15" s="47">
        <v>3.0</v>
      </c>
      <c r="B15" s="49" t="s">
        <v>270</v>
      </c>
      <c r="C15" s="11"/>
      <c r="D15" s="12"/>
      <c r="E15" s="49" t="s">
        <v>271</v>
      </c>
      <c r="F15" s="11"/>
      <c r="G15" s="11"/>
      <c r="H15" s="11"/>
      <c r="I15" s="12"/>
      <c r="J15" s="49" t="s">
        <v>272</v>
      </c>
      <c r="K15" s="11"/>
      <c r="L15" s="11"/>
      <c r="M15" s="11"/>
      <c r="N15" s="11"/>
      <c r="O15" s="11"/>
      <c r="P15" s="12"/>
      <c r="Q15" s="49" t="s">
        <v>273</v>
      </c>
      <c r="R15" s="11"/>
      <c r="S15" s="11"/>
      <c r="T15" s="11"/>
      <c r="U15" s="11"/>
      <c r="V15" s="11"/>
      <c r="W15" s="12"/>
      <c r="X15" s="49" t="s">
        <v>274</v>
      </c>
      <c r="Y15" s="11"/>
      <c r="Z15" s="11"/>
      <c r="AA15" s="11"/>
      <c r="AB15" s="11"/>
      <c r="AC15" s="11"/>
      <c r="AD15" s="12"/>
      <c r="AE15" s="48" t="s">
        <v>275</v>
      </c>
      <c r="AF15" s="12"/>
      <c r="AG15" s="48"/>
      <c r="AH15" s="11"/>
      <c r="AI15" s="12"/>
      <c r="AJ15" s="48"/>
      <c r="AK15" s="11"/>
      <c r="AL15" s="12"/>
      <c r="AM15" s="48"/>
      <c r="AN15" s="11"/>
      <c r="AO15" s="12"/>
      <c r="AP15" s="48"/>
      <c r="AQ15" s="11"/>
      <c r="AR15" s="12"/>
      <c r="AS15" s="48"/>
      <c r="AT15" s="11"/>
      <c r="AU15" s="12"/>
      <c r="AV15" s="48"/>
      <c r="AW15" s="11"/>
      <c r="AX15" s="12"/>
      <c r="AY15" s="48"/>
      <c r="AZ15" s="11"/>
      <c r="BA15" s="12"/>
      <c r="BB15" s="48"/>
      <c r="BC15" s="11"/>
      <c r="BD15" s="12"/>
      <c r="BE15" s="48"/>
      <c r="BF15" s="11"/>
      <c r="BG15" s="12"/>
      <c r="BH15" s="48"/>
      <c r="BI15" s="11"/>
      <c r="BJ15" s="12"/>
      <c r="BK15" s="49" t="s">
        <v>276</v>
      </c>
      <c r="BL15" s="11"/>
      <c r="BM15" s="11"/>
      <c r="BN15" s="11"/>
      <c r="BO15" s="11"/>
      <c r="BP15" s="11"/>
      <c r="BQ15" s="12"/>
    </row>
    <row r="16" ht="288.0" customHeight="1">
      <c r="A16" s="47">
        <v>4.0</v>
      </c>
      <c r="B16" s="49" t="s">
        <v>277</v>
      </c>
      <c r="C16" s="11"/>
      <c r="D16" s="12"/>
      <c r="E16" s="49" t="s">
        <v>278</v>
      </c>
      <c r="F16" s="11"/>
      <c r="G16" s="11"/>
      <c r="H16" s="11"/>
      <c r="I16" s="12"/>
      <c r="J16" s="49" t="s">
        <v>279</v>
      </c>
      <c r="K16" s="11"/>
      <c r="L16" s="11"/>
      <c r="M16" s="11"/>
      <c r="N16" s="11"/>
      <c r="O16" s="11"/>
      <c r="P16" s="12"/>
      <c r="Q16" s="58" t="s">
        <v>280</v>
      </c>
      <c r="R16" s="11"/>
      <c r="S16" s="11"/>
      <c r="T16" s="11"/>
      <c r="U16" s="11"/>
      <c r="V16" s="11"/>
      <c r="W16" s="12"/>
      <c r="X16" s="49" t="s">
        <v>281</v>
      </c>
      <c r="Y16" s="11"/>
      <c r="Z16" s="11"/>
      <c r="AA16" s="11"/>
      <c r="AB16" s="11"/>
      <c r="AC16" s="11"/>
      <c r="AD16" s="12"/>
      <c r="AE16" s="48" t="s">
        <v>275</v>
      </c>
      <c r="AF16" s="12"/>
      <c r="AG16" s="48"/>
      <c r="AH16" s="11"/>
      <c r="AI16" s="12"/>
      <c r="AJ16" s="48"/>
      <c r="AK16" s="11"/>
      <c r="AL16" s="12"/>
      <c r="AM16" s="48"/>
      <c r="AN16" s="11"/>
      <c r="AO16" s="12"/>
      <c r="AP16" s="48"/>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351.75" customHeight="1">
      <c r="A17" s="47">
        <v>5.0</v>
      </c>
      <c r="B17" s="49" t="s">
        <v>282</v>
      </c>
      <c r="C17" s="11"/>
      <c r="D17" s="12"/>
      <c r="E17" s="49" t="s">
        <v>283</v>
      </c>
      <c r="F17" s="11"/>
      <c r="G17" s="11"/>
      <c r="H17" s="11"/>
      <c r="I17" s="12"/>
      <c r="J17" s="49" t="s">
        <v>284</v>
      </c>
      <c r="K17" s="11"/>
      <c r="L17" s="11"/>
      <c r="M17" s="11"/>
      <c r="N17" s="11"/>
      <c r="O17" s="11"/>
      <c r="P17" s="12"/>
      <c r="Q17" s="49" t="s">
        <v>285</v>
      </c>
      <c r="R17" s="11"/>
      <c r="S17" s="11"/>
      <c r="T17" s="11"/>
      <c r="U17" s="11"/>
      <c r="V17" s="11"/>
      <c r="W17" s="12"/>
      <c r="X17" s="49" t="s">
        <v>286</v>
      </c>
      <c r="Y17" s="11"/>
      <c r="Z17" s="11"/>
      <c r="AA17" s="11"/>
      <c r="AB17" s="11"/>
      <c r="AC17" s="11"/>
      <c r="AD17" s="12"/>
      <c r="AE17" s="48" t="s">
        <v>275</v>
      </c>
      <c r="AF17" s="12"/>
      <c r="AG17" s="48"/>
      <c r="AH17" s="11"/>
      <c r="AI17" s="12"/>
      <c r="AJ17" s="48"/>
      <c r="AK17" s="11"/>
      <c r="AL17" s="12"/>
      <c r="AM17" s="48"/>
      <c r="AN17" s="11"/>
      <c r="AO17" s="12"/>
      <c r="AP17" s="48"/>
      <c r="AQ17" s="11"/>
      <c r="AR17" s="12"/>
      <c r="AS17" s="48"/>
      <c r="AT17" s="11"/>
      <c r="AU17" s="12"/>
      <c r="AV17" s="48"/>
      <c r="AW17" s="11"/>
      <c r="AX17" s="12"/>
      <c r="AY17" s="48"/>
      <c r="AZ17" s="11"/>
      <c r="BA17" s="12"/>
      <c r="BB17" s="48"/>
      <c r="BC17" s="11"/>
      <c r="BD17" s="12"/>
      <c r="BE17" s="48"/>
      <c r="BF17" s="11"/>
      <c r="BG17" s="12"/>
      <c r="BH17" s="48"/>
      <c r="BI17" s="11"/>
      <c r="BJ17" s="12"/>
      <c r="BK17" s="49"/>
      <c r="BL17" s="11"/>
      <c r="BM17" s="11"/>
      <c r="BN17" s="11"/>
      <c r="BO17" s="11"/>
      <c r="BP17" s="11"/>
      <c r="BQ17" s="12"/>
    </row>
    <row r="18" ht="22.5" customHeight="1">
      <c r="A18" s="35" t="s">
        <v>287</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2"/>
    </row>
    <row r="19" ht="450.0" customHeight="1">
      <c r="A19" s="47">
        <v>6.0</v>
      </c>
      <c r="B19" s="49" t="s">
        <v>288</v>
      </c>
      <c r="C19" s="11"/>
      <c r="D19" s="12"/>
      <c r="E19" s="49" t="s">
        <v>289</v>
      </c>
      <c r="F19" s="11"/>
      <c r="G19" s="11"/>
      <c r="H19" s="11"/>
      <c r="I19" s="12"/>
      <c r="J19" s="49" t="s">
        <v>290</v>
      </c>
      <c r="K19" s="11"/>
      <c r="L19" s="11"/>
      <c r="M19" s="11"/>
      <c r="N19" s="11"/>
      <c r="O19" s="11"/>
      <c r="P19" s="12"/>
      <c r="Q19" s="49" t="s">
        <v>291</v>
      </c>
      <c r="R19" s="11"/>
      <c r="S19" s="11"/>
      <c r="T19" s="11"/>
      <c r="U19" s="11"/>
      <c r="V19" s="11"/>
      <c r="W19" s="12"/>
      <c r="X19" s="49" t="s">
        <v>292</v>
      </c>
      <c r="Y19" s="11"/>
      <c r="Z19" s="11"/>
      <c r="AA19" s="11"/>
      <c r="AB19" s="11"/>
      <c r="AC19" s="11"/>
      <c r="AD19" s="12"/>
      <c r="AE19" s="48" t="s">
        <v>275</v>
      </c>
      <c r="AF19" s="12"/>
      <c r="AG19" s="48"/>
      <c r="AH19" s="11"/>
      <c r="AI19" s="12"/>
      <c r="AJ19" s="48"/>
      <c r="AK19" s="11"/>
      <c r="AL19" s="12"/>
      <c r="AM19" s="48"/>
      <c r="AN19" s="11"/>
      <c r="AO19" s="12"/>
      <c r="AP19" s="48"/>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432.0" customHeight="1">
      <c r="A20" s="47">
        <v>7.0</v>
      </c>
      <c r="B20" s="49" t="s">
        <v>293</v>
      </c>
      <c r="C20" s="11"/>
      <c r="D20" s="12"/>
      <c r="E20" s="49" t="s">
        <v>294</v>
      </c>
      <c r="F20" s="11"/>
      <c r="G20" s="11"/>
      <c r="H20" s="11"/>
      <c r="I20" s="12"/>
      <c r="J20" s="49" t="s">
        <v>290</v>
      </c>
      <c r="K20" s="11"/>
      <c r="L20" s="11"/>
      <c r="M20" s="11"/>
      <c r="N20" s="11"/>
      <c r="O20" s="11"/>
      <c r="P20" s="12"/>
      <c r="Q20" s="49" t="s">
        <v>295</v>
      </c>
      <c r="R20" s="11"/>
      <c r="S20" s="11"/>
      <c r="T20" s="11"/>
      <c r="U20" s="11"/>
      <c r="V20" s="11"/>
      <c r="W20" s="12"/>
      <c r="X20" s="49" t="s">
        <v>296</v>
      </c>
      <c r="Y20" s="11"/>
      <c r="Z20" s="11"/>
      <c r="AA20" s="11"/>
      <c r="AB20" s="11"/>
      <c r="AC20" s="11"/>
      <c r="AD20" s="12"/>
      <c r="AE20" s="48" t="s">
        <v>275</v>
      </c>
      <c r="AF20" s="12"/>
      <c r="AG20" s="48"/>
      <c r="AH20" s="11"/>
      <c r="AI20" s="12"/>
      <c r="AJ20" s="48"/>
      <c r="AK20" s="11"/>
      <c r="AL20" s="12"/>
      <c r="AM20" s="48"/>
      <c r="AN20" s="11"/>
      <c r="AO20" s="12"/>
      <c r="AP20" s="48"/>
      <c r="AQ20" s="11"/>
      <c r="AR20" s="12"/>
      <c r="AS20" s="48"/>
      <c r="AT20" s="11"/>
      <c r="AU20" s="12"/>
      <c r="AV20" s="48"/>
      <c r="AW20" s="11"/>
      <c r="AX20" s="12"/>
      <c r="AY20" s="48"/>
      <c r="AZ20" s="11"/>
      <c r="BA20" s="12"/>
      <c r="BB20" s="48"/>
      <c r="BC20" s="11"/>
      <c r="BD20" s="12"/>
      <c r="BE20" s="48"/>
      <c r="BF20" s="11"/>
      <c r="BG20" s="12"/>
      <c r="BH20" s="48"/>
      <c r="BI20" s="11"/>
      <c r="BJ20" s="12"/>
      <c r="BK20" s="49"/>
      <c r="BL20" s="11"/>
      <c r="BM20" s="11"/>
      <c r="BN20" s="11"/>
      <c r="BO20" s="11"/>
      <c r="BP20" s="11"/>
      <c r="BQ20" s="12"/>
    </row>
    <row r="21" ht="450.0" customHeight="1">
      <c r="A21" s="47">
        <v>8.0</v>
      </c>
      <c r="B21" s="49" t="s">
        <v>297</v>
      </c>
      <c r="C21" s="11"/>
      <c r="D21" s="12"/>
      <c r="E21" s="49" t="s">
        <v>298</v>
      </c>
      <c r="F21" s="11"/>
      <c r="G21" s="11"/>
      <c r="H21" s="11"/>
      <c r="I21" s="12"/>
      <c r="J21" s="49" t="s">
        <v>290</v>
      </c>
      <c r="K21" s="11"/>
      <c r="L21" s="11"/>
      <c r="M21" s="11"/>
      <c r="N21" s="11"/>
      <c r="O21" s="11"/>
      <c r="P21" s="12"/>
      <c r="Q21" s="49" t="s">
        <v>299</v>
      </c>
      <c r="R21" s="11"/>
      <c r="S21" s="11"/>
      <c r="T21" s="11"/>
      <c r="U21" s="11"/>
      <c r="V21" s="11"/>
      <c r="W21" s="12"/>
      <c r="X21" s="49" t="s">
        <v>300</v>
      </c>
      <c r="Y21" s="11"/>
      <c r="Z21" s="11"/>
      <c r="AA21" s="11"/>
      <c r="AB21" s="11"/>
      <c r="AC21" s="11"/>
      <c r="AD21" s="12"/>
      <c r="AE21" s="48" t="s">
        <v>275</v>
      </c>
      <c r="AF21" s="12"/>
      <c r="AG21" s="48"/>
      <c r="AH21" s="11"/>
      <c r="AI21" s="12"/>
      <c r="AJ21" s="48"/>
      <c r="AK21" s="11"/>
      <c r="AL21" s="12"/>
      <c r="AM21" s="48"/>
      <c r="AN21" s="11"/>
      <c r="AO21" s="12"/>
      <c r="AP21" s="48"/>
      <c r="AQ21" s="11"/>
      <c r="AR21" s="12"/>
      <c r="AS21" s="48"/>
      <c r="AT21" s="11"/>
      <c r="AU21" s="12"/>
      <c r="AV21" s="48"/>
      <c r="AW21" s="11"/>
      <c r="AX21" s="12"/>
      <c r="AY21" s="48"/>
      <c r="AZ21" s="11"/>
      <c r="BA21" s="12"/>
      <c r="BB21" s="48"/>
      <c r="BC21" s="11"/>
      <c r="BD21" s="12"/>
      <c r="BE21" s="48"/>
      <c r="BF21" s="11"/>
      <c r="BG21" s="12"/>
      <c r="BH21" s="48"/>
      <c r="BI21" s="11"/>
      <c r="BJ21" s="12"/>
      <c r="BK21" s="49"/>
      <c r="BL21" s="11"/>
      <c r="BM21" s="11"/>
      <c r="BN21" s="11"/>
      <c r="BO21" s="11"/>
      <c r="BP21" s="11"/>
      <c r="BQ21" s="12"/>
    </row>
    <row r="22" ht="207.75" customHeight="1">
      <c r="A22" s="47">
        <v>9.0</v>
      </c>
      <c r="B22" s="49" t="s">
        <v>301</v>
      </c>
      <c r="C22" s="11"/>
      <c r="D22" s="12"/>
      <c r="E22" s="49" t="s">
        <v>302</v>
      </c>
      <c r="F22" s="11"/>
      <c r="G22" s="11"/>
      <c r="H22" s="11"/>
      <c r="I22" s="12"/>
      <c r="J22" s="49" t="s">
        <v>290</v>
      </c>
      <c r="K22" s="11"/>
      <c r="L22" s="11"/>
      <c r="M22" s="11"/>
      <c r="N22" s="11"/>
      <c r="O22" s="11"/>
      <c r="P22" s="12"/>
      <c r="Q22" s="49" t="s">
        <v>303</v>
      </c>
      <c r="R22" s="11"/>
      <c r="S22" s="11"/>
      <c r="T22" s="11"/>
      <c r="U22" s="11"/>
      <c r="V22" s="11"/>
      <c r="W22" s="12"/>
      <c r="X22" s="49" t="s">
        <v>304</v>
      </c>
      <c r="Y22" s="11"/>
      <c r="Z22" s="11"/>
      <c r="AA22" s="11"/>
      <c r="AB22" s="11"/>
      <c r="AC22" s="11"/>
      <c r="AD22" s="12"/>
      <c r="AE22" s="48" t="s">
        <v>275</v>
      </c>
      <c r="AF22" s="12"/>
      <c r="AG22" s="48"/>
      <c r="AH22" s="11"/>
      <c r="AI22" s="12"/>
      <c r="AJ22" s="48"/>
      <c r="AK22" s="11"/>
      <c r="AL22" s="12"/>
      <c r="AM22" s="48"/>
      <c r="AN22" s="11"/>
      <c r="AO22" s="12"/>
      <c r="AP22" s="48"/>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240.0" customHeight="1">
      <c r="A23" s="47">
        <v>10.0</v>
      </c>
      <c r="B23" s="49" t="s">
        <v>305</v>
      </c>
      <c r="C23" s="11"/>
      <c r="D23" s="12"/>
      <c r="E23" s="49" t="s">
        <v>306</v>
      </c>
      <c r="F23" s="11"/>
      <c r="G23" s="11"/>
      <c r="H23" s="11"/>
      <c r="I23" s="12"/>
      <c r="J23" s="49" t="s">
        <v>290</v>
      </c>
      <c r="K23" s="11"/>
      <c r="L23" s="11"/>
      <c r="M23" s="11"/>
      <c r="N23" s="11"/>
      <c r="O23" s="11"/>
      <c r="P23" s="12"/>
      <c r="Q23" s="49" t="s">
        <v>307</v>
      </c>
      <c r="R23" s="11"/>
      <c r="S23" s="11"/>
      <c r="T23" s="11"/>
      <c r="U23" s="11"/>
      <c r="V23" s="11"/>
      <c r="W23" s="12"/>
      <c r="X23" s="49" t="s">
        <v>308</v>
      </c>
      <c r="Y23" s="11"/>
      <c r="Z23" s="11"/>
      <c r="AA23" s="11"/>
      <c r="AB23" s="11"/>
      <c r="AC23" s="11"/>
      <c r="AD23" s="12"/>
      <c r="AE23" s="48" t="s">
        <v>275</v>
      </c>
      <c r="AF23" s="12"/>
      <c r="AG23" s="48"/>
      <c r="AH23" s="11"/>
      <c r="AI23" s="12"/>
      <c r="AJ23" s="48"/>
      <c r="AK23" s="11"/>
      <c r="AL23" s="12"/>
      <c r="AM23" s="48"/>
      <c r="AN23" s="11"/>
      <c r="AO23" s="12"/>
      <c r="AP23" s="48"/>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336.0" customHeight="1">
      <c r="A24" s="47">
        <v>11.0</v>
      </c>
      <c r="B24" s="49" t="s">
        <v>309</v>
      </c>
      <c r="C24" s="11"/>
      <c r="D24" s="12"/>
      <c r="E24" s="49" t="s">
        <v>310</v>
      </c>
      <c r="F24" s="11"/>
      <c r="G24" s="11"/>
      <c r="H24" s="11"/>
      <c r="I24" s="12"/>
      <c r="J24" s="49" t="s">
        <v>290</v>
      </c>
      <c r="K24" s="11"/>
      <c r="L24" s="11"/>
      <c r="M24" s="11"/>
      <c r="N24" s="11"/>
      <c r="O24" s="11"/>
      <c r="P24" s="12"/>
      <c r="Q24" s="49" t="s">
        <v>311</v>
      </c>
      <c r="R24" s="11"/>
      <c r="S24" s="11"/>
      <c r="T24" s="11"/>
      <c r="U24" s="11"/>
      <c r="V24" s="11"/>
      <c r="W24" s="12"/>
      <c r="X24" s="49" t="s">
        <v>312</v>
      </c>
      <c r="Y24" s="11"/>
      <c r="Z24" s="11"/>
      <c r="AA24" s="11"/>
      <c r="AB24" s="11"/>
      <c r="AC24" s="11"/>
      <c r="AD24" s="12"/>
      <c r="AE24" s="48" t="s">
        <v>275</v>
      </c>
      <c r="AF24" s="12"/>
      <c r="AG24" s="48"/>
      <c r="AH24" s="11"/>
      <c r="AI24" s="12"/>
      <c r="AJ24" s="48"/>
      <c r="AK24" s="11"/>
      <c r="AL24" s="12"/>
      <c r="AM24" s="48"/>
      <c r="AN24" s="11"/>
      <c r="AO24" s="12"/>
      <c r="AP24" s="48"/>
      <c r="AQ24" s="11"/>
      <c r="AR24" s="12"/>
      <c r="AS24" s="48"/>
      <c r="AT24" s="11"/>
      <c r="AU24" s="12"/>
      <c r="AV24" s="48"/>
      <c r="AW24" s="11"/>
      <c r="AX24" s="12"/>
      <c r="AY24" s="48"/>
      <c r="AZ24" s="11"/>
      <c r="BA24" s="12"/>
      <c r="BB24" s="48"/>
      <c r="BC24" s="11"/>
      <c r="BD24" s="12"/>
      <c r="BE24" s="48"/>
      <c r="BF24" s="11"/>
      <c r="BG24" s="12"/>
      <c r="BH24" s="48"/>
      <c r="BI24" s="11"/>
      <c r="BJ24" s="12"/>
      <c r="BK24" s="49"/>
      <c r="BL24" s="11"/>
      <c r="BM24" s="11"/>
      <c r="BN24" s="11"/>
      <c r="BO24" s="11"/>
      <c r="BP24" s="11"/>
      <c r="BQ24" s="12"/>
    </row>
    <row r="25" ht="450.0" customHeight="1">
      <c r="A25" s="47">
        <v>12.0</v>
      </c>
      <c r="B25" s="49" t="s">
        <v>313</v>
      </c>
      <c r="C25" s="11"/>
      <c r="D25" s="12"/>
      <c r="E25" s="49" t="s">
        <v>314</v>
      </c>
      <c r="F25" s="11"/>
      <c r="G25" s="11"/>
      <c r="H25" s="11"/>
      <c r="I25" s="12"/>
      <c r="J25" s="49" t="s">
        <v>290</v>
      </c>
      <c r="K25" s="11"/>
      <c r="L25" s="11"/>
      <c r="M25" s="11"/>
      <c r="N25" s="11"/>
      <c r="O25" s="11"/>
      <c r="P25" s="12"/>
      <c r="Q25" s="49" t="s">
        <v>315</v>
      </c>
      <c r="R25" s="11"/>
      <c r="S25" s="11"/>
      <c r="T25" s="11"/>
      <c r="U25" s="11"/>
      <c r="V25" s="11"/>
      <c r="W25" s="12"/>
      <c r="X25" s="49" t="s">
        <v>316</v>
      </c>
      <c r="Y25" s="11"/>
      <c r="Z25" s="11"/>
      <c r="AA25" s="11"/>
      <c r="AB25" s="11"/>
      <c r="AC25" s="11"/>
      <c r="AD25" s="12"/>
      <c r="AE25" s="48" t="s">
        <v>275</v>
      </c>
      <c r="AF25" s="12"/>
      <c r="AG25" s="48"/>
      <c r="AH25" s="11"/>
      <c r="AI25" s="12"/>
      <c r="AJ25" s="48"/>
      <c r="AK25" s="11"/>
      <c r="AL25" s="12"/>
      <c r="AM25" s="48"/>
      <c r="AN25" s="11"/>
      <c r="AO25" s="12"/>
      <c r="AP25" s="48"/>
      <c r="AQ25" s="11"/>
      <c r="AR25" s="12"/>
      <c r="AS25" s="48"/>
      <c r="AT25" s="11"/>
      <c r="AU25" s="12"/>
      <c r="AV25" s="48"/>
      <c r="AW25" s="11"/>
      <c r="AX25" s="12"/>
      <c r="AY25" s="48"/>
      <c r="AZ25" s="11"/>
      <c r="BA25" s="12"/>
      <c r="BB25" s="48"/>
      <c r="BC25" s="11"/>
      <c r="BD25" s="12"/>
      <c r="BE25" s="48"/>
      <c r="BF25" s="11"/>
      <c r="BG25" s="12"/>
      <c r="BH25" s="48"/>
      <c r="BI25" s="11"/>
      <c r="BJ25" s="12"/>
      <c r="BK25" s="49"/>
      <c r="BL25" s="11"/>
      <c r="BM25" s="11"/>
      <c r="BN25" s="11"/>
      <c r="BO25" s="11"/>
      <c r="BP25" s="11"/>
      <c r="BQ25" s="12"/>
    </row>
    <row r="26" ht="22.5" customHeight="1">
      <c r="A26" s="35" t="s">
        <v>317</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2"/>
    </row>
    <row r="27" ht="223.5" customHeight="1">
      <c r="A27" s="47">
        <v>13.0</v>
      </c>
      <c r="B27" s="49" t="s">
        <v>318</v>
      </c>
      <c r="C27" s="11"/>
      <c r="D27" s="12"/>
      <c r="E27" s="49" t="s">
        <v>319</v>
      </c>
      <c r="F27" s="11"/>
      <c r="G27" s="11"/>
      <c r="H27" s="11"/>
      <c r="I27" s="12"/>
      <c r="J27" s="49" t="s">
        <v>290</v>
      </c>
      <c r="K27" s="11"/>
      <c r="L27" s="11"/>
      <c r="M27" s="11"/>
      <c r="N27" s="11"/>
      <c r="O27" s="11"/>
      <c r="P27" s="12"/>
      <c r="Q27" s="49" t="s">
        <v>320</v>
      </c>
      <c r="R27" s="11"/>
      <c r="S27" s="11"/>
      <c r="T27" s="11"/>
      <c r="U27" s="11"/>
      <c r="V27" s="11"/>
      <c r="W27" s="12"/>
      <c r="X27" s="49" t="s">
        <v>321</v>
      </c>
      <c r="Y27" s="11"/>
      <c r="Z27" s="11"/>
      <c r="AA27" s="11"/>
      <c r="AB27" s="11"/>
      <c r="AC27" s="11"/>
      <c r="AD27" s="12"/>
      <c r="AE27" s="48" t="s">
        <v>275</v>
      </c>
      <c r="AF27" s="12"/>
      <c r="AG27" s="48"/>
      <c r="AH27" s="11"/>
      <c r="AI27" s="12"/>
      <c r="AJ27" s="48"/>
      <c r="AK27" s="11"/>
      <c r="AL27" s="12"/>
      <c r="AM27" s="48"/>
      <c r="AN27" s="11"/>
      <c r="AO27" s="12"/>
      <c r="AP27" s="48"/>
      <c r="AQ27" s="11"/>
      <c r="AR27" s="12"/>
      <c r="AS27" s="48"/>
      <c r="AT27" s="11"/>
      <c r="AU27" s="12"/>
      <c r="AV27" s="48"/>
      <c r="AW27" s="11"/>
      <c r="AX27" s="12"/>
      <c r="AY27" s="48"/>
      <c r="AZ27" s="11"/>
      <c r="BA27" s="12"/>
      <c r="BB27" s="48"/>
      <c r="BC27" s="11"/>
      <c r="BD27" s="12"/>
      <c r="BE27" s="48"/>
      <c r="BF27" s="11"/>
      <c r="BG27" s="12"/>
      <c r="BH27" s="48"/>
      <c r="BI27" s="11"/>
      <c r="BJ27" s="12"/>
      <c r="BK27" s="49"/>
      <c r="BL27" s="11"/>
      <c r="BM27" s="11"/>
      <c r="BN27" s="11"/>
      <c r="BO27" s="11"/>
      <c r="BP27" s="11"/>
      <c r="BQ27" s="12"/>
    </row>
    <row r="28" ht="255.75" customHeight="1">
      <c r="A28" s="47">
        <v>14.0</v>
      </c>
      <c r="B28" s="49" t="s">
        <v>322</v>
      </c>
      <c r="C28" s="11"/>
      <c r="D28" s="12"/>
      <c r="E28" s="49" t="s">
        <v>323</v>
      </c>
      <c r="F28" s="11"/>
      <c r="G28" s="11"/>
      <c r="H28" s="11"/>
      <c r="I28" s="12"/>
      <c r="J28" s="49" t="s">
        <v>290</v>
      </c>
      <c r="K28" s="11"/>
      <c r="L28" s="11"/>
      <c r="M28" s="11"/>
      <c r="N28" s="11"/>
      <c r="O28" s="11"/>
      <c r="P28" s="12"/>
      <c r="Q28" s="49" t="s">
        <v>324</v>
      </c>
      <c r="R28" s="11"/>
      <c r="S28" s="11"/>
      <c r="T28" s="11"/>
      <c r="U28" s="11"/>
      <c r="V28" s="11"/>
      <c r="W28" s="12"/>
      <c r="X28" s="49" t="s">
        <v>325</v>
      </c>
      <c r="Y28" s="11"/>
      <c r="Z28" s="11"/>
      <c r="AA28" s="11"/>
      <c r="AB28" s="11"/>
      <c r="AC28" s="11"/>
      <c r="AD28" s="12"/>
      <c r="AE28" s="48" t="s">
        <v>275</v>
      </c>
      <c r="AF28" s="12"/>
      <c r="AG28" s="48"/>
      <c r="AH28" s="11"/>
      <c r="AI28" s="12"/>
      <c r="AJ28" s="48"/>
      <c r="AK28" s="11"/>
      <c r="AL28" s="12"/>
      <c r="AM28" s="48"/>
      <c r="AN28" s="11"/>
      <c r="AO28" s="12"/>
      <c r="AP28" s="48"/>
      <c r="AQ28" s="11"/>
      <c r="AR28" s="12"/>
      <c r="AS28" s="48"/>
      <c r="AT28" s="11"/>
      <c r="AU28" s="12"/>
      <c r="AV28" s="48"/>
      <c r="AW28" s="11"/>
      <c r="AX28" s="12"/>
      <c r="AY28" s="48"/>
      <c r="AZ28" s="11"/>
      <c r="BA28" s="12"/>
      <c r="BB28" s="48"/>
      <c r="BC28" s="11"/>
      <c r="BD28" s="12"/>
      <c r="BE28" s="48"/>
      <c r="BF28" s="11"/>
      <c r="BG28" s="12"/>
      <c r="BH28" s="48"/>
      <c r="BI28" s="11"/>
      <c r="BJ28" s="12"/>
      <c r="BK28" s="49"/>
      <c r="BL28" s="11"/>
      <c r="BM28" s="11"/>
      <c r="BN28" s="11"/>
      <c r="BO28" s="11"/>
      <c r="BP28" s="11"/>
      <c r="BQ28" s="12"/>
    </row>
    <row r="29" ht="207.75" customHeight="1">
      <c r="A29" s="47">
        <v>15.0</v>
      </c>
      <c r="B29" s="49" t="s">
        <v>326</v>
      </c>
      <c r="C29" s="11"/>
      <c r="D29" s="12"/>
      <c r="E29" s="49" t="s">
        <v>327</v>
      </c>
      <c r="F29" s="11"/>
      <c r="G29" s="11"/>
      <c r="H29" s="11"/>
      <c r="I29" s="12"/>
      <c r="J29" s="49" t="s">
        <v>290</v>
      </c>
      <c r="K29" s="11"/>
      <c r="L29" s="11"/>
      <c r="M29" s="11"/>
      <c r="N29" s="11"/>
      <c r="O29" s="11"/>
      <c r="P29" s="12"/>
      <c r="Q29" s="49" t="s">
        <v>328</v>
      </c>
      <c r="R29" s="11"/>
      <c r="S29" s="11"/>
      <c r="T29" s="11"/>
      <c r="U29" s="11"/>
      <c r="V29" s="11"/>
      <c r="W29" s="12"/>
      <c r="X29" s="49" t="s">
        <v>329</v>
      </c>
      <c r="Y29" s="11"/>
      <c r="Z29" s="11"/>
      <c r="AA29" s="11"/>
      <c r="AB29" s="11"/>
      <c r="AC29" s="11"/>
      <c r="AD29" s="12"/>
      <c r="AE29" s="48" t="s">
        <v>275</v>
      </c>
      <c r="AF29" s="12"/>
      <c r="AG29" s="48"/>
      <c r="AH29" s="11"/>
      <c r="AI29" s="12"/>
      <c r="AJ29" s="48"/>
      <c r="AK29" s="11"/>
      <c r="AL29" s="12"/>
      <c r="AM29" s="48"/>
      <c r="AN29" s="11"/>
      <c r="AO29" s="12"/>
      <c r="AP29" s="48"/>
      <c r="AQ29" s="11"/>
      <c r="AR29" s="12"/>
      <c r="AS29" s="48"/>
      <c r="AT29" s="11"/>
      <c r="AU29" s="12"/>
      <c r="AV29" s="48"/>
      <c r="AW29" s="11"/>
      <c r="AX29" s="12"/>
      <c r="AY29" s="48"/>
      <c r="AZ29" s="11"/>
      <c r="BA29" s="12"/>
      <c r="BB29" s="48"/>
      <c r="BC29" s="11"/>
      <c r="BD29" s="12"/>
      <c r="BE29" s="48"/>
      <c r="BF29" s="11"/>
      <c r="BG29" s="12"/>
      <c r="BH29" s="48"/>
      <c r="BI29" s="11"/>
      <c r="BJ29" s="12"/>
      <c r="BK29" s="49"/>
      <c r="BL29" s="11"/>
      <c r="BM29" s="11"/>
      <c r="BN29" s="11"/>
      <c r="BO29" s="11"/>
      <c r="BP29" s="11"/>
      <c r="BQ29" s="12"/>
    </row>
    <row r="30" ht="22.5" customHeight="1">
      <c r="A30" s="35" t="s">
        <v>330</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2"/>
    </row>
    <row r="31" ht="351.75" customHeight="1">
      <c r="A31" s="47">
        <v>16.0</v>
      </c>
      <c r="B31" s="49" t="s">
        <v>331</v>
      </c>
      <c r="C31" s="11"/>
      <c r="D31" s="12"/>
      <c r="E31" s="49" t="s">
        <v>332</v>
      </c>
      <c r="F31" s="11"/>
      <c r="G31" s="11"/>
      <c r="H31" s="11"/>
      <c r="I31" s="12"/>
      <c r="J31" s="49" t="s">
        <v>333</v>
      </c>
      <c r="K31" s="11"/>
      <c r="L31" s="11"/>
      <c r="M31" s="11"/>
      <c r="N31" s="11"/>
      <c r="O31" s="11"/>
      <c r="P31" s="12"/>
      <c r="Q31" s="49" t="s">
        <v>334</v>
      </c>
      <c r="R31" s="11"/>
      <c r="S31" s="11"/>
      <c r="T31" s="11"/>
      <c r="U31" s="11"/>
      <c r="V31" s="11"/>
      <c r="W31" s="12"/>
      <c r="X31" s="49" t="s">
        <v>335</v>
      </c>
      <c r="Y31" s="11"/>
      <c r="Z31" s="11"/>
      <c r="AA31" s="11"/>
      <c r="AB31" s="11"/>
      <c r="AC31" s="11"/>
      <c r="AD31" s="12"/>
      <c r="AE31" s="48" t="s">
        <v>275</v>
      </c>
      <c r="AF31" s="12"/>
      <c r="AG31" s="48"/>
      <c r="AH31" s="11"/>
      <c r="AI31" s="12"/>
      <c r="AJ31" s="48"/>
      <c r="AK31" s="11"/>
      <c r="AL31" s="12"/>
      <c r="AM31" s="48"/>
      <c r="AN31" s="11"/>
      <c r="AO31" s="12"/>
      <c r="AP31" s="48"/>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288.0" customHeight="1">
      <c r="A32" s="47">
        <v>17.0</v>
      </c>
      <c r="B32" s="49" t="s">
        <v>336</v>
      </c>
      <c r="C32" s="11"/>
      <c r="D32" s="12"/>
      <c r="E32" s="49" t="s">
        <v>337</v>
      </c>
      <c r="F32" s="11"/>
      <c r="G32" s="11"/>
      <c r="H32" s="11"/>
      <c r="I32" s="12"/>
      <c r="J32" s="49" t="s">
        <v>338</v>
      </c>
      <c r="K32" s="11"/>
      <c r="L32" s="11"/>
      <c r="M32" s="11"/>
      <c r="N32" s="11"/>
      <c r="O32" s="11"/>
      <c r="P32" s="12"/>
      <c r="Q32" s="49" t="s">
        <v>339</v>
      </c>
      <c r="R32" s="11"/>
      <c r="S32" s="11"/>
      <c r="T32" s="11"/>
      <c r="U32" s="11"/>
      <c r="V32" s="11"/>
      <c r="W32" s="12"/>
      <c r="X32" s="49" t="s">
        <v>340</v>
      </c>
      <c r="Y32" s="11"/>
      <c r="Z32" s="11"/>
      <c r="AA32" s="11"/>
      <c r="AB32" s="11"/>
      <c r="AC32" s="11"/>
      <c r="AD32" s="12"/>
      <c r="AE32" s="48" t="s">
        <v>207</v>
      </c>
      <c r="AF32" s="12"/>
      <c r="AG32" s="48"/>
      <c r="AH32" s="11"/>
      <c r="AI32" s="12"/>
      <c r="AJ32" s="48"/>
      <c r="AK32" s="11"/>
      <c r="AL32" s="12"/>
      <c r="AM32" s="48"/>
      <c r="AN32" s="11"/>
      <c r="AO32" s="12"/>
      <c r="AP32" s="48"/>
      <c r="AQ32" s="11"/>
      <c r="AR32" s="12"/>
      <c r="AS32" s="48"/>
      <c r="AT32" s="11"/>
      <c r="AU32" s="12"/>
      <c r="AV32" s="48"/>
      <c r="AW32" s="11"/>
      <c r="AX32" s="12"/>
      <c r="AY32" s="48"/>
      <c r="AZ32" s="11"/>
      <c r="BA32" s="12"/>
      <c r="BB32" s="48"/>
      <c r="BC32" s="11"/>
      <c r="BD32" s="12"/>
      <c r="BE32" s="48"/>
      <c r="BF32" s="11"/>
      <c r="BG32" s="12"/>
      <c r="BH32" s="48"/>
      <c r="BI32" s="11"/>
      <c r="BJ32" s="12"/>
      <c r="BK32" s="49"/>
      <c r="BL32" s="11"/>
      <c r="BM32" s="11"/>
      <c r="BN32" s="11"/>
      <c r="BO32" s="11"/>
      <c r="BP32" s="11"/>
      <c r="BQ32" s="12"/>
    </row>
    <row r="33" ht="288.0" customHeight="1">
      <c r="A33" s="47">
        <v>18.0</v>
      </c>
      <c r="B33" s="49" t="s">
        <v>341</v>
      </c>
      <c r="C33" s="11"/>
      <c r="D33" s="12"/>
      <c r="E33" s="49" t="s">
        <v>342</v>
      </c>
      <c r="F33" s="11"/>
      <c r="G33" s="11"/>
      <c r="H33" s="11"/>
      <c r="I33" s="12"/>
      <c r="J33" s="49" t="s">
        <v>343</v>
      </c>
      <c r="K33" s="11"/>
      <c r="L33" s="11"/>
      <c r="M33" s="11"/>
      <c r="N33" s="11"/>
      <c r="O33" s="11"/>
      <c r="P33" s="12"/>
      <c r="Q33" s="49" t="s">
        <v>344</v>
      </c>
      <c r="R33" s="11"/>
      <c r="S33" s="11"/>
      <c r="T33" s="11"/>
      <c r="U33" s="11"/>
      <c r="V33" s="11"/>
      <c r="W33" s="12"/>
      <c r="X33" s="49" t="s">
        <v>345</v>
      </c>
      <c r="Y33" s="11"/>
      <c r="Z33" s="11"/>
      <c r="AA33" s="11"/>
      <c r="AB33" s="11"/>
      <c r="AC33" s="11"/>
      <c r="AD33" s="12"/>
      <c r="AE33" s="48" t="s">
        <v>275</v>
      </c>
      <c r="AF33" s="12"/>
      <c r="AG33" s="48"/>
      <c r="AH33" s="11"/>
      <c r="AI33" s="12"/>
      <c r="AJ33" s="48"/>
      <c r="AK33" s="11"/>
      <c r="AL33" s="12"/>
      <c r="AM33" s="48"/>
      <c r="AN33" s="11"/>
      <c r="AO33" s="12"/>
      <c r="AP33" s="48"/>
      <c r="AQ33" s="11"/>
      <c r="AR33" s="12"/>
      <c r="AS33" s="48"/>
      <c r="AT33" s="11"/>
      <c r="AU33" s="12"/>
      <c r="AV33" s="48"/>
      <c r="AW33" s="11"/>
      <c r="AX33" s="12"/>
      <c r="AY33" s="48"/>
      <c r="AZ33" s="11"/>
      <c r="BA33" s="12"/>
      <c r="BB33" s="48"/>
      <c r="BC33" s="11"/>
      <c r="BD33" s="12"/>
      <c r="BE33" s="48"/>
      <c r="BF33" s="11"/>
      <c r="BG33" s="12"/>
      <c r="BH33" s="48"/>
      <c r="BI33" s="11"/>
      <c r="BJ33" s="12"/>
      <c r="BK33" s="49"/>
      <c r="BL33" s="11"/>
      <c r="BM33" s="11"/>
      <c r="BN33" s="11"/>
      <c r="BO33" s="11"/>
      <c r="BP33" s="11"/>
      <c r="BQ33" s="12"/>
    </row>
    <row r="34" ht="450.0" customHeight="1">
      <c r="A34" s="47">
        <v>19.0</v>
      </c>
      <c r="B34" s="49" t="s">
        <v>346</v>
      </c>
      <c r="C34" s="11"/>
      <c r="D34" s="12"/>
      <c r="E34" s="49" t="s">
        <v>347</v>
      </c>
      <c r="F34" s="11"/>
      <c r="G34" s="11"/>
      <c r="H34" s="11"/>
      <c r="I34" s="12"/>
      <c r="J34" s="49" t="s">
        <v>290</v>
      </c>
      <c r="K34" s="11"/>
      <c r="L34" s="11"/>
      <c r="M34" s="11"/>
      <c r="N34" s="11"/>
      <c r="O34" s="11"/>
      <c r="P34" s="12"/>
      <c r="Q34" s="49" t="s">
        <v>348</v>
      </c>
      <c r="R34" s="11"/>
      <c r="S34" s="11"/>
      <c r="T34" s="11"/>
      <c r="U34" s="11"/>
      <c r="V34" s="11"/>
      <c r="W34" s="12"/>
      <c r="X34" s="49" t="s">
        <v>349</v>
      </c>
      <c r="Y34" s="11"/>
      <c r="Z34" s="11"/>
      <c r="AA34" s="11"/>
      <c r="AB34" s="11"/>
      <c r="AC34" s="11"/>
      <c r="AD34" s="12"/>
      <c r="AE34" s="48" t="s">
        <v>207</v>
      </c>
      <c r="AF34" s="12"/>
      <c r="AG34" s="48"/>
      <c r="AH34" s="11"/>
      <c r="AI34" s="12"/>
      <c r="AJ34" s="48"/>
      <c r="AK34" s="11"/>
      <c r="AL34" s="12"/>
      <c r="AM34" s="48"/>
      <c r="AN34" s="11"/>
      <c r="AO34" s="12"/>
      <c r="AP34" s="48"/>
      <c r="AQ34" s="11"/>
      <c r="AR34" s="12"/>
      <c r="AS34" s="48"/>
      <c r="AT34" s="11"/>
      <c r="AU34" s="12"/>
      <c r="AV34" s="48"/>
      <c r="AW34" s="11"/>
      <c r="AX34" s="12"/>
      <c r="AY34" s="48"/>
      <c r="AZ34" s="11"/>
      <c r="BA34" s="12"/>
      <c r="BB34" s="48"/>
      <c r="BC34" s="11"/>
      <c r="BD34" s="12"/>
      <c r="BE34" s="48"/>
      <c r="BF34" s="11"/>
      <c r="BG34" s="12"/>
      <c r="BH34" s="48"/>
      <c r="BI34" s="11"/>
      <c r="BJ34" s="12"/>
      <c r="BK34" s="49"/>
      <c r="BL34" s="11"/>
      <c r="BM34" s="11"/>
      <c r="BN34" s="11"/>
      <c r="BO34" s="11"/>
      <c r="BP34" s="11"/>
      <c r="BQ34" s="12"/>
    </row>
    <row r="35" ht="255.75" customHeight="1">
      <c r="A35" s="47">
        <v>20.0</v>
      </c>
      <c r="B35" s="49" t="s">
        <v>350</v>
      </c>
      <c r="C35" s="11"/>
      <c r="D35" s="12"/>
      <c r="E35" s="49" t="s">
        <v>351</v>
      </c>
      <c r="F35" s="11"/>
      <c r="G35" s="11"/>
      <c r="H35" s="11"/>
      <c r="I35" s="12"/>
      <c r="J35" s="49" t="s">
        <v>352</v>
      </c>
      <c r="K35" s="11"/>
      <c r="L35" s="11"/>
      <c r="M35" s="11"/>
      <c r="N35" s="11"/>
      <c r="O35" s="11"/>
      <c r="P35" s="12"/>
      <c r="Q35" s="49" t="s">
        <v>353</v>
      </c>
      <c r="R35" s="11"/>
      <c r="S35" s="11"/>
      <c r="T35" s="11"/>
      <c r="U35" s="11"/>
      <c r="V35" s="11"/>
      <c r="W35" s="12"/>
      <c r="X35" s="49" t="s">
        <v>354</v>
      </c>
      <c r="Y35" s="11"/>
      <c r="Z35" s="11"/>
      <c r="AA35" s="11"/>
      <c r="AB35" s="11"/>
      <c r="AC35" s="11"/>
      <c r="AD35" s="12"/>
      <c r="AE35" s="48" t="s">
        <v>207</v>
      </c>
      <c r="AF35" s="12"/>
      <c r="AG35" s="48"/>
      <c r="AH35" s="11"/>
      <c r="AI35" s="12"/>
      <c r="AJ35" s="48"/>
      <c r="AK35" s="11"/>
      <c r="AL35" s="12"/>
      <c r="AM35" s="48"/>
      <c r="AN35" s="11"/>
      <c r="AO35" s="12"/>
      <c r="AP35" s="48"/>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367.5" customHeight="1">
      <c r="A36" s="47">
        <v>21.0</v>
      </c>
      <c r="B36" s="49" t="s">
        <v>355</v>
      </c>
      <c r="C36" s="11"/>
      <c r="D36" s="12"/>
      <c r="E36" s="49" t="s">
        <v>356</v>
      </c>
      <c r="F36" s="11"/>
      <c r="G36" s="11"/>
      <c r="H36" s="11"/>
      <c r="I36" s="12"/>
      <c r="J36" s="49" t="s">
        <v>357</v>
      </c>
      <c r="K36" s="11"/>
      <c r="L36" s="11"/>
      <c r="M36" s="11"/>
      <c r="N36" s="11"/>
      <c r="O36" s="11"/>
      <c r="P36" s="12"/>
      <c r="Q36" s="49" t="s">
        <v>358</v>
      </c>
      <c r="R36" s="11"/>
      <c r="S36" s="11"/>
      <c r="T36" s="11"/>
      <c r="U36" s="11"/>
      <c r="V36" s="11"/>
      <c r="W36" s="12"/>
      <c r="X36" s="49" t="s">
        <v>359</v>
      </c>
      <c r="Y36" s="11"/>
      <c r="Z36" s="11"/>
      <c r="AA36" s="11"/>
      <c r="AB36" s="11"/>
      <c r="AC36" s="11"/>
      <c r="AD36" s="12"/>
      <c r="AE36" s="48" t="s">
        <v>211</v>
      </c>
      <c r="AF36" s="12"/>
      <c r="AG36" s="59" t="s">
        <v>59</v>
      </c>
      <c r="AH36" s="11"/>
      <c r="AI36" s="12"/>
      <c r="AJ36" s="48"/>
      <c r="AK36" s="11"/>
      <c r="AL36" s="12"/>
      <c r="AM36" s="48"/>
      <c r="AN36" s="11"/>
      <c r="AO36" s="12"/>
      <c r="AP36" s="48"/>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399.75" customHeight="1">
      <c r="A37" s="47">
        <v>22.0</v>
      </c>
      <c r="B37" s="49" t="s">
        <v>360</v>
      </c>
      <c r="C37" s="11"/>
      <c r="D37" s="12"/>
      <c r="E37" s="49" t="s">
        <v>361</v>
      </c>
      <c r="F37" s="11"/>
      <c r="G37" s="11"/>
      <c r="H37" s="11"/>
      <c r="I37" s="12"/>
      <c r="J37" s="49" t="s">
        <v>362</v>
      </c>
      <c r="K37" s="11"/>
      <c r="L37" s="11"/>
      <c r="M37" s="11"/>
      <c r="N37" s="11"/>
      <c r="O37" s="11"/>
      <c r="P37" s="12"/>
      <c r="Q37" s="49" t="s">
        <v>363</v>
      </c>
      <c r="R37" s="11"/>
      <c r="S37" s="11"/>
      <c r="T37" s="11"/>
      <c r="U37" s="11"/>
      <c r="V37" s="11"/>
      <c r="W37" s="12"/>
      <c r="X37" s="49" t="s">
        <v>364</v>
      </c>
      <c r="Y37" s="11"/>
      <c r="Z37" s="11"/>
      <c r="AA37" s="11"/>
      <c r="AB37" s="11"/>
      <c r="AC37" s="11"/>
      <c r="AD37" s="12"/>
      <c r="AE37" s="48" t="s">
        <v>207</v>
      </c>
      <c r="AF37" s="12"/>
      <c r="AG37" s="48"/>
      <c r="AH37" s="11"/>
      <c r="AI37" s="12"/>
      <c r="AJ37" s="48"/>
      <c r="AK37" s="11"/>
      <c r="AL37" s="12"/>
      <c r="AM37" s="48"/>
      <c r="AN37" s="11"/>
      <c r="AO37" s="12"/>
      <c r="AP37" s="48"/>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384.0" customHeight="1">
      <c r="A38" s="47">
        <v>23.0</v>
      </c>
      <c r="B38" s="49" t="s">
        <v>365</v>
      </c>
      <c r="C38" s="11"/>
      <c r="D38" s="12"/>
      <c r="E38" s="49" t="s">
        <v>366</v>
      </c>
      <c r="F38" s="11"/>
      <c r="G38" s="11"/>
      <c r="H38" s="11"/>
      <c r="I38" s="12"/>
      <c r="J38" s="49" t="s">
        <v>367</v>
      </c>
      <c r="K38" s="11"/>
      <c r="L38" s="11"/>
      <c r="M38" s="11"/>
      <c r="N38" s="11"/>
      <c r="O38" s="11"/>
      <c r="P38" s="12"/>
      <c r="Q38" s="49" t="s">
        <v>368</v>
      </c>
      <c r="R38" s="11"/>
      <c r="S38" s="11"/>
      <c r="T38" s="11"/>
      <c r="U38" s="11"/>
      <c r="V38" s="11"/>
      <c r="W38" s="12"/>
      <c r="X38" s="49" t="s">
        <v>369</v>
      </c>
      <c r="Y38" s="11"/>
      <c r="Z38" s="11"/>
      <c r="AA38" s="11"/>
      <c r="AB38" s="11"/>
      <c r="AC38" s="11"/>
      <c r="AD38" s="12"/>
      <c r="AE38" s="48" t="s">
        <v>207</v>
      </c>
      <c r="AF38" s="12"/>
      <c r="AG38" s="48"/>
      <c r="AH38" s="11"/>
      <c r="AI38" s="12"/>
      <c r="AJ38" s="48"/>
      <c r="AK38" s="11"/>
      <c r="AL38" s="12"/>
      <c r="AM38" s="48"/>
      <c r="AN38" s="11"/>
      <c r="AO38" s="12"/>
      <c r="AP38" s="48"/>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399.75" customHeight="1">
      <c r="A39" s="47">
        <v>24.0</v>
      </c>
      <c r="B39" s="49" t="s">
        <v>370</v>
      </c>
      <c r="C39" s="11"/>
      <c r="D39" s="12"/>
      <c r="E39" s="49" t="s">
        <v>371</v>
      </c>
      <c r="F39" s="11"/>
      <c r="G39" s="11"/>
      <c r="H39" s="11"/>
      <c r="I39" s="12"/>
      <c r="J39" s="49" t="s">
        <v>372</v>
      </c>
      <c r="K39" s="11"/>
      <c r="L39" s="11"/>
      <c r="M39" s="11"/>
      <c r="N39" s="11"/>
      <c r="O39" s="11"/>
      <c r="P39" s="12"/>
      <c r="Q39" s="49" t="s">
        <v>373</v>
      </c>
      <c r="R39" s="11"/>
      <c r="S39" s="11"/>
      <c r="T39" s="11"/>
      <c r="U39" s="11"/>
      <c r="V39" s="11"/>
      <c r="W39" s="12"/>
      <c r="X39" s="49" t="s">
        <v>374</v>
      </c>
      <c r="Y39" s="11"/>
      <c r="Z39" s="11"/>
      <c r="AA39" s="11"/>
      <c r="AB39" s="11"/>
      <c r="AC39" s="11"/>
      <c r="AD39" s="12"/>
      <c r="AE39" s="48" t="s">
        <v>211</v>
      </c>
      <c r="AF39" s="12"/>
      <c r="AG39" s="48"/>
      <c r="AH39" s="11"/>
      <c r="AI39" s="12"/>
      <c r="AJ39" s="48"/>
      <c r="AK39" s="11"/>
      <c r="AL39" s="12"/>
      <c r="AM39" s="48"/>
      <c r="AN39" s="11"/>
      <c r="AO39" s="12"/>
      <c r="AP39" s="48"/>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22.5" customHeight="1">
      <c r="A40" s="35" t="s">
        <v>375</v>
      </c>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2"/>
    </row>
    <row r="41" ht="415.5" customHeight="1">
      <c r="A41" s="47">
        <v>25.0</v>
      </c>
      <c r="B41" s="49" t="s">
        <v>376</v>
      </c>
      <c r="C41" s="11"/>
      <c r="D41" s="12"/>
      <c r="E41" s="49" t="s">
        <v>377</v>
      </c>
      <c r="F41" s="11"/>
      <c r="G41" s="11"/>
      <c r="H41" s="11"/>
      <c r="I41" s="12"/>
      <c r="J41" s="49" t="s">
        <v>290</v>
      </c>
      <c r="K41" s="11"/>
      <c r="L41" s="11"/>
      <c r="M41" s="11"/>
      <c r="N41" s="11"/>
      <c r="O41" s="11"/>
      <c r="P41" s="12"/>
      <c r="Q41" s="49" t="s">
        <v>378</v>
      </c>
      <c r="R41" s="11"/>
      <c r="S41" s="11"/>
      <c r="T41" s="11"/>
      <c r="U41" s="11"/>
      <c r="V41" s="11"/>
      <c r="W41" s="12"/>
      <c r="X41" s="49" t="s">
        <v>379</v>
      </c>
      <c r="Y41" s="11"/>
      <c r="Z41" s="11"/>
      <c r="AA41" s="11"/>
      <c r="AB41" s="11"/>
      <c r="AC41" s="11"/>
      <c r="AD41" s="12"/>
      <c r="AE41" s="48" t="s">
        <v>275</v>
      </c>
      <c r="AF41" s="12"/>
      <c r="AG41" s="48"/>
      <c r="AH41" s="11"/>
      <c r="AI41" s="12"/>
      <c r="AJ41" s="48"/>
      <c r="AK41" s="11"/>
      <c r="AL41" s="12"/>
      <c r="AM41" s="48"/>
      <c r="AN41" s="11"/>
      <c r="AO41" s="12"/>
      <c r="AP41" s="48"/>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240.0" customHeight="1">
      <c r="A42" s="47">
        <v>26.0</v>
      </c>
      <c r="B42" s="49" t="s">
        <v>380</v>
      </c>
      <c r="C42" s="11"/>
      <c r="D42" s="12"/>
      <c r="E42" s="49" t="s">
        <v>381</v>
      </c>
      <c r="F42" s="11"/>
      <c r="G42" s="11"/>
      <c r="H42" s="11"/>
      <c r="I42" s="12"/>
      <c r="J42" s="49" t="s">
        <v>382</v>
      </c>
      <c r="K42" s="11"/>
      <c r="L42" s="11"/>
      <c r="M42" s="11"/>
      <c r="N42" s="11"/>
      <c r="O42" s="11"/>
      <c r="P42" s="12"/>
      <c r="Q42" s="49" t="s">
        <v>383</v>
      </c>
      <c r="R42" s="11"/>
      <c r="S42" s="11"/>
      <c r="T42" s="11"/>
      <c r="U42" s="11"/>
      <c r="V42" s="11"/>
      <c r="W42" s="12"/>
      <c r="X42" s="49" t="s">
        <v>384</v>
      </c>
      <c r="Y42" s="11"/>
      <c r="Z42" s="11"/>
      <c r="AA42" s="11"/>
      <c r="AB42" s="11"/>
      <c r="AC42" s="11"/>
      <c r="AD42" s="12"/>
      <c r="AE42" s="48" t="s">
        <v>275</v>
      </c>
      <c r="AF42" s="12"/>
      <c r="AG42" s="48"/>
      <c r="AH42" s="11"/>
      <c r="AI42" s="12"/>
      <c r="AJ42" s="48"/>
      <c r="AK42" s="11"/>
      <c r="AL42" s="12"/>
      <c r="AM42" s="48"/>
      <c r="AN42" s="11"/>
      <c r="AO42" s="12"/>
      <c r="AP42" s="48"/>
      <c r="AQ42" s="11"/>
      <c r="AR42" s="12"/>
      <c r="AS42" s="48"/>
      <c r="AT42" s="11"/>
      <c r="AU42" s="12"/>
      <c r="AV42" s="48"/>
      <c r="AW42" s="11"/>
      <c r="AX42" s="12"/>
      <c r="AY42" s="48"/>
      <c r="AZ42" s="11"/>
      <c r="BA42" s="12"/>
      <c r="BB42" s="48"/>
      <c r="BC42" s="11"/>
      <c r="BD42" s="12"/>
      <c r="BE42" s="48"/>
      <c r="BF42" s="11"/>
      <c r="BG42" s="12"/>
      <c r="BH42" s="48"/>
      <c r="BI42" s="11"/>
      <c r="BJ42" s="12"/>
      <c r="BK42" s="49"/>
      <c r="BL42" s="11"/>
      <c r="BM42" s="11"/>
      <c r="BN42" s="11"/>
      <c r="BO42" s="11"/>
      <c r="BP42" s="11"/>
      <c r="BQ42" s="12"/>
    </row>
    <row r="43" ht="175.5" customHeight="1">
      <c r="A43" s="47">
        <v>27.0</v>
      </c>
      <c r="B43" s="49" t="s">
        <v>385</v>
      </c>
      <c r="C43" s="11"/>
      <c r="D43" s="12"/>
      <c r="E43" s="49" t="s">
        <v>386</v>
      </c>
      <c r="F43" s="11"/>
      <c r="G43" s="11"/>
      <c r="H43" s="11"/>
      <c r="I43" s="12"/>
      <c r="J43" s="49" t="s">
        <v>387</v>
      </c>
      <c r="K43" s="11"/>
      <c r="L43" s="11"/>
      <c r="M43" s="11"/>
      <c r="N43" s="11"/>
      <c r="O43" s="11"/>
      <c r="P43" s="12"/>
      <c r="Q43" s="49" t="s">
        <v>388</v>
      </c>
      <c r="R43" s="11"/>
      <c r="S43" s="11"/>
      <c r="T43" s="11"/>
      <c r="U43" s="11"/>
      <c r="V43" s="11"/>
      <c r="W43" s="12"/>
      <c r="X43" s="49" t="s">
        <v>389</v>
      </c>
      <c r="Y43" s="11"/>
      <c r="Z43" s="11"/>
      <c r="AA43" s="11"/>
      <c r="AB43" s="11"/>
      <c r="AC43" s="11"/>
      <c r="AD43" s="12"/>
      <c r="AE43" s="48" t="s">
        <v>207</v>
      </c>
      <c r="AF43" s="12"/>
      <c r="AG43" s="48"/>
      <c r="AH43" s="11"/>
      <c r="AI43" s="12"/>
      <c r="AJ43" s="48"/>
      <c r="AK43" s="11"/>
      <c r="AL43" s="12"/>
      <c r="AM43" s="48"/>
      <c r="AN43" s="11"/>
      <c r="AO43" s="12"/>
      <c r="AP43" s="48"/>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22.5" customHeight="1">
      <c r="A44" s="35" t="s">
        <v>390</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2"/>
    </row>
    <row r="45" ht="450.0" customHeight="1">
      <c r="A45" s="47">
        <v>28.0</v>
      </c>
      <c r="B45" s="49" t="s">
        <v>391</v>
      </c>
      <c r="C45" s="11"/>
      <c r="D45" s="12"/>
      <c r="E45" s="49" t="s">
        <v>392</v>
      </c>
      <c r="F45" s="11"/>
      <c r="G45" s="11"/>
      <c r="H45" s="11"/>
      <c r="I45" s="12"/>
      <c r="J45" s="49" t="s">
        <v>393</v>
      </c>
      <c r="K45" s="11"/>
      <c r="L45" s="11"/>
      <c r="M45" s="11"/>
      <c r="N45" s="11"/>
      <c r="O45" s="11"/>
      <c r="P45" s="12"/>
      <c r="Q45" s="49" t="s">
        <v>394</v>
      </c>
      <c r="R45" s="11"/>
      <c r="S45" s="11"/>
      <c r="T45" s="11"/>
      <c r="U45" s="11"/>
      <c r="V45" s="11"/>
      <c r="W45" s="12"/>
      <c r="X45" s="49" t="s">
        <v>395</v>
      </c>
      <c r="Y45" s="11"/>
      <c r="Z45" s="11"/>
      <c r="AA45" s="11"/>
      <c r="AB45" s="11"/>
      <c r="AC45" s="11"/>
      <c r="AD45" s="12"/>
      <c r="AE45" s="48" t="s">
        <v>275</v>
      </c>
      <c r="AF45" s="12"/>
      <c r="AG45" s="48"/>
      <c r="AH45" s="11"/>
      <c r="AI45" s="12"/>
      <c r="AJ45" s="48"/>
      <c r="AK45" s="11"/>
      <c r="AL45" s="12"/>
      <c r="AM45" s="48"/>
      <c r="AN45" s="11"/>
      <c r="AO45" s="12"/>
      <c r="AP45" s="48"/>
      <c r="AQ45" s="11"/>
      <c r="AR45" s="12"/>
      <c r="AS45" s="48"/>
      <c r="AT45" s="11"/>
      <c r="AU45" s="12"/>
      <c r="AV45" s="48"/>
      <c r="AW45" s="11"/>
      <c r="AX45" s="12"/>
      <c r="AY45" s="48"/>
      <c r="AZ45" s="11"/>
      <c r="BA45" s="12"/>
      <c r="BB45" s="48"/>
      <c r="BC45" s="11"/>
      <c r="BD45" s="12"/>
      <c r="BE45" s="48"/>
      <c r="BF45" s="11"/>
      <c r="BG45" s="12"/>
      <c r="BH45" s="48"/>
      <c r="BI45" s="11"/>
      <c r="BJ45" s="12"/>
      <c r="BK45" s="49"/>
      <c r="BL45" s="11"/>
      <c r="BM45" s="11"/>
      <c r="BN45" s="11"/>
      <c r="BO45" s="11"/>
      <c r="BP45" s="11"/>
      <c r="BQ45" s="12"/>
    </row>
    <row r="46" ht="319.5" customHeight="1">
      <c r="A46" s="47">
        <v>29.0</v>
      </c>
      <c r="B46" s="49" t="s">
        <v>396</v>
      </c>
      <c r="C46" s="11"/>
      <c r="D46" s="12"/>
      <c r="E46" s="49" t="s">
        <v>397</v>
      </c>
      <c r="F46" s="11"/>
      <c r="G46" s="11"/>
      <c r="H46" s="11"/>
      <c r="I46" s="12"/>
      <c r="J46" s="49" t="s">
        <v>398</v>
      </c>
      <c r="K46" s="11"/>
      <c r="L46" s="11"/>
      <c r="M46" s="11"/>
      <c r="N46" s="11"/>
      <c r="O46" s="11"/>
      <c r="P46" s="12"/>
      <c r="Q46" s="49" t="s">
        <v>399</v>
      </c>
      <c r="R46" s="11"/>
      <c r="S46" s="11"/>
      <c r="T46" s="11"/>
      <c r="U46" s="11"/>
      <c r="V46" s="11"/>
      <c r="W46" s="12"/>
      <c r="X46" s="49" t="s">
        <v>400</v>
      </c>
      <c r="Y46" s="11"/>
      <c r="Z46" s="11"/>
      <c r="AA46" s="11"/>
      <c r="AB46" s="11"/>
      <c r="AC46" s="11"/>
      <c r="AD46" s="12"/>
      <c r="AE46" s="48" t="s">
        <v>275</v>
      </c>
      <c r="AF46" s="12"/>
      <c r="AG46" s="48"/>
      <c r="AH46" s="11"/>
      <c r="AI46" s="12"/>
      <c r="AJ46" s="48"/>
      <c r="AK46" s="11"/>
      <c r="AL46" s="12"/>
      <c r="AM46" s="48"/>
      <c r="AN46" s="11"/>
      <c r="AO46" s="12"/>
      <c r="AP46" s="48"/>
      <c r="AQ46" s="11"/>
      <c r="AR46" s="12"/>
      <c r="AS46" s="48"/>
      <c r="AT46" s="11"/>
      <c r="AU46" s="12"/>
      <c r="AV46" s="48"/>
      <c r="AW46" s="11"/>
      <c r="AX46" s="12"/>
      <c r="AY46" s="48"/>
      <c r="AZ46" s="11"/>
      <c r="BA46" s="12"/>
      <c r="BB46" s="48"/>
      <c r="BC46" s="11"/>
      <c r="BD46" s="12"/>
      <c r="BE46" s="48"/>
      <c r="BF46" s="11"/>
      <c r="BG46" s="12"/>
      <c r="BH46" s="48"/>
      <c r="BI46" s="11"/>
      <c r="BJ46" s="12"/>
      <c r="BK46" s="49"/>
      <c r="BL46" s="11"/>
      <c r="BM46" s="11"/>
      <c r="BN46" s="11"/>
      <c r="BO46" s="11"/>
      <c r="BP46" s="11"/>
      <c r="BQ46" s="12"/>
    </row>
    <row r="47" ht="447.75" customHeight="1">
      <c r="A47" s="47">
        <v>30.0</v>
      </c>
      <c r="B47" s="49" t="s">
        <v>401</v>
      </c>
      <c r="C47" s="11"/>
      <c r="D47" s="12"/>
      <c r="E47" s="49" t="s">
        <v>402</v>
      </c>
      <c r="F47" s="11"/>
      <c r="G47" s="11"/>
      <c r="H47" s="11"/>
      <c r="I47" s="12"/>
      <c r="J47" s="49" t="s">
        <v>403</v>
      </c>
      <c r="K47" s="11"/>
      <c r="L47" s="11"/>
      <c r="M47" s="11"/>
      <c r="N47" s="11"/>
      <c r="O47" s="11"/>
      <c r="P47" s="12"/>
      <c r="Q47" s="49" t="s">
        <v>404</v>
      </c>
      <c r="R47" s="11"/>
      <c r="S47" s="11"/>
      <c r="T47" s="11"/>
      <c r="U47" s="11"/>
      <c r="V47" s="11"/>
      <c r="W47" s="12"/>
      <c r="X47" s="49" t="s">
        <v>405</v>
      </c>
      <c r="Y47" s="11"/>
      <c r="Z47" s="11"/>
      <c r="AA47" s="11"/>
      <c r="AB47" s="11"/>
      <c r="AC47" s="11"/>
      <c r="AD47" s="12"/>
      <c r="AE47" s="48" t="s">
        <v>207</v>
      </c>
      <c r="AF47" s="12"/>
      <c r="AG47" s="48"/>
      <c r="AH47" s="11"/>
      <c r="AI47" s="12"/>
      <c r="AJ47" s="48"/>
      <c r="AK47" s="11"/>
      <c r="AL47" s="12"/>
      <c r="AM47" s="48"/>
      <c r="AN47" s="11"/>
      <c r="AO47" s="12"/>
      <c r="AP47" s="48"/>
      <c r="AQ47" s="11"/>
      <c r="AR47" s="12"/>
      <c r="AS47" s="48"/>
      <c r="AT47" s="11"/>
      <c r="AU47" s="12"/>
      <c r="AV47" s="48"/>
      <c r="AW47" s="11"/>
      <c r="AX47" s="12"/>
      <c r="AY47" s="48"/>
      <c r="AZ47" s="11"/>
      <c r="BA47" s="12"/>
      <c r="BB47" s="48"/>
      <c r="BC47" s="11"/>
      <c r="BD47" s="12"/>
      <c r="BE47" s="48"/>
      <c r="BF47" s="11"/>
      <c r="BG47" s="12"/>
      <c r="BH47" s="48"/>
      <c r="BI47" s="11"/>
      <c r="BJ47" s="12"/>
      <c r="BK47" s="49"/>
      <c r="BL47" s="11"/>
      <c r="BM47" s="11"/>
      <c r="BN47" s="11"/>
      <c r="BO47" s="11"/>
      <c r="BP47" s="11"/>
      <c r="BQ47" s="12"/>
    </row>
    <row r="48" ht="351.75" customHeight="1">
      <c r="A48" s="47">
        <v>31.0</v>
      </c>
      <c r="B48" s="49" t="s">
        <v>406</v>
      </c>
      <c r="C48" s="11"/>
      <c r="D48" s="12"/>
      <c r="E48" s="49" t="s">
        <v>407</v>
      </c>
      <c r="F48" s="11"/>
      <c r="G48" s="11"/>
      <c r="H48" s="11"/>
      <c r="I48" s="12"/>
      <c r="J48" s="49" t="s">
        <v>408</v>
      </c>
      <c r="K48" s="11"/>
      <c r="L48" s="11"/>
      <c r="M48" s="11"/>
      <c r="N48" s="11"/>
      <c r="O48" s="11"/>
      <c r="P48" s="12"/>
      <c r="Q48" s="49" t="s">
        <v>409</v>
      </c>
      <c r="R48" s="11"/>
      <c r="S48" s="11"/>
      <c r="T48" s="11"/>
      <c r="U48" s="11"/>
      <c r="V48" s="11"/>
      <c r="W48" s="12"/>
      <c r="X48" s="49" t="s">
        <v>410</v>
      </c>
      <c r="Y48" s="11"/>
      <c r="Z48" s="11"/>
      <c r="AA48" s="11"/>
      <c r="AB48" s="11"/>
      <c r="AC48" s="11"/>
      <c r="AD48" s="12"/>
      <c r="AE48" s="48" t="s">
        <v>207</v>
      </c>
      <c r="AF48" s="12"/>
      <c r="AG48" s="48"/>
      <c r="AH48" s="11"/>
      <c r="AI48" s="12"/>
      <c r="AJ48" s="48"/>
      <c r="AK48" s="11"/>
      <c r="AL48" s="12"/>
      <c r="AM48" s="48"/>
      <c r="AN48" s="11"/>
      <c r="AO48" s="12"/>
      <c r="AP48" s="48"/>
      <c r="AQ48" s="11"/>
      <c r="AR48" s="12"/>
      <c r="AS48" s="48"/>
      <c r="AT48" s="11"/>
      <c r="AU48" s="12"/>
      <c r="AV48" s="48"/>
      <c r="AW48" s="11"/>
      <c r="AX48" s="12"/>
      <c r="AY48" s="48"/>
      <c r="AZ48" s="11"/>
      <c r="BA48" s="12"/>
      <c r="BB48" s="48"/>
      <c r="BC48" s="11"/>
      <c r="BD48" s="12"/>
      <c r="BE48" s="48"/>
      <c r="BF48" s="11"/>
      <c r="BG48" s="12"/>
      <c r="BH48" s="48"/>
      <c r="BI48" s="11"/>
      <c r="BJ48" s="12"/>
      <c r="BK48" s="49"/>
      <c r="BL48" s="11"/>
      <c r="BM48" s="11"/>
      <c r="BN48" s="11"/>
      <c r="BO48" s="11"/>
      <c r="BP48" s="11"/>
      <c r="BQ48" s="12"/>
    </row>
    <row r="49" ht="384.0" customHeight="1">
      <c r="A49" s="47">
        <v>32.0</v>
      </c>
      <c r="B49" s="49" t="s">
        <v>411</v>
      </c>
      <c r="C49" s="11"/>
      <c r="D49" s="12"/>
      <c r="E49" s="49" t="s">
        <v>412</v>
      </c>
      <c r="F49" s="11"/>
      <c r="G49" s="11"/>
      <c r="H49" s="11"/>
      <c r="I49" s="12"/>
      <c r="J49" s="49" t="s">
        <v>413</v>
      </c>
      <c r="K49" s="11"/>
      <c r="L49" s="11"/>
      <c r="M49" s="11"/>
      <c r="N49" s="11"/>
      <c r="O49" s="11"/>
      <c r="P49" s="12"/>
      <c r="Q49" s="49" t="s">
        <v>414</v>
      </c>
      <c r="R49" s="11"/>
      <c r="S49" s="11"/>
      <c r="T49" s="11"/>
      <c r="U49" s="11"/>
      <c r="V49" s="11"/>
      <c r="W49" s="12"/>
      <c r="X49" s="49" t="s">
        <v>415</v>
      </c>
      <c r="Y49" s="11"/>
      <c r="Z49" s="11"/>
      <c r="AA49" s="11"/>
      <c r="AB49" s="11"/>
      <c r="AC49" s="11"/>
      <c r="AD49" s="12"/>
      <c r="AE49" s="48" t="s">
        <v>207</v>
      </c>
      <c r="AF49" s="12"/>
      <c r="AG49" s="48"/>
      <c r="AH49" s="11"/>
      <c r="AI49" s="12"/>
      <c r="AJ49" s="48"/>
      <c r="AK49" s="11"/>
      <c r="AL49" s="12"/>
      <c r="AM49" s="48"/>
      <c r="AN49" s="11"/>
      <c r="AO49" s="12"/>
      <c r="AP49" s="48"/>
      <c r="AQ49" s="11"/>
      <c r="AR49" s="12"/>
      <c r="AS49" s="48"/>
      <c r="AT49" s="11"/>
      <c r="AU49" s="12"/>
      <c r="AV49" s="48"/>
      <c r="AW49" s="11"/>
      <c r="AX49" s="12"/>
      <c r="AY49" s="48"/>
      <c r="AZ49" s="11"/>
      <c r="BA49" s="12"/>
      <c r="BB49" s="48"/>
      <c r="BC49" s="11"/>
      <c r="BD49" s="12"/>
      <c r="BE49" s="48"/>
      <c r="BF49" s="11"/>
      <c r="BG49" s="12"/>
      <c r="BH49" s="48"/>
      <c r="BI49" s="11"/>
      <c r="BJ49" s="12"/>
      <c r="BK49" s="49"/>
      <c r="BL49" s="11"/>
      <c r="BM49" s="11"/>
      <c r="BN49" s="11"/>
      <c r="BO49" s="11"/>
      <c r="BP49" s="11"/>
      <c r="BQ49" s="12"/>
    </row>
    <row r="50" ht="351.75" customHeight="1">
      <c r="A50" s="47">
        <v>33.0</v>
      </c>
      <c r="B50" s="49" t="s">
        <v>416</v>
      </c>
      <c r="C50" s="11"/>
      <c r="D50" s="12"/>
      <c r="E50" s="49" t="s">
        <v>417</v>
      </c>
      <c r="F50" s="11"/>
      <c r="G50" s="11"/>
      <c r="H50" s="11"/>
      <c r="I50" s="12"/>
      <c r="J50" s="49" t="s">
        <v>418</v>
      </c>
      <c r="K50" s="11"/>
      <c r="L50" s="11"/>
      <c r="M50" s="11"/>
      <c r="N50" s="11"/>
      <c r="O50" s="11"/>
      <c r="P50" s="12"/>
      <c r="Q50" s="49" t="s">
        <v>419</v>
      </c>
      <c r="R50" s="11"/>
      <c r="S50" s="11"/>
      <c r="T50" s="11"/>
      <c r="U50" s="11"/>
      <c r="V50" s="11"/>
      <c r="W50" s="12"/>
      <c r="X50" s="49" t="s">
        <v>420</v>
      </c>
      <c r="Y50" s="11"/>
      <c r="Z50" s="11"/>
      <c r="AA50" s="11"/>
      <c r="AB50" s="11"/>
      <c r="AC50" s="11"/>
      <c r="AD50" s="12"/>
      <c r="AE50" s="48" t="s">
        <v>275</v>
      </c>
      <c r="AF50" s="12"/>
      <c r="AG50" s="48"/>
      <c r="AH50" s="11"/>
      <c r="AI50" s="12"/>
      <c r="AJ50" s="48"/>
      <c r="AK50" s="11"/>
      <c r="AL50" s="12"/>
      <c r="AM50" s="48"/>
      <c r="AN50" s="11"/>
      <c r="AO50" s="12"/>
      <c r="AP50" s="48"/>
      <c r="AQ50" s="11"/>
      <c r="AR50" s="12"/>
      <c r="AS50" s="48"/>
      <c r="AT50" s="11"/>
      <c r="AU50" s="12"/>
      <c r="AV50" s="48"/>
      <c r="AW50" s="11"/>
      <c r="AX50" s="12"/>
      <c r="AY50" s="48"/>
      <c r="AZ50" s="11"/>
      <c r="BA50" s="12"/>
      <c r="BB50" s="48"/>
      <c r="BC50" s="11"/>
      <c r="BD50" s="12"/>
      <c r="BE50" s="48"/>
      <c r="BF50" s="11"/>
      <c r="BG50" s="12"/>
      <c r="BH50" s="48"/>
      <c r="BI50" s="11"/>
      <c r="BJ50" s="12"/>
      <c r="BK50" s="49"/>
      <c r="BL50" s="11"/>
      <c r="BM50" s="11"/>
      <c r="BN50" s="11"/>
      <c r="BO50" s="11"/>
      <c r="BP50" s="11"/>
      <c r="BQ50" s="12"/>
    </row>
    <row r="51" ht="399.75" customHeight="1">
      <c r="A51" s="47">
        <v>34.0</v>
      </c>
      <c r="B51" s="49" t="s">
        <v>421</v>
      </c>
      <c r="C51" s="11"/>
      <c r="D51" s="12"/>
      <c r="E51" s="49" t="s">
        <v>422</v>
      </c>
      <c r="F51" s="11"/>
      <c r="G51" s="11"/>
      <c r="H51" s="11"/>
      <c r="I51" s="12"/>
      <c r="J51" s="49" t="s">
        <v>423</v>
      </c>
      <c r="K51" s="11"/>
      <c r="L51" s="11"/>
      <c r="M51" s="11"/>
      <c r="N51" s="11"/>
      <c r="O51" s="11"/>
      <c r="P51" s="12"/>
      <c r="Q51" s="49" t="s">
        <v>424</v>
      </c>
      <c r="R51" s="11"/>
      <c r="S51" s="11"/>
      <c r="T51" s="11"/>
      <c r="U51" s="11"/>
      <c r="V51" s="11"/>
      <c r="W51" s="12"/>
      <c r="X51" s="49" t="s">
        <v>425</v>
      </c>
      <c r="Y51" s="11"/>
      <c r="Z51" s="11"/>
      <c r="AA51" s="11"/>
      <c r="AB51" s="11"/>
      <c r="AC51" s="11"/>
      <c r="AD51" s="12"/>
      <c r="AE51" s="48" t="s">
        <v>207</v>
      </c>
      <c r="AF51" s="12"/>
      <c r="AG51" s="48"/>
      <c r="AH51" s="11"/>
      <c r="AI51" s="12"/>
      <c r="AJ51" s="48"/>
      <c r="AK51" s="11"/>
      <c r="AL51" s="12"/>
      <c r="AM51" s="48"/>
      <c r="AN51" s="11"/>
      <c r="AO51" s="12"/>
      <c r="AP51" s="48"/>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22.5" customHeight="1">
      <c r="A52" s="35" t="s">
        <v>426</v>
      </c>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2"/>
    </row>
    <row r="53" ht="432.0" customHeight="1">
      <c r="A53" s="47">
        <v>35.0</v>
      </c>
      <c r="B53" s="49" t="s">
        <v>427</v>
      </c>
      <c r="C53" s="11"/>
      <c r="D53" s="12"/>
      <c r="E53" s="49" t="s">
        <v>428</v>
      </c>
      <c r="F53" s="11"/>
      <c r="G53" s="11"/>
      <c r="H53" s="11"/>
      <c r="I53" s="12"/>
      <c r="J53" s="49" t="s">
        <v>429</v>
      </c>
      <c r="K53" s="11"/>
      <c r="L53" s="11"/>
      <c r="M53" s="11"/>
      <c r="N53" s="11"/>
      <c r="O53" s="11"/>
      <c r="P53" s="12"/>
      <c r="Q53" s="49" t="s">
        <v>430</v>
      </c>
      <c r="R53" s="11"/>
      <c r="S53" s="11"/>
      <c r="T53" s="11"/>
      <c r="U53" s="11"/>
      <c r="V53" s="11"/>
      <c r="W53" s="12"/>
      <c r="X53" s="49" t="s">
        <v>431</v>
      </c>
      <c r="Y53" s="11"/>
      <c r="Z53" s="11"/>
      <c r="AA53" s="11"/>
      <c r="AB53" s="11"/>
      <c r="AC53" s="11"/>
      <c r="AD53" s="12"/>
      <c r="AE53" s="48" t="s">
        <v>275</v>
      </c>
      <c r="AF53" s="12"/>
      <c r="AG53" s="48"/>
      <c r="AH53" s="11"/>
      <c r="AI53" s="12"/>
      <c r="AJ53" s="48"/>
      <c r="AK53" s="11"/>
      <c r="AL53" s="12"/>
      <c r="AM53" s="48"/>
      <c r="AN53" s="11"/>
      <c r="AO53" s="12"/>
      <c r="AP53" s="48"/>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336.0" customHeight="1">
      <c r="A54" s="47">
        <v>36.0</v>
      </c>
      <c r="B54" s="49" t="s">
        <v>432</v>
      </c>
      <c r="C54" s="11"/>
      <c r="D54" s="12"/>
      <c r="E54" s="49" t="s">
        <v>433</v>
      </c>
      <c r="F54" s="11"/>
      <c r="G54" s="11"/>
      <c r="H54" s="11"/>
      <c r="I54" s="12"/>
      <c r="J54" s="49" t="s">
        <v>434</v>
      </c>
      <c r="K54" s="11"/>
      <c r="L54" s="11"/>
      <c r="M54" s="11"/>
      <c r="N54" s="11"/>
      <c r="O54" s="11"/>
      <c r="P54" s="12"/>
      <c r="Q54" s="49" t="s">
        <v>435</v>
      </c>
      <c r="R54" s="11"/>
      <c r="S54" s="11"/>
      <c r="T54" s="11"/>
      <c r="U54" s="11"/>
      <c r="V54" s="11"/>
      <c r="W54" s="12"/>
      <c r="X54" s="49" t="s">
        <v>436</v>
      </c>
      <c r="Y54" s="11"/>
      <c r="Z54" s="11"/>
      <c r="AA54" s="11"/>
      <c r="AB54" s="11"/>
      <c r="AC54" s="11"/>
      <c r="AD54" s="12"/>
      <c r="AE54" s="48" t="s">
        <v>207</v>
      </c>
      <c r="AF54" s="12"/>
      <c r="AG54" s="48"/>
      <c r="AH54" s="11"/>
      <c r="AI54" s="12"/>
      <c r="AJ54" s="48"/>
      <c r="AK54" s="11"/>
      <c r="AL54" s="12"/>
      <c r="AM54" s="48"/>
      <c r="AN54" s="11"/>
      <c r="AO54" s="12"/>
      <c r="AP54" s="48"/>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319.5" customHeight="1">
      <c r="A55" s="47">
        <v>37.0</v>
      </c>
      <c r="B55" s="49" t="s">
        <v>437</v>
      </c>
      <c r="C55" s="11"/>
      <c r="D55" s="12"/>
      <c r="E55" s="49" t="s">
        <v>438</v>
      </c>
      <c r="F55" s="11"/>
      <c r="G55" s="11"/>
      <c r="H55" s="11"/>
      <c r="I55" s="12"/>
      <c r="J55" s="49" t="s">
        <v>439</v>
      </c>
      <c r="K55" s="11"/>
      <c r="L55" s="11"/>
      <c r="M55" s="11"/>
      <c r="N55" s="11"/>
      <c r="O55" s="11"/>
      <c r="P55" s="12"/>
      <c r="Q55" s="49" t="s">
        <v>440</v>
      </c>
      <c r="R55" s="11"/>
      <c r="S55" s="11"/>
      <c r="T55" s="11"/>
      <c r="U55" s="11"/>
      <c r="V55" s="11"/>
      <c r="W55" s="12"/>
      <c r="X55" s="49" t="s">
        <v>441</v>
      </c>
      <c r="Y55" s="11"/>
      <c r="Z55" s="11"/>
      <c r="AA55" s="11"/>
      <c r="AB55" s="11"/>
      <c r="AC55" s="11"/>
      <c r="AD55" s="12"/>
      <c r="AE55" s="48" t="s">
        <v>275</v>
      </c>
      <c r="AF55" s="12"/>
      <c r="AG55" s="48"/>
      <c r="AH55" s="11"/>
      <c r="AI55" s="12"/>
      <c r="AJ55" s="48"/>
      <c r="AK55" s="11"/>
      <c r="AL55" s="12"/>
      <c r="AM55" s="48"/>
      <c r="AN55" s="11"/>
      <c r="AO55" s="12"/>
      <c r="AP55" s="48"/>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271.5" customHeight="1">
      <c r="A56" s="47">
        <v>38.0</v>
      </c>
      <c r="B56" s="49" t="s">
        <v>442</v>
      </c>
      <c r="C56" s="11"/>
      <c r="D56" s="12"/>
      <c r="E56" s="49" t="s">
        <v>443</v>
      </c>
      <c r="F56" s="11"/>
      <c r="G56" s="11"/>
      <c r="H56" s="11"/>
      <c r="I56" s="12"/>
      <c r="J56" s="49" t="s">
        <v>444</v>
      </c>
      <c r="K56" s="11"/>
      <c r="L56" s="11"/>
      <c r="M56" s="11"/>
      <c r="N56" s="11"/>
      <c r="O56" s="11"/>
      <c r="P56" s="12"/>
      <c r="Q56" s="49" t="s">
        <v>445</v>
      </c>
      <c r="R56" s="11"/>
      <c r="S56" s="11"/>
      <c r="T56" s="11"/>
      <c r="U56" s="11"/>
      <c r="V56" s="11"/>
      <c r="W56" s="12"/>
      <c r="X56" s="49" t="s">
        <v>446</v>
      </c>
      <c r="Y56" s="11"/>
      <c r="Z56" s="11"/>
      <c r="AA56" s="11"/>
      <c r="AB56" s="11"/>
      <c r="AC56" s="11"/>
      <c r="AD56" s="12"/>
      <c r="AE56" s="48" t="s">
        <v>275</v>
      </c>
      <c r="AF56" s="12"/>
      <c r="AG56" s="48"/>
      <c r="AH56" s="11"/>
      <c r="AI56" s="12"/>
      <c r="AJ56" s="48"/>
      <c r="AK56" s="11"/>
      <c r="AL56" s="12"/>
      <c r="AM56" s="48"/>
      <c r="AN56" s="11"/>
      <c r="AO56" s="12"/>
      <c r="AP56" s="48"/>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22.5" customHeight="1">
      <c r="A57" s="35" t="s">
        <v>447</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2"/>
    </row>
    <row r="58" ht="450.0" customHeight="1">
      <c r="A58" s="47">
        <v>39.0</v>
      </c>
      <c r="B58" s="49" t="s">
        <v>448</v>
      </c>
      <c r="C58" s="11"/>
      <c r="D58" s="12"/>
      <c r="E58" s="49" t="s">
        <v>449</v>
      </c>
      <c r="F58" s="11"/>
      <c r="G58" s="11"/>
      <c r="H58" s="11"/>
      <c r="I58" s="12"/>
      <c r="J58" s="49" t="s">
        <v>450</v>
      </c>
      <c r="K58" s="11"/>
      <c r="L58" s="11"/>
      <c r="M58" s="11"/>
      <c r="N58" s="11"/>
      <c r="O58" s="11"/>
      <c r="P58" s="12"/>
      <c r="Q58" s="49" t="s">
        <v>451</v>
      </c>
      <c r="R58" s="11"/>
      <c r="S58" s="11"/>
      <c r="T58" s="11"/>
      <c r="U58" s="11"/>
      <c r="V58" s="11"/>
      <c r="W58" s="12"/>
      <c r="X58" s="49" t="s">
        <v>452</v>
      </c>
      <c r="Y58" s="11"/>
      <c r="Z58" s="11"/>
      <c r="AA58" s="11"/>
      <c r="AB58" s="11"/>
      <c r="AC58" s="11"/>
      <c r="AD58" s="12"/>
      <c r="AE58" s="48" t="s">
        <v>275</v>
      </c>
      <c r="AF58" s="12"/>
      <c r="AG58" s="48"/>
      <c r="AH58" s="11"/>
      <c r="AI58" s="12"/>
      <c r="AJ58" s="48"/>
      <c r="AK58" s="11"/>
      <c r="AL58" s="12"/>
      <c r="AM58" s="48"/>
      <c r="AN58" s="11"/>
      <c r="AO58" s="12"/>
      <c r="AP58" s="48"/>
      <c r="AQ58" s="11"/>
      <c r="AR58" s="12"/>
      <c r="AS58" s="48"/>
      <c r="AT58" s="11"/>
      <c r="AU58" s="12"/>
      <c r="AV58" s="48"/>
      <c r="AW58" s="11"/>
      <c r="AX58" s="12"/>
      <c r="AY58" s="48"/>
      <c r="AZ58" s="11"/>
      <c r="BA58" s="12"/>
      <c r="BB58" s="48"/>
      <c r="BC58" s="11"/>
      <c r="BD58" s="12"/>
      <c r="BE58" s="48"/>
      <c r="BF58" s="11"/>
      <c r="BG58" s="12"/>
      <c r="BH58" s="48"/>
      <c r="BI58" s="11"/>
      <c r="BJ58" s="12"/>
      <c r="BK58" s="49"/>
      <c r="BL58" s="11"/>
      <c r="BM58" s="11"/>
      <c r="BN58" s="11"/>
      <c r="BO58" s="11"/>
      <c r="BP58" s="11"/>
      <c r="BQ58" s="12"/>
    </row>
    <row r="59" ht="351.75" customHeight="1">
      <c r="A59" s="47">
        <v>40.0</v>
      </c>
      <c r="B59" s="49" t="s">
        <v>453</v>
      </c>
      <c r="C59" s="11"/>
      <c r="D59" s="12"/>
      <c r="E59" s="49" t="s">
        <v>454</v>
      </c>
      <c r="F59" s="11"/>
      <c r="G59" s="11"/>
      <c r="H59" s="11"/>
      <c r="I59" s="12"/>
      <c r="J59" s="49" t="s">
        <v>434</v>
      </c>
      <c r="K59" s="11"/>
      <c r="L59" s="11"/>
      <c r="M59" s="11"/>
      <c r="N59" s="11"/>
      <c r="O59" s="11"/>
      <c r="P59" s="12"/>
      <c r="Q59" s="49" t="s">
        <v>455</v>
      </c>
      <c r="R59" s="11"/>
      <c r="S59" s="11"/>
      <c r="T59" s="11"/>
      <c r="U59" s="11"/>
      <c r="V59" s="11"/>
      <c r="W59" s="12"/>
      <c r="X59" s="49" t="s">
        <v>456</v>
      </c>
      <c r="Y59" s="11"/>
      <c r="Z59" s="11"/>
      <c r="AA59" s="11"/>
      <c r="AB59" s="11"/>
      <c r="AC59" s="11"/>
      <c r="AD59" s="12"/>
      <c r="AE59" s="48" t="s">
        <v>207</v>
      </c>
      <c r="AF59" s="12"/>
      <c r="AG59" s="48"/>
      <c r="AH59" s="11"/>
      <c r="AI59" s="12"/>
      <c r="AJ59" s="48"/>
      <c r="AK59" s="11"/>
      <c r="AL59" s="12"/>
      <c r="AM59" s="48"/>
      <c r="AN59" s="11"/>
      <c r="AO59" s="12"/>
      <c r="AP59" s="48"/>
      <c r="AQ59" s="11"/>
      <c r="AR59" s="12"/>
      <c r="AS59" s="48"/>
      <c r="AT59" s="11"/>
      <c r="AU59" s="12"/>
      <c r="AV59" s="48"/>
      <c r="AW59" s="11"/>
      <c r="AX59" s="12"/>
      <c r="AY59" s="48"/>
      <c r="AZ59" s="11"/>
      <c r="BA59" s="12"/>
      <c r="BB59" s="48"/>
      <c r="BC59" s="11"/>
      <c r="BD59" s="12"/>
      <c r="BE59" s="48"/>
      <c r="BF59" s="11"/>
      <c r="BG59" s="12"/>
      <c r="BH59" s="48"/>
      <c r="BI59" s="11"/>
      <c r="BJ59" s="12"/>
      <c r="BK59" s="49"/>
      <c r="BL59" s="11"/>
      <c r="BM59" s="11"/>
      <c r="BN59" s="11"/>
      <c r="BO59" s="11"/>
      <c r="BP59" s="11"/>
      <c r="BQ59" s="12"/>
    </row>
    <row r="60" ht="399.75" customHeight="1">
      <c r="A60" s="47">
        <v>41.0</v>
      </c>
      <c r="B60" s="49" t="s">
        <v>457</v>
      </c>
      <c r="C60" s="11"/>
      <c r="D60" s="12"/>
      <c r="E60" s="49" t="s">
        <v>458</v>
      </c>
      <c r="F60" s="11"/>
      <c r="G60" s="11"/>
      <c r="H60" s="11"/>
      <c r="I60" s="12"/>
      <c r="J60" s="49" t="s">
        <v>459</v>
      </c>
      <c r="K60" s="11"/>
      <c r="L60" s="11"/>
      <c r="M60" s="11"/>
      <c r="N60" s="11"/>
      <c r="O60" s="11"/>
      <c r="P60" s="12"/>
      <c r="Q60" s="49" t="s">
        <v>460</v>
      </c>
      <c r="R60" s="11"/>
      <c r="S60" s="11"/>
      <c r="T60" s="11"/>
      <c r="U60" s="11"/>
      <c r="V60" s="11"/>
      <c r="W60" s="12"/>
      <c r="X60" s="49" t="s">
        <v>461</v>
      </c>
      <c r="Y60" s="11"/>
      <c r="Z60" s="11"/>
      <c r="AA60" s="11"/>
      <c r="AB60" s="11"/>
      <c r="AC60" s="11"/>
      <c r="AD60" s="12"/>
      <c r="AE60" s="48" t="s">
        <v>275</v>
      </c>
      <c r="AF60" s="12"/>
      <c r="AG60" s="48"/>
      <c r="AH60" s="11"/>
      <c r="AI60" s="12"/>
      <c r="AJ60" s="48"/>
      <c r="AK60" s="11"/>
      <c r="AL60" s="12"/>
      <c r="AM60" s="48"/>
      <c r="AN60" s="11"/>
      <c r="AO60" s="12"/>
      <c r="AP60" s="48"/>
      <c r="AQ60" s="11"/>
      <c r="AR60" s="12"/>
      <c r="AS60" s="48"/>
      <c r="AT60" s="11"/>
      <c r="AU60" s="12"/>
      <c r="AV60" s="48"/>
      <c r="AW60" s="11"/>
      <c r="AX60" s="12"/>
      <c r="AY60" s="48"/>
      <c r="AZ60" s="11"/>
      <c r="BA60" s="12"/>
      <c r="BB60" s="48"/>
      <c r="BC60" s="11"/>
      <c r="BD60" s="12"/>
      <c r="BE60" s="48"/>
      <c r="BF60" s="11"/>
      <c r="BG60" s="12"/>
      <c r="BH60" s="48"/>
      <c r="BI60" s="11"/>
      <c r="BJ60" s="12"/>
      <c r="BK60" s="49"/>
      <c r="BL60" s="11"/>
      <c r="BM60" s="11"/>
      <c r="BN60" s="11"/>
      <c r="BO60" s="11"/>
      <c r="BP60" s="11"/>
      <c r="BQ60" s="12"/>
    </row>
    <row r="61" ht="22.5" customHeight="1">
      <c r="A61" s="35" t="s">
        <v>462</v>
      </c>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2"/>
    </row>
    <row r="62" ht="288.0" customHeight="1">
      <c r="A62" s="47">
        <v>42.0</v>
      </c>
      <c r="B62" s="49" t="s">
        <v>463</v>
      </c>
      <c r="C62" s="11"/>
      <c r="D62" s="12"/>
      <c r="E62" s="49" t="s">
        <v>464</v>
      </c>
      <c r="F62" s="11"/>
      <c r="G62" s="11"/>
      <c r="H62" s="11"/>
      <c r="I62" s="12"/>
      <c r="J62" s="49" t="s">
        <v>465</v>
      </c>
      <c r="K62" s="11"/>
      <c r="L62" s="11"/>
      <c r="M62" s="11"/>
      <c r="N62" s="11"/>
      <c r="O62" s="11"/>
      <c r="P62" s="12"/>
      <c r="Q62" s="49" t="s">
        <v>466</v>
      </c>
      <c r="R62" s="11"/>
      <c r="S62" s="11"/>
      <c r="T62" s="11"/>
      <c r="U62" s="11"/>
      <c r="V62" s="11"/>
      <c r="W62" s="12"/>
      <c r="X62" s="49" t="s">
        <v>467</v>
      </c>
      <c r="Y62" s="11"/>
      <c r="Z62" s="11"/>
      <c r="AA62" s="11"/>
      <c r="AB62" s="11"/>
      <c r="AC62" s="11"/>
      <c r="AD62" s="12"/>
      <c r="AE62" s="48" t="s">
        <v>207</v>
      </c>
      <c r="AF62" s="12"/>
      <c r="AG62" s="48"/>
      <c r="AH62" s="11"/>
      <c r="AI62" s="12"/>
      <c r="AJ62" s="48"/>
      <c r="AK62" s="11"/>
      <c r="AL62" s="12"/>
      <c r="AM62" s="48"/>
      <c r="AN62" s="11"/>
      <c r="AO62" s="12"/>
      <c r="AP62" s="48"/>
      <c r="AQ62" s="11"/>
      <c r="AR62" s="12"/>
      <c r="AS62" s="48"/>
      <c r="AT62" s="11"/>
      <c r="AU62" s="12"/>
      <c r="AV62" s="48"/>
      <c r="AW62" s="11"/>
      <c r="AX62" s="12"/>
      <c r="AY62" s="48"/>
      <c r="AZ62" s="11"/>
      <c r="BA62" s="12"/>
      <c r="BB62" s="48"/>
      <c r="BC62" s="11"/>
      <c r="BD62" s="12"/>
      <c r="BE62" s="48"/>
      <c r="BF62" s="11"/>
      <c r="BG62" s="12"/>
      <c r="BH62" s="48"/>
      <c r="BI62" s="11"/>
      <c r="BJ62" s="12"/>
      <c r="BK62" s="49"/>
      <c r="BL62" s="11"/>
      <c r="BM62" s="11"/>
      <c r="BN62" s="11"/>
      <c r="BO62" s="11"/>
      <c r="BP62" s="11"/>
      <c r="BQ62" s="12"/>
    </row>
    <row r="63" ht="223.5" customHeight="1">
      <c r="A63" s="47">
        <v>43.0</v>
      </c>
      <c r="B63" s="49" t="s">
        <v>468</v>
      </c>
      <c r="C63" s="11"/>
      <c r="D63" s="12"/>
      <c r="E63" s="49" t="s">
        <v>469</v>
      </c>
      <c r="F63" s="11"/>
      <c r="G63" s="11"/>
      <c r="H63" s="11"/>
      <c r="I63" s="12"/>
      <c r="J63" s="49" t="s">
        <v>290</v>
      </c>
      <c r="K63" s="11"/>
      <c r="L63" s="11"/>
      <c r="M63" s="11"/>
      <c r="N63" s="11"/>
      <c r="O63" s="11"/>
      <c r="P63" s="12"/>
      <c r="Q63" s="49" t="s">
        <v>470</v>
      </c>
      <c r="R63" s="11"/>
      <c r="S63" s="11"/>
      <c r="T63" s="11"/>
      <c r="U63" s="11"/>
      <c r="V63" s="11"/>
      <c r="W63" s="12"/>
      <c r="X63" s="49" t="s">
        <v>471</v>
      </c>
      <c r="Y63" s="11"/>
      <c r="Z63" s="11"/>
      <c r="AA63" s="11"/>
      <c r="AB63" s="11"/>
      <c r="AC63" s="11"/>
      <c r="AD63" s="12"/>
      <c r="AE63" s="48" t="s">
        <v>207</v>
      </c>
      <c r="AF63" s="12"/>
      <c r="AG63" s="48"/>
      <c r="AH63" s="11"/>
      <c r="AI63" s="12"/>
      <c r="AJ63" s="48"/>
      <c r="AK63" s="11"/>
      <c r="AL63" s="12"/>
      <c r="AM63" s="48"/>
      <c r="AN63" s="11"/>
      <c r="AO63" s="12"/>
      <c r="AP63" s="48"/>
      <c r="AQ63" s="11"/>
      <c r="AR63" s="12"/>
      <c r="AS63" s="48"/>
      <c r="AT63" s="11"/>
      <c r="AU63" s="12"/>
      <c r="AV63" s="48"/>
      <c r="AW63" s="11"/>
      <c r="AX63" s="12"/>
      <c r="AY63" s="48"/>
      <c r="AZ63" s="11"/>
      <c r="BA63" s="12"/>
      <c r="BB63" s="48"/>
      <c r="BC63" s="11"/>
      <c r="BD63" s="12"/>
      <c r="BE63" s="48"/>
      <c r="BF63" s="11"/>
      <c r="BG63" s="12"/>
      <c r="BH63" s="48"/>
      <c r="BI63" s="11"/>
      <c r="BJ63" s="12"/>
      <c r="BK63" s="49"/>
      <c r="BL63" s="11"/>
      <c r="BM63" s="11"/>
      <c r="BN63" s="11"/>
      <c r="BO63" s="11"/>
      <c r="BP63" s="11"/>
      <c r="BQ63" s="12"/>
    </row>
    <row r="64" ht="303.75" customHeight="1">
      <c r="A64" s="47">
        <v>44.0</v>
      </c>
      <c r="B64" s="49" t="s">
        <v>472</v>
      </c>
      <c r="C64" s="11"/>
      <c r="D64" s="12"/>
      <c r="E64" s="49" t="s">
        <v>473</v>
      </c>
      <c r="F64" s="11"/>
      <c r="G64" s="11"/>
      <c r="H64" s="11"/>
      <c r="I64" s="12"/>
      <c r="J64" s="49" t="s">
        <v>290</v>
      </c>
      <c r="K64" s="11"/>
      <c r="L64" s="11"/>
      <c r="M64" s="11"/>
      <c r="N64" s="11"/>
      <c r="O64" s="11"/>
      <c r="P64" s="12"/>
      <c r="Q64" s="49" t="s">
        <v>474</v>
      </c>
      <c r="R64" s="11"/>
      <c r="S64" s="11"/>
      <c r="T64" s="11"/>
      <c r="U64" s="11"/>
      <c r="V64" s="11"/>
      <c r="W64" s="12"/>
      <c r="X64" s="49" t="s">
        <v>475</v>
      </c>
      <c r="Y64" s="11"/>
      <c r="Z64" s="11"/>
      <c r="AA64" s="11"/>
      <c r="AB64" s="11"/>
      <c r="AC64" s="11"/>
      <c r="AD64" s="12"/>
      <c r="AE64" s="48" t="s">
        <v>207</v>
      </c>
      <c r="AF64" s="12"/>
      <c r="AG64" s="48"/>
      <c r="AH64" s="11"/>
      <c r="AI64" s="12"/>
      <c r="AJ64" s="48"/>
      <c r="AK64" s="11"/>
      <c r="AL64" s="12"/>
      <c r="AM64" s="48"/>
      <c r="AN64" s="11"/>
      <c r="AO64" s="12"/>
      <c r="AP64" s="48"/>
      <c r="AQ64" s="11"/>
      <c r="AR64" s="12"/>
      <c r="AS64" s="48"/>
      <c r="AT64" s="11"/>
      <c r="AU64" s="12"/>
      <c r="AV64" s="48"/>
      <c r="AW64" s="11"/>
      <c r="AX64" s="12"/>
      <c r="AY64" s="48"/>
      <c r="AZ64" s="11"/>
      <c r="BA64" s="12"/>
      <c r="BB64" s="48"/>
      <c r="BC64" s="11"/>
      <c r="BD64" s="12"/>
      <c r="BE64" s="48"/>
      <c r="BF64" s="11"/>
      <c r="BG64" s="12"/>
      <c r="BH64" s="48"/>
      <c r="BI64" s="11"/>
      <c r="BJ64" s="12"/>
      <c r="BK64" s="49"/>
      <c r="BL64" s="11"/>
      <c r="BM64" s="11"/>
      <c r="BN64" s="11"/>
      <c r="BO64" s="11"/>
      <c r="BP64" s="11"/>
      <c r="BQ64" s="12"/>
    </row>
    <row r="65" ht="255.75" customHeight="1">
      <c r="A65" s="47">
        <v>45.0</v>
      </c>
      <c r="B65" s="49" t="s">
        <v>476</v>
      </c>
      <c r="C65" s="11"/>
      <c r="D65" s="12"/>
      <c r="E65" s="49" t="s">
        <v>477</v>
      </c>
      <c r="F65" s="11"/>
      <c r="G65" s="11"/>
      <c r="H65" s="11"/>
      <c r="I65" s="12"/>
      <c r="J65" s="49" t="s">
        <v>290</v>
      </c>
      <c r="K65" s="11"/>
      <c r="L65" s="11"/>
      <c r="M65" s="11"/>
      <c r="N65" s="11"/>
      <c r="O65" s="11"/>
      <c r="P65" s="12"/>
      <c r="Q65" s="49" t="s">
        <v>478</v>
      </c>
      <c r="R65" s="11"/>
      <c r="S65" s="11"/>
      <c r="T65" s="11"/>
      <c r="U65" s="11"/>
      <c r="V65" s="11"/>
      <c r="W65" s="12"/>
      <c r="X65" s="49" t="s">
        <v>479</v>
      </c>
      <c r="Y65" s="11"/>
      <c r="Z65" s="11"/>
      <c r="AA65" s="11"/>
      <c r="AB65" s="11"/>
      <c r="AC65" s="11"/>
      <c r="AD65" s="12"/>
      <c r="AE65" s="48" t="s">
        <v>207</v>
      </c>
      <c r="AF65" s="12"/>
      <c r="AG65" s="48"/>
      <c r="AH65" s="11"/>
      <c r="AI65" s="12"/>
      <c r="AJ65" s="48"/>
      <c r="AK65" s="11"/>
      <c r="AL65" s="12"/>
      <c r="AM65" s="48"/>
      <c r="AN65" s="11"/>
      <c r="AO65" s="12"/>
      <c r="AP65" s="48"/>
      <c r="AQ65" s="11"/>
      <c r="AR65" s="12"/>
      <c r="AS65" s="48"/>
      <c r="AT65" s="11"/>
      <c r="AU65" s="12"/>
      <c r="AV65" s="48"/>
      <c r="AW65" s="11"/>
      <c r="AX65" s="12"/>
      <c r="AY65" s="48"/>
      <c r="AZ65" s="11"/>
      <c r="BA65" s="12"/>
      <c r="BB65" s="48"/>
      <c r="BC65" s="11"/>
      <c r="BD65" s="12"/>
      <c r="BE65" s="48"/>
      <c r="BF65" s="11"/>
      <c r="BG65" s="12"/>
      <c r="BH65" s="48"/>
      <c r="BI65" s="11"/>
      <c r="BJ65" s="12"/>
      <c r="BK65" s="49"/>
      <c r="BL65" s="11"/>
      <c r="BM65" s="11"/>
      <c r="BN65" s="11"/>
      <c r="BO65" s="11"/>
      <c r="BP65" s="11"/>
      <c r="BQ65" s="12"/>
    </row>
    <row r="66" ht="399.75" customHeight="1">
      <c r="A66" s="47">
        <v>46.0</v>
      </c>
      <c r="B66" s="49" t="s">
        <v>480</v>
      </c>
      <c r="C66" s="11"/>
      <c r="D66" s="12"/>
      <c r="E66" s="49" t="s">
        <v>481</v>
      </c>
      <c r="F66" s="11"/>
      <c r="G66" s="11"/>
      <c r="H66" s="11"/>
      <c r="I66" s="12"/>
      <c r="J66" s="49" t="s">
        <v>482</v>
      </c>
      <c r="K66" s="11"/>
      <c r="L66" s="11"/>
      <c r="M66" s="11"/>
      <c r="N66" s="11"/>
      <c r="O66" s="11"/>
      <c r="P66" s="12"/>
      <c r="Q66" s="49" t="s">
        <v>483</v>
      </c>
      <c r="R66" s="11"/>
      <c r="S66" s="11"/>
      <c r="T66" s="11"/>
      <c r="U66" s="11"/>
      <c r="V66" s="11"/>
      <c r="W66" s="12"/>
      <c r="X66" s="49" t="s">
        <v>484</v>
      </c>
      <c r="Y66" s="11"/>
      <c r="Z66" s="11"/>
      <c r="AA66" s="11"/>
      <c r="AB66" s="11"/>
      <c r="AC66" s="11"/>
      <c r="AD66" s="12"/>
      <c r="AE66" s="48" t="s">
        <v>207</v>
      </c>
      <c r="AF66" s="12"/>
      <c r="AG66" s="48"/>
      <c r="AH66" s="11"/>
      <c r="AI66" s="12"/>
      <c r="AJ66" s="48"/>
      <c r="AK66" s="11"/>
      <c r="AL66" s="12"/>
      <c r="AM66" s="48"/>
      <c r="AN66" s="11"/>
      <c r="AO66" s="12"/>
      <c r="AP66" s="48"/>
      <c r="AQ66" s="11"/>
      <c r="AR66" s="12"/>
      <c r="AS66" s="48"/>
      <c r="AT66" s="11"/>
      <c r="AU66" s="12"/>
      <c r="AV66" s="48"/>
      <c r="AW66" s="11"/>
      <c r="AX66" s="12"/>
      <c r="AY66" s="48"/>
      <c r="AZ66" s="11"/>
      <c r="BA66" s="12"/>
      <c r="BB66" s="48"/>
      <c r="BC66" s="11"/>
      <c r="BD66" s="12"/>
      <c r="BE66" s="48"/>
      <c r="BF66" s="11"/>
      <c r="BG66" s="12"/>
      <c r="BH66" s="48"/>
      <c r="BI66" s="11"/>
      <c r="BJ66" s="12"/>
      <c r="BK66" s="49"/>
      <c r="BL66" s="11"/>
      <c r="BM66" s="11"/>
      <c r="BN66" s="11"/>
      <c r="BO66" s="11"/>
      <c r="BP66" s="11"/>
      <c r="BQ66" s="12"/>
    </row>
    <row r="67" ht="384.0" customHeight="1">
      <c r="A67" s="47">
        <v>47.0</v>
      </c>
      <c r="B67" s="49" t="s">
        <v>485</v>
      </c>
      <c r="C67" s="11"/>
      <c r="D67" s="12"/>
      <c r="E67" s="49" t="s">
        <v>486</v>
      </c>
      <c r="F67" s="11"/>
      <c r="G67" s="11"/>
      <c r="H67" s="11"/>
      <c r="I67" s="12"/>
      <c r="J67" s="49" t="s">
        <v>487</v>
      </c>
      <c r="K67" s="11"/>
      <c r="L67" s="11"/>
      <c r="M67" s="11"/>
      <c r="N67" s="11"/>
      <c r="O67" s="11"/>
      <c r="P67" s="12"/>
      <c r="Q67" s="49" t="s">
        <v>488</v>
      </c>
      <c r="R67" s="11"/>
      <c r="S67" s="11"/>
      <c r="T67" s="11"/>
      <c r="U67" s="11"/>
      <c r="V67" s="11"/>
      <c r="W67" s="12"/>
      <c r="X67" s="49" t="s">
        <v>489</v>
      </c>
      <c r="Y67" s="11"/>
      <c r="Z67" s="11"/>
      <c r="AA67" s="11"/>
      <c r="AB67" s="11"/>
      <c r="AC67" s="11"/>
      <c r="AD67" s="12"/>
      <c r="AE67" s="48" t="s">
        <v>207</v>
      </c>
      <c r="AF67" s="12"/>
      <c r="AG67" s="48"/>
      <c r="AH67" s="11"/>
      <c r="AI67" s="12"/>
      <c r="AJ67" s="48"/>
      <c r="AK67" s="11"/>
      <c r="AL67" s="12"/>
      <c r="AM67" s="48"/>
      <c r="AN67" s="11"/>
      <c r="AO67" s="12"/>
      <c r="AP67" s="48"/>
      <c r="AQ67" s="11"/>
      <c r="AR67" s="12"/>
      <c r="AS67" s="48"/>
      <c r="AT67" s="11"/>
      <c r="AU67" s="12"/>
      <c r="AV67" s="48"/>
      <c r="AW67" s="11"/>
      <c r="AX67" s="12"/>
      <c r="AY67" s="48"/>
      <c r="AZ67" s="11"/>
      <c r="BA67" s="12"/>
      <c r="BB67" s="48"/>
      <c r="BC67" s="11"/>
      <c r="BD67" s="12"/>
      <c r="BE67" s="48"/>
      <c r="BF67" s="11"/>
      <c r="BG67" s="12"/>
      <c r="BH67" s="48"/>
      <c r="BI67" s="11"/>
      <c r="BJ67" s="12"/>
      <c r="BK67" s="49"/>
      <c r="BL67" s="11"/>
      <c r="BM67" s="11"/>
      <c r="BN67" s="11"/>
      <c r="BO67" s="11"/>
      <c r="BP67" s="11"/>
      <c r="BQ67" s="12"/>
    </row>
    <row r="68" ht="240.0" customHeight="1">
      <c r="A68" s="47">
        <v>48.0</v>
      </c>
      <c r="B68" s="49" t="s">
        <v>490</v>
      </c>
      <c r="C68" s="11"/>
      <c r="D68" s="12"/>
      <c r="E68" s="49" t="s">
        <v>491</v>
      </c>
      <c r="F68" s="11"/>
      <c r="G68" s="11"/>
      <c r="H68" s="11"/>
      <c r="I68" s="12"/>
      <c r="J68" s="49" t="s">
        <v>290</v>
      </c>
      <c r="K68" s="11"/>
      <c r="L68" s="11"/>
      <c r="M68" s="11"/>
      <c r="N68" s="11"/>
      <c r="O68" s="11"/>
      <c r="P68" s="12"/>
      <c r="Q68" s="49" t="s">
        <v>492</v>
      </c>
      <c r="R68" s="11"/>
      <c r="S68" s="11"/>
      <c r="T68" s="11"/>
      <c r="U68" s="11"/>
      <c r="V68" s="11"/>
      <c r="W68" s="12"/>
      <c r="X68" s="49" t="s">
        <v>493</v>
      </c>
      <c r="Y68" s="11"/>
      <c r="Z68" s="11"/>
      <c r="AA68" s="11"/>
      <c r="AB68" s="11"/>
      <c r="AC68" s="11"/>
      <c r="AD68" s="12"/>
      <c r="AE68" s="48" t="s">
        <v>211</v>
      </c>
      <c r="AF68" s="12"/>
      <c r="AG68" s="48"/>
      <c r="AH68" s="11"/>
      <c r="AI68" s="12"/>
      <c r="AJ68" s="48"/>
      <c r="AK68" s="11"/>
      <c r="AL68" s="12"/>
      <c r="AM68" s="48"/>
      <c r="AN68" s="11"/>
      <c r="AO68" s="12"/>
      <c r="AP68" s="48"/>
      <c r="AQ68" s="11"/>
      <c r="AR68" s="12"/>
      <c r="AS68" s="48"/>
      <c r="AT68" s="11"/>
      <c r="AU68" s="12"/>
      <c r="AV68" s="48"/>
      <c r="AW68" s="11"/>
      <c r="AX68" s="12"/>
      <c r="AY68" s="48"/>
      <c r="AZ68" s="11"/>
      <c r="BA68" s="12"/>
      <c r="BB68" s="48"/>
      <c r="BC68" s="11"/>
      <c r="BD68" s="12"/>
      <c r="BE68" s="48"/>
      <c r="BF68" s="11"/>
      <c r="BG68" s="12"/>
      <c r="BH68" s="48"/>
      <c r="BI68" s="11"/>
      <c r="BJ68" s="12"/>
      <c r="BK68" s="49"/>
      <c r="BL68" s="11"/>
      <c r="BM68" s="11"/>
      <c r="BN68" s="11"/>
      <c r="BO68" s="11"/>
      <c r="BP68" s="11"/>
      <c r="BQ68" s="12"/>
    </row>
    <row r="69" ht="450.0" customHeight="1">
      <c r="A69" s="47">
        <v>49.0</v>
      </c>
      <c r="B69" s="49" t="s">
        <v>494</v>
      </c>
      <c r="C69" s="11"/>
      <c r="D69" s="12"/>
      <c r="E69" s="49" t="s">
        <v>495</v>
      </c>
      <c r="F69" s="11"/>
      <c r="G69" s="11"/>
      <c r="H69" s="11"/>
      <c r="I69" s="12"/>
      <c r="J69" s="49" t="s">
        <v>496</v>
      </c>
      <c r="K69" s="11"/>
      <c r="L69" s="11"/>
      <c r="M69" s="11"/>
      <c r="N69" s="11"/>
      <c r="O69" s="11"/>
      <c r="P69" s="12"/>
      <c r="Q69" s="49" t="s">
        <v>497</v>
      </c>
      <c r="R69" s="11"/>
      <c r="S69" s="11"/>
      <c r="T69" s="11"/>
      <c r="U69" s="11"/>
      <c r="V69" s="11"/>
      <c r="W69" s="12"/>
      <c r="X69" s="49" t="s">
        <v>498</v>
      </c>
      <c r="Y69" s="11"/>
      <c r="Z69" s="11"/>
      <c r="AA69" s="11"/>
      <c r="AB69" s="11"/>
      <c r="AC69" s="11"/>
      <c r="AD69" s="12"/>
      <c r="AE69" s="48" t="s">
        <v>207</v>
      </c>
      <c r="AF69" s="12"/>
      <c r="AG69" s="48"/>
      <c r="AH69" s="11"/>
      <c r="AI69" s="12"/>
      <c r="AJ69" s="48"/>
      <c r="AK69" s="11"/>
      <c r="AL69" s="12"/>
      <c r="AM69" s="48"/>
      <c r="AN69" s="11"/>
      <c r="AO69" s="12"/>
      <c r="AP69" s="48"/>
      <c r="AQ69" s="11"/>
      <c r="AR69" s="12"/>
      <c r="AS69" s="48"/>
      <c r="AT69" s="11"/>
      <c r="AU69" s="12"/>
      <c r="AV69" s="48"/>
      <c r="AW69" s="11"/>
      <c r="AX69" s="12"/>
      <c r="AY69" s="48"/>
      <c r="AZ69" s="11"/>
      <c r="BA69" s="12"/>
      <c r="BB69" s="48"/>
      <c r="BC69" s="11"/>
      <c r="BD69" s="12"/>
      <c r="BE69" s="48"/>
      <c r="BF69" s="11"/>
      <c r="BG69" s="12"/>
      <c r="BH69" s="48"/>
      <c r="BI69" s="11"/>
      <c r="BJ69" s="12"/>
      <c r="BK69" s="49"/>
      <c r="BL69" s="11"/>
      <c r="BM69" s="11"/>
      <c r="BN69" s="11"/>
      <c r="BO69" s="11"/>
      <c r="BP69" s="11"/>
      <c r="BQ69" s="12"/>
    </row>
    <row r="70" ht="255.75" customHeight="1">
      <c r="A70" s="47">
        <v>50.0</v>
      </c>
      <c r="B70" s="49" t="s">
        <v>499</v>
      </c>
      <c r="C70" s="11"/>
      <c r="D70" s="12"/>
      <c r="E70" s="49" t="s">
        <v>500</v>
      </c>
      <c r="F70" s="11"/>
      <c r="G70" s="11"/>
      <c r="H70" s="11"/>
      <c r="I70" s="12"/>
      <c r="J70" s="49" t="s">
        <v>501</v>
      </c>
      <c r="K70" s="11"/>
      <c r="L70" s="11"/>
      <c r="M70" s="11"/>
      <c r="N70" s="11"/>
      <c r="O70" s="11"/>
      <c r="P70" s="12"/>
      <c r="Q70" s="49" t="s">
        <v>502</v>
      </c>
      <c r="R70" s="11"/>
      <c r="S70" s="11"/>
      <c r="T70" s="11"/>
      <c r="U70" s="11"/>
      <c r="V70" s="11"/>
      <c r="W70" s="12"/>
      <c r="X70" s="49" t="s">
        <v>503</v>
      </c>
      <c r="Y70" s="11"/>
      <c r="Z70" s="11"/>
      <c r="AA70" s="11"/>
      <c r="AB70" s="11"/>
      <c r="AC70" s="11"/>
      <c r="AD70" s="12"/>
      <c r="AE70" s="48" t="s">
        <v>207</v>
      </c>
      <c r="AF70" s="12"/>
      <c r="AG70" s="48"/>
      <c r="AH70" s="11"/>
      <c r="AI70" s="12"/>
      <c r="AJ70" s="48"/>
      <c r="AK70" s="11"/>
      <c r="AL70" s="12"/>
      <c r="AM70" s="48"/>
      <c r="AN70" s="11"/>
      <c r="AO70" s="12"/>
      <c r="AP70" s="48"/>
      <c r="AQ70" s="11"/>
      <c r="AR70" s="12"/>
      <c r="AS70" s="48"/>
      <c r="AT70" s="11"/>
      <c r="AU70" s="12"/>
      <c r="AV70" s="48"/>
      <c r="AW70" s="11"/>
      <c r="AX70" s="12"/>
      <c r="AY70" s="48"/>
      <c r="AZ70" s="11"/>
      <c r="BA70" s="12"/>
      <c r="BB70" s="48"/>
      <c r="BC70" s="11"/>
      <c r="BD70" s="12"/>
      <c r="BE70" s="48"/>
      <c r="BF70" s="11"/>
      <c r="BG70" s="12"/>
      <c r="BH70" s="48"/>
      <c r="BI70" s="11"/>
      <c r="BJ70" s="12"/>
      <c r="BK70" s="49"/>
      <c r="BL70" s="11"/>
      <c r="BM70" s="11"/>
      <c r="BN70" s="11"/>
      <c r="BO70" s="11"/>
      <c r="BP70" s="11"/>
      <c r="BQ70" s="12"/>
    </row>
    <row r="71" ht="336.0" customHeight="1">
      <c r="A71" s="47">
        <v>51.0</v>
      </c>
      <c r="B71" s="49" t="s">
        <v>504</v>
      </c>
      <c r="C71" s="11"/>
      <c r="D71" s="12"/>
      <c r="E71" s="49" t="s">
        <v>505</v>
      </c>
      <c r="F71" s="11"/>
      <c r="G71" s="11"/>
      <c r="H71" s="11"/>
      <c r="I71" s="12"/>
      <c r="J71" s="49" t="s">
        <v>290</v>
      </c>
      <c r="K71" s="11"/>
      <c r="L71" s="11"/>
      <c r="M71" s="11"/>
      <c r="N71" s="11"/>
      <c r="O71" s="11"/>
      <c r="P71" s="12"/>
      <c r="Q71" s="49" t="s">
        <v>506</v>
      </c>
      <c r="R71" s="11"/>
      <c r="S71" s="11"/>
      <c r="T71" s="11"/>
      <c r="U71" s="11"/>
      <c r="V71" s="11"/>
      <c r="W71" s="12"/>
      <c r="X71" s="49" t="s">
        <v>507</v>
      </c>
      <c r="Y71" s="11"/>
      <c r="Z71" s="11"/>
      <c r="AA71" s="11"/>
      <c r="AB71" s="11"/>
      <c r="AC71" s="11"/>
      <c r="AD71" s="12"/>
      <c r="AE71" s="48" t="s">
        <v>207</v>
      </c>
      <c r="AF71" s="12"/>
      <c r="AG71" s="48"/>
      <c r="AH71" s="11"/>
      <c r="AI71" s="12"/>
      <c r="AJ71" s="48"/>
      <c r="AK71" s="11"/>
      <c r="AL71" s="12"/>
      <c r="AM71" s="48"/>
      <c r="AN71" s="11"/>
      <c r="AO71" s="12"/>
      <c r="AP71" s="48"/>
      <c r="AQ71" s="11"/>
      <c r="AR71" s="12"/>
      <c r="AS71" s="48"/>
      <c r="AT71" s="11"/>
      <c r="AU71" s="12"/>
      <c r="AV71" s="48"/>
      <c r="AW71" s="11"/>
      <c r="AX71" s="12"/>
      <c r="AY71" s="48"/>
      <c r="AZ71" s="11"/>
      <c r="BA71" s="12"/>
      <c r="BB71" s="48"/>
      <c r="BC71" s="11"/>
      <c r="BD71" s="12"/>
      <c r="BE71" s="48"/>
      <c r="BF71" s="11"/>
      <c r="BG71" s="12"/>
      <c r="BH71" s="48"/>
      <c r="BI71" s="11"/>
      <c r="BJ71" s="12"/>
      <c r="BK71" s="49" t="s">
        <v>508</v>
      </c>
      <c r="BL71" s="11"/>
      <c r="BM71" s="11"/>
      <c r="BN71" s="11"/>
      <c r="BO71" s="11"/>
      <c r="BP71" s="11"/>
      <c r="BQ71" s="12"/>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42">
    <mergeCell ref="BE22:BG22"/>
    <mergeCell ref="BH22:BJ22"/>
    <mergeCell ref="AJ22:AL22"/>
    <mergeCell ref="AM22:AO22"/>
    <mergeCell ref="AP22:AR22"/>
    <mergeCell ref="AS22:AU22"/>
    <mergeCell ref="AV22:AX22"/>
    <mergeCell ref="AY22:BA22"/>
    <mergeCell ref="BB22:BD22"/>
    <mergeCell ref="BE20:BG20"/>
    <mergeCell ref="BH20:BJ20"/>
    <mergeCell ref="BK20:BQ20"/>
    <mergeCell ref="AJ20:AL20"/>
    <mergeCell ref="AM20:AO20"/>
    <mergeCell ref="AP20:AR20"/>
    <mergeCell ref="AS20:AU20"/>
    <mergeCell ref="AV20:AX20"/>
    <mergeCell ref="AY20:BA20"/>
    <mergeCell ref="BB20:BD20"/>
    <mergeCell ref="B20:D20"/>
    <mergeCell ref="E20:I20"/>
    <mergeCell ref="J20:P20"/>
    <mergeCell ref="Q20:W20"/>
    <mergeCell ref="X20:AD20"/>
    <mergeCell ref="AE20:AF20"/>
    <mergeCell ref="AG20:AI20"/>
    <mergeCell ref="BE21:BG21"/>
    <mergeCell ref="BH21:BJ21"/>
    <mergeCell ref="BK21:BQ21"/>
    <mergeCell ref="BK22:BQ22"/>
    <mergeCell ref="AJ21:AL21"/>
    <mergeCell ref="AM21:AO21"/>
    <mergeCell ref="AP21:AR21"/>
    <mergeCell ref="AS21:AU21"/>
    <mergeCell ref="AV21:AX21"/>
    <mergeCell ref="AY21:BA21"/>
    <mergeCell ref="BB21:BD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G19:AI19"/>
    <mergeCell ref="AJ19:AL19"/>
    <mergeCell ref="AM19:AO19"/>
    <mergeCell ref="AP19:AR19"/>
    <mergeCell ref="AS19:AU19"/>
    <mergeCell ref="AV19:AX19"/>
    <mergeCell ref="AY19:BA19"/>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H19:BJ19"/>
    <mergeCell ref="BK19:BQ19"/>
    <mergeCell ref="AJ17:AL17"/>
    <mergeCell ref="AM17:AO17"/>
    <mergeCell ref="AP17:AR17"/>
    <mergeCell ref="AS17:AU17"/>
    <mergeCell ref="AV17:AX17"/>
    <mergeCell ref="AY17:BA17"/>
    <mergeCell ref="BB17:BD17"/>
    <mergeCell ref="E17:I17"/>
    <mergeCell ref="J17:P17"/>
    <mergeCell ref="Q17:W17"/>
    <mergeCell ref="X17:AD17"/>
    <mergeCell ref="AE17:AF17"/>
    <mergeCell ref="AG17:AI17"/>
    <mergeCell ref="A18:BQ18"/>
    <mergeCell ref="B17:D17"/>
    <mergeCell ref="B19:D19"/>
    <mergeCell ref="E19:I19"/>
    <mergeCell ref="J19:P19"/>
    <mergeCell ref="Q19:W19"/>
    <mergeCell ref="X19:AD19"/>
    <mergeCell ref="AE19:AF19"/>
    <mergeCell ref="BE25:BG25"/>
    <mergeCell ref="BH25:BJ25"/>
    <mergeCell ref="AJ25:AL25"/>
    <mergeCell ref="AM25:AO25"/>
    <mergeCell ref="AP25:AR25"/>
    <mergeCell ref="AS25:AU25"/>
    <mergeCell ref="AV25:AX25"/>
    <mergeCell ref="AY25:BA25"/>
    <mergeCell ref="BB25:BD25"/>
    <mergeCell ref="E25:I25"/>
    <mergeCell ref="J25:P25"/>
    <mergeCell ref="Q25:W25"/>
    <mergeCell ref="X25:AD25"/>
    <mergeCell ref="AE25:AF25"/>
    <mergeCell ref="AG25:AI25"/>
    <mergeCell ref="A26:BQ26"/>
    <mergeCell ref="B25:D25"/>
    <mergeCell ref="B27:D27"/>
    <mergeCell ref="E27:I27"/>
    <mergeCell ref="J27:P27"/>
    <mergeCell ref="Q27:W27"/>
    <mergeCell ref="X27:AD27"/>
    <mergeCell ref="AE27:AF27"/>
    <mergeCell ref="BH27:BJ27"/>
    <mergeCell ref="BK27:BQ27"/>
    <mergeCell ref="AM27:AO27"/>
    <mergeCell ref="AP27:AR27"/>
    <mergeCell ref="AS27:AU27"/>
    <mergeCell ref="AV27:AX27"/>
    <mergeCell ref="AY27:BA27"/>
    <mergeCell ref="BB27:BD27"/>
    <mergeCell ref="BE27:BG27"/>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E28:BG28"/>
    <mergeCell ref="BH28:BJ28"/>
    <mergeCell ref="BK28:BQ28"/>
    <mergeCell ref="AJ28:AL28"/>
    <mergeCell ref="AM28:AO28"/>
    <mergeCell ref="AP28:AR28"/>
    <mergeCell ref="AS28:AU28"/>
    <mergeCell ref="AV28:AX28"/>
    <mergeCell ref="AY28:BA28"/>
    <mergeCell ref="BB28:BD28"/>
    <mergeCell ref="E29:I29"/>
    <mergeCell ref="J29:P29"/>
    <mergeCell ref="Q29:W29"/>
    <mergeCell ref="X29:AD29"/>
    <mergeCell ref="AE29:AF29"/>
    <mergeCell ref="AG29:AI29"/>
    <mergeCell ref="A30:BQ30"/>
    <mergeCell ref="B29:D29"/>
    <mergeCell ref="B31:D31"/>
    <mergeCell ref="E31:I31"/>
    <mergeCell ref="J31:P31"/>
    <mergeCell ref="Q31:W31"/>
    <mergeCell ref="X31:AD31"/>
    <mergeCell ref="AE31:AF31"/>
    <mergeCell ref="BE32:BG32"/>
    <mergeCell ref="BH32:BJ32"/>
    <mergeCell ref="AJ32:AL32"/>
    <mergeCell ref="AM32:AO32"/>
    <mergeCell ref="AP32:AR32"/>
    <mergeCell ref="AS32:AU32"/>
    <mergeCell ref="AV32:AX32"/>
    <mergeCell ref="AY32:BA32"/>
    <mergeCell ref="BB32:BD32"/>
    <mergeCell ref="AE28:AF28"/>
    <mergeCell ref="AG28:AI28"/>
    <mergeCell ref="AG27:AI27"/>
    <mergeCell ref="AJ27:AL27"/>
    <mergeCell ref="B28:D28"/>
    <mergeCell ref="E28:I28"/>
    <mergeCell ref="J28:P28"/>
    <mergeCell ref="Q28:W28"/>
    <mergeCell ref="X28:AD28"/>
    <mergeCell ref="BE29:BG29"/>
    <mergeCell ref="BH29:BJ29"/>
    <mergeCell ref="BK29:BQ29"/>
    <mergeCell ref="AJ29:AL29"/>
    <mergeCell ref="AM29:AO29"/>
    <mergeCell ref="AP29:AR29"/>
    <mergeCell ref="AS29:AU29"/>
    <mergeCell ref="AV29:AX29"/>
    <mergeCell ref="AY29:BA29"/>
    <mergeCell ref="BB29:BD29"/>
    <mergeCell ref="BB31:BD31"/>
    <mergeCell ref="BE31:BG31"/>
    <mergeCell ref="BH31:BJ31"/>
    <mergeCell ref="BK31:BQ31"/>
    <mergeCell ref="BK32:BQ32"/>
    <mergeCell ref="AG31:AI31"/>
    <mergeCell ref="AJ31:AL31"/>
    <mergeCell ref="AM31:AO31"/>
    <mergeCell ref="AP31:AR31"/>
    <mergeCell ref="AS31:AU31"/>
    <mergeCell ref="AV31:AX31"/>
    <mergeCell ref="AY31:BA31"/>
    <mergeCell ref="B32:D32"/>
    <mergeCell ref="E32:I32"/>
    <mergeCell ref="J32:P32"/>
    <mergeCell ref="Q32:W32"/>
    <mergeCell ref="X32:AD32"/>
    <mergeCell ref="AE32:AF32"/>
    <mergeCell ref="AG32:AI32"/>
    <mergeCell ref="BE35:BG35"/>
    <mergeCell ref="BH35:BJ35"/>
    <mergeCell ref="AJ35:AL35"/>
    <mergeCell ref="AM35:AO35"/>
    <mergeCell ref="AP35:AR35"/>
    <mergeCell ref="AS35:AU35"/>
    <mergeCell ref="AV35:AX35"/>
    <mergeCell ref="AY35:BA35"/>
    <mergeCell ref="BB35:BD35"/>
    <mergeCell ref="BE33:BG33"/>
    <mergeCell ref="BH33:BJ33"/>
    <mergeCell ref="BK33:BQ33"/>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E34:BG34"/>
    <mergeCell ref="BH34:BJ34"/>
    <mergeCell ref="BK34:BQ34"/>
    <mergeCell ref="BK35:BQ35"/>
    <mergeCell ref="AJ34:AL34"/>
    <mergeCell ref="AM34:AO34"/>
    <mergeCell ref="AP34:AR34"/>
    <mergeCell ref="AS34:AU34"/>
    <mergeCell ref="AV34:AX34"/>
    <mergeCell ref="AY34:BA34"/>
    <mergeCell ref="BB34:BD34"/>
    <mergeCell ref="B34:D34"/>
    <mergeCell ref="E34:I34"/>
    <mergeCell ref="J34:P34"/>
    <mergeCell ref="Q34:W34"/>
    <mergeCell ref="X34:AD34"/>
    <mergeCell ref="AE34:AF34"/>
    <mergeCell ref="AG34:AI34"/>
    <mergeCell ref="B35:D35"/>
    <mergeCell ref="E35:I35"/>
    <mergeCell ref="J35:P35"/>
    <mergeCell ref="Q35:W35"/>
    <mergeCell ref="X35:AD35"/>
    <mergeCell ref="AE35:AF35"/>
    <mergeCell ref="AG35:AI35"/>
    <mergeCell ref="BE49:BG49"/>
    <mergeCell ref="BH49:BJ49"/>
    <mergeCell ref="AJ49:AL49"/>
    <mergeCell ref="AM49:AO49"/>
    <mergeCell ref="AP49:AR49"/>
    <mergeCell ref="AS49:AU49"/>
    <mergeCell ref="AV49:AX49"/>
    <mergeCell ref="AY49:BA49"/>
    <mergeCell ref="BB49:BD49"/>
    <mergeCell ref="BE47:BG47"/>
    <mergeCell ref="BH47:BJ47"/>
    <mergeCell ref="BK47:BQ47"/>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E48:BG48"/>
    <mergeCell ref="BH48:BJ48"/>
    <mergeCell ref="BK48:BQ48"/>
    <mergeCell ref="BK49:BQ49"/>
    <mergeCell ref="AJ48:AL48"/>
    <mergeCell ref="AM48:AO48"/>
    <mergeCell ref="AP48:AR48"/>
    <mergeCell ref="AS48:AU48"/>
    <mergeCell ref="AV48:AX48"/>
    <mergeCell ref="AY48:BA48"/>
    <mergeCell ref="BB48:BD48"/>
    <mergeCell ref="B48:D48"/>
    <mergeCell ref="E48:I48"/>
    <mergeCell ref="J48:P48"/>
    <mergeCell ref="Q48:W48"/>
    <mergeCell ref="X48:AD48"/>
    <mergeCell ref="AE48:AF48"/>
    <mergeCell ref="AG48:AI48"/>
    <mergeCell ref="B49:D49"/>
    <mergeCell ref="E49:I49"/>
    <mergeCell ref="J49:P49"/>
    <mergeCell ref="Q49:W49"/>
    <mergeCell ref="X49:AD49"/>
    <mergeCell ref="AE49:AF49"/>
    <mergeCell ref="AG49:AI49"/>
    <mergeCell ref="BB53:BD53"/>
    <mergeCell ref="BE53:BG53"/>
    <mergeCell ref="AG53:AI53"/>
    <mergeCell ref="AJ53:AL53"/>
    <mergeCell ref="AM53:AO53"/>
    <mergeCell ref="AP53:AR53"/>
    <mergeCell ref="AS53:AU53"/>
    <mergeCell ref="AV53:AX53"/>
    <mergeCell ref="AY53:BA53"/>
    <mergeCell ref="BE50:BG50"/>
    <mergeCell ref="BH50:BJ50"/>
    <mergeCell ref="BK50:BQ50"/>
    <mergeCell ref="AJ50:AL50"/>
    <mergeCell ref="AM50:AO50"/>
    <mergeCell ref="AP50:AR50"/>
    <mergeCell ref="AS50:AU50"/>
    <mergeCell ref="AV50:AX50"/>
    <mergeCell ref="AY50:BA50"/>
    <mergeCell ref="BB50:BD50"/>
    <mergeCell ref="B50:D50"/>
    <mergeCell ref="E50:I50"/>
    <mergeCell ref="J50:P50"/>
    <mergeCell ref="Q50:W50"/>
    <mergeCell ref="X50:AD50"/>
    <mergeCell ref="AE50:AF50"/>
    <mergeCell ref="AG50:AI50"/>
    <mergeCell ref="BE51:BG51"/>
    <mergeCell ref="BH51:BJ51"/>
    <mergeCell ref="BK51:BQ51"/>
    <mergeCell ref="BH53:BJ53"/>
    <mergeCell ref="BK53:BQ53"/>
    <mergeCell ref="AJ51:AL51"/>
    <mergeCell ref="AM51:AO51"/>
    <mergeCell ref="AP51:AR51"/>
    <mergeCell ref="AS51:AU51"/>
    <mergeCell ref="AV51:AX51"/>
    <mergeCell ref="AY51:BA51"/>
    <mergeCell ref="BB51:BD51"/>
    <mergeCell ref="E51:I51"/>
    <mergeCell ref="J51:P51"/>
    <mergeCell ref="Q51:W51"/>
    <mergeCell ref="X51:AD51"/>
    <mergeCell ref="AE51:AF51"/>
    <mergeCell ref="AG51:AI51"/>
    <mergeCell ref="A52:BQ52"/>
    <mergeCell ref="B51:D51"/>
    <mergeCell ref="B53:D53"/>
    <mergeCell ref="E53:I53"/>
    <mergeCell ref="J53:P53"/>
    <mergeCell ref="Q53:W53"/>
    <mergeCell ref="X53:AD53"/>
    <mergeCell ref="AE53:AF53"/>
    <mergeCell ref="BE38:BG38"/>
    <mergeCell ref="BH38:BJ38"/>
    <mergeCell ref="AJ38:AL38"/>
    <mergeCell ref="AM38:AO38"/>
    <mergeCell ref="AP38:AR38"/>
    <mergeCell ref="AS38:AU38"/>
    <mergeCell ref="AV38:AX38"/>
    <mergeCell ref="AY38:BA38"/>
    <mergeCell ref="BB38:BD38"/>
    <mergeCell ref="BE36:BG36"/>
    <mergeCell ref="BH36:BJ36"/>
    <mergeCell ref="BK36:BQ36"/>
    <mergeCell ref="AJ36:AL36"/>
    <mergeCell ref="AM36:AO36"/>
    <mergeCell ref="AP36:AR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K38:BQ38"/>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BE42:BG42"/>
    <mergeCell ref="BH42:BJ42"/>
    <mergeCell ref="AJ42:AL42"/>
    <mergeCell ref="AM42:AO42"/>
    <mergeCell ref="AP42:AR42"/>
    <mergeCell ref="AS42:AU42"/>
    <mergeCell ref="AV42:AX42"/>
    <mergeCell ref="AY42:BA42"/>
    <mergeCell ref="BB42:BD42"/>
    <mergeCell ref="BE39:BG39"/>
    <mergeCell ref="BH39:BJ39"/>
    <mergeCell ref="BK39:BQ39"/>
    <mergeCell ref="AJ39:AL39"/>
    <mergeCell ref="AM39:AO39"/>
    <mergeCell ref="AP39:AR39"/>
    <mergeCell ref="AS39:AU39"/>
    <mergeCell ref="AV39:AX39"/>
    <mergeCell ref="AY39:BA39"/>
    <mergeCell ref="BB39:BD39"/>
    <mergeCell ref="E39:I39"/>
    <mergeCell ref="J39:P39"/>
    <mergeCell ref="Q39:W39"/>
    <mergeCell ref="X39:AD39"/>
    <mergeCell ref="AE39:AF39"/>
    <mergeCell ref="AG39:AI39"/>
    <mergeCell ref="A40:BQ40"/>
    <mergeCell ref="BB41:BD41"/>
    <mergeCell ref="BE41:BG41"/>
    <mergeCell ref="BH41:BJ41"/>
    <mergeCell ref="BK41:BQ41"/>
    <mergeCell ref="BK42:BQ42"/>
    <mergeCell ref="AG41:AI41"/>
    <mergeCell ref="AJ41:AL41"/>
    <mergeCell ref="AM41:AO41"/>
    <mergeCell ref="AP41:AR41"/>
    <mergeCell ref="AS41:AU41"/>
    <mergeCell ref="AV41:AX41"/>
    <mergeCell ref="AY41:BA41"/>
    <mergeCell ref="B39:D39"/>
    <mergeCell ref="B41:D41"/>
    <mergeCell ref="E41:I41"/>
    <mergeCell ref="J41:P41"/>
    <mergeCell ref="Q41:W41"/>
    <mergeCell ref="X41:AD41"/>
    <mergeCell ref="AE41:AF41"/>
    <mergeCell ref="B42:D42"/>
    <mergeCell ref="E42:I42"/>
    <mergeCell ref="J42:P42"/>
    <mergeCell ref="Q42:W42"/>
    <mergeCell ref="X42:AD42"/>
    <mergeCell ref="AE42:AF42"/>
    <mergeCell ref="AG42:AI42"/>
    <mergeCell ref="BE46:BG46"/>
    <mergeCell ref="BH46:BJ46"/>
    <mergeCell ref="AJ46:AL46"/>
    <mergeCell ref="AM46:AO46"/>
    <mergeCell ref="AP46:AR46"/>
    <mergeCell ref="AS46:AU46"/>
    <mergeCell ref="AV46:AX46"/>
    <mergeCell ref="AY46:BA46"/>
    <mergeCell ref="BB46:BD46"/>
    <mergeCell ref="BE43:BG43"/>
    <mergeCell ref="BH43:BJ43"/>
    <mergeCell ref="BK43:BQ43"/>
    <mergeCell ref="AJ43:AL43"/>
    <mergeCell ref="AM43:AO43"/>
    <mergeCell ref="AP43:AR43"/>
    <mergeCell ref="AS43:AU43"/>
    <mergeCell ref="AV43:AX43"/>
    <mergeCell ref="AY43:BA43"/>
    <mergeCell ref="BB43:BD43"/>
    <mergeCell ref="E43:I43"/>
    <mergeCell ref="J43:P43"/>
    <mergeCell ref="Q43:W43"/>
    <mergeCell ref="X43:AD43"/>
    <mergeCell ref="AE43:AF43"/>
    <mergeCell ref="AG43:AI43"/>
    <mergeCell ref="A44:BQ44"/>
    <mergeCell ref="BB45:BD45"/>
    <mergeCell ref="BE45:BG45"/>
    <mergeCell ref="BH45:BJ45"/>
    <mergeCell ref="BK45:BQ45"/>
    <mergeCell ref="BK46:BQ46"/>
    <mergeCell ref="AG45:AI45"/>
    <mergeCell ref="AJ45:AL45"/>
    <mergeCell ref="AM45:AO45"/>
    <mergeCell ref="AP45:AR45"/>
    <mergeCell ref="AS45:AU45"/>
    <mergeCell ref="AV45:AX45"/>
    <mergeCell ref="AY45:BA45"/>
    <mergeCell ref="B43:D43"/>
    <mergeCell ref="B45:D45"/>
    <mergeCell ref="E45:I45"/>
    <mergeCell ref="J45:P45"/>
    <mergeCell ref="Q45:W45"/>
    <mergeCell ref="X45:AD45"/>
    <mergeCell ref="AE45:AF45"/>
    <mergeCell ref="B46:D46"/>
    <mergeCell ref="E46:I46"/>
    <mergeCell ref="J46:P46"/>
    <mergeCell ref="Q46:W46"/>
    <mergeCell ref="X46:AD46"/>
    <mergeCell ref="AE46:AF46"/>
    <mergeCell ref="AG46:AI46"/>
    <mergeCell ref="BE56:BG56"/>
    <mergeCell ref="BH56:BJ56"/>
    <mergeCell ref="AJ56:AL56"/>
    <mergeCell ref="AM56:AO56"/>
    <mergeCell ref="AP56:AR56"/>
    <mergeCell ref="AS56:AU56"/>
    <mergeCell ref="AV56:AX56"/>
    <mergeCell ref="AY56:BA56"/>
    <mergeCell ref="BB56:BD56"/>
    <mergeCell ref="BE69:BG69"/>
    <mergeCell ref="BH69:BJ69"/>
    <mergeCell ref="AJ69:AL69"/>
    <mergeCell ref="AM69:AO69"/>
    <mergeCell ref="AP69:AR69"/>
    <mergeCell ref="AS69:AU69"/>
    <mergeCell ref="AV69:AX69"/>
    <mergeCell ref="AY69:BA69"/>
    <mergeCell ref="BB69:BD69"/>
    <mergeCell ref="BE70:BG70"/>
    <mergeCell ref="BH70:BJ70"/>
    <mergeCell ref="BK70:BQ70"/>
    <mergeCell ref="AJ70:AL70"/>
    <mergeCell ref="AM70:AO70"/>
    <mergeCell ref="AP70:AR70"/>
    <mergeCell ref="AS70:AU70"/>
    <mergeCell ref="AV70:AX70"/>
    <mergeCell ref="AY70:BA70"/>
    <mergeCell ref="BB70:BD70"/>
    <mergeCell ref="B70:D70"/>
    <mergeCell ref="E70:I70"/>
    <mergeCell ref="J70:P70"/>
    <mergeCell ref="Q70:W70"/>
    <mergeCell ref="X70:AD70"/>
    <mergeCell ref="AE70:AF70"/>
    <mergeCell ref="AG70:AI70"/>
    <mergeCell ref="B71:D71"/>
    <mergeCell ref="E71:I71"/>
    <mergeCell ref="J71:P71"/>
    <mergeCell ref="Q71:W71"/>
    <mergeCell ref="X71:AD71"/>
    <mergeCell ref="AE71:AF71"/>
    <mergeCell ref="AG71:AI71"/>
    <mergeCell ref="BE71:BG71"/>
    <mergeCell ref="BH71:BJ71"/>
    <mergeCell ref="BK71:BQ71"/>
    <mergeCell ref="AJ71:AL71"/>
    <mergeCell ref="AM71:AO71"/>
    <mergeCell ref="AP71:AR71"/>
    <mergeCell ref="AS71:AU71"/>
    <mergeCell ref="AV71:AX71"/>
    <mergeCell ref="AY71:BA71"/>
    <mergeCell ref="BB71:BD71"/>
    <mergeCell ref="BE67:BG67"/>
    <mergeCell ref="BH67:BJ67"/>
    <mergeCell ref="BK67:BQ67"/>
    <mergeCell ref="AJ67:AL67"/>
    <mergeCell ref="AM67:AO67"/>
    <mergeCell ref="AP67:AR67"/>
    <mergeCell ref="AS67:AU67"/>
    <mergeCell ref="AV67:AX67"/>
    <mergeCell ref="AY67:BA67"/>
    <mergeCell ref="BB67:BD67"/>
    <mergeCell ref="B67:D67"/>
    <mergeCell ref="E67:I67"/>
    <mergeCell ref="J67:P67"/>
    <mergeCell ref="Q67:W67"/>
    <mergeCell ref="X67:AD67"/>
    <mergeCell ref="AE67:AF67"/>
    <mergeCell ref="AG67:AI67"/>
    <mergeCell ref="BE68:BG68"/>
    <mergeCell ref="BH68:BJ68"/>
    <mergeCell ref="BK68:BQ68"/>
    <mergeCell ref="BK69:BQ69"/>
    <mergeCell ref="AJ68:AL68"/>
    <mergeCell ref="AM68:AO68"/>
    <mergeCell ref="AP68:AR68"/>
    <mergeCell ref="AS68:AU68"/>
    <mergeCell ref="AV68:AX68"/>
    <mergeCell ref="AY68:BA68"/>
    <mergeCell ref="BB68:BD68"/>
    <mergeCell ref="B68:D68"/>
    <mergeCell ref="E68:I68"/>
    <mergeCell ref="J68:P68"/>
    <mergeCell ref="Q68:W68"/>
    <mergeCell ref="X68:AD68"/>
    <mergeCell ref="AE68:AF68"/>
    <mergeCell ref="AG68:AI68"/>
    <mergeCell ref="B69:D69"/>
    <mergeCell ref="E69:I69"/>
    <mergeCell ref="J69:P69"/>
    <mergeCell ref="Q69:W69"/>
    <mergeCell ref="X69:AD69"/>
    <mergeCell ref="AE69:AF69"/>
    <mergeCell ref="AG69:AI69"/>
    <mergeCell ref="E56:I56"/>
    <mergeCell ref="J56:P56"/>
    <mergeCell ref="Q56:W56"/>
    <mergeCell ref="X56:AD56"/>
    <mergeCell ref="AE56:AF56"/>
    <mergeCell ref="AG56:AI56"/>
    <mergeCell ref="A57:BQ57"/>
    <mergeCell ref="B56:D56"/>
    <mergeCell ref="B58:D58"/>
    <mergeCell ref="E58:I58"/>
    <mergeCell ref="J58:P58"/>
    <mergeCell ref="Q58:W58"/>
    <mergeCell ref="X58:AD58"/>
    <mergeCell ref="AE58:AF58"/>
    <mergeCell ref="BH58:BJ58"/>
    <mergeCell ref="BK58:BQ58"/>
    <mergeCell ref="AM58:AO58"/>
    <mergeCell ref="AP58:AR58"/>
    <mergeCell ref="AS58:AU58"/>
    <mergeCell ref="AV58:AX58"/>
    <mergeCell ref="AY58:BA58"/>
    <mergeCell ref="BB58:BD58"/>
    <mergeCell ref="BE58:BG58"/>
    <mergeCell ref="BE54:BG54"/>
    <mergeCell ref="BH54:BJ54"/>
    <mergeCell ref="BK54:BQ54"/>
    <mergeCell ref="AJ54:AL54"/>
    <mergeCell ref="AM54:AO54"/>
    <mergeCell ref="AP54:AR54"/>
    <mergeCell ref="AS54:AU54"/>
    <mergeCell ref="AV54:AX54"/>
    <mergeCell ref="AY54:BA54"/>
    <mergeCell ref="BB54:BD54"/>
    <mergeCell ref="B54:D54"/>
    <mergeCell ref="E54:I54"/>
    <mergeCell ref="J54:P54"/>
    <mergeCell ref="Q54:W54"/>
    <mergeCell ref="X54:AD54"/>
    <mergeCell ref="AE54:AF54"/>
    <mergeCell ref="AG54:AI54"/>
    <mergeCell ref="BE55:BG55"/>
    <mergeCell ref="BH55:BJ55"/>
    <mergeCell ref="BK55:BQ55"/>
    <mergeCell ref="BK56:BQ56"/>
    <mergeCell ref="AJ55:AL55"/>
    <mergeCell ref="AM55:AO55"/>
    <mergeCell ref="AP55:AR55"/>
    <mergeCell ref="AS55:AU55"/>
    <mergeCell ref="AV55:AX55"/>
    <mergeCell ref="AY55:BA55"/>
    <mergeCell ref="BB55:BD55"/>
    <mergeCell ref="B55:D55"/>
    <mergeCell ref="E55:I55"/>
    <mergeCell ref="J55:P55"/>
    <mergeCell ref="Q55:W55"/>
    <mergeCell ref="X55:AD55"/>
    <mergeCell ref="AE55:AF55"/>
    <mergeCell ref="AG55:AI55"/>
    <mergeCell ref="BE59:BG59"/>
    <mergeCell ref="BH59:BJ59"/>
    <mergeCell ref="BK59:BQ59"/>
    <mergeCell ref="AJ59:AL59"/>
    <mergeCell ref="AM59:AO59"/>
    <mergeCell ref="AP59:AR59"/>
    <mergeCell ref="AS59:AU59"/>
    <mergeCell ref="AV59:AX59"/>
    <mergeCell ref="AY59:BA59"/>
    <mergeCell ref="BB59:BD59"/>
    <mergeCell ref="E60:I60"/>
    <mergeCell ref="J60:P60"/>
    <mergeCell ref="Q60:W60"/>
    <mergeCell ref="X60:AD60"/>
    <mergeCell ref="AE60:AF60"/>
    <mergeCell ref="AG60:AI60"/>
    <mergeCell ref="A61:BQ61"/>
    <mergeCell ref="B60:D60"/>
    <mergeCell ref="B62:D62"/>
    <mergeCell ref="E62:I62"/>
    <mergeCell ref="J62:P62"/>
    <mergeCell ref="Q62:W62"/>
    <mergeCell ref="X62:AD62"/>
    <mergeCell ref="AE62:AF62"/>
    <mergeCell ref="BE63:BG63"/>
    <mergeCell ref="BH63:BJ63"/>
    <mergeCell ref="AJ63:AL63"/>
    <mergeCell ref="AM63:AO63"/>
    <mergeCell ref="AP63:AR63"/>
    <mergeCell ref="AS63:AU63"/>
    <mergeCell ref="AV63:AX63"/>
    <mergeCell ref="AY63:BA63"/>
    <mergeCell ref="BB63:BD63"/>
    <mergeCell ref="AE59:AF59"/>
    <mergeCell ref="AG59:AI59"/>
    <mergeCell ref="AG58:AI58"/>
    <mergeCell ref="AJ58:AL58"/>
    <mergeCell ref="B59:D59"/>
    <mergeCell ref="E59:I59"/>
    <mergeCell ref="J59:P59"/>
    <mergeCell ref="Q59:W59"/>
    <mergeCell ref="X59:AD59"/>
    <mergeCell ref="BE60:BG60"/>
    <mergeCell ref="BH60:BJ60"/>
    <mergeCell ref="BK60:BQ60"/>
    <mergeCell ref="AJ60:AL60"/>
    <mergeCell ref="AM60:AO60"/>
    <mergeCell ref="AP60:AR60"/>
    <mergeCell ref="AS60:AU60"/>
    <mergeCell ref="AV60:AX60"/>
    <mergeCell ref="AY60:BA60"/>
    <mergeCell ref="BB60:BD60"/>
    <mergeCell ref="BB62:BD62"/>
    <mergeCell ref="BE62:BG62"/>
    <mergeCell ref="BH62:BJ62"/>
    <mergeCell ref="BK62:BQ62"/>
    <mergeCell ref="BK63:BQ63"/>
    <mergeCell ref="AG62:AI62"/>
    <mergeCell ref="AJ62:AL62"/>
    <mergeCell ref="AM62:AO62"/>
    <mergeCell ref="AP62:AR62"/>
    <mergeCell ref="AS62:AU62"/>
    <mergeCell ref="AV62:AX62"/>
    <mergeCell ref="AY62:BA62"/>
    <mergeCell ref="B63:D63"/>
    <mergeCell ref="E63:I63"/>
    <mergeCell ref="J63:P63"/>
    <mergeCell ref="Q63:W63"/>
    <mergeCell ref="X63:AD63"/>
    <mergeCell ref="AE63:AF63"/>
    <mergeCell ref="AG63:AI63"/>
    <mergeCell ref="BE66:BG66"/>
    <mergeCell ref="BH66:BJ66"/>
    <mergeCell ref="AJ66:AL66"/>
    <mergeCell ref="AM66:AO66"/>
    <mergeCell ref="AP66:AR66"/>
    <mergeCell ref="AS66:AU66"/>
    <mergeCell ref="AV66:AX66"/>
    <mergeCell ref="AY66:BA66"/>
    <mergeCell ref="BB66:BD66"/>
    <mergeCell ref="BE64:BG64"/>
    <mergeCell ref="BH64:BJ64"/>
    <mergeCell ref="BK64:BQ64"/>
    <mergeCell ref="AJ64:AL64"/>
    <mergeCell ref="AM64:AO64"/>
    <mergeCell ref="AP64:AR64"/>
    <mergeCell ref="AS64:AU64"/>
    <mergeCell ref="AV64:AX64"/>
    <mergeCell ref="AY64:BA64"/>
    <mergeCell ref="BB64:BD64"/>
    <mergeCell ref="B64:D64"/>
    <mergeCell ref="E64:I64"/>
    <mergeCell ref="J64:P64"/>
    <mergeCell ref="Q64:W64"/>
    <mergeCell ref="X64:AD64"/>
    <mergeCell ref="AE64:AF64"/>
    <mergeCell ref="AG64:AI64"/>
    <mergeCell ref="BE65:BG65"/>
    <mergeCell ref="BH65:BJ65"/>
    <mergeCell ref="BK65:BQ65"/>
    <mergeCell ref="BK66:BQ66"/>
    <mergeCell ref="AJ65:AL65"/>
    <mergeCell ref="AM65:AO65"/>
    <mergeCell ref="AP65:AR65"/>
    <mergeCell ref="AS65:AU65"/>
    <mergeCell ref="AV65:AX65"/>
    <mergeCell ref="AY65:BA65"/>
    <mergeCell ref="BB65:BD65"/>
    <mergeCell ref="B65:D65"/>
    <mergeCell ref="E65:I65"/>
    <mergeCell ref="J65:P65"/>
    <mergeCell ref="Q65:W65"/>
    <mergeCell ref="X65:AD65"/>
    <mergeCell ref="AE65:AF65"/>
    <mergeCell ref="AG65:AI65"/>
    <mergeCell ref="B66:D66"/>
    <mergeCell ref="E66:I66"/>
    <mergeCell ref="J66:P66"/>
    <mergeCell ref="Q66:W66"/>
    <mergeCell ref="X66:AD66"/>
    <mergeCell ref="AE66:AF66"/>
    <mergeCell ref="AG66:AI66"/>
  </mergeCells>
  <dataValidations>
    <dataValidation type="list" allowBlank="1" sqref="F1">
      <formula1>"単体テスト,結合テスト,システムテスト"</formula1>
    </dataValidation>
    <dataValidation type="list" allowBlank="1" sqref="AG13:AG17 AV13:AV17 AG19:AG25 AV19:AV25 AG27:AG29 AV27:AV29 AG31:AG39 AV31:AV39 AG41:AG43 AV41:AV43 AG45:AG51 AV45:AV51 AG53:AG56 AV53:AV56 AG58:AG60 AV58:AV60 AG62:AG71 AV62:AV71">
      <formula1>"合格,不合格,未テスト,N/A"</formula1>
    </dataValidation>
    <dataValidation type="list" allowBlank="1" sqref="AE13:AE17 AE19:AE25 AE27:AE29 AE31:AE39 AE41:AE43 AE45:AE51 AE53:AE56 AE58:AE60 AE62:AE71">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2026-06-04T09:42:26Z</dcterms:created>
  <dc:creator>openpyxl</dc:creator>
</cp:coreProperties>
</file>