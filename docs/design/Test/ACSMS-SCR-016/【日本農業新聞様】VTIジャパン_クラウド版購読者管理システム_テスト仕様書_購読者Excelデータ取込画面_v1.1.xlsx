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8800" windowHeight="11580" activeTab="5"/>
  </bookViews>
  <sheets>
    <sheet name="表紙" sheetId="1" r:id="rId1"/>
    <sheet name="変更履歴" sheetId="2" r:id="rId2"/>
    <sheet name="概要" sheetId="3" r:id="rId3"/>
    <sheet name="テスト報告書" sheetId="4" r:id="rId4"/>
    <sheet name="テスト観点" sheetId="5" r:id="rId5"/>
    <sheet name="機能"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<sst xmlns="http://schemas.openxmlformats.org/spreadsheetml/2006/main" count="1224" uniqueCount="659">
  <si>
    <t>クラウド版購読者管理システム</t>
  </si>
  <si>
    <t>購読者Excelデータ取込画面</t>
  </si>
  <si>
    <t>版1.0</t>
  </si>
  <si>
    <t>フォーマットコード</t>
  </si>
  <si>
    <t>16-BM/PM/VTI</t>
  </si>
  <si>
    <t>フォーマットバージョン</t>
  </si>
  <si>
    <t>1.0</t>
  </si>
  <si>
    <t>発行日</t>
  </si>
  <si>
    <t>2026/08/13</t>
  </si>
  <si>
    <t>項番</t>
  </si>
  <si>
    <t>バージョン</t>
  </si>
  <si>
    <t>担当者</t>
  </si>
  <si>
    <t>変更内容</t>
  </si>
  <si>
    <t>確認者</t>
  </si>
  <si>
    <t>承認者</t>
  </si>
  <si>
    <t>2026-06-04</t>
  </si>
  <si>
    <t>Kieu Thi Diem</t>
  </si>
  <si>
    <t>Tạo bản đầu tiên</t>
  </si>
  <si>
    <t>Nguyen Huy Dat</t>
  </si>
  <si>
    <t>2026-07-27</t>
  </si>
  <si>
    <t>1.1</t>
  </si>
  <si>
    <t>Tran Duc Tuyen</t>
  </si>
  <si>
    <t>Yêu cầu khách hàng 2026-07: tách import thành 2 chế độ bản giấy／bản điện tử. Bỏ loại đăng ký khỏi cột Excel, chuyển sang radio trên màn hình áp dụng chung cho toàn bộ dòng import.</t>
  </si>
  <si>
    <t>2026-08-06</t>
  </si>
  <si>
    <t>1.2</t>
  </si>
  <si>
    <t>Sửa sai lệch với implement: thống nhất số cột template thành 50 cột. Bổ sung ca kiểm thử cho ngày áp dụng／ngày ngừng, 4 mục phụ thuộc của phân loại tầng lớp người đọc, và kiểm tra trùng email xuyên JA.</t>
  </si>
  <si>
    <t>2026-08-13</t>
  </si>
  <si>
    <t>2.0</t>
  </si>
  <si>
    <t>Sửa đổi toàn diện. ①Sửa mô tả chế độ import theo spec hiện hành (2 giá trị: đăng ký mới／cập nhật), xóa các ca kiểm thử nhắm tới chế độ đã bị bãi bỏ. Thêm ca xác nhận hệ thống từ chối giá trị đã bãi bỏ. ②Tái cấu trúc カテゴリ, tách phần kiểm tra giá trị nhập thành カテゴリ riêng. Đưa các ca từng nằm ở phần bổ sung cuối tài liệu về đúng カテゴリ của chúng. ③Tách ngừng hàng loạt thành カテゴリ riêng. ④Gán 観点ID cho toàn bộ ca kiểm thử. Số ca 57 → 77.</t>
  </si>
  <si>
    <t>システム・アプリケーション名</t>
  </si>
  <si>
    <t>ドキュメント</t>
  </si>
  <si>
    <t>シート名</t>
  </si>
  <si>
    <t>作成日</t>
  </si>
  <si>
    <t>作成者</t>
  </si>
  <si>
    <t>更新日</t>
  </si>
  <si>
    <t>更新者</t>
  </si>
  <si>
    <t>テスト仕様書</t>
  </si>
  <si>
    <t>概要</t>
  </si>
  <si>
    <t>1.システム概要</t>
  </si>
  <si>
    <t>Hệ thống này là hệ thống quản lý độc giả dạng cloud dành cho JA, cung cấp các chức năng</t>
  </si>
  <si>
    <t>quản lý thông tin độc giả, quản lý lịch sử đăng ký, quản lý dữ liệu chuyển khoản tài khoản, v.v.</t>
  </si>
  <si>
    <t>Các chức năng chính gồm đăng ký・cập nhật・tìm kiếm thông tin độc giả,</t>
  </si>
  <si>
    <t>quản lý lịch sử thay đổi nội dung đăng ký, tạo và quản lý dữ liệu chuyển khoản tài khoản,</t>
  </si>
  <si>
    <t>chức năng upload・download file, quản lý thông báo hệ thống.</t>
  </si>
  <si>
    <t>Ngoài ra hệ thống còn hỗ trợ các chức năng bảo mật・audit như quản lý login của người dùng,</t>
  </si>
  <si>
    <t>ghi lịch sử login, ghi log thao tác của người dùng.</t>
  </si>
  <si>
    <t>Màn hình này cung cấp chức năng import hàng loạt dữ liệu độc giả từ file Excel.</t>
  </si>
  <si>
    <t>Chế độ import có 2 loại là đăng ký mới và cập nhật, loại đăng ký có 2 loại là bản giấy và bản điện tử,</t>
  </si>
  <si>
    <t>đều được chỉ định trên màn hình và áp dụng đồng loạt cho toàn bộ dòng import.</t>
  </si>
  <si>
    <t>Import có chỉ định ngày ngừng đăng ký được xử lý như ngừng hàng loạt.</t>
  </si>
  <si>
    <t>2.資料目的</t>
  </si>
  <si>
    <t>Tài liệu mô tả chi tiết Test Specification được tạo mới trên hệ thống cho màn hình "Import dữ liệu Excel độc giả (ACSMS-SCR-016)".</t>
  </si>
  <si>
    <t>- Xác nhận từng chức năng hoạt động đúng theo spec thiết kế</t>
  </si>
  <si>
    <t>- Xác nhận kiểm soát quyền truy cập và phạm vi dữ liệu được áp dụng đúng</t>
  </si>
  <si>
    <t>- Xác nhận validation dữ liệu import hoạt động đúng theo spec</t>
  </si>
  <si>
    <t>- Xác nhận kết quả import được phản ánh đúng vào database và audit log</t>
  </si>
  <si>
    <t>3.関連資料</t>
  </si>
  <si>
    <t>No</t>
  </si>
  <si>
    <t>資料コード</t>
  </si>
  <si>
    <t>資料名</t>
  </si>
  <si>
    <t>ACSMS-SCR-016</t>
  </si>
  <si>
    <t>Tài liệu thiết kế màn hình Import dữ liệu Excel độc giả</t>
  </si>
  <si>
    <t>ACSMS-SCR-016-api</t>
  </si>
  <si>
    <t>Tài liệu thiết kế API Import dữ liệu Excel độc giả</t>
  </si>
  <si>
    <t>testcase-viewpoints</t>
  </si>
  <si>
    <t>Danh sách viewpoint test chung cho toàn hệ thống</t>
  </si>
  <si>
    <t>&lt;単体/結合/システム&gt; テスト報告書</t>
  </si>
  <si>
    <t>プロジェクト名</t>
  </si>
  <si>
    <t>プロジェクトマネージャ</t>
  </si>
  <si>
    <t>#</t>
  </si>
  <si>
    <t>機能名</t>
  </si>
  <si>
    <t>テストケース分類</t>
  </si>
  <si>
    <t>合計</t>
  </si>
  <si>
    <t>テスト結果</t>
  </si>
  <si>
    <t>正常</t>
  </si>
  <si>
    <t>異常</t>
  </si>
  <si>
    <t>境界</t>
  </si>
  <si>
    <t>合格</t>
  </si>
  <si>
    <t>不合格</t>
  </si>
  <si>
    <t>未テスト</t>
  </si>
  <si>
    <t>N/A</t>
  </si>
  <si>
    <t>進捗（%）</t>
  </si>
  <si>
    <t>テスト1回目</t>
  </si>
  <si>
    <t>機能</t>
  </si>
  <si>
    <t>テスト2回目</t>
  </si>
  <si>
    <t>テスト観点</t>
  </si>
  <si>
    <t>1. テスト観点一覧</t>
  </si>
  <si>
    <t>観点ID</t>
  </si>
  <si>
    <t>大分類</t>
  </si>
  <si>
    <t>観点名</t>
  </si>
  <si>
    <t>リスク</t>
  </si>
  <si>
    <t>対象画面範囲</t>
  </si>
  <si>
    <t>TC見積</t>
  </si>
  <si>
    <t>VP-A-01</t>
  </si>
  <si>
    <t>A. セキュリティ・権限</t>
  </si>
  <si>
    <t>ロール別権限制御（RBAC gate）</t>
  </si>
  <si>
    <t>高</t>
  </si>
  <si>
    <t>約25保護画面</t>
  </si>
  <si>
    <t>VP-A-02</t>
  </si>
  <si>
    <t>データ範囲（DataScope）</t>
  </si>
  <si>
    <t>約20一覧／詳細画面</t>
  </si>
  <si>
    <t>VP-A-03</t>
  </si>
  <si>
    <t>項目レベル制限（Field-level restriction）</t>
  </si>
  <si>
    <t>5マスタ</t>
  </si>
  <si>
    <t>VP-A-04</t>
  </si>
  <si>
    <t>URL直接アクセス攻撃</t>
  </si>
  <si>
    <t>VP-A-05</t>
  </si>
  <si>
    <t>セッション失効／401 ハンドリング</t>
  </si>
  <si>
    <t>全システム</t>
  </si>
  <si>
    <t>VP-A-06</t>
  </si>
  <si>
    <t>XSS／HTML 描画安全性</t>
  </si>
  <si>
    <t>約20フォーム</t>
  </si>
  <si>
    <t>VP-A-07</t>
  </si>
  <si>
    <t>CSRF／Cookie セキュリティフラグ</t>
  </si>
  <si>
    <t>VP-A-08</t>
  </si>
  <si>
    <t>レート制限・Throttling</t>
  </si>
  <si>
    <t>中</t>
  </si>
  <si>
    <t>全公開API＋認証エンドポイント</t>
  </si>
  <si>
    <t>VP-A-09</t>
  </si>
  <si>
    <t>アカウントロック・解除運用</t>
  </si>
  <si>
    <t>SCR-001／002＋管理機能</t>
  </si>
  <si>
    <t>VP-A-10</t>
  </si>
  <si>
    <t>SQL インジェクション</t>
  </si>
  <si>
    <t>約20フォーム＋検索</t>
  </si>
  <si>
    <t>VP-B-01</t>
  </si>
  <si>
    <t>B. データバリデーション</t>
  </si>
  <si>
    <t>必須項目チェック</t>
  </si>
  <si>
    <t>約25フォーム</t>
  </si>
  <si>
    <t>VP-B-02</t>
  </si>
  <si>
    <t>最小／最大長境界</t>
  </si>
  <si>
    <t>VP-B-03</t>
  </si>
  <si>
    <t>形式正規表現（郵便／電話／コード）</t>
  </si>
  <si>
    <t>VP-B-04</t>
  </si>
  <si>
    <t>半角／全角ハンドリング</t>
  </si>
  <si>
    <t>VP-B-05</t>
  </si>
  <si>
    <t>日付ロジック</t>
  </si>
  <si>
    <t>約10日付付きフォーム</t>
  </si>
  <si>
    <t>VP-B-06</t>
  </si>
  <si>
    <t>通貨／パーセント形式</t>
  </si>
  <si>
    <t>2-3フォーム（単価）</t>
  </si>
  <si>
    <t>VP-B-07</t>
  </si>
  <si>
    <t>マスタコード（m_code）参照</t>
  </si>
  <si>
    <t>約15ドロップダウン付きフォーム</t>
  </si>
  <si>
    <t>VP-B-08</t>
  </si>
  <si>
    <t>キー重複（duplicate code）</t>
  </si>
  <si>
    <t>約10マスタ</t>
  </si>
  <si>
    <t>VP-B-09</t>
  </si>
  <si>
    <t>IME・全角入力・貼付ハンドリング</t>
  </si>
  <si>
    <t>全テキスト入力フォーム＋検索画面</t>
  </si>
  <si>
    <t>VP-C-01</t>
  </si>
  <si>
    <t>C. 業務ロジック</t>
  </si>
  <si>
    <t>CRUD 正常系 + DB 永続化</t>
  </si>
  <si>
    <t>VP-C-02</t>
  </si>
  <si>
    <t>同時編集競合</t>
  </si>
  <si>
    <t>約8編集画面</t>
  </si>
  <si>
    <t>VP-C-03</t>
  </si>
  <si>
    <t>論理削除 + FK 関連</t>
  </si>
  <si>
    <t>約6関連付きマスタ</t>
  </si>
  <si>
    <t>VP-C-04</t>
  </si>
  <si>
    <t>税込／税抜計算</t>
  </si>
  <si>
    <t>単価マスタ</t>
  </si>
  <si>
    <t>VP-C-05</t>
  </si>
  <si>
    <t>購読者種別ルール（読み取り専用）</t>
  </si>
  <si>
    <t>購読者マスタ</t>
  </si>
  <si>
    <t>VP-C-06</t>
  </si>
  <si>
    <t>Excel取込 部分成功</t>
  </si>
  <si>
    <t>2取込画面</t>
  </si>
  <si>
    <t>VP-C-07</t>
  </si>
  <si>
    <t>販売店一括置換</t>
  </si>
  <si>
    <t>一括置換</t>
  </si>
  <si>
    <t>VP-C-08</t>
  </si>
  <si>
    <t>レポート集計の正確性</t>
  </si>
  <si>
    <t>3レポート</t>
  </si>
  <si>
    <t>VP-D-01</t>
  </si>
  <si>
    <t>D. 統合・システム</t>
  </si>
  <si>
    <t>ログイン + MFA フロー</t>
  </si>
  <si>
    <t>SCR-001／002</t>
  </si>
  <si>
    <t>VP-D-02</t>
  </si>
  <si>
    <t>セッションスライディング 24h</t>
  </si>
  <si>
    <t>VP-D-03</t>
  </si>
  <si>
    <t>パスワード再発行フロー</t>
  </si>
  <si>
    <t>SCR-007</t>
  </si>
  <si>
    <t>VP-D-04</t>
  </si>
  <si>
    <t>監査ログの完全性</t>
  </si>
  <si>
    <t>VP-D-05</t>
  </si>
  <si>
    <t>ファイルアップロード S3</t>
  </si>
  <si>
    <t>SCR-022</t>
  </si>
  <si>
    <t>VP-D-06</t>
  </si>
  <si>
    <t>メール通知</t>
  </si>
  <si>
    <t>SCR-001／007／お知らせ</t>
  </si>
  <si>
    <t>VP-D-07</t>
  </si>
  <si>
    <t>外部 CSV 形式準拠</t>
  </si>
  <si>
    <t>SCR-008／009</t>
  </si>
  <si>
    <t>VP-D-08</t>
  </si>
  <si>
    <t>ネットワーク／500／タイムアウト</t>
  </si>
  <si>
    <t>VP-D-09</t>
  </si>
  <si>
    <t>パスワード再発行 旧token無効化＋クールダウン</t>
  </si>
  <si>
    <t>VP-E-01</t>
  </si>
  <si>
    <t>E. 非機能・ユーザビリティ</t>
  </si>
  <si>
    <t>レイアウト／デザイントークン</t>
  </si>
  <si>
    <t>低</t>
  </si>
  <si>
    <t>全画面</t>
  </si>
  <si>
    <t>VP-E-02</t>
  </si>
  <si>
    <t>レスポンシブ（モバイル／タブレット）</t>
  </si>
  <si>
    <t>VP-E-03</t>
  </si>
  <si>
    <t>キーボード操作</t>
  </si>
  <si>
    <t>VP-E-04</t>
  </si>
  <si>
    <t>ブラウザ互換性</t>
  </si>
  <si>
    <t>VP-E-05</t>
  </si>
  <si>
    <t>マルチタブセッション同期</t>
  </si>
  <si>
    <t>VP-E-07</t>
  </si>
  <si>
    <t>未保存変更ガード・ブラウザ離脱</t>
  </si>
  <si>
    <t>全 CRUD 編集フォーム</t>
  </si>
  <si>
    <t>VP-F-01</t>
  </si>
  <si>
    <t>F. 性能</t>
  </si>
  <si>
    <t>性能ベンチマーク</t>
  </si>
  <si>
    <t>全画面パフォーマンス計測対象</t>
  </si>
  <si>
    <t>VP-F-02</t>
  </si>
  <si>
    <t>大量データ表示性能</t>
  </si>
  <si>
    <t>一覧／レポート画面</t>
  </si>
  <si>
    <t>2. 観点ID 命名規約・グループ凡例</t>
  </si>
  <si>
    <t>グループ</t>
  </si>
  <si>
    <t>接頭辞</t>
  </si>
  <si>
    <t>名称</t>
  </si>
  <si>
    <t>観点数</t>
  </si>
  <si>
    <t>リスク傾向</t>
  </si>
  <si>
    <t>代表的なテスト観点</t>
  </si>
  <si>
    <t>A</t>
  </si>
  <si>
    <t>VP-A-NN</t>
  </si>
  <si>
    <t>セキュリティ・権限</t>
  </si>
  <si>
    <t>RBAC、DataScope、項目レベル制限、URL直接攻撃、セッション失効、XSS、CSRF、レート制限、アカウントロック、SQL注入</t>
  </si>
  <si>
    <t>B</t>
  </si>
  <si>
    <t>VP-B-NN</t>
  </si>
  <si>
    <t>データバリデーション</t>
  </si>
  <si>
    <t>必須／長さ／形式／半角全角／日付／通貨／m_code／重複キー／IME・貼付ハンドリング</t>
  </si>
  <si>
    <t>C</t>
  </si>
  <si>
    <t>VP-C-NN</t>
  </si>
  <si>
    <t>業務ロジック</t>
  </si>
  <si>
    <t>CRUD 永続化、同時編集競合、論理削除＋FK、税計算、購読者ルール、Excel 取込、レポート集計</t>
  </si>
  <si>
    <t>D</t>
  </si>
  <si>
    <t>VP-D-NN</t>
  </si>
  <si>
    <t>統合・システム</t>
  </si>
  <si>
    <t>ログイン＋MFA、セッション管理、パスワード再発行、監査ログ、S3、メール、CSV 準拠、ネットワーク／500</t>
  </si>
  <si>
    <t>E</t>
  </si>
  <si>
    <t>VP-E-NN</t>
  </si>
  <si>
    <t>非機能・ユーザビリティ</t>
  </si>
  <si>
    <t>低〜中</t>
  </si>
  <si>
    <t>レイアウト、レスポンシブ、キーボード操作、ブラウザ互換、マルチタブ同期、未保存変更ガード</t>
  </si>
  <si>
    <t>F</t>
  </si>
  <si>
    <t>VP-F-NN</t>
  </si>
  <si>
    <t>性能</t>
  </si>
  <si>
    <t>性能ベンチマーク、大量データ表示性能</t>
  </si>
  <si>
    <t>命名規約：VP-{グループ記号}-{NN} 形式（NN はグループ内の2桁連番）。新規観点は同グループの末尾に追加する（例：VP-A-11）。グループ記号はリスク軸による分類で、JSTQB FL の品質特性区分に準拠する。</t>
  </si>
  <si>
    <t>テストレベル</t>
  </si>
  <si>
    <t>結合テスト</t>
  </si>
  <si>
    <t>機能／モジュール</t>
  </si>
  <si>
    <t>ACSMS-SCR-016_購読者Excelデータ取込画面</t>
  </si>
  <si>
    <t>確認日</t>
  </si>
  <si>
    <t>テスト環境</t>
  </si>
  <si>
    <t>Windows 10/11, Chrome, Edge</t>
  </si>
  <si>
    <t>分類</t>
  </si>
  <si>
    <t>回目</t>
  </si>
  <si>
    <t>境界値</t>
  </si>
  <si>
    <t>1回目</t>
  </si>
  <si>
    <t>2回目</t>
  </si>
  <si>
    <t>要件ID</t>
  </si>
  <si>
    <t>説明</t>
  </si>
  <si>
    <t>前提条件</t>
  </si>
  <si>
    <t>ステップ／手順</t>
  </si>
  <si>
    <t>期待結果／アウトプット</t>
  </si>
  <si>
    <t>種類</t>
  </si>
  <si>
    <t>テスト1回目の結果</t>
  </si>
  <si>
    <t>テスト2回目の結果</t>
  </si>
  <si>
    <t>備考</t>
  </si>
  <si>
    <t>結果</t>
  </si>
  <si>
    <t>実績／
アウトプット</t>
  </si>
  <si>
    <t>確認日付
（MM/DD）</t>
  </si>
  <si>
    <t>バグID</t>
  </si>
  <si>
    <t>Kiểm soát quyền truy cập (Access Control)</t>
  </si>
  <si>
    <t>ACSMS-TC-016-001</t>
  </si>
  <si>
    <t>Cấm truy cập màn hình (NICHINO_ADMIN)</t>
  </si>
  <si>
    <t>・Đã login bằng NICHINO_ADMIN (đã xác thực 2 bước)
・Không có quyền `dokusya.import`</t>
  </si>
  <si>
    <r>
      <rPr>
        <b/>
        <sz val="10"/>
        <color rgb="FF000000"/>
        <rFont val="メイリオ"/>
        <charset val="134"/>
      </rPr>
      <t xml:space="preserve">ステップ1：
</t>
    </r>
    <r>
      <rPr>
        <sz val="10"/>
        <color rgb="FF000000"/>
        <rFont val="メイリオ"/>
        <charset val="134"/>
      </rPr>
      <t xml:space="preserve">Mở màn hình menu, kiểm tra item "購読者Excelデータ取込" không hiển thị trên sidebar
</t>
    </r>
    <r>
      <rPr>
        <b/>
        <sz val="10"/>
        <color rgb="FF000000"/>
        <rFont val="メイリオ"/>
        <charset val="134"/>
      </rPr>
      <t xml:space="preserve">ステップ2：
</t>
    </r>
    <r>
      <rPr>
        <sz val="10"/>
        <color rgb="FF000000"/>
        <rFont val="メイリオ"/>
        <charset val="134"/>
      </rPr>
      <t xml:space="preserve">Nhập "/dokusya/import" vào thanh địa chỉ trình duyệt để truy cập trực tiếp
</t>
    </r>
    <r>
      <rPr>
        <b/>
        <sz val="10"/>
        <color rgb="FF000000"/>
        <rFont val="メイリオ"/>
        <charset val="134"/>
      </rPr>
      <t xml:space="preserve">ステップ3：
</t>
    </r>
    <r>
      <rPr>
        <sz val="10"/>
        <color rgb="FF000000"/>
        <rFont val="メイリオ"/>
        <charset val="134"/>
      </rPr>
      <t xml:space="preserve">Gửi POST "/api/v1/dokusya/import" với request body hợp lệ qua tab Network của DevTools
</t>
    </r>
    <r>
      <rPr>
        <b/>
        <sz val="10"/>
        <color rgb="FF000000"/>
        <rFont val="メイリオ"/>
        <charset val="134"/>
      </rPr>
      <t xml:space="preserve">ステップ4：
</t>
    </r>
    <r>
      <rPr>
        <sz val="10"/>
        <color rgb="FF000000"/>
        <rFont val="メイリオ"/>
        <charset val="134"/>
      </rPr>
      <t xml:space="preserve">Chạy query sau trên DB để kiểm tra log và dữ liệu
</t>
    </r>
    <r>
      <rPr>
        <sz val="10"/>
        <color rgb="FF000000"/>
        <rFont val="メイリオ"/>
        <charset val="134"/>
      </rPr>
      <t xml:space="preserve">```sql
</t>
    </r>
    <r>
      <rPr>
        <sz val="10"/>
        <color rgb="FF000000"/>
        <rFont val="メイリオ"/>
        <charset val="134"/>
      </rPr>
      <t xml:space="preserve">SELECT * FROM t_log
</t>
    </r>
    <r>
      <rPr>
        <sz val="10"/>
        <color rgb="FF000000"/>
        <rFont val="メイリオ"/>
        <charset val="134"/>
      </rPr>
      <t xml:space="preserve">WHERE result_status = 2
</t>
    </r>
    <r>
      <rPr>
        <sz val="10"/>
        <color rgb="FF000000"/>
        <rFont val="メイリオ"/>
        <charset val="134"/>
      </rPr>
      <t xml:space="preserve">AND target_table = 't_dokusya'
</t>
    </r>
    <r>
      <rPr>
        <sz val="10"/>
        <color rgb="FF000000"/>
        <rFont val="メイリオ"/>
        <charset val="134"/>
      </rPr>
      <t xml:space="preserve">ORDER BY log_datetime DESC
</t>
    </r>
    <r>
      <rPr>
        <sz val="10"/>
        <color rgb="FF000000"/>
        <rFont val="メイリオ"/>
        <charset val="134"/>
      </rPr>
      <t xml:space="preserve">LIMIT 1;
</t>
    </r>
    <r>
      <rPr>
        <sz val="10"/>
        <color rgb="FF000000"/>
        <rFont val="メイリオ"/>
        <charset val="134"/>
      </rPr>
      <t>```</t>
    </r>
  </si>
  <si>
    <r>
      <rPr>
        <b/>
        <sz val="10"/>
        <color rgb="FF000000"/>
        <rFont val="メイリオ"/>
        <charset val="134"/>
      </rPr>
      <t xml:space="preserve">ステップ1：
</t>
    </r>
    <r>
      <rPr>
        <sz val="10"/>
        <color rgb="FF000000"/>
        <rFont val="メイリオ"/>
        <charset val="134"/>
      </rPr>
      <t xml:space="preserve">Item "購読者Excelデータ取込" không hiển thị trên sidebar (do không có quyền `dokusya.import`)
</t>
    </r>
    <r>
      <rPr>
        <b/>
        <sz val="10"/>
        <color rgb="FF000000"/>
        <rFont val="メイリオ"/>
        <charset val="134"/>
      </rPr>
      <t xml:space="preserve">ステップ2：
</t>
    </r>
    <r>
      <rPr>
        <sz val="10"/>
        <color rgb="FF000000"/>
        <rFont val="メイリオ"/>
        <charset val="134"/>
      </rPr>
      <t xml:space="preserve">Hiển thị toast「アクセス権がありません。」và chuyển về "/dashboard"
</t>
    </r>
    <r>
      <rPr>
        <b/>
        <sz val="10"/>
        <color rgb="FF000000"/>
        <rFont val="メイリオ"/>
        <charset val="134"/>
      </rPr>
      <t xml:space="preserve">ステップ3：
</t>
    </r>
    <r>
      <rPr>
        <sz val="10"/>
        <color rgb="FF000000"/>
        <rFont val="メイリオ"/>
        <charset val="134"/>
      </rPr>
      <t xml:space="preserve">Trả về HTTP 403 (`error_code: FORBIDDEN`, message `この画面へのアクセス権限がありません。`)
</t>
    </r>
    <r>
      <rPr>
        <b/>
        <sz val="10"/>
        <color rgb="FF000000"/>
        <rFont val="メイリオ"/>
        <charset val="134"/>
      </rPr>
      <t xml:space="preserve">ステップ4：
</t>
    </r>
    <r>
      <rPr>
        <sz val="10"/>
        <color rgb="FF000000"/>
        <rFont val="メイリオ"/>
        <charset val="134"/>
      </rPr>
      <t xml:space="preserve">・Ghi ít nhất 1 error log vào t_log
</t>
    </r>
    <r>
      <rPr>
        <sz val="10"/>
        <color rgb="FF000000"/>
        <rFont val="メイリオ"/>
        <charset val="134"/>
      </rPr>
      <t xml:space="preserve">・account_id khớp với tài khoản test
</t>
    </r>
    <r>
      <rPr>
        <sz val="10"/>
        <color rgb="FF000000"/>
        <rFont val="メイリオ"/>
        <charset val="134"/>
      </rPr>
      <t xml:space="preserve">・Không đăng ký dữ liệu mới vào t_dokusya
</t>
    </r>
    <r>
      <rPr>
        <b/>
        <sz val="10"/>
        <color rgb="FF000000"/>
        <rFont val="メイリオ"/>
        <charset val="134"/>
      </rPr>
      <t xml:space="preserve">補足：
</t>
    </r>
    <r>
      <rPr>
        <sz val="10"/>
        <color rgb="FF000000"/>
        <rFont val="メイリオ"/>
        <charset val="134"/>
      </rPr>
      <t>・Quyền truy cập được kiểm soát ở cả 3 tầng: menu phía frontend, router guard phía frontend, API guard phía backend</t>
    </r>
  </si>
  <si>
    <t>Hoa.nguyenhanh</t>
  </si>
  <si>
    <t>ACSMS-TC-016-002</t>
  </si>
  <si>
    <t>Cấm truy cập màn hình (NICHINO_STAFF)</t>
  </si>
  <si>
    <t>・Đã login bằng NICHINO_STAFF (đã xác thực 2 bước)
・Không có quyền `dokusya.import`</t>
  </si>
  <si>
    <r>
      <rPr>
        <b/>
        <sz val="10"/>
        <color rgb="FF000000"/>
        <rFont val="游ゴシック"/>
        <charset val="134"/>
      </rPr>
      <t xml:space="preserve">ステップ1：
</t>
    </r>
    <r>
      <rPr>
        <sz val="10"/>
        <color rgb="FF000000"/>
        <rFont val="游ゴシック"/>
        <charset val="134"/>
      </rPr>
      <t xml:space="preserve">Mở màn hình menu, kiểm tra item "購読者Excelデータ取込" không hiển thị trên sidebar
</t>
    </r>
    <r>
      <rPr>
        <b/>
        <sz val="10"/>
        <color rgb="FF000000"/>
        <rFont val="游ゴシック"/>
        <charset val="134"/>
      </rPr>
      <t xml:space="preserve">ステップ2：
</t>
    </r>
    <r>
      <rPr>
        <sz val="10"/>
        <color rgb="FF000000"/>
        <rFont val="游ゴシック"/>
        <charset val="134"/>
      </rPr>
      <t xml:space="preserve">Nhập "/dokusya/import" vào thanh địa chỉ trình duyệt để truy cập trực tiếp
</t>
    </r>
    <r>
      <rPr>
        <b/>
        <sz val="10"/>
        <color rgb="FF000000"/>
        <rFont val="游ゴシック"/>
        <charset val="134"/>
      </rPr>
      <t xml:space="preserve">ステップ3：
</t>
    </r>
    <r>
      <rPr>
        <sz val="10"/>
        <color rgb="FF000000"/>
        <rFont val="游ゴシック"/>
        <charset val="134"/>
      </rPr>
      <t xml:space="preserve">Gửi GET "/api/v1/dokusya/import/template" qua tab Network của DevTools
</t>
    </r>
    <r>
      <rPr>
        <b/>
        <sz val="10"/>
        <color rgb="FF000000"/>
        <rFont val="游ゴシック"/>
        <charset val="134"/>
      </rPr>
      <t xml:space="preserve">ステップ4：
</t>
    </r>
    <r>
      <rPr>
        <sz val="10"/>
        <color rgb="FF000000"/>
        <rFont val="游ゴシック"/>
        <charset val="134"/>
      </rPr>
      <t>Gửi POST "/api/v1/dokusya/import" với request body hợp lệ qua tab Network của DevTools</t>
    </r>
  </si>
  <si>
    <r>
      <rPr>
        <b/>
        <sz val="10"/>
        <color rgb="FF000000"/>
        <rFont val="メイリオ"/>
        <charset val="134"/>
      </rPr>
      <t xml:space="preserve">ステップ1：
</t>
    </r>
    <r>
      <rPr>
        <sz val="10"/>
        <color rgb="FF000000"/>
        <rFont val="メイリオ"/>
        <charset val="134"/>
      </rPr>
      <t xml:space="preserve">Item "購読者Excelデータ取込" không hiển thị trên sidebar
</t>
    </r>
    <r>
      <rPr>
        <b/>
        <sz val="10"/>
        <color rgb="FF000000"/>
        <rFont val="メイリオ"/>
        <charset val="134"/>
      </rPr>
      <t xml:space="preserve">ステップ2：
</t>
    </r>
    <r>
      <rPr>
        <sz val="10"/>
        <color rgb="FF000000"/>
        <rFont val="メイリオ"/>
        <charset val="134"/>
      </rPr>
      <t xml:space="preserve">Hiển thị toast「アクセス権がありません。」và chuyển về "/dashboard"
</t>
    </r>
    <r>
      <rPr>
        <b/>
        <sz val="10"/>
        <color rgb="FF000000"/>
        <rFont val="メイリオ"/>
        <charset val="134"/>
      </rPr>
      <t xml:space="preserve">ステップ3：
</t>
    </r>
    <r>
      <rPr>
        <sz val="10"/>
        <color rgb="FF000000"/>
        <rFont val="メイリオ"/>
        <charset val="134"/>
      </rPr>
      <t xml:space="preserve">Trả về HTTP 403 (`error_code: FORBIDDEN`, message `この画面へのアクセス権限がありません。`)
</t>
    </r>
    <r>
      <rPr>
        <b/>
        <sz val="10"/>
        <color rgb="FF000000"/>
        <rFont val="メイリオ"/>
        <charset val="134"/>
      </rPr>
      <t xml:space="preserve">ステップ4：
</t>
    </r>
    <r>
      <rPr>
        <sz val="10"/>
        <color rgb="FF000000"/>
        <rFont val="メイリオ"/>
        <charset val="134"/>
      </rPr>
      <t xml:space="preserve">Trả về HTTP 403 (`error_code: FORBIDDEN`, message `この画面へのアクセス権限がありません。`)
</t>
    </r>
    <r>
      <rPr>
        <b/>
        <sz val="10"/>
        <color rgb="FF000000"/>
        <rFont val="メイリオ"/>
        <charset val="134"/>
      </rPr>
      <t xml:space="preserve">補足：
</t>
    </r>
    <r>
      <rPr>
        <sz val="10"/>
        <color rgb="FF000000"/>
        <rFont val="メイリオ"/>
        <charset val="134"/>
      </rPr>
      <t xml:space="preserve">・Role có quyền nhập hộ cửa hàng bán vẫn không sử dụng được chức năng import độc giả
</t>
    </r>
    <r>
      <rPr>
        <sz val="10"/>
        <color rgb="FF000000"/>
        <rFont val="メイリオ"/>
        <charset val="134"/>
      </rPr>
      <t>・Không đăng ký dữ liệu mới vào t_dokusya</t>
    </r>
  </si>
  <si>
    <t>ACSMS-TC-016-003</t>
  </si>
  <si>
    <t>Truy cập được và chỉ import trong phạm vi trung ương hội của mình (CHUOKAI)</t>
  </si>
  <si>
    <t>・Đã login bằng CHUOKAI (đã xác thực 2 bước)
・Có quyền `dokusya.import`
・Đã đăng ký sẵn JA thuộc trung ương hội của mình và JA ngoài phạm vi quản lý</t>
  </si>
  <si>
    <r>
      <rPr>
        <b/>
        <sz val="10"/>
        <color rgb="FF000000"/>
        <rFont val="游ゴシック"/>
        <charset val="134"/>
      </rPr>
      <t xml:space="preserve">ステップ1：
</t>
    </r>
    <r>
      <rPr>
        <sz val="10"/>
        <color rgb="FF000000"/>
        <rFont val="游ゴシック"/>
        <charset val="134"/>
      </rPr>
      <t xml:space="preserve">Mở màn hình menu, click "購読者Excelデータ取込" trên sidebar
</t>
    </r>
    <r>
      <rPr>
        <b/>
        <sz val="10"/>
        <color rgb="FF000000"/>
        <rFont val="游ゴシック"/>
        <charset val="134"/>
      </rPr>
      <t xml:space="preserve">ステップ2：
</t>
    </r>
    <r>
      <rPr>
        <sz val="10"/>
        <color rgb="FF000000"/>
        <rFont val="游ゴシック"/>
        <charset val="134"/>
      </rPr>
      <t xml:space="preserve">Chọn file Excel ghi mã chi nhánh quản lý・mã cửa hàng bán của JA thuộc trung ương hội mình, chọn loại đăng ký "紙版"・chế độ import "新規登録" rồi bắt đầu import
</t>
    </r>
    <r>
      <rPr>
        <b/>
        <sz val="10"/>
        <color rgb="FF000000"/>
        <rFont val="游ゴシック"/>
        <charset val="134"/>
      </rPr>
      <t xml:space="preserve">ステップ3：
</t>
    </r>
    <r>
      <rPr>
        <sz val="10"/>
        <color rgb="FF000000"/>
        <rFont val="游ゴシック"/>
        <charset val="134"/>
      </rPr>
      <t xml:space="preserve">Chọn file Excel ghi mã chi nhánh quản lý của JA ngoài phạm vi quản lý, import với cùng điều kiện
</t>
    </r>
    <r>
      <rPr>
        <b/>
        <sz val="10"/>
        <color rgb="FF000000"/>
        <rFont val="游ゴシック"/>
        <charset val="134"/>
      </rPr>
      <t xml:space="preserve">ステップ4：
</t>
    </r>
    <r>
      <rPr>
        <sz val="10"/>
        <color rgb="FF000000"/>
        <rFont val="游ゴシック"/>
        <charset val="134"/>
      </rPr>
      <t>Chạy query sau trên DB để kiểm tra JA của dữ liệu đã đăng ký
```sql
SELECT dokusya_id, ja_id, kanri_shiten_id
FROM t_dokusya
ORDER BY dokusya_id DESC
LIMIT 5;
```</t>
    </r>
  </si>
  <si>
    <r>
      <rPr>
        <b/>
        <sz val="10"/>
        <color rgb="FF000000"/>
        <rFont val="游ゴシック"/>
        <charset val="134"/>
      </rPr>
      <t xml:space="preserve">ステップ1：
</t>
    </r>
    <r>
      <rPr>
        <sz val="10"/>
        <color rgb="FF000000"/>
        <rFont val="游ゴシック"/>
        <charset val="134"/>
      </rPr>
      <t xml:space="preserve">Màn hình được hiển thị (không hiển thị toast)
</t>
    </r>
    <r>
      <rPr>
        <b/>
        <sz val="10"/>
        <color rgb="FF000000"/>
        <rFont val="游ゴシック"/>
        <charset val="134"/>
      </rPr>
      <t xml:space="preserve">ステップ2：
</t>
    </r>
    <r>
      <rPr>
        <sz val="10"/>
        <color rgb="FF000000"/>
        <rFont val="游ゴシック"/>
        <charset val="134"/>
      </rPr>
      <t xml:space="preserve">Dữ liệu được đăng ký và hiển thị toast「取り込みました。」
</t>
    </r>
    <r>
      <rPr>
        <b/>
        <sz val="10"/>
        <color rgb="FF000000"/>
        <rFont val="游ゴシック"/>
        <charset val="134"/>
      </rPr>
      <t xml:space="preserve">ステップ3：
</t>
    </r>
    <r>
      <rPr>
        <sz val="10"/>
        <color rgb="FF000000"/>
        <rFont val="游ゴシック"/>
        <charset val="134"/>
      </rPr>
      <t xml:space="preserve">Trả về HTTP 400 (`error_code: IMPORT_VALIDATION_ERROR`, message `Excel取込データにエラーがあります。詳細はerrorsフィールドを確認してください。`)
</t>
    </r>
    <r>
      <rPr>
        <b/>
        <sz val="10"/>
        <color rgb="FF000000"/>
        <rFont val="游ゴシック"/>
        <charset val="134"/>
      </rPr>
      <t xml:space="preserve">ステップ4：
</t>
    </r>
    <r>
      <rPr>
        <sz val="10"/>
        <color rgb="FF000000"/>
        <rFont val="游ゴシック"/>
        <charset val="134"/>
      </rPr>
      <t xml:space="preserve">・ja_id của dữ liệu đã đăng ký chỉ thuộc JA trong phạm vi trung ương hội mình
・Dữ liệu của JA ngoài phạm vi không được đăng ký
</t>
    </r>
    <r>
      <rPr>
        <b/>
        <sz val="10"/>
        <color rgb="FF000000"/>
        <rFont val="游ゴシック"/>
        <charset val="134"/>
      </rPr>
      <t xml:space="preserve">補足：
</t>
    </r>
    <r>
      <rPr>
        <sz val="10"/>
        <color rgb="FF000000"/>
        <rFont val="游ゴシック"/>
        <charset val="134"/>
      </rPr>
      <t>・Việc kiểm soát phạm vi dữ liệu được thực hiện phía backend
・Log thao tác được ghi vào t_log</t>
    </r>
  </si>
  <si>
    <t>N</t>
  </si>
  <si>
    <t>ACSMS-TC-016-004</t>
  </si>
  <si>
    <t>Truy cập được và chỉ import trong JA của mình (JA_HONTEN)</t>
  </si>
  <si>
    <t>・Đã login bằng JA_HONTEN (đã xác thực 2 bước)
・Có quyền `dokusya.import`
・Đã đăng ký sẵn chi nhánh quản lý・cửa hàng bán của JA mình và của JA khác</t>
  </si>
  <si>
    <r>
      <rPr>
        <b/>
        <sz val="10"/>
        <color rgb="FF000000"/>
        <rFont val="メイリオ"/>
        <charset val="134"/>
      </rPr>
      <t xml:space="preserve">ステップ1：
</t>
    </r>
    <r>
      <rPr>
        <sz val="10"/>
        <color rgb="FF000000"/>
        <rFont val="メイリオ"/>
        <charset val="134"/>
      </rPr>
      <t xml:space="preserve">Click "購読者Excelデータ取込" từ dashboard của màn hình menu
</t>
    </r>
    <r>
      <rPr>
        <b/>
        <sz val="10"/>
        <color rgb="FF000000"/>
        <rFont val="メイリオ"/>
        <charset val="134"/>
      </rPr>
      <t xml:space="preserve">ステップ2：
</t>
    </r>
    <r>
      <rPr>
        <sz val="10"/>
        <color rgb="FF000000"/>
        <rFont val="メイリオ"/>
        <charset val="134"/>
      </rPr>
      <t xml:space="preserve">Chọn file Excel ghi mã chi nhánh quản lý・mã cửa hàng bán của JA mình, chọn loại đăng ký "紙版"・chế độ import "新規登録" rồi bắt đầu import
</t>
    </r>
    <r>
      <rPr>
        <b/>
        <sz val="10"/>
        <color rgb="FF000000"/>
        <rFont val="メイリオ"/>
        <charset val="134"/>
      </rPr>
      <t xml:space="preserve">ステップ3：
</t>
    </r>
    <r>
      <rPr>
        <sz val="10"/>
        <color rgb="FF000000"/>
        <rFont val="メイリオ"/>
        <charset val="134"/>
      </rPr>
      <t xml:space="preserve">Chọn file Excel ghi mã chi nhánh quản lý của JA khác, import với cùng điều kiện
</t>
    </r>
    <r>
      <rPr>
        <b/>
        <sz val="10"/>
        <color rgb="FF000000"/>
        <rFont val="メイリオ"/>
        <charset val="134"/>
      </rPr>
      <t xml:space="preserve">ステップ4：
</t>
    </r>
    <r>
      <rPr>
        <sz val="10"/>
        <color rgb="FF000000"/>
        <rFont val="メイリオ"/>
        <charset val="134"/>
      </rPr>
      <t>Kiểm tra mảng errors trong response body qua tab Network của DevTools</t>
    </r>
  </si>
  <si>
    <r>
      <rPr>
        <b/>
        <sz val="10"/>
        <color rgb="FF000000"/>
        <rFont val="メイリオ"/>
        <charset val="134"/>
      </rPr>
      <t xml:space="preserve">ステップ1：
</t>
    </r>
    <r>
      <rPr>
        <sz val="10"/>
        <color rgb="FF000000"/>
        <rFont val="メイリオ"/>
        <charset val="134"/>
      </rPr>
      <t xml:space="preserve">Màn hình được hiển thị
</t>
    </r>
    <r>
      <rPr>
        <b/>
        <sz val="10"/>
        <color rgb="FF000000"/>
        <rFont val="メイリオ"/>
        <charset val="134"/>
      </rPr>
      <t xml:space="preserve">ステップ2：
</t>
    </r>
    <r>
      <rPr>
        <sz val="10"/>
        <color rgb="FF000000"/>
        <rFont val="メイリオ"/>
        <charset val="134"/>
      </rPr>
      <t xml:space="preserve">Dữ liệu được đăng ký và hiển thị toast「取り込みました。」
</t>
    </r>
    <r>
      <rPr>
        <b/>
        <sz val="10"/>
        <color rgb="FF000000"/>
        <rFont val="メイリオ"/>
        <charset val="134"/>
      </rPr>
      <t xml:space="preserve">ステップ3：
</t>
    </r>
    <r>
      <rPr>
        <sz val="10"/>
        <color rgb="FF000000"/>
        <rFont val="メイリオ"/>
        <charset val="134"/>
      </rPr>
      <t xml:space="preserve">Trả về HTTP 400 (`error_code: IMPORT_VALIDATION_ERROR`)
</t>
    </r>
    <r>
      <rPr>
        <b/>
        <sz val="10"/>
        <color rgb="FF000000"/>
        <rFont val="メイリオ"/>
        <charset val="134"/>
      </rPr>
      <t xml:space="preserve">ステップ4：
</t>
    </r>
    <r>
      <rPr>
        <sz val="10"/>
        <color rgb="FF000000"/>
        <rFont val="メイリオ"/>
        <charset val="134"/>
      </rPr>
      <t xml:space="preserve">Mảng errors chứa số dòng và tên mục (`kanri_shiten_code`)
</t>
    </r>
    <r>
      <rPr>
        <b/>
        <sz val="10"/>
        <color rgb="FF000000"/>
        <rFont val="メイリオ"/>
        <charset val="134"/>
      </rPr>
      <t xml:space="preserve">補足：
</t>
    </r>
    <r>
      <rPr>
        <sz val="10"/>
        <color rgb="FF000000"/>
        <rFont val="メイリオ"/>
        <charset val="134"/>
      </rPr>
      <t xml:space="preserve">・Mã chi nhánh quản lý ngoài JA mình không được resolve nên không nằm trong đối tượng import
</t>
    </r>
    <r>
      <rPr>
        <sz val="10"/>
        <color rgb="FF000000"/>
        <rFont val="メイリオ"/>
        <charset val="134"/>
      </rPr>
      <t>・ja_id của t_dokusya khớp với JA mà người dùng login thuộc về</t>
    </r>
  </si>
  <si>
    <t>ACSMS-TC-016-005</t>
  </si>
  <si>
    <t>Truy cập được và chỉ import trong chi nhánh quản lý của mình (JA_KANRI_SHITEN)</t>
  </si>
  <si>
    <t>・Đã login bằng JA_KANRI_SHITEN (đã xác thực 2 bước)
・Có quyền `dokusya.import`
・Trong cùng một JA đã đăng ký sẵn chi nhánh quản lý của mình và một chi nhánh quản lý khác</t>
  </si>
  <si>
    <r>
      <rPr>
        <b/>
        <sz val="10"/>
        <color rgb="FF000000"/>
        <rFont val="メイリオ"/>
        <charset val="134"/>
      </rPr>
      <t xml:space="preserve">ステップ1：
</t>
    </r>
    <r>
      <rPr>
        <sz val="10"/>
        <color rgb="FF000000"/>
        <rFont val="メイリオ"/>
        <charset val="134"/>
      </rPr>
      <t xml:space="preserve">Click "購読者Excelデータ取込" trên sidebar
</t>
    </r>
    <r>
      <rPr>
        <b/>
        <sz val="10"/>
        <color rgb="FF000000"/>
        <rFont val="メイリオ"/>
        <charset val="134"/>
      </rPr>
      <t xml:space="preserve">ステップ2：
</t>
    </r>
    <r>
      <rPr>
        <sz val="10"/>
        <color rgb="FF000000"/>
        <rFont val="メイリオ"/>
        <charset val="134"/>
      </rPr>
      <t xml:space="preserve">Chọn file Excel ghi mã chi nhánh quản lý của mình, chọn loại đăng ký "紙版"・chế độ import "新規登録" rồi bắt đầu import
</t>
    </r>
    <r>
      <rPr>
        <b/>
        <sz val="10"/>
        <color rgb="FF000000"/>
        <rFont val="メイリオ"/>
        <charset val="134"/>
      </rPr>
      <t xml:space="preserve">ステップ3：
</t>
    </r>
    <r>
      <rPr>
        <sz val="10"/>
        <color rgb="FF000000"/>
        <rFont val="メイリオ"/>
        <charset val="134"/>
      </rPr>
      <t xml:space="preserve">Chọn file Excel ghi mã chi nhánh quản lý khác trong cùng JA, import với cùng điều kiện
</t>
    </r>
    <r>
      <rPr>
        <b/>
        <sz val="10"/>
        <color rgb="FF000000"/>
        <rFont val="メイリオ"/>
        <charset val="134"/>
      </rPr>
      <t xml:space="preserve">ステップ4：
</t>
    </r>
    <r>
      <rPr>
        <sz val="10"/>
        <color rgb="FF000000"/>
        <rFont val="メイリオ"/>
        <charset val="134"/>
      </rPr>
      <t xml:space="preserve">Chạy query sau trên DB để kiểm tra chi nhánh quản lý đã đăng ký
</t>
    </r>
    <r>
      <rPr>
        <sz val="10"/>
        <color rgb="FF000000"/>
        <rFont val="メイリオ"/>
        <charset val="134"/>
      </rPr>
      <t xml:space="preserve">```sql
</t>
    </r>
    <r>
      <rPr>
        <sz val="10"/>
        <color rgb="FF000000"/>
        <rFont val="メイリオ"/>
        <charset val="134"/>
      </rPr>
      <t xml:space="preserve">SELECT dokusya_id, kanri_shiten_id
</t>
    </r>
    <r>
      <rPr>
        <sz val="10"/>
        <color rgb="FF000000"/>
        <rFont val="メイリオ"/>
        <charset val="134"/>
      </rPr>
      <t xml:space="preserve">FROM t_dokusya
</t>
    </r>
    <r>
      <rPr>
        <sz val="10"/>
        <color rgb="FF000000"/>
        <rFont val="メイリオ"/>
        <charset val="134"/>
      </rPr>
      <t xml:space="preserve">ORDER BY dokusya_id DESC
</t>
    </r>
    <r>
      <rPr>
        <sz val="10"/>
        <color rgb="FF000000"/>
        <rFont val="メイリオ"/>
        <charset val="134"/>
      </rPr>
      <t xml:space="preserve">LIMIT 5;
</t>
    </r>
    <r>
      <rPr>
        <sz val="10"/>
        <color rgb="FF000000"/>
        <rFont val="メイリオ"/>
        <charset val="134"/>
      </rPr>
      <t>```</t>
    </r>
  </si>
  <si>
    <r>
      <rPr>
        <b/>
        <sz val="10"/>
        <color rgb="FF000000"/>
        <rFont val="メイリオ"/>
        <charset val="134"/>
      </rPr>
      <t xml:space="preserve">ステップ1：
</t>
    </r>
    <r>
      <rPr>
        <sz val="10"/>
        <color rgb="FF000000"/>
        <rFont val="メイリオ"/>
        <charset val="134"/>
      </rPr>
      <t xml:space="preserve">Màn hình được hiển thị
</t>
    </r>
    <r>
      <rPr>
        <b/>
        <sz val="10"/>
        <color rgb="FF000000"/>
        <rFont val="メイリオ"/>
        <charset val="134"/>
      </rPr>
      <t xml:space="preserve">ステップ2：
</t>
    </r>
    <r>
      <rPr>
        <sz val="10"/>
        <color rgb="FF000000"/>
        <rFont val="メイリオ"/>
        <charset val="134"/>
      </rPr>
      <t xml:space="preserve">Dữ liệu được đăng ký và hiển thị toast「取り込みました。」
</t>
    </r>
    <r>
      <rPr>
        <b/>
        <sz val="10"/>
        <color rgb="FF000000"/>
        <rFont val="メイリオ"/>
        <charset val="134"/>
      </rPr>
      <t xml:space="preserve">ステップ3：
</t>
    </r>
    <r>
      <rPr>
        <sz val="10"/>
        <color rgb="FF000000"/>
        <rFont val="メイリオ"/>
        <charset val="134"/>
      </rPr>
      <t xml:space="preserve">Trả về HTTP 403 (`error_code: DATA_SCOPE_VIOLATION`, message `このデータへのアクセス権限がありません。`)
</t>
    </r>
    <r>
      <rPr>
        <b/>
        <sz val="10"/>
        <color rgb="FF000000"/>
        <rFont val="メイリオ"/>
        <charset val="134"/>
      </rPr>
      <t xml:space="preserve">ステップ4：
</t>
    </r>
    <r>
      <rPr>
        <sz val="10"/>
        <color rgb="FF000000"/>
        <rFont val="メイリオ"/>
        <charset val="134"/>
      </rPr>
      <t xml:space="preserve">・kanri_shiten_id của dữ liệu đã đăng ký chỉ thuộc chi nhánh quản lý của mình
</t>
    </r>
    <r>
      <rPr>
        <sz val="10"/>
        <color rgb="FF000000"/>
        <rFont val="メイリオ"/>
        <charset val="134"/>
      </rPr>
      <t xml:space="preserve">・Dữ liệu của chi nhánh quản lý khác không được đăng ký
</t>
    </r>
    <r>
      <rPr>
        <b/>
        <sz val="10"/>
        <color rgb="FF000000"/>
        <rFont val="メイリオ"/>
        <charset val="134"/>
      </rPr>
      <t xml:space="preserve">補足：
</t>
    </r>
    <r>
      <rPr>
        <sz val="10"/>
        <color rgb="FF000000"/>
        <rFont val="メイリオ"/>
        <charset val="134"/>
      </rPr>
      <t>・Dù cùng JA nhưng khác chi nhánh quản lý thì vẫn là vi phạm phạm vi dữ liệu</t>
    </r>
  </si>
  <si>
    <t>(なし)
---</t>
  </si>
  <si>
    <t>Hiển thị màn hình &amp; Responsive (Layout &amp; Responsive)</t>
  </si>
  <si>
    <t>ACSMS-TC-016-006</t>
  </si>
  <si>
    <t>Hiển thị ban đầu — kiểm tra trạng thái mặc định</t>
  </si>
  <si>
    <t>・Đã login bằng JA_HONTEN (đã xác thực 2 bước)
・Có quyền `dokusya.import`</t>
  </si>
  <si>
    <r>
      <rPr>
        <b/>
        <sz val="10"/>
        <color rgb="FF000000"/>
        <rFont val="メイリオ"/>
        <charset val="134"/>
      </rPr>
      <t xml:space="preserve">ステップ1：
</t>
    </r>
    <r>
      <rPr>
        <sz val="10"/>
        <color rgb="FF000000"/>
        <rFont val="メイリオ"/>
        <charset val="134"/>
      </rPr>
      <t xml:space="preserve">Truy cập "/dokusya/import" và hiển thị toàn bộ màn hình
</t>
    </r>
    <r>
      <rPr>
        <b/>
        <sz val="10"/>
        <color rgb="FF000000"/>
        <rFont val="メイリオ"/>
        <charset val="134"/>
      </rPr>
      <t xml:space="preserve">ステップ2：
</t>
    </r>
    <r>
      <rPr>
        <sz val="10"/>
        <color rgb="FF000000"/>
        <rFont val="メイリオ"/>
        <charset val="134"/>
      </rPr>
      <t xml:space="preserve">Kiểm tra giá trị chọn ban đầu của các radio loại đăng ký・chế độ import
</t>
    </r>
    <r>
      <rPr>
        <b/>
        <sz val="10"/>
        <color rgb="FF000000"/>
        <rFont val="メイリオ"/>
        <charset val="134"/>
      </rPr>
      <t xml:space="preserve">ステップ3：
</t>
    </r>
    <r>
      <rPr>
        <sz val="10"/>
        <color rgb="FF000000"/>
        <rFont val="メイリオ"/>
        <charset val="134"/>
      </rPr>
      <t xml:space="preserve">Kiểm tra trạng thái đóng／mở của panel chọn cột import và nội dung hiển thị của ô tên file Excel
</t>
    </r>
    <r>
      <rPr>
        <b/>
        <sz val="10"/>
        <color rgb="FF000000"/>
        <rFont val="メイリオ"/>
        <charset val="134"/>
      </rPr>
      <t xml:space="preserve">ステップ4：
</t>
    </r>
    <r>
      <rPr>
        <sz val="10"/>
        <color rgb="FF000000"/>
        <rFont val="メイリオ"/>
        <charset val="134"/>
      </rPr>
      <t>Kiểm tra trạng thái của các ô nhập ngày áp dụng thay đổi thông tin độc giả・ngày ngừng đăng ký</t>
    </r>
  </si>
  <si>
    <r>
      <rPr>
        <b/>
        <sz val="10"/>
        <color rgb="FF000000"/>
        <rFont val="メイリオ"/>
        <charset val="134"/>
      </rPr>
      <t xml:space="preserve">ステップ1：
</t>
    </r>
    <r>
      <rPr>
        <sz val="10"/>
        <color rgb="FF000000"/>
        <rFont val="メイリオ"/>
        <charset val="134"/>
      </rPr>
      <t xml:space="preserve">Màn hình được hiển thị
</t>
    </r>
    <r>
      <rPr>
        <b/>
        <sz val="10"/>
        <color rgb="FF000000"/>
        <rFont val="メイリオ"/>
        <charset val="134"/>
      </rPr>
      <t xml:space="preserve">ステップ2：
</t>
    </r>
    <r>
      <rPr>
        <sz val="10"/>
        <color rgb="FF000000"/>
        <rFont val="メイリオ"/>
        <charset val="134"/>
      </rPr>
      <t xml:space="preserve">・Loại đăng ký được chọn là "紙版"
</t>
    </r>
    <r>
      <rPr>
        <sz val="10"/>
        <color rgb="FF000000"/>
        <rFont val="メイリオ"/>
        <charset val="134"/>
      </rPr>
      <t xml:space="preserve">・Chế độ import được chọn là "新規登録"
</t>
    </r>
    <r>
      <rPr>
        <b/>
        <sz val="10"/>
        <color rgb="FF000000"/>
        <rFont val="メイリオ"/>
        <charset val="134"/>
      </rPr>
      <t xml:space="preserve">ステップ3：
</t>
    </r>
    <r>
      <rPr>
        <sz val="10"/>
        <color rgb="FF000000"/>
        <rFont val="メイリオ"/>
        <charset val="134"/>
      </rPr>
      <t xml:space="preserve">・Panel chọn cột import hiển thị ở trạng thái đã mở
</t>
    </r>
    <r>
      <rPr>
        <sz val="10"/>
        <color rgb="FF000000"/>
        <rFont val="メイリオ"/>
        <charset val="134"/>
      </rPr>
      <t xml:space="preserve">・Ô tên file Excel hiển thị「ファイルが選択されていません。」
</t>
    </r>
    <r>
      <rPr>
        <b/>
        <sz val="10"/>
        <color rgb="FF000000"/>
        <rFont val="メイリオ"/>
        <charset val="134"/>
      </rPr>
      <t xml:space="preserve">ステップ4：
</t>
    </r>
    <r>
      <rPr>
        <sz val="10"/>
        <color rgb="FF000000"/>
        <rFont val="メイリオ"/>
        <charset val="134"/>
      </rPr>
      <t xml:space="preserve">Cả hai ô nhập ngày áp dụng thay đổi thông tin độc giả・ngày ngừng đăng ký đều hiển thị ở trạng thái disable (do đăng ký mới không chỉ định được)
</t>
    </r>
    <r>
      <rPr>
        <b/>
        <sz val="10"/>
        <color rgb="FF000000"/>
        <rFont val="メイリオ"/>
        <charset val="134"/>
      </rPr>
      <t xml:space="preserve">補足：
</t>
    </r>
    <r>
      <rPr>
        <sz val="10"/>
        <color rgb="FF000000"/>
        <rFont val="メイリオ"/>
        <charset val="134"/>
      </rPr>
      <t xml:space="preserve">・Không vỡ layout
</t>
    </r>
    <r>
      <rPr>
        <sz val="10"/>
        <color rgb="FF000000"/>
        <rFont val="メイリオ"/>
        <charset val="134"/>
      </rPr>
      <t>・Không phát sinh lỗi ngoài dự kiến</t>
    </r>
  </si>
  <si>
    <t>ACSMS-TC-016-007</t>
  </si>
  <si>
    <t>Kiểm tra lựa chọn của radio loại đăng ký</t>
  </si>
  <si>
    <t>・Đã login bằng JA_HONTEN (đã xác thực 2 bước)
・Category「DOKUSYA_SHUBETSU」của m_code đã được seed</t>
  </si>
  <si>
    <r>
      <rPr>
        <b/>
        <sz val="10"/>
        <color rgb="FF000000"/>
        <rFont val="メイリオ"/>
        <charset val="134"/>
      </rPr>
      <t xml:space="preserve">ステップ1：
</t>
    </r>
    <r>
      <rPr>
        <sz val="10"/>
        <color rgb="FF000000"/>
        <rFont val="メイリオ"/>
        <charset val="134"/>
      </rPr>
      <t xml:space="preserve">Truy cập "/dokusya/import" và kiểm tra các lựa chọn của loại đăng ký
</t>
    </r>
    <r>
      <rPr>
        <b/>
        <sz val="10"/>
        <color rgb="FF000000"/>
        <rFont val="メイリオ"/>
        <charset val="134"/>
      </rPr>
      <t xml:space="preserve">ステップ2：
</t>
    </r>
    <r>
      <rPr>
        <sz val="10"/>
        <color rgb="FF000000"/>
        <rFont val="メイリオ"/>
        <charset val="134"/>
      </rPr>
      <t xml:space="preserve">Chọn "電子版" và kiểm tra định dạng nhập của ngày ngừng đăng ký thay đổi
</t>
    </r>
    <r>
      <rPr>
        <b/>
        <sz val="10"/>
        <color rgb="FF000000"/>
        <rFont val="メイリオ"/>
        <charset val="134"/>
      </rPr>
      <t xml:space="preserve">ステップ3：
</t>
    </r>
    <r>
      <rPr>
        <sz val="10"/>
        <color rgb="FF000000"/>
        <rFont val="メイリオ"/>
        <charset val="134"/>
      </rPr>
      <t>Đổi tên hiển thị của dòng tương ứng trong m_code, reload code master rồi hiển thị lại màn hình</t>
    </r>
  </si>
  <si>
    <r>
      <rPr>
        <b/>
        <sz val="10"/>
        <color rgb="FF000000"/>
        <rFont val="メイリオ"/>
        <charset val="134"/>
      </rPr>
      <t xml:space="preserve">ステップ1：
</t>
    </r>
    <r>
      <rPr>
        <sz val="10"/>
        <color rgb="FF000000"/>
        <rFont val="メイリオ"/>
        <charset val="134"/>
      </rPr>
      <t xml:space="preserve">・Chỉ hiển thị 2 lựa chọn là "紙版" và "電子版"
</t>
    </r>
    <r>
      <rPr>
        <sz val="10"/>
        <color rgb="FF000000"/>
        <rFont val="メイリオ"/>
        <charset val="134"/>
      </rPr>
      <t xml:space="preserve">・"併読" không hiển thị (do nằm ngoài đối tượng import)
</t>
    </r>
    <r>
      <rPr>
        <b/>
        <sz val="10"/>
        <color rgb="FF000000"/>
        <rFont val="メイリオ"/>
        <charset val="134"/>
      </rPr>
      <t xml:space="preserve">ステップ2：
</t>
    </r>
    <r>
      <rPr>
        <sz val="10"/>
        <color rgb="FF000000"/>
        <rFont val="メイリオ"/>
        <charset val="134"/>
      </rPr>
      <t xml:space="preserve">Ô nhập ngày ngừng đăng ký chuyển thành chọn tháng và hiển thị "月末で終了"
</t>
    </r>
    <r>
      <rPr>
        <b/>
        <sz val="10"/>
        <color rgb="FF000000"/>
        <rFont val="メイリオ"/>
        <charset val="134"/>
      </rPr>
      <t xml:space="preserve">ステップ3：
</t>
    </r>
    <r>
      <rPr>
        <sz val="10"/>
        <color rgb="FF000000"/>
        <rFont val="メイリオ"/>
        <charset val="134"/>
      </rPr>
      <t xml:space="preserve">Tên hiển thị sau khi đổi được phản ánh vào label của radio
</t>
    </r>
    <r>
      <rPr>
        <b/>
        <sz val="10"/>
        <color rgb="FF000000"/>
        <rFont val="メイリオ"/>
        <charset val="134"/>
      </rPr>
      <t xml:space="preserve">補足：
</t>
    </r>
    <r>
      <rPr>
        <sz val="10"/>
        <color rgb="FF000000"/>
        <rFont val="メイリオ"/>
        <charset val="134"/>
      </rPr>
      <t>・Label được lấy từ code master, không hardcode trong màn hình</t>
    </r>
  </si>
  <si>
    <t>ACSMS-TC-016-008</t>
  </si>
  <si>
    <t>Kiểm tra lựa chọn của radio chế độ import</t>
  </si>
  <si>
    <t>・Đã login bằng JA_HONTEN (đã xác thực 2 bước)</t>
  </si>
  <si>
    <r>
      <rPr>
        <b/>
        <sz val="10"/>
        <color rgb="FF000000"/>
        <rFont val="メイリオ"/>
        <charset val="134"/>
      </rPr>
      <t xml:space="preserve">ステップ1：
</t>
    </r>
    <r>
      <rPr>
        <sz val="10"/>
        <color rgb="FF000000"/>
        <rFont val="メイリオ"/>
        <charset val="134"/>
      </rPr>
      <t xml:space="preserve">Truy cập "/dokusya/import" và kiểm tra các lựa chọn của chế độ import
</t>
    </r>
    <r>
      <rPr>
        <b/>
        <sz val="10"/>
        <color rgb="FF000000"/>
        <rFont val="メイリオ"/>
        <charset val="134"/>
      </rPr>
      <t xml:space="preserve">ステップ2：
</t>
    </r>
    <r>
      <rPr>
        <sz val="10"/>
        <color rgb="FF000000"/>
        <rFont val="メイリオ"/>
        <charset val="134"/>
      </rPr>
      <t xml:space="preserve">Chọn "更新" và kiểm tra dòng chú thích gần header của panel chọn cột import
</t>
    </r>
    <r>
      <rPr>
        <b/>
        <sz val="10"/>
        <color rgb="FF000000"/>
        <rFont val="メイリオ"/>
        <charset val="134"/>
      </rPr>
      <t xml:space="preserve">ステップ3：
</t>
    </r>
    <r>
      <rPr>
        <sz val="10"/>
        <color rgb="FF000000"/>
        <rFont val="メイリオ"/>
        <charset val="134"/>
      </rPr>
      <t>Quay lại "新規登録" và kiểm tra giá trị nhập của ngày áp dụng thay đổi thông tin độc giả・ngày ngừng đăng ký được clear</t>
    </r>
  </si>
  <si>
    <r>
      <rPr>
        <b/>
        <sz val="10"/>
        <color rgb="FF000000"/>
        <rFont val="メイリオ"/>
        <charset val="134"/>
      </rPr>
      <t xml:space="preserve">ステップ1：
</t>
    </r>
    <r>
      <rPr>
        <sz val="10"/>
        <color rgb="FF000000"/>
        <rFont val="メイリオ"/>
        <charset val="134"/>
      </rPr>
      <t xml:space="preserve">Chỉ hiển thị 2 lựa chọn là "新規登録" và "更新" (không hiển thị "全項目更新" cũ)
</t>
    </r>
    <r>
      <rPr>
        <b/>
        <sz val="10"/>
        <color rgb="FF000000"/>
        <rFont val="メイリオ"/>
        <charset val="134"/>
      </rPr>
      <t xml:space="preserve">ステップ2：
</t>
    </r>
    <r>
      <rPr>
        <sz val="10"/>
        <color rgb="FF000000"/>
        <rFont val="メイリオ"/>
        <charset val="134"/>
      </rPr>
      <t xml:space="preserve">Hiển thị「更新は選択した列のみ対象です。全列を更新する場合は「すべて選択」にチェックしてください。」
</t>
    </r>
    <r>
      <rPr>
        <b/>
        <sz val="10"/>
        <color rgb="FF000000"/>
        <rFont val="メイリオ"/>
        <charset val="134"/>
      </rPr>
      <t xml:space="preserve">ステップ3：
</t>
    </r>
    <r>
      <rPr>
        <sz val="10"/>
        <color rgb="FF000000"/>
        <rFont val="メイリオ"/>
        <charset val="134"/>
      </rPr>
      <t xml:space="preserve">Giá trị nhập của ngày áp dụng thay đổi thông tin độc giả・ngày ngừng đăng ký được clear và chuyển sang trạng thái disable
</t>
    </r>
    <r>
      <rPr>
        <b/>
        <sz val="10"/>
        <color rgb="FF000000"/>
        <rFont val="メイリオ"/>
        <charset val="134"/>
      </rPr>
      <t xml:space="preserve">補足：
</t>
    </r>
    <r>
      <rPr>
        <sz val="10"/>
        <color rgb="FF000000"/>
        <rFont val="メイリオ"/>
        <charset val="134"/>
      </rPr>
      <t>・Chế độ import chỉ có 2 giá trị là đăng ký mới và cập nhật</t>
    </r>
  </si>
  <si>
    <t>ACSMS-TC-016-009</t>
  </si>
  <si>
    <t>Panel chọn cột import — hiển thị 50 cột và cột bắt buộc luôn được chọn</t>
  </si>
  <si>
    <t>・Đã login bằng JA_HONTEN (đã xác thực 2 bước)
・Chế độ import là "新規登録"</t>
  </si>
  <si>
    <r>
      <rPr>
        <b/>
        <sz val="10"/>
        <color rgb="FF000000"/>
        <rFont val="メイリオ"/>
        <charset val="134"/>
      </rPr>
      <t xml:space="preserve">ステップ1：
</t>
    </r>
    <r>
      <rPr>
        <sz val="10"/>
        <color rgb="FF000000"/>
        <rFont val="メイリオ"/>
        <charset val="134"/>
      </rPr>
      <t xml:space="preserve">Truy cập "/dokusya/import" và đếm số checkbox trong panel chọn cột import
</t>
    </r>
    <r>
      <rPr>
        <b/>
        <sz val="10"/>
        <color rgb="FF000000"/>
        <rFont val="メイリオ"/>
        <charset val="134"/>
      </rPr>
      <t xml:space="preserve">ステップ2：
</t>
    </r>
    <r>
      <rPr>
        <sz val="10"/>
        <color rgb="FF000000"/>
        <rFont val="メイリオ"/>
        <charset val="134"/>
      </rPr>
      <t xml:space="preserve">Kiểm tra "購読種別"・"読者情報変更適用日"・"購読中止日" không hiển thị trong panel
</t>
    </r>
    <r>
      <rPr>
        <b/>
        <sz val="10"/>
        <color rgb="FF000000"/>
        <rFont val="メイリオ"/>
        <charset val="134"/>
      </rPr>
      <t xml:space="preserve">ステップ3：
</t>
    </r>
    <r>
      <rPr>
        <sz val="10"/>
        <color rgb="FF000000"/>
        <rFont val="メイリオ"/>
        <charset val="134"/>
      </rPr>
      <t>Kiểm tra trạng thái của các cột bắt buộc (chi nhánh quản lý・số bản đăng ký・đơn giá báo・mã bưu chính・tỉnh thành・quận huyện・số nhà・liên lạc 1・mã cửa hàng bán・phương thức thanh toán・ngày bắt đầu đăng ký・4 mục họ tên độc giả)</t>
    </r>
  </si>
  <si>
    <r>
      <rPr>
        <b/>
        <sz val="10"/>
        <color rgb="FF000000"/>
        <rFont val="メイリオ"/>
        <charset val="134"/>
      </rPr>
      <t xml:space="preserve">ステップ1：
</t>
    </r>
    <r>
      <rPr>
        <sz val="10"/>
        <color rgb="FF000000"/>
        <rFont val="メイリオ"/>
        <charset val="134"/>
      </rPr>
      <t xml:space="preserve">Hiển thị 50 checkbox
</t>
    </r>
    <r>
      <rPr>
        <b/>
        <sz val="10"/>
        <color rgb="FF000000"/>
        <rFont val="メイリオ"/>
        <charset val="134"/>
      </rPr>
      <t xml:space="preserve">ステップ2：
</t>
    </r>
    <r>
      <rPr>
        <sz val="10"/>
        <color rgb="FF000000"/>
        <rFont val="メイリオ"/>
        <charset val="134"/>
      </rPr>
      <t xml:space="preserve">"購読種別"・"読者情報変更適用日"・"購読中止日" không hiển thị trong panel chọn cột import (do được chỉ định ở phần trên màn hình)
</t>
    </r>
    <r>
      <rPr>
        <b/>
        <sz val="10"/>
        <color rgb="FF000000"/>
        <rFont val="メイリオ"/>
        <charset val="134"/>
      </rPr>
      <t xml:space="preserve">ステップ3：
</t>
    </r>
    <r>
      <rPr>
        <sz val="10"/>
        <color rgb="FF000000"/>
        <rFont val="メイリオ"/>
        <charset val="134"/>
      </rPr>
      <t xml:space="preserve">Toàn bộ cột bắt buộc đều đã được check và hiển thị ở trạng thái disable
</t>
    </r>
    <r>
      <rPr>
        <b/>
        <sz val="10"/>
        <color rgb="FF000000"/>
        <rFont val="メイリオ"/>
        <charset val="134"/>
      </rPr>
      <t xml:space="preserve">補足：
</t>
    </r>
    <r>
      <rPr>
        <sz val="10"/>
        <color rgb="FF000000"/>
        <rFont val="メイリオ"/>
        <charset val="134"/>
      </rPr>
      <t>・Thứ tự cột khớp với thứ tự header của template</t>
    </r>
  </si>
  <si>
    <t>ACSMS-TC-016-010</t>
  </si>
  <si>
    <t>Preview dữ liệu import không hiển thị ban đầu</t>
  </si>
  <si>
    <r>
      <rPr>
        <b/>
        <sz val="10"/>
        <color rgb="FF000000"/>
        <rFont val="メイリオ"/>
        <charset val="134"/>
      </rPr>
      <t xml:space="preserve">ステップ1：
</t>
    </r>
    <r>
      <rPr>
        <sz val="10"/>
        <color rgb="FF000000"/>
        <rFont val="メイリオ"/>
        <charset val="134"/>
      </rPr>
      <t xml:space="preserve">Truy cập "/dokusya/import" và kiểm tra vùng preview dữ liệu import
</t>
    </r>
    <r>
      <rPr>
        <b/>
        <sz val="10"/>
        <color rgb="FF000000"/>
        <rFont val="メイリオ"/>
        <charset val="134"/>
      </rPr>
      <t xml:space="preserve">ステップ2：
</t>
    </r>
    <r>
      <rPr>
        <sz val="10"/>
        <color rgb="FF000000"/>
        <rFont val="メイリオ"/>
        <charset val="134"/>
      </rPr>
      <t xml:space="preserve">Chọn file Excel có 0 dòng dữ liệu (chỉ có dòng header)
</t>
    </r>
    <r>
      <rPr>
        <b/>
        <sz val="10"/>
        <color rgb="FF000000"/>
        <rFont val="メイリオ"/>
        <charset val="134"/>
      </rPr>
      <t xml:space="preserve">ステップ3：
</t>
    </r>
    <r>
      <rPr>
        <sz val="10"/>
        <color rgb="FF000000"/>
        <rFont val="メイリオ"/>
        <charset val="134"/>
      </rPr>
      <t>Chọn file Excel có từ 1 dòng dữ liệu trở lên</t>
    </r>
  </si>
  <si>
    <r>
      <rPr>
        <b/>
        <sz val="10"/>
        <color rgb="FF000000"/>
        <rFont val="メイリオ"/>
        <charset val="134"/>
      </rPr>
      <t xml:space="preserve">ステップ1：
</t>
    </r>
    <r>
      <rPr>
        <sz val="10"/>
        <color rgb="FF000000"/>
        <rFont val="メイリオ"/>
        <charset val="134"/>
      </rPr>
      <t xml:space="preserve">Preview dữ liệu import không hiển thị (do chưa chọn file)
</t>
    </r>
    <r>
      <rPr>
        <b/>
        <sz val="10"/>
        <color rgb="FF000000"/>
        <rFont val="メイリオ"/>
        <charset val="134"/>
      </rPr>
      <t xml:space="preserve">ステップ2：
</t>
    </r>
    <r>
      <rPr>
        <sz val="10"/>
        <color rgb="FF000000"/>
        <rFont val="メイリオ"/>
        <charset val="134"/>
      </rPr>
      <t xml:space="preserve">Preview dữ liệu import không hiển thị (do không tồn tại dữ liệu)
</t>
    </r>
    <r>
      <rPr>
        <b/>
        <sz val="10"/>
        <color rgb="FF000000"/>
        <rFont val="メイリオ"/>
        <charset val="134"/>
      </rPr>
      <t xml:space="preserve">ステップ3：
</t>
    </r>
    <r>
      <rPr>
        <sz val="10"/>
        <color rgb="FF000000"/>
        <rFont val="メイリオ"/>
        <charset val="134"/>
      </rPr>
      <t xml:space="preserve">Preview dữ liệu import được hiển thị và hiển thị số lượng dòng
</t>
    </r>
    <r>
      <rPr>
        <b/>
        <sz val="10"/>
        <color rgb="FF000000"/>
        <rFont val="メイリオ"/>
        <charset val="134"/>
      </rPr>
      <t xml:space="preserve">補足：
</t>
    </r>
    <r>
      <rPr>
        <sz val="10"/>
        <color rgb="FF000000"/>
        <rFont val="メイリオ"/>
        <charset val="134"/>
      </rPr>
      <t>・Điều kiện hiển thị là đã chọn file và có từ 1 dòng dữ liệu trở lên</t>
    </r>
  </si>
  <si>
    <t>ACSMS-TC-016-011</t>
  </si>
  <si>
    <t>Hiển thị nhóm button và trạng thái ban đầu của button bắt đầu import</t>
  </si>
  <si>
    <r>
      <rPr>
        <b/>
        <sz val="10"/>
        <color rgb="FF000000"/>
        <rFont val="メイリオ"/>
        <charset val="134"/>
      </rPr>
      <t xml:space="preserve">ステップ1：
</t>
    </r>
    <r>
      <rPr>
        <sz val="10"/>
        <color rgb="FF000000"/>
        <rFont val="メイリオ"/>
        <charset val="134"/>
      </rPr>
      <t xml:space="preserve">Truy cập "/dokusya/import" và kiểm tra các button trên màn hình
</t>
    </r>
    <r>
      <rPr>
        <b/>
        <sz val="10"/>
        <color rgb="FF000000"/>
        <rFont val="メイリオ"/>
        <charset val="134"/>
      </rPr>
      <t xml:space="preserve">ステップ2：
</t>
    </r>
    <r>
      <rPr>
        <sz val="10"/>
        <color rgb="FF000000"/>
        <rFont val="メイリオ"/>
        <charset val="134"/>
      </rPr>
      <t xml:space="preserve">Kiểm tra trạng thái button bắt đầu import khi chưa chọn file
</t>
    </r>
    <r>
      <rPr>
        <b/>
        <sz val="10"/>
        <color rgb="FF000000"/>
        <rFont val="メイリオ"/>
        <charset val="134"/>
      </rPr>
      <t xml:space="preserve">ステップ3：
</t>
    </r>
    <r>
      <rPr>
        <sz val="10"/>
        <color rgb="FF000000"/>
        <rFont val="メイリオ"/>
        <charset val="134"/>
      </rPr>
      <t>Chọn file Excel hợp lệ và kiểm tra trạng thái button bắt đầu import</t>
    </r>
  </si>
  <si>
    <r>
      <rPr>
        <b/>
        <sz val="10"/>
        <color rgb="FF000000"/>
        <rFont val="游ゴシック"/>
        <charset val="134"/>
      </rPr>
      <t xml:space="preserve">ステップ1：
</t>
    </r>
    <r>
      <rPr>
        <sz val="10"/>
        <color rgb="FF000000"/>
        <rFont val="游ゴシック"/>
        <charset val="134"/>
      </rPr>
      <t xml:space="preserve">Các button "ファイルを選択"・"テンプレート"・"取込開始" đều được hiển thị
</t>
    </r>
    <r>
      <rPr>
        <b/>
        <sz val="10"/>
        <color rgb="FF000000"/>
        <rFont val="游ゴシック"/>
        <charset val="134"/>
      </rPr>
      <t xml:space="preserve">ステップ2：
</t>
    </r>
    <r>
      <rPr>
        <sz val="10"/>
        <color rgb="FF000000"/>
        <rFont val="游ゴシック"/>
        <charset val="134"/>
      </rPr>
      <t xml:space="preserve">Button bắt đầu import hiển thị ở trạng thái disable
</t>
    </r>
    <r>
      <rPr>
        <b/>
        <sz val="10"/>
        <color rgb="FF000000"/>
        <rFont val="游ゴシック"/>
        <charset val="134"/>
      </rPr>
      <t xml:space="preserve">ステップ3：
</t>
    </r>
    <r>
      <rPr>
        <sz val="10"/>
        <color rgb="FF000000"/>
        <rFont val="游ゴシック"/>
        <charset val="134"/>
      </rPr>
      <t xml:space="preserve">Button bắt đầu import hiển thị ở trạng thái active
</t>
    </r>
    <r>
      <rPr>
        <b/>
        <sz val="10"/>
        <color rgb="FF000000"/>
        <rFont val="游ゴシック"/>
        <charset val="134"/>
      </rPr>
      <t xml:space="preserve">補足：
</t>
    </r>
    <r>
      <rPr>
        <sz val="10"/>
        <color rgb="FF000000"/>
        <rFont val="游ゴシック"/>
        <charset val="134"/>
      </rPr>
      <t>・Label của button đúng theo spec thiết kế</t>
    </r>
  </si>
  <si>
    <t>Khi chưa chọn file button bắt đầu import hiển thị ở trạng thái enable, ấn vào thì hiển thị message "Vui lòng chọn file"</t>
  </si>
  <si>
    <t>ACSMS-TC-016-012</t>
  </si>
  <si>
    <t>Responsive — hiển thị ở độ rộng mobile (375px)</t>
  </si>
  <si>
    <t>・Đã login bằng JA_HONTEN (đã xác thực 2 bước)
・Sử dụng device mode của DevTools</t>
  </si>
  <si>
    <r>
      <rPr>
        <b/>
        <sz val="10"/>
        <color rgb="FF000000"/>
        <rFont val="メイリオ"/>
        <charset val="134"/>
      </rPr>
      <t xml:space="preserve">ステップ1：
</t>
    </r>
    <r>
      <rPr>
        <sz val="10"/>
        <color rgb="FF000000"/>
        <rFont val="メイリオ"/>
        <charset val="134"/>
      </rPr>
      <t xml:space="preserve">Đặt độ rộng trình duyệt là 375px và hiển thị "/dokusya/import"
</t>
    </r>
    <r>
      <rPr>
        <b/>
        <sz val="10"/>
        <color rgb="FF000000"/>
        <rFont val="メイリオ"/>
        <charset val="134"/>
      </rPr>
      <t xml:space="preserve">ステップ2：
</t>
    </r>
    <r>
      <rPr>
        <sz val="10"/>
        <color rgb="FF000000"/>
        <rFont val="メイリオ"/>
        <charset val="134"/>
      </rPr>
      <t xml:space="preserve">Mở panel chọn cột import và kiểm tra bố cục của các checkbox
</t>
    </r>
    <r>
      <rPr>
        <b/>
        <sz val="10"/>
        <color rgb="FF000000"/>
        <rFont val="メイリオ"/>
        <charset val="134"/>
      </rPr>
      <t xml:space="preserve">ステップ3：
</t>
    </r>
    <r>
      <rPr>
        <sz val="10"/>
        <color rgb="FF000000"/>
        <rFont val="メイリオ"/>
        <charset val="134"/>
      </rPr>
      <t xml:space="preserve">Chọn file Excel và kiểm tra hiển thị của preview dữ liệu import
</t>
    </r>
    <r>
      <rPr>
        <b/>
        <sz val="10"/>
        <color rgb="FF000000"/>
        <rFont val="メイリオ"/>
        <charset val="134"/>
      </rPr>
      <t xml:space="preserve">ステップ4：
</t>
    </r>
    <r>
      <rPr>
        <sz val="10"/>
        <color rgb="FF000000"/>
        <rFont val="メイリオ"/>
        <charset val="134"/>
      </rPr>
      <t>Đưa độ rộng trình duyệt về 1280px và kiểm tra hiển thị</t>
    </r>
  </si>
  <si>
    <r>
      <rPr>
        <b/>
        <sz val="10"/>
        <color rgb="FF000000"/>
        <rFont val="游ゴシック"/>
        <charset val="134"/>
      </rPr>
      <t xml:space="preserve">ステップ1：
</t>
    </r>
    <r>
      <rPr>
        <sz val="10"/>
        <color rgb="FF000000"/>
        <rFont val="游ゴシック"/>
        <charset val="134"/>
      </rPr>
      <t xml:space="preserve">・Không vỡ layout
・Sidebar được thu gọn
</t>
    </r>
    <r>
      <rPr>
        <b/>
        <sz val="10"/>
        <color rgb="FF000000"/>
        <rFont val="游ゴシック"/>
        <charset val="134"/>
      </rPr>
      <t xml:space="preserve">ステップ2：
</t>
    </r>
    <r>
      <rPr>
        <sz val="10"/>
        <color rgb="FF000000"/>
        <rFont val="游ゴシック"/>
        <charset val="134"/>
      </rPr>
      <t xml:space="preserve">Các checkbox xếp theo chiều dọc, không tràn ra ngoài theo chiều ngang
</t>
    </r>
    <r>
      <rPr>
        <b/>
        <sz val="10"/>
        <color rgb="FF000000"/>
        <rFont val="游ゴシック"/>
        <charset val="134"/>
      </rPr>
      <t xml:space="preserve">ステップ3：
</t>
    </r>
    <r>
      <rPr>
        <sz val="10"/>
        <color rgb="FF000000"/>
        <rFont val="游ゴシック"/>
        <charset val="134"/>
      </rPr>
      <t xml:space="preserve">Preview dữ liệu import có thể scroll ngang
</t>
    </r>
    <r>
      <rPr>
        <b/>
        <sz val="10"/>
        <color rgb="FF000000"/>
        <rFont val="游ゴシック"/>
        <charset val="134"/>
      </rPr>
      <t xml:space="preserve">ステップ4：
</t>
    </r>
    <r>
      <rPr>
        <sz val="10"/>
        <color rgb="FF000000"/>
        <rFont val="游ゴシック"/>
        <charset val="134"/>
      </rPr>
      <t xml:space="preserve">Không vỡ layout
</t>
    </r>
    <r>
      <rPr>
        <b/>
        <sz val="10"/>
        <color rgb="FF000000"/>
        <rFont val="游ゴシック"/>
        <charset val="134"/>
      </rPr>
      <t xml:space="preserve">補足：
</t>
    </r>
    <r>
      <rPr>
        <sz val="10"/>
        <color rgb="FF000000"/>
        <rFont val="游ゴシック"/>
        <charset val="134"/>
      </rPr>
      <t>・Phần thân trang không bị scroll ngang</t>
    </r>
  </si>
  <si>
    <t>ACSMS-TC-016-013</t>
  </si>
  <si>
    <t>Thao tác bàn phím — thứ tự Tab và hiển thị focus</t>
  </si>
  <si>
    <r>
      <rPr>
        <b/>
        <sz val="10"/>
        <color rgb="FF000000"/>
        <rFont val="メイリオ"/>
        <charset val="134"/>
      </rPr>
      <t xml:space="preserve">ステップ1：
</t>
    </r>
    <r>
      <rPr>
        <sz val="10"/>
        <color rgb="FF000000"/>
        <rFont val="メイリオ"/>
        <charset val="134"/>
      </rPr>
      <t xml:space="preserve">Hiển thị "/dokusya/import" và nhấn phím Tab liên tục
</t>
    </r>
    <r>
      <rPr>
        <b/>
        <sz val="10"/>
        <color rgb="FF000000"/>
        <rFont val="メイリオ"/>
        <charset val="134"/>
      </rPr>
      <t xml:space="preserve">ステップ2：
</t>
    </r>
    <r>
      <rPr>
        <sz val="10"/>
        <color rgb="FF000000"/>
        <rFont val="メイリオ"/>
        <charset val="134"/>
      </rPr>
      <t xml:space="preserve">Khi focus vào radio loại đăng ký・chế độ import, nhấn phím mũi tên
</t>
    </r>
    <r>
      <rPr>
        <b/>
        <sz val="10"/>
        <color rgb="FF000000"/>
        <rFont val="メイリオ"/>
        <charset val="134"/>
      </rPr>
      <t xml:space="preserve">ステップ3：
</t>
    </r>
    <r>
      <rPr>
        <sz val="10"/>
        <color rgb="FF000000"/>
        <rFont val="メイリオ"/>
        <charset val="134"/>
      </rPr>
      <t xml:space="preserve">Khi focus vào button đóng／mở panel chọn cột import, nhấn phím Enter
</t>
    </r>
    <r>
      <rPr>
        <b/>
        <sz val="10"/>
        <color rgb="FF000000"/>
        <rFont val="メイリオ"/>
        <charset val="134"/>
      </rPr>
      <t xml:space="preserve">ステップ4：
</t>
    </r>
    <r>
      <rPr>
        <sz val="10"/>
        <color rgb="FF000000"/>
        <rFont val="メイリオ"/>
        <charset val="134"/>
      </rPr>
      <t>Khi focus vào button bắt đầu import, nhấn phím Enter rồi đóng dialog xác nhận bằng phím Escape</t>
    </r>
  </si>
  <si>
    <r>
      <rPr>
        <b/>
        <sz val="10"/>
        <color rgb="FF000000"/>
        <rFont val="游ゴシック"/>
        <charset val="134"/>
      </rPr>
      <t xml:space="preserve">ステップ1：
</t>
    </r>
    <r>
      <rPr>
        <sz val="10"/>
        <color rgb="FF000000"/>
        <rFont val="游ゴシック"/>
        <charset val="134"/>
      </rPr>
      <t xml:space="preserve">・Thứ tự focus đi từ trên xuống dưới, từ trái sang phải của màn hình
・Mục được focus có hiển thị viền
</t>
    </r>
    <r>
      <rPr>
        <b/>
        <sz val="10"/>
        <color rgb="FF000000"/>
        <rFont val="游ゴシック"/>
        <charset val="134"/>
      </rPr>
      <t xml:space="preserve">ステップ2：
</t>
    </r>
    <r>
      <rPr>
        <sz val="10"/>
        <color rgb="FF000000"/>
        <rFont val="游ゴシック"/>
        <charset val="134"/>
      </rPr>
      <t xml:space="preserve">Lựa chọn được chuyển đổi bằng phím mũi tên
</t>
    </r>
    <r>
      <rPr>
        <b/>
        <sz val="10"/>
        <color rgb="FF000000"/>
        <rFont val="游ゴシック"/>
        <charset val="134"/>
      </rPr>
      <t xml:space="preserve">ステップ3：
</t>
    </r>
    <r>
      <rPr>
        <sz val="10"/>
        <color rgb="FF000000"/>
        <rFont val="游ゴシック"/>
        <charset val="134"/>
      </rPr>
      <t xml:space="preserve">Panel chọn cột import được đóng／mở
</t>
    </r>
    <r>
      <rPr>
        <b/>
        <sz val="10"/>
        <color rgb="FF000000"/>
        <rFont val="游ゴシック"/>
        <charset val="134"/>
      </rPr>
      <t xml:space="preserve">ステップ4：
</t>
    </r>
    <r>
      <rPr>
        <sz val="10"/>
        <color rgb="FF000000"/>
        <rFont val="游ゴシック"/>
        <charset val="134"/>
      </rPr>
      <t xml:space="preserve">・Dialog xác nhận được hiển thị
・Dialog đóng lại bằng phím Escape và xử lý không được thực hiện
</t>
    </r>
    <r>
      <rPr>
        <b/>
        <sz val="10"/>
        <color rgb="FF000000"/>
        <rFont val="游ゴシック"/>
        <charset val="134"/>
      </rPr>
      <t xml:space="preserve">補足：
</t>
    </r>
    <r>
      <rPr>
        <sz val="10"/>
        <color rgb="FF000000"/>
        <rFont val="游ゴシック"/>
        <charset val="134"/>
      </rPr>
      <t>・Có thể hoàn thành chuỗi thao tác chỉ bằng bàn phím</t>
    </r>
  </si>
  <si>
    <t>Header &amp; Breadcrumb</t>
  </si>
  <si>
    <t>ACSMS-TC-016-014</t>
  </si>
  <si>
    <t>Hiển thị tiêu đề màn hình</t>
  </si>
  <si>
    <r>
      <rPr>
        <b/>
        <sz val="10"/>
        <color rgb="FF000000"/>
        <rFont val="メイリオ"/>
        <charset val="134"/>
      </rPr>
      <t xml:space="preserve">ステップ1：
</t>
    </r>
    <r>
      <rPr>
        <sz val="10"/>
        <color rgb="FF000000"/>
        <rFont val="メイリオ"/>
        <charset val="134"/>
      </rPr>
      <t xml:space="preserve">Truy cập "/dokusya/import" và kiểm tra tiêu đề ở phần trên màn hình
</t>
    </r>
    <r>
      <rPr>
        <b/>
        <sz val="10"/>
        <color rgb="FF000000"/>
        <rFont val="メイリオ"/>
        <charset val="134"/>
      </rPr>
      <t xml:space="preserve">ステップ2：
</t>
    </r>
    <r>
      <rPr>
        <sz val="10"/>
        <color rgb="FF000000"/>
        <rFont val="メイリオ"/>
        <charset val="134"/>
      </rPr>
      <t>Kiểm tra tiêu đề không bị hiển thị trùng lặp trong phần thân màn hình</t>
    </r>
  </si>
  <si>
    <r>
      <rPr>
        <b/>
        <sz val="10"/>
        <color rgb="FF000000"/>
        <rFont val="メイリオ"/>
        <charset val="134"/>
      </rPr>
      <t xml:space="preserve">ステップ1：
</t>
    </r>
    <r>
      <rPr>
        <sz val="10"/>
        <color rgb="FF000000"/>
        <rFont val="メイリオ"/>
        <charset val="134"/>
      </rPr>
      <t xml:space="preserve">Hiển thị "購読者Excelデータ取込"
</t>
    </r>
    <r>
      <rPr>
        <b/>
        <sz val="10"/>
        <color rgb="FF000000"/>
        <rFont val="メイリオ"/>
        <charset val="134"/>
      </rPr>
      <t xml:space="preserve">ステップ2：
</t>
    </r>
    <r>
      <rPr>
        <sz val="10"/>
        <color rgb="FF000000"/>
        <rFont val="メイリオ"/>
        <charset val="134"/>
      </rPr>
      <t xml:space="preserve">Tiêu đề chỉ hiển thị ở 1 chỗ (do layout dùng chung vẽ ra)
</t>
    </r>
    <r>
      <rPr>
        <b/>
        <sz val="10"/>
        <color rgb="FF000000"/>
        <rFont val="メイリオ"/>
        <charset val="134"/>
      </rPr>
      <t xml:space="preserve">補足：
</t>
    </r>
    <r>
      <rPr>
        <sz val="10"/>
        <color rgb="FF000000"/>
        <rFont val="メイリオ"/>
        <charset val="134"/>
      </rPr>
      <t>・Không vỡ layout</t>
    </r>
  </si>
  <si>
    <t>ACSMS-TC-016-015</t>
  </si>
  <si>
    <t>Hiển thị breadcrumb và chuyển màn hình</t>
  </si>
  <si>
    <r>
      <rPr>
        <b/>
        <sz val="10"/>
        <color rgb="FF000000"/>
        <rFont val="メイリオ"/>
        <charset val="134"/>
      </rPr>
      <t xml:space="preserve">ステップ1：
</t>
    </r>
    <r>
      <rPr>
        <sz val="10"/>
        <color rgb="FF000000"/>
        <rFont val="メイリオ"/>
        <charset val="134"/>
      </rPr>
      <t xml:space="preserve">Truy cập "/dokusya/import" và kiểm tra nội dung hiển thị của breadcrumb
</t>
    </r>
    <r>
      <rPr>
        <b/>
        <sz val="10"/>
        <color rgb="FF000000"/>
        <rFont val="メイリオ"/>
        <charset val="134"/>
      </rPr>
      <t xml:space="preserve">ステップ2：
</t>
    </r>
    <r>
      <rPr>
        <sz val="10"/>
        <color rgb="FF000000"/>
        <rFont val="メイリオ"/>
        <charset val="134"/>
      </rPr>
      <t xml:space="preserve">Click "ホーム" trên breadcrumb
</t>
    </r>
    <r>
      <rPr>
        <b/>
        <sz val="10"/>
        <color rgb="FF000000"/>
        <rFont val="メイリオ"/>
        <charset val="134"/>
      </rPr>
      <t xml:space="preserve">ステップ3：
</t>
    </r>
    <r>
      <rPr>
        <sz val="10"/>
        <color rgb="FF000000"/>
        <rFont val="メイリオ"/>
        <charset val="134"/>
      </rPr>
      <t>Quay lại màn hình trước bằng button back của trình duyệt</t>
    </r>
  </si>
  <si>
    <r>
      <rPr>
        <b/>
        <sz val="10"/>
        <color rgb="FF000000"/>
        <rFont val="メイリオ"/>
        <charset val="134"/>
      </rPr>
      <t xml:space="preserve">ステップ1：
</t>
    </r>
    <r>
      <rPr>
        <sz val="10"/>
        <color rgb="FF000000"/>
        <rFont val="メイリオ"/>
        <charset val="134"/>
      </rPr>
      <t xml:space="preserve">Hiển thị "ホーム &gt; 購読者Excelデータ取込"
</t>
    </r>
    <r>
      <rPr>
        <b/>
        <sz val="10"/>
        <color rgb="FF000000"/>
        <rFont val="メイリオ"/>
        <charset val="134"/>
      </rPr>
      <t xml:space="preserve">ステップ2：
</t>
    </r>
    <r>
      <rPr>
        <sz val="10"/>
        <color rgb="FF000000"/>
        <rFont val="メイリオ"/>
        <charset val="134"/>
      </rPr>
      <t xml:space="preserve">Chuyển về "/dashboard"
</t>
    </r>
    <r>
      <rPr>
        <b/>
        <sz val="10"/>
        <color rgb="FF000000"/>
        <rFont val="メイリオ"/>
        <charset val="134"/>
      </rPr>
      <t xml:space="preserve">ステップ3：
</t>
    </r>
    <r>
      <rPr>
        <sz val="10"/>
        <color rgb="FF000000"/>
        <rFont val="メイリオ"/>
        <charset val="134"/>
      </rPr>
      <t xml:space="preserve">Quay lại "/dokusya/import" và màn hình hiển thị ở trạng thái ban đầu
</t>
    </r>
    <r>
      <rPr>
        <b/>
        <sz val="10"/>
        <color rgb="FF000000"/>
        <rFont val="メイリオ"/>
        <charset val="134"/>
      </rPr>
      <t xml:space="preserve">補足：
</t>
    </r>
    <r>
      <rPr>
        <sz val="10"/>
        <color rgb="FF000000"/>
        <rFont val="メイリオ"/>
        <charset val="134"/>
      </rPr>
      <t>・Mục cuối cùng thể hiện vị trí hiện tại không hoạt động như link</t>
    </r>
  </si>
  <si>
    <t>ACSMS-TC-016-016</t>
  </si>
  <si>
    <t>Hiển thị tên người dùng đang login trên header</t>
  </si>
  <si>
    <r>
      <rPr>
        <b/>
        <sz val="10"/>
        <color rgb="FF000000"/>
        <rFont val="メイリオ"/>
        <charset val="134"/>
      </rPr>
      <t xml:space="preserve">ステップ1：
</t>
    </r>
    <r>
      <rPr>
        <sz val="10"/>
        <color rgb="FF000000"/>
        <rFont val="メイリオ"/>
        <charset val="134"/>
      </rPr>
      <t xml:space="preserve">Truy cập "/dokusya/import" và kiểm tra hiển thị ở bên phải header
</t>
    </r>
    <r>
      <rPr>
        <b/>
        <sz val="10"/>
        <color rgb="FF000000"/>
        <rFont val="メイリオ"/>
        <charset val="134"/>
      </rPr>
      <t xml:space="preserve">ステップ2：
</t>
    </r>
    <r>
      <rPr>
        <sz val="10"/>
        <color rgb="FF000000"/>
        <rFont val="メイリオ"/>
        <charset val="134"/>
      </rPr>
      <t>Logout, login lại bằng role khác (CHUOKAI) và hiển thị cùng màn hình</t>
    </r>
  </si>
  <si>
    <r>
      <rPr>
        <b/>
        <sz val="10"/>
        <color rgb="FF000000"/>
        <rFont val="メイリオ"/>
        <charset val="134"/>
      </rPr>
      <t xml:space="preserve">ステップ1：
</t>
    </r>
    <r>
      <rPr>
        <sz val="10"/>
        <color rgb="FF000000"/>
        <rFont val="メイリオ"/>
        <charset val="134"/>
      </rPr>
      <t xml:space="preserve">Tên người dùng đang login được hiển thị
</t>
    </r>
    <r>
      <rPr>
        <b/>
        <sz val="10"/>
        <color rgb="FF000000"/>
        <rFont val="メイリオ"/>
        <charset val="134"/>
      </rPr>
      <t xml:space="preserve">ステップ2：
</t>
    </r>
    <r>
      <rPr>
        <sz val="10"/>
        <color rgb="FF000000"/>
        <rFont val="メイリオ"/>
        <charset val="134"/>
      </rPr>
      <t xml:space="preserve">Tên người dùng vừa login lại được hiển thị (không còn sót thông tin của người dùng trước)
</t>
    </r>
    <r>
      <rPr>
        <b/>
        <sz val="10"/>
        <color rgb="FF000000"/>
        <rFont val="メイリオ"/>
        <charset val="134"/>
      </rPr>
      <t xml:space="preserve">補足：
</t>
    </r>
    <r>
      <rPr>
        <sz val="10"/>
        <color rgb="FF000000"/>
        <rFont val="メイリオ"/>
        <charset val="134"/>
      </rPr>
      <t>・Không hiển thị thông tin nhạy cảm như mật khẩu hay thông tin quyền</t>
    </r>
  </si>
  <si>
    <t>Template・Chọn file・Panel chọn cột import</t>
  </si>
  <si>
    <t>ACSMS-TC-016-017</t>
  </si>
  <si>
    <t>Download template — luồng bình thường</t>
  </si>
  <si>
    <r>
      <rPr>
        <b/>
        <sz val="10"/>
        <color rgb="FF000000"/>
        <rFont val="メイリオ"/>
        <charset val="134"/>
      </rPr>
      <t xml:space="preserve">ステップ1：
</t>
    </r>
    <r>
      <rPr>
        <sz val="10"/>
        <color rgb="FF000000"/>
        <rFont val="メイリオ"/>
        <charset val="134"/>
      </rPr>
      <t xml:space="preserve">Truy cập "/dokusya/import" và click button "テンプレート"
</t>
    </r>
    <r>
      <rPr>
        <b/>
        <sz val="10"/>
        <color rgb="FF000000"/>
        <rFont val="メイリオ"/>
        <charset val="134"/>
      </rPr>
      <t xml:space="preserve">ステップ2：
</t>
    </r>
    <r>
      <rPr>
        <sz val="10"/>
        <color rgb="FF000000"/>
        <rFont val="メイリオ"/>
        <charset val="134"/>
      </rPr>
      <t xml:space="preserve">Kiểm tra response header của GET "/api/v1/dokusya/import/template" qua tab Network của DevTools
</t>
    </r>
    <r>
      <rPr>
        <b/>
        <sz val="10"/>
        <color rgb="FF000000"/>
        <rFont val="メイリオ"/>
        <charset val="134"/>
      </rPr>
      <t xml:space="preserve">ステップ3：
</t>
    </r>
    <r>
      <rPr>
        <sz val="10"/>
        <color rgb="FF000000"/>
        <rFont val="メイリオ"/>
        <charset val="134"/>
      </rPr>
      <t>Mở file đã download và kiểm tra tên sheet cùng nội dung dòng 2</t>
    </r>
  </si>
  <si>
    <r>
      <rPr>
        <b/>
        <sz val="10"/>
        <color rgb="FF000000"/>
        <rFont val="メイリオ"/>
        <charset val="134"/>
      </rPr>
      <t xml:space="preserve">ステップ1：
</t>
    </r>
    <r>
      <rPr>
        <sz val="10"/>
        <color rgb="FF000000"/>
        <rFont val="メイリオ"/>
        <charset val="134"/>
      </rPr>
      <t xml:space="preserve">File được download và tên file là "購読者Excelデータ取込_テンプレート.xlsx"
</t>
    </r>
    <r>
      <rPr>
        <b/>
        <sz val="10"/>
        <color rgb="FF000000"/>
        <rFont val="メイリオ"/>
        <charset val="134"/>
      </rPr>
      <t xml:space="preserve">ステップ2：
</t>
    </r>
    <r>
      <rPr>
        <sz val="10"/>
        <color rgb="FF000000"/>
        <rFont val="メイリオ"/>
        <charset val="134"/>
      </rPr>
      <t xml:space="preserve">・Trả về HTTP 200
</t>
    </r>
    <r>
      <rPr>
        <sz val="10"/>
        <color rgb="FF000000"/>
        <rFont val="メイリオ"/>
        <charset val="134"/>
      </rPr>
      <t xml:space="preserve">・Content-Type là `application/vnd.openxmlformats-officedocument.spreadsheetml.sheet`
</t>
    </r>
    <r>
      <rPr>
        <b/>
        <sz val="10"/>
        <color rgb="FF000000"/>
        <rFont val="メイリオ"/>
        <charset val="134"/>
      </rPr>
      <t xml:space="preserve">ステップ3：
</t>
    </r>
    <r>
      <rPr>
        <sz val="10"/>
        <color rgb="FF000000"/>
        <rFont val="メイリオ"/>
        <charset val="134"/>
      </rPr>
      <t xml:space="preserve">・Tên sheet là "購読者"
</t>
    </r>
    <r>
      <rPr>
        <sz val="10"/>
        <color rgb="FF000000"/>
        <rFont val="メイリオ"/>
        <charset val="134"/>
      </rPr>
      <t xml:space="preserve">・Dòng 2 có 1 dòng dữ liệu mẫu làm ví dụ định dạng
</t>
    </r>
    <r>
      <rPr>
        <sz val="10"/>
        <color rgb="FF000000"/>
        <rFont val="メイリオ"/>
        <charset val="134"/>
      </rPr>
      <t xml:space="preserve">・Các cột chi nhánh quản lý・chi nhánh・đơn giá báo・mã cửa hàng bán đều để trống
</t>
    </r>
    <r>
      <rPr>
        <b/>
        <sz val="10"/>
        <color rgb="FF000000"/>
        <rFont val="メイリオ"/>
        <charset val="134"/>
      </rPr>
      <t xml:space="preserve">補足：
</t>
    </r>
    <r>
      <rPr>
        <sz val="10"/>
        <color rgb="FF000000"/>
        <rFont val="メイリオ"/>
        <charset val="134"/>
      </rPr>
      <t>・Dòng header hiển thị in đậm và có màu nền</t>
    </r>
  </si>
  <si>
    <t>ACSMS-TC-016-018</t>
  </si>
  <si>
    <t>Template — số cột và thứ tự của 50 cột header</t>
  </si>
  <si>
    <t>・Đã login bằng JA_HONTEN (đã xác thực 2 bước)
・Đã download template</t>
  </si>
  <si>
    <r>
      <rPr>
        <b/>
        <sz val="10"/>
        <color rgb="FF000000"/>
        <rFont val="メイリオ"/>
        <charset val="134"/>
      </rPr>
      <t xml:space="preserve">ステップ1：
</t>
    </r>
    <r>
      <rPr>
        <sz val="10"/>
        <color rgb="FF000000"/>
        <rFont val="メイリオ"/>
        <charset val="134"/>
      </rPr>
      <t xml:space="preserve">Đếm số cột ở dòng 1 của template đã download
</t>
    </r>
    <r>
      <rPr>
        <b/>
        <sz val="10"/>
        <color rgb="FF000000"/>
        <rFont val="メイリオ"/>
        <charset val="134"/>
      </rPr>
      <t xml:space="preserve">ステップ2：
</t>
    </r>
    <r>
      <rPr>
        <sz val="10"/>
        <color rgb="FF000000"/>
        <rFont val="メイリオ"/>
        <charset val="134"/>
      </rPr>
      <t xml:space="preserve">Kiểm tra tên header lần lượt từ cột 1 (ID／管理支店／支店／組合員コード／購読者苗字（漢字）…)
</t>
    </r>
    <r>
      <rPr>
        <b/>
        <sz val="10"/>
        <color rgb="FF000000"/>
        <rFont val="メイリオ"/>
        <charset val="134"/>
      </rPr>
      <t xml:space="preserve">ステップ3：
</t>
    </r>
    <r>
      <rPr>
        <sz val="10"/>
        <color rgb="FF000000"/>
        <rFont val="メイリオ"/>
        <charset val="134"/>
      </rPr>
      <t xml:space="preserve">Kiểm tra các cột "購読種別"・"読者情報変更適用日"・"購読中止日" không tồn tại
</t>
    </r>
    <r>
      <rPr>
        <b/>
        <sz val="10"/>
        <color rgb="FF000000"/>
        <rFont val="メイリオ"/>
        <charset val="134"/>
      </rPr>
      <t xml:space="preserve">ステップ4：
</t>
    </r>
    <r>
      <rPr>
        <sz val="10"/>
        <color rgb="FF000000"/>
        <rFont val="メイリオ"/>
        <charset val="134"/>
      </rPr>
      <t>Chọn nguyên template đã download trên màn hình và kiểm tra sự tương ứng của các cột</t>
    </r>
  </si>
  <si>
    <r>
      <rPr>
        <b/>
        <sz val="10"/>
        <color rgb="FF000000"/>
        <rFont val="メイリオ"/>
        <charset val="134"/>
      </rPr>
      <t xml:space="preserve">ステップ1：
</t>
    </r>
    <r>
      <rPr>
        <sz val="10"/>
        <color rgb="FF000000"/>
        <rFont val="メイリオ"/>
        <charset val="134"/>
      </rPr>
      <t xml:space="preserve">Header có 50 cột
</t>
    </r>
    <r>
      <rPr>
        <b/>
        <sz val="10"/>
        <color rgb="FF000000"/>
        <rFont val="メイリオ"/>
        <charset val="134"/>
      </rPr>
      <t xml:space="preserve">ステップ2：
</t>
    </r>
    <r>
      <rPr>
        <sz val="10"/>
        <color rgb="FF000000"/>
        <rFont val="メイリオ"/>
        <charset val="134"/>
      </rPr>
      <t xml:space="preserve">Thứ tự cột khớp với thứ tự trong spec thiết kế
</t>
    </r>
    <r>
      <rPr>
        <b/>
        <sz val="10"/>
        <color rgb="FF000000"/>
        <rFont val="メイリオ"/>
        <charset val="134"/>
      </rPr>
      <t xml:space="preserve">ステップ3：
</t>
    </r>
    <r>
      <rPr>
        <sz val="10"/>
        <color rgb="FF000000"/>
        <rFont val="メイリオ"/>
        <charset val="134"/>
      </rPr>
      <t xml:space="preserve">Các cột "購読種別"・"読者情報変更適用日"・"購読中止日" không tồn tại (do được chỉ định trên màn hình)
</t>
    </r>
    <r>
      <rPr>
        <b/>
        <sz val="10"/>
        <color rgb="FF000000"/>
        <rFont val="メイリオ"/>
        <charset val="134"/>
      </rPr>
      <t xml:space="preserve">ステップ4：
</t>
    </r>
    <r>
      <rPr>
        <sz val="10"/>
        <color rgb="FF000000"/>
        <rFont val="メイリオ"/>
        <charset val="134"/>
      </rPr>
      <t xml:space="preserve">Toàn bộ cột tương ứng với mục trong panel chọn cột import, không phát sinh cột không tương ứng
</t>
    </r>
    <r>
      <rPr>
        <b/>
        <sz val="10"/>
        <color rgb="FF000000"/>
        <rFont val="メイリオ"/>
        <charset val="134"/>
      </rPr>
      <t xml:space="preserve">補足：
</t>
    </r>
    <r>
      <rPr>
        <sz val="10"/>
        <color rgb="FF000000"/>
        <rFont val="メイリオ"/>
        <charset val="134"/>
      </rPr>
      <t>・Tên header của template khớp với tên hiển thị trong panel chọn cột import</t>
    </r>
  </si>
  <si>
    <t>ACSMS-TC-016-019</t>
  </si>
  <si>
    <t>Template — role không có quyền lấy trực tiếp</t>
  </si>
  <si>
    <r>
      <rPr>
        <b/>
        <sz val="10"/>
        <color rgb="FF000000"/>
        <rFont val="游ゴシック"/>
        <charset val="134"/>
      </rPr>
      <t xml:space="preserve">ステップ1：
</t>
    </r>
    <r>
      <rPr>
        <sz val="10"/>
        <color rgb="FF000000"/>
        <rFont val="游ゴシック"/>
        <charset val="134"/>
      </rPr>
      <t xml:space="preserve">Gửi GET "/api/v1/dokusya/import/template" qua tab Network của DevTools
</t>
    </r>
    <r>
      <rPr>
        <b/>
        <sz val="10"/>
        <color rgb="FF000000"/>
        <rFont val="游ゴシック"/>
        <charset val="134"/>
      </rPr>
      <t xml:space="preserve">ステップ2：
</t>
    </r>
    <r>
      <rPr>
        <sz val="10"/>
        <color rgb="FF000000"/>
        <rFont val="游ゴシック"/>
        <charset val="134"/>
      </rPr>
      <t>Truy cập trực tiếp cùng URL ở trạng thái chưa login (cửa sổ ẩn danh khác)</t>
    </r>
  </si>
  <si>
    <r>
      <rPr>
        <b/>
        <sz val="10"/>
        <color rgb="FF000000"/>
        <rFont val="メイリオ"/>
        <charset val="134"/>
      </rPr>
      <t xml:space="preserve">ステップ1：
</t>
    </r>
    <r>
      <rPr>
        <sz val="10"/>
        <color rgb="FF000000"/>
        <rFont val="メイリオ"/>
        <charset val="134"/>
      </rPr>
      <t xml:space="preserve">Trả về HTTP 403 (`error_code: FORBIDDEN`, message `この画面へのアクセス権限がありません。`)
</t>
    </r>
    <r>
      <rPr>
        <b/>
        <sz val="10"/>
        <color rgb="FF000000"/>
        <rFont val="メイリオ"/>
        <charset val="134"/>
      </rPr>
      <t xml:space="preserve">ステップ2：
</t>
    </r>
    <r>
      <rPr>
        <sz val="10"/>
        <color rgb="FF000000"/>
        <rFont val="メイリオ"/>
        <charset val="134"/>
      </rPr>
      <t xml:space="preserve">Trả về HTTP 401 (`error_code: UNAUTHORIZED`, message `セッションが切れました。再度ログインしてください。`)
</t>
    </r>
    <r>
      <rPr>
        <b/>
        <sz val="10"/>
        <color rgb="FF000000"/>
        <rFont val="メイリオ"/>
        <charset val="134"/>
      </rPr>
      <t xml:space="preserve">補足：
</t>
    </r>
    <r>
      <rPr>
        <sz val="10"/>
        <color rgb="FF000000"/>
        <rFont val="メイリオ"/>
        <charset val="134"/>
      </rPr>
      <t>・File template không được download</t>
    </r>
  </si>
  <si>
    <t>ACSMS-TC-016-020</t>
  </si>
  <si>
    <t>Chọn file Excel — phân tích bình thường và cập nhật preview</t>
  </si>
  <si>
    <t>・Đã login bằng JA_HONTEN (đã xác thực 2 bước)
・Chuẩn bị file Excel theo định dạng template ghi 3 dòng dữ liệu</t>
  </si>
  <si>
    <r>
      <rPr>
        <b/>
        <sz val="10"/>
        <color rgb="FF000000"/>
        <rFont val="游ゴシック"/>
        <charset val="134"/>
      </rPr>
      <t xml:space="preserve">ステップ1：
</t>
    </r>
    <r>
      <rPr>
        <sz val="10"/>
        <color rgb="FF000000"/>
        <rFont val="游ゴシック"/>
        <charset val="134"/>
      </rPr>
      <t xml:space="preserve">Click button "ファイルを選択" và kiểm tra điều kiện lọc của dialog chọn file
</t>
    </r>
    <r>
      <rPr>
        <b/>
        <sz val="10"/>
        <color rgb="FF000000"/>
        <rFont val="游ゴシック"/>
        <charset val="134"/>
      </rPr>
      <t xml:space="preserve">ステップ2：
</t>
    </r>
    <r>
      <rPr>
        <sz val="10"/>
        <color rgb="FF000000"/>
        <rFont val="游ゴシック"/>
        <charset val="134"/>
      </rPr>
      <t xml:space="preserve">Chọn file Excel đã chuẩn bị
</t>
    </r>
    <r>
      <rPr>
        <b/>
        <sz val="10"/>
        <color rgb="FF000000"/>
        <rFont val="游ゴシック"/>
        <charset val="134"/>
      </rPr>
      <t xml:space="preserve">ステップ3：
</t>
    </r>
    <r>
      <rPr>
        <sz val="10"/>
        <color rgb="FF000000"/>
        <rFont val="游ゴシック"/>
        <charset val="134"/>
      </rPr>
      <t>Kiểm tra nội dung của preview dữ liệu import</t>
    </r>
  </si>
  <si>
    <r>
      <rPr>
        <b/>
        <sz val="10"/>
        <color rgb="FF000000"/>
        <rFont val="メイリオ"/>
        <charset val="134"/>
      </rPr>
      <t xml:space="preserve">ステップ1：
</t>
    </r>
    <r>
      <rPr>
        <sz val="10"/>
        <color rgb="FF000000"/>
        <rFont val="メイリオ"/>
        <charset val="134"/>
      </rPr>
      <t xml:space="preserve">Chỉ hiển thị đuôi .xlsx / .xls làm đối tượng chọn
</t>
    </r>
    <r>
      <rPr>
        <b/>
        <sz val="10"/>
        <color rgb="FF000000"/>
        <rFont val="メイリオ"/>
        <charset val="134"/>
      </rPr>
      <t xml:space="preserve">ステップ2：
</t>
    </r>
    <r>
      <rPr>
        <sz val="10"/>
        <color rgb="FF000000"/>
        <rFont val="メイリオ"/>
        <charset val="134"/>
      </rPr>
      <t xml:space="preserve">・Tên file đã chọn được hiển thị trên màn hình
</t>
    </r>
    <r>
      <rPr>
        <sz val="10"/>
        <color rgb="FF000000"/>
        <rFont val="メイリオ"/>
        <charset val="134"/>
      </rPr>
      <t xml:space="preserve">・Preview dữ liệu import được hiển thị
</t>
    </r>
    <r>
      <rPr>
        <b/>
        <sz val="10"/>
        <color rgb="FF000000"/>
        <rFont val="メイリオ"/>
        <charset val="134"/>
      </rPr>
      <t xml:space="preserve">ステップ3：
</t>
    </r>
    <r>
      <rPr>
        <sz val="10"/>
        <color rgb="FF000000"/>
        <rFont val="メイリオ"/>
        <charset val="134"/>
      </rPr>
      <t xml:space="preserve">・Hiển thị số lượng là 3 dòng
</t>
    </r>
    <r>
      <rPr>
        <sz val="10"/>
        <color rgb="FF000000"/>
        <rFont val="メイリオ"/>
        <charset val="134"/>
      </rPr>
      <t xml:space="preserve">・Chỉ các cột đã được check hiển thị làm tiêu đề cột
</t>
    </r>
    <r>
      <rPr>
        <sz val="10"/>
        <color rgb="FF000000"/>
        <rFont val="メイリオ"/>
        <charset val="134"/>
      </rPr>
      <t xml:space="preserve">・Dòng 1 được xử lý như header, không hiển thị như dữ liệu
</t>
    </r>
    <r>
      <rPr>
        <b/>
        <sz val="10"/>
        <color rgb="FF000000"/>
        <rFont val="メイリオ"/>
        <charset val="134"/>
      </rPr>
      <t xml:space="preserve">補足：
</t>
    </r>
    <r>
      <rPr>
        <sz val="10"/>
        <color rgb="FF000000"/>
        <rFont val="メイリオ"/>
        <charset val="134"/>
      </rPr>
      <t xml:space="preserve">・Sheet đầu tiên là đối tượng phân tích
</t>
    </r>
    <r>
      <rPr>
        <sz val="10"/>
        <color rgb="FF000000"/>
        <rFont val="メイリオ"/>
        <charset val="134"/>
      </rPr>
      <t>・Việc ánh xạ cột được thực hiện theo khớp hoàn toàn</t>
    </r>
  </si>
  <si>
    <t>ACSMS-TC-016-021</t>
  </si>
  <si>
    <t>Chọn file Excel — định dạng ngoài đối tượng</t>
  </si>
  <si>
    <t>・Đã login bằng JA_HONTEN (đã xác thực 2 bước)
・Chuẩn bị file CSV đã đổi đuôi thành .xlsx</t>
  </si>
  <si>
    <r>
      <rPr>
        <b/>
        <sz val="10"/>
        <color rgb="FF000000"/>
        <rFont val="メイリオ"/>
        <charset val="134"/>
      </rPr>
      <t xml:space="preserve">ステップ1：
</t>
    </r>
    <r>
      <rPr>
        <sz val="10"/>
        <color rgb="FF000000"/>
        <rFont val="メイリオ"/>
        <charset val="134"/>
      </rPr>
      <t xml:space="preserve">Chọn file CSV đã đổi đuôi thành .xlsx
</t>
    </r>
    <r>
      <rPr>
        <b/>
        <sz val="10"/>
        <color rgb="FF000000"/>
        <rFont val="メイリオ"/>
        <charset val="134"/>
      </rPr>
      <t xml:space="preserve">ステップ2：
</t>
    </r>
    <r>
      <rPr>
        <sz val="10"/>
        <color rgb="FF000000"/>
        <rFont val="メイリオ"/>
        <charset val="134"/>
      </rPr>
      <t xml:space="preserve">Kiểm tra nội dung hiển thị của màn hình và trạng thái button bắt đầu import
</t>
    </r>
    <r>
      <rPr>
        <b/>
        <sz val="10"/>
        <color rgb="FF000000"/>
        <rFont val="メイリオ"/>
        <charset val="134"/>
      </rPr>
      <t xml:space="preserve">ステップ3：
</t>
    </r>
    <r>
      <rPr>
        <sz val="10"/>
        <color rgb="FF000000"/>
        <rFont val="メイリオ"/>
        <charset val="134"/>
      </rPr>
      <t>Chọn file rỗng (0 byte)</t>
    </r>
  </si>
  <si>
    <r>
      <rPr>
        <b/>
        <sz val="10"/>
        <color rgb="FF000000"/>
        <rFont val="游ゴシック"/>
        <charset val="134"/>
      </rPr>
      <t xml:space="preserve">ステップ1：
</t>
    </r>
    <r>
      <rPr>
        <sz val="10"/>
        <color rgb="FF000000"/>
        <rFont val="游ゴシック"/>
        <charset val="134"/>
      </rPr>
      <t xml:space="preserve">Hiển thị toast「Excelファイルの取り込みに失敗しました。ファイル形式を確認してください。」
</t>
    </r>
    <r>
      <rPr>
        <b/>
        <sz val="10"/>
        <color rgb="FF000000"/>
        <rFont val="游ゴシック"/>
        <charset val="134"/>
      </rPr>
      <t xml:space="preserve">ステップ2：
</t>
    </r>
    <r>
      <rPr>
        <sz val="10"/>
        <color rgb="FF000000"/>
        <rFont val="游ゴシック"/>
        <charset val="134"/>
      </rPr>
      <t xml:space="preserve">・Preview dữ liệu import không hiển thị
</t>
    </r>
    <r>
      <rPr>
        <b/>
        <sz val="10"/>
        <color rgb="FF000000"/>
        <rFont val="游ゴシック"/>
        <charset val="134"/>
      </rPr>
      <t xml:space="preserve">ステップ3：
</t>
    </r>
    <r>
      <rPr>
        <sz val="10"/>
        <color rgb="FF000000"/>
        <rFont val="游ゴシック"/>
        <charset val="134"/>
      </rPr>
      <t xml:space="preserve">Hiển thị toast「Excelファイルの取り込みに失敗しました。ファイル形式を確認してください。」
</t>
    </r>
    <r>
      <rPr>
        <b/>
        <sz val="10"/>
        <color rgb="FF000000"/>
        <rFont val="游ゴシック"/>
        <charset val="134"/>
      </rPr>
      <t xml:space="preserve">補足：
</t>
    </r>
    <r>
      <rPr>
        <sz val="10"/>
        <color rgb="FF000000"/>
        <rFont val="游ゴシック"/>
        <charset val="134"/>
      </rPr>
      <t>・Việc phán định dựa trên kết quả phân tích nội dung chứ không chỉ dựa vào đuôi file
・Không bị terminate bất thường</t>
    </r>
  </si>
  <si>
    <t>ACSMS-TC-016-022</t>
  </si>
  <si>
    <t>Chọn file Excel — chọn lại cùng một file</t>
  </si>
  <si>
    <t>・Đã login bằng JA_HONTEN (đã xác thực 2 bước)
・Chuẩn bị file Excel ghi 3 dòng dữ liệu</t>
  </si>
  <si>
    <r>
      <rPr>
        <b/>
        <sz val="10"/>
        <color rgb="FF000000"/>
        <rFont val="游ゴシック"/>
        <charset val="134"/>
      </rPr>
      <t xml:space="preserve">ステップ1：
</t>
    </r>
    <r>
      <rPr>
        <sz val="10"/>
        <color rgb="FF000000"/>
        <rFont val="游ゴシック"/>
        <charset val="134"/>
      </rPr>
      <t xml:space="preserve">Chọn file Excel đã chuẩn bị và kiểm tra số lượng dòng trên preview dữ liệu import
</t>
    </r>
    <r>
      <rPr>
        <b/>
        <sz val="10"/>
        <color rgb="FF000000"/>
        <rFont val="游ゴシック"/>
        <charset val="134"/>
      </rPr>
      <t xml:space="preserve">ステップ2：
</t>
    </r>
    <r>
      <rPr>
        <sz val="10"/>
        <color rgb="FF000000"/>
        <rFont val="游ゴシック"/>
        <charset val="134"/>
      </rPr>
      <t xml:space="preserve">Không đóng file, sửa nội dung thành 5 dòng rồi lưu
</t>
    </r>
    <r>
      <rPr>
        <b/>
        <sz val="10"/>
        <color rgb="FF000000"/>
        <rFont val="游ゴシック"/>
        <charset val="134"/>
      </rPr>
      <t xml:space="preserve">ステップ3：
</t>
    </r>
    <r>
      <rPr>
        <sz val="10"/>
        <color rgb="FF000000"/>
        <rFont val="游ゴシック"/>
        <charset val="134"/>
      </rPr>
      <t>Chọn lại cùng file đó từ button "ファイルを選択"</t>
    </r>
  </si>
  <si>
    <r>
      <rPr>
        <b/>
        <sz val="10"/>
        <color rgb="FF000000"/>
        <rFont val="メイリオ"/>
        <charset val="134"/>
      </rPr>
      <t xml:space="preserve">ステップ1：
</t>
    </r>
    <r>
      <rPr>
        <sz val="10"/>
        <color rgb="FF000000"/>
        <rFont val="メイリオ"/>
        <charset val="134"/>
      </rPr>
      <t xml:space="preserve">Hiển thị số lượng là 3 dòng
</t>
    </r>
    <r>
      <rPr>
        <b/>
        <sz val="10"/>
        <color rgb="FF000000"/>
        <rFont val="メイリオ"/>
        <charset val="134"/>
      </rPr>
      <t xml:space="preserve">ステップ2：
</t>
    </r>
    <r>
      <rPr>
        <sz val="10"/>
        <color rgb="FF000000"/>
        <rFont val="メイリオ"/>
        <charset val="134"/>
      </rPr>
      <t xml:space="preserve">Hiển thị trên màn hình không thay đổi (do chưa chọn lại nên chưa được phản ánh)
</t>
    </r>
    <r>
      <rPr>
        <b/>
        <sz val="10"/>
        <color rgb="FF000000"/>
        <rFont val="メイリオ"/>
        <charset val="134"/>
      </rPr>
      <t xml:space="preserve">ステップ3：
</t>
    </r>
    <r>
      <rPr>
        <sz val="10"/>
        <color rgb="FF000000"/>
        <rFont val="メイリオ"/>
        <charset val="134"/>
      </rPr>
      <t xml:space="preserve">Hiển thị số lượng là 5 dòng (cùng tên file vẫn được phân tích lại)
</t>
    </r>
    <r>
      <rPr>
        <b/>
        <sz val="10"/>
        <color rgb="FF000000"/>
        <rFont val="メイリオ"/>
        <charset val="134"/>
      </rPr>
      <t xml:space="preserve">補足：
</t>
    </r>
    <r>
      <rPr>
        <sz val="10"/>
        <color rgb="FF000000"/>
        <rFont val="メイリオ"/>
        <charset val="134"/>
      </rPr>
      <t>・Việc chọn lại cùng một file không bị bỏ qua</t>
    </r>
  </si>
  <si>
    <t>ACSMS-TC-016-023</t>
  </si>
  <si>
    <t>Preview được vẽ lại khi thay đổi cột import</t>
  </si>
  <si>
    <t>・Đã login bằng JA_HONTEN (đã xác thực 2 bước)
・Chế độ import là "更新"
・Đã chọn file Excel</t>
  </si>
  <si>
    <r>
      <rPr>
        <b/>
        <sz val="10"/>
        <color rgb="FF000000"/>
        <rFont val="メイリオ"/>
        <charset val="134"/>
      </rPr>
      <t xml:space="preserve">ステップ1：
</t>
    </r>
    <r>
      <rPr>
        <sz val="10"/>
        <color rgb="FF000000"/>
        <rFont val="メイリオ"/>
        <charset val="134"/>
      </rPr>
      <t xml:space="preserve">Bỏ check "備考" trong panel chọn cột import
</t>
    </r>
    <r>
      <rPr>
        <b/>
        <sz val="10"/>
        <color rgb="FF000000"/>
        <rFont val="メイリオ"/>
        <charset val="134"/>
      </rPr>
      <t xml:space="preserve">ステップ2：
</t>
    </r>
    <r>
      <rPr>
        <sz val="10"/>
        <color rgb="FF000000"/>
        <rFont val="メイリオ"/>
        <charset val="134"/>
      </rPr>
      <t xml:space="preserve">Kiểm tra tiêu đề cột của preview dữ liệu import
</t>
    </r>
    <r>
      <rPr>
        <b/>
        <sz val="10"/>
        <color rgb="FF000000"/>
        <rFont val="メイリオ"/>
        <charset val="134"/>
      </rPr>
      <t xml:space="preserve">ステップ3：
</t>
    </r>
    <r>
      <rPr>
        <sz val="10"/>
        <color rgb="FF000000"/>
        <rFont val="メイリオ"/>
        <charset val="134"/>
      </rPr>
      <t>Check lại "備考" và kiểm tra preview</t>
    </r>
  </si>
  <si>
    <r>
      <rPr>
        <b/>
        <sz val="10"/>
        <color rgb="FF000000"/>
        <rFont val="游ゴシック"/>
        <charset val="134"/>
      </rPr>
      <t xml:space="preserve">ステップ1：
</t>
    </r>
    <r>
      <rPr>
        <sz val="10"/>
        <color rgb="FF000000"/>
        <rFont val="游ゴシック"/>
        <charset val="134"/>
      </rPr>
      <t xml:space="preserve">Check được bỏ
</t>
    </r>
    <r>
      <rPr>
        <b/>
        <sz val="10"/>
        <color rgb="FF000000"/>
        <rFont val="游ゴシック"/>
        <charset val="134"/>
      </rPr>
      <t xml:space="preserve">ステップ2：
</t>
    </r>
    <r>
      <rPr>
        <sz val="10"/>
        <color rgb="FF000000"/>
        <rFont val="游ゴシック"/>
        <charset val="134"/>
      </rPr>
      <t xml:space="preserve">Cột "備考" không còn hiển thị trên preview
</t>
    </r>
    <r>
      <rPr>
        <b/>
        <sz val="10"/>
        <color rgb="FF000000"/>
        <rFont val="游ゴシック"/>
        <charset val="134"/>
      </rPr>
      <t xml:space="preserve">ステップ3：
</t>
    </r>
    <r>
      <rPr>
        <sz val="10"/>
        <color rgb="FF000000"/>
        <rFont val="游ゴシック"/>
        <charset val="134"/>
      </rPr>
      <t xml:space="preserve">Cột "備考" hiển thị lại trên preview
</t>
    </r>
    <r>
      <rPr>
        <b/>
        <sz val="10"/>
        <color rgb="FF000000"/>
        <rFont val="游ゴシック"/>
        <charset val="134"/>
      </rPr>
      <t xml:space="preserve">補足：
</t>
    </r>
    <r>
      <rPr>
        <sz val="10"/>
        <color rgb="FF000000"/>
        <rFont val="游ゴシック"/>
        <charset val="134"/>
      </rPr>
      <t>・Chỉ các cột đã được check hiển thị trên preview</t>
    </r>
  </si>
  <si>
    <t>ACSMS-TC-016-024</t>
  </si>
  <si>
    <t>Chọn／bỏ chọn tất cả — trạng thái ban đầu theo từng chế độ import</t>
  </si>
  <si>
    <r>
      <rPr>
        <b/>
        <sz val="10"/>
        <color rgb="FF000000"/>
        <rFont val="游ゴシック"/>
        <charset val="134"/>
      </rPr>
      <t xml:space="preserve">ステップ1：
</t>
    </r>
    <r>
      <rPr>
        <sz val="10"/>
        <color rgb="FF000000"/>
        <rFont val="游ゴシック"/>
        <charset val="134"/>
      </rPr>
      <t xml:space="preserve">Ở chế độ import "新規登録", kiểm tra trạng thái của "すべて選択／解除" và trạng thái check của từng cột
</t>
    </r>
    <r>
      <rPr>
        <b/>
        <sz val="10"/>
        <color rgb="FF000000"/>
        <rFont val="游ゴシック"/>
        <charset val="134"/>
      </rPr>
      <t xml:space="preserve">ステップ2：
</t>
    </r>
    <r>
      <rPr>
        <sz val="10"/>
        <color rgb="FF000000"/>
        <rFont val="游ゴシック"/>
        <charset val="134"/>
      </rPr>
      <t xml:space="preserve">Chuyển chế độ import sang "更新", kiểm tra trạng thái của "すべて選択／解除" và trạng thái check của từng cột
</t>
    </r>
    <r>
      <rPr>
        <b/>
        <sz val="10"/>
        <color rgb="FF000000"/>
        <rFont val="游ゴシック"/>
        <charset val="134"/>
      </rPr>
      <t xml:space="preserve">ステップ3：
</t>
    </r>
    <r>
      <rPr>
        <sz val="10"/>
        <color rgb="FF000000"/>
        <rFont val="游ゴシック"/>
        <charset val="134"/>
      </rPr>
      <t xml:space="preserve">Ở trạng thái "更新", check vào "すべて選択／解除"
</t>
    </r>
    <r>
      <rPr>
        <b/>
        <sz val="10"/>
        <color rgb="FF000000"/>
        <rFont val="游ゴシック"/>
        <charset val="134"/>
      </rPr>
      <t xml:space="preserve">ステップ4：
</t>
    </r>
    <r>
      <rPr>
        <sz val="10"/>
        <color rgb="FF000000"/>
        <rFont val="游ゴシック"/>
        <charset val="134"/>
      </rPr>
      <t>Bỏ check "すべて選択／解除"</t>
    </r>
  </si>
  <si>
    <r>
      <rPr>
        <b/>
        <sz val="10"/>
        <color rgb="FF000000"/>
        <rFont val="游ゴシック"/>
        <charset val="134"/>
      </rPr>
      <t xml:space="preserve">ステップ1：
</t>
    </r>
    <r>
      <rPr>
        <sz val="10"/>
        <color rgb="FF000000"/>
        <rFont val="游ゴシック"/>
        <charset val="134"/>
      </rPr>
      <t xml:space="preserve">Các cột bắt buộc hiển thị ở trạng thái đã check
</t>
    </r>
    <r>
      <rPr>
        <b/>
        <sz val="10"/>
        <color rgb="FF000000"/>
        <rFont val="游ゴシック"/>
        <charset val="134"/>
      </rPr>
      <t xml:space="preserve">ステップ2：
</t>
    </r>
    <r>
      <rPr>
        <sz val="10"/>
        <color rgb="FF000000"/>
        <rFont val="游ゴシック"/>
        <charset val="134"/>
      </rPr>
      <t xml:space="preserve">・"すべて選択／解除" ở trạng thái chưa check
・Toàn bộ cột trừ cột khóa (ID) đều chưa được check
</t>
    </r>
    <r>
      <rPr>
        <b/>
        <sz val="10"/>
        <color rgb="FF000000"/>
        <rFont val="游ゴシック"/>
        <charset val="134"/>
      </rPr>
      <t xml:space="preserve">ステップ3：
</t>
    </r>
    <r>
      <rPr>
        <sz val="10"/>
        <color rgb="FF000000"/>
        <rFont val="游ゴシック"/>
        <charset val="134"/>
      </rPr>
      <t xml:space="preserve">Toàn bộ cột có thể chọn đều chuyển sang trạng thái đã check
</t>
    </r>
    <r>
      <rPr>
        <b/>
        <sz val="10"/>
        <color rgb="FF000000"/>
        <rFont val="游ゴシック"/>
        <charset val="134"/>
      </rPr>
      <t xml:space="preserve">ステップ4：
</t>
    </r>
    <r>
      <rPr>
        <sz val="10"/>
        <color rgb="FF000000"/>
        <rFont val="游ゴシック"/>
        <charset val="134"/>
      </rPr>
      <t xml:space="preserve">Check của toàn bộ cột trừ cột khóa (ID) đều được bỏ
</t>
    </r>
    <r>
      <rPr>
        <b/>
        <sz val="10"/>
        <color rgb="FF000000"/>
        <rFont val="游ゴシック"/>
        <charset val="134"/>
      </rPr>
      <t xml:space="preserve">補足：
</t>
    </r>
    <r>
      <rPr>
        <sz val="10"/>
        <color rgb="FF000000"/>
        <rFont val="游ゴシック"/>
        <charset val="134"/>
      </rPr>
      <t>・Ở chế độ cập nhật, mặc định không chọn cột nào, người dùng tự chọn các cột cần thiết</t>
    </r>
  </si>
  <si>
    <t>ACSMS-TC-016-025</t>
  </si>
  <si>
    <t>Chế độ đăng ký mới — không thể bỏ check cột bắt buộc</t>
  </si>
  <si>
    <r>
      <rPr>
        <b/>
        <sz val="10"/>
        <color rgb="FF000000"/>
        <rFont val="メイリオ"/>
        <charset val="134"/>
      </rPr>
      <t xml:space="preserve">ステップ1：
</t>
    </r>
    <r>
      <rPr>
        <sz val="10"/>
        <color rgb="FF000000"/>
        <rFont val="メイリオ"/>
        <charset val="134"/>
      </rPr>
      <t xml:space="preserve">Thực hiện thao tác bỏ check "購読部数" trong panel chọn cột import
</t>
    </r>
    <r>
      <rPr>
        <b/>
        <sz val="10"/>
        <color rgb="FF000000"/>
        <rFont val="メイリオ"/>
        <charset val="134"/>
      </rPr>
      <t xml:space="preserve">ステップ2：
</t>
    </r>
    <r>
      <rPr>
        <sz val="10"/>
        <color rgb="FF000000"/>
        <rFont val="メイリオ"/>
        <charset val="134"/>
      </rPr>
      <t xml:space="preserve">Thực hiện thao tác tương tự với "販売店コード"・"購読開始日"・"支払方法"
</t>
    </r>
    <r>
      <rPr>
        <b/>
        <sz val="10"/>
        <color rgb="FF000000"/>
        <rFont val="メイリオ"/>
        <charset val="134"/>
      </rPr>
      <t xml:space="preserve">ステップ3：
</t>
    </r>
    <r>
      <rPr>
        <sz val="10"/>
        <color rgb="FF000000"/>
        <rFont val="メイリオ"/>
        <charset val="134"/>
      </rPr>
      <t xml:space="preserve">Thực hiện thao tác bỏ check cột tùy chọn ("備考")
</t>
    </r>
    <r>
      <rPr>
        <b/>
        <sz val="10"/>
        <color rgb="FF000000"/>
        <rFont val="メイリオ"/>
        <charset val="134"/>
      </rPr>
      <t xml:space="preserve">ステップ4：
</t>
    </r>
    <r>
      <rPr>
        <sz val="10"/>
        <color rgb="FF000000"/>
        <rFont val="メイリオ"/>
        <charset val="134"/>
      </rPr>
      <t>Tạo selected_columns thiếu cột bắt buộc và gửi POST "/api/v1/dokusya/import" qua tab Network của DevTools</t>
    </r>
  </si>
  <si>
    <r>
      <rPr>
        <b/>
        <sz val="10"/>
        <color rgb="FF000000"/>
        <rFont val="メイリオ"/>
        <charset val="134"/>
      </rPr>
      <t xml:space="preserve">ステップ1：
</t>
    </r>
    <r>
      <rPr>
        <sz val="10"/>
        <color rgb="FF000000"/>
        <rFont val="メイリオ"/>
        <charset val="134"/>
      </rPr>
      <t xml:space="preserve">Check không bị bỏ (do ở trạng thái disable)
</t>
    </r>
    <r>
      <rPr>
        <b/>
        <sz val="10"/>
        <color rgb="FF000000"/>
        <rFont val="メイリオ"/>
        <charset val="134"/>
      </rPr>
      <t xml:space="preserve">ステップ2：
</t>
    </r>
    <r>
      <rPr>
        <sz val="10"/>
        <color rgb="FF000000"/>
        <rFont val="メイリオ"/>
        <charset val="134"/>
      </rPr>
      <t xml:space="preserve">Check đều không bị bỏ
</t>
    </r>
    <r>
      <rPr>
        <b/>
        <sz val="10"/>
        <color rgb="FF000000"/>
        <rFont val="メイリオ"/>
        <charset val="134"/>
      </rPr>
      <t xml:space="preserve">ステップ3：
</t>
    </r>
    <r>
      <rPr>
        <sz val="10"/>
        <color rgb="FF000000"/>
        <rFont val="メイリオ"/>
        <charset val="134"/>
      </rPr>
      <t xml:space="preserve">Check được bỏ (do là cột tùy chọn)
</t>
    </r>
    <r>
      <rPr>
        <b/>
        <sz val="10"/>
        <color rgb="FF000000"/>
        <rFont val="メイリオ"/>
        <charset val="134"/>
      </rPr>
      <t xml:space="preserve">ステップ4：
</t>
    </r>
    <r>
      <rPr>
        <sz val="10"/>
        <color rgb="FF000000"/>
        <rFont val="メイリオ"/>
        <charset val="134"/>
      </rPr>
      <t xml:space="preserve">Trả về HTTP 400 (`error_code: VALIDATION_ERROR`)
</t>
    </r>
    <r>
      <rPr>
        <b/>
        <sz val="10"/>
        <color rgb="FF000000"/>
        <rFont val="メイリオ"/>
        <charset val="134"/>
      </rPr>
      <t xml:space="preserve">補足：
</t>
    </r>
    <r>
      <rPr>
        <sz val="10"/>
        <color rgb="FF000000"/>
        <rFont val="メイリオ"/>
        <charset val="134"/>
      </rPr>
      <t>・Không chỉ chặn thao tác phía màn hình mà phía server cũng từ chối khi thiếu cột bắt buộc</t>
    </r>
  </si>
  <si>
    <t>ACSMS-TC-016-026</t>
  </si>
  <si>
    <t>Đóng・mở panel chọn cột import</t>
  </si>
  <si>
    <t>・Đã login bằng JA_HONTEN (đã xác thực 2 bước)
・Chế độ import là "更新"</t>
  </si>
  <si>
    <r>
      <rPr>
        <b/>
        <sz val="10"/>
        <color rgb="FF000000"/>
        <rFont val="游ゴシック"/>
        <charset val="134"/>
      </rPr>
      <t xml:space="preserve">ステップ1：
</t>
    </r>
    <r>
      <rPr>
        <sz val="10"/>
        <color rgb="FF000000"/>
        <rFont val="游ゴシック"/>
        <charset val="134"/>
      </rPr>
      <t xml:space="preserve">Check "備考"・"メールアドレス" trong panel chọn cột import
</t>
    </r>
    <r>
      <rPr>
        <b/>
        <sz val="10"/>
        <color rgb="FF000000"/>
        <rFont val="游ゴシック"/>
        <charset val="134"/>
      </rPr>
      <t xml:space="preserve">ステップ2：
</t>
    </r>
    <r>
      <rPr>
        <sz val="10"/>
        <color rgb="FF000000"/>
        <rFont val="游ゴシック"/>
        <charset val="134"/>
      </rPr>
      <t xml:space="preserve">Click header của panel chọn cột import để đóng panel
</t>
    </r>
    <r>
      <rPr>
        <b/>
        <sz val="10"/>
        <color rgb="FF000000"/>
        <rFont val="游ゴシック"/>
        <charset val="134"/>
      </rPr>
      <t xml:space="preserve">ステップ3：
</t>
    </r>
    <r>
      <rPr>
        <sz val="10"/>
        <color rgb="FF000000"/>
        <rFont val="游ゴシック"/>
        <charset val="134"/>
      </rPr>
      <t>Click lại header để mở panel và kiểm tra trạng thái check</t>
    </r>
  </si>
  <si>
    <r>
      <rPr>
        <b/>
        <sz val="10"/>
        <color rgb="FF000000"/>
        <rFont val="游ゴシック"/>
        <charset val="134"/>
      </rPr>
      <t xml:space="preserve">ステップ1：
</t>
    </r>
    <r>
      <rPr>
        <sz val="10"/>
        <color rgb="FF000000"/>
        <rFont val="游ゴシック"/>
        <charset val="134"/>
      </rPr>
      <t xml:space="preserve">"備考"・"メールアドレス" chuyển sang trạng thái đã check
</t>
    </r>
    <r>
      <rPr>
        <b/>
        <sz val="10"/>
        <color rgb="FF000000"/>
        <rFont val="游ゴシック"/>
        <charset val="134"/>
      </rPr>
      <t xml:space="preserve">ステップ2：
</t>
    </r>
    <r>
      <rPr>
        <sz val="10"/>
        <color rgb="FF000000"/>
        <rFont val="游ゴシック"/>
        <charset val="134"/>
      </rPr>
      <t xml:space="preserve">Danh sách cột import không còn hiển thị
</t>
    </r>
    <r>
      <rPr>
        <b/>
        <sz val="10"/>
        <color rgb="FF000000"/>
        <rFont val="游ゴシック"/>
        <charset val="134"/>
      </rPr>
      <t xml:space="preserve">ステップ3：
</t>
    </r>
    <r>
      <rPr>
        <sz val="10"/>
        <color rgb="FF000000"/>
        <rFont val="游ゴシック"/>
        <charset val="134"/>
      </rPr>
      <t xml:space="preserve">・Danh sách cột import hiển thị lại
・Check của "備考"・"メールアドレス" được giữ lại
</t>
    </r>
    <r>
      <rPr>
        <b/>
        <sz val="10"/>
        <color rgb="FF000000"/>
        <rFont val="游ゴシック"/>
        <charset val="134"/>
      </rPr>
      <t xml:space="preserve">補足：
</t>
    </r>
    <r>
      <rPr>
        <sz val="10"/>
        <color rgb="FF000000"/>
        <rFont val="游ゴシック"/>
        <charset val="134"/>
      </rPr>
      <t>・Trạng thái check không bị khởi tạo lại khi đóng／mở panel</t>
    </r>
  </si>
  <si>
    <t>Kiểm tra giá trị nhập (Input Validation)</t>
  </si>
  <si>
    <t>ACSMS-TC-016-027</t>
  </si>
  <si>
    <t>Bắt đầu import khi chưa chọn file</t>
  </si>
  <si>
    <t>・Đã login bằng JA_HONTEN (đã xác thực 2 bước)
・Chưa chọn file Excel</t>
  </si>
  <si>
    <r>
      <rPr>
        <b/>
        <sz val="10"/>
        <color rgb="FF000000"/>
        <rFont val="メイリオ"/>
        <charset val="134"/>
      </rPr>
      <t xml:space="preserve">ステップ1：
</t>
    </r>
    <r>
      <rPr>
        <sz val="10"/>
        <color rgb="FF000000"/>
        <rFont val="メイリオ"/>
        <charset val="134"/>
      </rPr>
      <t xml:space="preserve">Kiểm tra trạng thái button bắt đầu import khi chưa chọn file
</t>
    </r>
    <r>
      <rPr>
        <b/>
        <sz val="10"/>
        <color rgb="FF000000"/>
        <rFont val="メイリオ"/>
        <charset val="134"/>
      </rPr>
      <t xml:space="preserve">ステップ2：
</t>
    </r>
    <r>
      <rPr>
        <sz val="10"/>
        <color rgb="FF000000"/>
        <rFont val="メイリオ"/>
        <charset val="134"/>
      </rPr>
      <t xml:space="preserve">Gỡ trạng thái disable của button bắt đầu import bằng DevTools rồi click
</t>
    </r>
    <r>
      <rPr>
        <b/>
        <sz val="10"/>
        <color rgb="FF000000"/>
        <rFont val="メイリオ"/>
        <charset val="134"/>
      </rPr>
      <t xml:space="preserve">ステップ3：
</t>
    </r>
    <r>
      <rPr>
        <sz val="10"/>
        <color rgb="FF000000"/>
        <rFont val="メイリオ"/>
        <charset val="134"/>
      </rPr>
      <t>Kiểm tra có phát sinh request hay không qua tab Network của DevTools</t>
    </r>
  </si>
  <si>
    <r>
      <rPr>
        <b/>
        <sz val="10"/>
        <color rgb="FF000000"/>
        <rFont val="游ゴシック"/>
        <charset val="134"/>
      </rPr>
      <t xml:space="preserve">ステップ1：
</t>
    </r>
    <r>
      <rPr>
        <sz val="10"/>
        <color rgb="FF000000"/>
        <rFont val="游ゴシック"/>
        <charset val="134"/>
      </rPr>
      <t xml:space="preserve">Button bắt đầu import hiển thị ở trạng thái enable
</t>
    </r>
    <r>
      <rPr>
        <b/>
        <sz val="10"/>
        <color rgb="FF000000"/>
        <rFont val="游ゴシック"/>
        <charset val="134"/>
      </rPr>
      <t xml:space="preserve">ステップ2：
</t>
    </r>
    <r>
      <rPr>
        <sz val="10"/>
        <color rgb="FF000000"/>
        <rFont val="游ゴシック"/>
        <charset val="134"/>
      </rPr>
      <t xml:space="preserve">Hiển thị toast「Excelファイルを選択してください。」
</t>
    </r>
    <r>
      <rPr>
        <b/>
        <sz val="10"/>
        <color rgb="FF000000"/>
        <rFont val="游ゴシック"/>
        <charset val="134"/>
      </rPr>
      <t xml:space="preserve">ステップ3：
</t>
    </r>
    <r>
      <rPr>
        <sz val="10"/>
        <color rgb="FF000000"/>
        <rFont val="游ゴシック"/>
        <charset val="134"/>
      </rPr>
      <t xml:space="preserve">POST "/api/v1/dokusya/import" không được gửi
</t>
    </r>
    <r>
      <rPr>
        <b/>
        <sz val="10"/>
        <color rgb="FF000000"/>
        <rFont val="游ゴシック"/>
        <charset val="134"/>
      </rPr>
      <t xml:space="preserve">補足：
</t>
    </r>
    <r>
      <rPr>
        <sz val="10"/>
        <color rgb="FF000000"/>
        <rFont val="游ゴシック"/>
        <charset val="134"/>
      </rPr>
      <t>・Xử lý dừng lại, dialog xác nhận phía sau không được hiển thị</t>
    </r>
  </si>
  <si>
    <t>ACSMS-TC-016-028</t>
  </si>
  <si>
    <t>Vượt quá giới hạn số dòng dữ liệu (30001 dòng)</t>
  </si>
  <si>
    <t>・Đã login bằng JA_HONTEN (đã xác thực 2 bước)
・Chuẩn bị file Excel có 30001 dòng dữ liệu</t>
  </si>
  <si>
    <r>
      <rPr>
        <b/>
        <sz val="10"/>
        <color rgb="FF000000"/>
        <rFont val="メイリオ"/>
        <charset val="134"/>
      </rPr>
      <t xml:space="preserve">ステップ1：
</t>
    </r>
    <r>
      <rPr>
        <sz val="10"/>
        <color rgb="FF000000"/>
        <rFont val="メイリオ"/>
        <charset val="134"/>
      </rPr>
      <t xml:space="preserve">Chọn file Excel 30001 dòng
</t>
    </r>
    <r>
      <rPr>
        <b/>
        <sz val="10"/>
        <color rgb="FF000000"/>
        <rFont val="メイリオ"/>
        <charset val="134"/>
      </rPr>
      <t xml:space="preserve">ステップ2：
</t>
    </r>
    <r>
      <rPr>
        <sz val="10"/>
        <color rgb="FF000000"/>
        <rFont val="メイリオ"/>
        <charset val="134"/>
      </rPr>
      <t xml:space="preserve">Click button bắt đầu import
</t>
    </r>
    <r>
      <rPr>
        <b/>
        <sz val="10"/>
        <color rgb="FF000000"/>
        <rFont val="メイリオ"/>
        <charset val="134"/>
      </rPr>
      <t xml:space="preserve">ステップ3：
</t>
    </r>
    <r>
      <rPr>
        <sz val="10"/>
        <color rgb="FF000000"/>
        <rFont val="メイリオ"/>
        <charset val="134"/>
      </rPr>
      <t>Kiểm tra có phát sinh request hay không qua tab Network của DevTools</t>
    </r>
  </si>
  <si>
    <r>
      <rPr>
        <b/>
        <sz val="10"/>
        <color rgb="FF000000"/>
        <rFont val="游ゴシック"/>
        <charset val="134"/>
      </rPr>
      <t xml:space="preserve">ステップ1：
</t>
    </r>
    <r>
      <rPr>
        <sz val="10"/>
        <color rgb="FF000000"/>
        <rFont val="游ゴシック"/>
        <charset val="134"/>
      </rPr>
      <t xml:space="preserve">Preview dữ liệu import được hiển thị
</t>
    </r>
    <r>
      <rPr>
        <b/>
        <sz val="10"/>
        <color rgb="FF000000"/>
        <rFont val="游ゴシック"/>
        <charset val="134"/>
      </rPr>
      <t xml:space="preserve">ステップ2：
</t>
    </r>
    <r>
      <rPr>
        <sz val="10"/>
        <color rgb="FF000000"/>
        <rFont val="游ゴシック"/>
        <charset val="134"/>
      </rPr>
      <t xml:space="preserve">Hiển thị toast「ファイルの行数が上限（5000行）を超えているため、取込みできません。」
</t>
    </r>
    <r>
      <rPr>
        <b/>
        <sz val="10"/>
        <color rgb="FF000000"/>
        <rFont val="游ゴシック"/>
        <charset val="134"/>
      </rPr>
      <t xml:space="preserve">ステップ3：
</t>
    </r>
    <r>
      <rPr>
        <sz val="10"/>
        <color rgb="FF000000"/>
        <rFont val="游ゴシック"/>
        <charset val="134"/>
      </rPr>
      <t xml:space="preserve">POST "/api/v1/dokusya/import" không được gửi (do xử lý dừng ở phía màn hình)
</t>
    </r>
    <r>
      <rPr>
        <b/>
        <sz val="10"/>
        <color rgb="FF000000"/>
        <rFont val="游ゴシック"/>
        <charset val="134"/>
      </rPr>
      <t xml:space="preserve">補足：
</t>
    </r>
    <r>
      <rPr>
        <sz val="10"/>
        <color rgb="FF000000"/>
        <rFont val="游ゴシック"/>
        <charset val="134"/>
      </rPr>
      <t>・Dialog xác nhận không được hiển thị
・Không đăng ký dữ liệu vào t_dokusya</t>
    </r>
  </si>
  <si>
    <t>ACSMS-TC-016-029</t>
  </si>
  <si>
    <t>Giá trị biên của giới hạn số dòng dữ liệu (30000 dòng)</t>
  </si>
  <si>
    <t>・Đã login bằng JA_HONTEN (đã xác thực 2 bước)
・Chuẩn bị file Excel 29999 dòng và 30000 dòng dữ liệu</t>
  </si>
  <si>
    <r>
      <rPr>
        <b/>
        <sz val="10"/>
        <color rgb="FF000000"/>
        <rFont val="游ゴシック"/>
        <charset val="134"/>
      </rPr>
      <t xml:space="preserve">ステップ1：
</t>
    </r>
    <r>
      <rPr>
        <sz val="10"/>
        <color rgb="FF000000"/>
        <rFont val="游ゴシック"/>
        <charset val="134"/>
      </rPr>
      <t xml:space="preserve">Chọn file Excel 2999 dòng, chọn loại đăng ký "紙版"・chế độ import "新規登録" rồi bắt đầu import
</t>
    </r>
    <r>
      <rPr>
        <b/>
        <sz val="10"/>
        <color rgb="FF000000"/>
        <rFont val="游ゴシック"/>
        <charset val="134"/>
      </rPr>
      <t xml:space="preserve">ステップ2：
</t>
    </r>
    <r>
      <rPr>
        <sz val="10"/>
        <color rgb="FF000000"/>
        <rFont val="游ゴシック"/>
        <charset val="134"/>
      </rPr>
      <t xml:space="preserve">Chọn file Excel 5000 dòng, import với cùng điều kiện
</t>
    </r>
    <r>
      <rPr>
        <b/>
        <sz val="10"/>
        <color rgb="FF000000"/>
        <rFont val="游ゴシック"/>
        <charset val="134"/>
      </rPr>
      <t xml:space="preserve">ステップ3：
</t>
    </r>
    <r>
      <rPr>
        <sz val="10"/>
        <color rgb="FF000000"/>
        <rFont val="游ゴシック"/>
        <charset val="134"/>
      </rPr>
      <t>Chạy query sau trên DB để kiểm tra số bản ghi đã đăng ký
```sql
SELECT COUNT(*) FROM t_dokusya WHERE deleted_at IS NULL;
```</t>
    </r>
  </si>
  <si>
    <r>
      <rPr>
        <b/>
        <sz val="10"/>
        <color rgb="FF000000"/>
        <rFont val="游ゴシック"/>
        <charset val="134"/>
      </rPr>
      <t xml:space="preserve">ステップ1：
</t>
    </r>
    <r>
      <rPr>
        <sz val="10"/>
        <color rgb="FF000000"/>
        <rFont val="游ゴシック"/>
        <charset val="134"/>
      </rPr>
      <t xml:space="preserve">Dữ liệu được đăng ký và hiển thị toast「取り込みました。」
</t>
    </r>
    <r>
      <rPr>
        <b/>
        <sz val="10"/>
        <color rgb="FF000000"/>
        <rFont val="游ゴシック"/>
        <charset val="134"/>
      </rPr>
      <t xml:space="preserve">ステップ2：
</t>
    </r>
    <r>
      <rPr>
        <sz val="10"/>
        <color rgb="FF000000"/>
        <rFont val="游ゴシック"/>
        <charset val="134"/>
      </rPr>
      <t xml:space="preserve">Dữ liệu được đăng ký và hiển thị toast「取り込みました。」(vì đúng giới hạn thì vẫn import được)
</t>
    </r>
    <r>
      <rPr>
        <b/>
        <sz val="10"/>
        <color rgb="FF000000"/>
        <rFont val="游ゴシック"/>
        <charset val="134"/>
      </rPr>
      <t xml:space="preserve">ステップ3：
</t>
    </r>
    <r>
      <rPr>
        <sz val="10"/>
        <color rgb="FF000000"/>
        <rFont val="游ゴシック"/>
        <charset val="134"/>
      </rPr>
      <t xml:space="preserve">Số bản ghi đã đăng ký khớp với số dòng import
</t>
    </r>
    <r>
      <rPr>
        <b/>
        <sz val="10"/>
        <color rgb="FF000000"/>
        <rFont val="游ゴシック"/>
        <charset val="134"/>
      </rPr>
      <t xml:space="preserve">補足：
</t>
    </r>
    <r>
      <rPr>
        <sz val="10"/>
        <color rgb="FF000000"/>
        <rFont val="游ゴシック"/>
        <charset val="134"/>
      </rPr>
      <t>・Giá trị đúng bằng giới hạn (30000 dòng) được xử lý bình thường
・Không bị timeout</t>
    </r>
  </si>
  <si>
    <t>ACSMS-TC-016-030</t>
  </si>
  <si>
    <t>Không import được khi bản điện tử kết hợp thanh toán thẻ tín dụng</t>
  </si>
  <si>
    <t>・Đã login bằng JA_HONTEN (đã xác thực 2 bước)
・Chuẩn bị file Excel có dòng ghi phương thức thanh toán là thẻ tín dụng (6)</t>
  </si>
  <si>
    <r>
      <rPr>
        <b/>
        <sz val="10"/>
        <color rgb="FF000000"/>
        <rFont val="メイリオ"/>
        <charset val="134"/>
      </rPr>
      <t xml:space="preserve">ステップ1：
</t>
    </r>
    <r>
      <rPr>
        <sz val="10"/>
        <color rgb="FF000000"/>
        <rFont val="メイリオ"/>
        <charset val="134"/>
      </rPr>
      <t xml:space="preserve">Chọn "電子版" ở loại đăng ký
</t>
    </r>
    <r>
      <rPr>
        <b/>
        <sz val="10"/>
        <color rgb="FF000000"/>
        <rFont val="メイリオ"/>
        <charset val="134"/>
      </rPr>
      <t xml:space="preserve">ステップ2：
</t>
    </r>
    <r>
      <rPr>
        <sz val="10"/>
        <color rgb="FF000000"/>
        <rFont val="メイリオ"/>
        <charset val="134"/>
      </rPr>
      <t xml:space="preserve">Chọn file Excel có dòng phương thức thanh toán là thẻ tín dụng (6) rồi bắt đầu import
</t>
    </r>
    <r>
      <rPr>
        <b/>
        <sz val="10"/>
        <color rgb="FF000000"/>
        <rFont val="メイリオ"/>
        <charset val="134"/>
      </rPr>
      <t xml:space="preserve">ステップ3：
</t>
    </r>
    <r>
      <rPr>
        <sz val="10"/>
        <color rgb="FF000000"/>
        <rFont val="メイリオ"/>
        <charset val="134"/>
      </rPr>
      <t xml:space="preserve">Kiểm tra danh sách lỗi hiển thị trên màn hình
</t>
    </r>
    <r>
      <rPr>
        <b/>
        <sz val="10"/>
        <color rgb="FF000000"/>
        <rFont val="メイリオ"/>
        <charset val="134"/>
      </rPr>
      <t xml:space="preserve">ステップ4：
</t>
    </r>
    <r>
      <rPr>
        <sz val="10"/>
        <color rgb="FF000000"/>
        <rFont val="メイリオ"/>
        <charset val="134"/>
      </rPr>
      <t>Chuyển loại đăng ký sang "紙版" và bắt đầu import với cùng file</t>
    </r>
  </si>
  <si>
    <r>
      <rPr>
        <b/>
        <sz val="10"/>
        <color rgb="FF000000"/>
        <rFont val="游ゴシック"/>
        <charset val="134"/>
      </rPr>
      <t xml:space="preserve">ステップ1：
</t>
    </r>
    <r>
      <rPr>
        <sz val="10"/>
        <color rgb="FF000000"/>
        <rFont val="游ゴシック"/>
        <charset val="134"/>
      </rPr>
      <t xml:space="preserve">Loại đăng ký được chọn là "電子版"
</t>
    </r>
    <r>
      <rPr>
        <b/>
        <sz val="10"/>
        <color rgb="FF000000"/>
        <rFont val="游ゴシック"/>
        <charset val="134"/>
      </rPr>
      <t xml:space="preserve">ステップ2：
</t>
    </r>
    <r>
      <rPr>
        <sz val="10"/>
        <color rgb="FF000000"/>
        <rFont val="游ゴシック"/>
        <charset val="134"/>
      </rPr>
      <t xml:space="preserve">Lỗi được hiển thị và xử lý không được thực hiện
</t>
    </r>
    <r>
      <rPr>
        <b/>
        <sz val="10"/>
        <color rgb="FF000000"/>
        <rFont val="游ゴシック"/>
        <charset val="134"/>
      </rPr>
      <t xml:space="preserve">ステップ3：
</t>
    </r>
    <r>
      <rPr>
        <sz val="10"/>
        <color rgb="FF000000"/>
        <rFont val="游ゴシック"/>
        <charset val="134"/>
      </rPr>
      <t xml:space="preserve">Hiển thị「行{N}: 支払方法 — 電子版かつクレジットカード決済の組み合わせは取込みできません。」
</t>
    </r>
    <r>
      <rPr>
        <b/>
        <sz val="10"/>
        <color rgb="FF000000"/>
        <rFont val="游ゴシック"/>
        <charset val="134"/>
      </rPr>
      <t xml:space="preserve">ステップ4：
</t>
    </r>
    <r>
      <rPr>
        <sz val="10"/>
        <color rgb="FF000000"/>
        <rFont val="游ゴシック"/>
        <charset val="134"/>
      </rPr>
      <t xml:space="preserve">Dữ liệu được đăng ký (do bản giấy cho phép thanh toán thẻ tín dụng)
</t>
    </r>
    <r>
      <rPr>
        <b/>
        <sz val="10"/>
        <color rgb="FF000000"/>
        <rFont val="游ゴシック"/>
        <charset val="134"/>
      </rPr>
      <t xml:space="preserve">補足：
</t>
    </r>
    <r>
      <rPr>
        <sz val="10"/>
        <color rgb="FF000000"/>
        <rFont val="游ゴシック"/>
        <charset val="134"/>
      </rPr>
      <t>・Người đăng ký bản điện tử thanh toán thẻ tín dụng chỉ ở chế độ read-only
・Dữ liệu bị lỗi không được đăng ký vào t_dokusya</t>
    </r>
  </si>
  <si>
    <t>ACSMS-TC-016-031</t>
  </si>
  <si>
    <t>Số bản đăng ký của bản điện tử (cố định bằng 1)</t>
  </si>
  <si>
    <t>・Đã login bằng JA_HONTEN (đã xác thực 2 bước)
・Chuẩn bị file Excel có dòng ghi số bản đăng ký là 1 và 2</t>
  </si>
  <si>
    <r>
      <rPr>
        <b/>
        <sz val="10"/>
        <color rgb="FF000000"/>
        <rFont val="游ゴシック"/>
        <charset val="134"/>
      </rPr>
      <t xml:space="preserve">ステップ1：
</t>
    </r>
    <r>
      <rPr>
        <sz val="10"/>
        <color rgb="FF000000"/>
        <rFont val="游ゴシック"/>
        <charset val="134"/>
      </rPr>
      <t xml:space="preserve">Chọn "電子版" ở loại đăng ký, bắt đầu import với file có dòng số bản đăng ký là 2
</t>
    </r>
    <r>
      <rPr>
        <b/>
        <sz val="10"/>
        <color rgb="FF000000"/>
        <rFont val="游ゴシック"/>
        <charset val="134"/>
      </rPr>
      <t xml:space="preserve">ステップ2：
</t>
    </r>
    <r>
      <rPr>
        <sz val="10"/>
        <color rgb="FF000000"/>
        <rFont val="游ゴシック"/>
        <charset val="134"/>
      </rPr>
      <t>Chuyển loại đăng ký sang "紙版", bắt đầu import với file có dòng số bản đăng ký là 2</t>
    </r>
  </si>
  <si>
    <r>
      <rPr>
        <b/>
        <sz val="10"/>
        <color rgb="FF000000"/>
        <rFont val="游ゴシック"/>
        <charset val="134"/>
      </rPr>
      <t xml:space="preserve">ステップ1：
</t>
    </r>
    <r>
      <rPr>
        <sz val="10"/>
        <color rgb="FF000000"/>
        <rFont val="游ゴシック"/>
        <charset val="134"/>
      </rPr>
      <t xml:space="preserve">Logic bỏ qua cột số lượng, mặc định khi lưu vào cơ sở dữ liệu luôn là 1.
</t>
    </r>
    <r>
      <rPr>
        <b/>
        <sz val="10"/>
        <color rgb="FF000000"/>
        <rFont val="游ゴシック"/>
        <charset val="134"/>
      </rPr>
      <t xml:space="preserve">ステップ2：
</t>
    </r>
    <r>
      <rPr>
        <sz val="10"/>
        <color rgb="FF000000"/>
        <rFont val="游ゴシック"/>
        <charset val="134"/>
      </rPr>
      <t xml:space="preserve">Dữ liệu được đăng ký (do bản giấy cho phép từ 2 trở lên)
</t>
    </r>
    <r>
      <rPr>
        <b/>
        <sz val="10"/>
        <color rgb="FF000000"/>
        <rFont val="游ゴシック"/>
        <charset val="134"/>
      </rPr>
      <t xml:space="preserve">補足：
</t>
    </r>
    <r>
      <rPr>
        <sz val="10"/>
        <color rgb="FF000000"/>
        <rFont val="游ゴシック"/>
        <charset val="134"/>
      </rPr>
      <t>・Quy tắc theo từng loại đăng ký được thống nhất giữa đăng ký trên màn hình, thay thế hàng loạt và import</t>
    </r>
  </si>
  <si>
    <t>Message hiển thị cho người dùng đối với lỗi số bản đăng ký của bản điện tử chưa được định nghĩa riêng trong spec thiết kế, nên chỉ xác nhận lỗi được hiển thị theo từng mục. Việc chốt nội dung message chờ xác nhận spec.</t>
  </si>
  <si>
    <t>ACSMS-TC-016-032</t>
  </si>
  <si>
    <t>Số bản đăng ký — giá trị biên dưới khi đăng ký mới</t>
  </si>
  <si>
    <t>・Đã login bằng JA_HONTEN (đã xác thực 2 bước)
・Loại đăng ký là "紙版"・chế độ import là "新規登録"</t>
  </si>
  <si>
    <r>
      <rPr>
        <b/>
        <sz val="10"/>
        <color rgb="FF000000"/>
        <rFont val="メイリオ"/>
        <charset val="134"/>
      </rPr>
      <t xml:space="preserve">ステップ1：
</t>
    </r>
    <r>
      <rPr>
        <sz val="10"/>
        <color rgb="FF000000"/>
        <rFont val="メイリオ"/>
        <charset val="134"/>
      </rPr>
      <t xml:space="preserve">Bắt đầu import với file Excel có dòng số bản đăng ký là 0
</t>
    </r>
    <r>
      <rPr>
        <b/>
        <sz val="10"/>
        <color rgb="FF000000"/>
        <rFont val="メイリオ"/>
        <charset val="134"/>
      </rPr>
      <t xml:space="preserve">ステップ2：
</t>
    </r>
    <r>
      <rPr>
        <sz val="10"/>
        <color rgb="FF000000"/>
        <rFont val="メイリオ"/>
        <charset val="134"/>
      </rPr>
      <t xml:space="preserve">Kiểm tra danh sách lỗi hiển thị trên màn hình
</t>
    </r>
    <r>
      <rPr>
        <b/>
        <sz val="10"/>
        <color rgb="FF000000"/>
        <rFont val="メイリオ"/>
        <charset val="134"/>
      </rPr>
      <t xml:space="preserve">ステップ3：
</t>
    </r>
    <r>
      <rPr>
        <sz val="10"/>
        <color rgb="FF000000"/>
        <rFont val="メイリオ"/>
        <charset val="134"/>
      </rPr>
      <t xml:space="preserve">Bắt đầu import với file Excel chỉ có dòng số bản đăng ký là 1
</t>
    </r>
    <r>
      <rPr>
        <b/>
        <sz val="10"/>
        <color rgb="FF000000"/>
        <rFont val="メイリオ"/>
        <charset val="134"/>
      </rPr>
      <t xml:space="preserve">ステップ4：
</t>
    </r>
    <r>
      <rPr>
        <sz val="10"/>
        <color rgb="FF000000"/>
        <rFont val="メイリオ"/>
        <charset val="134"/>
      </rPr>
      <t>Bắt đầu import với file Excel có dòng số bản đăng ký là -1</t>
    </r>
  </si>
  <si>
    <r>
      <rPr>
        <b/>
        <sz val="10"/>
        <color rgb="FF000000"/>
        <rFont val="メイリオ"/>
        <charset val="134"/>
      </rPr>
      <t xml:space="preserve">ステップ1：
</t>
    </r>
    <r>
      <rPr>
        <sz val="10"/>
        <color rgb="FF000000"/>
        <rFont val="メイリオ"/>
        <charset val="134"/>
      </rPr>
      <t xml:space="preserve">Lỗi được hiển thị và xử lý không được thực hiện
</t>
    </r>
    <r>
      <rPr>
        <b/>
        <sz val="10"/>
        <color rgb="FF000000"/>
        <rFont val="メイリオ"/>
        <charset val="134"/>
      </rPr>
      <t xml:space="preserve">ステップ2：
</t>
    </r>
    <r>
      <rPr>
        <sz val="10"/>
        <color rgb="FF000000"/>
        <rFont val="メイリオ"/>
        <charset val="134"/>
      </rPr>
      <t xml:space="preserve">Hiển thị「行{N}: 購読部数 — 新規登録の場合、購読部数は0より大きい値を指定してください。」
</t>
    </r>
    <r>
      <rPr>
        <b/>
        <sz val="10"/>
        <color rgb="FF000000"/>
        <rFont val="メイリオ"/>
        <charset val="134"/>
      </rPr>
      <t xml:space="preserve">ステップ3：
</t>
    </r>
    <r>
      <rPr>
        <sz val="10"/>
        <color rgb="FF000000"/>
        <rFont val="メイリオ"/>
        <charset val="134"/>
      </rPr>
      <t xml:space="preserve">Dữ liệu được đăng ký (do giá trị biên dưới là 1 vẫn import được)
</t>
    </r>
    <r>
      <rPr>
        <b/>
        <sz val="10"/>
        <color rgb="FF000000"/>
        <rFont val="メイリオ"/>
        <charset val="134"/>
      </rPr>
      <t xml:space="preserve">ステップ4：
</t>
    </r>
    <r>
      <rPr>
        <sz val="10"/>
        <color rgb="FF000000"/>
        <rFont val="メイリオ"/>
        <charset val="134"/>
      </rPr>
      <t xml:space="preserve">Lỗi được hiển thị và xử lý không được thực hiện
</t>
    </r>
    <r>
      <rPr>
        <b/>
        <sz val="10"/>
        <color rgb="FF000000"/>
        <rFont val="メイリオ"/>
        <charset val="134"/>
      </rPr>
      <t xml:space="preserve">補足：
</t>
    </r>
    <r>
      <rPr>
        <sz val="10"/>
        <color rgb="FF000000"/>
        <rFont val="メイリオ"/>
        <charset val="134"/>
      </rPr>
      <t>・Giá trị không hợp lệ không được đăng ký</t>
    </r>
  </si>
  <si>
    <t>ACSMS-TC-016-033</t>
  </si>
  <si>
    <t>Mã bưu chính 7 ký tự・mã tỉnh thành 2 ký tự</t>
  </si>
  <si>
    <r>
      <rPr>
        <b/>
        <sz val="10"/>
        <color rgb="FF000000"/>
        <rFont val="メイリオ"/>
        <charset val="134"/>
      </rPr>
      <t xml:space="preserve">ステップ1：
</t>
    </r>
    <r>
      <rPr>
        <sz val="10"/>
        <color rgb="FF000000"/>
        <rFont val="メイリオ"/>
        <charset val="134"/>
      </rPr>
      <t xml:space="preserve">Bắt đầu import với dòng có mã bưu chính là "1000001" (7 ký tự), mã tỉnh thành là "13" (2 ký tự)
</t>
    </r>
    <r>
      <rPr>
        <b/>
        <sz val="10"/>
        <color rgb="FF000000"/>
        <rFont val="メイリオ"/>
        <charset val="134"/>
      </rPr>
      <t xml:space="preserve">ステップ2：
</t>
    </r>
    <r>
      <rPr>
        <sz val="10"/>
        <color rgb="FF000000"/>
        <rFont val="メイリオ"/>
        <charset val="134"/>
      </rPr>
      <t xml:space="preserve">Bắt đầu import với dòng có mã bưu chính là "100-0001" (có dấu gạch ngang) và kiểm tra giá trị lưu trong DB
</t>
    </r>
    <r>
      <rPr>
        <b/>
        <sz val="10"/>
        <color rgb="FF000000"/>
        <rFont val="メイリオ"/>
        <charset val="134"/>
      </rPr>
      <t xml:space="preserve">ステップ3：
</t>
    </r>
    <r>
      <rPr>
        <sz val="10"/>
        <color rgb="FF000000"/>
        <rFont val="メイリオ"/>
        <charset val="134"/>
      </rPr>
      <t xml:space="preserve">Bắt đầu import với dòng có mã bưu chính là "100000" (6 ký tự) và "10000012" (8 ký tự)
</t>
    </r>
    <r>
      <rPr>
        <b/>
        <sz val="10"/>
        <color rgb="FF000000"/>
        <rFont val="メイリオ"/>
        <charset val="134"/>
      </rPr>
      <t xml:space="preserve">ステップ4：
</t>
    </r>
    <r>
      <rPr>
        <sz val="10"/>
        <color rgb="FF000000"/>
        <rFont val="メイリオ"/>
        <charset val="134"/>
      </rPr>
      <t>Bắt đầu import với dòng có mã tỉnh thành là "1" (1 ký tự) và "130" (3 ký tự)</t>
    </r>
  </si>
  <si>
    <r>
      <rPr>
        <b/>
        <sz val="10"/>
        <color rgb="FF000000"/>
        <rFont val="メイリオ"/>
        <charset val="134"/>
      </rPr>
      <t xml:space="preserve">ステップ1：
</t>
    </r>
    <r>
      <rPr>
        <sz val="10"/>
        <color rgb="FF000000"/>
        <rFont val="メイリオ"/>
        <charset val="134"/>
      </rPr>
      <t xml:space="preserve">Dữ liệu được đăng ký
</t>
    </r>
    <r>
      <rPr>
        <b/>
        <sz val="10"/>
        <color rgb="FF000000"/>
        <rFont val="メイリオ"/>
        <charset val="134"/>
      </rPr>
      <t xml:space="preserve">ステップ2：
</t>
    </r>
    <r>
      <rPr>
        <sz val="10"/>
        <color rgb="FF000000"/>
        <rFont val="メイリオ"/>
        <charset val="134"/>
      </rPr>
      <t xml:space="preserve">・Dữ liệu được đăng ký
</t>
    </r>
    <r>
      <rPr>
        <sz val="10"/>
        <color rgb="FF000000"/>
        <rFont val="メイリオ"/>
        <charset val="134"/>
      </rPr>
      <t xml:space="preserve">・t_dokusya.yubin_no được lưu là "1000001" (dấu gạch ngang bị loại bỏ)
</t>
    </r>
    <r>
      <rPr>
        <b/>
        <sz val="10"/>
        <color rgb="FF000000"/>
        <rFont val="メイリオ"/>
        <charset val="134"/>
      </rPr>
      <t xml:space="preserve">ステップ3：
</t>
    </r>
    <r>
      <rPr>
        <sz val="10"/>
        <color rgb="FF000000"/>
        <rFont val="メイリオ"/>
        <charset val="134"/>
      </rPr>
      <t xml:space="preserve">Cả hai đều hiển thị lỗi và xử lý không được thực hiện (do cố định 7 ký tự)
</t>
    </r>
    <r>
      <rPr>
        <b/>
        <sz val="10"/>
        <color rgb="FF000000"/>
        <rFont val="メイリオ"/>
        <charset val="134"/>
      </rPr>
      <t xml:space="preserve">ステップ4：
</t>
    </r>
    <r>
      <rPr>
        <sz val="10"/>
        <color rgb="FF000000"/>
        <rFont val="メイリオ"/>
        <charset val="134"/>
      </rPr>
      <t xml:space="preserve">Cả hai đều hiển thị lỗi và xử lý không được thực hiện (do cố định 2 ký tự)
</t>
    </r>
    <r>
      <rPr>
        <b/>
        <sz val="10"/>
        <color rgb="FF000000"/>
        <rFont val="メイリオ"/>
        <charset val="134"/>
      </rPr>
      <t xml:space="preserve">補足：
</t>
    </r>
    <r>
      <rPr>
        <sz val="10"/>
        <color rgb="FF000000"/>
        <rFont val="メイリオ"/>
        <charset val="134"/>
      </rPr>
      <t xml:space="preserve">・Chỉ cho nhập ký tự half-width dạng số
</t>
    </r>
    <r>
      <rPr>
        <sz val="10"/>
        <color rgb="FF000000"/>
        <rFont val="メイリオ"/>
        <charset val="134"/>
      </rPr>
      <t>・Mã bưu chính nơi giao hàng・mã tỉnh thành nơi giao hàng cũng phán định giống nhau</t>
    </r>
  </si>
  <si>
    <t>ACSMS-TC-016-034</t>
  </si>
  <si>
    <t>Định dạng địa chỉ email</t>
  </si>
  <si>
    <t>・Đã login bằng JA_HONTEN (đã xác thực 2 bước)
・"メールアドレス" đã được check trong panel chọn cột import</t>
  </si>
  <si>
    <r>
      <rPr>
        <b/>
        <sz val="10"/>
        <color rgb="FF000000"/>
        <rFont val="メイリオ"/>
        <charset val="134"/>
      </rPr>
      <t xml:space="preserve">ステップ1：
</t>
    </r>
    <r>
      <rPr>
        <sz val="10"/>
        <color rgb="FF000000"/>
        <rFont val="メイリオ"/>
        <charset val="134"/>
      </rPr>
      <t xml:space="preserve">Bắt đầu import với dòng có email là "test@example.com"
</t>
    </r>
    <r>
      <rPr>
        <b/>
        <sz val="10"/>
        <color rgb="FF000000"/>
        <rFont val="メイリオ"/>
        <charset val="134"/>
      </rPr>
      <t xml:space="preserve">ステップ2：
</t>
    </r>
    <r>
      <rPr>
        <sz val="10"/>
        <color rgb="FF000000"/>
        <rFont val="メイリオ"/>
        <charset val="134"/>
      </rPr>
      <t xml:space="preserve">Bắt đầu import với dòng có email là "test.example.com" (không có ký hiệu)
</t>
    </r>
    <r>
      <rPr>
        <b/>
        <sz val="10"/>
        <color rgb="FF000000"/>
        <rFont val="メイリオ"/>
        <charset val="134"/>
      </rPr>
      <t xml:space="preserve">ステップ3：
</t>
    </r>
    <r>
      <rPr>
        <sz val="10"/>
        <color rgb="FF000000"/>
        <rFont val="メイリオ"/>
        <charset val="134"/>
      </rPr>
      <t xml:space="preserve">Chuyển loại đăng ký sang "電子版", bắt đầu import với dòng có email để trống
</t>
    </r>
    <r>
      <rPr>
        <b/>
        <sz val="10"/>
        <color rgb="FF000000"/>
        <rFont val="メイリオ"/>
        <charset val="134"/>
      </rPr>
      <t xml:space="preserve">ステップ4：
</t>
    </r>
    <r>
      <rPr>
        <sz val="10"/>
        <color rgb="FF000000"/>
        <rFont val="メイリオ"/>
        <charset val="134"/>
      </rPr>
      <t>Chuyển loại đăng ký sang "紙版", bắt đầu import với dòng có email để trống</t>
    </r>
  </si>
  <si>
    <r>
      <rPr>
        <b/>
        <sz val="10"/>
        <color rgb="FF000000"/>
        <rFont val="メイリオ"/>
        <charset val="134"/>
      </rPr>
      <t xml:space="preserve">ステップ1：
</t>
    </r>
    <r>
      <rPr>
        <sz val="10"/>
        <color rgb="FF000000"/>
        <rFont val="メイリオ"/>
        <charset val="134"/>
      </rPr>
      <t xml:space="preserve">Dữ liệu được đăng ký
</t>
    </r>
    <r>
      <rPr>
        <b/>
        <sz val="10"/>
        <color rgb="FF000000"/>
        <rFont val="メイリオ"/>
        <charset val="134"/>
      </rPr>
      <t xml:space="preserve">ステップ2：
</t>
    </r>
    <r>
      <rPr>
        <sz val="10"/>
        <color rgb="FF000000"/>
        <rFont val="メイリオ"/>
        <charset val="134"/>
      </rPr>
      <t xml:space="preserve">Hiển thị lỗi format và xử lý không được thực hiện
</t>
    </r>
    <r>
      <rPr>
        <b/>
        <sz val="10"/>
        <color rgb="FF000000"/>
        <rFont val="メイリオ"/>
        <charset val="134"/>
      </rPr>
      <t xml:space="preserve">ステップ3：
</t>
    </r>
    <r>
      <rPr>
        <sz val="10"/>
        <color rgb="FF000000"/>
        <rFont val="メイリオ"/>
        <charset val="134"/>
      </rPr>
      <t xml:space="preserve">Hiển thị「メールアドレスは電子版・併読の場合は必須です。」
</t>
    </r>
    <r>
      <rPr>
        <b/>
        <sz val="10"/>
        <color rgb="FF000000"/>
        <rFont val="メイリオ"/>
        <charset val="134"/>
      </rPr>
      <t xml:space="preserve">ステップ4：
</t>
    </r>
    <r>
      <rPr>
        <sz val="10"/>
        <color rgb="FF000000"/>
        <rFont val="メイリオ"/>
        <charset val="134"/>
      </rPr>
      <t xml:space="preserve">Dữ liệu được đăng ký (do bản giấy thì email là tùy chọn)
</t>
    </r>
    <r>
      <rPr>
        <b/>
        <sz val="10"/>
        <color rgb="FF000000"/>
        <rFont val="メイリオ"/>
        <charset val="134"/>
      </rPr>
      <t xml:space="preserve">補足：
</t>
    </r>
    <r>
      <rPr>
        <sz val="10"/>
        <color rgb="FF000000"/>
        <rFont val="メイリオ"/>
        <charset val="134"/>
      </rPr>
      <t>・Việc phán định bắt buộc thay đổi theo loại đăng ký</t>
    </r>
  </si>
  <si>
    <t>ACSMS-TC-016-035</t>
  </si>
  <si>
    <t>Giá trị biên của khoảng năm sinh (dương lịch)</t>
  </si>
  <si>
    <t>・Đã login bằng JA_HONTEN (đã xác thực 2 bước)
・"生年（西暦）" đã được check trong panel chọn cột import</t>
  </si>
  <si>
    <r>
      <rPr>
        <b/>
        <sz val="10"/>
        <color rgb="FF000000"/>
        <rFont val="メイリオ"/>
        <charset val="134"/>
      </rPr>
      <t xml:space="preserve">ステップ1：
</t>
    </r>
    <r>
      <rPr>
        <sz val="10"/>
        <color rgb="FF000000"/>
        <rFont val="メイリオ"/>
        <charset val="134"/>
      </rPr>
      <t xml:space="preserve">Bắt đầu import với dòng có năm sinh là "1900"
</t>
    </r>
    <r>
      <rPr>
        <b/>
        <sz val="10"/>
        <color rgb="FF000000"/>
        <rFont val="メイリオ"/>
        <charset val="134"/>
      </rPr>
      <t xml:space="preserve">ステップ2：
</t>
    </r>
    <r>
      <rPr>
        <sz val="10"/>
        <color rgb="FF000000"/>
        <rFont val="メイリオ"/>
        <charset val="134"/>
      </rPr>
      <t xml:space="preserve">Bắt đầu import với dòng có năm sinh là "1899"
</t>
    </r>
    <r>
      <rPr>
        <b/>
        <sz val="10"/>
        <color rgb="FF000000"/>
        <rFont val="メイリオ"/>
        <charset val="134"/>
      </rPr>
      <t xml:space="preserve">ステップ3：
</t>
    </r>
    <r>
      <rPr>
        <sz val="10"/>
        <color rgb="FF000000"/>
        <rFont val="メイリオ"/>
        <charset val="134"/>
      </rPr>
      <t xml:space="preserve">Bắt đầu import với dòng có năm sinh là năm hiện tại (theo ngày hệ thống)
</t>
    </r>
    <r>
      <rPr>
        <b/>
        <sz val="10"/>
        <color rgb="FF000000"/>
        <rFont val="メイリオ"/>
        <charset val="134"/>
      </rPr>
      <t xml:space="preserve">ステップ4：
</t>
    </r>
    <r>
      <rPr>
        <sz val="10"/>
        <color rgb="FF000000"/>
        <rFont val="メイリオ"/>
        <charset val="134"/>
      </rPr>
      <t>Bắt đầu import với dòng có năm sinh là năm kế tiếp của năm hiện tại</t>
    </r>
  </si>
  <si>
    <r>
      <rPr>
        <b/>
        <sz val="10"/>
        <color rgb="FF000000"/>
        <rFont val="メイリオ"/>
        <charset val="134"/>
      </rPr>
      <t xml:space="preserve">ステップ1：
</t>
    </r>
    <r>
      <rPr>
        <sz val="10"/>
        <color rgb="FF000000"/>
        <rFont val="メイリオ"/>
        <charset val="134"/>
      </rPr>
      <t xml:space="preserve">Dữ liệu được đăng ký (do là giá trị biên dưới)
</t>
    </r>
    <r>
      <rPr>
        <b/>
        <sz val="10"/>
        <color rgb="FF000000"/>
        <rFont val="メイリオ"/>
        <charset val="134"/>
      </rPr>
      <t xml:space="preserve">ステップ2：
</t>
    </r>
    <r>
      <rPr>
        <sz val="10"/>
        <color rgb="FF000000"/>
        <rFont val="メイリオ"/>
        <charset val="134"/>
      </rPr>
      <t xml:space="preserve">Lỗi được hiển thị và xử lý không được thực hiện
</t>
    </r>
    <r>
      <rPr>
        <b/>
        <sz val="10"/>
        <color rgb="FF000000"/>
        <rFont val="メイリオ"/>
        <charset val="134"/>
      </rPr>
      <t xml:space="preserve">ステップ3：
</t>
    </r>
    <r>
      <rPr>
        <sz val="10"/>
        <color rgb="FF000000"/>
        <rFont val="メイリオ"/>
        <charset val="134"/>
      </rPr>
      <t xml:space="preserve">Dữ liệu được đăng ký (do là giá trị biên trên)
</t>
    </r>
    <r>
      <rPr>
        <b/>
        <sz val="10"/>
        <color rgb="FF000000"/>
        <rFont val="メイリオ"/>
        <charset val="134"/>
      </rPr>
      <t xml:space="preserve">ステップ4：
</t>
    </r>
    <r>
      <rPr>
        <sz val="10"/>
        <color rgb="FF000000"/>
        <rFont val="メイリオ"/>
        <charset val="134"/>
      </rPr>
      <t xml:space="preserve">Lỗi được hiển thị và xử lý không được thực hiện
</t>
    </r>
    <r>
      <rPr>
        <b/>
        <sz val="10"/>
        <color rgb="FF000000"/>
        <rFont val="メイリオ"/>
        <charset val="134"/>
      </rPr>
      <t xml:space="preserve">補足：
</t>
    </r>
    <r>
      <rPr>
        <sz val="10"/>
        <color rgb="FF000000"/>
        <rFont val="メイリオ"/>
        <charset val="134"/>
      </rPr>
      <t>・Khoảng hợp lệ là từ năm 1900 đến năm hiện tại</t>
    </r>
  </si>
  <si>
    <t>ACSMS-TC-016-036</t>
  </si>
  <si>
    <t>Import giới tính・loại tiền gửi tài khoản rút bằng cả mã số và chữ</t>
  </si>
  <si>
    <t>・Đã login bằng JA_HONTEN (đã xác thực 2 bước)
・"性別"・"引落口座貯金種目" đã được check trong panel chọn cột import</t>
  </si>
  <si>
    <r>
      <rPr>
        <b/>
        <sz val="10"/>
        <color rgb="FF000000"/>
        <rFont val="游ゴシック"/>
        <charset val="134"/>
      </rPr>
      <t xml:space="preserve">ステップ1：
</t>
    </r>
    <r>
      <rPr>
        <sz val="10"/>
        <color rgb="FF000000"/>
        <rFont val="游ゴシック"/>
        <charset val="134"/>
      </rPr>
      <t xml:space="preserve">Bắt đầu import với file Excel có dòng giới tính là "1"・"2"・"9" và kiểm tra giá trị lưu trong DB
</t>
    </r>
    <r>
      <rPr>
        <b/>
        <sz val="10"/>
        <color rgb="FF000000"/>
        <rFont val="游ゴシック"/>
        <charset val="134"/>
      </rPr>
      <t xml:space="preserve">ステップ2：
</t>
    </r>
    <r>
      <rPr>
        <sz val="10"/>
        <color rgb="FF000000"/>
        <rFont val="游ゴシック"/>
        <charset val="134"/>
      </rPr>
      <t xml:space="preserve">Bắt đầu import với file Excel có dòng giới tính là "男性"・"女性"・"回答しない" và kiểm tra giá trị lưu trong DB
</t>
    </r>
    <r>
      <rPr>
        <b/>
        <sz val="10"/>
        <color rgb="FF000000"/>
        <rFont val="游ゴシック"/>
        <charset val="134"/>
      </rPr>
      <t xml:space="preserve">ステップ3：
</t>
    </r>
    <r>
      <rPr>
        <sz val="10"/>
        <color rgb="FF000000"/>
        <rFont val="游ゴシック"/>
        <charset val="134"/>
      </rPr>
      <t xml:space="preserve">Bắt đầu import với file Excel có dòng loại tiền gửi là "1"・"2" và "普通"・"当座", kiểm tra giá trị lưu trong DB
</t>
    </r>
    <r>
      <rPr>
        <b/>
        <sz val="10"/>
        <color rgb="FF000000"/>
        <rFont val="游ゴシック"/>
        <charset val="134"/>
      </rPr>
      <t xml:space="preserve">ステップ4：
</t>
    </r>
    <r>
      <rPr>
        <sz val="10"/>
        <color rgb="FF000000"/>
        <rFont val="游ゴシック"/>
        <charset val="134"/>
      </rPr>
      <t>Bắt đầu import với dòng giới tính là "その他" (chữ ngoài định nghĩa)</t>
    </r>
  </si>
  <si>
    <r>
      <rPr>
        <b/>
        <sz val="10"/>
        <color rgb="FF000000"/>
        <rFont val="游ゴシック"/>
        <charset val="134"/>
      </rPr>
      <t xml:space="preserve">ステップ1：
</t>
    </r>
    <r>
      <rPr>
        <sz val="10"/>
        <color rgb="FF000000"/>
        <rFont val="游ゴシック"/>
        <charset val="134"/>
      </rPr>
      <t xml:space="preserve">t_dokusya.gender được lưu là 1 / 2 / 9
</t>
    </r>
    <r>
      <rPr>
        <b/>
        <sz val="10"/>
        <color rgb="FF000000"/>
        <rFont val="游ゴシック"/>
        <charset val="134"/>
      </rPr>
      <t xml:space="preserve">ステップ2：
</t>
    </r>
    <r>
      <rPr>
        <sz val="10"/>
        <color rgb="FF000000"/>
        <rFont val="游ゴシック"/>
        <charset val="134"/>
      </rPr>
      <t xml:space="preserve">Lỗi được hiển thị và xử lý không được thực hiện
</t>
    </r>
    <r>
      <rPr>
        <b/>
        <sz val="10"/>
        <color rgb="FF000000"/>
        <rFont val="游ゴシック"/>
        <charset val="134"/>
      </rPr>
      <t xml:space="preserve">ステップ3：
</t>
    </r>
    <r>
      <rPr>
        <sz val="10"/>
        <color rgb="FF000000"/>
        <rFont val="游ゴシック"/>
        <charset val="134"/>
      </rPr>
      <t xml:space="preserve">t_dokusya.hikiotoshi_yokin_shubetsu được lưu là 1 / 2
</t>
    </r>
    <r>
      <rPr>
        <b/>
        <sz val="10"/>
        <color rgb="FF000000"/>
        <rFont val="游ゴシック"/>
        <charset val="134"/>
      </rPr>
      <t xml:space="preserve">ステップ4：
</t>
    </r>
    <r>
      <rPr>
        <sz val="10"/>
        <color rgb="FF000000"/>
        <rFont val="游ゴシック"/>
        <charset val="134"/>
      </rPr>
      <t xml:space="preserve">Lỗi được hiển thị và xử lý không được thực hiện
</t>
    </r>
    <r>
      <rPr>
        <b/>
        <sz val="10"/>
        <color rgb="FF000000"/>
        <rFont val="游ゴシック"/>
        <charset val="134"/>
      </rPr>
      <t xml:space="preserve">補足：
</t>
    </r>
    <r>
      <rPr>
        <sz val="10"/>
        <color rgb="FF000000"/>
        <rFont val="游ゴシック"/>
        <charset val="134"/>
      </rPr>
      <t>・Có thể import bằng cả mã số
・Giá trị ngoài định nghĩa không được import</t>
    </r>
  </si>
  <si>
    <t>ACSMS-TC-016-037</t>
  </si>
  <si>
    <t>Chuyển đổi tên chủ tài khoản rút sang katakana half-width</t>
  </si>
  <si>
    <t>・Đã login bằng JA_HONTEN (đã xác thực 2 bước)
・"引落口座名義" đã được check trong panel chọn cột import</t>
  </si>
  <si>
    <r>
      <rPr>
        <b/>
        <sz val="10"/>
        <color rgb="FF000000"/>
        <rFont val="メイリオ"/>
        <charset val="134"/>
      </rPr>
      <t xml:space="preserve">ステップ1：
</t>
    </r>
    <r>
      <rPr>
        <sz val="10"/>
        <color rgb="FF000000"/>
        <rFont val="メイリオ"/>
        <charset val="134"/>
      </rPr>
      <t xml:space="preserve">Bắt đầu import với dòng có tên chủ tài khoản rút là katakana full-width「ヤマダタロウ」
</t>
    </r>
    <r>
      <rPr>
        <b/>
        <sz val="10"/>
        <color rgb="FF000000"/>
        <rFont val="メイリオ"/>
        <charset val="134"/>
      </rPr>
      <t xml:space="preserve">ステップ2：
</t>
    </r>
    <r>
      <rPr>
        <sz val="10"/>
        <color rgb="FF000000"/>
        <rFont val="メイリオ"/>
        <charset val="134"/>
      </rPr>
      <t xml:space="preserve">Chạy query sau trên DB để kiểm tra giá trị lưu
</t>
    </r>
    <r>
      <rPr>
        <sz val="10"/>
        <color rgb="FF000000"/>
        <rFont val="メイリオ"/>
        <charset val="134"/>
      </rPr>
      <t xml:space="preserve">```sql
</t>
    </r>
    <r>
      <rPr>
        <sz val="10"/>
        <color rgb="FF000000"/>
        <rFont val="メイリオ"/>
        <charset val="134"/>
      </rPr>
      <t xml:space="preserve">SELECT hikiotoshi_koza_meigi
</t>
    </r>
    <r>
      <rPr>
        <sz val="10"/>
        <color rgb="FF000000"/>
        <rFont val="メイリオ"/>
        <charset val="134"/>
      </rPr>
      <t xml:space="preserve">FROM t_dokusya
</t>
    </r>
    <r>
      <rPr>
        <sz val="10"/>
        <color rgb="FF000000"/>
        <rFont val="メイリオ"/>
        <charset val="134"/>
      </rPr>
      <t xml:space="preserve">ORDER BY dokusya_id DESC
</t>
    </r>
    <r>
      <rPr>
        <sz val="10"/>
        <color rgb="FF000000"/>
        <rFont val="メイリオ"/>
        <charset val="134"/>
      </rPr>
      <t xml:space="preserve">LIMIT 1;
</t>
    </r>
    <r>
      <rPr>
        <sz val="10"/>
        <color rgb="FF000000"/>
        <rFont val="メイリオ"/>
        <charset val="134"/>
      </rPr>
      <t xml:space="preserve">```
</t>
    </r>
    <r>
      <rPr>
        <b/>
        <sz val="10"/>
        <color rgb="FF000000"/>
        <rFont val="メイリオ"/>
        <charset val="134"/>
      </rPr>
      <t xml:space="preserve">ステップ3：
</t>
    </r>
    <r>
      <rPr>
        <sz val="10"/>
        <color rgb="FF000000"/>
        <rFont val="メイリオ"/>
        <charset val="134"/>
      </rPr>
      <t xml:space="preserve">Bắt đầu import với dòng có tên chủ tài khoản rút là katakana half-width「ﾔﾏﾀﾞﾀﾛｳ」và kiểm tra giá trị lưu
</t>
    </r>
    <r>
      <rPr>
        <b/>
        <sz val="10"/>
        <color rgb="FF000000"/>
        <rFont val="メイリオ"/>
        <charset val="134"/>
      </rPr>
      <t xml:space="preserve">ステップ4：
</t>
    </r>
    <r>
      <rPr>
        <sz val="10"/>
        <color rgb="FF000000"/>
        <rFont val="メイリオ"/>
        <charset val="134"/>
      </rPr>
      <t>Bắt đầu import với dòng có tên chủ tài khoản rút dài 51 ký tự</t>
    </r>
  </si>
  <si>
    <r>
      <rPr>
        <b/>
        <sz val="10"/>
        <color rgb="FF000000"/>
        <rFont val="游ゴシック"/>
        <charset val="134"/>
      </rPr>
      <t xml:space="preserve">ステップ1：
</t>
    </r>
    <r>
      <rPr>
        <sz val="10"/>
        <color rgb="FF000000"/>
        <rFont val="游ゴシック"/>
        <charset val="134"/>
      </rPr>
      <t xml:space="preserve">Dữ liệu được đăng ký
</t>
    </r>
    <r>
      <rPr>
        <b/>
        <sz val="10"/>
        <color rgb="FF000000"/>
        <rFont val="游ゴシック"/>
        <charset val="134"/>
      </rPr>
      <t xml:space="preserve">ステップ2：
</t>
    </r>
    <r>
      <rPr>
        <sz val="10"/>
        <color rgb="FF000000"/>
        <rFont val="游ゴシック"/>
        <charset val="134"/>
      </rPr>
      <t xml:space="preserve">Không được lưu dưới dạng katakana half-width「ﾔﾏﾀﾞﾀﾛｳ」(chuyển từ katakana half-width sang full-width)
</t>
    </r>
    <r>
      <rPr>
        <b/>
        <sz val="10"/>
        <color rgb="FF000000"/>
        <rFont val="游ゴシック"/>
        <charset val="134"/>
      </rPr>
      <t xml:space="preserve">ステップ3：
</t>
    </r>
    <r>
      <rPr>
        <sz val="10"/>
        <color rgb="FF000000"/>
        <rFont val="游ゴシック"/>
        <charset val="134"/>
      </rPr>
      <t xml:space="preserve">Được lưu nguyên dạng katakana half-width
</t>
    </r>
    <r>
      <rPr>
        <b/>
        <sz val="10"/>
        <color rgb="FF000000"/>
        <rFont val="游ゴシック"/>
        <charset val="134"/>
      </rPr>
      <t xml:space="preserve">ステップ4：
</t>
    </r>
    <r>
      <rPr>
        <sz val="10"/>
        <color rgb="FF000000"/>
        <rFont val="游ゴシック"/>
        <charset val="134"/>
      </rPr>
      <t xml:space="preserve">Hiển thị lỗi vượt quá số ký tự (do giới hạn 50 ký tự)
</t>
    </r>
    <r>
      <rPr>
        <b/>
        <sz val="10"/>
        <color rgb="FF000000"/>
        <rFont val="游ゴシック"/>
        <charset val="134"/>
      </rPr>
      <t xml:space="preserve">補足：
</t>
    </r>
    <r>
      <rPr>
        <sz val="10"/>
        <color rgb="FF000000"/>
        <rFont val="游ゴシック"/>
        <charset val="134"/>
      </rPr>
      <t>・Được lưu dưới dạng katakana half-width để khớp định dạng xuất dữ liệu chuyển khoản tài khoản</t>
    </r>
  </si>
  <si>
    <t>ACSMS-TC-016-038</t>
  </si>
  <si>
    <t>Giá trị biên số ký tự tối đa của các mục dạng chuỗi</t>
  </si>
  <si>
    <r>
      <rPr>
        <b/>
        <sz val="10"/>
        <color rgb="FF000000"/>
        <rFont val="メイリオ"/>
        <charset val="134"/>
      </rPr>
      <t xml:space="preserve">ステップ1：
</t>
    </r>
    <r>
      <rPr>
        <sz val="10"/>
        <color rgb="FF000000"/>
        <rFont val="メイリオ"/>
        <charset val="134"/>
      </rPr>
      <t xml:space="preserve">Bắt đầu import với dòng có họ độc giả 50 ký tự, họ dạng kana 100 ký tự, quận huyện 100 ký tự
</t>
    </r>
    <r>
      <rPr>
        <b/>
        <sz val="10"/>
        <color rgb="FF000000"/>
        <rFont val="メイリオ"/>
        <charset val="134"/>
      </rPr>
      <t xml:space="preserve">ステップ2：
</t>
    </r>
    <r>
      <rPr>
        <sz val="10"/>
        <color rgb="FF000000"/>
        <rFont val="メイリオ"/>
        <charset val="134"/>
      </rPr>
      <t xml:space="preserve">Bắt đầu import với dòng có họ độc giả 51 ký tự
</t>
    </r>
    <r>
      <rPr>
        <b/>
        <sz val="10"/>
        <color rgb="FF000000"/>
        <rFont val="メイリオ"/>
        <charset val="134"/>
      </rPr>
      <t xml:space="preserve">ステップ3：
</t>
    </r>
    <r>
      <rPr>
        <sz val="10"/>
        <color rgb="FF000000"/>
        <rFont val="メイリオ"/>
        <charset val="134"/>
      </rPr>
      <t xml:space="preserve">Bắt đầu import với dòng có họ dạng kana 101 ký tự
</t>
    </r>
    <r>
      <rPr>
        <b/>
        <sz val="10"/>
        <color rgb="FF000000"/>
        <rFont val="メイリオ"/>
        <charset val="134"/>
      </rPr>
      <t xml:space="preserve">ステップ4：
</t>
    </r>
    <r>
      <rPr>
        <sz val="10"/>
        <color rgb="FF000000"/>
        <rFont val="メイリオ"/>
        <charset val="134"/>
      </rPr>
      <t>Bắt đầu import lần lượt với dòng có mã thành viên hợp tác xã 20 ký tự và 21 ký tự</t>
    </r>
  </si>
  <si>
    <r>
      <rPr>
        <b/>
        <sz val="10"/>
        <color rgb="FF000000"/>
        <rFont val="メイリオ"/>
        <charset val="134"/>
      </rPr>
      <t xml:space="preserve">ステップ1：
</t>
    </r>
    <r>
      <rPr>
        <sz val="10"/>
        <color rgb="FF000000"/>
        <rFont val="メイリオ"/>
        <charset val="134"/>
      </rPr>
      <t xml:space="preserve">Dữ liệu được đăng ký (do đúng bằng giới hạn)
</t>
    </r>
    <r>
      <rPr>
        <b/>
        <sz val="10"/>
        <color rgb="FF000000"/>
        <rFont val="メイリオ"/>
        <charset val="134"/>
      </rPr>
      <t xml:space="preserve">ステップ2：
</t>
    </r>
    <r>
      <rPr>
        <sz val="10"/>
        <color rgb="FF000000"/>
        <rFont val="メイリオ"/>
        <charset val="134"/>
      </rPr>
      <t xml:space="preserve">Hiển thị lỗi vượt quá số ký tự và xử lý không được thực hiện
</t>
    </r>
    <r>
      <rPr>
        <b/>
        <sz val="10"/>
        <color rgb="FF000000"/>
        <rFont val="メイリオ"/>
        <charset val="134"/>
      </rPr>
      <t xml:space="preserve">ステップ3：
</t>
    </r>
    <r>
      <rPr>
        <sz val="10"/>
        <color rgb="FF000000"/>
        <rFont val="メイリオ"/>
        <charset val="134"/>
      </rPr>
      <t xml:space="preserve">Hiển thị lỗi vượt quá số ký tự và xử lý không được thực hiện
</t>
    </r>
    <r>
      <rPr>
        <b/>
        <sz val="10"/>
        <color rgb="FF000000"/>
        <rFont val="メイリオ"/>
        <charset val="134"/>
      </rPr>
      <t xml:space="preserve">ステップ4：
</t>
    </r>
    <r>
      <rPr>
        <sz val="10"/>
        <color rgb="FF000000"/>
        <rFont val="メイリオ"/>
        <charset val="134"/>
      </rPr>
      <t xml:space="preserve">・20 ký tự thì dữ liệu được đăng ký
</t>
    </r>
    <r>
      <rPr>
        <sz val="10"/>
        <color rgb="FF000000"/>
        <rFont val="メイリオ"/>
        <charset val="134"/>
      </rPr>
      <t xml:space="preserve">・21 ký tự thì hiển thị lỗi vượt quá số ký tự
</t>
    </r>
    <r>
      <rPr>
        <b/>
        <sz val="10"/>
        <color rgb="FF000000"/>
        <rFont val="メイリオ"/>
        <charset val="134"/>
      </rPr>
      <t xml:space="preserve">補足：
</t>
    </r>
    <r>
      <rPr>
        <sz val="10"/>
        <color rgb="FF000000"/>
        <rFont val="メイリオ"/>
        <charset val="134"/>
      </rPr>
      <t xml:space="preserve">・Có thể nhập ký tự full-width
</t>
    </r>
    <r>
      <rPr>
        <sz val="10"/>
        <color rgb="FF000000"/>
        <rFont val="メイリオ"/>
        <charset val="134"/>
      </rPr>
      <t>・Đăng ký được trong phạm vi số ký tự cho phép</t>
    </r>
  </si>
  <si>
    <t>ACSMS-TC-016-039</t>
  </si>
  <si>
    <t>Loại trừ lẫn nhau giữa ngày áp dụng・ngày ngừng và không chỉ định được khi đăng ký mới</t>
  </si>
  <si>
    <t>・Đã login bằng JA_HONTEN (đã xác thực 2 bước)
・Loại đăng ký là "紙版"</t>
  </si>
  <si>
    <r>
      <rPr>
        <b/>
        <sz val="10"/>
        <color rgb="FF000000"/>
        <rFont val="メイリオ"/>
        <charset val="134"/>
      </rPr>
      <t xml:space="preserve">ステップ1：
</t>
    </r>
    <r>
      <rPr>
        <sz val="10"/>
        <color rgb="FF000000"/>
        <rFont val="メイリオ"/>
        <charset val="134"/>
      </rPr>
      <t xml:space="preserve">Ở chế độ import "新規登録", kiểm tra ô nhập ngày áp dụng thay đổi thông tin độc giả・ngày ngừng đăng ký
</t>
    </r>
    <r>
      <rPr>
        <b/>
        <sz val="10"/>
        <color rgb="FF000000"/>
        <rFont val="メイリオ"/>
        <charset val="134"/>
      </rPr>
      <t xml:space="preserve">ステップ2：
</t>
    </r>
    <r>
      <rPr>
        <sz val="10"/>
        <color rgb="FF000000"/>
        <rFont val="メイリオ"/>
        <charset val="134"/>
      </rPr>
      <t xml:space="preserve">Chuyển chế độ import sang "更新", nhập ngày tương lai vào ngày áp dụng thay đổi thông tin độc giả rồi kiểm tra ô nhập ngày ngừng đăng ký
</t>
    </r>
    <r>
      <rPr>
        <b/>
        <sz val="10"/>
        <color rgb="FF000000"/>
        <rFont val="メイリオ"/>
        <charset val="134"/>
      </rPr>
      <t xml:space="preserve">ステップ3：
</t>
    </r>
    <r>
      <rPr>
        <sz val="10"/>
        <color rgb="FF000000"/>
        <rFont val="メイリオ"/>
        <charset val="134"/>
      </rPr>
      <t xml:space="preserve">Clear ngày áp dụng thay đổi thông tin độc giả, nhập ngày tương lai vào ngày ngừng đăng ký rồi kiểm tra ô nhập ngày áp dụng thay đổi thông tin độc giả
</t>
    </r>
    <r>
      <rPr>
        <b/>
        <sz val="10"/>
        <color rgb="FF000000"/>
        <rFont val="メイリオ"/>
        <charset val="134"/>
      </rPr>
      <t xml:space="preserve">ステップ4：
</t>
    </r>
    <r>
      <rPr>
        <sz val="10"/>
        <color rgb="FF000000"/>
        <rFont val="メイリオ"/>
        <charset val="134"/>
      </rPr>
      <t xml:space="preserve">Bắt đầu import khi cả hai đều để trống
</t>
    </r>
    <r>
      <rPr>
        <b/>
        <sz val="10"/>
        <color rgb="FF000000"/>
        <rFont val="メイリオ"/>
        <charset val="134"/>
      </rPr>
      <t xml:space="preserve">ステップ5：
</t>
    </r>
    <r>
      <rPr>
        <sz val="10"/>
        <color rgb="FF000000"/>
        <rFont val="メイリオ"/>
        <charset val="134"/>
      </rPr>
      <t>Gửi POST "/api/v1/dokusya/import" với request body chỉ định cả hai qua tab Network của DevTools</t>
    </r>
  </si>
  <si>
    <r>
      <rPr>
        <b/>
        <sz val="10"/>
        <color rgb="FF000000"/>
        <rFont val="メイリオ"/>
        <charset val="134"/>
      </rPr>
      <t xml:space="preserve">ステップ1：
</t>
    </r>
    <r>
      <rPr>
        <sz val="10"/>
        <color rgb="FF000000"/>
        <rFont val="メイリオ"/>
        <charset val="134"/>
      </rPr>
      <t xml:space="preserve">Cả hai ô nhập đều hiển thị ở trạng thái disable (do đăng ký mới không chỉ định được)
</t>
    </r>
    <r>
      <rPr>
        <b/>
        <sz val="10"/>
        <color rgb="FF000000"/>
        <rFont val="メイリオ"/>
        <charset val="134"/>
      </rPr>
      <t xml:space="preserve">ステップ2：
</t>
    </r>
    <r>
      <rPr>
        <sz val="10"/>
        <color rgb="FF000000"/>
        <rFont val="メイリオ"/>
        <charset val="134"/>
      </rPr>
      <t xml:space="preserve">Ô nhập ngày ngừng đăng ký chuyển sang trạng thái disable
</t>
    </r>
    <r>
      <rPr>
        <b/>
        <sz val="10"/>
        <color rgb="FF000000"/>
        <rFont val="メイリオ"/>
        <charset val="134"/>
      </rPr>
      <t xml:space="preserve">ステップ3：
</t>
    </r>
    <r>
      <rPr>
        <sz val="10"/>
        <color rgb="FF000000"/>
        <rFont val="メイリオ"/>
        <charset val="134"/>
      </rPr>
      <t xml:space="preserve">Ô nhập ngày áp dụng thay đổi thông tin độc giả chuyển sang trạng thái disable
</t>
    </r>
    <r>
      <rPr>
        <b/>
        <sz val="10"/>
        <color rgb="FF000000"/>
        <rFont val="メイリオ"/>
        <charset val="134"/>
      </rPr>
      <t xml:space="preserve">ステップ4：
</t>
    </r>
    <r>
      <rPr>
        <sz val="10"/>
        <color rgb="FF000000"/>
        <rFont val="メイリオ"/>
        <charset val="134"/>
      </rPr>
      <t xml:space="preserve">Hiển thị「読者情報変更適用日または購読中止日を入力してください。」và xử lý không được thực hiện
</t>
    </r>
    <r>
      <rPr>
        <b/>
        <sz val="10"/>
        <color rgb="FF000000"/>
        <rFont val="メイリオ"/>
        <charset val="134"/>
      </rPr>
      <t xml:space="preserve">ステップ5：
</t>
    </r>
    <r>
      <rPr>
        <sz val="10"/>
        <color rgb="FF000000"/>
        <rFont val="メイリオ"/>
        <charset val="134"/>
      </rPr>
      <t xml:space="preserve">Trả về HTTP 400 (`error_code: VALIDATION_ERROR`)
</t>
    </r>
    <r>
      <rPr>
        <b/>
        <sz val="10"/>
        <color rgb="FF000000"/>
        <rFont val="メイリオ"/>
        <charset val="134"/>
      </rPr>
      <t xml:space="preserve">補足：
</t>
    </r>
    <r>
      <rPr>
        <sz val="10"/>
        <color rgb="FF000000"/>
        <rFont val="メイリオ"/>
        <charset val="134"/>
      </rPr>
      <t xml:space="preserve">・Không chỉ loại trừ lẫn nhau phía màn hình mà phía server cũng từ chối khi chỉ định đồng thời
</t>
    </r>
    <r>
      <rPr>
        <sz val="10"/>
        <color rgb="FF000000"/>
        <rFont val="メイリオ"/>
        <charset val="134"/>
      </rPr>
      <t>・Mỗi file chỉ chỉ định được 1 loại ngày</t>
    </r>
  </si>
  <si>
    <t>ACSMS-TC-016-040</t>
  </si>
  <si>
    <t>Cập nhật — không cho phép ngày quá khứ và bản điện tử cố định ngày hiện tại</t>
  </si>
  <si>
    <t>・Đã login bằng JA_HONTEN (đã xác thực 2 bước)
・Chế độ import là "更新"
・Đã đăng ký sẵn độc giả là đối tượng cập nhật</t>
  </si>
  <si>
    <r>
      <rPr>
        <b/>
        <sz val="10"/>
        <color rgb="FF000000"/>
        <rFont val="メイリオ"/>
        <charset val="134"/>
      </rPr>
      <t xml:space="preserve">ステップ1：
</t>
    </r>
    <r>
      <rPr>
        <sz val="10"/>
        <color rgb="FF000000"/>
        <rFont val="メイリオ"/>
        <charset val="134"/>
      </rPr>
      <t xml:space="preserve">Với loại đăng ký "紙版", thực hiện thao tác chỉ định ngày từ hôm trước trở về trước ở phần chọn ngày áp dụng thay đổi thông tin độc giả
</t>
    </r>
    <r>
      <rPr>
        <b/>
        <sz val="10"/>
        <color rgb="FF000000"/>
        <rFont val="メイリオ"/>
        <charset val="134"/>
      </rPr>
      <t xml:space="preserve">ステップ2：
</t>
    </r>
    <r>
      <rPr>
        <sz val="10"/>
        <color rgb="FF000000"/>
        <rFont val="メイリオ"/>
        <charset val="134"/>
      </rPr>
      <t xml:space="preserve">Với loại đăng ký "紙版", chỉ định ngày tương lai vào ngày áp dụng thay đổi thông tin độc giả rồi bắt đầu import
</t>
    </r>
    <r>
      <rPr>
        <b/>
        <sz val="10"/>
        <color rgb="FF000000"/>
        <rFont val="メイリオ"/>
        <charset val="134"/>
      </rPr>
      <t xml:space="preserve">ステップ3：
</t>
    </r>
    <r>
      <rPr>
        <sz val="10"/>
        <color rgb="FF000000"/>
        <rFont val="メイリオ"/>
        <charset val="134"/>
      </rPr>
      <t xml:space="preserve">Chuyển loại đăng ký sang "電子版", kiểm tra ô nhập ngày áp dụng thay đổi thông tin độc giả và dòng chú thích
</t>
    </r>
    <r>
      <rPr>
        <b/>
        <sz val="10"/>
        <color rgb="FF000000"/>
        <rFont val="メイリオ"/>
        <charset val="134"/>
      </rPr>
      <t xml:space="preserve">ステップ4：
</t>
    </r>
    <r>
      <rPr>
        <sz val="10"/>
        <color rgb="FF000000"/>
        <rFont val="メイリオ"/>
        <charset val="134"/>
      </rPr>
      <t>Gửi POST "/api/v1/dokusya/import" với request body có loại đăng ký là bản điện tử và ngày áp dụng thay đổi thông tin độc giả là ngày tương lai qua tab Network của DevTools</t>
    </r>
  </si>
  <si>
    <r>
      <rPr>
        <b/>
        <sz val="10"/>
        <color rgb="FF000000"/>
        <rFont val="メイリオ"/>
        <charset val="134"/>
      </rPr>
      <t xml:space="preserve">ステップ1：
</t>
    </r>
    <r>
      <rPr>
        <sz val="10"/>
        <color rgb="FF000000"/>
        <rFont val="メイリオ"/>
        <charset val="134"/>
      </rPr>
      <t xml:space="preserve">Không chọn được ngày từ hôm trước trở về trước
</t>
    </r>
    <r>
      <rPr>
        <b/>
        <sz val="10"/>
        <color rgb="FF000000"/>
        <rFont val="メイリオ"/>
        <charset val="134"/>
      </rPr>
      <t xml:space="preserve">ステップ2：
</t>
    </r>
    <r>
      <rPr>
        <sz val="10"/>
        <color rgb="FF000000"/>
        <rFont val="メイリオ"/>
        <charset val="134"/>
      </rPr>
      <t xml:space="preserve">Dữ liệu được update (do bản giấy cho phép thay đổi đặt trước)
</t>
    </r>
    <r>
      <rPr>
        <b/>
        <sz val="10"/>
        <color rgb="FF000000"/>
        <rFont val="メイリオ"/>
        <charset val="134"/>
      </rPr>
      <t xml:space="preserve">ステップ3：
</t>
    </r>
    <r>
      <rPr>
        <sz val="10"/>
        <color rgb="FF000000"/>
        <rFont val="メイリオ"/>
        <charset val="134"/>
      </rPr>
      <t xml:space="preserve">・Ô nhập hiển thị ngày hiện tại và ở trạng thái disable
</t>
    </r>
    <r>
      <rPr>
        <sz val="10"/>
        <color rgb="FF000000"/>
        <rFont val="メイリオ"/>
        <charset val="134"/>
      </rPr>
      <t xml:space="preserve">・Hiển thị「電子版は当日のみ変更できます。」
</t>
    </r>
    <r>
      <rPr>
        <b/>
        <sz val="10"/>
        <color rgb="FF000000"/>
        <rFont val="メイリオ"/>
        <charset val="134"/>
      </rPr>
      <t xml:space="preserve">ステップ4：
</t>
    </r>
    <r>
      <rPr>
        <sz val="10"/>
        <color rgb="FF000000"/>
        <rFont val="メイリオ"/>
        <charset val="134"/>
      </rPr>
      <t xml:space="preserve">Trả về HTTP 400 (`error_code: IMPORT_VALIDATION_ERROR`, nội dung message `電子版は当日のみ変更できます。予約変更（未来日）はできません。`)
</t>
    </r>
    <r>
      <rPr>
        <b/>
        <sz val="10"/>
        <color rgb="FF000000"/>
        <rFont val="メイリオ"/>
        <charset val="134"/>
      </rPr>
      <t xml:space="preserve">補足：
</t>
    </r>
    <r>
      <rPr>
        <sz val="10"/>
        <color rgb="FF000000"/>
        <rFont val="メイリオ"/>
        <charset val="134"/>
      </rPr>
      <t xml:space="preserve">・Không chỉ định được ngày quá khứ
</t>
    </r>
    <r>
      <rPr>
        <sz val="10"/>
        <color rgb="FF000000"/>
        <rFont val="メイリオ"/>
        <charset val="134"/>
      </rPr>
      <t>・Quy tắc ngày theo từng loại đăng ký được thống nhất giữa đăng ký trên màn hình, thay thế hàng loạt và import</t>
    </r>
  </si>
  <si>
    <t>ACSMS-TC-016-041</t>
  </si>
  <si>
    <t>Bản giấy — không chọn được các mục ảnh hưởng báo biểu khi chỉ định ngày hiện tại</t>
  </si>
  <si>
    <t>・Đã login bằng JA_HONTEN (đã xác thực 2 bước)
・Loại đăng ký là "紙版"・chế độ import là "更新"</t>
  </si>
  <si>
    <r>
      <rPr>
        <b/>
        <sz val="10"/>
        <color rgb="FF000000"/>
        <rFont val="メイリオ"/>
        <charset val="134"/>
      </rPr>
      <t xml:space="preserve">ステップ1：
</t>
    </r>
    <r>
      <rPr>
        <sz val="10"/>
        <color rgb="FF000000"/>
        <rFont val="メイリオ"/>
        <charset val="134"/>
      </rPr>
      <t xml:space="preserve">Chỉ định ngày hiện tại vào ngày áp dụng thay đổi thông tin độc giả, kiểm tra trạng thái panel chọn cột import và dòng chú thích
</t>
    </r>
    <r>
      <rPr>
        <b/>
        <sz val="10"/>
        <color rgb="FF000000"/>
        <rFont val="メイリオ"/>
        <charset val="134"/>
      </rPr>
      <t xml:space="preserve">ステップ2：
</t>
    </r>
    <r>
      <rPr>
        <sz val="10"/>
        <color rgb="FF000000"/>
        <rFont val="メイリオ"/>
        <charset val="134"/>
      </rPr>
      <t xml:space="preserve">Thực hiện thao tác check các mục ảnh hưởng báo biểu (số bản đăng ký・mã cửa hàng bán・mã bưu chính・tỉnh thành・quận huyện・số nhà・tên chung cư・5 mục địa chỉ nơi giao hàng, tổng 12 mục)
</t>
    </r>
    <r>
      <rPr>
        <b/>
        <sz val="10"/>
        <color rgb="FF000000"/>
        <rFont val="メイリオ"/>
        <charset val="134"/>
      </rPr>
      <t xml:space="preserve">ステップ3：
</t>
    </r>
    <r>
      <rPr>
        <sz val="10"/>
        <color rgb="FF000000"/>
        <rFont val="メイリオ"/>
        <charset val="134"/>
      </rPr>
      <t xml:space="preserve">Đổi ngày áp dụng thay đổi thông tin độc giả sang ngày tương lai và kiểm tra trạng thái các mục đó
</t>
    </r>
    <r>
      <rPr>
        <b/>
        <sz val="10"/>
        <color rgb="FF000000"/>
        <rFont val="メイリオ"/>
        <charset val="134"/>
      </rPr>
      <t xml:space="preserve">ステップ4：
</t>
    </r>
    <r>
      <rPr>
        <sz val="10"/>
        <color rgb="FF000000"/>
        <rFont val="メイリオ"/>
        <charset val="134"/>
      </rPr>
      <t>Gửi POST "/api/v1/dokusya/import" với ngày hiện tại và selected_columns có chứa số bản đăng ký qua tab Network của DevTools</t>
    </r>
  </si>
  <si>
    <r>
      <rPr>
        <b/>
        <sz val="10"/>
        <color rgb="FF000000"/>
        <rFont val="游ゴシック"/>
        <charset val="134"/>
      </rPr>
      <t xml:space="preserve">ステップ1：
</t>
    </r>
    <r>
      <rPr>
        <sz val="10"/>
        <color rgb="FF000000"/>
        <rFont val="游ゴシック"/>
        <charset val="134"/>
      </rPr>
      <t xml:space="preserve">Hiển thị「当日を指定したため、帳票に影響する項目（購読部数・販売店・住所）は選択できません。予約変更する場合は未来日を指定してください。」
</t>
    </r>
    <r>
      <rPr>
        <b/>
        <sz val="10"/>
        <color rgb="FF000000"/>
        <rFont val="游ゴシック"/>
        <charset val="134"/>
      </rPr>
      <t xml:space="preserve">ステップ2：
</t>
    </r>
    <r>
      <rPr>
        <sz val="10"/>
        <color rgb="FF000000"/>
        <rFont val="游ゴシック"/>
        <charset val="134"/>
      </rPr>
      <t xml:space="preserve">12 mục tương ứng không check được (hiển thị màu xám)
</t>
    </r>
    <r>
      <rPr>
        <b/>
        <sz val="10"/>
        <color rgb="FF000000"/>
        <rFont val="游ゴシック"/>
        <charset val="134"/>
      </rPr>
      <t xml:space="preserve">ステップ3：
</t>
    </r>
    <r>
      <rPr>
        <sz val="10"/>
        <color rgb="FF000000"/>
        <rFont val="游ゴシック"/>
        <charset val="134"/>
      </rPr>
      <t xml:space="preserve">12 mục tương ứng trở lại trạng thái có thể chọn
</t>
    </r>
    <r>
      <rPr>
        <b/>
        <sz val="10"/>
        <color rgb="FF000000"/>
        <rFont val="游ゴシック"/>
        <charset val="134"/>
      </rPr>
      <t xml:space="preserve">ステップ4：
</t>
    </r>
    <r>
      <rPr>
        <sz val="10"/>
        <color rgb="FF000000"/>
        <rFont val="游ゴシック"/>
        <charset val="134"/>
      </rPr>
      <t xml:space="preserve">Trả về HTTP 400 (`error_code: IMPORT_VALIDATION_ERROR`, nội dung message `帳票に影響する変更は予約変更（未来日を指定）で行ってください。`)
</t>
    </r>
    <r>
      <rPr>
        <b/>
        <sz val="10"/>
        <color rgb="FF000000"/>
        <rFont val="游ゴシック"/>
        <charset val="134"/>
      </rPr>
      <t xml:space="preserve">補足：
</t>
    </r>
    <r>
      <rPr>
        <sz val="10"/>
        <color rgb="FF000000"/>
        <rFont val="游ゴシック"/>
        <charset val="134"/>
      </rPr>
      <t>・Bản điện tử không tạo báo biểu nên nằm ngoài đối tượng của hạn chế này
・Không chỉ chặn thao tác phía màn hình mà phía server cũng từ chối</t>
    </r>
  </si>
  <si>
    <t>ACSMS-TC-016-042</t>
  </si>
  <si>
    <t>Import chuỗi tấn công SQL</t>
  </si>
  <si>
    <r>
      <rPr>
        <b/>
        <sz val="10"/>
        <color rgb="FF000000"/>
        <rFont val="游ゴシック"/>
        <charset val="134"/>
      </rPr>
      <t xml:space="preserve">ステップ1：
</t>
    </r>
    <r>
      <rPr>
        <sz val="10"/>
        <color rgb="FF000000"/>
        <rFont val="游ゴシック"/>
        <charset val="134"/>
      </rPr>
      <t xml:space="preserve">Bắt đầu import với dòng ghi `'; DROP TABLE t_dokusya; --` vào ghi chú
</t>
    </r>
    <r>
      <rPr>
        <b/>
        <sz val="10"/>
        <color rgb="FF000000"/>
        <rFont val="游ゴシック"/>
        <charset val="134"/>
      </rPr>
      <t xml:space="preserve">ステップ2：
</t>
    </r>
    <r>
      <rPr>
        <sz val="10"/>
        <color rgb="FF000000"/>
        <rFont val="游ゴシック"/>
        <charset val="134"/>
      </rPr>
      <t xml:space="preserve">Bắt đầu import với dòng ghi `' OR '1'='1` vào mã thành viên hợp tác xã
</t>
    </r>
    <r>
      <rPr>
        <b/>
        <sz val="10"/>
        <color rgb="FF000000"/>
        <rFont val="游ゴシック"/>
        <charset val="134"/>
      </rPr>
      <t xml:space="preserve">ステップ3：
</t>
    </r>
    <r>
      <rPr>
        <sz val="10"/>
        <color rgb="FF000000"/>
        <rFont val="游ゴシック"/>
        <charset val="134"/>
      </rPr>
      <t xml:space="preserve">Chạy query sau trên DB để kiểm tra bảng và giá trị lưu
```sql
SELECT biko FROM t_dokusya ORDER BY dokusya_id DESC LIMIT 1;
SELECT COUNT(*) FROM t_dokusya;
```
</t>
    </r>
    <r>
      <rPr>
        <b/>
        <sz val="10"/>
        <color rgb="FF000000"/>
        <rFont val="游ゴシック"/>
        <charset val="134"/>
      </rPr>
      <t xml:space="preserve">ステップ4：
</t>
    </r>
    <r>
      <rPr>
        <sz val="10"/>
        <color rgb="FF000000"/>
        <rFont val="游ゴシック"/>
        <charset val="134"/>
      </rPr>
      <t>Bắt đầu import với dòng ghi chuỗi có chứa `%` `_` vào ghi chú</t>
    </r>
  </si>
  <si>
    <r>
      <rPr>
        <b/>
        <sz val="10"/>
        <color rgb="FF000000"/>
        <rFont val="メイリオ"/>
        <charset val="134"/>
      </rPr>
      <t xml:space="preserve">ステップ1：
</t>
    </r>
    <r>
      <rPr>
        <sz val="10"/>
        <color rgb="FF000000"/>
        <rFont val="メイリオ"/>
        <charset val="134"/>
      </rPr>
      <t xml:space="preserve">Dữ liệu được đăng ký và không phát sinh lỗi ngoài dự kiến
</t>
    </r>
    <r>
      <rPr>
        <b/>
        <sz val="10"/>
        <color rgb="FF000000"/>
        <rFont val="メイリオ"/>
        <charset val="134"/>
      </rPr>
      <t xml:space="preserve">ステップ2：
</t>
    </r>
    <r>
      <rPr>
        <sz val="10"/>
        <color rgb="FF000000"/>
        <rFont val="メイリオ"/>
        <charset val="134"/>
      </rPr>
      <t xml:space="preserve">・Dữ liệu được đăng ký hoặc báo lỗi vượt quá số ký tự
</t>
    </r>
    <r>
      <rPr>
        <sz val="10"/>
        <color rgb="FF000000"/>
        <rFont val="メイリオ"/>
        <charset val="134"/>
      </rPr>
      <t xml:space="preserve">・Không phát sinh việc tìm kiếm hay cập nhật sai nhắm vào toàn bộ bản ghi
</t>
    </r>
    <r>
      <rPr>
        <b/>
        <sz val="10"/>
        <color rgb="FF000000"/>
        <rFont val="メイリオ"/>
        <charset val="134"/>
      </rPr>
      <t xml:space="preserve">ステップ3：
</t>
    </r>
    <r>
      <rPr>
        <sz val="10"/>
        <color rgb="FF000000"/>
        <rFont val="メイリオ"/>
        <charset val="134"/>
      </rPr>
      <t xml:space="preserve">・Bảng t_dokusya vẫn tồn tại
</t>
    </r>
    <r>
      <rPr>
        <sz val="10"/>
        <color rgb="FF000000"/>
        <rFont val="メイリオ"/>
        <charset val="134"/>
      </rPr>
      <t xml:space="preserve">・Ghi chú lưu nguyên giá trị nhập dưới dạng chuỗi
</t>
    </r>
    <r>
      <rPr>
        <b/>
        <sz val="10"/>
        <color rgb="FF000000"/>
        <rFont val="メイリオ"/>
        <charset val="134"/>
      </rPr>
      <t xml:space="preserve">ステップ4：
</t>
    </r>
    <r>
      <rPr>
        <sz val="10"/>
        <color rgb="FF000000"/>
        <rFont val="メイリオ"/>
        <charset val="134"/>
      </rPr>
      <t xml:space="preserve">Giá trị nhập được lưu nguyên dưới dạng chuỗi
</t>
    </r>
    <r>
      <rPr>
        <b/>
        <sz val="10"/>
        <color rgb="FF000000"/>
        <rFont val="メイリオ"/>
        <charset val="134"/>
      </rPr>
      <t xml:space="preserve">補足：
</t>
    </r>
    <r>
      <rPr>
        <sz val="10"/>
        <color rgb="FF000000"/>
        <rFont val="メイリオ"/>
        <charset val="134"/>
      </rPr>
      <t xml:space="preserve">・Nhờ truy vấn tham số hóa nên chuỗi không bị diễn giải thành cú pháp SQL
</t>
    </r>
    <r>
      <rPr>
        <sz val="10"/>
        <color rgb="FF000000"/>
        <rFont val="メイリオ"/>
        <charset val="134"/>
      </rPr>
      <t>・Đảm bảo tính toàn vẹn dữ liệu</t>
    </r>
  </si>
  <si>
    <t>ACSMS-TC-016-043</t>
  </si>
  <si>
    <t>Import và hiển thị lại chuỗi có thẻ HTML・script</t>
  </si>
  <si>
    <r>
      <rPr>
        <b/>
        <sz val="10"/>
        <color rgb="FF000000"/>
        <rFont val="メイリオ"/>
        <charset val="134"/>
      </rPr>
      <t xml:space="preserve">ステップ1：
</t>
    </r>
    <r>
      <rPr>
        <sz val="10"/>
        <color rgb="FF000000"/>
        <rFont val="メイリオ"/>
        <charset val="134"/>
      </rPr>
      <t xml:space="preserve">Chọn file có dòng ghi `&lt;script&gt;alert(1)&lt;/script&gt;` vào họ độc giả và kiểm tra hiển thị của preview dữ liệu import
</t>
    </r>
    <r>
      <rPr>
        <b/>
        <sz val="10"/>
        <color rgb="FF000000"/>
        <rFont val="メイリオ"/>
        <charset val="134"/>
      </rPr>
      <t xml:space="preserve">ステップ2：
</t>
    </r>
    <r>
      <rPr>
        <sz val="10"/>
        <color rgb="FF000000"/>
        <rFont val="メイリオ"/>
        <charset val="134"/>
      </rPr>
      <t xml:space="preserve">Bắt đầu import ngay và kiểm tra kết quả import
</t>
    </r>
    <r>
      <rPr>
        <b/>
        <sz val="10"/>
        <color rgb="FF000000"/>
        <rFont val="メイリオ"/>
        <charset val="134"/>
      </rPr>
      <t xml:space="preserve">ステップ3：
</t>
    </r>
    <r>
      <rPr>
        <sz val="10"/>
        <color rgb="FF000000"/>
        <rFont val="メイリオ"/>
        <charset val="134"/>
      </rPr>
      <t xml:space="preserve">Mở màn hình tìm kiếm chi tiết độc giả (ACSMS-SCR-014) và kiểm tra hiển thị của dữ liệu vừa import
</t>
    </r>
    <r>
      <rPr>
        <b/>
        <sz val="10"/>
        <color rgb="FF000000"/>
        <rFont val="メイリオ"/>
        <charset val="134"/>
      </rPr>
      <t xml:space="preserve">ステップ4：
</t>
    </r>
    <r>
      <rPr>
        <sz val="10"/>
        <color rgb="FF000000"/>
        <rFont val="メイリオ"/>
        <charset val="134"/>
      </rPr>
      <t>Import dòng ghi `&lt;img src=x onerror=alert(1)&gt;` và `&amp;#60;script&amp;#62;` vào ghi chú, kiểm tra hiển thị ở màn hình danh sách・chi tiết</t>
    </r>
  </si>
  <si>
    <r>
      <rPr>
        <b/>
        <sz val="10"/>
        <color rgb="FF000000"/>
        <rFont val="メイリオ"/>
        <charset val="134"/>
      </rPr>
      <t xml:space="preserve">ステップ1：
</t>
    </r>
    <r>
      <rPr>
        <sz val="10"/>
        <color rgb="FF000000"/>
        <rFont val="メイリオ"/>
        <charset val="134"/>
      </rPr>
      <t xml:space="preserve">Giá trị nhập hiển thị nguyên dạng chuỗi, script không được thực thi
</t>
    </r>
    <r>
      <rPr>
        <b/>
        <sz val="10"/>
        <color rgb="FF000000"/>
        <rFont val="メイリオ"/>
        <charset val="134"/>
      </rPr>
      <t xml:space="preserve">ステップ2：
</t>
    </r>
    <r>
      <rPr>
        <sz val="10"/>
        <color rgb="FF000000"/>
        <rFont val="メイリオ"/>
        <charset val="134"/>
      </rPr>
      <t xml:space="preserve">Dữ liệu được đăng ký
</t>
    </r>
    <r>
      <rPr>
        <b/>
        <sz val="10"/>
        <color rgb="FF000000"/>
        <rFont val="メイリオ"/>
        <charset val="134"/>
      </rPr>
      <t xml:space="preserve">ステップ3：
</t>
    </r>
    <r>
      <rPr>
        <sz val="10"/>
        <color rgb="FF000000"/>
        <rFont val="メイリオ"/>
        <charset val="134"/>
      </rPr>
      <t xml:space="preserve">Giá trị nhập hiển thị nguyên dạng chuỗi, script không được thực thi
</t>
    </r>
    <r>
      <rPr>
        <b/>
        <sz val="10"/>
        <color rgb="FF000000"/>
        <rFont val="メイリオ"/>
        <charset val="134"/>
      </rPr>
      <t xml:space="preserve">ステップ4：
</t>
    </r>
    <r>
      <rPr>
        <sz val="10"/>
        <color rgb="FF000000"/>
        <rFont val="メイリオ"/>
        <charset val="134"/>
      </rPr>
      <t xml:space="preserve">Cả hai đều hiển thị nguyên dạng chuỗi, script không được thực thi
</t>
    </r>
    <r>
      <rPr>
        <b/>
        <sz val="10"/>
        <color rgb="FF000000"/>
        <rFont val="メイリオ"/>
        <charset val="134"/>
      </rPr>
      <t xml:space="preserve">補足：
</t>
    </r>
    <r>
      <rPr>
        <sz val="10"/>
        <color rgb="FF000000"/>
        <rFont val="メイリオ"/>
        <charset val="134"/>
      </rPr>
      <t xml:space="preserve">・Sau khi lưu và hiển thị lại, script vẫn không được thực thi
</t>
    </r>
    <r>
      <rPr>
        <sz val="10"/>
        <color rgb="FF000000"/>
        <rFont val="メイリオ"/>
        <charset val="134"/>
      </rPr>
      <t>・Không vỡ layout</t>
    </r>
  </si>
  <si>
    <t>Business logic — Đăng ký mới (Function — Import NEW)</t>
  </si>
  <si>
    <t>ACSMS-TC-016-044</t>
  </si>
  <si>
    <t>Đăng ký mới — luồng bình thường (3 dòng)</t>
  </si>
  <si>
    <t>・Đã login bằng JA_HONTEN (đã xác thực 2 bước)
・Loại đăng ký là "紙版"・chế độ import là "新規登録"
・Chuẩn bị file Excel 3 dòng có giá trị hợp lệ ở các cột bắt buộc</t>
  </si>
  <si>
    <r>
      <rPr>
        <b/>
        <sz val="10"/>
        <color rgb="FF000000"/>
        <rFont val="游ゴシック"/>
        <charset val="134"/>
      </rPr>
      <t xml:space="preserve">ステップ1：
</t>
    </r>
    <r>
      <rPr>
        <sz val="10"/>
        <color rgb="FF000000"/>
        <rFont val="游ゴシック"/>
        <charset val="134"/>
      </rPr>
      <t xml:space="preserve">Chọn file Excel đã chuẩn bị và click button bắt đầu import
</t>
    </r>
    <r>
      <rPr>
        <b/>
        <sz val="10"/>
        <color rgb="FF000000"/>
        <rFont val="游ゴシック"/>
        <charset val="134"/>
      </rPr>
      <t xml:space="preserve">ステップ2：
</t>
    </r>
    <r>
      <rPr>
        <sz val="10"/>
        <color rgb="FF000000"/>
        <rFont val="游ゴシック"/>
        <charset val="134"/>
      </rPr>
      <t xml:space="preserve">Kiểm tra nội dung hiển thị của dialog xác nhận rồi click "はい"
</t>
    </r>
    <r>
      <rPr>
        <b/>
        <sz val="10"/>
        <color rgb="FF000000"/>
        <rFont val="游ゴシック"/>
        <charset val="134"/>
      </rPr>
      <t xml:space="preserve">ステップ3：
</t>
    </r>
    <r>
      <rPr>
        <sz val="10"/>
        <color rgb="FF000000"/>
        <rFont val="游ゴシック"/>
        <charset val="134"/>
      </rPr>
      <t xml:space="preserve">Kiểm tra nội dung hiển thị của màn hình
</t>
    </r>
    <r>
      <rPr>
        <b/>
        <sz val="10"/>
        <color rgb="FF000000"/>
        <rFont val="游ゴシック"/>
        <charset val="134"/>
      </rPr>
      <t xml:space="preserve">ステップ4：
</t>
    </r>
    <r>
      <rPr>
        <sz val="10"/>
        <color rgb="FF000000"/>
        <rFont val="游ゴシック"/>
        <charset val="134"/>
      </rPr>
      <t>Chạy query sau trên DB để kiểm tra nội dung đăng ký
```sql
SELECT dokusya_id, dokusya_shubetsu, tetsuzuki_shurui, dokusya_busu, rireki_no
FROM t_dokusya
ORDER BY dokusya_id DESC
LIMIT 3;
SELECT COUNT(*) FROM t_dokusya_rireki
WHERE dokusya_id IN (3 ID vừa được đăng ký);
```</t>
    </r>
  </si>
  <si>
    <r>
      <rPr>
        <b/>
        <sz val="10"/>
        <color rgb="FF000000"/>
        <rFont val="メイリオ"/>
        <charset val="134"/>
      </rPr>
      <t xml:space="preserve">ステップ1：
</t>
    </r>
    <r>
      <rPr>
        <sz val="10"/>
        <color rgb="FF000000"/>
        <rFont val="メイリオ"/>
        <charset val="134"/>
      </rPr>
      <t xml:space="preserve">Hiển thị message xác nhận「取込処理を開始します。よろしいですか？」
</t>
    </r>
    <r>
      <rPr>
        <b/>
        <sz val="10"/>
        <color rgb="FF000000"/>
        <rFont val="メイリオ"/>
        <charset val="134"/>
      </rPr>
      <t xml:space="preserve">ステップ2：
</t>
    </r>
    <r>
      <rPr>
        <sz val="10"/>
        <color rgb="FF000000"/>
        <rFont val="メイリオ"/>
        <charset val="134"/>
      </rPr>
      <t xml:space="preserve">Xử lý được thực hiện
</t>
    </r>
    <r>
      <rPr>
        <b/>
        <sz val="10"/>
        <color rgb="FF000000"/>
        <rFont val="メイリオ"/>
        <charset val="134"/>
      </rPr>
      <t xml:space="preserve">ステップ3：
</t>
    </r>
    <r>
      <rPr>
        <sz val="10"/>
        <color rgb="FF000000"/>
        <rFont val="メイリオ"/>
        <charset val="134"/>
      </rPr>
      <t xml:space="preserve">・Hiển thị toast「取り込みました。」
</t>
    </r>
    <r>
      <rPr>
        <sz val="10"/>
        <color rgb="FF000000"/>
        <rFont val="メイリオ"/>
        <charset val="134"/>
      </rPr>
      <t xml:space="preserve">・Hiển thị số lượng import là "登録 3件"
</t>
    </r>
    <r>
      <rPr>
        <b/>
        <sz val="10"/>
        <color rgb="FF000000"/>
        <rFont val="メイリオ"/>
        <charset val="134"/>
      </rPr>
      <t xml:space="preserve">ステップ4：
</t>
    </r>
    <r>
      <rPr>
        <sz val="10"/>
        <color rgb="FF000000"/>
        <rFont val="メイリオ"/>
        <charset val="134"/>
      </rPr>
      <t xml:space="preserve">・3 bản ghi được đăng ký vào t_dokusya
</t>
    </r>
    <r>
      <rPr>
        <sz val="10"/>
        <color rgb="FF000000"/>
        <rFont val="メイリオ"/>
        <charset val="134"/>
      </rPr>
      <t xml:space="preserve">・dokusya_shubetsu được lưu là 1 (bản giấy)
</t>
    </r>
    <r>
      <rPr>
        <sz val="10"/>
        <color rgb="FF000000"/>
        <rFont val="メイリオ"/>
        <charset val="134"/>
      </rPr>
      <t xml:space="preserve">・tetsuzuki_shurui được lưu là 1 (đăng ký mới)
</t>
    </r>
    <r>
      <rPr>
        <sz val="10"/>
        <color rgb="FF000000"/>
        <rFont val="メイリオ"/>
        <charset val="134"/>
      </rPr>
      <t xml:space="preserve">・3 bản ghi được thêm vào t_dokusya_rireki
</t>
    </r>
    <r>
      <rPr>
        <sz val="10"/>
        <color rgb="FF000000"/>
        <rFont val="メイリオ"/>
        <charset val="134"/>
      </rPr>
      <t xml:space="preserve">・saishin_data_flg của lịch sử vừa thêm là TRUE
</t>
    </r>
    <r>
      <rPr>
        <b/>
        <sz val="10"/>
        <color rgb="FF000000"/>
        <rFont val="メイリオ"/>
        <charset val="134"/>
      </rPr>
      <t xml:space="preserve">補足：
</t>
    </r>
    <r>
      <rPr>
        <sz val="10"/>
        <color rgb="FF000000"/>
        <rFont val="メイリオ"/>
        <charset val="134"/>
      </rPr>
      <t xml:space="preserve">・Ngày bắt đầu đăng ký cũng được lưu cùng giá trị vào ngày bắt đầu đăng ký lần đầu
</t>
    </r>
    <r>
      <rPr>
        <sz val="10"/>
        <color rgb="FF000000"/>
        <rFont val="メイリオ"/>
        <charset val="134"/>
      </rPr>
      <t>・Transaction được commit</t>
    </r>
  </si>
  <si>
    <t>ACSMS-TC-016-045</t>
  </si>
  <si>
    <t>Đăng ký mới — hủy ở dialog xác nhận</t>
  </si>
  <si>
    <t>・Đã login bằng JA_HONTEN (đã xác thực 2 bước)
・Đã chọn file Excel 3 dòng hợp lệ</t>
  </si>
  <si>
    <r>
      <rPr>
        <b/>
        <sz val="10"/>
        <color rgb="FF000000"/>
        <rFont val="游ゴシック"/>
        <charset val="134"/>
      </rPr>
      <t xml:space="preserve">ステップ1：
</t>
    </r>
    <r>
      <rPr>
        <sz val="10"/>
        <color rgb="FF000000"/>
        <rFont val="游ゴシック"/>
        <charset val="134"/>
      </rPr>
      <t xml:space="preserve">Click button bắt đầu import để hiển thị dialog xác nhận
</t>
    </r>
    <r>
      <rPr>
        <b/>
        <sz val="10"/>
        <color rgb="FF000000"/>
        <rFont val="游ゴシック"/>
        <charset val="134"/>
      </rPr>
      <t xml:space="preserve">ステップ2：
</t>
    </r>
    <r>
      <rPr>
        <sz val="10"/>
        <color rgb="FF000000"/>
        <rFont val="游ゴシック"/>
        <charset val="134"/>
      </rPr>
      <t xml:space="preserve">Click "いいえ"
</t>
    </r>
    <r>
      <rPr>
        <b/>
        <sz val="10"/>
        <color rgb="FF000000"/>
        <rFont val="游ゴシック"/>
        <charset val="134"/>
      </rPr>
      <t xml:space="preserve">ステップ3：
</t>
    </r>
    <r>
      <rPr>
        <sz val="10"/>
        <color rgb="FF000000"/>
        <rFont val="游ゴシック"/>
        <charset val="134"/>
      </rPr>
      <t xml:space="preserve">Kiểm tra có phát sinh request hay không qua tab Network của DevTools
</t>
    </r>
    <r>
      <rPr>
        <b/>
        <sz val="10"/>
        <color rgb="FF000000"/>
        <rFont val="游ゴシック"/>
        <charset val="134"/>
      </rPr>
      <t xml:space="preserve">ステップ4：
</t>
    </r>
    <r>
      <rPr>
        <sz val="10"/>
        <color rgb="FF000000"/>
        <rFont val="游ゴシック"/>
        <charset val="134"/>
      </rPr>
      <t>Kiểm tra trạng thái màn hình cùng file đã chọn・trạng thái check của cột import</t>
    </r>
  </si>
  <si>
    <r>
      <rPr>
        <b/>
        <sz val="10"/>
        <color rgb="FF000000"/>
        <rFont val="メイリオ"/>
        <charset val="134"/>
      </rPr>
      <t xml:space="preserve">ステップ1：
</t>
    </r>
    <r>
      <rPr>
        <sz val="10"/>
        <color rgb="FF000000"/>
        <rFont val="メイリオ"/>
        <charset val="134"/>
      </rPr>
      <t xml:space="preserve">Hiển thị message xác nhận「取込処理を開始します。よろしいですか？」
</t>
    </r>
    <r>
      <rPr>
        <b/>
        <sz val="10"/>
        <color rgb="FF000000"/>
        <rFont val="メイリオ"/>
        <charset val="134"/>
      </rPr>
      <t xml:space="preserve">ステップ2：
</t>
    </r>
    <r>
      <rPr>
        <sz val="10"/>
        <color rgb="FF000000"/>
        <rFont val="メイリオ"/>
        <charset val="134"/>
      </rPr>
      <t xml:space="preserve">Dialog đóng lại và xử lý không được thực hiện
</t>
    </r>
    <r>
      <rPr>
        <b/>
        <sz val="10"/>
        <color rgb="FF000000"/>
        <rFont val="メイリオ"/>
        <charset val="134"/>
      </rPr>
      <t xml:space="preserve">ステップ3：
</t>
    </r>
    <r>
      <rPr>
        <sz val="10"/>
        <color rgb="FF000000"/>
        <rFont val="メイリオ"/>
        <charset val="134"/>
      </rPr>
      <t xml:space="preserve">POST "/api/v1/dokusya/import" không được gửi
</t>
    </r>
    <r>
      <rPr>
        <b/>
        <sz val="10"/>
        <color rgb="FF000000"/>
        <rFont val="メイリオ"/>
        <charset val="134"/>
      </rPr>
      <t xml:space="preserve">ステップ4：
</t>
    </r>
    <r>
      <rPr>
        <sz val="10"/>
        <color rgb="FF000000"/>
        <rFont val="メイリオ"/>
        <charset val="134"/>
      </rPr>
      <t xml:space="preserve">・Không đăng ký dữ liệu vào t_dokusya
</t>
    </r>
    <r>
      <rPr>
        <sz val="10"/>
        <color rgb="FF000000"/>
        <rFont val="メイリオ"/>
        <charset val="134"/>
      </rPr>
      <t xml:space="preserve">・File đã chọn và trạng thái check của cột import được giữ lại
</t>
    </r>
    <r>
      <rPr>
        <b/>
        <sz val="10"/>
        <color rgb="FF000000"/>
        <rFont val="メイリオ"/>
        <charset val="134"/>
      </rPr>
      <t xml:space="preserve">補足：
</t>
    </r>
    <r>
      <rPr>
        <sz val="10"/>
        <color rgb="FF000000"/>
        <rFont val="メイリオ"/>
        <charset val="134"/>
      </rPr>
      <t>・Không bị submit 2 lần</t>
    </r>
  </si>
  <si>
    <t>ACSMS-TC-016-046</t>
  </si>
  <si>
    <t>Đăng ký mới — ghi audit log</t>
  </si>
  <si>
    <t>・Đã login bằng JA_HONTEN (đã xác thực 2 bước)
・Chuẩn bị file Excel 2 dòng hợp lệ</t>
  </si>
  <si>
    <r>
      <rPr>
        <b/>
        <sz val="10"/>
        <color rgb="FF000000"/>
        <rFont val="メイリオ"/>
        <charset val="134"/>
      </rPr>
      <t xml:space="preserve">ステップ1：
</t>
    </r>
    <r>
      <rPr>
        <sz val="10"/>
        <color rgb="FF000000"/>
        <rFont val="メイリオ"/>
        <charset val="134"/>
      </rPr>
      <t xml:space="preserve">Thực hiện import với loại đăng ký "紙版"・chế độ import "新規登録"
</t>
    </r>
    <r>
      <rPr>
        <b/>
        <sz val="10"/>
        <color rgb="FF000000"/>
        <rFont val="メイリオ"/>
        <charset val="134"/>
      </rPr>
      <t xml:space="preserve">ステップ2：
</t>
    </r>
    <r>
      <rPr>
        <sz val="10"/>
        <color rgb="FF000000"/>
        <rFont val="メイリオ"/>
        <charset val="134"/>
      </rPr>
      <t xml:space="preserve">Chạy query sau trên DB để kiểm tra log thao tác
</t>
    </r>
    <r>
      <rPr>
        <sz val="10"/>
        <color rgb="FF000000"/>
        <rFont val="メイリオ"/>
        <charset val="134"/>
      </rPr>
      <t xml:space="preserve">```sql
</t>
    </r>
    <r>
      <rPr>
        <sz val="10"/>
        <color rgb="FF000000"/>
        <rFont val="メイリオ"/>
        <charset val="134"/>
      </rPr>
      <t xml:space="preserve">SELECT log_type, account_id, ja_id, gamen_name, operation,
</t>
    </r>
    <r>
      <rPr>
        <sz val="10"/>
        <color rgb="FF000000"/>
        <rFont val="メイリオ"/>
        <charset val="134"/>
      </rPr>
      <t xml:space="preserve">result_status, target_table, before_value, after_value,
</t>
    </r>
    <r>
      <rPr>
        <sz val="10"/>
        <color rgb="FF000000"/>
        <rFont val="メイリオ"/>
        <charset val="134"/>
      </rPr>
      <t xml:space="preserve">ip_address, user_agent
</t>
    </r>
    <r>
      <rPr>
        <sz val="10"/>
        <color rgb="FF000000"/>
        <rFont val="メイリオ"/>
        <charset val="134"/>
      </rPr>
      <t xml:space="preserve">FROM t_log
</t>
    </r>
    <r>
      <rPr>
        <sz val="10"/>
        <color rgb="FF000000"/>
        <rFont val="メイリオ"/>
        <charset val="134"/>
      </rPr>
      <t xml:space="preserve">ORDER BY log_datetime DESC
</t>
    </r>
    <r>
      <rPr>
        <sz val="10"/>
        <color rgb="FF000000"/>
        <rFont val="メイリオ"/>
        <charset val="134"/>
      </rPr>
      <t xml:space="preserve">LIMIT 1;
</t>
    </r>
    <r>
      <rPr>
        <sz val="10"/>
        <color rgb="FF000000"/>
        <rFont val="メイリオ"/>
        <charset val="134"/>
      </rPr>
      <t xml:space="preserve">```
</t>
    </r>
    <r>
      <rPr>
        <b/>
        <sz val="10"/>
        <color rgb="FF000000"/>
        <rFont val="メイリオ"/>
        <charset val="134"/>
      </rPr>
      <t xml:space="preserve">ステップ3：
</t>
    </r>
    <r>
      <rPr>
        <sz val="10"/>
        <color rgb="FF000000"/>
        <rFont val="メイリオ"/>
        <charset val="134"/>
      </rPr>
      <t xml:space="preserve">Kiểm tra nội dung của after_value
</t>
    </r>
    <r>
      <rPr>
        <b/>
        <sz val="10"/>
        <color rgb="FF000000"/>
        <rFont val="メイリオ"/>
        <charset val="134"/>
      </rPr>
      <t xml:space="preserve">ステップ4：
</t>
    </r>
    <r>
      <rPr>
        <sz val="10"/>
        <color rgb="FF000000"/>
        <rFont val="メイリオ"/>
        <charset val="134"/>
      </rPr>
      <t>Kiểm tra số lượng log (số log tương ứng với việc import 2 dòng)</t>
    </r>
  </si>
  <si>
    <r>
      <rPr>
        <b/>
        <sz val="10"/>
        <color rgb="FF000000"/>
        <rFont val="メイリオ"/>
        <charset val="134"/>
      </rPr>
      <t xml:space="preserve">ステップ1：
</t>
    </r>
    <r>
      <rPr>
        <sz val="10"/>
        <color rgb="FF000000"/>
        <rFont val="メイリオ"/>
        <charset val="134"/>
      </rPr>
      <t xml:space="preserve">Dữ liệu được đăng ký
</t>
    </r>
    <r>
      <rPr>
        <b/>
        <sz val="10"/>
        <color rgb="FF000000"/>
        <rFont val="メイリオ"/>
        <charset val="134"/>
      </rPr>
      <t xml:space="preserve">ステップ2：
</t>
    </r>
    <r>
      <rPr>
        <sz val="10"/>
        <color rgb="FF000000"/>
        <rFont val="メイリオ"/>
        <charset val="134"/>
      </rPr>
      <t xml:space="preserve">・log_type là 1
</t>
    </r>
    <r>
      <rPr>
        <sz val="10"/>
        <color rgb="FF000000"/>
        <rFont val="メイリオ"/>
        <charset val="134"/>
      </rPr>
      <t xml:space="preserve">・gamen_name là `購読者Excelデータ取込画面 (ACSMS-SCR-016)`
</t>
    </r>
    <r>
      <rPr>
        <sz val="10"/>
        <color rgb="FF000000"/>
        <rFont val="メイリオ"/>
        <charset val="134"/>
      </rPr>
      <t xml:space="preserve">・operation là `IMPORT_NEW`
</t>
    </r>
    <r>
      <rPr>
        <sz val="10"/>
        <color rgb="FF000000"/>
        <rFont val="メイリオ"/>
        <charset val="134"/>
      </rPr>
      <t xml:space="preserve">・result_status là 1
</t>
    </r>
    <r>
      <rPr>
        <sz val="10"/>
        <color rgb="FF000000"/>
        <rFont val="メイリオ"/>
        <charset val="134"/>
      </rPr>
      <t xml:space="preserve">・target_table là `t_dokusya`
</t>
    </r>
    <r>
      <rPr>
        <sz val="10"/>
        <color rgb="FF000000"/>
        <rFont val="メイリオ"/>
        <charset val="134"/>
      </rPr>
      <t xml:space="preserve">・account_id・ja_id・ip_address・user_agent đều được ghi lại
</t>
    </r>
    <r>
      <rPr>
        <b/>
        <sz val="10"/>
        <color rgb="FF000000"/>
        <rFont val="メイリオ"/>
        <charset val="134"/>
      </rPr>
      <t xml:space="preserve">ステップ3：
</t>
    </r>
    <r>
      <rPr>
        <sz val="10"/>
        <color rgb="FF000000"/>
        <rFont val="メイリオ"/>
        <charset val="134"/>
      </rPr>
      <t xml:space="preserve">・Thống kê kết quả import (chế độ import・số dòng・số bản ghi đăng ký・số bản ghi cập nhật) được ghi lại
</t>
    </r>
    <r>
      <rPr>
        <sz val="10"/>
        <color rgb="FF000000"/>
        <rFont val="メイリオ"/>
        <charset val="134"/>
      </rPr>
      <t xml:space="preserve">・Không chứa thông tin nhạy cảm như mật khẩu
</t>
    </r>
    <r>
      <rPr>
        <b/>
        <sz val="10"/>
        <color rgb="FF000000"/>
        <rFont val="メイリオ"/>
        <charset val="134"/>
      </rPr>
      <t xml:space="preserve">ステップ4：
</t>
    </r>
    <r>
      <rPr>
        <sz val="10"/>
        <color rgb="FF000000"/>
        <rFont val="メイリオ"/>
        <charset val="134"/>
      </rPr>
      <t xml:space="preserve">Chỉ ghi 1 log thao tác (do ghi theo đơn vị lần import)
</t>
    </r>
    <r>
      <rPr>
        <b/>
        <sz val="10"/>
        <color rgb="FF000000"/>
        <rFont val="メイリオ"/>
        <charset val="134"/>
      </rPr>
      <t xml:space="preserve">補足：
</t>
    </r>
    <r>
      <rPr>
        <sz val="10"/>
        <color rgb="FF000000"/>
        <rFont val="メイリオ"/>
        <charset val="134"/>
      </rPr>
      <t xml:space="preserve">・Audit log được record
</t>
    </r>
    <r>
      <rPr>
        <sz val="10"/>
        <color rgb="FF000000"/>
        <rFont val="メイリオ"/>
        <charset val="134"/>
      </rPr>
      <t>・Việc ghi nghiệp vụ và audit log được xử lý trong cùng một transaction</t>
    </r>
  </si>
  <si>
    <t>ACSMS-TC-016-047</t>
  </si>
  <si>
    <t>Đăng ký mới — rollback toàn bộ khi có một số dòng lỗi</t>
  </si>
  <si>
    <t>・Đã login bằng JA_HONTEN (đã xác thực 2 bước)
・Chuẩn bị file Excel 10 dòng, trong đó 3 dòng chứa giá trị không hợp lệ (mã đơn giá báo không tồn tại v.v.)
・Ghi lại số bản ghi của t_dokusya trước khi import</t>
  </si>
  <si>
    <r>
      <rPr>
        <b/>
        <sz val="10"/>
        <color rgb="FF000000"/>
        <rFont val="メイリオ"/>
        <charset val="134"/>
      </rPr>
      <t xml:space="preserve">ステップ1：
</t>
    </r>
    <r>
      <rPr>
        <sz val="10"/>
        <color rgb="FF000000"/>
        <rFont val="メイリオ"/>
        <charset val="134"/>
      </rPr>
      <t xml:space="preserve">Thực hiện import với file Excel đã chuẩn bị
</t>
    </r>
    <r>
      <rPr>
        <b/>
        <sz val="10"/>
        <color rgb="FF000000"/>
        <rFont val="メイリオ"/>
        <charset val="134"/>
      </rPr>
      <t xml:space="preserve">ステップ2：
</t>
    </r>
    <r>
      <rPr>
        <sz val="10"/>
        <color rgb="FF000000"/>
        <rFont val="メイリオ"/>
        <charset val="134"/>
      </rPr>
      <t xml:space="preserve">Kiểm tra danh sách lỗi hiển thị trên màn hình
</t>
    </r>
    <r>
      <rPr>
        <b/>
        <sz val="10"/>
        <color rgb="FF000000"/>
        <rFont val="メイリオ"/>
        <charset val="134"/>
      </rPr>
      <t xml:space="preserve">ステップ3：
</t>
    </r>
    <r>
      <rPr>
        <sz val="10"/>
        <color rgb="FF000000"/>
        <rFont val="メイリオ"/>
        <charset val="134"/>
      </rPr>
      <t xml:space="preserve">Chạy query sau trên DB để kiểm tra số bản ghi
</t>
    </r>
    <r>
      <rPr>
        <sz val="10"/>
        <color rgb="FF000000"/>
        <rFont val="メイリオ"/>
        <charset val="134"/>
      </rPr>
      <t xml:space="preserve">```sql
</t>
    </r>
    <r>
      <rPr>
        <sz val="10"/>
        <color rgb="FF000000"/>
        <rFont val="メイリオ"/>
        <charset val="134"/>
      </rPr>
      <t xml:space="preserve">SELECT COUNT(*) FROM t_dokusya WHERE deleted_at IS NULL;
</t>
    </r>
    <r>
      <rPr>
        <sz val="10"/>
        <color rgb="FF000000"/>
        <rFont val="メイリオ"/>
        <charset val="134"/>
      </rPr>
      <t xml:space="preserve">SELECT COUNT(*) FROM t_dokusya_rireki;
</t>
    </r>
    <r>
      <rPr>
        <sz val="10"/>
        <color rgb="FF000000"/>
        <rFont val="メイリオ"/>
        <charset val="134"/>
      </rPr>
      <t xml:space="preserve">```
</t>
    </r>
    <r>
      <rPr>
        <b/>
        <sz val="10"/>
        <color rgb="FF000000"/>
        <rFont val="メイリオ"/>
        <charset val="134"/>
      </rPr>
      <t xml:space="preserve">ステップ4：
</t>
    </r>
    <r>
      <rPr>
        <sz val="10"/>
        <color rgb="FF000000"/>
        <rFont val="メイリオ"/>
        <charset val="134"/>
      </rPr>
      <t>Sửa giá trị không hợp lệ rồi thực hiện import lại</t>
    </r>
  </si>
  <si>
    <r>
      <rPr>
        <b/>
        <sz val="10"/>
        <color rgb="FF000000"/>
        <rFont val="游ゴシック"/>
        <charset val="134"/>
      </rPr>
      <t xml:space="preserve">ステップ1：
</t>
    </r>
    <r>
      <rPr>
        <sz val="10"/>
        <color rgb="FF000000"/>
        <rFont val="游ゴシック"/>
        <charset val="134"/>
      </rPr>
      <t xml:space="preserve">Lỗi được hiển thị, toast「取り込みました。」không hiển thị
</t>
    </r>
    <r>
      <rPr>
        <b/>
        <sz val="10"/>
        <color rgb="FF000000"/>
        <rFont val="游ゴシック"/>
        <charset val="134"/>
      </rPr>
      <t xml:space="preserve">ステップ2：
</t>
    </r>
    <r>
      <rPr>
        <sz val="10"/>
        <color rgb="FF000000"/>
        <rFont val="游ゴシック"/>
        <charset val="134"/>
      </rPr>
      <t xml:space="preserve">Số dòng・tên mục・lý do của các dòng bị lỗi được hiển thị
</t>
    </r>
    <r>
      <rPr>
        <b/>
        <sz val="10"/>
        <color rgb="FF000000"/>
        <rFont val="游ゴシック"/>
        <charset val="134"/>
      </rPr>
      <t xml:space="preserve">ステップ3：
</t>
    </r>
    <r>
      <rPr>
        <sz val="10"/>
        <color rgb="FF000000"/>
        <rFont val="游ゴシック"/>
        <charset val="134"/>
      </rPr>
      <t xml:space="preserve">・Số bản ghi của t_dokusya bằng với trước khi import (7 dòng hợp lệ cũng không được đăng ký)
・Số bản ghi của t_dokusya_rireki bằng với trước khi import
</t>
    </r>
    <r>
      <rPr>
        <b/>
        <sz val="10"/>
        <color rgb="FF000000"/>
        <rFont val="游ゴシック"/>
        <charset val="134"/>
      </rPr>
      <t xml:space="preserve">ステップ4：
</t>
    </r>
    <r>
      <rPr>
        <sz val="10"/>
        <color rgb="FF000000"/>
        <rFont val="游ゴシック"/>
        <charset val="134"/>
      </rPr>
      <t xml:space="preserve">10 bản ghi được đăng ký
</t>
    </r>
    <r>
      <rPr>
        <b/>
        <sz val="10"/>
        <color rgb="FF000000"/>
        <rFont val="游ゴシック"/>
        <charset val="134"/>
      </rPr>
      <t xml:space="preserve">補足：
</t>
    </r>
    <r>
      <rPr>
        <sz val="10"/>
        <color rgb="FF000000"/>
        <rFont val="游ゴシック"/>
        <charset val="134"/>
      </rPr>
      <t>・Được rollback
・Không phát sinh bất đồng bộ dữ liệu</t>
    </r>
  </si>
  <si>
    <t>ACSMS-TC-016-048</t>
  </si>
  <si>
    <t>Đăng ký mới — giới hạn hiển thị lỗi theo dòng (tối đa 10 dòng)</t>
  </si>
  <si>
    <t>・Đã login bằng JA_HONTEN (đã xác thực 2 bước)
・Chuẩn bị file Excel có toàn bộ 20 dòng đều chứa giá trị không hợp lệ</t>
  </si>
  <si>
    <r>
      <rPr>
        <b/>
        <sz val="10"/>
        <color rgb="FF000000"/>
        <rFont val="メイリオ"/>
        <charset val="134"/>
      </rPr>
      <t xml:space="preserve">ステップ1：
</t>
    </r>
    <r>
      <rPr>
        <sz val="10"/>
        <color rgb="FF000000"/>
        <rFont val="メイリオ"/>
        <charset val="134"/>
      </rPr>
      <t xml:space="preserve">Thực hiện import với file Excel đã chuẩn bị
</t>
    </r>
    <r>
      <rPr>
        <b/>
        <sz val="10"/>
        <color rgb="FF000000"/>
        <rFont val="メイリオ"/>
        <charset val="134"/>
      </rPr>
      <t xml:space="preserve">ステップ2：
</t>
    </r>
    <r>
      <rPr>
        <sz val="10"/>
        <color rgb="FF000000"/>
        <rFont val="メイリオ"/>
        <charset val="134"/>
      </rPr>
      <t xml:space="preserve">Đếm số lỗi hiển thị trên màn hình
</t>
    </r>
    <r>
      <rPr>
        <b/>
        <sz val="10"/>
        <color rgb="FF000000"/>
        <rFont val="メイリオ"/>
        <charset val="134"/>
      </rPr>
      <t xml:space="preserve">ステップ3：
</t>
    </r>
    <r>
      <rPr>
        <sz val="10"/>
        <color rgb="FF000000"/>
        <rFont val="メイリオ"/>
        <charset val="134"/>
      </rPr>
      <t xml:space="preserve">Kiểm tra số phần tử của mảng errors trong response body qua tab Network của DevTools
</t>
    </r>
    <r>
      <rPr>
        <b/>
        <sz val="10"/>
        <color rgb="FF000000"/>
        <rFont val="メイリオ"/>
        <charset val="134"/>
      </rPr>
      <t xml:space="preserve">ステップ4：
</t>
    </r>
    <r>
      <rPr>
        <sz val="10"/>
        <color rgb="FF000000"/>
        <rFont val="メイリオ"/>
        <charset val="134"/>
      </rPr>
      <t>Kiểm tra số bản ghi của t_dokusya bằng với trước khi import</t>
    </r>
  </si>
  <si>
    <r>
      <rPr>
        <b/>
        <sz val="10"/>
        <color rgb="FF000000"/>
        <rFont val="メイリオ"/>
        <charset val="134"/>
      </rPr>
      <t xml:space="preserve">ステップ1：
</t>
    </r>
    <r>
      <rPr>
        <sz val="10"/>
        <color rgb="FF000000"/>
        <rFont val="メイリオ"/>
        <charset val="134"/>
      </rPr>
      <t xml:space="preserve">Lỗi được hiển thị và xử lý không được thực hiện
</t>
    </r>
    <r>
      <rPr>
        <b/>
        <sz val="10"/>
        <color rgb="FF000000"/>
        <rFont val="メイリオ"/>
        <charset val="134"/>
      </rPr>
      <t xml:space="preserve">ステップ2：
</t>
    </r>
    <r>
      <rPr>
        <sz val="10"/>
        <color rgb="FF000000"/>
        <rFont val="メイリオ"/>
        <charset val="134"/>
      </rPr>
      <t xml:space="preserve">Số lỗi hiển thị tối đa là 10 dòng
</t>
    </r>
    <r>
      <rPr>
        <b/>
        <sz val="10"/>
        <color rgb="FF000000"/>
        <rFont val="メイリオ"/>
        <charset val="134"/>
      </rPr>
      <t xml:space="preserve">ステップ3：
</t>
    </r>
    <r>
      <rPr>
        <sz val="10"/>
        <color rgb="FF000000"/>
        <rFont val="メイリオ"/>
        <charset val="134"/>
      </rPr>
      <t xml:space="preserve">・Trả về HTTP 400 (`error_code: IMPORT_VALIDATION_ERROR`, message `Excel取込データにエラーがあります。詳細はerrorsフィールドを確認してください。`)
</t>
    </r>
    <r>
      <rPr>
        <sz val="10"/>
        <color rgb="FF000000"/>
        <rFont val="メイリオ"/>
        <charset val="134"/>
      </rPr>
      <t xml:space="preserve">・Số phần tử của mảng errors từ 10 trở xuống
</t>
    </r>
    <r>
      <rPr>
        <b/>
        <sz val="10"/>
        <color rgb="FF000000"/>
        <rFont val="メイリオ"/>
        <charset val="134"/>
      </rPr>
      <t xml:space="preserve">ステップ4：
</t>
    </r>
    <r>
      <rPr>
        <sz val="10"/>
        <color rgb="FF000000"/>
        <rFont val="メイリオ"/>
        <charset val="134"/>
      </rPr>
      <t xml:space="preserve">Dữ liệu không được đăng ký
</t>
    </r>
    <r>
      <rPr>
        <b/>
        <sz val="10"/>
        <color rgb="FF000000"/>
        <rFont val="メイリオ"/>
        <charset val="134"/>
      </rPr>
      <t xml:space="preserve">補足：
</t>
    </r>
    <r>
      <rPr>
        <sz val="10"/>
        <color rgb="FF000000"/>
        <rFont val="メイリオ"/>
        <charset val="134"/>
      </rPr>
      <t>・Kể cả khi có nhiều lỗi cũng không vỡ layout</t>
    </r>
  </si>
  <si>
    <t>ACSMS-TC-016-049</t>
  </si>
  <si>
    <t>Đăng ký mới — không resolve được mã đơn giá báo</t>
  </si>
  <si>
    <t>・Đã login bằng JA_HONTEN (đã xác thực 2 bước)
・Chuẩn bị file Excel có dòng ghi mã đơn giá báo không tồn tại trong JA mình
・Chuẩn bị thêm dòng ghi mã đơn giá phí giao hàng (loại đơn giá khác phí đăng ký)</t>
  </si>
  <si>
    <r>
      <rPr>
        <b/>
        <sz val="10"/>
        <color rgb="FF000000"/>
        <rFont val="メイリオ"/>
        <charset val="134"/>
      </rPr>
      <t xml:space="preserve">ステップ1：
</t>
    </r>
    <r>
      <rPr>
        <sz val="10"/>
        <color rgb="FF000000"/>
        <rFont val="メイリオ"/>
        <charset val="134"/>
      </rPr>
      <t xml:space="preserve">Thực hiện import với file có dòng ghi mã đơn giá báo không tồn tại
</t>
    </r>
    <r>
      <rPr>
        <b/>
        <sz val="10"/>
        <color rgb="FF000000"/>
        <rFont val="メイリオ"/>
        <charset val="134"/>
      </rPr>
      <t xml:space="preserve">ステップ2：
</t>
    </r>
    <r>
      <rPr>
        <sz val="10"/>
        <color rgb="FF000000"/>
        <rFont val="メイリオ"/>
        <charset val="134"/>
      </rPr>
      <t xml:space="preserve">Kiểm tra danh sách lỗi hiển thị trên màn hình
</t>
    </r>
    <r>
      <rPr>
        <b/>
        <sz val="10"/>
        <color rgb="FF000000"/>
        <rFont val="メイリオ"/>
        <charset val="134"/>
      </rPr>
      <t xml:space="preserve">ステップ3：
</t>
    </r>
    <r>
      <rPr>
        <sz val="10"/>
        <color rgb="FF000000"/>
        <rFont val="メイリオ"/>
        <charset val="134"/>
      </rPr>
      <t xml:space="preserve">Thực hiện import với file có dòng ghi mã đơn giá phí giao hàng
</t>
    </r>
    <r>
      <rPr>
        <b/>
        <sz val="10"/>
        <color rgb="FF000000"/>
        <rFont val="メイリオ"/>
        <charset val="134"/>
      </rPr>
      <t xml:space="preserve">ステップ4：
</t>
    </r>
    <r>
      <rPr>
        <sz val="10"/>
        <color rgb="FF000000"/>
        <rFont val="メイリオ"/>
        <charset val="134"/>
      </rPr>
      <t>Thực hiện import với file có dòng ghi mã đơn giá đã bị xóa logical</t>
    </r>
  </si>
  <si>
    <r>
      <rPr>
        <b/>
        <sz val="10"/>
        <color rgb="FF000000"/>
        <rFont val="游ゴシック"/>
        <charset val="134"/>
      </rPr>
      <t xml:space="preserve">ステップ1：
</t>
    </r>
    <r>
      <rPr>
        <sz val="10"/>
        <color rgb="FF000000"/>
        <rFont val="游ゴシック"/>
        <charset val="134"/>
      </rPr>
      <t xml:space="preserve">Lỗi được hiển thị và xử lý không được thực hiện
</t>
    </r>
    <r>
      <rPr>
        <b/>
        <sz val="10"/>
        <color rgb="FF000000"/>
        <rFont val="游ゴシック"/>
        <charset val="134"/>
      </rPr>
      <t xml:space="preserve">ステップ2：
</t>
    </r>
    <r>
      <rPr>
        <sz val="10"/>
        <color rgb="FF000000"/>
        <rFont val="游ゴシック"/>
        <charset val="134"/>
      </rPr>
      <t xml:space="preserve">Hiển thị「行{N}: 新聞単価 — 指定された新聞単価コードが見つかりません。」
</t>
    </r>
    <r>
      <rPr>
        <b/>
        <sz val="10"/>
        <color rgb="FF000000"/>
        <rFont val="游ゴシック"/>
        <charset val="134"/>
      </rPr>
      <t xml:space="preserve">ステップ3：
</t>
    </r>
    <r>
      <rPr>
        <sz val="10"/>
        <color rgb="FF000000"/>
        <rFont val="游ゴシック"/>
        <charset val="134"/>
      </rPr>
      <t xml:space="preserve">Lỗi được hiển thị (do chỉ đơn giá phí đăng ký mới là đối tượng)
</t>
    </r>
    <r>
      <rPr>
        <b/>
        <sz val="10"/>
        <color rgb="FF000000"/>
        <rFont val="游ゴシック"/>
        <charset val="134"/>
      </rPr>
      <t xml:space="preserve">ステップ4：
</t>
    </r>
    <r>
      <rPr>
        <sz val="10"/>
        <color rgb="FF000000"/>
        <rFont val="游ゴシック"/>
        <charset val="134"/>
      </rPr>
      <t xml:space="preserve">Lỗi được hiển thị (do đã xóa logical thì nằm ngoài đối tượng)
</t>
    </r>
    <r>
      <rPr>
        <b/>
        <sz val="10"/>
        <color rgb="FF000000"/>
        <rFont val="游ゴシック"/>
        <charset val="134"/>
      </rPr>
      <t xml:space="preserve">補足：
</t>
    </r>
    <r>
      <rPr>
        <sz val="10"/>
        <color rgb="FF000000"/>
        <rFont val="游ゴシック"/>
        <charset val="134"/>
      </rPr>
      <t>・Chỉ đơn giá phí đăng ký của JA mình mới là đối tượng resolve</t>
    </r>
  </si>
  <si>
    <t>ACSMS-TC-016-050</t>
  </si>
  <si>
    <t>Đăng ký mới — không resolve được mã chi nhánh quản lý・mã cửa hàng bán</t>
  </si>
  <si>
    <t>・Đã login bằng JA_HONTEN (đã xác thực 2 bước)
・Chuẩn bị file Excel có dòng ghi mã chi nhánh quản lý・mã chi nhánh・mã cửa hàng bán không tồn tại</t>
  </si>
  <si>
    <r>
      <rPr>
        <b/>
        <sz val="10"/>
        <color rgb="FF000000"/>
        <rFont val="メイリオ"/>
        <charset val="134"/>
      </rPr>
      <t xml:space="preserve">ステップ1：
</t>
    </r>
    <r>
      <rPr>
        <sz val="10"/>
        <color rgb="FF000000"/>
        <rFont val="メイリオ"/>
        <charset val="134"/>
      </rPr>
      <t xml:space="preserve">Thực hiện import với file có dòng ghi mã chi nhánh quản lý không tồn tại và kiểm tra nội dung lỗi
</t>
    </r>
    <r>
      <rPr>
        <b/>
        <sz val="10"/>
        <color rgb="FF000000"/>
        <rFont val="メイリオ"/>
        <charset val="134"/>
      </rPr>
      <t xml:space="preserve">ステップ2：
</t>
    </r>
    <r>
      <rPr>
        <sz val="10"/>
        <color rgb="FF000000"/>
        <rFont val="メイリオ"/>
        <charset val="134"/>
      </rPr>
      <t xml:space="preserve">Thực hiện import với file có dòng ghi mã chi nhánh không tồn tại và kiểm tra nội dung lỗi
</t>
    </r>
    <r>
      <rPr>
        <b/>
        <sz val="10"/>
        <color rgb="FF000000"/>
        <rFont val="メイリオ"/>
        <charset val="134"/>
      </rPr>
      <t xml:space="preserve">ステップ3：
</t>
    </r>
    <r>
      <rPr>
        <sz val="10"/>
        <color rgb="FF000000"/>
        <rFont val="メイリオ"/>
        <charset val="134"/>
      </rPr>
      <t xml:space="preserve">Thực hiện import với file có dòng ghi mã cửa hàng bán không tồn tại và kiểm tra nội dung lỗi
</t>
    </r>
    <r>
      <rPr>
        <b/>
        <sz val="10"/>
        <color rgb="FF000000"/>
        <rFont val="メイリオ"/>
        <charset val="134"/>
      </rPr>
      <t xml:space="preserve">ステップ4：
</t>
    </r>
    <r>
      <rPr>
        <sz val="10"/>
        <color rgb="FF000000"/>
        <rFont val="メイリオ"/>
        <charset val="134"/>
      </rPr>
      <t xml:space="preserve">Chạy query sau trên DB để kiểm tra kết quả resolve (trường hợp import bằng mã hợp lệ)
</t>
    </r>
    <r>
      <rPr>
        <sz val="10"/>
        <color rgb="FF000000"/>
        <rFont val="メイリオ"/>
        <charset val="134"/>
      </rPr>
      <t xml:space="preserve">```sql
</t>
    </r>
    <r>
      <rPr>
        <sz val="10"/>
        <color rgb="FF000000"/>
        <rFont val="メイリオ"/>
        <charset val="134"/>
      </rPr>
      <t xml:space="preserve">SELECT dokusya_id, kanri_shiten_id, shiten_id, hanbaiten_id, tanka_id
</t>
    </r>
    <r>
      <rPr>
        <sz val="10"/>
        <color rgb="FF000000"/>
        <rFont val="メイリオ"/>
        <charset val="134"/>
      </rPr>
      <t xml:space="preserve">FROM t_dokusya
</t>
    </r>
    <r>
      <rPr>
        <sz val="10"/>
        <color rgb="FF000000"/>
        <rFont val="メイリオ"/>
        <charset val="134"/>
      </rPr>
      <t xml:space="preserve">ORDER BY dokusya_id DESC
</t>
    </r>
    <r>
      <rPr>
        <sz val="10"/>
        <color rgb="FF000000"/>
        <rFont val="メイリオ"/>
        <charset val="134"/>
      </rPr>
      <t xml:space="preserve">LIMIT 1;
</t>
    </r>
    <r>
      <rPr>
        <sz val="10"/>
        <color rgb="FF000000"/>
        <rFont val="メイリオ"/>
        <charset val="134"/>
      </rPr>
      <t>```</t>
    </r>
  </si>
  <si>
    <r>
      <rPr>
        <b/>
        <sz val="10"/>
        <color rgb="FF000000"/>
        <rFont val="メイリオ"/>
        <charset val="134"/>
      </rPr>
      <t xml:space="preserve">ステップ1：
</t>
    </r>
    <r>
      <rPr>
        <sz val="10"/>
        <color rgb="FF000000"/>
        <rFont val="メイリオ"/>
        <charset val="134"/>
      </rPr>
      <t xml:space="preserve">Danh sách lỗi hiển thị dòng có mục "管理支店"
</t>
    </r>
    <r>
      <rPr>
        <b/>
        <sz val="10"/>
        <color rgb="FF000000"/>
        <rFont val="メイリオ"/>
        <charset val="134"/>
      </rPr>
      <t xml:space="preserve">ステップ2：
</t>
    </r>
    <r>
      <rPr>
        <sz val="10"/>
        <color rgb="FF000000"/>
        <rFont val="メイリオ"/>
        <charset val="134"/>
      </rPr>
      <t xml:space="preserve">Danh sách lỗi hiển thị dòng có mục "支店"
</t>
    </r>
    <r>
      <rPr>
        <b/>
        <sz val="10"/>
        <color rgb="FF000000"/>
        <rFont val="メイリオ"/>
        <charset val="134"/>
      </rPr>
      <t xml:space="preserve">ステップ3：
</t>
    </r>
    <r>
      <rPr>
        <sz val="10"/>
        <color rgb="FF000000"/>
        <rFont val="メイリオ"/>
        <charset val="134"/>
      </rPr>
      <t xml:space="preserve">Danh sách lỗi hiển thị dòng có mục "販売店コード"
</t>
    </r>
    <r>
      <rPr>
        <b/>
        <sz val="10"/>
        <color rgb="FF000000"/>
        <rFont val="メイリオ"/>
        <charset val="134"/>
      </rPr>
      <t xml:space="preserve">ステップ4：
</t>
    </r>
    <r>
      <rPr>
        <sz val="10"/>
        <color rgb="FF000000"/>
        <rFont val="メイリオ"/>
        <charset val="134"/>
      </rPr>
      <t xml:space="preserve">Giá trị mã được resolve thành từng ID và lưu lại
</t>
    </r>
    <r>
      <rPr>
        <b/>
        <sz val="10"/>
        <color rgb="FF000000"/>
        <rFont val="メイリオ"/>
        <charset val="134"/>
      </rPr>
      <t xml:space="preserve">補足：
</t>
    </r>
    <r>
      <rPr>
        <sz val="10"/>
        <color rgb="FF000000"/>
        <rFont val="メイリオ"/>
        <charset val="134"/>
      </rPr>
      <t xml:space="preserve">・Cột dạng mã được resolve thành ID rồi lưu
</t>
    </r>
    <r>
      <rPr>
        <sz val="10"/>
        <color rgb="FF000000"/>
        <rFont val="メイリオ"/>
        <charset val="134"/>
      </rPr>
      <t>・Chỉ master trong JA mình mới là đối tượng resolve</t>
    </r>
  </si>
  <si>
    <t>ACSMS-TC-016-051</t>
  </si>
  <si>
    <t>Đăng ký mới — xử lý nơi giao hàng theo cột "購読者情報と同じ"</t>
  </si>
  <si>
    <t>・Đã login bằng JA_HONTEN (đã xác thực 2 bước)
・Chuẩn bị file Excel 3 dòng ghi TRUE / FALSE / để trống ở cột "購読者情報と同じ"</t>
  </si>
  <si>
    <r>
      <rPr>
        <b/>
        <sz val="10"/>
        <color rgb="FF000000"/>
        <rFont val="メイリオ"/>
        <charset val="134"/>
      </rPr>
      <t xml:space="preserve">ステップ1：
</t>
    </r>
    <r>
      <rPr>
        <sz val="10"/>
        <color rgb="FF000000"/>
        <rFont val="メイリオ"/>
        <charset val="134"/>
      </rPr>
      <t xml:space="preserve">Thực hiện import với dòng có "購読者情報と同じ" là TRUE và các mục nơi giao hàng để trống
</t>
    </r>
    <r>
      <rPr>
        <b/>
        <sz val="10"/>
        <color rgb="FF000000"/>
        <rFont val="メイリオ"/>
        <charset val="134"/>
      </rPr>
      <t xml:space="preserve">ステップ2：
</t>
    </r>
    <r>
      <rPr>
        <sz val="10"/>
        <color rgb="FF000000"/>
        <rFont val="メイリオ"/>
        <charset val="134"/>
      </rPr>
      <t xml:space="preserve">Thực hiện import với dòng có "購読者情報と同じ" là FALSE và các mục nơi giao hàng có giá trị
</t>
    </r>
    <r>
      <rPr>
        <b/>
        <sz val="10"/>
        <color rgb="FF000000"/>
        <rFont val="メイリオ"/>
        <charset val="134"/>
      </rPr>
      <t xml:space="preserve">ステップ3：
</t>
    </r>
    <r>
      <rPr>
        <sz val="10"/>
        <color rgb="FF000000"/>
        <rFont val="メイリオ"/>
        <charset val="134"/>
      </rPr>
      <t xml:space="preserve">Thực hiện import với dòng có "購読者情報と同じ" để trống và toàn bộ mục nơi giao hàng để trống
</t>
    </r>
    <r>
      <rPr>
        <b/>
        <sz val="10"/>
        <color rgb="FF000000"/>
        <rFont val="メイリオ"/>
        <charset val="134"/>
      </rPr>
      <t xml:space="preserve">ステップ4：
</t>
    </r>
    <r>
      <rPr>
        <sz val="10"/>
        <color rgb="FF000000"/>
        <rFont val="メイリオ"/>
        <charset val="134"/>
      </rPr>
      <t xml:space="preserve">Chạy query sau trên DB để kiểm tra giá trị lưu
</t>
    </r>
    <r>
      <rPr>
        <sz val="10"/>
        <color rgb="FF000000"/>
        <rFont val="メイリオ"/>
        <charset val="134"/>
      </rPr>
      <t xml:space="preserve">```sql
</t>
    </r>
    <r>
      <rPr>
        <sz val="10"/>
        <color rgb="FF000000"/>
        <rFont val="メイリオ"/>
        <charset val="134"/>
      </rPr>
      <t xml:space="preserve">SELECT dokusya_id, haitatsu_same_flg, haitatsu_yubin_no
</t>
    </r>
    <r>
      <rPr>
        <sz val="10"/>
        <color rgb="FF000000"/>
        <rFont val="メイリオ"/>
        <charset val="134"/>
      </rPr>
      <t xml:space="preserve">FROM t_dokusya
</t>
    </r>
    <r>
      <rPr>
        <sz val="10"/>
        <color rgb="FF000000"/>
        <rFont val="メイリオ"/>
        <charset val="134"/>
      </rPr>
      <t xml:space="preserve">ORDER BY dokusya_id DESC
</t>
    </r>
    <r>
      <rPr>
        <sz val="10"/>
        <color rgb="FF000000"/>
        <rFont val="メイリオ"/>
        <charset val="134"/>
      </rPr>
      <t xml:space="preserve">LIMIT 3;
</t>
    </r>
    <r>
      <rPr>
        <sz val="10"/>
        <color rgb="FF000000"/>
        <rFont val="メイリオ"/>
        <charset val="134"/>
      </rPr>
      <t>```</t>
    </r>
  </si>
  <si>
    <r>
      <rPr>
        <b/>
        <sz val="10"/>
        <color rgb="FF000000"/>
        <rFont val="メイリオ"/>
        <charset val="134"/>
      </rPr>
      <t xml:space="preserve">ステップ1：
</t>
    </r>
    <r>
      <rPr>
        <sz val="10"/>
        <color rgb="FF000000"/>
        <rFont val="メイリオ"/>
        <charset val="134"/>
      </rPr>
      <t xml:space="preserve">Dữ liệu được đăng ký và haitatsu_same_flg được lưu là TRUE
</t>
    </r>
    <r>
      <rPr>
        <b/>
        <sz val="10"/>
        <color rgb="FF000000"/>
        <rFont val="メイリオ"/>
        <charset val="134"/>
      </rPr>
      <t xml:space="preserve">ステップ2：
</t>
    </r>
    <r>
      <rPr>
        <sz val="10"/>
        <color rgb="FF000000"/>
        <rFont val="メイリオ"/>
        <charset val="134"/>
      </rPr>
      <t xml:space="preserve">Dữ liệu được đăng ký và haitatsu_same_flg được lưu là FALSE
</t>
    </r>
    <r>
      <rPr>
        <b/>
        <sz val="10"/>
        <color rgb="FF000000"/>
        <rFont val="メイリオ"/>
        <charset val="134"/>
      </rPr>
      <t xml:space="preserve">ステップ3：
</t>
    </r>
    <r>
      <rPr>
        <sz val="10"/>
        <color rgb="FF000000"/>
        <rFont val="メイリオ"/>
        <charset val="134"/>
      </rPr>
      <t xml:space="preserve">Dữ liệu được đăng ký
</t>
    </r>
    <r>
      <rPr>
        <b/>
        <sz val="10"/>
        <color rgb="FF000000"/>
        <rFont val="メイリオ"/>
        <charset val="134"/>
      </rPr>
      <t xml:space="preserve">ステップ4：
</t>
    </r>
    <r>
      <rPr>
        <sz val="10"/>
        <color rgb="FF000000"/>
        <rFont val="メイリオ"/>
        <charset val="134"/>
      </rPr>
      <t xml:space="preserve">・Giá trị chỉ định ở cột được lưu nguyên
</t>
    </r>
    <r>
      <rPr>
        <sz val="10"/>
        <color rgb="FF000000"/>
        <rFont val="メイリオ"/>
        <charset val="134"/>
      </rPr>
      <t xml:space="preserve">・Chỉ dòng có cột để trống mới được phán định tự động theo việc có nhập mục nơi giao hàng hay không
</t>
    </r>
    <r>
      <rPr>
        <b/>
        <sz val="10"/>
        <color rgb="FF000000"/>
        <rFont val="メイリオ"/>
        <charset val="134"/>
      </rPr>
      <t xml:space="preserve">補足：
</t>
    </r>
    <r>
      <rPr>
        <sz val="10"/>
        <color rgb="FF000000"/>
        <rFont val="メイリオ"/>
        <charset val="134"/>
      </rPr>
      <t>・Giá trị được chỉ định rõ ở cột được ưu tiên</t>
    </r>
  </si>
  <si>
    <t>ACSMS-TC-016-052</t>
  </si>
  <si>
    <t>Đăng ký mới — thời gian xử lý khi import dữ liệu lớn</t>
  </si>
  <si>
    <t>・Đã login bằng JA_HONTEN (đã xác thực 2 bước)
・Chuẩn bị file Excel 10000 dòng và 30000 dòng
・Thực hiện trên môi trường staging có lượng dữ liệu tương đương môi trường thật</t>
  </si>
  <si>
    <r>
      <rPr>
        <b/>
        <sz val="10"/>
        <color rgb="FF000000"/>
        <rFont val="游ゴシック"/>
        <charset val="134"/>
      </rPr>
      <t xml:space="preserve">ステップ1：
</t>
    </r>
    <r>
      <rPr>
        <sz val="10"/>
        <color rgb="FF000000"/>
        <rFont val="游ゴシック"/>
        <charset val="134"/>
      </rPr>
      <t xml:space="preserve">Chọn file Excel 5000 dòng và đo thời gian đến khi preview được hiển thị
</t>
    </r>
    <r>
      <rPr>
        <b/>
        <sz val="10"/>
        <color rgb="FF000000"/>
        <rFont val="游ゴシック"/>
        <charset val="134"/>
      </rPr>
      <t xml:space="preserve">ステップ2：
</t>
    </r>
    <r>
      <rPr>
        <sz val="10"/>
        <color rgb="FF000000"/>
        <rFont val="游ゴシック"/>
        <charset val="134"/>
      </rPr>
      <t xml:space="preserve">Đo thời gian từ lúc bắt đầu import đến khi toast hiển thị
</t>
    </r>
    <r>
      <rPr>
        <b/>
        <sz val="10"/>
        <color rgb="FF000000"/>
        <rFont val="游ゴシック"/>
        <charset val="134"/>
      </rPr>
      <t xml:space="preserve">ステップ3：
</t>
    </r>
    <r>
      <rPr>
        <sz val="10"/>
        <color rgb="FF000000"/>
        <rFont val="游ゴシック"/>
        <charset val="134"/>
      </rPr>
      <t xml:space="preserve">Thực hiện import tương tự với file Excel 5002 dòng và đo thời gian
</t>
    </r>
    <r>
      <rPr>
        <b/>
        <sz val="10"/>
        <color rgb="FF000000"/>
        <rFont val="游ゴシック"/>
        <charset val="134"/>
      </rPr>
      <t xml:space="preserve">ステップ4：
</t>
    </r>
    <r>
      <rPr>
        <sz val="10"/>
        <color rgb="FF000000"/>
        <rFont val="游ゴシック"/>
        <charset val="134"/>
      </rPr>
      <t>Thực hiện import liên tiếp 3 lần và kiểm tra thay đổi của thời gian xử lý</t>
    </r>
  </si>
  <si>
    <r>
      <rPr>
        <b/>
        <sz val="10"/>
        <color rgb="FF000000"/>
        <rFont val="游ゴシック"/>
        <charset val="134"/>
      </rPr>
      <t xml:space="preserve">ステップ1：
</t>
    </r>
    <r>
      <rPr>
        <sz val="10"/>
        <color rgb="FF000000"/>
        <rFont val="游ゴシック"/>
        <charset val="134"/>
      </rPr>
      <t xml:space="preserve">Preview được hiển thị và màn hình không rơi vào trạng thái không thao tác được
</t>
    </r>
    <r>
      <rPr>
        <b/>
        <sz val="10"/>
        <color rgb="FF000000"/>
        <rFont val="游ゴシック"/>
        <charset val="134"/>
      </rPr>
      <t xml:space="preserve">ステップ2：
</t>
    </r>
    <r>
      <rPr>
        <sz val="10"/>
        <color rgb="FF000000"/>
        <rFont val="游ゴシック"/>
        <charset val="134"/>
      </rPr>
      <t xml:space="preserve">Xử lý hoàn tất và không bị timeout
</t>
    </r>
    <r>
      <rPr>
        <b/>
        <sz val="10"/>
        <color rgb="FF000000"/>
        <rFont val="游ゴシック"/>
        <charset val="134"/>
      </rPr>
      <t xml:space="preserve">ステップ3：
</t>
    </r>
    <r>
      <rPr>
        <sz val="10"/>
        <color rgb="FF000000"/>
        <rFont val="游ゴシック"/>
        <charset val="134"/>
      </rPr>
      <t xml:space="preserve">Lỗi được hiển thị, toast「ファイルの行数が上限（5000行）を超えているため、取込みできません。」
</t>
    </r>
    <r>
      <rPr>
        <b/>
        <sz val="10"/>
        <color rgb="FF000000"/>
        <rFont val="游ゴシック"/>
        <charset val="134"/>
      </rPr>
      <t xml:space="preserve">ステップ4：
</t>
    </r>
    <r>
      <rPr>
        <sz val="10"/>
        <color rgb="FF000000"/>
        <rFont val="游ゴシック"/>
        <charset val="134"/>
      </rPr>
      <t xml:space="preserve">・Cả 3 lần đều hoàn tất xử lý
・Thời gian xử lý không tăng lên rõ rệt qua từng lần
</t>
    </r>
    <r>
      <rPr>
        <b/>
        <sz val="10"/>
        <color rgb="FF000000"/>
        <rFont val="游ゴシック"/>
        <charset val="134"/>
      </rPr>
      <t xml:space="preserve">補足：
</t>
    </r>
    <r>
      <rPr>
        <sz val="10"/>
        <color rgb="FF000000"/>
        <rFont val="游ゴシック"/>
        <charset val="134"/>
      </rPr>
      <t>・Giá trị mục tiêu về thời gian xử lý đang chờ khách hàng xác nhận, nên ca này chỉ xác nhận xử lý hoàn tất và không bị terminate bất thường
・Không phát sinh lỗi ngoài dự kiến</t>
    </r>
  </si>
  <si>
    <t>Business logic — Cập nhật (Function — Import UPDATE)</t>
  </si>
  <si>
    <t>ACSMS-TC-016-053</t>
  </si>
  <si>
    <t>Cập nhật — luồng bình thường (chỉ cập nhật cột đã chọn)</t>
  </si>
  <si>
    <t>・Đã login bằng JA_HONTEN (đã xác thực 2 bước)
・Loại đăng ký là "紙版"・chế độ import là "更新"
・Đã đăng ký sẵn 3 độc giả là đối tượng cập nhật
・Chuẩn bị file Excel ghi ID và ghi chú・địa chỉ email</t>
  </si>
  <si>
    <r>
      <rPr>
        <b/>
        <sz val="10"/>
        <color rgb="FF000000"/>
        <rFont val="メイリオ"/>
        <charset val="134"/>
      </rPr>
      <t xml:space="preserve">ステップ1：
</t>
    </r>
    <r>
      <rPr>
        <sz val="10"/>
        <color rgb="FF000000"/>
        <rFont val="メイリオ"/>
        <charset val="134"/>
      </rPr>
      <t xml:space="preserve">Chỉ check "備考"・"メールアドレス" trong panel chọn cột import
</t>
    </r>
    <r>
      <rPr>
        <b/>
        <sz val="10"/>
        <color rgb="FF000000"/>
        <rFont val="メイリオ"/>
        <charset val="134"/>
      </rPr>
      <t xml:space="preserve">ステップ2：
</t>
    </r>
    <r>
      <rPr>
        <sz val="10"/>
        <color rgb="FF000000"/>
        <rFont val="メイリオ"/>
        <charset val="134"/>
      </rPr>
      <t xml:space="preserve">Chỉ định ngày tương lai vào ngày áp dụng thay đổi thông tin độc giả và click button bắt đầu import
</t>
    </r>
    <r>
      <rPr>
        <b/>
        <sz val="10"/>
        <color rgb="FF000000"/>
        <rFont val="メイリオ"/>
        <charset val="134"/>
      </rPr>
      <t xml:space="preserve">ステップ3：
</t>
    </r>
    <r>
      <rPr>
        <sz val="10"/>
        <color rgb="FF000000"/>
        <rFont val="メイリオ"/>
        <charset val="134"/>
      </rPr>
      <t xml:space="preserve">Click "はい" ở dialog xác nhận và kiểm tra hiển thị của màn hình
</t>
    </r>
    <r>
      <rPr>
        <b/>
        <sz val="10"/>
        <color rgb="FF000000"/>
        <rFont val="メイリオ"/>
        <charset val="134"/>
      </rPr>
      <t xml:space="preserve">ステップ4：
</t>
    </r>
    <r>
      <rPr>
        <sz val="10"/>
        <color rgb="FF000000"/>
        <rFont val="メイリオ"/>
        <charset val="134"/>
      </rPr>
      <t xml:space="preserve">Chạy query sau trên DB để kiểm tra nội dung cập nhật
</t>
    </r>
    <r>
      <rPr>
        <sz val="10"/>
        <color rgb="FF000000"/>
        <rFont val="メイリオ"/>
        <charset val="134"/>
      </rPr>
      <t xml:space="preserve">```sql
</t>
    </r>
    <r>
      <rPr>
        <sz val="10"/>
        <color rgb="FF000000"/>
        <rFont val="メイリオ"/>
        <charset val="134"/>
      </rPr>
      <t xml:space="preserve">SELECT dokusya_id, biko, email, shimei_sei, dokusya_busu, rireki_no
</t>
    </r>
    <r>
      <rPr>
        <sz val="10"/>
        <color rgb="FF000000"/>
        <rFont val="メイリオ"/>
        <charset val="134"/>
      </rPr>
      <t xml:space="preserve">FROM t_dokusya
</t>
    </r>
    <r>
      <rPr>
        <sz val="10"/>
        <color rgb="FF000000"/>
        <rFont val="メイリオ"/>
        <charset val="134"/>
      </rPr>
      <t xml:space="preserve">WHERE dokusya_id IN (3 ID đối tượng);
</t>
    </r>
    <r>
      <rPr>
        <sz val="10"/>
        <color rgb="FF000000"/>
        <rFont val="メイリオ"/>
        <charset val="134"/>
      </rPr>
      <t>```</t>
    </r>
  </si>
  <si>
    <r>
      <rPr>
        <b/>
        <sz val="10"/>
        <color rgb="FF000000"/>
        <rFont val="メイリオ"/>
        <charset val="134"/>
      </rPr>
      <t xml:space="preserve">ステップ1：
</t>
    </r>
    <r>
      <rPr>
        <sz val="10"/>
        <color rgb="FF000000"/>
        <rFont val="メイリオ"/>
        <charset val="134"/>
      </rPr>
      <t xml:space="preserve">Chỉ "備考"・"メールアドレス" ở trạng thái đã check
</t>
    </r>
    <r>
      <rPr>
        <b/>
        <sz val="10"/>
        <color rgb="FF000000"/>
        <rFont val="メイリオ"/>
        <charset val="134"/>
      </rPr>
      <t xml:space="preserve">ステップ2：
</t>
    </r>
    <r>
      <rPr>
        <sz val="10"/>
        <color rgb="FF000000"/>
        <rFont val="メイリオ"/>
        <charset val="134"/>
      </rPr>
      <t xml:space="preserve">Hiển thị message xác nhận「取込処理を開始します。よろしいですか？」
</t>
    </r>
    <r>
      <rPr>
        <b/>
        <sz val="10"/>
        <color rgb="FF000000"/>
        <rFont val="メイリオ"/>
        <charset val="134"/>
      </rPr>
      <t xml:space="preserve">ステップ3：
</t>
    </r>
    <r>
      <rPr>
        <sz val="10"/>
        <color rgb="FF000000"/>
        <rFont val="メイリオ"/>
        <charset val="134"/>
      </rPr>
      <t xml:space="preserve">・Hiển thị toast「取り込みました。」
</t>
    </r>
    <r>
      <rPr>
        <sz val="10"/>
        <color rgb="FF000000"/>
        <rFont val="メイリオ"/>
        <charset val="134"/>
      </rPr>
      <t xml:space="preserve">・Hiển thị số lượng import là "更新 3件"
</t>
    </r>
    <r>
      <rPr>
        <b/>
        <sz val="10"/>
        <color rgb="FF000000"/>
        <rFont val="メイリオ"/>
        <charset val="134"/>
      </rPr>
      <t xml:space="preserve">ステップ4：
</t>
    </r>
    <r>
      <rPr>
        <sz val="10"/>
        <color rgb="FF000000"/>
        <rFont val="メイリオ"/>
        <charset val="134"/>
      </rPr>
      <t xml:space="preserve">・Ghi chú・địa chỉ email được cập nhật
</t>
    </r>
    <r>
      <rPr>
        <sz val="10"/>
        <color rgb="FF000000"/>
        <rFont val="メイリオ"/>
        <charset val="134"/>
      </rPr>
      <t xml:space="preserve">・Họ tên・số bản đăng ký được giữ nguyên giá trị trước khi cập nhật
</t>
    </r>
    <r>
      <rPr>
        <sz val="10"/>
        <color rgb="FF000000"/>
        <rFont val="メイリオ"/>
        <charset val="134"/>
      </rPr>
      <t xml:space="preserve">・rireki_no được tăng lên
</t>
    </r>
    <r>
      <rPr>
        <b/>
        <sz val="10"/>
        <color rgb="FF000000"/>
        <rFont val="メイリオ"/>
        <charset val="134"/>
      </rPr>
      <t xml:space="preserve">補足：
</t>
    </r>
    <r>
      <rPr>
        <sz val="10"/>
        <color rgb="FF000000"/>
        <rFont val="メイリオ"/>
        <charset val="134"/>
      </rPr>
      <t xml:space="preserve">・Chỉ nội dung thay đổi được cập nhật
</t>
    </r>
    <r>
      <rPr>
        <sz val="10"/>
        <color rgb="FF000000"/>
        <rFont val="メイリオ"/>
        <charset val="134"/>
      </rPr>
      <t>・Không ảnh hưởng các mục khác</t>
    </r>
  </si>
  <si>
    <t>ACSMS-TC-016-054</t>
  </si>
  <si>
    <t>Cập nhật — xử lý dòng có cột đã chọn để trống</t>
  </si>
  <si>
    <t>・Đã login bằng JA_HONTEN (đã xác thực 2 bước)
・Chế độ import là "更新"
・Đã đăng ký sẵn độc giả có giá trị ở ghi chú</t>
  </si>
  <si>
    <r>
      <rPr>
        <b/>
        <sz val="10"/>
        <color rgb="FF000000"/>
        <rFont val="游ゴシック"/>
        <charset val="134"/>
      </rPr>
      <t xml:space="preserve">ステップ1：
</t>
    </r>
    <r>
      <rPr>
        <sz val="10"/>
        <color rgb="FF000000"/>
        <rFont val="游ゴシック"/>
        <charset val="134"/>
      </rPr>
      <t xml:space="preserve">Check "備考" trong panel chọn cột import, thực hiện import với file Excel có dòng ghi chú để trống
</t>
    </r>
    <r>
      <rPr>
        <b/>
        <sz val="10"/>
        <color rgb="FF000000"/>
        <rFont val="游ゴシック"/>
        <charset val="134"/>
      </rPr>
      <t xml:space="preserve">ステップ2：
</t>
    </r>
    <r>
      <rPr>
        <sz val="10"/>
        <color rgb="FF000000"/>
        <rFont val="游ゴシック"/>
        <charset val="134"/>
      </rPr>
      <t xml:space="preserve">Chạy query sau trên DB để kiểm tra giá trị ghi chú
```sql
SELECT dokusya_id, biko FROM t_dokusya WHERE dokusya_id = ID đối tượng;
```
</t>
    </r>
    <r>
      <rPr>
        <b/>
        <sz val="10"/>
        <color rgb="FF000000"/>
        <rFont val="游ゴシック"/>
        <charset val="134"/>
      </rPr>
      <t xml:space="preserve">ステップ3：
</t>
    </r>
    <r>
      <rPr>
        <sz val="10"/>
        <color rgb="FF000000"/>
        <rFont val="游ゴシック"/>
        <charset val="134"/>
      </rPr>
      <t xml:space="preserve">Check vào "すべて選択／解除" để lấy toàn bộ cột làm đối tượng rồi import cùng file đó
</t>
    </r>
    <r>
      <rPr>
        <b/>
        <sz val="10"/>
        <color rgb="FF000000"/>
        <rFont val="游ゴシック"/>
        <charset val="134"/>
      </rPr>
      <t xml:space="preserve">ステップ4：
</t>
    </r>
    <r>
      <rPr>
        <sz val="10"/>
        <color rgb="FF000000"/>
        <rFont val="游ゴシック"/>
        <charset val="134"/>
      </rPr>
      <t>Kiểm tra giá trị của các mục tham chiếu bắt buộc (chi nhánh quản lý・cửa hàng bán・đơn giá báo・phương thức thanh toán) trên DB</t>
    </r>
  </si>
  <si>
    <r>
      <rPr>
        <b/>
        <sz val="10"/>
        <color rgb="FF000000"/>
        <rFont val="メイリオ"/>
        <charset val="134"/>
      </rPr>
      <t xml:space="preserve">ステップ1：
</t>
    </r>
    <r>
      <rPr>
        <sz val="10"/>
        <color rgb="FF000000"/>
        <rFont val="メイリオ"/>
        <charset val="134"/>
      </rPr>
      <t xml:space="preserve">Dữ liệu được update
</t>
    </r>
    <r>
      <rPr>
        <b/>
        <sz val="10"/>
        <color rgb="FF000000"/>
        <rFont val="メイリオ"/>
        <charset val="134"/>
      </rPr>
      <t xml:space="preserve">ステップ2：
</t>
    </r>
    <r>
      <rPr>
        <sz val="10"/>
        <color rgb="FF000000"/>
        <rFont val="メイリオ"/>
        <charset val="134"/>
      </rPr>
      <t xml:space="preserve">Ghi chú được giữ nguyên giá trị trước khi cập nhật (do ô trống bị bỏ qua)
</t>
    </r>
    <r>
      <rPr>
        <b/>
        <sz val="10"/>
        <color rgb="FF000000"/>
        <rFont val="メイリオ"/>
        <charset val="134"/>
      </rPr>
      <t xml:space="preserve">ステップ3：
</t>
    </r>
    <r>
      <rPr>
        <sz val="10"/>
        <color rgb="FF000000"/>
        <rFont val="メイリオ"/>
        <charset val="134"/>
      </rPr>
      <t xml:space="preserve">Dữ liệu được update
</t>
    </r>
    <r>
      <rPr>
        <b/>
        <sz val="10"/>
        <color rgb="FF000000"/>
        <rFont val="メイリオ"/>
        <charset val="134"/>
      </rPr>
      <t xml:space="preserve">ステップ4：
</t>
    </r>
    <r>
      <rPr>
        <sz val="10"/>
        <color rgb="FF000000"/>
        <rFont val="メイリオ"/>
        <charset val="134"/>
      </rPr>
      <t xml:space="preserve">Các mục tham chiếu bắt buộc được giữ nguyên giá trị trước khi cập nhật (không bị ghi đè bằng giá trị trống)
</t>
    </r>
    <r>
      <rPr>
        <b/>
        <sz val="10"/>
        <color rgb="FF000000"/>
        <rFont val="メイリオ"/>
        <charset val="134"/>
      </rPr>
      <t xml:space="preserve">補足：
</t>
    </r>
    <r>
      <rPr>
        <sz val="10"/>
        <color rgb="FF000000"/>
        <rFont val="メイリオ"/>
        <charset val="134"/>
      </rPr>
      <t xml:space="preserve">・Ở chế độ cập nhật, mục để trống nằm ngoài đối tượng cập nhật
</t>
    </r>
    <r>
      <rPr>
        <sz val="10"/>
        <color rgb="FF000000"/>
        <rFont val="メイリオ"/>
        <charset val="134"/>
      </rPr>
      <t>・Đảm bảo tính toàn vẹn dữ liệu</t>
    </r>
  </si>
  <si>
    <t>ACSMS-TC-016-055</t>
  </si>
  <si>
    <t>Cập nhật — dòng có độc giả đối tượng không tồn tại</t>
  </si>
  <si>
    <r>
      <rPr>
        <b/>
        <sz val="10"/>
        <color rgb="FF000000"/>
        <rFont val="メイリオ"/>
        <charset val="134"/>
      </rPr>
      <t xml:space="preserve">ステップ1：
</t>
    </r>
    <r>
      <rPr>
        <sz val="10"/>
        <color rgb="FF000000"/>
        <rFont val="メイリオ"/>
        <charset val="134"/>
      </rPr>
      <t xml:space="preserve">Thực hiện import với file Excel có dòng ghi ID không tồn tại (99999999)
</t>
    </r>
    <r>
      <rPr>
        <b/>
        <sz val="10"/>
        <color rgb="FF000000"/>
        <rFont val="メイリオ"/>
        <charset val="134"/>
      </rPr>
      <t xml:space="preserve">ステップ2：
</t>
    </r>
    <r>
      <rPr>
        <sz val="10"/>
        <color rgb="FF000000"/>
        <rFont val="メイリオ"/>
        <charset val="134"/>
      </rPr>
      <t xml:space="preserve">Kiểm tra danh sách lỗi hiển thị trên màn hình
</t>
    </r>
    <r>
      <rPr>
        <b/>
        <sz val="10"/>
        <color rgb="FF000000"/>
        <rFont val="メイリオ"/>
        <charset val="134"/>
      </rPr>
      <t xml:space="preserve">ステップ3：
</t>
    </r>
    <r>
      <rPr>
        <sz val="10"/>
        <color rgb="FF000000"/>
        <rFont val="メイリオ"/>
        <charset val="134"/>
      </rPr>
      <t xml:space="preserve">Thực hiện import với dòng để trống ID và ghi mã thành viên hợp tác xã không tồn tại
</t>
    </r>
    <r>
      <rPr>
        <b/>
        <sz val="10"/>
        <color rgb="FF000000"/>
        <rFont val="メイリオ"/>
        <charset val="134"/>
      </rPr>
      <t xml:space="preserve">ステップ4：
</t>
    </r>
    <r>
      <rPr>
        <sz val="10"/>
        <color rgb="FF000000"/>
        <rFont val="メイリオ"/>
        <charset val="134"/>
      </rPr>
      <t>Thực hiện import với dòng ghi ID của độc giả đã bị xóa logical</t>
    </r>
  </si>
  <si>
    <r>
      <rPr>
        <b/>
        <sz val="10"/>
        <color rgb="FF000000"/>
        <rFont val="メイリオ"/>
        <charset val="134"/>
      </rPr>
      <t xml:space="preserve">ステップ1：
</t>
    </r>
    <r>
      <rPr>
        <sz val="10"/>
        <color rgb="FF000000"/>
        <rFont val="メイリオ"/>
        <charset val="134"/>
      </rPr>
      <t xml:space="preserve">Lỗi được hiển thị và xử lý không được thực hiện
</t>
    </r>
    <r>
      <rPr>
        <b/>
        <sz val="10"/>
        <color rgb="FF000000"/>
        <rFont val="メイリオ"/>
        <charset val="134"/>
      </rPr>
      <t xml:space="preserve">ステップ2：
</t>
    </r>
    <r>
      <rPr>
        <sz val="10"/>
        <color rgb="FF000000"/>
        <rFont val="メイリオ"/>
        <charset val="134"/>
      </rPr>
      <t xml:space="preserve">Danh sách lỗi hiển thị dòng có mục "ID"
</t>
    </r>
    <r>
      <rPr>
        <b/>
        <sz val="10"/>
        <color rgb="FF000000"/>
        <rFont val="メイリオ"/>
        <charset val="134"/>
      </rPr>
      <t xml:space="preserve">ステップ3：
</t>
    </r>
    <r>
      <rPr>
        <sz val="10"/>
        <color rgb="FF000000"/>
        <rFont val="メイリオ"/>
        <charset val="134"/>
      </rPr>
      <t xml:space="preserve">Hiển thị「行{N}: 組合員コード — 指定された組合員コードが見つかりません。」
</t>
    </r>
    <r>
      <rPr>
        <b/>
        <sz val="10"/>
        <color rgb="FF000000"/>
        <rFont val="メイリオ"/>
        <charset val="134"/>
      </rPr>
      <t xml:space="preserve">ステップ4：
</t>
    </r>
    <r>
      <rPr>
        <sz val="10"/>
        <color rgb="FF000000"/>
        <rFont val="メイリオ"/>
        <charset val="134"/>
      </rPr>
      <t xml:space="preserve">Lỗi được hiển thị (do đã xóa logical thì nằm ngoài đối tượng)
</t>
    </r>
    <r>
      <rPr>
        <b/>
        <sz val="10"/>
        <color rgb="FF000000"/>
        <rFont val="メイリオ"/>
        <charset val="134"/>
      </rPr>
      <t xml:space="preserve">補足：
</t>
    </r>
    <r>
      <rPr>
        <sz val="10"/>
        <color rgb="FF000000"/>
        <rFont val="メイリオ"/>
        <charset val="134"/>
      </rPr>
      <t xml:space="preserve">・Khi ID để trống thì mã thành viên hợp tác xã trở thành khóa thay thế
</t>
    </r>
    <r>
      <rPr>
        <sz val="10"/>
        <color rgb="FF000000"/>
        <rFont val="メイリオ"/>
        <charset val="134"/>
      </rPr>
      <t>・Dữ liệu đã xóa không trở thành đối tượng cập nhật</t>
    </r>
  </si>
  <si>
    <t>ACSMS-TC-016-056</t>
  </si>
  <si>
    <t>Cập nhật — dòng có loại đăng ký của độc giả khác với giá trị đã chọn</t>
  </si>
  <si>
    <t>・Đã login bằng JA_HONTEN (đã xác thực 2 bước)
・Chế độ import là "更新"
・Đã đăng ký sẵn độc giả loại bản giấy (1) và độc giả loại bản điện tử (2)
・Đã đăng ký sẵn độc giả loại đọc song song (3)</t>
  </si>
  <si>
    <r>
      <rPr>
        <b/>
        <sz val="10"/>
        <color rgb="FF000000"/>
        <rFont val="メイリオ"/>
        <charset val="134"/>
      </rPr>
      <t xml:space="preserve">ステップ1：
</t>
    </r>
    <r>
      <rPr>
        <sz val="10"/>
        <color rgb="FF000000"/>
        <rFont val="メイリオ"/>
        <charset val="134"/>
      </rPr>
      <t xml:space="preserve">Chọn "紙版" ở loại đăng ký, thực hiện import với file Excel có ID của độc giả bản điện tử
</t>
    </r>
    <r>
      <rPr>
        <b/>
        <sz val="10"/>
        <color rgb="FF000000"/>
        <rFont val="メイリオ"/>
        <charset val="134"/>
      </rPr>
      <t xml:space="preserve">ステップ2：
</t>
    </r>
    <r>
      <rPr>
        <sz val="10"/>
        <color rgb="FF000000"/>
        <rFont val="メイリオ"/>
        <charset val="134"/>
      </rPr>
      <t xml:space="preserve">Kiểm tra danh sách lỗi hiển thị trên màn hình
</t>
    </r>
    <r>
      <rPr>
        <b/>
        <sz val="10"/>
        <color rgb="FF000000"/>
        <rFont val="メイリオ"/>
        <charset val="134"/>
      </rPr>
      <t xml:space="preserve">ステップ3：
</t>
    </r>
    <r>
      <rPr>
        <sz val="10"/>
        <color rgb="FF000000"/>
        <rFont val="メイリオ"/>
        <charset val="134"/>
      </rPr>
      <t xml:space="preserve">Chọn "電子版" ở loại đăng ký, thực hiện import với file chỉ có ID của độc giả bản điện tử
</t>
    </r>
    <r>
      <rPr>
        <b/>
        <sz val="10"/>
        <color rgb="FF000000"/>
        <rFont val="メイリオ"/>
        <charset val="134"/>
      </rPr>
      <t xml:space="preserve">ステップ4：
</t>
    </r>
    <r>
      <rPr>
        <sz val="10"/>
        <color rgb="FF000000"/>
        <rFont val="メイリオ"/>
        <charset val="134"/>
      </rPr>
      <t>Chọn "紙版" ở loại đăng ký, thực hiện import với file có ID của độc giả đọc song song</t>
    </r>
  </si>
  <si>
    <r>
      <rPr>
        <b/>
        <sz val="10"/>
        <color rgb="FF000000"/>
        <rFont val="游ゴシック"/>
        <charset val="134"/>
      </rPr>
      <t xml:space="preserve">ステップ1：
</t>
    </r>
    <r>
      <rPr>
        <sz val="10"/>
        <color rgb="FF000000"/>
        <rFont val="游ゴシック"/>
        <charset val="134"/>
      </rPr>
      <t xml:space="preserve">Lỗi được hiển thị và xử lý không được thực hiện
</t>
    </r>
    <r>
      <rPr>
        <b/>
        <sz val="10"/>
        <color rgb="FF000000"/>
        <rFont val="游ゴシック"/>
        <charset val="134"/>
      </rPr>
      <t xml:space="preserve">ステップ2：
</t>
    </r>
    <r>
      <rPr>
        <sz val="10"/>
        <color rgb="FF000000"/>
        <rFont val="游ゴシック"/>
        <charset val="134"/>
      </rPr>
      <t xml:space="preserve">Hiển thị「行{N}: 購読種別 — 選択した購読種別と異なる購読者が含まれています。」
</t>
    </r>
    <r>
      <rPr>
        <b/>
        <sz val="10"/>
        <color rgb="FF000000"/>
        <rFont val="游ゴシック"/>
        <charset val="134"/>
      </rPr>
      <t xml:space="preserve">ステップ3：
</t>
    </r>
    <r>
      <rPr>
        <sz val="10"/>
        <color rgb="FF000000"/>
        <rFont val="游ゴシック"/>
        <charset val="134"/>
      </rPr>
      <t xml:space="preserve">Dữ liệu được update
</t>
    </r>
    <r>
      <rPr>
        <b/>
        <sz val="10"/>
        <color rgb="FF000000"/>
        <rFont val="游ゴシック"/>
        <charset val="134"/>
      </rPr>
      <t xml:space="preserve">ステップ4：
</t>
    </r>
    <r>
      <rPr>
        <sz val="10"/>
        <color rgb="FF000000"/>
        <rFont val="游ゴシック"/>
        <charset val="134"/>
      </rPr>
      <t xml:space="preserve">Lỗi được hiển thị và xử lý không được thực hiện (do đọc song song nằm ngoài đối tượng import)
</t>
    </r>
    <r>
      <rPr>
        <b/>
        <sz val="10"/>
        <color rgb="FF000000"/>
        <rFont val="游ゴシック"/>
        <charset val="134"/>
      </rPr>
      <t xml:space="preserve">補足：
</t>
    </r>
    <r>
      <rPr>
        <sz val="10"/>
        <color rgb="FF000000"/>
        <rFont val="游ゴシック"/>
        <charset val="134"/>
      </rPr>
      <t>・Loại đăng ký chọn trên màn hình được áp dụng đồng loạt cho toàn bộ dòng import
・Độc giả đọc song song chỉ ở chế độ read-only</t>
    </r>
  </si>
  <si>
    <t>ACSMS-TC-016-057</t>
  </si>
  <si>
    <t>Cập nhật — ghi audit log</t>
  </si>
  <si>
    <t>・Đã login bằng JA_HONTEN (đã xác thực 2 bước)
・Chế độ import là "更新"
・Đã đăng ký sẵn 2 độc giả là đối tượng cập nhật</t>
  </si>
  <si>
    <r>
      <rPr>
        <b/>
        <sz val="10"/>
        <color rgb="FF000000"/>
        <rFont val="游ゴシック"/>
        <charset val="134"/>
      </rPr>
      <t xml:space="preserve">ステップ1：
</t>
    </r>
    <r>
      <rPr>
        <sz val="10"/>
        <color rgb="FF000000"/>
        <rFont val="游ゴシック"/>
        <charset val="134"/>
      </rPr>
      <t xml:space="preserve">Thực hiện import với nội dung cập nhật ghi chú
</t>
    </r>
    <r>
      <rPr>
        <b/>
        <sz val="10"/>
        <color rgb="FF000000"/>
        <rFont val="游ゴシック"/>
        <charset val="134"/>
      </rPr>
      <t xml:space="preserve">ステップ2：
</t>
    </r>
    <r>
      <rPr>
        <sz val="10"/>
        <color rgb="FF000000"/>
        <rFont val="游ゴシック"/>
        <charset val="134"/>
      </rPr>
      <t xml:space="preserve">Chạy query sau trên DB để kiểm tra log thao tác
```sql
SELECT log_type, operation, result_status, gamen_name,
target_table, before_value, after_value
FROM t_log
ORDER BY log_datetime DESC
LIMIT 1;
```
</t>
    </r>
    <r>
      <rPr>
        <b/>
        <sz val="10"/>
        <color rgb="FF000000"/>
        <rFont val="游ゴシック"/>
        <charset val="134"/>
      </rPr>
      <t xml:space="preserve">ステップ3：
</t>
    </r>
    <r>
      <rPr>
        <sz val="10"/>
        <color rgb="FF000000"/>
        <rFont val="游ゴシック"/>
        <charset val="134"/>
      </rPr>
      <t xml:space="preserve">Kiểm tra nội dung của before_value và after_value
</t>
    </r>
    <r>
      <rPr>
        <b/>
        <sz val="10"/>
        <color rgb="FF000000"/>
        <rFont val="游ゴシック"/>
        <charset val="134"/>
      </rPr>
      <t xml:space="preserve">ステップ4：
</t>
    </r>
    <r>
      <rPr>
        <sz val="10"/>
        <color rgb="FF000000"/>
        <rFont val="游ゴシック"/>
        <charset val="134"/>
      </rPr>
      <t>Thực hiện import với file có ID không tồn tại và kiểm tra error log</t>
    </r>
  </si>
  <si>
    <r>
      <rPr>
        <b/>
        <sz val="10"/>
        <color rgb="FF000000"/>
        <rFont val="メイリオ"/>
        <charset val="134"/>
      </rPr>
      <t xml:space="preserve">ステップ1：
</t>
    </r>
    <r>
      <rPr>
        <sz val="10"/>
        <color rgb="FF000000"/>
        <rFont val="メイリオ"/>
        <charset val="134"/>
      </rPr>
      <t xml:space="preserve">Dữ liệu được update
</t>
    </r>
    <r>
      <rPr>
        <b/>
        <sz val="10"/>
        <color rgb="FF000000"/>
        <rFont val="メイリオ"/>
        <charset val="134"/>
      </rPr>
      <t xml:space="preserve">ステップ2：
</t>
    </r>
    <r>
      <rPr>
        <sz val="10"/>
        <color rgb="FF000000"/>
        <rFont val="メイリオ"/>
        <charset val="134"/>
      </rPr>
      <t xml:space="preserve">・log_type là 1
</t>
    </r>
    <r>
      <rPr>
        <sz val="10"/>
        <color rgb="FF000000"/>
        <rFont val="メイリオ"/>
        <charset val="134"/>
      </rPr>
      <t xml:space="preserve">・operation là `IMPORT_UPDATE_PARTIAL`
</t>
    </r>
    <r>
      <rPr>
        <sz val="10"/>
        <color rgb="FF000000"/>
        <rFont val="メイリオ"/>
        <charset val="134"/>
      </rPr>
      <t xml:space="preserve">・result_status là 1
</t>
    </r>
    <r>
      <rPr>
        <sz val="10"/>
        <color rgb="FF000000"/>
        <rFont val="メイリオ"/>
        <charset val="134"/>
      </rPr>
      <t xml:space="preserve">・gamen_name là `購読者Excelデータ取込画面 (ACSMS-SCR-016)`
</t>
    </r>
    <r>
      <rPr>
        <b/>
        <sz val="10"/>
        <color rgb="FF000000"/>
        <rFont val="メイリオ"/>
        <charset val="134"/>
      </rPr>
      <t xml:space="preserve">ステップ3：
</t>
    </r>
    <r>
      <rPr>
        <sz val="10"/>
        <color rgb="FF000000"/>
        <rFont val="メイリオ"/>
        <charset val="134"/>
      </rPr>
      <t xml:space="preserve">・before_value ghi lại dữ liệu trước khi cập nhật
</t>
    </r>
    <r>
      <rPr>
        <sz val="10"/>
        <color rgb="FF000000"/>
        <rFont val="メイリオ"/>
        <charset val="134"/>
      </rPr>
      <t xml:space="preserve">・after_value ghi lại thống kê kết quả import
</t>
    </r>
    <r>
      <rPr>
        <b/>
        <sz val="10"/>
        <color rgb="FF000000"/>
        <rFont val="メイリオ"/>
        <charset val="134"/>
      </rPr>
      <t xml:space="preserve">ステップ4：
</t>
    </r>
    <r>
      <rPr>
        <sz val="10"/>
        <color rgb="FF000000"/>
        <rFont val="メイリオ"/>
        <charset val="134"/>
      </rPr>
      <t xml:space="preserve">・Output error log (log_type là 3, result_status là 2)
</t>
    </r>
    <r>
      <rPr>
        <sz val="10"/>
        <color rgb="FF000000"/>
        <rFont val="メイリオ"/>
        <charset val="134"/>
      </rPr>
      <t xml:space="preserve">・Error log không bị rollback mà vẫn được giữ lại
</t>
    </r>
    <r>
      <rPr>
        <b/>
        <sz val="10"/>
        <color rgb="FF000000"/>
        <rFont val="メイリオ"/>
        <charset val="134"/>
      </rPr>
      <t xml:space="preserve">補足：
</t>
    </r>
    <r>
      <rPr>
        <sz val="10"/>
        <color rgb="FF000000"/>
        <rFont val="メイリオ"/>
        <charset val="134"/>
      </rPr>
      <t xml:space="preserve">・Audit log được record
</t>
    </r>
    <r>
      <rPr>
        <sz val="10"/>
        <color rgb="FF000000"/>
        <rFont val="メイリオ"/>
        <charset val="134"/>
      </rPr>
      <t>・Error log được ghi ở ngoài transaction</t>
    </r>
  </si>
  <si>
    <t>ACSMS-TC-016-058</t>
  </si>
  <si>
    <t>Cập nhật — lịch sử được thêm 1 bản ghi cho 1 lần cập nhật</t>
  </si>
  <si>
    <t>・Đã login bằng JA_HONTEN (đã xác thực 2 bước)
・Chế độ import là "更新"・loại đăng ký là "紙版"
・Đã đăng ký sẵn 1 độc giả là đối tượng cập nhật (đã có 1 bản ghi lịch sử)</t>
  </si>
  <si>
    <r>
      <rPr>
        <b/>
        <sz val="10"/>
        <color rgb="FF000000"/>
        <rFont val="游ゴシック"/>
        <charset val="134"/>
      </rPr>
      <t xml:space="preserve">ステップ1：
</t>
    </r>
    <r>
      <rPr>
        <sz val="10"/>
        <color rgb="FF000000"/>
        <rFont val="游ゴシック"/>
        <charset val="134"/>
      </rPr>
      <t xml:space="preserve">Chọn "購読部数"・"販売店コード" ở cột import, thực hiện import với nội dung thay đổi cả hai (ngày áp dụng thay đổi thông tin độc giả là ngày tương lai)
</t>
    </r>
    <r>
      <rPr>
        <b/>
        <sz val="10"/>
        <color rgb="FF000000"/>
        <rFont val="游ゴシック"/>
        <charset val="134"/>
      </rPr>
      <t xml:space="preserve">ステップ2：
</t>
    </r>
    <r>
      <rPr>
        <sz val="10"/>
        <color rgb="FF000000"/>
        <rFont val="游ゴシック"/>
        <charset val="134"/>
      </rPr>
      <t xml:space="preserve">Chạy query sau trên DB để kiểm tra lịch sử
```sql
SELECT rireki_no, dokusya_busu, hanbaiten_id, joho_henko_tekiyo_date,
saishin_data_flg, zougen_hokoku_flg, shinki_flg, kaiyaku_flg,
zenkai_dokusya_busu, zenkai_hanbaiten_id
FROM t_dokusya_rireki
WHERE dokusya_id = ID đối tượng
ORDER BY rireki_no;
```
</t>
    </r>
    <r>
      <rPr>
        <b/>
        <sz val="10"/>
        <color rgb="FF000000"/>
        <rFont val="游ゴシック"/>
        <charset val="134"/>
      </rPr>
      <t xml:space="preserve">ステップ3：
</t>
    </r>
    <r>
      <rPr>
        <sz val="10"/>
        <color rgb="FF000000"/>
        <rFont val="游ゴシック"/>
        <charset val="134"/>
      </rPr>
      <t xml:space="preserve">Kiểm tra số bản ghi lịch sử được thêm
</t>
    </r>
    <r>
      <rPr>
        <b/>
        <sz val="10"/>
        <color rgb="FF000000"/>
        <rFont val="游ゴシック"/>
        <charset val="134"/>
      </rPr>
      <t xml:space="preserve">ステップ4：
</t>
    </r>
    <r>
      <rPr>
        <sz val="10"/>
        <color rgb="FF000000"/>
        <rFont val="游ゴシック"/>
        <charset val="134"/>
      </rPr>
      <t>Kiểm tra saishin_data_flg của lịch sử trước khi cập nhật</t>
    </r>
  </si>
  <si>
    <r>
      <rPr>
        <b/>
        <sz val="10"/>
        <color rgb="FF000000"/>
        <rFont val="メイリオ"/>
        <charset val="134"/>
      </rPr>
      <t xml:space="preserve">ステップ1：
</t>
    </r>
    <r>
      <rPr>
        <sz val="10"/>
        <color rgb="FF000000"/>
        <rFont val="メイリオ"/>
        <charset val="134"/>
      </rPr>
      <t xml:space="preserve">Dữ liệu được update
</t>
    </r>
    <r>
      <rPr>
        <b/>
        <sz val="10"/>
        <color rgb="FF000000"/>
        <rFont val="メイリオ"/>
        <charset val="134"/>
      </rPr>
      <t xml:space="preserve">ステップ2：
</t>
    </r>
    <r>
      <rPr>
        <sz val="10"/>
        <color rgb="FF000000"/>
        <rFont val="メイリオ"/>
        <charset val="134"/>
      </rPr>
      <t xml:space="preserve">・joho_henko_tekiyo_date của lịch sử vừa thêm khớp với ngày áp dụng đã chỉ định
</t>
    </r>
    <r>
      <rPr>
        <sz val="10"/>
        <color rgb="FF000000"/>
        <rFont val="メイリオ"/>
        <charset val="134"/>
      </rPr>
      <t xml:space="preserve">・zenkai_dokusya_busu・zenkai_hanbaiten_id chứa giá trị trước khi cập nhật
</t>
    </r>
    <r>
      <rPr>
        <sz val="10"/>
        <color rgb="FF000000"/>
        <rFont val="メイリオ"/>
        <charset val="134"/>
      </rPr>
      <t xml:space="preserve">・zougen_hokoku_flg là TRUE
</t>
    </r>
    <r>
      <rPr>
        <sz val="10"/>
        <color rgb="FF000000"/>
        <rFont val="メイリオ"/>
        <charset val="134"/>
      </rPr>
      <t xml:space="preserve">・kaiyaku_flg là FALSE
</t>
    </r>
    <r>
      <rPr>
        <b/>
        <sz val="10"/>
        <color rgb="FF000000"/>
        <rFont val="メイリオ"/>
        <charset val="134"/>
      </rPr>
      <t xml:space="preserve">ステップ3：
</t>
    </r>
    <r>
      <rPr>
        <sz val="10"/>
        <color rgb="FF000000"/>
        <rFont val="メイリオ"/>
        <charset val="134"/>
      </rPr>
      <t xml:space="preserve">Chỉ 1 bản ghi lịch sử được thêm (do dù thay đổi thông tin và thay đổi cửa hàng bán cùng lúc thì vẫn là 1 bản ghi)
</t>
    </r>
    <r>
      <rPr>
        <b/>
        <sz val="10"/>
        <color rgb="FF000000"/>
        <rFont val="メイリオ"/>
        <charset val="134"/>
      </rPr>
      <t xml:space="preserve">ステップ4：
</t>
    </r>
    <r>
      <rPr>
        <sz val="10"/>
        <color rgb="FF000000"/>
        <rFont val="メイリオ"/>
        <charset val="134"/>
      </rPr>
      <t xml:space="preserve">saishin_data_flg của lịch sử trước khi cập nhật được đổi thành FALSE
</t>
    </r>
    <r>
      <rPr>
        <b/>
        <sz val="10"/>
        <color rgb="FF000000"/>
        <rFont val="メイリオ"/>
        <charset val="134"/>
      </rPr>
      <t xml:space="preserve">補足：
</t>
    </r>
    <r>
      <rPr>
        <sz val="10"/>
        <color rgb="FF000000"/>
        <rFont val="メイリオ"/>
        <charset val="134"/>
      </rPr>
      <t>・Logic thêm lịch sử được thống nhất với đăng ký thông tin độc giả và thay thế hàng loạt</t>
    </r>
  </si>
  <si>
    <t>ACSMS-TC-016-059</t>
  </si>
  <si>
    <t>Cập nhật — ngày bắt đầu đăng ký nằm ngoài đối tượng cập nhật</t>
  </si>
  <si>
    <r>
      <rPr>
        <b/>
        <sz val="10"/>
        <color rgb="FF000000"/>
        <rFont val="游ゴシック"/>
        <charset val="134"/>
      </rPr>
      <t xml:space="preserve">ステップ1：
</t>
    </r>
    <r>
      <rPr>
        <sz val="10"/>
        <color rgb="FF000000"/>
        <rFont val="游ゴシック"/>
        <charset val="134"/>
      </rPr>
      <t xml:space="preserve">Kiểm tra trạng thái của "購読開始日" trong panel chọn cột import
</t>
    </r>
    <r>
      <rPr>
        <b/>
        <sz val="10"/>
        <color rgb="FF000000"/>
        <rFont val="游ゴシック"/>
        <charset val="134"/>
      </rPr>
      <t xml:space="preserve">ステップ2：
</t>
    </r>
    <r>
      <rPr>
        <sz val="10"/>
        <color rgb="FF000000"/>
        <rFont val="游ゴシック"/>
        <charset val="134"/>
      </rPr>
      <t xml:space="preserve">Check vào "すべて選択／解除" và kiểm tra lại trạng thái của "購読開始日"
</t>
    </r>
    <r>
      <rPr>
        <b/>
        <sz val="10"/>
        <color rgb="FF000000"/>
        <rFont val="游ゴシック"/>
        <charset val="134"/>
      </rPr>
      <t xml:space="preserve">ステップ3：
</t>
    </r>
    <r>
      <rPr>
        <sz val="10"/>
        <color rgb="FF000000"/>
        <rFont val="游ゴシック"/>
        <charset val="134"/>
      </rPr>
      <t xml:space="preserve">Gửi POST "/api/v1/dokusya/import" với request body có `dokusya_kaishi_date` trong selected_columns qua tab Network của DevTools
</t>
    </r>
    <r>
      <rPr>
        <b/>
        <sz val="10"/>
        <color rgb="FF000000"/>
        <rFont val="游ゴシック"/>
        <charset val="134"/>
      </rPr>
      <t xml:space="preserve">ステップ4：
</t>
    </r>
    <r>
      <rPr>
        <sz val="10"/>
        <color rgb="FF000000"/>
        <rFont val="游ゴシック"/>
        <charset val="134"/>
      </rPr>
      <t>Chạy query sau trên DB để kiểm tra ngày bắt đầu đăng ký
```sql
SELECT dokusya_kaishi_date, shoki_dokusya_kaishi_date
FROM t_dokusya WHERE dokusya_id = ID đối tượng;
```</t>
    </r>
  </si>
  <si>
    <r>
      <rPr>
        <b/>
        <sz val="10"/>
        <color rgb="FF000000"/>
        <rFont val="游ゴシック"/>
        <charset val="134"/>
      </rPr>
      <t xml:space="preserve">ステップ1：
</t>
    </r>
    <r>
      <rPr>
        <sz val="10"/>
        <color rgb="FF000000"/>
        <rFont val="游ゴシック"/>
        <charset val="134"/>
      </rPr>
      <t xml:space="preserve">"購読開始日" ở trạng thái không check được (hiển thị màu xám)
</t>
    </r>
    <r>
      <rPr>
        <b/>
        <sz val="10"/>
        <color rgb="FF000000"/>
        <rFont val="游ゴシック"/>
        <charset val="134"/>
      </rPr>
      <t xml:space="preserve">ステップ2：
</t>
    </r>
    <r>
      <rPr>
        <sz val="10"/>
        <color rgb="FF000000"/>
        <rFont val="游ゴシック"/>
        <charset val="134"/>
      </rPr>
      <t xml:space="preserve">"購読開始日" không được check
</t>
    </r>
    <r>
      <rPr>
        <b/>
        <sz val="10"/>
        <color rgb="FF000000"/>
        <rFont val="游ゴシック"/>
        <charset val="134"/>
      </rPr>
      <t xml:space="preserve">ステップ3：
</t>
    </r>
    <r>
      <rPr>
        <sz val="10"/>
        <color rgb="FF000000"/>
        <rFont val="游ゴシック"/>
        <charset val="134"/>
      </rPr>
      <t xml:space="preserve">Xử lý được thực hiện nhưng ngày bắt đầu đăng ký không được cập nhật
</t>
    </r>
    <r>
      <rPr>
        <b/>
        <sz val="10"/>
        <color rgb="FF000000"/>
        <rFont val="游ゴシック"/>
        <charset val="134"/>
      </rPr>
      <t xml:space="preserve">ステップ4：
</t>
    </r>
    <r>
      <rPr>
        <sz val="10"/>
        <color rgb="FF000000"/>
        <rFont val="游ゴシック"/>
        <charset val="134"/>
      </rPr>
      <t xml:space="preserve">・dokusya_kaishi_date được giữ nguyên giá trị trước khi cập nhật
・shoki_dokusya_kaishi_date được giữ nguyên giá trị trước khi cập nhật
</t>
    </r>
    <r>
      <rPr>
        <b/>
        <sz val="10"/>
        <color rgb="FF000000"/>
        <rFont val="游ゴシック"/>
        <charset val="134"/>
      </rPr>
      <t xml:space="preserve">補足：
</t>
    </r>
    <r>
      <rPr>
        <sz val="10"/>
        <color rgb="FF000000"/>
        <rFont val="游ゴシック"/>
        <charset val="134"/>
      </rPr>
      <t>・Không chỉ chặn thao tác phía màn hình mà phía server cũng loại khỏi đối tượng cập nhật</t>
    </r>
  </si>
  <si>
    <t>ACSMS-TC-016-060</t>
  </si>
  <si>
    <t>Cập nhật — các mục phụ thuộc của phân loại tầng lớp người đọc</t>
  </si>
  <si>
    <t>・Đã login bằng JA_HONTEN (đã xác thực 2 bước)
・Chế độ import là "更新"・loại đăng ký là "電子版"
・Đã check phân loại tầng lớp người đọc và 4 mục phụ thuộc ở cột import</t>
  </si>
  <si>
    <r>
      <rPr>
        <b/>
        <sz val="10"/>
        <color rgb="FF000000"/>
        <rFont val="メイリオ"/>
        <charset val="134"/>
      </rPr>
      <t xml:space="preserve">ステップ1：
</t>
    </r>
    <r>
      <rPr>
        <sz val="10"/>
        <color rgb="FF000000"/>
        <rFont val="メイリオ"/>
        <charset val="134"/>
      </rPr>
      <t xml:space="preserve">Thực hiện import với dòng ghi phân loại tầng lớp người đọc là "0 (người làm nông)" và kiêm cán bộ nhân viên nhóm JA là TRUE, kiểm tra giá trị lưu
</t>
    </r>
    <r>
      <rPr>
        <b/>
        <sz val="10"/>
        <color rgb="FF000000"/>
        <rFont val="メイリオ"/>
        <charset val="134"/>
      </rPr>
      <t xml:space="preserve">ステップ2：
</t>
    </r>
    <r>
      <rPr>
        <sz val="10"/>
        <color rgb="FF000000"/>
        <rFont val="メイリオ"/>
        <charset val="134"/>
      </rPr>
      <t xml:space="preserve">Thực hiện import với dòng ghi phân loại tầng lớp người đọc là "2 (doanh nghiệp・đoàn thể)" và liên quan nông nghiệp là TRUE, kiểm tra giá trị lưu
</t>
    </r>
    <r>
      <rPr>
        <b/>
        <sz val="10"/>
        <color rgb="FF000000"/>
        <rFont val="メイリオ"/>
        <charset val="134"/>
      </rPr>
      <t xml:space="preserve">ステップ3：
</t>
    </r>
    <r>
      <rPr>
        <sz val="10"/>
        <color rgb="FF000000"/>
        <rFont val="メイリオ"/>
        <charset val="134"/>
      </rPr>
      <t xml:space="preserve">Thực hiện import với dòng ghi phân loại tầng lớp người đọc là "999 (khác)" và thuộc tính người đọc (nội dung khác) có giá trị, kiểm tra giá trị lưu
</t>
    </r>
    <r>
      <rPr>
        <b/>
        <sz val="10"/>
        <color rgb="FF000000"/>
        <rFont val="メイリオ"/>
        <charset val="134"/>
      </rPr>
      <t xml:space="preserve">ステップ4：
</t>
    </r>
    <r>
      <rPr>
        <sz val="10"/>
        <color rgb="FF000000"/>
        <rFont val="メイリオ"/>
        <charset val="134"/>
      </rPr>
      <t>Thực hiện import với dòng ghi phân loại tầng lớp người đọc là "2 (doanh nghiệp・đoàn thể)" và kiêm cán bộ nhân viên nhóm JA là TRUE (tổ hợp không thỏa điều kiện), kiểm tra giá trị lưu</t>
    </r>
  </si>
  <si>
    <r>
      <rPr>
        <b/>
        <sz val="10"/>
        <color rgb="FF000000"/>
        <rFont val="メイリオ"/>
        <charset val="134"/>
      </rPr>
      <t xml:space="preserve">ステップ1：
</t>
    </r>
    <r>
      <rPr>
        <sz val="10"/>
        <color rgb="FF000000"/>
        <rFont val="メイリオ"/>
        <charset val="134"/>
      </rPr>
      <t xml:space="preserve">Dữ liệu được update và ja_yakushokuin_flg được lưu là TRUE
</t>
    </r>
    <r>
      <rPr>
        <b/>
        <sz val="10"/>
        <color rgb="FF000000"/>
        <rFont val="メイリオ"/>
        <charset val="134"/>
      </rPr>
      <t xml:space="preserve">ステップ2：
</t>
    </r>
    <r>
      <rPr>
        <sz val="10"/>
        <color rgb="FF000000"/>
        <rFont val="メイリオ"/>
        <charset val="134"/>
      </rPr>
      <t xml:space="preserve">Dữ liệu được update và nogyo_kankei_flg được lưu là TRUE
</t>
    </r>
    <r>
      <rPr>
        <b/>
        <sz val="10"/>
        <color rgb="FF000000"/>
        <rFont val="メイリオ"/>
        <charset val="134"/>
      </rPr>
      <t xml:space="preserve">ステップ3：
</t>
    </r>
    <r>
      <rPr>
        <sz val="10"/>
        <color rgb="FF000000"/>
        <rFont val="メイリオ"/>
        <charset val="134"/>
      </rPr>
      <t xml:space="preserve">Dữ liệu được update và dokusyaso_bunrui_sonota được lưu giá trị
</t>
    </r>
    <r>
      <rPr>
        <b/>
        <sz val="10"/>
        <color rgb="FF000000"/>
        <rFont val="メイリオ"/>
        <charset val="134"/>
      </rPr>
      <t xml:space="preserve">ステップ4：
</t>
    </r>
    <r>
      <rPr>
        <sz val="10"/>
        <color rgb="FF000000"/>
        <rFont val="メイリオ"/>
        <charset val="134"/>
      </rPr>
      <t xml:space="preserve">・Dữ liệu được update
</t>
    </r>
    <r>
      <rPr>
        <sz val="10"/>
        <color rgb="FF000000"/>
        <rFont val="メイリオ"/>
        <charset val="134"/>
      </rPr>
      <t xml:space="preserve">・ja_yakushokuin_flg được lưu là FALSE (do phân loại cha không thỏa điều kiện)
</t>
    </r>
    <r>
      <rPr>
        <b/>
        <sz val="10"/>
        <color rgb="FF000000"/>
        <rFont val="メイリオ"/>
        <charset val="134"/>
      </rPr>
      <t xml:space="preserve">補足：
</t>
    </r>
    <r>
      <rPr>
        <sz val="10"/>
        <color rgb="FF000000"/>
        <rFont val="メイリオ"/>
        <charset val="134"/>
      </rPr>
      <t xml:space="preserve">・Việc phán định mục phụ thuộc giống với màn hình đăng ký thông tin độc giả
</t>
    </r>
    <r>
      <rPr>
        <sz val="10"/>
        <color rgb="FF000000"/>
        <rFont val="メイリオ"/>
        <charset val="134"/>
      </rPr>
      <t>・Tổ hợp không thỏa điều kiện được phía server đưa về giá trị khởi tạo</t>
    </r>
  </si>
  <si>
    <t>ACSMS-TC-016-061</t>
  </si>
  <si>
    <t>Cập nhật — phán định trùng địa chỉ email xuyên JA</t>
  </si>
  <si>
    <t>・Đã login bằng JA_HONTEN (đã xác thực 2 bước)
・Đã đăng ký sẵn độc giả bản điện tử ở JA mình và cả ở JA khác
・Ghi lại địa chỉ email của độc giả thuộc JA khác</t>
  </si>
  <si>
    <r>
      <rPr>
        <b/>
        <sz val="10"/>
        <color rgb="FF000000"/>
        <rFont val="メイリオ"/>
        <charset val="134"/>
      </rPr>
      <t xml:space="preserve">ステップ1：
</t>
    </r>
    <r>
      <rPr>
        <sz val="10"/>
        <color rgb="FF000000"/>
        <rFont val="メイリオ"/>
        <charset val="134"/>
      </rPr>
      <t xml:space="preserve">Với loại đăng ký "電子版", thực hiện import với dòng ghi cùng địa chỉ email với độc giả của JA khác
</t>
    </r>
    <r>
      <rPr>
        <b/>
        <sz val="10"/>
        <color rgb="FF000000"/>
        <rFont val="メイリオ"/>
        <charset val="134"/>
      </rPr>
      <t xml:space="preserve">ステップ2：
</t>
    </r>
    <r>
      <rPr>
        <sz val="10"/>
        <color rgb="FF000000"/>
        <rFont val="メイリオ"/>
        <charset val="134"/>
      </rPr>
      <t xml:space="preserve">Kiểm tra danh sách lỗi hiển thị trên màn hình
</t>
    </r>
    <r>
      <rPr>
        <b/>
        <sz val="10"/>
        <color rgb="FF000000"/>
        <rFont val="メイリオ"/>
        <charset val="134"/>
      </rPr>
      <t xml:space="preserve">ステップ3：
</t>
    </r>
    <r>
      <rPr>
        <sz val="10"/>
        <color rgb="FF000000"/>
        <rFont val="メイリオ"/>
        <charset val="134"/>
      </rPr>
      <t xml:space="preserve">Thực hiện import khi trong cùng một file ghi cùng địa chỉ email ở 2 dòng
</t>
    </r>
    <r>
      <rPr>
        <b/>
        <sz val="10"/>
        <color rgb="FF000000"/>
        <rFont val="メイリオ"/>
        <charset val="134"/>
      </rPr>
      <t xml:space="preserve">ステップ4：
</t>
    </r>
    <r>
      <rPr>
        <sz val="10"/>
        <color rgb="FF000000"/>
        <rFont val="メイリオ"/>
        <charset val="134"/>
      </rPr>
      <t>Với loại đăng ký "紙版", thực hiện import với dòng ghi cùng địa chỉ email với độc giả bản điện tử của JA khác</t>
    </r>
  </si>
  <si>
    <r>
      <rPr>
        <b/>
        <sz val="10"/>
        <color rgb="FF000000"/>
        <rFont val="メイリオ"/>
        <charset val="134"/>
      </rPr>
      <t xml:space="preserve">ステップ1：
</t>
    </r>
    <r>
      <rPr>
        <sz val="10"/>
        <color rgb="FF000000"/>
        <rFont val="メイリオ"/>
        <charset val="134"/>
      </rPr>
      <t xml:space="preserve">Lỗi được hiển thị và xử lý không được thực hiện
</t>
    </r>
    <r>
      <rPr>
        <b/>
        <sz val="10"/>
        <color rgb="FF000000"/>
        <rFont val="メイリオ"/>
        <charset val="134"/>
      </rPr>
      <t xml:space="preserve">ステップ2：
</t>
    </r>
    <r>
      <rPr>
        <sz val="10"/>
        <color rgb="FF000000"/>
        <rFont val="メイリオ"/>
        <charset val="134"/>
      </rPr>
      <t xml:space="preserve">Hiển thị「このメールアドレスは既に登録されています。」
</t>
    </r>
    <r>
      <rPr>
        <b/>
        <sz val="10"/>
        <color rgb="FF000000"/>
        <rFont val="メイリオ"/>
        <charset val="134"/>
      </rPr>
      <t xml:space="preserve">ステップ3：
</t>
    </r>
    <r>
      <rPr>
        <sz val="10"/>
        <color rgb="FF000000"/>
        <rFont val="メイリオ"/>
        <charset val="134"/>
      </rPr>
      <t xml:space="preserve">Lỗi được hiển thị và xử lý không được thực hiện (do trùng trong cùng file cũng bị phát hiện)
</t>
    </r>
    <r>
      <rPr>
        <b/>
        <sz val="10"/>
        <color rgb="FF000000"/>
        <rFont val="メイリオ"/>
        <charset val="134"/>
      </rPr>
      <t xml:space="preserve">ステップ4：
</t>
    </r>
    <r>
      <rPr>
        <sz val="10"/>
        <color rgb="FF000000"/>
        <rFont val="メイリオ"/>
        <charset val="134"/>
      </rPr>
      <t xml:space="preserve">Dữ liệu được update (do bản giấy nằm ngoài đối tượng kiểm tra trùng)
</t>
    </r>
    <r>
      <rPr>
        <b/>
        <sz val="10"/>
        <color rgb="FF000000"/>
        <rFont val="メイリオ"/>
        <charset val="134"/>
      </rPr>
      <t xml:space="preserve">補足：
</t>
    </r>
    <r>
      <rPr>
        <sz val="10"/>
        <color rgb="FF000000"/>
        <rFont val="メイリオ"/>
        <charset val="134"/>
      </rPr>
      <t xml:space="preserve">・Việc trùng địa chỉ email của bản điện tử・đọc song song được đối chiếu với cả dữ liệu của JA khác
</t>
    </r>
    <r>
      <rPr>
        <sz val="10"/>
        <color rgb="FF000000"/>
        <rFont val="メイリオ"/>
        <charset val="134"/>
      </rPr>
      <t>・Địa chỉ email của dữ liệu đã xóa logical có thể tái sử dụng</t>
    </r>
  </si>
  <si>
    <t>Business logic — Ngừng hàng loạt (Function — Bulk Stop)</t>
  </si>
  <si>
    <t>ACSMS-TC-016-062</t>
  </si>
  <si>
    <t>Ngừng hàng loạt — cột import thu hẹp về cột khóa</t>
  </si>
  <si>
    <t>・Đã login bằng JA_HONTEN (đã xác thực 2 bước)
・Chế độ import là "更新"・loại đăng ký là "紙版"</t>
  </si>
  <si>
    <r>
      <rPr>
        <b/>
        <sz val="10"/>
        <color rgb="FF000000"/>
        <rFont val="游ゴシック"/>
        <charset val="134"/>
      </rPr>
      <t xml:space="preserve">ステップ1：
</t>
    </r>
    <r>
      <rPr>
        <sz val="10"/>
        <color rgb="FF000000"/>
        <rFont val="游ゴシック"/>
        <charset val="134"/>
      </rPr>
      <t xml:space="preserve">Đưa "備考"・"購読部数" về trạng thái đã check trong panel chọn cột import
</t>
    </r>
    <r>
      <rPr>
        <b/>
        <sz val="10"/>
        <color rgb="FF000000"/>
        <rFont val="游ゴシック"/>
        <charset val="134"/>
      </rPr>
      <t xml:space="preserve">ステップ2：
</t>
    </r>
    <r>
      <rPr>
        <sz val="10"/>
        <color rgb="FF000000"/>
        <rFont val="游ゴシック"/>
        <charset val="134"/>
      </rPr>
      <t xml:space="preserve">Chỉ định ngày tương lai vào ngày ngừng đăng ký và kiểm tra nội dung hiển thị của màn hình
</t>
    </r>
    <r>
      <rPr>
        <b/>
        <sz val="10"/>
        <color rgb="FF000000"/>
        <rFont val="游ゴシック"/>
        <charset val="134"/>
      </rPr>
      <t xml:space="preserve">ステップ3：
</t>
    </r>
    <r>
      <rPr>
        <sz val="10"/>
        <color rgb="FF000000"/>
        <rFont val="游ゴシック"/>
        <charset val="134"/>
      </rPr>
      <t xml:space="preserve">Kiểm tra trạng thái của từng cột trong panel chọn cột import
</t>
    </r>
    <r>
      <rPr>
        <b/>
        <sz val="10"/>
        <color rgb="FF000000"/>
        <rFont val="游ゴシック"/>
        <charset val="134"/>
      </rPr>
      <t xml:space="preserve">ステップ4：
</t>
    </r>
    <r>
      <rPr>
        <sz val="10"/>
        <color rgb="FF000000"/>
        <rFont val="游ゴシック"/>
        <charset val="134"/>
      </rPr>
      <t>Gửi POST "/api/v1/dokusya/import" với request body vừa chỉ định ngày ngừng đăng ký vừa có "備考" trong selected_columns qua tab Network của DevTools, rồi kiểm tra ghi chú trong DB</t>
    </r>
  </si>
  <si>
    <r>
      <rPr>
        <b/>
        <sz val="10"/>
        <color rgb="FF000000"/>
        <rFont val="メイリオ"/>
        <charset val="134"/>
      </rPr>
      <t xml:space="preserve">ステップ1：
</t>
    </r>
    <r>
      <rPr>
        <sz val="10"/>
        <color rgb="FF000000"/>
        <rFont val="メイリオ"/>
        <charset val="134"/>
      </rPr>
      <t xml:space="preserve">"備考"・"購読部数" chuyển sang trạng thái đã check
</t>
    </r>
    <r>
      <rPr>
        <b/>
        <sz val="10"/>
        <color rgb="FF000000"/>
        <rFont val="メイリオ"/>
        <charset val="134"/>
      </rPr>
      <t xml:space="preserve">ステップ2：
</t>
    </r>
    <r>
      <rPr>
        <sz val="10"/>
        <color rgb="FF000000"/>
        <rFont val="メイリオ"/>
        <charset val="134"/>
      </rPr>
      <t xml:space="preserve">Hiển thị「一括中止として取込みます。対象はIDで特定し、他の項目は更新しません。」
</t>
    </r>
    <r>
      <rPr>
        <b/>
        <sz val="10"/>
        <color rgb="FF000000"/>
        <rFont val="メイリオ"/>
        <charset val="134"/>
      </rPr>
      <t xml:space="preserve">ステップ3：
</t>
    </r>
    <r>
      <rPr>
        <sz val="10"/>
        <color rgb="FF000000"/>
        <rFont val="メイリオ"/>
        <charset val="134"/>
      </rPr>
      <t xml:space="preserve">Các cột ngoài cột khóa (ID) chuyển sang trạng thái không chọn được
</t>
    </r>
    <r>
      <rPr>
        <b/>
        <sz val="10"/>
        <color rgb="FF000000"/>
        <rFont val="メイリオ"/>
        <charset val="134"/>
      </rPr>
      <t xml:space="preserve">ステップ4：
</t>
    </r>
    <r>
      <rPr>
        <sz val="10"/>
        <color rgb="FF000000"/>
        <rFont val="メイリオ"/>
        <charset val="134"/>
      </rPr>
      <t xml:space="preserve">・Xử lý được thực hiện
</t>
    </r>
    <r>
      <rPr>
        <sz val="10"/>
        <color rgb="FF000000"/>
        <rFont val="メイリオ"/>
        <charset val="134"/>
      </rPr>
      <t xml:space="preserve">・Ghi chú được giữ nguyên giá trị trước khi cập nhật (do ngoài cột khóa thì không được ghi)
</t>
    </r>
    <r>
      <rPr>
        <b/>
        <sz val="10"/>
        <color rgb="FF000000"/>
        <rFont val="メイリオ"/>
        <charset val="134"/>
      </rPr>
      <t xml:space="preserve">補足：
</t>
    </r>
    <r>
      <rPr>
        <sz val="10"/>
        <color rgb="FF000000"/>
        <rFont val="メイリオ"/>
        <charset val="134"/>
      </rPr>
      <t>・Không chỉ chặn thao tác phía màn hình mà phía server cũng không ghi các cột ngoài cột khóa</t>
    </r>
  </si>
  <si>
    <t>ACSMS-TC-016-063</t>
  </si>
  <si>
    <t>Ngừng hàng loạt — tạo đặt trước hủy đăng ký cho bản giấy</t>
  </si>
  <si>
    <t>・Đã login bằng JA_HONTEN (đã xác thực 2 bước)
・Chế độ import là "更新"・loại đăng ký là "紙版"
・Đã đăng ký sẵn 3 độc giả là đối tượng
・Chuẩn bị file Excel chỉ ghi ID</t>
  </si>
  <si>
    <r>
      <rPr>
        <b/>
        <sz val="10"/>
        <color rgb="FF000000"/>
        <rFont val="メイリオ"/>
        <charset val="134"/>
      </rPr>
      <t xml:space="preserve">ステップ1：
</t>
    </r>
    <r>
      <rPr>
        <sz val="10"/>
        <color rgb="FF000000"/>
        <rFont val="メイリオ"/>
        <charset val="134"/>
      </rPr>
      <t xml:space="preserve">Chỉ định ngày tương lai vào ngày ngừng đăng ký, click button bắt đầu import rồi click "はい" ở dialog xác nhận
</t>
    </r>
    <r>
      <rPr>
        <b/>
        <sz val="10"/>
        <color rgb="FF000000"/>
        <rFont val="メイリオ"/>
        <charset val="134"/>
      </rPr>
      <t xml:space="preserve">ステップ2：
</t>
    </r>
    <r>
      <rPr>
        <sz val="10"/>
        <color rgb="FF000000"/>
        <rFont val="メイリオ"/>
        <charset val="134"/>
      </rPr>
      <t xml:space="preserve">Kiểm tra hiển thị số lượng import trên màn hình
</t>
    </r>
    <r>
      <rPr>
        <b/>
        <sz val="10"/>
        <color rgb="FF000000"/>
        <rFont val="メイリオ"/>
        <charset val="134"/>
      </rPr>
      <t xml:space="preserve">ステップ3：
</t>
    </r>
    <r>
      <rPr>
        <sz val="10"/>
        <color rgb="FF000000"/>
        <rFont val="メイリオ"/>
        <charset val="134"/>
      </rPr>
      <t xml:space="preserve">Chạy query sau trên DB để kiểm tra bảng độc giả và lịch sử
</t>
    </r>
    <r>
      <rPr>
        <sz val="10"/>
        <color rgb="FF000000"/>
        <rFont val="メイリオ"/>
        <charset val="134"/>
      </rPr>
      <t xml:space="preserve">```sql
</t>
    </r>
    <r>
      <rPr>
        <sz val="10"/>
        <color rgb="FF000000"/>
        <rFont val="メイリオ"/>
        <charset val="134"/>
      </rPr>
      <t xml:space="preserve">SELECT dokusya_id, dokusya_chushi_date, dokusya_busu, tetsuzuki_shurui
</t>
    </r>
    <r>
      <rPr>
        <sz val="10"/>
        <color rgb="FF000000"/>
        <rFont val="メイリオ"/>
        <charset val="134"/>
      </rPr>
      <t xml:space="preserve">FROM t_dokusya WHERE dokusya_id IN (3 ID đối tượng);
</t>
    </r>
    <r>
      <rPr>
        <sz val="10"/>
        <color rgb="FF000000"/>
        <rFont val="メイリオ"/>
        <charset val="134"/>
      </rPr>
      <t xml:space="preserve">SELECT dokusya_id, dokusya_busu, dokusya_chushi_date,
</t>
    </r>
    <r>
      <rPr>
        <sz val="10"/>
        <color rgb="FF000000"/>
        <rFont val="メイリオ"/>
        <charset val="134"/>
      </rPr>
      <t xml:space="preserve">joho_henko_tekiyo_date, kaiyaku_flg, saishin_data_flg
</t>
    </r>
    <r>
      <rPr>
        <sz val="10"/>
        <color rgb="FF000000"/>
        <rFont val="メイリオ"/>
        <charset val="134"/>
      </rPr>
      <t xml:space="preserve">FROM t_dokusya_rireki
</t>
    </r>
    <r>
      <rPr>
        <sz val="10"/>
        <color rgb="FF000000"/>
        <rFont val="メイリオ"/>
        <charset val="134"/>
      </rPr>
      <t xml:space="preserve">WHERE dokusya_id IN (3 ID đối tượng)
</t>
    </r>
    <r>
      <rPr>
        <sz val="10"/>
        <color rgb="FF000000"/>
        <rFont val="メイリオ"/>
        <charset val="134"/>
      </rPr>
      <t xml:space="preserve">ORDER BY rireki_no DESC;
</t>
    </r>
    <r>
      <rPr>
        <sz val="10"/>
        <color rgb="FF000000"/>
        <rFont val="メイリオ"/>
        <charset val="134"/>
      </rPr>
      <t xml:space="preserve">```
</t>
    </r>
    <r>
      <rPr>
        <b/>
        <sz val="10"/>
        <color rgb="FF000000"/>
        <rFont val="メイリオ"/>
        <charset val="134"/>
      </rPr>
      <t xml:space="preserve">ステップ4：
</t>
    </r>
    <r>
      <rPr>
        <sz val="10"/>
        <color rgb="FF000000"/>
        <rFont val="メイリオ"/>
        <charset val="134"/>
      </rPr>
      <t>Tìm kiếm độc giả đối tượng ở màn hình tìm kiếm chi tiết độc giả (ACSMS-SCR-014) và kiểm tra nội dung hiển thị</t>
    </r>
  </si>
  <si>
    <r>
      <rPr>
        <b/>
        <sz val="10"/>
        <color rgb="FF000000"/>
        <rFont val="メイリオ"/>
        <charset val="134"/>
      </rPr>
      <t xml:space="preserve">ステップ1：
</t>
    </r>
    <r>
      <rPr>
        <sz val="10"/>
        <color rgb="FF000000"/>
        <rFont val="メイリオ"/>
        <charset val="134"/>
      </rPr>
      <t xml:space="preserve">Xử lý được thực hiện và hiển thị toast「取り込みました。」
</t>
    </r>
    <r>
      <rPr>
        <b/>
        <sz val="10"/>
        <color rgb="FF000000"/>
        <rFont val="メイリオ"/>
        <charset val="134"/>
      </rPr>
      <t xml:space="preserve">ステップ2：
</t>
    </r>
    <r>
      <rPr>
        <sz val="10"/>
        <color rgb="FF000000"/>
        <rFont val="メイリオ"/>
        <charset val="134"/>
      </rPr>
      <t xml:space="preserve">Hiển thị số lượng import là "解約 3件"
</t>
    </r>
    <r>
      <rPr>
        <b/>
        <sz val="10"/>
        <color rgb="FF000000"/>
        <rFont val="メイリオ"/>
        <charset val="134"/>
      </rPr>
      <t xml:space="preserve">ステップ3：
</t>
    </r>
    <r>
      <rPr>
        <sz val="10"/>
        <color rgb="FF000000"/>
        <rFont val="メイリオ"/>
        <charset val="134"/>
      </rPr>
      <t xml:space="preserve">・dokusya_chushi_date của t_dokusya phản ánh ngày đã chỉ định
</t>
    </r>
    <r>
      <rPr>
        <sz val="10"/>
        <color rgb="FF000000"/>
        <rFont val="メイリオ"/>
        <charset val="134"/>
      </rPr>
      <t xml:space="preserve">・tetsuzuki_shurui của t_dokusya được giữ nguyên giá trị trước khi cập nhật
</t>
    </r>
    <r>
      <rPr>
        <sz val="10"/>
        <color rgb="FF000000"/>
        <rFont val="メイリオ"/>
        <charset val="134"/>
      </rPr>
      <t xml:space="preserve">・dokusya_busu của lịch sử vừa thêm là 0
</t>
    </r>
    <r>
      <rPr>
        <sz val="10"/>
        <color rgb="FF000000"/>
        <rFont val="メイリオ"/>
        <charset val="134"/>
      </rPr>
      <t xml:space="preserve">・kaiyaku_flg của lịch sử vừa thêm là FALSE
</t>
    </r>
    <r>
      <rPr>
        <sz val="10"/>
        <color rgb="FF000000"/>
        <rFont val="メイリオ"/>
        <charset val="134"/>
      </rPr>
      <t xml:space="preserve">・joho_henko_tekiyo_date của lịch sử vừa thêm khớp với ngày ngừng đăng ký
</t>
    </r>
    <r>
      <rPr>
        <b/>
        <sz val="10"/>
        <color rgb="FF000000"/>
        <rFont val="メイリオ"/>
        <charset val="134"/>
      </rPr>
      <t xml:space="preserve">ステップ4：
</t>
    </r>
    <r>
      <rPr>
        <sz val="10"/>
        <color rgb="FF000000"/>
        <rFont val="メイリオ"/>
        <charset val="134"/>
      </rPr>
      <t xml:space="preserve">Ngày ngừng đăng ký được hiển thị ngay lập tức
</t>
    </r>
    <r>
      <rPr>
        <b/>
        <sz val="10"/>
        <color rgb="FF000000"/>
        <rFont val="メイリオ"/>
        <charset val="134"/>
      </rPr>
      <t xml:space="preserve">補足：
</t>
    </r>
    <r>
      <rPr>
        <sz val="10"/>
        <color rgb="FF000000"/>
        <rFont val="メイリオ"/>
        <charset val="134"/>
      </rPr>
      <t xml:space="preserve">・Việc xác định hủy đăng ký do batch xử lý vào ngày đến hạn thực hiện
</t>
    </r>
    <r>
      <rPr>
        <sz val="10"/>
        <color rgb="FF000000"/>
        <rFont val="メイリオ"/>
        <charset val="134"/>
      </rPr>
      <t>・Bản giấy không liên kết với hệ thống bên ngoài</t>
    </r>
  </si>
  <si>
    <t>ACSMS-TC-016-064</t>
  </si>
  <si>
    <t>Ngừng hàng loạt — rollback toàn bộ và gửi lệnh hủy khi liên kết bản điện tử thất bại</t>
  </si>
  <si>
    <t>・Đã login bằng JA_HONTEN (đã xác thực 2 bước)
・Chế độ import là "更新"・loại đăng ký là "電子版"
・Đã đăng ký sẵn 5 độc giả bản điện tử
・Thiết lập đầu liên kết của hệ thống bản điện tử trả về lỗi ở bản ghi thứ 3</t>
  </si>
  <si>
    <r>
      <rPr>
        <b/>
        <sz val="10"/>
        <color rgb="FF000000"/>
        <rFont val="メイリオ"/>
        <charset val="134"/>
      </rPr>
      <t xml:space="preserve">ステップ1：
</t>
    </r>
    <r>
      <rPr>
        <sz val="10"/>
        <color rgb="FF000000"/>
        <rFont val="メイリオ"/>
        <charset val="134"/>
      </rPr>
      <t xml:space="preserve">Chọn file Excel ghi 5 ID, chỉ định ngày ngừng đăng ký (tháng kết thúc) rồi thực hiện import
</t>
    </r>
    <r>
      <rPr>
        <b/>
        <sz val="10"/>
        <color rgb="FF000000"/>
        <rFont val="メイリオ"/>
        <charset val="134"/>
      </rPr>
      <t xml:space="preserve">ステップ2：
</t>
    </r>
    <r>
      <rPr>
        <sz val="10"/>
        <color rgb="FF000000"/>
        <rFont val="メイリオ"/>
        <charset val="134"/>
      </rPr>
      <t xml:space="preserve">Kiểm tra nội dung hiển thị của màn hình
</t>
    </r>
    <r>
      <rPr>
        <b/>
        <sz val="10"/>
        <color rgb="FF000000"/>
        <rFont val="メイリオ"/>
        <charset val="134"/>
      </rPr>
      <t xml:space="preserve">ステップ3：
</t>
    </r>
    <r>
      <rPr>
        <sz val="10"/>
        <color rgb="FF000000"/>
        <rFont val="メイリオ"/>
        <charset val="134"/>
      </rPr>
      <t xml:space="preserve">Chạy query sau trên DB để kiểm tra bảng độc giả và lịch sử
</t>
    </r>
    <r>
      <rPr>
        <sz val="10"/>
        <color rgb="FF000000"/>
        <rFont val="メイリオ"/>
        <charset val="134"/>
      </rPr>
      <t xml:space="preserve">```sql
</t>
    </r>
    <r>
      <rPr>
        <sz val="10"/>
        <color rgb="FF000000"/>
        <rFont val="メイリオ"/>
        <charset val="134"/>
      </rPr>
      <t xml:space="preserve">SELECT dokusya_id, dokusya_chushi_date FROM t_dokusya
</t>
    </r>
    <r>
      <rPr>
        <sz val="10"/>
        <color rgb="FF000000"/>
        <rFont val="メイリオ"/>
        <charset val="134"/>
      </rPr>
      <t xml:space="preserve">WHERE dokusya_id IN (5 ID đối tượng);
</t>
    </r>
    <r>
      <rPr>
        <sz val="10"/>
        <color rgb="FF000000"/>
        <rFont val="メイリオ"/>
        <charset val="134"/>
      </rPr>
      <t xml:space="preserve">SELECT COUNT(*) FROM t_dokusya_rireki
</t>
    </r>
    <r>
      <rPr>
        <sz val="10"/>
        <color rgb="FF000000"/>
        <rFont val="メイリオ"/>
        <charset val="134"/>
      </rPr>
      <t xml:space="preserve">WHERE dokusya_id IN (5 ID đối tượng);
</t>
    </r>
    <r>
      <rPr>
        <sz val="10"/>
        <color rgb="FF000000"/>
        <rFont val="メイリオ"/>
        <charset val="134"/>
      </rPr>
      <t xml:space="preserve">```
</t>
    </r>
    <r>
      <rPr>
        <b/>
        <sz val="10"/>
        <color rgb="FF000000"/>
        <rFont val="メイリオ"/>
        <charset val="134"/>
      </rPr>
      <t xml:space="preserve">ステップ4：
</t>
    </r>
    <r>
      <rPr>
        <sz val="10"/>
        <color rgb="FF000000"/>
        <rFont val="メイリオ"/>
        <charset val="134"/>
      </rPr>
      <t xml:space="preserve">Kiểm tra nội dung nhận được phía hệ thống bản điện tử
</t>
    </r>
    <r>
      <rPr>
        <b/>
        <sz val="10"/>
        <color rgb="FF000000"/>
        <rFont val="メイリオ"/>
        <charset val="134"/>
      </rPr>
      <t xml:space="preserve">ステップ5：
</t>
    </r>
    <r>
      <rPr>
        <sz val="10"/>
        <color rgb="FF000000"/>
        <rFont val="メイリオ"/>
        <charset val="134"/>
      </rPr>
      <t xml:space="preserve">Tái hiện trạng thái lệnh hủy cũng thất bại và kiểm tra error log
</t>
    </r>
    <r>
      <rPr>
        <sz val="10"/>
        <color rgb="FF000000"/>
        <rFont val="メイリオ"/>
        <charset val="134"/>
      </rPr>
      <t xml:space="preserve">```sql
</t>
    </r>
    <r>
      <rPr>
        <sz val="10"/>
        <color rgb="FF000000"/>
        <rFont val="メイリオ"/>
        <charset val="134"/>
      </rPr>
      <t xml:space="preserve">SELECT log_type, result_status, error_message
</t>
    </r>
    <r>
      <rPr>
        <sz val="10"/>
        <color rgb="FF000000"/>
        <rFont val="メイリオ"/>
        <charset val="134"/>
      </rPr>
      <t xml:space="preserve">FROM t_log
</t>
    </r>
    <r>
      <rPr>
        <sz val="10"/>
        <color rgb="FF000000"/>
        <rFont val="メイリオ"/>
        <charset val="134"/>
      </rPr>
      <t xml:space="preserve">WHERE log_type = 3
</t>
    </r>
    <r>
      <rPr>
        <sz val="10"/>
        <color rgb="FF000000"/>
        <rFont val="メイリオ"/>
        <charset val="134"/>
      </rPr>
      <t xml:space="preserve">ORDER BY log_datetime DESC
</t>
    </r>
    <r>
      <rPr>
        <sz val="10"/>
        <color rgb="FF000000"/>
        <rFont val="メイリオ"/>
        <charset val="134"/>
      </rPr>
      <t xml:space="preserve">LIMIT 1;
</t>
    </r>
    <r>
      <rPr>
        <sz val="10"/>
        <color rgb="FF000000"/>
        <rFont val="メイリオ"/>
        <charset val="134"/>
      </rPr>
      <t>```</t>
    </r>
  </si>
  <si>
    <r>
      <rPr>
        <b/>
        <sz val="10"/>
        <color rgb="FF000000"/>
        <rFont val="メイリオ"/>
        <charset val="134"/>
      </rPr>
      <t xml:space="preserve">ステップ1：
</t>
    </r>
    <r>
      <rPr>
        <sz val="10"/>
        <color rgb="FF000000"/>
        <rFont val="メイリオ"/>
        <charset val="134"/>
      </rPr>
      <t xml:space="preserve">Lỗi được hiển thị, toast「取り込みました。」không hiển thị
</t>
    </r>
    <r>
      <rPr>
        <b/>
        <sz val="10"/>
        <color rgb="FF000000"/>
        <rFont val="メイリオ"/>
        <charset val="134"/>
      </rPr>
      <t xml:space="preserve">ステップ2：
</t>
    </r>
    <r>
      <rPr>
        <sz val="10"/>
        <color rgb="FF000000"/>
        <rFont val="メイリオ"/>
        <charset val="134"/>
      </rPr>
      <t xml:space="preserve">Nội dung lỗi được hiển thị
</t>
    </r>
    <r>
      <rPr>
        <b/>
        <sz val="10"/>
        <color rgb="FF000000"/>
        <rFont val="メイリオ"/>
        <charset val="134"/>
      </rPr>
      <t xml:space="preserve">ステップ3：
</t>
    </r>
    <r>
      <rPr>
        <sz val="10"/>
        <color rgb="FF000000"/>
        <rFont val="メイリオ"/>
        <charset val="134"/>
      </rPr>
      <t xml:space="preserve">・dokusya_chushi_date của t_dokusya được giữ nguyên giá trị trước khi cập nhật
</t>
    </r>
    <r>
      <rPr>
        <sz val="10"/>
        <color rgb="FF000000"/>
        <rFont val="メイリオ"/>
        <charset val="134"/>
      </rPr>
      <t xml:space="preserve">・Lịch sử không được thêm
</t>
    </r>
    <r>
      <rPr>
        <b/>
        <sz val="10"/>
        <color rgb="FF000000"/>
        <rFont val="メイリオ"/>
        <charset val="134"/>
      </rPr>
      <t xml:space="preserve">ステップ4：
</t>
    </r>
    <r>
      <rPr>
        <sz val="10"/>
        <color rgb="FF000000"/>
        <rFont val="メイリオ"/>
        <charset val="134"/>
      </rPr>
      <t xml:space="preserve">・Lệnh hủy được gửi tới các bản ghi đã gửi thành công trước khi thất bại
</t>
    </r>
    <r>
      <rPr>
        <sz val="10"/>
        <color rgb="FF000000"/>
        <rFont val="メイリオ"/>
        <charset val="134"/>
      </rPr>
      <t xml:space="preserve">・Tháng kết thúc của lệnh hủy được gửi ở trạng thái trống
</t>
    </r>
    <r>
      <rPr>
        <b/>
        <sz val="10"/>
        <color rgb="FF000000"/>
        <rFont val="メイリオ"/>
        <charset val="134"/>
      </rPr>
      <t xml:space="preserve">ステップ5：
</t>
    </r>
    <r>
      <rPr>
        <sz val="10"/>
        <color rgb="FF000000"/>
        <rFont val="メイリオ"/>
        <charset val="134"/>
      </rPr>
      <t xml:space="preserve">・Output error log
</t>
    </r>
    <r>
      <rPr>
        <sz val="10"/>
        <color rgb="FF000000"/>
        <rFont val="メイリオ"/>
        <charset val="134"/>
      </rPr>
      <t xml:space="preserve">・ID hội viên của đối tượng gửi lệnh hủy thất bại được ghi lại
</t>
    </r>
    <r>
      <rPr>
        <b/>
        <sz val="10"/>
        <color rgb="FF000000"/>
        <rFont val="メイリオ"/>
        <charset val="134"/>
      </rPr>
      <t xml:space="preserve">補足：
</t>
    </r>
    <r>
      <rPr>
        <sz val="10"/>
        <color rgb="FF000000"/>
        <rFont val="メイリオ"/>
        <charset val="134"/>
      </rPr>
      <t xml:space="preserve">・Chỉ cần 1 bản ghi thất bại là toàn bộ được rollback
</t>
    </r>
    <r>
      <rPr>
        <sz val="10"/>
        <color rgb="FF000000"/>
        <rFont val="メイリオ"/>
        <charset val="134"/>
      </rPr>
      <t>・Không phát sinh bất đồng bộ dữ liệu</t>
    </r>
  </si>
  <si>
    <t>Việc hệ thống bản điện tử có chấp nhận tháng kết thúc để trống hay không là tiền đề chưa được xác minh, spec thiết kế có ghi chú đang chờ xác nhận. Nếu không được chấp nhận thì lệnh hủy không thành lập, nên ca này cần được thực hiện với mức ưu tiên cao nhất và phản ánh kết quả vào spec.</t>
  </si>
  <si>
    <t>ACSMS-TC-016-065</t>
  </si>
  <si>
    <t>Ngừng hàng loạt — vượt quá giới hạn số dòng của bản điện tử (501 dòng)</t>
  </si>
  <si>
    <t>・Đã login bằng JA_HONTEN (đã xác thực 2 bước)
・Chế độ import là "更新"・loại đăng ký là "電子版"
・Chuẩn bị file Excel ghi 501 dòng ID</t>
  </si>
  <si>
    <r>
      <rPr>
        <b/>
        <sz val="10"/>
        <color rgb="FF000000"/>
        <rFont val="メイリオ"/>
        <charset val="134"/>
      </rPr>
      <t xml:space="preserve">ステップ1：
</t>
    </r>
    <r>
      <rPr>
        <sz val="10"/>
        <color rgb="FF000000"/>
        <rFont val="メイリオ"/>
        <charset val="134"/>
      </rPr>
      <t xml:space="preserve">Chọn file Excel 501 dòng, chỉ định ngày ngừng đăng ký (tháng kết thúc) rồi click button bắt đầu import
</t>
    </r>
    <r>
      <rPr>
        <b/>
        <sz val="10"/>
        <color rgb="FF000000"/>
        <rFont val="メイリオ"/>
        <charset val="134"/>
      </rPr>
      <t xml:space="preserve">ステップ2：
</t>
    </r>
    <r>
      <rPr>
        <sz val="10"/>
        <color rgb="FF000000"/>
        <rFont val="メイリオ"/>
        <charset val="134"/>
      </rPr>
      <t xml:space="preserve">Kiểm tra nội dung hiển thị của màn hình
</t>
    </r>
    <r>
      <rPr>
        <b/>
        <sz val="10"/>
        <color rgb="FF000000"/>
        <rFont val="メイリオ"/>
        <charset val="134"/>
      </rPr>
      <t xml:space="preserve">ステップ3：
</t>
    </r>
    <r>
      <rPr>
        <sz val="10"/>
        <color rgb="FF000000"/>
        <rFont val="メイリオ"/>
        <charset val="134"/>
      </rPr>
      <t xml:space="preserve">Kiểm tra có phát sinh request hay không qua tab Network của DevTools
</t>
    </r>
    <r>
      <rPr>
        <b/>
        <sz val="10"/>
        <color rgb="FF000000"/>
        <rFont val="メイリオ"/>
        <charset val="134"/>
      </rPr>
      <t xml:space="preserve">ステップ4：
</t>
    </r>
    <r>
      <rPr>
        <sz val="10"/>
        <color rgb="FF000000"/>
        <rFont val="メイリオ"/>
        <charset val="134"/>
      </rPr>
      <t>Chuyển loại đăng ký sang "紙版" và bắt đầu import với cùng file</t>
    </r>
  </si>
  <si>
    <r>
      <rPr>
        <b/>
        <sz val="10"/>
        <color rgb="FF000000"/>
        <rFont val="游ゴシック"/>
        <charset val="134"/>
      </rPr>
      <t xml:space="preserve">ステップ1：
</t>
    </r>
    <r>
      <rPr>
        <sz val="10"/>
        <color rgb="FF000000"/>
        <rFont val="游ゴシック"/>
        <charset val="134"/>
      </rPr>
      <t xml:space="preserve">Xử lý không được thực hiện
</t>
    </r>
    <r>
      <rPr>
        <b/>
        <sz val="10"/>
        <color rgb="FF000000"/>
        <rFont val="游ゴシック"/>
        <charset val="134"/>
      </rPr>
      <t xml:space="preserve">ステップ2：
</t>
    </r>
    <r>
      <rPr>
        <sz val="10"/>
        <color rgb="FF000000"/>
        <rFont val="游ゴシック"/>
        <charset val="134"/>
      </rPr>
      <t xml:space="preserve">Hiển thị「電子版の一括中止は500件までです。ファイルを分割してください。」
</t>
    </r>
    <r>
      <rPr>
        <b/>
        <sz val="10"/>
        <color rgb="FF000000"/>
        <rFont val="游ゴシック"/>
        <charset val="134"/>
      </rPr>
      <t xml:space="preserve">ステップ3：
</t>
    </r>
    <r>
      <rPr>
        <sz val="10"/>
        <color rgb="FF000000"/>
        <rFont val="游ゴシック"/>
        <charset val="134"/>
      </rPr>
      <t xml:space="preserve">POST "/api/v1/dokusya/import" không được gửi
</t>
    </r>
    <r>
      <rPr>
        <b/>
        <sz val="10"/>
        <color rgb="FF000000"/>
        <rFont val="游ゴシック"/>
        <charset val="134"/>
      </rPr>
      <t xml:space="preserve">ステップ4：
</t>
    </r>
    <r>
      <rPr>
        <sz val="10"/>
        <color rgb="FF000000"/>
        <rFont val="游ゴシック"/>
        <charset val="134"/>
      </rPr>
      <t xml:space="preserve">Xử lý không được thực hiện (do bản giấy cho phép tới 30000 dòng)
</t>
    </r>
    <r>
      <rPr>
        <b/>
        <sz val="10"/>
        <color rgb="FF000000"/>
        <rFont val="游ゴシック"/>
        <charset val="134"/>
      </rPr>
      <t xml:space="preserve">補足：
</t>
    </r>
    <r>
      <rPr>
        <sz val="10"/>
        <color rgb="FF000000"/>
        <rFont val="游ゴシック"/>
        <charset val="134"/>
      </rPr>
      <t>・Bản điện tử mỗi dòng phải gửi 1 lượt tới hệ thống bên ngoài nên giới hạn khác nhau</t>
    </r>
  </si>
  <si>
    <t>ACSMS-TC-016-066</t>
  </si>
  <si>
    <t>Ngừng hàng loạt — giá trị biên số dòng của bản điện tử (500 dòng)</t>
  </si>
  <si>
    <t>・Đã login bằng JA_HONTEN (đã xác thực 2 bước)
・Chế độ import là "更新"・loại đăng ký là "電子版"
・Chuẩn bị file Excel ghi 499 dòng và 500 dòng ID</t>
  </si>
  <si>
    <r>
      <rPr>
        <b/>
        <sz val="10"/>
        <color rgb="FF000000"/>
        <rFont val="メイリオ"/>
        <charset val="134"/>
      </rPr>
      <t xml:space="preserve">ステップ1：
</t>
    </r>
    <r>
      <rPr>
        <sz val="10"/>
        <color rgb="FF000000"/>
        <rFont val="メイリオ"/>
        <charset val="134"/>
      </rPr>
      <t xml:space="preserve">Chỉ định ngày ngừng đăng ký và thực hiện import với file Excel 499 dòng
</t>
    </r>
    <r>
      <rPr>
        <b/>
        <sz val="10"/>
        <color rgb="FF000000"/>
        <rFont val="メイリオ"/>
        <charset val="134"/>
      </rPr>
      <t xml:space="preserve">ステップ2：
</t>
    </r>
    <r>
      <rPr>
        <sz val="10"/>
        <color rgb="FF000000"/>
        <rFont val="メイリオ"/>
        <charset val="134"/>
      </rPr>
      <t xml:space="preserve">Thực hiện import tương tự với file Excel 500 dòng
</t>
    </r>
    <r>
      <rPr>
        <b/>
        <sz val="10"/>
        <color rgb="FF000000"/>
        <rFont val="メイリオ"/>
        <charset val="134"/>
      </rPr>
      <t xml:space="preserve">ステップ3：
</t>
    </r>
    <r>
      <rPr>
        <sz val="10"/>
        <color rgb="FF000000"/>
        <rFont val="メイリオ"/>
        <charset val="134"/>
      </rPr>
      <t xml:space="preserve">Kiểm tra request có được gửi hay không và response qua tab Network của DevTools
</t>
    </r>
    <r>
      <rPr>
        <b/>
        <sz val="10"/>
        <color rgb="FF000000"/>
        <rFont val="メイリオ"/>
        <charset val="134"/>
      </rPr>
      <t xml:space="preserve">ステップ4：
</t>
    </r>
    <r>
      <rPr>
        <sz val="10"/>
        <color rgb="FF000000"/>
        <rFont val="メイリオ"/>
        <charset val="134"/>
      </rPr>
      <t>Kiểm tra số bản ghi lịch sử đặt trước hủy đăng ký trên DB</t>
    </r>
  </si>
  <si>
    <r>
      <rPr>
        <b/>
        <sz val="10"/>
        <color rgb="FF000000"/>
        <rFont val="メイリオ"/>
        <charset val="134"/>
      </rPr>
      <t xml:space="preserve">ステップ1：
</t>
    </r>
    <r>
      <rPr>
        <sz val="10"/>
        <color rgb="FF000000"/>
        <rFont val="メイリオ"/>
        <charset val="134"/>
      </rPr>
      <t xml:space="preserve">Xử lý được thực hiện và hiển thị toast「取り込みました。」
</t>
    </r>
    <r>
      <rPr>
        <b/>
        <sz val="10"/>
        <color rgb="FF000000"/>
        <rFont val="メイリオ"/>
        <charset val="134"/>
      </rPr>
      <t xml:space="preserve">ステップ2：
</t>
    </r>
    <r>
      <rPr>
        <sz val="10"/>
        <color rgb="FF000000"/>
        <rFont val="メイリオ"/>
        <charset val="134"/>
      </rPr>
      <t xml:space="preserve">Xử lý được thực hiện và hiển thị toast「取り込みました。」(vì đúng giới hạn thì vẫn import được)
</t>
    </r>
    <r>
      <rPr>
        <b/>
        <sz val="10"/>
        <color rgb="FF000000"/>
        <rFont val="メイリオ"/>
        <charset val="134"/>
      </rPr>
      <t xml:space="preserve">ステップ3：
</t>
    </r>
    <r>
      <rPr>
        <sz val="10"/>
        <color rgb="FF000000"/>
        <rFont val="メイリオ"/>
        <charset val="134"/>
      </rPr>
      <t xml:space="preserve">Trả về HTTP 200
</t>
    </r>
    <r>
      <rPr>
        <b/>
        <sz val="10"/>
        <color rgb="FF000000"/>
        <rFont val="メイリオ"/>
        <charset val="134"/>
      </rPr>
      <t xml:space="preserve">ステップ4：
</t>
    </r>
    <r>
      <rPr>
        <sz val="10"/>
        <color rgb="FF000000"/>
        <rFont val="メイリオ"/>
        <charset val="134"/>
      </rPr>
      <t xml:space="preserve">Số bản ghi lịch sử đặt trước hủy đăng ký được thêm bằng với số dòng import
</t>
    </r>
    <r>
      <rPr>
        <b/>
        <sz val="10"/>
        <color rgb="FF000000"/>
        <rFont val="メイリオ"/>
        <charset val="134"/>
      </rPr>
      <t xml:space="preserve">補足：
</t>
    </r>
    <r>
      <rPr>
        <sz val="10"/>
        <color rgb="FF000000"/>
        <rFont val="メイリオ"/>
        <charset val="134"/>
      </rPr>
      <t xml:space="preserve">・Giá trị đúng bằng giới hạn (500 dòng) được xử lý bình thường
</t>
    </r>
    <r>
      <rPr>
        <sz val="10"/>
        <color rgb="FF000000"/>
        <rFont val="メイリオ"/>
        <charset val="134"/>
      </rPr>
      <t>・Không bị timeout</t>
    </r>
  </si>
  <si>
    <t>ACSMS-TC-016-067</t>
  </si>
  <si>
    <t>Ngừng hàng loạt — không tồn tại đường dẫn hủy bỏ</t>
  </si>
  <si>
    <t>・Đã login bằng JA_HONTEN (đã xác thực 2 bước)
・Đã đăng ký sẵn độc giả đã tạo đặt trước hủy đăng ký bằng ngừng hàng loạt</t>
  </si>
  <si>
    <r>
      <rPr>
        <b/>
        <sz val="10"/>
        <color rgb="FF000000"/>
        <rFont val="メイリオ"/>
        <charset val="134"/>
      </rPr>
      <t xml:space="preserve">ステップ1：
</t>
    </r>
    <r>
      <rPr>
        <sz val="10"/>
        <color rgb="FF000000"/>
        <rFont val="メイリオ"/>
        <charset val="134"/>
      </rPr>
      <t xml:space="preserve">Hiển thị "/dokusya/import" và kiểm tra có tồn tại mục thao tác tương đương hủy bỏ hàng loạt hay không
</t>
    </r>
    <r>
      <rPr>
        <b/>
        <sz val="10"/>
        <color rgb="FF000000"/>
        <rFont val="メイリオ"/>
        <charset val="134"/>
      </rPr>
      <t xml:space="preserve">ステップ2：
</t>
    </r>
    <r>
      <rPr>
        <sz val="10"/>
        <color rgb="FF000000"/>
        <rFont val="メイリオ"/>
        <charset val="134"/>
      </rPr>
      <t xml:space="preserve">Click button bắt đầu import khi để trống ngày ngừng đăng ký
</t>
    </r>
    <r>
      <rPr>
        <b/>
        <sz val="10"/>
        <color rgb="FF000000"/>
        <rFont val="メイリオ"/>
        <charset val="134"/>
      </rPr>
      <t xml:space="preserve">ステップ3：
</t>
    </r>
    <r>
      <rPr>
        <sz val="10"/>
        <color rgb="FF000000"/>
        <rFont val="メイリオ"/>
        <charset val="134"/>
      </rPr>
      <t xml:space="preserve">Gửi POST "/api/v1/dokusya/import" với request body có ngày ngừng đăng ký là chuỗi rỗng qua tab Network của DevTools
</t>
    </r>
    <r>
      <rPr>
        <b/>
        <sz val="10"/>
        <color rgb="FF000000"/>
        <rFont val="メイリオ"/>
        <charset val="134"/>
      </rPr>
      <t xml:space="preserve">ステップ4：
</t>
    </r>
    <r>
      <rPr>
        <sz val="10"/>
        <color rgb="FF000000"/>
        <rFont val="メイリオ"/>
        <charset val="134"/>
      </rPr>
      <t>Thực hiện hủy đặt trước từ mục ngừng đăng ký của màn hình tìm kiếm chi tiết độc giả (ACSMS-SCR-014) và kiểm tra kết quả</t>
    </r>
  </si>
  <si>
    <r>
      <rPr>
        <b/>
        <sz val="10"/>
        <color rgb="FF000000"/>
        <rFont val="メイリオ"/>
        <charset val="134"/>
      </rPr>
      <t xml:space="preserve">ステップ1：
</t>
    </r>
    <r>
      <rPr>
        <sz val="10"/>
        <color rgb="FF000000"/>
        <rFont val="メイリオ"/>
        <charset val="134"/>
      </rPr>
      <t xml:space="preserve">Mục thao tác tương đương hủy bỏ hàng loạt không được hiển thị
</t>
    </r>
    <r>
      <rPr>
        <b/>
        <sz val="10"/>
        <color rgb="FF000000"/>
        <rFont val="メイリオ"/>
        <charset val="134"/>
      </rPr>
      <t xml:space="preserve">ステップ2：
</t>
    </r>
    <r>
      <rPr>
        <sz val="10"/>
        <color rgb="FF000000"/>
        <rFont val="メイリオ"/>
        <charset val="134"/>
      </rPr>
      <t xml:space="preserve">Hiển thị「読者情報変更適用日または購読中止日を入力してください。」và xử lý không được thực hiện
</t>
    </r>
    <r>
      <rPr>
        <b/>
        <sz val="10"/>
        <color rgb="FF000000"/>
        <rFont val="メイリオ"/>
        <charset val="134"/>
      </rPr>
      <t xml:space="preserve">ステップ3：
</t>
    </r>
    <r>
      <rPr>
        <sz val="10"/>
        <color rgb="FF000000"/>
        <rFont val="メイリオ"/>
        <charset val="134"/>
      </rPr>
      <t xml:space="preserve">Trả về HTTP 400 (`error_code: VALIDATION_ERROR`)
</t>
    </r>
    <r>
      <rPr>
        <b/>
        <sz val="10"/>
        <color rgb="FF000000"/>
        <rFont val="メイリオ"/>
        <charset val="134"/>
      </rPr>
      <t xml:space="preserve">ステップ4：
</t>
    </r>
    <r>
      <rPr>
        <sz val="10"/>
        <color rgb="FF000000"/>
        <rFont val="メイリオ"/>
        <charset val="134"/>
      </rPr>
      <t xml:space="preserve">Có thể hủy đặt trước từng bản ghi một từ màn hình tìm kiếm chi tiết độc giả
</t>
    </r>
    <r>
      <rPr>
        <b/>
        <sz val="10"/>
        <color rgb="FF000000"/>
        <rFont val="メイリオ"/>
        <charset val="134"/>
      </rPr>
      <t xml:space="preserve">補足：
</t>
    </r>
    <r>
      <rPr>
        <sz val="10"/>
        <color rgb="FF000000"/>
        <rFont val="メイリオ"/>
        <charset val="134"/>
      </rPr>
      <t>・Màn hình import chỉ thiết lập đặt trước hủy đăng ký, việc hủy bỏ được thực hiện ở màn hình tìm kiếm chi tiết độc giả</t>
    </r>
  </si>
  <si>
    <t>Xử lý lỗi chung (Common Error Handling)</t>
  </si>
  <si>
    <t>ACSMS-TC-016-068</t>
  </si>
  <si>
    <t>Session hết hạn</t>
  </si>
  <si>
    <t>・Đã login bằng JA_HONTEN (đã xác thực 2 bước)
・Đã hiển thị "/dokusya/import" và đã chọn file Excel</t>
  </si>
  <si>
    <r>
      <rPr>
        <b/>
        <sz val="10"/>
        <color rgb="FF000000"/>
        <rFont val="メイリオ"/>
        <charset val="134"/>
      </rPr>
      <t xml:space="preserve">ステップ1：
</t>
    </r>
    <r>
      <rPr>
        <sz val="10"/>
        <color rgb="FF000000"/>
        <rFont val="メイリオ"/>
        <charset val="134"/>
      </rPr>
      <t xml:space="preserve">Xóa session tương ứng trên Redis (hoặc chờ session hết hạn)
</t>
    </r>
    <r>
      <rPr>
        <b/>
        <sz val="10"/>
        <color rgb="FF000000"/>
        <rFont val="メイリオ"/>
        <charset val="134"/>
      </rPr>
      <t xml:space="preserve">ステップ2：
</t>
    </r>
    <r>
      <rPr>
        <sz val="10"/>
        <color rgb="FF000000"/>
        <rFont val="メイリオ"/>
        <charset val="134"/>
      </rPr>
      <t xml:space="preserve">Click button bắt đầu import và click "はい" ở dialog xác nhận
</t>
    </r>
    <r>
      <rPr>
        <b/>
        <sz val="10"/>
        <color rgb="FF000000"/>
        <rFont val="メイリオ"/>
        <charset val="134"/>
      </rPr>
      <t xml:space="preserve">ステップ3：
</t>
    </r>
    <r>
      <rPr>
        <sz val="10"/>
        <color rgb="FF000000"/>
        <rFont val="メイリオ"/>
        <charset val="134"/>
      </rPr>
      <t xml:space="preserve">Kiểm tra response qua tab Network của DevTools
</t>
    </r>
    <r>
      <rPr>
        <b/>
        <sz val="10"/>
        <color rgb="FF000000"/>
        <rFont val="メイリオ"/>
        <charset val="134"/>
      </rPr>
      <t xml:space="preserve">ステップ4：
</t>
    </r>
    <r>
      <rPr>
        <sz val="10"/>
        <color rgb="FF000000"/>
        <rFont val="メイリオ"/>
        <charset val="134"/>
      </rPr>
      <t>Kiểm tra nơi chuyển đến của màn hình và nội dung trên thanh địa chỉ</t>
    </r>
  </si>
  <si>
    <r>
      <rPr>
        <b/>
        <sz val="10"/>
        <color rgb="FF000000"/>
        <rFont val="メイリオ"/>
        <charset val="134"/>
      </rPr>
      <t xml:space="preserve">ステップ1：
</t>
    </r>
    <r>
      <rPr>
        <sz val="10"/>
        <color rgb="FF000000"/>
        <rFont val="メイリオ"/>
        <charset val="134"/>
      </rPr>
      <t xml:space="preserve">Hiển thị màn hình không thay đổi
</t>
    </r>
    <r>
      <rPr>
        <b/>
        <sz val="10"/>
        <color rgb="FF000000"/>
        <rFont val="メイリオ"/>
        <charset val="134"/>
      </rPr>
      <t xml:space="preserve">ステップ2：
</t>
    </r>
    <r>
      <rPr>
        <sz val="10"/>
        <color rgb="FF000000"/>
        <rFont val="メイリオ"/>
        <charset val="134"/>
      </rPr>
      <t xml:space="preserve">Xử lý không được thực hiện
</t>
    </r>
    <r>
      <rPr>
        <b/>
        <sz val="10"/>
        <color rgb="FF000000"/>
        <rFont val="メイリオ"/>
        <charset val="134"/>
      </rPr>
      <t xml:space="preserve">ステップ3：
</t>
    </r>
    <r>
      <rPr>
        <sz val="10"/>
        <color rgb="FF000000"/>
        <rFont val="メイリオ"/>
        <charset val="134"/>
      </rPr>
      <t xml:space="preserve">Trả về HTTP 401 (`error_code: UNAUTHORIZED`, message `セッションが切れました。再度ログインしてください。`)
</t>
    </r>
    <r>
      <rPr>
        <b/>
        <sz val="10"/>
        <color rgb="FF000000"/>
        <rFont val="メイリオ"/>
        <charset val="134"/>
      </rPr>
      <t xml:space="preserve">ステップ4：
</t>
    </r>
    <r>
      <rPr>
        <sz val="10"/>
        <color rgb="FF000000"/>
        <rFont val="メイリオ"/>
        <charset val="134"/>
      </rPr>
      <t xml:space="preserve">・Chuyển về "/login"
</t>
    </r>
    <r>
      <rPr>
        <sz val="10"/>
        <color rgb="FF000000"/>
        <rFont val="メイリオ"/>
        <charset val="134"/>
      </rPr>
      <t xml:space="preserve">・URL trước khi chuyển được giữ lại trên thanh địa chỉ
</t>
    </r>
    <r>
      <rPr>
        <b/>
        <sz val="10"/>
        <color rgb="FF000000"/>
        <rFont val="メイリオ"/>
        <charset val="134"/>
      </rPr>
      <t xml:space="preserve">補足：
</t>
    </r>
    <r>
      <rPr>
        <sz val="10"/>
        <color rgb="FF000000"/>
        <rFont val="メイリオ"/>
        <charset val="134"/>
      </rPr>
      <t xml:space="preserve">・Không đăng ký dữ liệu vào t_dokusya
</t>
    </r>
    <r>
      <rPr>
        <sz val="10"/>
        <color rgb="FF000000"/>
        <rFont val="メイリオ"/>
        <charset val="134"/>
      </rPr>
      <t>・Sau khi login lại có thể quay về màn hình ban đầu</t>
    </r>
  </si>
  <si>
    <t>ACSMS-TC-016-069</t>
  </si>
  <si>
    <t>Request body không hợp lệ</t>
  </si>
  <si>
    <r>
      <rPr>
        <b/>
        <sz val="10"/>
        <color rgb="FF000000"/>
        <rFont val="メイリオ"/>
        <charset val="134"/>
      </rPr>
      <t xml:space="preserve">ステップ1：
</t>
    </r>
    <r>
      <rPr>
        <sz val="10"/>
        <color rgb="FF000000"/>
        <rFont val="メイリオ"/>
        <charset val="134"/>
      </rPr>
      <t xml:space="preserve">Gửi POST "/api/v1/dokusya/import" với phần thân là chuỗi không phân tích được thành JSON qua tab Network của DevTools
</t>
    </r>
    <r>
      <rPr>
        <b/>
        <sz val="10"/>
        <color rgb="FF000000"/>
        <rFont val="メイリオ"/>
        <charset val="134"/>
      </rPr>
      <t xml:space="preserve">ステップ2：
</t>
    </r>
    <r>
      <rPr>
        <sz val="10"/>
        <color rgb="FF000000"/>
        <rFont val="メイリオ"/>
        <charset val="134"/>
      </rPr>
      <t xml:space="preserve">Gửi với request body có thêm mục không được định nghĩa
</t>
    </r>
    <r>
      <rPr>
        <b/>
        <sz val="10"/>
        <color rgb="FF000000"/>
        <rFont val="メイリオ"/>
        <charset val="134"/>
      </rPr>
      <t xml:space="preserve">ステップ3：
</t>
    </r>
    <r>
      <rPr>
        <sz val="10"/>
        <color rgb="FF000000"/>
        <rFont val="メイリオ"/>
        <charset val="134"/>
      </rPr>
      <t xml:space="preserve">Gửi rows dưới dạng chuỗi thay vì mảng
</t>
    </r>
    <r>
      <rPr>
        <b/>
        <sz val="10"/>
        <color rgb="FF000000"/>
        <rFont val="メイリオ"/>
        <charset val="134"/>
      </rPr>
      <t xml:space="preserve">ステップ4：
</t>
    </r>
    <r>
      <rPr>
        <sz val="10"/>
        <color rgb="FF000000"/>
        <rFont val="メイリオ"/>
        <charset val="134"/>
      </rPr>
      <t>Kiểm tra nội dung của response body</t>
    </r>
  </si>
  <si>
    <r>
      <rPr>
        <b/>
        <sz val="10"/>
        <color rgb="FF000000"/>
        <rFont val="メイリオ"/>
        <charset val="134"/>
      </rPr>
      <t xml:space="preserve">ステップ1：
</t>
    </r>
    <r>
      <rPr>
        <sz val="10"/>
        <color rgb="FF000000"/>
        <rFont val="メイリオ"/>
        <charset val="134"/>
      </rPr>
      <t xml:space="preserve">Trả về HTTP 400 (`error_code: BAD_REQUEST`, message `リクエストパラメータが不正です。`)
</t>
    </r>
    <r>
      <rPr>
        <b/>
        <sz val="10"/>
        <color rgb="FF000000"/>
        <rFont val="メイリオ"/>
        <charset val="134"/>
      </rPr>
      <t xml:space="preserve">ステップ2：
</t>
    </r>
    <r>
      <rPr>
        <sz val="10"/>
        <color rgb="FF000000"/>
        <rFont val="メイリオ"/>
        <charset val="134"/>
      </rPr>
      <t xml:space="preserve">Trả về HTTP 400
</t>
    </r>
    <r>
      <rPr>
        <b/>
        <sz val="10"/>
        <color rgb="FF000000"/>
        <rFont val="メイリオ"/>
        <charset val="134"/>
      </rPr>
      <t xml:space="preserve">ステップ3：
</t>
    </r>
    <r>
      <rPr>
        <sz val="10"/>
        <color rgb="FF000000"/>
        <rFont val="メイリオ"/>
        <charset val="134"/>
      </rPr>
      <t xml:space="preserve">Trả về HTTP 400 (`error_code: VALIDATION_ERROR`)
</t>
    </r>
    <r>
      <rPr>
        <b/>
        <sz val="10"/>
        <color rgb="FF000000"/>
        <rFont val="メイリオ"/>
        <charset val="134"/>
      </rPr>
      <t xml:space="preserve">ステップ4：
</t>
    </r>
    <r>
      <rPr>
        <sz val="10"/>
        <color rgb="FF000000"/>
        <rFont val="メイリオ"/>
        <charset val="134"/>
      </rPr>
      <t xml:space="preserve">・Response dạng JSON
</t>
    </r>
    <r>
      <rPr>
        <sz val="10"/>
        <color rgb="FF000000"/>
        <rFont val="メイリオ"/>
        <charset val="134"/>
      </rPr>
      <t xml:space="preserve">・Không chứa thông tin nội bộ như stack trace
</t>
    </r>
    <r>
      <rPr>
        <b/>
        <sz val="10"/>
        <color rgb="FF000000"/>
        <rFont val="メイリオ"/>
        <charset val="134"/>
      </rPr>
      <t xml:space="preserve">補足：
</t>
    </r>
    <r>
      <rPr>
        <sz val="10"/>
        <color rgb="FF000000"/>
        <rFont val="メイリオ"/>
        <charset val="134"/>
      </rPr>
      <t xml:space="preserve">・Không phát sinh lỗi ngoài dự kiến
</t>
    </r>
    <r>
      <rPr>
        <sz val="10"/>
        <color rgb="FF000000"/>
        <rFont val="メイリオ"/>
        <charset val="134"/>
      </rPr>
      <t>・Không đăng ký dữ liệu vào t_dokusya</t>
    </r>
  </si>
  <si>
    <t>ACSMS-TC-016-070</t>
  </si>
  <si>
    <t>Gửi giá trị chế độ import đã bãi bỏ và loại đăng ký không hợp lệ</t>
  </si>
  <si>
    <r>
      <rPr>
        <b/>
        <sz val="10"/>
        <color rgb="FF000000"/>
        <rFont val="メイリオ"/>
        <charset val="134"/>
      </rPr>
      <t xml:space="preserve">ステップ1：
</t>
    </r>
    <r>
      <rPr>
        <sz val="10"/>
        <color rgb="FF000000"/>
        <rFont val="メイリオ"/>
        <charset val="134"/>
      </rPr>
      <t xml:space="preserve">Gửi POST "/api/v1/dokusya/import" với request body chỉ định chế độ import là `UPDATE_ALL` qua tab Network của DevTools
</t>
    </r>
    <r>
      <rPr>
        <b/>
        <sz val="10"/>
        <color rgb="FF000000"/>
        <rFont val="メイリオ"/>
        <charset val="134"/>
      </rPr>
      <t xml:space="preserve">ステップ2：
</t>
    </r>
    <r>
      <rPr>
        <sz val="10"/>
        <color rgb="FF000000"/>
        <rFont val="メイリオ"/>
        <charset val="134"/>
      </rPr>
      <t xml:space="preserve">Gửi với chế độ import là `UPDATE_PARTIAL`
</t>
    </r>
    <r>
      <rPr>
        <b/>
        <sz val="10"/>
        <color rgb="FF000000"/>
        <rFont val="メイリオ"/>
        <charset val="134"/>
      </rPr>
      <t xml:space="preserve">ステップ3：
</t>
    </r>
    <r>
      <rPr>
        <sz val="10"/>
        <color rgb="FF000000"/>
        <rFont val="メイリオ"/>
        <charset val="134"/>
      </rPr>
      <t xml:space="preserve">Gửi với loại đăng ký là 3 (đọc song song)
</t>
    </r>
    <r>
      <rPr>
        <b/>
        <sz val="10"/>
        <color rgb="FF000000"/>
        <rFont val="メイリオ"/>
        <charset val="134"/>
      </rPr>
      <t xml:space="preserve">ステップ4：
</t>
    </r>
    <r>
      <rPr>
        <sz val="10"/>
        <color rgb="FF000000"/>
        <rFont val="メイリオ"/>
        <charset val="134"/>
      </rPr>
      <t>Gửi với cột đối tượng import là mảng rỗng</t>
    </r>
  </si>
  <si>
    <r>
      <rPr>
        <b/>
        <sz val="10"/>
        <color rgb="FF000000"/>
        <rFont val="メイリオ"/>
        <charset val="134"/>
      </rPr>
      <t xml:space="preserve">ステップ1：
</t>
    </r>
    <r>
      <rPr>
        <sz val="10"/>
        <color rgb="FF000000"/>
        <rFont val="メイリオ"/>
        <charset val="134"/>
      </rPr>
      <t xml:space="preserve">Trả về HTTP 400 (`error_code: VALIDATION_ERROR`, errors chứa mục `import_mode` và message `取込モードの値が不正です。`)
</t>
    </r>
    <r>
      <rPr>
        <b/>
        <sz val="10"/>
        <color rgb="FF000000"/>
        <rFont val="メイリオ"/>
        <charset val="134"/>
      </rPr>
      <t xml:space="preserve">ステップ2：
</t>
    </r>
    <r>
      <rPr>
        <sz val="10"/>
        <color rgb="FF000000"/>
        <rFont val="メイリオ"/>
        <charset val="134"/>
      </rPr>
      <t xml:space="preserve">Trả về HTTP 400 (`error_code: VALIDATION_ERROR`, message `取込モードの値が不正です。`)
</t>
    </r>
    <r>
      <rPr>
        <b/>
        <sz val="10"/>
        <color rgb="FF000000"/>
        <rFont val="メイリオ"/>
        <charset val="134"/>
      </rPr>
      <t xml:space="preserve">ステップ3：
</t>
    </r>
    <r>
      <rPr>
        <sz val="10"/>
        <color rgb="FF000000"/>
        <rFont val="メイリオ"/>
        <charset val="134"/>
      </rPr>
      <t xml:space="preserve">Trả về HTTP 400 (`error_code: VALIDATION_ERROR`, message `購読種別は紙版または電子版で指定してください。`)
</t>
    </r>
    <r>
      <rPr>
        <b/>
        <sz val="10"/>
        <color rgb="FF000000"/>
        <rFont val="メイリオ"/>
        <charset val="134"/>
      </rPr>
      <t xml:space="preserve">ステップ4：
</t>
    </r>
    <r>
      <rPr>
        <sz val="10"/>
        <color rgb="FF000000"/>
        <rFont val="メイリオ"/>
        <charset val="134"/>
      </rPr>
      <t xml:space="preserve">Trả về HTTP 400 (`error_code: VALIDATION_ERROR`, message `取込対象の列は1件以上指定してください。`)
</t>
    </r>
    <r>
      <rPr>
        <b/>
        <sz val="10"/>
        <color rgb="FF000000"/>
        <rFont val="メイリオ"/>
        <charset val="134"/>
      </rPr>
      <t xml:space="preserve">補足：
</t>
    </r>
    <r>
      <rPr>
        <sz val="10"/>
        <color rgb="FF000000"/>
        <rFont val="メイリオ"/>
        <charset val="134"/>
      </rPr>
      <t xml:space="preserve">・Chế độ import chỉ nhận 2 giá trị là đăng ký mới và cập nhật
</t>
    </r>
    <r>
      <rPr>
        <sz val="10"/>
        <color rgb="FF000000"/>
        <rFont val="メイリオ"/>
        <charset val="134"/>
      </rPr>
      <t>・Với giá trị chế độ import đã bãi bỏ thì xử lý không được thực hiện</t>
    </r>
  </si>
  <si>
    <t>ACSMS-TC-016-071</t>
  </si>
  <si>
    <t>Kiểm tra nội dung mảng lỗi theo dòng</t>
  </si>
  <si>
    <t>・Đã login bằng JA_HONTEN (đã xác thực 2 bước)
・Chuẩn bị file Excel 5 dòng chứa nhiều loại lỗi khác nhau</t>
  </si>
  <si>
    <r>
      <rPr>
        <b/>
        <sz val="10"/>
        <color rgb="FF000000"/>
        <rFont val="メイリオ"/>
        <charset val="134"/>
      </rPr>
      <t xml:space="preserve">ステップ1：
</t>
    </r>
    <r>
      <rPr>
        <sz val="10"/>
        <color rgb="FF000000"/>
        <rFont val="メイリオ"/>
        <charset val="134"/>
      </rPr>
      <t xml:space="preserve">Thực hiện import với file Excel đã chuẩn bị
</t>
    </r>
    <r>
      <rPr>
        <b/>
        <sz val="10"/>
        <color rgb="FF000000"/>
        <rFont val="メイリオ"/>
        <charset val="134"/>
      </rPr>
      <t xml:space="preserve">ステップ2：
</t>
    </r>
    <r>
      <rPr>
        <sz val="10"/>
        <color rgb="FF000000"/>
        <rFont val="メイリオ"/>
        <charset val="134"/>
      </rPr>
      <t xml:space="preserve">Kiểm tra response body qua tab Network của DevTools
</t>
    </r>
    <r>
      <rPr>
        <b/>
        <sz val="10"/>
        <color rgb="FF000000"/>
        <rFont val="メイリオ"/>
        <charset val="134"/>
      </rPr>
      <t xml:space="preserve">ステップ3：
</t>
    </r>
    <r>
      <rPr>
        <sz val="10"/>
        <color rgb="FF000000"/>
        <rFont val="メイリオ"/>
        <charset val="134"/>
      </rPr>
      <t xml:space="preserve">Kiểm tra cấu trúc của từng phần tử trong mảng errors
</t>
    </r>
    <r>
      <rPr>
        <b/>
        <sz val="10"/>
        <color rgb="FF000000"/>
        <rFont val="メイリオ"/>
        <charset val="134"/>
      </rPr>
      <t xml:space="preserve">ステップ4：
</t>
    </r>
    <r>
      <rPr>
        <sz val="10"/>
        <color rgb="FF000000"/>
        <rFont val="メイリオ"/>
        <charset val="134"/>
      </rPr>
      <t>Kiểm tra định dạng hiển thị của danh sách lỗi trên màn hình</t>
    </r>
  </si>
  <si>
    <r>
      <rPr>
        <b/>
        <sz val="10"/>
        <color rgb="FF000000"/>
        <rFont val="メイリオ"/>
        <charset val="134"/>
      </rPr>
      <t xml:space="preserve">ステップ1：
</t>
    </r>
    <r>
      <rPr>
        <sz val="10"/>
        <color rgb="FF000000"/>
        <rFont val="メイリオ"/>
        <charset val="134"/>
      </rPr>
      <t xml:space="preserve">Lỗi được hiển thị và xử lý không được thực hiện
</t>
    </r>
    <r>
      <rPr>
        <b/>
        <sz val="10"/>
        <color rgb="FF000000"/>
        <rFont val="メイリオ"/>
        <charset val="134"/>
      </rPr>
      <t xml:space="preserve">ステップ2：
</t>
    </r>
    <r>
      <rPr>
        <sz val="10"/>
        <color rgb="FF000000"/>
        <rFont val="メイリオ"/>
        <charset val="134"/>
      </rPr>
      <t xml:space="preserve">Trả về HTTP 400 (`error_code: IMPORT_VALIDATION_ERROR`, message `Excel取込データにエラーがあります。詳細はerrorsフィールドを確認してください。`)
</t>
    </r>
    <r>
      <rPr>
        <b/>
        <sz val="10"/>
        <color rgb="FF000000"/>
        <rFont val="メイリオ"/>
        <charset val="134"/>
      </rPr>
      <t xml:space="preserve">ステップ3：
</t>
    </r>
    <r>
      <rPr>
        <sz val="10"/>
        <color rgb="FF000000"/>
        <rFont val="メイリオ"/>
        <charset val="134"/>
      </rPr>
      <t xml:space="preserve">Mỗi phần tử chứa số dòng・tên mục・message
</t>
    </r>
    <r>
      <rPr>
        <b/>
        <sz val="10"/>
        <color rgb="FF000000"/>
        <rFont val="メイリオ"/>
        <charset val="134"/>
      </rPr>
      <t xml:space="preserve">ステップ4：
</t>
    </r>
    <r>
      <rPr>
        <sz val="10"/>
        <color rgb="FF000000"/>
        <rFont val="メイリオ"/>
        <charset val="134"/>
      </rPr>
      <t xml:space="preserve">Hiển thị theo định dạng「行{N}: {項目名} — {エラー理由}」
</t>
    </r>
    <r>
      <rPr>
        <b/>
        <sz val="10"/>
        <color rgb="FF000000"/>
        <rFont val="メイリオ"/>
        <charset val="134"/>
      </rPr>
      <t xml:space="preserve">補足：
</t>
    </r>
    <r>
      <rPr>
        <sz val="10"/>
        <color rgb="FF000000"/>
        <rFont val="メイリオ"/>
        <charset val="134"/>
      </rPr>
      <t xml:space="preserve">・Tên mục hiển thị bằng tên hiển thị tiếng Nhật
</t>
    </r>
    <r>
      <rPr>
        <sz val="10"/>
        <color rgb="FF000000"/>
        <rFont val="メイリオ"/>
        <charset val="134"/>
      </rPr>
      <t>・Response dạng JSON</t>
    </r>
  </si>
  <si>
    <t>ACSMS-TC-016-072</t>
  </si>
  <si>
    <t>Import file Excel bị hỏng</t>
  </si>
  <si>
    <t>・Đã login bằng JA_HONTEN (đã xác thực 2 bước)
・Chuẩn bị file .xlsx bị hỏng do sửa một phần dữ liệu nhị phân</t>
  </si>
  <si>
    <r>
      <rPr>
        <b/>
        <sz val="10"/>
        <color rgb="FF000000"/>
        <rFont val="メイリオ"/>
        <charset val="134"/>
      </rPr>
      <t xml:space="preserve">ステップ1：
</t>
    </r>
    <r>
      <rPr>
        <sz val="10"/>
        <color rgb="FF000000"/>
        <rFont val="メイリオ"/>
        <charset val="134"/>
      </rPr>
      <t xml:space="preserve">Chọn file .xlsx bị hỏng
</t>
    </r>
    <r>
      <rPr>
        <b/>
        <sz val="10"/>
        <color rgb="FF000000"/>
        <rFont val="メイリオ"/>
        <charset val="134"/>
      </rPr>
      <t xml:space="preserve">ステップ2：
</t>
    </r>
    <r>
      <rPr>
        <sz val="10"/>
        <color rgb="FF000000"/>
        <rFont val="メイリオ"/>
        <charset val="134"/>
      </rPr>
      <t xml:space="preserve">Kiểm tra nội dung hiển thị của màn hình
</t>
    </r>
    <r>
      <rPr>
        <b/>
        <sz val="10"/>
        <color rgb="FF000000"/>
        <rFont val="メイリオ"/>
        <charset val="134"/>
      </rPr>
      <t xml:space="preserve">ステップ3：
</t>
    </r>
    <r>
      <rPr>
        <sz val="10"/>
        <color rgb="FF000000"/>
        <rFont val="メイリオ"/>
        <charset val="134"/>
      </rPr>
      <t xml:space="preserve">Chọn file .xlsx đã đổi tên dòng header rồi thực hiện import
</t>
    </r>
    <r>
      <rPr>
        <b/>
        <sz val="10"/>
        <color rgb="FF000000"/>
        <rFont val="メイリオ"/>
        <charset val="134"/>
      </rPr>
      <t xml:space="preserve">ステップ4：
</t>
    </r>
    <r>
      <rPr>
        <sz val="10"/>
        <color rgb="FF000000"/>
        <rFont val="メイリオ"/>
        <charset val="134"/>
      </rPr>
      <t>Chọn file thực thi đã đổi đuôi thành .xlsx</t>
    </r>
  </si>
  <si>
    <r>
      <rPr>
        <b/>
        <sz val="10"/>
        <color rgb="FF000000"/>
        <rFont val="游ゴシック"/>
        <charset val="134"/>
      </rPr>
      <t xml:space="preserve">ステップ1：
</t>
    </r>
    <r>
      <rPr>
        <sz val="10"/>
        <color rgb="FF000000"/>
        <rFont val="游ゴシック"/>
        <charset val="134"/>
      </rPr>
      <t xml:space="preserve">Hiển thị toast「Excelファイルの取り込みに失敗しました。ファイル形式を確認してください。」
</t>
    </r>
    <r>
      <rPr>
        <b/>
        <sz val="10"/>
        <color rgb="FF000000"/>
        <rFont val="游ゴシック"/>
        <charset val="134"/>
      </rPr>
      <t xml:space="preserve">ステップ2：
</t>
    </r>
    <r>
      <rPr>
        <sz val="10"/>
        <color rgb="FF000000"/>
        <rFont val="游ゴシック"/>
        <charset val="134"/>
      </rPr>
      <t xml:space="preserve">・Preview dữ liệu import không hiển thị
・Không bị terminate bất thường
</t>
    </r>
    <r>
      <rPr>
        <b/>
        <sz val="10"/>
        <color rgb="FF000000"/>
        <rFont val="游ゴシック"/>
        <charset val="134"/>
      </rPr>
      <t xml:space="preserve">ステップ3：
</t>
    </r>
    <r>
      <rPr>
        <sz val="10"/>
        <color rgb="FF000000"/>
        <rFont val="游ゴシック"/>
        <charset val="134"/>
      </rPr>
      <t xml:space="preserve">Cột không tương ứng không trở thành đối tượng import, hoặc hiển thị lỗi thiếu cột đối tượng import
</t>
    </r>
    <r>
      <rPr>
        <b/>
        <sz val="10"/>
        <color rgb="FF000000"/>
        <rFont val="游ゴシック"/>
        <charset val="134"/>
      </rPr>
      <t xml:space="preserve">ステップ4：
</t>
    </r>
    <r>
      <rPr>
        <sz val="10"/>
        <color rgb="FF000000"/>
        <rFont val="游ゴシック"/>
        <charset val="134"/>
      </rPr>
      <t xml:space="preserve">Hiển thị toast「Excelファイルの取り込みに失敗しました。ファイル形式を確認してください。」
</t>
    </r>
    <r>
      <rPr>
        <b/>
        <sz val="10"/>
        <color rgb="FF000000"/>
        <rFont val="游ゴシック"/>
        <charset val="134"/>
      </rPr>
      <t xml:space="preserve">補足：
</t>
    </r>
    <r>
      <rPr>
        <sz val="10"/>
        <color rgb="FF000000"/>
        <rFont val="游ゴシック"/>
        <charset val="134"/>
      </rPr>
      <t>・Không phát sinh lỗi ngoài dự kiến
・Màn hình không rơi vào trạng thái không thao tác được</t>
    </r>
  </si>
  <si>
    <t>ACSMS-TC-016-073</t>
  </si>
  <si>
    <t>Vượt quá giới hạn số dòng khi gọi API trực tiếp</t>
  </si>
  <si>
    <r>
      <rPr>
        <b/>
        <sz val="10"/>
        <color rgb="FF000000"/>
        <rFont val="游ゴシック"/>
        <charset val="134"/>
      </rPr>
      <t xml:space="preserve">ステップ1：
</t>
    </r>
    <r>
      <rPr>
        <sz val="10"/>
        <color rgb="FF000000"/>
        <rFont val="游ゴシック"/>
        <charset val="134"/>
      </rPr>
      <t xml:space="preserve">Gửi POST "/api/v1/dokusya/import" với request body có rows là 5001 phần tử qua tab Network của DevTools
</t>
    </r>
    <r>
      <rPr>
        <b/>
        <sz val="10"/>
        <color rgb="FF000000"/>
        <rFont val="游ゴシック"/>
        <charset val="134"/>
      </rPr>
      <t xml:space="preserve">ステップ2：
</t>
    </r>
    <r>
      <rPr>
        <sz val="10"/>
        <color rgb="FF000000"/>
        <rFont val="游ゴシック"/>
        <charset val="134"/>
      </rPr>
      <t xml:space="preserve">Kiểm tra response body
</t>
    </r>
    <r>
      <rPr>
        <b/>
        <sz val="10"/>
        <color rgb="FF000000"/>
        <rFont val="游ゴシック"/>
        <charset val="134"/>
      </rPr>
      <t xml:space="preserve">ステップ3：
</t>
    </r>
    <r>
      <rPr>
        <sz val="10"/>
        <color rgb="FF000000"/>
        <rFont val="游ゴシック"/>
        <charset val="134"/>
      </rPr>
      <t xml:space="preserve">Gửi với rows là 30000 phần tử
</t>
    </r>
    <r>
      <rPr>
        <b/>
        <sz val="10"/>
        <color rgb="FF000000"/>
        <rFont val="游ゴシック"/>
        <charset val="134"/>
      </rPr>
      <t xml:space="preserve">ステップ4：
</t>
    </r>
    <r>
      <rPr>
        <sz val="10"/>
        <color rgb="FF000000"/>
        <rFont val="游ゴシック"/>
        <charset val="134"/>
      </rPr>
      <t>Kiểm tra số bản ghi của t_dokusya trên DB</t>
    </r>
  </si>
  <si>
    <r>
      <rPr>
        <b/>
        <sz val="10"/>
        <color rgb="FF000000"/>
        <rFont val="游ゴシック"/>
        <charset val="134"/>
      </rPr>
      <t xml:space="preserve">ステップ1：
</t>
    </r>
    <r>
      <rPr>
        <sz val="10"/>
        <color rgb="FF000000"/>
        <rFont val="游ゴシック"/>
        <charset val="134"/>
      </rPr>
      <t xml:space="preserve">Trả về HTTP 400
</t>
    </r>
    <r>
      <rPr>
        <b/>
        <sz val="10"/>
        <color rgb="FF000000"/>
        <rFont val="游ゴシック"/>
        <charset val="134"/>
      </rPr>
      <t xml:space="preserve">ステップ2：
</t>
    </r>
    <r>
      <rPr>
        <sz val="10"/>
        <color rgb="FF000000"/>
        <rFont val="游ゴシック"/>
        <charset val="134"/>
      </rPr>
      <t xml:space="preserve">Trả về `error_code: ROW_LIMIT_EXCEEDED`, message `ファイルの行数が上限（5000行）を超えているため、取込みできません。`
</t>
    </r>
    <r>
      <rPr>
        <b/>
        <sz val="10"/>
        <color rgb="FF000000"/>
        <rFont val="游ゴシック"/>
        <charset val="134"/>
      </rPr>
      <t xml:space="preserve">ステップ3：
</t>
    </r>
    <r>
      <rPr>
        <sz val="10"/>
        <color rgb="FF000000"/>
        <rFont val="游ゴシック"/>
        <charset val="134"/>
      </rPr>
      <t xml:space="preserve">Trả về HTTP 200 (do đúng bằng giới hạn)
</t>
    </r>
    <r>
      <rPr>
        <b/>
        <sz val="10"/>
        <color rgb="FF000000"/>
        <rFont val="游ゴシック"/>
        <charset val="134"/>
      </rPr>
      <t xml:space="preserve">ステップ4：
</t>
    </r>
    <r>
      <rPr>
        <sz val="10"/>
        <color rgb="FF000000"/>
        <rFont val="游ゴシック"/>
        <charset val="134"/>
      </rPr>
      <t xml:space="preserve">Khi gửi 5001 phần tử thì dữ liệu không được đăng ký
</t>
    </r>
    <r>
      <rPr>
        <b/>
        <sz val="10"/>
        <color rgb="FF000000"/>
        <rFont val="游ゴシック"/>
        <charset val="134"/>
      </rPr>
      <t xml:space="preserve">補足：
</t>
    </r>
    <r>
      <rPr>
        <sz val="10"/>
        <color rgb="FF000000"/>
        <rFont val="游ゴシック"/>
        <charset val="134"/>
      </rPr>
      <t>・Không chỉ chặn phía màn hình mà phía server cũng phán định giới hạn số dòng</t>
    </r>
  </si>
  <si>
    <t>ACSMS-TC-016-074</t>
  </si>
  <si>
    <t>Thử import dữ liệu của JA khác</t>
  </si>
  <si>
    <t>・Đã login bằng JA_HONTEN (đã xác thực 2 bước)
・JA khác đã đăng ký sẵn độc giả và đã ghi lại ID của độc giả đó</t>
  </si>
  <si>
    <r>
      <rPr>
        <b/>
        <sz val="10"/>
        <color rgb="FF000000"/>
        <rFont val="游ゴシック"/>
        <charset val="134"/>
      </rPr>
      <t xml:space="preserve">ステップ1：
</t>
    </r>
    <r>
      <rPr>
        <sz val="10"/>
        <color rgb="FF000000"/>
        <rFont val="游ゴシック"/>
        <charset val="134"/>
      </rPr>
      <t xml:space="preserve">Ở chế độ import "更新", thực hiện import với file Excel ghi ID của độc giả thuộc JA khác
</t>
    </r>
    <r>
      <rPr>
        <b/>
        <sz val="10"/>
        <color rgb="FF000000"/>
        <rFont val="游ゴシック"/>
        <charset val="134"/>
      </rPr>
      <t xml:space="preserve">ステップ2：
</t>
    </r>
    <r>
      <rPr>
        <sz val="10"/>
        <color rgb="FF000000"/>
        <rFont val="游ゴシック"/>
        <charset val="134"/>
      </rPr>
      <t xml:space="preserve">Kiểm tra response qua tab Network của DevTools
</t>
    </r>
    <r>
      <rPr>
        <b/>
        <sz val="10"/>
        <color rgb="FF000000"/>
        <rFont val="游ゴシック"/>
        <charset val="134"/>
      </rPr>
      <t xml:space="preserve">ステップ3：
</t>
    </r>
    <r>
      <rPr>
        <sz val="10"/>
        <color rgb="FF000000"/>
        <rFont val="游ゴシック"/>
        <charset val="134"/>
      </rPr>
      <t xml:space="preserve">Kiểm tra dữ liệu đối tượng không bị thay đổi trên DB
```sql
SELECT dokusya_id, ja_id, biko, updated_at
FROM t_dokusya WHERE dokusya_id = ID độc giả của JA khác;
```
</t>
    </r>
    <r>
      <rPr>
        <b/>
        <sz val="10"/>
        <color rgb="FF000000"/>
        <rFont val="游ゴシック"/>
        <charset val="134"/>
      </rPr>
      <t xml:space="preserve">ステップ4：
</t>
    </r>
    <r>
      <rPr>
        <sz val="10"/>
        <color rgb="FF000000"/>
        <rFont val="游ゴシック"/>
        <charset val="134"/>
      </rPr>
      <t>Login bằng JA_KANRI_SHITEN và thực hiện tương tự với ID của độc giả thuộc chi nhánh quản lý khác trong cùng JA</t>
    </r>
  </si>
  <si>
    <r>
      <rPr>
        <b/>
        <sz val="10"/>
        <color rgb="FF000000"/>
        <rFont val="メイリオ"/>
        <charset val="134"/>
      </rPr>
      <t xml:space="preserve">ステップ1：
</t>
    </r>
    <r>
      <rPr>
        <sz val="10"/>
        <color rgb="FF000000"/>
        <rFont val="メイリオ"/>
        <charset val="134"/>
      </rPr>
      <t xml:space="preserve">Lỗi được hiển thị và xử lý không được thực hiện
</t>
    </r>
    <r>
      <rPr>
        <b/>
        <sz val="10"/>
        <color rgb="FF000000"/>
        <rFont val="メイリオ"/>
        <charset val="134"/>
      </rPr>
      <t xml:space="preserve">ステップ2：
</t>
    </r>
    <r>
      <rPr>
        <sz val="10"/>
        <color rgb="FF000000"/>
        <rFont val="メイリオ"/>
        <charset val="134"/>
      </rPr>
      <t xml:space="preserve">Trả về HTTP 400 hoặc 403 (`error_code: IMPORT_VALIDATION_ERROR` hoặc `DATA_SCOPE_VIOLATION`, message `このデータへのアクセス権限がありません。`)
</t>
    </r>
    <r>
      <rPr>
        <b/>
        <sz val="10"/>
        <color rgb="FF000000"/>
        <rFont val="メイリオ"/>
        <charset val="134"/>
      </rPr>
      <t xml:space="preserve">ステップ3：
</t>
    </r>
    <r>
      <rPr>
        <sz val="10"/>
        <color rgb="FF000000"/>
        <rFont val="メイリオ"/>
        <charset val="134"/>
      </rPr>
      <t xml:space="preserve">・Dữ liệu của JA khác không bị update
</t>
    </r>
    <r>
      <rPr>
        <sz val="10"/>
        <color rgb="FF000000"/>
        <rFont val="メイリオ"/>
        <charset val="134"/>
      </rPr>
      <t xml:space="preserve">・updated_at không bị thay đổi
</t>
    </r>
    <r>
      <rPr>
        <b/>
        <sz val="10"/>
        <color rgb="FF000000"/>
        <rFont val="メイリオ"/>
        <charset val="134"/>
      </rPr>
      <t xml:space="preserve">ステップ4：
</t>
    </r>
    <r>
      <rPr>
        <sz val="10"/>
        <color rgb="FF000000"/>
        <rFont val="メイリオ"/>
        <charset val="134"/>
      </rPr>
      <t xml:space="preserve">Trả về HTTP 403 (`error_code: DATA_SCOPE_VIOLATION`)
</t>
    </r>
    <r>
      <rPr>
        <b/>
        <sz val="10"/>
        <color rgb="FF000000"/>
        <rFont val="メイリオ"/>
        <charset val="134"/>
      </rPr>
      <t xml:space="preserve">補足：
</t>
    </r>
    <r>
      <rPr>
        <sz val="10"/>
        <color rgb="FF000000"/>
        <rFont val="メイリオ"/>
        <charset val="134"/>
      </rPr>
      <t xml:space="preserve">・Dữ liệu ngoài phạm vi không trở thành đối tượng import
</t>
    </r>
    <r>
      <rPr>
        <sz val="10"/>
        <color rgb="FF000000"/>
        <rFont val="メイリオ"/>
        <charset val="134"/>
      </rPr>
      <t>・Đảm bảo tính toàn vẹn dữ liệu</t>
    </r>
  </si>
  <si>
    <t>ACSMS-TC-016-075</t>
  </si>
  <si>
    <t>Vượt quá giới hạn tần suất request</t>
  </si>
  <si>
    <t>・Đã login bằng JA_HONTEN (đã xác thực 2 bước)
・Chuẩn bị công cụ gửi request</t>
  </si>
  <si>
    <r>
      <rPr>
        <b/>
        <sz val="10"/>
        <color rgb="FF000000"/>
        <rFont val="メイリオ"/>
        <charset val="134"/>
      </rPr>
      <t xml:space="preserve">ステップ1：
</t>
    </r>
    <r>
      <rPr>
        <sz val="10"/>
        <color rgb="FF000000"/>
        <rFont val="メイリオ"/>
        <charset val="134"/>
      </rPr>
      <t xml:space="preserve">Gửi liên tiếp POST "/api/v1/dokusya/import" tới sát giới hạn trong vòng 1 phút
</t>
    </r>
    <r>
      <rPr>
        <b/>
        <sz val="10"/>
        <color rgb="FF000000"/>
        <rFont val="メイリオ"/>
        <charset val="134"/>
      </rPr>
      <t xml:space="preserve">ステップ2：
</t>
    </r>
    <r>
      <rPr>
        <sz val="10"/>
        <color rgb="FF000000"/>
        <rFont val="メイリオ"/>
        <charset val="134"/>
      </rPr>
      <t xml:space="preserve">Gửi vượt quá số lần giới hạn
</t>
    </r>
    <r>
      <rPr>
        <b/>
        <sz val="10"/>
        <color rgb="FF000000"/>
        <rFont val="メイリオ"/>
        <charset val="134"/>
      </rPr>
      <t xml:space="preserve">ステップ3：
</t>
    </r>
    <r>
      <rPr>
        <sz val="10"/>
        <color rgb="FF000000"/>
        <rFont val="メイリオ"/>
        <charset val="134"/>
      </rPr>
      <t xml:space="preserve">Kiểm tra response body
</t>
    </r>
    <r>
      <rPr>
        <b/>
        <sz val="10"/>
        <color rgb="FF000000"/>
        <rFont val="メイリオ"/>
        <charset val="134"/>
      </rPr>
      <t xml:space="preserve">ステップ4：
</t>
    </r>
    <r>
      <rPr>
        <sz val="10"/>
        <color rgb="FF000000"/>
        <rFont val="メイリオ"/>
        <charset val="134"/>
      </rPr>
      <t>Gửi lại sau khi qua 1 phút</t>
    </r>
  </si>
  <si>
    <r>
      <rPr>
        <b/>
        <sz val="10"/>
        <color rgb="FF000000"/>
        <rFont val="メイリオ"/>
        <charset val="134"/>
      </rPr>
      <t xml:space="preserve">ステップ1：
</t>
    </r>
    <r>
      <rPr>
        <sz val="10"/>
        <color rgb="FF000000"/>
        <rFont val="メイリオ"/>
        <charset val="134"/>
      </rPr>
      <t xml:space="preserve">Toàn bộ đều được xử lý (không trả về HTTP 429)
</t>
    </r>
    <r>
      <rPr>
        <b/>
        <sz val="10"/>
        <color rgb="FF000000"/>
        <rFont val="メイリオ"/>
        <charset val="134"/>
      </rPr>
      <t xml:space="preserve">ステップ2：
</t>
    </r>
    <r>
      <rPr>
        <sz val="10"/>
        <color rgb="FF000000"/>
        <rFont val="メイリオ"/>
        <charset val="134"/>
      </rPr>
      <t xml:space="preserve">Trả về HTTP 429
</t>
    </r>
    <r>
      <rPr>
        <b/>
        <sz val="10"/>
        <color rgb="FF000000"/>
        <rFont val="メイリオ"/>
        <charset val="134"/>
      </rPr>
      <t xml:space="preserve">ステップ3：
</t>
    </r>
    <r>
      <rPr>
        <sz val="10"/>
        <color rgb="FF000000"/>
        <rFont val="メイリオ"/>
        <charset val="134"/>
      </rPr>
      <t xml:space="preserve">Trả về `error_code: TOO_MANY_REQUESTS`, message `リクエスト回数が上限を超えました。しばらくしてから再度お試しください。`
</t>
    </r>
    <r>
      <rPr>
        <b/>
        <sz val="10"/>
        <color rgb="FF000000"/>
        <rFont val="メイリオ"/>
        <charset val="134"/>
      </rPr>
      <t xml:space="preserve">ステップ4：
</t>
    </r>
    <r>
      <rPr>
        <sz val="10"/>
        <color rgb="FF000000"/>
        <rFont val="メイリオ"/>
        <charset val="134"/>
      </rPr>
      <t xml:space="preserve">Xử lý được thực hiện
</t>
    </r>
    <r>
      <rPr>
        <b/>
        <sz val="10"/>
        <color rgb="FF000000"/>
        <rFont val="メイリオ"/>
        <charset val="134"/>
      </rPr>
      <t xml:space="preserve">補足：
</t>
    </r>
    <r>
      <rPr>
        <sz val="10"/>
        <color rgb="FF000000"/>
        <rFont val="メイリオ"/>
        <charset val="134"/>
      </rPr>
      <t>・Khi vượt giới hạn thì dữ liệu không được đăng ký</t>
    </r>
  </si>
  <si>
    <t>ACSMS-TC-016-076</t>
  </si>
  <si>
    <t>Lỗi nội bộ phía server</t>
  </si>
  <si>
    <t>・Đã login bằng JA_HONTEN (đã xác thực 2 bước)
・Chuẩn bị môi trường kiểm chứng có thể tạm ngắt kết nối DB</t>
  </si>
  <si>
    <r>
      <rPr>
        <b/>
        <sz val="10"/>
        <color rgb="FF000000"/>
        <rFont val="メイリオ"/>
        <charset val="134"/>
      </rPr>
      <t xml:space="preserve">ステップ1：
</t>
    </r>
    <r>
      <rPr>
        <sz val="10"/>
        <color rgb="FF000000"/>
        <rFont val="メイリオ"/>
        <charset val="134"/>
      </rPr>
      <t xml:space="preserve">Chọn file Excel hợp lệ, ngắt kết nối DB ngay trước khi bắt đầu import
</t>
    </r>
    <r>
      <rPr>
        <b/>
        <sz val="10"/>
        <color rgb="FF000000"/>
        <rFont val="メイリオ"/>
        <charset val="134"/>
      </rPr>
      <t xml:space="preserve">ステップ2：
</t>
    </r>
    <r>
      <rPr>
        <sz val="10"/>
        <color rgb="FF000000"/>
        <rFont val="メイリオ"/>
        <charset val="134"/>
      </rPr>
      <t xml:space="preserve">Click button bắt đầu import và click "はい" ở dialog xác nhận
</t>
    </r>
    <r>
      <rPr>
        <b/>
        <sz val="10"/>
        <color rgb="FF000000"/>
        <rFont val="メイリオ"/>
        <charset val="134"/>
      </rPr>
      <t xml:space="preserve">ステップ3：
</t>
    </r>
    <r>
      <rPr>
        <sz val="10"/>
        <color rgb="FF000000"/>
        <rFont val="メイリオ"/>
        <charset val="134"/>
      </rPr>
      <t xml:space="preserve">Kiểm tra response qua tab Network của DevTools
</t>
    </r>
    <r>
      <rPr>
        <b/>
        <sz val="10"/>
        <color rgb="FF000000"/>
        <rFont val="メイリオ"/>
        <charset val="134"/>
      </rPr>
      <t xml:space="preserve">ステップ4：
</t>
    </r>
    <r>
      <rPr>
        <sz val="10"/>
        <color rgb="FF000000"/>
        <rFont val="メイリオ"/>
        <charset val="134"/>
      </rPr>
      <t xml:space="preserve">Khôi phục kết nối DB và kiểm tra error log cùng dữ liệu bằng query sau
</t>
    </r>
    <r>
      <rPr>
        <sz val="10"/>
        <color rgb="FF000000"/>
        <rFont val="メイリオ"/>
        <charset val="134"/>
      </rPr>
      <t xml:space="preserve">```sql
</t>
    </r>
    <r>
      <rPr>
        <sz val="10"/>
        <color rgb="FF000000"/>
        <rFont val="メイリオ"/>
        <charset val="134"/>
      </rPr>
      <t xml:space="preserve">SELECT log_type, result_status, error_message
</t>
    </r>
    <r>
      <rPr>
        <sz val="10"/>
        <color rgb="FF000000"/>
        <rFont val="メイリオ"/>
        <charset val="134"/>
      </rPr>
      <t xml:space="preserve">FROM t_log WHERE log_type = 3
</t>
    </r>
    <r>
      <rPr>
        <sz val="10"/>
        <color rgb="FF000000"/>
        <rFont val="メイリオ"/>
        <charset val="134"/>
      </rPr>
      <t xml:space="preserve">ORDER BY log_datetime DESC LIMIT 1;
</t>
    </r>
    <r>
      <rPr>
        <sz val="10"/>
        <color rgb="FF000000"/>
        <rFont val="メイリオ"/>
        <charset val="134"/>
      </rPr>
      <t xml:space="preserve">SELECT COUNT(*) FROM t_dokusya WHERE deleted_at IS NULL;
</t>
    </r>
    <r>
      <rPr>
        <sz val="10"/>
        <color rgb="FF000000"/>
        <rFont val="メイリオ"/>
        <charset val="134"/>
      </rPr>
      <t>```</t>
    </r>
  </si>
  <si>
    <r>
      <rPr>
        <b/>
        <sz val="10"/>
        <color rgb="FF000000"/>
        <rFont val="メイリオ"/>
        <charset val="134"/>
      </rPr>
      <t xml:space="preserve">ステップ1：
</t>
    </r>
    <r>
      <rPr>
        <sz val="10"/>
        <color rgb="FF000000"/>
        <rFont val="メイリオ"/>
        <charset val="134"/>
      </rPr>
      <t xml:space="preserve">Hiển thị màn hình không thay đổi
</t>
    </r>
    <r>
      <rPr>
        <b/>
        <sz val="10"/>
        <color rgb="FF000000"/>
        <rFont val="メイリオ"/>
        <charset val="134"/>
      </rPr>
      <t xml:space="preserve">ステップ2：
</t>
    </r>
    <r>
      <rPr>
        <sz val="10"/>
        <color rgb="FF000000"/>
        <rFont val="メイリオ"/>
        <charset val="134"/>
      </rPr>
      <t xml:space="preserve">Hiển thị toast「システムエラーが発生しました。しばらくしてから再度お試しください。」
</t>
    </r>
    <r>
      <rPr>
        <b/>
        <sz val="10"/>
        <color rgb="FF000000"/>
        <rFont val="メイリオ"/>
        <charset val="134"/>
      </rPr>
      <t xml:space="preserve">ステップ3：
</t>
    </r>
    <r>
      <rPr>
        <sz val="10"/>
        <color rgb="FF000000"/>
        <rFont val="メイリオ"/>
        <charset val="134"/>
      </rPr>
      <t xml:space="preserve">Trả về HTTP 500 (`error_code: INTERNAL_SERVER_ERROR`, message `システムエラーが発生しました。しばらくしてから再度お試しください。`)
</t>
    </r>
    <r>
      <rPr>
        <b/>
        <sz val="10"/>
        <color rgb="FF000000"/>
        <rFont val="メイリオ"/>
        <charset val="134"/>
      </rPr>
      <t xml:space="preserve">ステップ4：
</t>
    </r>
    <r>
      <rPr>
        <sz val="10"/>
        <color rgb="FF000000"/>
        <rFont val="メイリオ"/>
        <charset val="134"/>
      </rPr>
      <t xml:space="preserve">・Output error log
</t>
    </r>
    <r>
      <rPr>
        <sz val="10"/>
        <color rgb="FF000000"/>
        <rFont val="メイリオ"/>
        <charset val="134"/>
      </rPr>
      <t xml:space="preserve">・Số bản ghi của t_dokusya bằng với trước khi import
</t>
    </r>
    <r>
      <rPr>
        <sz val="10"/>
        <color rgb="FF000000"/>
        <rFont val="メイリオ"/>
        <charset val="134"/>
      </rPr>
      <t xml:space="preserve">・Thông tin nội bộ như stack trace không hiển thị lên màn hình
</t>
    </r>
    <r>
      <rPr>
        <b/>
        <sz val="10"/>
        <color rgb="FF000000"/>
        <rFont val="メイリオ"/>
        <charset val="134"/>
      </rPr>
      <t xml:space="preserve">補足：
</t>
    </r>
    <r>
      <rPr>
        <sz val="10"/>
        <color rgb="FF000000"/>
        <rFont val="メイリオ"/>
        <charset val="134"/>
      </rPr>
      <t xml:space="preserve">・Được rollback
</t>
    </r>
    <r>
      <rPr>
        <sz val="10"/>
        <color rgb="FF000000"/>
        <rFont val="メイリオ"/>
        <charset val="134"/>
      </rPr>
      <t>・Không bị terminate bất thường</t>
    </r>
  </si>
  <si>
    <t>ACSMS-TC-016-077</t>
  </si>
  <si>
    <t>Xử lý phía màn hình khi mất kết nối mạng</t>
  </si>
  <si>
    <t>・Đã login bằng JA_HONTEN (đã xác thực 2 bước)
・Đã chọn file Excel hợp lệ và thiết lập xong cột import</t>
  </si>
  <si>
    <r>
      <rPr>
        <b/>
        <sz val="10"/>
        <color rgb="FF000000"/>
        <rFont val="メイリオ"/>
        <charset val="134"/>
      </rPr>
      <t xml:space="preserve">ステップ1：
</t>
    </r>
    <r>
      <rPr>
        <sz val="10"/>
        <color rgb="FF000000"/>
        <rFont val="メイリオ"/>
        <charset val="134"/>
      </rPr>
      <t xml:space="preserve">Đặt trạng thái mất kết nối mạng ở tab Network của DevTools
</t>
    </r>
    <r>
      <rPr>
        <b/>
        <sz val="10"/>
        <color rgb="FF000000"/>
        <rFont val="メイリオ"/>
        <charset val="134"/>
      </rPr>
      <t xml:space="preserve">ステップ2：
</t>
    </r>
    <r>
      <rPr>
        <sz val="10"/>
        <color rgb="FF000000"/>
        <rFont val="メイリオ"/>
        <charset val="134"/>
      </rPr>
      <t xml:space="preserve">Click button bắt đầu import và click "はい" ở dialog xác nhận
</t>
    </r>
    <r>
      <rPr>
        <b/>
        <sz val="10"/>
        <color rgb="FF000000"/>
        <rFont val="メイリオ"/>
        <charset val="134"/>
      </rPr>
      <t xml:space="preserve">ステップ3：
</t>
    </r>
    <r>
      <rPr>
        <sz val="10"/>
        <color rgb="FF000000"/>
        <rFont val="メイリオ"/>
        <charset val="134"/>
      </rPr>
      <t xml:space="preserve">Kiểm tra nội dung hiển thị của màn hình và trạng thái giữ lại của nội dung đã nhập
</t>
    </r>
    <r>
      <rPr>
        <b/>
        <sz val="10"/>
        <color rgb="FF000000"/>
        <rFont val="メイリオ"/>
        <charset val="134"/>
      </rPr>
      <t xml:space="preserve">ステップ4：
</t>
    </r>
    <r>
      <rPr>
        <sz val="10"/>
        <color rgb="FF000000"/>
        <rFont val="メイリオ"/>
        <charset val="134"/>
      </rPr>
      <t>Khôi phục mạng và click lại button bắt đầu import</t>
    </r>
  </si>
  <si>
    <r>
      <rPr>
        <b/>
        <sz val="10"/>
        <color rgb="FF000000"/>
        <rFont val="メイリオ"/>
        <charset val="134"/>
      </rPr>
      <t xml:space="preserve">ステップ1：
</t>
    </r>
    <r>
      <rPr>
        <sz val="10"/>
        <color rgb="FF000000"/>
        <rFont val="メイリオ"/>
        <charset val="134"/>
      </rPr>
      <t xml:space="preserve">Hiển thị màn hình không thay đổi
</t>
    </r>
    <r>
      <rPr>
        <b/>
        <sz val="10"/>
        <color rgb="FF000000"/>
        <rFont val="メイリオ"/>
        <charset val="134"/>
      </rPr>
      <t xml:space="preserve">ステップ2：
</t>
    </r>
    <r>
      <rPr>
        <sz val="10"/>
        <color rgb="FF000000"/>
        <rFont val="メイリオ"/>
        <charset val="134"/>
      </rPr>
      <t xml:space="preserve">Hiển thị toast「ネットワークエラーが発生しました。接続をご確認ください。」
</t>
    </r>
    <r>
      <rPr>
        <b/>
        <sz val="10"/>
        <color rgb="FF000000"/>
        <rFont val="メイリオ"/>
        <charset val="134"/>
      </rPr>
      <t xml:space="preserve">ステップ3：
</t>
    </r>
    <r>
      <rPr>
        <sz val="10"/>
        <color rgb="FF000000"/>
        <rFont val="メイリオ"/>
        <charset val="134"/>
      </rPr>
      <t xml:space="preserve">・File đã chọn・trạng thái check của cột import・giá trị nhập của ngày đều được giữ lại
</t>
    </r>
    <r>
      <rPr>
        <sz val="10"/>
        <color rgb="FF000000"/>
        <rFont val="メイリオ"/>
        <charset val="134"/>
      </rPr>
      <t xml:space="preserve">・Màn hình không rơi vào trạng thái không thao tác được
</t>
    </r>
    <r>
      <rPr>
        <b/>
        <sz val="10"/>
        <color rgb="FF000000"/>
        <rFont val="メイリオ"/>
        <charset val="134"/>
      </rPr>
      <t xml:space="preserve">ステップ4：
</t>
    </r>
    <r>
      <rPr>
        <sz val="10"/>
        <color rgb="FF000000"/>
        <rFont val="メイリオ"/>
        <charset val="134"/>
      </rPr>
      <t xml:space="preserve">Xử lý được thực hiện và hiển thị toast「取り込みました。」
</t>
    </r>
    <r>
      <rPr>
        <b/>
        <sz val="10"/>
        <color rgb="FF000000"/>
        <rFont val="メイリオ"/>
        <charset val="134"/>
      </rPr>
      <t xml:space="preserve">補足：
</t>
    </r>
    <r>
      <rPr>
        <sz val="10"/>
        <color rgb="FF000000"/>
        <rFont val="メイリオ"/>
        <charset val="134"/>
      </rPr>
      <t xml:space="preserve">・Sau lỗi mạng vẫn có thể thực hiện lại
</t>
    </r>
    <r>
      <rPr>
        <sz val="10"/>
        <color rgb="FF000000"/>
        <rFont val="メイリオ"/>
        <charset val="134"/>
      </rPr>
      <t>・Không bị submit 2 lần</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</si>
</sst>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yyyy/mm/dd"/>
    <numFmt numFmtId="179" formatCode="0.0%"/>
  </numFmts>
  <fonts count="33">
    <font>
      <sz val="11"/>
      <color theme="1"/>
      <name val="Calibri"/>
      <charset val="134"/>
      <scheme val="minor"/>
    </font>
    <font>
      <b/>
      <sz val="11"/>
      <color rgb="FF000000"/>
      <name val="游ゴシック"/>
      <charset val="134"/>
    </font>
    <font>
      <sz val="11"/>
      <name val="Calibri"/>
      <charset val="134"/>
      <scheme val="minor"/>
    </font>
    <font>
      <sz val="11"/>
      <color rgb="FF000000"/>
      <name val="游ゴシック"/>
      <charset val="134"/>
    </font>
    <font>
      <i/>
      <sz val="11"/>
      <color rgb="FF000000"/>
      <name val="游ゴシック"/>
      <charset val="134"/>
    </font>
    <font>
      <b/>
      <sz val="14"/>
      <color rgb="FF000000"/>
      <name val="游ゴシック"/>
      <charset val="134"/>
    </font>
    <font>
      <sz val="11"/>
      <color theme="1"/>
      <name val="Calibri"/>
      <charset val="134"/>
    </font>
    <font>
      <sz val="26"/>
      <color rgb="FF1F3864"/>
      <name val="游ゴシック"/>
      <charset val="134"/>
    </font>
    <font>
      <sz val="24"/>
      <color rgb="FF1F3864"/>
      <name val="游ゴシック"/>
      <charset val="134"/>
    </font>
    <font>
      <sz val="15"/>
      <color theme="1"/>
      <name val="游ゴシック"/>
      <charset val="134"/>
    </font>
    <font>
      <sz val="10"/>
      <color rgb="FF000000"/>
      <name val="游ゴシック"/>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sz val="10"/>
      <color rgb="FF000000"/>
      <name val="游ゴシック"/>
      <charset val="134"/>
    </font>
    <font>
      <b/>
      <sz val="10"/>
      <color rgb="FF000000"/>
      <name val="メイリオ"/>
      <charset val="134"/>
    </font>
    <font>
      <sz val="10"/>
      <color rgb="FF000000"/>
      <name val="メイリオ"/>
      <charset val="134"/>
    </font>
  </fonts>
  <fills count="41">
    <fill>
      <patternFill patternType="none"/>
    </fill>
    <fill>
      <patternFill patternType="gray125"/>
    </fill>
    <fill>
      <patternFill patternType="solid">
        <fgColor rgb="FFDEEAF6"/>
        <bgColor rgb="FFDEEAF6"/>
      </patternFill>
    </fill>
    <fill>
      <patternFill patternType="solid">
        <fgColor rgb="FFBDD6EE"/>
        <bgColor rgb="FFBDD6EE"/>
      </patternFill>
    </fill>
    <fill>
      <patternFill patternType="solid">
        <fgColor rgb="FFB4C6E7"/>
        <bgColor rgb="FFB4C6E7"/>
      </patternFill>
    </fill>
    <fill>
      <patternFill patternType="solid">
        <fgColor rgb="FFFFC7CE"/>
        <bgColor rgb="FFFFC7CE"/>
      </patternFill>
    </fill>
    <fill>
      <patternFill patternType="solid">
        <fgColor rgb="FFFFEB9C"/>
        <bgColor rgb="FFFFEB9C"/>
      </patternFill>
    </fill>
    <fill>
      <patternFill patternType="solid">
        <fgColor rgb="FFC6EFCE"/>
        <bgColor rgb="FFC6EFCE"/>
      </patternFill>
    </fill>
    <fill>
      <patternFill patternType="solid">
        <fgColor rgb="FFFFFF99"/>
        <bgColor rgb="FFFFFF99"/>
      </patternFill>
    </fill>
    <fill>
      <patternFill patternType="solid">
        <fgColor rgb="FFD9E2F3"/>
        <bgColor rgb="FFD9E2F3"/>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3">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0" fillId="10" borderId="15" applyNumberFormat="0" applyFont="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16" applyNumberFormat="0" applyFill="0" applyAlignment="0" applyProtection="0">
      <alignment vertical="center"/>
    </xf>
    <xf numFmtId="0" fontId="17" fillId="0" borderId="16" applyNumberFormat="0" applyFill="0" applyAlignment="0" applyProtection="0">
      <alignment vertical="center"/>
    </xf>
    <xf numFmtId="0" fontId="18" fillId="0" borderId="17" applyNumberFormat="0" applyFill="0" applyAlignment="0" applyProtection="0">
      <alignment vertical="center"/>
    </xf>
    <xf numFmtId="0" fontId="18" fillId="0" borderId="0" applyNumberFormat="0" applyFill="0" applyBorder="0" applyAlignment="0" applyProtection="0">
      <alignment vertical="center"/>
    </xf>
    <xf numFmtId="0" fontId="19" fillId="11" borderId="18" applyNumberFormat="0" applyAlignment="0" applyProtection="0">
      <alignment vertical="center"/>
    </xf>
    <xf numFmtId="0" fontId="20" fillId="12" borderId="19" applyNumberFormat="0" applyAlignment="0" applyProtection="0">
      <alignment vertical="center"/>
    </xf>
    <xf numFmtId="0" fontId="21" fillId="12" borderId="18" applyNumberFormat="0" applyAlignment="0" applyProtection="0">
      <alignment vertical="center"/>
    </xf>
    <xf numFmtId="0" fontId="22" fillId="13" borderId="20" applyNumberFormat="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5" fillId="14" borderId="0" applyNumberFormat="0" applyBorder="0" applyAlignment="0" applyProtection="0">
      <alignment vertical="center"/>
    </xf>
    <xf numFmtId="0" fontId="26" fillId="15" borderId="0" applyNumberFormat="0" applyBorder="0" applyAlignment="0" applyProtection="0">
      <alignment vertical="center"/>
    </xf>
    <xf numFmtId="0" fontId="27" fillId="16" borderId="0" applyNumberFormat="0" applyBorder="0" applyAlignment="0" applyProtection="0">
      <alignment vertical="center"/>
    </xf>
    <xf numFmtId="0" fontId="28" fillId="17" borderId="0" applyNumberFormat="0" applyBorder="0" applyAlignment="0" applyProtection="0">
      <alignment vertical="center"/>
    </xf>
    <xf numFmtId="0" fontId="29" fillId="18" borderId="0" applyNumberFormat="0" applyBorder="0" applyAlignment="0" applyProtection="0">
      <alignment vertical="center"/>
    </xf>
    <xf numFmtId="0" fontId="29" fillId="19" borderId="0" applyNumberFormat="0" applyBorder="0" applyAlignment="0" applyProtection="0">
      <alignment vertical="center"/>
    </xf>
    <xf numFmtId="0" fontId="28" fillId="20" borderId="0" applyNumberFormat="0" applyBorder="0" applyAlignment="0" applyProtection="0">
      <alignment vertical="center"/>
    </xf>
    <xf numFmtId="0" fontId="28" fillId="21" borderId="0" applyNumberFormat="0" applyBorder="0" applyAlignment="0" applyProtection="0">
      <alignment vertical="center"/>
    </xf>
    <xf numFmtId="0" fontId="29" fillId="22" borderId="0" applyNumberFormat="0" applyBorder="0" applyAlignment="0" applyProtection="0">
      <alignment vertical="center"/>
    </xf>
    <xf numFmtId="0" fontId="29" fillId="23" borderId="0" applyNumberFormat="0" applyBorder="0" applyAlignment="0" applyProtection="0">
      <alignment vertical="center"/>
    </xf>
    <xf numFmtId="0" fontId="28" fillId="24" borderId="0" applyNumberFormat="0" applyBorder="0" applyAlignment="0" applyProtection="0">
      <alignment vertical="center"/>
    </xf>
    <xf numFmtId="0" fontId="28" fillId="25" borderId="0" applyNumberFormat="0" applyBorder="0" applyAlignment="0" applyProtection="0">
      <alignment vertical="center"/>
    </xf>
    <xf numFmtId="0" fontId="29" fillId="26" borderId="0" applyNumberFormat="0" applyBorder="0" applyAlignment="0" applyProtection="0">
      <alignment vertical="center"/>
    </xf>
    <xf numFmtId="0" fontId="29" fillId="27" borderId="0" applyNumberFormat="0" applyBorder="0" applyAlignment="0" applyProtection="0">
      <alignment vertical="center"/>
    </xf>
    <xf numFmtId="0" fontId="28" fillId="28" borderId="0" applyNumberFormat="0" applyBorder="0" applyAlignment="0" applyProtection="0">
      <alignment vertical="center"/>
    </xf>
    <xf numFmtId="0" fontId="28" fillId="29" borderId="0" applyNumberFormat="0" applyBorder="0" applyAlignment="0" applyProtection="0">
      <alignment vertical="center"/>
    </xf>
    <xf numFmtId="0" fontId="29" fillId="30" borderId="0" applyNumberFormat="0" applyBorder="0" applyAlignment="0" applyProtection="0">
      <alignment vertical="center"/>
    </xf>
    <xf numFmtId="0" fontId="29" fillId="31" borderId="0" applyNumberFormat="0" applyBorder="0" applyAlignment="0" applyProtection="0">
      <alignment vertical="center"/>
    </xf>
    <xf numFmtId="0" fontId="28" fillId="32" borderId="0" applyNumberFormat="0" applyBorder="0" applyAlignment="0" applyProtection="0">
      <alignment vertical="center"/>
    </xf>
    <xf numFmtId="0" fontId="28" fillId="33" borderId="0" applyNumberFormat="0" applyBorder="0" applyAlignment="0" applyProtection="0">
      <alignment vertical="center"/>
    </xf>
    <xf numFmtId="0" fontId="29" fillId="34" borderId="0" applyNumberFormat="0" applyBorder="0" applyAlignment="0" applyProtection="0">
      <alignment vertical="center"/>
    </xf>
    <xf numFmtId="0" fontId="29" fillId="35" borderId="0" applyNumberFormat="0" applyBorder="0" applyAlignment="0" applyProtection="0">
      <alignment vertical="center"/>
    </xf>
    <xf numFmtId="0" fontId="28" fillId="36" borderId="0" applyNumberFormat="0" applyBorder="0" applyAlignment="0" applyProtection="0">
      <alignment vertical="center"/>
    </xf>
    <xf numFmtId="0" fontId="28" fillId="37" borderId="0" applyNumberFormat="0" applyBorder="0" applyAlignment="0" applyProtection="0">
      <alignment vertical="center"/>
    </xf>
    <xf numFmtId="0" fontId="29" fillId="38" borderId="0" applyNumberFormat="0" applyBorder="0" applyAlignment="0" applyProtection="0">
      <alignment vertical="center"/>
    </xf>
    <xf numFmtId="0" fontId="29" fillId="39" borderId="0" applyNumberFormat="0" applyBorder="0" applyAlignment="0" applyProtection="0">
      <alignment vertical="center"/>
    </xf>
    <xf numFmtId="0" fontId="28" fillId="40" borderId="0" applyNumberFormat="0" applyBorder="0" applyAlignment="0" applyProtection="0">
      <alignment vertical="center"/>
    </xf>
  </cellStyleXfs>
  <cellXfs count="58">
    <xf numFmtId="0" fontId="0" fillId="0" borderId="0" xfId="0" applyFont="1" applyAlignment="1"/>
    <xf numFmtId="0" fontId="1" fillId="2" borderId="1" xfId="0" applyFont="1" applyFill="1" applyBorder="1" applyAlignment="1">
      <alignment horizontal="center" vertical="center" wrapText="1"/>
    </xf>
    <xf numFmtId="0" fontId="2" fillId="0" borderId="2" xfId="0" applyFont="1" applyBorder="1"/>
    <xf numFmtId="0" fontId="2" fillId="0" borderId="3" xfId="0" applyFont="1" applyBorder="1"/>
    <xf numFmtId="0" fontId="3" fillId="0" borderId="1" xfId="0" applyFont="1" applyBorder="1" applyAlignment="1">
      <alignment horizontal="left" vertical="center" wrapText="1"/>
    </xf>
    <xf numFmtId="49" fontId="3" fillId="0" borderId="1" xfId="0" applyNumberFormat="1" applyFont="1" applyBorder="1" applyAlignment="1">
      <alignment horizontal="left" vertical="center" wrapText="1"/>
    </xf>
    <xf numFmtId="0" fontId="3" fillId="0" borderId="1" xfId="0" applyFont="1" applyBorder="1" applyAlignment="1">
      <alignment horizontal="center" vertical="center" wrapText="1"/>
    </xf>
    <xf numFmtId="0" fontId="1" fillId="0" borderId="1" xfId="0" applyFont="1" applyBorder="1" applyAlignment="1">
      <alignment horizontal="center" vertical="center"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2" fillId="0" borderId="6" xfId="0" applyFont="1" applyBorder="1"/>
    <xf numFmtId="0" fontId="2" fillId="0" borderId="7" xfId="0" applyFont="1" applyBorder="1"/>
    <xf numFmtId="0" fontId="2" fillId="0" borderId="8" xfId="0" applyFont="1" applyBorder="1"/>
    <xf numFmtId="0" fontId="2" fillId="0" borderId="9" xfId="0" applyFont="1" applyBorder="1"/>
    <xf numFmtId="0" fontId="2" fillId="0" borderId="10" xfId="0" applyFont="1" applyBorder="1"/>
    <xf numFmtId="0" fontId="2" fillId="0" borderId="11" xfId="0" applyFont="1" applyBorder="1"/>
    <xf numFmtId="0" fontId="1" fillId="3" borderId="1" xfId="0" applyFont="1" applyFill="1" applyBorder="1" applyAlignment="1">
      <alignment horizontal="left" vertical="center" wrapText="1"/>
    </xf>
    <xf numFmtId="0" fontId="3" fillId="0" borderId="12" xfId="0" applyFont="1" applyBorder="1" applyAlignment="1">
      <alignment horizontal="center" vertical="top" wrapText="1"/>
    </xf>
    <xf numFmtId="0" fontId="3" fillId="0" borderId="1" xfId="0" applyFont="1" applyBorder="1" applyAlignment="1">
      <alignment horizontal="left" vertical="top" wrapText="1"/>
    </xf>
    <xf numFmtId="0" fontId="3" fillId="0" borderId="1" xfId="0" applyFont="1" applyBorder="1" applyAlignment="1">
      <alignment horizontal="center" vertical="top" wrapText="1"/>
    </xf>
    <xf numFmtId="178" fontId="3" fillId="0" borderId="1" xfId="0" applyNumberFormat="1" applyFont="1" applyBorder="1" applyAlignment="1">
      <alignment horizontal="center" vertical="top" wrapText="1"/>
    </xf>
    <xf numFmtId="0" fontId="1" fillId="4" borderId="1" xfId="0" applyFont="1" applyFill="1" applyBorder="1" applyAlignment="1">
      <alignment horizontal="center" vertical="center" wrapText="1"/>
    </xf>
    <xf numFmtId="0" fontId="3" fillId="0" borderId="5" xfId="0" applyFont="1" applyBorder="1" applyAlignment="1">
      <alignment horizontal="center" vertical="center" wrapText="1"/>
    </xf>
    <xf numFmtId="49" fontId="3" fillId="0" borderId="5" xfId="0" applyNumberFormat="1" applyFont="1" applyBorder="1" applyAlignment="1">
      <alignment horizontal="center" vertical="center" wrapText="1"/>
    </xf>
    <xf numFmtId="0" fontId="1" fillId="0" borderId="0" xfId="0" applyFont="1" applyAlignment="1">
      <alignment horizontal="left" vertical="center" wrapText="1"/>
    </xf>
    <xf numFmtId="0" fontId="1" fillId="2" borderId="12" xfId="0" applyFont="1" applyFill="1" applyBorder="1" applyAlignment="1">
      <alignment horizontal="center" vertical="center" wrapText="1"/>
    </xf>
    <xf numFmtId="0" fontId="1" fillId="5" borderId="1" xfId="0" applyFont="1" applyFill="1" applyBorder="1" applyAlignment="1">
      <alignment horizontal="center" vertical="top" wrapText="1"/>
    </xf>
    <xf numFmtId="0" fontId="1" fillId="6" borderId="1" xfId="0" applyFont="1" applyFill="1" applyBorder="1" applyAlignment="1">
      <alignment horizontal="center" vertical="top" wrapText="1"/>
    </xf>
    <xf numFmtId="0" fontId="1" fillId="7" borderId="1" xfId="0" applyFont="1" applyFill="1" applyBorder="1" applyAlignment="1">
      <alignment horizontal="center" vertical="top" wrapText="1"/>
    </xf>
    <xf numFmtId="0" fontId="1" fillId="3" borderId="1" xfId="0" applyFont="1" applyFill="1" applyBorder="1" applyAlignment="1">
      <alignment horizontal="right" vertical="center" wrapText="1"/>
    </xf>
    <xf numFmtId="0" fontId="1" fillId="3" borderId="1" xfId="0" applyFont="1" applyFill="1" applyBorder="1" applyAlignment="1">
      <alignment horizontal="center" vertical="center" wrapText="1"/>
    </xf>
    <xf numFmtId="0" fontId="1" fillId="0" borderId="1" xfId="0" applyFont="1" applyBorder="1" applyAlignment="1">
      <alignment horizontal="center" vertical="top" wrapText="1"/>
    </xf>
    <xf numFmtId="0" fontId="4" fillId="0" borderId="1" xfId="0" applyFont="1" applyBorder="1" applyAlignment="1">
      <alignment horizontal="left" vertical="top" wrapText="1"/>
    </xf>
    <xf numFmtId="0" fontId="5" fillId="4" borderId="1" xfId="0" applyFont="1" applyFill="1" applyBorder="1" applyAlignment="1">
      <alignment horizontal="center" vertical="center" wrapText="1"/>
    </xf>
    <xf numFmtId="0" fontId="1" fillId="3" borderId="4" xfId="0" applyFont="1" applyFill="1" applyBorder="1" applyAlignment="1">
      <alignment horizontal="center" vertical="center" wrapText="1"/>
    </xf>
    <xf numFmtId="0" fontId="1" fillId="3" borderId="5" xfId="0" applyFont="1" applyFill="1" applyBorder="1" applyAlignment="1">
      <alignment horizontal="center" vertical="center" wrapText="1"/>
    </xf>
    <xf numFmtId="0" fontId="1" fillId="2" borderId="12" xfId="0" applyFont="1" applyFill="1" applyBorder="1" applyAlignment="1">
      <alignment horizontal="left" vertical="center" wrapText="1"/>
    </xf>
    <xf numFmtId="0" fontId="3" fillId="0" borderId="12" xfId="0" applyFont="1" applyBorder="1" applyAlignment="1">
      <alignment horizontal="center" vertical="center" wrapText="1"/>
    </xf>
    <xf numFmtId="179" fontId="3" fillId="0" borderId="1" xfId="0" applyNumberFormat="1" applyFont="1" applyBorder="1" applyAlignment="1">
      <alignment horizontal="center" vertical="center" wrapText="1"/>
    </xf>
    <xf numFmtId="179" fontId="1" fillId="0" borderId="1" xfId="0" applyNumberFormat="1" applyFont="1" applyBorder="1" applyAlignment="1">
      <alignment horizontal="center" vertical="center" wrapText="1"/>
    </xf>
    <xf numFmtId="0" fontId="3" fillId="0" borderId="0" xfId="0" applyFont="1" applyAlignment="1">
      <alignment horizontal="left" vertical="center" wrapText="1"/>
    </xf>
    <xf numFmtId="0" fontId="1" fillId="8" borderId="0" xfId="0" applyFont="1" applyFill="1" applyBorder="1" applyAlignment="1">
      <alignment horizontal="left" vertical="center" wrapText="1"/>
    </xf>
    <xf numFmtId="0" fontId="2" fillId="0" borderId="0" xfId="0" applyFont="1" applyBorder="1"/>
    <xf numFmtId="0" fontId="1" fillId="4" borderId="12" xfId="0" applyFont="1" applyFill="1" applyBorder="1" applyAlignment="1">
      <alignment horizontal="center" vertical="center" wrapText="1"/>
    </xf>
    <xf numFmtId="0" fontId="6" fillId="0" borderId="5" xfId="0" applyFont="1" applyBorder="1"/>
    <xf numFmtId="0" fontId="6" fillId="0" borderId="6" xfId="0" applyFont="1" applyBorder="1"/>
    <xf numFmtId="0" fontId="6" fillId="0" borderId="7" xfId="0" applyFont="1" applyBorder="1"/>
    <xf numFmtId="0" fontId="6" fillId="0" borderId="13" xfId="0" applyFont="1" applyBorder="1"/>
    <xf numFmtId="0" fontId="6" fillId="0" borderId="14" xfId="0" applyFont="1" applyBorder="1"/>
    <xf numFmtId="0" fontId="7" fillId="0" borderId="13" xfId="0" applyFont="1" applyBorder="1" applyAlignment="1">
      <alignment horizontal="center" vertical="center" wrapText="1"/>
    </xf>
    <xf numFmtId="0" fontId="2" fillId="0" borderId="14" xfId="0" applyFont="1" applyBorder="1"/>
    <xf numFmtId="0" fontId="8" fillId="0" borderId="13" xfId="0" applyFont="1" applyBorder="1" applyAlignment="1">
      <alignment horizontal="center" vertical="center" wrapText="1"/>
    </xf>
    <xf numFmtId="0" fontId="9" fillId="0" borderId="13" xfId="0" applyFont="1" applyBorder="1" applyAlignment="1">
      <alignment horizontal="center" vertical="center" wrapText="1"/>
    </xf>
    <xf numFmtId="0" fontId="10" fillId="9" borderId="1" xfId="0" applyFont="1" applyFill="1" applyBorder="1" applyAlignment="1">
      <alignment horizontal="center" vertical="center" wrapText="1"/>
    </xf>
    <xf numFmtId="49" fontId="10" fillId="9" borderId="1" xfId="0" applyNumberFormat="1" applyFont="1" applyFill="1" applyBorder="1" applyAlignment="1">
      <alignment horizontal="center" vertical="center" wrapText="1"/>
    </xf>
    <xf numFmtId="0" fontId="6" fillId="0" borderId="9" xfId="0" applyFont="1" applyBorder="1"/>
    <xf numFmtId="0" fontId="6" fillId="0" borderId="10" xfId="0" applyFont="1" applyBorder="1"/>
    <xf numFmtId="0" fontId="6" fillId="0" borderId="11" xfId="0" applyFont="1" applyBorder="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15</xdr:col>
      <xdr:colOff>0</xdr:colOff>
      <xdr:row>2</xdr:row>
      <xdr:rowOff>0</xdr:rowOff>
    </xdr:from>
    <xdr:ext cx="1333500" cy="514350"/>
    <xdr:pic>
      <xdr:nvPicPr>
        <xdr:cNvPr id="2" name="image1.png" descr="Picture"/>
        <xdr:cNvPicPr preferRelativeResize="0"/>
      </xdr:nvPicPr>
      <xdr:blipFill>
        <a:blip r:embed="rId1" cstate="print"/>
        <a:stretch>
          <a:fillRect/>
        </a:stretch>
      </xdr:blipFill>
      <xdr:spPr>
        <a:xfrm>
          <a:off x="3314700" y="409575"/>
          <a:ext cx="1333500" cy="514350"/>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AK1000"/>
  <sheetViews>
    <sheetView showGridLines="0" topLeftCell="A7" workbookViewId="0">
      <selection activeCell="A1" sqref="A1"/>
    </sheetView>
  </sheetViews>
  <sheetFormatPr defaultColWidth="14.4285714285714" defaultRowHeight="15" customHeight="1"/>
  <cols>
    <col min="1" max="1" width="3.71428571428571" customWidth="1"/>
    <col min="2" max="37" width="3.28571428571429" customWidth="1"/>
  </cols>
  <sheetData>
    <row r="1" ht="19.5" customHeight="1"/>
    <row r="2" ht="12.75" customHeight="1" spans="2:37">
      <c r="B2" s="44"/>
      <c r="C2" s="45"/>
      <c r="D2" s="45"/>
      <c r="E2" s="45"/>
      <c r="F2" s="45"/>
      <c r="G2" s="45"/>
      <c r="H2" s="45"/>
      <c r="I2" s="45"/>
      <c r="J2" s="45"/>
      <c r="K2" s="45"/>
      <c r="L2" s="45"/>
      <c r="M2" s="45"/>
      <c r="N2" s="45"/>
      <c r="O2" s="45"/>
      <c r="P2" s="45"/>
      <c r="Q2" s="45"/>
      <c r="R2" s="45"/>
      <c r="S2" s="45"/>
      <c r="T2" s="45"/>
      <c r="U2" s="45"/>
      <c r="V2" s="45"/>
      <c r="W2" s="45"/>
      <c r="X2" s="45"/>
      <c r="Y2" s="45"/>
      <c r="Z2" s="45"/>
      <c r="AA2" s="45"/>
      <c r="AB2" s="45"/>
      <c r="AC2" s="45"/>
      <c r="AD2" s="45"/>
      <c r="AE2" s="45"/>
      <c r="AF2" s="45"/>
      <c r="AG2" s="45"/>
      <c r="AH2" s="45"/>
      <c r="AI2" s="45"/>
      <c r="AJ2" s="45"/>
      <c r="AK2" s="46"/>
    </row>
    <row r="3" ht="12.75" customHeight="1" spans="2:37">
      <c r="B3" s="47"/>
      <c r="AK3" s="48"/>
    </row>
    <row r="4" ht="12.75" customHeight="1" spans="2:37">
      <c r="B4" s="47"/>
      <c r="AK4" s="48"/>
    </row>
    <row r="5" ht="12.75" customHeight="1" spans="2:37">
      <c r="B5" s="47"/>
      <c r="AK5" s="48"/>
    </row>
    <row r="6" ht="12.75" customHeight="1" spans="2:37">
      <c r="B6" s="47"/>
      <c r="AK6" s="48"/>
    </row>
    <row r="7" ht="12.75" customHeight="1" spans="2:37">
      <c r="B7" s="47"/>
      <c r="AK7" s="48"/>
    </row>
    <row r="8" ht="12.75" customHeight="1" spans="2:37">
      <c r="B8" s="47"/>
      <c r="AK8" s="48"/>
    </row>
    <row r="9" ht="12.75" customHeight="1" spans="2:37">
      <c r="B9" s="47"/>
      <c r="AK9" s="48"/>
    </row>
    <row r="10" ht="29.25" customHeight="1" spans="2:37">
      <c r="B10" s="49" t="s">
        <v>0</v>
      </c>
      <c r="AK10" s="50"/>
    </row>
    <row r="11" ht="12.75" customHeight="1" spans="2:37">
      <c r="B11" s="47"/>
      <c r="AK11" s="48"/>
    </row>
    <row r="12" ht="39" customHeight="1" spans="2:37">
      <c r="B12" s="51" t="s">
        <v>1</v>
      </c>
      <c r="AK12" s="50"/>
    </row>
    <row r="13" ht="12.75" customHeight="1" spans="2:37">
      <c r="B13" s="47"/>
      <c r="AK13" s="48"/>
    </row>
    <row r="14" ht="12.75" customHeight="1" spans="2:37">
      <c r="B14" s="47"/>
      <c r="AK14" s="48"/>
    </row>
    <row r="15" ht="12.75" customHeight="1" spans="2:37">
      <c r="B15" s="52" t="s">
        <v>2</v>
      </c>
      <c r="AK15" s="50"/>
    </row>
    <row r="16" ht="12.75" customHeight="1" spans="2:37">
      <c r="B16" s="47"/>
      <c r="AK16" s="48"/>
    </row>
    <row r="17" ht="12.75" customHeight="1" spans="2:37">
      <c r="B17" s="47"/>
      <c r="AK17" s="48"/>
    </row>
    <row r="18" ht="12.75" customHeight="1" spans="2:37">
      <c r="B18" s="47"/>
      <c r="N18" s="53" t="s">
        <v>3</v>
      </c>
      <c r="O18" s="2"/>
      <c r="P18" s="2"/>
      <c r="Q18" s="2"/>
      <c r="R18" s="3"/>
      <c r="S18" s="53" t="s">
        <v>4</v>
      </c>
      <c r="T18" s="2"/>
      <c r="U18" s="2"/>
      <c r="V18" s="2"/>
      <c r="W18" s="3"/>
      <c r="AK18" s="48"/>
    </row>
    <row r="19" ht="12.75" customHeight="1" spans="2:37">
      <c r="B19" s="47"/>
      <c r="N19" s="53" t="s">
        <v>5</v>
      </c>
      <c r="O19" s="2"/>
      <c r="P19" s="2"/>
      <c r="Q19" s="2"/>
      <c r="R19" s="3"/>
      <c r="S19" s="53" t="s">
        <v>6</v>
      </c>
      <c r="T19" s="2"/>
      <c r="U19" s="2"/>
      <c r="V19" s="2"/>
      <c r="W19" s="3"/>
      <c r="AK19" s="48"/>
    </row>
    <row r="20" ht="12.75" customHeight="1" spans="2:37">
      <c r="B20" s="47"/>
      <c r="N20" s="53" t="s">
        <v>7</v>
      </c>
      <c r="O20" s="2"/>
      <c r="P20" s="2"/>
      <c r="Q20" s="2"/>
      <c r="R20" s="3"/>
      <c r="S20" s="54" t="s">
        <v>8</v>
      </c>
      <c r="T20" s="2"/>
      <c r="U20" s="2"/>
      <c r="V20" s="2"/>
      <c r="W20" s="3"/>
      <c r="AK20" s="48"/>
    </row>
    <row r="21" ht="12.75" customHeight="1" spans="2:37">
      <c r="B21" s="47"/>
      <c r="AK21" s="48"/>
    </row>
    <row r="22" ht="12.75" customHeight="1" spans="2:37">
      <c r="B22" s="47"/>
      <c r="AK22" s="48"/>
    </row>
    <row r="23" ht="12.75" customHeight="1" spans="2:37">
      <c r="B23" s="47"/>
      <c r="AK23" s="48"/>
    </row>
    <row r="24" ht="12.75" customHeight="1" spans="2:37">
      <c r="B24" s="47"/>
      <c r="AK24" s="48"/>
    </row>
    <row r="25" ht="12.75" customHeight="1" spans="2:37">
      <c r="B25" s="47"/>
      <c r="AK25" s="48"/>
    </row>
    <row r="26" ht="12.75" customHeight="1" spans="2:37">
      <c r="B26" s="47"/>
      <c r="AK26" s="48"/>
    </row>
    <row r="27" ht="12.75" customHeight="1" spans="2:37">
      <c r="B27" s="47"/>
      <c r="AK27" s="48"/>
    </row>
    <row r="28" ht="12.75" customHeight="1" spans="2:37">
      <c r="B28" s="47"/>
      <c r="AK28" s="48"/>
    </row>
    <row r="29" ht="12.75" customHeight="1" spans="2:37">
      <c r="B29" s="47"/>
      <c r="AK29" s="48"/>
    </row>
    <row r="30" ht="12.75" customHeight="1" spans="2:37">
      <c r="B30" s="47"/>
      <c r="AK30" s="48"/>
    </row>
    <row r="31" ht="12.75" customHeight="1" spans="2:37">
      <c r="B31" s="47"/>
      <c r="AK31" s="48"/>
    </row>
    <row r="32" ht="12.75" customHeight="1" spans="2:37">
      <c r="B32" s="47"/>
      <c r="AK32" s="48"/>
    </row>
    <row r="33" ht="12.75" customHeight="1" spans="2:37">
      <c r="B33" s="47"/>
      <c r="AK33" s="48"/>
    </row>
    <row r="34" ht="12.75" customHeight="1" spans="2:37">
      <c r="B34" s="55"/>
      <c r="C34" s="56"/>
      <c r="D34" s="56"/>
      <c r="E34" s="56"/>
      <c r="F34" s="56"/>
      <c r="G34" s="56"/>
      <c r="H34" s="56"/>
      <c r="I34" s="56"/>
      <c r="J34" s="56"/>
      <c r="K34" s="56"/>
      <c r="L34" s="56"/>
      <c r="M34" s="56"/>
      <c r="N34" s="56"/>
      <c r="O34" s="56"/>
      <c r="P34" s="56"/>
      <c r="Q34" s="56"/>
      <c r="R34" s="56"/>
      <c r="S34" s="56"/>
      <c r="T34" s="56"/>
      <c r="U34" s="56"/>
      <c r="V34" s="56"/>
      <c r="W34" s="56"/>
      <c r="X34" s="56"/>
      <c r="Y34" s="56"/>
      <c r="Z34" s="56"/>
      <c r="AA34" s="56"/>
      <c r="AB34" s="56"/>
      <c r="AC34" s="56"/>
      <c r="AD34" s="56"/>
      <c r="AE34" s="56"/>
      <c r="AF34" s="56"/>
      <c r="AG34" s="56"/>
      <c r="AH34" s="56"/>
      <c r="AI34" s="56"/>
      <c r="AJ34" s="56"/>
      <c r="AK34" s="57"/>
    </row>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9">
    <mergeCell ref="B10:AK10"/>
    <mergeCell ref="B12:AK12"/>
    <mergeCell ref="B15:AK15"/>
    <mergeCell ref="N18:R18"/>
    <mergeCell ref="S18:W18"/>
    <mergeCell ref="N19:R19"/>
    <mergeCell ref="S19:W19"/>
    <mergeCell ref="N20:R20"/>
    <mergeCell ref="S20:W20"/>
  </mergeCells>
  <pageMargins left="0.75" right="0.75" top="1" bottom="1" header="0" footer="0"/>
  <pageSetup paperSize="1" orientation="landscape"/>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H1000"/>
  <sheetViews>
    <sheetView showGridLines="0" workbookViewId="0">
      <selection activeCell="A1" sqref="A1"/>
    </sheetView>
  </sheetViews>
  <sheetFormatPr defaultColWidth="14.4285714285714" defaultRowHeight="15" customHeight="1"/>
  <cols>
    <col min="1" max="1" width="8" customWidth="1"/>
    <col min="2" max="34" width="3.28571428571429" customWidth="1"/>
  </cols>
  <sheetData>
    <row r="1" ht="22.5" customHeight="1" spans="1:34">
      <c r="A1" s="43" t="s">
        <v>9</v>
      </c>
      <c r="B1" s="21" t="s">
        <v>7</v>
      </c>
      <c r="C1" s="2"/>
      <c r="D1" s="2"/>
      <c r="E1" s="3"/>
      <c r="F1" s="21" t="s">
        <v>10</v>
      </c>
      <c r="G1" s="2"/>
      <c r="H1" s="3"/>
      <c r="I1" s="21" t="s">
        <v>11</v>
      </c>
      <c r="J1" s="2"/>
      <c r="K1" s="2"/>
      <c r="L1" s="2"/>
      <c r="M1" s="2"/>
      <c r="N1" s="3"/>
      <c r="O1" s="21" t="s">
        <v>12</v>
      </c>
      <c r="P1" s="2"/>
      <c r="Q1" s="2"/>
      <c r="R1" s="2"/>
      <c r="S1" s="2"/>
      <c r="T1" s="2"/>
      <c r="U1" s="2"/>
      <c r="V1" s="3"/>
      <c r="W1" s="21" t="s">
        <v>13</v>
      </c>
      <c r="X1" s="2"/>
      <c r="Y1" s="2"/>
      <c r="Z1" s="2"/>
      <c r="AA1" s="2"/>
      <c r="AB1" s="3"/>
      <c r="AC1" s="21" t="s">
        <v>14</v>
      </c>
      <c r="AD1" s="2"/>
      <c r="AE1" s="2"/>
      <c r="AF1" s="2"/>
      <c r="AG1" s="2"/>
      <c r="AH1" s="3"/>
    </row>
    <row r="2" ht="22.5" customHeight="1" spans="1:34">
      <c r="A2" s="37">
        <v>1</v>
      </c>
      <c r="B2" s="6" t="s">
        <v>15</v>
      </c>
      <c r="C2" s="2"/>
      <c r="D2" s="2"/>
      <c r="E2" s="3"/>
      <c r="F2" s="6" t="s">
        <v>6</v>
      </c>
      <c r="G2" s="2"/>
      <c r="H2" s="3"/>
      <c r="I2" s="6" t="s">
        <v>16</v>
      </c>
      <c r="J2" s="2"/>
      <c r="K2" s="2"/>
      <c r="L2" s="2"/>
      <c r="M2" s="2"/>
      <c r="N2" s="3"/>
      <c r="O2" s="4" t="s">
        <v>17</v>
      </c>
      <c r="P2" s="2"/>
      <c r="Q2" s="2"/>
      <c r="R2" s="2"/>
      <c r="S2" s="2"/>
      <c r="T2" s="2"/>
      <c r="U2" s="2"/>
      <c r="V2" s="3"/>
      <c r="W2" s="6" t="s">
        <v>18</v>
      </c>
      <c r="X2" s="2"/>
      <c r="Y2" s="2"/>
      <c r="Z2" s="2"/>
      <c r="AA2" s="2"/>
      <c r="AB2" s="3"/>
      <c r="AC2" s="6" t="s">
        <v>18</v>
      </c>
      <c r="AD2" s="2"/>
      <c r="AE2" s="2"/>
      <c r="AF2" s="2"/>
      <c r="AG2" s="2"/>
      <c r="AH2" s="3"/>
    </row>
    <row r="3" ht="22.5" customHeight="1" spans="1:34">
      <c r="A3" s="37">
        <v>2</v>
      </c>
      <c r="B3" s="6" t="s">
        <v>19</v>
      </c>
      <c r="C3" s="2"/>
      <c r="D3" s="2"/>
      <c r="E3" s="3"/>
      <c r="F3" s="6" t="s">
        <v>20</v>
      </c>
      <c r="G3" s="2"/>
      <c r="H3" s="3"/>
      <c r="I3" s="6" t="s">
        <v>21</v>
      </c>
      <c r="J3" s="2"/>
      <c r="K3" s="2"/>
      <c r="L3" s="2"/>
      <c r="M3" s="2"/>
      <c r="N3" s="3"/>
      <c r="O3" s="4" t="s">
        <v>22</v>
      </c>
      <c r="P3" s="2"/>
      <c r="Q3" s="2"/>
      <c r="R3" s="2"/>
      <c r="S3" s="2"/>
      <c r="T3" s="2"/>
      <c r="U3" s="2"/>
      <c r="V3" s="3"/>
      <c r="W3" s="6" t="s">
        <v>18</v>
      </c>
      <c r="X3" s="2"/>
      <c r="Y3" s="2"/>
      <c r="Z3" s="2"/>
      <c r="AA3" s="2"/>
      <c r="AB3" s="3"/>
      <c r="AC3" s="6" t="s">
        <v>18</v>
      </c>
      <c r="AD3" s="2"/>
      <c r="AE3" s="2"/>
      <c r="AF3" s="2"/>
      <c r="AG3" s="2"/>
      <c r="AH3" s="3"/>
    </row>
    <row r="4" ht="22.5" customHeight="1" spans="1:34">
      <c r="A4" s="37">
        <v>3</v>
      </c>
      <c r="B4" s="6" t="s">
        <v>23</v>
      </c>
      <c r="C4" s="2"/>
      <c r="D4" s="2"/>
      <c r="E4" s="3"/>
      <c r="F4" s="6" t="s">
        <v>24</v>
      </c>
      <c r="G4" s="2"/>
      <c r="H4" s="3"/>
      <c r="I4" s="6" t="s">
        <v>21</v>
      </c>
      <c r="J4" s="2"/>
      <c r="K4" s="2"/>
      <c r="L4" s="2"/>
      <c r="M4" s="2"/>
      <c r="N4" s="3"/>
      <c r="O4" s="4" t="s">
        <v>25</v>
      </c>
      <c r="P4" s="2"/>
      <c r="Q4" s="2"/>
      <c r="R4" s="2"/>
      <c r="S4" s="2"/>
      <c r="T4" s="2"/>
      <c r="U4" s="2"/>
      <c r="V4" s="3"/>
      <c r="W4" s="6"/>
      <c r="X4" s="2"/>
      <c r="Y4" s="2"/>
      <c r="Z4" s="2"/>
      <c r="AA4" s="2"/>
      <c r="AB4" s="3"/>
      <c r="AC4" s="6"/>
      <c r="AD4" s="2"/>
      <c r="AE4" s="2"/>
      <c r="AF4" s="2"/>
      <c r="AG4" s="2"/>
      <c r="AH4" s="3"/>
    </row>
    <row r="5" ht="22.5" customHeight="1" spans="1:34">
      <c r="A5" s="37">
        <v>4</v>
      </c>
      <c r="B5" s="6" t="s">
        <v>26</v>
      </c>
      <c r="C5" s="2"/>
      <c r="D5" s="2"/>
      <c r="E5" s="3"/>
      <c r="F5" s="6" t="s">
        <v>27</v>
      </c>
      <c r="G5" s="2"/>
      <c r="H5" s="3"/>
      <c r="I5" s="6" t="s">
        <v>16</v>
      </c>
      <c r="J5" s="2"/>
      <c r="K5" s="2"/>
      <c r="L5" s="2"/>
      <c r="M5" s="2"/>
      <c r="N5" s="3"/>
      <c r="O5" s="4" t="s">
        <v>28</v>
      </c>
      <c r="P5" s="2"/>
      <c r="Q5" s="2"/>
      <c r="R5" s="2"/>
      <c r="S5" s="2"/>
      <c r="T5" s="2"/>
      <c r="U5" s="2"/>
      <c r="V5" s="3"/>
      <c r="W5" s="6" t="s">
        <v>18</v>
      </c>
      <c r="X5" s="2"/>
      <c r="Y5" s="2"/>
      <c r="Z5" s="2"/>
      <c r="AA5" s="2"/>
      <c r="AB5" s="3"/>
      <c r="AC5" s="6"/>
      <c r="AD5" s="2"/>
      <c r="AE5" s="2"/>
      <c r="AF5" s="2"/>
      <c r="AG5" s="2"/>
      <c r="AH5" s="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0">
    <mergeCell ref="B1:E1"/>
    <mergeCell ref="F1:H1"/>
    <mergeCell ref="I1:N1"/>
    <mergeCell ref="O1:V1"/>
    <mergeCell ref="W1:AB1"/>
    <mergeCell ref="AC1:AH1"/>
    <mergeCell ref="B2:E2"/>
    <mergeCell ref="F2:H2"/>
    <mergeCell ref="I2:N2"/>
    <mergeCell ref="O2:V2"/>
    <mergeCell ref="W2:AB2"/>
    <mergeCell ref="AC2:AH2"/>
    <mergeCell ref="B3:E3"/>
    <mergeCell ref="F3:H3"/>
    <mergeCell ref="I3:N3"/>
    <mergeCell ref="O3:V3"/>
    <mergeCell ref="W3:AB3"/>
    <mergeCell ref="AC3:AH3"/>
    <mergeCell ref="B4:E4"/>
    <mergeCell ref="F4:H4"/>
    <mergeCell ref="I4:N4"/>
    <mergeCell ref="O4:V4"/>
    <mergeCell ref="W4:AB4"/>
    <mergeCell ref="AC4:AH4"/>
    <mergeCell ref="B5:E5"/>
    <mergeCell ref="F5:H5"/>
    <mergeCell ref="I5:N5"/>
    <mergeCell ref="O5:V5"/>
    <mergeCell ref="W5:AB5"/>
    <mergeCell ref="AC5:AH5"/>
  </mergeCells>
  <pageMargins left="0.75" right="0.75" top="1" bottom="1" header="0" footer="0"/>
  <pageSetup paperSize="1" orientation="landscape"/>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K1000"/>
  <sheetViews>
    <sheetView showGridLines="0" workbookViewId="0">
      <selection activeCell="A1" sqref="A1:I1"/>
    </sheetView>
  </sheetViews>
  <sheetFormatPr defaultColWidth="14.4285714285714" defaultRowHeight="15" customHeight="1"/>
  <cols>
    <col min="1" max="37" width="4.28571428571429" customWidth="1"/>
  </cols>
  <sheetData>
    <row r="1" ht="19.5" customHeight="1" spans="1:37">
      <c r="A1" s="21" t="s">
        <v>29</v>
      </c>
      <c r="B1" s="2"/>
      <c r="C1" s="2"/>
      <c r="D1" s="2"/>
      <c r="E1" s="2"/>
      <c r="F1" s="2"/>
      <c r="G1" s="2"/>
      <c r="H1" s="2"/>
      <c r="I1" s="3"/>
      <c r="J1" s="21" t="s">
        <v>30</v>
      </c>
      <c r="K1" s="2"/>
      <c r="L1" s="2"/>
      <c r="M1" s="2"/>
      <c r="N1" s="2"/>
      <c r="O1" s="2"/>
      <c r="P1" s="3"/>
      <c r="Q1" s="21" t="s">
        <v>31</v>
      </c>
      <c r="R1" s="2"/>
      <c r="S1" s="2"/>
      <c r="T1" s="2"/>
      <c r="U1" s="3"/>
      <c r="V1" s="21" t="s">
        <v>32</v>
      </c>
      <c r="W1" s="2"/>
      <c r="X1" s="2"/>
      <c r="Y1" s="3"/>
      <c r="Z1" s="21" t="s">
        <v>33</v>
      </c>
      <c r="AA1" s="2"/>
      <c r="AB1" s="2"/>
      <c r="AC1" s="3"/>
      <c r="AD1" s="21" t="s">
        <v>34</v>
      </c>
      <c r="AE1" s="2"/>
      <c r="AF1" s="2"/>
      <c r="AG1" s="3"/>
      <c r="AH1" s="21" t="s">
        <v>35</v>
      </c>
      <c r="AI1" s="2"/>
      <c r="AJ1" s="2"/>
      <c r="AK1" s="3"/>
    </row>
    <row r="2" ht="19.5" customHeight="1" spans="1:37">
      <c r="A2" s="22" t="s">
        <v>0</v>
      </c>
      <c r="B2" s="10"/>
      <c r="C2" s="10"/>
      <c r="D2" s="10"/>
      <c r="E2" s="10"/>
      <c r="F2" s="10"/>
      <c r="G2" s="10"/>
      <c r="H2" s="10"/>
      <c r="I2" s="11"/>
      <c r="J2" s="22" t="s">
        <v>36</v>
      </c>
      <c r="K2" s="10"/>
      <c r="L2" s="10"/>
      <c r="M2" s="10"/>
      <c r="N2" s="10"/>
      <c r="O2" s="10"/>
      <c r="P2" s="11"/>
      <c r="Q2" s="22" t="s">
        <v>37</v>
      </c>
      <c r="R2" s="10"/>
      <c r="S2" s="10"/>
      <c r="T2" s="10"/>
      <c r="U2" s="11"/>
      <c r="V2" s="23" t="s">
        <v>8</v>
      </c>
      <c r="W2" s="10"/>
      <c r="X2" s="10"/>
      <c r="Y2" s="11"/>
      <c r="Z2" s="22" t="s">
        <v>16</v>
      </c>
      <c r="AA2" s="10"/>
      <c r="AB2" s="10"/>
      <c r="AC2" s="11"/>
      <c r="AD2" s="23" t="s">
        <v>8</v>
      </c>
      <c r="AE2" s="10"/>
      <c r="AF2" s="10"/>
      <c r="AG2" s="11"/>
      <c r="AH2" s="22" t="s">
        <v>16</v>
      </c>
      <c r="AI2" s="10"/>
      <c r="AJ2" s="10"/>
      <c r="AK2" s="11"/>
    </row>
    <row r="3" ht="19.5" customHeight="1" spans="1:37">
      <c r="A3" s="13"/>
      <c r="B3" s="14"/>
      <c r="C3" s="14"/>
      <c r="D3" s="14"/>
      <c r="E3" s="14"/>
      <c r="F3" s="14"/>
      <c r="G3" s="14"/>
      <c r="H3" s="14"/>
      <c r="I3" s="15"/>
      <c r="J3" s="13"/>
      <c r="K3" s="14"/>
      <c r="L3" s="14"/>
      <c r="M3" s="14"/>
      <c r="N3" s="14"/>
      <c r="O3" s="14"/>
      <c r="P3" s="15"/>
      <c r="Q3" s="13"/>
      <c r="R3" s="14"/>
      <c r="S3" s="14"/>
      <c r="T3" s="14"/>
      <c r="U3" s="15"/>
      <c r="V3" s="13"/>
      <c r="W3" s="14"/>
      <c r="X3" s="14"/>
      <c r="Y3" s="15"/>
      <c r="Z3" s="13"/>
      <c r="AA3" s="14"/>
      <c r="AB3" s="14"/>
      <c r="AC3" s="15"/>
      <c r="AD3" s="13"/>
      <c r="AE3" s="14"/>
      <c r="AF3" s="14"/>
      <c r="AG3" s="15"/>
      <c r="AH3" s="13"/>
      <c r="AI3" s="14"/>
      <c r="AJ3" s="14"/>
      <c r="AK3" s="15"/>
    </row>
    <row r="5" ht="19.5" customHeight="1" spans="1:37">
      <c r="B5" s="24" t="s">
        <v>38</v>
      </c>
    </row>
    <row r="6" ht="19.5" customHeight="1" spans="1:37">
      <c r="C6" s="40" t="s">
        <v>39</v>
      </c>
    </row>
    <row r="7" ht="19.5" customHeight="1" spans="1:37">
      <c r="C7" s="40" t="s">
        <v>40</v>
      </c>
    </row>
    <row r="8" ht="19.5" customHeight="1" spans="1:37">
      <c r="C8" s="40" t="s">
        <v>41</v>
      </c>
    </row>
    <row r="9" ht="19.5" customHeight="1" spans="1:37">
      <c r="C9" s="40" t="s">
        <v>42</v>
      </c>
    </row>
    <row r="10" ht="19.5" customHeight="1" spans="1:37">
      <c r="C10" s="40" t="s">
        <v>43</v>
      </c>
    </row>
    <row r="11" ht="19.5" customHeight="1" spans="1:37">
      <c r="C11" s="40" t="s">
        <v>44</v>
      </c>
    </row>
    <row r="12" ht="19.5" customHeight="1" spans="1:37">
      <c r="C12" s="40" t="s">
        <v>45</v>
      </c>
    </row>
    <row r="13" ht="19.5" customHeight="1" spans="1:37">
      <c r="C13" s="40" t="s">
        <v>46</v>
      </c>
    </row>
    <row r="14" ht="19.5" customHeight="1" spans="1:37">
      <c r="C14" s="40" t="s">
        <v>47</v>
      </c>
    </row>
    <row r="15" ht="19.5" customHeight="1" spans="1:37">
      <c r="C15" s="40" t="s">
        <v>48</v>
      </c>
    </row>
    <row r="16" ht="19.5" customHeight="1" spans="1:37">
      <c r="C16" s="40" t="s">
        <v>49</v>
      </c>
    </row>
    <row r="18" ht="19.5" customHeight="1" spans="2:37">
      <c r="B18" s="24" t="s">
        <v>50</v>
      </c>
    </row>
    <row r="19" ht="19.5" customHeight="1" spans="2:37">
      <c r="C19" s="41" t="s">
        <v>51</v>
      </c>
      <c r="D19" s="42"/>
      <c r="E19" s="42"/>
      <c r="F19" s="42"/>
      <c r="G19" s="42"/>
      <c r="H19" s="42"/>
      <c r="I19" s="42"/>
      <c r="J19" s="42"/>
      <c r="K19" s="42"/>
      <c r="L19" s="42"/>
      <c r="M19" s="42"/>
      <c r="N19" s="42"/>
      <c r="O19" s="42"/>
      <c r="P19" s="42"/>
      <c r="Q19" s="42"/>
      <c r="R19" s="42"/>
      <c r="S19" s="42"/>
      <c r="T19" s="42"/>
      <c r="U19" s="42"/>
      <c r="V19" s="42"/>
      <c r="W19" s="42"/>
      <c r="X19" s="42"/>
      <c r="Y19" s="42"/>
      <c r="Z19" s="42"/>
      <c r="AA19" s="42"/>
      <c r="AB19" s="42"/>
      <c r="AC19" s="42"/>
      <c r="AD19" s="42"/>
      <c r="AE19" s="42"/>
      <c r="AF19" s="42"/>
      <c r="AG19" s="42"/>
      <c r="AH19" s="42"/>
      <c r="AI19" s="42"/>
      <c r="AJ19" s="42"/>
      <c r="AK19" s="42"/>
    </row>
    <row r="20" ht="19.5" customHeight="1" spans="2:37">
      <c r="C20" s="41" t="s">
        <v>52</v>
      </c>
      <c r="D20" s="42"/>
      <c r="E20" s="42"/>
      <c r="F20" s="42"/>
      <c r="G20" s="42"/>
      <c r="H20" s="42"/>
      <c r="I20" s="42"/>
      <c r="J20" s="42"/>
      <c r="K20" s="42"/>
      <c r="L20" s="42"/>
      <c r="M20" s="42"/>
      <c r="N20" s="42"/>
      <c r="O20" s="42"/>
      <c r="P20" s="42"/>
      <c r="Q20" s="42"/>
      <c r="R20" s="42"/>
      <c r="S20" s="42"/>
      <c r="T20" s="42"/>
      <c r="U20" s="42"/>
      <c r="V20" s="42"/>
      <c r="W20" s="42"/>
      <c r="X20" s="42"/>
      <c r="Y20" s="42"/>
      <c r="Z20" s="42"/>
      <c r="AA20" s="42"/>
      <c r="AB20" s="42"/>
      <c r="AC20" s="42"/>
      <c r="AD20" s="42"/>
      <c r="AE20" s="42"/>
      <c r="AF20" s="42"/>
      <c r="AG20" s="42"/>
      <c r="AH20" s="42"/>
      <c r="AI20" s="42"/>
      <c r="AJ20" s="42"/>
      <c r="AK20" s="42"/>
    </row>
    <row r="21" ht="19.5" customHeight="1" spans="2:37">
      <c r="C21" s="41" t="s">
        <v>53</v>
      </c>
      <c r="D21" s="42"/>
      <c r="E21" s="42"/>
      <c r="F21" s="42"/>
      <c r="G21" s="42"/>
      <c r="H21" s="42"/>
      <c r="I21" s="42"/>
      <c r="J21" s="42"/>
      <c r="K21" s="42"/>
      <c r="L21" s="42"/>
      <c r="M21" s="42"/>
      <c r="N21" s="42"/>
      <c r="O21" s="42"/>
      <c r="P21" s="42"/>
      <c r="Q21" s="42"/>
      <c r="R21" s="42"/>
      <c r="S21" s="42"/>
      <c r="T21" s="42"/>
      <c r="U21" s="42"/>
      <c r="V21" s="42"/>
      <c r="W21" s="42"/>
      <c r="X21" s="42"/>
      <c r="Y21" s="42"/>
      <c r="Z21" s="42"/>
      <c r="AA21" s="42"/>
      <c r="AB21" s="42"/>
      <c r="AC21" s="42"/>
      <c r="AD21" s="42"/>
      <c r="AE21" s="42"/>
      <c r="AF21" s="42"/>
      <c r="AG21" s="42"/>
      <c r="AH21" s="42"/>
      <c r="AI21" s="42"/>
      <c r="AJ21" s="42"/>
      <c r="AK21" s="42"/>
    </row>
    <row r="22" ht="19.5" customHeight="1" spans="2:37">
      <c r="C22" s="41" t="s">
        <v>54</v>
      </c>
      <c r="D22" s="42"/>
      <c r="E22" s="42"/>
      <c r="F22" s="42"/>
      <c r="G22" s="42"/>
      <c r="H22" s="42"/>
      <c r="I22" s="42"/>
      <c r="J22" s="42"/>
      <c r="K22" s="42"/>
      <c r="L22" s="42"/>
      <c r="M22" s="42"/>
      <c r="N22" s="42"/>
      <c r="O22" s="42"/>
      <c r="P22" s="42"/>
      <c r="Q22" s="42"/>
      <c r="R22" s="42"/>
      <c r="S22" s="42"/>
      <c r="T22" s="42"/>
      <c r="U22" s="42"/>
      <c r="V22" s="42"/>
      <c r="W22" s="42"/>
      <c r="X22" s="42"/>
      <c r="Y22" s="42"/>
      <c r="Z22" s="42"/>
      <c r="AA22" s="42"/>
      <c r="AB22" s="42"/>
      <c r="AC22" s="42"/>
      <c r="AD22" s="42"/>
      <c r="AE22" s="42"/>
      <c r="AF22" s="42"/>
      <c r="AG22" s="42"/>
      <c r="AH22" s="42"/>
      <c r="AI22" s="42"/>
      <c r="AJ22" s="42"/>
      <c r="AK22" s="42"/>
    </row>
    <row r="23" ht="19.5" customHeight="1" spans="2:37">
      <c r="C23" s="41" t="s">
        <v>55</v>
      </c>
      <c r="D23" s="42"/>
      <c r="E23" s="42"/>
      <c r="F23" s="42"/>
      <c r="G23" s="42"/>
      <c r="H23" s="42"/>
      <c r="I23" s="42"/>
      <c r="J23" s="42"/>
      <c r="K23" s="42"/>
      <c r="L23" s="42"/>
      <c r="M23" s="42"/>
      <c r="N23" s="42"/>
      <c r="O23" s="42"/>
      <c r="P23" s="42"/>
      <c r="Q23" s="42"/>
      <c r="R23" s="42"/>
      <c r="S23" s="42"/>
      <c r="T23" s="42"/>
      <c r="U23" s="42"/>
      <c r="V23" s="42"/>
      <c r="W23" s="42"/>
      <c r="X23" s="42"/>
      <c r="Y23" s="42"/>
      <c r="Z23" s="42"/>
      <c r="AA23" s="42"/>
      <c r="AB23" s="42"/>
      <c r="AC23" s="42"/>
      <c r="AD23" s="42"/>
      <c r="AE23" s="42"/>
      <c r="AF23" s="42"/>
      <c r="AG23" s="42"/>
      <c r="AH23" s="42"/>
      <c r="AI23" s="42"/>
      <c r="AJ23" s="42"/>
      <c r="AK23" s="42"/>
    </row>
    <row r="25" ht="19.5" customHeight="1" spans="2:37">
      <c r="B25" s="24" t="s">
        <v>56</v>
      </c>
    </row>
    <row r="27" ht="22.5" customHeight="1" spans="2:37">
      <c r="C27" s="43" t="s">
        <v>57</v>
      </c>
      <c r="D27" s="21" t="s">
        <v>58</v>
      </c>
      <c r="E27" s="2"/>
      <c r="F27" s="2"/>
      <c r="G27" s="2"/>
      <c r="H27" s="2"/>
      <c r="I27" s="2"/>
      <c r="J27" s="2"/>
      <c r="K27" s="2"/>
      <c r="L27" s="2"/>
      <c r="M27" s="2"/>
      <c r="N27" s="3"/>
      <c r="O27" s="21" t="s">
        <v>59</v>
      </c>
      <c r="P27" s="2"/>
      <c r="Q27" s="2"/>
      <c r="R27" s="2"/>
      <c r="S27" s="2"/>
      <c r="T27" s="2"/>
      <c r="U27" s="2"/>
      <c r="V27" s="2"/>
      <c r="W27" s="2"/>
      <c r="X27" s="2"/>
      <c r="Y27" s="2"/>
      <c r="Z27" s="2"/>
      <c r="AA27" s="2"/>
      <c r="AB27" s="2"/>
      <c r="AC27" s="2"/>
      <c r="AD27" s="2"/>
      <c r="AE27" s="2"/>
      <c r="AF27" s="2"/>
      <c r="AG27" s="3"/>
    </row>
    <row r="28" ht="22.5" customHeight="1" spans="2:37">
      <c r="C28" s="37">
        <v>1</v>
      </c>
      <c r="D28" s="4" t="s">
        <v>60</v>
      </c>
      <c r="E28" s="2"/>
      <c r="F28" s="2"/>
      <c r="G28" s="2"/>
      <c r="H28" s="2"/>
      <c r="I28" s="2"/>
      <c r="J28" s="2"/>
      <c r="K28" s="2"/>
      <c r="L28" s="2"/>
      <c r="M28" s="2"/>
      <c r="N28" s="3"/>
      <c r="O28" s="4" t="s">
        <v>61</v>
      </c>
      <c r="P28" s="2"/>
      <c r="Q28" s="2"/>
      <c r="R28" s="2"/>
      <c r="S28" s="2"/>
      <c r="T28" s="2"/>
      <c r="U28" s="2"/>
      <c r="V28" s="2"/>
      <c r="W28" s="2"/>
      <c r="X28" s="2"/>
      <c r="Y28" s="2"/>
      <c r="Z28" s="2"/>
      <c r="AA28" s="2"/>
      <c r="AB28" s="2"/>
      <c r="AC28" s="2"/>
      <c r="AD28" s="2"/>
      <c r="AE28" s="2"/>
      <c r="AF28" s="2"/>
      <c r="AG28" s="3"/>
    </row>
    <row r="29" ht="22.5" customHeight="1" spans="2:37">
      <c r="C29" s="37">
        <v>2</v>
      </c>
      <c r="D29" s="4" t="s">
        <v>62</v>
      </c>
      <c r="E29" s="2"/>
      <c r="F29" s="2"/>
      <c r="G29" s="2"/>
      <c r="H29" s="2"/>
      <c r="I29" s="2"/>
      <c r="J29" s="2"/>
      <c r="K29" s="2"/>
      <c r="L29" s="2"/>
      <c r="M29" s="2"/>
      <c r="N29" s="3"/>
      <c r="O29" s="4" t="s">
        <v>63</v>
      </c>
      <c r="P29" s="2"/>
      <c r="Q29" s="2"/>
      <c r="R29" s="2"/>
      <c r="S29" s="2"/>
      <c r="T29" s="2"/>
      <c r="U29" s="2"/>
      <c r="V29" s="2"/>
      <c r="W29" s="2"/>
      <c r="X29" s="2"/>
      <c r="Y29" s="2"/>
      <c r="Z29" s="2"/>
      <c r="AA29" s="2"/>
      <c r="AB29" s="2"/>
      <c r="AC29" s="2"/>
      <c r="AD29" s="2"/>
      <c r="AE29" s="2"/>
      <c r="AF29" s="2"/>
      <c r="AG29" s="3"/>
    </row>
    <row r="30" ht="22.5" customHeight="1" spans="2:37">
      <c r="C30" s="37">
        <v>3</v>
      </c>
      <c r="D30" s="4" t="s">
        <v>64</v>
      </c>
      <c r="E30" s="2"/>
      <c r="F30" s="2"/>
      <c r="G30" s="2"/>
      <c r="H30" s="2"/>
      <c r="I30" s="2"/>
      <c r="J30" s="2"/>
      <c r="K30" s="2"/>
      <c r="L30" s="2"/>
      <c r="M30" s="2"/>
      <c r="N30" s="3"/>
      <c r="O30" s="4" t="s">
        <v>65</v>
      </c>
      <c r="P30" s="2"/>
      <c r="Q30" s="2"/>
      <c r="R30" s="2"/>
      <c r="S30" s="2"/>
      <c r="T30" s="2"/>
      <c r="U30" s="2"/>
      <c r="V30" s="2"/>
      <c r="W30" s="2"/>
      <c r="X30" s="2"/>
      <c r="Y30" s="2"/>
      <c r="Z30" s="2"/>
      <c r="AA30" s="2"/>
      <c r="AB30" s="2"/>
      <c r="AC30" s="2"/>
      <c r="AD30" s="2"/>
      <c r="AE30" s="2"/>
      <c r="AF30" s="2"/>
      <c r="AG30" s="3"/>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1">
    <mergeCell ref="A1:I1"/>
    <mergeCell ref="J1:P1"/>
    <mergeCell ref="Q1:U1"/>
    <mergeCell ref="V1:Y1"/>
    <mergeCell ref="Z1:AC1"/>
    <mergeCell ref="AD1:AG1"/>
    <mergeCell ref="AH1:AK1"/>
    <mergeCell ref="B5:AK5"/>
    <mergeCell ref="C6:AK6"/>
    <mergeCell ref="C7:AK7"/>
    <mergeCell ref="C8:AK8"/>
    <mergeCell ref="C9:AK9"/>
    <mergeCell ref="C10:AK10"/>
    <mergeCell ref="C11:AK11"/>
    <mergeCell ref="C12:AK12"/>
    <mergeCell ref="C13:AK13"/>
    <mergeCell ref="C14:AK14"/>
    <mergeCell ref="C15:AK15"/>
    <mergeCell ref="C16:AK16"/>
    <mergeCell ref="B18:AK18"/>
    <mergeCell ref="C19:AK19"/>
    <mergeCell ref="C20:AK20"/>
    <mergeCell ref="C21:AK21"/>
    <mergeCell ref="C22:AK22"/>
    <mergeCell ref="C23:AK23"/>
    <mergeCell ref="B25:AK25"/>
    <mergeCell ref="D27:N27"/>
    <mergeCell ref="O27:AG27"/>
    <mergeCell ref="D28:N28"/>
    <mergeCell ref="O28:AG28"/>
    <mergeCell ref="D29:N29"/>
    <mergeCell ref="O29:AG29"/>
    <mergeCell ref="D30:N30"/>
    <mergeCell ref="O30:AG30"/>
    <mergeCell ref="A2:I3"/>
    <mergeCell ref="J2:P3"/>
    <mergeCell ref="Q2:U3"/>
    <mergeCell ref="V2:Y3"/>
    <mergeCell ref="Z2:AC3"/>
    <mergeCell ref="AD2:AG3"/>
    <mergeCell ref="AH2:AK3"/>
  </mergeCells>
  <pageMargins left="0.75" right="0.75" top="1" bottom="1" header="0" footer="0"/>
  <pageSetup paperSize="1" orientation="landscape"/>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H1000"/>
  <sheetViews>
    <sheetView showGridLines="0" workbookViewId="0">
      <selection activeCell="A1" sqref="A1:AH1"/>
    </sheetView>
  </sheetViews>
  <sheetFormatPr defaultColWidth="14.4285714285714" defaultRowHeight="15" customHeight="1"/>
  <cols>
    <col min="1" max="1" width="13" customWidth="1"/>
    <col min="2" max="34" width="5" customWidth="1"/>
  </cols>
  <sheetData>
    <row r="1" ht="28.5" customHeight="1" spans="1:34">
      <c r="A1" s="33" t="s">
        <v>66</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3"/>
    </row>
    <row r="3" ht="22.5" customHeight="1" spans="1:34">
      <c r="A3" s="16" t="s">
        <v>67</v>
      </c>
      <c r="B3" s="2"/>
      <c r="C3" s="2"/>
      <c r="D3" s="2"/>
      <c r="E3" s="2"/>
      <c r="F3" s="3"/>
      <c r="G3" s="4" t="s">
        <v>0</v>
      </c>
      <c r="H3" s="2"/>
      <c r="I3" s="2"/>
      <c r="J3" s="2"/>
      <c r="K3" s="2"/>
      <c r="L3" s="2"/>
      <c r="M3" s="2"/>
      <c r="N3" s="2"/>
      <c r="O3" s="3"/>
      <c r="P3" s="16" t="s">
        <v>68</v>
      </c>
      <c r="Q3" s="2"/>
      <c r="R3" s="2"/>
      <c r="S3" s="2"/>
      <c r="T3" s="2"/>
      <c r="U3" s="2"/>
      <c r="V3" s="2"/>
      <c r="W3" s="3"/>
      <c r="X3" s="4" t="s">
        <v>18</v>
      </c>
      <c r="Y3" s="2"/>
      <c r="Z3" s="2"/>
      <c r="AA3" s="2"/>
      <c r="AB3" s="2"/>
      <c r="AC3" s="2"/>
      <c r="AD3" s="2"/>
      <c r="AE3" s="2"/>
      <c r="AF3" s="2"/>
      <c r="AG3" s="2"/>
      <c r="AH3" s="3"/>
    </row>
    <row r="4" ht="22.5" customHeight="1" spans="1:34">
      <c r="A4" s="16" t="s">
        <v>11</v>
      </c>
      <c r="B4" s="2"/>
      <c r="C4" s="2"/>
      <c r="D4" s="2"/>
      <c r="E4" s="2"/>
      <c r="F4" s="3"/>
      <c r="G4" s="4" t="s">
        <v>16</v>
      </c>
      <c r="H4" s="2"/>
      <c r="I4" s="2"/>
      <c r="J4" s="2"/>
      <c r="K4" s="2"/>
      <c r="L4" s="2"/>
      <c r="M4" s="2"/>
      <c r="N4" s="2"/>
      <c r="O4" s="3"/>
      <c r="P4" s="16" t="s">
        <v>32</v>
      </c>
      <c r="Q4" s="2"/>
      <c r="R4" s="2"/>
      <c r="S4" s="2"/>
      <c r="T4" s="2"/>
      <c r="U4" s="2"/>
      <c r="V4" s="2"/>
      <c r="W4" s="3"/>
      <c r="X4" s="5" t="s">
        <v>8</v>
      </c>
      <c r="Y4" s="2"/>
      <c r="Z4" s="2"/>
      <c r="AA4" s="2"/>
      <c r="AB4" s="2"/>
      <c r="AC4" s="2"/>
      <c r="AD4" s="2"/>
      <c r="AE4" s="2"/>
      <c r="AF4" s="2"/>
      <c r="AG4" s="2"/>
      <c r="AH4" s="3"/>
    </row>
    <row r="6" ht="22.5" customHeight="1" spans="1:34">
      <c r="A6" s="34" t="s">
        <v>69</v>
      </c>
      <c r="B6" s="35" t="s">
        <v>70</v>
      </c>
      <c r="C6" s="10"/>
      <c r="D6" s="10"/>
      <c r="E6" s="10"/>
      <c r="F6" s="10"/>
      <c r="G6" s="11"/>
      <c r="H6" s="30" t="s">
        <v>71</v>
      </c>
      <c r="I6" s="2"/>
      <c r="J6" s="2"/>
      <c r="K6" s="2"/>
      <c r="L6" s="2"/>
      <c r="M6" s="2"/>
      <c r="N6" s="2"/>
      <c r="O6" s="2"/>
      <c r="P6" s="3"/>
      <c r="Q6" s="35" t="s">
        <v>72</v>
      </c>
      <c r="R6" s="10"/>
      <c r="S6" s="11"/>
      <c r="T6" s="30" t="s">
        <v>73</v>
      </c>
      <c r="U6" s="2"/>
      <c r="V6" s="2"/>
      <c r="W6" s="2"/>
      <c r="X6" s="2"/>
      <c r="Y6" s="2"/>
      <c r="Z6" s="2"/>
      <c r="AA6" s="2"/>
      <c r="AB6" s="2"/>
      <c r="AC6" s="2"/>
      <c r="AD6" s="2"/>
      <c r="AE6" s="2"/>
      <c r="AF6" s="2"/>
      <c r="AG6" s="2"/>
      <c r="AH6" s="3"/>
    </row>
    <row r="7" ht="22.5" customHeight="1" spans="1:34">
      <c r="A7" s="12"/>
      <c r="B7" s="13"/>
      <c r="C7" s="14"/>
      <c r="D7" s="14"/>
      <c r="E7" s="14"/>
      <c r="F7" s="14"/>
      <c r="G7" s="15"/>
      <c r="H7" s="30" t="s">
        <v>74</v>
      </c>
      <c r="I7" s="2"/>
      <c r="J7" s="3"/>
      <c r="K7" s="30" t="s">
        <v>75</v>
      </c>
      <c r="L7" s="2"/>
      <c r="M7" s="3"/>
      <c r="N7" s="30" t="s">
        <v>76</v>
      </c>
      <c r="O7" s="2"/>
      <c r="P7" s="3"/>
      <c r="Q7" s="13"/>
      <c r="R7" s="14"/>
      <c r="S7" s="15"/>
      <c r="T7" s="30" t="s">
        <v>77</v>
      </c>
      <c r="U7" s="2"/>
      <c r="V7" s="3"/>
      <c r="W7" s="30" t="s">
        <v>78</v>
      </c>
      <c r="X7" s="2"/>
      <c r="Y7" s="3"/>
      <c r="Z7" s="30" t="s">
        <v>79</v>
      </c>
      <c r="AA7" s="2"/>
      <c r="AB7" s="3"/>
      <c r="AC7" s="30" t="s">
        <v>80</v>
      </c>
      <c r="AD7" s="2"/>
      <c r="AE7" s="3"/>
      <c r="AF7" s="30" t="s">
        <v>81</v>
      </c>
      <c r="AG7" s="2"/>
      <c r="AH7" s="3"/>
    </row>
    <row r="8" ht="22.5" customHeight="1" spans="1:34">
      <c r="A8" s="36" t="s">
        <v>82</v>
      </c>
    </row>
    <row r="9" ht="22.5" customHeight="1" spans="1:34">
      <c r="A9" s="37">
        <v>1</v>
      </c>
      <c r="B9" s="4" t="s">
        <v>83</v>
      </c>
      <c r="C9" s="2"/>
      <c r="D9" s="2"/>
      <c r="E9" s="2"/>
      <c r="F9" s="2"/>
      <c r="G9" s="3"/>
      <c r="H9" s="6">
        <f ca="1" t="array" ref="H9">INDIRECT("'"&amp;$B9&amp;"'!H7",TRUE)</f>
        <v>35</v>
      </c>
      <c r="I9" s="2"/>
      <c r="J9" s="3"/>
      <c r="K9" s="6">
        <f ca="1" t="array" ref="K9">INDIRECT("'"&amp;$B9&amp;"'!K7",TRUE)</f>
        <v>35</v>
      </c>
      <c r="L9" s="2"/>
      <c r="M9" s="3"/>
      <c r="N9" s="6">
        <f ca="1" t="array" ref="N9">INDIRECT("'"&amp;$B9&amp;"'!N7",TRUE)</f>
        <v>7</v>
      </c>
      <c r="O9" s="2"/>
      <c r="P9" s="3"/>
      <c r="Q9" s="6">
        <f ca="1" t="array" ref="Q9">INDIRECT("'"&amp;$B9&amp;"'!Q7",TRUE)</f>
        <v>77</v>
      </c>
      <c r="R9" s="2"/>
      <c r="S9" s="3"/>
      <c r="T9" s="6">
        <f ca="1" t="array" ref="T9">INDIRECT("'"&amp;$B9&amp;"'!T7",TRUE)</f>
        <v>77</v>
      </c>
      <c r="U9" s="2"/>
      <c r="V9" s="3"/>
      <c r="W9" s="6">
        <f ca="1" t="array" ref="W9">INDIRECT("'"&amp;$B9&amp;"'!W7",TRUE)</f>
        <v>0</v>
      </c>
      <c r="X9" s="2"/>
      <c r="Y9" s="3"/>
      <c r="Z9" s="6">
        <f ca="1" t="array" ref="Z9">INDIRECT("'"&amp;$B9&amp;"'!Z7",TRUE)</f>
        <v>0</v>
      </c>
      <c r="AA9" s="2"/>
      <c r="AB9" s="3"/>
      <c r="AC9" s="6">
        <f ca="1" t="array" ref="AC9">INDIRECT("'"&amp;$B9&amp;"'!AC7",TRUE)</f>
        <v>0</v>
      </c>
      <c r="AD9" s="2"/>
      <c r="AE9" s="3"/>
      <c r="AF9" s="38">
        <f ca="1">IFERROR((T9+W9+AC9)/Q9,0)</f>
        <v>1</v>
      </c>
      <c r="AG9" s="2"/>
      <c r="AH9" s="3"/>
    </row>
    <row r="10" ht="22.5" customHeight="1" spans="1:34">
      <c r="A10" s="37">
        <v>2</v>
      </c>
      <c r="B10" s="4"/>
      <c r="C10" s="2"/>
      <c r="D10" s="2"/>
      <c r="E10" s="2"/>
      <c r="F10" s="2"/>
      <c r="G10" s="3"/>
      <c r="H10" s="6"/>
      <c r="I10" s="2"/>
      <c r="J10" s="3"/>
      <c r="K10" s="6"/>
      <c r="L10" s="2"/>
      <c r="M10" s="3"/>
      <c r="N10" s="6"/>
      <c r="O10" s="2"/>
      <c r="P10" s="3"/>
      <c r="Q10" s="6"/>
      <c r="R10" s="2"/>
      <c r="S10" s="3"/>
      <c r="T10" s="6"/>
      <c r="U10" s="2"/>
      <c r="V10" s="3"/>
      <c r="W10" s="6"/>
      <c r="X10" s="2"/>
      <c r="Y10" s="3"/>
      <c r="Z10" s="6"/>
      <c r="AA10" s="2"/>
      <c r="AB10" s="3"/>
      <c r="AC10" s="6"/>
      <c r="AD10" s="2"/>
      <c r="AE10" s="3"/>
      <c r="AF10" s="38"/>
      <c r="AG10" s="2"/>
      <c r="AH10" s="3"/>
    </row>
    <row r="11" ht="22.5" customHeight="1" spans="1:34">
      <c r="A11" s="37"/>
      <c r="B11" s="30" t="s">
        <v>72</v>
      </c>
      <c r="C11" s="2"/>
      <c r="D11" s="2"/>
      <c r="E11" s="2"/>
      <c r="F11" s="2"/>
      <c r="G11" s="3"/>
      <c r="H11" s="7">
        <f ca="1">SUM(H9:J10)</f>
        <v>35</v>
      </c>
      <c r="I11" s="2"/>
      <c r="J11" s="3"/>
      <c r="K11" s="7">
        <f ca="1">SUM(K9:M10)</f>
        <v>35</v>
      </c>
      <c r="L11" s="2"/>
      <c r="M11" s="3"/>
      <c r="N11" s="7">
        <f ca="1">SUM(N9:P10)</f>
        <v>7</v>
      </c>
      <c r="O11" s="2"/>
      <c r="P11" s="3"/>
      <c r="Q11" s="7">
        <f ca="1">SUM(Q9:S10)</f>
        <v>77</v>
      </c>
      <c r="R11" s="2"/>
      <c r="S11" s="3"/>
      <c r="T11" s="7">
        <f ca="1">SUM(T9:V10)</f>
        <v>77</v>
      </c>
      <c r="U11" s="2"/>
      <c r="V11" s="3"/>
      <c r="W11" s="7">
        <f ca="1">SUM(W9:Y10)</f>
        <v>0</v>
      </c>
      <c r="X11" s="2"/>
      <c r="Y11" s="3"/>
      <c r="Z11" s="7">
        <f ca="1">SUM(Z9:AB10)</f>
        <v>0</v>
      </c>
      <c r="AA11" s="2"/>
      <c r="AB11" s="3"/>
      <c r="AC11" s="7">
        <f ca="1">SUM(AC9:AE10)</f>
        <v>0</v>
      </c>
      <c r="AD11" s="2"/>
      <c r="AE11" s="3"/>
      <c r="AF11" s="39">
        <f ca="1">IFERROR((T11+W11+AC11)/Q11,0)</f>
        <v>1</v>
      </c>
      <c r="AG11" s="2"/>
      <c r="AH11" s="3"/>
    </row>
    <row r="12" ht="22.5" customHeight="1" spans="1:34">
      <c r="A12" s="36" t="s">
        <v>84</v>
      </c>
    </row>
    <row r="13" ht="22.5" customHeight="1" spans="1:34">
      <c r="A13" s="37">
        <v>1</v>
      </c>
      <c r="B13" s="4" t="s">
        <v>83</v>
      </c>
      <c r="C13" s="2"/>
      <c r="D13" s="2"/>
      <c r="E13" s="2"/>
      <c r="F13" s="2"/>
      <c r="G13" s="3"/>
      <c r="H13" s="6">
        <f ca="1" t="array" ref="H13">INDIRECT("'"&amp;$B13&amp;"'!H8",TRUE)</f>
        <v>35</v>
      </c>
      <c r="I13" s="2"/>
      <c r="J13" s="3"/>
      <c r="K13" s="6">
        <f ca="1" t="array" ref="K13">INDIRECT("'"&amp;$B13&amp;"'!K8",TRUE)</f>
        <v>35</v>
      </c>
      <c r="L13" s="2"/>
      <c r="M13" s="3"/>
      <c r="N13" s="6">
        <f ca="1" t="array" ref="N13">INDIRECT("'"&amp;$B13&amp;"'!N8",TRUE)</f>
        <v>7</v>
      </c>
      <c r="O13" s="2"/>
      <c r="P13" s="3"/>
      <c r="Q13" s="6">
        <f ca="1" t="array" ref="Q13">INDIRECT("'"&amp;$B13&amp;"'!Q8",TRUE)</f>
        <v>77</v>
      </c>
      <c r="R13" s="2"/>
      <c r="S13" s="3"/>
      <c r="T13" s="6">
        <f ca="1" t="array" ref="T13">INDIRECT("'"&amp;$B13&amp;"'!T8",TRUE)</f>
        <v>77</v>
      </c>
      <c r="U13" s="2"/>
      <c r="V13" s="3"/>
      <c r="W13" s="6">
        <f ca="1" t="array" ref="W13">INDIRECT("'"&amp;$B13&amp;"'!W8",TRUE)</f>
        <v>0</v>
      </c>
      <c r="X13" s="2"/>
      <c r="Y13" s="3"/>
      <c r="Z13" s="6">
        <f ca="1" t="array" ref="Z13">INDIRECT("'"&amp;$B13&amp;"'!Z8",TRUE)</f>
        <v>0</v>
      </c>
      <c r="AA13" s="2"/>
      <c r="AB13" s="3"/>
      <c r="AC13" s="6">
        <f ca="1" t="array" ref="AC13">INDIRECT("'"&amp;$B13&amp;"'!AC8",TRUE)</f>
        <v>0</v>
      </c>
      <c r="AD13" s="2"/>
      <c r="AE13" s="3"/>
      <c r="AF13" s="38">
        <f ca="1">IFERROR((T13+W13+AC13)/Q13,0)</f>
        <v>1</v>
      </c>
      <c r="AG13" s="2"/>
      <c r="AH13" s="3"/>
    </row>
    <row r="14" ht="22.5" customHeight="1" spans="1:34">
      <c r="A14" s="37">
        <v>2</v>
      </c>
      <c r="B14" s="4"/>
      <c r="C14" s="2"/>
      <c r="D14" s="2"/>
      <c r="E14" s="2"/>
      <c r="F14" s="2"/>
      <c r="G14" s="3"/>
      <c r="H14" s="6"/>
      <c r="I14" s="2"/>
      <c r="J14" s="3"/>
      <c r="K14" s="6"/>
      <c r="L14" s="2"/>
      <c r="M14" s="3"/>
      <c r="N14" s="6"/>
      <c r="O14" s="2"/>
      <c r="P14" s="3"/>
      <c r="Q14" s="6"/>
      <c r="R14" s="2"/>
      <c r="S14" s="3"/>
      <c r="T14" s="6"/>
      <c r="U14" s="2"/>
      <c r="V14" s="3"/>
      <c r="W14" s="6"/>
      <c r="X14" s="2"/>
      <c r="Y14" s="3"/>
      <c r="Z14" s="6"/>
      <c r="AA14" s="2"/>
      <c r="AB14" s="3"/>
      <c r="AC14" s="6"/>
      <c r="AD14" s="2"/>
      <c r="AE14" s="3"/>
      <c r="AF14" s="38"/>
      <c r="AG14" s="2"/>
      <c r="AH14" s="3"/>
    </row>
    <row r="15" ht="22.5" customHeight="1" spans="1:34">
      <c r="A15" s="37"/>
      <c r="B15" s="30" t="s">
        <v>72</v>
      </c>
      <c r="C15" s="2"/>
      <c r="D15" s="2"/>
      <c r="E15" s="2"/>
      <c r="F15" s="2"/>
      <c r="G15" s="3"/>
      <c r="H15" s="7">
        <f ca="1">SUM(H13:J14)</f>
        <v>35</v>
      </c>
      <c r="I15" s="2"/>
      <c r="J15" s="3"/>
      <c r="K15" s="7">
        <f ca="1">SUM(K13:M14)</f>
        <v>35</v>
      </c>
      <c r="L15" s="2"/>
      <c r="M15" s="3"/>
      <c r="N15" s="7">
        <f ca="1">SUM(N13:P14)</f>
        <v>7</v>
      </c>
      <c r="O15" s="2"/>
      <c r="P15" s="3"/>
      <c r="Q15" s="7">
        <f ca="1">SUM(Q13:S14)</f>
        <v>77</v>
      </c>
      <c r="R15" s="2"/>
      <c r="S15" s="3"/>
      <c r="T15" s="7">
        <f ca="1">SUM(T13:V14)</f>
        <v>77</v>
      </c>
      <c r="U15" s="2"/>
      <c r="V15" s="3"/>
      <c r="W15" s="7">
        <f ca="1">SUM(W13:Y14)</f>
        <v>0</v>
      </c>
      <c r="X15" s="2"/>
      <c r="Y15" s="3"/>
      <c r="Z15" s="7">
        <f ca="1">SUM(Z13:AB14)</f>
        <v>0</v>
      </c>
      <c r="AA15" s="2"/>
      <c r="AB15" s="3"/>
      <c r="AC15" s="7">
        <f ca="1">SUM(AC13:AE14)</f>
        <v>0</v>
      </c>
      <c r="AD15" s="2"/>
      <c r="AE15" s="3"/>
      <c r="AF15" s="39">
        <f ca="1">IFERROR((T15+W15+AC15)/Q15,0)</f>
        <v>1</v>
      </c>
      <c r="AG15" s="2"/>
      <c r="AH15" s="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2">
    <mergeCell ref="A1:AH1"/>
    <mergeCell ref="A3:F3"/>
    <mergeCell ref="G3:O3"/>
    <mergeCell ref="P3:W3"/>
    <mergeCell ref="X3:AH3"/>
    <mergeCell ref="A4:F4"/>
    <mergeCell ref="G4:O4"/>
    <mergeCell ref="P4:W4"/>
    <mergeCell ref="X4:AH4"/>
    <mergeCell ref="H6:P6"/>
    <mergeCell ref="T6:AH6"/>
    <mergeCell ref="H7:J7"/>
    <mergeCell ref="K7:M7"/>
    <mergeCell ref="N7:P7"/>
    <mergeCell ref="T7:V7"/>
    <mergeCell ref="W7:Y7"/>
    <mergeCell ref="Z7:AB7"/>
    <mergeCell ref="AC7:AE7"/>
    <mergeCell ref="AF7:AH7"/>
    <mergeCell ref="B9:G9"/>
    <mergeCell ref="H9:J9"/>
    <mergeCell ref="K9:M9"/>
    <mergeCell ref="N9:P9"/>
    <mergeCell ref="Q9:S9"/>
    <mergeCell ref="T9:V9"/>
    <mergeCell ref="W9:Y9"/>
    <mergeCell ref="Z9:AB9"/>
    <mergeCell ref="AC9:AE9"/>
    <mergeCell ref="AF9:AH9"/>
    <mergeCell ref="B10:G10"/>
    <mergeCell ref="H10:J10"/>
    <mergeCell ref="K10:M10"/>
    <mergeCell ref="N10:P10"/>
    <mergeCell ref="Q10:S10"/>
    <mergeCell ref="T10:V10"/>
    <mergeCell ref="W10:Y10"/>
    <mergeCell ref="Z10:AB10"/>
    <mergeCell ref="AC10:AE10"/>
    <mergeCell ref="AF10:AH10"/>
    <mergeCell ref="B11:G11"/>
    <mergeCell ref="H11:J11"/>
    <mergeCell ref="K11:M11"/>
    <mergeCell ref="N11:P11"/>
    <mergeCell ref="Q11:S11"/>
    <mergeCell ref="T11:V11"/>
    <mergeCell ref="W11:Y11"/>
    <mergeCell ref="Z11:AB11"/>
    <mergeCell ref="AC11:AE11"/>
    <mergeCell ref="AF11:AH11"/>
    <mergeCell ref="B13:G13"/>
    <mergeCell ref="H13:J13"/>
    <mergeCell ref="K13:M13"/>
    <mergeCell ref="N13:P13"/>
    <mergeCell ref="Q13:S13"/>
    <mergeCell ref="T13:V13"/>
    <mergeCell ref="W13:Y13"/>
    <mergeCell ref="Z13:AB13"/>
    <mergeCell ref="AC13:AE13"/>
    <mergeCell ref="AF13:AH13"/>
    <mergeCell ref="B14:G14"/>
    <mergeCell ref="H14:J14"/>
    <mergeCell ref="K14:M14"/>
    <mergeCell ref="N14:P14"/>
    <mergeCell ref="Q14:S14"/>
    <mergeCell ref="T14:V14"/>
    <mergeCell ref="W14:Y14"/>
    <mergeCell ref="Z14:AB14"/>
    <mergeCell ref="AC14:AE14"/>
    <mergeCell ref="AF14:AH14"/>
    <mergeCell ref="B15:G15"/>
    <mergeCell ref="H15:J15"/>
    <mergeCell ref="K15:M15"/>
    <mergeCell ref="N15:P15"/>
    <mergeCell ref="Q15:S15"/>
    <mergeCell ref="T15:V15"/>
    <mergeCell ref="W15:Y15"/>
    <mergeCell ref="Z15:AB15"/>
    <mergeCell ref="AC15:AE15"/>
    <mergeCell ref="AF15:AH15"/>
    <mergeCell ref="A6:A7"/>
    <mergeCell ref="B6:G7"/>
    <mergeCell ref="Q6:S7"/>
  </mergeCells>
  <pageMargins left="0.75" right="0.75" top="1" bottom="1" header="0" footer="0"/>
  <pageSetup paperSize="1" orientation="landscape"/>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K1000"/>
  <sheetViews>
    <sheetView showGridLines="0" workbookViewId="0">
      <selection activeCell="A1" sqref="A1:I1"/>
    </sheetView>
  </sheetViews>
  <sheetFormatPr defaultColWidth="14.4285714285714" defaultRowHeight="15" customHeight="1"/>
  <cols>
    <col min="1" max="37" width="4.28571428571429" customWidth="1"/>
  </cols>
  <sheetData>
    <row r="1" ht="19.5" customHeight="1" spans="1:37">
      <c r="A1" s="21" t="s">
        <v>29</v>
      </c>
      <c r="B1" s="2"/>
      <c r="C1" s="2"/>
      <c r="D1" s="2"/>
      <c r="E1" s="2"/>
      <c r="F1" s="2"/>
      <c r="G1" s="2"/>
      <c r="H1" s="2"/>
      <c r="I1" s="3"/>
      <c r="J1" s="21" t="s">
        <v>30</v>
      </c>
      <c r="K1" s="2"/>
      <c r="L1" s="2"/>
      <c r="M1" s="2"/>
      <c r="N1" s="2"/>
      <c r="O1" s="2"/>
      <c r="P1" s="3"/>
      <c r="Q1" s="21" t="s">
        <v>31</v>
      </c>
      <c r="R1" s="2"/>
      <c r="S1" s="2"/>
      <c r="T1" s="2"/>
      <c r="U1" s="3"/>
      <c r="V1" s="21" t="s">
        <v>32</v>
      </c>
      <c r="W1" s="2"/>
      <c r="X1" s="2"/>
      <c r="Y1" s="3"/>
      <c r="Z1" s="21" t="s">
        <v>33</v>
      </c>
      <c r="AA1" s="2"/>
      <c r="AB1" s="2"/>
      <c r="AC1" s="3"/>
      <c r="AD1" s="21" t="s">
        <v>34</v>
      </c>
      <c r="AE1" s="2"/>
      <c r="AF1" s="2"/>
      <c r="AG1" s="3"/>
      <c r="AH1" s="21" t="s">
        <v>35</v>
      </c>
      <c r="AI1" s="2"/>
      <c r="AJ1" s="2"/>
      <c r="AK1" s="3"/>
    </row>
    <row r="2" ht="19.5" customHeight="1" spans="1:37">
      <c r="A2" s="22" t="s">
        <v>0</v>
      </c>
      <c r="B2" s="10"/>
      <c r="C2" s="10"/>
      <c r="D2" s="10"/>
      <c r="E2" s="10"/>
      <c r="F2" s="10"/>
      <c r="G2" s="10"/>
      <c r="H2" s="10"/>
      <c r="I2" s="11"/>
      <c r="J2" s="22" t="s">
        <v>36</v>
      </c>
      <c r="K2" s="10"/>
      <c r="L2" s="10"/>
      <c r="M2" s="10"/>
      <c r="N2" s="10"/>
      <c r="O2" s="10"/>
      <c r="P2" s="11"/>
      <c r="Q2" s="22" t="s">
        <v>85</v>
      </c>
      <c r="R2" s="10"/>
      <c r="S2" s="10"/>
      <c r="T2" s="10"/>
      <c r="U2" s="11"/>
      <c r="V2" s="23" t="s">
        <v>8</v>
      </c>
      <c r="W2" s="10"/>
      <c r="X2" s="10"/>
      <c r="Y2" s="11"/>
      <c r="Z2" s="22" t="s">
        <v>16</v>
      </c>
      <c r="AA2" s="10"/>
      <c r="AB2" s="10"/>
      <c r="AC2" s="11"/>
      <c r="AD2" s="23" t="s">
        <v>8</v>
      </c>
      <c r="AE2" s="10"/>
      <c r="AF2" s="10"/>
      <c r="AG2" s="11"/>
      <c r="AH2" s="22" t="s">
        <v>16</v>
      </c>
      <c r="AI2" s="10"/>
      <c r="AJ2" s="10"/>
      <c r="AK2" s="11"/>
    </row>
    <row r="3" ht="19.5" customHeight="1" spans="1:37">
      <c r="A3" s="13"/>
      <c r="B3" s="14"/>
      <c r="C3" s="14"/>
      <c r="D3" s="14"/>
      <c r="E3" s="14"/>
      <c r="F3" s="14"/>
      <c r="G3" s="14"/>
      <c r="H3" s="14"/>
      <c r="I3" s="15"/>
      <c r="J3" s="13"/>
      <c r="K3" s="14"/>
      <c r="L3" s="14"/>
      <c r="M3" s="14"/>
      <c r="N3" s="14"/>
      <c r="O3" s="14"/>
      <c r="P3" s="15"/>
      <c r="Q3" s="13"/>
      <c r="R3" s="14"/>
      <c r="S3" s="14"/>
      <c r="T3" s="14"/>
      <c r="U3" s="15"/>
      <c r="V3" s="13"/>
      <c r="W3" s="14"/>
      <c r="X3" s="14"/>
      <c r="Y3" s="15"/>
      <c r="Z3" s="13"/>
      <c r="AA3" s="14"/>
      <c r="AB3" s="14"/>
      <c r="AC3" s="15"/>
      <c r="AD3" s="13"/>
      <c r="AE3" s="14"/>
      <c r="AF3" s="14"/>
      <c r="AG3" s="15"/>
      <c r="AH3" s="13"/>
      <c r="AI3" s="14"/>
      <c r="AJ3" s="14"/>
      <c r="AK3" s="15"/>
    </row>
    <row r="5" ht="19.5" customHeight="1" spans="1:37">
      <c r="B5" s="24" t="s">
        <v>86</v>
      </c>
    </row>
    <row r="7" ht="28.5" customHeight="1" spans="1:37">
      <c r="B7" s="25" t="s">
        <v>69</v>
      </c>
      <c r="C7" s="1" t="s">
        <v>87</v>
      </c>
      <c r="D7" s="2"/>
      <c r="E7" s="3"/>
      <c r="F7" s="1" t="s">
        <v>88</v>
      </c>
      <c r="G7" s="2"/>
      <c r="H7" s="2"/>
      <c r="I7" s="2"/>
      <c r="J7" s="2"/>
      <c r="K7" s="2"/>
      <c r="L7" s="3"/>
      <c r="M7" s="1" t="s">
        <v>89</v>
      </c>
      <c r="N7" s="2"/>
      <c r="O7" s="2"/>
      <c r="P7" s="2"/>
      <c r="Q7" s="2"/>
      <c r="R7" s="2"/>
      <c r="S7" s="2"/>
      <c r="T7" s="3"/>
      <c r="U7" s="1" t="s">
        <v>90</v>
      </c>
      <c r="V7" s="3"/>
      <c r="W7" s="1" t="s">
        <v>91</v>
      </c>
      <c r="X7" s="2"/>
      <c r="Y7" s="2"/>
      <c r="Z7" s="2"/>
      <c r="AA7" s="2"/>
      <c r="AB7" s="2"/>
      <c r="AC7" s="3"/>
      <c r="AD7" s="1" t="s">
        <v>92</v>
      </c>
      <c r="AE7" s="2"/>
      <c r="AF7" s="3"/>
    </row>
    <row r="8" ht="30" customHeight="1" spans="1:37">
      <c r="B8" s="17">
        <v>1</v>
      </c>
      <c r="C8" s="19" t="s">
        <v>93</v>
      </c>
      <c r="D8" s="2"/>
      <c r="E8" s="3"/>
      <c r="F8" s="18" t="s">
        <v>94</v>
      </c>
      <c r="G8" s="2"/>
      <c r="H8" s="2"/>
      <c r="I8" s="2"/>
      <c r="J8" s="2"/>
      <c r="K8" s="2"/>
      <c r="L8" s="3"/>
      <c r="M8" s="18" t="s">
        <v>95</v>
      </c>
      <c r="N8" s="2"/>
      <c r="O8" s="2"/>
      <c r="P8" s="2"/>
      <c r="Q8" s="2"/>
      <c r="R8" s="2"/>
      <c r="S8" s="2"/>
      <c r="T8" s="3"/>
      <c r="U8" s="26" t="s">
        <v>96</v>
      </c>
      <c r="V8" s="3"/>
      <c r="W8" s="18" t="s">
        <v>97</v>
      </c>
      <c r="X8" s="2"/>
      <c r="Y8" s="2"/>
      <c r="Z8" s="2"/>
      <c r="AA8" s="2"/>
      <c r="AB8" s="2"/>
      <c r="AC8" s="3"/>
      <c r="AD8" s="19">
        <v>265</v>
      </c>
      <c r="AE8" s="2"/>
      <c r="AF8" s="3"/>
    </row>
    <row r="9" ht="30" customHeight="1" spans="1:37">
      <c r="B9" s="17">
        <v>2</v>
      </c>
      <c r="C9" s="19" t="s">
        <v>98</v>
      </c>
      <c r="D9" s="2"/>
      <c r="E9" s="3"/>
      <c r="F9" s="18" t="s">
        <v>94</v>
      </c>
      <c r="G9" s="2"/>
      <c r="H9" s="2"/>
      <c r="I9" s="2"/>
      <c r="J9" s="2"/>
      <c r="K9" s="2"/>
      <c r="L9" s="3"/>
      <c r="M9" s="18" t="s">
        <v>99</v>
      </c>
      <c r="N9" s="2"/>
      <c r="O9" s="2"/>
      <c r="P9" s="2"/>
      <c r="Q9" s="2"/>
      <c r="R9" s="2"/>
      <c r="S9" s="2"/>
      <c r="T9" s="3"/>
      <c r="U9" s="26" t="s">
        <v>96</v>
      </c>
      <c r="V9" s="3"/>
      <c r="W9" s="18" t="s">
        <v>100</v>
      </c>
      <c r="X9" s="2"/>
      <c r="Y9" s="2"/>
      <c r="Z9" s="2"/>
      <c r="AA9" s="2"/>
      <c r="AB9" s="2"/>
      <c r="AC9" s="3"/>
      <c r="AD9" s="19">
        <v>200</v>
      </c>
      <c r="AE9" s="2"/>
      <c r="AF9" s="3"/>
    </row>
    <row r="10" ht="36" customHeight="1" spans="1:37">
      <c r="B10" s="17">
        <v>3</v>
      </c>
      <c r="C10" s="19" t="s">
        <v>101</v>
      </c>
      <c r="D10" s="2"/>
      <c r="E10" s="3"/>
      <c r="F10" s="18" t="s">
        <v>94</v>
      </c>
      <c r="G10" s="2"/>
      <c r="H10" s="2"/>
      <c r="I10" s="2"/>
      <c r="J10" s="2"/>
      <c r="K10" s="2"/>
      <c r="L10" s="3"/>
      <c r="M10" s="18" t="s">
        <v>102</v>
      </c>
      <c r="N10" s="2"/>
      <c r="O10" s="2"/>
      <c r="P10" s="2"/>
      <c r="Q10" s="2"/>
      <c r="R10" s="2"/>
      <c r="S10" s="2"/>
      <c r="T10" s="3"/>
      <c r="U10" s="26" t="s">
        <v>96</v>
      </c>
      <c r="V10" s="3"/>
      <c r="W10" s="18" t="s">
        <v>103</v>
      </c>
      <c r="X10" s="2"/>
      <c r="Y10" s="2"/>
      <c r="Z10" s="2"/>
      <c r="AA10" s="2"/>
      <c r="AB10" s="2"/>
      <c r="AC10" s="3"/>
      <c r="AD10" s="19">
        <v>50</v>
      </c>
      <c r="AE10" s="2"/>
      <c r="AF10" s="3"/>
    </row>
    <row r="11" ht="30" customHeight="1" spans="1:37">
      <c r="B11" s="17">
        <v>4</v>
      </c>
      <c r="C11" s="19" t="s">
        <v>104</v>
      </c>
      <c r="D11" s="2"/>
      <c r="E11" s="3"/>
      <c r="F11" s="18" t="s">
        <v>94</v>
      </c>
      <c r="G11" s="2"/>
      <c r="H11" s="2"/>
      <c r="I11" s="2"/>
      <c r="J11" s="2"/>
      <c r="K11" s="2"/>
      <c r="L11" s="3"/>
      <c r="M11" s="18" t="s">
        <v>105</v>
      </c>
      <c r="N11" s="2"/>
      <c r="O11" s="2"/>
      <c r="P11" s="2"/>
      <c r="Q11" s="2"/>
      <c r="R11" s="2"/>
      <c r="S11" s="2"/>
      <c r="T11" s="3"/>
      <c r="U11" s="26" t="s">
        <v>96</v>
      </c>
      <c r="V11" s="3"/>
      <c r="W11" s="18" t="s">
        <v>97</v>
      </c>
      <c r="X11" s="2"/>
      <c r="Y11" s="2"/>
      <c r="Z11" s="2"/>
      <c r="AA11" s="2"/>
      <c r="AB11" s="2"/>
      <c r="AC11" s="3"/>
      <c r="AD11" s="19">
        <v>75</v>
      </c>
      <c r="AE11" s="2"/>
      <c r="AF11" s="3"/>
    </row>
    <row r="12" ht="30" customHeight="1" spans="1:37">
      <c r="B12" s="17">
        <v>5</v>
      </c>
      <c r="C12" s="19" t="s">
        <v>106</v>
      </c>
      <c r="D12" s="2"/>
      <c r="E12" s="3"/>
      <c r="F12" s="18" t="s">
        <v>94</v>
      </c>
      <c r="G12" s="2"/>
      <c r="H12" s="2"/>
      <c r="I12" s="2"/>
      <c r="J12" s="2"/>
      <c r="K12" s="2"/>
      <c r="L12" s="3"/>
      <c r="M12" s="18" t="s">
        <v>107</v>
      </c>
      <c r="N12" s="2"/>
      <c r="O12" s="2"/>
      <c r="P12" s="2"/>
      <c r="Q12" s="2"/>
      <c r="R12" s="2"/>
      <c r="S12" s="2"/>
      <c r="T12" s="3"/>
      <c r="U12" s="26" t="s">
        <v>96</v>
      </c>
      <c r="V12" s="3"/>
      <c r="W12" s="18" t="s">
        <v>108</v>
      </c>
      <c r="X12" s="2"/>
      <c r="Y12" s="2"/>
      <c r="Z12" s="2"/>
      <c r="AA12" s="2"/>
      <c r="AB12" s="2"/>
      <c r="AC12" s="3"/>
      <c r="AD12" s="19">
        <v>30</v>
      </c>
      <c r="AE12" s="2"/>
      <c r="AF12" s="3"/>
    </row>
    <row r="13" ht="30" customHeight="1" spans="1:37">
      <c r="B13" s="17">
        <v>6</v>
      </c>
      <c r="C13" s="19" t="s">
        <v>109</v>
      </c>
      <c r="D13" s="2"/>
      <c r="E13" s="3"/>
      <c r="F13" s="18" t="s">
        <v>94</v>
      </c>
      <c r="G13" s="2"/>
      <c r="H13" s="2"/>
      <c r="I13" s="2"/>
      <c r="J13" s="2"/>
      <c r="K13" s="2"/>
      <c r="L13" s="3"/>
      <c r="M13" s="18" t="s">
        <v>110</v>
      </c>
      <c r="N13" s="2"/>
      <c r="O13" s="2"/>
      <c r="P13" s="2"/>
      <c r="Q13" s="2"/>
      <c r="R13" s="2"/>
      <c r="S13" s="2"/>
      <c r="T13" s="3"/>
      <c r="U13" s="26" t="s">
        <v>96</v>
      </c>
      <c r="V13" s="3"/>
      <c r="W13" s="18" t="s">
        <v>111</v>
      </c>
      <c r="X13" s="2"/>
      <c r="Y13" s="2"/>
      <c r="Z13" s="2"/>
      <c r="AA13" s="2"/>
      <c r="AB13" s="2"/>
      <c r="AC13" s="3"/>
      <c r="AD13" s="19">
        <v>50</v>
      </c>
      <c r="AE13" s="2"/>
      <c r="AF13" s="3"/>
    </row>
    <row r="14" ht="30" customHeight="1" spans="1:37">
      <c r="B14" s="17">
        <v>7</v>
      </c>
      <c r="C14" s="19" t="s">
        <v>112</v>
      </c>
      <c r="D14" s="2"/>
      <c r="E14" s="3"/>
      <c r="F14" s="18" t="s">
        <v>94</v>
      </c>
      <c r="G14" s="2"/>
      <c r="H14" s="2"/>
      <c r="I14" s="2"/>
      <c r="J14" s="2"/>
      <c r="K14" s="2"/>
      <c r="L14" s="3"/>
      <c r="M14" s="18" t="s">
        <v>113</v>
      </c>
      <c r="N14" s="2"/>
      <c r="O14" s="2"/>
      <c r="P14" s="2"/>
      <c r="Q14" s="2"/>
      <c r="R14" s="2"/>
      <c r="S14" s="2"/>
      <c r="T14" s="3"/>
      <c r="U14" s="26" t="s">
        <v>96</v>
      </c>
      <c r="V14" s="3"/>
      <c r="W14" s="18" t="s">
        <v>108</v>
      </c>
      <c r="X14" s="2"/>
      <c r="Y14" s="2"/>
      <c r="Z14" s="2"/>
      <c r="AA14" s="2"/>
      <c r="AB14" s="2"/>
      <c r="AC14" s="3"/>
      <c r="AD14" s="19">
        <v>10</v>
      </c>
      <c r="AE14" s="2"/>
      <c r="AF14" s="3"/>
    </row>
    <row r="15" ht="30" customHeight="1" spans="1:37">
      <c r="B15" s="17">
        <v>8</v>
      </c>
      <c r="C15" s="19" t="s">
        <v>114</v>
      </c>
      <c r="D15" s="2"/>
      <c r="E15" s="3"/>
      <c r="F15" s="18" t="s">
        <v>94</v>
      </c>
      <c r="G15" s="2"/>
      <c r="H15" s="2"/>
      <c r="I15" s="2"/>
      <c r="J15" s="2"/>
      <c r="K15" s="2"/>
      <c r="L15" s="3"/>
      <c r="M15" s="18" t="s">
        <v>115</v>
      </c>
      <c r="N15" s="2"/>
      <c r="O15" s="2"/>
      <c r="P15" s="2"/>
      <c r="Q15" s="2"/>
      <c r="R15" s="2"/>
      <c r="S15" s="2"/>
      <c r="T15" s="3"/>
      <c r="U15" s="27" t="s">
        <v>116</v>
      </c>
      <c r="V15" s="3"/>
      <c r="W15" s="18" t="s">
        <v>117</v>
      </c>
      <c r="X15" s="2"/>
      <c r="Y15" s="2"/>
      <c r="Z15" s="2"/>
      <c r="AA15" s="2"/>
      <c r="AB15" s="2"/>
      <c r="AC15" s="3"/>
      <c r="AD15" s="19">
        <v>20</v>
      </c>
      <c r="AE15" s="2"/>
      <c r="AF15" s="3"/>
    </row>
    <row r="16" ht="30" customHeight="1" spans="1:37">
      <c r="B16" s="17">
        <v>9</v>
      </c>
      <c r="C16" s="19" t="s">
        <v>118</v>
      </c>
      <c r="D16" s="2"/>
      <c r="E16" s="3"/>
      <c r="F16" s="18" t="s">
        <v>94</v>
      </c>
      <c r="G16" s="2"/>
      <c r="H16" s="2"/>
      <c r="I16" s="2"/>
      <c r="J16" s="2"/>
      <c r="K16" s="2"/>
      <c r="L16" s="3"/>
      <c r="M16" s="18" t="s">
        <v>119</v>
      </c>
      <c r="N16" s="2"/>
      <c r="O16" s="2"/>
      <c r="P16" s="2"/>
      <c r="Q16" s="2"/>
      <c r="R16" s="2"/>
      <c r="S16" s="2"/>
      <c r="T16" s="3"/>
      <c r="U16" s="26" t="s">
        <v>96</v>
      </c>
      <c r="V16" s="3"/>
      <c r="W16" s="18" t="s">
        <v>120</v>
      </c>
      <c r="X16" s="2"/>
      <c r="Y16" s="2"/>
      <c r="Z16" s="2"/>
      <c r="AA16" s="2"/>
      <c r="AB16" s="2"/>
      <c r="AC16" s="3"/>
      <c r="AD16" s="19">
        <v>8</v>
      </c>
      <c r="AE16" s="2"/>
      <c r="AF16" s="3"/>
    </row>
    <row r="17" ht="30" customHeight="1" spans="2:32">
      <c r="B17" s="17">
        <v>10</v>
      </c>
      <c r="C17" s="19" t="s">
        <v>121</v>
      </c>
      <c r="D17" s="2"/>
      <c r="E17" s="3"/>
      <c r="F17" s="18" t="s">
        <v>94</v>
      </c>
      <c r="G17" s="2"/>
      <c r="H17" s="2"/>
      <c r="I17" s="2"/>
      <c r="J17" s="2"/>
      <c r="K17" s="2"/>
      <c r="L17" s="3"/>
      <c r="M17" s="18" t="s">
        <v>122</v>
      </c>
      <c r="N17" s="2"/>
      <c r="O17" s="2"/>
      <c r="P17" s="2"/>
      <c r="Q17" s="2"/>
      <c r="R17" s="2"/>
      <c r="S17" s="2"/>
      <c r="T17" s="3"/>
      <c r="U17" s="26" t="s">
        <v>96</v>
      </c>
      <c r="V17" s="3"/>
      <c r="W17" s="18" t="s">
        <v>123</v>
      </c>
      <c r="X17" s="2"/>
      <c r="Y17" s="2"/>
      <c r="Z17" s="2"/>
      <c r="AA17" s="2"/>
      <c r="AB17" s="2"/>
      <c r="AC17" s="3"/>
      <c r="AD17" s="19">
        <v>30</v>
      </c>
      <c r="AE17" s="2"/>
      <c r="AF17" s="3"/>
    </row>
    <row r="18" ht="30" customHeight="1" spans="2:32">
      <c r="B18" s="17">
        <v>11</v>
      </c>
      <c r="C18" s="19" t="s">
        <v>124</v>
      </c>
      <c r="D18" s="2"/>
      <c r="E18" s="3"/>
      <c r="F18" s="18" t="s">
        <v>125</v>
      </c>
      <c r="G18" s="2"/>
      <c r="H18" s="2"/>
      <c r="I18" s="2"/>
      <c r="J18" s="2"/>
      <c r="K18" s="2"/>
      <c r="L18" s="3"/>
      <c r="M18" s="18" t="s">
        <v>126</v>
      </c>
      <c r="N18" s="2"/>
      <c r="O18" s="2"/>
      <c r="P18" s="2"/>
      <c r="Q18" s="2"/>
      <c r="R18" s="2"/>
      <c r="S18" s="2"/>
      <c r="T18" s="3"/>
      <c r="U18" s="27" t="s">
        <v>116</v>
      </c>
      <c r="V18" s="3"/>
      <c r="W18" s="18" t="s">
        <v>127</v>
      </c>
      <c r="X18" s="2"/>
      <c r="Y18" s="2"/>
      <c r="Z18" s="2"/>
      <c r="AA18" s="2"/>
      <c r="AB18" s="2"/>
      <c r="AC18" s="3"/>
      <c r="AD18" s="19">
        <v>100</v>
      </c>
      <c r="AE18" s="2"/>
      <c r="AF18" s="3"/>
    </row>
    <row r="19" ht="30" customHeight="1" spans="2:32">
      <c r="B19" s="17">
        <v>12</v>
      </c>
      <c r="C19" s="19" t="s">
        <v>128</v>
      </c>
      <c r="D19" s="2"/>
      <c r="E19" s="3"/>
      <c r="F19" s="18" t="s">
        <v>125</v>
      </c>
      <c r="G19" s="2"/>
      <c r="H19" s="2"/>
      <c r="I19" s="2"/>
      <c r="J19" s="2"/>
      <c r="K19" s="2"/>
      <c r="L19" s="3"/>
      <c r="M19" s="18" t="s">
        <v>129</v>
      </c>
      <c r="N19" s="2"/>
      <c r="O19" s="2"/>
      <c r="P19" s="2"/>
      <c r="Q19" s="2"/>
      <c r="R19" s="2"/>
      <c r="S19" s="2"/>
      <c r="T19" s="3"/>
      <c r="U19" s="27" t="s">
        <v>116</v>
      </c>
      <c r="V19" s="3"/>
      <c r="W19" s="18" t="s">
        <v>127</v>
      </c>
      <c r="X19" s="2"/>
      <c r="Y19" s="2"/>
      <c r="Z19" s="2"/>
      <c r="AA19" s="2"/>
      <c r="AB19" s="2"/>
      <c r="AC19" s="3"/>
      <c r="AD19" s="19">
        <v>80</v>
      </c>
      <c r="AE19" s="2"/>
      <c r="AF19" s="3"/>
    </row>
    <row r="20" ht="30" customHeight="1" spans="2:32">
      <c r="B20" s="17">
        <v>13</v>
      </c>
      <c r="C20" s="19" t="s">
        <v>130</v>
      </c>
      <c r="D20" s="2"/>
      <c r="E20" s="3"/>
      <c r="F20" s="18" t="s">
        <v>125</v>
      </c>
      <c r="G20" s="2"/>
      <c r="H20" s="2"/>
      <c r="I20" s="2"/>
      <c r="J20" s="2"/>
      <c r="K20" s="2"/>
      <c r="L20" s="3"/>
      <c r="M20" s="18" t="s">
        <v>131</v>
      </c>
      <c r="N20" s="2"/>
      <c r="O20" s="2"/>
      <c r="P20" s="2"/>
      <c r="Q20" s="2"/>
      <c r="R20" s="2"/>
      <c r="S20" s="2"/>
      <c r="T20" s="3"/>
      <c r="U20" s="27" t="s">
        <v>116</v>
      </c>
      <c r="V20" s="3"/>
      <c r="W20" s="18" t="s">
        <v>111</v>
      </c>
      <c r="X20" s="2"/>
      <c r="Y20" s="2"/>
      <c r="Z20" s="2"/>
      <c r="AA20" s="2"/>
      <c r="AB20" s="2"/>
      <c r="AC20" s="3"/>
      <c r="AD20" s="19">
        <v>60</v>
      </c>
      <c r="AE20" s="2"/>
      <c r="AF20" s="3"/>
    </row>
    <row r="21" ht="30" customHeight="1" spans="2:32">
      <c r="B21" s="17">
        <v>14</v>
      </c>
      <c r="C21" s="19" t="s">
        <v>132</v>
      </c>
      <c r="D21" s="2"/>
      <c r="E21" s="3"/>
      <c r="F21" s="18" t="s">
        <v>125</v>
      </c>
      <c r="G21" s="2"/>
      <c r="H21" s="2"/>
      <c r="I21" s="2"/>
      <c r="J21" s="2"/>
      <c r="K21" s="2"/>
      <c r="L21" s="3"/>
      <c r="M21" s="18" t="s">
        <v>133</v>
      </c>
      <c r="N21" s="2"/>
      <c r="O21" s="2"/>
      <c r="P21" s="2"/>
      <c r="Q21" s="2"/>
      <c r="R21" s="2"/>
      <c r="S21" s="2"/>
      <c r="T21" s="3"/>
      <c r="U21" s="27" t="s">
        <v>116</v>
      </c>
      <c r="V21" s="3"/>
      <c r="W21" s="18" t="s">
        <v>127</v>
      </c>
      <c r="X21" s="2"/>
      <c r="Y21" s="2"/>
      <c r="Z21" s="2"/>
      <c r="AA21" s="2"/>
      <c r="AB21" s="2"/>
      <c r="AC21" s="3"/>
      <c r="AD21" s="19">
        <v>50</v>
      </c>
      <c r="AE21" s="2"/>
      <c r="AF21" s="3"/>
    </row>
    <row r="22" ht="30" customHeight="1" spans="2:32">
      <c r="B22" s="17">
        <v>15</v>
      </c>
      <c r="C22" s="19" t="s">
        <v>134</v>
      </c>
      <c r="D22" s="2"/>
      <c r="E22" s="3"/>
      <c r="F22" s="18" t="s">
        <v>125</v>
      </c>
      <c r="G22" s="2"/>
      <c r="H22" s="2"/>
      <c r="I22" s="2"/>
      <c r="J22" s="2"/>
      <c r="K22" s="2"/>
      <c r="L22" s="3"/>
      <c r="M22" s="18" t="s">
        <v>135</v>
      </c>
      <c r="N22" s="2"/>
      <c r="O22" s="2"/>
      <c r="P22" s="2"/>
      <c r="Q22" s="2"/>
      <c r="R22" s="2"/>
      <c r="S22" s="2"/>
      <c r="T22" s="3"/>
      <c r="U22" s="27" t="s">
        <v>116</v>
      </c>
      <c r="V22" s="3"/>
      <c r="W22" s="18" t="s">
        <v>136</v>
      </c>
      <c r="X22" s="2"/>
      <c r="Y22" s="2"/>
      <c r="Z22" s="2"/>
      <c r="AA22" s="2"/>
      <c r="AB22" s="2"/>
      <c r="AC22" s="3"/>
      <c r="AD22" s="19">
        <v>30</v>
      </c>
      <c r="AE22" s="2"/>
      <c r="AF22" s="3"/>
    </row>
    <row r="23" ht="30" customHeight="1" spans="2:32">
      <c r="B23" s="17">
        <v>16</v>
      </c>
      <c r="C23" s="19" t="s">
        <v>137</v>
      </c>
      <c r="D23" s="2"/>
      <c r="E23" s="3"/>
      <c r="F23" s="18" t="s">
        <v>125</v>
      </c>
      <c r="G23" s="2"/>
      <c r="H23" s="2"/>
      <c r="I23" s="2"/>
      <c r="J23" s="2"/>
      <c r="K23" s="2"/>
      <c r="L23" s="3"/>
      <c r="M23" s="18" t="s">
        <v>138</v>
      </c>
      <c r="N23" s="2"/>
      <c r="O23" s="2"/>
      <c r="P23" s="2"/>
      <c r="Q23" s="2"/>
      <c r="R23" s="2"/>
      <c r="S23" s="2"/>
      <c r="T23" s="3"/>
      <c r="U23" s="26" t="s">
        <v>96</v>
      </c>
      <c r="V23" s="3"/>
      <c r="W23" s="18" t="s">
        <v>139</v>
      </c>
      <c r="X23" s="2"/>
      <c r="Y23" s="2"/>
      <c r="Z23" s="2"/>
      <c r="AA23" s="2"/>
      <c r="AB23" s="2"/>
      <c r="AC23" s="3"/>
      <c r="AD23" s="19">
        <v>15</v>
      </c>
      <c r="AE23" s="2"/>
      <c r="AF23" s="3"/>
    </row>
    <row r="24" ht="36" customHeight="1" spans="2:32">
      <c r="B24" s="17">
        <v>17</v>
      </c>
      <c r="C24" s="19" t="s">
        <v>140</v>
      </c>
      <c r="D24" s="2"/>
      <c r="E24" s="3"/>
      <c r="F24" s="18" t="s">
        <v>125</v>
      </c>
      <c r="G24" s="2"/>
      <c r="H24" s="2"/>
      <c r="I24" s="2"/>
      <c r="J24" s="2"/>
      <c r="K24" s="2"/>
      <c r="L24" s="3"/>
      <c r="M24" s="18" t="s">
        <v>141</v>
      </c>
      <c r="N24" s="2"/>
      <c r="O24" s="2"/>
      <c r="P24" s="2"/>
      <c r="Q24" s="2"/>
      <c r="R24" s="2"/>
      <c r="S24" s="2"/>
      <c r="T24" s="3"/>
      <c r="U24" s="27" t="s">
        <v>116</v>
      </c>
      <c r="V24" s="3"/>
      <c r="W24" s="18" t="s">
        <v>142</v>
      </c>
      <c r="X24" s="2"/>
      <c r="Y24" s="2"/>
      <c r="Z24" s="2"/>
      <c r="AA24" s="2"/>
      <c r="AB24" s="2"/>
      <c r="AC24" s="3"/>
      <c r="AD24" s="19">
        <v>45</v>
      </c>
      <c r="AE24" s="2"/>
      <c r="AF24" s="3"/>
    </row>
    <row r="25" ht="30" customHeight="1" spans="2:32">
      <c r="B25" s="17">
        <v>18</v>
      </c>
      <c r="C25" s="19" t="s">
        <v>143</v>
      </c>
      <c r="D25" s="2"/>
      <c r="E25" s="3"/>
      <c r="F25" s="18" t="s">
        <v>125</v>
      </c>
      <c r="G25" s="2"/>
      <c r="H25" s="2"/>
      <c r="I25" s="2"/>
      <c r="J25" s="2"/>
      <c r="K25" s="2"/>
      <c r="L25" s="3"/>
      <c r="M25" s="18" t="s">
        <v>144</v>
      </c>
      <c r="N25" s="2"/>
      <c r="O25" s="2"/>
      <c r="P25" s="2"/>
      <c r="Q25" s="2"/>
      <c r="R25" s="2"/>
      <c r="S25" s="2"/>
      <c r="T25" s="3"/>
      <c r="U25" s="27" t="s">
        <v>116</v>
      </c>
      <c r="V25" s="3"/>
      <c r="W25" s="18" t="s">
        <v>145</v>
      </c>
      <c r="X25" s="2"/>
      <c r="Y25" s="2"/>
      <c r="Z25" s="2"/>
      <c r="AA25" s="2"/>
      <c r="AB25" s="2"/>
      <c r="AC25" s="3"/>
      <c r="AD25" s="19">
        <v>30</v>
      </c>
      <c r="AE25" s="2"/>
      <c r="AF25" s="3"/>
    </row>
    <row r="26" ht="36" customHeight="1" spans="2:32">
      <c r="B26" s="17">
        <v>19</v>
      </c>
      <c r="C26" s="19" t="s">
        <v>146</v>
      </c>
      <c r="D26" s="2"/>
      <c r="E26" s="3"/>
      <c r="F26" s="18" t="s">
        <v>125</v>
      </c>
      <c r="G26" s="2"/>
      <c r="H26" s="2"/>
      <c r="I26" s="2"/>
      <c r="J26" s="2"/>
      <c r="K26" s="2"/>
      <c r="L26" s="3"/>
      <c r="M26" s="18" t="s">
        <v>147</v>
      </c>
      <c r="N26" s="2"/>
      <c r="O26" s="2"/>
      <c r="P26" s="2"/>
      <c r="Q26" s="2"/>
      <c r="R26" s="2"/>
      <c r="S26" s="2"/>
      <c r="T26" s="3"/>
      <c r="U26" s="27" t="s">
        <v>116</v>
      </c>
      <c r="V26" s="3"/>
      <c r="W26" s="18" t="s">
        <v>148</v>
      </c>
      <c r="X26" s="2"/>
      <c r="Y26" s="2"/>
      <c r="Z26" s="2"/>
      <c r="AA26" s="2"/>
      <c r="AB26" s="2"/>
      <c r="AC26" s="3"/>
      <c r="AD26" s="19">
        <v>25</v>
      </c>
      <c r="AE26" s="2"/>
      <c r="AF26" s="3"/>
    </row>
    <row r="27" ht="30" customHeight="1" spans="2:32">
      <c r="B27" s="17">
        <v>20</v>
      </c>
      <c r="C27" s="19" t="s">
        <v>149</v>
      </c>
      <c r="D27" s="2"/>
      <c r="E27" s="3"/>
      <c r="F27" s="18" t="s">
        <v>150</v>
      </c>
      <c r="G27" s="2"/>
      <c r="H27" s="2"/>
      <c r="I27" s="2"/>
      <c r="J27" s="2"/>
      <c r="K27" s="2"/>
      <c r="L27" s="3"/>
      <c r="M27" s="18" t="s">
        <v>151</v>
      </c>
      <c r="N27" s="2"/>
      <c r="O27" s="2"/>
      <c r="P27" s="2"/>
      <c r="Q27" s="2"/>
      <c r="R27" s="2"/>
      <c r="S27" s="2"/>
      <c r="T27" s="3"/>
      <c r="U27" s="26" t="s">
        <v>96</v>
      </c>
      <c r="V27" s="3"/>
      <c r="W27" s="18" t="s">
        <v>145</v>
      </c>
      <c r="X27" s="2"/>
      <c r="Y27" s="2"/>
      <c r="Z27" s="2"/>
      <c r="AA27" s="2"/>
      <c r="AB27" s="2"/>
      <c r="AC27" s="3"/>
      <c r="AD27" s="19">
        <v>60</v>
      </c>
      <c r="AE27" s="2"/>
      <c r="AF27" s="3"/>
    </row>
    <row r="28" ht="30" customHeight="1" spans="2:32">
      <c r="B28" s="17">
        <v>21</v>
      </c>
      <c r="C28" s="19" t="s">
        <v>152</v>
      </c>
      <c r="D28" s="2"/>
      <c r="E28" s="3"/>
      <c r="F28" s="18" t="s">
        <v>150</v>
      </c>
      <c r="G28" s="2"/>
      <c r="H28" s="2"/>
      <c r="I28" s="2"/>
      <c r="J28" s="2"/>
      <c r="K28" s="2"/>
      <c r="L28" s="3"/>
      <c r="M28" s="18" t="s">
        <v>153</v>
      </c>
      <c r="N28" s="2"/>
      <c r="O28" s="2"/>
      <c r="P28" s="2"/>
      <c r="Q28" s="2"/>
      <c r="R28" s="2"/>
      <c r="S28" s="2"/>
      <c r="T28" s="3"/>
      <c r="U28" s="27" t="s">
        <v>116</v>
      </c>
      <c r="V28" s="3"/>
      <c r="W28" s="18" t="s">
        <v>154</v>
      </c>
      <c r="X28" s="2"/>
      <c r="Y28" s="2"/>
      <c r="Z28" s="2"/>
      <c r="AA28" s="2"/>
      <c r="AB28" s="2"/>
      <c r="AC28" s="3"/>
      <c r="AD28" s="19">
        <v>16</v>
      </c>
      <c r="AE28" s="2"/>
      <c r="AF28" s="3"/>
    </row>
    <row r="29" ht="30" customHeight="1" spans="2:32">
      <c r="B29" s="17">
        <v>22</v>
      </c>
      <c r="C29" s="19" t="s">
        <v>155</v>
      </c>
      <c r="D29" s="2"/>
      <c r="E29" s="3"/>
      <c r="F29" s="18" t="s">
        <v>150</v>
      </c>
      <c r="G29" s="2"/>
      <c r="H29" s="2"/>
      <c r="I29" s="2"/>
      <c r="J29" s="2"/>
      <c r="K29" s="2"/>
      <c r="L29" s="3"/>
      <c r="M29" s="18" t="s">
        <v>156</v>
      </c>
      <c r="N29" s="2"/>
      <c r="O29" s="2"/>
      <c r="P29" s="2"/>
      <c r="Q29" s="2"/>
      <c r="R29" s="2"/>
      <c r="S29" s="2"/>
      <c r="T29" s="3"/>
      <c r="U29" s="26" t="s">
        <v>96</v>
      </c>
      <c r="V29" s="3"/>
      <c r="W29" s="18" t="s">
        <v>157</v>
      </c>
      <c r="X29" s="2"/>
      <c r="Y29" s="2"/>
      <c r="Z29" s="2"/>
      <c r="AA29" s="2"/>
      <c r="AB29" s="2"/>
      <c r="AC29" s="3"/>
      <c r="AD29" s="19">
        <v>18</v>
      </c>
      <c r="AE29" s="2"/>
      <c r="AF29" s="3"/>
    </row>
    <row r="30" ht="30" customHeight="1" spans="2:32">
      <c r="B30" s="17">
        <v>23</v>
      </c>
      <c r="C30" s="19" t="s">
        <v>158</v>
      </c>
      <c r="D30" s="2"/>
      <c r="E30" s="3"/>
      <c r="F30" s="18" t="s">
        <v>150</v>
      </c>
      <c r="G30" s="2"/>
      <c r="H30" s="2"/>
      <c r="I30" s="2"/>
      <c r="J30" s="2"/>
      <c r="K30" s="2"/>
      <c r="L30" s="3"/>
      <c r="M30" s="18" t="s">
        <v>159</v>
      </c>
      <c r="N30" s="2"/>
      <c r="O30" s="2"/>
      <c r="P30" s="2"/>
      <c r="Q30" s="2"/>
      <c r="R30" s="2"/>
      <c r="S30" s="2"/>
      <c r="T30" s="3"/>
      <c r="U30" s="27" t="s">
        <v>116</v>
      </c>
      <c r="V30" s="3"/>
      <c r="W30" s="18" t="s">
        <v>160</v>
      </c>
      <c r="X30" s="2"/>
      <c r="Y30" s="2"/>
      <c r="Z30" s="2"/>
      <c r="AA30" s="2"/>
      <c r="AB30" s="2"/>
      <c r="AC30" s="3"/>
      <c r="AD30" s="19">
        <v>8</v>
      </c>
      <c r="AE30" s="2"/>
      <c r="AF30" s="3"/>
    </row>
    <row r="31" ht="30" customHeight="1" spans="2:32">
      <c r="B31" s="17">
        <v>24</v>
      </c>
      <c r="C31" s="19" t="s">
        <v>161</v>
      </c>
      <c r="D31" s="2"/>
      <c r="E31" s="3"/>
      <c r="F31" s="18" t="s">
        <v>150</v>
      </c>
      <c r="G31" s="2"/>
      <c r="H31" s="2"/>
      <c r="I31" s="2"/>
      <c r="J31" s="2"/>
      <c r="K31" s="2"/>
      <c r="L31" s="3"/>
      <c r="M31" s="18" t="s">
        <v>162</v>
      </c>
      <c r="N31" s="2"/>
      <c r="O31" s="2"/>
      <c r="P31" s="2"/>
      <c r="Q31" s="2"/>
      <c r="R31" s="2"/>
      <c r="S31" s="2"/>
      <c r="T31" s="3"/>
      <c r="U31" s="26" t="s">
        <v>96</v>
      </c>
      <c r="V31" s="3"/>
      <c r="W31" s="18" t="s">
        <v>163</v>
      </c>
      <c r="X31" s="2"/>
      <c r="Y31" s="2"/>
      <c r="Z31" s="2"/>
      <c r="AA31" s="2"/>
      <c r="AB31" s="2"/>
      <c r="AC31" s="3"/>
      <c r="AD31" s="19">
        <v>10</v>
      </c>
      <c r="AE31" s="2"/>
      <c r="AF31" s="3"/>
    </row>
    <row r="32" ht="30" customHeight="1" spans="2:32">
      <c r="B32" s="17">
        <v>25</v>
      </c>
      <c r="C32" s="19" t="s">
        <v>164</v>
      </c>
      <c r="D32" s="2"/>
      <c r="E32" s="3"/>
      <c r="F32" s="18" t="s">
        <v>150</v>
      </c>
      <c r="G32" s="2"/>
      <c r="H32" s="2"/>
      <c r="I32" s="2"/>
      <c r="J32" s="2"/>
      <c r="K32" s="2"/>
      <c r="L32" s="3"/>
      <c r="M32" s="18" t="s">
        <v>165</v>
      </c>
      <c r="N32" s="2"/>
      <c r="O32" s="2"/>
      <c r="P32" s="2"/>
      <c r="Q32" s="2"/>
      <c r="R32" s="2"/>
      <c r="S32" s="2"/>
      <c r="T32" s="3"/>
      <c r="U32" s="27" t="s">
        <v>116</v>
      </c>
      <c r="V32" s="3"/>
      <c r="W32" s="18" t="s">
        <v>166</v>
      </c>
      <c r="X32" s="2"/>
      <c r="Y32" s="2"/>
      <c r="Z32" s="2"/>
      <c r="AA32" s="2"/>
      <c r="AB32" s="2"/>
      <c r="AC32" s="3"/>
      <c r="AD32" s="19">
        <v>30</v>
      </c>
      <c r="AE32" s="2"/>
      <c r="AF32" s="3"/>
    </row>
    <row r="33" ht="30" customHeight="1" spans="2:32">
      <c r="B33" s="17">
        <v>26</v>
      </c>
      <c r="C33" s="19" t="s">
        <v>167</v>
      </c>
      <c r="D33" s="2"/>
      <c r="E33" s="3"/>
      <c r="F33" s="18" t="s">
        <v>150</v>
      </c>
      <c r="G33" s="2"/>
      <c r="H33" s="2"/>
      <c r="I33" s="2"/>
      <c r="J33" s="2"/>
      <c r="K33" s="2"/>
      <c r="L33" s="3"/>
      <c r="M33" s="18" t="s">
        <v>168</v>
      </c>
      <c r="N33" s="2"/>
      <c r="O33" s="2"/>
      <c r="P33" s="2"/>
      <c r="Q33" s="2"/>
      <c r="R33" s="2"/>
      <c r="S33" s="2"/>
      <c r="T33" s="3"/>
      <c r="U33" s="26" t="s">
        <v>96</v>
      </c>
      <c r="V33" s="3"/>
      <c r="W33" s="18" t="s">
        <v>169</v>
      </c>
      <c r="X33" s="2"/>
      <c r="Y33" s="2"/>
      <c r="Z33" s="2"/>
      <c r="AA33" s="2"/>
      <c r="AB33" s="2"/>
      <c r="AC33" s="3"/>
      <c r="AD33" s="19">
        <v>15</v>
      </c>
      <c r="AE33" s="2"/>
      <c r="AF33" s="3"/>
    </row>
    <row r="34" ht="30" customHeight="1" spans="2:32">
      <c r="B34" s="17">
        <v>27</v>
      </c>
      <c r="C34" s="19" t="s">
        <v>170</v>
      </c>
      <c r="D34" s="2"/>
      <c r="E34" s="3"/>
      <c r="F34" s="18" t="s">
        <v>150</v>
      </c>
      <c r="G34" s="2"/>
      <c r="H34" s="2"/>
      <c r="I34" s="2"/>
      <c r="J34" s="2"/>
      <c r="K34" s="2"/>
      <c r="L34" s="3"/>
      <c r="M34" s="18" t="s">
        <v>171</v>
      </c>
      <c r="N34" s="2"/>
      <c r="O34" s="2"/>
      <c r="P34" s="2"/>
      <c r="Q34" s="2"/>
      <c r="R34" s="2"/>
      <c r="S34" s="2"/>
      <c r="T34" s="3"/>
      <c r="U34" s="26" t="s">
        <v>96</v>
      </c>
      <c r="V34" s="3"/>
      <c r="W34" s="18" t="s">
        <v>172</v>
      </c>
      <c r="X34" s="2"/>
      <c r="Y34" s="2"/>
      <c r="Z34" s="2"/>
      <c r="AA34" s="2"/>
      <c r="AB34" s="2"/>
      <c r="AC34" s="3"/>
      <c r="AD34" s="19">
        <v>18</v>
      </c>
      <c r="AE34" s="2"/>
      <c r="AF34" s="3"/>
    </row>
    <row r="35" ht="30" customHeight="1" spans="2:32">
      <c r="B35" s="17">
        <v>28</v>
      </c>
      <c r="C35" s="19" t="s">
        <v>173</v>
      </c>
      <c r="D35" s="2"/>
      <c r="E35" s="3"/>
      <c r="F35" s="18" t="s">
        <v>174</v>
      </c>
      <c r="G35" s="2"/>
      <c r="H35" s="2"/>
      <c r="I35" s="2"/>
      <c r="J35" s="2"/>
      <c r="K35" s="2"/>
      <c r="L35" s="3"/>
      <c r="M35" s="18" t="s">
        <v>175</v>
      </c>
      <c r="N35" s="2"/>
      <c r="O35" s="2"/>
      <c r="P35" s="2"/>
      <c r="Q35" s="2"/>
      <c r="R35" s="2"/>
      <c r="S35" s="2"/>
      <c r="T35" s="3"/>
      <c r="U35" s="26" t="s">
        <v>96</v>
      </c>
      <c r="V35" s="3"/>
      <c r="W35" s="18" t="s">
        <v>176</v>
      </c>
      <c r="X35" s="2"/>
      <c r="Y35" s="2"/>
      <c r="Z35" s="2"/>
      <c r="AA35" s="2"/>
      <c r="AB35" s="2"/>
      <c r="AC35" s="3"/>
      <c r="AD35" s="19">
        <v>25</v>
      </c>
      <c r="AE35" s="2"/>
      <c r="AF35" s="3"/>
    </row>
    <row r="36" ht="30" customHeight="1" spans="2:32">
      <c r="B36" s="17">
        <v>29</v>
      </c>
      <c r="C36" s="19" t="s">
        <v>177</v>
      </c>
      <c r="D36" s="2"/>
      <c r="E36" s="3"/>
      <c r="F36" s="18" t="s">
        <v>174</v>
      </c>
      <c r="G36" s="2"/>
      <c r="H36" s="2"/>
      <c r="I36" s="2"/>
      <c r="J36" s="2"/>
      <c r="K36" s="2"/>
      <c r="L36" s="3"/>
      <c r="M36" s="18" t="s">
        <v>178</v>
      </c>
      <c r="N36" s="2"/>
      <c r="O36" s="2"/>
      <c r="P36" s="2"/>
      <c r="Q36" s="2"/>
      <c r="R36" s="2"/>
      <c r="S36" s="2"/>
      <c r="T36" s="3"/>
      <c r="U36" s="26" t="s">
        <v>96</v>
      </c>
      <c r="V36" s="3"/>
      <c r="W36" s="18" t="s">
        <v>108</v>
      </c>
      <c r="X36" s="2"/>
      <c r="Y36" s="2"/>
      <c r="Z36" s="2"/>
      <c r="AA36" s="2"/>
      <c r="AB36" s="2"/>
      <c r="AC36" s="3"/>
      <c r="AD36" s="19">
        <v>8</v>
      </c>
      <c r="AE36" s="2"/>
      <c r="AF36" s="3"/>
    </row>
    <row r="37" ht="30" customHeight="1" spans="2:32">
      <c r="B37" s="17">
        <v>30</v>
      </c>
      <c r="C37" s="19" t="s">
        <v>179</v>
      </c>
      <c r="D37" s="2"/>
      <c r="E37" s="3"/>
      <c r="F37" s="18" t="s">
        <v>174</v>
      </c>
      <c r="G37" s="2"/>
      <c r="H37" s="2"/>
      <c r="I37" s="2"/>
      <c r="J37" s="2"/>
      <c r="K37" s="2"/>
      <c r="L37" s="3"/>
      <c r="M37" s="18" t="s">
        <v>180</v>
      </c>
      <c r="N37" s="2"/>
      <c r="O37" s="2"/>
      <c r="P37" s="2"/>
      <c r="Q37" s="2"/>
      <c r="R37" s="2"/>
      <c r="S37" s="2"/>
      <c r="T37" s="3"/>
      <c r="U37" s="26" t="s">
        <v>96</v>
      </c>
      <c r="V37" s="3"/>
      <c r="W37" s="18" t="s">
        <v>181</v>
      </c>
      <c r="X37" s="2"/>
      <c r="Y37" s="2"/>
      <c r="Z37" s="2"/>
      <c r="AA37" s="2"/>
      <c r="AB37" s="2"/>
      <c r="AC37" s="3"/>
      <c r="AD37" s="19">
        <v>15</v>
      </c>
      <c r="AE37" s="2"/>
      <c r="AF37" s="3"/>
    </row>
    <row r="38" ht="30" customHeight="1" spans="2:32">
      <c r="B38" s="17">
        <v>31</v>
      </c>
      <c r="C38" s="19" t="s">
        <v>182</v>
      </c>
      <c r="D38" s="2"/>
      <c r="E38" s="3"/>
      <c r="F38" s="18" t="s">
        <v>174</v>
      </c>
      <c r="G38" s="2"/>
      <c r="H38" s="2"/>
      <c r="I38" s="2"/>
      <c r="J38" s="2"/>
      <c r="K38" s="2"/>
      <c r="L38" s="3"/>
      <c r="M38" s="18" t="s">
        <v>183</v>
      </c>
      <c r="N38" s="2"/>
      <c r="O38" s="2"/>
      <c r="P38" s="2"/>
      <c r="Q38" s="2"/>
      <c r="R38" s="2"/>
      <c r="S38" s="2"/>
      <c r="T38" s="3"/>
      <c r="U38" s="26" t="s">
        <v>96</v>
      </c>
      <c r="V38" s="3"/>
      <c r="W38" s="18" t="s">
        <v>108</v>
      </c>
      <c r="X38" s="2"/>
      <c r="Y38" s="2"/>
      <c r="Z38" s="2"/>
      <c r="AA38" s="2"/>
      <c r="AB38" s="2"/>
      <c r="AC38" s="3"/>
      <c r="AD38" s="19">
        <v>40</v>
      </c>
      <c r="AE38" s="2"/>
      <c r="AF38" s="3"/>
    </row>
    <row r="39" ht="30" customHeight="1" spans="2:32">
      <c r="B39" s="17">
        <v>32</v>
      </c>
      <c r="C39" s="19" t="s">
        <v>184</v>
      </c>
      <c r="D39" s="2"/>
      <c r="E39" s="3"/>
      <c r="F39" s="18" t="s">
        <v>174</v>
      </c>
      <c r="G39" s="2"/>
      <c r="H39" s="2"/>
      <c r="I39" s="2"/>
      <c r="J39" s="2"/>
      <c r="K39" s="2"/>
      <c r="L39" s="3"/>
      <c r="M39" s="18" t="s">
        <v>185</v>
      </c>
      <c r="N39" s="2"/>
      <c r="O39" s="2"/>
      <c r="P39" s="2"/>
      <c r="Q39" s="2"/>
      <c r="R39" s="2"/>
      <c r="S39" s="2"/>
      <c r="T39" s="3"/>
      <c r="U39" s="27" t="s">
        <v>116</v>
      </c>
      <c r="V39" s="3"/>
      <c r="W39" s="18" t="s">
        <v>186</v>
      </c>
      <c r="X39" s="2"/>
      <c r="Y39" s="2"/>
      <c r="Z39" s="2"/>
      <c r="AA39" s="2"/>
      <c r="AB39" s="2"/>
      <c r="AC39" s="3"/>
      <c r="AD39" s="19">
        <v>20</v>
      </c>
      <c r="AE39" s="2"/>
      <c r="AF39" s="3"/>
    </row>
    <row r="40" ht="30" customHeight="1" spans="2:32">
      <c r="B40" s="17">
        <v>33</v>
      </c>
      <c r="C40" s="19" t="s">
        <v>187</v>
      </c>
      <c r="D40" s="2"/>
      <c r="E40" s="3"/>
      <c r="F40" s="18" t="s">
        <v>174</v>
      </c>
      <c r="G40" s="2"/>
      <c r="H40" s="2"/>
      <c r="I40" s="2"/>
      <c r="J40" s="2"/>
      <c r="K40" s="2"/>
      <c r="L40" s="3"/>
      <c r="M40" s="18" t="s">
        <v>188</v>
      </c>
      <c r="N40" s="2"/>
      <c r="O40" s="2"/>
      <c r="P40" s="2"/>
      <c r="Q40" s="2"/>
      <c r="R40" s="2"/>
      <c r="S40" s="2"/>
      <c r="T40" s="3"/>
      <c r="U40" s="27" t="s">
        <v>116</v>
      </c>
      <c r="V40" s="3"/>
      <c r="W40" s="18" t="s">
        <v>189</v>
      </c>
      <c r="X40" s="2"/>
      <c r="Y40" s="2"/>
      <c r="Z40" s="2"/>
      <c r="AA40" s="2"/>
      <c r="AB40" s="2"/>
      <c r="AC40" s="3"/>
      <c r="AD40" s="19">
        <v>12</v>
      </c>
      <c r="AE40" s="2"/>
      <c r="AF40" s="3"/>
    </row>
    <row r="41" ht="30" customHeight="1" spans="2:32">
      <c r="B41" s="17">
        <v>34</v>
      </c>
      <c r="C41" s="19" t="s">
        <v>190</v>
      </c>
      <c r="D41" s="2"/>
      <c r="E41" s="3"/>
      <c r="F41" s="18" t="s">
        <v>174</v>
      </c>
      <c r="G41" s="2"/>
      <c r="H41" s="2"/>
      <c r="I41" s="2"/>
      <c r="J41" s="2"/>
      <c r="K41" s="2"/>
      <c r="L41" s="3"/>
      <c r="M41" s="18" t="s">
        <v>191</v>
      </c>
      <c r="N41" s="2"/>
      <c r="O41" s="2"/>
      <c r="P41" s="2"/>
      <c r="Q41" s="2"/>
      <c r="R41" s="2"/>
      <c r="S41" s="2"/>
      <c r="T41" s="3"/>
      <c r="U41" s="26" t="s">
        <v>96</v>
      </c>
      <c r="V41" s="3"/>
      <c r="W41" s="18" t="s">
        <v>192</v>
      </c>
      <c r="X41" s="2"/>
      <c r="Y41" s="2"/>
      <c r="Z41" s="2"/>
      <c r="AA41" s="2"/>
      <c r="AB41" s="2"/>
      <c r="AC41" s="3"/>
      <c r="AD41" s="19">
        <v>15</v>
      </c>
      <c r="AE41" s="2"/>
      <c r="AF41" s="3"/>
    </row>
    <row r="42" ht="30" customHeight="1" spans="2:32">
      <c r="B42" s="17">
        <v>35</v>
      </c>
      <c r="C42" s="19" t="s">
        <v>193</v>
      </c>
      <c r="D42" s="2"/>
      <c r="E42" s="3"/>
      <c r="F42" s="18" t="s">
        <v>174</v>
      </c>
      <c r="G42" s="2"/>
      <c r="H42" s="2"/>
      <c r="I42" s="2"/>
      <c r="J42" s="2"/>
      <c r="K42" s="2"/>
      <c r="L42" s="3"/>
      <c r="M42" s="18" t="s">
        <v>194</v>
      </c>
      <c r="N42" s="2"/>
      <c r="O42" s="2"/>
      <c r="P42" s="2"/>
      <c r="Q42" s="2"/>
      <c r="R42" s="2"/>
      <c r="S42" s="2"/>
      <c r="T42" s="3"/>
      <c r="U42" s="27" t="s">
        <v>116</v>
      </c>
      <c r="V42" s="3"/>
      <c r="W42" s="18" t="s">
        <v>108</v>
      </c>
      <c r="X42" s="2"/>
      <c r="Y42" s="2"/>
      <c r="Z42" s="2"/>
      <c r="AA42" s="2"/>
      <c r="AB42" s="2"/>
      <c r="AC42" s="3"/>
      <c r="AD42" s="19">
        <v>30</v>
      </c>
      <c r="AE42" s="2"/>
      <c r="AF42" s="3"/>
    </row>
    <row r="43" ht="36" customHeight="1" spans="2:32">
      <c r="B43" s="17">
        <v>36</v>
      </c>
      <c r="C43" s="19" t="s">
        <v>195</v>
      </c>
      <c r="D43" s="2"/>
      <c r="E43" s="3"/>
      <c r="F43" s="18" t="s">
        <v>174</v>
      </c>
      <c r="G43" s="2"/>
      <c r="H43" s="2"/>
      <c r="I43" s="2"/>
      <c r="J43" s="2"/>
      <c r="K43" s="2"/>
      <c r="L43" s="3"/>
      <c r="M43" s="18" t="s">
        <v>196</v>
      </c>
      <c r="N43" s="2"/>
      <c r="O43" s="2"/>
      <c r="P43" s="2"/>
      <c r="Q43" s="2"/>
      <c r="R43" s="2"/>
      <c r="S43" s="2"/>
      <c r="T43" s="3"/>
      <c r="U43" s="26" t="s">
        <v>96</v>
      </c>
      <c r="V43" s="3"/>
      <c r="W43" s="18" t="s">
        <v>181</v>
      </c>
      <c r="X43" s="2"/>
      <c r="Y43" s="2"/>
      <c r="Z43" s="2"/>
      <c r="AA43" s="2"/>
      <c r="AB43" s="2"/>
      <c r="AC43" s="3"/>
      <c r="AD43" s="19">
        <v>6</v>
      </c>
      <c r="AE43" s="2"/>
      <c r="AF43" s="3"/>
    </row>
    <row r="44" ht="30" customHeight="1" spans="2:32">
      <c r="B44" s="17">
        <v>37</v>
      </c>
      <c r="C44" s="19" t="s">
        <v>197</v>
      </c>
      <c r="D44" s="2"/>
      <c r="E44" s="3"/>
      <c r="F44" s="18" t="s">
        <v>198</v>
      </c>
      <c r="G44" s="2"/>
      <c r="H44" s="2"/>
      <c r="I44" s="2"/>
      <c r="J44" s="2"/>
      <c r="K44" s="2"/>
      <c r="L44" s="3"/>
      <c r="M44" s="18" t="s">
        <v>199</v>
      </c>
      <c r="N44" s="2"/>
      <c r="O44" s="2"/>
      <c r="P44" s="2"/>
      <c r="Q44" s="2"/>
      <c r="R44" s="2"/>
      <c r="S44" s="2"/>
      <c r="T44" s="3"/>
      <c r="U44" s="28" t="s">
        <v>200</v>
      </c>
      <c r="V44" s="3"/>
      <c r="W44" s="18" t="s">
        <v>201</v>
      </c>
      <c r="X44" s="2"/>
      <c r="Y44" s="2"/>
      <c r="Z44" s="2"/>
      <c r="AA44" s="2"/>
      <c r="AB44" s="2"/>
      <c r="AC44" s="3"/>
      <c r="AD44" s="19">
        <v>60</v>
      </c>
      <c r="AE44" s="2"/>
      <c r="AF44" s="3"/>
    </row>
    <row r="45" ht="36" customHeight="1" spans="2:32">
      <c r="B45" s="17">
        <v>38</v>
      </c>
      <c r="C45" s="19" t="s">
        <v>202</v>
      </c>
      <c r="D45" s="2"/>
      <c r="E45" s="3"/>
      <c r="F45" s="18" t="s">
        <v>198</v>
      </c>
      <c r="G45" s="2"/>
      <c r="H45" s="2"/>
      <c r="I45" s="2"/>
      <c r="J45" s="2"/>
      <c r="K45" s="2"/>
      <c r="L45" s="3"/>
      <c r="M45" s="18" t="s">
        <v>203</v>
      </c>
      <c r="N45" s="2"/>
      <c r="O45" s="2"/>
      <c r="P45" s="2"/>
      <c r="Q45" s="2"/>
      <c r="R45" s="2"/>
      <c r="S45" s="2"/>
      <c r="T45" s="3"/>
      <c r="U45" s="28" t="s">
        <v>200</v>
      </c>
      <c r="V45" s="3"/>
      <c r="W45" s="18" t="s">
        <v>201</v>
      </c>
      <c r="X45" s="2"/>
      <c r="Y45" s="2"/>
      <c r="Z45" s="2"/>
      <c r="AA45" s="2"/>
      <c r="AB45" s="2"/>
      <c r="AC45" s="3"/>
      <c r="AD45" s="19">
        <v>40</v>
      </c>
      <c r="AE45" s="2"/>
      <c r="AF45" s="3"/>
    </row>
    <row r="46" ht="30" customHeight="1" spans="2:32">
      <c r="B46" s="17">
        <v>39</v>
      </c>
      <c r="C46" s="19" t="s">
        <v>204</v>
      </c>
      <c r="D46" s="2"/>
      <c r="E46" s="3"/>
      <c r="F46" s="18" t="s">
        <v>198</v>
      </c>
      <c r="G46" s="2"/>
      <c r="H46" s="2"/>
      <c r="I46" s="2"/>
      <c r="J46" s="2"/>
      <c r="K46" s="2"/>
      <c r="L46" s="3"/>
      <c r="M46" s="18" t="s">
        <v>205</v>
      </c>
      <c r="N46" s="2"/>
      <c r="O46" s="2"/>
      <c r="P46" s="2"/>
      <c r="Q46" s="2"/>
      <c r="R46" s="2"/>
      <c r="S46" s="2"/>
      <c r="T46" s="3"/>
      <c r="U46" s="28" t="s">
        <v>200</v>
      </c>
      <c r="V46" s="3"/>
      <c r="W46" s="18" t="s">
        <v>127</v>
      </c>
      <c r="X46" s="2"/>
      <c r="Y46" s="2"/>
      <c r="Z46" s="2"/>
      <c r="AA46" s="2"/>
      <c r="AB46" s="2"/>
      <c r="AC46" s="3"/>
      <c r="AD46" s="19">
        <v>25</v>
      </c>
      <c r="AE46" s="2"/>
      <c r="AF46" s="3"/>
    </row>
    <row r="47" ht="30" customHeight="1" spans="2:32">
      <c r="B47" s="17">
        <v>40</v>
      </c>
      <c r="C47" s="19" t="s">
        <v>206</v>
      </c>
      <c r="D47" s="2"/>
      <c r="E47" s="3"/>
      <c r="F47" s="18" t="s">
        <v>198</v>
      </c>
      <c r="G47" s="2"/>
      <c r="H47" s="2"/>
      <c r="I47" s="2"/>
      <c r="J47" s="2"/>
      <c r="K47" s="2"/>
      <c r="L47" s="3"/>
      <c r="M47" s="18" t="s">
        <v>207</v>
      </c>
      <c r="N47" s="2"/>
      <c r="O47" s="2"/>
      <c r="P47" s="2"/>
      <c r="Q47" s="2"/>
      <c r="R47" s="2"/>
      <c r="S47" s="2"/>
      <c r="T47" s="3"/>
      <c r="U47" s="28" t="s">
        <v>200</v>
      </c>
      <c r="V47" s="3"/>
      <c r="W47" s="18" t="s">
        <v>108</v>
      </c>
      <c r="X47" s="2"/>
      <c r="Y47" s="2"/>
      <c r="Z47" s="2"/>
      <c r="AA47" s="2"/>
      <c r="AB47" s="2"/>
      <c r="AC47" s="3"/>
      <c r="AD47" s="19">
        <v>5</v>
      </c>
      <c r="AE47" s="2"/>
      <c r="AF47" s="3"/>
    </row>
    <row r="48" ht="30" customHeight="1" spans="2:32">
      <c r="B48" s="17">
        <v>41</v>
      </c>
      <c r="C48" s="19" t="s">
        <v>208</v>
      </c>
      <c r="D48" s="2"/>
      <c r="E48" s="3"/>
      <c r="F48" s="18" t="s">
        <v>198</v>
      </c>
      <c r="G48" s="2"/>
      <c r="H48" s="2"/>
      <c r="I48" s="2"/>
      <c r="J48" s="2"/>
      <c r="K48" s="2"/>
      <c r="L48" s="3"/>
      <c r="M48" s="18" t="s">
        <v>209</v>
      </c>
      <c r="N48" s="2"/>
      <c r="O48" s="2"/>
      <c r="P48" s="2"/>
      <c r="Q48" s="2"/>
      <c r="R48" s="2"/>
      <c r="S48" s="2"/>
      <c r="T48" s="3"/>
      <c r="U48" s="26" t="s">
        <v>96</v>
      </c>
      <c r="V48" s="3"/>
      <c r="W48" s="18" t="s">
        <v>108</v>
      </c>
      <c r="X48" s="2"/>
      <c r="Y48" s="2"/>
      <c r="Z48" s="2"/>
      <c r="AA48" s="2"/>
      <c r="AB48" s="2"/>
      <c r="AC48" s="3"/>
      <c r="AD48" s="19">
        <v>5</v>
      </c>
      <c r="AE48" s="2"/>
      <c r="AF48" s="3"/>
    </row>
    <row r="49" ht="30" customHeight="1" spans="2:37">
      <c r="B49" s="17">
        <v>42</v>
      </c>
      <c r="C49" s="19" t="s">
        <v>210</v>
      </c>
      <c r="D49" s="2"/>
      <c r="E49" s="3"/>
      <c r="F49" s="18" t="s">
        <v>198</v>
      </c>
      <c r="G49" s="2"/>
      <c r="H49" s="2"/>
      <c r="I49" s="2"/>
      <c r="J49" s="2"/>
      <c r="K49" s="2"/>
      <c r="L49" s="3"/>
      <c r="M49" s="18" t="s">
        <v>211</v>
      </c>
      <c r="N49" s="2"/>
      <c r="O49" s="2"/>
      <c r="P49" s="2"/>
      <c r="Q49" s="2"/>
      <c r="R49" s="2"/>
      <c r="S49" s="2"/>
      <c r="T49" s="3"/>
      <c r="U49" s="27" t="s">
        <v>116</v>
      </c>
      <c r="V49" s="3"/>
      <c r="W49" s="18" t="s">
        <v>212</v>
      </c>
      <c r="X49" s="2"/>
      <c r="Y49" s="2"/>
      <c r="Z49" s="2"/>
      <c r="AA49" s="2"/>
      <c r="AB49" s="2"/>
      <c r="AC49" s="3"/>
      <c r="AD49" s="19">
        <v>8</v>
      </c>
      <c r="AE49" s="2"/>
      <c r="AF49" s="3"/>
    </row>
    <row r="50" ht="30" customHeight="1" spans="2:37">
      <c r="B50" s="17">
        <v>43</v>
      </c>
      <c r="C50" s="19" t="s">
        <v>213</v>
      </c>
      <c r="D50" s="2"/>
      <c r="E50" s="3"/>
      <c r="F50" s="18" t="s">
        <v>214</v>
      </c>
      <c r="G50" s="2"/>
      <c r="H50" s="2"/>
      <c r="I50" s="2"/>
      <c r="J50" s="2"/>
      <c r="K50" s="2"/>
      <c r="L50" s="3"/>
      <c r="M50" s="18" t="s">
        <v>215</v>
      </c>
      <c r="N50" s="2"/>
      <c r="O50" s="2"/>
      <c r="P50" s="2"/>
      <c r="Q50" s="2"/>
      <c r="R50" s="2"/>
      <c r="S50" s="2"/>
      <c r="T50" s="3"/>
      <c r="U50" s="27" t="s">
        <v>116</v>
      </c>
      <c r="V50" s="3"/>
      <c r="W50" s="18" t="s">
        <v>216</v>
      </c>
      <c r="X50" s="2"/>
      <c r="Y50" s="2"/>
      <c r="Z50" s="2"/>
      <c r="AA50" s="2"/>
      <c r="AB50" s="2"/>
      <c r="AC50" s="3"/>
      <c r="AD50" s="19">
        <v>12</v>
      </c>
      <c r="AE50" s="2"/>
      <c r="AF50" s="3"/>
    </row>
    <row r="51" ht="30" customHeight="1" spans="2:37">
      <c r="B51" s="17">
        <v>44</v>
      </c>
      <c r="C51" s="19" t="s">
        <v>217</v>
      </c>
      <c r="D51" s="2"/>
      <c r="E51" s="3"/>
      <c r="F51" s="18" t="s">
        <v>214</v>
      </c>
      <c r="G51" s="2"/>
      <c r="H51" s="2"/>
      <c r="I51" s="2"/>
      <c r="J51" s="2"/>
      <c r="K51" s="2"/>
      <c r="L51" s="3"/>
      <c r="M51" s="18" t="s">
        <v>218</v>
      </c>
      <c r="N51" s="2"/>
      <c r="O51" s="2"/>
      <c r="P51" s="2"/>
      <c r="Q51" s="2"/>
      <c r="R51" s="2"/>
      <c r="S51" s="2"/>
      <c r="T51" s="3"/>
      <c r="U51" s="27" t="s">
        <v>116</v>
      </c>
      <c r="V51" s="3"/>
      <c r="W51" s="18" t="s">
        <v>219</v>
      </c>
      <c r="X51" s="2"/>
      <c r="Y51" s="2"/>
      <c r="Z51" s="2"/>
      <c r="AA51" s="2"/>
      <c r="AB51" s="2"/>
      <c r="AC51" s="3"/>
      <c r="AD51" s="19">
        <v>8</v>
      </c>
      <c r="AE51" s="2"/>
      <c r="AF51" s="3"/>
    </row>
    <row r="52" ht="22.5" customHeight="1" spans="2:37">
      <c r="B52" s="29" t="s">
        <v>72</v>
      </c>
      <c r="C52" s="2"/>
      <c r="D52" s="2"/>
      <c r="E52" s="2"/>
      <c r="F52" s="2"/>
      <c r="G52" s="2"/>
      <c r="H52" s="2"/>
      <c r="I52" s="2"/>
      <c r="J52" s="2"/>
      <c r="K52" s="2"/>
      <c r="L52" s="2"/>
      <c r="M52" s="2"/>
      <c r="N52" s="2"/>
      <c r="O52" s="2"/>
      <c r="P52" s="2"/>
      <c r="Q52" s="2"/>
      <c r="R52" s="2"/>
      <c r="S52" s="2"/>
      <c r="T52" s="3"/>
      <c r="U52" s="30"/>
      <c r="V52" s="3"/>
      <c r="W52" s="30"/>
      <c r="X52" s="2"/>
      <c r="Y52" s="2"/>
      <c r="Z52" s="2"/>
      <c r="AA52" s="2"/>
      <c r="AB52" s="2"/>
      <c r="AC52" s="3"/>
      <c r="AD52" s="30">
        <f>SUM(AD8:AD51)</f>
        <v>1682</v>
      </c>
      <c r="AE52" s="2"/>
      <c r="AF52" s="3"/>
    </row>
    <row r="53" ht="15.75" customHeight="1"/>
    <row r="54" ht="19.5" customHeight="1" spans="2:37">
      <c r="B54" s="24" t="s">
        <v>220</v>
      </c>
    </row>
    <row r="55" ht="15.75" customHeight="1"/>
    <row r="56" ht="28.5" customHeight="1" spans="2:37">
      <c r="B56" s="1" t="s">
        <v>221</v>
      </c>
      <c r="C56" s="3"/>
      <c r="D56" s="1" t="s">
        <v>222</v>
      </c>
      <c r="E56" s="2"/>
      <c r="F56" s="3"/>
      <c r="G56" s="1" t="s">
        <v>223</v>
      </c>
      <c r="H56" s="2"/>
      <c r="I56" s="2"/>
      <c r="J56" s="2"/>
      <c r="K56" s="2"/>
      <c r="L56" s="3"/>
      <c r="M56" s="1" t="s">
        <v>224</v>
      </c>
      <c r="N56" s="3"/>
      <c r="O56" s="1" t="s">
        <v>225</v>
      </c>
      <c r="P56" s="2"/>
      <c r="Q56" s="3"/>
      <c r="R56" s="1" t="s">
        <v>226</v>
      </c>
      <c r="S56" s="2"/>
      <c r="T56" s="2"/>
      <c r="U56" s="2"/>
      <c r="V56" s="2"/>
      <c r="W56" s="2"/>
      <c r="X56" s="2"/>
      <c r="Y56" s="2"/>
      <c r="Z56" s="2"/>
      <c r="AA56" s="2"/>
      <c r="AB56" s="2"/>
      <c r="AC56" s="2"/>
      <c r="AD56" s="2"/>
      <c r="AE56" s="2"/>
      <c r="AF56" s="2"/>
      <c r="AG56" s="2"/>
      <c r="AH56" s="2"/>
      <c r="AI56" s="2"/>
      <c r="AJ56" s="2"/>
      <c r="AK56" s="3"/>
    </row>
    <row r="57" ht="36" customHeight="1" spans="2:37">
      <c r="B57" s="31" t="s">
        <v>227</v>
      </c>
      <c r="C57" s="3"/>
      <c r="D57" s="19" t="s">
        <v>228</v>
      </c>
      <c r="E57" s="2"/>
      <c r="F57" s="3"/>
      <c r="G57" s="18" t="s">
        <v>229</v>
      </c>
      <c r="H57" s="2"/>
      <c r="I57" s="2"/>
      <c r="J57" s="2"/>
      <c r="K57" s="2"/>
      <c r="L57" s="3"/>
      <c r="M57" s="19">
        <v>10</v>
      </c>
      <c r="N57" s="3"/>
      <c r="O57" s="19" t="s">
        <v>96</v>
      </c>
      <c r="P57" s="2"/>
      <c r="Q57" s="3"/>
      <c r="R57" s="18" t="s">
        <v>230</v>
      </c>
      <c r="S57" s="2"/>
      <c r="T57" s="2"/>
      <c r="U57" s="2"/>
      <c r="V57" s="2"/>
      <c r="W57" s="2"/>
      <c r="X57" s="2"/>
      <c r="Y57" s="2"/>
      <c r="Z57" s="2"/>
      <c r="AA57" s="2"/>
      <c r="AB57" s="2"/>
      <c r="AC57" s="2"/>
      <c r="AD57" s="2"/>
      <c r="AE57" s="2"/>
      <c r="AF57" s="2"/>
      <c r="AG57" s="2"/>
      <c r="AH57" s="2"/>
      <c r="AI57" s="2"/>
      <c r="AJ57" s="2"/>
      <c r="AK57" s="3"/>
    </row>
    <row r="58" ht="30" customHeight="1" spans="2:37">
      <c r="B58" s="31" t="s">
        <v>231</v>
      </c>
      <c r="C58" s="3"/>
      <c r="D58" s="19" t="s">
        <v>232</v>
      </c>
      <c r="E58" s="2"/>
      <c r="F58" s="3"/>
      <c r="G58" s="18" t="s">
        <v>233</v>
      </c>
      <c r="H58" s="2"/>
      <c r="I58" s="2"/>
      <c r="J58" s="2"/>
      <c r="K58" s="2"/>
      <c r="L58" s="3"/>
      <c r="M58" s="19">
        <v>9</v>
      </c>
      <c r="N58" s="3"/>
      <c r="O58" s="19" t="s">
        <v>116</v>
      </c>
      <c r="P58" s="2"/>
      <c r="Q58" s="3"/>
      <c r="R58" s="18" t="s">
        <v>234</v>
      </c>
      <c r="S58" s="2"/>
      <c r="T58" s="2"/>
      <c r="U58" s="2"/>
      <c r="V58" s="2"/>
      <c r="W58" s="2"/>
      <c r="X58" s="2"/>
      <c r="Y58" s="2"/>
      <c r="Z58" s="2"/>
      <c r="AA58" s="2"/>
      <c r="AB58" s="2"/>
      <c r="AC58" s="2"/>
      <c r="AD58" s="2"/>
      <c r="AE58" s="2"/>
      <c r="AF58" s="2"/>
      <c r="AG58" s="2"/>
      <c r="AH58" s="2"/>
      <c r="AI58" s="2"/>
      <c r="AJ58" s="2"/>
      <c r="AK58" s="3"/>
    </row>
    <row r="59" ht="36" customHeight="1" spans="2:37">
      <c r="B59" s="31" t="s">
        <v>235</v>
      </c>
      <c r="C59" s="3"/>
      <c r="D59" s="19" t="s">
        <v>236</v>
      </c>
      <c r="E59" s="2"/>
      <c r="F59" s="3"/>
      <c r="G59" s="18" t="s">
        <v>237</v>
      </c>
      <c r="H59" s="2"/>
      <c r="I59" s="2"/>
      <c r="J59" s="2"/>
      <c r="K59" s="2"/>
      <c r="L59" s="3"/>
      <c r="M59" s="19">
        <v>8</v>
      </c>
      <c r="N59" s="3"/>
      <c r="O59" s="19" t="s">
        <v>96</v>
      </c>
      <c r="P59" s="2"/>
      <c r="Q59" s="3"/>
      <c r="R59" s="18" t="s">
        <v>238</v>
      </c>
      <c r="S59" s="2"/>
      <c r="T59" s="2"/>
      <c r="U59" s="2"/>
      <c r="V59" s="2"/>
      <c r="W59" s="2"/>
      <c r="X59" s="2"/>
      <c r="Y59" s="2"/>
      <c r="Z59" s="2"/>
      <c r="AA59" s="2"/>
      <c r="AB59" s="2"/>
      <c r="AC59" s="2"/>
      <c r="AD59" s="2"/>
      <c r="AE59" s="2"/>
      <c r="AF59" s="2"/>
      <c r="AG59" s="2"/>
      <c r="AH59" s="2"/>
      <c r="AI59" s="2"/>
      <c r="AJ59" s="2"/>
      <c r="AK59" s="3"/>
    </row>
    <row r="60" ht="36" customHeight="1" spans="2:37">
      <c r="B60" s="31" t="s">
        <v>239</v>
      </c>
      <c r="C60" s="3"/>
      <c r="D60" s="19" t="s">
        <v>240</v>
      </c>
      <c r="E60" s="2"/>
      <c r="F60" s="3"/>
      <c r="G60" s="18" t="s">
        <v>241</v>
      </c>
      <c r="H60" s="2"/>
      <c r="I60" s="2"/>
      <c r="J60" s="2"/>
      <c r="K60" s="2"/>
      <c r="L60" s="3"/>
      <c r="M60" s="19">
        <v>9</v>
      </c>
      <c r="N60" s="3"/>
      <c r="O60" s="19" t="s">
        <v>96</v>
      </c>
      <c r="P60" s="2"/>
      <c r="Q60" s="3"/>
      <c r="R60" s="18" t="s">
        <v>242</v>
      </c>
      <c r="S60" s="2"/>
      <c r="T60" s="2"/>
      <c r="U60" s="2"/>
      <c r="V60" s="2"/>
      <c r="W60" s="2"/>
      <c r="X60" s="2"/>
      <c r="Y60" s="2"/>
      <c r="Z60" s="2"/>
      <c r="AA60" s="2"/>
      <c r="AB60" s="2"/>
      <c r="AC60" s="2"/>
      <c r="AD60" s="2"/>
      <c r="AE60" s="2"/>
      <c r="AF60" s="2"/>
      <c r="AG60" s="2"/>
      <c r="AH60" s="2"/>
      <c r="AI60" s="2"/>
      <c r="AJ60" s="2"/>
      <c r="AK60" s="3"/>
    </row>
    <row r="61" ht="36" customHeight="1" spans="2:37">
      <c r="B61" s="31" t="s">
        <v>243</v>
      </c>
      <c r="C61" s="3"/>
      <c r="D61" s="19" t="s">
        <v>244</v>
      </c>
      <c r="E61" s="2"/>
      <c r="F61" s="3"/>
      <c r="G61" s="18" t="s">
        <v>245</v>
      </c>
      <c r="H61" s="2"/>
      <c r="I61" s="2"/>
      <c r="J61" s="2"/>
      <c r="K61" s="2"/>
      <c r="L61" s="3"/>
      <c r="M61" s="19">
        <v>6</v>
      </c>
      <c r="N61" s="3"/>
      <c r="O61" s="19" t="s">
        <v>246</v>
      </c>
      <c r="P61" s="2"/>
      <c r="Q61" s="3"/>
      <c r="R61" s="18" t="s">
        <v>247</v>
      </c>
      <c r="S61" s="2"/>
      <c r="T61" s="2"/>
      <c r="U61" s="2"/>
      <c r="V61" s="2"/>
      <c r="W61" s="2"/>
      <c r="X61" s="2"/>
      <c r="Y61" s="2"/>
      <c r="Z61" s="2"/>
      <c r="AA61" s="2"/>
      <c r="AB61" s="2"/>
      <c r="AC61" s="2"/>
      <c r="AD61" s="2"/>
      <c r="AE61" s="2"/>
      <c r="AF61" s="2"/>
      <c r="AG61" s="2"/>
      <c r="AH61" s="2"/>
      <c r="AI61" s="2"/>
      <c r="AJ61" s="2"/>
      <c r="AK61" s="3"/>
    </row>
    <row r="62" ht="30" customHeight="1" spans="2:37">
      <c r="B62" s="31" t="s">
        <v>248</v>
      </c>
      <c r="C62" s="3"/>
      <c r="D62" s="19" t="s">
        <v>249</v>
      </c>
      <c r="E62" s="2"/>
      <c r="F62" s="3"/>
      <c r="G62" s="18" t="s">
        <v>250</v>
      </c>
      <c r="H62" s="2"/>
      <c r="I62" s="2"/>
      <c r="J62" s="2"/>
      <c r="K62" s="2"/>
      <c r="L62" s="3"/>
      <c r="M62" s="19">
        <v>2</v>
      </c>
      <c r="N62" s="3"/>
      <c r="O62" s="19" t="s">
        <v>116</v>
      </c>
      <c r="P62" s="2"/>
      <c r="Q62" s="3"/>
      <c r="R62" s="18" t="s">
        <v>251</v>
      </c>
      <c r="S62" s="2"/>
      <c r="T62" s="2"/>
      <c r="U62" s="2"/>
      <c r="V62" s="2"/>
      <c r="W62" s="2"/>
      <c r="X62" s="2"/>
      <c r="Y62" s="2"/>
      <c r="Z62" s="2"/>
      <c r="AA62" s="2"/>
      <c r="AB62" s="2"/>
      <c r="AC62" s="2"/>
      <c r="AD62" s="2"/>
      <c r="AE62" s="2"/>
      <c r="AF62" s="2"/>
      <c r="AG62" s="2"/>
      <c r="AH62" s="2"/>
      <c r="AI62" s="2"/>
      <c r="AJ62" s="2"/>
      <c r="AK62" s="3"/>
    </row>
    <row r="63" ht="15.75" customHeight="1"/>
    <row r="64" ht="30" customHeight="1" spans="2:37">
      <c r="B64" s="32" t="s">
        <v>252</v>
      </c>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3"/>
    </row>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33">
    <mergeCell ref="A1:I1"/>
    <mergeCell ref="J1:P1"/>
    <mergeCell ref="Q1:U1"/>
    <mergeCell ref="V1:Y1"/>
    <mergeCell ref="Z1:AC1"/>
    <mergeCell ref="AD1:AG1"/>
    <mergeCell ref="AH1:AK1"/>
    <mergeCell ref="B5:AK5"/>
    <mergeCell ref="C7:E7"/>
    <mergeCell ref="F7:L7"/>
    <mergeCell ref="M7:T7"/>
    <mergeCell ref="U7:V7"/>
    <mergeCell ref="W7:AC7"/>
    <mergeCell ref="AD7:AF7"/>
    <mergeCell ref="C8:E8"/>
    <mergeCell ref="F8:L8"/>
    <mergeCell ref="M8:T8"/>
    <mergeCell ref="U8:V8"/>
    <mergeCell ref="W8:AC8"/>
    <mergeCell ref="AD8:AF8"/>
    <mergeCell ref="C9:E9"/>
    <mergeCell ref="F9:L9"/>
    <mergeCell ref="M9:T9"/>
    <mergeCell ref="U9:V9"/>
    <mergeCell ref="W9:AC9"/>
    <mergeCell ref="AD9:AF9"/>
    <mergeCell ref="C10:E10"/>
    <mergeCell ref="F10:L10"/>
    <mergeCell ref="M10:T10"/>
    <mergeCell ref="U10:V10"/>
    <mergeCell ref="W10:AC10"/>
    <mergeCell ref="AD10:AF10"/>
    <mergeCell ref="C11:E11"/>
    <mergeCell ref="F11:L11"/>
    <mergeCell ref="M11:T11"/>
    <mergeCell ref="U11:V11"/>
    <mergeCell ref="W11:AC11"/>
    <mergeCell ref="AD11:AF11"/>
    <mergeCell ref="C12:E12"/>
    <mergeCell ref="F12:L12"/>
    <mergeCell ref="M12:T12"/>
    <mergeCell ref="U12:V12"/>
    <mergeCell ref="W12:AC12"/>
    <mergeCell ref="AD12:AF12"/>
    <mergeCell ref="C13:E13"/>
    <mergeCell ref="F13:L13"/>
    <mergeCell ref="M13:T13"/>
    <mergeCell ref="U13:V13"/>
    <mergeCell ref="W13:AC13"/>
    <mergeCell ref="AD13:AF13"/>
    <mergeCell ref="C14:E14"/>
    <mergeCell ref="F14:L14"/>
    <mergeCell ref="M14:T14"/>
    <mergeCell ref="U14:V14"/>
    <mergeCell ref="W14:AC14"/>
    <mergeCell ref="AD14:AF14"/>
    <mergeCell ref="C15:E15"/>
    <mergeCell ref="F15:L15"/>
    <mergeCell ref="M15:T15"/>
    <mergeCell ref="U15:V15"/>
    <mergeCell ref="W15:AC15"/>
    <mergeCell ref="AD15:AF15"/>
    <mergeCell ref="C16:E16"/>
    <mergeCell ref="F16:L16"/>
    <mergeCell ref="M16:T16"/>
    <mergeCell ref="U16:V16"/>
    <mergeCell ref="W16:AC16"/>
    <mergeCell ref="AD16:AF16"/>
    <mergeCell ref="C17:E17"/>
    <mergeCell ref="F17:L17"/>
    <mergeCell ref="M17:T17"/>
    <mergeCell ref="U17:V17"/>
    <mergeCell ref="W17:AC17"/>
    <mergeCell ref="AD17:AF17"/>
    <mergeCell ref="C18:E18"/>
    <mergeCell ref="F18:L18"/>
    <mergeCell ref="M18:T18"/>
    <mergeCell ref="U18:V18"/>
    <mergeCell ref="W18:AC18"/>
    <mergeCell ref="AD18:AF18"/>
    <mergeCell ref="C19:E19"/>
    <mergeCell ref="F19:L19"/>
    <mergeCell ref="M19:T19"/>
    <mergeCell ref="U19:V19"/>
    <mergeCell ref="W19:AC19"/>
    <mergeCell ref="AD19:AF19"/>
    <mergeCell ref="C20:E20"/>
    <mergeCell ref="F20:L20"/>
    <mergeCell ref="M20:T20"/>
    <mergeCell ref="U20:V20"/>
    <mergeCell ref="W20:AC20"/>
    <mergeCell ref="AD20:AF20"/>
    <mergeCell ref="C21:E21"/>
    <mergeCell ref="F21:L21"/>
    <mergeCell ref="M21:T21"/>
    <mergeCell ref="U21:V21"/>
    <mergeCell ref="W21:AC21"/>
    <mergeCell ref="AD21:AF21"/>
    <mergeCell ref="C22:E22"/>
    <mergeCell ref="F22:L22"/>
    <mergeCell ref="M22:T22"/>
    <mergeCell ref="U22:V22"/>
    <mergeCell ref="W22:AC22"/>
    <mergeCell ref="AD22:AF22"/>
    <mergeCell ref="C23:E23"/>
    <mergeCell ref="F23:L23"/>
    <mergeCell ref="M23:T23"/>
    <mergeCell ref="U23:V23"/>
    <mergeCell ref="W23:AC23"/>
    <mergeCell ref="AD23:AF23"/>
    <mergeCell ref="C24:E24"/>
    <mergeCell ref="F24:L24"/>
    <mergeCell ref="M24:T24"/>
    <mergeCell ref="U24:V24"/>
    <mergeCell ref="W24:AC24"/>
    <mergeCell ref="AD24:AF24"/>
    <mergeCell ref="C25:E25"/>
    <mergeCell ref="F25:L25"/>
    <mergeCell ref="M25:T25"/>
    <mergeCell ref="U25:V25"/>
    <mergeCell ref="W25:AC25"/>
    <mergeCell ref="AD25:AF25"/>
    <mergeCell ref="C26:E26"/>
    <mergeCell ref="F26:L26"/>
    <mergeCell ref="M26:T26"/>
    <mergeCell ref="U26:V26"/>
    <mergeCell ref="W26:AC26"/>
    <mergeCell ref="AD26:AF26"/>
    <mergeCell ref="C27:E27"/>
    <mergeCell ref="F27:L27"/>
    <mergeCell ref="M27:T27"/>
    <mergeCell ref="U27:V27"/>
    <mergeCell ref="W27:AC27"/>
    <mergeCell ref="AD27:AF27"/>
    <mergeCell ref="C28:E28"/>
    <mergeCell ref="F28:L28"/>
    <mergeCell ref="M28:T28"/>
    <mergeCell ref="U28:V28"/>
    <mergeCell ref="W28:AC28"/>
    <mergeCell ref="AD28:AF28"/>
    <mergeCell ref="C29:E29"/>
    <mergeCell ref="F29:L29"/>
    <mergeCell ref="M29:T29"/>
    <mergeCell ref="U29:V29"/>
    <mergeCell ref="W29:AC29"/>
    <mergeCell ref="AD29:AF29"/>
    <mergeCell ref="C30:E30"/>
    <mergeCell ref="F30:L30"/>
    <mergeCell ref="M30:T30"/>
    <mergeCell ref="U30:V30"/>
    <mergeCell ref="W30:AC30"/>
    <mergeCell ref="AD30:AF30"/>
    <mergeCell ref="C31:E31"/>
    <mergeCell ref="F31:L31"/>
    <mergeCell ref="M31:T31"/>
    <mergeCell ref="U31:V31"/>
    <mergeCell ref="W31:AC31"/>
    <mergeCell ref="AD31:AF31"/>
    <mergeCell ref="C32:E32"/>
    <mergeCell ref="F32:L32"/>
    <mergeCell ref="M32:T32"/>
    <mergeCell ref="U32:V32"/>
    <mergeCell ref="W32:AC32"/>
    <mergeCell ref="AD32:AF32"/>
    <mergeCell ref="C33:E33"/>
    <mergeCell ref="F33:L33"/>
    <mergeCell ref="M33:T33"/>
    <mergeCell ref="U33:V33"/>
    <mergeCell ref="W33:AC33"/>
    <mergeCell ref="AD33:AF33"/>
    <mergeCell ref="C34:E34"/>
    <mergeCell ref="F34:L34"/>
    <mergeCell ref="M34:T34"/>
    <mergeCell ref="U34:V34"/>
    <mergeCell ref="W34:AC34"/>
    <mergeCell ref="AD34:AF34"/>
    <mergeCell ref="C35:E35"/>
    <mergeCell ref="F35:L35"/>
    <mergeCell ref="M35:T35"/>
    <mergeCell ref="U35:V35"/>
    <mergeCell ref="W35:AC35"/>
    <mergeCell ref="AD35:AF35"/>
    <mergeCell ref="C36:E36"/>
    <mergeCell ref="F36:L36"/>
    <mergeCell ref="M36:T36"/>
    <mergeCell ref="U36:V36"/>
    <mergeCell ref="W36:AC36"/>
    <mergeCell ref="AD36:AF36"/>
    <mergeCell ref="C37:E37"/>
    <mergeCell ref="F37:L37"/>
    <mergeCell ref="M37:T37"/>
    <mergeCell ref="U37:V37"/>
    <mergeCell ref="W37:AC37"/>
    <mergeCell ref="AD37:AF37"/>
    <mergeCell ref="C38:E38"/>
    <mergeCell ref="F38:L38"/>
    <mergeCell ref="M38:T38"/>
    <mergeCell ref="U38:V38"/>
    <mergeCell ref="W38:AC38"/>
    <mergeCell ref="AD38:AF38"/>
    <mergeCell ref="C39:E39"/>
    <mergeCell ref="F39:L39"/>
    <mergeCell ref="M39:T39"/>
    <mergeCell ref="U39:V39"/>
    <mergeCell ref="W39:AC39"/>
    <mergeCell ref="AD39:AF39"/>
    <mergeCell ref="C40:E40"/>
    <mergeCell ref="F40:L40"/>
    <mergeCell ref="M40:T40"/>
    <mergeCell ref="U40:V40"/>
    <mergeCell ref="W40:AC40"/>
    <mergeCell ref="AD40:AF40"/>
    <mergeCell ref="C41:E41"/>
    <mergeCell ref="F41:L41"/>
    <mergeCell ref="M41:T41"/>
    <mergeCell ref="U41:V41"/>
    <mergeCell ref="W41:AC41"/>
    <mergeCell ref="AD41:AF41"/>
    <mergeCell ref="C42:E42"/>
    <mergeCell ref="F42:L42"/>
    <mergeCell ref="M42:T42"/>
    <mergeCell ref="U42:V42"/>
    <mergeCell ref="W42:AC42"/>
    <mergeCell ref="AD42:AF42"/>
    <mergeCell ref="C43:E43"/>
    <mergeCell ref="F43:L43"/>
    <mergeCell ref="M43:T43"/>
    <mergeCell ref="U43:V43"/>
    <mergeCell ref="W43:AC43"/>
    <mergeCell ref="AD43:AF43"/>
    <mergeCell ref="C44:E44"/>
    <mergeCell ref="F44:L44"/>
    <mergeCell ref="M44:T44"/>
    <mergeCell ref="U44:V44"/>
    <mergeCell ref="W44:AC44"/>
    <mergeCell ref="AD44:AF44"/>
    <mergeCell ref="C45:E45"/>
    <mergeCell ref="F45:L45"/>
    <mergeCell ref="M45:T45"/>
    <mergeCell ref="U45:V45"/>
    <mergeCell ref="W45:AC45"/>
    <mergeCell ref="AD45:AF45"/>
    <mergeCell ref="C46:E46"/>
    <mergeCell ref="F46:L46"/>
    <mergeCell ref="M46:T46"/>
    <mergeCell ref="U46:V46"/>
    <mergeCell ref="W46:AC46"/>
    <mergeCell ref="AD46:AF46"/>
    <mergeCell ref="C47:E47"/>
    <mergeCell ref="F47:L47"/>
    <mergeCell ref="M47:T47"/>
    <mergeCell ref="U47:V47"/>
    <mergeCell ref="W47:AC47"/>
    <mergeCell ref="AD47:AF47"/>
    <mergeCell ref="C48:E48"/>
    <mergeCell ref="F48:L48"/>
    <mergeCell ref="M48:T48"/>
    <mergeCell ref="U48:V48"/>
    <mergeCell ref="W48:AC48"/>
    <mergeCell ref="AD48:AF48"/>
    <mergeCell ref="C49:E49"/>
    <mergeCell ref="F49:L49"/>
    <mergeCell ref="M49:T49"/>
    <mergeCell ref="U49:V49"/>
    <mergeCell ref="W49:AC49"/>
    <mergeCell ref="AD49:AF49"/>
    <mergeCell ref="C50:E50"/>
    <mergeCell ref="F50:L50"/>
    <mergeCell ref="M50:T50"/>
    <mergeCell ref="U50:V50"/>
    <mergeCell ref="W50:AC50"/>
    <mergeCell ref="AD50:AF50"/>
    <mergeCell ref="C51:E51"/>
    <mergeCell ref="F51:L51"/>
    <mergeCell ref="M51:T51"/>
    <mergeCell ref="U51:V51"/>
    <mergeCell ref="W51:AC51"/>
    <mergeCell ref="AD51:AF51"/>
    <mergeCell ref="B52:T52"/>
    <mergeCell ref="U52:V52"/>
    <mergeCell ref="W52:AC52"/>
    <mergeCell ref="AD52:AF52"/>
    <mergeCell ref="B54:AK54"/>
    <mergeCell ref="B56:C56"/>
    <mergeCell ref="D56:F56"/>
    <mergeCell ref="G56:L56"/>
    <mergeCell ref="M56:N56"/>
    <mergeCell ref="O56:Q56"/>
    <mergeCell ref="R56:AK56"/>
    <mergeCell ref="B57:C57"/>
    <mergeCell ref="D57:F57"/>
    <mergeCell ref="G57:L57"/>
    <mergeCell ref="M57:N57"/>
    <mergeCell ref="O57:Q57"/>
    <mergeCell ref="R57:AK57"/>
    <mergeCell ref="B58:C58"/>
    <mergeCell ref="D58:F58"/>
    <mergeCell ref="G58:L58"/>
    <mergeCell ref="M58:N58"/>
    <mergeCell ref="O58:Q58"/>
    <mergeCell ref="R58:AK58"/>
    <mergeCell ref="B59:C59"/>
    <mergeCell ref="D59:F59"/>
    <mergeCell ref="G59:L59"/>
    <mergeCell ref="M59:N59"/>
    <mergeCell ref="O59:Q59"/>
    <mergeCell ref="R59:AK59"/>
    <mergeCell ref="B60:C60"/>
    <mergeCell ref="D60:F60"/>
    <mergeCell ref="G60:L60"/>
    <mergeCell ref="M60:N60"/>
    <mergeCell ref="O60:Q60"/>
    <mergeCell ref="R60:AK60"/>
    <mergeCell ref="B61:C61"/>
    <mergeCell ref="D61:F61"/>
    <mergeCell ref="G61:L61"/>
    <mergeCell ref="M61:N61"/>
    <mergeCell ref="O61:Q61"/>
    <mergeCell ref="R61:AK61"/>
    <mergeCell ref="B62:C62"/>
    <mergeCell ref="D62:F62"/>
    <mergeCell ref="G62:L62"/>
    <mergeCell ref="M62:N62"/>
    <mergeCell ref="O62:Q62"/>
    <mergeCell ref="R62:AK62"/>
    <mergeCell ref="B64:AK64"/>
    <mergeCell ref="J2:P3"/>
    <mergeCell ref="Q2:U3"/>
    <mergeCell ref="V2:Y3"/>
    <mergeCell ref="Z2:AC3"/>
    <mergeCell ref="AD2:AG3"/>
    <mergeCell ref="AH2:AK3"/>
    <mergeCell ref="A2:I3"/>
  </mergeCells>
  <pageMargins left="0.75" right="0.75" top="1" bottom="1" header="0" footer="0"/>
  <pageSetup paperSize="1" orientation="landscape"/>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Q1000"/>
  <sheetViews>
    <sheetView showGridLines="0" tabSelected="1" topLeftCell="A67" workbookViewId="0">
      <selection activeCell="AV65" sqref="AV65:AX65"/>
    </sheetView>
  </sheetViews>
  <sheetFormatPr defaultColWidth="14.4285714285714" defaultRowHeight="15" customHeight="1"/>
  <cols>
    <col min="1" max="69" width="4" customWidth="1"/>
  </cols>
  <sheetData>
    <row r="1" ht="22.5" customHeight="1" spans="1:69">
      <c r="A1" s="1" t="s">
        <v>253</v>
      </c>
      <c r="B1" s="2"/>
      <c r="C1" s="2"/>
      <c r="D1" s="2"/>
      <c r="E1" s="3"/>
      <c r="F1" s="4" t="s">
        <v>254</v>
      </c>
      <c r="G1" s="2"/>
      <c r="H1" s="2"/>
      <c r="I1" s="2"/>
      <c r="J1" s="2"/>
      <c r="K1" s="2"/>
      <c r="L1" s="2"/>
      <c r="M1" s="2"/>
      <c r="N1" s="2"/>
      <c r="O1" s="2"/>
      <c r="P1" s="2"/>
      <c r="Q1" s="3"/>
      <c r="R1" s="1" t="s">
        <v>255</v>
      </c>
      <c r="S1" s="2"/>
      <c r="T1" s="2"/>
      <c r="U1" s="2"/>
      <c r="V1" s="3"/>
      <c r="W1" s="4" t="s">
        <v>256</v>
      </c>
      <c r="X1" s="2"/>
      <c r="Y1" s="2"/>
      <c r="Z1" s="2"/>
      <c r="AA1" s="2"/>
      <c r="AB1" s="2"/>
      <c r="AC1" s="2"/>
      <c r="AD1" s="2"/>
      <c r="AE1" s="2"/>
      <c r="AF1" s="2"/>
      <c r="AG1" s="2"/>
      <c r="AH1" s="3"/>
    </row>
    <row r="2" ht="22.5" customHeight="1" spans="1:69">
      <c r="A2" s="1" t="s">
        <v>33</v>
      </c>
      <c r="B2" s="2"/>
      <c r="C2" s="2"/>
      <c r="D2" s="2"/>
      <c r="E2" s="3"/>
      <c r="F2" s="4" t="s">
        <v>16</v>
      </c>
      <c r="G2" s="2"/>
      <c r="H2" s="2"/>
      <c r="I2" s="2"/>
      <c r="J2" s="2"/>
      <c r="K2" s="2"/>
      <c r="L2" s="2"/>
      <c r="M2" s="2"/>
      <c r="N2" s="2"/>
      <c r="O2" s="2"/>
      <c r="P2" s="2"/>
      <c r="Q2" s="3"/>
      <c r="R2" s="1" t="s">
        <v>32</v>
      </c>
      <c r="S2" s="2"/>
      <c r="T2" s="2"/>
      <c r="U2" s="2"/>
      <c r="V2" s="3"/>
      <c r="W2" s="5" t="s">
        <v>8</v>
      </c>
      <c r="X2" s="2"/>
      <c r="Y2" s="2"/>
      <c r="Z2" s="2"/>
      <c r="AA2" s="2"/>
      <c r="AB2" s="2"/>
      <c r="AC2" s="2"/>
      <c r="AD2" s="2"/>
      <c r="AE2" s="2"/>
      <c r="AF2" s="2"/>
      <c r="AG2" s="2"/>
      <c r="AH2" s="3"/>
    </row>
    <row r="3" ht="22.5" customHeight="1" spans="1:69">
      <c r="A3" s="1" t="s">
        <v>13</v>
      </c>
      <c r="B3" s="2"/>
      <c r="C3" s="2"/>
      <c r="D3" s="2"/>
      <c r="E3" s="3"/>
      <c r="F3" s="4" t="s">
        <v>18</v>
      </c>
      <c r="G3" s="2"/>
      <c r="H3" s="2"/>
      <c r="I3" s="2"/>
      <c r="J3" s="2"/>
      <c r="K3" s="2"/>
      <c r="L3" s="2"/>
      <c r="M3" s="2"/>
      <c r="N3" s="2"/>
      <c r="O3" s="2"/>
      <c r="P3" s="2"/>
      <c r="Q3" s="3"/>
      <c r="R3" s="1" t="s">
        <v>257</v>
      </c>
      <c r="S3" s="2"/>
      <c r="T3" s="2"/>
      <c r="U3" s="2"/>
      <c r="V3" s="3"/>
      <c r="W3" s="5"/>
      <c r="X3" s="2"/>
      <c r="Y3" s="2"/>
      <c r="Z3" s="2"/>
      <c r="AA3" s="2"/>
      <c r="AB3" s="2"/>
      <c r="AC3" s="2"/>
      <c r="AD3" s="2"/>
      <c r="AE3" s="2"/>
      <c r="AF3" s="2"/>
      <c r="AG3" s="2"/>
      <c r="AH3" s="3"/>
    </row>
    <row r="4" ht="22.5" customHeight="1" spans="1:69">
      <c r="A4" s="1" t="s">
        <v>258</v>
      </c>
      <c r="B4" s="2"/>
      <c r="C4" s="2"/>
      <c r="D4" s="2"/>
      <c r="E4" s="3"/>
      <c r="F4" s="4" t="s">
        <v>259</v>
      </c>
      <c r="G4" s="2"/>
      <c r="H4" s="2"/>
      <c r="I4" s="2"/>
      <c r="J4" s="2"/>
      <c r="K4" s="2"/>
      <c r="L4" s="2"/>
      <c r="M4" s="2"/>
      <c r="N4" s="2"/>
      <c r="O4" s="2"/>
      <c r="P4" s="2"/>
      <c r="Q4" s="2"/>
      <c r="R4" s="2"/>
      <c r="S4" s="2"/>
      <c r="T4" s="2"/>
      <c r="U4" s="2"/>
      <c r="V4" s="2"/>
      <c r="W4" s="2"/>
      <c r="X4" s="2"/>
      <c r="Y4" s="2"/>
      <c r="Z4" s="2"/>
      <c r="AA4" s="2"/>
      <c r="AB4" s="2"/>
      <c r="AC4" s="2"/>
      <c r="AD4" s="2"/>
      <c r="AE4" s="2"/>
      <c r="AF4" s="2"/>
      <c r="AG4" s="2"/>
      <c r="AH4" s="3"/>
    </row>
    <row r="5" ht="22.5" customHeight="1" spans="1:69">
      <c r="A5" s="1" t="s">
        <v>260</v>
      </c>
      <c r="B5" s="2"/>
      <c r="C5" s="2"/>
      <c r="D5" s="2"/>
      <c r="E5" s="2"/>
      <c r="F5" s="2"/>
      <c r="G5" s="2"/>
      <c r="H5" s="2"/>
      <c r="I5" s="2"/>
      <c r="J5" s="2"/>
      <c r="K5" s="2"/>
      <c r="L5" s="2"/>
      <c r="M5" s="2"/>
      <c r="N5" s="2"/>
      <c r="O5" s="2"/>
      <c r="P5" s="2"/>
      <c r="Q5" s="2"/>
      <c r="R5" s="2"/>
      <c r="S5" s="3"/>
      <c r="T5" s="1" t="s">
        <v>73</v>
      </c>
      <c r="U5" s="2"/>
      <c r="V5" s="2"/>
      <c r="W5" s="2"/>
      <c r="X5" s="2"/>
      <c r="Y5" s="2"/>
      <c r="Z5" s="2"/>
      <c r="AA5" s="2"/>
      <c r="AB5" s="2"/>
      <c r="AC5" s="2"/>
      <c r="AD5" s="2"/>
      <c r="AE5" s="2"/>
      <c r="AF5" s="2"/>
      <c r="AG5" s="2"/>
      <c r="AH5" s="3"/>
    </row>
    <row r="6" ht="22.5" customHeight="1" spans="1:69">
      <c r="A6" s="1" t="s">
        <v>261</v>
      </c>
      <c r="B6" s="2"/>
      <c r="C6" s="2"/>
      <c r="D6" s="2"/>
      <c r="E6" s="2"/>
      <c r="F6" s="2"/>
      <c r="G6" s="3"/>
      <c r="H6" s="1" t="s">
        <v>74</v>
      </c>
      <c r="I6" s="2"/>
      <c r="J6" s="3"/>
      <c r="K6" s="1" t="s">
        <v>75</v>
      </c>
      <c r="L6" s="2"/>
      <c r="M6" s="3"/>
      <c r="N6" s="1" t="s">
        <v>262</v>
      </c>
      <c r="O6" s="2"/>
      <c r="P6" s="3"/>
      <c r="Q6" s="1" t="s">
        <v>72</v>
      </c>
      <c r="R6" s="2"/>
      <c r="S6" s="3"/>
      <c r="T6" s="1" t="s">
        <v>77</v>
      </c>
      <c r="U6" s="2"/>
      <c r="V6" s="3"/>
      <c r="W6" s="1" t="s">
        <v>78</v>
      </c>
      <c r="X6" s="2"/>
      <c r="Y6" s="3"/>
      <c r="Z6" s="1" t="s">
        <v>79</v>
      </c>
      <c r="AA6" s="2"/>
      <c r="AB6" s="3"/>
      <c r="AC6" s="1" t="s">
        <v>80</v>
      </c>
      <c r="AD6" s="2"/>
      <c r="AE6" s="3"/>
      <c r="AF6" s="1" t="s">
        <v>72</v>
      </c>
      <c r="AG6" s="2"/>
      <c r="AH6" s="3"/>
    </row>
    <row r="7" ht="22.5" customHeight="1" spans="1:69">
      <c r="A7" s="1" t="s">
        <v>263</v>
      </c>
      <c r="B7" s="2"/>
      <c r="C7" s="2"/>
      <c r="D7" s="2"/>
      <c r="E7" s="2"/>
      <c r="F7" s="2"/>
      <c r="G7" s="3"/>
      <c r="H7" s="6">
        <f t="shared" ref="H7:H8" si="0">COUNTIF($AE$12:$AF$1049,"N")</f>
        <v>35</v>
      </c>
      <c r="I7" s="2"/>
      <c r="J7" s="3"/>
      <c r="K7" s="6">
        <f t="shared" ref="K7:K8" si="1">COUNTIF($AE$12:$AF$1049,"A")</f>
        <v>35</v>
      </c>
      <c r="L7" s="2"/>
      <c r="M7" s="3"/>
      <c r="N7" s="6">
        <f t="shared" ref="N7:N8" si="2">COUNTIF($AE$12:$AF$1049,"B")</f>
        <v>7</v>
      </c>
      <c r="O7" s="2"/>
      <c r="P7" s="3"/>
      <c r="Q7" s="7">
        <f t="shared" ref="Q7:Q8" si="3">SUM(H7:P7)</f>
        <v>77</v>
      </c>
      <c r="R7" s="2"/>
      <c r="S7" s="3"/>
      <c r="T7" s="6">
        <f>COUNTIF($AG$12:$AI$1049,T$6)</f>
        <v>77</v>
      </c>
      <c r="U7" s="2"/>
      <c r="V7" s="3"/>
      <c r="W7" s="6">
        <f>COUNTIF($AG$12:$AI$1049,W$6)</f>
        <v>0</v>
      </c>
      <c r="X7" s="2"/>
      <c r="Y7" s="3"/>
      <c r="Z7" s="6">
        <f>COUNTIF($AG$12:$AI$1049,Z$6)</f>
        <v>0</v>
      </c>
      <c r="AA7" s="2"/>
      <c r="AB7" s="3"/>
      <c r="AC7" s="6">
        <f>COUNTIF($AG$12:$AI$1049,AC$6)</f>
        <v>0</v>
      </c>
      <c r="AD7" s="2"/>
      <c r="AE7" s="3"/>
      <c r="AF7" s="7">
        <f t="shared" ref="AF7:AF8" si="4">SUM(T7:AE7)</f>
        <v>77</v>
      </c>
      <c r="AG7" s="2"/>
      <c r="AH7" s="3"/>
    </row>
    <row r="8" ht="22.5" customHeight="1" spans="1:69">
      <c r="A8" s="1" t="s">
        <v>264</v>
      </c>
      <c r="B8" s="2"/>
      <c r="C8" s="2"/>
      <c r="D8" s="2"/>
      <c r="E8" s="2"/>
      <c r="F8" s="2"/>
      <c r="G8" s="3"/>
      <c r="H8" s="6">
        <f t="shared" si="0"/>
        <v>35</v>
      </c>
      <c r="I8" s="2"/>
      <c r="J8" s="3"/>
      <c r="K8" s="6">
        <f t="shared" si="1"/>
        <v>35</v>
      </c>
      <c r="L8" s="2"/>
      <c r="M8" s="3"/>
      <c r="N8" s="6">
        <f t="shared" si="2"/>
        <v>7</v>
      </c>
      <c r="O8" s="2"/>
      <c r="P8" s="3"/>
      <c r="Q8" s="7">
        <f t="shared" si="3"/>
        <v>77</v>
      </c>
      <c r="R8" s="2"/>
      <c r="S8" s="3"/>
      <c r="T8" s="6">
        <f>COUNTIF($AV$12:$AX$1049,T$6)</f>
        <v>77</v>
      </c>
      <c r="U8" s="2"/>
      <c r="V8" s="3"/>
      <c r="W8" s="6">
        <f>COUNTIF($AV$12:$AX$1049,W$6)</f>
        <v>0</v>
      </c>
      <c r="X8" s="2"/>
      <c r="Y8" s="3"/>
      <c r="Z8" s="6">
        <f>COUNTIF($AV$12:$AX$1049,Z$6)</f>
        <v>0</v>
      </c>
      <c r="AA8" s="2"/>
      <c r="AB8" s="3"/>
      <c r="AC8" s="6">
        <f>COUNTIF($AV$12:$AX$1049,AC$6)</f>
        <v>0</v>
      </c>
      <c r="AD8" s="2"/>
      <c r="AE8" s="3"/>
      <c r="AF8" s="7">
        <f t="shared" si="4"/>
        <v>77</v>
      </c>
      <c r="AG8" s="2"/>
      <c r="AH8" s="3"/>
    </row>
    <row r="9" ht="12.75" customHeight="1"/>
    <row r="10" ht="36" customHeight="1" spans="1:69">
      <c r="A10" s="8" t="s">
        <v>69</v>
      </c>
      <c r="B10" s="9" t="s">
        <v>265</v>
      </c>
      <c r="C10" s="10"/>
      <c r="D10" s="11"/>
      <c r="E10" s="9" t="s">
        <v>266</v>
      </c>
      <c r="F10" s="10"/>
      <c r="G10" s="10"/>
      <c r="H10" s="10"/>
      <c r="I10" s="11"/>
      <c r="J10" s="9" t="s">
        <v>267</v>
      </c>
      <c r="K10" s="10"/>
      <c r="L10" s="10"/>
      <c r="M10" s="10"/>
      <c r="N10" s="10"/>
      <c r="O10" s="10"/>
      <c r="P10" s="11"/>
      <c r="Q10" s="9" t="s">
        <v>268</v>
      </c>
      <c r="R10" s="10"/>
      <c r="S10" s="10"/>
      <c r="T10" s="10"/>
      <c r="U10" s="10"/>
      <c r="V10" s="10"/>
      <c r="W10" s="11"/>
      <c r="X10" s="9" t="s">
        <v>269</v>
      </c>
      <c r="Y10" s="10"/>
      <c r="Z10" s="10"/>
      <c r="AA10" s="10"/>
      <c r="AB10" s="10"/>
      <c r="AC10" s="10"/>
      <c r="AD10" s="11"/>
      <c r="AE10" s="9" t="s">
        <v>270</v>
      </c>
      <c r="AF10" s="11"/>
      <c r="AG10" s="1" t="s">
        <v>271</v>
      </c>
      <c r="AH10" s="2"/>
      <c r="AI10" s="2"/>
      <c r="AJ10" s="2"/>
      <c r="AK10" s="2"/>
      <c r="AL10" s="2"/>
      <c r="AM10" s="2"/>
      <c r="AN10" s="2"/>
      <c r="AO10" s="2"/>
      <c r="AP10" s="2"/>
      <c r="AQ10" s="2"/>
      <c r="AR10" s="2"/>
      <c r="AS10" s="2"/>
      <c r="AT10" s="2"/>
      <c r="AU10" s="3"/>
      <c r="AV10" s="1" t="s">
        <v>272</v>
      </c>
      <c r="AW10" s="2"/>
      <c r="AX10" s="2"/>
      <c r="AY10" s="2"/>
      <c r="AZ10" s="2"/>
      <c r="BA10" s="2"/>
      <c r="BB10" s="2"/>
      <c r="BC10" s="2"/>
      <c r="BD10" s="2"/>
      <c r="BE10" s="2"/>
      <c r="BF10" s="2"/>
      <c r="BG10" s="2"/>
      <c r="BH10" s="2"/>
      <c r="BI10" s="2"/>
      <c r="BJ10" s="3"/>
      <c r="BK10" s="9" t="s">
        <v>273</v>
      </c>
      <c r="BL10" s="10"/>
      <c r="BM10" s="10"/>
      <c r="BN10" s="10"/>
      <c r="BO10" s="10"/>
      <c r="BP10" s="10"/>
      <c r="BQ10" s="11"/>
    </row>
    <row r="11" ht="36" customHeight="1" spans="1:69">
      <c r="A11" s="12"/>
      <c r="B11" s="13"/>
      <c r="C11" s="14"/>
      <c r="D11" s="15"/>
      <c r="E11" s="13"/>
      <c r="F11" s="14"/>
      <c r="G11" s="14"/>
      <c r="H11" s="14"/>
      <c r="I11" s="15"/>
      <c r="J11" s="13"/>
      <c r="K11" s="14"/>
      <c r="L11" s="14"/>
      <c r="M11" s="14"/>
      <c r="N11" s="14"/>
      <c r="O11" s="14"/>
      <c r="P11" s="15"/>
      <c r="Q11" s="13"/>
      <c r="R11" s="14"/>
      <c r="S11" s="14"/>
      <c r="T11" s="14"/>
      <c r="U11" s="14"/>
      <c r="V11" s="14"/>
      <c r="W11" s="15"/>
      <c r="X11" s="13"/>
      <c r="Y11" s="14"/>
      <c r="Z11" s="14"/>
      <c r="AA11" s="14"/>
      <c r="AB11" s="14"/>
      <c r="AC11" s="14"/>
      <c r="AD11" s="15"/>
      <c r="AE11" s="13"/>
      <c r="AF11" s="15"/>
      <c r="AG11" s="1" t="s">
        <v>274</v>
      </c>
      <c r="AH11" s="2"/>
      <c r="AI11" s="3"/>
      <c r="AJ11" s="1" t="s">
        <v>275</v>
      </c>
      <c r="AK11" s="2"/>
      <c r="AL11" s="3"/>
      <c r="AM11" s="1" t="s">
        <v>11</v>
      </c>
      <c r="AN11" s="2"/>
      <c r="AO11" s="3"/>
      <c r="AP11" s="1" t="s">
        <v>276</v>
      </c>
      <c r="AQ11" s="2"/>
      <c r="AR11" s="3"/>
      <c r="AS11" s="1" t="s">
        <v>277</v>
      </c>
      <c r="AT11" s="2"/>
      <c r="AU11" s="3"/>
      <c r="AV11" s="1" t="s">
        <v>274</v>
      </c>
      <c r="AW11" s="2"/>
      <c r="AX11" s="3"/>
      <c r="AY11" s="1" t="s">
        <v>275</v>
      </c>
      <c r="AZ11" s="2"/>
      <c r="BA11" s="3"/>
      <c r="BB11" s="1" t="s">
        <v>11</v>
      </c>
      <c r="BC11" s="2"/>
      <c r="BD11" s="3"/>
      <c r="BE11" s="1" t="s">
        <v>276</v>
      </c>
      <c r="BF11" s="2"/>
      <c r="BG11" s="3"/>
      <c r="BH11" s="1" t="s">
        <v>277</v>
      </c>
      <c r="BI11" s="2"/>
      <c r="BJ11" s="3"/>
      <c r="BK11" s="13"/>
      <c r="BL11" s="14"/>
      <c r="BM11" s="14"/>
      <c r="BN11" s="14"/>
      <c r="BO11" s="14"/>
      <c r="BP11" s="14"/>
      <c r="BQ11" s="15"/>
    </row>
    <row r="12" ht="22.5" customHeight="1" spans="1:69">
      <c r="A12" s="16" t="s">
        <v>278</v>
      </c>
      <c r="B12" s="2"/>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2"/>
      <c r="BI12" s="2"/>
      <c r="BJ12" s="2"/>
      <c r="BK12" s="2"/>
      <c r="BL12" s="2"/>
      <c r="BM12" s="2"/>
      <c r="BN12" s="2"/>
      <c r="BO12" s="2"/>
      <c r="BP12" s="2"/>
      <c r="BQ12" s="3"/>
    </row>
    <row r="13" ht="409.5" customHeight="1" spans="1:69">
      <c r="A13" s="17">
        <v>1</v>
      </c>
      <c r="B13" s="18" t="s">
        <v>279</v>
      </c>
      <c r="C13" s="2"/>
      <c r="D13" s="3"/>
      <c r="E13" s="18" t="s">
        <v>280</v>
      </c>
      <c r="F13" s="2"/>
      <c r="G13" s="2"/>
      <c r="H13" s="2"/>
      <c r="I13" s="3"/>
      <c r="J13" s="18" t="s">
        <v>281</v>
      </c>
      <c r="K13" s="2"/>
      <c r="L13" s="2"/>
      <c r="M13" s="2"/>
      <c r="N13" s="2"/>
      <c r="O13" s="2"/>
      <c r="P13" s="3"/>
      <c r="Q13" s="18" t="s">
        <v>282</v>
      </c>
      <c r="R13" s="2"/>
      <c r="S13" s="2"/>
      <c r="T13" s="2"/>
      <c r="U13" s="2"/>
      <c r="V13" s="2"/>
      <c r="W13" s="3"/>
      <c r="X13" s="18" t="s">
        <v>283</v>
      </c>
      <c r="Y13" s="2"/>
      <c r="Z13" s="2"/>
      <c r="AA13" s="2"/>
      <c r="AB13" s="2"/>
      <c r="AC13" s="2"/>
      <c r="AD13" s="3"/>
      <c r="AE13" s="19" t="s">
        <v>227</v>
      </c>
      <c r="AF13" s="3"/>
      <c r="AG13" s="19" t="s">
        <v>77</v>
      </c>
      <c r="AH13" s="2"/>
      <c r="AI13" s="3"/>
      <c r="AJ13" s="19"/>
      <c r="AK13" s="2"/>
      <c r="AL13" s="3"/>
      <c r="AM13" s="19" t="s">
        <v>284</v>
      </c>
      <c r="AN13" s="2"/>
      <c r="AO13" s="3"/>
      <c r="AP13" s="20">
        <v>46192</v>
      </c>
      <c r="AQ13" s="2"/>
      <c r="AR13" s="3"/>
      <c r="AS13" s="19"/>
      <c r="AT13" s="2"/>
      <c r="AU13" s="3"/>
      <c r="AV13" s="19" t="s">
        <v>77</v>
      </c>
      <c r="AW13" s="2"/>
      <c r="AX13" s="3"/>
      <c r="AY13" s="19"/>
      <c r="AZ13" s="2"/>
      <c r="BA13" s="3"/>
      <c r="BB13" s="19" t="s">
        <v>284</v>
      </c>
      <c r="BC13" s="2"/>
      <c r="BD13" s="3"/>
      <c r="BE13" s="20">
        <v>46251</v>
      </c>
      <c r="BF13" s="2"/>
      <c r="BG13" s="3"/>
      <c r="BH13" s="19"/>
      <c r="BI13" s="2"/>
      <c r="BJ13" s="3"/>
      <c r="BK13" s="18"/>
      <c r="BL13" s="2"/>
      <c r="BM13" s="2"/>
      <c r="BN13" s="2"/>
      <c r="BO13" s="2"/>
      <c r="BP13" s="2"/>
      <c r="BQ13" s="3"/>
    </row>
    <row r="14" ht="409.5" customHeight="1" spans="1:69">
      <c r="A14" s="17">
        <v>2</v>
      </c>
      <c r="B14" s="18" t="s">
        <v>285</v>
      </c>
      <c r="C14" s="2"/>
      <c r="D14" s="3"/>
      <c r="E14" s="18" t="s">
        <v>286</v>
      </c>
      <c r="F14" s="2"/>
      <c r="G14" s="2"/>
      <c r="H14" s="2"/>
      <c r="I14" s="3"/>
      <c r="J14" s="18" t="s">
        <v>287</v>
      </c>
      <c r="K14" s="2"/>
      <c r="L14" s="2"/>
      <c r="M14" s="2"/>
      <c r="N14" s="2"/>
      <c r="O14" s="2"/>
      <c r="P14" s="3"/>
      <c r="Q14" s="18" t="s">
        <v>288</v>
      </c>
      <c r="R14" s="2"/>
      <c r="S14" s="2"/>
      <c r="T14" s="2"/>
      <c r="U14" s="2"/>
      <c r="V14" s="2"/>
      <c r="W14" s="3"/>
      <c r="X14" s="18" t="s">
        <v>289</v>
      </c>
      <c r="Y14" s="2"/>
      <c r="Z14" s="2"/>
      <c r="AA14" s="2"/>
      <c r="AB14" s="2"/>
      <c r="AC14" s="2"/>
      <c r="AD14" s="3"/>
      <c r="AE14" s="19" t="s">
        <v>227</v>
      </c>
      <c r="AF14" s="3"/>
      <c r="AG14" s="19" t="s">
        <v>77</v>
      </c>
      <c r="AH14" s="2"/>
      <c r="AI14" s="3"/>
      <c r="AJ14" s="19"/>
      <c r="AK14" s="2"/>
      <c r="AL14" s="3"/>
      <c r="AM14" s="19" t="s">
        <v>284</v>
      </c>
      <c r="AN14" s="2"/>
      <c r="AO14" s="3"/>
      <c r="AP14" s="20">
        <v>46192</v>
      </c>
      <c r="AQ14" s="2"/>
      <c r="AR14" s="3"/>
      <c r="AS14" s="19"/>
      <c r="AT14" s="2"/>
      <c r="AU14" s="3"/>
      <c r="AV14" s="19" t="s">
        <v>77</v>
      </c>
      <c r="AW14" s="2"/>
      <c r="AX14" s="3"/>
      <c r="AY14" s="19"/>
      <c r="AZ14" s="2"/>
      <c r="BA14" s="3"/>
      <c r="BB14" s="19" t="s">
        <v>284</v>
      </c>
      <c r="BC14" s="2"/>
      <c r="BD14" s="3"/>
      <c r="BE14" s="20">
        <v>46251</v>
      </c>
      <c r="BF14" s="2"/>
      <c r="BG14" s="3"/>
      <c r="BH14" s="19"/>
      <c r="BI14" s="2"/>
      <c r="BJ14" s="3"/>
      <c r="BK14" s="18"/>
      <c r="BL14" s="2"/>
      <c r="BM14" s="2"/>
      <c r="BN14" s="2"/>
      <c r="BO14" s="2"/>
      <c r="BP14" s="2"/>
      <c r="BQ14" s="3"/>
    </row>
    <row r="15" ht="409.5" customHeight="1" spans="1:69">
      <c r="A15" s="17">
        <v>3</v>
      </c>
      <c r="B15" s="18" t="s">
        <v>290</v>
      </c>
      <c r="C15" s="2"/>
      <c r="D15" s="3"/>
      <c r="E15" s="18" t="s">
        <v>291</v>
      </c>
      <c r="F15" s="2"/>
      <c r="G15" s="2"/>
      <c r="H15" s="2"/>
      <c r="I15" s="3"/>
      <c r="J15" s="18" t="s">
        <v>292</v>
      </c>
      <c r="K15" s="2"/>
      <c r="L15" s="2"/>
      <c r="M15" s="2"/>
      <c r="N15" s="2"/>
      <c r="O15" s="2"/>
      <c r="P15" s="3"/>
      <c r="Q15" s="18" t="s">
        <v>293</v>
      </c>
      <c r="R15" s="2"/>
      <c r="S15" s="2"/>
      <c r="T15" s="2"/>
      <c r="U15" s="2"/>
      <c r="V15" s="2"/>
      <c r="W15" s="3"/>
      <c r="X15" s="18" t="s">
        <v>294</v>
      </c>
      <c r="Y15" s="2"/>
      <c r="Z15" s="2"/>
      <c r="AA15" s="2"/>
      <c r="AB15" s="2"/>
      <c r="AC15" s="2"/>
      <c r="AD15" s="3"/>
      <c r="AE15" s="19" t="s">
        <v>295</v>
      </c>
      <c r="AF15" s="3"/>
      <c r="AG15" s="19" t="s">
        <v>77</v>
      </c>
      <c r="AH15" s="2"/>
      <c r="AI15" s="3"/>
      <c r="AJ15" s="19"/>
      <c r="AK15" s="2"/>
      <c r="AL15" s="3"/>
      <c r="AM15" s="19" t="s">
        <v>284</v>
      </c>
      <c r="AN15" s="2"/>
      <c r="AO15" s="3"/>
      <c r="AP15" s="20">
        <v>46192</v>
      </c>
      <c r="AQ15" s="2"/>
      <c r="AR15" s="3"/>
      <c r="AS15" s="19"/>
      <c r="AT15" s="2"/>
      <c r="AU15" s="3"/>
      <c r="AV15" s="19" t="s">
        <v>77</v>
      </c>
      <c r="AW15" s="2"/>
      <c r="AX15" s="3"/>
      <c r="AY15" s="19"/>
      <c r="AZ15" s="2"/>
      <c r="BA15" s="3"/>
      <c r="BB15" s="19" t="s">
        <v>284</v>
      </c>
      <c r="BC15" s="2"/>
      <c r="BD15" s="3"/>
      <c r="BE15" s="20">
        <v>46251</v>
      </c>
      <c r="BF15" s="2"/>
      <c r="BG15" s="3"/>
      <c r="BH15" s="19"/>
      <c r="BI15" s="2"/>
      <c r="BJ15" s="3"/>
      <c r="BK15" s="18"/>
      <c r="BL15" s="2"/>
      <c r="BM15" s="2"/>
      <c r="BN15" s="2"/>
      <c r="BO15" s="2"/>
      <c r="BP15" s="2"/>
      <c r="BQ15" s="3"/>
    </row>
    <row r="16" ht="399.75" customHeight="1" spans="1:69">
      <c r="A16" s="17">
        <v>4</v>
      </c>
      <c r="B16" s="18" t="s">
        <v>296</v>
      </c>
      <c r="C16" s="2"/>
      <c r="D16" s="3"/>
      <c r="E16" s="18" t="s">
        <v>297</v>
      </c>
      <c r="F16" s="2"/>
      <c r="G16" s="2"/>
      <c r="H16" s="2"/>
      <c r="I16" s="3"/>
      <c r="J16" s="18" t="s">
        <v>298</v>
      </c>
      <c r="K16" s="2"/>
      <c r="L16" s="2"/>
      <c r="M16" s="2"/>
      <c r="N16" s="2"/>
      <c r="O16" s="2"/>
      <c r="P16" s="3"/>
      <c r="Q16" s="18" t="s">
        <v>299</v>
      </c>
      <c r="R16" s="2"/>
      <c r="S16" s="2"/>
      <c r="T16" s="2"/>
      <c r="U16" s="2"/>
      <c r="V16" s="2"/>
      <c r="W16" s="3"/>
      <c r="X16" s="18" t="s">
        <v>300</v>
      </c>
      <c r="Y16" s="2"/>
      <c r="Z16" s="2"/>
      <c r="AA16" s="2"/>
      <c r="AB16" s="2"/>
      <c r="AC16" s="2"/>
      <c r="AD16" s="3"/>
      <c r="AE16" s="19" t="s">
        <v>295</v>
      </c>
      <c r="AF16" s="3"/>
      <c r="AG16" s="19" t="s">
        <v>77</v>
      </c>
      <c r="AH16" s="2"/>
      <c r="AI16" s="3"/>
      <c r="AJ16" s="19"/>
      <c r="AK16" s="2"/>
      <c r="AL16" s="3"/>
      <c r="AM16" s="19" t="s">
        <v>284</v>
      </c>
      <c r="AN16" s="2"/>
      <c r="AO16" s="3"/>
      <c r="AP16" s="20">
        <v>46192</v>
      </c>
      <c r="AQ16" s="2"/>
      <c r="AR16" s="3"/>
      <c r="AS16" s="19"/>
      <c r="AT16" s="2"/>
      <c r="AU16" s="3"/>
      <c r="AV16" s="19" t="s">
        <v>77</v>
      </c>
      <c r="AW16" s="2"/>
      <c r="AX16" s="3"/>
      <c r="AY16" s="19"/>
      <c r="AZ16" s="2"/>
      <c r="BA16" s="3"/>
      <c r="BB16" s="19" t="s">
        <v>284</v>
      </c>
      <c r="BC16" s="2"/>
      <c r="BD16" s="3"/>
      <c r="BE16" s="20">
        <v>46251</v>
      </c>
      <c r="BF16" s="2"/>
      <c r="BG16" s="3"/>
      <c r="BH16" s="19"/>
      <c r="BI16" s="2"/>
      <c r="BJ16" s="3"/>
      <c r="BK16" s="18"/>
      <c r="BL16" s="2"/>
      <c r="BM16" s="2"/>
      <c r="BN16" s="2"/>
      <c r="BO16" s="2"/>
      <c r="BP16" s="2"/>
      <c r="BQ16" s="3"/>
    </row>
    <row r="17" ht="409.5" customHeight="1" spans="1:69">
      <c r="A17" s="17">
        <v>5</v>
      </c>
      <c r="B17" s="18" t="s">
        <v>301</v>
      </c>
      <c r="C17" s="2"/>
      <c r="D17" s="3"/>
      <c r="E17" s="18" t="s">
        <v>302</v>
      </c>
      <c r="F17" s="2"/>
      <c r="G17" s="2"/>
      <c r="H17" s="2"/>
      <c r="I17" s="3"/>
      <c r="J17" s="18" t="s">
        <v>303</v>
      </c>
      <c r="K17" s="2"/>
      <c r="L17" s="2"/>
      <c r="M17" s="2"/>
      <c r="N17" s="2"/>
      <c r="O17" s="2"/>
      <c r="P17" s="3"/>
      <c r="Q17" s="18" t="s">
        <v>304</v>
      </c>
      <c r="R17" s="2"/>
      <c r="S17" s="2"/>
      <c r="T17" s="2"/>
      <c r="U17" s="2"/>
      <c r="V17" s="2"/>
      <c r="W17" s="3"/>
      <c r="X17" s="18" t="s">
        <v>305</v>
      </c>
      <c r="Y17" s="2"/>
      <c r="Z17" s="2"/>
      <c r="AA17" s="2"/>
      <c r="AB17" s="2"/>
      <c r="AC17" s="2"/>
      <c r="AD17" s="3"/>
      <c r="AE17" s="19" t="s">
        <v>295</v>
      </c>
      <c r="AF17" s="3"/>
      <c r="AG17" s="19" t="s">
        <v>77</v>
      </c>
      <c r="AH17" s="2"/>
      <c r="AI17" s="3"/>
      <c r="AJ17" s="19"/>
      <c r="AK17" s="2"/>
      <c r="AL17" s="3"/>
      <c r="AM17" s="19" t="s">
        <v>284</v>
      </c>
      <c r="AN17" s="2"/>
      <c r="AO17" s="3"/>
      <c r="AP17" s="20">
        <v>46192</v>
      </c>
      <c r="AQ17" s="2"/>
      <c r="AR17" s="3"/>
      <c r="AS17" s="19"/>
      <c r="AT17" s="2"/>
      <c r="AU17" s="3"/>
      <c r="AV17" s="19" t="s">
        <v>77</v>
      </c>
      <c r="AW17" s="2"/>
      <c r="AX17" s="3"/>
      <c r="AY17" s="19"/>
      <c r="AZ17" s="2"/>
      <c r="BA17" s="3"/>
      <c r="BB17" s="19" t="s">
        <v>284</v>
      </c>
      <c r="BC17" s="2"/>
      <c r="BD17" s="3"/>
      <c r="BE17" s="20">
        <v>46251</v>
      </c>
      <c r="BF17" s="2"/>
      <c r="BG17" s="3"/>
      <c r="BH17" s="19"/>
      <c r="BI17" s="2"/>
      <c r="BJ17" s="3"/>
      <c r="BK17" s="18" t="s">
        <v>306</v>
      </c>
      <c r="BL17" s="2"/>
      <c r="BM17" s="2"/>
      <c r="BN17" s="2"/>
      <c r="BO17" s="2"/>
      <c r="BP17" s="2"/>
      <c r="BQ17" s="3"/>
    </row>
    <row r="18" ht="22.5" customHeight="1" spans="1:69">
      <c r="A18" s="16" t="s">
        <v>307</v>
      </c>
      <c r="B18" s="2"/>
      <c r="C18" s="2"/>
      <c r="D18" s="2"/>
      <c r="E18" s="2"/>
      <c r="F18" s="2"/>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c r="BM18" s="2"/>
      <c r="BN18" s="2"/>
      <c r="BO18" s="2"/>
      <c r="BP18" s="2"/>
      <c r="BQ18" s="3"/>
    </row>
    <row r="19" ht="409.5" customHeight="1" spans="1:69">
      <c r="A19" s="17">
        <v>6</v>
      </c>
      <c r="B19" s="18" t="s">
        <v>308</v>
      </c>
      <c r="C19" s="2"/>
      <c r="D19" s="3"/>
      <c r="E19" s="18" t="s">
        <v>309</v>
      </c>
      <c r="F19" s="2"/>
      <c r="G19" s="2"/>
      <c r="H19" s="2"/>
      <c r="I19" s="3"/>
      <c r="J19" s="18" t="s">
        <v>310</v>
      </c>
      <c r="K19" s="2"/>
      <c r="L19" s="2"/>
      <c r="M19" s="2"/>
      <c r="N19" s="2"/>
      <c r="O19" s="2"/>
      <c r="P19" s="3"/>
      <c r="Q19" s="18" t="s">
        <v>311</v>
      </c>
      <c r="R19" s="2"/>
      <c r="S19" s="2"/>
      <c r="T19" s="2"/>
      <c r="U19" s="2"/>
      <c r="V19" s="2"/>
      <c r="W19" s="3"/>
      <c r="X19" s="18" t="s">
        <v>312</v>
      </c>
      <c r="Y19" s="2"/>
      <c r="Z19" s="2"/>
      <c r="AA19" s="2"/>
      <c r="AB19" s="2"/>
      <c r="AC19" s="2"/>
      <c r="AD19" s="3"/>
      <c r="AE19" s="19" t="s">
        <v>295</v>
      </c>
      <c r="AF19" s="3"/>
      <c r="AG19" s="19" t="s">
        <v>77</v>
      </c>
      <c r="AH19" s="2"/>
      <c r="AI19" s="3"/>
      <c r="AJ19" s="19"/>
      <c r="AK19" s="2"/>
      <c r="AL19" s="3"/>
      <c r="AM19" s="19" t="s">
        <v>284</v>
      </c>
      <c r="AN19" s="2"/>
      <c r="AO19" s="3"/>
      <c r="AP19" s="20">
        <v>46192</v>
      </c>
      <c r="AQ19" s="2"/>
      <c r="AR19" s="3"/>
      <c r="AS19" s="19"/>
      <c r="AT19" s="2"/>
      <c r="AU19" s="3"/>
      <c r="AV19" s="19" t="s">
        <v>77</v>
      </c>
      <c r="AW19" s="2"/>
      <c r="AX19" s="3"/>
      <c r="AY19" s="19"/>
      <c r="AZ19" s="2"/>
      <c r="BA19" s="3"/>
      <c r="BB19" s="19" t="s">
        <v>284</v>
      </c>
      <c r="BC19" s="2"/>
      <c r="BD19" s="3"/>
      <c r="BE19" s="20">
        <v>46251</v>
      </c>
      <c r="BF19" s="2"/>
      <c r="BG19" s="3"/>
      <c r="BH19" s="19"/>
      <c r="BI19" s="2"/>
      <c r="BJ19" s="3"/>
      <c r="BK19" s="18"/>
      <c r="BL19" s="2"/>
      <c r="BM19" s="2"/>
      <c r="BN19" s="2"/>
      <c r="BO19" s="2"/>
      <c r="BP19" s="2"/>
      <c r="BQ19" s="3"/>
    </row>
    <row r="20" ht="319.5" customHeight="1" spans="1:69">
      <c r="A20" s="17">
        <v>7</v>
      </c>
      <c r="B20" s="18" t="s">
        <v>313</v>
      </c>
      <c r="C20" s="2"/>
      <c r="D20" s="3"/>
      <c r="E20" s="18" t="s">
        <v>314</v>
      </c>
      <c r="F20" s="2"/>
      <c r="G20" s="2"/>
      <c r="H20" s="2"/>
      <c r="I20" s="3"/>
      <c r="J20" s="18" t="s">
        <v>315</v>
      </c>
      <c r="K20" s="2"/>
      <c r="L20" s="2"/>
      <c r="M20" s="2"/>
      <c r="N20" s="2"/>
      <c r="O20" s="2"/>
      <c r="P20" s="3"/>
      <c r="Q20" s="18" t="s">
        <v>316</v>
      </c>
      <c r="R20" s="2"/>
      <c r="S20" s="2"/>
      <c r="T20" s="2"/>
      <c r="U20" s="2"/>
      <c r="V20" s="2"/>
      <c r="W20" s="3"/>
      <c r="X20" s="18" t="s">
        <v>317</v>
      </c>
      <c r="Y20" s="2"/>
      <c r="Z20" s="2"/>
      <c r="AA20" s="2"/>
      <c r="AB20" s="2"/>
      <c r="AC20" s="2"/>
      <c r="AD20" s="3"/>
      <c r="AE20" s="19" t="s">
        <v>295</v>
      </c>
      <c r="AF20" s="3"/>
      <c r="AG20" s="19" t="s">
        <v>77</v>
      </c>
      <c r="AH20" s="2"/>
      <c r="AI20" s="3"/>
      <c r="AJ20" s="19"/>
      <c r="AK20" s="2"/>
      <c r="AL20" s="3"/>
      <c r="AM20" s="19" t="s">
        <v>284</v>
      </c>
      <c r="AN20" s="2"/>
      <c r="AO20" s="3"/>
      <c r="AP20" s="20">
        <v>46192</v>
      </c>
      <c r="AQ20" s="2"/>
      <c r="AR20" s="3"/>
      <c r="AS20" s="19"/>
      <c r="AT20" s="2"/>
      <c r="AU20" s="3"/>
      <c r="AV20" s="19" t="s">
        <v>77</v>
      </c>
      <c r="AW20" s="2"/>
      <c r="AX20" s="3"/>
      <c r="AY20" s="19"/>
      <c r="AZ20" s="2"/>
      <c r="BA20" s="3"/>
      <c r="BB20" s="19" t="s">
        <v>284</v>
      </c>
      <c r="BC20" s="2"/>
      <c r="BD20" s="3"/>
      <c r="BE20" s="20">
        <v>46251</v>
      </c>
      <c r="BF20" s="2"/>
      <c r="BG20" s="3"/>
      <c r="BH20" s="19"/>
      <c r="BI20" s="2"/>
      <c r="BJ20" s="3"/>
      <c r="BK20" s="18"/>
      <c r="BL20" s="2"/>
      <c r="BM20" s="2"/>
      <c r="BN20" s="2"/>
      <c r="BO20" s="2"/>
      <c r="BP20" s="2"/>
      <c r="BQ20" s="3"/>
    </row>
    <row r="21" ht="351.75" customHeight="1" spans="1:69">
      <c r="A21" s="17">
        <v>8</v>
      </c>
      <c r="B21" s="18" t="s">
        <v>318</v>
      </c>
      <c r="C21" s="2"/>
      <c r="D21" s="3"/>
      <c r="E21" s="18" t="s">
        <v>319</v>
      </c>
      <c r="F21" s="2"/>
      <c r="G21" s="2"/>
      <c r="H21" s="2"/>
      <c r="I21" s="3"/>
      <c r="J21" s="18" t="s">
        <v>320</v>
      </c>
      <c r="K21" s="2"/>
      <c r="L21" s="2"/>
      <c r="M21" s="2"/>
      <c r="N21" s="2"/>
      <c r="O21" s="2"/>
      <c r="P21" s="3"/>
      <c r="Q21" s="18" t="s">
        <v>321</v>
      </c>
      <c r="R21" s="2"/>
      <c r="S21" s="2"/>
      <c r="T21" s="2"/>
      <c r="U21" s="2"/>
      <c r="V21" s="2"/>
      <c r="W21" s="3"/>
      <c r="X21" s="18" t="s">
        <v>322</v>
      </c>
      <c r="Y21" s="2"/>
      <c r="Z21" s="2"/>
      <c r="AA21" s="2"/>
      <c r="AB21" s="2"/>
      <c r="AC21" s="2"/>
      <c r="AD21" s="3"/>
      <c r="AE21" s="19" t="s">
        <v>295</v>
      </c>
      <c r="AF21" s="3"/>
      <c r="AG21" s="19" t="s">
        <v>77</v>
      </c>
      <c r="AH21" s="2"/>
      <c r="AI21" s="3"/>
      <c r="AJ21" s="19"/>
      <c r="AK21" s="2"/>
      <c r="AL21" s="3"/>
      <c r="AM21" s="19" t="s">
        <v>284</v>
      </c>
      <c r="AN21" s="2"/>
      <c r="AO21" s="3"/>
      <c r="AP21" s="20">
        <v>46192</v>
      </c>
      <c r="AQ21" s="2"/>
      <c r="AR21" s="3"/>
      <c r="AS21" s="19"/>
      <c r="AT21" s="2"/>
      <c r="AU21" s="3"/>
      <c r="AV21" s="19" t="s">
        <v>77</v>
      </c>
      <c r="AW21" s="2"/>
      <c r="AX21" s="3"/>
      <c r="AY21" s="19"/>
      <c r="AZ21" s="2"/>
      <c r="BA21" s="3"/>
      <c r="BB21" s="19" t="s">
        <v>284</v>
      </c>
      <c r="BC21" s="2"/>
      <c r="BD21" s="3"/>
      <c r="BE21" s="20">
        <v>46251</v>
      </c>
      <c r="BF21" s="2"/>
      <c r="BG21" s="3"/>
      <c r="BH21" s="19"/>
      <c r="BI21" s="2"/>
      <c r="BJ21" s="3"/>
      <c r="BK21" s="18"/>
      <c r="BL21" s="2"/>
      <c r="BM21" s="2"/>
      <c r="BN21" s="2"/>
      <c r="BO21" s="2"/>
      <c r="BP21" s="2"/>
      <c r="BQ21" s="3"/>
    </row>
    <row r="22" ht="319.5" customHeight="1" spans="1:69">
      <c r="A22" s="17">
        <v>9</v>
      </c>
      <c r="B22" s="18" t="s">
        <v>323</v>
      </c>
      <c r="C22" s="2"/>
      <c r="D22" s="3"/>
      <c r="E22" s="18" t="s">
        <v>324</v>
      </c>
      <c r="F22" s="2"/>
      <c r="G22" s="2"/>
      <c r="H22" s="2"/>
      <c r="I22" s="3"/>
      <c r="J22" s="18" t="s">
        <v>325</v>
      </c>
      <c r="K22" s="2"/>
      <c r="L22" s="2"/>
      <c r="M22" s="2"/>
      <c r="N22" s="2"/>
      <c r="O22" s="2"/>
      <c r="P22" s="3"/>
      <c r="Q22" s="18" t="s">
        <v>326</v>
      </c>
      <c r="R22" s="2"/>
      <c r="S22" s="2"/>
      <c r="T22" s="2"/>
      <c r="U22" s="2"/>
      <c r="V22" s="2"/>
      <c r="W22" s="3"/>
      <c r="X22" s="18" t="s">
        <v>327</v>
      </c>
      <c r="Y22" s="2"/>
      <c r="Z22" s="2"/>
      <c r="AA22" s="2"/>
      <c r="AB22" s="2"/>
      <c r="AC22" s="2"/>
      <c r="AD22" s="3"/>
      <c r="AE22" s="19" t="s">
        <v>295</v>
      </c>
      <c r="AF22" s="3"/>
      <c r="AG22" s="19" t="s">
        <v>77</v>
      </c>
      <c r="AH22" s="2"/>
      <c r="AI22" s="3"/>
      <c r="AJ22" s="19"/>
      <c r="AK22" s="2"/>
      <c r="AL22" s="3"/>
      <c r="AM22" s="19" t="s">
        <v>284</v>
      </c>
      <c r="AN22" s="2"/>
      <c r="AO22" s="3"/>
      <c r="AP22" s="20">
        <v>46192</v>
      </c>
      <c r="AQ22" s="2"/>
      <c r="AR22" s="3"/>
      <c r="AS22" s="19"/>
      <c r="AT22" s="2"/>
      <c r="AU22" s="3"/>
      <c r="AV22" s="19" t="s">
        <v>77</v>
      </c>
      <c r="AW22" s="2"/>
      <c r="AX22" s="3"/>
      <c r="AY22" s="19"/>
      <c r="AZ22" s="2"/>
      <c r="BA22" s="3"/>
      <c r="BB22" s="19" t="s">
        <v>284</v>
      </c>
      <c r="BC22" s="2"/>
      <c r="BD22" s="3"/>
      <c r="BE22" s="20">
        <v>46251</v>
      </c>
      <c r="BF22" s="2"/>
      <c r="BG22" s="3"/>
      <c r="BH22" s="19"/>
      <c r="BI22" s="2"/>
      <c r="BJ22" s="3"/>
      <c r="BK22" s="18"/>
      <c r="BL22" s="2"/>
      <c r="BM22" s="2"/>
      <c r="BN22" s="2"/>
      <c r="BO22" s="2"/>
      <c r="BP22" s="2"/>
      <c r="BQ22" s="3"/>
    </row>
    <row r="23" ht="219.75" customHeight="1" spans="1:69">
      <c r="A23" s="17">
        <v>10</v>
      </c>
      <c r="B23" s="18" t="s">
        <v>328</v>
      </c>
      <c r="C23" s="2"/>
      <c r="D23" s="3"/>
      <c r="E23" s="18" t="s">
        <v>329</v>
      </c>
      <c r="F23" s="2"/>
      <c r="G23" s="2"/>
      <c r="H23" s="2"/>
      <c r="I23" s="3"/>
      <c r="J23" s="18" t="s">
        <v>320</v>
      </c>
      <c r="K23" s="2"/>
      <c r="L23" s="2"/>
      <c r="M23" s="2"/>
      <c r="N23" s="2"/>
      <c r="O23" s="2"/>
      <c r="P23" s="3"/>
      <c r="Q23" s="18" t="s">
        <v>330</v>
      </c>
      <c r="R23" s="2"/>
      <c r="S23" s="2"/>
      <c r="T23" s="2"/>
      <c r="U23" s="2"/>
      <c r="V23" s="2"/>
      <c r="W23" s="3"/>
      <c r="X23" s="18" t="s">
        <v>331</v>
      </c>
      <c r="Y23" s="2"/>
      <c r="Z23" s="2"/>
      <c r="AA23" s="2"/>
      <c r="AB23" s="2"/>
      <c r="AC23" s="2"/>
      <c r="AD23" s="3"/>
      <c r="AE23" s="19" t="s">
        <v>295</v>
      </c>
      <c r="AF23" s="3"/>
      <c r="AG23" s="19" t="s">
        <v>77</v>
      </c>
      <c r="AH23" s="2"/>
      <c r="AI23" s="3"/>
      <c r="AJ23" s="19"/>
      <c r="AK23" s="2"/>
      <c r="AL23" s="3"/>
      <c r="AM23" s="19" t="s">
        <v>284</v>
      </c>
      <c r="AN23" s="2"/>
      <c r="AO23" s="3"/>
      <c r="AP23" s="20">
        <v>46192</v>
      </c>
      <c r="AQ23" s="2"/>
      <c r="AR23" s="3"/>
      <c r="AS23" s="19"/>
      <c r="AT23" s="2"/>
      <c r="AU23" s="3"/>
      <c r="AV23" s="19" t="s">
        <v>77</v>
      </c>
      <c r="AW23" s="2"/>
      <c r="AX23" s="3"/>
      <c r="AY23" s="19"/>
      <c r="AZ23" s="2"/>
      <c r="BA23" s="3"/>
      <c r="BB23" s="19" t="s">
        <v>284</v>
      </c>
      <c r="BC23" s="2"/>
      <c r="BD23" s="3"/>
      <c r="BE23" s="20">
        <v>46251</v>
      </c>
      <c r="BF23" s="2"/>
      <c r="BG23" s="3"/>
      <c r="BH23" s="19"/>
      <c r="BI23" s="2"/>
      <c r="BJ23" s="3"/>
      <c r="BK23" s="18"/>
      <c r="BL23" s="2"/>
      <c r="BM23" s="2"/>
      <c r="BN23" s="2"/>
      <c r="BO23" s="2"/>
      <c r="BP23" s="2"/>
      <c r="BQ23" s="3"/>
    </row>
    <row r="24" ht="202.5" customHeight="1" spans="1:69">
      <c r="A24" s="17">
        <v>11</v>
      </c>
      <c r="B24" s="18" t="s">
        <v>332</v>
      </c>
      <c r="C24" s="2"/>
      <c r="D24" s="3"/>
      <c r="E24" s="18" t="s">
        <v>333</v>
      </c>
      <c r="F24" s="2"/>
      <c r="G24" s="2"/>
      <c r="H24" s="2"/>
      <c r="I24" s="3"/>
      <c r="J24" s="18" t="s">
        <v>320</v>
      </c>
      <c r="K24" s="2"/>
      <c r="L24" s="2"/>
      <c r="M24" s="2"/>
      <c r="N24" s="2"/>
      <c r="O24" s="2"/>
      <c r="P24" s="3"/>
      <c r="Q24" s="18" t="s">
        <v>334</v>
      </c>
      <c r="R24" s="2"/>
      <c r="S24" s="2"/>
      <c r="T24" s="2"/>
      <c r="U24" s="2"/>
      <c r="V24" s="2"/>
      <c r="W24" s="3"/>
      <c r="X24" s="18" t="s">
        <v>335</v>
      </c>
      <c r="Y24" s="2"/>
      <c r="Z24" s="2"/>
      <c r="AA24" s="2"/>
      <c r="AB24" s="2"/>
      <c r="AC24" s="2"/>
      <c r="AD24" s="3"/>
      <c r="AE24" s="19" t="s">
        <v>295</v>
      </c>
      <c r="AF24" s="3"/>
      <c r="AG24" s="19" t="s">
        <v>77</v>
      </c>
      <c r="AH24" s="2"/>
      <c r="AI24" s="3"/>
      <c r="AJ24" s="19"/>
      <c r="AK24" s="2"/>
      <c r="AL24" s="3"/>
      <c r="AM24" s="19" t="s">
        <v>284</v>
      </c>
      <c r="AN24" s="2"/>
      <c r="AO24" s="3"/>
      <c r="AP24" s="20">
        <v>46192</v>
      </c>
      <c r="AQ24" s="2"/>
      <c r="AR24" s="3"/>
      <c r="AS24" s="19"/>
      <c r="AT24" s="2"/>
      <c r="AU24" s="3"/>
      <c r="AV24" s="19" t="s">
        <v>77</v>
      </c>
      <c r="AW24" s="2"/>
      <c r="AX24" s="3"/>
      <c r="AY24" s="19"/>
      <c r="AZ24" s="2"/>
      <c r="BA24" s="3"/>
      <c r="BB24" s="19" t="s">
        <v>284</v>
      </c>
      <c r="BC24" s="2"/>
      <c r="BD24" s="3"/>
      <c r="BE24" s="20">
        <v>46251</v>
      </c>
      <c r="BF24" s="2"/>
      <c r="BG24" s="3"/>
      <c r="BH24" s="19"/>
      <c r="BI24" s="2"/>
      <c r="BJ24" s="3"/>
      <c r="BK24" s="18" t="s">
        <v>336</v>
      </c>
      <c r="BL24" s="2"/>
      <c r="BM24" s="2"/>
      <c r="BN24" s="2"/>
      <c r="BO24" s="2"/>
      <c r="BP24" s="2"/>
      <c r="BQ24" s="3"/>
    </row>
    <row r="25" ht="240" customHeight="1" spans="1:69">
      <c r="A25" s="17">
        <v>12</v>
      </c>
      <c r="B25" s="18" t="s">
        <v>337</v>
      </c>
      <c r="C25" s="2"/>
      <c r="D25" s="3"/>
      <c r="E25" s="18" t="s">
        <v>338</v>
      </c>
      <c r="F25" s="2"/>
      <c r="G25" s="2"/>
      <c r="H25" s="2"/>
      <c r="I25" s="3"/>
      <c r="J25" s="18" t="s">
        <v>339</v>
      </c>
      <c r="K25" s="2"/>
      <c r="L25" s="2"/>
      <c r="M25" s="2"/>
      <c r="N25" s="2"/>
      <c r="O25" s="2"/>
      <c r="P25" s="3"/>
      <c r="Q25" s="18" t="s">
        <v>340</v>
      </c>
      <c r="R25" s="2"/>
      <c r="S25" s="2"/>
      <c r="T25" s="2"/>
      <c r="U25" s="2"/>
      <c r="V25" s="2"/>
      <c r="W25" s="3"/>
      <c r="X25" s="18" t="s">
        <v>341</v>
      </c>
      <c r="Y25" s="2"/>
      <c r="Z25" s="2"/>
      <c r="AA25" s="2"/>
      <c r="AB25" s="2"/>
      <c r="AC25" s="2"/>
      <c r="AD25" s="3"/>
      <c r="AE25" s="19" t="s">
        <v>295</v>
      </c>
      <c r="AF25" s="3"/>
      <c r="AG25" s="19" t="s">
        <v>77</v>
      </c>
      <c r="AH25" s="2"/>
      <c r="AI25" s="3"/>
      <c r="AJ25" s="19"/>
      <c r="AK25" s="2"/>
      <c r="AL25" s="3"/>
      <c r="AM25" s="19" t="s">
        <v>284</v>
      </c>
      <c r="AN25" s="2"/>
      <c r="AO25" s="3"/>
      <c r="AP25" s="20">
        <v>46192</v>
      </c>
      <c r="AQ25" s="2"/>
      <c r="AR25" s="3"/>
      <c r="AS25" s="19"/>
      <c r="AT25" s="2"/>
      <c r="AU25" s="3"/>
      <c r="AV25" s="19" t="s">
        <v>77</v>
      </c>
      <c r="AW25" s="2"/>
      <c r="AX25" s="3"/>
      <c r="AY25" s="19"/>
      <c r="AZ25" s="2"/>
      <c r="BA25" s="3"/>
      <c r="BB25" s="19" t="s">
        <v>284</v>
      </c>
      <c r="BC25" s="2"/>
      <c r="BD25" s="3"/>
      <c r="BE25" s="20">
        <v>46251</v>
      </c>
      <c r="BF25" s="2"/>
      <c r="BG25" s="3"/>
      <c r="BH25" s="19"/>
      <c r="BI25" s="2"/>
      <c r="BJ25" s="3"/>
      <c r="BK25" s="18"/>
      <c r="BL25" s="2"/>
      <c r="BM25" s="2"/>
      <c r="BN25" s="2"/>
      <c r="BO25" s="2"/>
      <c r="BP25" s="2"/>
      <c r="BQ25" s="3"/>
    </row>
    <row r="26" ht="307.5" customHeight="1" spans="1:69">
      <c r="A26" s="17">
        <v>13</v>
      </c>
      <c r="B26" s="18" t="s">
        <v>342</v>
      </c>
      <c r="C26" s="2"/>
      <c r="D26" s="3"/>
      <c r="E26" s="18" t="s">
        <v>343</v>
      </c>
      <c r="F26" s="2"/>
      <c r="G26" s="2"/>
      <c r="H26" s="2"/>
      <c r="I26" s="3"/>
      <c r="J26" s="18" t="s">
        <v>320</v>
      </c>
      <c r="K26" s="2"/>
      <c r="L26" s="2"/>
      <c r="M26" s="2"/>
      <c r="N26" s="2"/>
      <c r="O26" s="2"/>
      <c r="P26" s="3"/>
      <c r="Q26" s="18" t="s">
        <v>344</v>
      </c>
      <c r="R26" s="2"/>
      <c r="S26" s="2"/>
      <c r="T26" s="2"/>
      <c r="U26" s="2"/>
      <c r="V26" s="2"/>
      <c r="W26" s="3"/>
      <c r="X26" s="18" t="s">
        <v>345</v>
      </c>
      <c r="Y26" s="2"/>
      <c r="Z26" s="2"/>
      <c r="AA26" s="2"/>
      <c r="AB26" s="2"/>
      <c r="AC26" s="2"/>
      <c r="AD26" s="3"/>
      <c r="AE26" s="19" t="s">
        <v>295</v>
      </c>
      <c r="AF26" s="3"/>
      <c r="AG26" s="19" t="s">
        <v>77</v>
      </c>
      <c r="AH26" s="2"/>
      <c r="AI26" s="3"/>
      <c r="AJ26" s="19"/>
      <c r="AK26" s="2"/>
      <c r="AL26" s="3"/>
      <c r="AM26" s="19" t="s">
        <v>284</v>
      </c>
      <c r="AN26" s="2"/>
      <c r="AO26" s="3"/>
      <c r="AP26" s="20">
        <v>46192</v>
      </c>
      <c r="AQ26" s="2"/>
      <c r="AR26" s="3"/>
      <c r="AS26" s="19"/>
      <c r="AT26" s="2"/>
      <c r="AU26" s="3"/>
      <c r="AV26" s="19" t="s">
        <v>77</v>
      </c>
      <c r="AW26" s="2"/>
      <c r="AX26" s="3"/>
      <c r="AY26" s="19"/>
      <c r="AZ26" s="2"/>
      <c r="BA26" s="3"/>
      <c r="BB26" s="19" t="s">
        <v>284</v>
      </c>
      <c r="BC26" s="2"/>
      <c r="BD26" s="3"/>
      <c r="BE26" s="20">
        <v>46251</v>
      </c>
      <c r="BF26" s="2"/>
      <c r="BG26" s="3"/>
      <c r="BH26" s="19"/>
      <c r="BI26" s="2"/>
      <c r="BJ26" s="3"/>
      <c r="BK26" s="18" t="s">
        <v>306</v>
      </c>
      <c r="BL26" s="2"/>
      <c r="BM26" s="2"/>
      <c r="BN26" s="2"/>
      <c r="BO26" s="2"/>
      <c r="BP26" s="2"/>
      <c r="BQ26" s="3"/>
    </row>
    <row r="27" ht="22.5" customHeight="1" spans="1:69">
      <c r="A27" s="16" t="s">
        <v>346</v>
      </c>
      <c r="B27" s="2"/>
      <c r="C27" s="2"/>
      <c r="D27" s="2"/>
      <c r="E27" s="2"/>
      <c r="F27" s="2"/>
      <c r="G27" s="2"/>
      <c r="H27" s="2"/>
      <c r="I27" s="2"/>
      <c r="J27" s="2"/>
      <c r="K27" s="2"/>
      <c r="L27" s="2"/>
      <c r="M27" s="2"/>
      <c r="N27" s="2"/>
      <c r="O27" s="2"/>
      <c r="P27" s="2"/>
      <c r="Q27" s="2"/>
      <c r="R27" s="2"/>
      <c r="S27" s="2"/>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2"/>
      <c r="BA27" s="2"/>
      <c r="BB27" s="2"/>
      <c r="BC27" s="2"/>
      <c r="BD27" s="2"/>
      <c r="BE27" s="2"/>
      <c r="BF27" s="2"/>
      <c r="BG27" s="2"/>
      <c r="BH27" s="2"/>
      <c r="BI27" s="2"/>
      <c r="BJ27" s="2"/>
      <c r="BK27" s="2"/>
      <c r="BL27" s="2"/>
      <c r="BM27" s="2"/>
      <c r="BN27" s="2"/>
      <c r="BO27" s="2"/>
      <c r="BP27" s="2"/>
      <c r="BQ27" s="3"/>
    </row>
    <row r="28" ht="175.5" customHeight="1" spans="1:69">
      <c r="A28" s="17">
        <v>14</v>
      </c>
      <c r="B28" s="18" t="s">
        <v>347</v>
      </c>
      <c r="C28" s="2"/>
      <c r="D28" s="3"/>
      <c r="E28" s="18" t="s">
        <v>348</v>
      </c>
      <c r="F28" s="2"/>
      <c r="G28" s="2"/>
      <c r="H28" s="2"/>
      <c r="I28" s="3"/>
      <c r="J28" s="18" t="s">
        <v>320</v>
      </c>
      <c r="K28" s="2"/>
      <c r="L28" s="2"/>
      <c r="M28" s="2"/>
      <c r="N28" s="2"/>
      <c r="O28" s="2"/>
      <c r="P28" s="3"/>
      <c r="Q28" s="18" t="s">
        <v>349</v>
      </c>
      <c r="R28" s="2"/>
      <c r="S28" s="2"/>
      <c r="T28" s="2"/>
      <c r="U28" s="2"/>
      <c r="V28" s="2"/>
      <c r="W28" s="3"/>
      <c r="X28" s="18" t="s">
        <v>350</v>
      </c>
      <c r="Y28" s="2"/>
      <c r="Z28" s="2"/>
      <c r="AA28" s="2"/>
      <c r="AB28" s="2"/>
      <c r="AC28" s="2"/>
      <c r="AD28" s="3"/>
      <c r="AE28" s="19" t="s">
        <v>295</v>
      </c>
      <c r="AF28" s="3"/>
      <c r="AG28" s="19" t="s">
        <v>77</v>
      </c>
      <c r="AH28" s="2"/>
      <c r="AI28" s="3"/>
      <c r="AJ28" s="19"/>
      <c r="AK28" s="2"/>
      <c r="AL28" s="3"/>
      <c r="AM28" s="19" t="s">
        <v>284</v>
      </c>
      <c r="AN28" s="2"/>
      <c r="AO28" s="3"/>
      <c r="AP28" s="20">
        <v>46251</v>
      </c>
      <c r="AQ28" s="2"/>
      <c r="AR28" s="3"/>
      <c r="AS28" s="19"/>
      <c r="AT28" s="2"/>
      <c r="AU28" s="3"/>
      <c r="AV28" s="19" t="s">
        <v>77</v>
      </c>
      <c r="AW28" s="2"/>
      <c r="AX28" s="3"/>
      <c r="AY28" s="19"/>
      <c r="AZ28" s="2"/>
      <c r="BA28" s="3"/>
      <c r="BB28" s="19" t="s">
        <v>284</v>
      </c>
      <c r="BC28" s="2"/>
      <c r="BD28" s="3"/>
      <c r="BE28" s="20">
        <v>46251</v>
      </c>
      <c r="BF28" s="2"/>
      <c r="BG28" s="3"/>
      <c r="BH28" s="19"/>
      <c r="BI28" s="2"/>
      <c r="BJ28" s="3"/>
      <c r="BK28" s="18"/>
      <c r="BL28" s="2"/>
      <c r="BM28" s="2"/>
      <c r="BN28" s="2"/>
      <c r="BO28" s="2"/>
      <c r="BP28" s="2"/>
      <c r="BQ28" s="3"/>
    </row>
    <row r="29" ht="201.75" customHeight="1" spans="1:69">
      <c r="A29" s="17">
        <v>15</v>
      </c>
      <c r="B29" s="18" t="s">
        <v>351</v>
      </c>
      <c r="C29" s="2"/>
      <c r="D29" s="3"/>
      <c r="E29" s="18" t="s">
        <v>352</v>
      </c>
      <c r="F29" s="2"/>
      <c r="G29" s="2"/>
      <c r="H29" s="2"/>
      <c r="I29" s="3"/>
      <c r="J29" s="18" t="s">
        <v>320</v>
      </c>
      <c r="K29" s="2"/>
      <c r="L29" s="2"/>
      <c r="M29" s="2"/>
      <c r="N29" s="2"/>
      <c r="O29" s="2"/>
      <c r="P29" s="3"/>
      <c r="Q29" s="18" t="s">
        <v>353</v>
      </c>
      <c r="R29" s="2"/>
      <c r="S29" s="2"/>
      <c r="T29" s="2"/>
      <c r="U29" s="2"/>
      <c r="V29" s="2"/>
      <c r="W29" s="3"/>
      <c r="X29" s="18" t="s">
        <v>354</v>
      </c>
      <c r="Y29" s="2"/>
      <c r="Z29" s="2"/>
      <c r="AA29" s="2"/>
      <c r="AB29" s="2"/>
      <c r="AC29" s="2"/>
      <c r="AD29" s="3"/>
      <c r="AE29" s="19" t="s">
        <v>295</v>
      </c>
      <c r="AF29" s="3"/>
      <c r="AG29" s="19" t="s">
        <v>77</v>
      </c>
      <c r="AH29" s="2"/>
      <c r="AI29" s="3"/>
      <c r="AJ29" s="19"/>
      <c r="AK29" s="2"/>
      <c r="AL29" s="3"/>
      <c r="AM29" s="19" t="s">
        <v>284</v>
      </c>
      <c r="AN29" s="2"/>
      <c r="AO29" s="3"/>
      <c r="AP29" s="20">
        <v>46251</v>
      </c>
      <c r="AQ29" s="2"/>
      <c r="AR29" s="3"/>
      <c r="AS29" s="19"/>
      <c r="AT29" s="2"/>
      <c r="AU29" s="3"/>
      <c r="AV29" s="19" t="s">
        <v>77</v>
      </c>
      <c r="AW29" s="2"/>
      <c r="AX29" s="3"/>
      <c r="AY29" s="19"/>
      <c r="AZ29" s="2"/>
      <c r="BA29" s="3"/>
      <c r="BB29" s="19" t="s">
        <v>284</v>
      </c>
      <c r="BC29" s="2"/>
      <c r="BD29" s="3"/>
      <c r="BE29" s="20">
        <v>46251</v>
      </c>
      <c r="BF29" s="2"/>
      <c r="BG29" s="3"/>
      <c r="BH29" s="19"/>
      <c r="BI29" s="2"/>
      <c r="BJ29" s="3"/>
      <c r="BK29" s="18"/>
      <c r="BL29" s="2"/>
      <c r="BM29" s="2"/>
      <c r="BN29" s="2"/>
      <c r="BO29" s="2"/>
      <c r="BP29" s="2"/>
      <c r="BQ29" s="3"/>
    </row>
    <row r="30" ht="223.5" customHeight="1" spans="1:69">
      <c r="A30" s="17">
        <v>16</v>
      </c>
      <c r="B30" s="18" t="s">
        <v>355</v>
      </c>
      <c r="C30" s="2"/>
      <c r="D30" s="3"/>
      <c r="E30" s="18" t="s">
        <v>356</v>
      </c>
      <c r="F30" s="2"/>
      <c r="G30" s="2"/>
      <c r="H30" s="2"/>
      <c r="I30" s="3"/>
      <c r="J30" s="18" t="s">
        <v>320</v>
      </c>
      <c r="K30" s="2"/>
      <c r="L30" s="2"/>
      <c r="M30" s="2"/>
      <c r="N30" s="2"/>
      <c r="O30" s="2"/>
      <c r="P30" s="3"/>
      <c r="Q30" s="18" t="s">
        <v>357</v>
      </c>
      <c r="R30" s="2"/>
      <c r="S30" s="2"/>
      <c r="T30" s="2"/>
      <c r="U30" s="2"/>
      <c r="V30" s="2"/>
      <c r="W30" s="3"/>
      <c r="X30" s="18" t="s">
        <v>358</v>
      </c>
      <c r="Y30" s="2"/>
      <c r="Z30" s="2"/>
      <c r="AA30" s="2"/>
      <c r="AB30" s="2"/>
      <c r="AC30" s="2"/>
      <c r="AD30" s="3"/>
      <c r="AE30" s="19" t="s">
        <v>295</v>
      </c>
      <c r="AF30" s="3"/>
      <c r="AG30" s="19" t="s">
        <v>77</v>
      </c>
      <c r="AH30" s="2"/>
      <c r="AI30" s="3"/>
      <c r="AJ30" s="19"/>
      <c r="AK30" s="2"/>
      <c r="AL30" s="3"/>
      <c r="AM30" s="19" t="s">
        <v>284</v>
      </c>
      <c r="AN30" s="2"/>
      <c r="AO30" s="3"/>
      <c r="AP30" s="20">
        <v>46192</v>
      </c>
      <c r="AQ30" s="2"/>
      <c r="AR30" s="3"/>
      <c r="AS30" s="19"/>
      <c r="AT30" s="2"/>
      <c r="AU30" s="3"/>
      <c r="AV30" s="19" t="s">
        <v>77</v>
      </c>
      <c r="AW30" s="2"/>
      <c r="AX30" s="3"/>
      <c r="AY30" s="19"/>
      <c r="AZ30" s="2"/>
      <c r="BA30" s="3"/>
      <c r="BB30" s="19" t="s">
        <v>284</v>
      </c>
      <c r="BC30" s="2"/>
      <c r="BD30" s="3"/>
      <c r="BE30" s="20">
        <v>46251</v>
      </c>
      <c r="BF30" s="2"/>
      <c r="BG30" s="3"/>
      <c r="BH30" s="19"/>
      <c r="BI30" s="2"/>
      <c r="BJ30" s="3"/>
      <c r="BK30" s="18" t="s">
        <v>306</v>
      </c>
      <c r="BL30" s="2"/>
      <c r="BM30" s="2"/>
      <c r="BN30" s="2"/>
      <c r="BO30" s="2"/>
      <c r="BP30" s="2"/>
      <c r="BQ30" s="3"/>
    </row>
    <row r="31" ht="22.5" customHeight="1" spans="1:69">
      <c r="A31" s="16" t="s">
        <v>359</v>
      </c>
      <c r="B31" s="2"/>
      <c r="C31" s="2"/>
      <c r="D31" s="2"/>
      <c r="E31" s="2"/>
      <c r="F31" s="2"/>
      <c r="G31" s="2"/>
      <c r="H31" s="2"/>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c r="AZ31" s="2"/>
      <c r="BA31" s="2"/>
      <c r="BB31" s="2"/>
      <c r="BC31" s="2"/>
      <c r="BD31" s="2"/>
      <c r="BE31" s="2"/>
      <c r="BF31" s="2"/>
      <c r="BG31" s="2"/>
      <c r="BH31" s="2"/>
      <c r="BI31" s="2"/>
      <c r="BJ31" s="2"/>
      <c r="BK31" s="2"/>
      <c r="BL31" s="2"/>
      <c r="BM31" s="2"/>
      <c r="BN31" s="2"/>
      <c r="BO31" s="2"/>
      <c r="BP31" s="2"/>
      <c r="BQ31" s="3"/>
    </row>
    <row r="32" ht="279.75" customHeight="1" spans="1:69">
      <c r="A32" s="17">
        <v>17</v>
      </c>
      <c r="B32" s="18" t="s">
        <v>360</v>
      </c>
      <c r="C32" s="2"/>
      <c r="D32" s="3"/>
      <c r="E32" s="18" t="s">
        <v>361</v>
      </c>
      <c r="F32" s="2"/>
      <c r="G32" s="2"/>
      <c r="H32" s="2"/>
      <c r="I32" s="3"/>
      <c r="J32" s="18" t="s">
        <v>310</v>
      </c>
      <c r="K32" s="2"/>
      <c r="L32" s="2"/>
      <c r="M32" s="2"/>
      <c r="N32" s="2"/>
      <c r="O32" s="2"/>
      <c r="P32" s="3"/>
      <c r="Q32" s="18" t="s">
        <v>362</v>
      </c>
      <c r="R32" s="2"/>
      <c r="S32" s="2"/>
      <c r="T32" s="2"/>
      <c r="U32" s="2"/>
      <c r="V32" s="2"/>
      <c r="W32" s="3"/>
      <c r="X32" s="18" t="s">
        <v>363</v>
      </c>
      <c r="Y32" s="2"/>
      <c r="Z32" s="2"/>
      <c r="AA32" s="2"/>
      <c r="AB32" s="2"/>
      <c r="AC32" s="2"/>
      <c r="AD32" s="3"/>
      <c r="AE32" s="19" t="s">
        <v>295</v>
      </c>
      <c r="AF32" s="3"/>
      <c r="AG32" s="19" t="s">
        <v>77</v>
      </c>
      <c r="AH32" s="2"/>
      <c r="AI32" s="3"/>
      <c r="AJ32" s="19"/>
      <c r="AK32" s="2"/>
      <c r="AL32" s="3"/>
      <c r="AM32" s="19" t="s">
        <v>284</v>
      </c>
      <c r="AN32" s="2"/>
      <c r="AO32" s="3"/>
      <c r="AP32" s="20">
        <v>46192</v>
      </c>
      <c r="AQ32" s="2"/>
      <c r="AR32" s="3"/>
      <c r="AS32" s="19"/>
      <c r="AT32" s="2"/>
      <c r="AU32" s="3"/>
      <c r="AV32" s="19" t="s">
        <v>77</v>
      </c>
      <c r="AW32" s="2"/>
      <c r="AX32" s="3"/>
      <c r="AY32" s="19"/>
      <c r="AZ32" s="2"/>
      <c r="BA32" s="3"/>
      <c r="BB32" s="19" t="s">
        <v>284</v>
      </c>
      <c r="BC32" s="2"/>
      <c r="BD32" s="3"/>
      <c r="BE32" s="20">
        <v>46251</v>
      </c>
      <c r="BF32" s="2"/>
      <c r="BG32" s="3"/>
      <c r="BH32" s="19"/>
      <c r="BI32" s="2"/>
      <c r="BJ32" s="3"/>
      <c r="BK32" s="18"/>
      <c r="BL32" s="2"/>
      <c r="BM32" s="2"/>
      <c r="BN32" s="2"/>
      <c r="BO32" s="2"/>
      <c r="BP32" s="2"/>
      <c r="BQ32" s="3"/>
    </row>
    <row r="33" ht="367.5" customHeight="1" spans="1:69">
      <c r="A33" s="17">
        <v>18</v>
      </c>
      <c r="B33" s="18" t="s">
        <v>364</v>
      </c>
      <c r="C33" s="2"/>
      <c r="D33" s="3"/>
      <c r="E33" s="18" t="s">
        <v>365</v>
      </c>
      <c r="F33" s="2"/>
      <c r="G33" s="2"/>
      <c r="H33" s="2"/>
      <c r="I33" s="3"/>
      <c r="J33" s="18" t="s">
        <v>366</v>
      </c>
      <c r="K33" s="2"/>
      <c r="L33" s="2"/>
      <c r="M33" s="2"/>
      <c r="N33" s="2"/>
      <c r="O33" s="2"/>
      <c r="P33" s="3"/>
      <c r="Q33" s="18" t="s">
        <v>367</v>
      </c>
      <c r="R33" s="2"/>
      <c r="S33" s="2"/>
      <c r="T33" s="2"/>
      <c r="U33" s="2"/>
      <c r="V33" s="2"/>
      <c r="W33" s="3"/>
      <c r="X33" s="18" t="s">
        <v>368</v>
      </c>
      <c r="Y33" s="2"/>
      <c r="Z33" s="2"/>
      <c r="AA33" s="2"/>
      <c r="AB33" s="2"/>
      <c r="AC33" s="2"/>
      <c r="AD33" s="3"/>
      <c r="AE33" s="19" t="s">
        <v>295</v>
      </c>
      <c r="AF33" s="3"/>
      <c r="AG33" s="19" t="s">
        <v>77</v>
      </c>
      <c r="AH33" s="2"/>
      <c r="AI33" s="3"/>
      <c r="AJ33" s="19"/>
      <c r="AK33" s="2"/>
      <c r="AL33" s="3"/>
      <c r="AM33" s="19" t="s">
        <v>284</v>
      </c>
      <c r="AN33" s="2"/>
      <c r="AO33" s="3"/>
      <c r="AP33" s="20">
        <v>46192</v>
      </c>
      <c r="AQ33" s="2"/>
      <c r="AR33" s="3"/>
      <c r="AS33" s="19"/>
      <c r="AT33" s="2"/>
      <c r="AU33" s="3"/>
      <c r="AV33" s="19" t="s">
        <v>77</v>
      </c>
      <c r="AW33" s="2"/>
      <c r="AX33" s="3"/>
      <c r="AY33" s="19"/>
      <c r="AZ33" s="2"/>
      <c r="BA33" s="3"/>
      <c r="BB33" s="19" t="s">
        <v>284</v>
      </c>
      <c r="BC33" s="2"/>
      <c r="BD33" s="3"/>
      <c r="BE33" s="20">
        <v>46251</v>
      </c>
      <c r="BF33" s="2"/>
      <c r="BG33" s="3"/>
      <c r="BH33" s="19"/>
      <c r="BI33" s="2"/>
      <c r="BJ33" s="3"/>
      <c r="BK33" s="18"/>
      <c r="BL33" s="2"/>
      <c r="BM33" s="2"/>
      <c r="BN33" s="2"/>
      <c r="BO33" s="2"/>
      <c r="BP33" s="2"/>
      <c r="BQ33" s="3"/>
    </row>
    <row r="34" ht="240" customHeight="1" spans="1:69">
      <c r="A34" s="17">
        <v>19</v>
      </c>
      <c r="B34" s="18" t="s">
        <v>369</v>
      </c>
      <c r="C34" s="2"/>
      <c r="D34" s="3"/>
      <c r="E34" s="18" t="s">
        <v>370</v>
      </c>
      <c r="F34" s="2"/>
      <c r="G34" s="2"/>
      <c r="H34" s="2"/>
      <c r="I34" s="3"/>
      <c r="J34" s="18" t="s">
        <v>281</v>
      </c>
      <c r="K34" s="2"/>
      <c r="L34" s="2"/>
      <c r="M34" s="2"/>
      <c r="N34" s="2"/>
      <c r="O34" s="2"/>
      <c r="P34" s="3"/>
      <c r="Q34" s="18" t="s">
        <v>371</v>
      </c>
      <c r="R34" s="2"/>
      <c r="S34" s="2"/>
      <c r="T34" s="2"/>
      <c r="U34" s="2"/>
      <c r="V34" s="2"/>
      <c r="W34" s="3"/>
      <c r="X34" s="18" t="s">
        <v>372</v>
      </c>
      <c r="Y34" s="2"/>
      <c r="Z34" s="2"/>
      <c r="AA34" s="2"/>
      <c r="AB34" s="2"/>
      <c r="AC34" s="2"/>
      <c r="AD34" s="3"/>
      <c r="AE34" s="19" t="s">
        <v>227</v>
      </c>
      <c r="AF34" s="3"/>
      <c r="AG34" s="19" t="s">
        <v>77</v>
      </c>
      <c r="AH34" s="2"/>
      <c r="AI34" s="3"/>
      <c r="AJ34" s="19"/>
      <c r="AK34" s="2"/>
      <c r="AL34" s="3"/>
      <c r="AM34" s="19" t="s">
        <v>284</v>
      </c>
      <c r="AN34" s="2"/>
      <c r="AO34" s="3"/>
      <c r="AP34" s="20">
        <v>46192</v>
      </c>
      <c r="AQ34" s="2"/>
      <c r="AR34" s="3"/>
      <c r="AS34" s="19"/>
      <c r="AT34" s="2"/>
      <c r="AU34" s="3"/>
      <c r="AV34" s="19" t="s">
        <v>77</v>
      </c>
      <c r="AW34" s="2"/>
      <c r="AX34" s="3"/>
      <c r="AY34" s="19"/>
      <c r="AZ34" s="2"/>
      <c r="BA34" s="3"/>
      <c r="BB34" s="19" t="s">
        <v>284</v>
      </c>
      <c r="BC34" s="2"/>
      <c r="BD34" s="3"/>
      <c r="BE34" s="20">
        <v>46251</v>
      </c>
      <c r="BF34" s="2"/>
      <c r="BG34" s="3"/>
      <c r="BH34" s="19"/>
      <c r="BI34" s="2"/>
      <c r="BJ34" s="3"/>
      <c r="BK34" s="18"/>
      <c r="BL34" s="2"/>
      <c r="BM34" s="2"/>
      <c r="BN34" s="2"/>
      <c r="BO34" s="2"/>
      <c r="BP34" s="2"/>
      <c r="BQ34" s="3"/>
    </row>
    <row r="35" ht="384" customHeight="1" spans="1:69">
      <c r="A35" s="17">
        <v>20</v>
      </c>
      <c r="B35" s="18" t="s">
        <v>373</v>
      </c>
      <c r="C35" s="2"/>
      <c r="D35" s="3"/>
      <c r="E35" s="18" t="s">
        <v>374</v>
      </c>
      <c r="F35" s="2"/>
      <c r="G35" s="2"/>
      <c r="H35" s="2"/>
      <c r="I35" s="3"/>
      <c r="J35" s="18" t="s">
        <v>375</v>
      </c>
      <c r="K35" s="2"/>
      <c r="L35" s="2"/>
      <c r="M35" s="2"/>
      <c r="N35" s="2"/>
      <c r="O35" s="2"/>
      <c r="P35" s="3"/>
      <c r="Q35" s="18" t="s">
        <v>376</v>
      </c>
      <c r="R35" s="2"/>
      <c r="S35" s="2"/>
      <c r="T35" s="2"/>
      <c r="U35" s="2"/>
      <c r="V35" s="2"/>
      <c r="W35" s="3"/>
      <c r="X35" s="18" t="s">
        <v>377</v>
      </c>
      <c r="Y35" s="2"/>
      <c r="Z35" s="2"/>
      <c r="AA35" s="2"/>
      <c r="AB35" s="2"/>
      <c r="AC35" s="2"/>
      <c r="AD35" s="3"/>
      <c r="AE35" s="19" t="s">
        <v>295</v>
      </c>
      <c r="AF35" s="3"/>
      <c r="AG35" s="19" t="s">
        <v>77</v>
      </c>
      <c r="AH35" s="2"/>
      <c r="AI35" s="3"/>
      <c r="AJ35" s="19"/>
      <c r="AK35" s="2"/>
      <c r="AL35" s="3"/>
      <c r="AM35" s="19" t="s">
        <v>284</v>
      </c>
      <c r="AN35" s="2"/>
      <c r="AO35" s="3"/>
      <c r="AP35" s="20">
        <v>46192</v>
      </c>
      <c r="AQ35" s="2"/>
      <c r="AR35" s="3"/>
      <c r="AS35" s="19"/>
      <c r="AT35" s="2"/>
      <c r="AU35" s="3"/>
      <c r="AV35" s="19" t="s">
        <v>77</v>
      </c>
      <c r="AW35" s="2"/>
      <c r="AX35" s="3"/>
      <c r="AY35" s="19"/>
      <c r="AZ35" s="2"/>
      <c r="BA35" s="3"/>
      <c r="BB35" s="19" t="s">
        <v>284</v>
      </c>
      <c r="BC35" s="2"/>
      <c r="BD35" s="3"/>
      <c r="BE35" s="20">
        <v>46251</v>
      </c>
      <c r="BF35" s="2"/>
      <c r="BG35" s="3"/>
      <c r="BH35" s="19"/>
      <c r="BI35" s="2"/>
      <c r="BJ35" s="3"/>
      <c r="BK35" s="18"/>
      <c r="BL35" s="2"/>
      <c r="BM35" s="2"/>
      <c r="BN35" s="2"/>
      <c r="BO35" s="2"/>
      <c r="BP35" s="2"/>
      <c r="BQ35" s="3"/>
    </row>
    <row r="36" ht="384" customHeight="1" spans="1:69">
      <c r="A36" s="17">
        <v>21</v>
      </c>
      <c r="B36" s="18" t="s">
        <v>378</v>
      </c>
      <c r="C36" s="2"/>
      <c r="D36" s="3"/>
      <c r="E36" s="18" t="s">
        <v>379</v>
      </c>
      <c r="F36" s="2"/>
      <c r="G36" s="2"/>
      <c r="H36" s="2"/>
      <c r="I36" s="3"/>
      <c r="J36" s="18" t="s">
        <v>380</v>
      </c>
      <c r="K36" s="2"/>
      <c r="L36" s="2"/>
      <c r="M36" s="2"/>
      <c r="N36" s="2"/>
      <c r="O36" s="2"/>
      <c r="P36" s="3"/>
      <c r="Q36" s="18" t="s">
        <v>381</v>
      </c>
      <c r="R36" s="2"/>
      <c r="S36" s="2"/>
      <c r="T36" s="2"/>
      <c r="U36" s="2"/>
      <c r="V36" s="2"/>
      <c r="W36" s="3"/>
      <c r="X36" s="18" t="s">
        <v>382</v>
      </c>
      <c r="Y36" s="2"/>
      <c r="Z36" s="2"/>
      <c r="AA36" s="2"/>
      <c r="AB36" s="2"/>
      <c r="AC36" s="2"/>
      <c r="AD36" s="3"/>
      <c r="AE36" s="19" t="s">
        <v>227</v>
      </c>
      <c r="AF36" s="3"/>
      <c r="AG36" s="19" t="s">
        <v>77</v>
      </c>
      <c r="AH36" s="2"/>
      <c r="AI36" s="3"/>
      <c r="AJ36" s="19"/>
      <c r="AK36" s="2"/>
      <c r="AL36" s="3"/>
      <c r="AM36" s="19" t="s">
        <v>284</v>
      </c>
      <c r="AN36" s="2"/>
      <c r="AO36" s="3"/>
      <c r="AP36" s="20">
        <v>46192</v>
      </c>
      <c r="AQ36" s="2"/>
      <c r="AR36" s="3"/>
      <c r="AS36" s="19"/>
      <c r="AT36" s="2"/>
      <c r="AU36" s="3"/>
      <c r="AV36" s="19" t="s">
        <v>77</v>
      </c>
      <c r="AW36" s="2"/>
      <c r="AX36" s="3"/>
      <c r="AY36" s="19"/>
      <c r="AZ36" s="2"/>
      <c r="BA36" s="3"/>
      <c r="BB36" s="19" t="s">
        <v>284</v>
      </c>
      <c r="BC36" s="2"/>
      <c r="BD36" s="3"/>
      <c r="BE36" s="20">
        <v>46251</v>
      </c>
      <c r="BF36" s="2"/>
      <c r="BG36" s="3"/>
      <c r="BH36" s="19"/>
      <c r="BI36" s="2"/>
      <c r="BJ36" s="3"/>
      <c r="BK36" s="18"/>
      <c r="BL36" s="2"/>
      <c r="BM36" s="2"/>
      <c r="BN36" s="2"/>
      <c r="BO36" s="2"/>
      <c r="BP36" s="2"/>
      <c r="BQ36" s="3"/>
    </row>
    <row r="37" ht="255.75" customHeight="1" spans="1:69">
      <c r="A37" s="17">
        <v>22</v>
      </c>
      <c r="B37" s="18" t="s">
        <v>383</v>
      </c>
      <c r="C37" s="2"/>
      <c r="D37" s="3"/>
      <c r="E37" s="18" t="s">
        <v>384</v>
      </c>
      <c r="F37" s="2"/>
      <c r="G37" s="2"/>
      <c r="H37" s="2"/>
      <c r="I37" s="3"/>
      <c r="J37" s="18" t="s">
        <v>385</v>
      </c>
      <c r="K37" s="2"/>
      <c r="L37" s="2"/>
      <c r="M37" s="2"/>
      <c r="N37" s="2"/>
      <c r="O37" s="2"/>
      <c r="P37" s="3"/>
      <c r="Q37" s="18" t="s">
        <v>386</v>
      </c>
      <c r="R37" s="2"/>
      <c r="S37" s="2"/>
      <c r="T37" s="2"/>
      <c r="U37" s="2"/>
      <c r="V37" s="2"/>
      <c r="W37" s="3"/>
      <c r="X37" s="18" t="s">
        <v>387</v>
      </c>
      <c r="Y37" s="2"/>
      <c r="Z37" s="2"/>
      <c r="AA37" s="2"/>
      <c r="AB37" s="2"/>
      <c r="AC37" s="2"/>
      <c r="AD37" s="3"/>
      <c r="AE37" s="19" t="s">
        <v>295</v>
      </c>
      <c r="AF37" s="3"/>
      <c r="AG37" s="19" t="s">
        <v>77</v>
      </c>
      <c r="AH37" s="2"/>
      <c r="AI37" s="3"/>
      <c r="AJ37" s="19"/>
      <c r="AK37" s="2"/>
      <c r="AL37" s="3"/>
      <c r="AM37" s="19" t="s">
        <v>284</v>
      </c>
      <c r="AN37" s="2"/>
      <c r="AO37" s="3"/>
      <c r="AP37" s="20">
        <v>46192</v>
      </c>
      <c r="AQ37" s="2"/>
      <c r="AR37" s="3"/>
      <c r="AS37" s="19"/>
      <c r="AT37" s="2"/>
      <c r="AU37" s="3"/>
      <c r="AV37" s="19" t="s">
        <v>77</v>
      </c>
      <c r="AW37" s="2"/>
      <c r="AX37" s="3"/>
      <c r="AY37" s="19"/>
      <c r="AZ37" s="2"/>
      <c r="BA37" s="3"/>
      <c r="BB37" s="19" t="s">
        <v>284</v>
      </c>
      <c r="BC37" s="2"/>
      <c r="BD37" s="3"/>
      <c r="BE37" s="20">
        <v>46251</v>
      </c>
      <c r="BF37" s="2"/>
      <c r="BG37" s="3"/>
      <c r="BH37" s="19"/>
      <c r="BI37" s="2"/>
      <c r="BJ37" s="3"/>
      <c r="BK37" s="18"/>
      <c r="BL37" s="2"/>
      <c r="BM37" s="2"/>
      <c r="BN37" s="2"/>
      <c r="BO37" s="2"/>
      <c r="BP37" s="2"/>
      <c r="BQ37" s="3"/>
    </row>
    <row r="38" ht="223.5" customHeight="1" spans="1:69">
      <c r="A38" s="17">
        <v>23</v>
      </c>
      <c r="B38" s="18" t="s">
        <v>388</v>
      </c>
      <c r="C38" s="2"/>
      <c r="D38" s="3"/>
      <c r="E38" s="18" t="s">
        <v>389</v>
      </c>
      <c r="F38" s="2"/>
      <c r="G38" s="2"/>
      <c r="H38" s="2"/>
      <c r="I38" s="3"/>
      <c r="J38" s="18" t="s">
        <v>390</v>
      </c>
      <c r="K38" s="2"/>
      <c r="L38" s="2"/>
      <c r="M38" s="2"/>
      <c r="N38" s="2"/>
      <c r="O38" s="2"/>
      <c r="P38" s="3"/>
      <c r="Q38" s="18" t="s">
        <v>391</v>
      </c>
      <c r="R38" s="2"/>
      <c r="S38" s="2"/>
      <c r="T38" s="2"/>
      <c r="U38" s="2"/>
      <c r="V38" s="2"/>
      <c r="W38" s="3"/>
      <c r="X38" s="18" t="s">
        <v>392</v>
      </c>
      <c r="Y38" s="2"/>
      <c r="Z38" s="2"/>
      <c r="AA38" s="2"/>
      <c r="AB38" s="2"/>
      <c r="AC38" s="2"/>
      <c r="AD38" s="3"/>
      <c r="AE38" s="19" t="s">
        <v>295</v>
      </c>
      <c r="AF38" s="3"/>
      <c r="AG38" s="19" t="s">
        <v>77</v>
      </c>
      <c r="AH38" s="2"/>
      <c r="AI38" s="3"/>
      <c r="AJ38" s="19"/>
      <c r="AK38" s="2"/>
      <c r="AL38" s="3"/>
      <c r="AM38" s="19" t="s">
        <v>284</v>
      </c>
      <c r="AN38" s="2"/>
      <c r="AO38" s="3"/>
      <c r="AP38" s="20">
        <v>46192</v>
      </c>
      <c r="AQ38" s="2"/>
      <c r="AR38" s="3"/>
      <c r="AS38" s="19"/>
      <c r="AT38" s="2"/>
      <c r="AU38" s="3"/>
      <c r="AV38" s="19" t="s">
        <v>77</v>
      </c>
      <c r="AW38" s="2"/>
      <c r="AX38" s="3"/>
      <c r="AY38" s="19"/>
      <c r="AZ38" s="2"/>
      <c r="BA38" s="3"/>
      <c r="BB38" s="19" t="s">
        <v>284</v>
      </c>
      <c r="BC38" s="2"/>
      <c r="BD38" s="3"/>
      <c r="BE38" s="20">
        <v>46251</v>
      </c>
      <c r="BF38" s="2"/>
      <c r="BG38" s="3"/>
      <c r="BH38" s="19"/>
      <c r="BI38" s="2"/>
      <c r="BJ38" s="3"/>
      <c r="BK38" s="18"/>
      <c r="BL38" s="2"/>
      <c r="BM38" s="2"/>
      <c r="BN38" s="2"/>
      <c r="BO38" s="2"/>
      <c r="BP38" s="2"/>
      <c r="BQ38" s="3"/>
    </row>
    <row r="39" ht="384" customHeight="1" spans="1:69">
      <c r="A39" s="17">
        <v>24</v>
      </c>
      <c r="B39" s="18" t="s">
        <v>393</v>
      </c>
      <c r="C39" s="2"/>
      <c r="D39" s="3"/>
      <c r="E39" s="18" t="s">
        <v>394</v>
      </c>
      <c r="F39" s="2"/>
      <c r="G39" s="2"/>
      <c r="H39" s="2"/>
      <c r="I39" s="3"/>
      <c r="J39" s="18" t="s">
        <v>320</v>
      </c>
      <c r="K39" s="2"/>
      <c r="L39" s="2"/>
      <c r="M39" s="2"/>
      <c r="N39" s="2"/>
      <c r="O39" s="2"/>
      <c r="P39" s="3"/>
      <c r="Q39" s="18" t="s">
        <v>395</v>
      </c>
      <c r="R39" s="2"/>
      <c r="S39" s="2"/>
      <c r="T39" s="2"/>
      <c r="U39" s="2"/>
      <c r="V39" s="2"/>
      <c r="W39" s="3"/>
      <c r="X39" s="18" t="s">
        <v>396</v>
      </c>
      <c r="Y39" s="2"/>
      <c r="Z39" s="2"/>
      <c r="AA39" s="2"/>
      <c r="AB39" s="2"/>
      <c r="AC39" s="2"/>
      <c r="AD39" s="3"/>
      <c r="AE39" s="19" t="s">
        <v>295</v>
      </c>
      <c r="AF39" s="3"/>
      <c r="AG39" s="19" t="s">
        <v>77</v>
      </c>
      <c r="AH39" s="2"/>
      <c r="AI39" s="3"/>
      <c r="AJ39" s="19"/>
      <c r="AK39" s="2"/>
      <c r="AL39" s="3"/>
      <c r="AM39" s="19" t="s">
        <v>284</v>
      </c>
      <c r="AN39" s="2"/>
      <c r="AO39" s="3"/>
      <c r="AP39" s="20">
        <v>46192</v>
      </c>
      <c r="AQ39" s="2"/>
      <c r="AR39" s="3"/>
      <c r="AS39" s="19"/>
      <c r="AT39" s="2"/>
      <c r="AU39" s="3"/>
      <c r="AV39" s="19" t="s">
        <v>77</v>
      </c>
      <c r="AW39" s="2"/>
      <c r="AX39" s="3"/>
      <c r="AY39" s="19"/>
      <c r="AZ39" s="2"/>
      <c r="BA39" s="3"/>
      <c r="BB39" s="19" t="s">
        <v>284</v>
      </c>
      <c r="BC39" s="2"/>
      <c r="BD39" s="3"/>
      <c r="BE39" s="20">
        <v>46251</v>
      </c>
      <c r="BF39" s="2"/>
      <c r="BG39" s="3"/>
      <c r="BH39" s="19"/>
      <c r="BI39" s="2"/>
      <c r="BJ39" s="3"/>
      <c r="BK39" s="18"/>
      <c r="BL39" s="2"/>
      <c r="BM39" s="2"/>
      <c r="BN39" s="2"/>
      <c r="BO39" s="2"/>
      <c r="BP39" s="2"/>
      <c r="BQ39" s="3"/>
    </row>
    <row r="40" ht="319.5" customHeight="1" spans="1:69">
      <c r="A40" s="17">
        <v>25</v>
      </c>
      <c r="B40" s="18" t="s">
        <v>397</v>
      </c>
      <c r="C40" s="2"/>
      <c r="D40" s="3"/>
      <c r="E40" s="18" t="s">
        <v>398</v>
      </c>
      <c r="F40" s="2"/>
      <c r="G40" s="2"/>
      <c r="H40" s="2"/>
      <c r="I40" s="3"/>
      <c r="J40" s="18" t="s">
        <v>325</v>
      </c>
      <c r="K40" s="2"/>
      <c r="L40" s="2"/>
      <c r="M40" s="2"/>
      <c r="N40" s="2"/>
      <c r="O40" s="2"/>
      <c r="P40" s="3"/>
      <c r="Q40" s="18" t="s">
        <v>399</v>
      </c>
      <c r="R40" s="2"/>
      <c r="S40" s="2"/>
      <c r="T40" s="2"/>
      <c r="U40" s="2"/>
      <c r="V40" s="2"/>
      <c r="W40" s="3"/>
      <c r="X40" s="18" t="s">
        <v>400</v>
      </c>
      <c r="Y40" s="2"/>
      <c r="Z40" s="2"/>
      <c r="AA40" s="2"/>
      <c r="AB40" s="2"/>
      <c r="AC40" s="2"/>
      <c r="AD40" s="3"/>
      <c r="AE40" s="19" t="s">
        <v>227</v>
      </c>
      <c r="AF40" s="3"/>
      <c r="AG40" s="19" t="s">
        <v>77</v>
      </c>
      <c r="AH40" s="2"/>
      <c r="AI40" s="3"/>
      <c r="AJ40" s="19"/>
      <c r="AK40" s="2"/>
      <c r="AL40" s="3"/>
      <c r="AM40" s="19" t="s">
        <v>284</v>
      </c>
      <c r="AN40" s="2"/>
      <c r="AO40" s="3"/>
      <c r="AP40" s="20">
        <v>46192</v>
      </c>
      <c r="AQ40" s="2"/>
      <c r="AR40" s="3"/>
      <c r="AS40" s="19"/>
      <c r="AT40" s="2"/>
      <c r="AU40" s="3"/>
      <c r="AV40" s="19" t="s">
        <v>77</v>
      </c>
      <c r="AW40" s="2"/>
      <c r="AX40" s="3"/>
      <c r="AY40" s="19"/>
      <c r="AZ40" s="2"/>
      <c r="BA40" s="3"/>
      <c r="BB40" s="19" t="s">
        <v>284</v>
      </c>
      <c r="BC40" s="2"/>
      <c r="BD40" s="3"/>
      <c r="BE40" s="20">
        <v>46251</v>
      </c>
      <c r="BF40" s="2"/>
      <c r="BG40" s="3"/>
      <c r="BH40" s="19"/>
      <c r="BI40" s="2"/>
      <c r="BJ40" s="3"/>
      <c r="BK40" s="18"/>
      <c r="BL40" s="2"/>
      <c r="BM40" s="2"/>
      <c r="BN40" s="2"/>
      <c r="BO40" s="2"/>
      <c r="BP40" s="2"/>
      <c r="BQ40" s="3"/>
    </row>
    <row r="41" ht="288" customHeight="1" spans="1:69">
      <c r="A41" s="17">
        <v>26</v>
      </c>
      <c r="B41" s="18" t="s">
        <v>401</v>
      </c>
      <c r="C41" s="2"/>
      <c r="D41" s="3"/>
      <c r="E41" s="18" t="s">
        <v>402</v>
      </c>
      <c r="F41" s="2"/>
      <c r="G41" s="2"/>
      <c r="H41" s="2"/>
      <c r="I41" s="3"/>
      <c r="J41" s="18" t="s">
        <v>403</v>
      </c>
      <c r="K41" s="2"/>
      <c r="L41" s="2"/>
      <c r="M41" s="2"/>
      <c r="N41" s="2"/>
      <c r="O41" s="2"/>
      <c r="P41" s="3"/>
      <c r="Q41" s="18" t="s">
        <v>404</v>
      </c>
      <c r="R41" s="2"/>
      <c r="S41" s="2"/>
      <c r="T41" s="2"/>
      <c r="U41" s="2"/>
      <c r="V41" s="2"/>
      <c r="W41" s="3"/>
      <c r="X41" s="18" t="s">
        <v>405</v>
      </c>
      <c r="Y41" s="2"/>
      <c r="Z41" s="2"/>
      <c r="AA41" s="2"/>
      <c r="AB41" s="2"/>
      <c r="AC41" s="2"/>
      <c r="AD41" s="3"/>
      <c r="AE41" s="19" t="s">
        <v>295</v>
      </c>
      <c r="AF41" s="3"/>
      <c r="AG41" s="19" t="s">
        <v>77</v>
      </c>
      <c r="AH41" s="2"/>
      <c r="AI41" s="3"/>
      <c r="AJ41" s="19"/>
      <c r="AK41" s="2"/>
      <c r="AL41" s="3"/>
      <c r="AM41" s="19" t="s">
        <v>284</v>
      </c>
      <c r="AN41" s="2"/>
      <c r="AO41" s="3"/>
      <c r="AP41" s="20">
        <v>46192</v>
      </c>
      <c r="AQ41" s="2"/>
      <c r="AR41" s="3"/>
      <c r="AS41" s="19"/>
      <c r="AT41" s="2"/>
      <c r="AU41" s="3"/>
      <c r="AV41" s="19" t="s">
        <v>77</v>
      </c>
      <c r="AW41" s="2"/>
      <c r="AX41" s="3"/>
      <c r="AY41" s="19"/>
      <c r="AZ41" s="2"/>
      <c r="BA41" s="3"/>
      <c r="BB41" s="19" t="s">
        <v>284</v>
      </c>
      <c r="BC41" s="2"/>
      <c r="BD41" s="3"/>
      <c r="BE41" s="20">
        <v>46251</v>
      </c>
      <c r="BF41" s="2"/>
      <c r="BG41" s="3"/>
      <c r="BH41" s="19"/>
      <c r="BI41" s="2"/>
      <c r="BJ41" s="3"/>
      <c r="BK41" s="18" t="s">
        <v>306</v>
      </c>
      <c r="BL41" s="2"/>
      <c r="BM41" s="2"/>
      <c r="BN41" s="2"/>
      <c r="BO41" s="2"/>
      <c r="BP41" s="2"/>
      <c r="BQ41" s="3"/>
    </row>
    <row r="42" ht="22.5" customHeight="1" spans="1:69">
      <c r="A42" s="16" t="s">
        <v>406</v>
      </c>
      <c r="B42" s="2"/>
      <c r="C42" s="2"/>
      <c r="D42" s="2"/>
      <c r="E42" s="2"/>
      <c r="F42" s="2"/>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c r="BB42" s="2"/>
      <c r="BC42" s="2"/>
      <c r="BD42" s="2"/>
      <c r="BE42" s="2"/>
      <c r="BF42" s="2"/>
      <c r="BG42" s="2"/>
      <c r="BH42" s="2"/>
      <c r="BI42" s="2"/>
      <c r="BJ42" s="2"/>
      <c r="BK42" s="2"/>
      <c r="BL42" s="2"/>
      <c r="BM42" s="2"/>
      <c r="BN42" s="2"/>
      <c r="BO42" s="2"/>
      <c r="BP42" s="2"/>
      <c r="BQ42" s="3"/>
    </row>
    <row r="43" ht="255.75" customHeight="1" spans="1:69">
      <c r="A43" s="17">
        <v>27</v>
      </c>
      <c r="B43" s="18" t="s">
        <v>407</v>
      </c>
      <c r="C43" s="2"/>
      <c r="D43" s="3"/>
      <c r="E43" s="18" t="s">
        <v>408</v>
      </c>
      <c r="F43" s="2"/>
      <c r="G43" s="2"/>
      <c r="H43" s="2"/>
      <c r="I43" s="3"/>
      <c r="J43" s="18" t="s">
        <v>409</v>
      </c>
      <c r="K43" s="2"/>
      <c r="L43" s="2"/>
      <c r="M43" s="2"/>
      <c r="N43" s="2"/>
      <c r="O43" s="2"/>
      <c r="P43" s="3"/>
      <c r="Q43" s="18" t="s">
        <v>410</v>
      </c>
      <c r="R43" s="2"/>
      <c r="S43" s="2"/>
      <c r="T43" s="2"/>
      <c r="U43" s="2"/>
      <c r="V43" s="2"/>
      <c r="W43" s="3"/>
      <c r="X43" s="18" t="s">
        <v>411</v>
      </c>
      <c r="Y43" s="2"/>
      <c r="Z43" s="2"/>
      <c r="AA43" s="2"/>
      <c r="AB43" s="2"/>
      <c r="AC43" s="2"/>
      <c r="AD43" s="3"/>
      <c r="AE43" s="19" t="s">
        <v>227</v>
      </c>
      <c r="AF43" s="3"/>
      <c r="AG43" s="19" t="s">
        <v>77</v>
      </c>
      <c r="AH43" s="2"/>
      <c r="AI43" s="3"/>
      <c r="AJ43" s="19"/>
      <c r="AK43" s="2"/>
      <c r="AL43" s="3"/>
      <c r="AM43" s="19" t="s">
        <v>284</v>
      </c>
      <c r="AN43" s="2"/>
      <c r="AO43" s="3"/>
      <c r="AP43" s="20">
        <v>46192</v>
      </c>
      <c r="AQ43" s="2"/>
      <c r="AR43" s="3"/>
      <c r="AS43" s="19"/>
      <c r="AT43" s="2"/>
      <c r="AU43" s="3"/>
      <c r="AV43" s="19" t="s">
        <v>77</v>
      </c>
      <c r="AW43" s="2"/>
      <c r="AX43" s="3"/>
      <c r="AY43" s="19"/>
      <c r="AZ43" s="2"/>
      <c r="BA43" s="3"/>
      <c r="BB43" s="19" t="s">
        <v>284</v>
      </c>
      <c r="BC43" s="2"/>
      <c r="BD43" s="3"/>
      <c r="BE43" s="20">
        <v>46251</v>
      </c>
      <c r="BF43" s="2"/>
      <c r="BG43" s="3"/>
      <c r="BH43" s="19"/>
      <c r="BI43" s="2"/>
      <c r="BJ43" s="3"/>
      <c r="BK43" s="18"/>
      <c r="BL43" s="2"/>
      <c r="BM43" s="2"/>
      <c r="BN43" s="2"/>
      <c r="BO43" s="2"/>
      <c r="BP43" s="2"/>
      <c r="BQ43" s="3"/>
    </row>
    <row r="44" ht="319.5" customHeight="1" spans="1:69">
      <c r="A44" s="17">
        <v>28</v>
      </c>
      <c r="B44" s="18" t="s">
        <v>412</v>
      </c>
      <c r="C44" s="2"/>
      <c r="D44" s="3"/>
      <c r="E44" s="18" t="s">
        <v>413</v>
      </c>
      <c r="F44" s="2"/>
      <c r="G44" s="2"/>
      <c r="H44" s="2"/>
      <c r="I44" s="3"/>
      <c r="J44" s="18" t="s">
        <v>414</v>
      </c>
      <c r="K44" s="2"/>
      <c r="L44" s="2"/>
      <c r="M44" s="2"/>
      <c r="N44" s="2"/>
      <c r="O44" s="2"/>
      <c r="P44" s="3"/>
      <c r="Q44" s="18" t="s">
        <v>415</v>
      </c>
      <c r="R44" s="2"/>
      <c r="S44" s="2"/>
      <c r="T44" s="2"/>
      <c r="U44" s="2"/>
      <c r="V44" s="2"/>
      <c r="W44" s="3"/>
      <c r="X44" s="18" t="s">
        <v>416</v>
      </c>
      <c r="Y44" s="2"/>
      <c r="Z44" s="2"/>
      <c r="AA44" s="2"/>
      <c r="AB44" s="2"/>
      <c r="AC44" s="2"/>
      <c r="AD44" s="3"/>
      <c r="AE44" s="19" t="s">
        <v>227</v>
      </c>
      <c r="AF44" s="3"/>
      <c r="AG44" s="19" t="s">
        <v>77</v>
      </c>
      <c r="AH44" s="2"/>
      <c r="AI44" s="3"/>
      <c r="AJ44" s="19"/>
      <c r="AK44" s="2"/>
      <c r="AL44" s="3"/>
      <c r="AM44" s="19" t="s">
        <v>284</v>
      </c>
      <c r="AN44" s="2"/>
      <c r="AO44" s="3"/>
      <c r="AP44" s="20">
        <v>46192</v>
      </c>
      <c r="AQ44" s="2"/>
      <c r="AR44" s="3"/>
      <c r="AS44" s="19"/>
      <c r="AT44" s="2"/>
      <c r="AU44" s="3"/>
      <c r="AV44" s="19" t="s">
        <v>77</v>
      </c>
      <c r="AW44" s="2"/>
      <c r="AX44" s="3"/>
      <c r="AY44" s="19"/>
      <c r="AZ44" s="2"/>
      <c r="BA44" s="3"/>
      <c r="BB44" s="19" t="s">
        <v>284</v>
      </c>
      <c r="BC44" s="2"/>
      <c r="BD44" s="3"/>
      <c r="BE44" s="20">
        <v>46251</v>
      </c>
      <c r="BF44" s="2"/>
      <c r="BG44" s="3"/>
      <c r="BH44" s="19"/>
      <c r="BI44" s="2"/>
      <c r="BJ44" s="3"/>
      <c r="BK44" s="18"/>
      <c r="BL44" s="2"/>
      <c r="BM44" s="2"/>
      <c r="BN44" s="2"/>
      <c r="BO44" s="2"/>
      <c r="BP44" s="2"/>
      <c r="BQ44" s="3"/>
    </row>
    <row r="45" ht="319.5" customHeight="1" spans="1:69">
      <c r="A45" s="17">
        <v>29</v>
      </c>
      <c r="B45" s="18" t="s">
        <v>417</v>
      </c>
      <c r="C45" s="2"/>
      <c r="D45" s="3"/>
      <c r="E45" s="18" t="s">
        <v>418</v>
      </c>
      <c r="F45" s="2"/>
      <c r="G45" s="2"/>
      <c r="H45" s="2"/>
      <c r="I45" s="3"/>
      <c r="J45" s="18" t="s">
        <v>419</v>
      </c>
      <c r="K45" s="2"/>
      <c r="L45" s="2"/>
      <c r="M45" s="2"/>
      <c r="N45" s="2"/>
      <c r="O45" s="2"/>
      <c r="P45" s="3"/>
      <c r="Q45" s="18" t="s">
        <v>420</v>
      </c>
      <c r="R45" s="2"/>
      <c r="S45" s="2"/>
      <c r="T45" s="2"/>
      <c r="U45" s="2"/>
      <c r="V45" s="2"/>
      <c r="W45" s="3"/>
      <c r="X45" s="18" t="s">
        <v>421</v>
      </c>
      <c r="Y45" s="2"/>
      <c r="Z45" s="2"/>
      <c r="AA45" s="2"/>
      <c r="AB45" s="2"/>
      <c r="AC45" s="2"/>
      <c r="AD45" s="3"/>
      <c r="AE45" s="19" t="s">
        <v>231</v>
      </c>
      <c r="AF45" s="3"/>
      <c r="AG45" s="19" t="s">
        <v>77</v>
      </c>
      <c r="AH45" s="2"/>
      <c r="AI45" s="3"/>
      <c r="AJ45" s="19"/>
      <c r="AK45" s="2"/>
      <c r="AL45" s="3"/>
      <c r="AM45" s="19" t="s">
        <v>284</v>
      </c>
      <c r="AN45" s="2"/>
      <c r="AO45" s="3"/>
      <c r="AP45" s="20">
        <v>46192</v>
      </c>
      <c r="AQ45" s="2"/>
      <c r="AR45" s="3"/>
      <c r="AS45" s="19"/>
      <c r="AT45" s="2"/>
      <c r="AU45" s="3"/>
      <c r="AV45" s="19" t="s">
        <v>77</v>
      </c>
      <c r="AW45" s="2"/>
      <c r="AX45" s="3"/>
      <c r="AY45" s="19"/>
      <c r="AZ45" s="2"/>
      <c r="BA45" s="3"/>
      <c r="BB45" s="19" t="s">
        <v>284</v>
      </c>
      <c r="BC45" s="2"/>
      <c r="BD45" s="3"/>
      <c r="BE45" s="20">
        <v>46251</v>
      </c>
      <c r="BF45" s="2"/>
      <c r="BG45" s="3"/>
      <c r="BH45" s="19"/>
      <c r="BI45" s="2"/>
      <c r="BJ45" s="3"/>
      <c r="BK45" s="18"/>
      <c r="BL45" s="2"/>
      <c r="BM45" s="2"/>
      <c r="BN45" s="2"/>
      <c r="BO45" s="2"/>
      <c r="BP45" s="2"/>
      <c r="BQ45" s="3"/>
    </row>
    <row r="46" ht="399.75" customHeight="1" spans="1:69">
      <c r="A46" s="17">
        <v>30</v>
      </c>
      <c r="B46" s="18" t="s">
        <v>422</v>
      </c>
      <c r="C46" s="2"/>
      <c r="D46" s="3"/>
      <c r="E46" s="18" t="s">
        <v>423</v>
      </c>
      <c r="F46" s="2"/>
      <c r="G46" s="2"/>
      <c r="H46" s="2"/>
      <c r="I46" s="3"/>
      <c r="J46" s="18" t="s">
        <v>424</v>
      </c>
      <c r="K46" s="2"/>
      <c r="L46" s="2"/>
      <c r="M46" s="2"/>
      <c r="N46" s="2"/>
      <c r="O46" s="2"/>
      <c r="P46" s="3"/>
      <c r="Q46" s="18" t="s">
        <v>425</v>
      </c>
      <c r="R46" s="2"/>
      <c r="S46" s="2"/>
      <c r="T46" s="2"/>
      <c r="U46" s="2"/>
      <c r="V46" s="2"/>
      <c r="W46" s="3"/>
      <c r="X46" s="18" t="s">
        <v>426</v>
      </c>
      <c r="Y46" s="2"/>
      <c r="Z46" s="2"/>
      <c r="AA46" s="2"/>
      <c r="AB46" s="2"/>
      <c r="AC46" s="2"/>
      <c r="AD46" s="3"/>
      <c r="AE46" s="19" t="s">
        <v>227</v>
      </c>
      <c r="AF46" s="3"/>
      <c r="AG46" s="19" t="s">
        <v>77</v>
      </c>
      <c r="AH46" s="2"/>
      <c r="AI46" s="3"/>
      <c r="AJ46" s="19"/>
      <c r="AK46" s="2"/>
      <c r="AL46" s="3"/>
      <c r="AM46" s="19" t="s">
        <v>284</v>
      </c>
      <c r="AN46" s="2"/>
      <c r="AO46" s="3"/>
      <c r="AP46" s="20">
        <v>46192</v>
      </c>
      <c r="AQ46" s="2"/>
      <c r="AR46" s="3"/>
      <c r="AS46" s="19"/>
      <c r="AT46" s="2"/>
      <c r="AU46" s="3"/>
      <c r="AV46" s="19" t="s">
        <v>77</v>
      </c>
      <c r="AW46" s="2"/>
      <c r="AX46" s="3"/>
      <c r="AY46" s="19"/>
      <c r="AZ46" s="2"/>
      <c r="BA46" s="3"/>
      <c r="BB46" s="19" t="s">
        <v>284</v>
      </c>
      <c r="BC46" s="2"/>
      <c r="BD46" s="3"/>
      <c r="BE46" s="20">
        <v>46251</v>
      </c>
      <c r="BF46" s="2"/>
      <c r="BG46" s="3"/>
      <c r="BH46" s="19"/>
      <c r="BI46" s="2"/>
      <c r="BJ46" s="3"/>
      <c r="BK46" s="18"/>
      <c r="BL46" s="2"/>
      <c r="BM46" s="2"/>
      <c r="BN46" s="2"/>
      <c r="BO46" s="2"/>
      <c r="BP46" s="2"/>
      <c r="BQ46" s="3"/>
    </row>
    <row r="47" ht="336" customHeight="1" spans="1:69">
      <c r="A47" s="17">
        <v>31</v>
      </c>
      <c r="B47" s="18" t="s">
        <v>427</v>
      </c>
      <c r="C47" s="2"/>
      <c r="D47" s="3"/>
      <c r="E47" s="18" t="s">
        <v>428</v>
      </c>
      <c r="F47" s="2"/>
      <c r="G47" s="2"/>
      <c r="H47" s="2"/>
      <c r="I47" s="3"/>
      <c r="J47" s="18" t="s">
        <v>429</v>
      </c>
      <c r="K47" s="2"/>
      <c r="L47" s="2"/>
      <c r="M47" s="2"/>
      <c r="N47" s="2"/>
      <c r="O47" s="2"/>
      <c r="P47" s="3"/>
      <c r="Q47" s="18" t="s">
        <v>430</v>
      </c>
      <c r="R47" s="2"/>
      <c r="S47" s="2"/>
      <c r="T47" s="2"/>
      <c r="U47" s="2"/>
      <c r="V47" s="2"/>
      <c r="W47" s="3"/>
      <c r="X47" s="18" t="s">
        <v>431</v>
      </c>
      <c r="Y47" s="2"/>
      <c r="Z47" s="2"/>
      <c r="AA47" s="2"/>
      <c r="AB47" s="2"/>
      <c r="AC47" s="2"/>
      <c r="AD47" s="3"/>
      <c r="AE47" s="19" t="s">
        <v>227</v>
      </c>
      <c r="AF47" s="3"/>
      <c r="AG47" s="19" t="s">
        <v>77</v>
      </c>
      <c r="AH47" s="2"/>
      <c r="AI47" s="3"/>
      <c r="AJ47" s="19"/>
      <c r="AK47" s="2"/>
      <c r="AL47" s="3"/>
      <c r="AM47" s="19" t="s">
        <v>284</v>
      </c>
      <c r="AN47" s="2"/>
      <c r="AO47" s="3"/>
      <c r="AP47" s="20">
        <v>46192</v>
      </c>
      <c r="AQ47" s="2"/>
      <c r="AR47" s="3"/>
      <c r="AS47" s="19"/>
      <c r="AT47" s="2"/>
      <c r="AU47" s="3"/>
      <c r="AV47" s="19" t="s">
        <v>77</v>
      </c>
      <c r="AW47" s="2"/>
      <c r="AX47" s="3"/>
      <c r="AY47" s="19"/>
      <c r="AZ47" s="2"/>
      <c r="BA47" s="3"/>
      <c r="BB47" s="19" t="s">
        <v>284</v>
      </c>
      <c r="BC47" s="2"/>
      <c r="BD47" s="3"/>
      <c r="BE47" s="20">
        <v>46251</v>
      </c>
      <c r="BF47" s="2"/>
      <c r="BG47" s="3"/>
      <c r="BH47" s="19"/>
      <c r="BI47" s="2"/>
      <c r="BJ47" s="3"/>
      <c r="BK47" s="18" t="s">
        <v>432</v>
      </c>
      <c r="BL47" s="2"/>
      <c r="BM47" s="2"/>
      <c r="BN47" s="2"/>
      <c r="BO47" s="2"/>
      <c r="BP47" s="2"/>
      <c r="BQ47" s="3"/>
    </row>
    <row r="48" ht="351.75" customHeight="1" spans="1:69">
      <c r="A48" s="17">
        <v>32</v>
      </c>
      <c r="B48" s="18" t="s">
        <v>433</v>
      </c>
      <c r="C48" s="2"/>
      <c r="D48" s="3"/>
      <c r="E48" s="18" t="s">
        <v>434</v>
      </c>
      <c r="F48" s="2"/>
      <c r="G48" s="2"/>
      <c r="H48" s="2"/>
      <c r="I48" s="3"/>
      <c r="J48" s="18" t="s">
        <v>435</v>
      </c>
      <c r="K48" s="2"/>
      <c r="L48" s="2"/>
      <c r="M48" s="2"/>
      <c r="N48" s="2"/>
      <c r="O48" s="2"/>
      <c r="P48" s="3"/>
      <c r="Q48" s="18" t="s">
        <v>436</v>
      </c>
      <c r="R48" s="2"/>
      <c r="S48" s="2"/>
      <c r="T48" s="2"/>
      <c r="U48" s="2"/>
      <c r="V48" s="2"/>
      <c r="W48" s="3"/>
      <c r="X48" s="18" t="s">
        <v>437</v>
      </c>
      <c r="Y48" s="2"/>
      <c r="Z48" s="2"/>
      <c r="AA48" s="2"/>
      <c r="AB48" s="2"/>
      <c r="AC48" s="2"/>
      <c r="AD48" s="3"/>
      <c r="AE48" s="19" t="s">
        <v>231</v>
      </c>
      <c r="AF48" s="3"/>
      <c r="AG48" s="19" t="s">
        <v>77</v>
      </c>
      <c r="AH48" s="2"/>
      <c r="AI48" s="3"/>
      <c r="AJ48" s="19"/>
      <c r="AK48" s="2"/>
      <c r="AL48" s="3"/>
      <c r="AM48" s="19" t="s">
        <v>284</v>
      </c>
      <c r="AN48" s="2"/>
      <c r="AO48" s="3"/>
      <c r="AP48" s="20">
        <v>46192</v>
      </c>
      <c r="AQ48" s="2"/>
      <c r="AR48" s="3"/>
      <c r="AS48" s="19"/>
      <c r="AT48" s="2"/>
      <c r="AU48" s="3"/>
      <c r="AV48" s="19" t="s">
        <v>77</v>
      </c>
      <c r="AW48" s="2"/>
      <c r="AX48" s="3"/>
      <c r="AY48" s="19"/>
      <c r="AZ48" s="2"/>
      <c r="BA48" s="3"/>
      <c r="BB48" s="19" t="s">
        <v>284</v>
      </c>
      <c r="BC48" s="2"/>
      <c r="BD48" s="3"/>
      <c r="BE48" s="20">
        <v>46251</v>
      </c>
      <c r="BF48" s="2"/>
      <c r="BG48" s="3"/>
      <c r="BH48" s="19"/>
      <c r="BI48" s="2"/>
      <c r="BJ48" s="3"/>
      <c r="BK48" s="18"/>
      <c r="BL48" s="2"/>
      <c r="BM48" s="2"/>
      <c r="BN48" s="2"/>
      <c r="BO48" s="2"/>
      <c r="BP48" s="2"/>
      <c r="BQ48" s="3"/>
    </row>
    <row r="49" ht="399.75" customHeight="1" spans="1:69">
      <c r="A49" s="17">
        <v>33</v>
      </c>
      <c r="B49" s="18" t="s">
        <v>438</v>
      </c>
      <c r="C49" s="2"/>
      <c r="D49" s="3"/>
      <c r="E49" s="18" t="s">
        <v>439</v>
      </c>
      <c r="F49" s="2"/>
      <c r="G49" s="2"/>
      <c r="H49" s="2"/>
      <c r="I49" s="3"/>
      <c r="J49" s="18" t="s">
        <v>435</v>
      </c>
      <c r="K49" s="2"/>
      <c r="L49" s="2"/>
      <c r="M49" s="2"/>
      <c r="N49" s="2"/>
      <c r="O49" s="2"/>
      <c r="P49" s="3"/>
      <c r="Q49" s="18" t="s">
        <v>440</v>
      </c>
      <c r="R49" s="2"/>
      <c r="S49" s="2"/>
      <c r="T49" s="2"/>
      <c r="U49" s="2"/>
      <c r="V49" s="2"/>
      <c r="W49" s="3"/>
      <c r="X49" s="18" t="s">
        <v>441</v>
      </c>
      <c r="Y49" s="2"/>
      <c r="Z49" s="2"/>
      <c r="AA49" s="2"/>
      <c r="AB49" s="2"/>
      <c r="AC49" s="2"/>
      <c r="AD49" s="3"/>
      <c r="AE49" s="19" t="s">
        <v>231</v>
      </c>
      <c r="AF49" s="3"/>
      <c r="AG49" s="19" t="s">
        <v>77</v>
      </c>
      <c r="AH49" s="2"/>
      <c r="AI49" s="3"/>
      <c r="AJ49" s="19"/>
      <c r="AK49" s="2"/>
      <c r="AL49" s="3"/>
      <c r="AM49" s="19" t="s">
        <v>284</v>
      </c>
      <c r="AN49" s="2"/>
      <c r="AO49" s="3"/>
      <c r="AP49" s="20">
        <v>46192</v>
      </c>
      <c r="AQ49" s="2"/>
      <c r="AR49" s="3"/>
      <c r="AS49" s="19"/>
      <c r="AT49" s="2"/>
      <c r="AU49" s="3"/>
      <c r="AV49" s="19" t="s">
        <v>77</v>
      </c>
      <c r="AW49" s="2"/>
      <c r="AX49" s="3"/>
      <c r="AY49" s="19"/>
      <c r="AZ49" s="2"/>
      <c r="BA49" s="3"/>
      <c r="BB49" s="19" t="s">
        <v>284</v>
      </c>
      <c r="BC49" s="2"/>
      <c r="BD49" s="3"/>
      <c r="BE49" s="20">
        <v>46251</v>
      </c>
      <c r="BF49" s="2"/>
      <c r="BG49" s="3"/>
      <c r="BH49" s="19"/>
      <c r="BI49" s="2"/>
      <c r="BJ49" s="3"/>
      <c r="BK49" s="18"/>
      <c r="BL49" s="2"/>
      <c r="BM49" s="2"/>
      <c r="BN49" s="2"/>
      <c r="BO49" s="2"/>
      <c r="BP49" s="2"/>
      <c r="BQ49" s="3"/>
    </row>
    <row r="50" ht="303.75" customHeight="1" spans="1:69">
      <c r="A50" s="17">
        <v>34</v>
      </c>
      <c r="B50" s="18" t="s">
        <v>442</v>
      </c>
      <c r="C50" s="2"/>
      <c r="D50" s="3"/>
      <c r="E50" s="18" t="s">
        <v>443</v>
      </c>
      <c r="F50" s="2"/>
      <c r="G50" s="2"/>
      <c r="H50" s="2"/>
      <c r="I50" s="3"/>
      <c r="J50" s="18" t="s">
        <v>444</v>
      </c>
      <c r="K50" s="2"/>
      <c r="L50" s="2"/>
      <c r="M50" s="2"/>
      <c r="N50" s="2"/>
      <c r="O50" s="2"/>
      <c r="P50" s="3"/>
      <c r="Q50" s="18" t="s">
        <v>445</v>
      </c>
      <c r="R50" s="2"/>
      <c r="S50" s="2"/>
      <c r="T50" s="2"/>
      <c r="U50" s="2"/>
      <c r="V50" s="2"/>
      <c r="W50" s="3"/>
      <c r="X50" s="18" t="s">
        <v>446</v>
      </c>
      <c r="Y50" s="2"/>
      <c r="Z50" s="2"/>
      <c r="AA50" s="2"/>
      <c r="AB50" s="2"/>
      <c r="AC50" s="2"/>
      <c r="AD50" s="3"/>
      <c r="AE50" s="19" t="s">
        <v>227</v>
      </c>
      <c r="AF50" s="3"/>
      <c r="AG50" s="19" t="s">
        <v>77</v>
      </c>
      <c r="AH50" s="2"/>
      <c r="AI50" s="3"/>
      <c r="AJ50" s="19"/>
      <c r="AK50" s="2"/>
      <c r="AL50" s="3"/>
      <c r="AM50" s="19" t="s">
        <v>284</v>
      </c>
      <c r="AN50" s="2"/>
      <c r="AO50" s="3"/>
      <c r="AP50" s="20">
        <v>46192</v>
      </c>
      <c r="AQ50" s="2"/>
      <c r="AR50" s="3"/>
      <c r="AS50" s="19"/>
      <c r="AT50" s="2"/>
      <c r="AU50" s="3"/>
      <c r="AV50" s="19" t="s">
        <v>77</v>
      </c>
      <c r="AW50" s="2"/>
      <c r="AX50" s="3"/>
      <c r="AY50" s="19"/>
      <c r="AZ50" s="2"/>
      <c r="BA50" s="3"/>
      <c r="BB50" s="19" t="s">
        <v>284</v>
      </c>
      <c r="BC50" s="2"/>
      <c r="BD50" s="3"/>
      <c r="BE50" s="20">
        <v>46251</v>
      </c>
      <c r="BF50" s="2"/>
      <c r="BG50" s="3"/>
      <c r="BH50" s="19"/>
      <c r="BI50" s="2"/>
      <c r="BJ50" s="3"/>
      <c r="BK50" s="18"/>
      <c r="BL50" s="2"/>
      <c r="BM50" s="2"/>
      <c r="BN50" s="2"/>
      <c r="BO50" s="2"/>
      <c r="BP50" s="2"/>
      <c r="BQ50" s="3"/>
    </row>
    <row r="51" ht="303.75" customHeight="1" spans="1:69">
      <c r="A51" s="17">
        <v>35</v>
      </c>
      <c r="B51" s="18" t="s">
        <v>447</v>
      </c>
      <c r="C51" s="2"/>
      <c r="D51" s="3"/>
      <c r="E51" s="18" t="s">
        <v>448</v>
      </c>
      <c r="F51" s="2"/>
      <c r="G51" s="2"/>
      <c r="H51" s="2"/>
      <c r="I51" s="3"/>
      <c r="J51" s="18" t="s">
        <v>449</v>
      </c>
      <c r="K51" s="2"/>
      <c r="L51" s="2"/>
      <c r="M51" s="2"/>
      <c r="N51" s="2"/>
      <c r="O51" s="2"/>
      <c r="P51" s="3"/>
      <c r="Q51" s="18" t="s">
        <v>450</v>
      </c>
      <c r="R51" s="2"/>
      <c r="S51" s="2"/>
      <c r="T51" s="2"/>
      <c r="U51" s="2"/>
      <c r="V51" s="2"/>
      <c r="W51" s="3"/>
      <c r="X51" s="18" t="s">
        <v>451</v>
      </c>
      <c r="Y51" s="2"/>
      <c r="Z51" s="2"/>
      <c r="AA51" s="2"/>
      <c r="AB51" s="2"/>
      <c r="AC51" s="2"/>
      <c r="AD51" s="3"/>
      <c r="AE51" s="19" t="s">
        <v>231</v>
      </c>
      <c r="AF51" s="3"/>
      <c r="AG51" s="19" t="s">
        <v>77</v>
      </c>
      <c r="AH51" s="2"/>
      <c r="AI51" s="3"/>
      <c r="AJ51" s="19"/>
      <c r="AK51" s="2"/>
      <c r="AL51" s="3"/>
      <c r="AM51" s="19" t="s">
        <v>284</v>
      </c>
      <c r="AN51" s="2"/>
      <c r="AO51" s="3"/>
      <c r="AP51" s="20">
        <v>46192</v>
      </c>
      <c r="AQ51" s="2"/>
      <c r="AR51" s="3"/>
      <c r="AS51" s="19"/>
      <c r="AT51" s="2"/>
      <c r="AU51" s="3"/>
      <c r="AV51" s="19" t="s">
        <v>77</v>
      </c>
      <c r="AW51" s="2"/>
      <c r="AX51" s="3"/>
      <c r="AY51" s="19"/>
      <c r="AZ51" s="2"/>
      <c r="BA51" s="3"/>
      <c r="BB51" s="19" t="s">
        <v>284</v>
      </c>
      <c r="BC51" s="2"/>
      <c r="BD51" s="3"/>
      <c r="BE51" s="20">
        <v>46251</v>
      </c>
      <c r="BF51" s="2"/>
      <c r="BG51" s="3"/>
      <c r="BH51" s="19"/>
      <c r="BI51" s="2"/>
      <c r="BJ51" s="3"/>
      <c r="BK51" s="18"/>
      <c r="BL51" s="2"/>
      <c r="BM51" s="2"/>
      <c r="BN51" s="2"/>
      <c r="BO51" s="2"/>
      <c r="BP51" s="2"/>
      <c r="BQ51" s="3"/>
    </row>
    <row r="52" ht="351.75" customHeight="1" spans="1:69">
      <c r="A52" s="17">
        <v>36</v>
      </c>
      <c r="B52" s="18" t="s">
        <v>452</v>
      </c>
      <c r="C52" s="2"/>
      <c r="D52" s="3"/>
      <c r="E52" s="18" t="s">
        <v>453</v>
      </c>
      <c r="F52" s="2"/>
      <c r="G52" s="2"/>
      <c r="H52" s="2"/>
      <c r="I52" s="3"/>
      <c r="J52" s="18" t="s">
        <v>454</v>
      </c>
      <c r="K52" s="2"/>
      <c r="L52" s="2"/>
      <c r="M52" s="2"/>
      <c r="N52" s="2"/>
      <c r="O52" s="2"/>
      <c r="P52" s="3"/>
      <c r="Q52" s="18" t="s">
        <v>455</v>
      </c>
      <c r="R52" s="2"/>
      <c r="S52" s="2"/>
      <c r="T52" s="2"/>
      <c r="U52" s="2"/>
      <c r="V52" s="2"/>
      <c r="W52" s="3"/>
      <c r="X52" s="18" t="s">
        <v>456</v>
      </c>
      <c r="Y52" s="2"/>
      <c r="Z52" s="2"/>
      <c r="AA52" s="2"/>
      <c r="AB52" s="2"/>
      <c r="AC52" s="2"/>
      <c r="AD52" s="3"/>
      <c r="AE52" s="19" t="s">
        <v>295</v>
      </c>
      <c r="AF52" s="3"/>
      <c r="AG52" s="19" t="s">
        <v>77</v>
      </c>
      <c r="AH52" s="2"/>
      <c r="AI52" s="3"/>
      <c r="AJ52" s="19"/>
      <c r="AK52" s="2"/>
      <c r="AL52" s="3"/>
      <c r="AM52" s="19" t="s">
        <v>284</v>
      </c>
      <c r="AN52" s="2"/>
      <c r="AO52" s="3"/>
      <c r="AP52" s="20">
        <v>46192</v>
      </c>
      <c r="AQ52" s="2"/>
      <c r="AR52" s="3"/>
      <c r="AS52" s="19"/>
      <c r="AT52" s="2"/>
      <c r="AU52" s="3"/>
      <c r="AV52" s="19" t="s">
        <v>77</v>
      </c>
      <c r="AW52" s="2"/>
      <c r="AX52" s="3"/>
      <c r="AY52" s="19"/>
      <c r="AZ52" s="2"/>
      <c r="BA52" s="3"/>
      <c r="BB52" s="19" t="s">
        <v>284</v>
      </c>
      <c r="BC52" s="2"/>
      <c r="BD52" s="3"/>
      <c r="BE52" s="20">
        <v>46251</v>
      </c>
      <c r="BF52" s="2"/>
      <c r="BG52" s="3"/>
      <c r="BH52" s="19"/>
      <c r="BI52" s="2"/>
      <c r="BJ52" s="3"/>
      <c r="BK52" s="18"/>
      <c r="BL52" s="2"/>
      <c r="BM52" s="2"/>
      <c r="BN52" s="2"/>
      <c r="BO52" s="2"/>
      <c r="BP52" s="2"/>
      <c r="BQ52" s="3"/>
    </row>
    <row r="53" ht="409.5" customHeight="1" spans="1:69">
      <c r="A53" s="17">
        <v>37</v>
      </c>
      <c r="B53" s="18" t="s">
        <v>457</v>
      </c>
      <c r="C53" s="2"/>
      <c r="D53" s="3"/>
      <c r="E53" s="18" t="s">
        <v>458</v>
      </c>
      <c r="F53" s="2"/>
      <c r="G53" s="2"/>
      <c r="H53" s="2"/>
      <c r="I53" s="3"/>
      <c r="J53" s="18" t="s">
        <v>459</v>
      </c>
      <c r="K53" s="2"/>
      <c r="L53" s="2"/>
      <c r="M53" s="2"/>
      <c r="N53" s="2"/>
      <c r="O53" s="2"/>
      <c r="P53" s="3"/>
      <c r="Q53" s="18" t="s">
        <v>460</v>
      </c>
      <c r="R53" s="2"/>
      <c r="S53" s="2"/>
      <c r="T53" s="2"/>
      <c r="U53" s="2"/>
      <c r="V53" s="2"/>
      <c r="W53" s="3"/>
      <c r="X53" s="18" t="s">
        <v>461</v>
      </c>
      <c r="Y53" s="2"/>
      <c r="Z53" s="2"/>
      <c r="AA53" s="2"/>
      <c r="AB53" s="2"/>
      <c r="AC53" s="2"/>
      <c r="AD53" s="3"/>
      <c r="AE53" s="19" t="s">
        <v>295</v>
      </c>
      <c r="AF53" s="3"/>
      <c r="AG53" s="19" t="s">
        <v>77</v>
      </c>
      <c r="AH53" s="2"/>
      <c r="AI53" s="3"/>
      <c r="AJ53" s="19"/>
      <c r="AK53" s="2"/>
      <c r="AL53" s="3"/>
      <c r="AM53" s="19" t="s">
        <v>284</v>
      </c>
      <c r="AN53" s="2"/>
      <c r="AO53" s="3"/>
      <c r="AP53" s="20">
        <v>46192</v>
      </c>
      <c r="AQ53" s="2"/>
      <c r="AR53" s="3"/>
      <c r="AS53" s="19"/>
      <c r="AT53" s="2"/>
      <c r="AU53" s="3"/>
      <c r="AV53" s="19" t="s">
        <v>77</v>
      </c>
      <c r="AW53" s="2"/>
      <c r="AX53" s="3"/>
      <c r="AY53" s="19"/>
      <c r="AZ53" s="2"/>
      <c r="BA53" s="3"/>
      <c r="BB53" s="19" t="s">
        <v>284</v>
      </c>
      <c r="BC53" s="2"/>
      <c r="BD53" s="3"/>
      <c r="BE53" s="20">
        <v>46251</v>
      </c>
      <c r="BF53" s="2"/>
      <c r="BG53" s="3"/>
      <c r="BH53" s="19"/>
      <c r="BI53" s="2"/>
      <c r="BJ53" s="3"/>
      <c r="BK53" s="18"/>
      <c r="BL53" s="2"/>
      <c r="BM53" s="2"/>
      <c r="BN53" s="2"/>
      <c r="BO53" s="2"/>
      <c r="BP53" s="2"/>
      <c r="BQ53" s="3"/>
    </row>
    <row r="54" ht="399.75" customHeight="1" spans="1:69">
      <c r="A54" s="17">
        <v>38</v>
      </c>
      <c r="B54" s="18" t="s">
        <v>462</v>
      </c>
      <c r="C54" s="2"/>
      <c r="D54" s="3"/>
      <c r="E54" s="18" t="s">
        <v>463</v>
      </c>
      <c r="F54" s="2"/>
      <c r="G54" s="2"/>
      <c r="H54" s="2"/>
      <c r="I54" s="3"/>
      <c r="J54" s="18" t="s">
        <v>435</v>
      </c>
      <c r="K54" s="2"/>
      <c r="L54" s="2"/>
      <c r="M54" s="2"/>
      <c r="N54" s="2"/>
      <c r="O54" s="2"/>
      <c r="P54" s="3"/>
      <c r="Q54" s="18" t="s">
        <v>464</v>
      </c>
      <c r="R54" s="2"/>
      <c r="S54" s="2"/>
      <c r="T54" s="2"/>
      <c r="U54" s="2"/>
      <c r="V54" s="2"/>
      <c r="W54" s="3"/>
      <c r="X54" s="18" t="s">
        <v>465</v>
      </c>
      <c r="Y54" s="2"/>
      <c r="Z54" s="2"/>
      <c r="AA54" s="2"/>
      <c r="AB54" s="2"/>
      <c r="AC54" s="2"/>
      <c r="AD54" s="3"/>
      <c r="AE54" s="19" t="s">
        <v>231</v>
      </c>
      <c r="AF54" s="3"/>
      <c r="AG54" s="19" t="s">
        <v>77</v>
      </c>
      <c r="AH54" s="2"/>
      <c r="AI54" s="3"/>
      <c r="AJ54" s="19"/>
      <c r="AK54" s="2"/>
      <c r="AL54" s="3"/>
      <c r="AM54" s="19" t="s">
        <v>284</v>
      </c>
      <c r="AN54" s="2"/>
      <c r="AO54" s="3"/>
      <c r="AP54" s="20">
        <v>46192</v>
      </c>
      <c r="AQ54" s="2"/>
      <c r="AR54" s="3"/>
      <c r="AS54" s="19"/>
      <c r="AT54" s="2"/>
      <c r="AU54" s="3"/>
      <c r="AV54" s="19" t="s">
        <v>77</v>
      </c>
      <c r="AW54" s="2"/>
      <c r="AX54" s="3"/>
      <c r="AY54" s="19"/>
      <c r="AZ54" s="2"/>
      <c r="BA54" s="3"/>
      <c r="BB54" s="19" t="s">
        <v>284</v>
      </c>
      <c r="BC54" s="2"/>
      <c r="BD54" s="3"/>
      <c r="BE54" s="20">
        <v>46251</v>
      </c>
      <c r="BF54" s="2"/>
      <c r="BG54" s="3"/>
      <c r="BH54" s="19"/>
      <c r="BI54" s="2"/>
      <c r="BJ54" s="3"/>
      <c r="BK54" s="18"/>
      <c r="BL54" s="2"/>
      <c r="BM54" s="2"/>
      <c r="BN54" s="2"/>
      <c r="BO54" s="2"/>
      <c r="BP54" s="2"/>
      <c r="BQ54" s="3"/>
    </row>
    <row r="55" ht="409.5" customHeight="1" spans="1:69">
      <c r="A55" s="17">
        <v>39</v>
      </c>
      <c r="B55" s="18" t="s">
        <v>466</v>
      </c>
      <c r="C55" s="2"/>
      <c r="D55" s="3"/>
      <c r="E55" s="18" t="s">
        <v>467</v>
      </c>
      <c r="F55" s="2"/>
      <c r="G55" s="2"/>
      <c r="H55" s="2"/>
      <c r="I55" s="3"/>
      <c r="J55" s="18" t="s">
        <v>468</v>
      </c>
      <c r="K55" s="2"/>
      <c r="L55" s="2"/>
      <c r="M55" s="2"/>
      <c r="N55" s="2"/>
      <c r="O55" s="2"/>
      <c r="P55" s="3"/>
      <c r="Q55" s="18" t="s">
        <v>469</v>
      </c>
      <c r="R55" s="2"/>
      <c r="S55" s="2"/>
      <c r="T55" s="2"/>
      <c r="U55" s="2"/>
      <c r="V55" s="2"/>
      <c r="W55" s="3"/>
      <c r="X55" s="18" t="s">
        <v>470</v>
      </c>
      <c r="Y55" s="2"/>
      <c r="Z55" s="2"/>
      <c r="AA55" s="2"/>
      <c r="AB55" s="2"/>
      <c r="AC55" s="2"/>
      <c r="AD55" s="3"/>
      <c r="AE55" s="19" t="s">
        <v>227</v>
      </c>
      <c r="AF55" s="3"/>
      <c r="AG55" s="19" t="s">
        <v>77</v>
      </c>
      <c r="AH55" s="2"/>
      <c r="AI55" s="3"/>
      <c r="AJ55" s="19"/>
      <c r="AK55" s="2"/>
      <c r="AL55" s="3"/>
      <c r="AM55" s="19" t="s">
        <v>284</v>
      </c>
      <c r="AN55" s="2"/>
      <c r="AO55" s="3"/>
      <c r="AP55" s="20">
        <v>46192</v>
      </c>
      <c r="AQ55" s="2"/>
      <c r="AR55" s="3"/>
      <c r="AS55" s="19"/>
      <c r="AT55" s="2"/>
      <c r="AU55" s="3"/>
      <c r="AV55" s="19" t="s">
        <v>77</v>
      </c>
      <c r="AW55" s="2"/>
      <c r="AX55" s="3"/>
      <c r="AY55" s="19"/>
      <c r="AZ55" s="2"/>
      <c r="BA55" s="3"/>
      <c r="BB55" s="19" t="s">
        <v>284</v>
      </c>
      <c r="BC55" s="2"/>
      <c r="BD55" s="3"/>
      <c r="BE55" s="20">
        <v>46251</v>
      </c>
      <c r="BF55" s="2"/>
      <c r="BG55" s="3"/>
      <c r="BH55" s="19"/>
      <c r="BI55" s="2"/>
      <c r="BJ55" s="3"/>
      <c r="BK55" s="18"/>
      <c r="BL55" s="2"/>
      <c r="BM55" s="2"/>
      <c r="BN55" s="2"/>
      <c r="BO55" s="2"/>
      <c r="BP55" s="2"/>
      <c r="BQ55" s="3"/>
    </row>
    <row r="56" ht="409.5" customHeight="1" spans="1:69">
      <c r="A56" s="17">
        <v>40</v>
      </c>
      <c r="B56" s="18" t="s">
        <v>471</v>
      </c>
      <c r="C56" s="2"/>
      <c r="D56" s="3"/>
      <c r="E56" s="18" t="s">
        <v>472</v>
      </c>
      <c r="F56" s="2"/>
      <c r="G56" s="2"/>
      <c r="H56" s="2"/>
      <c r="I56" s="3"/>
      <c r="J56" s="18" t="s">
        <v>473</v>
      </c>
      <c r="K56" s="2"/>
      <c r="L56" s="2"/>
      <c r="M56" s="2"/>
      <c r="N56" s="2"/>
      <c r="O56" s="2"/>
      <c r="P56" s="3"/>
      <c r="Q56" s="18" t="s">
        <v>474</v>
      </c>
      <c r="R56" s="2"/>
      <c r="S56" s="2"/>
      <c r="T56" s="2"/>
      <c r="U56" s="2"/>
      <c r="V56" s="2"/>
      <c r="W56" s="3"/>
      <c r="X56" s="18" t="s">
        <v>475</v>
      </c>
      <c r="Y56" s="2"/>
      <c r="Z56" s="2"/>
      <c r="AA56" s="2"/>
      <c r="AB56" s="2"/>
      <c r="AC56" s="2"/>
      <c r="AD56" s="3"/>
      <c r="AE56" s="19" t="s">
        <v>227</v>
      </c>
      <c r="AF56" s="3"/>
      <c r="AG56" s="19" t="s">
        <v>77</v>
      </c>
      <c r="AH56" s="2"/>
      <c r="AI56" s="3"/>
      <c r="AJ56" s="19"/>
      <c r="AK56" s="2"/>
      <c r="AL56" s="3"/>
      <c r="AM56" s="19" t="s">
        <v>284</v>
      </c>
      <c r="AN56" s="2"/>
      <c r="AO56" s="3"/>
      <c r="AP56" s="20">
        <v>46192</v>
      </c>
      <c r="AQ56" s="2"/>
      <c r="AR56" s="3"/>
      <c r="AS56" s="19"/>
      <c r="AT56" s="2"/>
      <c r="AU56" s="3"/>
      <c r="AV56" s="19" t="s">
        <v>77</v>
      </c>
      <c r="AW56" s="2"/>
      <c r="AX56" s="3"/>
      <c r="AY56" s="19"/>
      <c r="AZ56" s="2"/>
      <c r="BA56" s="3"/>
      <c r="BB56" s="19" t="s">
        <v>284</v>
      </c>
      <c r="BC56" s="2"/>
      <c r="BD56" s="3"/>
      <c r="BE56" s="20">
        <v>46251</v>
      </c>
      <c r="BF56" s="2"/>
      <c r="BG56" s="3"/>
      <c r="BH56" s="19"/>
      <c r="BI56" s="2"/>
      <c r="BJ56" s="3"/>
      <c r="BK56" s="18"/>
      <c r="BL56" s="2"/>
      <c r="BM56" s="2"/>
      <c r="BN56" s="2"/>
      <c r="BO56" s="2"/>
      <c r="BP56" s="2"/>
      <c r="BQ56" s="3"/>
    </row>
    <row r="57" ht="409.5" customHeight="1" spans="1:69">
      <c r="A57" s="17">
        <v>41</v>
      </c>
      <c r="B57" s="18" t="s">
        <v>476</v>
      </c>
      <c r="C57" s="2"/>
      <c r="D57" s="3"/>
      <c r="E57" s="18" t="s">
        <v>477</v>
      </c>
      <c r="F57" s="2"/>
      <c r="G57" s="2"/>
      <c r="H57" s="2"/>
      <c r="I57" s="3"/>
      <c r="J57" s="18" t="s">
        <v>478</v>
      </c>
      <c r="K57" s="2"/>
      <c r="L57" s="2"/>
      <c r="M57" s="2"/>
      <c r="N57" s="2"/>
      <c r="O57" s="2"/>
      <c r="P57" s="3"/>
      <c r="Q57" s="18" t="s">
        <v>479</v>
      </c>
      <c r="R57" s="2"/>
      <c r="S57" s="2"/>
      <c r="T57" s="2"/>
      <c r="U57" s="2"/>
      <c r="V57" s="2"/>
      <c r="W57" s="3"/>
      <c r="X57" s="18" t="s">
        <v>480</v>
      </c>
      <c r="Y57" s="2"/>
      <c r="Z57" s="2"/>
      <c r="AA57" s="2"/>
      <c r="AB57" s="2"/>
      <c r="AC57" s="2"/>
      <c r="AD57" s="3"/>
      <c r="AE57" s="19" t="s">
        <v>227</v>
      </c>
      <c r="AF57" s="3"/>
      <c r="AG57" s="19" t="s">
        <v>77</v>
      </c>
      <c r="AH57" s="2"/>
      <c r="AI57" s="3"/>
      <c r="AJ57" s="19"/>
      <c r="AK57" s="2"/>
      <c r="AL57" s="3"/>
      <c r="AM57" s="19" t="s">
        <v>284</v>
      </c>
      <c r="AN57" s="2"/>
      <c r="AO57" s="3"/>
      <c r="AP57" s="20">
        <v>46192</v>
      </c>
      <c r="AQ57" s="2"/>
      <c r="AR57" s="3"/>
      <c r="AS57" s="19"/>
      <c r="AT57" s="2"/>
      <c r="AU57" s="3"/>
      <c r="AV57" s="19" t="s">
        <v>77</v>
      </c>
      <c r="AW57" s="2"/>
      <c r="AX57" s="3"/>
      <c r="AY57" s="19"/>
      <c r="AZ57" s="2"/>
      <c r="BA57" s="3"/>
      <c r="BB57" s="19" t="s">
        <v>284</v>
      </c>
      <c r="BC57" s="2"/>
      <c r="BD57" s="3"/>
      <c r="BE57" s="20">
        <v>46251</v>
      </c>
      <c r="BF57" s="2"/>
      <c r="BG57" s="3"/>
      <c r="BH57" s="19"/>
      <c r="BI57" s="2"/>
      <c r="BJ57" s="3"/>
      <c r="BK57" s="18"/>
      <c r="BL57" s="2"/>
      <c r="BM57" s="2"/>
      <c r="BN57" s="2"/>
      <c r="BO57" s="2"/>
      <c r="BP57" s="2"/>
      <c r="BQ57" s="3"/>
    </row>
    <row r="58" ht="409.5" customHeight="1" spans="1:69">
      <c r="A58" s="17">
        <v>42</v>
      </c>
      <c r="B58" s="18" t="s">
        <v>481</v>
      </c>
      <c r="C58" s="2"/>
      <c r="D58" s="3"/>
      <c r="E58" s="18" t="s">
        <v>482</v>
      </c>
      <c r="F58" s="2"/>
      <c r="G58" s="2"/>
      <c r="H58" s="2"/>
      <c r="I58" s="3"/>
      <c r="J58" s="18" t="s">
        <v>435</v>
      </c>
      <c r="K58" s="2"/>
      <c r="L58" s="2"/>
      <c r="M58" s="2"/>
      <c r="N58" s="2"/>
      <c r="O58" s="2"/>
      <c r="P58" s="3"/>
      <c r="Q58" s="18" t="s">
        <v>483</v>
      </c>
      <c r="R58" s="2"/>
      <c r="S58" s="2"/>
      <c r="T58" s="2"/>
      <c r="U58" s="2"/>
      <c r="V58" s="2"/>
      <c r="W58" s="3"/>
      <c r="X58" s="18" t="s">
        <v>484</v>
      </c>
      <c r="Y58" s="2"/>
      <c r="Z58" s="2"/>
      <c r="AA58" s="2"/>
      <c r="AB58" s="2"/>
      <c r="AC58" s="2"/>
      <c r="AD58" s="3"/>
      <c r="AE58" s="19" t="s">
        <v>227</v>
      </c>
      <c r="AF58" s="3"/>
      <c r="AG58" s="19" t="s">
        <v>77</v>
      </c>
      <c r="AH58" s="2"/>
      <c r="AI58" s="3"/>
      <c r="AJ58" s="19"/>
      <c r="AK58" s="2"/>
      <c r="AL58" s="3"/>
      <c r="AM58" s="19" t="s">
        <v>284</v>
      </c>
      <c r="AN58" s="2"/>
      <c r="AO58" s="3"/>
      <c r="AP58" s="20">
        <v>46192</v>
      </c>
      <c r="AQ58" s="2"/>
      <c r="AR58" s="3"/>
      <c r="AS58" s="19"/>
      <c r="AT58" s="2"/>
      <c r="AU58" s="3"/>
      <c r="AV58" s="19" t="s">
        <v>77</v>
      </c>
      <c r="AW58" s="2"/>
      <c r="AX58" s="3"/>
      <c r="AY58" s="19"/>
      <c r="AZ58" s="2"/>
      <c r="BA58" s="3"/>
      <c r="BB58" s="19" t="s">
        <v>284</v>
      </c>
      <c r="BC58" s="2"/>
      <c r="BD58" s="3"/>
      <c r="BE58" s="20">
        <v>46251</v>
      </c>
      <c r="BF58" s="2"/>
      <c r="BG58" s="3"/>
      <c r="BH58" s="19"/>
      <c r="BI58" s="2"/>
      <c r="BJ58" s="3"/>
      <c r="BK58" s="18"/>
      <c r="BL58" s="2"/>
      <c r="BM58" s="2"/>
      <c r="BN58" s="2"/>
      <c r="BO58" s="2"/>
      <c r="BP58" s="2"/>
      <c r="BQ58" s="3"/>
    </row>
    <row r="59" ht="367.5" customHeight="1" spans="1:69">
      <c r="A59" s="17">
        <v>43</v>
      </c>
      <c r="B59" s="18" t="s">
        <v>485</v>
      </c>
      <c r="C59" s="2"/>
      <c r="D59" s="3"/>
      <c r="E59" s="18" t="s">
        <v>486</v>
      </c>
      <c r="F59" s="2"/>
      <c r="G59" s="2"/>
      <c r="H59" s="2"/>
      <c r="I59" s="3"/>
      <c r="J59" s="18" t="s">
        <v>435</v>
      </c>
      <c r="K59" s="2"/>
      <c r="L59" s="2"/>
      <c r="M59" s="2"/>
      <c r="N59" s="2"/>
      <c r="O59" s="2"/>
      <c r="P59" s="3"/>
      <c r="Q59" s="18" t="s">
        <v>487</v>
      </c>
      <c r="R59" s="2"/>
      <c r="S59" s="2"/>
      <c r="T59" s="2"/>
      <c r="U59" s="2"/>
      <c r="V59" s="2"/>
      <c r="W59" s="3"/>
      <c r="X59" s="18" t="s">
        <v>488</v>
      </c>
      <c r="Y59" s="2"/>
      <c r="Z59" s="2"/>
      <c r="AA59" s="2"/>
      <c r="AB59" s="2"/>
      <c r="AC59" s="2"/>
      <c r="AD59" s="3"/>
      <c r="AE59" s="19" t="s">
        <v>227</v>
      </c>
      <c r="AF59" s="3"/>
      <c r="AG59" s="19" t="s">
        <v>77</v>
      </c>
      <c r="AH59" s="2"/>
      <c r="AI59" s="3"/>
      <c r="AJ59" s="19"/>
      <c r="AK59" s="2"/>
      <c r="AL59" s="3"/>
      <c r="AM59" s="19" t="s">
        <v>284</v>
      </c>
      <c r="AN59" s="2"/>
      <c r="AO59" s="3"/>
      <c r="AP59" s="20">
        <v>46192</v>
      </c>
      <c r="AQ59" s="2"/>
      <c r="AR59" s="3"/>
      <c r="AS59" s="19"/>
      <c r="AT59" s="2"/>
      <c r="AU59" s="3"/>
      <c r="AV59" s="19" t="s">
        <v>77</v>
      </c>
      <c r="AW59" s="2"/>
      <c r="AX59" s="3"/>
      <c r="AY59" s="19"/>
      <c r="AZ59" s="2"/>
      <c r="BA59" s="3"/>
      <c r="BB59" s="19" t="s">
        <v>284</v>
      </c>
      <c r="BC59" s="2"/>
      <c r="BD59" s="3"/>
      <c r="BE59" s="20">
        <v>46251</v>
      </c>
      <c r="BF59" s="2"/>
      <c r="BG59" s="3"/>
      <c r="BH59" s="19"/>
      <c r="BI59" s="2"/>
      <c r="BJ59" s="3"/>
      <c r="BK59" s="18" t="s">
        <v>306</v>
      </c>
      <c r="BL59" s="2"/>
      <c r="BM59" s="2"/>
      <c r="BN59" s="2"/>
      <c r="BO59" s="2"/>
      <c r="BP59" s="2"/>
      <c r="BQ59" s="3"/>
    </row>
    <row r="60" ht="22.5" customHeight="1" spans="1:69">
      <c r="A60" s="16" t="s">
        <v>489</v>
      </c>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c r="AQ60" s="2"/>
      <c r="AR60" s="2"/>
      <c r="AS60" s="2"/>
      <c r="AT60" s="2"/>
      <c r="AU60" s="2"/>
      <c r="AV60" s="2"/>
      <c r="AW60" s="2"/>
      <c r="AX60" s="2"/>
      <c r="AY60" s="2"/>
      <c r="AZ60" s="2"/>
      <c r="BA60" s="2"/>
      <c r="BB60" s="2"/>
      <c r="BC60" s="2"/>
      <c r="BD60" s="2"/>
      <c r="BE60" s="2"/>
      <c r="BF60" s="2"/>
      <c r="BG60" s="2"/>
      <c r="BH60" s="2"/>
      <c r="BI60" s="2"/>
      <c r="BJ60" s="2"/>
      <c r="BK60" s="2"/>
      <c r="BL60" s="2"/>
      <c r="BM60" s="2"/>
      <c r="BN60" s="2"/>
      <c r="BO60" s="2"/>
      <c r="BP60" s="2"/>
      <c r="BQ60" s="3"/>
    </row>
    <row r="61" ht="409.5" customHeight="1" spans="1:69">
      <c r="A61" s="17">
        <v>44</v>
      </c>
      <c r="B61" s="18" t="s">
        <v>490</v>
      </c>
      <c r="C61" s="2"/>
      <c r="D61" s="3"/>
      <c r="E61" s="18" t="s">
        <v>491</v>
      </c>
      <c r="F61" s="2"/>
      <c r="G61" s="2"/>
      <c r="H61" s="2"/>
      <c r="I61" s="3"/>
      <c r="J61" s="18" t="s">
        <v>492</v>
      </c>
      <c r="K61" s="2"/>
      <c r="L61" s="2"/>
      <c r="M61" s="2"/>
      <c r="N61" s="2"/>
      <c r="O61" s="2"/>
      <c r="P61" s="3"/>
      <c r="Q61" s="18" t="s">
        <v>493</v>
      </c>
      <c r="R61" s="2"/>
      <c r="S61" s="2"/>
      <c r="T61" s="2"/>
      <c r="U61" s="2"/>
      <c r="V61" s="2"/>
      <c r="W61" s="3"/>
      <c r="X61" s="18" t="s">
        <v>494</v>
      </c>
      <c r="Y61" s="2"/>
      <c r="Z61" s="2"/>
      <c r="AA61" s="2"/>
      <c r="AB61" s="2"/>
      <c r="AC61" s="2"/>
      <c r="AD61" s="3"/>
      <c r="AE61" s="19" t="s">
        <v>295</v>
      </c>
      <c r="AF61" s="3"/>
      <c r="AG61" s="19" t="s">
        <v>77</v>
      </c>
      <c r="AH61" s="2"/>
      <c r="AI61" s="3"/>
      <c r="AJ61" s="19"/>
      <c r="AK61" s="2"/>
      <c r="AL61" s="3"/>
      <c r="AM61" s="19" t="s">
        <v>284</v>
      </c>
      <c r="AN61" s="2"/>
      <c r="AO61" s="3"/>
      <c r="AP61" s="20">
        <v>46192</v>
      </c>
      <c r="AQ61" s="2"/>
      <c r="AR61" s="3"/>
      <c r="AS61" s="19"/>
      <c r="AT61" s="2"/>
      <c r="AU61" s="3"/>
      <c r="AV61" s="19" t="s">
        <v>77</v>
      </c>
      <c r="AW61" s="2"/>
      <c r="AX61" s="3"/>
      <c r="AY61" s="19"/>
      <c r="AZ61" s="2"/>
      <c r="BA61" s="3"/>
      <c r="BB61" s="19" t="s">
        <v>284</v>
      </c>
      <c r="BC61" s="2"/>
      <c r="BD61" s="3"/>
      <c r="BE61" s="20">
        <v>46251</v>
      </c>
      <c r="BF61" s="2"/>
      <c r="BG61" s="3"/>
      <c r="BH61" s="19"/>
      <c r="BI61" s="2"/>
      <c r="BJ61" s="3"/>
      <c r="BK61" s="18"/>
      <c r="BL61" s="2"/>
      <c r="BM61" s="2"/>
      <c r="BN61" s="2"/>
      <c r="BO61" s="2"/>
      <c r="BP61" s="2"/>
      <c r="BQ61" s="3"/>
    </row>
    <row r="62" ht="351.75" customHeight="1" spans="1:69">
      <c r="A62" s="17">
        <v>45</v>
      </c>
      <c r="B62" s="18" t="s">
        <v>495</v>
      </c>
      <c r="C62" s="2"/>
      <c r="D62" s="3"/>
      <c r="E62" s="18" t="s">
        <v>496</v>
      </c>
      <c r="F62" s="2"/>
      <c r="G62" s="2"/>
      <c r="H62" s="2"/>
      <c r="I62" s="3"/>
      <c r="J62" s="18" t="s">
        <v>497</v>
      </c>
      <c r="K62" s="2"/>
      <c r="L62" s="2"/>
      <c r="M62" s="2"/>
      <c r="N62" s="2"/>
      <c r="O62" s="2"/>
      <c r="P62" s="3"/>
      <c r="Q62" s="18" t="s">
        <v>498</v>
      </c>
      <c r="R62" s="2"/>
      <c r="S62" s="2"/>
      <c r="T62" s="2"/>
      <c r="U62" s="2"/>
      <c r="V62" s="2"/>
      <c r="W62" s="3"/>
      <c r="X62" s="18" t="s">
        <v>499</v>
      </c>
      <c r="Y62" s="2"/>
      <c r="Z62" s="2"/>
      <c r="AA62" s="2"/>
      <c r="AB62" s="2"/>
      <c r="AC62" s="2"/>
      <c r="AD62" s="3"/>
      <c r="AE62" s="19" t="s">
        <v>295</v>
      </c>
      <c r="AF62" s="3"/>
      <c r="AG62" s="19" t="s">
        <v>77</v>
      </c>
      <c r="AH62" s="2"/>
      <c r="AI62" s="3"/>
      <c r="AJ62" s="19"/>
      <c r="AK62" s="2"/>
      <c r="AL62" s="3"/>
      <c r="AM62" s="19" t="s">
        <v>284</v>
      </c>
      <c r="AN62" s="2"/>
      <c r="AO62" s="3"/>
      <c r="AP62" s="20">
        <v>46192</v>
      </c>
      <c r="AQ62" s="2"/>
      <c r="AR62" s="3"/>
      <c r="AS62" s="19"/>
      <c r="AT62" s="2"/>
      <c r="AU62" s="3"/>
      <c r="AV62" s="19" t="s">
        <v>77</v>
      </c>
      <c r="AW62" s="2"/>
      <c r="AX62" s="3"/>
      <c r="AY62" s="19"/>
      <c r="AZ62" s="2"/>
      <c r="BA62" s="3"/>
      <c r="BB62" s="19" t="s">
        <v>284</v>
      </c>
      <c r="BC62" s="2"/>
      <c r="BD62" s="3"/>
      <c r="BE62" s="20">
        <v>46251</v>
      </c>
      <c r="BF62" s="2"/>
      <c r="BG62" s="3"/>
      <c r="BH62" s="19"/>
      <c r="BI62" s="2"/>
      <c r="BJ62" s="3"/>
      <c r="BK62" s="18"/>
      <c r="BL62" s="2"/>
      <c r="BM62" s="2"/>
      <c r="BN62" s="2"/>
      <c r="BO62" s="2"/>
      <c r="BP62" s="2"/>
      <c r="BQ62" s="3"/>
    </row>
    <row r="63" ht="409.5" customHeight="1" spans="1:69">
      <c r="A63" s="17">
        <v>46</v>
      </c>
      <c r="B63" s="18" t="s">
        <v>500</v>
      </c>
      <c r="C63" s="2"/>
      <c r="D63" s="3"/>
      <c r="E63" s="18" t="s">
        <v>501</v>
      </c>
      <c r="F63" s="2"/>
      <c r="G63" s="2"/>
      <c r="H63" s="2"/>
      <c r="I63" s="3"/>
      <c r="J63" s="18" t="s">
        <v>502</v>
      </c>
      <c r="K63" s="2"/>
      <c r="L63" s="2"/>
      <c r="M63" s="2"/>
      <c r="N63" s="2"/>
      <c r="O63" s="2"/>
      <c r="P63" s="3"/>
      <c r="Q63" s="18" t="s">
        <v>503</v>
      </c>
      <c r="R63" s="2"/>
      <c r="S63" s="2"/>
      <c r="T63" s="2"/>
      <c r="U63" s="2"/>
      <c r="V63" s="2"/>
      <c r="W63" s="3"/>
      <c r="X63" s="18" t="s">
        <v>504</v>
      </c>
      <c r="Y63" s="2"/>
      <c r="Z63" s="2"/>
      <c r="AA63" s="2"/>
      <c r="AB63" s="2"/>
      <c r="AC63" s="2"/>
      <c r="AD63" s="3"/>
      <c r="AE63" s="19" t="s">
        <v>295</v>
      </c>
      <c r="AF63" s="3"/>
      <c r="AG63" s="19" t="s">
        <v>77</v>
      </c>
      <c r="AH63" s="2"/>
      <c r="AI63" s="3"/>
      <c r="AJ63" s="19"/>
      <c r="AK63" s="2"/>
      <c r="AL63" s="3"/>
      <c r="AM63" s="19" t="s">
        <v>284</v>
      </c>
      <c r="AN63" s="2"/>
      <c r="AO63" s="3"/>
      <c r="AP63" s="20">
        <v>46192</v>
      </c>
      <c r="AQ63" s="2"/>
      <c r="AR63" s="3"/>
      <c r="AS63" s="19"/>
      <c r="AT63" s="2"/>
      <c r="AU63" s="3"/>
      <c r="AV63" s="19" t="s">
        <v>77</v>
      </c>
      <c r="AW63" s="2"/>
      <c r="AX63" s="3"/>
      <c r="AY63" s="19"/>
      <c r="AZ63" s="2"/>
      <c r="BA63" s="3"/>
      <c r="BB63" s="19" t="s">
        <v>284</v>
      </c>
      <c r="BC63" s="2"/>
      <c r="BD63" s="3"/>
      <c r="BE63" s="20">
        <v>46251</v>
      </c>
      <c r="BF63" s="2"/>
      <c r="BG63" s="3"/>
      <c r="BH63" s="19"/>
      <c r="BI63" s="2"/>
      <c r="BJ63" s="3"/>
      <c r="BK63" s="18"/>
      <c r="BL63" s="2"/>
      <c r="BM63" s="2"/>
      <c r="BN63" s="2"/>
      <c r="BO63" s="2"/>
      <c r="BP63" s="2"/>
      <c r="BQ63" s="3"/>
    </row>
    <row r="64" ht="409.5" customHeight="1" spans="1:69">
      <c r="A64" s="17">
        <v>47</v>
      </c>
      <c r="B64" s="18" t="s">
        <v>505</v>
      </c>
      <c r="C64" s="2"/>
      <c r="D64" s="3"/>
      <c r="E64" s="18" t="s">
        <v>506</v>
      </c>
      <c r="F64" s="2"/>
      <c r="G64" s="2"/>
      <c r="H64" s="2"/>
      <c r="I64" s="3"/>
      <c r="J64" s="18" t="s">
        <v>507</v>
      </c>
      <c r="K64" s="2"/>
      <c r="L64" s="2"/>
      <c r="M64" s="2"/>
      <c r="N64" s="2"/>
      <c r="O64" s="2"/>
      <c r="P64" s="3"/>
      <c r="Q64" s="18" t="s">
        <v>508</v>
      </c>
      <c r="R64" s="2"/>
      <c r="S64" s="2"/>
      <c r="T64" s="2"/>
      <c r="U64" s="2"/>
      <c r="V64" s="2"/>
      <c r="W64" s="3"/>
      <c r="X64" s="18" t="s">
        <v>509</v>
      </c>
      <c r="Y64" s="2"/>
      <c r="Z64" s="2"/>
      <c r="AA64" s="2"/>
      <c r="AB64" s="2"/>
      <c r="AC64" s="2"/>
      <c r="AD64" s="3"/>
      <c r="AE64" s="19" t="s">
        <v>227</v>
      </c>
      <c r="AF64" s="3"/>
      <c r="AG64" s="19" t="s">
        <v>77</v>
      </c>
      <c r="AH64" s="2"/>
      <c r="AI64" s="3"/>
      <c r="AJ64" s="19"/>
      <c r="AK64" s="2"/>
      <c r="AL64" s="3"/>
      <c r="AM64" s="19" t="s">
        <v>284</v>
      </c>
      <c r="AN64" s="2"/>
      <c r="AO64" s="3"/>
      <c r="AP64" s="20">
        <v>46192</v>
      </c>
      <c r="AQ64" s="2"/>
      <c r="AR64" s="3"/>
      <c r="AS64" s="19"/>
      <c r="AT64" s="2"/>
      <c r="AU64" s="3"/>
      <c r="AV64" s="19" t="s">
        <v>77</v>
      </c>
      <c r="AW64" s="2"/>
      <c r="AX64" s="3"/>
      <c r="AY64" s="19"/>
      <c r="AZ64" s="2"/>
      <c r="BA64" s="3"/>
      <c r="BB64" s="19" t="s">
        <v>284</v>
      </c>
      <c r="BC64" s="2"/>
      <c r="BD64" s="3"/>
      <c r="BE64" s="20">
        <v>46251</v>
      </c>
      <c r="BF64" s="2"/>
      <c r="BG64" s="3"/>
      <c r="BH64" s="19"/>
      <c r="BI64" s="2"/>
      <c r="BJ64" s="3"/>
      <c r="BK64" s="18"/>
      <c r="BL64" s="2"/>
      <c r="BM64" s="2"/>
      <c r="BN64" s="2"/>
      <c r="BO64" s="2"/>
      <c r="BP64" s="2"/>
      <c r="BQ64" s="3"/>
    </row>
    <row r="65" ht="384" customHeight="1" spans="1:69">
      <c r="A65" s="17">
        <v>48</v>
      </c>
      <c r="B65" s="18" t="s">
        <v>510</v>
      </c>
      <c r="C65" s="2"/>
      <c r="D65" s="3"/>
      <c r="E65" s="18" t="s">
        <v>511</v>
      </c>
      <c r="F65" s="2"/>
      <c r="G65" s="2"/>
      <c r="H65" s="2"/>
      <c r="I65" s="3"/>
      <c r="J65" s="18" t="s">
        <v>512</v>
      </c>
      <c r="K65" s="2"/>
      <c r="L65" s="2"/>
      <c r="M65" s="2"/>
      <c r="N65" s="2"/>
      <c r="O65" s="2"/>
      <c r="P65" s="3"/>
      <c r="Q65" s="18" t="s">
        <v>513</v>
      </c>
      <c r="R65" s="2"/>
      <c r="S65" s="2"/>
      <c r="T65" s="2"/>
      <c r="U65" s="2"/>
      <c r="V65" s="2"/>
      <c r="W65" s="3"/>
      <c r="X65" s="18" t="s">
        <v>514</v>
      </c>
      <c r="Y65" s="2"/>
      <c r="Z65" s="2"/>
      <c r="AA65" s="2"/>
      <c r="AB65" s="2"/>
      <c r="AC65" s="2"/>
      <c r="AD65" s="3"/>
      <c r="AE65" s="19" t="s">
        <v>231</v>
      </c>
      <c r="AF65" s="3"/>
      <c r="AG65" s="19" t="s">
        <v>77</v>
      </c>
      <c r="AH65" s="2"/>
      <c r="AI65" s="3"/>
      <c r="AJ65" s="19"/>
      <c r="AK65" s="2"/>
      <c r="AL65" s="3"/>
      <c r="AM65" s="19" t="s">
        <v>284</v>
      </c>
      <c r="AN65" s="2"/>
      <c r="AO65" s="3"/>
      <c r="AP65" s="20">
        <v>46192</v>
      </c>
      <c r="AQ65" s="2"/>
      <c r="AR65" s="3"/>
      <c r="AS65" s="19"/>
      <c r="AT65" s="2"/>
      <c r="AU65" s="3"/>
      <c r="AV65" s="19" t="s">
        <v>77</v>
      </c>
      <c r="AW65" s="2"/>
      <c r="AX65" s="3"/>
      <c r="AY65" s="19"/>
      <c r="AZ65" s="2"/>
      <c r="BA65" s="3"/>
      <c r="BB65" s="19" t="s">
        <v>284</v>
      </c>
      <c r="BC65" s="2"/>
      <c r="BD65" s="3"/>
      <c r="BE65" s="20">
        <v>46251</v>
      </c>
      <c r="BF65" s="2"/>
      <c r="BG65" s="3"/>
      <c r="BH65" s="19"/>
      <c r="BI65" s="2"/>
      <c r="BJ65" s="3"/>
      <c r="BK65" s="18"/>
      <c r="BL65" s="2"/>
      <c r="BM65" s="2"/>
      <c r="BN65" s="2"/>
      <c r="BO65" s="2"/>
      <c r="BP65" s="2"/>
      <c r="BQ65" s="3"/>
    </row>
    <row r="66" ht="367.5" customHeight="1" spans="1:69">
      <c r="A66" s="17">
        <v>49</v>
      </c>
      <c r="B66" s="18" t="s">
        <v>515</v>
      </c>
      <c r="C66" s="2"/>
      <c r="D66" s="3"/>
      <c r="E66" s="18" t="s">
        <v>516</v>
      </c>
      <c r="F66" s="2"/>
      <c r="G66" s="2"/>
      <c r="H66" s="2"/>
      <c r="I66" s="3"/>
      <c r="J66" s="18" t="s">
        <v>517</v>
      </c>
      <c r="K66" s="2"/>
      <c r="L66" s="2"/>
      <c r="M66" s="2"/>
      <c r="N66" s="2"/>
      <c r="O66" s="2"/>
      <c r="P66" s="3"/>
      <c r="Q66" s="18" t="s">
        <v>518</v>
      </c>
      <c r="R66" s="2"/>
      <c r="S66" s="2"/>
      <c r="T66" s="2"/>
      <c r="U66" s="2"/>
      <c r="V66" s="2"/>
      <c r="W66" s="3"/>
      <c r="X66" s="18" t="s">
        <v>519</v>
      </c>
      <c r="Y66" s="2"/>
      <c r="Z66" s="2"/>
      <c r="AA66" s="2"/>
      <c r="AB66" s="2"/>
      <c r="AC66" s="2"/>
      <c r="AD66" s="3"/>
      <c r="AE66" s="19" t="s">
        <v>227</v>
      </c>
      <c r="AF66" s="3"/>
      <c r="AG66" s="19" t="s">
        <v>77</v>
      </c>
      <c r="AH66" s="2"/>
      <c r="AI66" s="3"/>
      <c r="AJ66" s="19"/>
      <c r="AK66" s="2"/>
      <c r="AL66" s="3"/>
      <c r="AM66" s="19" t="s">
        <v>284</v>
      </c>
      <c r="AN66" s="2"/>
      <c r="AO66" s="3"/>
      <c r="AP66" s="20">
        <v>46192</v>
      </c>
      <c r="AQ66" s="2"/>
      <c r="AR66" s="3"/>
      <c r="AS66" s="19"/>
      <c r="AT66" s="2"/>
      <c r="AU66" s="3"/>
      <c r="AV66" s="19" t="s">
        <v>77</v>
      </c>
      <c r="AW66" s="2"/>
      <c r="AX66" s="3"/>
      <c r="AY66" s="19"/>
      <c r="AZ66" s="2"/>
      <c r="BA66" s="3"/>
      <c r="BB66" s="19" t="s">
        <v>284</v>
      </c>
      <c r="BC66" s="2"/>
      <c r="BD66" s="3"/>
      <c r="BE66" s="20">
        <v>46251</v>
      </c>
      <c r="BF66" s="2"/>
      <c r="BG66" s="3"/>
      <c r="BH66" s="19"/>
      <c r="BI66" s="2"/>
      <c r="BJ66" s="3"/>
      <c r="BK66" s="18"/>
      <c r="BL66" s="2"/>
      <c r="BM66" s="2"/>
      <c r="BN66" s="2"/>
      <c r="BO66" s="2"/>
      <c r="BP66" s="2"/>
      <c r="BQ66" s="3"/>
    </row>
    <row r="67" ht="409.5" customHeight="1" spans="1:69">
      <c r="A67" s="17">
        <v>50</v>
      </c>
      <c r="B67" s="18" t="s">
        <v>520</v>
      </c>
      <c r="C67" s="2"/>
      <c r="D67" s="3"/>
      <c r="E67" s="18" t="s">
        <v>521</v>
      </c>
      <c r="F67" s="2"/>
      <c r="G67" s="2"/>
      <c r="H67" s="2"/>
      <c r="I67" s="3"/>
      <c r="J67" s="18" t="s">
        <v>522</v>
      </c>
      <c r="K67" s="2"/>
      <c r="L67" s="2"/>
      <c r="M67" s="2"/>
      <c r="N67" s="2"/>
      <c r="O67" s="2"/>
      <c r="P67" s="3"/>
      <c r="Q67" s="18" t="s">
        <v>523</v>
      </c>
      <c r="R67" s="2"/>
      <c r="S67" s="2"/>
      <c r="T67" s="2"/>
      <c r="U67" s="2"/>
      <c r="V67" s="2"/>
      <c r="W67" s="3"/>
      <c r="X67" s="18" t="s">
        <v>524</v>
      </c>
      <c r="Y67" s="2"/>
      <c r="Z67" s="2"/>
      <c r="AA67" s="2"/>
      <c r="AB67" s="2"/>
      <c r="AC67" s="2"/>
      <c r="AD67" s="3"/>
      <c r="AE67" s="19" t="s">
        <v>227</v>
      </c>
      <c r="AF67" s="3"/>
      <c r="AG67" s="19" t="s">
        <v>77</v>
      </c>
      <c r="AH67" s="2"/>
      <c r="AI67" s="3"/>
      <c r="AJ67" s="19"/>
      <c r="AK67" s="2"/>
      <c r="AL67" s="3"/>
      <c r="AM67" s="19" t="s">
        <v>284</v>
      </c>
      <c r="AN67" s="2"/>
      <c r="AO67" s="3"/>
      <c r="AP67" s="20">
        <v>46192</v>
      </c>
      <c r="AQ67" s="2"/>
      <c r="AR67" s="3"/>
      <c r="AS67" s="19"/>
      <c r="AT67" s="2"/>
      <c r="AU67" s="3"/>
      <c r="AV67" s="19" t="s">
        <v>77</v>
      </c>
      <c r="AW67" s="2"/>
      <c r="AX67" s="3"/>
      <c r="AY67" s="19"/>
      <c r="AZ67" s="2"/>
      <c r="BA67" s="3"/>
      <c r="BB67" s="19" t="s">
        <v>284</v>
      </c>
      <c r="BC67" s="2"/>
      <c r="BD67" s="3"/>
      <c r="BE67" s="20">
        <v>46251</v>
      </c>
      <c r="BF67" s="2"/>
      <c r="BG67" s="3"/>
      <c r="BH67" s="19"/>
      <c r="BI67" s="2"/>
      <c r="BJ67" s="3"/>
      <c r="BK67" s="18"/>
      <c r="BL67" s="2"/>
      <c r="BM67" s="2"/>
      <c r="BN67" s="2"/>
      <c r="BO67" s="2"/>
      <c r="BP67" s="2"/>
      <c r="BQ67" s="3"/>
    </row>
    <row r="68" ht="409.5" customHeight="1" spans="1:69">
      <c r="A68" s="17">
        <v>51</v>
      </c>
      <c r="B68" s="18" t="s">
        <v>525</v>
      </c>
      <c r="C68" s="2"/>
      <c r="D68" s="3"/>
      <c r="E68" s="18" t="s">
        <v>526</v>
      </c>
      <c r="F68" s="2"/>
      <c r="G68" s="2"/>
      <c r="H68" s="2"/>
      <c r="I68" s="3"/>
      <c r="J68" s="18" t="s">
        <v>527</v>
      </c>
      <c r="K68" s="2"/>
      <c r="L68" s="2"/>
      <c r="M68" s="2"/>
      <c r="N68" s="2"/>
      <c r="O68" s="2"/>
      <c r="P68" s="3"/>
      <c r="Q68" s="18" t="s">
        <v>528</v>
      </c>
      <c r="R68" s="2"/>
      <c r="S68" s="2"/>
      <c r="T68" s="2"/>
      <c r="U68" s="2"/>
      <c r="V68" s="2"/>
      <c r="W68" s="3"/>
      <c r="X68" s="18" t="s">
        <v>529</v>
      </c>
      <c r="Y68" s="2"/>
      <c r="Z68" s="2"/>
      <c r="AA68" s="2"/>
      <c r="AB68" s="2"/>
      <c r="AC68" s="2"/>
      <c r="AD68" s="3"/>
      <c r="AE68" s="19" t="s">
        <v>295</v>
      </c>
      <c r="AF68" s="3"/>
      <c r="AG68" s="19" t="s">
        <v>77</v>
      </c>
      <c r="AH68" s="2"/>
      <c r="AI68" s="3"/>
      <c r="AJ68" s="19"/>
      <c r="AK68" s="2"/>
      <c r="AL68" s="3"/>
      <c r="AM68" s="19" t="s">
        <v>284</v>
      </c>
      <c r="AN68" s="2"/>
      <c r="AO68" s="3"/>
      <c r="AP68" s="20">
        <v>46192</v>
      </c>
      <c r="AQ68" s="2"/>
      <c r="AR68" s="3"/>
      <c r="AS68" s="19"/>
      <c r="AT68" s="2"/>
      <c r="AU68" s="3"/>
      <c r="AV68" s="19" t="s">
        <v>77</v>
      </c>
      <c r="AW68" s="2"/>
      <c r="AX68" s="3"/>
      <c r="AY68" s="19"/>
      <c r="AZ68" s="2"/>
      <c r="BA68" s="3"/>
      <c r="BB68" s="19" t="s">
        <v>284</v>
      </c>
      <c r="BC68" s="2"/>
      <c r="BD68" s="3"/>
      <c r="BE68" s="20">
        <v>46251</v>
      </c>
      <c r="BF68" s="2"/>
      <c r="BG68" s="3"/>
      <c r="BH68" s="19"/>
      <c r="BI68" s="2"/>
      <c r="BJ68" s="3"/>
      <c r="BK68" s="18"/>
      <c r="BL68" s="2"/>
      <c r="BM68" s="2"/>
      <c r="BN68" s="2"/>
      <c r="BO68" s="2"/>
      <c r="BP68" s="2"/>
      <c r="BQ68" s="3"/>
    </row>
    <row r="69" ht="409.5" customHeight="1" spans="1:69">
      <c r="A69" s="17">
        <v>52</v>
      </c>
      <c r="B69" s="18" t="s">
        <v>530</v>
      </c>
      <c r="C69" s="2"/>
      <c r="D69" s="3"/>
      <c r="E69" s="18" t="s">
        <v>531</v>
      </c>
      <c r="F69" s="2"/>
      <c r="G69" s="2"/>
      <c r="H69" s="2"/>
      <c r="I69" s="3"/>
      <c r="J69" s="18" t="s">
        <v>532</v>
      </c>
      <c r="K69" s="2"/>
      <c r="L69" s="2"/>
      <c r="M69" s="2"/>
      <c r="N69" s="2"/>
      <c r="O69" s="2"/>
      <c r="P69" s="3"/>
      <c r="Q69" s="18" t="s">
        <v>533</v>
      </c>
      <c r="R69" s="2"/>
      <c r="S69" s="2"/>
      <c r="T69" s="2"/>
      <c r="U69" s="2"/>
      <c r="V69" s="2"/>
      <c r="W69" s="3"/>
      <c r="X69" s="18" t="s">
        <v>534</v>
      </c>
      <c r="Y69" s="2"/>
      <c r="Z69" s="2"/>
      <c r="AA69" s="2"/>
      <c r="AB69" s="2"/>
      <c r="AC69" s="2"/>
      <c r="AD69" s="3"/>
      <c r="AE69" s="19" t="s">
        <v>295</v>
      </c>
      <c r="AF69" s="3"/>
      <c r="AG69" s="19" t="s">
        <v>77</v>
      </c>
      <c r="AH69" s="2"/>
      <c r="AI69" s="3"/>
      <c r="AJ69" s="19"/>
      <c r="AK69" s="2"/>
      <c r="AL69" s="3"/>
      <c r="AM69" s="19" t="s">
        <v>284</v>
      </c>
      <c r="AN69" s="2"/>
      <c r="AO69" s="3"/>
      <c r="AP69" s="20">
        <v>46192</v>
      </c>
      <c r="AQ69" s="2"/>
      <c r="AR69" s="3"/>
      <c r="AS69" s="19"/>
      <c r="AT69" s="2"/>
      <c r="AU69" s="3"/>
      <c r="AV69" s="19" t="s">
        <v>77</v>
      </c>
      <c r="AW69" s="2"/>
      <c r="AX69" s="3"/>
      <c r="AY69" s="19"/>
      <c r="AZ69" s="2"/>
      <c r="BA69" s="3"/>
      <c r="BB69" s="19" t="s">
        <v>284</v>
      </c>
      <c r="BC69" s="2"/>
      <c r="BD69" s="3"/>
      <c r="BE69" s="20">
        <v>46251</v>
      </c>
      <c r="BF69" s="2"/>
      <c r="BG69" s="3"/>
      <c r="BH69" s="19"/>
      <c r="BI69" s="2"/>
      <c r="BJ69" s="3"/>
      <c r="BK69" s="18"/>
      <c r="BL69" s="2"/>
      <c r="BM69" s="2"/>
      <c r="BN69" s="2"/>
      <c r="BO69" s="2"/>
      <c r="BP69" s="2"/>
      <c r="BQ69" s="3"/>
    </row>
    <row r="70" ht="22.5" customHeight="1" spans="1:69">
      <c r="A70" s="16" t="s">
        <v>535</v>
      </c>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c r="BK70" s="2"/>
      <c r="BL70" s="2"/>
      <c r="BM70" s="2"/>
      <c r="BN70" s="2"/>
      <c r="BO70" s="2"/>
      <c r="BP70" s="2"/>
      <c r="BQ70" s="3"/>
    </row>
    <row r="71" ht="409.5" customHeight="1" spans="1:69">
      <c r="A71" s="17">
        <v>53</v>
      </c>
      <c r="B71" s="18" t="s">
        <v>536</v>
      </c>
      <c r="C71" s="2"/>
      <c r="D71" s="3"/>
      <c r="E71" s="18" t="s">
        <v>537</v>
      </c>
      <c r="F71" s="2"/>
      <c r="G71" s="2"/>
      <c r="H71" s="2"/>
      <c r="I71" s="3"/>
      <c r="J71" s="18" t="s">
        <v>538</v>
      </c>
      <c r="K71" s="2"/>
      <c r="L71" s="2"/>
      <c r="M71" s="2"/>
      <c r="N71" s="2"/>
      <c r="O71" s="2"/>
      <c r="P71" s="3"/>
      <c r="Q71" s="18" t="s">
        <v>539</v>
      </c>
      <c r="R71" s="2"/>
      <c r="S71" s="2"/>
      <c r="T71" s="2"/>
      <c r="U71" s="2"/>
      <c r="V71" s="2"/>
      <c r="W71" s="3"/>
      <c r="X71" s="18" t="s">
        <v>540</v>
      </c>
      <c r="Y71" s="2"/>
      <c r="Z71" s="2"/>
      <c r="AA71" s="2"/>
      <c r="AB71" s="2"/>
      <c r="AC71" s="2"/>
      <c r="AD71" s="3"/>
      <c r="AE71" s="19" t="s">
        <v>295</v>
      </c>
      <c r="AF71" s="3"/>
      <c r="AG71" s="19" t="s">
        <v>77</v>
      </c>
      <c r="AH71" s="2"/>
      <c r="AI71" s="3"/>
      <c r="AJ71" s="19"/>
      <c r="AK71" s="2"/>
      <c r="AL71" s="3"/>
      <c r="AM71" s="19" t="s">
        <v>284</v>
      </c>
      <c r="AN71" s="2"/>
      <c r="AO71" s="3"/>
      <c r="AP71" s="20">
        <v>46192</v>
      </c>
      <c r="AQ71" s="2"/>
      <c r="AR71" s="3"/>
      <c r="AS71" s="19"/>
      <c r="AT71" s="2"/>
      <c r="AU71" s="3"/>
      <c r="AV71" s="19" t="s">
        <v>77</v>
      </c>
      <c r="AW71" s="2"/>
      <c r="AX71" s="3"/>
      <c r="AY71" s="19"/>
      <c r="AZ71" s="2"/>
      <c r="BA71" s="3"/>
      <c r="BB71" s="19" t="s">
        <v>284</v>
      </c>
      <c r="BC71" s="2"/>
      <c r="BD71" s="3"/>
      <c r="BE71" s="20">
        <v>46251</v>
      </c>
      <c r="BF71" s="2"/>
      <c r="BG71" s="3"/>
      <c r="BH71" s="19"/>
      <c r="BI71" s="2"/>
      <c r="BJ71" s="3"/>
      <c r="BK71" s="18"/>
      <c r="BL71" s="2"/>
      <c r="BM71" s="2"/>
      <c r="BN71" s="2"/>
      <c r="BO71" s="2"/>
      <c r="BP71" s="2"/>
      <c r="BQ71" s="3"/>
    </row>
    <row r="72" ht="409.5" customHeight="1" spans="1:69">
      <c r="A72" s="17">
        <v>54</v>
      </c>
      <c r="B72" s="18" t="s">
        <v>541</v>
      </c>
      <c r="C72" s="2"/>
      <c r="D72" s="3"/>
      <c r="E72" s="18" t="s">
        <v>542</v>
      </c>
      <c r="F72" s="2"/>
      <c r="G72" s="2"/>
      <c r="H72" s="2"/>
      <c r="I72" s="3"/>
      <c r="J72" s="18" t="s">
        <v>543</v>
      </c>
      <c r="K72" s="2"/>
      <c r="L72" s="2"/>
      <c r="M72" s="2"/>
      <c r="N72" s="2"/>
      <c r="O72" s="2"/>
      <c r="P72" s="3"/>
      <c r="Q72" s="18" t="s">
        <v>544</v>
      </c>
      <c r="R72" s="2"/>
      <c r="S72" s="2"/>
      <c r="T72" s="2"/>
      <c r="U72" s="2"/>
      <c r="V72" s="2"/>
      <c r="W72" s="3"/>
      <c r="X72" s="18" t="s">
        <v>545</v>
      </c>
      <c r="Y72" s="2"/>
      <c r="Z72" s="2"/>
      <c r="AA72" s="2"/>
      <c r="AB72" s="2"/>
      <c r="AC72" s="2"/>
      <c r="AD72" s="3"/>
      <c r="AE72" s="19" t="s">
        <v>295</v>
      </c>
      <c r="AF72" s="3"/>
      <c r="AG72" s="19" t="s">
        <v>77</v>
      </c>
      <c r="AH72" s="2"/>
      <c r="AI72" s="3"/>
      <c r="AJ72" s="19"/>
      <c r="AK72" s="2"/>
      <c r="AL72" s="3"/>
      <c r="AM72" s="19" t="s">
        <v>284</v>
      </c>
      <c r="AN72" s="2"/>
      <c r="AO72" s="3"/>
      <c r="AP72" s="20">
        <v>46192</v>
      </c>
      <c r="AQ72" s="2"/>
      <c r="AR72" s="3"/>
      <c r="AS72" s="19"/>
      <c r="AT72" s="2"/>
      <c r="AU72" s="3"/>
      <c r="AV72" s="19" t="s">
        <v>77</v>
      </c>
      <c r="AW72" s="2"/>
      <c r="AX72" s="3"/>
      <c r="AY72" s="19"/>
      <c r="AZ72" s="2"/>
      <c r="BA72" s="3"/>
      <c r="BB72" s="19" t="s">
        <v>284</v>
      </c>
      <c r="BC72" s="2"/>
      <c r="BD72" s="3"/>
      <c r="BE72" s="20">
        <v>46251</v>
      </c>
      <c r="BF72" s="2"/>
      <c r="BG72" s="3"/>
      <c r="BH72" s="19"/>
      <c r="BI72" s="2"/>
      <c r="BJ72" s="3"/>
      <c r="BK72" s="18"/>
      <c r="BL72" s="2"/>
      <c r="BM72" s="2"/>
      <c r="BN72" s="2"/>
      <c r="BO72" s="2"/>
      <c r="BP72" s="2"/>
      <c r="BQ72" s="3"/>
    </row>
    <row r="73" ht="384" customHeight="1" spans="1:69">
      <c r="A73" s="17">
        <v>55</v>
      </c>
      <c r="B73" s="18" t="s">
        <v>546</v>
      </c>
      <c r="C73" s="2"/>
      <c r="D73" s="3"/>
      <c r="E73" s="18" t="s">
        <v>547</v>
      </c>
      <c r="F73" s="2"/>
      <c r="G73" s="2"/>
      <c r="H73" s="2"/>
      <c r="I73" s="3"/>
      <c r="J73" s="18" t="s">
        <v>403</v>
      </c>
      <c r="K73" s="2"/>
      <c r="L73" s="2"/>
      <c r="M73" s="2"/>
      <c r="N73" s="2"/>
      <c r="O73" s="2"/>
      <c r="P73" s="3"/>
      <c r="Q73" s="18" t="s">
        <v>548</v>
      </c>
      <c r="R73" s="2"/>
      <c r="S73" s="2"/>
      <c r="T73" s="2"/>
      <c r="U73" s="2"/>
      <c r="V73" s="2"/>
      <c r="W73" s="3"/>
      <c r="X73" s="18" t="s">
        <v>549</v>
      </c>
      <c r="Y73" s="2"/>
      <c r="Z73" s="2"/>
      <c r="AA73" s="2"/>
      <c r="AB73" s="2"/>
      <c r="AC73" s="2"/>
      <c r="AD73" s="3"/>
      <c r="AE73" s="19" t="s">
        <v>227</v>
      </c>
      <c r="AF73" s="3"/>
      <c r="AG73" s="19" t="s">
        <v>77</v>
      </c>
      <c r="AH73" s="2"/>
      <c r="AI73" s="3"/>
      <c r="AJ73" s="19"/>
      <c r="AK73" s="2"/>
      <c r="AL73" s="3"/>
      <c r="AM73" s="19" t="s">
        <v>284</v>
      </c>
      <c r="AN73" s="2"/>
      <c r="AO73" s="3"/>
      <c r="AP73" s="20">
        <v>46192</v>
      </c>
      <c r="AQ73" s="2"/>
      <c r="AR73" s="3"/>
      <c r="AS73" s="19"/>
      <c r="AT73" s="2"/>
      <c r="AU73" s="3"/>
      <c r="AV73" s="19" t="s">
        <v>77</v>
      </c>
      <c r="AW73" s="2"/>
      <c r="AX73" s="3"/>
      <c r="AY73" s="19"/>
      <c r="AZ73" s="2"/>
      <c r="BA73" s="3"/>
      <c r="BB73" s="19" t="s">
        <v>284</v>
      </c>
      <c r="BC73" s="2"/>
      <c r="BD73" s="3"/>
      <c r="BE73" s="20">
        <v>46251</v>
      </c>
      <c r="BF73" s="2"/>
      <c r="BG73" s="3"/>
      <c r="BH73" s="19"/>
      <c r="BI73" s="2"/>
      <c r="BJ73" s="3"/>
      <c r="BK73" s="18"/>
      <c r="BL73" s="2"/>
      <c r="BM73" s="2"/>
      <c r="BN73" s="2"/>
      <c r="BO73" s="2"/>
      <c r="BP73" s="2"/>
      <c r="BQ73" s="3"/>
    </row>
    <row r="74" ht="384" customHeight="1" spans="1:69">
      <c r="A74" s="17">
        <v>56</v>
      </c>
      <c r="B74" s="18" t="s">
        <v>550</v>
      </c>
      <c r="C74" s="2"/>
      <c r="D74" s="3"/>
      <c r="E74" s="18" t="s">
        <v>551</v>
      </c>
      <c r="F74" s="2"/>
      <c r="G74" s="2"/>
      <c r="H74" s="2"/>
      <c r="I74" s="3"/>
      <c r="J74" s="18" t="s">
        <v>552</v>
      </c>
      <c r="K74" s="2"/>
      <c r="L74" s="2"/>
      <c r="M74" s="2"/>
      <c r="N74" s="2"/>
      <c r="O74" s="2"/>
      <c r="P74" s="3"/>
      <c r="Q74" s="18" t="s">
        <v>553</v>
      </c>
      <c r="R74" s="2"/>
      <c r="S74" s="2"/>
      <c r="T74" s="2"/>
      <c r="U74" s="2"/>
      <c r="V74" s="2"/>
      <c r="W74" s="3"/>
      <c r="X74" s="18" t="s">
        <v>554</v>
      </c>
      <c r="Y74" s="2"/>
      <c r="Z74" s="2"/>
      <c r="AA74" s="2"/>
      <c r="AB74" s="2"/>
      <c r="AC74" s="2"/>
      <c r="AD74" s="3"/>
      <c r="AE74" s="19" t="s">
        <v>227</v>
      </c>
      <c r="AF74" s="3"/>
      <c r="AG74" s="19" t="s">
        <v>77</v>
      </c>
      <c r="AH74" s="2"/>
      <c r="AI74" s="3"/>
      <c r="AJ74" s="19"/>
      <c r="AK74" s="2"/>
      <c r="AL74" s="3"/>
      <c r="AM74" s="19" t="s">
        <v>284</v>
      </c>
      <c r="AN74" s="2"/>
      <c r="AO74" s="3"/>
      <c r="AP74" s="20">
        <v>46192</v>
      </c>
      <c r="AQ74" s="2"/>
      <c r="AR74" s="3"/>
      <c r="AS74" s="19"/>
      <c r="AT74" s="2"/>
      <c r="AU74" s="3"/>
      <c r="AV74" s="19" t="s">
        <v>77</v>
      </c>
      <c r="AW74" s="2"/>
      <c r="AX74" s="3"/>
      <c r="AY74" s="19"/>
      <c r="AZ74" s="2"/>
      <c r="BA74" s="3"/>
      <c r="BB74" s="19" t="s">
        <v>284</v>
      </c>
      <c r="BC74" s="2"/>
      <c r="BD74" s="3"/>
      <c r="BE74" s="20">
        <v>46251</v>
      </c>
      <c r="BF74" s="2"/>
      <c r="BG74" s="3"/>
      <c r="BH74" s="19"/>
      <c r="BI74" s="2"/>
      <c r="BJ74" s="3"/>
      <c r="BK74" s="18"/>
      <c r="BL74" s="2"/>
      <c r="BM74" s="2"/>
      <c r="BN74" s="2"/>
      <c r="BO74" s="2"/>
      <c r="BP74" s="2"/>
      <c r="BQ74" s="3"/>
    </row>
    <row r="75" ht="409.5" customHeight="1" spans="1:69">
      <c r="A75" s="17">
        <v>57</v>
      </c>
      <c r="B75" s="18" t="s">
        <v>555</v>
      </c>
      <c r="C75" s="2"/>
      <c r="D75" s="3"/>
      <c r="E75" s="18" t="s">
        <v>556</v>
      </c>
      <c r="F75" s="2"/>
      <c r="G75" s="2"/>
      <c r="H75" s="2"/>
      <c r="I75" s="3"/>
      <c r="J75" s="18" t="s">
        <v>557</v>
      </c>
      <c r="K75" s="2"/>
      <c r="L75" s="2"/>
      <c r="M75" s="2"/>
      <c r="N75" s="2"/>
      <c r="O75" s="2"/>
      <c r="P75" s="3"/>
      <c r="Q75" s="18" t="s">
        <v>558</v>
      </c>
      <c r="R75" s="2"/>
      <c r="S75" s="2"/>
      <c r="T75" s="2"/>
      <c r="U75" s="2"/>
      <c r="V75" s="2"/>
      <c r="W75" s="3"/>
      <c r="X75" s="18" t="s">
        <v>559</v>
      </c>
      <c r="Y75" s="2"/>
      <c r="Z75" s="2"/>
      <c r="AA75" s="2"/>
      <c r="AB75" s="2"/>
      <c r="AC75" s="2"/>
      <c r="AD75" s="3"/>
      <c r="AE75" s="19" t="s">
        <v>295</v>
      </c>
      <c r="AF75" s="3"/>
      <c r="AG75" s="19" t="s">
        <v>77</v>
      </c>
      <c r="AH75" s="2"/>
      <c r="AI75" s="3"/>
      <c r="AJ75" s="19"/>
      <c r="AK75" s="2"/>
      <c r="AL75" s="3"/>
      <c r="AM75" s="19" t="s">
        <v>284</v>
      </c>
      <c r="AN75" s="2"/>
      <c r="AO75" s="3"/>
      <c r="AP75" s="20">
        <v>46192</v>
      </c>
      <c r="AQ75" s="2"/>
      <c r="AR75" s="3"/>
      <c r="AS75" s="19"/>
      <c r="AT75" s="2"/>
      <c r="AU75" s="3"/>
      <c r="AV75" s="19" t="s">
        <v>77</v>
      </c>
      <c r="AW75" s="2"/>
      <c r="AX75" s="3"/>
      <c r="AY75" s="19"/>
      <c r="AZ75" s="2"/>
      <c r="BA75" s="3"/>
      <c r="BB75" s="19" t="s">
        <v>284</v>
      </c>
      <c r="BC75" s="2"/>
      <c r="BD75" s="3"/>
      <c r="BE75" s="20">
        <v>46251</v>
      </c>
      <c r="BF75" s="2"/>
      <c r="BG75" s="3"/>
      <c r="BH75" s="19"/>
      <c r="BI75" s="2"/>
      <c r="BJ75" s="3"/>
      <c r="BK75" s="18"/>
      <c r="BL75" s="2"/>
      <c r="BM75" s="2"/>
      <c r="BN75" s="2"/>
      <c r="BO75" s="2"/>
      <c r="BP75" s="2"/>
      <c r="BQ75" s="3"/>
    </row>
    <row r="76" ht="409.5" customHeight="1" spans="1:69">
      <c r="A76" s="17">
        <v>58</v>
      </c>
      <c r="B76" s="18" t="s">
        <v>560</v>
      </c>
      <c r="C76" s="2"/>
      <c r="D76" s="3"/>
      <c r="E76" s="18" t="s">
        <v>561</v>
      </c>
      <c r="F76" s="2"/>
      <c r="G76" s="2"/>
      <c r="H76" s="2"/>
      <c r="I76" s="3"/>
      <c r="J76" s="18" t="s">
        <v>562</v>
      </c>
      <c r="K76" s="2"/>
      <c r="L76" s="2"/>
      <c r="M76" s="2"/>
      <c r="N76" s="2"/>
      <c r="O76" s="2"/>
      <c r="P76" s="3"/>
      <c r="Q76" s="18" t="s">
        <v>563</v>
      </c>
      <c r="R76" s="2"/>
      <c r="S76" s="2"/>
      <c r="T76" s="2"/>
      <c r="U76" s="2"/>
      <c r="V76" s="2"/>
      <c r="W76" s="3"/>
      <c r="X76" s="18" t="s">
        <v>564</v>
      </c>
      <c r="Y76" s="2"/>
      <c r="Z76" s="2"/>
      <c r="AA76" s="2"/>
      <c r="AB76" s="2"/>
      <c r="AC76" s="2"/>
      <c r="AD76" s="3"/>
      <c r="AE76" s="19" t="s">
        <v>295</v>
      </c>
      <c r="AF76" s="3"/>
      <c r="AG76" s="19" t="s">
        <v>77</v>
      </c>
      <c r="AH76" s="2"/>
      <c r="AI76" s="3"/>
      <c r="AJ76" s="19"/>
      <c r="AK76" s="2"/>
      <c r="AL76" s="3"/>
      <c r="AM76" s="19" t="s">
        <v>284</v>
      </c>
      <c r="AN76" s="2"/>
      <c r="AO76" s="3"/>
      <c r="AP76" s="20">
        <v>46192</v>
      </c>
      <c r="AQ76" s="2"/>
      <c r="AR76" s="3"/>
      <c r="AS76" s="19"/>
      <c r="AT76" s="2"/>
      <c r="AU76" s="3"/>
      <c r="AV76" s="19" t="s">
        <v>77</v>
      </c>
      <c r="AW76" s="2"/>
      <c r="AX76" s="3"/>
      <c r="AY76" s="19"/>
      <c r="AZ76" s="2"/>
      <c r="BA76" s="3"/>
      <c r="BB76" s="19" t="s">
        <v>284</v>
      </c>
      <c r="BC76" s="2"/>
      <c r="BD76" s="3"/>
      <c r="BE76" s="20">
        <v>46251</v>
      </c>
      <c r="BF76" s="2"/>
      <c r="BG76" s="3"/>
      <c r="BH76" s="19"/>
      <c r="BI76" s="2"/>
      <c r="BJ76" s="3"/>
      <c r="BK76" s="18"/>
      <c r="BL76" s="2"/>
      <c r="BM76" s="2"/>
      <c r="BN76" s="2"/>
      <c r="BO76" s="2"/>
      <c r="BP76" s="2"/>
      <c r="BQ76" s="3"/>
    </row>
    <row r="77" ht="409.5" customHeight="1" spans="1:69">
      <c r="A77" s="17">
        <v>59</v>
      </c>
      <c r="B77" s="18" t="s">
        <v>565</v>
      </c>
      <c r="C77" s="2"/>
      <c r="D77" s="3"/>
      <c r="E77" s="18" t="s">
        <v>566</v>
      </c>
      <c r="F77" s="2"/>
      <c r="G77" s="2"/>
      <c r="H77" s="2"/>
      <c r="I77" s="3"/>
      <c r="J77" s="18" t="s">
        <v>473</v>
      </c>
      <c r="K77" s="2"/>
      <c r="L77" s="2"/>
      <c r="M77" s="2"/>
      <c r="N77" s="2"/>
      <c r="O77" s="2"/>
      <c r="P77" s="3"/>
      <c r="Q77" s="18" t="s">
        <v>567</v>
      </c>
      <c r="R77" s="2"/>
      <c r="S77" s="2"/>
      <c r="T77" s="2"/>
      <c r="U77" s="2"/>
      <c r="V77" s="2"/>
      <c r="W77" s="3"/>
      <c r="X77" s="18" t="s">
        <v>568</v>
      </c>
      <c r="Y77" s="2"/>
      <c r="Z77" s="2"/>
      <c r="AA77" s="2"/>
      <c r="AB77" s="2"/>
      <c r="AC77" s="2"/>
      <c r="AD77" s="3"/>
      <c r="AE77" s="19" t="s">
        <v>227</v>
      </c>
      <c r="AF77" s="3"/>
      <c r="AG77" s="19" t="s">
        <v>77</v>
      </c>
      <c r="AH77" s="2"/>
      <c r="AI77" s="3"/>
      <c r="AJ77" s="19"/>
      <c r="AK77" s="2"/>
      <c r="AL77" s="3"/>
      <c r="AM77" s="19" t="s">
        <v>284</v>
      </c>
      <c r="AN77" s="2"/>
      <c r="AO77" s="3"/>
      <c r="AP77" s="20">
        <v>46192</v>
      </c>
      <c r="AQ77" s="2"/>
      <c r="AR77" s="3"/>
      <c r="AS77" s="19"/>
      <c r="AT77" s="2"/>
      <c r="AU77" s="3"/>
      <c r="AV77" s="19" t="s">
        <v>77</v>
      </c>
      <c r="AW77" s="2"/>
      <c r="AX77" s="3"/>
      <c r="AY77" s="19"/>
      <c r="AZ77" s="2"/>
      <c r="BA77" s="3"/>
      <c r="BB77" s="19" t="s">
        <v>284</v>
      </c>
      <c r="BC77" s="2"/>
      <c r="BD77" s="3"/>
      <c r="BE77" s="20">
        <v>46251</v>
      </c>
      <c r="BF77" s="2"/>
      <c r="BG77" s="3"/>
      <c r="BH77" s="19"/>
      <c r="BI77" s="2"/>
      <c r="BJ77" s="3"/>
      <c r="BK77" s="18"/>
      <c r="BL77" s="2"/>
      <c r="BM77" s="2"/>
      <c r="BN77" s="2"/>
      <c r="BO77" s="2"/>
      <c r="BP77" s="2"/>
      <c r="BQ77" s="3"/>
    </row>
    <row r="78" ht="409.5" customHeight="1" spans="1:69">
      <c r="A78" s="17">
        <v>60</v>
      </c>
      <c r="B78" s="18" t="s">
        <v>569</v>
      </c>
      <c r="C78" s="2"/>
      <c r="D78" s="3"/>
      <c r="E78" s="18" t="s">
        <v>570</v>
      </c>
      <c r="F78" s="2"/>
      <c r="G78" s="2"/>
      <c r="H78" s="2"/>
      <c r="I78" s="3"/>
      <c r="J78" s="18" t="s">
        <v>571</v>
      </c>
      <c r="K78" s="2"/>
      <c r="L78" s="2"/>
      <c r="M78" s="2"/>
      <c r="N78" s="2"/>
      <c r="O78" s="2"/>
      <c r="P78" s="3"/>
      <c r="Q78" s="18" t="s">
        <v>572</v>
      </c>
      <c r="R78" s="2"/>
      <c r="S78" s="2"/>
      <c r="T78" s="2"/>
      <c r="U78" s="2"/>
      <c r="V78" s="2"/>
      <c r="W78" s="3"/>
      <c r="X78" s="18" t="s">
        <v>573</v>
      </c>
      <c r="Y78" s="2"/>
      <c r="Z78" s="2"/>
      <c r="AA78" s="2"/>
      <c r="AB78" s="2"/>
      <c r="AC78" s="2"/>
      <c r="AD78" s="3"/>
      <c r="AE78" s="19" t="s">
        <v>295</v>
      </c>
      <c r="AF78" s="3"/>
      <c r="AG78" s="19" t="s">
        <v>77</v>
      </c>
      <c r="AH78" s="2"/>
      <c r="AI78" s="3"/>
      <c r="AJ78" s="19"/>
      <c r="AK78" s="2"/>
      <c r="AL78" s="3"/>
      <c r="AM78" s="19" t="s">
        <v>284</v>
      </c>
      <c r="AN78" s="2"/>
      <c r="AO78" s="3"/>
      <c r="AP78" s="20">
        <v>46192</v>
      </c>
      <c r="AQ78" s="2"/>
      <c r="AR78" s="3"/>
      <c r="AS78" s="19"/>
      <c r="AT78" s="2"/>
      <c r="AU78" s="3"/>
      <c r="AV78" s="19" t="s">
        <v>77</v>
      </c>
      <c r="AW78" s="2"/>
      <c r="AX78" s="3"/>
      <c r="AY78" s="19"/>
      <c r="AZ78" s="2"/>
      <c r="BA78" s="3"/>
      <c r="BB78" s="19" t="s">
        <v>284</v>
      </c>
      <c r="BC78" s="2"/>
      <c r="BD78" s="3"/>
      <c r="BE78" s="20">
        <v>46251</v>
      </c>
      <c r="BF78" s="2"/>
      <c r="BG78" s="3"/>
      <c r="BH78" s="19"/>
      <c r="BI78" s="2"/>
      <c r="BJ78" s="3"/>
      <c r="BK78" s="18"/>
      <c r="BL78" s="2"/>
      <c r="BM78" s="2"/>
      <c r="BN78" s="2"/>
      <c r="BO78" s="2"/>
      <c r="BP78" s="2"/>
      <c r="BQ78" s="3"/>
    </row>
    <row r="79" ht="409.5" customHeight="1" spans="1:69">
      <c r="A79" s="17">
        <v>61</v>
      </c>
      <c r="B79" s="18" t="s">
        <v>574</v>
      </c>
      <c r="C79" s="2"/>
      <c r="D79" s="3"/>
      <c r="E79" s="18" t="s">
        <v>575</v>
      </c>
      <c r="F79" s="2"/>
      <c r="G79" s="2"/>
      <c r="H79" s="2"/>
      <c r="I79" s="3"/>
      <c r="J79" s="18" t="s">
        <v>576</v>
      </c>
      <c r="K79" s="2"/>
      <c r="L79" s="2"/>
      <c r="M79" s="2"/>
      <c r="N79" s="2"/>
      <c r="O79" s="2"/>
      <c r="P79" s="3"/>
      <c r="Q79" s="18" t="s">
        <v>577</v>
      </c>
      <c r="R79" s="2"/>
      <c r="S79" s="2"/>
      <c r="T79" s="2"/>
      <c r="U79" s="2"/>
      <c r="V79" s="2"/>
      <c r="W79" s="3"/>
      <c r="X79" s="18" t="s">
        <v>578</v>
      </c>
      <c r="Y79" s="2"/>
      <c r="Z79" s="2"/>
      <c r="AA79" s="2"/>
      <c r="AB79" s="2"/>
      <c r="AC79" s="2"/>
      <c r="AD79" s="3"/>
      <c r="AE79" s="19" t="s">
        <v>227</v>
      </c>
      <c r="AF79" s="3"/>
      <c r="AG79" s="19" t="s">
        <v>77</v>
      </c>
      <c r="AH79" s="2"/>
      <c r="AI79" s="3"/>
      <c r="AJ79" s="19"/>
      <c r="AK79" s="2"/>
      <c r="AL79" s="3"/>
      <c r="AM79" s="19" t="s">
        <v>284</v>
      </c>
      <c r="AN79" s="2"/>
      <c r="AO79" s="3"/>
      <c r="AP79" s="20">
        <v>46192</v>
      </c>
      <c r="AQ79" s="2"/>
      <c r="AR79" s="3"/>
      <c r="AS79" s="19"/>
      <c r="AT79" s="2"/>
      <c r="AU79" s="3"/>
      <c r="AV79" s="19" t="s">
        <v>77</v>
      </c>
      <c r="AW79" s="2"/>
      <c r="AX79" s="3"/>
      <c r="AY79" s="19"/>
      <c r="AZ79" s="2"/>
      <c r="BA79" s="3"/>
      <c r="BB79" s="19" t="s">
        <v>284</v>
      </c>
      <c r="BC79" s="2"/>
      <c r="BD79" s="3"/>
      <c r="BE79" s="20">
        <v>46251</v>
      </c>
      <c r="BF79" s="2"/>
      <c r="BG79" s="3"/>
      <c r="BH79" s="19"/>
      <c r="BI79" s="2"/>
      <c r="BJ79" s="3"/>
      <c r="BK79" s="18" t="s">
        <v>306</v>
      </c>
      <c r="BL79" s="2"/>
      <c r="BM79" s="2"/>
      <c r="BN79" s="2"/>
      <c r="BO79" s="2"/>
      <c r="BP79" s="2"/>
      <c r="BQ79" s="3"/>
    </row>
    <row r="80" ht="22.5" customHeight="1" spans="1:69">
      <c r="A80" s="16" t="s">
        <v>579</v>
      </c>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c r="AT80" s="2"/>
      <c r="AU80" s="2"/>
      <c r="AV80" s="2"/>
      <c r="AW80" s="2"/>
      <c r="AX80" s="2"/>
      <c r="AY80" s="2"/>
      <c r="AZ80" s="2"/>
      <c r="BA80" s="2"/>
      <c r="BB80" s="2"/>
      <c r="BC80" s="2"/>
      <c r="BD80" s="2"/>
      <c r="BE80" s="2"/>
      <c r="BF80" s="2"/>
      <c r="BG80" s="2"/>
      <c r="BH80" s="2"/>
      <c r="BI80" s="2"/>
      <c r="BJ80" s="2"/>
      <c r="BK80" s="2"/>
      <c r="BL80" s="2"/>
      <c r="BM80" s="2"/>
      <c r="BN80" s="2"/>
      <c r="BO80" s="2"/>
      <c r="BP80" s="2"/>
      <c r="BQ80" s="3"/>
    </row>
    <row r="81" ht="409.5" customHeight="1" spans="1:69">
      <c r="A81" s="17">
        <v>62</v>
      </c>
      <c r="B81" s="18" t="s">
        <v>580</v>
      </c>
      <c r="C81" s="2"/>
      <c r="D81" s="3"/>
      <c r="E81" s="18" t="s">
        <v>581</v>
      </c>
      <c r="F81" s="2"/>
      <c r="G81" s="2"/>
      <c r="H81" s="2"/>
      <c r="I81" s="3"/>
      <c r="J81" s="18" t="s">
        <v>582</v>
      </c>
      <c r="K81" s="2"/>
      <c r="L81" s="2"/>
      <c r="M81" s="2"/>
      <c r="N81" s="2"/>
      <c r="O81" s="2"/>
      <c r="P81" s="3"/>
      <c r="Q81" s="18" t="s">
        <v>583</v>
      </c>
      <c r="R81" s="2"/>
      <c r="S81" s="2"/>
      <c r="T81" s="2"/>
      <c r="U81" s="2"/>
      <c r="V81" s="2"/>
      <c r="W81" s="3"/>
      <c r="X81" s="18" t="s">
        <v>584</v>
      </c>
      <c r="Y81" s="2"/>
      <c r="Z81" s="2"/>
      <c r="AA81" s="2"/>
      <c r="AB81" s="2"/>
      <c r="AC81" s="2"/>
      <c r="AD81" s="3"/>
      <c r="AE81" s="19" t="s">
        <v>295</v>
      </c>
      <c r="AF81" s="3"/>
      <c r="AG81" s="19" t="s">
        <v>77</v>
      </c>
      <c r="AH81" s="2"/>
      <c r="AI81" s="3"/>
      <c r="AJ81" s="19"/>
      <c r="AK81" s="2"/>
      <c r="AL81" s="3"/>
      <c r="AM81" s="19" t="s">
        <v>284</v>
      </c>
      <c r="AN81" s="2"/>
      <c r="AO81" s="3"/>
      <c r="AP81" s="20">
        <v>46192</v>
      </c>
      <c r="AQ81" s="2"/>
      <c r="AR81" s="3"/>
      <c r="AS81" s="19"/>
      <c r="AT81" s="2"/>
      <c r="AU81" s="3"/>
      <c r="AV81" s="19" t="s">
        <v>77</v>
      </c>
      <c r="AW81" s="2"/>
      <c r="AX81" s="3"/>
      <c r="AY81" s="19"/>
      <c r="AZ81" s="2"/>
      <c r="BA81" s="3"/>
      <c r="BB81" s="19" t="s">
        <v>284</v>
      </c>
      <c r="BC81" s="2"/>
      <c r="BD81" s="3"/>
      <c r="BE81" s="20">
        <v>46251</v>
      </c>
      <c r="BF81" s="2"/>
      <c r="BG81" s="3"/>
      <c r="BH81" s="19"/>
      <c r="BI81" s="2"/>
      <c r="BJ81" s="3"/>
      <c r="BK81" s="18"/>
      <c r="BL81" s="2"/>
      <c r="BM81" s="2"/>
      <c r="BN81" s="2"/>
      <c r="BO81" s="2"/>
      <c r="BP81" s="2"/>
      <c r="BQ81" s="3"/>
    </row>
    <row r="82" ht="409.5" customHeight="1" spans="1:69">
      <c r="A82" s="17">
        <v>63</v>
      </c>
      <c r="B82" s="18" t="s">
        <v>585</v>
      </c>
      <c r="C82" s="2"/>
      <c r="D82" s="3"/>
      <c r="E82" s="18" t="s">
        <v>586</v>
      </c>
      <c r="F82" s="2"/>
      <c r="G82" s="2"/>
      <c r="H82" s="2"/>
      <c r="I82" s="3"/>
      <c r="J82" s="18" t="s">
        <v>587</v>
      </c>
      <c r="K82" s="2"/>
      <c r="L82" s="2"/>
      <c r="M82" s="2"/>
      <c r="N82" s="2"/>
      <c r="O82" s="2"/>
      <c r="P82" s="3"/>
      <c r="Q82" s="18" t="s">
        <v>588</v>
      </c>
      <c r="R82" s="2"/>
      <c r="S82" s="2"/>
      <c r="T82" s="2"/>
      <c r="U82" s="2"/>
      <c r="V82" s="2"/>
      <c r="W82" s="3"/>
      <c r="X82" s="18" t="s">
        <v>589</v>
      </c>
      <c r="Y82" s="2"/>
      <c r="Z82" s="2"/>
      <c r="AA82" s="2"/>
      <c r="AB82" s="2"/>
      <c r="AC82" s="2"/>
      <c r="AD82" s="3"/>
      <c r="AE82" s="19" t="s">
        <v>295</v>
      </c>
      <c r="AF82" s="3"/>
      <c r="AG82" s="19" t="s">
        <v>77</v>
      </c>
      <c r="AH82" s="2"/>
      <c r="AI82" s="3"/>
      <c r="AJ82" s="19"/>
      <c r="AK82" s="2"/>
      <c r="AL82" s="3"/>
      <c r="AM82" s="19" t="s">
        <v>284</v>
      </c>
      <c r="AN82" s="2"/>
      <c r="AO82" s="3"/>
      <c r="AP82" s="20">
        <v>46192</v>
      </c>
      <c r="AQ82" s="2"/>
      <c r="AR82" s="3"/>
      <c r="AS82" s="19"/>
      <c r="AT82" s="2"/>
      <c r="AU82" s="3"/>
      <c r="AV82" s="19" t="s">
        <v>77</v>
      </c>
      <c r="AW82" s="2"/>
      <c r="AX82" s="3"/>
      <c r="AY82" s="19"/>
      <c r="AZ82" s="2"/>
      <c r="BA82" s="3"/>
      <c r="BB82" s="19" t="s">
        <v>284</v>
      </c>
      <c r="BC82" s="2"/>
      <c r="BD82" s="3"/>
      <c r="BE82" s="20">
        <v>46251</v>
      </c>
      <c r="BF82" s="2"/>
      <c r="BG82" s="3"/>
      <c r="BH82" s="19"/>
      <c r="BI82" s="2"/>
      <c r="BJ82" s="3"/>
      <c r="BK82" s="18"/>
      <c r="BL82" s="2"/>
      <c r="BM82" s="2"/>
      <c r="BN82" s="2"/>
      <c r="BO82" s="2"/>
      <c r="BP82" s="2"/>
      <c r="BQ82" s="3"/>
    </row>
    <row r="83" ht="18.75" spans="1:69">
      <c r="A83" s="17">
        <v>64</v>
      </c>
      <c r="B83" s="18" t="s">
        <v>590</v>
      </c>
      <c r="C83" s="2"/>
      <c r="D83" s="3"/>
      <c r="E83" s="18" t="s">
        <v>591</v>
      </c>
      <c r="F83" s="2"/>
      <c r="G83" s="2"/>
      <c r="H83" s="2"/>
      <c r="I83" s="3"/>
      <c r="J83" s="18" t="s">
        <v>592</v>
      </c>
      <c r="K83" s="2"/>
      <c r="L83" s="2"/>
      <c r="M83" s="2"/>
      <c r="N83" s="2"/>
      <c r="O83" s="2"/>
      <c r="P83" s="3"/>
      <c r="Q83" s="18" t="s">
        <v>593</v>
      </c>
      <c r="R83" s="2"/>
      <c r="S83" s="2"/>
      <c r="T83" s="2"/>
      <c r="U83" s="2"/>
      <c r="V83" s="2"/>
      <c r="W83" s="3"/>
      <c r="X83" s="18" t="s">
        <v>594</v>
      </c>
      <c r="Y83" s="2"/>
      <c r="Z83" s="2"/>
      <c r="AA83" s="2"/>
      <c r="AB83" s="2"/>
      <c r="AC83" s="2"/>
      <c r="AD83" s="3"/>
      <c r="AE83" s="19" t="s">
        <v>227</v>
      </c>
      <c r="AF83" s="3"/>
      <c r="AG83" s="19" t="s">
        <v>77</v>
      </c>
      <c r="AH83" s="2"/>
      <c r="AI83" s="3"/>
      <c r="AJ83" s="19"/>
      <c r="AK83" s="2"/>
      <c r="AL83" s="3"/>
      <c r="AM83" s="19" t="s">
        <v>284</v>
      </c>
      <c r="AN83" s="2"/>
      <c r="AO83" s="3"/>
      <c r="AP83" s="20">
        <v>46192</v>
      </c>
      <c r="AQ83" s="2"/>
      <c r="AR83" s="3"/>
      <c r="AS83" s="19"/>
      <c r="AT83" s="2"/>
      <c r="AU83" s="3"/>
      <c r="AV83" s="19" t="s">
        <v>77</v>
      </c>
      <c r="AW83" s="2"/>
      <c r="AX83" s="3"/>
      <c r="AY83" s="19"/>
      <c r="AZ83" s="2"/>
      <c r="BA83" s="3"/>
      <c r="BB83" s="19" t="s">
        <v>284</v>
      </c>
      <c r="BC83" s="2"/>
      <c r="BD83" s="3"/>
      <c r="BE83" s="20">
        <v>46251</v>
      </c>
      <c r="BF83" s="2"/>
      <c r="BG83" s="3"/>
      <c r="BH83" s="19"/>
      <c r="BI83" s="2"/>
      <c r="BJ83" s="3"/>
      <c r="BK83" s="18" t="s">
        <v>595</v>
      </c>
      <c r="BL83" s="2"/>
      <c r="BM83" s="2"/>
      <c r="BN83" s="2"/>
      <c r="BO83" s="2"/>
      <c r="BP83" s="2"/>
      <c r="BQ83" s="3"/>
    </row>
    <row r="84" ht="336" customHeight="1" spans="1:69">
      <c r="A84" s="17">
        <v>65</v>
      </c>
      <c r="B84" s="18" t="s">
        <v>596</v>
      </c>
      <c r="C84" s="2"/>
      <c r="D84" s="3"/>
      <c r="E84" s="18" t="s">
        <v>597</v>
      </c>
      <c r="F84" s="2"/>
      <c r="G84" s="2"/>
      <c r="H84" s="2"/>
      <c r="I84" s="3"/>
      <c r="J84" s="18" t="s">
        <v>598</v>
      </c>
      <c r="K84" s="2"/>
      <c r="L84" s="2"/>
      <c r="M84" s="2"/>
      <c r="N84" s="2"/>
      <c r="O84" s="2"/>
      <c r="P84" s="3"/>
      <c r="Q84" s="18" t="s">
        <v>599</v>
      </c>
      <c r="R84" s="2"/>
      <c r="S84" s="2"/>
      <c r="T84" s="2"/>
      <c r="U84" s="2"/>
      <c r="V84" s="2"/>
      <c r="W84" s="3"/>
      <c r="X84" s="18" t="s">
        <v>600</v>
      </c>
      <c r="Y84" s="2"/>
      <c r="Z84" s="2"/>
      <c r="AA84" s="2"/>
      <c r="AB84" s="2"/>
      <c r="AC84" s="2"/>
      <c r="AD84" s="3"/>
      <c r="AE84" s="19" t="s">
        <v>227</v>
      </c>
      <c r="AF84" s="3"/>
      <c r="AG84" s="19" t="s">
        <v>77</v>
      </c>
      <c r="AH84" s="2"/>
      <c r="AI84" s="3"/>
      <c r="AJ84" s="19"/>
      <c r="AK84" s="2"/>
      <c r="AL84" s="3"/>
      <c r="AM84" s="19" t="s">
        <v>284</v>
      </c>
      <c r="AN84" s="2"/>
      <c r="AO84" s="3"/>
      <c r="AP84" s="20">
        <v>46192</v>
      </c>
      <c r="AQ84" s="2"/>
      <c r="AR84" s="3"/>
      <c r="AS84" s="19"/>
      <c r="AT84" s="2"/>
      <c r="AU84" s="3"/>
      <c r="AV84" s="19" t="s">
        <v>77</v>
      </c>
      <c r="AW84" s="2"/>
      <c r="AX84" s="3"/>
      <c r="AY84" s="19"/>
      <c r="AZ84" s="2"/>
      <c r="BA84" s="3"/>
      <c r="BB84" s="19" t="s">
        <v>284</v>
      </c>
      <c r="BC84" s="2"/>
      <c r="BD84" s="3"/>
      <c r="BE84" s="20">
        <v>46251</v>
      </c>
      <c r="BF84" s="2"/>
      <c r="BG84" s="3"/>
      <c r="BH84" s="19"/>
      <c r="BI84" s="2"/>
      <c r="BJ84" s="3"/>
      <c r="BK84" s="18"/>
      <c r="BL84" s="2"/>
      <c r="BM84" s="2"/>
      <c r="BN84" s="2"/>
      <c r="BO84" s="2"/>
      <c r="BP84" s="2"/>
      <c r="BQ84" s="3"/>
    </row>
    <row r="85" ht="384" customHeight="1" spans="1:69">
      <c r="A85" s="17">
        <v>66</v>
      </c>
      <c r="B85" s="18" t="s">
        <v>601</v>
      </c>
      <c r="C85" s="2"/>
      <c r="D85" s="3"/>
      <c r="E85" s="18" t="s">
        <v>602</v>
      </c>
      <c r="F85" s="2"/>
      <c r="G85" s="2"/>
      <c r="H85" s="2"/>
      <c r="I85" s="3"/>
      <c r="J85" s="18" t="s">
        <v>603</v>
      </c>
      <c r="K85" s="2"/>
      <c r="L85" s="2"/>
      <c r="M85" s="2"/>
      <c r="N85" s="2"/>
      <c r="O85" s="2"/>
      <c r="P85" s="3"/>
      <c r="Q85" s="18" t="s">
        <v>604</v>
      </c>
      <c r="R85" s="2"/>
      <c r="S85" s="2"/>
      <c r="T85" s="2"/>
      <c r="U85" s="2"/>
      <c r="V85" s="2"/>
      <c r="W85" s="3"/>
      <c r="X85" s="18" t="s">
        <v>605</v>
      </c>
      <c r="Y85" s="2"/>
      <c r="Z85" s="2"/>
      <c r="AA85" s="2"/>
      <c r="AB85" s="2"/>
      <c r="AC85" s="2"/>
      <c r="AD85" s="3"/>
      <c r="AE85" s="19" t="s">
        <v>231</v>
      </c>
      <c r="AF85" s="3"/>
      <c r="AG85" s="19" t="s">
        <v>77</v>
      </c>
      <c r="AH85" s="2"/>
      <c r="AI85" s="3"/>
      <c r="AJ85" s="19"/>
      <c r="AK85" s="2"/>
      <c r="AL85" s="3"/>
      <c r="AM85" s="19" t="s">
        <v>284</v>
      </c>
      <c r="AN85" s="2"/>
      <c r="AO85" s="3"/>
      <c r="AP85" s="20">
        <v>46192</v>
      </c>
      <c r="AQ85" s="2"/>
      <c r="AR85" s="3"/>
      <c r="AS85" s="19"/>
      <c r="AT85" s="2"/>
      <c r="AU85" s="3"/>
      <c r="AV85" s="19" t="s">
        <v>77</v>
      </c>
      <c r="AW85" s="2"/>
      <c r="AX85" s="3"/>
      <c r="AY85" s="19"/>
      <c r="AZ85" s="2"/>
      <c r="BA85" s="3"/>
      <c r="BB85" s="19" t="s">
        <v>284</v>
      </c>
      <c r="BC85" s="2"/>
      <c r="BD85" s="3"/>
      <c r="BE85" s="20">
        <v>46251</v>
      </c>
      <c r="BF85" s="2"/>
      <c r="BG85" s="3"/>
      <c r="BH85" s="19"/>
      <c r="BI85" s="2"/>
      <c r="BJ85" s="3"/>
      <c r="BK85" s="18"/>
      <c r="BL85" s="2"/>
      <c r="BM85" s="2"/>
      <c r="BN85" s="2"/>
      <c r="BO85" s="2"/>
      <c r="BP85" s="2"/>
      <c r="BQ85" s="3"/>
    </row>
    <row r="86" ht="409.5" customHeight="1" spans="1:69">
      <c r="A86" s="17">
        <v>67</v>
      </c>
      <c r="B86" s="18" t="s">
        <v>606</v>
      </c>
      <c r="C86" s="2"/>
      <c r="D86" s="3"/>
      <c r="E86" s="18" t="s">
        <v>607</v>
      </c>
      <c r="F86" s="2"/>
      <c r="G86" s="2"/>
      <c r="H86" s="2"/>
      <c r="I86" s="3"/>
      <c r="J86" s="18" t="s">
        <v>608</v>
      </c>
      <c r="K86" s="2"/>
      <c r="L86" s="2"/>
      <c r="M86" s="2"/>
      <c r="N86" s="2"/>
      <c r="O86" s="2"/>
      <c r="P86" s="3"/>
      <c r="Q86" s="18" t="s">
        <v>609</v>
      </c>
      <c r="R86" s="2"/>
      <c r="S86" s="2"/>
      <c r="T86" s="2"/>
      <c r="U86" s="2"/>
      <c r="V86" s="2"/>
      <c r="W86" s="3"/>
      <c r="X86" s="18" t="s">
        <v>610</v>
      </c>
      <c r="Y86" s="2"/>
      <c r="Z86" s="2"/>
      <c r="AA86" s="2"/>
      <c r="AB86" s="2"/>
      <c r="AC86" s="2"/>
      <c r="AD86" s="3"/>
      <c r="AE86" s="19" t="s">
        <v>227</v>
      </c>
      <c r="AF86" s="3"/>
      <c r="AG86" s="19" t="s">
        <v>77</v>
      </c>
      <c r="AH86" s="2"/>
      <c r="AI86" s="3"/>
      <c r="AJ86" s="19"/>
      <c r="AK86" s="2"/>
      <c r="AL86" s="3"/>
      <c r="AM86" s="19" t="s">
        <v>284</v>
      </c>
      <c r="AN86" s="2"/>
      <c r="AO86" s="3"/>
      <c r="AP86" s="20">
        <v>46192</v>
      </c>
      <c r="AQ86" s="2"/>
      <c r="AR86" s="3"/>
      <c r="AS86" s="19"/>
      <c r="AT86" s="2"/>
      <c r="AU86" s="3"/>
      <c r="AV86" s="19" t="s">
        <v>77</v>
      </c>
      <c r="AW86" s="2"/>
      <c r="AX86" s="3"/>
      <c r="AY86" s="19"/>
      <c r="AZ86" s="2"/>
      <c r="BA86" s="3"/>
      <c r="BB86" s="19" t="s">
        <v>284</v>
      </c>
      <c r="BC86" s="2"/>
      <c r="BD86" s="3"/>
      <c r="BE86" s="20">
        <v>46251</v>
      </c>
      <c r="BF86" s="2"/>
      <c r="BG86" s="3"/>
      <c r="BH86" s="19"/>
      <c r="BI86" s="2"/>
      <c r="BJ86" s="3"/>
      <c r="BK86" s="18" t="s">
        <v>306</v>
      </c>
      <c r="BL86" s="2"/>
      <c r="BM86" s="2"/>
      <c r="BN86" s="2"/>
      <c r="BO86" s="2"/>
      <c r="BP86" s="2"/>
      <c r="BQ86" s="3"/>
    </row>
    <row r="87" ht="22.5" customHeight="1" spans="1:69">
      <c r="A87" s="16" t="s">
        <v>611</v>
      </c>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c r="AQ87" s="2"/>
      <c r="AR87" s="2"/>
      <c r="AS87" s="2"/>
      <c r="AT87" s="2"/>
      <c r="AU87" s="2"/>
      <c r="AV87" s="2"/>
      <c r="AW87" s="2"/>
      <c r="AX87" s="2"/>
      <c r="AY87" s="2"/>
      <c r="AZ87" s="2"/>
      <c r="BA87" s="2"/>
      <c r="BB87" s="2"/>
      <c r="BC87" s="2"/>
      <c r="BD87" s="2"/>
      <c r="BE87" s="2"/>
      <c r="BF87" s="2"/>
      <c r="BG87" s="2"/>
      <c r="BH87" s="2"/>
      <c r="BI87" s="2"/>
      <c r="BJ87" s="2"/>
      <c r="BK87" s="2"/>
      <c r="BL87" s="2"/>
      <c r="BM87" s="2"/>
      <c r="BN87" s="2"/>
      <c r="BO87" s="2"/>
      <c r="BP87" s="2"/>
      <c r="BQ87" s="3"/>
    </row>
    <row r="88" ht="367.5" customHeight="1" spans="1:69">
      <c r="A88" s="17">
        <v>68</v>
      </c>
      <c r="B88" s="18" t="s">
        <v>612</v>
      </c>
      <c r="C88" s="2"/>
      <c r="D88" s="3"/>
      <c r="E88" s="18" t="s">
        <v>613</v>
      </c>
      <c r="F88" s="2"/>
      <c r="G88" s="2"/>
      <c r="H88" s="2"/>
      <c r="I88" s="3"/>
      <c r="J88" s="18" t="s">
        <v>614</v>
      </c>
      <c r="K88" s="2"/>
      <c r="L88" s="2"/>
      <c r="M88" s="2"/>
      <c r="N88" s="2"/>
      <c r="O88" s="2"/>
      <c r="P88" s="3"/>
      <c r="Q88" s="18" t="s">
        <v>615</v>
      </c>
      <c r="R88" s="2"/>
      <c r="S88" s="2"/>
      <c r="T88" s="2"/>
      <c r="U88" s="2"/>
      <c r="V88" s="2"/>
      <c r="W88" s="3"/>
      <c r="X88" s="18" t="s">
        <v>616</v>
      </c>
      <c r="Y88" s="2"/>
      <c r="Z88" s="2"/>
      <c r="AA88" s="2"/>
      <c r="AB88" s="2"/>
      <c r="AC88" s="2"/>
      <c r="AD88" s="3"/>
      <c r="AE88" s="19" t="s">
        <v>227</v>
      </c>
      <c r="AF88" s="3"/>
      <c r="AG88" s="19" t="s">
        <v>77</v>
      </c>
      <c r="AH88" s="2"/>
      <c r="AI88" s="3"/>
      <c r="AJ88" s="19"/>
      <c r="AK88" s="2"/>
      <c r="AL88" s="3"/>
      <c r="AM88" s="19" t="s">
        <v>284</v>
      </c>
      <c r="AN88" s="2"/>
      <c r="AO88" s="3"/>
      <c r="AP88" s="20">
        <v>46192</v>
      </c>
      <c r="AQ88" s="2"/>
      <c r="AR88" s="3"/>
      <c r="AS88" s="19"/>
      <c r="AT88" s="2"/>
      <c r="AU88" s="3"/>
      <c r="AV88" s="19" t="s">
        <v>77</v>
      </c>
      <c r="AW88" s="2"/>
      <c r="AX88" s="3"/>
      <c r="AY88" s="19"/>
      <c r="AZ88" s="2"/>
      <c r="BA88" s="3"/>
      <c r="BB88" s="19" t="s">
        <v>284</v>
      </c>
      <c r="BC88" s="2"/>
      <c r="BD88" s="3"/>
      <c r="BE88" s="20">
        <v>46251</v>
      </c>
      <c r="BF88" s="2"/>
      <c r="BG88" s="3"/>
      <c r="BH88" s="19"/>
      <c r="BI88" s="2"/>
      <c r="BJ88" s="3"/>
      <c r="BK88" s="18"/>
      <c r="BL88" s="2"/>
      <c r="BM88" s="2"/>
      <c r="BN88" s="2"/>
      <c r="BO88" s="2"/>
      <c r="BP88" s="2"/>
      <c r="BQ88" s="3"/>
    </row>
    <row r="89" ht="367.5" customHeight="1" spans="1:69">
      <c r="A89" s="17">
        <v>69</v>
      </c>
      <c r="B89" s="18" t="s">
        <v>617</v>
      </c>
      <c r="C89" s="2"/>
      <c r="D89" s="3"/>
      <c r="E89" s="18" t="s">
        <v>618</v>
      </c>
      <c r="F89" s="2"/>
      <c r="G89" s="2"/>
      <c r="H89" s="2"/>
      <c r="I89" s="3"/>
      <c r="J89" s="18" t="s">
        <v>320</v>
      </c>
      <c r="K89" s="2"/>
      <c r="L89" s="2"/>
      <c r="M89" s="2"/>
      <c r="N89" s="2"/>
      <c r="O89" s="2"/>
      <c r="P89" s="3"/>
      <c r="Q89" s="18" t="s">
        <v>619</v>
      </c>
      <c r="R89" s="2"/>
      <c r="S89" s="2"/>
      <c r="T89" s="2"/>
      <c r="U89" s="2"/>
      <c r="V89" s="2"/>
      <c r="W89" s="3"/>
      <c r="X89" s="18" t="s">
        <v>620</v>
      </c>
      <c r="Y89" s="2"/>
      <c r="Z89" s="2"/>
      <c r="AA89" s="2"/>
      <c r="AB89" s="2"/>
      <c r="AC89" s="2"/>
      <c r="AD89" s="3"/>
      <c r="AE89" s="19" t="s">
        <v>227</v>
      </c>
      <c r="AF89" s="3"/>
      <c r="AG89" s="19" t="s">
        <v>77</v>
      </c>
      <c r="AH89" s="2"/>
      <c r="AI89" s="3"/>
      <c r="AJ89" s="19"/>
      <c r="AK89" s="2"/>
      <c r="AL89" s="3"/>
      <c r="AM89" s="19" t="s">
        <v>284</v>
      </c>
      <c r="AN89" s="2"/>
      <c r="AO89" s="3"/>
      <c r="AP89" s="20">
        <v>46192</v>
      </c>
      <c r="AQ89" s="2"/>
      <c r="AR89" s="3"/>
      <c r="AS89" s="19"/>
      <c r="AT89" s="2"/>
      <c r="AU89" s="3"/>
      <c r="AV89" s="19" t="s">
        <v>77</v>
      </c>
      <c r="AW89" s="2"/>
      <c r="AX89" s="3"/>
      <c r="AY89" s="19"/>
      <c r="AZ89" s="2"/>
      <c r="BA89" s="3"/>
      <c r="BB89" s="19" t="s">
        <v>284</v>
      </c>
      <c r="BC89" s="2"/>
      <c r="BD89" s="3"/>
      <c r="BE89" s="20">
        <v>46251</v>
      </c>
      <c r="BF89" s="2"/>
      <c r="BG89" s="3"/>
      <c r="BH89" s="19"/>
      <c r="BI89" s="2"/>
      <c r="BJ89" s="3"/>
      <c r="BK89" s="18"/>
      <c r="BL89" s="2"/>
      <c r="BM89" s="2"/>
      <c r="BN89" s="2"/>
      <c r="BO89" s="2"/>
      <c r="BP89" s="2"/>
      <c r="BQ89" s="3"/>
    </row>
    <row r="90" ht="409.5" customHeight="1" spans="1:69">
      <c r="A90" s="17">
        <v>70</v>
      </c>
      <c r="B90" s="18" t="s">
        <v>621</v>
      </c>
      <c r="C90" s="2"/>
      <c r="D90" s="3"/>
      <c r="E90" s="18" t="s">
        <v>622</v>
      </c>
      <c r="F90" s="2"/>
      <c r="G90" s="2"/>
      <c r="H90" s="2"/>
      <c r="I90" s="3"/>
      <c r="J90" s="18" t="s">
        <v>320</v>
      </c>
      <c r="K90" s="2"/>
      <c r="L90" s="2"/>
      <c r="M90" s="2"/>
      <c r="N90" s="2"/>
      <c r="O90" s="2"/>
      <c r="P90" s="3"/>
      <c r="Q90" s="18" t="s">
        <v>623</v>
      </c>
      <c r="R90" s="2"/>
      <c r="S90" s="2"/>
      <c r="T90" s="2"/>
      <c r="U90" s="2"/>
      <c r="V90" s="2"/>
      <c r="W90" s="3"/>
      <c r="X90" s="18" t="s">
        <v>624</v>
      </c>
      <c r="Y90" s="2"/>
      <c r="Z90" s="2"/>
      <c r="AA90" s="2"/>
      <c r="AB90" s="2"/>
      <c r="AC90" s="2"/>
      <c r="AD90" s="3"/>
      <c r="AE90" s="19" t="s">
        <v>227</v>
      </c>
      <c r="AF90" s="3"/>
      <c r="AG90" s="19" t="s">
        <v>77</v>
      </c>
      <c r="AH90" s="2"/>
      <c r="AI90" s="3"/>
      <c r="AJ90" s="19"/>
      <c r="AK90" s="2"/>
      <c r="AL90" s="3"/>
      <c r="AM90" s="19" t="s">
        <v>284</v>
      </c>
      <c r="AN90" s="2"/>
      <c r="AO90" s="3"/>
      <c r="AP90" s="20">
        <v>46192</v>
      </c>
      <c r="AQ90" s="2"/>
      <c r="AR90" s="3"/>
      <c r="AS90" s="19"/>
      <c r="AT90" s="2"/>
      <c r="AU90" s="3"/>
      <c r="AV90" s="19" t="s">
        <v>77</v>
      </c>
      <c r="AW90" s="2"/>
      <c r="AX90" s="3"/>
      <c r="AY90" s="19"/>
      <c r="AZ90" s="2"/>
      <c r="BA90" s="3"/>
      <c r="BB90" s="19" t="s">
        <v>284</v>
      </c>
      <c r="BC90" s="2"/>
      <c r="BD90" s="3"/>
      <c r="BE90" s="20">
        <v>46251</v>
      </c>
      <c r="BF90" s="2"/>
      <c r="BG90" s="3"/>
      <c r="BH90" s="19"/>
      <c r="BI90" s="2"/>
      <c r="BJ90" s="3"/>
      <c r="BK90" s="18"/>
      <c r="BL90" s="2"/>
      <c r="BM90" s="2"/>
      <c r="BN90" s="2"/>
      <c r="BO90" s="2"/>
      <c r="BP90" s="2"/>
      <c r="BQ90" s="3"/>
    </row>
    <row r="91" ht="399.75" customHeight="1" spans="1:69">
      <c r="A91" s="17">
        <v>71</v>
      </c>
      <c r="B91" s="18" t="s">
        <v>625</v>
      </c>
      <c r="C91" s="2"/>
      <c r="D91" s="3"/>
      <c r="E91" s="18" t="s">
        <v>626</v>
      </c>
      <c r="F91" s="2"/>
      <c r="G91" s="2"/>
      <c r="H91" s="2"/>
      <c r="I91" s="3"/>
      <c r="J91" s="18" t="s">
        <v>627</v>
      </c>
      <c r="K91" s="2"/>
      <c r="L91" s="2"/>
      <c r="M91" s="2"/>
      <c r="N91" s="2"/>
      <c r="O91" s="2"/>
      <c r="P91" s="3"/>
      <c r="Q91" s="18" t="s">
        <v>628</v>
      </c>
      <c r="R91" s="2"/>
      <c r="S91" s="2"/>
      <c r="T91" s="2"/>
      <c r="U91" s="2"/>
      <c r="V91" s="2"/>
      <c r="W91" s="3"/>
      <c r="X91" s="18" t="s">
        <v>629</v>
      </c>
      <c r="Y91" s="2"/>
      <c r="Z91" s="2"/>
      <c r="AA91" s="2"/>
      <c r="AB91" s="2"/>
      <c r="AC91" s="2"/>
      <c r="AD91" s="3"/>
      <c r="AE91" s="19" t="s">
        <v>227</v>
      </c>
      <c r="AF91" s="3"/>
      <c r="AG91" s="19" t="s">
        <v>77</v>
      </c>
      <c r="AH91" s="2"/>
      <c r="AI91" s="3"/>
      <c r="AJ91" s="19"/>
      <c r="AK91" s="2"/>
      <c r="AL91" s="3"/>
      <c r="AM91" s="19" t="s">
        <v>284</v>
      </c>
      <c r="AN91" s="2"/>
      <c r="AO91" s="3"/>
      <c r="AP91" s="20">
        <v>46192</v>
      </c>
      <c r="AQ91" s="2"/>
      <c r="AR91" s="3"/>
      <c r="AS91" s="19"/>
      <c r="AT91" s="2"/>
      <c r="AU91" s="3"/>
      <c r="AV91" s="19" t="s">
        <v>77</v>
      </c>
      <c r="AW91" s="2"/>
      <c r="AX91" s="3"/>
      <c r="AY91" s="19"/>
      <c r="AZ91" s="2"/>
      <c r="BA91" s="3"/>
      <c r="BB91" s="19" t="s">
        <v>284</v>
      </c>
      <c r="BC91" s="2"/>
      <c r="BD91" s="3"/>
      <c r="BE91" s="20">
        <v>46251</v>
      </c>
      <c r="BF91" s="2"/>
      <c r="BG91" s="3"/>
      <c r="BH91" s="19"/>
      <c r="BI91" s="2"/>
      <c r="BJ91" s="3"/>
      <c r="BK91" s="18"/>
      <c r="BL91" s="2"/>
      <c r="BM91" s="2"/>
      <c r="BN91" s="2"/>
      <c r="BO91" s="2"/>
      <c r="BP91" s="2"/>
      <c r="BQ91" s="3"/>
    </row>
    <row r="92" ht="409.5" customHeight="1" spans="1:69">
      <c r="A92" s="17">
        <v>72</v>
      </c>
      <c r="B92" s="18" t="s">
        <v>630</v>
      </c>
      <c r="C92" s="2"/>
      <c r="D92" s="3"/>
      <c r="E92" s="18" t="s">
        <v>631</v>
      </c>
      <c r="F92" s="2"/>
      <c r="G92" s="2"/>
      <c r="H92" s="2"/>
      <c r="I92" s="3"/>
      <c r="J92" s="18" t="s">
        <v>632</v>
      </c>
      <c r="K92" s="2"/>
      <c r="L92" s="2"/>
      <c r="M92" s="2"/>
      <c r="N92" s="2"/>
      <c r="O92" s="2"/>
      <c r="P92" s="3"/>
      <c r="Q92" s="18" t="s">
        <v>633</v>
      </c>
      <c r="R92" s="2"/>
      <c r="S92" s="2"/>
      <c r="T92" s="2"/>
      <c r="U92" s="2"/>
      <c r="V92" s="2"/>
      <c r="W92" s="3"/>
      <c r="X92" s="18" t="s">
        <v>634</v>
      </c>
      <c r="Y92" s="2"/>
      <c r="Z92" s="2"/>
      <c r="AA92" s="2"/>
      <c r="AB92" s="2"/>
      <c r="AC92" s="2"/>
      <c r="AD92" s="3"/>
      <c r="AE92" s="19" t="s">
        <v>227</v>
      </c>
      <c r="AF92" s="3"/>
      <c r="AG92" s="19" t="s">
        <v>77</v>
      </c>
      <c r="AH92" s="2"/>
      <c r="AI92" s="3"/>
      <c r="AJ92" s="19"/>
      <c r="AK92" s="2"/>
      <c r="AL92" s="3"/>
      <c r="AM92" s="19" t="s">
        <v>284</v>
      </c>
      <c r="AN92" s="2"/>
      <c r="AO92" s="3"/>
      <c r="AP92" s="20">
        <v>46192</v>
      </c>
      <c r="AQ92" s="2"/>
      <c r="AR92" s="3"/>
      <c r="AS92" s="19"/>
      <c r="AT92" s="2"/>
      <c r="AU92" s="3"/>
      <c r="AV92" s="19" t="s">
        <v>77</v>
      </c>
      <c r="AW92" s="2"/>
      <c r="AX92" s="3"/>
      <c r="AY92" s="19"/>
      <c r="AZ92" s="2"/>
      <c r="BA92" s="3"/>
      <c r="BB92" s="19" t="s">
        <v>284</v>
      </c>
      <c r="BC92" s="2"/>
      <c r="BD92" s="3"/>
      <c r="BE92" s="20">
        <v>46251</v>
      </c>
      <c r="BF92" s="2"/>
      <c r="BG92" s="3"/>
      <c r="BH92" s="19"/>
      <c r="BI92" s="2"/>
      <c r="BJ92" s="3"/>
      <c r="BK92" s="18"/>
      <c r="BL92" s="2"/>
      <c r="BM92" s="2"/>
      <c r="BN92" s="2"/>
      <c r="BO92" s="2"/>
      <c r="BP92" s="2"/>
      <c r="BQ92" s="3"/>
    </row>
    <row r="93" ht="351.75" customHeight="1" spans="1:69">
      <c r="A93" s="17">
        <v>73</v>
      </c>
      <c r="B93" s="18" t="s">
        <v>635</v>
      </c>
      <c r="C93" s="2"/>
      <c r="D93" s="3"/>
      <c r="E93" s="18" t="s">
        <v>636</v>
      </c>
      <c r="F93" s="2"/>
      <c r="G93" s="2"/>
      <c r="H93" s="2"/>
      <c r="I93" s="3"/>
      <c r="J93" s="18" t="s">
        <v>320</v>
      </c>
      <c r="K93" s="2"/>
      <c r="L93" s="2"/>
      <c r="M93" s="2"/>
      <c r="N93" s="2"/>
      <c r="O93" s="2"/>
      <c r="P93" s="3"/>
      <c r="Q93" s="18" t="s">
        <v>637</v>
      </c>
      <c r="R93" s="2"/>
      <c r="S93" s="2"/>
      <c r="T93" s="2"/>
      <c r="U93" s="2"/>
      <c r="V93" s="2"/>
      <c r="W93" s="3"/>
      <c r="X93" s="18" t="s">
        <v>638</v>
      </c>
      <c r="Y93" s="2"/>
      <c r="Z93" s="2"/>
      <c r="AA93" s="2"/>
      <c r="AB93" s="2"/>
      <c r="AC93" s="2"/>
      <c r="AD93" s="3"/>
      <c r="AE93" s="19" t="s">
        <v>227</v>
      </c>
      <c r="AF93" s="3"/>
      <c r="AG93" s="19" t="s">
        <v>77</v>
      </c>
      <c r="AH93" s="2"/>
      <c r="AI93" s="3"/>
      <c r="AJ93" s="19"/>
      <c r="AK93" s="2"/>
      <c r="AL93" s="3"/>
      <c r="AM93" s="19" t="s">
        <v>284</v>
      </c>
      <c r="AN93" s="2"/>
      <c r="AO93" s="3"/>
      <c r="AP93" s="20">
        <v>46192</v>
      </c>
      <c r="AQ93" s="2"/>
      <c r="AR93" s="3"/>
      <c r="AS93" s="19"/>
      <c r="AT93" s="2"/>
      <c r="AU93" s="3"/>
      <c r="AV93" s="19" t="s">
        <v>77</v>
      </c>
      <c r="AW93" s="2"/>
      <c r="AX93" s="3"/>
      <c r="AY93" s="19"/>
      <c r="AZ93" s="2"/>
      <c r="BA93" s="3"/>
      <c r="BB93" s="19" t="s">
        <v>284</v>
      </c>
      <c r="BC93" s="2"/>
      <c r="BD93" s="3"/>
      <c r="BE93" s="20">
        <v>46251</v>
      </c>
      <c r="BF93" s="2"/>
      <c r="BG93" s="3"/>
      <c r="BH93" s="19"/>
      <c r="BI93" s="2"/>
      <c r="BJ93" s="3"/>
      <c r="BK93" s="18"/>
      <c r="BL93" s="2"/>
      <c r="BM93" s="2"/>
      <c r="BN93" s="2"/>
      <c r="BO93" s="2"/>
      <c r="BP93" s="2"/>
      <c r="BQ93" s="3"/>
    </row>
    <row r="94" ht="409.5" customHeight="1" spans="1:69">
      <c r="A94" s="17">
        <v>74</v>
      </c>
      <c r="B94" s="18" t="s">
        <v>639</v>
      </c>
      <c r="C94" s="2"/>
      <c r="D94" s="3"/>
      <c r="E94" s="18" t="s">
        <v>640</v>
      </c>
      <c r="F94" s="2"/>
      <c r="G94" s="2"/>
      <c r="H94" s="2"/>
      <c r="I94" s="3"/>
      <c r="J94" s="18" t="s">
        <v>641</v>
      </c>
      <c r="K94" s="2"/>
      <c r="L94" s="2"/>
      <c r="M94" s="2"/>
      <c r="N94" s="2"/>
      <c r="O94" s="2"/>
      <c r="P94" s="3"/>
      <c r="Q94" s="18" t="s">
        <v>642</v>
      </c>
      <c r="R94" s="2"/>
      <c r="S94" s="2"/>
      <c r="T94" s="2"/>
      <c r="U94" s="2"/>
      <c r="V94" s="2"/>
      <c r="W94" s="3"/>
      <c r="X94" s="18" t="s">
        <v>643</v>
      </c>
      <c r="Y94" s="2"/>
      <c r="Z94" s="2"/>
      <c r="AA94" s="2"/>
      <c r="AB94" s="2"/>
      <c r="AC94" s="2"/>
      <c r="AD94" s="3"/>
      <c r="AE94" s="19" t="s">
        <v>227</v>
      </c>
      <c r="AF94" s="3"/>
      <c r="AG94" s="19" t="s">
        <v>77</v>
      </c>
      <c r="AH94" s="2"/>
      <c r="AI94" s="3"/>
      <c r="AJ94" s="19"/>
      <c r="AK94" s="2"/>
      <c r="AL94" s="3"/>
      <c r="AM94" s="19" t="s">
        <v>284</v>
      </c>
      <c r="AN94" s="2"/>
      <c r="AO94" s="3"/>
      <c r="AP94" s="20">
        <v>46192</v>
      </c>
      <c r="AQ94" s="2"/>
      <c r="AR94" s="3"/>
      <c r="AS94" s="19"/>
      <c r="AT94" s="2"/>
      <c r="AU94" s="3"/>
      <c r="AV94" s="19" t="s">
        <v>77</v>
      </c>
      <c r="AW94" s="2"/>
      <c r="AX94" s="3"/>
      <c r="AY94" s="19"/>
      <c r="AZ94" s="2"/>
      <c r="BA94" s="3"/>
      <c r="BB94" s="19" t="s">
        <v>284</v>
      </c>
      <c r="BC94" s="2"/>
      <c r="BD94" s="3"/>
      <c r="BE94" s="20">
        <v>46251</v>
      </c>
      <c r="BF94" s="2"/>
      <c r="BG94" s="3"/>
      <c r="BH94" s="19"/>
      <c r="BI94" s="2"/>
      <c r="BJ94" s="3"/>
      <c r="BK94" s="18"/>
      <c r="BL94" s="2"/>
      <c r="BM94" s="2"/>
      <c r="BN94" s="2"/>
      <c r="BO94" s="2"/>
      <c r="BP94" s="2"/>
      <c r="BQ94" s="3"/>
    </row>
    <row r="95" ht="319.5" customHeight="1" spans="1:69">
      <c r="A95" s="17">
        <v>75</v>
      </c>
      <c r="B95" s="18" t="s">
        <v>644</v>
      </c>
      <c r="C95" s="2"/>
      <c r="D95" s="3"/>
      <c r="E95" s="18" t="s">
        <v>645</v>
      </c>
      <c r="F95" s="2"/>
      <c r="G95" s="2"/>
      <c r="H95" s="2"/>
      <c r="I95" s="3"/>
      <c r="J95" s="18" t="s">
        <v>646</v>
      </c>
      <c r="K95" s="2"/>
      <c r="L95" s="2"/>
      <c r="M95" s="2"/>
      <c r="N95" s="2"/>
      <c r="O95" s="2"/>
      <c r="P95" s="3"/>
      <c r="Q95" s="18" t="s">
        <v>647</v>
      </c>
      <c r="R95" s="2"/>
      <c r="S95" s="2"/>
      <c r="T95" s="2"/>
      <c r="U95" s="2"/>
      <c r="V95" s="2"/>
      <c r="W95" s="3"/>
      <c r="X95" s="18" t="s">
        <v>648</v>
      </c>
      <c r="Y95" s="2"/>
      <c r="Z95" s="2"/>
      <c r="AA95" s="2"/>
      <c r="AB95" s="2"/>
      <c r="AC95" s="2"/>
      <c r="AD95" s="3"/>
      <c r="AE95" s="19" t="s">
        <v>227</v>
      </c>
      <c r="AF95" s="3"/>
      <c r="AG95" s="19" t="s">
        <v>77</v>
      </c>
      <c r="AH95" s="2"/>
      <c r="AI95" s="3"/>
      <c r="AJ95" s="19"/>
      <c r="AK95" s="2"/>
      <c r="AL95" s="3"/>
      <c r="AM95" s="19" t="s">
        <v>284</v>
      </c>
      <c r="AN95" s="2"/>
      <c r="AO95" s="3"/>
      <c r="AP95" s="20">
        <v>46192</v>
      </c>
      <c r="AQ95" s="2"/>
      <c r="AR95" s="3"/>
      <c r="AS95" s="19"/>
      <c r="AT95" s="2"/>
      <c r="AU95" s="3"/>
      <c r="AV95" s="19" t="s">
        <v>77</v>
      </c>
      <c r="AW95" s="2"/>
      <c r="AX95" s="3"/>
      <c r="AY95" s="19"/>
      <c r="AZ95" s="2"/>
      <c r="BA95" s="3"/>
      <c r="BB95" s="19" t="s">
        <v>284</v>
      </c>
      <c r="BC95" s="2"/>
      <c r="BD95" s="3"/>
      <c r="BE95" s="20">
        <v>46251</v>
      </c>
      <c r="BF95" s="2"/>
      <c r="BG95" s="3"/>
      <c r="BH95" s="19"/>
      <c r="BI95" s="2"/>
      <c r="BJ95" s="3"/>
      <c r="BK95" s="18"/>
      <c r="BL95" s="2"/>
      <c r="BM95" s="2"/>
      <c r="BN95" s="2"/>
      <c r="BO95" s="2"/>
      <c r="BP95" s="2"/>
      <c r="BQ95" s="3"/>
    </row>
    <row r="96" ht="409.5" customHeight="1" spans="1:69">
      <c r="A96" s="17">
        <v>76</v>
      </c>
      <c r="B96" s="18" t="s">
        <v>649</v>
      </c>
      <c r="C96" s="2"/>
      <c r="D96" s="3"/>
      <c r="E96" s="18" t="s">
        <v>650</v>
      </c>
      <c r="F96" s="2"/>
      <c r="G96" s="2"/>
      <c r="H96" s="2"/>
      <c r="I96" s="3"/>
      <c r="J96" s="18" t="s">
        <v>651</v>
      </c>
      <c r="K96" s="2"/>
      <c r="L96" s="2"/>
      <c r="M96" s="2"/>
      <c r="N96" s="2"/>
      <c r="O96" s="2"/>
      <c r="P96" s="3"/>
      <c r="Q96" s="18" t="s">
        <v>652</v>
      </c>
      <c r="R96" s="2"/>
      <c r="S96" s="2"/>
      <c r="T96" s="2"/>
      <c r="U96" s="2"/>
      <c r="V96" s="2"/>
      <c r="W96" s="3"/>
      <c r="X96" s="18" t="s">
        <v>653</v>
      </c>
      <c r="Y96" s="2"/>
      <c r="Z96" s="2"/>
      <c r="AA96" s="2"/>
      <c r="AB96" s="2"/>
      <c r="AC96" s="2"/>
      <c r="AD96" s="3"/>
      <c r="AE96" s="19" t="s">
        <v>227</v>
      </c>
      <c r="AF96" s="3"/>
      <c r="AG96" s="19" t="s">
        <v>77</v>
      </c>
      <c r="AH96" s="2"/>
      <c r="AI96" s="3"/>
      <c r="AJ96" s="19"/>
      <c r="AK96" s="2"/>
      <c r="AL96" s="3"/>
      <c r="AM96" s="19" t="s">
        <v>284</v>
      </c>
      <c r="AN96" s="2"/>
      <c r="AO96" s="3"/>
      <c r="AP96" s="20">
        <v>46192</v>
      </c>
      <c r="AQ96" s="2"/>
      <c r="AR96" s="3"/>
      <c r="AS96" s="19"/>
      <c r="AT96" s="2"/>
      <c r="AU96" s="3"/>
      <c r="AV96" s="19" t="s">
        <v>77</v>
      </c>
      <c r="AW96" s="2"/>
      <c r="AX96" s="3"/>
      <c r="AY96" s="19"/>
      <c r="AZ96" s="2"/>
      <c r="BA96" s="3"/>
      <c r="BB96" s="19" t="s">
        <v>284</v>
      </c>
      <c r="BC96" s="2"/>
      <c r="BD96" s="3"/>
      <c r="BE96" s="20">
        <v>46251</v>
      </c>
      <c r="BF96" s="2"/>
      <c r="BG96" s="3"/>
      <c r="BH96" s="19"/>
      <c r="BI96" s="2"/>
      <c r="BJ96" s="3"/>
      <c r="BK96" s="18"/>
      <c r="BL96" s="2"/>
      <c r="BM96" s="2"/>
      <c r="BN96" s="2"/>
      <c r="BO96" s="2"/>
      <c r="BP96" s="2"/>
      <c r="BQ96" s="3"/>
    </row>
    <row r="97" ht="409.5" customHeight="1" spans="1:69">
      <c r="A97" s="17">
        <v>77</v>
      </c>
      <c r="B97" s="18" t="s">
        <v>654</v>
      </c>
      <c r="C97" s="2"/>
      <c r="D97" s="3"/>
      <c r="E97" s="18" t="s">
        <v>655</v>
      </c>
      <c r="F97" s="2"/>
      <c r="G97" s="2"/>
      <c r="H97" s="2"/>
      <c r="I97" s="3"/>
      <c r="J97" s="18" t="s">
        <v>656</v>
      </c>
      <c r="K97" s="2"/>
      <c r="L97" s="2"/>
      <c r="M97" s="2"/>
      <c r="N97" s="2"/>
      <c r="O97" s="2"/>
      <c r="P97" s="3"/>
      <c r="Q97" s="18" t="s">
        <v>657</v>
      </c>
      <c r="R97" s="2"/>
      <c r="S97" s="2"/>
      <c r="T97" s="2"/>
      <c r="U97" s="2"/>
      <c r="V97" s="2"/>
      <c r="W97" s="3"/>
      <c r="X97" s="18" t="s">
        <v>658</v>
      </c>
      <c r="Y97" s="2"/>
      <c r="Z97" s="2"/>
      <c r="AA97" s="2"/>
      <c r="AB97" s="2"/>
      <c r="AC97" s="2"/>
      <c r="AD97" s="3"/>
      <c r="AE97" s="19" t="s">
        <v>227</v>
      </c>
      <c r="AF97" s="3"/>
      <c r="AG97" s="19" t="s">
        <v>77</v>
      </c>
      <c r="AH97" s="2"/>
      <c r="AI97" s="3"/>
      <c r="AJ97" s="19"/>
      <c r="AK97" s="2"/>
      <c r="AL97" s="3"/>
      <c r="AM97" s="19" t="s">
        <v>284</v>
      </c>
      <c r="AN97" s="2"/>
      <c r="AO97" s="3"/>
      <c r="AP97" s="20">
        <v>46192</v>
      </c>
      <c r="AQ97" s="2"/>
      <c r="AR97" s="3"/>
      <c r="AS97" s="19"/>
      <c r="AT97" s="2"/>
      <c r="AU97" s="3"/>
      <c r="AV97" s="19" t="s">
        <v>77</v>
      </c>
      <c r="AW97" s="2"/>
      <c r="AX97" s="3"/>
      <c r="AY97" s="19"/>
      <c r="AZ97" s="2"/>
      <c r="BA97" s="3"/>
      <c r="BB97" s="19" t="s">
        <v>284</v>
      </c>
      <c r="BC97" s="2"/>
      <c r="BD97" s="3"/>
      <c r="BE97" s="20">
        <v>46251</v>
      </c>
      <c r="BF97" s="2"/>
      <c r="BG97" s="3"/>
      <c r="BH97" s="19"/>
      <c r="BI97" s="2"/>
      <c r="BJ97" s="3"/>
      <c r="BK97" s="18"/>
      <c r="BL97" s="2"/>
      <c r="BM97" s="2"/>
      <c r="BN97" s="2"/>
      <c r="BO97" s="2"/>
      <c r="BP97" s="2"/>
      <c r="BQ97" s="3"/>
    </row>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384">
    <mergeCell ref="A1:E1"/>
    <mergeCell ref="F1:Q1"/>
    <mergeCell ref="R1:V1"/>
    <mergeCell ref="W1:AH1"/>
    <mergeCell ref="A2:E2"/>
    <mergeCell ref="F2:Q2"/>
    <mergeCell ref="R2:V2"/>
    <mergeCell ref="W2:AH2"/>
    <mergeCell ref="A3:E3"/>
    <mergeCell ref="F3:Q3"/>
    <mergeCell ref="R3:V3"/>
    <mergeCell ref="W3:AH3"/>
    <mergeCell ref="A4:E4"/>
    <mergeCell ref="F4:AH4"/>
    <mergeCell ref="A5:S5"/>
    <mergeCell ref="T5:AH5"/>
    <mergeCell ref="A6:G6"/>
    <mergeCell ref="H6:J6"/>
    <mergeCell ref="K6:M6"/>
    <mergeCell ref="N6:P6"/>
    <mergeCell ref="Q6:S6"/>
    <mergeCell ref="T6:V6"/>
    <mergeCell ref="W6:Y6"/>
    <mergeCell ref="Z6:AB6"/>
    <mergeCell ref="AC6:AE6"/>
    <mergeCell ref="AF6:AH6"/>
    <mergeCell ref="A7:G7"/>
    <mergeCell ref="H7:J7"/>
    <mergeCell ref="K7:M7"/>
    <mergeCell ref="N7:P7"/>
    <mergeCell ref="Q7:S7"/>
    <mergeCell ref="T7:V7"/>
    <mergeCell ref="W7:Y7"/>
    <mergeCell ref="Z7:AB7"/>
    <mergeCell ref="AC7:AE7"/>
    <mergeCell ref="AF7:AH7"/>
    <mergeCell ref="A8:G8"/>
    <mergeCell ref="H8:J8"/>
    <mergeCell ref="K8:M8"/>
    <mergeCell ref="N8:P8"/>
    <mergeCell ref="Q8:S8"/>
    <mergeCell ref="T8:V8"/>
    <mergeCell ref="W8:Y8"/>
    <mergeCell ref="Z8:AB8"/>
    <mergeCell ref="AC8:AE8"/>
    <mergeCell ref="AF8:AH8"/>
    <mergeCell ref="AG10:AU10"/>
    <mergeCell ref="AV10:BJ10"/>
    <mergeCell ref="AG11:AI11"/>
    <mergeCell ref="AJ11:AL11"/>
    <mergeCell ref="AM11:AO11"/>
    <mergeCell ref="AP11:AR11"/>
    <mergeCell ref="AS11:AU11"/>
    <mergeCell ref="AV11:AX11"/>
    <mergeCell ref="AY11:BA11"/>
    <mergeCell ref="BB11:BD11"/>
    <mergeCell ref="BE11:BG11"/>
    <mergeCell ref="BH11:BJ11"/>
    <mergeCell ref="A12:BQ12"/>
    <mergeCell ref="B13:D13"/>
    <mergeCell ref="E13:I13"/>
    <mergeCell ref="J13:P13"/>
    <mergeCell ref="Q13:W13"/>
    <mergeCell ref="X13:AD13"/>
    <mergeCell ref="AE13:AF13"/>
    <mergeCell ref="AG13:AI13"/>
    <mergeCell ref="AJ13:AL13"/>
    <mergeCell ref="AM13:AO13"/>
    <mergeCell ref="AP13:AR13"/>
    <mergeCell ref="AS13:AU13"/>
    <mergeCell ref="AV13:AX13"/>
    <mergeCell ref="AY13:BA13"/>
    <mergeCell ref="BB13:BD13"/>
    <mergeCell ref="BE13:BG13"/>
    <mergeCell ref="BH13:BJ13"/>
    <mergeCell ref="BK13:BQ13"/>
    <mergeCell ref="B14:D14"/>
    <mergeCell ref="E14:I14"/>
    <mergeCell ref="J14:P14"/>
    <mergeCell ref="Q14:W14"/>
    <mergeCell ref="X14:AD14"/>
    <mergeCell ref="AE14:AF14"/>
    <mergeCell ref="AG14:AI14"/>
    <mergeCell ref="AJ14:AL14"/>
    <mergeCell ref="AM14:AO14"/>
    <mergeCell ref="AP14:AR14"/>
    <mergeCell ref="AS14:AU14"/>
    <mergeCell ref="AV14:AX14"/>
    <mergeCell ref="AY14:BA14"/>
    <mergeCell ref="BB14:BD14"/>
    <mergeCell ref="BE14:BG14"/>
    <mergeCell ref="BH14:BJ14"/>
    <mergeCell ref="BK14:BQ14"/>
    <mergeCell ref="B15:D15"/>
    <mergeCell ref="E15:I15"/>
    <mergeCell ref="J15:P15"/>
    <mergeCell ref="Q15:W15"/>
    <mergeCell ref="X15:AD15"/>
    <mergeCell ref="AE15:AF15"/>
    <mergeCell ref="AG15:AI15"/>
    <mergeCell ref="AJ15:AL15"/>
    <mergeCell ref="AM15:AO15"/>
    <mergeCell ref="AP15:AR15"/>
    <mergeCell ref="AS15:AU15"/>
    <mergeCell ref="AV15:AX15"/>
    <mergeCell ref="AY15:BA15"/>
    <mergeCell ref="BB15:BD15"/>
    <mergeCell ref="BE15:BG15"/>
    <mergeCell ref="BH15:BJ15"/>
    <mergeCell ref="BK15:BQ15"/>
    <mergeCell ref="B16:D16"/>
    <mergeCell ref="E16:I16"/>
    <mergeCell ref="J16:P16"/>
    <mergeCell ref="Q16:W16"/>
    <mergeCell ref="X16:AD16"/>
    <mergeCell ref="AE16:AF16"/>
    <mergeCell ref="AG16:AI16"/>
    <mergeCell ref="AJ16:AL16"/>
    <mergeCell ref="AM16:AO16"/>
    <mergeCell ref="AP16:AR16"/>
    <mergeCell ref="AS16:AU16"/>
    <mergeCell ref="AV16:AX16"/>
    <mergeCell ref="AY16:BA16"/>
    <mergeCell ref="BB16:BD16"/>
    <mergeCell ref="BE16:BG16"/>
    <mergeCell ref="BH16:BJ16"/>
    <mergeCell ref="BK16:BQ16"/>
    <mergeCell ref="B17:D17"/>
    <mergeCell ref="E17:I17"/>
    <mergeCell ref="J17:P17"/>
    <mergeCell ref="Q17:W17"/>
    <mergeCell ref="X17:AD17"/>
    <mergeCell ref="AE17:AF17"/>
    <mergeCell ref="AG17:AI17"/>
    <mergeCell ref="AJ17:AL17"/>
    <mergeCell ref="AM17:AO17"/>
    <mergeCell ref="AP17:AR17"/>
    <mergeCell ref="AS17:AU17"/>
    <mergeCell ref="AV17:AX17"/>
    <mergeCell ref="AY17:BA17"/>
    <mergeCell ref="BB17:BD17"/>
    <mergeCell ref="BE17:BG17"/>
    <mergeCell ref="BH17:BJ17"/>
    <mergeCell ref="BK17:BQ17"/>
    <mergeCell ref="A18:BQ18"/>
    <mergeCell ref="B19:D19"/>
    <mergeCell ref="E19:I19"/>
    <mergeCell ref="J19:P19"/>
    <mergeCell ref="Q19:W19"/>
    <mergeCell ref="X19:AD19"/>
    <mergeCell ref="AE19:AF19"/>
    <mergeCell ref="AG19:AI19"/>
    <mergeCell ref="AJ19:AL19"/>
    <mergeCell ref="AM19:AO19"/>
    <mergeCell ref="AP19:AR19"/>
    <mergeCell ref="AS19:AU19"/>
    <mergeCell ref="AV19:AX19"/>
    <mergeCell ref="AY19:BA19"/>
    <mergeCell ref="BB19:BD19"/>
    <mergeCell ref="BE19:BG19"/>
    <mergeCell ref="BH19:BJ19"/>
    <mergeCell ref="BK19:BQ19"/>
    <mergeCell ref="B20:D20"/>
    <mergeCell ref="E20:I20"/>
    <mergeCell ref="J20:P20"/>
    <mergeCell ref="Q20:W20"/>
    <mergeCell ref="X20:AD20"/>
    <mergeCell ref="AE20:AF20"/>
    <mergeCell ref="AG20:AI20"/>
    <mergeCell ref="AJ20:AL20"/>
    <mergeCell ref="AM20:AO20"/>
    <mergeCell ref="AP20:AR20"/>
    <mergeCell ref="AS20:AU20"/>
    <mergeCell ref="AV20:AX20"/>
    <mergeCell ref="AY20:BA20"/>
    <mergeCell ref="BB20:BD20"/>
    <mergeCell ref="BE20:BG20"/>
    <mergeCell ref="BH20:BJ20"/>
    <mergeCell ref="BK20:BQ20"/>
    <mergeCell ref="B21:D21"/>
    <mergeCell ref="E21:I21"/>
    <mergeCell ref="J21:P21"/>
    <mergeCell ref="Q21:W21"/>
    <mergeCell ref="X21:AD21"/>
    <mergeCell ref="AE21:AF21"/>
    <mergeCell ref="AG21:AI21"/>
    <mergeCell ref="AJ21:AL21"/>
    <mergeCell ref="AM21:AO21"/>
    <mergeCell ref="AP21:AR21"/>
    <mergeCell ref="AS21:AU21"/>
    <mergeCell ref="AV21:AX21"/>
    <mergeCell ref="AY21:BA21"/>
    <mergeCell ref="BB21:BD21"/>
    <mergeCell ref="BE21:BG21"/>
    <mergeCell ref="BH21:BJ21"/>
    <mergeCell ref="BK21:BQ21"/>
    <mergeCell ref="B22:D22"/>
    <mergeCell ref="E22:I22"/>
    <mergeCell ref="J22:P22"/>
    <mergeCell ref="Q22:W22"/>
    <mergeCell ref="X22:AD22"/>
    <mergeCell ref="AE22:AF22"/>
    <mergeCell ref="AG22:AI22"/>
    <mergeCell ref="AJ22:AL22"/>
    <mergeCell ref="AM22:AO22"/>
    <mergeCell ref="AP22:AR22"/>
    <mergeCell ref="AS22:AU22"/>
    <mergeCell ref="AV22:AX22"/>
    <mergeCell ref="AY22:BA22"/>
    <mergeCell ref="BB22:BD22"/>
    <mergeCell ref="BE22:BG22"/>
    <mergeCell ref="BH22:BJ22"/>
    <mergeCell ref="BK22:BQ22"/>
    <mergeCell ref="B23:D23"/>
    <mergeCell ref="E23:I23"/>
    <mergeCell ref="J23:P23"/>
    <mergeCell ref="Q23:W23"/>
    <mergeCell ref="X23:AD23"/>
    <mergeCell ref="AE23:AF23"/>
    <mergeCell ref="AG23:AI23"/>
    <mergeCell ref="AJ23:AL23"/>
    <mergeCell ref="AM23:AO23"/>
    <mergeCell ref="AP23:AR23"/>
    <mergeCell ref="AS23:AU23"/>
    <mergeCell ref="AV23:AX23"/>
    <mergeCell ref="AY23:BA23"/>
    <mergeCell ref="BB23:BD23"/>
    <mergeCell ref="BE23:BG23"/>
    <mergeCell ref="BH23:BJ23"/>
    <mergeCell ref="BK23:BQ23"/>
    <mergeCell ref="B24:D24"/>
    <mergeCell ref="E24:I24"/>
    <mergeCell ref="J24:P24"/>
    <mergeCell ref="Q24:W24"/>
    <mergeCell ref="X24:AD24"/>
    <mergeCell ref="AE24:AF24"/>
    <mergeCell ref="AG24:AI24"/>
    <mergeCell ref="AJ24:AL24"/>
    <mergeCell ref="AM24:AO24"/>
    <mergeCell ref="AP24:AR24"/>
    <mergeCell ref="AS24:AU24"/>
    <mergeCell ref="AV24:AX24"/>
    <mergeCell ref="AY24:BA24"/>
    <mergeCell ref="BB24:BD24"/>
    <mergeCell ref="BE24:BG24"/>
    <mergeCell ref="BH24:BJ24"/>
    <mergeCell ref="BK24:BQ24"/>
    <mergeCell ref="B25:D25"/>
    <mergeCell ref="E25:I25"/>
    <mergeCell ref="J25:P25"/>
    <mergeCell ref="Q25:W25"/>
    <mergeCell ref="X25:AD25"/>
    <mergeCell ref="AE25:AF25"/>
    <mergeCell ref="AG25:AI25"/>
    <mergeCell ref="AJ25:AL25"/>
    <mergeCell ref="AM25:AO25"/>
    <mergeCell ref="AP25:AR25"/>
    <mergeCell ref="AS25:AU25"/>
    <mergeCell ref="AV25:AX25"/>
    <mergeCell ref="AY25:BA25"/>
    <mergeCell ref="BB25:BD25"/>
    <mergeCell ref="BE25:BG25"/>
    <mergeCell ref="BH25:BJ25"/>
    <mergeCell ref="BK25:BQ25"/>
    <mergeCell ref="B26:D26"/>
    <mergeCell ref="E26:I26"/>
    <mergeCell ref="J26:P26"/>
    <mergeCell ref="Q26:W26"/>
    <mergeCell ref="X26:AD26"/>
    <mergeCell ref="AE26:AF26"/>
    <mergeCell ref="AG26:AI26"/>
    <mergeCell ref="AJ26:AL26"/>
    <mergeCell ref="AM26:AO26"/>
    <mergeCell ref="AP26:AR26"/>
    <mergeCell ref="AS26:AU26"/>
    <mergeCell ref="AV26:AX26"/>
    <mergeCell ref="AY26:BA26"/>
    <mergeCell ref="BB26:BD26"/>
    <mergeCell ref="BE26:BG26"/>
    <mergeCell ref="BH26:BJ26"/>
    <mergeCell ref="BK26:BQ26"/>
    <mergeCell ref="A27:BQ27"/>
    <mergeCell ref="B28:D28"/>
    <mergeCell ref="E28:I28"/>
    <mergeCell ref="J28:P28"/>
    <mergeCell ref="Q28:W28"/>
    <mergeCell ref="X28:AD28"/>
    <mergeCell ref="AE28:AF28"/>
    <mergeCell ref="AG28:AI28"/>
    <mergeCell ref="AJ28:AL28"/>
    <mergeCell ref="AM28:AO28"/>
    <mergeCell ref="AP28:AR28"/>
    <mergeCell ref="AS28:AU28"/>
    <mergeCell ref="AV28:AX28"/>
    <mergeCell ref="AY28:BA28"/>
    <mergeCell ref="BB28:BD28"/>
    <mergeCell ref="BE28:BG28"/>
    <mergeCell ref="BH28:BJ28"/>
    <mergeCell ref="BK28:BQ28"/>
    <mergeCell ref="B29:D29"/>
    <mergeCell ref="E29:I29"/>
    <mergeCell ref="J29:P29"/>
    <mergeCell ref="Q29:W29"/>
    <mergeCell ref="X29:AD29"/>
    <mergeCell ref="AE29:AF29"/>
    <mergeCell ref="AG29:AI29"/>
    <mergeCell ref="AJ29:AL29"/>
    <mergeCell ref="AM29:AO29"/>
    <mergeCell ref="AP29:AR29"/>
    <mergeCell ref="AS29:AU29"/>
    <mergeCell ref="AV29:AX29"/>
    <mergeCell ref="AY29:BA29"/>
    <mergeCell ref="BB29:BD29"/>
    <mergeCell ref="BE29:BG29"/>
    <mergeCell ref="BH29:BJ29"/>
    <mergeCell ref="BK29:BQ29"/>
    <mergeCell ref="B30:D30"/>
    <mergeCell ref="E30:I30"/>
    <mergeCell ref="J30:P30"/>
    <mergeCell ref="Q30:W30"/>
    <mergeCell ref="X30:AD30"/>
    <mergeCell ref="AE30:AF30"/>
    <mergeCell ref="AG30:AI30"/>
    <mergeCell ref="AJ30:AL30"/>
    <mergeCell ref="AM30:AO30"/>
    <mergeCell ref="AP30:AR30"/>
    <mergeCell ref="AS30:AU30"/>
    <mergeCell ref="AV30:AX30"/>
    <mergeCell ref="AY30:BA30"/>
    <mergeCell ref="BB30:BD30"/>
    <mergeCell ref="BE30:BG30"/>
    <mergeCell ref="BH30:BJ30"/>
    <mergeCell ref="BK30:BQ30"/>
    <mergeCell ref="A31:BQ31"/>
    <mergeCell ref="B32:D32"/>
    <mergeCell ref="E32:I32"/>
    <mergeCell ref="J32:P32"/>
    <mergeCell ref="Q32:W32"/>
    <mergeCell ref="X32:AD32"/>
    <mergeCell ref="AE32:AF32"/>
    <mergeCell ref="AG32:AI32"/>
    <mergeCell ref="AJ32:AL32"/>
    <mergeCell ref="AM32:AO32"/>
    <mergeCell ref="AP32:AR32"/>
    <mergeCell ref="AS32:AU32"/>
    <mergeCell ref="AV32:AX32"/>
    <mergeCell ref="AY32:BA32"/>
    <mergeCell ref="BB32:BD32"/>
    <mergeCell ref="BE32:BG32"/>
    <mergeCell ref="BH32:BJ32"/>
    <mergeCell ref="BK32:BQ32"/>
    <mergeCell ref="B33:D33"/>
    <mergeCell ref="E33:I33"/>
    <mergeCell ref="J33:P33"/>
    <mergeCell ref="Q33:W33"/>
    <mergeCell ref="X33:AD33"/>
    <mergeCell ref="AE33:AF33"/>
    <mergeCell ref="AG33:AI33"/>
    <mergeCell ref="AJ33:AL33"/>
    <mergeCell ref="AM33:AO33"/>
    <mergeCell ref="AP33:AR33"/>
    <mergeCell ref="AS33:AU33"/>
    <mergeCell ref="AV33:AX33"/>
    <mergeCell ref="AY33:BA33"/>
    <mergeCell ref="BB33:BD33"/>
    <mergeCell ref="BE33:BG33"/>
    <mergeCell ref="BH33:BJ33"/>
    <mergeCell ref="BK33:BQ33"/>
    <mergeCell ref="B34:D34"/>
    <mergeCell ref="E34:I34"/>
    <mergeCell ref="J34:P34"/>
    <mergeCell ref="Q34:W34"/>
    <mergeCell ref="X34:AD34"/>
    <mergeCell ref="AE34:AF34"/>
    <mergeCell ref="AG34:AI34"/>
    <mergeCell ref="AJ34:AL34"/>
    <mergeCell ref="AM34:AO34"/>
    <mergeCell ref="AP34:AR34"/>
    <mergeCell ref="AS34:AU34"/>
    <mergeCell ref="AV34:AX34"/>
    <mergeCell ref="AY34:BA34"/>
    <mergeCell ref="BB34:BD34"/>
    <mergeCell ref="BE34:BG34"/>
    <mergeCell ref="BH34:BJ34"/>
    <mergeCell ref="BK34:BQ34"/>
    <mergeCell ref="B35:D35"/>
    <mergeCell ref="E35:I35"/>
    <mergeCell ref="J35:P35"/>
    <mergeCell ref="Q35:W35"/>
    <mergeCell ref="X35:AD35"/>
    <mergeCell ref="AE35:AF35"/>
    <mergeCell ref="AG35:AI35"/>
    <mergeCell ref="AJ35:AL35"/>
    <mergeCell ref="AM35:AO35"/>
    <mergeCell ref="AP35:AR35"/>
    <mergeCell ref="AS35:AU35"/>
    <mergeCell ref="AV35:AX35"/>
    <mergeCell ref="AY35:BA35"/>
    <mergeCell ref="BB35:BD35"/>
    <mergeCell ref="BE35:BG35"/>
    <mergeCell ref="BH35:BJ35"/>
    <mergeCell ref="BK35:BQ35"/>
    <mergeCell ref="B36:D36"/>
    <mergeCell ref="E36:I36"/>
    <mergeCell ref="J36:P36"/>
    <mergeCell ref="Q36:W36"/>
    <mergeCell ref="X36:AD36"/>
    <mergeCell ref="AE36:AF36"/>
    <mergeCell ref="AG36:AI36"/>
    <mergeCell ref="AJ36:AL36"/>
    <mergeCell ref="AM36:AO36"/>
    <mergeCell ref="AP36:AR36"/>
    <mergeCell ref="AS36:AU36"/>
    <mergeCell ref="AV36:AX36"/>
    <mergeCell ref="AY36:BA36"/>
    <mergeCell ref="BB36:BD36"/>
    <mergeCell ref="BE36:BG36"/>
    <mergeCell ref="BH36:BJ36"/>
    <mergeCell ref="BK36:BQ36"/>
    <mergeCell ref="B37:D37"/>
    <mergeCell ref="E37:I37"/>
    <mergeCell ref="J37:P37"/>
    <mergeCell ref="Q37:W37"/>
    <mergeCell ref="X37:AD37"/>
    <mergeCell ref="AE37:AF37"/>
    <mergeCell ref="AG37:AI37"/>
    <mergeCell ref="AJ37:AL37"/>
    <mergeCell ref="AM37:AO37"/>
    <mergeCell ref="AP37:AR37"/>
    <mergeCell ref="AS37:AU37"/>
    <mergeCell ref="AV37:AX37"/>
    <mergeCell ref="AY37:BA37"/>
    <mergeCell ref="BB37:BD37"/>
    <mergeCell ref="BE37:BG37"/>
    <mergeCell ref="BH37:BJ37"/>
    <mergeCell ref="BK37:BQ37"/>
    <mergeCell ref="B38:D38"/>
    <mergeCell ref="E38:I38"/>
    <mergeCell ref="J38:P38"/>
    <mergeCell ref="Q38:W38"/>
    <mergeCell ref="X38:AD38"/>
    <mergeCell ref="AE38:AF38"/>
    <mergeCell ref="AG38:AI38"/>
    <mergeCell ref="AJ38:AL38"/>
    <mergeCell ref="AM38:AO38"/>
    <mergeCell ref="AP38:AR38"/>
    <mergeCell ref="AS38:AU38"/>
    <mergeCell ref="AV38:AX38"/>
    <mergeCell ref="AY38:BA38"/>
    <mergeCell ref="BB38:BD38"/>
    <mergeCell ref="BE38:BG38"/>
    <mergeCell ref="BH38:BJ38"/>
    <mergeCell ref="BK38:BQ38"/>
    <mergeCell ref="B39:D39"/>
    <mergeCell ref="E39:I39"/>
    <mergeCell ref="J39:P39"/>
    <mergeCell ref="Q39:W39"/>
    <mergeCell ref="X39:AD39"/>
    <mergeCell ref="AE39:AF39"/>
    <mergeCell ref="AG39:AI39"/>
    <mergeCell ref="AJ39:AL39"/>
    <mergeCell ref="AM39:AO39"/>
    <mergeCell ref="AP39:AR39"/>
    <mergeCell ref="AS39:AU39"/>
    <mergeCell ref="AV39:AX39"/>
    <mergeCell ref="AY39:BA39"/>
    <mergeCell ref="BB39:BD39"/>
    <mergeCell ref="BE39:BG39"/>
    <mergeCell ref="BH39:BJ39"/>
    <mergeCell ref="BK39:BQ39"/>
    <mergeCell ref="B40:D40"/>
    <mergeCell ref="E40:I40"/>
    <mergeCell ref="J40:P40"/>
    <mergeCell ref="Q40:W40"/>
    <mergeCell ref="X40:AD40"/>
    <mergeCell ref="AE40:AF40"/>
    <mergeCell ref="AG40:AI40"/>
    <mergeCell ref="AJ40:AL40"/>
    <mergeCell ref="AM40:AO40"/>
    <mergeCell ref="AP40:AR40"/>
    <mergeCell ref="AS40:AU40"/>
    <mergeCell ref="AV40:AX40"/>
    <mergeCell ref="AY40:BA40"/>
    <mergeCell ref="BB40:BD40"/>
    <mergeCell ref="BE40:BG40"/>
    <mergeCell ref="BH40:BJ40"/>
    <mergeCell ref="BK40:BQ40"/>
    <mergeCell ref="B41:D41"/>
    <mergeCell ref="E41:I41"/>
    <mergeCell ref="J41:P41"/>
    <mergeCell ref="Q41:W41"/>
    <mergeCell ref="X41:AD41"/>
    <mergeCell ref="AE41:AF41"/>
    <mergeCell ref="AG41:AI41"/>
    <mergeCell ref="AJ41:AL41"/>
    <mergeCell ref="AM41:AO41"/>
    <mergeCell ref="AP41:AR41"/>
    <mergeCell ref="AS41:AU41"/>
    <mergeCell ref="AV41:AX41"/>
    <mergeCell ref="AY41:BA41"/>
    <mergeCell ref="BB41:BD41"/>
    <mergeCell ref="BE41:BG41"/>
    <mergeCell ref="BH41:BJ41"/>
    <mergeCell ref="BK41:BQ41"/>
    <mergeCell ref="A42:BQ42"/>
    <mergeCell ref="B43:D43"/>
    <mergeCell ref="E43:I43"/>
    <mergeCell ref="J43:P43"/>
    <mergeCell ref="Q43:W43"/>
    <mergeCell ref="X43:AD43"/>
    <mergeCell ref="AE43:AF43"/>
    <mergeCell ref="AG43:AI43"/>
    <mergeCell ref="AJ43:AL43"/>
    <mergeCell ref="AM43:AO43"/>
    <mergeCell ref="AP43:AR43"/>
    <mergeCell ref="AS43:AU43"/>
    <mergeCell ref="AV43:AX43"/>
    <mergeCell ref="AY43:BA43"/>
    <mergeCell ref="BB43:BD43"/>
    <mergeCell ref="BE43:BG43"/>
    <mergeCell ref="BH43:BJ43"/>
    <mergeCell ref="BK43:BQ43"/>
    <mergeCell ref="B44:D44"/>
    <mergeCell ref="E44:I44"/>
    <mergeCell ref="J44:P44"/>
    <mergeCell ref="Q44:W44"/>
    <mergeCell ref="X44:AD44"/>
    <mergeCell ref="AE44:AF44"/>
    <mergeCell ref="AG44:AI44"/>
    <mergeCell ref="AJ44:AL44"/>
    <mergeCell ref="AM44:AO44"/>
    <mergeCell ref="AP44:AR44"/>
    <mergeCell ref="AS44:AU44"/>
    <mergeCell ref="AV44:AX44"/>
    <mergeCell ref="AY44:BA44"/>
    <mergeCell ref="BB44:BD44"/>
    <mergeCell ref="BE44:BG44"/>
    <mergeCell ref="BH44:BJ44"/>
    <mergeCell ref="BK44:BQ44"/>
    <mergeCell ref="B45:D45"/>
    <mergeCell ref="E45:I45"/>
    <mergeCell ref="J45:P45"/>
    <mergeCell ref="Q45:W45"/>
    <mergeCell ref="X45:AD45"/>
    <mergeCell ref="AE45:AF45"/>
    <mergeCell ref="AG45:AI45"/>
    <mergeCell ref="AJ45:AL45"/>
    <mergeCell ref="AM45:AO45"/>
    <mergeCell ref="AP45:AR45"/>
    <mergeCell ref="AS45:AU45"/>
    <mergeCell ref="AV45:AX45"/>
    <mergeCell ref="AY45:BA45"/>
    <mergeCell ref="BB45:BD45"/>
    <mergeCell ref="BE45:BG45"/>
    <mergeCell ref="BH45:BJ45"/>
    <mergeCell ref="BK45:BQ45"/>
    <mergeCell ref="B46:D46"/>
    <mergeCell ref="E46:I46"/>
    <mergeCell ref="J46:P46"/>
    <mergeCell ref="Q46:W46"/>
    <mergeCell ref="X46:AD46"/>
    <mergeCell ref="AE46:AF46"/>
    <mergeCell ref="AG46:AI46"/>
    <mergeCell ref="AJ46:AL46"/>
    <mergeCell ref="AM46:AO46"/>
    <mergeCell ref="AP46:AR46"/>
    <mergeCell ref="AS46:AU46"/>
    <mergeCell ref="AV46:AX46"/>
    <mergeCell ref="AY46:BA46"/>
    <mergeCell ref="BB46:BD46"/>
    <mergeCell ref="BE46:BG46"/>
    <mergeCell ref="BH46:BJ46"/>
    <mergeCell ref="BK46:BQ46"/>
    <mergeCell ref="B47:D47"/>
    <mergeCell ref="E47:I47"/>
    <mergeCell ref="J47:P47"/>
    <mergeCell ref="Q47:W47"/>
    <mergeCell ref="X47:AD47"/>
    <mergeCell ref="AE47:AF47"/>
    <mergeCell ref="AG47:AI47"/>
    <mergeCell ref="AJ47:AL47"/>
    <mergeCell ref="AM47:AO47"/>
    <mergeCell ref="AP47:AR47"/>
    <mergeCell ref="AS47:AU47"/>
    <mergeCell ref="AV47:AX47"/>
    <mergeCell ref="AY47:BA47"/>
    <mergeCell ref="BB47:BD47"/>
    <mergeCell ref="BE47:BG47"/>
    <mergeCell ref="BH47:BJ47"/>
    <mergeCell ref="BK47:BQ47"/>
    <mergeCell ref="B48:D48"/>
    <mergeCell ref="E48:I48"/>
    <mergeCell ref="J48:P48"/>
    <mergeCell ref="Q48:W48"/>
    <mergeCell ref="X48:AD48"/>
    <mergeCell ref="AE48:AF48"/>
    <mergeCell ref="AG48:AI48"/>
    <mergeCell ref="AJ48:AL48"/>
    <mergeCell ref="AM48:AO48"/>
    <mergeCell ref="AP48:AR48"/>
    <mergeCell ref="AS48:AU48"/>
    <mergeCell ref="AV48:AX48"/>
    <mergeCell ref="AY48:BA48"/>
    <mergeCell ref="BB48:BD48"/>
    <mergeCell ref="BE48:BG48"/>
    <mergeCell ref="BH48:BJ48"/>
    <mergeCell ref="BK48:BQ48"/>
    <mergeCell ref="B49:D49"/>
    <mergeCell ref="E49:I49"/>
    <mergeCell ref="J49:P49"/>
    <mergeCell ref="Q49:W49"/>
    <mergeCell ref="X49:AD49"/>
    <mergeCell ref="AE49:AF49"/>
    <mergeCell ref="AG49:AI49"/>
    <mergeCell ref="AJ49:AL49"/>
    <mergeCell ref="AM49:AO49"/>
    <mergeCell ref="AP49:AR49"/>
    <mergeCell ref="AS49:AU49"/>
    <mergeCell ref="AV49:AX49"/>
    <mergeCell ref="AY49:BA49"/>
    <mergeCell ref="BB49:BD49"/>
    <mergeCell ref="BE49:BG49"/>
    <mergeCell ref="BH49:BJ49"/>
    <mergeCell ref="BK49:BQ49"/>
    <mergeCell ref="B50:D50"/>
    <mergeCell ref="E50:I50"/>
    <mergeCell ref="J50:P50"/>
    <mergeCell ref="Q50:W50"/>
    <mergeCell ref="X50:AD50"/>
    <mergeCell ref="AE50:AF50"/>
    <mergeCell ref="AG50:AI50"/>
    <mergeCell ref="AJ50:AL50"/>
    <mergeCell ref="AM50:AO50"/>
    <mergeCell ref="AP50:AR50"/>
    <mergeCell ref="AS50:AU50"/>
    <mergeCell ref="AV50:AX50"/>
    <mergeCell ref="AY50:BA50"/>
    <mergeCell ref="BB50:BD50"/>
    <mergeCell ref="BE50:BG50"/>
    <mergeCell ref="BH50:BJ50"/>
    <mergeCell ref="BK50:BQ50"/>
    <mergeCell ref="B51:D51"/>
    <mergeCell ref="E51:I51"/>
    <mergeCell ref="J51:P51"/>
    <mergeCell ref="Q51:W51"/>
    <mergeCell ref="X51:AD51"/>
    <mergeCell ref="AE51:AF51"/>
    <mergeCell ref="AG51:AI51"/>
    <mergeCell ref="AJ51:AL51"/>
    <mergeCell ref="AM51:AO51"/>
    <mergeCell ref="AP51:AR51"/>
    <mergeCell ref="AS51:AU51"/>
    <mergeCell ref="AV51:AX51"/>
    <mergeCell ref="AY51:BA51"/>
    <mergeCell ref="BB51:BD51"/>
    <mergeCell ref="BE51:BG51"/>
    <mergeCell ref="BH51:BJ51"/>
    <mergeCell ref="BK51:BQ51"/>
    <mergeCell ref="B52:D52"/>
    <mergeCell ref="E52:I52"/>
    <mergeCell ref="J52:P52"/>
    <mergeCell ref="Q52:W52"/>
    <mergeCell ref="X52:AD52"/>
    <mergeCell ref="AE52:AF52"/>
    <mergeCell ref="AG52:AI52"/>
    <mergeCell ref="AJ52:AL52"/>
    <mergeCell ref="AM52:AO52"/>
    <mergeCell ref="AP52:AR52"/>
    <mergeCell ref="AS52:AU52"/>
    <mergeCell ref="AV52:AX52"/>
    <mergeCell ref="AY52:BA52"/>
    <mergeCell ref="BB52:BD52"/>
    <mergeCell ref="BE52:BG52"/>
    <mergeCell ref="BH52:BJ52"/>
    <mergeCell ref="BK52:BQ52"/>
    <mergeCell ref="B53:D53"/>
    <mergeCell ref="E53:I53"/>
    <mergeCell ref="J53:P53"/>
    <mergeCell ref="Q53:W53"/>
    <mergeCell ref="X53:AD53"/>
    <mergeCell ref="AE53:AF53"/>
    <mergeCell ref="AG53:AI53"/>
    <mergeCell ref="AJ53:AL53"/>
    <mergeCell ref="AM53:AO53"/>
    <mergeCell ref="AP53:AR53"/>
    <mergeCell ref="AS53:AU53"/>
    <mergeCell ref="AV53:AX53"/>
    <mergeCell ref="AY53:BA53"/>
    <mergeCell ref="BB53:BD53"/>
    <mergeCell ref="BE53:BG53"/>
    <mergeCell ref="BH53:BJ53"/>
    <mergeCell ref="BK53:BQ53"/>
    <mergeCell ref="B54:D54"/>
    <mergeCell ref="E54:I54"/>
    <mergeCell ref="J54:P54"/>
    <mergeCell ref="Q54:W54"/>
    <mergeCell ref="X54:AD54"/>
    <mergeCell ref="AE54:AF54"/>
    <mergeCell ref="AG54:AI54"/>
    <mergeCell ref="AJ54:AL54"/>
    <mergeCell ref="AM54:AO54"/>
    <mergeCell ref="AP54:AR54"/>
    <mergeCell ref="AS54:AU54"/>
    <mergeCell ref="AV54:AX54"/>
    <mergeCell ref="AY54:BA54"/>
    <mergeCell ref="BB54:BD54"/>
    <mergeCell ref="BE54:BG54"/>
    <mergeCell ref="BH54:BJ54"/>
    <mergeCell ref="BK54:BQ54"/>
    <mergeCell ref="B55:D55"/>
    <mergeCell ref="E55:I55"/>
    <mergeCell ref="J55:P55"/>
    <mergeCell ref="Q55:W55"/>
    <mergeCell ref="X55:AD55"/>
    <mergeCell ref="AE55:AF55"/>
    <mergeCell ref="AG55:AI55"/>
    <mergeCell ref="AJ55:AL55"/>
    <mergeCell ref="AM55:AO55"/>
    <mergeCell ref="AP55:AR55"/>
    <mergeCell ref="AS55:AU55"/>
    <mergeCell ref="AV55:AX55"/>
    <mergeCell ref="AY55:BA55"/>
    <mergeCell ref="BB55:BD55"/>
    <mergeCell ref="BE55:BG55"/>
    <mergeCell ref="BH55:BJ55"/>
    <mergeCell ref="BK55:BQ55"/>
    <mergeCell ref="B56:D56"/>
    <mergeCell ref="E56:I56"/>
    <mergeCell ref="J56:P56"/>
    <mergeCell ref="Q56:W56"/>
    <mergeCell ref="X56:AD56"/>
    <mergeCell ref="AE56:AF56"/>
    <mergeCell ref="AG56:AI56"/>
    <mergeCell ref="AJ56:AL56"/>
    <mergeCell ref="AM56:AO56"/>
    <mergeCell ref="AP56:AR56"/>
    <mergeCell ref="AS56:AU56"/>
    <mergeCell ref="AV56:AX56"/>
    <mergeCell ref="AY56:BA56"/>
    <mergeCell ref="BB56:BD56"/>
    <mergeCell ref="BE56:BG56"/>
    <mergeCell ref="BH56:BJ56"/>
    <mergeCell ref="BK56:BQ56"/>
    <mergeCell ref="B57:D57"/>
    <mergeCell ref="E57:I57"/>
    <mergeCell ref="J57:P57"/>
    <mergeCell ref="Q57:W57"/>
    <mergeCell ref="X57:AD57"/>
    <mergeCell ref="AE57:AF57"/>
    <mergeCell ref="AG57:AI57"/>
    <mergeCell ref="AJ57:AL57"/>
    <mergeCell ref="AM57:AO57"/>
    <mergeCell ref="AP57:AR57"/>
    <mergeCell ref="AS57:AU57"/>
    <mergeCell ref="AV57:AX57"/>
    <mergeCell ref="AY57:BA57"/>
    <mergeCell ref="BB57:BD57"/>
    <mergeCell ref="BE57:BG57"/>
    <mergeCell ref="BH57:BJ57"/>
    <mergeCell ref="BK57:BQ57"/>
    <mergeCell ref="B58:D58"/>
    <mergeCell ref="E58:I58"/>
    <mergeCell ref="J58:P58"/>
    <mergeCell ref="Q58:W58"/>
    <mergeCell ref="X58:AD58"/>
    <mergeCell ref="AE58:AF58"/>
    <mergeCell ref="AG58:AI58"/>
    <mergeCell ref="AJ58:AL58"/>
    <mergeCell ref="AM58:AO58"/>
    <mergeCell ref="AP58:AR58"/>
    <mergeCell ref="AS58:AU58"/>
    <mergeCell ref="AV58:AX58"/>
    <mergeCell ref="AY58:BA58"/>
    <mergeCell ref="BB58:BD58"/>
    <mergeCell ref="BE58:BG58"/>
    <mergeCell ref="BH58:BJ58"/>
    <mergeCell ref="BK58:BQ58"/>
    <mergeCell ref="B59:D59"/>
    <mergeCell ref="E59:I59"/>
    <mergeCell ref="J59:P59"/>
    <mergeCell ref="Q59:W59"/>
    <mergeCell ref="X59:AD59"/>
    <mergeCell ref="AE59:AF59"/>
    <mergeCell ref="AG59:AI59"/>
    <mergeCell ref="AJ59:AL59"/>
    <mergeCell ref="AM59:AO59"/>
    <mergeCell ref="AP59:AR59"/>
    <mergeCell ref="AS59:AU59"/>
    <mergeCell ref="AV59:AX59"/>
    <mergeCell ref="AY59:BA59"/>
    <mergeCell ref="BB59:BD59"/>
    <mergeCell ref="BE59:BG59"/>
    <mergeCell ref="BH59:BJ59"/>
    <mergeCell ref="BK59:BQ59"/>
    <mergeCell ref="A60:BQ60"/>
    <mergeCell ref="B61:D61"/>
    <mergeCell ref="E61:I61"/>
    <mergeCell ref="J61:P61"/>
    <mergeCell ref="Q61:W61"/>
    <mergeCell ref="X61:AD61"/>
    <mergeCell ref="AE61:AF61"/>
    <mergeCell ref="AG61:AI61"/>
    <mergeCell ref="AJ61:AL61"/>
    <mergeCell ref="AM61:AO61"/>
    <mergeCell ref="AP61:AR61"/>
    <mergeCell ref="AS61:AU61"/>
    <mergeCell ref="AV61:AX61"/>
    <mergeCell ref="AY61:BA61"/>
    <mergeCell ref="BB61:BD61"/>
    <mergeCell ref="BE61:BG61"/>
    <mergeCell ref="BH61:BJ61"/>
    <mergeCell ref="BK61:BQ61"/>
    <mergeCell ref="B62:D62"/>
    <mergeCell ref="E62:I62"/>
    <mergeCell ref="J62:P62"/>
    <mergeCell ref="Q62:W62"/>
    <mergeCell ref="X62:AD62"/>
    <mergeCell ref="AE62:AF62"/>
    <mergeCell ref="AG62:AI62"/>
    <mergeCell ref="AJ62:AL62"/>
    <mergeCell ref="AM62:AO62"/>
    <mergeCell ref="AP62:AR62"/>
    <mergeCell ref="AS62:AU62"/>
    <mergeCell ref="AV62:AX62"/>
    <mergeCell ref="AY62:BA62"/>
    <mergeCell ref="BB62:BD62"/>
    <mergeCell ref="BE62:BG62"/>
    <mergeCell ref="BH62:BJ62"/>
    <mergeCell ref="BK62:BQ62"/>
    <mergeCell ref="B63:D63"/>
    <mergeCell ref="E63:I63"/>
    <mergeCell ref="J63:P63"/>
    <mergeCell ref="Q63:W63"/>
    <mergeCell ref="X63:AD63"/>
    <mergeCell ref="AE63:AF63"/>
    <mergeCell ref="AG63:AI63"/>
    <mergeCell ref="AJ63:AL63"/>
    <mergeCell ref="AM63:AO63"/>
    <mergeCell ref="AP63:AR63"/>
    <mergeCell ref="AS63:AU63"/>
    <mergeCell ref="AV63:AX63"/>
    <mergeCell ref="AY63:BA63"/>
    <mergeCell ref="BB63:BD63"/>
    <mergeCell ref="BE63:BG63"/>
    <mergeCell ref="BH63:BJ63"/>
    <mergeCell ref="BK63:BQ63"/>
    <mergeCell ref="B64:D64"/>
    <mergeCell ref="E64:I64"/>
    <mergeCell ref="J64:P64"/>
    <mergeCell ref="Q64:W64"/>
    <mergeCell ref="X64:AD64"/>
    <mergeCell ref="AE64:AF64"/>
    <mergeCell ref="AG64:AI64"/>
    <mergeCell ref="AJ64:AL64"/>
    <mergeCell ref="AM64:AO64"/>
    <mergeCell ref="AP64:AR64"/>
    <mergeCell ref="AS64:AU64"/>
    <mergeCell ref="AV64:AX64"/>
    <mergeCell ref="AY64:BA64"/>
    <mergeCell ref="BB64:BD64"/>
    <mergeCell ref="BE64:BG64"/>
    <mergeCell ref="BH64:BJ64"/>
    <mergeCell ref="BK64:BQ64"/>
    <mergeCell ref="B65:D65"/>
    <mergeCell ref="E65:I65"/>
    <mergeCell ref="J65:P65"/>
    <mergeCell ref="Q65:W65"/>
    <mergeCell ref="X65:AD65"/>
    <mergeCell ref="AE65:AF65"/>
    <mergeCell ref="AG65:AI65"/>
    <mergeCell ref="AJ65:AL65"/>
    <mergeCell ref="AM65:AO65"/>
    <mergeCell ref="AP65:AR65"/>
    <mergeCell ref="AS65:AU65"/>
    <mergeCell ref="AV65:AX65"/>
    <mergeCell ref="AY65:BA65"/>
    <mergeCell ref="BB65:BD65"/>
    <mergeCell ref="BE65:BG65"/>
    <mergeCell ref="BH65:BJ65"/>
    <mergeCell ref="BK65:BQ65"/>
    <mergeCell ref="B66:D66"/>
    <mergeCell ref="E66:I66"/>
    <mergeCell ref="J66:P66"/>
    <mergeCell ref="Q66:W66"/>
    <mergeCell ref="X66:AD66"/>
    <mergeCell ref="AE66:AF66"/>
    <mergeCell ref="AG66:AI66"/>
    <mergeCell ref="AJ66:AL66"/>
    <mergeCell ref="AM66:AO66"/>
    <mergeCell ref="AP66:AR66"/>
    <mergeCell ref="AS66:AU66"/>
    <mergeCell ref="AV66:AX66"/>
    <mergeCell ref="AY66:BA66"/>
    <mergeCell ref="BB66:BD66"/>
    <mergeCell ref="BE66:BG66"/>
    <mergeCell ref="BH66:BJ66"/>
    <mergeCell ref="BK66:BQ66"/>
    <mergeCell ref="B67:D67"/>
    <mergeCell ref="E67:I67"/>
    <mergeCell ref="J67:P67"/>
    <mergeCell ref="Q67:W67"/>
    <mergeCell ref="X67:AD67"/>
    <mergeCell ref="AE67:AF67"/>
    <mergeCell ref="AG67:AI67"/>
    <mergeCell ref="AJ67:AL67"/>
    <mergeCell ref="AM67:AO67"/>
    <mergeCell ref="AP67:AR67"/>
    <mergeCell ref="AS67:AU67"/>
    <mergeCell ref="AV67:AX67"/>
    <mergeCell ref="AY67:BA67"/>
    <mergeCell ref="BB67:BD67"/>
    <mergeCell ref="BE67:BG67"/>
    <mergeCell ref="BH67:BJ67"/>
    <mergeCell ref="BK67:BQ67"/>
    <mergeCell ref="B68:D68"/>
    <mergeCell ref="E68:I68"/>
    <mergeCell ref="J68:P68"/>
    <mergeCell ref="Q68:W68"/>
    <mergeCell ref="X68:AD68"/>
    <mergeCell ref="AE68:AF68"/>
    <mergeCell ref="AG68:AI68"/>
    <mergeCell ref="AJ68:AL68"/>
    <mergeCell ref="AM68:AO68"/>
    <mergeCell ref="AP68:AR68"/>
    <mergeCell ref="AS68:AU68"/>
    <mergeCell ref="AV68:AX68"/>
    <mergeCell ref="AY68:BA68"/>
    <mergeCell ref="BB68:BD68"/>
    <mergeCell ref="BE68:BG68"/>
    <mergeCell ref="BH68:BJ68"/>
    <mergeCell ref="BK68:BQ68"/>
    <mergeCell ref="B69:D69"/>
    <mergeCell ref="E69:I69"/>
    <mergeCell ref="J69:P69"/>
    <mergeCell ref="Q69:W69"/>
    <mergeCell ref="X69:AD69"/>
    <mergeCell ref="AE69:AF69"/>
    <mergeCell ref="AG69:AI69"/>
    <mergeCell ref="AJ69:AL69"/>
    <mergeCell ref="AM69:AO69"/>
    <mergeCell ref="AP69:AR69"/>
    <mergeCell ref="AS69:AU69"/>
    <mergeCell ref="AV69:AX69"/>
    <mergeCell ref="AY69:BA69"/>
    <mergeCell ref="BB69:BD69"/>
    <mergeCell ref="BE69:BG69"/>
    <mergeCell ref="BH69:BJ69"/>
    <mergeCell ref="BK69:BQ69"/>
    <mergeCell ref="A70:BQ70"/>
    <mergeCell ref="B71:D71"/>
    <mergeCell ref="E71:I71"/>
    <mergeCell ref="J71:P71"/>
    <mergeCell ref="Q71:W71"/>
    <mergeCell ref="X71:AD71"/>
    <mergeCell ref="AE71:AF71"/>
    <mergeCell ref="AG71:AI71"/>
    <mergeCell ref="AJ71:AL71"/>
    <mergeCell ref="AM71:AO71"/>
    <mergeCell ref="AP71:AR71"/>
    <mergeCell ref="AS71:AU71"/>
    <mergeCell ref="AV71:AX71"/>
    <mergeCell ref="AY71:BA71"/>
    <mergeCell ref="BB71:BD71"/>
    <mergeCell ref="BE71:BG71"/>
    <mergeCell ref="BH71:BJ71"/>
    <mergeCell ref="BK71:BQ71"/>
    <mergeCell ref="B72:D72"/>
    <mergeCell ref="E72:I72"/>
    <mergeCell ref="J72:P72"/>
    <mergeCell ref="Q72:W72"/>
    <mergeCell ref="X72:AD72"/>
    <mergeCell ref="AE72:AF72"/>
    <mergeCell ref="AG72:AI72"/>
    <mergeCell ref="AJ72:AL72"/>
    <mergeCell ref="AM72:AO72"/>
    <mergeCell ref="AP72:AR72"/>
    <mergeCell ref="AS72:AU72"/>
    <mergeCell ref="AV72:AX72"/>
    <mergeCell ref="AY72:BA72"/>
    <mergeCell ref="BB72:BD72"/>
    <mergeCell ref="BE72:BG72"/>
    <mergeCell ref="BH72:BJ72"/>
    <mergeCell ref="BK72:BQ72"/>
    <mergeCell ref="B73:D73"/>
    <mergeCell ref="E73:I73"/>
    <mergeCell ref="J73:P73"/>
    <mergeCell ref="Q73:W73"/>
    <mergeCell ref="X73:AD73"/>
    <mergeCell ref="AE73:AF73"/>
    <mergeCell ref="AG73:AI73"/>
    <mergeCell ref="AJ73:AL73"/>
    <mergeCell ref="AM73:AO73"/>
    <mergeCell ref="AP73:AR73"/>
    <mergeCell ref="AS73:AU73"/>
    <mergeCell ref="AV73:AX73"/>
    <mergeCell ref="AY73:BA73"/>
    <mergeCell ref="BB73:BD73"/>
    <mergeCell ref="BE73:BG73"/>
    <mergeCell ref="BH73:BJ73"/>
    <mergeCell ref="BK73:BQ73"/>
    <mergeCell ref="B74:D74"/>
    <mergeCell ref="E74:I74"/>
    <mergeCell ref="J74:P74"/>
    <mergeCell ref="Q74:W74"/>
    <mergeCell ref="X74:AD74"/>
    <mergeCell ref="AE74:AF74"/>
    <mergeCell ref="AG74:AI74"/>
    <mergeCell ref="AJ74:AL74"/>
    <mergeCell ref="AM74:AO74"/>
    <mergeCell ref="AP74:AR74"/>
    <mergeCell ref="AS74:AU74"/>
    <mergeCell ref="AV74:AX74"/>
    <mergeCell ref="AY74:BA74"/>
    <mergeCell ref="BB74:BD74"/>
    <mergeCell ref="BE74:BG74"/>
    <mergeCell ref="BH74:BJ74"/>
    <mergeCell ref="BK74:BQ74"/>
    <mergeCell ref="B75:D75"/>
    <mergeCell ref="E75:I75"/>
    <mergeCell ref="J75:P75"/>
    <mergeCell ref="Q75:W75"/>
    <mergeCell ref="X75:AD75"/>
    <mergeCell ref="AE75:AF75"/>
    <mergeCell ref="AG75:AI75"/>
    <mergeCell ref="AJ75:AL75"/>
    <mergeCell ref="AM75:AO75"/>
    <mergeCell ref="AP75:AR75"/>
    <mergeCell ref="AS75:AU75"/>
    <mergeCell ref="AV75:AX75"/>
    <mergeCell ref="AY75:BA75"/>
    <mergeCell ref="BB75:BD75"/>
    <mergeCell ref="BE75:BG75"/>
    <mergeCell ref="BH75:BJ75"/>
    <mergeCell ref="BK75:BQ75"/>
    <mergeCell ref="B76:D76"/>
    <mergeCell ref="E76:I76"/>
    <mergeCell ref="J76:P76"/>
    <mergeCell ref="Q76:W76"/>
    <mergeCell ref="X76:AD76"/>
    <mergeCell ref="AE76:AF76"/>
    <mergeCell ref="AG76:AI76"/>
    <mergeCell ref="AJ76:AL76"/>
    <mergeCell ref="AM76:AO76"/>
    <mergeCell ref="AP76:AR76"/>
    <mergeCell ref="AS76:AU76"/>
    <mergeCell ref="AV76:AX76"/>
    <mergeCell ref="AY76:BA76"/>
    <mergeCell ref="BB76:BD76"/>
    <mergeCell ref="BE76:BG76"/>
    <mergeCell ref="BH76:BJ76"/>
    <mergeCell ref="BK76:BQ76"/>
    <mergeCell ref="B77:D77"/>
    <mergeCell ref="E77:I77"/>
    <mergeCell ref="J77:P77"/>
    <mergeCell ref="Q77:W77"/>
    <mergeCell ref="X77:AD77"/>
    <mergeCell ref="AE77:AF77"/>
    <mergeCell ref="AG77:AI77"/>
    <mergeCell ref="AJ77:AL77"/>
    <mergeCell ref="AM77:AO77"/>
    <mergeCell ref="AP77:AR77"/>
    <mergeCell ref="AS77:AU77"/>
    <mergeCell ref="AV77:AX77"/>
    <mergeCell ref="AY77:BA77"/>
    <mergeCell ref="BB77:BD77"/>
    <mergeCell ref="BE77:BG77"/>
    <mergeCell ref="BH77:BJ77"/>
    <mergeCell ref="BK77:BQ77"/>
    <mergeCell ref="B78:D78"/>
    <mergeCell ref="E78:I78"/>
    <mergeCell ref="J78:P78"/>
    <mergeCell ref="Q78:W78"/>
    <mergeCell ref="X78:AD78"/>
    <mergeCell ref="AE78:AF78"/>
    <mergeCell ref="AG78:AI78"/>
    <mergeCell ref="AJ78:AL78"/>
    <mergeCell ref="AM78:AO78"/>
    <mergeCell ref="AP78:AR78"/>
    <mergeCell ref="AS78:AU78"/>
    <mergeCell ref="AV78:AX78"/>
    <mergeCell ref="AY78:BA78"/>
    <mergeCell ref="BB78:BD78"/>
    <mergeCell ref="BE78:BG78"/>
    <mergeCell ref="BH78:BJ78"/>
    <mergeCell ref="BK78:BQ78"/>
    <mergeCell ref="B79:D79"/>
    <mergeCell ref="E79:I79"/>
    <mergeCell ref="J79:P79"/>
    <mergeCell ref="Q79:W79"/>
    <mergeCell ref="X79:AD79"/>
    <mergeCell ref="AE79:AF79"/>
    <mergeCell ref="AG79:AI79"/>
    <mergeCell ref="AJ79:AL79"/>
    <mergeCell ref="AM79:AO79"/>
    <mergeCell ref="AP79:AR79"/>
    <mergeCell ref="AS79:AU79"/>
    <mergeCell ref="AV79:AX79"/>
    <mergeCell ref="AY79:BA79"/>
    <mergeCell ref="BB79:BD79"/>
    <mergeCell ref="BE79:BG79"/>
    <mergeCell ref="BH79:BJ79"/>
    <mergeCell ref="BK79:BQ79"/>
    <mergeCell ref="A80:BQ80"/>
    <mergeCell ref="B81:D81"/>
    <mergeCell ref="E81:I81"/>
    <mergeCell ref="J81:P81"/>
    <mergeCell ref="Q81:W81"/>
    <mergeCell ref="X81:AD81"/>
    <mergeCell ref="AE81:AF81"/>
    <mergeCell ref="AG81:AI81"/>
    <mergeCell ref="AJ81:AL81"/>
    <mergeCell ref="AM81:AO81"/>
    <mergeCell ref="AP81:AR81"/>
    <mergeCell ref="AS81:AU81"/>
    <mergeCell ref="AV81:AX81"/>
    <mergeCell ref="AY81:BA81"/>
    <mergeCell ref="BB81:BD81"/>
    <mergeCell ref="BE81:BG81"/>
    <mergeCell ref="BH81:BJ81"/>
    <mergeCell ref="BK81:BQ81"/>
    <mergeCell ref="B82:D82"/>
    <mergeCell ref="E82:I82"/>
    <mergeCell ref="J82:P82"/>
    <mergeCell ref="Q82:W82"/>
    <mergeCell ref="X82:AD82"/>
    <mergeCell ref="AE82:AF82"/>
    <mergeCell ref="AG82:AI82"/>
    <mergeCell ref="AJ82:AL82"/>
    <mergeCell ref="AM82:AO82"/>
    <mergeCell ref="AP82:AR82"/>
    <mergeCell ref="AS82:AU82"/>
    <mergeCell ref="AV82:AX82"/>
    <mergeCell ref="AY82:BA82"/>
    <mergeCell ref="BB82:BD82"/>
    <mergeCell ref="BE82:BG82"/>
    <mergeCell ref="BH82:BJ82"/>
    <mergeCell ref="BK82:BQ82"/>
    <mergeCell ref="B83:D83"/>
    <mergeCell ref="E83:I83"/>
    <mergeCell ref="J83:P83"/>
    <mergeCell ref="Q83:W83"/>
    <mergeCell ref="X83:AD83"/>
    <mergeCell ref="AE83:AF83"/>
    <mergeCell ref="AG83:AI83"/>
    <mergeCell ref="AJ83:AL83"/>
    <mergeCell ref="AM83:AO83"/>
    <mergeCell ref="AP83:AR83"/>
    <mergeCell ref="AS83:AU83"/>
    <mergeCell ref="AV83:AX83"/>
    <mergeCell ref="AY83:BA83"/>
    <mergeCell ref="BB83:BD83"/>
    <mergeCell ref="BE83:BG83"/>
    <mergeCell ref="BH83:BJ83"/>
    <mergeCell ref="BK83:BQ83"/>
    <mergeCell ref="B84:D84"/>
    <mergeCell ref="E84:I84"/>
    <mergeCell ref="J84:P84"/>
    <mergeCell ref="Q84:W84"/>
    <mergeCell ref="X84:AD84"/>
    <mergeCell ref="AE84:AF84"/>
    <mergeCell ref="AG84:AI84"/>
    <mergeCell ref="AJ84:AL84"/>
    <mergeCell ref="AM84:AO84"/>
    <mergeCell ref="AP84:AR84"/>
    <mergeCell ref="AS84:AU84"/>
    <mergeCell ref="AV84:AX84"/>
    <mergeCell ref="AY84:BA84"/>
    <mergeCell ref="BB84:BD84"/>
    <mergeCell ref="BE84:BG84"/>
    <mergeCell ref="BH84:BJ84"/>
    <mergeCell ref="BK84:BQ84"/>
    <mergeCell ref="B85:D85"/>
    <mergeCell ref="E85:I85"/>
    <mergeCell ref="J85:P85"/>
    <mergeCell ref="Q85:W85"/>
    <mergeCell ref="X85:AD85"/>
    <mergeCell ref="AE85:AF85"/>
    <mergeCell ref="AG85:AI85"/>
    <mergeCell ref="AJ85:AL85"/>
    <mergeCell ref="AM85:AO85"/>
    <mergeCell ref="AP85:AR85"/>
    <mergeCell ref="AS85:AU85"/>
    <mergeCell ref="AV85:AX85"/>
    <mergeCell ref="AY85:BA85"/>
    <mergeCell ref="BB85:BD85"/>
    <mergeCell ref="BE85:BG85"/>
    <mergeCell ref="BH85:BJ85"/>
    <mergeCell ref="BK85:BQ85"/>
    <mergeCell ref="B86:D86"/>
    <mergeCell ref="E86:I86"/>
    <mergeCell ref="J86:P86"/>
    <mergeCell ref="Q86:W86"/>
    <mergeCell ref="X86:AD86"/>
    <mergeCell ref="AE86:AF86"/>
    <mergeCell ref="AG86:AI86"/>
    <mergeCell ref="AJ86:AL86"/>
    <mergeCell ref="AM86:AO86"/>
    <mergeCell ref="AP86:AR86"/>
    <mergeCell ref="AS86:AU86"/>
    <mergeCell ref="AV86:AX86"/>
    <mergeCell ref="AY86:BA86"/>
    <mergeCell ref="BB86:BD86"/>
    <mergeCell ref="BE86:BG86"/>
    <mergeCell ref="BH86:BJ86"/>
    <mergeCell ref="BK86:BQ86"/>
    <mergeCell ref="A87:BQ87"/>
    <mergeCell ref="B88:D88"/>
    <mergeCell ref="E88:I88"/>
    <mergeCell ref="J88:P88"/>
    <mergeCell ref="Q88:W88"/>
    <mergeCell ref="X88:AD88"/>
    <mergeCell ref="AE88:AF88"/>
    <mergeCell ref="AG88:AI88"/>
    <mergeCell ref="AJ88:AL88"/>
    <mergeCell ref="AM88:AO88"/>
    <mergeCell ref="AP88:AR88"/>
    <mergeCell ref="AS88:AU88"/>
    <mergeCell ref="AV88:AX88"/>
    <mergeCell ref="AY88:BA88"/>
    <mergeCell ref="BB88:BD88"/>
    <mergeCell ref="BE88:BG88"/>
    <mergeCell ref="BH88:BJ88"/>
    <mergeCell ref="BK88:BQ88"/>
    <mergeCell ref="B89:D89"/>
    <mergeCell ref="E89:I89"/>
    <mergeCell ref="J89:P89"/>
    <mergeCell ref="Q89:W89"/>
    <mergeCell ref="X89:AD89"/>
    <mergeCell ref="AE89:AF89"/>
    <mergeCell ref="AG89:AI89"/>
    <mergeCell ref="AJ89:AL89"/>
    <mergeCell ref="AM89:AO89"/>
    <mergeCell ref="AP89:AR89"/>
    <mergeCell ref="AS89:AU89"/>
    <mergeCell ref="AV89:AX89"/>
    <mergeCell ref="AY89:BA89"/>
    <mergeCell ref="BB89:BD89"/>
    <mergeCell ref="BE89:BG89"/>
    <mergeCell ref="BH89:BJ89"/>
    <mergeCell ref="BK89:BQ89"/>
    <mergeCell ref="B90:D90"/>
    <mergeCell ref="E90:I90"/>
    <mergeCell ref="J90:P90"/>
    <mergeCell ref="Q90:W90"/>
    <mergeCell ref="X90:AD90"/>
    <mergeCell ref="AE90:AF90"/>
    <mergeCell ref="AG90:AI90"/>
    <mergeCell ref="AJ90:AL90"/>
    <mergeCell ref="AM90:AO90"/>
    <mergeCell ref="AP90:AR90"/>
    <mergeCell ref="AS90:AU90"/>
    <mergeCell ref="AV90:AX90"/>
    <mergeCell ref="AY90:BA90"/>
    <mergeCell ref="BB90:BD90"/>
    <mergeCell ref="BE90:BG90"/>
    <mergeCell ref="BH90:BJ90"/>
    <mergeCell ref="BK90:BQ90"/>
    <mergeCell ref="B91:D91"/>
    <mergeCell ref="E91:I91"/>
    <mergeCell ref="J91:P91"/>
    <mergeCell ref="Q91:W91"/>
    <mergeCell ref="X91:AD91"/>
    <mergeCell ref="AE91:AF91"/>
    <mergeCell ref="AG91:AI91"/>
    <mergeCell ref="AJ91:AL91"/>
    <mergeCell ref="AM91:AO91"/>
    <mergeCell ref="AP91:AR91"/>
    <mergeCell ref="AS91:AU91"/>
    <mergeCell ref="AV91:AX91"/>
    <mergeCell ref="AY91:BA91"/>
    <mergeCell ref="BB91:BD91"/>
    <mergeCell ref="BE91:BG91"/>
    <mergeCell ref="BH91:BJ91"/>
    <mergeCell ref="BK91:BQ91"/>
    <mergeCell ref="B92:D92"/>
    <mergeCell ref="E92:I92"/>
    <mergeCell ref="J92:P92"/>
    <mergeCell ref="Q92:W92"/>
    <mergeCell ref="X92:AD92"/>
    <mergeCell ref="AE92:AF92"/>
    <mergeCell ref="AG92:AI92"/>
    <mergeCell ref="AJ92:AL92"/>
    <mergeCell ref="AM92:AO92"/>
    <mergeCell ref="AP92:AR92"/>
    <mergeCell ref="AS92:AU92"/>
    <mergeCell ref="AV92:AX92"/>
    <mergeCell ref="AY92:BA92"/>
    <mergeCell ref="BB92:BD92"/>
    <mergeCell ref="BE92:BG92"/>
    <mergeCell ref="BH92:BJ92"/>
    <mergeCell ref="BK92:BQ92"/>
    <mergeCell ref="B93:D93"/>
    <mergeCell ref="E93:I93"/>
    <mergeCell ref="J93:P93"/>
    <mergeCell ref="Q93:W93"/>
    <mergeCell ref="X93:AD93"/>
    <mergeCell ref="AE93:AF93"/>
    <mergeCell ref="AG93:AI93"/>
    <mergeCell ref="AJ93:AL93"/>
    <mergeCell ref="AM93:AO93"/>
    <mergeCell ref="AP93:AR93"/>
    <mergeCell ref="AS93:AU93"/>
    <mergeCell ref="AV93:AX93"/>
    <mergeCell ref="AY93:BA93"/>
    <mergeCell ref="BB93:BD93"/>
    <mergeCell ref="BE93:BG93"/>
    <mergeCell ref="BH93:BJ93"/>
    <mergeCell ref="BK93:BQ93"/>
    <mergeCell ref="B94:D94"/>
    <mergeCell ref="E94:I94"/>
    <mergeCell ref="J94:P94"/>
    <mergeCell ref="Q94:W94"/>
    <mergeCell ref="X94:AD94"/>
    <mergeCell ref="AE94:AF94"/>
    <mergeCell ref="AG94:AI94"/>
    <mergeCell ref="AJ94:AL94"/>
    <mergeCell ref="AM94:AO94"/>
    <mergeCell ref="AP94:AR94"/>
    <mergeCell ref="AS94:AU94"/>
    <mergeCell ref="AV94:AX94"/>
    <mergeCell ref="AY94:BA94"/>
    <mergeCell ref="BB94:BD94"/>
    <mergeCell ref="BE94:BG94"/>
    <mergeCell ref="BH94:BJ94"/>
    <mergeCell ref="BK94:BQ94"/>
    <mergeCell ref="B95:D95"/>
    <mergeCell ref="E95:I95"/>
    <mergeCell ref="J95:P95"/>
    <mergeCell ref="Q95:W95"/>
    <mergeCell ref="X95:AD95"/>
    <mergeCell ref="AE95:AF95"/>
    <mergeCell ref="AG95:AI95"/>
    <mergeCell ref="AJ95:AL95"/>
    <mergeCell ref="AM95:AO95"/>
    <mergeCell ref="AP95:AR95"/>
    <mergeCell ref="AS95:AU95"/>
    <mergeCell ref="AV95:AX95"/>
    <mergeCell ref="AY95:BA95"/>
    <mergeCell ref="BB95:BD95"/>
    <mergeCell ref="BE95:BG95"/>
    <mergeCell ref="BH95:BJ95"/>
    <mergeCell ref="BK95:BQ95"/>
    <mergeCell ref="B96:D96"/>
    <mergeCell ref="E96:I96"/>
    <mergeCell ref="J96:P96"/>
    <mergeCell ref="Q96:W96"/>
    <mergeCell ref="X96:AD96"/>
    <mergeCell ref="AE96:AF96"/>
    <mergeCell ref="AG96:AI96"/>
    <mergeCell ref="AJ96:AL96"/>
    <mergeCell ref="AM96:AO96"/>
    <mergeCell ref="AP96:AR96"/>
    <mergeCell ref="AS96:AU96"/>
    <mergeCell ref="AV96:AX96"/>
    <mergeCell ref="AY96:BA96"/>
    <mergeCell ref="BB96:BD96"/>
    <mergeCell ref="BE96:BG96"/>
    <mergeCell ref="BH96:BJ96"/>
    <mergeCell ref="BK96:BQ96"/>
    <mergeCell ref="B97:D97"/>
    <mergeCell ref="E97:I97"/>
    <mergeCell ref="J97:P97"/>
    <mergeCell ref="Q97:W97"/>
    <mergeCell ref="X97:AD97"/>
    <mergeCell ref="AE97:AF97"/>
    <mergeCell ref="AG97:AI97"/>
    <mergeCell ref="AJ97:AL97"/>
    <mergeCell ref="AM97:AO97"/>
    <mergeCell ref="AP97:AR97"/>
    <mergeCell ref="AS97:AU97"/>
    <mergeCell ref="AV97:AX97"/>
    <mergeCell ref="AY97:BA97"/>
    <mergeCell ref="BB97:BD97"/>
    <mergeCell ref="BE97:BG97"/>
    <mergeCell ref="BH97:BJ97"/>
    <mergeCell ref="BK97:BQ97"/>
    <mergeCell ref="A10:A11"/>
    <mergeCell ref="BK10:BQ11"/>
    <mergeCell ref="B10:D11"/>
    <mergeCell ref="E10:I11"/>
    <mergeCell ref="J10:P11"/>
    <mergeCell ref="Q10:W11"/>
    <mergeCell ref="X10:AD11"/>
    <mergeCell ref="AE10:AF11"/>
  </mergeCells>
  <dataValidations count="3">
    <dataValidation type="list" allowBlank="1" sqref="F1">
      <formula1>"単体テスト,結合テスト,システムテスト"</formula1>
    </dataValidation>
    <dataValidation type="list" allowBlank="1" sqref="AG65 AV65 AG13:AG17 AG19:AG26 AG28:AG30 AG32:AG41 AG43:AG59 AG61:AG64 AG66:AG69 AG71:AG79 AG81:AG86 AG88:AG97 AV13:AV17 AV19:AV26 AV28:AV30 AV32:AV41 AV43:AV59 AV61:AV64 AV66:AV69 AV71:AV79 AV81:AV86 AV88:AV97">
      <formula1>"合格,不合格,未テスト,N/A"</formula1>
    </dataValidation>
    <dataValidation type="list" allowBlank="1" sqref="AE13:AE17 AE19:AE26 AE28:AE30 AE32:AE41 AE43:AE59 AE61:AE69 AE71:AE79 AE81:AE86 AE88:AE97">
      <formula1>"N,A,B"</formula1>
    </dataValidation>
  </dataValidations>
  <pageMargins left="0.75" right="0.75" top="1" bottom="1" header="0" footer="0"/>
  <pageSetup paperSize="1" orientation="landscape"/>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6</vt:i4>
      </vt:variant>
    </vt:vector>
  </HeadingPairs>
  <TitlesOfParts>
    <vt:vector size="6" baseType="lpstr">
      <vt:lpstr>表紙</vt:lpstr>
      <vt:lpstr>変更履歴</vt:lpstr>
      <vt:lpstr>概要</vt:lpstr>
      <vt:lpstr>テスト報告書</vt:lpstr>
      <vt:lpstr>テスト観点</vt:lpstr>
      <vt:lpstr>機能</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anh.vuquang</cp:lastModifiedBy>
  <dcterms:created xsi:type="dcterms:W3CDTF">2026-08-13T10:31:00Z</dcterms:created>
  <dcterms:modified xsi:type="dcterms:W3CDTF">2026-08-28T10:04:42Z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93E8CF7106DA4F618C54F4C2572E4CB4_12</vt:lpwstr>
  </property>
  <property fmtid="{D5CDD505-2E9C-101B-9397-08002B2CF9AE}" pid="3" name="KSOProductBuildVer">
    <vt:lpwstr>1033-12.1.0.28032</vt:lpwstr>
  </property>
  <property fmtid="{D5CDD505-2E9C-101B-9397-08002B2CF9AE}" pid="4" name="CalculationRule">
    <vt:i4>0</vt:i4>
  </property>
</Properties>
</file>