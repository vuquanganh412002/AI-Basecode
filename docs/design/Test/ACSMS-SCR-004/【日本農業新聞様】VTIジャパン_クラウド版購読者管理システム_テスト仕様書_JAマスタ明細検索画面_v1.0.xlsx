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ebN+3STSgX+xoOd7YU42iwKW3hi80GiDwpt8NNiDfho="/>
    </ext>
  </extLst>
</workbook>
</file>

<file path=xl/sharedStrings.xml><?xml version="1.0" encoding="utf-8"?>
<sst xmlns="http://schemas.openxmlformats.org/spreadsheetml/2006/main" count="857" uniqueCount="486">
  <si>
    <t>システム・アプリケーション名</t>
  </si>
  <si>
    <t>&lt;単体/結合/システム&gt; テスト報告書</t>
  </si>
  <si>
    <t>項番</t>
  </si>
  <si>
    <t>発行日</t>
  </si>
  <si>
    <t>ドキュメント</t>
  </si>
  <si>
    <t>バージョン</t>
  </si>
  <si>
    <t>担当者</t>
  </si>
  <si>
    <t>シート名</t>
  </si>
  <si>
    <t>変更内容</t>
  </si>
  <si>
    <t>作成日</t>
  </si>
  <si>
    <t>作成者</t>
  </si>
  <si>
    <t>確認者</t>
  </si>
  <si>
    <t>更新日</t>
  </si>
  <si>
    <t>更新者</t>
  </si>
  <si>
    <t>承認者</t>
  </si>
  <si>
    <t>クラウド版購読者管理システム</t>
  </si>
  <si>
    <t>2026-05-07</t>
  </si>
  <si>
    <t>テスト仕様書</t>
  </si>
  <si>
    <t>プロジェクト名</t>
  </si>
  <si>
    <t>概要</t>
  </si>
  <si>
    <t>1.0</t>
  </si>
  <si>
    <t>2026/05/07</t>
  </si>
  <si>
    <t>Kieu Thi Diem</t>
  </si>
  <si>
    <t>Tạo mới</t>
  </si>
  <si>
    <t>Nguyen Huy Dat</t>
  </si>
  <si>
    <t>プロジェクトマネージャ</t>
  </si>
  <si>
    <t>1.システム概要</t>
  </si>
  <si>
    <t>本システムは、JA向けのクラウド型読者管理システムであり、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</si>
  <si>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</si>
  <si>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</si>
  <si>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</si>
  <si>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</si>
  <si>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</si>
  <si>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</si>
  <si>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</si>
  <si>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tìm kiếm chi tiết Master JA (ACSMS-SCR-004)" được tạo mới trên hệ thống. Tài liệu tham khảo ISTQB và IEEE 829, đảm bảo các tiêu chuẩn chất lượng sau.</t>
  </si>
  <si>
    <t>JAマスタ明細検索画面</t>
  </si>
  <si>
    <t>- Mỗi test case được tạo dựa trên một kịch bản duy nhất (single responsibility).</t>
  </si>
  <si>
    <t>#</t>
  </si>
  <si>
    <t>版1.0</t>
  </si>
  <si>
    <t>機能名</t>
  </si>
  <si>
    <t>テストケース分類</t>
  </si>
  <si>
    <t>- Mô tả các bước với độ mịn có thể tái hiện được, chỉ rõ test data.</t>
  </si>
  <si>
    <t>フォーマットコード</t>
  </si>
  <si>
    <t>合計</t>
  </si>
  <si>
    <t>- Kỳ vọng kết quả phải đo lường được (nội dung message, kết quả query DB, HTTP status code...).</t>
  </si>
  <si>
    <t>テスト結果</t>
  </si>
  <si>
    <t>16-BM/PM/VTI</t>
  </si>
  <si>
    <t>3.関連資料</t>
  </si>
  <si>
    <t>No</t>
  </si>
  <si>
    <t>フォーマットバージョン</t>
  </si>
  <si>
    <t>正常</t>
  </si>
  <si>
    <t>資料コード</t>
  </si>
  <si>
    <t>異常</t>
  </si>
  <si>
    <t>資料名</t>
  </si>
  <si>
    <t>境界</t>
  </si>
  <si>
    <t>ACSMS-SCR-004</t>
  </si>
  <si>
    <t>合格</t>
  </si>
  <si>
    <t>Tài liệu thiết kế Màn hình tìm kiếm chi tiết Master JA</t>
  </si>
  <si>
    <t>不合格</t>
  </si>
  <si>
    <t>未テスト</t>
  </si>
  <si>
    <t>N/A</t>
  </si>
  <si>
    <t>ACSMS-SCR-004-api</t>
  </si>
  <si>
    <t>進捗（%）</t>
  </si>
  <si>
    <t>Tài liệu thiết kế API tìm kiếm chi tiết Master JA</t>
  </si>
  <si>
    <t>テスト1回目</t>
  </si>
  <si>
    <t>testcase-viewpoints</t>
  </si>
  <si>
    <t>Danh sách quan điểm test chung toàn hệ thống</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</si>
  <si>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</si>
  <si>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</si>
  <si>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</si>
  <si>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</si>
  <si>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</si>
  <si>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</si>
  <si>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</si>
  <si>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</si>
  <si>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</si>
  <si>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</si>
  <si>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</si>
  <si>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</si>
  <si>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</si>
  <si>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</si>
  <si>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</si>
  <si>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</si>
  <si>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</si>
  <si>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</si>
  <si>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</si>
  <si>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</si>
  <si>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</si>
  <si>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</si>
  <si>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</si>
  <si>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</si>
  <si>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テストレベル</t>
  </si>
  <si>
    <t>セッション失効／401 ハンドリング</t>
  </si>
  <si>
    <t>全システム</t>
  </si>
  <si>
    <t>結合テスト</t>
  </si>
  <si>
    <t>VP-A-06</t>
  </si>
  <si>
    <t>機能／モジュール</t>
  </si>
  <si>
    <t>XSS／HTML 描画安全性</t>
  </si>
  <si>
    <t>ACSMS-SCR-004_JAマスタ明細検索画面</t>
  </si>
  <si>
    <t>約20フォーム</t>
  </si>
  <si>
    <t>VP-A-07</t>
  </si>
  <si>
    <t>CSRF／Cookie セキュリティフラグ</t>
  </si>
  <si>
    <t>VP-A-08</t>
  </si>
  <si>
    <t>確認日</t>
  </si>
  <si>
    <t>レート制限・Throttling</t>
  </si>
  <si>
    <t>中</t>
  </si>
  <si>
    <t>全公開API＋認証エンドポイント</t>
  </si>
  <si>
    <t>テスト環境</t>
  </si>
  <si>
    <t>Windows 10/11, Chrome, Edge</t>
  </si>
  <si>
    <t>VP-A-09</t>
  </si>
  <si>
    <t>アカウントロック・解除運用</t>
  </si>
  <si>
    <t>分類</t>
  </si>
  <si>
    <t>SCR-001／002＋管理機能</t>
  </si>
  <si>
    <t>VP-A-10</t>
  </si>
  <si>
    <t>回目</t>
  </si>
  <si>
    <t>SQL インジェクション</t>
  </si>
  <si>
    <t>約20フォーム＋検索</t>
  </si>
  <si>
    <t>境界値</t>
  </si>
  <si>
    <t>VP-B-01</t>
  </si>
  <si>
    <t>B. データバリデーション</t>
  </si>
  <si>
    <t>必須項目チェック</t>
  </si>
  <si>
    <t>1回目</t>
  </si>
  <si>
    <t>約25フォーム</t>
  </si>
  <si>
    <t>VP-B-02</t>
  </si>
  <si>
    <t>最小／最大長境界</t>
  </si>
  <si>
    <t>VP-B-03</t>
  </si>
  <si>
    <t>形式正規表現（郵便／電話／コード）</t>
  </si>
  <si>
    <t>VP-B-04</t>
  </si>
  <si>
    <t>半角／全角ハンドリング</t>
  </si>
  <si>
    <t>2回目</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</si>
  <si>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</si>
  <si>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</si>
  <si>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</si>
  <si>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</si>
  <si>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</si>
  <si>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</si>
  <si>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</si>
  <si>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</si>
  <si>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</si>
  <si>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</si>
  <si>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</si>
  <si>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</si>
  <si>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</si>
  <si>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</si>
  <si>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</si>
  <si>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</si>
  <si>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</si>
  <si>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</si>
  <si>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</si>
  <si>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</si>
  <si>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</si>
  <si>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</si>
  <si>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要件ID</t>
  </si>
  <si>
    <t>説明</t>
  </si>
  <si>
    <t>論理削除 + FK 関連</t>
  </si>
  <si>
    <t>前提条件</t>
  </si>
  <si>
    <t>ステップ／手順</t>
  </si>
  <si>
    <t>約6関連付きマスタ</t>
  </si>
  <si>
    <t>期待結果／アウトプット</t>
  </si>
  <si>
    <t>種類</t>
  </si>
  <si>
    <t>VP-C-04</t>
  </si>
  <si>
    <t>テスト1回目の結果</t>
  </si>
  <si>
    <t>税込／税抜計算</t>
  </si>
  <si>
    <t>単価マスタ</t>
  </si>
  <si>
    <t>テスト2回目の結果</t>
  </si>
  <si>
    <t>VP-C-05</t>
  </si>
  <si>
    <t>購読者種別ルール（読み取り専用）</t>
  </si>
  <si>
    <t>備考</t>
  </si>
  <si>
    <t>購読者マスタ</t>
  </si>
  <si>
    <t>VP-C-06</t>
  </si>
  <si>
    <t>結果</t>
  </si>
  <si>
    <t>実績／
アウトプット</t>
  </si>
  <si>
    <t>Excel取込 部分成功</t>
  </si>
  <si>
    <t>2取込画面</t>
  </si>
  <si>
    <t>確認日付
（MM/DD）</t>
  </si>
  <si>
    <t>バグID</t>
  </si>
  <si>
    <t>VP-C-07</t>
  </si>
  <si>
    <t>販売店一括置換</t>
  </si>
  <si>
    <t>一括置換</t>
  </si>
  <si>
    <t>Kiểm soát quyền truy cập (Access Control)</t>
  </si>
  <si>
    <t>VP-C-08</t>
  </si>
  <si>
    <t>レポート集計の正確性</t>
  </si>
  <si>
    <t>3レポート</t>
  </si>
  <si>
    <t>VP-D-01</t>
  </si>
  <si>
    <t>ACSMS-TC-004-001</t>
  </si>
  <si>
    <t>D. 統合・システム</t>
  </si>
  <si>
    <t>NICHINO_ADMIN truy cập Màn hình tìm kiếm chi tiết Master JA (xem toàn bộ + xóa được)</t>
  </si>
  <si>
    <t>ログイン + MFA フロー</t>
  </si>
  <si>
    <t>・role: NICHINO_ADMIN
・Đã login + đã xác thực MFA
・Test data: nhiều JA (ja-001, ja-002, ja-101...) đã được đăng ký</t>
  </si>
  <si>
    <t>SCR-001／002</t>
  </si>
  <si>
    <r>
      <rPr>
        <rFont val="游ゴシック"/>
        <b/>
        <color rgb="FF000000"/>
        <sz val="10.0"/>
      </rPr>
      <t xml:space="preserve">ステップ1：
</t>
    </r>
    <r>
      <rPr>
        <rFont val="游ゴシック"/>
        <color rgb="FF000000"/>
        <sz val="10.0"/>
      </rPr>
      <t xml:space="preserve">Mở dashboard, kiểm tra item "JAマスタ" trong section "マスタ管理" trên sidebar
</t>
    </r>
    <r>
      <rPr>
        <rFont val="游ゴシック"/>
        <b/>
        <color rgb="FF000000"/>
        <sz val="10.0"/>
      </rPr>
      <t xml:space="preserve">ステップ2：
</t>
    </r>
    <r>
      <rPr>
        <rFont val="游ゴシック"/>
        <color rgb="FF000000"/>
        <sz val="10.0"/>
      </rPr>
      <t xml:space="preserve">Click "JAマスタ" → màn hình URL `/ja` được mở
</t>
    </r>
    <r>
      <rPr>
        <rFont val="游ゴシック"/>
        <b/>
        <color rgb="FF000000"/>
        <sz val="10.0"/>
      </rPr>
      <t xml:space="preserve">ステップ3：
</t>
    </r>
    <r>
      <rPr>
        <rFont val="游ゴシック"/>
        <color rgb="FF000000"/>
        <sz val="10.0"/>
      </rPr>
      <t xml:space="preserve">Kiểm tra cột "操作" trong bảng list có hiển thị link "削除"
</t>
    </r>
    <r>
      <rPr>
        <rFont val="游ゴシック"/>
        <b/>
        <color rgb="FF000000"/>
        <sz val="10.0"/>
      </rPr>
      <t xml:space="preserve">ステップ4：
</t>
    </r>
    <r>
      <rPr>
        <rFont val="游ゴシック"/>
        <color rgb="FF000000"/>
        <sz val="10.0"/>
      </rPr>
      <t xml:space="preserve">Kiểm tra nút "新規登録" hiển thị ở góc trên bên phải và đang ở trạng thái enable
</t>
    </r>
    <r>
      <rPr>
        <rFont val="游ゴシック"/>
        <b/>
        <color rgb="FF000000"/>
        <sz val="10.0"/>
      </rPr>
      <t xml:space="preserve">ステップ5：
</t>
    </r>
    <r>
      <rPr>
        <rFont val="游ゴシック"/>
        <color rgb="FF000000"/>
        <sz val="10.0"/>
      </rPr>
      <t>Dùng DevTools gọi trực tiếp GET `/api/v1/ja?page=1&amp;per_page=20`, kiểm tra response</t>
    </r>
  </si>
  <si>
    <t>VP-D-02</t>
  </si>
  <si>
    <r>
      <rPr>
        <rFont val="メイリオ"/>
        <b/>
        <color rgb="FF000000"/>
        <sz val="10.0"/>
      </rPr>
      <t xml:space="preserve">ステップ1：
</t>
    </r>
    <r>
      <rPr>
        <rFont val="メイリオ"/>
        <color rgb="FF000000"/>
        <sz val="10.0"/>
      </rPr>
      <t xml:space="preserve">Sidebar có hiển thị item "JAマスタ" (do có quyền `ja.view`)
</t>
    </r>
    <r>
      <rPr>
        <rFont val="メイリオ"/>
        <b/>
        <color rgb="FF000000"/>
        <sz val="10.0"/>
      </rPr>
      <t xml:space="preserve">ステップ2：
</t>
    </r>
    <r>
      <rPr>
        <rFont val="メイリオ"/>
        <color rgb="FF000000"/>
        <sz val="10.0"/>
      </rPr>
      <t xml:space="preserve">Màn hình tìm kiếm chi tiết Master JA hiển thị bình thường. Header title "JAマスタ明細検索画面", bảng list hiển thị toàn bộ record JA
</t>
    </r>
    <r>
      <rPr>
        <rFont val="メイリオ"/>
        <b/>
        <color rgb="FF000000"/>
        <sz val="10.0"/>
      </rPr>
      <t xml:space="preserve">ステップ3：
</t>
    </r>
    <r>
      <rPr>
        <rFont val="メイリオ"/>
        <color rgb="FF000000"/>
        <sz val="10.0"/>
      </rPr>
      <t xml:space="preserve">Tất cả các row trong cột "操作" đều hiển thị link "削除" (do có quyền `ja.delete`)
</t>
    </r>
    <r>
      <rPr>
        <rFont val="メイリオ"/>
        <b/>
        <color rgb="FF000000"/>
        <sz val="10.0"/>
      </rPr>
      <t xml:space="preserve">ステップ4：
</t>
    </r>
    <r>
      <rPr>
        <rFont val="メイリオ"/>
        <color rgb="FF000000"/>
        <sz val="10.0"/>
      </rPr>
      <t xml:space="preserve">Nút "新規登録" hiển thị màu xanh (primary button) và có thể click (do có quyền `ja.create`)
</t>
    </r>
    <r>
      <rPr>
        <rFont val="メイリオ"/>
        <b/>
        <color rgb="FF000000"/>
        <sz val="10.0"/>
      </rPr>
      <t xml:space="preserve">ステップ5：
</t>
    </r>
    <r>
      <rPr>
        <rFont val="メイリオ"/>
        <color rgb="FF000000"/>
        <sz val="10.0"/>
      </rPr>
      <t xml:space="preserve">Trả về HTTP 200 (mảng `data` chứa toàn bộ record JA đã đăng ký, `meta.total` khớp với số bản ghi trong DB)
</t>
    </r>
    <r>
      <rPr>
        <rFont val="メイリオ"/>
        <b/>
        <color rgb="FF000000"/>
        <sz val="10.0"/>
      </rPr>
      <t xml:space="preserve">補足：
</t>
    </r>
    <r>
      <rPr>
        <rFont val="メイリオ"/>
        <color rgb="FF000000"/>
        <sz val="10.0"/>
      </rPr>
      <t xml:space="preserve">・NICHINO_ADMIN có toàn bộ quyền `ja.view` / `ja.create` / `ja.update` / `ja.delete`
</t>
    </r>
    <r>
      <rPr>
        <rFont val="メイリオ"/>
        <color rgb="FF000000"/>
        <sz val="10.0"/>
      </rPr>
      <t xml:space="preserve">・Không áp dụng DataScope (do `m_account.ja_id IS NULL` nên lấy toàn bộ JA)
</t>
    </r>
    <r>
      <rPr>
        <rFont val="メイリオ"/>
        <color rgb="FF000000"/>
        <sz val="10.0"/>
      </rPr>
      <t>・Cả 3 tầng FE menu / FE router guard / BE API guard đều cho phép</t>
    </r>
  </si>
  <si>
    <t>N</t>
  </si>
  <si>
    <t>セッションスライディング 24h</t>
  </si>
  <si>
    <t>diem.kieuthi</t>
  </si>
  <si>
    <t>VP-D-03</t>
  </si>
  <si>
    <t>パスワード再発行フロー</t>
  </si>
  <si>
    <t>mai.tranthi1</t>
  </si>
  <si>
    <t>SCR-007</t>
  </si>
  <si>
    <t>NICHINO_ADMIN là role duy nhất có thể đăng ký mới và xóa JA.</t>
  </si>
  <si>
    <t>ACSMS-TC-004-002</t>
  </si>
  <si>
    <t>Cấm truy cập Màn hình tìm kiếm chi tiết Master JA với role NICHINO_STAFF</t>
  </si>
  <si>
    <t>VP-D-04</t>
  </si>
  <si>
    <t>・role: NICHINO_STAFF
・Đã login + đã xác thực MFA</t>
  </si>
  <si>
    <t>監査ログの完全性</t>
  </si>
  <si>
    <r>
      <rPr>
        <rFont val="游ゴシック"/>
        <b/>
        <color rgb="FF000000"/>
        <sz val="10.0"/>
      </rPr>
      <t xml:space="preserve">ステップ1：
</t>
    </r>
    <r>
      <rPr>
        <rFont val="游ゴシック"/>
        <color rgb="FF000000"/>
        <sz val="10.0"/>
      </rPr>
      <t xml:space="preserve">Kiểm tra item "JAマスタ" trên sidebar
</t>
    </r>
    <r>
      <rPr>
        <rFont val="游ゴシック"/>
        <b/>
        <color rgb="FF000000"/>
        <sz val="10.0"/>
      </rPr>
      <t xml:space="preserve">ステップ2：
</t>
    </r>
    <r>
      <rPr>
        <rFont val="游ゴシック"/>
        <color rgb="FF000000"/>
        <sz val="10.0"/>
      </rPr>
      <t xml:space="preserve">Truy cập trực tiếp URL `/ja`
</t>
    </r>
    <r>
      <rPr>
        <rFont val="游ゴシック"/>
        <b/>
        <color rgb="FF000000"/>
        <sz val="10.0"/>
      </rPr>
      <t xml:space="preserve">ステップ3：
</t>
    </r>
    <r>
      <rPr>
        <rFont val="游ゴシック"/>
        <color rgb="FF000000"/>
        <sz val="10.0"/>
      </rPr>
      <t xml:space="preserve">Dùng DevTools gọi trực tiếp GET `/api/v1/ja?page=1&amp;per_page=20`
</t>
    </r>
  </si>
  <si>
    <r>
      <rPr>
        <rFont val="游ゴシック"/>
        <b/>
        <color rgb="FF000000"/>
        <sz val="10.0"/>
      </rPr>
      <t xml:space="preserve">ステップ1：
</t>
    </r>
    <r>
      <rPr>
        <rFont val="游ゴシック"/>
        <color rgb="FF000000"/>
        <sz val="10.0"/>
      </rPr>
      <t xml:space="preserve">Sidebar KHÔNG hiển thị item "JAマスタ" (do NICHINO_STAFF không có quyền `ja.view`)
</t>
    </r>
    <r>
      <rPr>
        <rFont val="游ゴシック"/>
        <b/>
        <color rgb="FF000000"/>
        <sz val="10.0"/>
      </rPr>
      <t xml:space="preserve">ステップ2：
</t>
    </r>
    <r>
      <rPr>
        <rFont val="游ゴシック"/>
        <color rgb="FF000000"/>
        <sz val="10.0"/>
      </rPr>
      <t xml:space="preserve">Hiển thị toast `アクセス権がありません。` + chuyển về `/dashboard`
</t>
    </r>
    <r>
      <rPr>
        <rFont val="游ゴシック"/>
        <b/>
        <color rgb="FF000000"/>
        <sz val="10.0"/>
      </rPr>
      <t xml:space="preserve">ステップ3：
</t>
    </r>
    <r>
      <rPr>
        <rFont val="游ゴシック"/>
        <color rgb="FF000000"/>
        <sz val="10.0"/>
      </rPr>
      <t xml:space="preserve">Trả về HTTP 403 (`error_code: FORBIDDEN`, message `この画面へのアクセス権限がありません。`)
</t>
    </r>
    <r>
      <rPr>
        <rFont val="游ゴシック"/>
        <b/>
        <color rgb="FF000000"/>
        <sz val="10.0"/>
      </rPr>
      <t xml:space="preserve">補足：
</t>
    </r>
    <r>
      <rPr>
        <rFont val="游ゴシック"/>
        <color rgb="FF000000"/>
        <sz val="10.0"/>
      </rPr>
      <t>・Cả 3 tầng FE menu / FE router guard / BE API guard đều block
・Theo `account_concept.md ※4`, JAマスタ chỉ cho phép NICHINO_ADMIN thao tác, NICHINO_STAFF không thuộc đối tượng
・Không thể xem / cập nhật / xóa `m_ja`</t>
    </r>
  </si>
  <si>
    <t>A</t>
  </si>
  <si>
    <t>VP-D-05</t>
  </si>
  <si>
    <t>ファイルアップロード S3</t>
  </si>
  <si>
    <t>SCR-022</t>
  </si>
  <si>
    <t>VP-D-06</t>
  </si>
  <si>
    <t>Critical — Nếu fail, đồng nghĩa với việc bypass RBAC, xử lý như security incident.</t>
  </si>
  <si>
    <t>ACSMS-TC-004-003</t>
  </si>
  <si>
    <t>メール通知</t>
  </si>
  <si>
    <t>CHUOKAI truy cập Màn hình tìm kiếm chi tiết Master JA (chỉ xem JA của mình + sửa được một số trường, không xóa được)</t>
  </si>
  <si>
    <t>・role: CHUOKAI (thuộc chuokai-001, JA của mình = ja-001)
・Test data: ja-001 (JA của mình), ja-101 (thuộc 中央会 khác) đã đăng ký</t>
  </si>
  <si>
    <t>SCR-001／007／お知らせ</t>
  </si>
  <si>
    <r>
      <rPr>
        <rFont val="游ゴシック"/>
        <b/>
        <color rgb="FF000000"/>
        <sz val="10.0"/>
      </rPr>
      <t xml:space="preserve">ステップ1：
</t>
    </r>
    <r>
      <rPr>
        <rFont val="游ゴシック"/>
        <color rgb="FF000000"/>
        <sz val="10.0"/>
      </rPr>
      <t xml:space="preserve">Kiểm tra item "JAマスタ" trên sidebar
</t>
    </r>
    <r>
      <rPr>
        <rFont val="游ゴシック"/>
        <b/>
        <color rgb="FF000000"/>
        <sz val="10.0"/>
      </rPr>
      <t xml:space="preserve">ステップ2：
</t>
    </r>
    <r>
      <rPr>
        <rFont val="游ゴシック"/>
        <color rgb="FF000000"/>
        <sz val="10.0"/>
      </rPr>
      <t xml:space="preserve">Click "JAマスタ" → kiểm tra nội dung hiển thị màn list
</t>
    </r>
    <r>
      <rPr>
        <rFont val="游ゴシック"/>
        <b/>
        <color rgb="FF000000"/>
        <sz val="10.0"/>
      </rPr>
      <t xml:space="preserve">ステップ3：
</t>
    </r>
    <r>
      <rPr>
        <rFont val="游ゴシック"/>
        <color rgb="FF000000"/>
        <sz val="10.0"/>
      </rPr>
      <t xml:space="preserve">Kiểm tra cột "操作" trên bảng list
</t>
    </r>
    <r>
      <rPr>
        <rFont val="游ゴシック"/>
        <b/>
        <color rgb="FF000000"/>
        <sz val="10.0"/>
      </rPr>
      <t xml:space="preserve">ステップ4：
</t>
    </r>
    <r>
      <rPr>
        <rFont val="游ゴシック"/>
        <color rgb="FF000000"/>
        <sz val="10.0"/>
      </rPr>
      <t xml:space="preserve">Kiểm tra trạng thái nút "新規登録" ở góc trên bên phải
</t>
    </r>
    <r>
      <rPr>
        <rFont val="游ゴシック"/>
        <b/>
        <color rgb="FF000000"/>
        <sz val="10.0"/>
      </rPr>
      <t xml:space="preserve">ステップ5：
</t>
    </r>
    <r>
      <rPr>
        <rFont val="游ゴシック"/>
        <color rgb="FF000000"/>
        <sz val="10.0"/>
      </rPr>
      <t xml:space="preserve">Truy cập trực tiếp URL chỉnh sửa của JA khác (ja-101) `/ja/{id của ja-101}/edit`
</t>
    </r>
    <r>
      <rPr>
        <rFont val="游ゴシック"/>
        <b/>
        <color rgb="FF000000"/>
        <sz val="10.0"/>
      </rPr>
      <t xml:space="preserve">ステップ6：
</t>
    </r>
    <r>
      <rPr>
        <rFont val="游ゴシック"/>
        <color rgb="FF000000"/>
        <sz val="10.0"/>
      </rPr>
      <t>Dùng DevTools gọi trực tiếp DELETE `/api/v1/ja/{id record của JA mình}`</t>
    </r>
  </si>
  <si>
    <t>VP-D-07</t>
  </si>
  <si>
    <r>
      <rPr>
        <rFont val="游ゴシック"/>
        <b/>
        <color rgb="FF000000"/>
        <sz val="10.0"/>
      </rPr>
      <t xml:space="preserve">ステップ1：
</t>
    </r>
    <r>
      <rPr>
        <rFont val="游ゴシック"/>
        <color rgb="FF000000"/>
        <sz val="10.0"/>
      </rPr>
      <t xml:space="preserve">Có hiển thị (do có quyền `ja.view`)
</t>
    </r>
    <r>
      <rPr>
        <rFont val="游ゴシック"/>
        <b/>
        <color rgb="FF000000"/>
        <sz val="10.0"/>
      </rPr>
      <t xml:space="preserve">ステップ2：
</t>
    </r>
    <r>
      <rPr>
        <rFont val="游ゴシック"/>
        <color rgb="FF000000"/>
        <sz val="10.0"/>
      </rPr>
      <t xml:space="preserve">Màn hình tìm kiếm chi tiết Master JA hiển thị bình thường. List chỉ hiển thị record của JA của mình (ja-001), ja-101 không hiển thị
</t>
    </r>
    <r>
      <rPr>
        <rFont val="游ゴシック"/>
        <b/>
        <color rgb="FF000000"/>
        <sz val="10.0"/>
      </rPr>
      <t xml:space="preserve">ステップ3：
</t>
    </r>
    <r>
      <rPr>
        <rFont val="游ゴシック"/>
        <color rgb="FF000000"/>
        <sz val="10.0"/>
      </rPr>
      <t xml:space="preserve">Link "削除" KHÔNG hiển thị hoặc ở trạng thái disable (do không có quyền `ja.delete`)
</t>
    </r>
    <r>
      <rPr>
        <rFont val="游ゴシック"/>
        <b/>
        <color rgb="FF000000"/>
        <sz val="10.0"/>
      </rPr>
      <t xml:space="preserve">ステップ4：
</t>
    </r>
    <r>
      <rPr>
        <rFont val="游ゴシック"/>
        <color rgb="FF000000"/>
        <sz val="10.0"/>
      </rPr>
      <t xml:space="preserve">Nút "新規登録" KHÔNG hiển thị hoặc ở trạng thái disable (do không có quyền `ja.create`)
</t>
    </r>
    <r>
      <rPr>
        <rFont val="游ゴシック"/>
        <b/>
        <color rgb="FF000000"/>
        <sz val="10.0"/>
      </rPr>
      <t xml:space="preserve">ステップ5：
</t>
    </r>
    <r>
      <rPr>
        <rFont val="游ゴシック"/>
        <color rgb="FF000000"/>
        <sz val="10.0"/>
      </rPr>
      <t xml:space="preserve">Trả về HTTP 404 (`error_code: NOT_FOUND`, message `指定されたJAが見つかりません。` (DataScope ẩn sự tồn tại))
</t>
    </r>
    <r>
      <rPr>
        <rFont val="游ゴシック"/>
        <b/>
        <color rgb="FF000000"/>
        <sz val="10.0"/>
      </rPr>
      <t xml:space="preserve">ステップ6：
</t>
    </r>
    <r>
      <rPr>
        <rFont val="游ゴシック"/>
        <color rgb="FF000000"/>
        <sz val="10.0"/>
      </rPr>
      <t xml:space="preserve">Trả về HTTP 403 (`error_code: FORBIDDEN`, message `この画面へのアクセス権限がありません。`)
</t>
    </r>
    <r>
      <rPr>
        <rFont val="游ゴシック"/>
        <b/>
        <color rgb="FF000000"/>
        <sz val="10.0"/>
      </rPr>
      <t xml:space="preserve">補足：
</t>
    </r>
    <r>
      <rPr>
        <rFont val="游ゴシック"/>
        <color rgb="FF000000"/>
        <sz val="10.0"/>
      </rPr>
      <t>・CHUOKAI chỉ có quyền `ja.view` / `ja.update`, không có `ja.create` / `ja.delete`
・DataScope chỉ cho xem record của JA của mình
・Trường có thể chỉnh sửa được giới hạn theo `account_concept.md ※4` (郵便番号、住所、電話番号、FAX番号、メールアドレス、担当部署名、担当者名、税区分、備考)
・Truy cập ngoài scope trả về HTTP 404 để ẩn sự tồn tại</t>
    </r>
  </si>
  <si>
    <t>外部 CSV 形式準拠</t>
  </si>
  <si>
    <t>SCR-008／009</t>
  </si>
  <si>
    <t>VP-D-08</t>
  </si>
  <si>
    <t>ネットワーク／500／タイムアウト</t>
  </si>
  <si>
    <t>VP-D-09</t>
  </si>
  <si>
    <t>ACSMS-TC-004-004</t>
  </si>
  <si>
    <t>JA_HONTEN truy cập Màn hình tìm kiếm chi tiết Master JA (chỉ xem JA của mình + sửa được một số trường, không xóa được)</t>
  </si>
  <si>
    <t>・role: JA_HONTEN (thuộc ja-001, JA của mình = ja-001)
・Test data: ja-001 (JA của mình), ja-002 (JA khác) đã đăng ký</t>
  </si>
  <si>
    <t>パスワード再発行 旧token無効化＋クールダウン</t>
  </si>
  <si>
    <r>
      <rPr>
        <rFont val="游ゴシック"/>
        <b/>
        <color rgb="FF000000"/>
        <sz val="10.0"/>
      </rPr>
      <t xml:space="preserve">ステップ1：
</t>
    </r>
    <r>
      <rPr>
        <rFont val="游ゴシック"/>
        <color rgb="FF000000"/>
        <sz val="10.0"/>
      </rPr>
      <t xml:space="preserve">Kiểm tra item "JAマスタ" trên sidebar
</t>
    </r>
    <r>
      <rPr>
        <rFont val="游ゴシック"/>
        <b/>
        <color rgb="FF000000"/>
        <sz val="10.0"/>
      </rPr>
      <t xml:space="preserve">ステップ2：
</t>
    </r>
    <r>
      <rPr>
        <rFont val="游ゴシック"/>
        <color rgb="FF000000"/>
        <sz val="10.0"/>
      </rPr>
      <t xml:space="preserve">Click "JAマスタ" → kiểm tra nội dung hiển thị màn list
</t>
    </r>
    <r>
      <rPr>
        <rFont val="游ゴシック"/>
        <b/>
        <color rgb="FF000000"/>
        <sz val="10.0"/>
      </rPr>
      <t xml:space="preserve">ステップ3：
</t>
    </r>
    <r>
      <rPr>
        <rFont val="游ゴシック"/>
        <color rgb="FF000000"/>
        <sz val="10.0"/>
      </rPr>
      <t xml:space="preserve">Kiểm tra trạng thái cột "操作" và nút "新規登録"
</t>
    </r>
    <r>
      <rPr>
        <rFont val="游ゴシック"/>
        <b/>
        <color rgb="FF000000"/>
        <sz val="10.0"/>
      </rPr>
      <t xml:space="preserve">ステップ4：
</t>
    </r>
    <r>
      <rPr>
        <rFont val="游ゴシック"/>
        <color rgb="FF000000"/>
        <sz val="10.0"/>
      </rPr>
      <t xml:space="preserve">Truy cập trực tiếp URL chỉnh sửa của JA khác (ja-002) `/ja/{id của ja-002}/edit`
</t>
    </r>
    <r>
      <rPr>
        <rFont val="游ゴシック"/>
        <b/>
        <color rgb="FF000000"/>
        <sz val="10.0"/>
      </rPr>
      <t xml:space="preserve">ステップ5：
</t>
    </r>
    <r>
      <rPr>
        <rFont val="游ゴシック"/>
        <color rgb="FF000000"/>
        <sz val="10.0"/>
      </rPr>
      <t>Dùng DevTools gọi trực tiếp DELETE `/api/v1/ja/{id record của JA mình}`</t>
    </r>
  </si>
  <si>
    <r>
      <rPr>
        <rFont val="メイリオ"/>
        <b/>
        <color rgb="FF000000"/>
        <sz val="10.0"/>
      </rPr>
      <t xml:space="preserve">ステップ1：
</t>
    </r>
    <r>
      <rPr>
        <rFont val="メイリオ"/>
        <color rgb="FF000000"/>
        <sz val="10.0"/>
      </rPr>
      <t xml:space="preserve">Có hiển thị (do có quyền `ja.view`)
</t>
    </r>
    <r>
      <rPr>
        <rFont val="メイリオ"/>
        <b/>
        <color rgb="FF000000"/>
        <sz val="10.0"/>
      </rPr>
      <t xml:space="preserve">ステップ2：
</t>
    </r>
    <r>
      <rPr>
        <rFont val="メイリオ"/>
        <color rgb="FF000000"/>
        <sz val="10.0"/>
      </rPr>
      <t xml:space="preserve">Chỉ hiển thị record của ja-001. ja-002 không hiển thị
</t>
    </r>
    <r>
      <rPr>
        <rFont val="メイリオ"/>
        <b/>
        <color rgb="FF000000"/>
        <sz val="10.0"/>
      </rPr>
      <t xml:space="preserve">ステップ3：
</t>
    </r>
    <r>
      <rPr>
        <rFont val="メイリオ"/>
        <color rgb="FF000000"/>
        <sz val="10.0"/>
      </rPr>
      <t xml:space="preserve">Link "削除" và nút "新規登録" KHÔNG hiển thị hoặc ở trạng thái disable (do không có quyền `ja.delete` / `ja.create`)
</t>
    </r>
    <r>
      <rPr>
        <rFont val="メイリオ"/>
        <b/>
        <color rgb="FF000000"/>
        <sz val="10.0"/>
      </rPr>
      <t xml:space="preserve">ステップ4：
</t>
    </r>
    <r>
      <rPr>
        <rFont val="メイリオ"/>
        <color rgb="FF000000"/>
        <sz val="10.0"/>
      </rPr>
      <t xml:space="preserve">Trả về HTTP 404 (`error_code: NOT_FOUND`, message `指定されたJAが見つかりません。` (DataScope ẩn sự tồn tại))
</t>
    </r>
    <r>
      <rPr>
        <rFont val="メイリオ"/>
        <b/>
        <color rgb="FF000000"/>
        <sz val="10.0"/>
      </rPr>
      <t xml:space="preserve">ステップ5：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・JA_HONTEN chỉ có quyền `ja.view` / `ja.update`
</t>
    </r>
    <r>
      <rPr>
        <rFont val="メイリオ"/>
        <color rgb="FF000000"/>
        <sz val="10.0"/>
      </rPr>
      <t xml:space="preserve">・DataScope chỉ cho xem record của JA của mình
</t>
    </r>
    <r>
      <rPr>
        <rFont val="メイリオ"/>
        <color rgb="FF000000"/>
        <sz val="10.0"/>
      </rPr>
      <t xml:space="preserve">・Trường có thể chỉnh sửa tương đương với CHUOKAI
</t>
    </r>
    <r>
      <rPr>
        <rFont val="メイリオ"/>
        <color rgb="FF000000"/>
        <sz val="10.0"/>
      </rPr>
      <t>・Truy cập trực tiếp URL của JA khác bị block bằng 404 (ẩn sự tồn tại)</t>
    </r>
  </si>
  <si>
    <t>VP-E-01</t>
  </si>
  <si>
    <t>E. 非機能・ユーザビリティ</t>
  </si>
  <si>
    <t>レイアウト／デザイントークン</t>
  </si>
  <si>
    <t>低</t>
  </si>
  <si>
    <t>全画面</t>
  </si>
  <si>
    <t>VP-E-02</t>
  </si>
  <si>
    <t>ACSMS-TC-004-005</t>
  </si>
  <si>
    <t>Cấm truy cập Màn hình tìm kiếm chi tiết Master JA với role JA_KANRI_SHITEN</t>
  </si>
  <si>
    <t>・role: JA_KANRI_SHITEN (thuộc ja-001 / branch-001)
・Đã login + đã xác thực MFA</t>
  </si>
  <si>
    <t>レスポンシブ（モバイル／タブレット）</t>
  </si>
  <si>
    <r>
      <rPr>
        <rFont val="游ゴシック"/>
        <b/>
        <color rgb="FF000000"/>
        <sz val="10.0"/>
      </rPr>
      <t xml:space="preserve">ステップ1：
</t>
    </r>
    <r>
      <rPr>
        <rFont val="游ゴシック"/>
        <color rgb="FF000000"/>
        <sz val="10.0"/>
      </rPr>
      <t xml:space="preserve">Kiểm tra item "JAマスタ" trên sidebar
</t>
    </r>
    <r>
      <rPr>
        <rFont val="游ゴシック"/>
        <b/>
        <color rgb="FF000000"/>
        <sz val="10.0"/>
      </rPr>
      <t xml:space="preserve">ステップ2：
</t>
    </r>
    <r>
      <rPr>
        <rFont val="游ゴシック"/>
        <color rgb="FF000000"/>
        <sz val="10.0"/>
      </rPr>
      <t xml:space="preserve">Truy cập trực tiếp URL `/ja`
</t>
    </r>
    <r>
      <rPr>
        <rFont val="游ゴシック"/>
        <b/>
        <color rgb="FF000000"/>
        <sz val="10.0"/>
      </rPr>
      <t xml:space="preserve">ステップ3：
</t>
    </r>
    <r>
      <rPr>
        <rFont val="游ゴシック"/>
        <color rgb="FF000000"/>
        <sz val="10.0"/>
      </rPr>
      <t>Dùng DevTools gọi trực tiếp GET `/api/v1/ja?page=1&amp;per_page=20`</t>
    </r>
  </si>
  <si>
    <t>VP-E-03</t>
  </si>
  <si>
    <r>
      <rPr>
        <rFont val="メイリオ"/>
        <b/>
        <color rgb="FF000000"/>
        <sz val="10.0"/>
      </rPr>
      <t xml:space="preserve">ステップ1：
</t>
    </r>
    <r>
      <rPr>
        <rFont val="メイリオ"/>
        <color rgb="FF000000"/>
        <sz val="10.0"/>
      </rPr>
      <t xml:space="preserve">Sidebar KHÔNG hiển thị item "JAマスタ" (do không có quyền `ja.view`)
</t>
    </r>
    <r>
      <rPr>
        <rFont val="メイリオ"/>
        <b/>
        <color rgb="FF000000"/>
        <sz val="10.0"/>
      </rPr>
      <t xml:space="preserve">ステップ2：
</t>
    </r>
    <r>
      <rPr>
        <rFont val="メイリオ"/>
        <color rgb="FF000000"/>
        <sz val="10.0"/>
      </rPr>
      <t xml:space="preserve">Hiển thị toast `アクセス権がありません。` + chuyển về `/dashboard`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・Theo `account_concept.md ※4`, JAマスタ ngoài đối tượng thao tác của JA_KANRI_SHITEN
</t>
    </r>
    <r>
      <rPr>
        <rFont val="メイリオ"/>
        <color rgb="FF000000"/>
        <sz val="10.0"/>
      </rPr>
      <t>・Là chức năng quản lý cấp JA chứ không phải cấp branch nên role JA_KANRI_SHITEN không có quyền xem</t>
    </r>
  </si>
  <si>
    <t>キーボード操作</t>
  </si>
  <si>
    <t>VP-E-04</t>
  </si>
  <si>
    <t>ブラウザ互換性</t>
  </si>
  <si>
    <t>(なし)
---</t>
  </si>
  <si>
    <t>Hiển thị màn hình &amp; Responsive (Layout &amp; Responsive)</t>
  </si>
  <si>
    <t>VP-E-05</t>
  </si>
  <si>
    <t>マルチタブセッション同期</t>
  </si>
  <si>
    <t>ACSMS-TC-004-006</t>
  </si>
  <si>
    <t>Layout tổng thể màn search khớp với design spec</t>
  </si>
  <si>
    <t>VP-E-07</t>
  </si>
  <si>
    <t>・role: NICHINO_ADMIN
・Browser: Chrome (latest), độ phân giải 1920×1080</t>
  </si>
  <si>
    <t>未保存変更ガード・ブラウザ離脱</t>
  </si>
  <si>
    <r>
      <rPr>
        <rFont val="メイリオ"/>
        <b/>
        <color rgb="FF000000"/>
        <sz val="10.0"/>
      </rPr>
      <t xml:space="preserve">ステップ1：
</t>
    </r>
    <r>
      <rPr>
        <rFont val="メイリオ"/>
        <color rgb="FF000000"/>
        <sz val="10.0"/>
      </rPr>
      <t xml:space="preserve">Click "JAマスタ" trên sidebar, mở màn `/ja`
</t>
    </r>
    <r>
      <rPr>
        <rFont val="メイリオ"/>
        <b/>
        <color rgb="FF000000"/>
        <sz val="10.0"/>
      </rPr>
      <t xml:space="preserve">ステップ2：
</t>
    </r>
    <r>
      <rPr>
        <rFont val="メイリオ"/>
        <color rgb="FF000000"/>
        <sz val="10.0"/>
      </rPr>
      <t xml:space="preserve">So sánh đối chiếu màn hình với tài liệu design spec (screen-design.md / index.html)
</t>
    </r>
    <r>
      <rPr>
        <rFont val="メイリオ"/>
        <b/>
        <color rgb="FF000000"/>
        <sz val="10.0"/>
      </rPr>
      <t xml:space="preserve">ステップ3：
</t>
    </r>
    <r>
      <rPr>
        <rFont val="メイリオ"/>
        <color rgb="FF000000"/>
        <sz val="10.0"/>
      </rPr>
      <t>Kiểm tra vị trí từng section (header, breadcrumb, form search, bảng list, phân trang)</t>
    </r>
  </si>
  <si>
    <t>全 CRUD 編集フォーム</t>
  </si>
  <si>
    <r>
      <rPr>
        <rFont val="メイリオ"/>
        <b/>
        <color rgb="FF000000"/>
        <sz val="10.0"/>
      </rPr>
      <t xml:space="preserve">ステップ1：
</t>
    </r>
    <r>
      <rPr>
        <rFont val="メイリオ"/>
        <color rgb="FF000000"/>
        <sz val="10.0"/>
      </rPr>
      <t xml:space="preserve">Hiển thị Màn hình tìm kiếm chi tiết Master JA
</t>
    </r>
    <r>
      <rPr>
        <rFont val="メイリオ"/>
        <b/>
        <color rgb="FF000000"/>
        <sz val="10.0"/>
      </rPr>
      <t xml:space="preserve">ステップ2：
</t>
    </r>
    <r>
      <rPr>
        <rFont val="メイリオ"/>
        <color rgb="FF000000"/>
        <sz val="10.0"/>
      </rPr>
      <t xml:space="preserve">Background color, font, font size, padding/margin, button color, style của input đều khớp
</t>
    </r>
    <r>
      <rPr>
        <rFont val="メイリオ"/>
        <b/>
        <color rgb="FF000000"/>
        <sz val="10.0"/>
      </rPr>
      <t xml:space="preserve">ステップ3：
</t>
    </r>
    <r>
      <rPr>
        <rFont val="メイリオ"/>
        <color rgb="FF000000"/>
        <sz val="10.0"/>
      </rPr>
      <t xml:space="preserve">Đúng theo design spec — bố cục dọc: header trên cùng → breadcrumb → card form search → card bảng list (header + data + phân trang)
</t>
    </r>
    <r>
      <rPr>
        <rFont val="メイリオ"/>
        <b/>
        <color rgb="FF000000"/>
        <sz val="10.0"/>
      </rPr>
      <t xml:space="preserve">補足：
</t>
    </r>
    <r>
      <rPr>
        <rFont val="メイリオ"/>
        <color rgb="FF000000"/>
        <sz val="10.0"/>
      </rPr>
      <t xml:space="preserve">・Không có sai lệch visual so với design spec
</t>
    </r>
    <r>
      <rPr>
        <rFont val="メイリオ"/>
        <color rgb="FF000000"/>
        <sz val="10.0"/>
      </rPr>
      <t>・Đã apply design tokens (`design-tokens.ts`), không có hardcoded color</t>
    </r>
  </si>
  <si>
    <t>VP-F-01</t>
  </si>
  <si>
    <t>F. 性能</t>
  </si>
  <si>
    <t>性能ベンチマーク</t>
  </si>
  <si>
    <t>全画面パフォーマンス計測対象</t>
  </si>
  <si>
    <t>VP-F-02</t>
  </si>
  <si>
    <t>大量データ表示性能</t>
  </si>
  <si>
    <t>一覧／レポート画面</t>
  </si>
  <si>
    <t>ACSMS-TC-004-007</t>
  </si>
  <si>
    <t>Hiển thị các phần tử trong form search đúng design spec</t>
  </si>
  <si>
    <t>・Đã mở màn search</t>
  </si>
  <si>
    <r>
      <rPr>
        <rFont val="メイリオ"/>
        <b/>
        <color rgb="FF000000"/>
        <sz val="10.0"/>
      </rPr>
      <t xml:space="preserve">ステップ1：
</t>
    </r>
    <r>
      <rPr>
        <rFont val="メイリオ"/>
        <color rgb="FF000000"/>
        <sz val="10.0"/>
      </rPr>
      <t xml:space="preserve">Kiểm tra các item trong form search area (JAコード, JA名)
</t>
    </r>
    <r>
      <rPr>
        <rFont val="メイリオ"/>
        <b/>
        <color rgb="FF000000"/>
        <sz val="10.0"/>
      </rPr>
      <t xml:space="preserve">ステップ2：
</t>
    </r>
    <r>
      <rPr>
        <rFont val="メイリオ"/>
        <color rgb="FF000000"/>
        <sz val="10.0"/>
      </rPr>
      <t xml:space="preserve">Kiểm tra vị trí và màu sắc của nút "検索" và "検索クリア"
</t>
    </r>
    <r>
      <rPr>
        <rFont val="メイリオ"/>
        <b/>
        <color rgb="FF000000"/>
        <sz val="10.0"/>
      </rPr>
      <t xml:space="preserve">ステップ3：
</t>
    </r>
    <r>
      <rPr>
        <rFont val="メイリオ"/>
        <color rgb="FF000000"/>
        <sz val="10.0"/>
      </rPr>
      <t>Kiểm tra trạng thái (enable / focus / disable) của từng textbox</t>
    </r>
  </si>
  <si>
    <r>
      <rPr>
        <rFont val="メイリオ"/>
        <b/>
        <color rgb="FF000000"/>
        <sz val="10.0"/>
      </rPr>
      <t xml:space="preserve">ステップ1：
</t>
    </r>
    <r>
      <rPr>
        <rFont val="メイリオ"/>
        <color rgb="FF000000"/>
        <sz val="10.0"/>
      </rPr>
      <t xml:space="preserve">2 input item hiển thị nằm ngang — bên trái: textbox "JAコード", bên phải: textbox "JA名". Placeholder đúng theo design spec
</t>
    </r>
    <r>
      <rPr>
        <rFont val="メイリオ"/>
        <b/>
        <color rgb="FF000000"/>
        <sz val="10.0"/>
      </rPr>
      <t xml:space="preserve">ステップ2：
</t>
    </r>
    <r>
      <rPr>
        <rFont val="メイリオ"/>
        <color rgb="FF000000"/>
        <sz val="10.0"/>
      </rPr>
      <t xml:space="preserve">Nút "検索" là primary button (màu xanh), nút "検索クリア" là secondary button (màu trắng). Nằm dưới đáy card form, theo thứ tự "検索" → "検索クリア" từ trái qua phải
</t>
    </r>
    <r>
      <rPr>
        <rFont val="メイリオ"/>
        <b/>
        <color rgb="FF000000"/>
        <sz val="10.0"/>
      </rPr>
      <t xml:space="preserve">ステップ3：
</t>
    </r>
    <r>
      <rPr>
        <rFont val="メイリオ"/>
        <color rgb="FF000000"/>
        <sz val="10.0"/>
      </rPr>
      <t xml:space="preserve">Textbox khi focus thì viền chuyển sang primary color (xanh), khi disable thì hiển thị màu xám
</t>
    </r>
    <r>
      <rPr>
        <rFont val="メイリオ"/>
        <b/>
        <color rgb="FF000000"/>
        <sz val="10.0"/>
      </rPr>
      <t xml:space="preserve">補足：
</t>
    </r>
    <r>
      <rPr>
        <rFont val="メイリオ"/>
        <color rgb="FF000000"/>
        <sz val="10.0"/>
      </rPr>
      <t xml:space="preserve">・Tất cả phần tử form khớp hoàn toàn với design spec
</t>
    </r>
    <r>
      <rPr>
        <rFont val="メイリオ"/>
        <color rgb="FF000000"/>
        <sz val="10.0"/>
      </rPr>
      <t>・Cả JAコード / JA名 đều là item tùy chọn (không có dấu bắt buộc `*`)</t>
    </r>
  </si>
  <si>
    <t>2. 観点ID 命名規約・グループ凡例</t>
  </si>
  <si>
    <t>グループ</t>
  </si>
  <si>
    <t>接頭辞</t>
  </si>
  <si>
    <t>名称</t>
  </si>
  <si>
    <t>観点数</t>
  </si>
  <si>
    <t>リスク傾向</t>
  </si>
  <si>
    <t>代表的なテスト観点</t>
  </si>
  <si>
    <t>VP-A-NN</t>
  </si>
  <si>
    <t>セキュリティ・権限</t>
  </si>
  <si>
    <t>RBAC、DataScope、項目レベル制限、URL直接攻撃、セッション失効、XSS、CSRF、レート制限、アカウントロック、SQL注入</t>
  </si>
  <si>
    <t>ACSMS-TC-004-008</t>
  </si>
  <si>
    <t>Hiển thị các cột bảng list đúng design spec</t>
  </si>
  <si>
    <t>B</t>
  </si>
  <si>
    <t>VP-B-NN</t>
  </si>
  <si>
    <t>データバリデーション</t>
  </si>
  <si>
    <t>・Đã mở màn search
・Có nhiều record JA đã đăng ký</t>
  </si>
  <si>
    <t>必須／長さ／形式／半角全角／日付／通貨／m_code／重複キー／IME・貼付ハンドリング</t>
  </si>
  <si>
    <r>
      <rPr>
        <rFont val="メイリオ"/>
        <b/>
        <color rgb="FF000000"/>
        <sz val="10.0"/>
      </rPr>
      <t xml:space="preserve">ステップ1：
</t>
    </r>
    <r>
      <rPr>
        <rFont val="メイリオ"/>
        <color rgb="FF000000"/>
        <sz val="10.0"/>
      </rPr>
      <t xml:space="preserve">Kiểm tra hàng header của bảng list
</t>
    </r>
    <r>
      <rPr>
        <rFont val="メイリオ"/>
        <b/>
        <color rgb="FF000000"/>
        <sz val="10.0"/>
      </rPr>
      <t xml:space="preserve">ステップ2：
</t>
    </r>
    <r>
      <rPr>
        <rFont val="メイリオ"/>
        <color rgb="FF000000"/>
        <sz val="10.0"/>
      </rPr>
      <t xml:space="preserve">Kiểm tra hiển thị từng cell của data row
</t>
    </r>
    <r>
      <rPr>
        <rFont val="メイリオ"/>
        <b/>
        <color rgb="FF000000"/>
        <sz val="10.0"/>
      </rPr>
      <t xml:space="preserve">ステップ3：
</t>
    </r>
    <r>
      <rPr>
        <rFont val="メイリオ"/>
        <color rgb="FF000000"/>
        <sz val="10.0"/>
      </rPr>
      <t>Kiểm tra nút "新規登録" ở góc trên bên phải card</t>
    </r>
  </si>
  <si>
    <t>C</t>
  </si>
  <si>
    <t>VP-C-NN</t>
  </si>
  <si>
    <r>
      <rPr>
        <rFont val="メイリオ"/>
        <b/>
        <color rgb="FF000000"/>
        <sz val="10.0"/>
      </rPr>
      <t xml:space="preserve">ステップ1：
</t>
    </r>
    <r>
      <rPr>
        <rFont val="メイリオ"/>
        <color rgb="FF000000"/>
        <sz val="10.0"/>
      </rPr>
      <t xml:space="preserve">Header cột hiển thị từ trái qua phải theo thứ tự "JAコード" "JA名" "郵便番号" "都道府県" "電話番号" "住所" "FAX" "操作". Cột "JAコード" và "都道府県" có hiển thị icon sort
</t>
    </r>
    <r>
      <rPr>
        <rFont val="メイリオ"/>
        <b/>
        <color rgb="FF000000"/>
        <sz val="10.0"/>
      </rPr>
      <t xml:space="preserve">ステップ2：
</t>
    </r>
    <r>
      <rPr>
        <rFont val="メイリオ"/>
        <color rgb="FF000000"/>
        <sz val="10.0"/>
      </rPr>
      <t xml:space="preserve">Giá trị từng cột trong DB hiển thị tương ứng trong cell. Cell "JAコード" hiển thị dạng link primary color, click được để chuyển sang màn edit. Cell "操作" có link "削除" (màu đỏ, chỉ khi có quyền)
</t>
    </r>
    <r>
      <rPr>
        <rFont val="メイリオ"/>
        <b/>
        <color rgb="FF000000"/>
        <sz val="10.0"/>
      </rPr>
      <t xml:space="preserve">ステップ3：
</t>
    </r>
    <r>
      <rPr>
        <rFont val="メイリオ"/>
        <color rgb="FF000000"/>
        <sz val="10.0"/>
      </rPr>
      <t xml:space="preserve">Bên trái header card có title "JA一覧", bên phải có nút "新規登録" (chỉ enable khi có quyền `ja.create`)
</t>
    </r>
    <r>
      <rPr>
        <rFont val="メイリオ"/>
        <b/>
        <color rgb="FF000000"/>
        <sz val="10.0"/>
      </rPr>
      <t xml:space="preserve">補足：
</t>
    </r>
    <r>
      <rPr>
        <rFont val="メイリオ"/>
        <color rgb="FF000000"/>
        <sz val="10.0"/>
      </rPr>
      <t xml:space="preserve">・Tất cả các cột khớp với sheet định nghĩa item của design spec
</t>
    </r>
    <r>
      <rPr>
        <rFont val="メイリオ"/>
        <color rgb="FF000000"/>
        <sz val="10.0"/>
      </rPr>
      <t>・Icon sort không hiển thị ở trạng thái ban đầu, chỉ hiển thị ▲ (asc) / ▼ (desc) khi áp dụng sort</t>
    </r>
  </si>
  <si>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</si>
  <si>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</si>
  <si>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</si>
  <si>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</si>
  <si>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</si>
  <si>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</si>
  <si>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</si>
  <si>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</si>
  <si>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</si>
  <si>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</si>
  <si>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</si>
  <si>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</si>
  <si>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</si>
  <si>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</si>
  <si>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</si>
  <si>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ACSMS-TC-004-009</t>
  </si>
  <si>
    <t>命名規約：VP-{グループ記号}-{NN} 形式（NN はグループ内の2桁連番）。新規観点は同グループの末尾に追加する（例：VP-A-11）。グループ記号はリスク軸による分類で、JSTQB FL の品質特性区分に準拠する。</t>
  </si>
  <si>
    <t>Responsive — breakpoint PC / Tablet / Mobile</t>
  </si>
  <si>
    <r>
      <rPr>
        <rFont val="メイリオ"/>
        <b/>
        <color rgb="FF000000"/>
        <sz val="10.0"/>
      </rPr>
      <t xml:space="preserve">ステップ1：
</t>
    </r>
    <r>
      <rPr>
        <rFont val="メイリオ"/>
        <color rgb="FF000000"/>
        <sz val="10.0"/>
      </rPr>
      <t xml:space="preserve">Đặt window size 1920×1080 (PC)
</t>
    </r>
    <r>
      <rPr>
        <rFont val="メイリオ"/>
        <b/>
        <color rgb="FF000000"/>
        <sz val="10.0"/>
      </rPr>
      <t xml:space="preserve">ステップ2：
</t>
    </r>
    <r>
      <rPr>
        <rFont val="メイリオ"/>
        <color rgb="FF000000"/>
        <sz val="10.0"/>
      </rPr>
      <t xml:space="preserve">Đổi sang 768×1024 (Tablet)
</t>
    </r>
    <r>
      <rPr>
        <rFont val="メイリオ"/>
        <b/>
        <color rgb="FF000000"/>
        <sz val="10.0"/>
      </rPr>
      <t xml:space="preserve">ステップ3：
</t>
    </r>
    <r>
      <rPr>
        <rFont val="メイリオ"/>
        <color rgb="FF000000"/>
        <sz val="10.0"/>
      </rPr>
      <t>Đổi sang 375×667 (Mobile)</t>
    </r>
  </si>
  <si>
    <r>
      <rPr>
        <rFont val="メイリオ"/>
        <b/>
        <color rgb="FF000000"/>
        <sz val="10.0"/>
      </rPr>
      <t xml:space="preserve">ステップ1：
</t>
    </r>
    <r>
      <rPr>
        <rFont val="メイリオ"/>
        <color rgb="FF000000"/>
        <sz val="10.0"/>
      </rPr>
      <t xml:space="preserve">Sidebar fixed, form search nằm ngang, toàn bộ cột bảng list nằm gọn trong width màn hình
</t>
    </r>
    <r>
      <rPr>
        <rFont val="メイリオ"/>
        <b/>
        <color rgb="FF000000"/>
        <sz val="10.0"/>
      </rPr>
      <t xml:space="preserve">ステップ2：
</t>
    </r>
    <r>
      <rPr>
        <rFont val="メイリオ"/>
        <color rgb="FF000000"/>
        <sz val="10.0"/>
      </rPr>
      <t xml:space="preserve">Sidebar thu gọn, form search giữ nguyên bố cục, bảng có thể scroll ngang
</t>
    </r>
    <r>
      <rPr>
        <rFont val="メイリオ"/>
        <b/>
        <color rgb="FF000000"/>
        <sz val="10.0"/>
      </rPr>
      <t xml:space="preserve">ステップ3：
</t>
    </r>
    <r>
      <rPr>
        <rFont val="メイリオ"/>
        <color rgb="FF000000"/>
        <sz val="10.0"/>
      </rPr>
      <t xml:space="preserve">Sidebar overlay, form search xếp dọc, bảng có thể scroll ngang (vẫn duy trì scroll dọc)
</t>
    </r>
    <r>
      <rPr>
        <rFont val="メイリオ"/>
        <b/>
        <color rgb="FF000000"/>
        <sz val="10.0"/>
      </rPr>
      <t xml:space="preserve">補足：
</t>
    </r>
    <r>
      <rPr>
        <rFont val="メイリオ"/>
        <color rgb="FF000000"/>
        <sz val="10.0"/>
      </rPr>
      <t xml:space="preserve">・Cả 3 breakpoint đều không có vỡ layout
</t>
    </r>
    <r>
      <rPr>
        <rFont val="メイリオ"/>
        <color rgb="FF000000"/>
        <sz val="10.0"/>
      </rPr>
      <t xml:space="preserve">・Bảng có `overflow-x-auto` cho phép scroll ngang để xem toàn bộ cột
</t>
    </r>
    <r>
      <rPr>
        <rFont val="メイリオ"/>
        <color rgb="FF000000"/>
        <sz val="10.0"/>
      </rPr>
      <t>・Các thao tác chính (tìm kiếm, xóa, chuyển trang) đều thực hiện được ở mọi breakpoint</t>
    </r>
  </si>
  <si>
    <t>ACSMS-TC-004-010</t>
  </si>
  <si>
    <t>Hiển thị UI phân trang</t>
  </si>
  <si>
    <t>・Đã mở màn search
・Test data: đã đăng ký 124 record JA (đủ để có nhiều page)</t>
  </si>
  <si>
    <r>
      <rPr>
        <rFont val="メイリオ"/>
        <b/>
        <color rgb="FF000000"/>
        <sz val="10.0"/>
      </rPr>
      <t xml:space="preserve">ステップ1：
</t>
    </r>
    <r>
      <rPr>
        <rFont val="メイリオ"/>
        <color rgb="FF000000"/>
        <sz val="10.0"/>
      </rPr>
      <t xml:space="preserve">Kiểm tra vùng phân trang dưới bảng list
</t>
    </r>
    <r>
      <rPr>
        <rFont val="メイリオ"/>
        <b/>
        <color rgb="FF000000"/>
        <sz val="10.0"/>
      </rPr>
      <t xml:space="preserve">ステップ2：
</t>
    </r>
    <r>
      <rPr>
        <rFont val="メイリオ"/>
        <color rgb="FF000000"/>
        <sz val="10.0"/>
      </rPr>
      <t xml:space="preserve">Kiểm tra dropdown page size
</t>
    </r>
    <r>
      <rPr>
        <rFont val="メイリオ"/>
        <b/>
        <color rgb="FF000000"/>
        <sz val="10.0"/>
      </rPr>
      <t xml:space="preserve">ステップ3：
</t>
    </r>
    <r>
      <rPr>
        <rFont val="メイリオ"/>
        <color rgb="FF000000"/>
        <sz val="10.0"/>
      </rPr>
      <t>Kiểm tra trạng thái các nút page number</t>
    </r>
  </si>
  <si>
    <r>
      <rPr>
        <rFont val="メイリオ"/>
        <b/>
        <color rgb="FF000000"/>
        <sz val="10.0"/>
      </rPr>
      <t xml:space="preserve">ステップ1：
</t>
    </r>
    <r>
      <rPr>
        <rFont val="メイリオ"/>
        <color rgb="FF000000"/>
        <sz val="10.0"/>
      </rPr>
      <t xml:space="preserve">Từ trái qua phải hiển thị "全 124 件", các nút page number (◀ 1 2 3 ... 7 ▶), dropdown page size
</t>
    </r>
    <r>
      <rPr>
        <rFont val="メイリオ"/>
        <b/>
        <color rgb="FF000000"/>
        <sz val="10.0"/>
      </rPr>
      <t xml:space="preserve">ステップ2：
</t>
    </r>
    <r>
      <rPr>
        <rFont val="メイリオ"/>
        <color rgb="FF000000"/>
        <sz val="10.0"/>
      </rPr>
      <t xml:space="preserve">Các option của dropdown là "10 / 頁" "20 / 頁" "50 / 頁" "100 / 頁", giá trị mặc định là "20 / 頁"
</t>
    </r>
    <r>
      <rPr>
        <rFont val="メイリオ"/>
        <b/>
        <color rgb="FF000000"/>
        <sz val="10.0"/>
      </rPr>
      <t xml:space="preserve">ステップ3：
</t>
    </r>
    <r>
      <rPr>
        <rFont val="メイリオ"/>
        <color rgb="FF000000"/>
        <sz val="10.0"/>
      </rPr>
      <t xml:space="preserve">Page hiện tại (page 1) được highlight với primary color (background xanh + text trắng), các page number khác chỉ có viền. Ở page đầu tiên, ◀ (prev) ở trạng thái disable
</t>
    </r>
    <r>
      <rPr>
        <rFont val="メイリオ"/>
        <b/>
        <color rgb="FF000000"/>
        <sz val="10.0"/>
      </rPr>
      <t xml:space="preserve">補足：
</t>
    </r>
    <r>
      <rPr>
        <rFont val="メイリオ"/>
        <color rgb="FF000000"/>
        <sz val="10.0"/>
      </rPr>
      <t xml:space="preserve">・Vị trí phân trang là `bottomLeft`, label `'/ 頁'` đúng theo định nghĩa item
</t>
    </r>
    <r>
      <rPr>
        <rFont val="メイリオ"/>
        <color rgb="FF000000"/>
        <sz val="10.0"/>
      </rPr>
      <t>・Khi số record ≤ per_page, chỉ hiển thị nút page "1"</t>
    </r>
  </si>
  <si>
    <t>Header &amp; Breadcrumb</t>
  </si>
  <si>
    <t>ACSMS-TC-004-011</t>
  </si>
  <si>
    <t>Hiển thị header title</t>
  </si>
  <si>
    <r>
      <rPr>
        <rFont val="メイリオ"/>
        <b/>
        <color rgb="FF000000"/>
        <sz val="10.0"/>
      </rPr>
      <t xml:space="preserve">ステップ1：
</t>
    </r>
    <r>
      <rPr>
        <rFont val="メイリオ"/>
        <color rgb="FF000000"/>
        <sz val="10.0"/>
      </rPr>
      <t>Kiểm tra phía trái của header trên cùng màn hình</t>
    </r>
  </si>
  <si>
    <r>
      <rPr>
        <rFont val="メイリオ"/>
        <b/>
        <color rgb="FF000000"/>
        <sz val="10.0"/>
      </rPr>
      <t xml:space="preserve">ステップ1：
</t>
    </r>
    <r>
      <rPr>
        <rFont val="メイリオ"/>
        <color rgb="FF000000"/>
        <sz val="10.0"/>
      </rPr>
      <t xml:space="preserve">Hiển thị chữ "JAマスタ明細検索画面"
</t>
    </r>
    <r>
      <rPr>
        <rFont val="メイリオ"/>
        <b/>
        <color rgb="FF000000"/>
        <sz val="10.0"/>
      </rPr>
      <t xml:space="preserve">補足：
</t>
    </r>
    <r>
      <rPr>
        <rFont val="メイリオ"/>
        <color rgb="FF000000"/>
        <sz val="10.0"/>
      </rPr>
      <t xml:space="preserve">・Title string đúng literal theo spec
</t>
    </r>
    <r>
      <rPr>
        <rFont val="メイリオ"/>
        <color rgb="FF000000"/>
        <sz val="10.0"/>
      </rPr>
      <t>・Title được hiển thị tự động từ giá trị `meta.breadcrumb` của route</t>
    </r>
  </si>
  <si>
    <t>ACSMS-TC-004-012</t>
  </si>
  <si>
    <t>Hiển thị notification icon + user menu</t>
  </si>
  <si>
    <t>・role: NICHINO_ADMIN</t>
  </si>
  <si>
    <r>
      <rPr>
        <rFont val="メイリオ"/>
        <b/>
        <color rgb="FF000000"/>
        <sz val="10.0"/>
      </rPr>
      <t xml:space="preserve">ステップ1：
</t>
    </r>
    <r>
      <rPr>
        <rFont val="メイリオ"/>
        <color rgb="FF000000"/>
        <sz val="10.0"/>
      </rPr>
      <t xml:space="preserve">Kiểm tra phía bên phải header
</t>
    </r>
    <r>
      <rPr>
        <rFont val="メイリオ"/>
        <b/>
        <color rgb="FF000000"/>
        <sz val="10.0"/>
      </rPr>
      <t xml:space="preserve">ステップ2：
</t>
    </r>
    <r>
      <rPr>
        <rFont val="メイリオ"/>
        <color rgb="FF000000"/>
        <sz val="10.0"/>
      </rPr>
      <t xml:space="preserve">Hover chuột lên user icon
</t>
    </r>
    <r>
      <rPr>
        <rFont val="メイリオ"/>
        <b/>
        <color rgb="FF000000"/>
        <sz val="10.0"/>
      </rPr>
      <t xml:space="preserve">ステップ3：
</t>
    </r>
    <r>
      <rPr>
        <rFont val="メイリオ"/>
        <color rgb="FF000000"/>
        <sz val="10.0"/>
      </rPr>
      <t>Click user icon</t>
    </r>
  </si>
  <si>
    <r>
      <rPr>
        <rFont val="メイリオ"/>
        <b/>
        <color rgb="FF000000"/>
        <sz val="10.0"/>
      </rPr>
      <t xml:space="preserve">ステップ1：
</t>
    </r>
    <r>
      <rPr>
        <rFont val="メイリオ"/>
        <color rgb="FF000000"/>
        <sz val="10.0"/>
      </rPr>
      <t xml:space="preserve">Hiển thị theo thứ tự: notification icon → user icon → tên login (ví dụ: admin:日農（管理者）)
</t>
    </r>
    <r>
      <rPr>
        <rFont val="メイリオ"/>
        <b/>
        <color rgb="FF000000"/>
        <sz val="10.0"/>
      </rPr>
      <t xml:space="preserve">ステップ2：
</t>
    </r>
    <r>
      <rPr>
        <rFont val="メイリオ"/>
        <color rgb="FF000000"/>
        <sz val="10.0"/>
      </rPr>
      <t xml:space="preserve">Khi hover, background color thay đổi
</t>
    </r>
    <r>
      <rPr>
        <rFont val="メイリオ"/>
        <b/>
        <color rgb="FF000000"/>
        <sz val="10.0"/>
      </rPr>
      <t xml:space="preserve">ステップ3：
</t>
    </r>
    <r>
      <rPr>
        <rFont val="メイリオ"/>
        <color rgb="FF000000"/>
        <sz val="10.0"/>
      </rPr>
      <t xml:space="preserve">Dropdown bung ra — hiển thị menu logout, etc.
</t>
    </r>
    <r>
      <rPr>
        <rFont val="メイリオ"/>
        <b/>
        <color rgb="FF000000"/>
        <sz val="10.0"/>
      </rPr>
      <t xml:space="preserve">補足：
</t>
    </r>
    <r>
      <rPr>
        <rFont val="メイリオ"/>
        <color rgb="FF000000"/>
        <sz val="10.0"/>
      </rPr>
      <t xml:space="preserve">・Toàn bộ tương tác hover/click đúng theo design spec
</t>
    </r>
    <r>
      <rPr>
        <rFont val="メイリオ"/>
        <color rgb="FF000000"/>
        <sz val="10.0"/>
      </rPr>
      <t>・Notification icon có dot màu đỏ thể hiện chưa đọc</t>
    </r>
  </si>
  <si>
    <t>ACSMS-TC-004-013</t>
  </si>
  <si>
    <t>Hiển thị breadcrumb</t>
  </si>
  <si>
    <r>
      <rPr>
        <rFont val="メイリオ"/>
        <b/>
        <color rgb="FF000000"/>
        <sz val="10.0"/>
      </rPr>
      <t xml:space="preserve">ステップ1：
</t>
    </r>
    <r>
      <rPr>
        <rFont val="メイリオ"/>
        <color rgb="FF000000"/>
        <sz val="10.0"/>
      </rPr>
      <t xml:space="preserve">Kiểm tra vùng breadcrumb dưới title màn hình
</t>
    </r>
    <r>
      <rPr>
        <rFont val="メイリオ"/>
        <b/>
        <color rgb="FF000000"/>
        <sz val="10.0"/>
      </rPr>
      <t xml:space="preserve">ステップ2：
</t>
    </r>
    <r>
      <rPr>
        <rFont val="メイリオ"/>
        <color rgb="FF000000"/>
        <sz val="10.0"/>
      </rPr>
      <t>So sánh breadcrumb hierarchy với design spec</t>
    </r>
  </si>
  <si>
    <r>
      <rPr>
        <rFont val="メイリオ"/>
        <b/>
        <color rgb="FF000000"/>
        <sz val="10.0"/>
      </rPr>
      <t xml:space="preserve">ステップ1：
</t>
    </r>
    <r>
      <rPr>
        <rFont val="メイリオ"/>
        <color rgb="FF000000"/>
        <sz val="10.0"/>
      </rPr>
      <t xml:space="preserve">Hiển thị hierarchy `ホーム / マスタ管理 / JAマスタ明細検索画面`
</t>
    </r>
    <r>
      <rPr>
        <rFont val="メイリオ"/>
        <b/>
        <color rgb="FF000000"/>
        <sz val="10.0"/>
      </rPr>
      <t xml:space="preserve">ステップ2：
</t>
    </r>
    <r>
      <rPr>
        <rFont val="メイリオ"/>
        <color rgb="FF000000"/>
        <sz val="10.0"/>
      </rPr>
      <t xml:space="preserve">Separator (`&gt;` hoặc `/`), text, có/không có link đều khớp
</t>
    </r>
    <r>
      <rPr>
        <rFont val="メイリオ"/>
        <b/>
        <color rgb="FF000000"/>
        <sz val="10.0"/>
      </rPr>
      <t xml:space="preserve">補足：
</t>
    </r>
    <r>
      <rPr>
        <rFont val="メイリオ"/>
        <color rgb="FF000000"/>
        <sz val="10.0"/>
      </rPr>
      <t xml:space="preserve">・Breadcrumb hiển thị đúng hierarchy + đúng design spec
</t>
    </r>
    <r>
      <rPr>
        <rFont val="メイリオ"/>
        <color rgb="FF000000"/>
        <sz val="10.0"/>
      </rPr>
      <t>・Màn hiện tại (JAマスタ明細検索画面) không có link, các phần còn lại có link</t>
    </r>
  </si>
  <si>
    <t>ACSMS-TC-004-014</t>
  </si>
  <si>
    <t>Thao tác chuyển trang qua các link breadcrumb</t>
  </si>
  <si>
    <r>
      <rPr>
        <rFont val="メイリオ"/>
        <b/>
        <color rgb="FF000000"/>
        <sz val="10.0"/>
      </rPr>
      <t xml:space="preserve">ステップ1：
</t>
    </r>
    <r>
      <rPr>
        <rFont val="メイリオ"/>
        <color rgb="FF000000"/>
        <sz val="10.0"/>
      </rPr>
      <t xml:space="preserve">Click "ホーム" trên breadcrumb
</t>
    </r>
    <r>
      <rPr>
        <rFont val="メイリオ"/>
        <b/>
        <color rgb="FF000000"/>
        <sz val="10.0"/>
      </rPr>
      <t xml:space="preserve">ステップ2：
</t>
    </r>
    <r>
      <rPr>
        <rFont val="メイリオ"/>
        <color rgb="FF000000"/>
        <sz val="10.0"/>
      </rPr>
      <t>Quay lại màn search, click "JAマスタ明細検索画面" (màn hiện tại) trên breadcrumb</t>
    </r>
  </si>
  <si>
    <r>
      <rPr>
        <rFont val="メイリオ"/>
        <b/>
        <color rgb="FF000000"/>
        <sz val="10.0"/>
      </rPr>
      <t xml:space="preserve">ステップ1：
</t>
    </r>
    <r>
      <rPr>
        <rFont val="メイリオ"/>
        <color rgb="FF000000"/>
        <sz val="10.0"/>
      </rPr>
      <t xml:space="preserve">Chuyển sang `/dashboard`
</t>
    </r>
    <r>
      <rPr>
        <rFont val="メイリオ"/>
        <b/>
        <color rgb="FF000000"/>
        <sz val="10.0"/>
      </rPr>
      <t xml:space="preserve">ステップ2：
</t>
    </r>
    <r>
      <rPr>
        <rFont val="メイリオ"/>
        <color rgb="FF000000"/>
        <sz val="10.0"/>
      </rPr>
      <t xml:space="preserve">Là màn hiện tại nên không có gì xảy ra (không reload)
</t>
    </r>
    <r>
      <rPr>
        <rFont val="メイリオ"/>
        <b/>
        <color rgb="FF000000"/>
        <sz val="10.0"/>
      </rPr>
      <t xml:space="preserve">補足：
</t>
    </r>
    <r>
      <rPr>
        <rFont val="メイリオ"/>
        <color rgb="FF000000"/>
        <sz val="10.0"/>
      </rPr>
      <t xml:space="preserve">・Mỗi link hoạt động đúng như mong đợi
</t>
    </r>
    <r>
      <rPr>
        <rFont val="メイリオ"/>
        <color rgb="FF000000"/>
        <sz val="10.0"/>
      </rPr>
      <t>・"マスタ管理" là tên group sidebar, theo convention breadcrumb của project sẽ không đưa vào hierarchy trung gian</t>
    </r>
  </si>
  <si>
    <t>Tìm kiếm / Sắp xếp / Phân trang (Search / Sort / Pagination)</t>
  </si>
  <si>
    <t>ACSMS-TC-004-015</t>
  </si>
  <si>
    <t>Hiển thị ban đầu — form search rỗng + list JA mặc định</t>
  </si>
  <si>
    <t>・role: NICHINO_ADMIN
・Test data: nhiều record JA đã được đăng ký</t>
  </si>
  <si>
    <r>
      <rPr>
        <rFont val="游ゴシック"/>
        <b/>
        <color rgb="FF000000"/>
        <sz val="10.0"/>
      </rPr>
      <t xml:space="preserve">ステップ1：
</t>
    </r>
    <r>
      <rPr>
        <rFont val="游ゴシック"/>
        <color rgb="FF000000"/>
        <sz val="10.0"/>
      </rPr>
      <t xml:space="preserve">Click "JAマスタ" từ dashboard
</t>
    </r>
    <r>
      <rPr>
        <rFont val="游ゴシック"/>
        <b/>
        <color rgb="FF000000"/>
        <sz val="10.0"/>
      </rPr>
      <t xml:space="preserve">ステップ2：
</t>
    </r>
    <r>
      <rPr>
        <rFont val="游ゴシック"/>
        <color rgb="FF000000"/>
        <sz val="10.0"/>
      </rPr>
      <t xml:space="preserve">Kiểm tra trạng thái form search trên màn hình
</t>
    </r>
    <r>
      <rPr>
        <rFont val="游ゴシック"/>
        <b/>
        <color rgb="FF000000"/>
        <sz val="10.0"/>
      </rPr>
      <t xml:space="preserve">ステップ3：
</t>
    </r>
    <r>
      <rPr>
        <rFont val="游ゴシック"/>
        <color rgb="FF000000"/>
        <sz val="10.0"/>
      </rPr>
      <t xml:space="preserve">Kiểm tra nội dung bảng list
</t>
    </r>
    <r>
      <rPr>
        <rFont val="游ゴシック"/>
        <b/>
        <color rgb="FF000000"/>
        <sz val="10.0"/>
      </rPr>
      <t xml:space="preserve">ステップ4：
</t>
    </r>
    <r>
      <rPr>
        <rFont val="游ゴシック"/>
        <color rgb="FF000000"/>
        <sz val="10.0"/>
      </rPr>
      <t>Kiểm tra query parameter của GET `/api/v1/ja` trên Network tab DevTools</t>
    </r>
  </si>
  <si>
    <r>
      <rPr>
        <rFont val="游ゴシック"/>
        <b/>
        <color rgb="FF000000"/>
        <sz val="10.0"/>
      </rPr>
      <t xml:space="preserve">ステップ1：
</t>
    </r>
    <r>
      <rPr>
        <rFont val="游ゴシック"/>
        <color rgb="FF000000"/>
        <sz val="10.0"/>
      </rPr>
      <t xml:space="preserve">Chuyển sang URL `/ja`
</t>
    </r>
    <r>
      <rPr>
        <rFont val="游ゴシック"/>
        <b/>
        <color rgb="FF000000"/>
        <sz val="10.0"/>
      </rPr>
      <t xml:space="preserve">ステップ2：
</t>
    </r>
    <r>
      <rPr>
        <rFont val="游ゴシック"/>
        <color rgb="FF000000"/>
        <sz val="10.0"/>
      </rPr>
      <t xml:space="preserve">JAコード và JA名 đều rỗng
</t>
    </r>
    <r>
      <rPr>
        <rFont val="游ゴシック"/>
        <b/>
        <color rgb="FF000000"/>
        <sz val="10.0"/>
      </rPr>
      <t xml:space="preserve">ステップ3：
</t>
    </r>
    <r>
      <rPr>
        <rFont val="游ゴシック"/>
        <color rgb="FF000000"/>
        <sz val="10.0"/>
      </rPr>
      <t xml:space="preserve">Toàn bộ record JA hiển thị tới 20 record theo sort order mặc định. Record đã xóa logic (`deleted_at IS NOT NULL`) không hiển thị
</t>
    </r>
    <r>
      <rPr>
        <rFont val="游ゴシック"/>
        <b/>
        <color rgb="FF000000"/>
        <sz val="10.0"/>
      </rPr>
      <t xml:space="preserve">ステップ4：
</t>
    </r>
    <r>
      <rPr>
        <rFont val="游ゴシック"/>
        <color rgb="FF000000"/>
        <sz val="10.0"/>
      </rPr>
      <t xml:space="preserve">Query parameter là `?page=1&amp;per_page=20&amp;sort_by=ja_code&amp;sort_order=asc` (giá trị mặc định)
</t>
    </r>
    <r>
      <rPr>
        <rFont val="游ゴシック"/>
        <b/>
        <color rgb="FF000000"/>
        <sz val="10.0"/>
      </rPr>
      <t xml:space="preserve">補足：
</t>
    </r>
    <r>
      <rPr>
        <rFont val="游ゴシック"/>
        <color rgb="FF000000"/>
        <sz val="10.0"/>
      </rPr>
      <t>・Khi hiển thị ban đầu, lấy toàn bộ record không có điều kiện search (sau khi áp dụng DataScope)
・per_page mặc định là 20, sort_by mặc định là `ja_code` asc</t>
    </r>
  </si>
  <si>
    <t>ACSMS-TC-004-016</t>
  </si>
  <si>
    <t>Search — JAコード partial match</t>
  </si>
  <si>
    <t>・role: NICHINO_ADMIN
・Test data: 3 record `ja_code='1301001001'`, `ja_code='1301002001'`, `ja_code='2701001001'` đã đăng ký</t>
  </si>
  <si>
    <r>
      <rPr>
        <rFont val="メイリオ"/>
        <b/>
        <color rgb="FF000000"/>
        <sz val="10.0"/>
      </rPr>
      <t xml:space="preserve">ステップ1：
</t>
    </r>
    <r>
      <rPr>
        <rFont val="メイリオ"/>
        <color rgb="FF000000"/>
        <sz val="10.0"/>
      </rPr>
      <t xml:space="preserve">Nhập `1301` vào input JAコード
</t>
    </r>
    <r>
      <rPr>
        <rFont val="メイリオ"/>
        <b/>
        <color rgb="FF000000"/>
        <sz val="10.0"/>
      </rPr>
      <t xml:space="preserve">ステップ2：
</t>
    </r>
    <r>
      <rPr>
        <rFont val="メイリオ"/>
        <color rgb="FF000000"/>
        <sz val="10.0"/>
      </rPr>
      <t xml:space="preserve">Click nút "検索"
</t>
    </r>
    <r>
      <rPr>
        <rFont val="メイリオ"/>
        <b/>
        <color rgb="FF000000"/>
        <sz val="10.0"/>
      </rPr>
      <t xml:space="preserve">ステップ3：
</t>
    </r>
    <r>
      <rPr>
        <rFont val="メイリオ"/>
        <color rgb="FF000000"/>
        <sz val="10.0"/>
      </rPr>
      <t xml:space="preserve">Kiểm tra request parameter đã gửi trên DevTools
</t>
    </r>
    <r>
      <rPr>
        <rFont val="メイリオ"/>
        <b/>
        <color rgb="FF000000"/>
        <sz val="10.0"/>
      </rPr>
      <t xml:space="preserve">ステップ4：
</t>
    </r>
    <r>
      <rPr>
        <rFont val="メイリオ"/>
        <color rgb="FF000000"/>
        <sz val="10.0"/>
      </rPr>
      <t>Kiểm tra kết quả bảng list</t>
    </r>
  </si>
  <si>
    <r>
      <rPr>
        <rFont val="メイリオ"/>
        <b/>
        <color rgb="FF000000"/>
        <sz val="10.0"/>
      </rPr>
      <t xml:space="preserve">ステップ1：
</t>
    </r>
    <r>
      <rPr>
        <rFont val="メイリオ"/>
        <color rgb="FF000000"/>
        <sz val="10.0"/>
      </rPr>
      <t xml:space="preserve">Nhập input thành công
</t>
    </r>
    <r>
      <rPr>
        <rFont val="メイリオ"/>
        <b/>
        <color rgb="FF000000"/>
        <sz val="10.0"/>
      </rPr>
      <t xml:space="preserve">ステップ2：
</t>
    </r>
    <r>
      <rPr>
        <rFont val="メイリオ"/>
        <color rgb="FF000000"/>
        <sz val="10.0"/>
      </rPr>
      <t xml:space="preserve">Trả về HTTP 200 (search condition được áp dụng và màn hình refresh)
</t>
    </r>
    <r>
      <rPr>
        <rFont val="メイリオ"/>
        <b/>
        <color rgb="FF000000"/>
        <sz val="10.0"/>
      </rPr>
      <t xml:space="preserve">ステップ3：
</t>
    </r>
    <r>
      <rPr>
        <rFont val="メイリオ"/>
        <color rgb="FF000000"/>
        <sz val="10.0"/>
      </rPr>
      <t xml:space="preserve">Query parameter có chứa `ja_code=1301`
</t>
    </r>
    <r>
      <rPr>
        <rFont val="メイリオ"/>
        <b/>
        <color rgb="FF000000"/>
        <sz val="10.0"/>
      </rPr>
      <t xml:space="preserve">ステップ4：
</t>
    </r>
    <r>
      <rPr>
        <rFont val="メイリオ"/>
        <color rgb="FF000000"/>
        <sz val="10.0"/>
      </rPr>
      <t xml:space="preserve">Chỉ hiển thị 2 record (`1301001001`, `1301002001`) chứa `1301`. `2701001001` không hiển thị
</t>
    </r>
    <r>
      <rPr>
        <rFont val="メイリオ"/>
        <b/>
        <color rgb="FF000000"/>
        <sz val="10.0"/>
      </rPr>
      <t xml:space="preserve">補足：
</t>
    </r>
    <r>
      <rPr>
        <rFont val="メイリオ"/>
        <color rgb="FF000000"/>
        <sz val="10.0"/>
      </rPr>
      <t xml:space="preserve">・Search partial match (ILIKE '%1301%')
</t>
    </r>
    <r>
      <rPr>
        <rFont val="メイリオ"/>
        <color rgb="FF000000"/>
        <sz val="10.0"/>
      </rPr>
      <t xml:space="preserve">・Không phân biệt chữ hoa chữ thường
</t>
    </r>
    <r>
      <rPr>
        <rFont val="メイリオ"/>
        <color rgb="FF000000"/>
        <sz val="10.0"/>
      </rPr>
      <t>・Khoảng trắng đầu/cuối được loại bỏ trước khi search</t>
    </r>
  </si>
  <si>
    <t>ACSMS-TC-004-017</t>
  </si>
  <si>
    <t>Search — JA名 partial match</t>
  </si>
  <si>
    <t>・role: NICHINO_ADMIN
・Test data: 3 record `ja_name='JA東京中央'`, `ja_name='JA東京みらい'`, `ja_name='JA大阪'` đã đăng ký</t>
  </si>
  <si>
    <r>
      <rPr>
        <rFont val="游ゴシック"/>
        <b/>
        <color rgb="FF000000"/>
        <sz val="10.0"/>
      </rPr>
      <t xml:space="preserve">ステップ1：
</t>
    </r>
    <r>
      <rPr>
        <rFont val="游ゴシック"/>
        <color rgb="FF000000"/>
        <sz val="10.0"/>
      </rPr>
      <t xml:space="preserve">Nhập `東京` vào input JA名
</t>
    </r>
    <r>
      <rPr>
        <rFont val="游ゴシック"/>
        <b/>
        <color rgb="FF000000"/>
        <sz val="10.0"/>
      </rPr>
      <t xml:space="preserve">ステップ2：
</t>
    </r>
    <r>
      <rPr>
        <rFont val="游ゴシック"/>
        <color rgb="FF000000"/>
        <sz val="10.0"/>
      </rPr>
      <t xml:space="preserve">Click nút "検索"
</t>
    </r>
    <r>
      <rPr>
        <rFont val="游ゴシック"/>
        <b/>
        <color rgb="FF000000"/>
        <sz val="10.0"/>
      </rPr>
      <t xml:space="preserve">ステップ3：
</t>
    </r>
    <r>
      <rPr>
        <rFont val="游ゴシック"/>
        <color rgb="FF000000"/>
        <sz val="10.0"/>
      </rPr>
      <t>Kiểm tra kết quả bảng list</t>
    </r>
  </si>
  <si>
    <r>
      <rPr>
        <rFont val="メイリオ"/>
        <b/>
        <color rgb="FF000000"/>
        <sz val="10.0"/>
      </rPr>
      <t xml:space="preserve">ステップ1：
</t>
    </r>
    <r>
      <rPr>
        <rFont val="メイリオ"/>
        <color rgb="FF000000"/>
        <sz val="10.0"/>
      </rPr>
      <t xml:space="preserve">Nhập input thành công
</t>
    </r>
    <r>
      <rPr>
        <rFont val="メイリオ"/>
        <b/>
        <color rgb="FF000000"/>
        <sz val="10.0"/>
      </rPr>
      <t xml:space="preserve">ステップ2：
</t>
    </r>
    <r>
      <rPr>
        <rFont val="メイリオ"/>
        <color rgb="FF000000"/>
        <sz val="10.0"/>
      </rPr>
      <t xml:space="preserve">Trả về HTTP 200 (search condition được áp dụng)
</t>
    </r>
    <r>
      <rPr>
        <rFont val="メイリオ"/>
        <b/>
        <color rgb="FF000000"/>
        <sz val="10.0"/>
      </rPr>
      <t xml:space="preserve">ステップ3：
</t>
    </r>
    <r>
      <rPr>
        <rFont val="メイリオ"/>
        <color rgb="FF000000"/>
        <sz val="10.0"/>
      </rPr>
      <t xml:space="preserve">Chỉ hiển thị 2 record (`JA東京中央`, `JA東京みらい`) chứa `東京`. `JA大阪` không hiển thị
</t>
    </r>
    <r>
      <rPr>
        <rFont val="メイリオ"/>
        <b/>
        <color rgb="FF000000"/>
        <sz val="10.0"/>
      </rPr>
      <t xml:space="preserve">補足：
</t>
    </r>
    <r>
      <rPr>
        <rFont val="メイリオ"/>
        <color rgb="FF000000"/>
        <sz val="10.0"/>
      </rPr>
      <t xml:space="preserve">・Search partial match (ILIKE '%東京%')
</t>
    </r>
    <r>
      <rPr>
        <rFont val="メイリオ"/>
        <color rgb="FF000000"/>
        <sz val="10.0"/>
      </rPr>
      <t>・Toàn ký tự, hiragana, katakana đều khớp đúng theo dạng đã nhập</t>
    </r>
  </si>
  <si>
    <t>ACSMS-TC-004-018</t>
  </si>
  <si>
    <t>Search — kết hợp AND giữa JAコード và JA名</t>
  </si>
  <si>
    <t>・role: NICHINO_ADMIN
・Test data: `ja_code='1301001001', ja_name='JA東京中央'`, `ja_code='1301002001', ja_name='JA東京みらい'`, `ja_code='2701001001', ja_name='JA大阪'` đã đăng ký</t>
  </si>
  <si>
    <r>
      <rPr>
        <rFont val="游ゴシック"/>
        <b/>
        <color rgb="FF000000"/>
        <sz val="10.0"/>
      </rPr>
      <t xml:space="preserve">ステップ1：
</t>
    </r>
    <r>
      <rPr>
        <rFont val="游ゴシック"/>
        <color rgb="FF000000"/>
        <sz val="10.0"/>
      </rPr>
      <t xml:space="preserve">Nhập JAコード `1301`, JA名 `中央`
</t>
    </r>
    <r>
      <rPr>
        <rFont val="游ゴシック"/>
        <b/>
        <color rgb="FF000000"/>
        <sz val="10.0"/>
      </rPr>
      <t xml:space="preserve">ステップ2：
</t>
    </r>
    <r>
      <rPr>
        <rFont val="游ゴシック"/>
        <color rgb="FF000000"/>
        <sz val="10.0"/>
      </rPr>
      <t xml:space="preserve">Click nút "検索"
</t>
    </r>
    <r>
      <rPr>
        <rFont val="游ゴシック"/>
        <b/>
        <color rgb="FF000000"/>
        <sz val="10.0"/>
      </rPr>
      <t xml:space="preserve">ステップ3：
</t>
    </r>
    <r>
      <rPr>
        <rFont val="游ゴシック"/>
        <color rgb="FF000000"/>
        <sz val="10.0"/>
      </rPr>
      <t>Kiểm tra kết quả bảng list</t>
    </r>
  </si>
  <si>
    <r>
      <rPr>
        <rFont val="メイリオ"/>
        <b/>
        <color rgb="FF000000"/>
        <sz val="10.0"/>
      </rPr>
      <t xml:space="preserve">ステップ1：
</t>
    </r>
    <r>
      <rPr>
        <rFont val="メイリオ"/>
        <color rgb="FF000000"/>
        <sz val="10.0"/>
      </rPr>
      <t xml:space="preserve">Nhập input thành công cho cả 2 trường
</t>
    </r>
    <r>
      <rPr>
        <rFont val="メイリオ"/>
        <b/>
        <color rgb="FF000000"/>
        <sz val="10.0"/>
      </rPr>
      <t xml:space="preserve">ステップ2：
</t>
    </r>
    <r>
      <rPr>
        <rFont val="メイリオ"/>
        <color rgb="FF000000"/>
        <sz val="10.0"/>
      </rPr>
      <t xml:space="preserve">Trả về HTTP 200 (áp dụng theo điều kiện AND)
</t>
    </r>
    <r>
      <rPr>
        <rFont val="メイリオ"/>
        <b/>
        <color rgb="FF000000"/>
        <sz val="10.0"/>
      </rPr>
      <t xml:space="preserve">ステップ3：
</t>
    </r>
    <r>
      <rPr>
        <rFont val="メイリオ"/>
        <color rgb="FF000000"/>
        <sz val="10.0"/>
      </rPr>
      <t xml:space="preserve">Chỉ hiển thị 1 record (`JA東京中央`) thỏa cả 2 điều kiện
</t>
    </r>
    <r>
      <rPr>
        <rFont val="メイリオ"/>
        <b/>
        <color rgb="FF000000"/>
        <sz val="10.0"/>
      </rPr>
      <t xml:space="preserve">補足：
</t>
    </r>
    <r>
      <rPr>
        <rFont val="メイリオ"/>
        <color rgb="FF000000"/>
        <sz val="10.0"/>
      </rPr>
      <t xml:space="preserve">・Nhiều search condition kết hợp bằng AND
</t>
    </r>
    <r>
      <rPr>
        <rFont val="メイリオ"/>
        <color rgb="FF000000"/>
        <sz val="10.0"/>
      </rPr>
      <t>・Trường rỗng không được đưa vào query (xử lý như undefined)</t>
    </r>
  </si>
  <si>
    <t>ACSMS-TC-004-019</t>
  </si>
  <si>
    <t>Clear search — reset toàn bộ điều kiện và quay về page 1</t>
  </si>
  <si>
    <t>・Đã mở màn search
・Đã search bằng JAコード `1301`, đang xem page 3, đã apply sort JAコード desc</t>
  </si>
  <si>
    <r>
      <rPr>
        <rFont val="游ゴシック"/>
        <b/>
        <color rgb="FF000000"/>
        <sz val="10.0"/>
      </rPr>
      <t xml:space="preserve">ステップ1：
</t>
    </r>
    <r>
      <rPr>
        <rFont val="游ゴシック"/>
        <color rgb="FF000000"/>
        <sz val="10.0"/>
      </rPr>
      <t xml:space="preserve">Click nút "検索クリア"
</t>
    </r>
    <r>
      <rPr>
        <rFont val="游ゴシック"/>
        <b/>
        <color rgb="FF000000"/>
        <sz val="10.0"/>
      </rPr>
      <t xml:space="preserve">ステップ2：
</t>
    </r>
    <r>
      <rPr>
        <rFont val="游ゴシック"/>
        <color rgb="FF000000"/>
        <sz val="10.0"/>
      </rPr>
      <t xml:space="preserve">Kiểm tra nội dung form search
</t>
    </r>
    <r>
      <rPr>
        <rFont val="游ゴシック"/>
        <b/>
        <color rgb="FF000000"/>
        <sz val="10.0"/>
      </rPr>
      <t xml:space="preserve">ステップ3：
</t>
    </r>
    <r>
      <rPr>
        <rFont val="游ゴシック"/>
        <color rgb="FF000000"/>
        <sz val="10.0"/>
      </rPr>
      <t xml:space="preserve">Kiểm tra trạng thái phân trang
</t>
    </r>
    <r>
      <rPr>
        <rFont val="游ゴシック"/>
        <b/>
        <color rgb="FF000000"/>
        <sz val="10.0"/>
      </rPr>
      <t xml:space="preserve">ステップ4：
</t>
    </r>
    <r>
      <rPr>
        <rFont val="游ゴシック"/>
        <color rgb="FF000000"/>
        <sz val="10.0"/>
      </rPr>
      <t xml:space="preserve">Kiểm tra trạng thái icon sort
</t>
    </r>
    <r>
      <rPr>
        <rFont val="游ゴシック"/>
        <b/>
        <color rgb="FF000000"/>
        <sz val="10.0"/>
      </rPr>
      <t xml:space="preserve">ステップ5：
</t>
    </r>
    <r>
      <rPr>
        <rFont val="游ゴシック"/>
        <color rgb="FF000000"/>
        <sz val="10.0"/>
      </rPr>
      <t>Kiểm tra nội dung bảng list</t>
    </r>
  </si>
  <si>
    <r>
      <rPr>
        <rFont val="游ゴシック"/>
        <b/>
        <color rgb="FF000000"/>
        <sz val="10.0"/>
      </rPr>
      <t xml:space="preserve">ステップ1：
</t>
    </r>
    <r>
      <rPr>
        <rFont val="游ゴシック"/>
        <color rgb="FF000000"/>
        <sz val="10.0"/>
      </rPr>
      <t xml:space="preserve">Thực hiện clear
</t>
    </r>
    <r>
      <rPr>
        <rFont val="游ゴシック"/>
        <b/>
        <color rgb="FF000000"/>
        <sz val="10.0"/>
      </rPr>
      <t xml:space="preserve">ステップ2：
</t>
    </r>
    <r>
      <rPr>
        <rFont val="游ゴシック"/>
        <color rgb="FF000000"/>
        <sz val="10.0"/>
      </rPr>
      <t xml:space="preserve">JAコード và JA名 đều reset về rỗng
</t>
    </r>
    <r>
      <rPr>
        <rFont val="游ゴシック"/>
        <b/>
        <color rgb="FF000000"/>
        <sz val="10.0"/>
      </rPr>
      <t xml:space="preserve">ステップ3：
</t>
    </r>
    <r>
      <rPr>
        <rFont val="游ゴシック"/>
        <color rgb="FF000000"/>
        <sz val="10.0"/>
      </rPr>
      <t xml:space="preserve">Quay về page 1 (page hiện tại hiển thị "1")
</t>
    </r>
    <r>
      <rPr>
        <rFont val="游ゴシック"/>
        <b/>
        <color rgb="FF000000"/>
        <sz val="10.0"/>
      </rPr>
      <t xml:space="preserve">ステップ4：
</t>
    </r>
    <r>
      <rPr>
        <rFont val="游ゴシック"/>
        <color rgb="FF000000"/>
        <sz val="10.0"/>
      </rPr>
      <t xml:space="preserve">Icon sort về trạng thái không hiển thị (initial state)
</t>
    </r>
    <r>
      <rPr>
        <rFont val="游ゴシック"/>
        <b/>
        <color rgb="FF000000"/>
        <sz val="10.0"/>
      </rPr>
      <t xml:space="preserve">ステップ5：
</t>
    </r>
    <r>
      <rPr>
        <rFont val="游ゴシック"/>
        <color rgb="FF000000"/>
        <sz val="10.0"/>
      </rPr>
      <t xml:space="preserve">Toàn bộ record JA (sau khi áp dụng DataScope) hiển thị theo thứ tự mặc định
</t>
    </r>
    <r>
      <rPr>
        <rFont val="游ゴシック"/>
        <b/>
        <color rgb="FF000000"/>
        <sz val="10.0"/>
      </rPr>
      <t xml:space="preserve">補足：
</t>
    </r>
    <r>
      <rPr>
        <rFont val="游ゴシック"/>
        <color rgb="FF000000"/>
        <sz val="10.0"/>
      </rPr>
      <t>・Reset toàn bộ search condition + sort + page về initial state
・Khi clear search không hiển thị confirm modal</t>
    </r>
  </si>
  <si>
    <t>ACSMS-TC-004-020</t>
  </si>
  <si>
    <t>Không có kết quả search — hiển thị ACSMS-MSG-004-001</t>
  </si>
  <si>
    <t>・Đã mở màn search
・Test data: chưa đăng ký record nào ứng với `ja_code='ZZZ99999'`</t>
  </si>
  <si>
    <r>
      <rPr>
        <rFont val="メイリオ"/>
        <b/>
        <color rgb="FF000000"/>
        <sz val="10.0"/>
      </rPr>
      <t xml:space="preserve">ステップ1：
</t>
    </r>
    <r>
      <rPr>
        <rFont val="メイリオ"/>
        <color rgb="FF000000"/>
        <sz val="10.0"/>
      </rPr>
      <t xml:space="preserve">Nhập `ZZZ99999` vào JAコード và click "検索"
</t>
    </r>
    <r>
      <rPr>
        <rFont val="メイリオ"/>
        <b/>
        <color rgb="FF000000"/>
        <sz val="10.0"/>
      </rPr>
      <t xml:space="preserve">ステップ2：
</t>
    </r>
    <r>
      <rPr>
        <rFont val="メイリオ"/>
        <color rgb="FF000000"/>
        <sz val="10.0"/>
      </rPr>
      <t xml:space="preserve">Kiểm tra hiển thị màn hình
</t>
    </r>
    <r>
      <rPr>
        <rFont val="メイリオ"/>
        <b/>
        <color rgb="FF000000"/>
        <sz val="10.0"/>
      </rPr>
      <t xml:space="preserve">ステップ3：
</t>
    </r>
    <r>
      <rPr>
        <rFont val="メイリオ"/>
        <color rgb="FF000000"/>
        <sz val="10.0"/>
      </rPr>
      <t>Kiểm tra vùng bảng list</t>
    </r>
  </si>
  <si>
    <r>
      <rPr>
        <rFont val="游ゴシック"/>
        <b/>
        <color rgb="FF000000"/>
        <sz val="10.0"/>
      </rPr>
      <t xml:space="preserve">ステップ1：
</t>
    </r>
    <r>
      <rPr>
        <rFont val="游ゴシック"/>
        <color rgb="FF000000"/>
        <sz val="10.0"/>
      </rPr>
      <t xml:space="preserve">Trả về HTTP 200 (trả về `data: []`, `meta.total: 0`)
</t>
    </r>
    <r>
      <rPr>
        <rFont val="游ゴシック"/>
        <b/>
        <color rgb="FF000000"/>
        <sz val="10.0"/>
      </rPr>
      <t xml:space="preserve">ステップ2：
</t>
    </r>
    <r>
      <rPr>
        <rFont val="游ゴシック"/>
        <color rgb="FF000000"/>
        <sz val="10.0"/>
      </rPr>
      <t xml:space="preserve">Message không có kết quả `検索結果が見つかりませんでした。` hiển thị bên ngoài bảng list
</t>
    </r>
    <r>
      <rPr>
        <rFont val="游ゴシック"/>
        <b/>
        <color rgb="FF000000"/>
        <sz val="10.0"/>
      </rPr>
      <t xml:space="preserve">ステップ3：
</t>
    </r>
    <r>
      <rPr>
        <rFont val="游ゴシック"/>
        <color rgb="FF000000"/>
        <sz val="10.0"/>
      </rPr>
      <t xml:space="preserve">Không có data row nào hiển thị.
</t>
    </r>
    <r>
      <rPr>
        <rFont val="游ゴシック"/>
        <b/>
        <color rgb="FF000000"/>
        <sz val="10.0"/>
      </rPr>
      <t xml:space="preserve">補足：
</t>
    </r>
    <r>
      <rPr>
        <rFont val="游ゴシック"/>
        <color rgb="FF000000"/>
        <sz val="10.0"/>
      </rPr>
      <t>・Tương ứng ACSMS-MSG-004-001
・Message rỗng được hiển thị ở phần tử anh em bên ngoài table chứ không qua slot `#emptyText` của a-table</t>
    </r>
  </si>
  <si>
    <t>ACSMS-TC-004-021</t>
  </si>
  <si>
    <t>Giá trị biên max length của trường search (JAコード 10 ký tự, JA名 100 ký tự)</t>
  </si>
  <si>
    <r>
      <rPr>
        <rFont val="游ゴシック"/>
        <b/>
        <color rgb="FF000000"/>
        <sz val="10.0"/>
      </rPr>
      <t xml:space="preserve">ステップ1：
</t>
    </r>
    <r>
      <rPr>
        <rFont val="游ゴシック"/>
        <color rgb="FF000000"/>
        <sz val="10.0"/>
      </rPr>
      <t xml:space="preserve">Nhập 10 ký tự (ví dụ `1234567890`) vào JAコード và click "検索"
</t>
    </r>
    <r>
      <rPr>
        <rFont val="游ゴシック"/>
        <b/>
        <color rgb="FF000000"/>
        <sz val="10.0"/>
      </rPr>
      <t xml:space="preserve">ステップ2：
</t>
    </r>
    <r>
      <rPr>
        <rFont val="游ゴシック"/>
        <color rgb="FF000000"/>
        <sz val="10.0"/>
      </rPr>
      <t xml:space="preserve">Nhập 11 ký tự (ví dụ `12345678901`) vào JAコード và click "検索"
</t>
    </r>
    <r>
      <rPr>
        <rFont val="游ゴシック"/>
        <b/>
        <color rgb="FF000000"/>
        <sz val="10.0"/>
      </rPr>
      <t xml:space="preserve">ステップ3：
</t>
    </r>
    <r>
      <rPr>
        <rFont val="游ゴシック"/>
        <color rgb="FF000000"/>
        <sz val="10.0"/>
      </rPr>
      <t xml:space="preserve">Nhập 100 ký tự (ví dụ `東` × 100) vào JA名 và click "検索"
</t>
    </r>
    <r>
      <rPr>
        <rFont val="游ゴシック"/>
        <b/>
        <color rgb="FF000000"/>
        <sz val="10.0"/>
      </rPr>
      <t xml:space="preserve">ステップ4：
</t>
    </r>
    <r>
      <rPr>
        <rFont val="游ゴシック"/>
        <color rgb="FF000000"/>
        <sz val="10.0"/>
      </rPr>
      <t>Nhập 101 ký tự (ví dụ `東` × 101) vào JA名 và click "検索"</t>
    </r>
  </si>
  <si>
    <r>
      <rPr>
        <rFont val="メイリオ"/>
        <b/>
        <color rgb="FF000000"/>
        <sz val="10.0"/>
      </rPr>
      <t xml:space="preserve">ステップ1：
</t>
    </r>
    <r>
      <rPr>
        <rFont val="メイリオ"/>
        <color rgb="FF000000"/>
        <sz val="10.0"/>
      </rPr>
      <t xml:space="preserve">Trả về HTTP 200 (search thực hiện bình thường)
</t>
    </r>
    <r>
      <rPr>
        <rFont val="メイリオ"/>
        <b/>
        <color rgb="FF000000"/>
        <sz val="10.0"/>
      </rPr>
      <t xml:space="preserve">ステップ2：
</t>
    </r>
    <r>
      <rPr>
        <rFont val="メイリオ"/>
        <color rgb="FF000000"/>
        <sz val="10.0"/>
      </rPr>
      <t xml:space="preserve">Trả về HTTP 400 (`error_code: VALIDATION_ERROR`, mảng `errors[]` chứa item `field: ja_code`)
</t>
    </r>
    <r>
      <rPr>
        <rFont val="メイリオ"/>
        <b/>
        <color rgb="FF000000"/>
        <sz val="10.0"/>
      </rPr>
      <t xml:space="preserve">ステップ3：
</t>
    </r>
    <r>
      <rPr>
        <rFont val="メイリオ"/>
        <color rgb="FF000000"/>
        <sz val="10.0"/>
      </rPr>
      <t xml:space="preserve">Trả về HTTP 200 (search thực hiện bình thường)
</t>
    </r>
    <r>
      <rPr>
        <rFont val="メイリオ"/>
        <b/>
        <color rgb="FF000000"/>
        <sz val="10.0"/>
      </rPr>
      <t xml:space="preserve">ステップ4：
</t>
    </r>
    <r>
      <rPr>
        <rFont val="メイリオ"/>
        <color rgb="FF000000"/>
        <sz val="10.0"/>
      </rPr>
      <t xml:space="preserve">Trả về HTTP 400 (`error_code: VALIDATION_ERROR`, mảng `errors[]` chứa item `field: ja_name`)
</t>
    </r>
    <r>
      <rPr>
        <rFont val="メイリオ"/>
        <b/>
        <color rgb="FF000000"/>
        <sz val="10.0"/>
      </rPr>
      <t xml:space="preserve">補足：
</t>
    </r>
    <r>
      <rPr>
        <rFont val="メイリオ"/>
        <color rgb="FF000000"/>
        <sz val="10.0"/>
      </rPr>
      <t xml:space="preserve">・JAコード max 10 ký tự, JA名 max 100 ký tự (theo request parameter API design)
</t>
    </r>
    <r>
      <rPr>
        <rFont val="メイリオ"/>
        <color rgb="FF000000"/>
        <sz val="10.0"/>
      </rPr>
      <t>・Tại max nhận bình thường, max+1 từ chối (đồng vị phân chia / phân tích giá trị biên)</t>
    </r>
  </si>
  <si>
    <t>ACSMS-TC-004-022</t>
  </si>
  <si>
    <t>An toàn XSS / HTML rendering của trường search</t>
  </si>
  <si>
    <r>
      <rPr>
        <rFont val="游ゴシック"/>
        <b/>
        <color rgb="FF000000"/>
        <sz val="10.0"/>
      </rPr>
      <t xml:space="preserve">ステップ1：
</t>
    </r>
    <r>
      <rPr>
        <rFont val="游ゴシック"/>
        <color rgb="FF000000"/>
        <sz val="10.0"/>
      </rPr>
      <t xml:space="preserve">Nhập `&lt;script&gt;alert('XSS')&lt;/script&gt;` vào JA名 và click "検索"
</t>
    </r>
    <r>
      <rPr>
        <rFont val="游ゴシック"/>
        <b/>
        <color rgb="FF000000"/>
        <sz val="10.0"/>
      </rPr>
      <t xml:space="preserve">ステップ2：
</t>
    </r>
    <r>
      <rPr>
        <rFont val="游ゴシック"/>
        <color rgb="FF000000"/>
        <sz val="10.0"/>
      </rPr>
      <t xml:space="preserve">Nhập `&lt;img src=x onerror=alert(1)&gt;` vào JA名 và click "検索"
</t>
    </r>
    <r>
      <rPr>
        <rFont val="游ゴシック"/>
        <b/>
        <color rgb="FF000000"/>
        <sz val="10.0"/>
      </rPr>
      <t xml:space="preserve">ステップ3：
</t>
    </r>
    <r>
      <rPr>
        <rFont val="游ゴシック"/>
        <color rgb="FF000000"/>
        <sz val="10.0"/>
      </rPr>
      <t xml:space="preserve">Kiểm tra hành vi browser
</t>
    </r>
    <r>
      <rPr>
        <rFont val="游ゴシック"/>
        <b/>
        <color rgb="FF000000"/>
        <sz val="10.0"/>
      </rPr>
      <t xml:space="preserve">ステップ4：
</t>
    </r>
    <r>
      <rPr>
        <rFont val="游ゴシック"/>
        <color rgb="FF000000"/>
        <sz val="10.0"/>
      </rPr>
      <t>Kiểm tra hiển thị màn hình</t>
    </r>
  </si>
  <si>
    <r>
      <rPr>
        <rFont val="メイリオ"/>
        <b/>
        <color rgb="FF000000"/>
        <sz val="10.0"/>
      </rPr>
      <t xml:space="preserve">ステップ1：
</t>
    </r>
    <r>
      <rPr>
        <rFont val="メイリオ"/>
        <color rgb="FF000000"/>
        <sz val="10.0"/>
      </rPr>
      <t xml:space="preserve">Trả về HTTP 200 (`data: []` (không có record khớp))
</t>
    </r>
    <r>
      <rPr>
        <rFont val="メイリオ"/>
        <b/>
        <color rgb="FF000000"/>
        <sz val="10.0"/>
      </rPr>
      <t xml:space="preserve">ステップ2：
</t>
    </r>
    <r>
      <rPr>
        <rFont val="メイリオ"/>
        <color rgb="FF000000"/>
        <sz val="10.0"/>
      </rPr>
      <t xml:space="preserve">Trả về HTTP 200 (`data: []`)
</t>
    </r>
    <r>
      <rPr>
        <rFont val="メイリオ"/>
        <b/>
        <color rgb="FF000000"/>
        <sz val="10.0"/>
      </rPr>
      <t xml:space="preserve">ステップ3：
</t>
    </r>
    <r>
      <rPr>
        <rFont val="メイリオ"/>
        <color rgb="FF000000"/>
        <sz val="10.0"/>
      </rPr>
      <t xml:space="preserve">Không xuất hiện JavaScript alert
</t>
    </r>
    <r>
      <rPr>
        <rFont val="メイリオ"/>
        <b/>
        <color rgb="FF000000"/>
        <sz val="10.0"/>
      </rPr>
      <t xml:space="preserve">ステップ4：
</t>
    </r>
    <r>
      <rPr>
        <rFont val="メイリオ"/>
        <color rgb="FF000000"/>
        <sz val="10.0"/>
      </rPr>
      <t xml:space="preserve">Trên ô input hiển thị nguyên chuỗi đã được escape (render an toàn dưới dạng text)
</t>
    </r>
    <r>
      <rPr>
        <rFont val="メイリオ"/>
        <b/>
        <color rgb="FF000000"/>
        <sz val="10.0"/>
      </rPr>
      <t xml:space="preserve">補足：
</t>
    </r>
    <r>
      <rPr>
        <rFont val="メイリオ"/>
        <color rgb="FF000000"/>
        <sz val="10.0"/>
      </rPr>
      <t xml:space="preserve">・XSS attack bị vô hiệu hóa nhờ auto-escape của Vue qua `{{ }}` interpolation
</t>
    </r>
    <r>
      <rPr>
        <rFont val="メイリオ"/>
        <color rgb="FF000000"/>
        <sz val="10.0"/>
      </rPr>
      <t>・Mặc dù được truyền vào ILIKE clause như search condition, parameterized query khiến không bị parse như SQL syntax</t>
    </r>
  </si>
  <si>
    <t>ACSMS-TC-004-023</t>
  </si>
  <si>
    <t>An toàn SQL Injection của trường search</t>
  </si>
  <si>
    <t>・Đã mở màn search
・Test data: nhiều record JA đã đăng ký</t>
  </si>
  <si>
    <r>
      <rPr>
        <rFont val="游ゴシック"/>
        <b/>
        <color rgb="FF000000"/>
        <sz val="10.0"/>
      </rPr>
      <t xml:space="preserve">ステップ1：
</t>
    </r>
    <r>
      <rPr>
        <rFont val="游ゴシック"/>
        <color rgb="FF000000"/>
        <sz val="10.0"/>
      </rPr>
      <t xml:space="preserve">Nhập `' OR '1'='1` vào JAコード và click "検索"
</t>
    </r>
    <r>
      <rPr>
        <rFont val="游ゴシック"/>
        <b/>
        <color rgb="FF000000"/>
        <sz val="10.0"/>
      </rPr>
      <t xml:space="preserve">ステップ2：
</t>
    </r>
    <r>
      <rPr>
        <rFont val="游ゴシック"/>
        <color rgb="FF000000"/>
        <sz val="10.0"/>
      </rPr>
      <t xml:space="preserve">Nhập `'; DROP TABLE m_ja; --` vào JA名 và click "検索"
</t>
    </r>
    <r>
      <rPr>
        <rFont val="游ゴシック"/>
        <b/>
        <color rgb="FF000000"/>
        <sz val="10.0"/>
      </rPr>
      <t xml:space="preserve">ステップ3：
</t>
    </r>
    <r>
      <rPr>
        <rFont val="游ゴシック"/>
        <color rgb="FF000000"/>
        <sz val="10.0"/>
      </rPr>
      <t>Kiểm tra DB: `SELECT COUNT(*) FROM m_ja WHERE deleted_at IS NULL`</t>
    </r>
  </si>
  <si>
    <r>
      <rPr>
        <rFont val="メイリオ"/>
        <b/>
        <color rgb="FF000000"/>
        <sz val="10.0"/>
      </rPr>
      <t xml:space="preserve">ステップ1：
</t>
    </r>
    <r>
      <rPr>
        <rFont val="メイリオ"/>
        <color rgb="FF000000"/>
        <sz val="10.0"/>
      </rPr>
      <t xml:space="preserve">Trả về HTTP 200 (`data: []` (không có record khớp) — SQL payload được truyền vào ILIKE clause như literal string)
</t>
    </r>
    <r>
      <rPr>
        <rFont val="メイリオ"/>
        <b/>
        <color rgb="FF000000"/>
        <sz val="10.0"/>
      </rPr>
      <t xml:space="preserve">ステップ2：
</t>
    </r>
    <r>
      <rPr>
        <rFont val="メイリオ"/>
        <color rgb="FF000000"/>
        <sz val="10.0"/>
      </rPr>
      <t xml:space="preserve">Trả về HTTP 200 (`data: []` — tương tự, không xảy ra việc xóa table)
</t>
    </r>
    <r>
      <rPr>
        <rFont val="メイリオ"/>
        <b/>
        <color rgb="FF000000"/>
        <sz val="10.0"/>
      </rPr>
      <t xml:space="preserve">ステップ3：
</t>
    </r>
    <r>
      <rPr>
        <rFont val="メイリオ"/>
        <color rgb="FF000000"/>
        <sz val="10.0"/>
      </rPr>
      <t xml:space="preserve">Số record JA giống trước khi test (table không bị xóa)
</t>
    </r>
    <r>
      <rPr>
        <rFont val="メイリオ"/>
        <b/>
        <color rgb="FF000000"/>
        <sz val="10.0"/>
      </rPr>
      <t xml:space="preserve">補足：
</t>
    </r>
    <r>
      <rPr>
        <rFont val="メイリオ"/>
        <color rgb="FF000000"/>
        <sz val="10.0"/>
      </rPr>
      <t xml:space="preserve">・SQL Injection bị vô hiệu hóa nhờ parameterized query của TypeORM (bind variable `:ja_code`)
</t>
    </r>
    <r>
      <rPr>
        <rFont val="メイリオ"/>
        <color rgb="FF000000"/>
        <sz val="10.0"/>
      </rPr>
      <t>・Tuân thủ quan điểm VP-A-10 "SQL Injection" (testcase-viewpoints.md v1.1)</t>
    </r>
  </si>
  <si>
    <t>ACSMS-TC-004-024</t>
  </si>
  <si>
    <t>Sort — chuyển đổi 3 trạng thái khi click header cột JAコード</t>
  </si>
  <si>
    <r>
      <rPr>
        <rFont val="メイリオ"/>
        <b/>
        <color rgb="FF000000"/>
        <sz val="10.0"/>
      </rPr>
      <t xml:space="preserve">ステップ1：
</t>
    </r>
    <r>
      <rPr>
        <rFont val="メイリオ"/>
        <color rgb="FF000000"/>
        <sz val="10.0"/>
      </rPr>
      <t xml:space="preserve">Click header cột JAコード (lần 1)
</t>
    </r>
    <r>
      <rPr>
        <rFont val="メイリオ"/>
        <b/>
        <color rgb="FF000000"/>
        <sz val="10.0"/>
      </rPr>
      <t xml:space="preserve">ステップ2：
</t>
    </r>
    <r>
      <rPr>
        <rFont val="メイリオ"/>
        <color rgb="FF000000"/>
        <sz val="10.0"/>
      </rPr>
      <t xml:space="preserve">Click header cột JAコード (lần 2)
</t>
    </r>
    <r>
      <rPr>
        <rFont val="メイリオ"/>
        <b/>
        <color rgb="FF000000"/>
        <sz val="10.0"/>
      </rPr>
      <t xml:space="preserve">ステップ3：
</t>
    </r>
    <r>
      <rPr>
        <rFont val="メイリオ"/>
        <color rgb="FF000000"/>
        <sz val="10.0"/>
      </rPr>
      <t xml:space="preserve">Click header cột JAコード (lần 3)
</t>
    </r>
    <r>
      <rPr>
        <rFont val="メイリオ"/>
        <b/>
        <color rgb="FF000000"/>
        <sz val="10.0"/>
      </rPr>
      <t xml:space="preserve">ステップ4：
</t>
    </r>
    <r>
      <rPr>
        <rFont val="メイリオ"/>
        <color rgb="FF000000"/>
        <sz val="10.0"/>
      </rPr>
      <t>Kiểm tra request parameter ở mỗi lần click trên DevTools</t>
    </r>
  </si>
  <si>
    <r>
      <rPr>
        <rFont val="メイリオ"/>
        <b/>
        <color rgb="FF000000"/>
        <sz val="10.0"/>
      </rPr>
      <t xml:space="preserve">ステップ1：
</t>
    </r>
    <r>
      <rPr>
        <rFont val="メイリオ"/>
        <color rgb="FF000000"/>
        <sz val="10.0"/>
      </rPr>
      <t xml:space="preserve">Sort asc, header hiển thị icon ▲. Query parameter `sort_by=ja_code&amp;sort_order=asc`
</t>
    </r>
    <r>
      <rPr>
        <rFont val="メイリオ"/>
        <b/>
        <color rgb="FF000000"/>
        <sz val="10.0"/>
      </rPr>
      <t xml:space="preserve">ステップ2：
</t>
    </r>
    <r>
      <rPr>
        <rFont val="メイリオ"/>
        <color rgb="FF000000"/>
        <sz val="10.0"/>
      </rPr>
      <t xml:space="preserve">Sort desc, header hiển thị icon ▼. Query parameter `sort_by=ja_code&amp;sort_order=desc`
</t>
    </r>
    <r>
      <rPr>
        <rFont val="メイリオ"/>
        <b/>
        <color rgb="FF000000"/>
        <sz val="10.0"/>
      </rPr>
      <t xml:space="preserve">ステップ3：
</t>
    </r>
    <r>
      <rPr>
        <rFont val="メイリオ"/>
        <color rgb="FF000000"/>
        <sz val="10.0"/>
      </rPr>
      <t xml:space="preserve">Quay về không sort (initial state), icon không hiển thị. Item liên quan sort bị loại khỏi query parameter
</t>
    </r>
    <r>
      <rPr>
        <rFont val="メイリオ"/>
        <b/>
        <color rgb="FF000000"/>
        <sz val="10.0"/>
      </rPr>
      <t xml:space="preserve">ステップ4：
</t>
    </r>
    <r>
      <rPr>
        <rFont val="メイリオ"/>
        <color rgb="FF000000"/>
        <sz val="10.0"/>
      </rPr>
      <t xml:space="preserve">Mỗi lần click đều thực thi GET `/api/v1/ja`, sort condition được phản ánh
</t>
    </r>
    <r>
      <rPr>
        <rFont val="メイリオ"/>
        <b/>
        <color rgb="FF000000"/>
        <sz val="10.0"/>
      </rPr>
      <t xml:space="preserve">補足：
</t>
    </r>
    <r>
      <rPr>
        <rFont val="メイリオ"/>
        <color rgb="FF000000"/>
        <sz val="10.0"/>
      </rPr>
      <t xml:space="preserve">・Quy tắc chuyển sort: lần 1 = asc → lần 2 = desc → lần 3 = clear
</t>
    </r>
    <r>
      <rPr>
        <rFont val="メイリオ"/>
        <color rgb="FF000000"/>
        <sz val="10.0"/>
      </rPr>
      <t>・Search condition và page size hiện tại được giữ nguyên (page quay về page 1)</t>
    </r>
  </si>
  <si>
    <t>ACSMS-TC-004-025</t>
  </si>
  <si>
    <t>Sort — chuyển đổi 3 trạng thái khi click header cột 都道府県</t>
  </si>
  <si>
    <t>・Đã mở màn search
・Test data: record JA của nhiều prefecture khác nhau (Tokyo, Osaka, Aichi...) đã đăng ký</t>
  </si>
  <si>
    <r>
      <rPr>
        <rFont val="メイリオ"/>
        <b/>
        <color rgb="FF000000"/>
        <sz val="10.0"/>
      </rPr>
      <t xml:space="preserve">ステップ1：
</t>
    </r>
    <r>
      <rPr>
        <rFont val="メイリオ"/>
        <color rgb="FF000000"/>
        <sz val="10.0"/>
      </rPr>
      <t xml:space="preserve">Click header cột 都道府県 (asc)
</t>
    </r>
    <r>
      <rPr>
        <rFont val="メイリオ"/>
        <b/>
        <color rgb="FF000000"/>
        <sz val="10.0"/>
      </rPr>
      <t xml:space="preserve">ステップ2：
</t>
    </r>
    <r>
      <rPr>
        <rFont val="メイリオ"/>
        <color rgb="FF000000"/>
        <sz val="10.0"/>
      </rPr>
      <t xml:space="preserve">Click thêm 1 lần nữa (desc)
</t>
    </r>
    <r>
      <rPr>
        <rFont val="メイリオ"/>
        <b/>
        <color rgb="FF000000"/>
        <sz val="10.0"/>
      </rPr>
      <t xml:space="preserve">ステップ3：
</t>
    </r>
    <r>
      <rPr>
        <rFont val="メイリオ"/>
        <color rgb="FF000000"/>
        <sz val="10.0"/>
      </rPr>
      <t>Click lần 3 (clear)</t>
    </r>
  </si>
  <si>
    <r>
      <rPr>
        <rFont val="メイリオ"/>
        <b/>
        <color rgb="FF000000"/>
        <sz val="10.0"/>
      </rPr>
      <t xml:space="preserve">ステップ1：
</t>
    </r>
    <r>
      <rPr>
        <rFont val="メイリオ"/>
        <color rgb="FF000000"/>
        <sz val="10.0"/>
      </rPr>
      <t xml:space="preserve">Sort asc, hiển thị icon ▲, `sort_by=todofuken_code&amp;sort_order=asc`
</t>
    </r>
    <r>
      <rPr>
        <rFont val="メイリオ"/>
        <b/>
        <color rgb="FF000000"/>
        <sz val="10.0"/>
      </rPr>
      <t xml:space="preserve">ステップ2：
</t>
    </r>
    <r>
      <rPr>
        <rFont val="メイリオ"/>
        <color rgb="FF000000"/>
        <sz val="10.0"/>
      </rPr>
      <t xml:space="preserve">Sort desc, hiển thị icon ▼, `sort_by=todofuken_code&amp;sort_order=desc`
</t>
    </r>
    <r>
      <rPr>
        <rFont val="メイリオ"/>
        <b/>
        <color rgb="FF000000"/>
        <sz val="10.0"/>
      </rPr>
      <t xml:space="preserve">ステップ3：
</t>
    </r>
    <r>
      <rPr>
        <rFont val="メイリオ"/>
        <color rgb="FF000000"/>
        <sz val="10.0"/>
      </rPr>
      <t xml:space="preserve">Quay về không sort, icon không hiển thị
</t>
    </r>
    <r>
      <rPr>
        <rFont val="メイリオ"/>
        <b/>
        <color rgb="FF000000"/>
        <sz val="10.0"/>
      </rPr>
      <t xml:space="preserve">補足：
</t>
    </r>
    <r>
      <rPr>
        <rFont val="メイリオ"/>
        <color rgb="FF000000"/>
        <sz val="10.0"/>
      </rPr>
      <t xml:space="preserve">・Đối tượng sort là `todofuken_code` (mã prefecture), không phải `todofuken_name` đang hiển thị
</t>
    </r>
    <r>
      <rPr>
        <rFont val="メイリオ"/>
        <color rgb="FF000000"/>
        <sz val="10.0"/>
      </rPr>
      <t>・Theo thứ tự code: 13 (Tokyo) → 23 (Aichi) → 27 (Osaka)</t>
    </r>
  </si>
  <si>
    <t>ACSMS-TC-004-026</t>
  </si>
  <si>
    <t>Phân trang — chuyển page size</t>
  </si>
  <si>
    <t>・Đã mở màn search
・Test data: 124 record JA đã đăng ký</t>
  </si>
  <si>
    <r>
      <rPr>
        <rFont val="メイリオ"/>
        <b/>
        <color rgb="FF000000"/>
        <sz val="10.0"/>
      </rPr>
      <t xml:space="preserve">ステップ1：
</t>
    </r>
    <r>
      <rPr>
        <rFont val="メイリオ"/>
        <color rgb="FF000000"/>
        <sz val="10.0"/>
      </rPr>
      <t xml:space="preserve">Chọn "10 / 頁" trên dropdown page size
</t>
    </r>
    <r>
      <rPr>
        <rFont val="メイリオ"/>
        <b/>
        <color rgb="FF000000"/>
        <sz val="10.0"/>
      </rPr>
      <t xml:space="preserve">ステップ2：
</t>
    </r>
    <r>
      <rPr>
        <rFont val="メイリオ"/>
        <color rgb="FF000000"/>
        <sz val="10.0"/>
      </rPr>
      <t xml:space="preserve">Chọn "50 / 頁"
</t>
    </r>
    <r>
      <rPr>
        <rFont val="メイリオ"/>
        <b/>
        <color rgb="FF000000"/>
        <sz val="10.0"/>
      </rPr>
      <t xml:space="preserve">ステップ3：
</t>
    </r>
    <r>
      <rPr>
        <rFont val="メイリオ"/>
        <color rgb="FF000000"/>
        <sz val="10.0"/>
      </rPr>
      <t xml:space="preserve">Chọn "100 / 頁"
</t>
    </r>
    <r>
      <rPr>
        <rFont val="メイリオ"/>
        <b/>
        <color rgb="FF000000"/>
        <sz val="10.0"/>
      </rPr>
      <t xml:space="preserve">ステップ4：
</t>
    </r>
    <r>
      <rPr>
        <rFont val="メイリオ"/>
        <color rgb="FF000000"/>
        <sz val="10.0"/>
      </rPr>
      <t>Kiểm tra parameter `per_page` ở mỗi request trên DevTools</t>
    </r>
  </si>
  <si>
    <r>
      <rPr>
        <rFont val="メイリオ"/>
        <b/>
        <color rgb="FF000000"/>
        <sz val="10.0"/>
      </rPr>
      <t xml:space="preserve">ステップ1：
</t>
    </r>
    <r>
      <rPr>
        <rFont val="メイリオ"/>
        <color rgb="FF000000"/>
        <sz val="10.0"/>
      </rPr>
      <t xml:space="preserve">Số record hiển thị là 10 record, tổng số page chuyển sang 13 page, `per_page=10`
</t>
    </r>
    <r>
      <rPr>
        <rFont val="メイリオ"/>
        <b/>
        <color rgb="FF000000"/>
        <sz val="10.0"/>
      </rPr>
      <t xml:space="preserve">ステップ2：
</t>
    </r>
    <r>
      <rPr>
        <rFont val="メイリオ"/>
        <color rgb="FF000000"/>
        <sz val="10.0"/>
      </rPr>
      <t xml:space="preserve">Số record hiển thị là 50 record, tổng số page là 3 page, `per_page=50`
</t>
    </r>
    <r>
      <rPr>
        <rFont val="メイリオ"/>
        <b/>
        <color rgb="FF000000"/>
        <sz val="10.0"/>
      </rPr>
      <t xml:space="preserve">ステップ3：
</t>
    </r>
    <r>
      <rPr>
        <rFont val="メイリオ"/>
        <color rgb="FF000000"/>
        <sz val="10.0"/>
      </rPr>
      <t xml:space="preserve">Số record hiển thị là 100 record, tổng số page là 2 page, `per_page=100`
</t>
    </r>
    <r>
      <rPr>
        <rFont val="メイリオ"/>
        <b/>
        <color rgb="FF000000"/>
        <sz val="10.0"/>
      </rPr>
      <t xml:space="preserve">ステップ4：
</t>
    </r>
    <r>
      <rPr>
        <rFont val="メイリオ"/>
        <color rgb="FF000000"/>
        <sz val="10.0"/>
      </rPr>
      <t xml:space="preserve">Page size được phản ánh ở mỗi request
</t>
    </r>
    <r>
      <rPr>
        <rFont val="メイリオ"/>
        <b/>
        <color rgb="FF000000"/>
        <sz val="10.0"/>
      </rPr>
      <t xml:space="preserve">補足：
</t>
    </r>
    <r>
      <rPr>
        <rFont val="メイリオ"/>
        <color rgb="FF000000"/>
        <sz val="10.0"/>
      </rPr>
      <t xml:space="preserve">・per_page tối đa là 100 (theo API design)
</t>
    </r>
    <r>
      <rPr>
        <rFont val="メイリオ"/>
        <color rgb="FF000000"/>
        <sz val="10.0"/>
      </rPr>
      <t>・Khi đổi per_page, quay về page 1</t>
    </r>
  </si>
  <si>
    <t>ACSMS-TC-004-027</t>
  </si>
  <si>
    <t>Phân trang — giữ nguyên search condition và sort condition</t>
  </si>
  <si>
    <t>・Đã mở màn search
・Test data: 25 record JA chứa "東京" trong `ja_name` đã đăng ký</t>
  </si>
  <si>
    <r>
      <rPr>
        <rFont val="游ゴシック"/>
        <b/>
        <color rgb="FF000000"/>
        <sz val="10.0"/>
      </rPr>
      <t xml:space="preserve">ステップ1：
</t>
    </r>
    <r>
      <rPr>
        <rFont val="游ゴシック"/>
        <color rgb="FF000000"/>
        <sz val="10.0"/>
      </rPr>
      <t xml:space="preserve">Nhập `東京` vào JA名 và click "検索"
</t>
    </r>
    <r>
      <rPr>
        <rFont val="游ゴシック"/>
        <b/>
        <color rgb="FF000000"/>
        <sz val="10.0"/>
      </rPr>
      <t xml:space="preserve">ステップ2：
</t>
    </r>
    <r>
      <rPr>
        <rFont val="游ゴシック"/>
        <color rgb="FF000000"/>
        <sz val="10.0"/>
      </rPr>
      <t xml:space="preserve">Click header cột JAコード, chuyển sang sort desc
</t>
    </r>
    <r>
      <rPr>
        <rFont val="游ゴシック"/>
        <b/>
        <color rgb="FF000000"/>
        <sz val="10.0"/>
      </rPr>
      <t xml:space="preserve">ステップ3：
</t>
    </r>
    <r>
      <rPr>
        <rFont val="游ゴシック"/>
        <color rgb="FF000000"/>
        <sz val="10.0"/>
      </rPr>
      <t xml:space="preserve">Click "2" trên phân trang
</t>
    </r>
    <r>
      <rPr>
        <rFont val="游ゴシック"/>
        <b/>
        <color rgb="FF000000"/>
        <sz val="10.0"/>
      </rPr>
      <t xml:space="preserve">ステップ4：
</t>
    </r>
    <r>
      <rPr>
        <rFont val="游ゴシック"/>
        <color rgb="FF000000"/>
        <sz val="10.0"/>
      </rPr>
      <t>Kiểm tra request parameter trên DevTools</t>
    </r>
  </si>
  <si>
    <r>
      <rPr>
        <rFont val="メイリオ"/>
        <b/>
        <color rgb="FF000000"/>
        <sz val="10.0"/>
      </rPr>
      <t xml:space="preserve">ステップ1：
</t>
    </r>
    <r>
      <rPr>
        <rFont val="メイリオ"/>
        <color rgb="FF000000"/>
        <sz val="10.0"/>
      </rPr>
      <t xml:space="preserve">Trả về HTTP 200 (hiển thị 1〜20 trong 25 record)
</t>
    </r>
    <r>
      <rPr>
        <rFont val="メイリオ"/>
        <b/>
        <color rgb="FF000000"/>
        <sz val="10.0"/>
      </rPr>
      <t xml:space="preserve">ステップ2：
</t>
    </r>
    <r>
      <rPr>
        <rFont val="メイリオ"/>
        <color rgb="FF000000"/>
        <sz val="10.0"/>
      </rPr>
      <t xml:space="preserve">Sắp xếp theo JAコード desc, hiển thị icon ▼
</t>
    </r>
    <r>
      <rPr>
        <rFont val="メイリオ"/>
        <b/>
        <color rgb="FF000000"/>
        <sz val="10.0"/>
      </rPr>
      <t xml:space="preserve">ステップ3：
</t>
    </r>
    <r>
      <rPr>
        <rFont val="メイリオ"/>
        <color rgb="FF000000"/>
        <sz val="10.0"/>
      </rPr>
      <t xml:space="preserve">Hiển thị record 21〜25
</t>
    </r>
    <r>
      <rPr>
        <rFont val="メイリオ"/>
        <b/>
        <color rgb="FF000000"/>
        <sz val="10.0"/>
      </rPr>
      <t xml:space="preserve">ステップ4：
</t>
    </r>
    <r>
      <rPr>
        <rFont val="メイリオ"/>
        <color rgb="FF000000"/>
        <sz val="10.0"/>
      </rPr>
      <t xml:space="preserve">Query parameter chứa toàn bộ `ja_name=東京&amp;page=2&amp;per_page=20&amp;sort_by=ja_code&amp;sort_order=desc`
</t>
    </r>
    <r>
      <rPr>
        <rFont val="メイリオ"/>
        <b/>
        <color rgb="FF000000"/>
        <sz val="10.0"/>
      </rPr>
      <t xml:space="preserve">補足：
</t>
    </r>
    <r>
      <rPr>
        <rFont val="メイリオ"/>
        <color rgb="FF000000"/>
        <sz val="10.0"/>
      </rPr>
      <t xml:space="preserve">・Khi chuyển page, search condition và sort condition vẫn được giữ
</t>
    </r>
    <r>
      <rPr>
        <rFont val="メイリオ"/>
        <color rgb="FF000000"/>
        <sz val="10.0"/>
      </rPr>
      <t>・Chỉ khi search condition thay đổi mới tự động quay về page 1</t>
    </r>
  </si>
  <si>
    <t>Logic nghiệp vụ — Xóa JA (Function — Delete)</t>
  </si>
  <si>
    <t>ACSMS-TC-004-028</t>
  </si>
  <si>
    <t>Xóa JA — case bình thường (không có related data, xóa logic + audit log)</t>
  </si>
  <si>
    <t>・role: NICHINO_ADMIN
・Test data: `ja_id=5, ja_code='1301005001', ja_name='JA削除対象'` (không có related record)</t>
  </si>
  <si>
    <r>
      <rPr>
        <rFont val="游ゴシック"/>
        <b/>
        <color rgb="FF000000"/>
        <sz val="10.0"/>
      </rPr>
      <t xml:space="preserve">ステップ1：
</t>
    </r>
    <r>
      <rPr>
        <rFont val="游ゴシック"/>
        <color rgb="FF000000"/>
        <sz val="10.0"/>
      </rPr>
      <t xml:space="preserve">Click link "削除" của row `JA削除対象` trên bảng list
</t>
    </r>
    <r>
      <rPr>
        <rFont val="游ゴシック"/>
        <b/>
        <color rgb="FF000000"/>
        <sz val="10.0"/>
      </rPr>
      <t xml:space="preserve">ステップ2：
</t>
    </r>
    <r>
      <rPr>
        <rFont val="游ゴシック"/>
        <color rgb="FF000000"/>
        <sz val="10.0"/>
      </rPr>
      <t xml:space="preserve">Kiểm tra nội dung confirm modal
</t>
    </r>
    <r>
      <rPr>
        <rFont val="游ゴシック"/>
        <b/>
        <color rgb="FF000000"/>
        <sz val="10.0"/>
      </rPr>
      <t xml:space="preserve">ステップ3：
</t>
    </r>
    <r>
      <rPr>
        <rFont val="游ゴシック"/>
        <color rgb="FF000000"/>
        <sz val="10.0"/>
      </rPr>
      <t xml:space="preserve">Click nút "はい"
</t>
    </r>
    <r>
      <rPr>
        <rFont val="游ゴシック"/>
        <b/>
        <color rgb="FF000000"/>
        <sz val="10.0"/>
      </rPr>
      <t xml:space="preserve">ステップ4：
</t>
    </r>
    <r>
      <rPr>
        <rFont val="游ゴシック"/>
        <color rgb="FF000000"/>
        <sz val="10.0"/>
      </rPr>
      <t xml:space="preserve">Kiểm tra DB: `SELECT deleted_at, updated_by FROM m_ja WHERE ja_id = 5`
</t>
    </r>
    <r>
      <rPr>
        <rFont val="游ゴシック"/>
        <b/>
        <color rgb="FF000000"/>
        <sz val="10.0"/>
      </rPr>
      <t xml:space="preserve">ステップ5：
</t>
    </r>
    <r>
      <rPr>
        <rFont val="游ゴシック"/>
        <color rgb="FF000000"/>
        <sz val="10.0"/>
      </rPr>
      <t xml:space="preserve">Kiểm tra DB: `SELECT * FROM t_log WHERE target_table = 'm_ja' AND target_id = 5 AND operation = 'DELETE' ORDER BY log_datetime DESC LIMIT 1`
</t>
    </r>
    <r>
      <rPr>
        <rFont val="游ゴシック"/>
        <b/>
        <color rgb="FF000000"/>
        <sz val="10.0"/>
      </rPr>
      <t xml:space="preserve">ステップ6：
</t>
    </r>
    <r>
      <rPr>
        <rFont val="游ゴシック"/>
        <color rgb="FF000000"/>
        <sz val="10.0"/>
      </rPr>
      <t>Kiểm tra bảng list trên màn hình</t>
    </r>
  </si>
  <si>
    <r>
      <rPr>
        <rFont val="游ゴシック"/>
        <b/>
        <color rgb="FF000000"/>
        <sz val="10.0"/>
      </rPr>
      <t xml:space="preserve">ステップ1：
</t>
    </r>
    <r>
      <rPr>
        <rFont val="游ゴシック"/>
        <color rgb="FF000000"/>
        <sz val="10.0"/>
      </rPr>
      <t xml:space="preserve">Bắt đầu xử lý xóa
</t>
    </r>
    <r>
      <rPr>
        <rFont val="游ゴシック"/>
        <b/>
        <color rgb="FF000000"/>
        <sz val="10.0"/>
      </rPr>
      <t xml:space="preserve">ステップ2：
</t>
    </r>
    <r>
      <rPr>
        <rFont val="游ゴシック"/>
        <color rgb="FF000000"/>
        <sz val="10.0"/>
      </rPr>
      <t xml:space="preserve">Modal hiển thị message `このJAを削除してもよろしいですか？`, button là "はい" (màu đỏ, primary button) / "いいえ"
</t>
    </r>
    <r>
      <rPr>
        <rFont val="游ゴシック"/>
        <b/>
        <color rgb="FF000000"/>
        <sz val="10.0"/>
      </rPr>
      <t xml:space="preserve">ステップ3：
</t>
    </r>
    <r>
      <rPr>
        <rFont val="游ゴシック"/>
        <color rgb="FF000000"/>
        <sz val="10.0"/>
      </rPr>
      <t xml:space="preserve">Trả về HTTP 200 (response `{ "message": "削除しました。" }`, hiển thị toast `削除しました。`)
</t>
    </r>
    <r>
      <rPr>
        <rFont val="游ゴシック"/>
        <b/>
        <color rgb="FF000000"/>
        <sz val="10.0"/>
      </rPr>
      <t xml:space="preserve">ステップ4：
</t>
    </r>
    <r>
      <rPr>
        <rFont val="游ゴシック"/>
        <color rgb="FF000000"/>
        <sz val="10.0"/>
      </rPr>
      <t xml:space="preserve">1 row xác nhận, `deleted_at` được set bằng thời điểm hiện tại (NOW()), `updated_by` khớp với `account_id` của test account
</t>
    </r>
    <r>
      <rPr>
        <rFont val="游ゴシック"/>
        <b/>
        <color rgb="FF000000"/>
        <sz val="10.0"/>
      </rPr>
      <t xml:space="preserve">ステップ5：
</t>
    </r>
    <r>
      <rPr>
        <rFont val="游ゴシック"/>
        <color rgb="FF000000"/>
        <sz val="10.0"/>
      </rPr>
      <t xml:space="preserve">1 row xác nhận, `log_type=1`, `account_id` khớp với test account, `result_status=1`, `before_value` JSON ghi nhận data record trước khi xóa (loại trừ thông tin nhạy cảm như password), `after_value` là empty string
</t>
    </r>
    <r>
      <rPr>
        <rFont val="游ゴシック"/>
        <b/>
        <color rgb="FF000000"/>
        <sz val="10.0"/>
      </rPr>
      <t xml:space="preserve">ステップ6：
</t>
    </r>
    <r>
      <rPr>
        <rFont val="游ゴシック"/>
        <color rgb="FF000000"/>
        <sz val="10.0"/>
      </rPr>
      <t xml:space="preserve">JA đã xóa biến mất khỏi list, kết quả tìm kiếm được reload
</t>
    </r>
    <r>
      <rPr>
        <rFont val="游ゴシック"/>
        <b/>
        <color rgb="FF000000"/>
        <sz val="10.0"/>
      </rPr>
      <t xml:space="preserve">補足：
</t>
    </r>
    <r>
      <rPr>
        <rFont val="游ゴシック"/>
        <color rgb="FF000000"/>
        <sz val="10.0"/>
      </rPr>
      <t>・Tương ứng ACSMS-MSG-004-006
・Main DML (UPDATE m_ja SET deleted_at) + audit log INSERT được commit trong cùng 1 transaction
・Không phải xóa vật lý mà là xóa logic (set deleted_at)
・Tuân thủ quan điểm VP-C-03 "Xóa logic + FK liên quan" (testcase-viewpoints.md v1.1)</t>
    </r>
  </si>
  <si>
    <t>ACSMS-TC-004-029</t>
  </si>
  <si>
    <t>Xóa JA — Cancel bằng "いいえ" trên confirm modal</t>
  </si>
  <si>
    <t>・role: NICHINO_ADMIN
・Test data: `ja_id=5, ja_code='1301005001'` (không có related record)</t>
  </si>
  <si>
    <r>
      <rPr>
        <rFont val="メイリオ"/>
        <b/>
        <color rgb="FF000000"/>
        <sz val="10.0"/>
      </rPr>
      <t xml:space="preserve">ステップ1：
</t>
    </r>
    <r>
      <rPr>
        <rFont val="メイリオ"/>
        <color rgb="FF000000"/>
        <sz val="10.0"/>
      </rPr>
      <t xml:space="preserve">Click link "削除" của row đối tượng trên bảng list
</t>
    </r>
    <r>
      <rPr>
        <rFont val="メイリオ"/>
        <b/>
        <color rgb="FF000000"/>
        <sz val="10.0"/>
      </rPr>
      <t xml:space="preserve">ステップ2：
</t>
    </r>
    <r>
      <rPr>
        <rFont val="メイリオ"/>
        <color rgb="FF000000"/>
        <sz val="10.0"/>
      </rPr>
      <t xml:space="preserve">Click nút "いいえ" trên confirm modal
</t>
    </r>
    <r>
      <rPr>
        <rFont val="メイリオ"/>
        <b/>
        <color rgb="FF000000"/>
        <sz val="10.0"/>
      </rPr>
      <t xml:space="preserve">ステップ3：
</t>
    </r>
    <r>
      <rPr>
        <rFont val="メイリオ"/>
        <color rgb="FF000000"/>
        <sz val="10.0"/>
      </rPr>
      <t xml:space="preserve">Kiểm tra DB: `SELECT deleted_at FROM m_ja WHERE ja_id = 5`
</t>
    </r>
    <r>
      <rPr>
        <rFont val="メイリオ"/>
        <b/>
        <color rgb="FF000000"/>
        <sz val="10.0"/>
      </rPr>
      <t xml:space="preserve">ステップ4：
</t>
    </r>
    <r>
      <rPr>
        <rFont val="メイリオ"/>
        <color rgb="FF000000"/>
        <sz val="10.0"/>
      </rPr>
      <t>Kiểm tra DB: `SELECT COUNT(*) FROM t_log WHERE target_id = 5 AND target_table = 'm_ja' AND operation = 'DELETE'`</t>
    </r>
  </si>
  <si>
    <r>
      <rPr>
        <rFont val="メイリオ"/>
        <b/>
        <color rgb="FF000000"/>
        <sz val="10.0"/>
      </rPr>
      <t xml:space="preserve">ステップ1：
</t>
    </r>
    <r>
      <rPr>
        <rFont val="メイリオ"/>
        <color rgb="FF000000"/>
        <sz val="10.0"/>
      </rPr>
      <t xml:space="preserve">Hiển thị confirm modal `このJAを削除してもよろしいですか？`
</t>
    </r>
    <r>
      <rPr>
        <rFont val="メイリオ"/>
        <b/>
        <color rgb="FF000000"/>
        <sz val="10.0"/>
      </rPr>
      <t xml:space="preserve">ステップ2：
</t>
    </r>
    <r>
      <rPr>
        <rFont val="メイリオ"/>
        <color rgb="FF000000"/>
        <sz val="10.0"/>
      </rPr>
      <t xml:space="preserve">Modal đóng, màn hình giữ nguyên (vẫn hiển thị list)
</t>
    </r>
    <r>
      <rPr>
        <rFont val="メイリオ"/>
        <b/>
        <color rgb="FF000000"/>
        <sz val="10.0"/>
      </rPr>
      <t xml:space="preserve">ステップ3：
</t>
    </r>
    <r>
      <rPr>
        <rFont val="メイリオ"/>
        <color rgb="FF000000"/>
        <sz val="10.0"/>
      </rPr>
      <t xml:space="preserve">`deleted_at IS NULL` (chưa bị xóa)
</t>
    </r>
    <r>
      <rPr>
        <rFont val="メイリオ"/>
        <b/>
        <color rgb="FF000000"/>
        <sz val="10.0"/>
      </rPr>
      <t xml:space="preserve">ステップ4：
</t>
    </r>
    <r>
      <rPr>
        <rFont val="メイリオ"/>
        <color rgb="FF000000"/>
        <sz val="10.0"/>
      </rPr>
      <t xml:space="preserve">0 row (không thêm DELETE log)
</t>
    </r>
    <r>
      <rPr>
        <rFont val="メイリオ"/>
        <b/>
        <color rgb="FF000000"/>
        <sz val="10.0"/>
      </rPr>
      <t xml:space="preserve">補足：
</t>
    </r>
    <r>
      <rPr>
        <rFont val="メイリオ"/>
        <color rgb="FF000000"/>
        <sz val="10.0"/>
      </rPr>
      <t xml:space="preserve">・Khi cancel không có thay đổi DB, không ghi log
</t>
    </r>
    <r>
      <rPr>
        <rFont val="メイリオ"/>
        <color rgb="FF000000"/>
        <sz val="10.0"/>
      </rPr>
      <t>・Khi cancel không gọi DELETE API</t>
    </r>
  </si>
  <si>
    <t>ACSMS-TC-004-030</t>
  </si>
  <si>
    <t>Xóa JA — bị từ chối khi có related data (CONFLICT)</t>
  </si>
  <si>
    <t>・role: NICHINO_ADMIN
・Test data: `ja_id=1, ja_code='1301001001', ja_name='JA東京中央'`, đã có ≥1 related record trong một trong các bảng `m_kanri_shiten` / `m_shiten` / `m_hanbaiten` / `m_tanka` / `t_dokusya` / `m_account`</t>
  </si>
  <si>
    <r>
      <rPr>
        <rFont val="游ゴシック"/>
        <b/>
        <color rgb="FF000000"/>
        <sz val="10.0"/>
      </rPr>
      <t xml:space="preserve">ステップ1：
</t>
    </r>
    <r>
      <rPr>
        <rFont val="游ゴシック"/>
        <color rgb="FF000000"/>
        <sz val="10.0"/>
      </rPr>
      <t xml:space="preserve">Click link "削除" của row `JA東京中央` trên bảng list
</t>
    </r>
    <r>
      <rPr>
        <rFont val="游ゴシック"/>
        <b/>
        <color rgb="FF000000"/>
        <sz val="10.0"/>
      </rPr>
      <t xml:space="preserve">ステップ2：
</t>
    </r>
    <r>
      <rPr>
        <rFont val="游ゴシック"/>
        <color rgb="FF000000"/>
        <sz val="10.0"/>
      </rPr>
      <t xml:space="preserve">Click nút "はい" trên confirm modal
</t>
    </r>
    <r>
      <rPr>
        <rFont val="游ゴシック"/>
        <b/>
        <color rgb="FF000000"/>
        <sz val="10.0"/>
      </rPr>
      <t xml:space="preserve">ステップ3：
</t>
    </r>
    <r>
      <rPr>
        <rFont val="游ゴシック"/>
        <color rgb="FF000000"/>
        <sz val="10.0"/>
      </rPr>
      <t xml:space="preserve">Kiểm tra hiển thị message trên màn hình
</t>
    </r>
    <r>
      <rPr>
        <rFont val="游ゴシック"/>
        <b/>
        <color rgb="FF000000"/>
        <sz val="10.0"/>
      </rPr>
      <t xml:space="preserve">ステップ4：
</t>
    </r>
    <r>
      <rPr>
        <rFont val="游ゴシック"/>
        <color rgb="FF000000"/>
        <sz val="10.0"/>
      </rPr>
      <t xml:space="preserve">Kiểm tra DB: `SELECT deleted_at FROM m_ja WHERE ja_id = 1`
</t>
    </r>
    <r>
      <rPr>
        <rFont val="游ゴシック"/>
        <b/>
        <color rgb="FF000000"/>
        <sz val="10.0"/>
      </rPr>
      <t xml:space="preserve">ステップ5：
</t>
    </r>
    <r>
      <rPr>
        <rFont val="游ゴシック"/>
        <color rgb="FF000000"/>
        <sz val="10.0"/>
      </rPr>
      <t>Kiểm tra DB: `SELECT * FROM t_log WHERE target_id = 1 AND target_table = 'm_ja' AND log_type = 3 ORDER BY log_datetime DESC LIMIT 1`</t>
    </r>
  </si>
  <si>
    <r>
      <rPr>
        <rFont val="游ゴシック"/>
        <b/>
        <color rgb="FF000000"/>
        <sz val="10.0"/>
      </rPr>
      <t xml:space="preserve">ステップ1：
</t>
    </r>
    <r>
      <rPr>
        <rFont val="游ゴシック"/>
        <color rgb="FF000000"/>
        <sz val="10.0"/>
      </rPr>
      <t xml:space="preserve">Hiển thị confirm modal
</t>
    </r>
    <r>
      <rPr>
        <rFont val="游ゴシック"/>
        <b/>
        <color rgb="FF000000"/>
        <sz val="10.0"/>
      </rPr>
      <t xml:space="preserve">ステップ2：
</t>
    </r>
    <r>
      <rPr>
        <rFont val="游ゴシック"/>
        <color rgb="FF000000"/>
        <sz val="10.0"/>
      </rPr>
      <t xml:space="preserve">Gửi delete request
</t>
    </r>
    <r>
      <rPr>
        <rFont val="游ゴシック"/>
        <b/>
        <color rgb="FF000000"/>
        <sz val="10.0"/>
      </rPr>
      <t xml:space="preserve">ステップ3：
</t>
    </r>
    <r>
      <rPr>
        <rFont val="游ゴシック"/>
        <color rgb="FF000000"/>
        <sz val="10.0"/>
      </rPr>
      <t xml:space="preserve">Trả về HTTP 409 (`error_code: CONFLICT`, hiển thị toast message `このJAは関連オブジェクトに紐づいているため削除できません。`)
</t>
    </r>
    <r>
      <rPr>
        <rFont val="游ゴシック"/>
        <b/>
        <color rgb="FF000000"/>
        <sz val="10.0"/>
      </rPr>
      <t xml:space="preserve">ステップ4：
</t>
    </r>
    <r>
      <rPr>
        <rFont val="游ゴシック"/>
        <color rgb="FF000000"/>
        <sz val="10.0"/>
      </rPr>
      <t xml:space="preserve">`deleted_at IS NULL` (chưa bị xóa)
</t>
    </r>
    <r>
      <rPr>
        <rFont val="游ゴシック"/>
        <b/>
        <color rgb="FF000000"/>
        <sz val="10.0"/>
      </rPr>
      <t xml:space="preserve">ステップ5：
</t>
    </r>
    <r>
      <rPr>
        <rFont val="游ゴシック"/>
        <color rgb="FF000000"/>
        <sz val="10.0"/>
      </rPr>
      <t xml:space="preserve">1 row xác nhận (ghi error log, `log_type=3`, `error_message` ghi lý do CONFLICT)
</t>
    </r>
    <r>
      <rPr>
        <rFont val="游ゴシック"/>
        <b/>
        <color rgb="FF000000"/>
        <sz val="10.0"/>
      </rPr>
      <t xml:space="preserve">補足：
</t>
    </r>
    <r>
      <rPr>
        <rFont val="游ゴシック"/>
        <color rgb="FF000000"/>
        <sz val="10.0"/>
      </rPr>
      <t>・Tương ứng ACSMS-MSG-004-003
・Bảng liên quan: m_kanri_shiten, m_shiten, m_hanbaiten, m_tanka, t_dokusya, m_account — khi tồn tại record chưa xóa có ja_id đối tượng trong một trong các bảng này
・Sau khi rollback transaction, error log được ghi riêng</t>
    </r>
  </si>
  <si>
    <t>Critical — kiểm chứng quan trọng để ngăn việc phá vỡ data nghiệp vụ do vi phạm tính toàn vẹn FK.</t>
  </si>
  <si>
    <t>ACSMS-TC-004-031</t>
  </si>
  <si>
    <t>Xóa JA — chỉ định ID không tồn tại / đã xóa logic (NOT_FOUND)</t>
  </si>
  <si>
    <t>・role: NICHINO_ADMIN
・Test data: `ja_id=999` chưa đăng ký, `ja_id=998` đã xóa logic (`deleted_at IS NOT NULL`)</t>
  </si>
  <si>
    <r>
      <rPr>
        <rFont val="游ゴシック"/>
        <b/>
        <color rgb="FF000000"/>
        <sz val="10.0"/>
      </rPr>
      <t xml:space="preserve">ステップ1：
</t>
    </r>
    <r>
      <rPr>
        <rFont val="游ゴシック"/>
        <color rgb="FF000000"/>
        <sz val="10.0"/>
      </rPr>
      <t xml:space="preserve">Dùng DevTools gọi trực tiếp DELETE `/api/v1/ja/999`
</t>
    </r>
    <r>
      <rPr>
        <rFont val="游ゴシック"/>
        <b/>
        <color rgb="FF000000"/>
        <sz val="10.0"/>
      </rPr>
      <t xml:space="preserve">ステップ2：
</t>
    </r>
    <r>
      <rPr>
        <rFont val="游ゴシック"/>
        <color rgb="FF000000"/>
        <sz val="10.0"/>
      </rPr>
      <t xml:space="preserve">Dùng DevTools gọi trực tiếp DELETE `/api/v1/ja/998`
</t>
    </r>
    <r>
      <rPr>
        <rFont val="游ゴシック"/>
        <b/>
        <color rgb="FF000000"/>
        <sz val="10.0"/>
      </rPr>
      <t xml:space="preserve">ステップ3：
</t>
    </r>
    <r>
      <rPr>
        <rFont val="游ゴシック"/>
        <color rgb="FF000000"/>
        <sz val="10.0"/>
      </rPr>
      <t>Kiểm tra nội dung response</t>
    </r>
  </si>
  <si>
    <r>
      <rPr>
        <rFont val="メイリオ"/>
        <b/>
        <color rgb="FF000000"/>
        <sz val="10.0"/>
      </rPr>
      <t xml:space="preserve">ステップ1：
</t>
    </r>
    <r>
      <rPr>
        <rFont val="メイリオ"/>
        <color rgb="FF000000"/>
        <sz val="10.0"/>
      </rPr>
      <t xml:space="preserve">Trả về HTTP 404 (`error_code: NOT_FOUND`, message `指定されたJAが見つかりません。`)
</t>
    </r>
    <r>
      <rPr>
        <rFont val="メイリオ"/>
        <b/>
        <color rgb="FF000000"/>
        <sz val="10.0"/>
      </rPr>
      <t xml:space="preserve">ステップ2：
</t>
    </r>
    <r>
      <rPr>
        <rFont val="メイリオ"/>
        <color rgb="FF000000"/>
        <sz val="10.0"/>
      </rPr>
      <t xml:space="preserve">Trả về HTTP 404 (`error_code: NOT_FOUND`, message `指定されたJAが見つかりません。`)
</t>
    </r>
    <r>
      <rPr>
        <rFont val="メイリオ"/>
        <b/>
        <color rgb="FF000000"/>
        <sz val="10.0"/>
      </rPr>
      <t xml:space="preserve">ステップ3：
</t>
    </r>
    <r>
      <rPr>
        <rFont val="メイリオ"/>
        <color rgb="FF000000"/>
        <sz val="10.0"/>
      </rPr>
      <t xml:space="preserve">Cả 2 case đều có format response body giống nhau
</t>
    </r>
    <r>
      <rPr>
        <rFont val="メイリオ"/>
        <b/>
        <color rgb="FF000000"/>
        <sz val="10.0"/>
      </rPr>
      <t xml:space="preserve">補足：
</t>
    </r>
    <r>
      <rPr>
        <rFont val="メイリオ"/>
        <color rgb="FF000000"/>
        <sz val="10.0"/>
      </rPr>
      <t xml:space="preserve">・Truy cập tới resource không tồn tại / đã xóa logic đều trả về NOT_FOUND
</t>
    </r>
    <r>
      <rPr>
        <rFont val="メイリオ"/>
        <color rgb="FF000000"/>
        <sz val="10.0"/>
      </rPr>
      <t>・Record đã xóa logic bị loại khỏi đối tượng search (filter `deleted_at IS NULL`)</t>
    </r>
  </si>
  <si>
    <t>ACSMS-TC-004-032</t>
  </si>
  <si>
    <t>Xóa JA — ẩn sự tồn tại khi vi phạm DataScope (CHUOKAI delete JA khác)</t>
  </si>
  <si>
    <t>・role: CHUOKAI (thuộc chuokai-001, JA của mình = ja-001)
・Test data: JA khác `ja_id=101` (thuộc chuokai-002) đã đăng ký</t>
  </si>
  <si>
    <r>
      <rPr>
        <rFont val="游ゴシック"/>
        <b/>
        <color rgb="FF000000"/>
        <sz val="10.0"/>
      </rPr>
      <t xml:space="preserve">ステップ1：
</t>
    </r>
    <r>
      <rPr>
        <rFont val="游ゴシック"/>
        <color rgb="FF000000"/>
        <sz val="10.0"/>
      </rPr>
      <t xml:space="preserve">Dùng DevTools gọi trực tiếp DELETE `/api/v1/ja/101`
</t>
    </r>
    <r>
      <rPr>
        <rFont val="游ゴシック"/>
        <b/>
        <color rgb="FF000000"/>
        <sz val="10.0"/>
      </rPr>
      <t xml:space="preserve">ステップ2：
</t>
    </r>
    <r>
      <rPr>
        <rFont val="游ゴシック"/>
        <color rgb="FF000000"/>
        <sz val="10.0"/>
      </rPr>
      <t xml:space="preserve">Kiểm tra response
</t>
    </r>
    <r>
      <rPr>
        <rFont val="游ゴシック"/>
        <b/>
        <color rgb="FF000000"/>
        <sz val="10.0"/>
      </rPr>
      <t xml:space="preserve">ステップ3：
</t>
    </r>
    <r>
      <rPr>
        <rFont val="游ゴシック"/>
        <color rgb="FF000000"/>
        <sz val="10.0"/>
      </rPr>
      <t>Kiểm tra DB: `SELECT deleted_at FROM m_ja WHERE ja_id = 101`</t>
    </r>
  </si>
  <si>
    <r>
      <rPr>
        <rFont val="メイリオ"/>
        <b/>
        <color rgb="FF000000"/>
        <sz val="10.0"/>
      </rPr>
      <t xml:space="preserve">ステップ1：
</t>
    </r>
    <r>
      <rPr>
        <rFont val="メイリオ"/>
        <color rgb="FF000000"/>
        <sz val="10.0"/>
      </rPr>
      <t xml:space="preserve">Gửi request thành công
</t>
    </r>
    <r>
      <rPr>
        <rFont val="メイリオ"/>
        <b/>
        <color rgb="FF000000"/>
        <sz val="10.0"/>
      </rPr>
      <t xml:space="preserve">ステップ2：
</t>
    </r>
    <r>
      <rPr>
        <rFont val="メイリオ"/>
        <color rgb="FF000000"/>
        <sz val="10.0"/>
      </rPr>
      <t xml:space="preserve">Trả về HTTP 403 (`error_code: FORBIDDEN`, message `この画面へのアクセス権限がありません。` (CHUOKAI không có quyền `ja.delete`))
</t>
    </r>
    <r>
      <rPr>
        <rFont val="メイリオ"/>
        <b/>
        <color rgb="FF000000"/>
        <sz val="10.0"/>
      </rPr>
      <t xml:space="preserve">ステップ3：
</t>
    </r>
    <r>
      <rPr>
        <rFont val="メイリオ"/>
        <color rgb="FF000000"/>
        <sz val="10.0"/>
      </rPr>
      <t xml:space="preserve">`deleted_at IS NULL` (chưa bị xóa)
</t>
    </r>
    <r>
      <rPr>
        <rFont val="メイリオ"/>
        <b/>
        <color rgb="FF000000"/>
        <sz val="10.0"/>
      </rPr>
      <t xml:space="preserve">補足：
</t>
    </r>
    <r>
      <rPr>
        <rFont val="メイリオ"/>
        <color rgb="FF000000"/>
        <sz val="10.0"/>
      </rPr>
      <t xml:space="preserve">・CHUOKAI không có quyền `ja.delete` — bị block ngay ở giai đoạn check permission, trả về 403 (không tới được DataScope check)
</t>
    </r>
    <r>
      <rPr>
        <rFont val="メイリオ"/>
        <color rgb="FF000000"/>
        <sz val="10.0"/>
      </rPr>
      <t>・Trong trường hợp NICHINO_ADMIN truy cập sang scope khác, theo quy tắc `assertJaScope` của project sẽ ẩn sự tồn tại bằng 404, nhưng với role này bị chặn ở tầng permission</t>
    </r>
  </si>
  <si>
    <t>ACSMS-TC-004-033</t>
  </si>
  <si>
    <t>Xóa JA — tính đầy đủ của audit log (kiểm chứng before_value JSON khi success)</t>
  </si>
  <si>
    <t>・role: NICHINO_ADMIN
・Test data: `ja_id=6, ja_code='1301006001', ja_name='ログ検証用JA', yubin_no='100-0001', tel='03-5555-5555'` (không có related record)</t>
  </si>
  <si>
    <r>
      <rPr>
        <rFont val="メイリオ"/>
        <b/>
        <color rgb="FF000000"/>
        <sz val="10.0"/>
      </rPr>
      <t xml:space="preserve">ステップ1：
</t>
    </r>
    <r>
      <rPr>
        <rFont val="メイリオ"/>
        <color rgb="FF000000"/>
        <sz val="10.0"/>
      </rPr>
      <t xml:space="preserve">Xóa `ログ検証用JA` từ list (xác nhận modal "はい")
</t>
    </r>
    <r>
      <rPr>
        <rFont val="メイリオ"/>
        <b/>
        <color rgb="FF000000"/>
        <sz val="10.0"/>
      </rPr>
      <t xml:space="preserve">ステップ2：
</t>
    </r>
    <r>
      <rPr>
        <rFont val="メイリオ"/>
        <color rgb="FF000000"/>
        <sz val="10.0"/>
      </rPr>
      <t xml:space="preserve">Kiểm tra DB: `SELECT log_type, account_id, ja_id, gamen_name, operation, result_status, target_id, target_table, before_value, after_value FROM t_log WHERE target_id = 6 AND target_table = 'm_ja' ORDER BY log_datetime DESC LIMIT 1`
</t>
    </r>
    <r>
      <rPr>
        <rFont val="メイリオ"/>
        <b/>
        <color rgb="FF000000"/>
        <sz val="10.0"/>
      </rPr>
      <t xml:space="preserve">ステップ3：
</t>
    </r>
    <r>
      <rPr>
        <rFont val="メイリオ"/>
        <color rgb="FF000000"/>
        <sz val="10.0"/>
      </rPr>
      <t>Kiểm tra nội dung JSON của `before_value`</t>
    </r>
  </si>
  <si>
    <r>
      <rPr>
        <rFont val="メイリオ"/>
        <b/>
        <color rgb="FF000000"/>
        <sz val="10.0"/>
      </rPr>
      <t xml:space="preserve">ステップ1：
</t>
    </r>
    <r>
      <rPr>
        <rFont val="メイリオ"/>
        <color rgb="FF000000"/>
        <sz val="10.0"/>
      </rPr>
      <t xml:space="preserve">Xóa thành công, hiển thị toast `削除しました。`
</t>
    </r>
    <r>
      <rPr>
        <rFont val="メイリオ"/>
        <b/>
        <color rgb="FF000000"/>
        <sz val="10.0"/>
      </rPr>
      <t xml:space="preserve">ステップ2：
</t>
    </r>
    <r>
      <rPr>
        <rFont val="メイリオ"/>
        <color rgb="FF000000"/>
        <sz val="10.0"/>
      </rPr>
      <t xml:space="preserve">1 row xác nhận, `log_type=1`, `gamen_name='JAマスタ明細検索画面 (ACSMS-SCR-004)'`, `operation='DELETE'`, `result_status=1`, `target_id=6`, `target_table='m_ja'`, `after_value=''`
</t>
    </r>
    <r>
      <rPr>
        <rFont val="メイリオ"/>
        <b/>
        <color rgb="FF000000"/>
        <sz val="10.0"/>
      </rPr>
      <t xml:space="preserve">ステップ3：
</t>
    </r>
    <r>
      <rPr>
        <rFont val="メイリオ"/>
        <color rgb="FF000000"/>
        <sz val="10.0"/>
      </rPr>
      <t xml:space="preserve">JSON `before_value` chứa data record trước khi xóa (ja_id, ja_code, ja_name, yubin_no, todofuken_code, todofuken_name, tel, address, fax...). Không chứa thông tin nhạy cảm như password
</t>
    </r>
    <r>
      <rPr>
        <rFont val="メイリオ"/>
        <b/>
        <color rgb="FF000000"/>
        <sz val="10.0"/>
      </rPr>
      <t xml:space="preserve">補足：
</t>
    </r>
    <r>
      <rPr>
        <rFont val="メイリオ"/>
        <color rgb="FF000000"/>
        <sz val="10.0"/>
      </rPr>
      <t xml:space="preserve">・Tuân thủ quan điểm VP-D-04 "Tính đầy đủ của audit log"
</t>
    </r>
    <r>
      <rPr>
        <rFont val="メイリオ"/>
        <color rgb="FF000000"/>
        <sz val="10.0"/>
      </rPr>
      <t xml:space="preserve">・before_value là record có thể tái hiện được "ai" "lúc nào" "đã xóa cái gì"
</t>
    </r>
    <r>
      <rPr>
        <rFont val="メイリオ"/>
        <color rgb="FF000000"/>
        <sz val="10.0"/>
      </rPr>
      <t>・ip_address, user_agent cũng được ghi lại kèm</t>
    </r>
  </si>
  <si>
    <t>ACSMS-TC-004-034</t>
  </si>
  <si>
    <t>Xóa JA — tính toàn vẹn transaction (rollback khi audit log INSERT fail)</t>
  </si>
  <si>
    <t>・role: NICHINO_ADMIN
・Test data: `ja_id=7, ja_code='1301007001'` (không có related record)
・Test environment: setting mock cho audit log INSERT của BE bị fail</t>
  </si>
  <si>
    <r>
      <rPr>
        <rFont val="メイリオ"/>
        <b/>
        <color rgb="FF000000"/>
        <sz val="10.0"/>
      </rPr>
      <t xml:space="preserve">ステップ1：
</t>
    </r>
    <r>
      <rPr>
        <rFont val="メイリオ"/>
        <color rgb="FF000000"/>
        <sz val="10.0"/>
      </rPr>
      <t xml:space="preserve">Xóa JA đối tượng từ list (xác nhận modal "はい")
</t>
    </r>
    <r>
      <rPr>
        <rFont val="メイリオ"/>
        <b/>
        <color rgb="FF000000"/>
        <sz val="10.0"/>
      </rPr>
      <t xml:space="preserve">ステップ2：
</t>
    </r>
    <r>
      <rPr>
        <rFont val="メイリオ"/>
        <color rgb="FF000000"/>
        <sz val="10.0"/>
      </rPr>
      <t xml:space="preserve">Kiểm tra DB: `SELECT deleted_at FROM m_ja WHERE ja_id = 7`
</t>
    </r>
    <r>
      <rPr>
        <rFont val="メイリオ"/>
        <b/>
        <color rgb="FF000000"/>
        <sz val="10.0"/>
      </rPr>
      <t xml:space="preserve">ステップ3：
</t>
    </r>
    <r>
      <rPr>
        <rFont val="メイリオ"/>
        <color rgb="FF000000"/>
        <sz val="10.0"/>
      </rPr>
      <t>Kiểm tra DB: `SELECT log_type, result_status FROM t_log WHERE target_id = 7 AND target_table = 'm_ja' ORDER BY log_datetime DESC LIMIT 1`</t>
    </r>
  </si>
  <si>
    <r>
      <rPr>
        <rFont val="メイリオ"/>
        <b/>
        <color rgb="FF000000"/>
        <sz val="10.0"/>
      </rPr>
      <t xml:space="preserve">ステップ1：
</t>
    </r>
    <r>
      <rPr>
        <rFont val="メイリオ"/>
        <color rgb="FF000000"/>
        <sz val="10.0"/>
      </rPr>
      <t xml:space="preserve">Trả về HTTP 500 (`error_code: INTERNAL_SERVER_ERROR`, hiển thị toast `システムエラーが発生しました。しばらくしてから再度お試しください。`)
</t>
    </r>
    <r>
      <rPr>
        <rFont val="メイリオ"/>
        <b/>
        <color rgb="FF000000"/>
        <sz val="10.0"/>
      </rPr>
      <t xml:space="preserve">ステップ2：
</t>
    </r>
    <r>
      <rPr>
        <rFont val="メイリオ"/>
        <color rgb="FF000000"/>
        <sz val="10.0"/>
      </rPr>
      <t xml:space="preserve">`deleted_at IS NULL` (chưa bị xóa do rollback)
</t>
    </r>
    <r>
      <rPr>
        <rFont val="メイリオ"/>
        <b/>
        <color rgb="FF000000"/>
        <sz val="10.0"/>
      </rPr>
      <t xml:space="preserve">ステップ3：
</t>
    </r>
    <r>
      <rPr>
        <rFont val="メイリオ"/>
        <color rgb="FF000000"/>
        <sz val="10.0"/>
      </rPr>
      <t xml:space="preserve">1 row xác nhận, `log_type=3` (error log), `result_status=2` (ghi ngoài transaction qua outer catch)
</t>
    </r>
    <r>
      <rPr>
        <rFont val="メイリオ"/>
        <b/>
        <color rgb="FF000000"/>
        <sz val="10.0"/>
      </rPr>
      <t xml:space="preserve">補足：
</t>
    </r>
    <r>
      <rPr>
        <rFont val="メイリオ"/>
        <color rgb="FF000000"/>
        <sz val="10.0"/>
      </rPr>
      <t xml:space="preserve">・Main DML + audit log thực thi trong cùng 1 transaction nên nếu một trong hai fail thì cả hai sẽ rollback
</t>
    </r>
    <r>
      <rPr>
        <rFont val="メイリオ"/>
        <color rgb="FF000000"/>
        <sz val="10.0"/>
      </rPr>
      <t xml:space="preserve">・Error log (log_type=3) được ghi riêng ngoài transaction nên không bị ảnh hưởng bởi rollback
</t>
    </r>
    <r>
      <rPr>
        <rFont val="メイリオ"/>
        <color rgb="FF000000"/>
        <sz val="10.0"/>
      </rPr>
      <t>・Là kiểm chứng quan trọng để đảm bảo data integrity</t>
    </r>
  </si>
  <si>
    <t>Critical test đảm bảo tính nhất quán giữa audit trail và DB state.
---</t>
  </si>
  <si>
    <t>Logic nghiệp vụ — Chuyển màn hình (Function — Navigation)</t>
  </si>
  <si>
    <t>ACSMS-TC-004-035</t>
  </si>
  <si>
    <t>Nút "新規登録" → chuyển sang Màn đăng ký Master JA</t>
  </si>
  <si>
    <t>・role: NICHINO_ADMIN
・Đã mở màn search</t>
  </si>
  <si>
    <r>
      <rPr>
        <rFont val="メイリオ"/>
        <b/>
        <color rgb="FF000000"/>
        <sz val="10.0"/>
      </rPr>
      <t xml:space="preserve">ステップ1：
</t>
    </r>
    <r>
      <rPr>
        <rFont val="メイリオ"/>
        <color rgb="FF000000"/>
        <sz val="10.0"/>
      </rPr>
      <t xml:space="preserve">Click nút "新規登録" ở góc phải header bảng list
</t>
    </r>
    <r>
      <rPr>
        <rFont val="メイリオ"/>
        <b/>
        <color rgb="FF000000"/>
        <sz val="10.0"/>
      </rPr>
      <t xml:space="preserve">ステップ2：
</t>
    </r>
    <r>
      <rPr>
        <rFont val="メイリオ"/>
        <color rgb="FF000000"/>
        <sz val="10.0"/>
      </rPr>
      <t>Kiểm tra màn hình sau khi chuyển</t>
    </r>
  </si>
  <si>
    <r>
      <rPr>
        <rFont val="メイリオ"/>
        <b/>
        <color rgb="FF000000"/>
        <sz val="10.0"/>
      </rPr>
      <t xml:space="preserve">ステップ1：
</t>
    </r>
    <r>
      <rPr>
        <rFont val="メイリオ"/>
        <color rgb="FF000000"/>
        <sz val="10.0"/>
      </rPr>
      <t xml:space="preserve">Chuyển sang URL `/ja/create`
</t>
    </r>
    <r>
      <rPr>
        <rFont val="メイリオ"/>
        <b/>
        <color rgb="FF000000"/>
        <sz val="10.0"/>
      </rPr>
      <t xml:space="preserve">ステップ2：
</t>
    </r>
    <r>
      <rPr>
        <rFont val="メイリオ"/>
        <color rgb="FF000000"/>
        <sz val="10.0"/>
      </rPr>
      <t xml:space="preserve">Màn đăng ký Master JA hiển thị ở trạng thái form rỗng
</t>
    </r>
    <r>
      <rPr>
        <rFont val="メイリオ"/>
        <b/>
        <color rgb="FF000000"/>
        <sz val="10.0"/>
      </rPr>
      <t xml:space="preserve">補足：
</t>
    </r>
    <r>
      <rPr>
        <rFont val="メイリオ"/>
        <color rgb="FF000000"/>
        <sz val="10.0"/>
      </rPr>
      <t xml:space="preserve">・Màn đăng ký mặc định hiển thị form rỗng (không có giá trị có sẵn)
</t>
    </r>
    <r>
      <rPr>
        <rFont val="メイリオ"/>
        <color rgb="FF000000"/>
        <sz val="10.0"/>
      </rPr>
      <t>・Khi chuyển trang, history được thêm vào browser history stack</t>
    </r>
  </si>
  <si>
    <t>ACSMS-TC-004-036</t>
  </si>
  <si>
    <t>Link JAコード → chuyển sang Màn chỉnh sửa Master JA (hiển thị data có sẵn)</t>
  </si>
  <si>
    <t>・role: JA_HONTEN (thuộc ja-001)
・Test data: `ja_id=1, ja_code='1301001001', ja_name='JA東京中央'` (JA của mình)</t>
  </si>
  <si>
    <r>
      <rPr>
        <rFont val="メイリオ"/>
        <b/>
        <color rgb="FF000000"/>
        <sz val="10.0"/>
      </rPr>
      <t xml:space="preserve">ステップ1：
</t>
    </r>
    <r>
      <rPr>
        <rFont val="メイリオ"/>
        <color rgb="FF000000"/>
        <sz val="10.0"/>
      </rPr>
      <t xml:space="preserve">Click link JAコード `1301001001` trên bảng list
</t>
    </r>
    <r>
      <rPr>
        <rFont val="メイリオ"/>
        <b/>
        <color rgb="FF000000"/>
        <sz val="10.0"/>
      </rPr>
      <t xml:space="preserve">ステップ2：
</t>
    </r>
    <r>
      <rPr>
        <rFont val="メイリオ"/>
        <color rgb="FF000000"/>
        <sz val="10.0"/>
      </rPr>
      <t>Kiểm tra màn hình sau khi chuyển và giá trị form ban đầu</t>
    </r>
  </si>
  <si>
    <r>
      <rPr>
        <rFont val="メイリオ"/>
        <b/>
        <color rgb="FF000000"/>
        <sz val="10.0"/>
      </rPr>
      <t xml:space="preserve">ステップ1：
</t>
    </r>
    <r>
      <rPr>
        <rFont val="メイリオ"/>
        <color rgb="FF000000"/>
        <sz val="10.0"/>
      </rPr>
      <t xml:space="preserve">Chuyển sang URL `/ja/1/edit`, hiển thị Màn chỉnh sửa Master JA
</t>
    </r>
    <r>
      <rPr>
        <rFont val="メイリオ"/>
        <b/>
        <color rgb="FF000000"/>
        <sz val="10.0"/>
      </rPr>
      <t xml:space="preserve">ステップ2：
</t>
    </r>
    <r>
      <rPr>
        <rFont val="メイリオ"/>
        <color rgb="FF000000"/>
        <sz val="10.0"/>
      </rPr>
      <t xml:space="preserve">Giá trị trong DB (ja_code, ja_name, yubin_no, todofuken_code, address, tel, fax...) hiển thị khớp hoàn toàn trong form. Một số trường (cờ chuokai, các trường liên quan ngân hàng...) hiển thị ở trạng thái read-only
</t>
    </r>
    <r>
      <rPr>
        <rFont val="メイリオ"/>
        <b/>
        <color rgb="FF000000"/>
        <sz val="10.0"/>
      </rPr>
      <t xml:space="preserve">補足：
</t>
    </r>
    <r>
      <rPr>
        <rFont val="メイリオ"/>
        <color rgb="FF000000"/>
        <sz val="10.0"/>
      </rPr>
      <t xml:space="preserve">・Link cột JAコード chỉ click được với role có quyền `ja.update`
</t>
    </r>
    <r>
      <rPr>
        <rFont val="メイリオ"/>
        <color rgb="FF000000"/>
        <sz val="10.0"/>
      </rPr>
      <t>・Giá trị form ban đầu của màn edit lấy từ response của GET `/api/v1/ja/{id}`</t>
    </r>
  </si>
  <si>
    <t>ACSMS-TC-004-037</t>
  </si>
  <si>
    <t>Truy cập trực tiếp URL chỉnh sửa — ẩn sự tồn tại khi vi phạm DataScope (ID JA khác)</t>
  </si>
  <si>
    <t>・role: JA_HONTEN (thuộc ja-001, JA của mình = ja-001)
・Test data: `ja_id=2, ja_code='1301002001'` (JA khác = ja-002)</t>
  </si>
  <si>
    <r>
      <rPr>
        <rFont val="游ゴシック"/>
        <b/>
        <color rgb="FF000000"/>
        <sz val="10.0"/>
      </rPr>
      <t xml:space="preserve">ステップ1：
</t>
    </r>
    <r>
      <rPr>
        <rFont val="游ゴシック"/>
        <color rgb="FF000000"/>
        <sz val="10.0"/>
      </rPr>
      <t xml:space="preserve">Nhập trực tiếp `/ja/2/edit` vào address bar browser
</t>
    </r>
    <r>
      <rPr>
        <rFont val="游ゴシック"/>
        <b/>
        <color rgb="FF000000"/>
        <sz val="10.0"/>
      </rPr>
      <t xml:space="preserve">ステップ2：
</t>
    </r>
    <r>
      <rPr>
        <rFont val="游ゴシック"/>
        <color rgb="FF000000"/>
        <sz val="10.0"/>
      </rPr>
      <t xml:space="preserve">Dùng DevTools gọi trực tiếp GET `/api/v1/ja/2`
</t>
    </r>
    <r>
      <rPr>
        <rFont val="游ゴシック"/>
        <b/>
        <color rgb="FF000000"/>
        <sz val="10.0"/>
      </rPr>
      <t xml:space="preserve">ステップ3：
</t>
    </r>
    <r>
      <rPr>
        <rFont val="游ゴシック"/>
        <color rgb="FF000000"/>
        <sz val="10.0"/>
      </rPr>
      <t>Dùng DevTools gửi PUT `/api/v1/ja/2` với request body hợp lệ</t>
    </r>
  </si>
  <si>
    <r>
      <rPr>
        <rFont val="メイリオ"/>
        <b/>
        <color rgb="FF000000"/>
        <sz val="10.0"/>
      </rPr>
      <t xml:space="preserve">ステップ1：
</t>
    </r>
    <r>
      <rPr>
        <rFont val="メイリオ"/>
        <color rgb="FF000000"/>
        <sz val="10.0"/>
      </rPr>
      <t xml:space="preserve">Chuyển trang fail, hiển thị toast `指定されたJAが見つかりません。`, vẫn ở màn search hoặc chuyển về `/dashboard`
</t>
    </r>
    <r>
      <rPr>
        <rFont val="メイリオ"/>
        <b/>
        <color rgb="FF000000"/>
        <sz val="10.0"/>
      </rPr>
      <t xml:space="preserve">ステップ2：
</t>
    </r>
    <r>
      <rPr>
        <rFont val="メイリオ"/>
        <color rgb="FF000000"/>
        <sz val="10.0"/>
      </rPr>
      <t xml:space="preserve">Trả về HTTP 404 (`error_code: NOT_FOUND`, message `指定されたJAが見つかりません。`)
</t>
    </r>
    <r>
      <rPr>
        <rFont val="メイリオ"/>
        <b/>
        <color rgb="FF000000"/>
        <sz val="10.0"/>
      </rPr>
      <t xml:space="preserve">ステップ3：
</t>
    </r>
    <r>
      <rPr>
        <rFont val="メイリオ"/>
        <color rgb="FF000000"/>
        <sz val="10.0"/>
      </rPr>
      <t xml:space="preserve">Trả về HTTP 404 (`error_code: NOT_FOUND`, message `指定されたJAが見つかりません。`)
</t>
    </r>
    <r>
      <rPr>
        <rFont val="メイリオ"/>
        <b/>
        <color rgb="FF000000"/>
        <sz val="10.0"/>
      </rPr>
      <t xml:space="preserve">補足：
</t>
    </r>
    <r>
      <rPr>
        <rFont val="メイリオ"/>
        <color rgb="FF000000"/>
        <sz val="10.0"/>
      </rPr>
      <t xml:space="preserve">・Tuân thủ quan điểm VP-A-04 "URL trực tiếp access attack"
</t>
    </r>
    <r>
      <rPr>
        <rFont val="メイリオ"/>
        <color rgb="FF000000"/>
        <sz val="10.0"/>
      </rPr>
      <t xml:space="preserve">・Truy cập ngoài scope trả về HTTP 404 để ẩn sự tồn tại (không phải 403)
</t>
    </r>
    <r>
      <rPr>
        <rFont val="メイリオ"/>
        <color rgb="FF000000"/>
        <sz val="10.0"/>
      </rPr>
      <t>・Truy cập từ bookmark cũ / F5 reload cũng có hành vi tương tự</t>
    </r>
  </si>
  <si>
    <t>Xử lý lỗi chung (Common Error Handling)</t>
  </si>
  <si>
    <t>ACSMS-TC-004-038</t>
  </si>
  <si>
    <t>Common Error — UNAUTHORIZED — xử lý khi session hết hạn</t>
  </si>
  <si>
    <t>・role: NICHINO_ADMIN
・Đang hiển thị màn search
・Đã 24 giờ trở lên kể từ thao tác cuối cùng, Redis session TTL đã hết hạn (hoặc đã bị admin tool revoke)</t>
  </si>
  <si>
    <r>
      <rPr>
        <rFont val="メイリオ"/>
        <b/>
        <color rgb="FF000000"/>
        <sz val="10.0"/>
      </rPr>
      <t xml:space="preserve">ステップ1：
</t>
    </r>
    <r>
      <rPr>
        <rFont val="メイリオ"/>
        <color rgb="FF000000"/>
        <sz val="10.0"/>
      </rPr>
      <t xml:space="preserve">Click nút "検索", gửi API request
</t>
    </r>
    <r>
      <rPr>
        <rFont val="メイリオ"/>
        <b/>
        <color rgb="FF000000"/>
        <sz val="10.0"/>
      </rPr>
      <t xml:space="preserve">ステップ2：
</t>
    </r>
    <r>
      <rPr>
        <rFont val="メイリオ"/>
        <color rgb="FF000000"/>
        <sz val="10.0"/>
      </rPr>
      <t xml:space="preserve">Kiểm tra nội dung response và chuyển trang
</t>
    </r>
    <r>
      <rPr>
        <rFont val="メイリオ"/>
        <b/>
        <color rgb="FF000000"/>
        <sz val="10.0"/>
      </rPr>
      <t xml:space="preserve">ステップ3：
</t>
    </r>
    <r>
      <rPr>
        <rFont val="メイリオ"/>
        <color rgb="FF000000"/>
        <sz val="10.0"/>
      </rPr>
      <t>Kiểm tra address bar browser</t>
    </r>
  </si>
  <si>
    <r>
      <rPr>
        <rFont val="メイリオ"/>
        <b/>
        <color rgb="FF000000"/>
        <sz val="10.0"/>
      </rPr>
      <t xml:space="preserve">ステップ1：
</t>
    </r>
    <r>
      <rPr>
        <rFont val="メイリオ"/>
        <color rgb="FF000000"/>
        <sz val="10.0"/>
      </rPr>
      <t xml:space="preserve">Trả về HTTP 401 (`error_code: UNAUTHORIZED`, message `セッションが切れました。再度ログインしてください。`)
</t>
    </r>
    <r>
      <rPr>
        <rFont val="メイリオ"/>
        <b/>
        <color rgb="FF000000"/>
        <sz val="10.0"/>
      </rPr>
      <t xml:space="preserve">ステップ2：
</t>
    </r>
    <r>
      <rPr>
        <rFont val="メイリオ"/>
        <color rgb="FF000000"/>
        <sz val="10.0"/>
      </rPr>
      <t xml:space="preserve">FE clear user state của Pinia auth store, tự động chuyển sang `/login?redirect=/ja`
</t>
    </r>
    <r>
      <rPr>
        <rFont val="メイリオ"/>
        <b/>
        <color rgb="FF000000"/>
        <sz val="10.0"/>
      </rPr>
      <t xml:space="preserve">ステップ3：
</t>
    </r>
    <r>
      <rPr>
        <rFont val="メイリオ"/>
        <color rgb="FF000000"/>
        <sz val="10.0"/>
      </rPr>
      <t xml:space="preserve">URL có gắn `?redirect=/ja` và đã chuyển sang `/login`
</t>
    </r>
    <r>
      <rPr>
        <rFont val="メイリオ"/>
        <b/>
        <color rgb="FF000000"/>
        <sz val="10.0"/>
      </rPr>
      <t xml:space="preserve">補足：
</t>
    </r>
    <r>
      <rPr>
        <rFont val="メイリオ"/>
        <color rgb="FF000000"/>
        <sz val="10.0"/>
      </rPr>
      <t xml:space="preserve">・Khi session hết hạn, BE SessionAuthGuard trả về 401, và axios interceptor của FE đồng nhất điều hướng về màn login
</t>
    </r>
    <r>
      <rPr>
        <rFont val="メイリオ"/>
        <color rgb="FF000000"/>
        <sz val="10.0"/>
      </rPr>
      <t>・Sau khi login lại, sẽ quay về URL của redirect parameter (màn search)</t>
    </r>
  </si>
  <si>
    <t>ACSMS-TC-004-039</t>
  </si>
  <si>
    <t>Common Error — BAD_REQUEST — query parameter không hợp lệ</t>
  </si>
  <si>
    <t>・role: NICHINO_ADMIN
・Đã mở Network tab trên DevTools</t>
  </si>
  <si>
    <r>
      <rPr>
        <rFont val="游ゴシック"/>
        <b/>
        <color rgb="FF000000"/>
        <sz val="10.0"/>
      </rPr>
      <t xml:space="preserve">ステップ1：
</t>
    </r>
    <r>
      <rPr>
        <rFont val="游ゴシック"/>
        <color rgb="FF000000"/>
        <sz val="10.0"/>
      </rPr>
      <t xml:space="preserve">Trên Console DevTools chạy `fetch('/api/v1/ja?page=-1&amp;per_page=999&amp;sort_by=evil_column&amp;sort_order=invalid', { credentials: 'include' })`
</t>
    </r>
    <r>
      <rPr>
        <rFont val="游ゴシック"/>
        <b/>
        <color rgb="FF000000"/>
        <sz val="10.0"/>
      </rPr>
      <t xml:space="preserve">ステップ2：
</t>
    </r>
    <r>
      <rPr>
        <rFont val="游ゴシック"/>
        <color rgb="FF000000"/>
        <sz val="10.0"/>
      </rPr>
      <t xml:space="preserve">Kiểm tra HTTP status và error_code của response
</t>
    </r>
    <r>
      <rPr>
        <rFont val="游ゴシック"/>
        <b/>
        <color rgb="FF000000"/>
        <sz val="10.0"/>
      </rPr>
      <t xml:space="preserve">ステップ3：
</t>
    </r>
    <r>
      <rPr>
        <rFont val="游ゴシック"/>
        <color rgb="FF000000"/>
        <sz val="10.0"/>
      </rPr>
      <t>Kiểm tra DB: `SELECT COUNT(*) FROM m_ja WHERE deleted_at IS NULL`</t>
    </r>
  </si>
  <si>
    <r>
      <rPr>
        <rFont val="メイリオ"/>
        <b/>
        <color rgb="FF000000"/>
        <sz val="10.0"/>
      </rPr>
      <t xml:space="preserve">ステップ1：
</t>
    </r>
    <r>
      <rPr>
        <rFont val="メイリオ"/>
        <color rgb="FF000000"/>
        <sz val="10.0"/>
      </rPr>
      <t xml:space="preserve">Gửi request thành công
</t>
    </r>
    <r>
      <rPr>
        <rFont val="メイリオ"/>
        <b/>
        <color rgb="FF000000"/>
        <sz val="10.0"/>
      </rPr>
      <t xml:space="preserve">ステップ2：
</t>
    </r>
    <r>
      <rPr>
        <rFont val="メイリオ"/>
        <color rgb="FF000000"/>
        <sz val="10.0"/>
      </rPr>
      <t xml:space="preserve">Trả về HTTP 400 (`error_code: BAD_REQUEST` hoặc `VALIDATION_ERROR`, message `リクエストパラメータが不正です。` hoặc `入力値が不正です。詳細はerrorsフィールドを確認してください。`)
</t>
    </r>
    <r>
      <rPr>
        <rFont val="メイリオ"/>
        <b/>
        <color rgb="FF000000"/>
        <sz val="10.0"/>
      </rPr>
      <t xml:space="preserve">ステップ3：
</t>
    </r>
    <r>
      <rPr>
        <rFont val="メイリオ"/>
        <color rgb="FF000000"/>
        <sz val="10.0"/>
      </rPr>
      <t xml:space="preserve">Số record DB không thay đổi
</t>
    </r>
    <r>
      <rPr>
        <rFont val="メイリオ"/>
        <b/>
        <color rgb="FF000000"/>
        <sz val="10.0"/>
      </rPr>
      <t xml:space="preserve">補足：
</t>
    </r>
    <r>
      <rPr>
        <rFont val="メイリオ"/>
        <color rgb="FF000000"/>
        <sz val="10.0"/>
      </rPr>
      <t xml:space="preserve">・page &lt; 1, per_page &gt; 100, sort_by ngoài allow list, sort_order khác asc/desc đều bị từ chối với HTTP 400
</t>
    </r>
    <r>
      <rPr>
        <rFont val="メイリオ"/>
        <color rgb="FF000000"/>
        <sz val="10.0"/>
      </rPr>
      <t>・sort_by allow list: ja_code, ja_name, yubin_no, todofuken_name, tel, address, fax</t>
    </r>
  </si>
  <si>
    <t>ACSMS-TC-004-040</t>
  </si>
  <si>
    <t>Common Error — VALIDATION_ERROR — vi phạm max length của search condition</t>
  </si>
  <si>
    <t>・role: NICHINO_ADMIN
・Đang hiển thị màn search</t>
  </si>
  <si>
    <r>
      <rPr>
        <rFont val="游ゴシック"/>
        <b/>
        <color rgb="FF000000"/>
        <sz val="10.0"/>
      </rPr>
      <t xml:space="preserve">ステップ1：
</t>
    </r>
    <r>
      <rPr>
        <rFont val="游ゴシック"/>
        <color rgb="FF000000"/>
        <sz val="10.0"/>
      </rPr>
      <t xml:space="preserve">Nhập 11 ký tự (ví dụ `12345678901`) vào JAコード, 101 ký tự (ví dụ `東` × 101) vào JA名
</t>
    </r>
    <r>
      <rPr>
        <rFont val="游ゴシック"/>
        <b/>
        <color rgb="FF000000"/>
        <sz val="10.0"/>
      </rPr>
      <t xml:space="preserve">ステップ2：
</t>
    </r>
    <r>
      <rPr>
        <rFont val="游ゴシック"/>
        <color rgb="FF000000"/>
        <sz val="10.0"/>
      </rPr>
      <t xml:space="preserve">Click nút "検索"
</t>
    </r>
    <r>
      <rPr>
        <rFont val="游ゴシック"/>
        <b/>
        <color rgb="FF000000"/>
        <sz val="10.0"/>
      </rPr>
      <t xml:space="preserve">ステップ3：
</t>
    </r>
    <r>
      <rPr>
        <rFont val="游ゴシック"/>
        <color rgb="FF000000"/>
        <sz val="10.0"/>
      </rPr>
      <t>Kiểm tra response body</t>
    </r>
  </si>
  <si>
    <r>
      <rPr>
        <rFont val="メイリオ"/>
        <b/>
        <color rgb="FF000000"/>
        <sz val="10.0"/>
      </rPr>
      <t xml:space="preserve">ステップ1：
</t>
    </r>
    <r>
      <rPr>
        <rFont val="メイリオ"/>
        <color rgb="FF000000"/>
        <sz val="10.0"/>
      </rPr>
      <t xml:space="preserve">Nhập input thành công
</t>
    </r>
    <r>
      <rPr>
        <rFont val="メイリオ"/>
        <b/>
        <color rgb="FF000000"/>
        <sz val="10.0"/>
      </rPr>
      <t xml:space="preserve">ステップ2：
</t>
    </r>
    <r>
      <rPr>
        <rFont val="メイリオ"/>
        <color rgb="FF000000"/>
        <sz val="10.0"/>
      </rPr>
      <t xml:space="preserve">Trả về HTTP 400 (`error_code: VALIDATION_ERROR`, message `入力値が不正です。詳細はerrorsフィールドを確認してください。`)
</t>
    </r>
    <r>
      <rPr>
        <rFont val="メイリオ"/>
        <b/>
        <color rgb="FF000000"/>
        <sz val="10.0"/>
      </rPr>
      <t xml:space="preserve">ステップ3：
</t>
    </r>
    <r>
      <rPr>
        <rFont val="メイリオ"/>
        <color rgb="FF000000"/>
        <sz val="10.0"/>
      </rPr>
      <t xml:space="preserve">Mảng `errors` trong response body chứa 2 item:
</t>
    </r>
    <r>
      <rPr>
        <rFont val="メイリオ"/>
        <color rgb="FF000000"/>
        <sz val="10.0"/>
      </rPr>
      <t xml:space="preserve">・`{ field: 'ja_code', message: &lt;max length message&gt; }`
</t>
    </r>
    <r>
      <rPr>
        <rFont val="メイリオ"/>
        <color rgb="FF000000"/>
        <sz val="10.0"/>
      </rPr>
      <t xml:space="preserve">・`{ field: 'ja_name', message: &lt;max length message&gt; }`
</t>
    </r>
    <r>
      <rPr>
        <rFont val="メイリオ"/>
        <b/>
        <color rgb="FF000000"/>
        <sz val="10.0"/>
      </rPr>
      <t xml:space="preserve">補足：
</t>
    </r>
    <r>
      <rPr>
        <rFont val="メイリオ"/>
        <color rgb="FF000000"/>
        <sz val="10.0"/>
      </rPr>
      <t xml:space="preserve">・Class-validator decorator `@MaxLength` đã được apply lên request DTO
</t>
    </r>
    <r>
      <rPr>
        <rFont val="メイリオ"/>
        <color rgb="FF000000"/>
        <sz val="10.0"/>
      </rPr>
      <t>・Khi vi phạm nhiều item thì trả về toàn bộ vi phạm trong 1 request</t>
    </r>
  </si>
  <si>
    <t>ACSMS-TC-004-041</t>
  </si>
  <si>
    <t>Common Error — TOO_MANY_REQUESTS — vượt rate limit</t>
  </si>
  <si>
    <t>・role: NICHINO_ADMIN
・Dùng test script gửi GET `/api/v1/ja` với hơn 100 request trong 1 phút</t>
  </si>
  <si>
    <r>
      <rPr>
        <rFont val="メイリオ"/>
        <b/>
        <color rgb="FF000000"/>
        <sz val="10.0"/>
      </rPr>
      <t xml:space="preserve">ステップ1：
</t>
    </r>
    <r>
      <rPr>
        <rFont val="メイリオ"/>
        <color rgb="FF000000"/>
        <sz val="10.0"/>
      </rPr>
      <t xml:space="preserve">Khởi chạy script, gửi request tần suất cao tới search API
</t>
    </r>
    <r>
      <rPr>
        <rFont val="メイリオ"/>
        <b/>
        <color rgb="FF000000"/>
        <sz val="10.0"/>
      </rPr>
      <t xml:space="preserve">ステップ2：
</t>
    </r>
    <r>
      <rPr>
        <rFont val="メイリオ"/>
        <color rgb="FF000000"/>
        <sz val="10.0"/>
      </rPr>
      <t xml:space="preserve">Kiểm tra HTTP status và error_code của response
</t>
    </r>
    <r>
      <rPr>
        <rFont val="メイリオ"/>
        <b/>
        <color rgb="FF000000"/>
        <sz val="10.0"/>
      </rPr>
      <t xml:space="preserve">ステップ3：
</t>
    </r>
    <r>
      <rPr>
        <rFont val="メイリオ"/>
        <color rgb="FF000000"/>
        <sz val="10.0"/>
      </rPr>
      <t>Kiểm tra hiển thị toast bên màn hình</t>
    </r>
  </si>
  <si>
    <r>
      <rPr>
        <rFont val="メイリオ"/>
        <b/>
        <color rgb="FF000000"/>
        <sz val="10.0"/>
      </rPr>
      <t xml:space="preserve">ステップ1：
</t>
    </r>
    <r>
      <rPr>
        <rFont val="メイリオ"/>
        <color rgb="FF000000"/>
        <sz val="10.0"/>
      </rPr>
      <t xml:space="preserve">100 request đầu tiên trả về bình thường, từ đó về sau trả 429
</t>
    </r>
    <r>
      <rPr>
        <rFont val="メイリオ"/>
        <b/>
        <color rgb="FF000000"/>
        <sz val="10.0"/>
      </rPr>
      <t xml:space="preserve">ステップ2：
</t>
    </r>
    <r>
      <rPr>
        <rFont val="メイリオ"/>
        <color rgb="FF000000"/>
        <sz val="10.0"/>
      </rPr>
      <t xml:space="preserve">Trả về HTTP 429 (`error_code: TOO_MANY_REQUESTS`, message `リクエスト回数が上限を超えました。しばらくしてから再度お試しください。`)
</t>
    </r>
    <r>
      <rPr>
        <rFont val="メイリオ"/>
        <b/>
        <color rgb="FF000000"/>
        <sz val="10.0"/>
      </rPr>
      <t xml:space="preserve">ステップ3：
</t>
    </r>
    <r>
      <rPr>
        <rFont val="メイリオ"/>
        <color rgb="FF000000"/>
        <sz val="10.0"/>
      </rPr>
      <t xml:space="preserve">Hiển thị toast `リクエスト回数が上限を超えました。しばらくしてから再度お試しください。`, nút search bị disable tạm thời
</t>
    </r>
    <r>
      <rPr>
        <rFont val="メイリオ"/>
        <b/>
        <color rgb="FF000000"/>
        <sz val="10.0"/>
      </rPr>
      <t xml:space="preserve">補足：
</t>
    </r>
    <r>
      <rPr>
        <rFont val="メイリオ"/>
        <color rgb="FF000000"/>
        <sz val="10.0"/>
      </rPr>
      <t xml:space="preserve">・NestJS @Throttle decorator + AWS WAF rate limit cùng block ở 2 tầng infra/app
</t>
    </r>
    <r>
      <rPr>
        <rFont val="メイリオ"/>
        <color rgb="FF000000"/>
        <sz val="10.0"/>
      </rPr>
      <t>・Tuân thủ quan điểm VP-A-08 "Rate Limit / Throttling"</t>
    </r>
  </si>
  <si>
    <t>ACSMS-TC-004-042</t>
  </si>
  <si>
    <t>Common Error — INTERNAL_SERVER_ERROR — lỗi nội bộ server</t>
  </si>
  <si>
    <t>・role: NICHINO_ADMIN
・Test environment: BE chủ ý trigger lỗi nội bộ (ví dụ: ngắt kết nối DB, raise exception không catch)</t>
  </si>
  <si>
    <r>
      <rPr>
        <rFont val="メイリオ"/>
        <b/>
        <color rgb="FF000000"/>
        <sz val="10.0"/>
      </rPr>
      <t xml:space="preserve">ステップ1：
</t>
    </r>
    <r>
      <rPr>
        <rFont val="メイリオ"/>
        <color rgb="FF000000"/>
        <sz val="10.0"/>
      </rPr>
      <t xml:space="preserve">Click nút "検索", hoặc thực hiện thao tác "削除"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Kiểm tra DB: `SELECT * FROM t_log WHERE log_type = 3 ORDER BY log_datetime DESC LIMIT 1`</t>
    </r>
  </si>
  <si>
    <r>
      <rPr>
        <rFont val="メイリオ"/>
        <b/>
        <color rgb="FF000000"/>
        <sz val="10.0"/>
      </rPr>
      <t xml:space="preserve">ステップ1：
</t>
    </r>
    <r>
      <rPr>
        <rFont val="メイリオ"/>
        <color rgb="FF000000"/>
        <sz val="10.0"/>
      </rPr>
      <t xml:space="preserve">Trả về HTTP 500 (`error_code: INTERNAL_SERVER_ERROR`, hiển thị toast `システムエラーが発生しました。しばらくしてから再度お試しください。`)
</t>
    </r>
    <r>
      <rPr>
        <rFont val="メイリオ"/>
        <b/>
        <color rgb="FF000000"/>
        <sz val="10.0"/>
      </rPr>
      <t xml:space="preserve">ステップ2：
</t>
    </r>
    <r>
      <rPr>
        <rFont val="メイリオ"/>
        <color rgb="FF000000"/>
        <sz val="10.0"/>
      </rPr>
      <t xml:space="preserve">Vẫn ở màn search (không redirect), search condition đã nhập được giữ nguyên
</t>
    </r>
    <r>
      <rPr>
        <rFont val="メイリオ"/>
        <b/>
        <color rgb="FF000000"/>
        <sz val="10.0"/>
      </rPr>
      <t xml:space="preserve">ステップ3：
</t>
    </r>
    <r>
      <rPr>
        <rFont val="メイリオ"/>
        <color rgb="FF000000"/>
        <sz val="10.0"/>
      </rPr>
      <t xml:space="preserve">1 row xác nhận, `log_type=3` (error log), `error_message` và `stack_trace` được ghi chi tiết (không public ra client)
</t>
    </r>
    <r>
      <rPr>
        <rFont val="メイリオ"/>
        <b/>
        <color rgb="FF000000"/>
        <sz val="10.0"/>
      </rPr>
      <t xml:space="preserve">補足：
</t>
    </r>
    <r>
      <rPr>
        <rFont val="メイリオ"/>
        <color rgb="FF000000"/>
        <sz val="10.0"/>
      </rPr>
      <t xml:space="preserve">・Error message hướng người dùng không chứa chi tiết, là wording chung chung
</t>
    </r>
    <r>
      <rPr>
        <rFont val="メイリオ"/>
        <color rgb="FF000000"/>
        <sz val="10.0"/>
      </rPr>
      <t xml:space="preserve">・Stack trace chỉ được ghi log nội bộ, không nằm trong response body
</t>
    </r>
    <r>
      <rPr>
        <rFont val="メイリオ"/>
        <color rgb="FF000000"/>
        <sz val="10.0"/>
      </rPr>
      <t>・Tương ứng ACSMS-MSG-004-005</t>
    </r>
  </si>
  <si>
    <t>ACSMS-TC-004-043</t>
  </si>
  <si>
    <t>Common Error — xử lý khi mất kết nối mạng</t>
  </si>
  <si>
    <t>・role: NICHINO_ADMIN
・Đang hiển thị màn search
・DevTools → Network → chuyển sang chế độ ngắt kết nối mạng</t>
  </si>
  <si>
    <r>
      <rPr>
        <rFont val="メイリオ"/>
        <b/>
        <color rgb="FF000000"/>
        <sz val="10.0"/>
      </rPr>
      <t xml:space="preserve">ステップ1：
</t>
    </r>
    <r>
      <rPr>
        <rFont val="メイリオ"/>
        <color rgb="FF000000"/>
        <sz val="10.0"/>
      </rPr>
      <t xml:space="preserve">Click nút "検索"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Đưa mạng về online và click "検索" lại</t>
    </r>
  </si>
  <si>
    <r>
      <rPr>
        <rFont val="メイリオ"/>
        <b/>
        <color rgb="FF000000"/>
        <sz val="10.0"/>
      </rPr>
      <t xml:space="preserve">ステップ1：
</t>
    </r>
    <r>
      <rPr>
        <rFont val="メイリオ"/>
        <color rgb="FF000000"/>
        <sz val="10.0"/>
      </rPr>
      <t xml:space="preserve">Hiển thị toast `ネットワークエラーが発生しました。接続をご確認ください。`
</t>
    </r>
    <r>
      <rPr>
        <rFont val="メイリオ"/>
        <b/>
        <color rgb="FF000000"/>
        <sz val="10.0"/>
      </rPr>
      <t xml:space="preserve">ステップ2：
</t>
    </r>
    <r>
      <rPr>
        <rFont val="メイリオ"/>
        <color rgb="FF000000"/>
        <sz val="10.0"/>
      </rPr>
      <t xml:space="preserve">Vẫn ở màn search, giá trị nhập và data list hiện tại được giữ nguyên
</t>
    </r>
    <r>
      <rPr>
        <rFont val="メイリオ"/>
        <b/>
        <color rgb="FF000000"/>
        <sz val="10.0"/>
      </rPr>
      <t xml:space="preserve">ステップ3：
</t>
    </r>
    <r>
      <rPr>
        <rFont val="メイリオ"/>
        <color rgb="FF000000"/>
        <sz val="10.0"/>
      </rPr>
      <t xml:space="preserve">Hiển thị kết quả search bình thường
</t>
    </r>
    <r>
      <rPr>
        <rFont val="メイリオ"/>
        <b/>
        <color rgb="FF000000"/>
        <sz val="10.0"/>
      </rPr>
      <t xml:space="preserve">補足：
</t>
    </r>
    <r>
      <rPr>
        <rFont val="メイリオ"/>
        <color rgb="FF000000"/>
        <sz val="10.0"/>
      </rPr>
      <t xml:space="preserve">・Khi phát hiện network error → thông báo cho người dùng
</t>
    </r>
    <r>
      <rPr>
        <rFont val="メイリオ"/>
        <color rgb="FF000000"/>
        <sz val="10.0"/>
      </rPr>
      <t xml:space="preserve">・Giá trị nhập được giữ, có thể gửi lại
</t>
    </r>
    <r>
      <rPr>
        <rFont val="メイリオ"/>
        <color rgb="FF000000"/>
        <sz val="10.0"/>
      </rPr>
      <t>・Network error của axios không có HTTP status code nên xử lý toast riêng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</si>
</sst>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font>
      <b/>
      <sz val="14.0"/>
      <color rgb="FF000000"/>
      <name val="游ゴシック"/>
    </font>
    <font>
      <sz val="11.0"/>
      <color theme="1"/>
      <name val="Calibri"/>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FFFF99"/>
        <bgColor rgb="FFFFFF99"/>
      </patternFill>
    </fill>
    <fill>
      <patternFill patternType="solid">
        <fgColor rgb="FFD9E2F3"/>
        <bgColor rgb="FFD9E2F3"/>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1" fillId="2" fontId="3" numFmtId="0" xfId="0" applyAlignment="1" applyBorder="1" applyFont="1">
      <alignment horizontal="center" shrinkToFit="0" vertical="center" wrapText="1"/>
    </xf>
    <xf borderId="5" fillId="0" fontId="4" numFmtId="0" xfId="0" applyBorder="1" applyFont="1"/>
    <xf borderId="6" fillId="0" fontId="4" numFmtId="0" xfId="0" applyBorder="1" applyFont="1"/>
    <xf borderId="5"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6" fillId="0" fontId="2" numFmtId="0" xfId="0" applyBorder="1" applyFont="1"/>
    <xf borderId="7" fillId="0" fontId="2" numFmtId="0" xfId="0" applyBorder="1" applyFont="1"/>
    <xf borderId="1" fillId="0" fontId="5" numFmtId="0" xfId="0" applyAlignment="1" applyBorder="1" applyFont="1">
      <alignment horizontal="center" shrinkToFit="0" vertical="center" wrapText="1"/>
    </xf>
    <xf borderId="1" fillId="3" fontId="1" numFmtId="0" xfId="0" applyAlignment="1" applyBorder="1" applyFill="1" applyFont="1">
      <alignment horizontal="left" shrinkToFit="0" vertical="center" wrapText="1"/>
    </xf>
    <xf borderId="1" fillId="0" fontId="5" numFmtId="0" xfId="0" applyAlignment="1" applyBorder="1" applyFont="1">
      <alignment horizontal="left" shrinkToFit="0" vertical="center" wrapText="1"/>
    </xf>
    <xf borderId="5" fillId="0" fontId="5" numFmtId="49" xfId="0" applyAlignment="1" applyBorder="1" applyFont="1" applyNumberFormat="1">
      <alignment horizontal="center" shrinkToFit="0" vertical="center" wrapText="1"/>
    </xf>
    <xf borderId="7" fillId="0" fontId="4" numFmtId="0" xfId="0" applyBorder="1" applyFont="1"/>
    <xf borderId="8" fillId="0" fontId="4" numFmtId="0" xfId="0" applyBorder="1" applyFont="1"/>
    <xf borderId="9" fillId="0" fontId="4" numFmtId="0" xfId="0" applyBorder="1" applyFont="1"/>
    <xf borderId="10" fillId="0" fontId="2" numFmtId="0" xfId="0" applyBorder="1" applyFont="1"/>
    <xf borderId="11" fillId="0" fontId="2" numFmtId="0" xfId="0" applyBorder="1" applyFont="1"/>
    <xf borderId="12" fillId="0" fontId="2" numFmtId="0" xfId="0" applyBorder="1" applyFont="1"/>
    <xf borderId="0" fillId="0" fontId="1" numFmtId="0" xfId="0" applyAlignment="1" applyFont="1">
      <alignment horizontal="left" shrinkToFit="0" vertical="center" wrapText="1"/>
    </xf>
    <xf borderId="0" fillId="0" fontId="5" numFmtId="0" xfId="0" applyAlignment="1" applyFont="1">
      <alignment horizontal="left" shrinkToFit="0" vertical="center" wrapText="1"/>
    </xf>
    <xf borderId="8" fillId="0" fontId="6" numFmtId="0" xfId="0" applyAlignment="1" applyBorder="1" applyFont="1">
      <alignment horizontal="center" shrinkToFit="0" vertical="center" wrapText="1"/>
    </xf>
    <xf borderId="9" fillId="0" fontId="2" numFmtId="0" xfId="0" applyBorder="1" applyFont="1"/>
    <xf borderId="13" fillId="4" fontId="1" numFmtId="0" xfId="0" applyAlignment="1" applyBorder="1" applyFill="1" applyFont="1">
      <alignment horizontal="left" shrinkToFit="0" vertical="center" wrapText="1"/>
    </xf>
    <xf borderId="14" fillId="0" fontId="2" numFmtId="0" xfId="0" applyBorder="1" applyFont="1"/>
    <xf borderId="1" fillId="0" fontId="5" numFmtId="49" xfId="0" applyAlignment="1" applyBorder="1" applyFont="1" applyNumberFormat="1">
      <alignment horizontal="left" shrinkToFit="0" vertical="center" wrapText="1"/>
    </xf>
    <xf borderId="8" fillId="0" fontId="7" numFmtId="0" xfId="0" applyAlignment="1" applyBorder="1" applyFont="1">
      <alignment horizontal="center" shrinkToFit="0" vertical="center" wrapText="1"/>
    </xf>
    <xf borderId="15" fillId="0" fontId="2" numFmtId="0" xfId="0" applyBorder="1" applyFont="1"/>
    <xf borderId="16" fillId="3" fontId="1"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5" fontId="9" numFmtId="0" xfId="0" applyAlignment="1" applyBorder="1" applyFill="1" applyFont="1">
      <alignment horizontal="center" shrinkToFit="0" vertical="center" wrapText="1"/>
    </xf>
    <xf borderId="17" fillId="0" fontId="2" numFmtId="0" xfId="0" applyBorder="1" applyFont="1"/>
    <xf borderId="1" fillId="5" fontId="9" numFmtId="49" xfId="0" applyAlignment="1" applyBorder="1" applyFont="1" applyNumberFormat="1">
      <alignment horizontal="center" shrinkToFit="0" vertical="center" wrapText="1"/>
    </xf>
    <xf borderId="2" fillId="6" fontId="1" numFmtId="0" xfId="0" applyAlignment="1" applyBorder="1" applyFill="1" applyFont="1">
      <alignment horizontal="left" shrinkToFit="0" vertical="center" wrapText="1"/>
    </xf>
    <xf borderId="10" fillId="0" fontId="4" numFmtId="0" xfId="0" applyBorder="1" applyFont="1"/>
    <xf borderId="11" fillId="0" fontId="4" numFmtId="0" xfId="0" applyBorder="1" applyFont="1"/>
    <xf borderId="12" fillId="0" fontId="4" numFmtId="0" xfId="0" applyBorder="1" applyFont="1"/>
    <xf borderId="1" fillId="0" fontId="5" numFmtId="164"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 fillId="0" fontId="1" numFmtId="164" xfId="0" applyAlignment="1" applyBorder="1" applyFont="1" applyNumberFormat="1">
      <alignment horizontal="center" shrinkToFit="0" vertical="center" wrapText="1"/>
    </xf>
    <xf borderId="2"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2" fillId="0" fontId="5" numFmtId="0" xfId="0" applyAlignment="1" applyBorder="1" applyFont="1">
      <alignment horizontal="center" shrinkToFit="0" vertical="top" wrapText="1"/>
    </xf>
    <xf borderId="1" fillId="0" fontId="5" numFmtId="0" xfId="0" applyAlignment="1" applyBorder="1" applyFont="1">
      <alignment horizontal="center" shrinkToFit="0" vertical="top" wrapText="1"/>
    </xf>
    <xf borderId="1" fillId="0" fontId="5" numFmtId="0" xfId="0" applyAlignment="1" applyBorder="1" applyFont="1">
      <alignment horizontal="left" shrinkToFit="0" vertical="top" wrapText="1"/>
    </xf>
    <xf borderId="1" fillId="7" fontId="1" numFmtId="0" xfId="0" applyAlignment="1" applyBorder="1" applyFill="1" applyFont="1">
      <alignment horizontal="center" shrinkToFit="0" vertical="top" wrapText="1"/>
    </xf>
    <xf borderId="1" fillId="8" fontId="1" numFmtId="0" xfId="0" applyAlignment="1" applyBorder="1" applyFill="1" applyFont="1">
      <alignment horizontal="center" shrinkToFit="0" vertical="top" wrapText="1"/>
    </xf>
    <xf borderId="16" fillId="6" fontId="1" numFmtId="0" xfId="0" applyAlignment="1" applyBorder="1" applyFont="1">
      <alignment horizontal="center" shrinkToFit="0" vertical="center" wrapText="1"/>
    </xf>
    <xf borderId="5" fillId="6" fontId="1" numFmtId="0" xfId="0" applyAlignment="1" applyBorder="1" applyFont="1">
      <alignment horizontal="center" shrinkToFit="0" vertical="center"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top" wrapText="1"/>
    </xf>
    <xf borderId="1" fillId="0" fontId="5" numFmtId="165" xfId="0" applyAlignment="1" applyBorder="1" applyFont="1" applyNumberFormat="1">
      <alignment horizontal="center" readingOrder="0" shrinkToFit="0" vertical="top" wrapText="1"/>
    </xf>
    <xf borderId="1" fillId="0" fontId="10" numFmtId="0" xfId="0" applyAlignment="1" applyBorder="1" applyFont="1">
      <alignment horizontal="center" shrinkToFit="0" vertical="top" wrapText="1"/>
    </xf>
    <xf borderId="1" fillId="0" fontId="4" numFmtId="0" xfId="0" applyAlignment="1" applyBorder="1" applyFont="1">
      <alignment vertical="top"/>
    </xf>
    <xf borderId="1" fillId="0" fontId="10" numFmtId="165" xfId="0" applyAlignment="1" applyBorder="1" applyFont="1" applyNumberFormat="1">
      <alignment horizontal="center" shrinkToFit="0" vertical="top" wrapText="1"/>
    </xf>
    <xf borderId="1" fillId="9" fontId="1" numFmtId="0" xfId="0" applyAlignment="1" applyBorder="1" applyFill="1" applyFont="1">
      <alignment horizontal="center" shrinkToFit="0" vertical="top" wrapText="1"/>
    </xf>
    <xf borderId="1" fillId="3" fontId="1" numFmtId="0" xfId="0" applyAlignment="1" applyBorder="1" applyFont="1">
      <alignment horizontal="right" shrinkToFit="0" vertical="center" wrapText="1"/>
    </xf>
    <xf borderId="1" fillId="0" fontId="1" numFmtId="0" xfId="0" applyAlignment="1" applyBorder="1" applyFont="1">
      <alignment horizontal="center" shrinkToFit="0" vertical="top" wrapText="1"/>
    </xf>
    <xf borderId="1"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6"/>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16"/>
    </row>
    <row r="3" ht="12.75" customHeight="1">
      <c r="B3" s="17"/>
      <c r="AK3" s="18"/>
    </row>
    <row r="4" ht="12.75" customHeight="1">
      <c r="B4" s="17"/>
      <c r="AK4" s="18"/>
    </row>
    <row r="5" ht="12.75" customHeight="1">
      <c r="B5" s="17"/>
      <c r="AK5" s="18"/>
    </row>
    <row r="6" ht="12.75" customHeight="1">
      <c r="B6" s="17"/>
      <c r="AK6" s="18"/>
    </row>
    <row r="7" ht="12.75" customHeight="1">
      <c r="B7" s="17"/>
      <c r="AK7" s="18"/>
    </row>
    <row r="8" ht="12.75" customHeight="1">
      <c r="B8" s="17"/>
      <c r="AK8" s="18"/>
    </row>
    <row r="9" ht="12.75" customHeight="1">
      <c r="B9" s="17"/>
      <c r="AK9" s="18"/>
    </row>
    <row r="10" ht="29.25" customHeight="1">
      <c r="B10" s="24" t="s">
        <v>15</v>
      </c>
      <c r="AK10" s="25"/>
    </row>
    <row r="11" ht="12.75" customHeight="1">
      <c r="B11" s="17"/>
      <c r="AK11" s="18"/>
    </row>
    <row r="12" ht="39.0" customHeight="1">
      <c r="B12" s="29" t="s">
        <v>36</v>
      </c>
      <c r="AK12" s="25"/>
    </row>
    <row r="13" ht="12.75" customHeight="1">
      <c r="B13" s="17"/>
      <c r="AK13" s="18"/>
    </row>
    <row r="14" ht="12.75" customHeight="1">
      <c r="B14" s="17"/>
      <c r="AK14" s="18"/>
    </row>
    <row r="15" ht="12.75" customHeight="1">
      <c r="B15" s="32" t="s">
        <v>39</v>
      </c>
      <c r="AK15" s="25"/>
    </row>
    <row r="16" ht="12.75" customHeight="1">
      <c r="B16" s="17"/>
      <c r="AK16" s="18"/>
    </row>
    <row r="17" ht="12.75" customHeight="1">
      <c r="B17" s="17"/>
      <c r="AK17" s="18"/>
    </row>
    <row r="18" ht="12.75" customHeight="1">
      <c r="B18" s="17"/>
      <c r="N18" s="35" t="s">
        <v>43</v>
      </c>
      <c r="O18" s="3"/>
      <c r="P18" s="3"/>
      <c r="Q18" s="3"/>
      <c r="R18" s="4"/>
      <c r="S18" s="35" t="s">
        <v>47</v>
      </c>
      <c r="T18" s="3"/>
      <c r="U18" s="3"/>
      <c r="V18" s="3"/>
      <c r="W18" s="4"/>
      <c r="AK18" s="18"/>
    </row>
    <row r="19" ht="12.75" customHeight="1">
      <c r="B19" s="17"/>
      <c r="N19" s="35" t="s">
        <v>50</v>
      </c>
      <c r="O19" s="3"/>
      <c r="P19" s="3"/>
      <c r="Q19" s="3"/>
      <c r="R19" s="4"/>
      <c r="S19" s="35" t="s">
        <v>20</v>
      </c>
      <c r="T19" s="3"/>
      <c r="U19" s="3"/>
      <c r="V19" s="3"/>
      <c r="W19" s="4"/>
      <c r="AK19" s="18"/>
    </row>
    <row r="20" ht="12.75" customHeight="1">
      <c r="B20" s="17"/>
      <c r="N20" s="35" t="s">
        <v>3</v>
      </c>
      <c r="O20" s="3"/>
      <c r="P20" s="3"/>
      <c r="Q20" s="3"/>
      <c r="R20" s="4"/>
      <c r="S20" s="37" t="s">
        <v>21</v>
      </c>
      <c r="T20" s="3"/>
      <c r="U20" s="3"/>
      <c r="V20" s="3"/>
      <c r="W20" s="4"/>
      <c r="AK20" s="18"/>
    </row>
    <row r="21" ht="12.75" customHeight="1">
      <c r="B21" s="17"/>
      <c r="AK21" s="18"/>
    </row>
    <row r="22" ht="12.75" customHeight="1">
      <c r="B22" s="17"/>
      <c r="AK22" s="18"/>
    </row>
    <row r="23" ht="12.75" customHeight="1">
      <c r="B23" s="17"/>
      <c r="AK23" s="18"/>
    </row>
    <row r="24" ht="12.75" customHeight="1">
      <c r="B24" s="17"/>
      <c r="AK24" s="18"/>
    </row>
    <row r="25" ht="12.75" customHeight="1">
      <c r="B25" s="17"/>
      <c r="AK25" s="18"/>
    </row>
    <row r="26" ht="12.75" customHeight="1">
      <c r="B26" s="17"/>
      <c r="AK26" s="18"/>
    </row>
    <row r="27" ht="12.75" customHeight="1">
      <c r="B27" s="17"/>
      <c r="AK27" s="18"/>
    </row>
    <row r="28" ht="12.75" customHeight="1">
      <c r="B28" s="17"/>
      <c r="AK28" s="18"/>
    </row>
    <row r="29" ht="12.75" customHeight="1">
      <c r="B29" s="17"/>
      <c r="AK29" s="18"/>
    </row>
    <row r="30" ht="12.75" customHeight="1">
      <c r="B30" s="17"/>
      <c r="AK30" s="18"/>
    </row>
    <row r="31" ht="12.75" customHeight="1">
      <c r="B31" s="17"/>
      <c r="AK31" s="18"/>
    </row>
    <row r="32" ht="12.75" customHeight="1">
      <c r="B32" s="17"/>
      <c r="AK32" s="18"/>
    </row>
    <row r="33" ht="12.75" customHeight="1">
      <c r="B33" s="17"/>
      <c r="AK33" s="18"/>
    </row>
    <row r="34" ht="12.75" customHeight="1">
      <c r="B34" s="3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2" t="s">
        <v>2</v>
      </c>
      <c r="B1" s="1" t="s">
        <v>3</v>
      </c>
      <c r="C1" s="3"/>
      <c r="D1" s="3"/>
      <c r="E1" s="4"/>
      <c r="F1" s="1" t="s">
        <v>5</v>
      </c>
      <c r="G1" s="3"/>
      <c r="H1" s="4"/>
      <c r="I1" s="1" t="s">
        <v>6</v>
      </c>
      <c r="J1" s="3"/>
      <c r="K1" s="3"/>
      <c r="L1" s="3"/>
      <c r="M1" s="3"/>
      <c r="N1" s="4"/>
      <c r="O1" s="1" t="s">
        <v>8</v>
      </c>
      <c r="P1" s="3"/>
      <c r="Q1" s="3"/>
      <c r="R1" s="3"/>
      <c r="S1" s="3"/>
      <c r="T1" s="3"/>
      <c r="U1" s="3"/>
      <c r="V1" s="4"/>
      <c r="W1" s="1" t="s">
        <v>11</v>
      </c>
      <c r="X1" s="3"/>
      <c r="Y1" s="3"/>
      <c r="Z1" s="3"/>
      <c r="AA1" s="3"/>
      <c r="AB1" s="4"/>
      <c r="AC1" s="1" t="s">
        <v>14</v>
      </c>
      <c r="AD1" s="3"/>
      <c r="AE1" s="3"/>
      <c r="AF1" s="3"/>
      <c r="AG1" s="3"/>
      <c r="AH1" s="4"/>
    </row>
    <row r="2" ht="22.5" customHeight="1">
      <c r="A2" s="9">
        <v>1.0</v>
      </c>
      <c r="B2" s="12" t="s">
        <v>16</v>
      </c>
      <c r="C2" s="3"/>
      <c r="D2" s="3"/>
      <c r="E2" s="4"/>
      <c r="F2" s="12" t="s">
        <v>20</v>
      </c>
      <c r="G2" s="3"/>
      <c r="H2" s="4"/>
      <c r="I2" s="12" t="s">
        <v>22</v>
      </c>
      <c r="J2" s="3"/>
      <c r="K2" s="3"/>
      <c r="L2" s="3"/>
      <c r="M2" s="3"/>
      <c r="N2" s="4"/>
      <c r="O2" s="14" t="s">
        <v>23</v>
      </c>
      <c r="P2" s="3"/>
      <c r="Q2" s="3"/>
      <c r="R2" s="3"/>
      <c r="S2" s="3"/>
      <c r="T2" s="3"/>
      <c r="U2" s="3"/>
      <c r="V2" s="4"/>
      <c r="W2" s="12" t="s">
        <v>24</v>
      </c>
      <c r="X2" s="3"/>
      <c r="Y2" s="3"/>
      <c r="Z2" s="3"/>
      <c r="AA2" s="3"/>
      <c r="AB2" s="4"/>
      <c r="AC2" s="12"/>
      <c r="AD2" s="3"/>
      <c r="AE2" s="3"/>
      <c r="AF2" s="3"/>
      <c r="AG2" s="3"/>
      <c r="AH2"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 t="s">
        <v>0</v>
      </c>
      <c r="B1" s="3"/>
      <c r="C1" s="3"/>
      <c r="D1" s="3"/>
      <c r="E1" s="3"/>
      <c r="F1" s="3"/>
      <c r="G1" s="3"/>
      <c r="H1" s="3"/>
      <c r="I1" s="4"/>
      <c r="J1" s="1" t="s">
        <v>4</v>
      </c>
      <c r="K1" s="3"/>
      <c r="L1" s="3"/>
      <c r="M1" s="3"/>
      <c r="N1" s="3"/>
      <c r="O1" s="3"/>
      <c r="P1" s="4"/>
      <c r="Q1" s="1" t="s">
        <v>7</v>
      </c>
      <c r="R1" s="3"/>
      <c r="S1" s="3"/>
      <c r="T1" s="3"/>
      <c r="U1" s="4"/>
      <c r="V1" s="1" t="s">
        <v>9</v>
      </c>
      <c r="W1" s="3"/>
      <c r="X1" s="3"/>
      <c r="Y1" s="4"/>
      <c r="Z1" s="1" t="s">
        <v>10</v>
      </c>
      <c r="AA1" s="3"/>
      <c r="AB1" s="3"/>
      <c r="AC1" s="4"/>
      <c r="AD1" s="1" t="s">
        <v>12</v>
      </c>
      <c r="AE1" s="3"/>
      <c r="AF1" s="3"/>
      <c r="AG1" s="4"/>
      <c r="AH1" s="1" t="s">
        <v>13</v>
      </c>
      <c r="AI1" s="3"/>
      <c r="AJ1" s="3"/>
      <c r="AK1" s="4"/>
    </row>
    <row r="2" ht="19.5" customHeight="1">
      <c r="A2" s="8" t="s">
        <v>15</v>
      </c>
      <c r="B2" s="10"/>
      <c r="C2" s="10"/>
      <c r="D2" s="10"/>
      <c r="E2" s="10"/>
      <c r="F2" s="10"/>
      <c r="G2" s="10"/>
      <c r="H2" s="10"/>
      <c r="I2" s="11"/>
      <c r="J2" s="8" t="s">
        <v>17</v>
      </c>
      <c r="K2" s="10"/>
      <c r="L2" s="10"/>
      <c r="M2" s="10"/>
      <c r="N2" s="10"/>
      <c r="O2" s="10"/>
      <c r="P2" s="11"/>
      <c r="Q2" s="8" t="s">
        <v>19</v>
      </c>
      <c r="R2" s="10"/>
      <c r="S2" s="10"/>
      <c r="T2" s="10"/>
      <c r="U2" s="11"/>
      <c r="V2" s="15" t="s">
        <v>21</v>
      </c>
      <c r="W2" s="10"/>
      <c r="X2" s="10"/>
      <c r="Y2" s="11"/>
      <c r="Z2" s="8" t="s">
        <v>22</v>
      </c>
      <c r="AA2" s="10"/>
      <c r="AB2" s="10"/>
      <c r="AC2" s="11"/>
      <c r="AD2" s="15" t="s">
        <v>21</v>
      </c>
      <c r="AE2" s="10"/>
      <c r="AF2" s="10"/>
      <c r="AG2" s="11"/>
      <c r="AH2" s="8" t="s">
        <v>22</v>
      </c>
      <c r="AI2" s="10"/>
      <c r="AJ2" s="10"/>
      <c r="AK2" s="11"/>
    </row>
    <row r="3" ht="19.5" customHeight="1">
      <c r="A3" s="19"/>
      <c r="B3" s="20"/>
      <c r="C3" s="20"/>
      <c r="D3" s="20"/>
      <c r="E3" s="20"/>
      <c r="F3" s="20"/>
      <c r="G3" s="20"/>
      <c r="H3" s="20"/>
      <c r="I3" s="21"/>
      <c r="J3" s="19"/>
      <c r="K3" s="20"/>
      <c r="L3" s="20"/>
      <c r="M3" s="20"/>
      <c r="N3" s="20"/>
      <c r="O3" s="20"/>
      <c r="P3" s="21"/>
      <c r="Q3" s="19"/>
      <c r="R3" s="20"/>
      <c r="S3" s="20"/>
      <c r="T3" s="20"/>
      <c r="U3" s="21"/>
      <c r="V3" s="19"/>
      <c r="W3" s="20"/>
      <c r="X3" s="20"/>
      <c r="Y3" s="21"/>
      <c r="Z3" s="19"/>
      <c r="AA3" s="20"/>
      <c r="AB3" s="20"/>
      <c r="AC3" s="21"/>
      <c r="AD3" s="19"/>
      <c r="AE3" s="20"/>
      <c r="AF3" s="20"/>
      <c r="AG3" s="21"/>
      <c r="AH3" s="19"/>
      <c r="AI3" s="20"/>
      <c r="AJ3" s="20"/>
      <c r="AK3" s="21"/>
    </row>
    <row r="4" ht="15.0" customHeight="1"/>
    <row r="5" ht="19.5" customHeight="1">
      <c r="B5" s="22" t="s">
        <v>26</v>
      </c>
    </row>
    <row r="6" ht="19.5" customHeight="1">
      <c r="C6" s="23" t="s">
        <v>27</v>
      </c>
    </row>
    <row r="7" ht="19.5" customHeight="1">
      <c r="C7" s="23" t="s">
        <v>28</v>
      </c>
    </row>
    <row r="8" ht="19.5" customHeight="1">
      <c r="C8" s="23" t="s">
        <v>29</v>
      </c>
    </row>
    <row r="9" ht="19.5" customHeight="1">
      <c r="C9" s="23" t="s">
        <v>30</v>
      </c>
    </row>
    <row r="10" ht="19.5" customHeight="1">
      <c r="C10" s="23" t="s">
        <v>31</v>
      </c>
    </row>
    <row r="11" ht="19.5" customHeight="1">
      <c r="C11" s="23" t="s">
        <v>32</v>
      </c>
    </row>
    <row r="12" ht="19.5" customHeight="1">
      <c r="C12" s="23" t="s">
        <v>33</v>
      </c>
    </row>
    <row r="13" ht="15.0" customHeight="1"/>
    <row r="14" ht="19.5" customHeight="1">
      <c r="B14" s="22" t="s">
        <v>34</v>
      </c>
    </row>
    <row r="15" ht="19.5" customHeight="1">
      <c r="C15" s="26" t="s">
        <v>35</v>
      </c>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30"/>
    </row>
    <row r="16" ht="19.5" customHeight="1">
      <c r="C16" s="26" t="s">
        <v>37</v>
      </c>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30"/>
    </row>
    <row r="17" ht="19.5" customHeight="1">
      <c r="C17" s="26" t="s">
        <v>42</v>
      </c>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30"/>
    </row>
    <row r="18" ht="19.5" customHeight="1">
      <c r="C18" s="26" t="s">
        <v>45</v>
      </c>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30"/>
    </row>
    <row r="19" ht="15.0" customHeight="1"/>
    <row r="20" ht="19.5" customHeight="1">
      <c r="B20" s="22" t="s">
        <v>48</v>
      </c>
    </row>
    <row r="21" ht="15.0" customHeight="1"/>
    <row r="22" ht="22.5" customHeight="1">
      <c r="C22" s="2" t="s">
        <v>49</v>
      </c>
      <c r="D22" s="1" t="s">
        <v>52</v>
      </c>
      <c r="E22" s="3"/>
      <c r="F22" s="3"/>
      <c r="G22" s="3"/>
      <c r="H22" s="3"/>
      <c r="I22" s="3"/>
      <c r="J22" s="3"/>
      <c r="K22" s="3"/>
      <c r="L22" s="3"/>
      <c r="M22" s="3"/>
      <c r="N22" s="4"/>
      <c r="O22" s="1" t="s">
        <v>54</v>
      </c>
      <c r="P22" s="3"/>
      <c r="Q22" s="3"/>
      <c r="R22" s="3"/>
      <c r="S22" s="3"/>
      <c r="T22" s="3"/>
      <c r="U22" s="3"/>
      <c r="V22" s="3"/>
      <c r="W22" s="3"/>
      <c r="X22" s="3"/>
      <c r="Y22" s="3"/>
      <c r="Z22" s="3"/>
      <c r="AA22" s="3"/>
      <c r="AB22" s="3"/>
      <c r="AC22" s="3"/>
      <c r="AD22" s="3"/>
      <c r="AE22" s="3"/>
      <c r="AF22" s="3"/>
      <c r="AG22" s="4"/>
    </row>
    <row r="23" ht="22.5" customHeight="1">
      <c r="C23" s="9">
        <v>1.0</v>
      </c>
      <c r="D23" s="14" t="s">
        <v>56</v>
      </c>
      <c r="E23" s="3"/>
      <c r="F23" s="3"/>
      <c r="G23" s="3"/>
      <c r="H23" s="3"/>
      <c r="I23" s="3"/>
      <c r="J23" s="3"/>
      <c r="K23" s="3"/>
      <c r="L23" s="3"/>
      <c r="M23" s="3"/>
      <c r="N23" s="4"/>
      <c r="O23" s="14" t="s">
        <v>58</v>
      </c>
      <c r="P23" s="3"/>
      <c r="Q23" s="3"/>
      <c r="R23" s="3"/>
      <c r="S23" s="3"/>
      <c r="T23" s="3"/>
      <c r="U23" s="3"/>
      <c r="V23" s="3"/>
      <c r="W23" s="3"/>
      <c r="X23" s="3"/>
      <c r="Y23" s="3"/>
      <c r="Z23" s="3"/>
      <c r="AA23" s="3"/>
      <c r="AB23" s="3"/>
      <c r="AC23" s="3"/>
      <c r="AD23" s="3"/>
      <c r="AE23" s="3"/>
      <c r="AF23" s="3"/>
      <c r="AG23" s="4"/>
    </row>
    <row r="24" ht="22.5" customHeight="1">
      <c r="C24" s="9">
        <v>2.0</v>
      </c>
      <c r="D24" s="14" t="s">
        <v>62</v>
      </c>
      <c r="E24" s="3"/>
      <c r="F24" s="3"/>
      <c r="G24" s="3"/>
      <c r="H24" s="3"/>
      <c r="I24" s="3"/>
      <c r="J24" s="3"/>
      <c r="K24" s="3"/>
      <c r="L24" s="3"/>
      <c r="M24" s="3"/>
      <c r="N24" s="4"/>
      <c r="O24" s="14" t="s">
        <v>64</v>
      </c>
      <c r="P24" s="3"/>
      <c r="Q24" s="3"/>
      <c r="R24" s="3"/>
      <c r="S24" s="3"/>
      <c r="T24" s="3"/>
      <c r="U24" s="3"/>
      <c r="V24" s="3"/>
      <c r="W24" s="3"/>
      <c r="X24" s="3"/>
      <c r="Y24" s="3"/>
      <c r="Z24" s="3"/>
      <c r="AA24" s="3"/>
      <c r="AB24" s="3"/>
      <c r="AC24" s="3"/>
      <c r="AD24" s="3"/>
      <c r="AE24" s="3"/>
      <c r="AF24" s="3"/>
      <c r="AG24" s="4"/>
    </row>
    <row r="25" ht="22.5" customHeight="1">
      <c r="C25" s="9">
        <v>3.0</v>
      </c>
      <c r="D25" s="14" t="s">
        <v>66</v>
      </c>
      <c r="E25" s="3"/>
      <c r="F25" s="3"/>
      <c r="G25" s="3"/>
      <c r="H25" s="3"/>
      <c r="I25" s="3"/>
      <c r="J25" s="3"/>
      <c r="K25" s="3"/>
      <c r="L25" s="3"/>
      <c r="M25" s="3"/>
      <c r="N25" s="4"/>
      <c r="O25" s="14" t="s">
        <v>67</v>
      </c>
      <c r="P25" s="3"/>
      <c r="Q25" s="3"/>
      <c r="R25" s="3"/>
      <c r="S25" s="3"/>
      <c r="T25" s="3"/>
      <c r="U25" s="3"/>
      <c r="V25" s="3"/>
      <c r="W25" s="3"/>
      <c r="X25" s="3"/>
      <c r="Y25" s="3"/>
      <c r="Z25" s="3"/>
      <c r="AA25" s="3"/>
      <c r="AB25" s="3"/>
      <c r="AC25" s="3"/>
      <c r="AD25" s="3"/>
      <c r="AE25" s="3"/>
      <c r="AF25" s="3"/>
      <c r="AG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D22:N22"/>
    <mergeCell ref="O22:AG22"/>
    <mergeCell ref="D23:N23"/>
    <mergeCell ref="O23:AG23"/>
    <mergeCell ref="D24:N24"/>
    <mergeCell ref="O24:AG24"/>
    <mergeCell ref="D25:N25"/>
    <mergeCell ref="O25:AG25"/>
    <mergeCell ref="C12:AK12"/>
    <mergeCell ref="B14:AK14"/>
    <mergeCell ref="C15:AK15"/>
    <mergeCell ref="C16:AK16"/>
    <mergeCell ref="C17:AK17"/>
    <mergeCell ref="C18:AK18"/>
    <mergeCell ref="B20:AK2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5" t="s">
        <v>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row>
    <row r="3" ht="22.5" customHeight="1">
      <c r="A3" s="13" t="s">
        <v>18</v>
      </c>
      <c r="B3" s="3"/>
      <c r="C3" s="3"/>
      <c r="D3" s="3"/>
      <c r="E3" s="3"/>
      <c r="F3" s="4"/>
      <c r="G3" s="14" t="s">
        <v>15</v>
      </c>
      <c r="H3" s="3"/>
      <c r="I3" s="3"/>
      <c r="J3" s="3"/>
      <c r="K3" s="3"/>
      <c r="L3" s="3"/>
      <c r="M3" s="3"/>
      <c r="N3" s="3"/>
      <c r="O3" s="4"/>
      <c r="P3" s="13" t="s">
        <v>25</v>
      </c>
      <c r="Q3" s="3"/>
      <c r="R3" s="3"/>
      <c r="S3" s="3"/>
      <c r="T3" s="3"/>
      <c r="U3" s="3"/>
      <c r="V3" s="3"/>
      <c r="W3" s="4"/>
      <c r="X3" s="14" t="s">
        <v>24</v>
      </c>
      <c r="Y3" s="3"/>
      <c r="Z3" s="3"/>
      <c r="AA3" s="3"/>
      <c r="AB3" s="3"/>
      <c r="AC3" s="3"/>
      <c r="AD3" s="3"/>
      <c r="AE3" s="3"/>
      <c r="AF3" s="3"/>
      <c r="AG3" s="3"/>
      <c r="AH3" s="4"/>
    </row>
    <row r="4" ht="22.5" customHeight="1">
      <c r="A4" s="13" t="s">
        <v>6</v>
      </c>
      <c r="B4" s="3"/>
      <c r="C4" s="3"/>
      <c r="D4" s="3"/>
      <c r="E4" s="3"/>
      <c r="F4" s="4"/>
      <c r="G4" s="14" t="s">
        <v>22</v>
      </c>
      <c r="H4" s="3"/>
      <c r="I4" s="3"/>
      <c r="J4" s="3"/>
      <c r="K4" s="3"/>
      <c r="L4" s="3"/>
      <c r="M4" s="3"/>
      <c r="N4" s="3"/>
      <c r="O4" s="4"/>
      <c r="P4" s="13" t="s">
        <v>9</v>
      </c>
      <c r="Q4" s="3"/>
      <c r="R4" s="3"/>
      <c r="S4" s="3"/>
      <c r="T4" s="3"/>
      <c r="U4" s="3"/>
      <c r="V4" s="3"/>
      <c r="W4" s="4"/>
      <c r="X4" s="28" t="s">
        <v>21</v>
      </c>
      <c r="Y4" s="3"/>
      <c r="Z4" s="3"/>
      <c r="AA4" s="3"/>
      <c r="AB4" s="3"/>
      <c r="AC4" s="3"/>
      <c r="AD4" s="3"/>
      <c r="AE4" s="3"/>
      <c r="AF4" s="3"/>
      <c r="AG4" s="3"/>
      <c r="AH4" s="4"/>
    </row>
    <row r="6" ht="22.5" customHeight="1">
      <c r="A6" s="31" t="s">
        <v>38</v>
      </c>
      <c r="B6" s="33" t="s">
        <v>40</v>
      </c>
      <c r="C6" s="10"/>
      <c r="D6" s="10"/>
      <c r="E6" s="10"/>
      <c r="F6" s="10"/>
      <c r="G6" s="11"/>
      <c r="H6" s="34" t="s">
        <v>41</v>
      </c>
      <c r="I6" s="3"/>
      <c r="J6" s="3"/>
      <c r="K6" s="3"/>
      <c r="L6" s="3"/>
      <c r="M6" s="3"/>
      <c r="N6" s="3"/>
      <c r="O6" s="3"/>
      <c r="P6" s="4"/>
      <c r="Q6" s="33" t="s">
        <v>44</v>
      </c>
      <c r="R6" s="10"/>
      <c r="S6" s="11"/>
      <c r="T6" s="34" t="s">
        <v>46</v>
      </c>
      <c r="U6" s="3"/>
      <c r="V6" s="3"/>
      <c r="W6" s="3"/>
      <c r="X6" s="3"/>
      <c r="Y6" s="3"/>
      <c r="Z6" s="3"/>
      <c r="AA6" s="3"/>
      <c r="AB6" s="3"/>
      <c r="AC6" s="3"/>
      <c r="AD6" s="3"/>
      <c r="AE6" s="3"/>
      <c r="AF6" s="3"/>
      <c r="AG6" s="3"/>
      <c r="AH6" s="4"/>
    </row>
    <row r="7" ht="22.5" customHeight="1">
      <c r="A7" s="36"/>
      <c r="B7" s="19"/>
      <c r="C7" s="20"/>
      <c r="D7" s="20"/>
      <c r="E7" s="20"/>
      <c r="F7" s="20"/>
      <c r="G7" s="21"/>
      <c r="H7" s="34" t="s">
        <v>51</v>
      </c>
      <c r="I7" s="3"/>
      <c r="J7" s="4"/>
      <c r="K7" s="34" t="s">
        <v>53</v>
      </c>
      <c r="L7" s="3"/>
      <c r="M7" s="4"/>
      <c r="N7" s="34" t="s">
        <v>55</v>
      </c>
      <c r="O7" s="3"/>
      <c r="P7" s="4"/>
      <c r="Q7" s="19"/>
      <c r="R7" s="20"/>
      <c r="S7" s="21"/>
      <c r="T7" s="34" t="s">
        <v>57</v>
      </c>
      <c r="U7" s="3"/>
      <c r="V7" s="4"/>
      <c r="W7" s="34" t="s">
        <v>59</v>
      </c>
      <c r="X7" s="3"/>
      <c r="Y7" s="4"/>
      <c r="Z7" s="34" t="s">
        <v>60</v>
      </c>
      <c r="AA7" s="3"/>
      <c r="AB7" s="4"/>
      <c r="AC7" s="34" t="s">
        <v>61</v>
      </c>
      <c r="AD7" s="3"/>
      <c r="AE7" s="4"/>
      <c r="AF7" s="34" t="s">
        <v>63</v>
      </c>
      <c r="AG7" s="3"/>
      <c r="AH7" s="4"/>
    </row>
    <row r="8" ht="22.5" customHeight="1">
      <c r="A8" s="38" t="s">
        <v>65</v>
      </c>
    </row>
    <row r="9" ht="22.5" customHeight="1">
      <c r="A9" s="9">
        <v>1.0</v>
      </c>
      <c r="B9" s="14" t="s">
        <v>68</v>
      </c>
      <c r="C9" s="3"/>
      <c r="D9" s="3"/>
      <c r="E9" s="3"/>
      <c r="F9" s="3"/>
      <c r="G9" s="4"/>
      <c r="H9" s="12">
        <f t="array" ref="H9">INDIRECT("'"&amp;$B9&amp;"'!H7",TRUE)</f>
        <v>27</v>
      </c>
      <c r="I9" s="3"/>
      <c r="J9" s="4"/>
      <c r="K9" s="12">
        <f t="array" ref="K9">INDIRECT("'"&amp;$B9&amp;"'!K7",TRUE)</f>
        <v>15</v>
      </c>
      <c r="L9" s="3"/>
      <c r="M9" s="4"/>
      <c r="N9" s="12">
        <f t="array" ref="N9">INDIRECT("'"&amp;$B9&amp;"'!N7",TRUE)</f>
        <v>1</v>
      </c>
      <c r="O9" s="3"/>
      <c r="P9" s="4"/>
      <c r="Q9" s="12">
        <f t="array" ref="Q9">INDIRECT("'"&amp;$B9&amp;"'!Q7",TRUE)</f>
        <v>43</v>
      </c>
      <c r="R9" s="3"/>
      <c r="S9" s="4"/>
      <c r="T9" s="12">
        <f t="array" ref="T9">INDIRECT("'"&amp;$B9&amp;"'!T7",TRUE)</f>
        <v>40</v>
      </c>
      <c r="U9" s="3"/>
      <c r="V9" s="4"/>
      <c r="W9" s="12">
        <f t="array" ref="W9">INDIRECT("'"&amp;$B9&amp;"'!W7",TRUE)</f>
        <v>0</v>
      </c>
      <c r="X9" s="3"/>
      <c r="Y9" s="4"/>
      <c r="Z9" s="12">
        <f t="array" ref="Z9">INDIRECT("'"&amp;$B9&amp;"'!Z7",TRUE)</f>
        <v>3</v>
      </c>
      <c r="AA9" s="3"/>
      <c r="AB9" s="4"/>
      <c r="AC9" s="12">
        <f t="array" ref="AC9">INDIRECT("'"&amp;$B9&amp;"'!AC7",TRUE)</f>
        <v>0</v>
      </c>
      <c r="AD9" s="3"/>
      <c r="AE9" s="4"/>
      <c r="AF9" s="42">
        <f>IFERROR((T9+W9+AC9)/Q9,0)</f>
        <v>0.9302325581</v>
      </c>
      <c r="AG9" s="3"/>
      <c r="AH9" s="4"/>
    </row>
    <row r="10" ht="22.5" customHeight="1">
      <c r="A10" s="9">
        <v>2.0</v>
      </c>
      <c r="B10" s="14"/>
      <c r="C10" s="3"/>
      <c r="D10" s="3"/>
      <c r="E10" s="3"/>
      <c r="F10" s="3"/>
      <c r="G10" s="4"/>
      <c r="H10" s="12"/>
      <c r="I10" s="3"/>
      <c r="J10" s="4"/>
      <c r="K10" s="12"/>
      <c r="L10" s="3"/>
      <c r="M10" s="4"/>
      <c r="N10" s="12"/>
      <c r="O10" s="3"/>
      <c r="P10" s="4"/>
      <c r="Q10" s="12"/>
      <c r="R10" s="3"/>
      <c r="S10" s="4"/>
      <c r="T10" s="12"/>
      <c r="U10" s="3"/>
      <c r="V10" s="4"/>
      <c r="W10" s="12"/>
      <c r="X10" s="3"/>
      <c r="Y10" s="4"/>
      <c r="Z10" s="12"/>
      <c r="AA10" s="3"/>
      <c r="AB10" s="4"/>
      <c r="AC10" s="12"/>
      <c r="AD10" s="3"/>
      <c r="AE10" s="4"/>
      <c r="AF10" s="42"/>
      <c r="AG10" s="3"/>
      <c r="AH10" s="4"/>
    </row>
    <row r="11" ht="22.5" customHeight="1">
      <c r="A11" s="9"/>
      <c r="B11" s="34" t="s">
        <v>44</v>
      </c>
      <c r="C11" s="3"/>
      <c r="D11" s="3"/>
      <c r="E11" s="3"/>
      <c r="F11" s="3"/>
      <c r="G11" s="4"/>
      <c r="H11" s="43">
        <f>SUM(H9:J10)</f>
        <v>27</v>
      </c>
      <c r="I11" s="3"/>
      <c r="J11" s="4"/>
      <c r="K11" s="43">
        <f>SUM(K9:M10)</f>
        <v>15</v>
      </c>
      <c r="L11" s="3"/>
      <c r="M11" s="4"/>
      <c r="N11" s="43">
        <f>SUM(N9:P10)</f>
        <v>1</v>
      </c>
      <c r="O11" s="3"/>
      <c r="P11" s="4"/>
      <c r="Q11" s="43">
        <f>SUM(Q9:S10)</f>
        <v>43</v>
      </c>
      <c r="R11" s="3"/>
      <c r="S11" s="4"/>
      <c r="T11" s="43">
        <f>SUM(T9:V10)</f>
        <v>40</v>
      </c>
      <c r="U11" s="3"/>
      <c r="V11" s="4"/>
      <c r="W11" s="43">
        <f>SUM(W9:Y10)</f>
        <v>0</v>
      </c>
      <c r="X11" s="3"/>
      <c r="Y11" s="4"/>
      <c r="Z11" s="43">
        <f>SUM(Z9:AB10)</f>
        <v>3</v>
      </c>
      <c r="AA11" s="3"/>
      <c r="AB11" s="4"/>
      <c r="AC11" s="43">
        <f>SUM(AC9:AE10)</f>
        <v>0</v>
      </c>
      <c r="AD11" s="3"/>
      <c r="AE11" s="4"/>
      <c r="AF11" s="44">
        <f>IFERROR((T11+W11+AC11)/Q11,0)</f>
        <v>0.9302325581</v>
      </c>
      <c r="AG11" s="3"/>
      <c r="AH11" s="4"/>
    </row>
    <row r="12" ht="22.5" customHeight="1">
      <c r="A12" s="38" t="s">
        <v>69</v>
      </c>
    </row>
    <row r="13" ht="22.5" customHeight="1">
      <c r="A13" s="9">
        <v>1.0</v>
      </c>
      <c r="B13" s="14" t="s">
        <v>68</v>
      </c>
      <c r="C13" s="3"/>
      <c r="D13" s="3"/>
      <c r="E13" s="3"/>
      <c r="F13" s="3"/>
      <c r="G13" s="4"/>
      <c r="H13" s="12">
        <f t="array" ref="H13">INDIRECT("'"&amp;$B13&amp;"'!H8",TRUE)</f>
        <v>27</v>
      </c>
      <c r="I13" s="3"/>
      <c r="J13" s="4"/>
      <c r="K13" s="12">
        <f t="array" ref="K13">INDIRECT("'"&amp;$B13&amp;"'!K8",TRUE)</f>
        <v>15</v>
      </c>
      <c r="L13" s="3"/>
      <c r="M13" s="4"/>
      <c r="N13" s="12">
        <f t="array" ref="N13">INDIRECT("'"&amp;$B13&amp;"'!N8",TRUE)</f>
        <v>1</v>
      </c>
      <c r="O13" s="3"/>
      <c r="P13" s="4"/>
      <c r="Q13" s="12">
        <f t="array" ref="Q13">INDIRECT("'"&amp;$B13&amp;"'!Q8",TRUE)</f>
        <v>43</v>
      </c>
      <c r="R13" s="3"/>
      <c r="S13" s="4"/>
      <c r="T13" s="12">
        <f t="array" ref="T13">INDIRECT("'"&amp;$B13&amp;"'!T8",TRUE)</f>
        <v>43</v>
      </c>
      <c r="U13" s="3"/>
      <c r="V13" s="4"/>
      <c r="W13" s="12">
        <f t="array" ref="W13">INDIRECT("'"&amp;$B13&amp;"'!W8",TRUE)</f>
        <v>0</v>
      </c>
      <c r="X13" s="3"/>
      <c r="Y13" s="4"/>
      <c r="Z13" s="12">
        <f t="array" ref="Z13">INDIRECT("'"&amp;$B13&amp;"'!Z8",TRUE)</f>
        <v>0</v>
      </c>
      <c r="AA13" s="3"/>
      <c r="AB13" s="4"/>
      <c r="AC13" s="12">
        <f t="array" ref="AC13">INDIRECT("'"&amp;$B13&amp;"'!AC8",TRUE)</f>
        <v>0</v>
      </c>
      <c r="AD13" s="3"/>
      <c r="AE13" s="4"/>
      <c r="AF13" s="42">
        <f>IFERROR((T13+W13+AC13)/Q13,0)</f>
        <v>1</v>
      </c>
      <c r="AG13" s="3"/>
      <c r="AH13" s="4"/>
    </row>
    <row r="14" ht="22.5" customHeight="1">
      <c r="A14" s="9">
        <v>2.0</v>
      </c>
      <c r="B14" s="14"/>
      <c r="C14" s="3"/>
      <c r="D14" s="3"/>
      <c r="E14" s="3"/>
      <c r="F14" s="3"/>
      <c r="G14" s="4"/>
      <c r="H14" s="12"/>
      <c r="I14" s="3"/>
      <c r="J14" s="4"/>
      <c r="K14" s="12"/>
      <c r="L14" s="3"/>
      <c r="M14" s="4"/>
      <c r="N14" s="12"/>
      <c r="O14" s="3"/>
      <c r="P14" s="4"/>
      <c r="Q14" s="12"/>
      <c r="R14" s="3"/>
      <c r="S14" s="4"/>
      <c r="T14" s="12"/>
      <c r="U14" s="3"/>
      <c r="V14" s="4"/>
      <c r="W14" s="12"/>
      <c r="X14" s="3"/>
      <c r="Y14" s="4"/>
      <c r="Z14" s="12"/>
      <c r="AA14" s="3"/>
      <c r="AB14" s="4"/>
      <c r="AC14" s="12"/>
      <c r="AD14" s="3"/>
      <c r="AE14" s="4"/>
      <c r="AF14" s="42"/>
      <c r="AG14" s="3"/>
      <c r="AH14" s="4"/>
    </row>
    <row r="15" ht="22.5" customHeight="1">
      <c r="A15" s="9"/>
      <c r="B15" s="34" t="s">
        <v>44</v>
      </c>
      <c r="C15" s="3"/>
      <c r="D15" s="3"/>
      <c r="E15" s="3"/>
      <c r="F15" s="3"/>
      <c r="G15" s="4"/>
      <c r="H15" s="43">
        <f>SUM(H13:J14)</f>
        <v>27</v>
      </c>
      <c r="I15" s="3"/>
      <c r="J15" s="4"/>
      <c r="K15" s="43">
        <f>SUM(K13:M14)</f>
        <v>15</v>
      </c>
      <c r="L15" s="3"/>
      <c r="M15" s="4"/>
      <c r="N15" s="43">
        <f>SUM(N13:P14)</f>
        <v>1</v>
      </c>
      <c r="O15" s="3"/>
      <c r="P15" s="4"/>
      <c r="Q15" s="43">
        <f>SUM(Q13:S14)</f>
        <v>43</v>
      </c>
      <c r="R15" s="3"/>
      <c r="S15" s="4"/>
      <c r="T15" s="43">
        <f>SUM(T13:V14)</f>
        <v>43</v>
      </c>
      <c r="U15" s="3"/>
      <c r="V15" s="4"/>
      <c r="W15" s="43">
        <f>SUM(W13:Y14)</f>
        <v>0</v>
      </c>
      <c r="X15" s="3"/>
      <c r="Y15" s="4"/>
      <c r="Z15" s="43">
        <f>SUM(Z13:AB14)</f>
        <v>0</v>
      </c>
      <c r="AA15" s="3"/>
      <c r="AB15" s="4"/>
      <c r="AC15" s="43">
        <f>SUM(AC13:AE14)</f>
        <v>0</v>
      </c>
      <c r="AD15" s="3"/>
      <c r="AE15" s="4"/>
      <c r="AF15" s="44">
        <f>IFERROR((T15+W15+AC15)/Q15,0)</f>
        <v>1</v>
      </c>
      <c r="AG15" s="3"/>
      <c r="AH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 t="s">
        <v>0</v>
      </c>
      <c r="B1" s="3"/>
      <c r="C1" s="3"/>
      <c r="D1" s="3"/>
      <c r="E1" s="3"/>
      <c r="F1" s="3"/>
      <c r="G1" s="3"/>
      <c r="H1" s="3"/>
      <c r="I1" s="4"/>
      <c r="J1" s="1" t="s">
        <v>4</v>
      </c>
      <c r="K1" s="3"/>
      <c r="L1" s="3"/>
      <c r="M1" s="3"/>
      <c r="N1" s="3"/>
      <c r="O1" s="3"/>
      <c r="P1" s="4"/>
      <c r="Q1" s="1" t="s">
        <v>7</v>
      </c>
      <c r="R1" s="3"/>
      <c r="S1" s="3"/>
      <c r="T1" s="3"/>
      <c r="U1" s="4"/>
      <c r="V1" s="1" t="s">
        <v>9</v>
      </c>
      <c r="W1" s="3"/>
      <c r="X1" s="3"/>
      <c r="Y1" s="4"/>
      <c r="Z1" s="1" t="s">
        <v>10</v>
      </c>
      <c r="AA1" s="3"/>
      <c r="AB1" s="3"/>
      <c r="AC1" s="4"/>
      <c r="AD1" s="1" t="s">
        <v>12</v>
      </c>
      <c r="AE1" s="3"/>
      <c r="AF1" s="3"/>
      <c r="AG1" s="4"/>
      <c r="AH1" s="1" t="s">
        <v>13</v>
      </c>
      <c r="AI1" s="3"/>
      <c r="AJ1" s="3"/>
      <c r="AK1" s="4"/>
    </row>
    <row r="2" ht="19.5" customHeight="1">
      <c r="A2" s="8" t="s">
        <v>15</v>
      </c>
      <c r="B2" s="10"/>
      <c r="C2" s="10"/>
      <c r="D2" s="10"/>
      <c r="E2" s="10"/>
      <c r="F2" s="10"/>
      <c r="G2" s="10"/>
      <c r="H2" s="10"/>
      <c r="I2" s="11"/>
      <c r="J2" s="8" t="s">
        <v>17</v>
      </c>
      <c r="K2" s="10"/>
      <c r="L2" s="10"/>
      <c r="M2" s="10"/>
      <c r="N2" s="10"/>
      <c r="O2" s="10"/>
      <c r="P2" s="11"/>
      <c r="Q2" s="8" t="s">
        <v>70</v>
      </c>
      <c r="R2" s="10"/>
      <c r="S2" s="10"/>
      <c r="T2" s="10"/>
      <c r="U2" s="11"/>
      <c r="V2" s="15" t="s">
        <v>21</v>
      </c>
      <c r="W2" s="10"/>
      <c r="X2" s="10"/>
      <c r="Y2" s="11"/>
      <c r="Z2" s="8" t="s">
        <v>22</v>
      </c>
      <c r="AA2" s="10"/>
      <c r="AB2" s="10"/>
      <c r="AC2" s="11"/>
      <c r="AD2" s="15" t="s">
        <v>21</v>
      </c>
      <c r="AE2" s="10"/>
      <c r="AF2" s="10"/>
      <c r="AG2" s="11"/>
      <c r="AH2" s="8" t="s">
        <v>22</v>
      </c>
      <c r="AI2" s="10"/>
      <c r="AJ2" s="10"/>
      <c r="AK2" s="11"/>
    </row>
    <row r="3" ht="19.5" customHeight="1">
      <c r="A3" s="19"/>
      <c r="B3" s="20"/>
      <c r="C3" s="20"/>
      <c r="D3" s="20"/>
      <c r="E3" s="20"/>
      <c r="F3" s="20"/>
      <c r="G3" s="20"/>
      <c r="H3" s="20"/>
      <c r="I3" s="21"/>
      <c r="J3" s="19"/>
      <c r="K3" s="20"/>
      <c r="L3" s="20"/>
      <c r="M3" s="20"/>
      <c r="N3" s="20"/>
      <c r="O3" s="20"/>
      <c r="P3" s="21"/>
      <c r="Q3" s="19"/>
      <c r="R3" s="20"/>
      <c r="S3" s="20"/>
      <c r="T3" s="20"/>
      <c r="U3" s="21"/>
      <c r="V3" s="19"/>
      <c r="W3" s="20"/>
      <c r="X3" s="20"/>
      <c r="Y3" s="21"/>
      <c r="Z3" s="19"/>
      <c r="AA3" s="20"/>
      <c r="AB3" s="20"/>
      <c r="AC3" s="21"/>
      <c r="AD3" s="19"/>
      <c r="AE3" s="20"/>
      <c r="AF3" s="20"/>
      <c r="AG3" s="21"/>
      <c r="AH3" s="19"/>
      <c r="AI3" s="20"/>
      <c r="AJ3" s="20"/>
      <c r="AK3" s="21"/>
    </row>
    <row r="5" ht="19.5" customHeight="1">
      <c r="B5" s="22" t="s">
        <v>71</v>
      </c>
    </row>
    <row r="7" ht="28.5" customHeight="1">
      <c r="B7" s="45" t="s">
        <v>38</v>
      </c>
      <c r="C7" s="46" t="s">
        <v>72</v>
      </c>
      <c r="D7" s="3"/>
      <c r="E7" s="4"/>
      <c r="F7" s="46" t="s">
        <v>73</v>
      </c>
      <c r="G7" s="3"/>
      <c r="H7" s="3"/>
      <c r="I7" s="3"/>
      <c r="J7" s="3"/>
      <c r="K7" s="3"/>
      <c r="L7" s="4"/>
      <c r="M7" s="46" t="s">
        <v>74</v>
      </c>
      <c r="N7" s="3"/>
      <c r="O7" s="3"/>
      <c r="P7" s="3"/>
      <c r="Q7" s="3"/>
      <c r="R7" s="3"/>
      <c r="S7" s="3"/>
      <c r="T7" s="4"/>
      <c r="U7" s="46" t="s">
        <v>75</v>
      </c>
      <c r="V7" s="4"/>
      <c r="W7" s="46" t="s">
        <v>76</v>
      </c>
      <c r="X7" s="3"/>
      <c r="Y7" s="3"/>
      <c r="Z7" s="3"/>
      <c r="AA7" s="3"/>
      <c r="AB7" s="3"/>
      <c r="AC7" s="4"/>
      <c r="AD7" s="46" t="s">
        <v>77</v>
      </c>
      <c r="AE7" s="3"/>
      <c r="AF7" s="4"/>
    </row>
    <row r="8" ht="30.0" customHeight="1">
      <c r="B8" s="47">
        <v>1.0</v>
      </c>
      <c r="C8" s="48" t="s">
        <v>78</v>
      </c>
      <c r="D8" s="3"/>
      <c r="E8" s="4"/>
      <c r="F8" s="49" t="s">
        <v>79</v>
      </c>
      <c r="G8" s="3"/>
      <c r="H8" s="3"/>
      <c r="I8" s="3"/>
      <c r="J8" s="3"/>
      <c r="K8" s="3"/>
      <c r="L8" s="4"/>
      <c r="M8" s="49" t="s">
        <v>80</v>
      </c>
      <c r="N8" s="3"/>
      <c r="O8" s="3"/>
      <c r="P8" s="3"/>
      <c r="Q8" s="3"/>
      <c r="R8" s="3"/>
      <c r="S8" s="3"/>
      <c r="T8" s="4"/>
      <c r="U8" s="50" t="s">
        <v>81</v>
      </c>
      <c r="V8" s="4"/>
      <c r="W8" s="49" t="s">
        <v>82</v>
      </c>
      <c r="X8" s="3"/>
      <c r="Y8" s="3"/>
      <c r="Z8" s="3"/>
      <c r="AA8" s="3"/>
      <c r="AB8" s="3"/>
      <c r="AC8" s="4"/>
      <c r="AD8" s="48">
        <v>265.0</v>
      </c>
      <c r="AE8" s="3"/>
      <c r="AF8" s="4"/>
    </row>
    <row r="9" ht="30.0" customHeight="1">
      <c r="B9" s="47">
        <v>2.0</v>
      </c>
      <c r="C9" s="48" t="s">
        <v>83</v>
      </c>
      <c r="D9" s="3"/>
      <c r="E9" s="4"/>
      <c r="F9" s="49" t="s">
        <v>79</v>
      </c>
      <c r="G9" s="3"/>
      <c r="H9" s="3"/>
      <c r="I9" s="3"/>
      <c r="J9" s="3"/>
      <c r="K9" s="3"/>
      <c r="L9" s="4"/>
      <c r="M9" s="49" t="s">
        <v>84</v>
      </c>
      <c r="N9" s="3"/>
      <c r="O9" s="3"/>
      <c r="P9" s="3"/>
      <c r="Q9" s="3"/>
      <c r="R9" s="3"/>
      <c r="S9" s="3"/>
      <c r="T9" s="4"/>
      <c r="U9" s="50" t="s">
        <v>81</v>
      </c>
      <c r="V9" s="4"/>
      <c r="W9" s="49" t="s">
        <v>85</v>
      </c>
      <c r="X9" s="3"/>
      <c r="Y9" s="3"/>
      <c r="Z9" s="3"/>
      <c r="AA9" s="3"/>
      <c r="AB9" s="3"/>
      <c r="AC9" s="4"/>
      <c r="AD9" s="48">
        <v>200.0</v>
      </c>
      <c r="AE9" s="3"/>
      <c r="AF9" s="4"/>
    </row>
    <row r="10" ht="36.0" customHeight="1">
      <c r="B10" s="47">
        <v>3.0</v>
      </c>
      <c r="C10" s="48" t="s">
        <v>86</v>
      </c>
      <c r="D10" s="3"/>
      <c r="E10" s="4"/>
      <c r="F10" s="49" t="s">
        <v>79</v>
      </c>
      <c r="G10" s="3"/>
      <c r="H10" s="3"/>
      <c r="I10" s="3"/>
      <c r="J10" s="3"/>
      <c r="K10" s="3"/>
      <c r="L10" s="4"/>
      <c r="M10" s="49" t="s">
        <v>87</v>
      </c>
      <c r="N10" s="3"/>
      <c r="O10" s="3"/>
      <c r="P10" s="3"/>
      <c r="Q10" s="3"/>
      <c r="R10" s="3"/>
      <c r="S10" s="3"/>
      <c r="T10" s="4"/>
      <c r="U10" s="50" t="s">
        <v>81</v>
      </c>
      <c r="V10" s="4"/>
      <c r="W10" s="49" t="s">
        <v>88</v>
      </c>
      <c r="X10" s="3"/>
      <c r="Y10" s="3"/>
      <c r="Z10" s="3"/>
      <c r="AA10" s="3"/>
      <c r="AB10" s="3"/>
      <c r="AC10" s="4"/>
      <c r="AD10" s="48">
        <v>50.0</v>
      </c>
      <c r="AE10" s="3"/>
      <c r="AF10" s="4"/>
    </row>
    <row r="11" ht="30.0" customHeight="1">
      <c r="B11" s="47">
        <v>4.0</v>
      </c>
      <c r="C11" s="48" t="s">
        <v>89</v>
      </c>
      <c r="D11" s="3"/>
      <c r="E11" s="4"/>
      <c r="F11" s="49" t="s">
        <v>79</v>
      </c>
      <c r="G11" s="3"/>
      <c r="H11" s="3"/>
      <c r="I11" s="3"/>
      <c r="J11" s="3"/>
      <c r="K11" s="3"/>
      <c r="L11" s="4"/>
      <c r="M11" s="49" t="s">
        <v>90</v>
      </c>
      <c r="N11" s="3"/>
      <c r="O11" s="3"/>
      <c r="P11" s="3"/>
      <c r="Q11" s="3"/>
      <c r="R11" s="3"/>
      <c r="S11" s="3"/>
      <c r="T11" s="4"/>
      <c r="U11" s="50" t="s">
        <v>81</v>
      </c>
      <c r="V11" s="4"/>
      <c r="W11" s="49" t="s">
        <v>82</v>
      </c>
      <c r="X11" s="3"/>
      <c r="Y11" s="3"/>
      <c r="Z11" s="3"/>
      <c r="AA11" s="3"/>
      <c r="AB11" s="3"/>
      <c r="AC11" s="4"/>
      <c r="AD11" s="48">
        <v>75.0</v>
      </c>
      <c r="AE11" s="3"/>
      <c r="AF11" s="4"/>
    </row>
    <row r="12" ht="30.0" customHeight="1">
      <c r="B12" s="47">
        <v>5.0</v>
      </c>
      <c r="C12" s="48" t="s">
        <v>91</v>
      </c>
      <c r="D12" s="3"/>
      <c r="E12" s="4"/>
      <c r="F12" s="49" t="s">
        <v>79</v>
      </c>
      <c r="G12" s="3"/>
      <c r="H12" s="3"/>
      <c r="I12" s="3"/>
      <c r="J12" s="3"/>
      <c r="K12" s="3"/>
      <c r="L12" s="4"/>
      <c r="M12" s="49" t="s">
        <v>93</v>
      </c>
      <c r="N12" s="3"/>
      <c r="O12" s="3"/>
      <c r="P12" s="3"/>
      <c r="Q12" s="3"/>
      <c r="R12" s="3"/>
      <c r="S12" s="3"/>
      <c r="T12" s="4"/>
      <c r="U12" s="50" t="s">
        <v>81</v>
      </c>
      <c r="V12" s="4"/>
      <c r="W12" s="49" t="s">
        <v>94</v>
      </c>
      <c r="X12" s="3"/>
      <c r="Y12" s="3"/>
      <c r="Z12" s="3"/>
      <c r="AA12" s="3"/>
      <c r="AB12" s="3"/>
      <c r="AC12" s="4"/>
      <c r="AD12" s="48">
        <v>30.0</v>
      </c>
      <c r="AE12" s="3"/>
      <c r="AF12" s="4"/>
    </row>
    <row r="13" ht="30.0" customHeight="1">
      <c r="B13" s="47">
        <v>6.0</v>
      </c>
      <c r="C13" s="48" t="s">
        <v>96</v>
      </c>
      <c r="D13" s="3"/>
      <c r="E13" s="4"/>
      <c r="F13" s="49" t="s">
        <v>79</v>
      </c>
      <c r="G13" s="3"/>
      <c r="H13" s="3"/>
      <c r="I13" s="3"/>
      <c r="J13" s="3"/>
      <c r="K13" s="3"/>
      <c r="L13" s="4"/>
      <c r="M13" s="49" t="s">
        <v>98</v>
      </c>
      <c r="N13" s="3"/>
      <c r="O13" s="3"/>
      <c r="P13" s="3"/>
      <c r="Q13" s="3"/>
      <c r="R13" s="3"/>
      <c r="S13" s="3"/>
      <c r="T13" s="4"/>
      <c r="U13" s="50" t="s">
        <v>81</v>
      </c>
      <c r="V13" s="4"/>
      <c r="W13" s="49" t="s">
        <v>100</v>
      </c>
      <c r="X13" s="3"/>
      <c r="Y13" s="3"/>
      <c r="Z13" s="3"/>
      <c r="AA13" s="3"/>
      <c r="AB13" s="3"/>
      <c r="AC13" s="4"/>
      <c r="AD13" s="48">
        <v>50.0</v>
      </c>
      <c r="AE13" s="3"/>
      <c r="AF13" s="4"/>
    </row>
    <row r="14" ht="30.0" customHeight="1">
      <c r="B14" s="47">
        <v>7.0</v>
      </c>
      <c r="C14" s="48" t="s">
        <v>101</v>
      </c>
      <c r="D14" s="3"/>
      <c r="E14" s="4"/>
      <c r="F14" s="49" t="s">
        <v>79</v>
      </c>
      <c r="G14" s="3"/>
      <c r="H14" s="3"/>
      <c r="I14" s="3"/>
      <c r="J14" s="3"/>
      <c r="K14" s="3"/>
      <c r="L14" s="4"/>
      <c r="M14" s="49" t="s">
        <v>102</v>
      </c>
      <c r="N14" s="3"/>
      <c r="O14" s="3"/>
      <c r="P14" s="3"/>
      <c r="Q14" s="3"/>
      <c r="R14" s="3"/>
      <c r="S14" s="3"/>
      <c r="T14" s="4"/>
      <c r="U14" s="50" t="s">
        <v>81</v>
      </c>
      <c r="V14" s="4"/>
      <c r="W14" s="49" t="s">
        <v>94</v>
      </c>
      <c r="X14" s="3"/>
      <c r="Y14" s="3"/>
      <c r="Z14" s="3"/>
      <c r="AA14" s="3"/>
      <c r="AB14" s="3"/>
      <c r="AC14" s="4"/>
      <c r="AD14" s="48">
        <v>10.0</v>
      </c>
      <c r="AE14" s="3"/>
      <c r="AF14" s="4"/>
    </row>
    <row r="15" ht="30.0" customHeight="1">
      <c r="B15" s="47">
        <v>8.0</v>
      </c>
      <c r="C15" s="48" t="s">
        <v>103</v>
      </c>
      <c r="D15" s="3"/>
      <c r="E15" s="4"/>
      <c r="F15" s="49" t="s">
        <v>79</v>
      </c>
      <c r="G15" s="3"/>
      <c r="H15" s="3"/>
      <c r="I15" s="3"/>
      <c r="J15" s="3"/>
      <c r="K15" s="3"/>
      <c r="L15" s="4"/>
      <c r="M15" s="49" t="s">
        <v>105</v>
      </c>
      <c r="N15" s="3"/>
      <c r="O15" s="3"/>
      <c r="P15" s="3"/>
      <c r="Q15" s="3"/>
      <c r="R15" s="3"/>
      <c r="S15" s="3"/>
      <c r="T15" s="4"/>
      <c r="U15" s="51" t="s">
        <v>106</v>
      </c>
      <c r="V15" s="4"/>
      <c r="W15" s="49" t="s">
        <v>107</v>
      </c>
      <c r="X15" s="3"/>
      <c r="Y15" s="3"/>
      <c r="Z15" s="3"/>
      <c r="AA15" s="3"/>
      <c r="AB15" s="3"/>
      <c r="AC15" s="4"/>
      <c r="AD15" s="48">
        <v>20.0</v>
      </c>
      <c r="AE15" s="3"/>
      <c r="AF15" s="4"/>
    </row>
    <row r="16" ht="30.0" customHeight="1">
      <c r="B16" s="47">
        <v>9.0</v>
      </c>
      <c r="C16" s="48" t="s">
        <v>110</v>
      </c>
      <c r="D16" s="3"/>
      <c r="E16" s="4"/>
      <c r="F16" s="49" t="s">
        <v>79</v>
      </c>
      <c r="G16" s="3"/>
      <c r="H16" s="3"/>
      <c r="I16" s="3"/>
      <c r="J16" s="3"/>
      <c r="K16" s="3"/>
      <c r="L16" s="4"/>
      <c r="M16" s="49" t="s">
        <v>111</v>
      </c>
      <c r="N16" s="3"/>
      <c r="O16" s="3"/>
      <c r="P16" s="3"/>
      <c r="Q16" s="3"/>
      <c r="R16" s="3"/>
      <c r="S16" s="3"/>
      <c r="T16" s="4"/>
      <c r="U16" s="50" t="s">
        <v>81</v>
      </c>
      <c r="V16" s="4"/>
      <c r="W16" s="49" t="s">
        <v>113</v>
      </c>
      <c r="X16" s="3"/>
      <c r="Y16" s="3"/>
      <c r="Z16" s="3"/>
      <c r="AA16" s="3"/>
      <c r="AB16" s="3"/>
      <c r="AC16" s="4"/>
      <c r="AD16" s="48">
        <v>8.0</v>
      </c>
      <c r="AE16" s="3"/>
      <c r="AF16" s="4"/>
    </row>
    <row r="17" ht="30.0" customHeight="1">
      <c r="B17" s="47">
        <v>10.0</v>
      </c>
      <c r="C17" s="48" t="s">
        <v>114</v>
      </c>
      <c r="D17" s="3"/>
      <c r="E17" s="4"/>
      <c r="F17" s="49" t="s">
        <v>79</v>
      </c>
      <c r="G17" s="3"/>
      <c r="H17" s="3"/>
      <c r="I17" s="3"/>
      <c r="J17" s="3"/>
      <c r="K17" s="3"/>
      <c r="L17" s="4"/>
      <c r="M17" s="49" t="s">
        <v>116</v>
      </c>
      <c r="N17" s="3"/>
      <c r="O17" s="3"/>
      <c r="P17" s="3"/>
      <c r="Q17" s="3"/>
      <c r="R17" s="3"/>
      <c r="S17" s="3"/>
      <c r="T17" s="4"/>
      <c r="U17" s="50" t="s">
        <v>81</v>
      </c>
      <c r="V17" s="4"/>
      <c r="W17" s="49" t="s">
        <v>117</v>
      </c>
      <c r="X17" s="3"/>
      <c r="Y17" s="3"/>
      <c r="Z17" s="3"/>
      <c r="AA17" s="3"/>
      <c r="AB17" s="3"/>
      <c r="AC17" s="4"/>
      <c r="AD17" s="48">
        <v>30.0</v>
      </c>
      <c r="AE17" s="3"/>
      <c r="AF17" s="4"/>
    </row>
    <row r="18" ht="30.0" customHeight="1">
      <c r="B18" s="47">
        <v>11.0</v>
      </c>
      <c r="C18" s="48" t="s">
        <v>119</v>
      </c>
      <c r="D18" s="3"/>
      <c r="E18" s="4"/>
      <c r="F18" s="49" t="s">
        <v>120</v>
      </c>
      <c r="G18" s="3"/>
      <c r="H18" s="3"/>
      <c r="I18" s="3"/>
      <c r="J18" s="3"/>
      <c r="K18" s="3"/>
      <c r="L18" s="4"/>
      <c r="M18" s="49" t="s">
        <v>121</v>
      </c>
      <c r="N18" s="3"/>
      <c r="O18" s="3"/>
      <c r="P18" s="3"/>
      <c r="Q18" s="3"/>
      <c r="R18" s="3"/>
      <c r="S18" s="3"/>
      <c r="T18" s="4"/>
      <c r="U18" s="51" t="s">
        <v>106</v>
      </c>
      <c r="V18" s="4"/>
      <c r="W18" s="49" t="s">
        <v>123</v>
      </c>
      <c r="X18" s="3"/>
      <c r="Y18" s="3"/>
      <c r="Z18" s="3"/>
      <c r="AA18" s="3"/>
      <c r="AB18" s="3"/>
      <c r="AC18" s="4"/>
      <c r="AD18" s="48">
        <v>100.0</v>
      </c>
      <c r="AE18" s="3"/>
      <c r="AF18" s="4"/>
    </row>
    <row r="19" ht="30.0" customHeight="1">
      <c r="B19" s="47">
        <v>12.0</v>
      </c>
      <c r="C19" s="48" t="s">
        <v>124</v>
      </c>
      <c r="D19" s="3"/>
      <c r="E19" s="4"/>
      <c r="F19" s="49" t="s">
        <v>120</v>
      </c>
      <c r="G19" s="3"/>
      <c r="H19" s="3"/>
      <c r="I19" s="3"/>
      <c r="J19" s="3"/>
      <c r="K19" s="3"/>
      <c r="L19" s="4"/>
      <c r="M19" s="49" t="s">
        <v>125</v>
      </c>
      <c r="N19" s="3"/>
      <c r="O19" s="3"/>
      <c r="P19" s="3"/>
      <c r="Q19" s="3"/>
      <c r="R19" s="3"/>
      <c r="S19" s="3"/>
      <c r="T19" s="4"/>
      <c r="U19" s="51" t="s">
        <v>106</v>
      </c>
      <c r="V19" s="4"/>
      <c r="W19" s="49" t="s">
        <v>123</v>
      </c>
      <c r="X19" s="3"/>
      <c r="Y19" s="3"/>
      <c r="Z19" s="3"/>
      <c r="AA19" s="3"/>
      <c r="AB19" s="3"/>
      <c r="AC19" s="4"/>
      <c r="AD19" s="48">
        <v>80.0</v>
      </c>
      <c r="AE19" s="3"/>
      <c r="AF19" s="4"/>
    </row>
    <row r="20" ht="30.0" customHeight="1">
      <c r="B20" s="47">
        <v>13.0</v>
      </c>
      <c r="C20" s="48" t="s">
        <v>126</v>
      </c>
      <c r="D20" s="3"/>
      <c r="E20" s="4"/>
      <c r="F20" s="49" t="s">
        <v>120</v>
      </c>
      <c r="G20" s="3"/>
      <c r="H20" s="3"/>
      <c r="I20" s="3"/>
      <c r="J20" s="3"/>
      <c r="K20" s="3"/>
      <c r="L20" s="4"/>
      <c r="M20" s="49" t="s">
        <v>127</v>
      </c>
      <c r="N20" s="3"/>
      <c r="O20" s="3"/>
      <c r="P20" s="3"/>
      <c r="Q20" s="3"/>
      <c r="R20" s="3"/>
      <c r="S20" s="3"/>
      <c r="T20" s="4"/>
      <c r="U20" s="51" t="s">
        <v>106</v>
      </c>
      <c r="V20" s="4"/>
      <c r="W20" s="49" t="s">
        <v>100</v>
      </c>
      <c r="X20" s="3"/>
      <c r="Y20" s="3"/>
      <c r="Z20" s="3"/>
      <c r="AA20" s="3"/>
      <c r="AB20" s="3"/>
      <c r="AC20" s="4"/>
      <c r="AD20" s="48">
        <v>60.0</v>
      </c>
      <c r="AE20" s="3"/>
      <c r="AF20" s="4"/>
    </row>
    <row r="21" ht="30.0" customHeight="1">
      <c r="B21" s="47">
        <v>14.0</v>
      </c>
      <c r="C21" s="48" t="s">
        <v>128</v>
      </c>
      <c r="D21" s="3"/>
      <c r="E21" s="4"/>
      <c r="F21" s="49" t="s">
        <v>120</v>
      </c>
      <c r="G21" s="3"/>
      <c r="H21" s="3"/>
      <c r="I21" s="3"/>
      <c r="J21" s="3"/>
      <c r="K21" s="3"/>
      <c r="L21" s="4"/>
      <c r="M21" s="49" t="s">
        <v>129</v>
      </c>
      <c r="N21" s="3"/>
      <c r="O21" s="3"/>
      <c r="P21" s="3"/>
      <c r="Q21" s="3"/>
      <c r="R21" s="3"/>
      <c r="S21" s="3"/>
      <c r="T21" s="4"/>
      <c r="U21" s="51" t="s">
        <v>106</v>
      </c>
      <c r="V21" s="4"/>
      <c r="W21" s="49" t="s">
        <v>123</v>
      </c>
      <c r="X21" s="3"/>
      <c r="Y21" s="3"/>
      <c r="Z21" s="3"/>
      <c r="AA21" s="3"/>
      <c r="AB21" s="3"/>
      <c r="AC21" s="4"/>
      <c r="AD21" s="48">
        <v>50.0</v>
      </c>
      <c r="AE21" s="3"/>
      <c r="AF21" s="4"/>
    </row>
    <row r="22" ht="30.0" customHeight="1">
      <c r="B22" s="47">
        <v>15.0</v>
      </c>
      <c r="C22" s="48" t="s">
        <v>131</v>
      </c>
      <c r="D22" s="3"/>
      <c r="E22" s="4"/>
      <c r="F22" s="49" t="s">
        <v>120</v>
      </c>
      <c r="G22" s="3"/>
      <c r="H22" s="3"/>
      <c r="I22" s="3"/>
      <c r="J22" s="3"/>
      <c r="K22" s="3"/>
      <c r="L22" s="4"/>
      <c r="M22" s="49" t="s">
        <v>132</v>
      </c>
      <c r="N22" s="3"/>
      <c r="O22" s="3"/>
      <c r="P22" s="3"/>
      <c r="Q22" s="3"/>
      <c r="R22" s="3"/>
      <c r="S22" s="3"/>
      <c r="T22" s="4"/>
      <c r="U22" s="51" t="s">
        <v>106</v>
      </c>
      <c r="V22" s="4"/>
      <c r="W22" s="49" t="s">
        <v>133</v>
      </c>
      <c r="X22" s="3"/>
      <c r="Y22" s="3"/>
      <c r="Z22" s="3"/>
      <c r="AA22" s="3"/>
      <c r="AB22" s="3"/>
      <c r="AC22" s="4"/>
      <c r="AD22" s="48">
        <v>30.0</v>
      </c>
      <c r="AE22" s="3"/>
      <c r="AF22" s="4"/>
    </row>
    <row r="23" ht="30.0" customHeight="1">
      <c r="B23" s="47">
        <v>16.0</v>
      </c>
      <c r="C23" s="48" t="s">
        <v>134</v>
      </c>
      <c r="D23" s="3"/>
      <c r="E23" s="4"/>
      <c r="F23" s="49" t="s">
        <v>120</v>
      </c>
      <c r="G23" s="3"/>
      <c r="H23" s="3"/>
      <c r="I23" s="3"/>
      <c r="J23" s="3"/>
      <c r="K23" s="3"/>
      <c r="L23" s="4"/>
      <c r="M23" s="49" t="s">
        <v>135</v>
      </c>
      <c r="N23" s="3"/>
      <c r="O23" s="3"/>
      <c r="P23" s="3"/>
      <c r="Q23" s="3"/>
      <c r="R23" s="3"/>
      <c r="S23" s="3"/>
      <c r="T23" s="4"/>
      <c r="U23" s="50" t="s">
        <v>81</v>
      </c>
      <c r="V23" s="4"/>
      <c r="W23" s="49" t="s">
        <v>136</v>
      </c>
      <c r="X23" s="3"/>
      <c r="Y23" s="3"/>
      <c r="Z23" s="3"/>
      <c r="AA23" s="3"/>
      <c r="AB23" s="3"/>
      <c r="AC23" s="4"/>
      <c r="AD23" s="48">
        <v>15.0</v>
      </c>
      <c r="AE23" s="3"/>
      <c r="AF23" s="4"/>
    </row>
    <row r="24" ht="36.0" customHeight="1">
      <c r="B24" s="47">
        <v>17.0</v>
      </c>
      <c r="C24" s="48" t="s">
        <v>137</v>
      </c>
      <c r="D24" s="3"/>
      <c r="E24" s="4"/>
      <c r="F24" s="49" t="s">
        <v>120</v>
      </c>
      <c r="G24" s="3"/>
      <c r="H24" s="3"/>
      <c r="I24" s="3"/>
      <c r="J24" s="3"/>
      <c r="K24" s="3"/>
      <c r="L24" s="4"/>
      <c r="M24" s="49" t="s">
        <v>138</v>
      </c>
      <c r="N24" s="3"/>
      <c r="O24" s="3"/>
      <c r="P24" s="3"/>
      <c r="Q24" s="3"/>
      <c r="R24" s="3"/>
      <c r="S24" s="3"/>
      <c r="T24" s="4"/>
      <c r="U24" s="51" t="s">
        <v>106</v>
      </c>
      <c r="V24" s="4"/>
      <c r="W24" s="49" t="s">
        <v>139</v>
      </c>
      <c r="X24" s="3"/>
      <c r="Y24" s="3"/>
      <c r="Z24" s="3"/>
      <c r="AA24" s="3"/>
      <c r="AB24" s="3"/>
      <c r="AC24" s="4"/>
      <c r="AD24" s="48">
        <v>45.0</v>
      </c>
      <c r="AE24" s="3"/>
      <c r="AF24" s="4"/>
    </row>
    <row r="25" ht="30.0" customHeight="1">
      <c r="B25" s="47">
        <v>18.0</v>
      </c>
      <c r="C25" s="48" t="s">
        <v>140</v>
      </c>
      <c r="D25" s="3"/>
      <c r="E25" s="4"/>
      <c r="F25" s="49" t="s">
        <v>120</v>
      </c>
      <c r="G25" s="3"/>
      <c r="H25" s="3"/>
      <c r="I25" s="3"/>
      <c r="J25" s="3"/>
      <c r="K25" s="3"/>
      <c r="L25" s="4"/>
      <c r="M25" s="49" t="s">
        <v>141</v>
      </c>
      <c r="N25" s="3"/>
      <c r="O25" s="3"/>
      <c r="P25" s="3"/>
      <c r="Q25" s="3"/>
      <c r="R25" s="3"/>
      <c r="S25" s="3"/>
      <c r="T25" s="4"/>
      <c r="U25" s="51" t="s">
        <v>106</v>
      </c>
      <c r="V25" s="4"/>
      <c r="W25" s="49" t="s">
        <v>142</v>
      </c>
      <c r="X25" s="3"/>
      <c r="Y25" s="3"/>
      <c r="Z25" s="3"/>
      <c r="AA25" s="3"/>
      <c r="AB25" s="3"/>
      <c r="AC25" s="4"/>
      <c r="AD25" s="48">
        <v>30.0</v>
      </c>
      <c r="AE25" s="3"/>
      <c r="AF25" s="4"/>
    </row>
    <row r="26" ht="36.0" customHeight="1">
      <c r="B26" s="47">
        <v>19.0</v>
      </c>
      <c r="C26" s="48" t="s">
        <v>143</v>
      </c>
      <c r="D26" s="3"/>
      <c r="E26" s="4"/>
      <c r="F26" s="49" t="s">
        <v>120</v>
      </c>
      <c r="G26" s="3"/>
      <c r="H26" s="3"/>
      <c r="I26" s="3"/>
      <c r="J26" s="3"/>
      <c r="K26" s="3"/>
      <c r="L26" s="4"/>
      <c r="M26" s="49" t="s">
        <v>144</v>
      </c>
      <c r="N26" s="3"/>
      <c r="O26" s="3"/>
      <c r="P26" s="3"/>
      <c r="Q26" s="3"/>
      <c r="R26" s="3"/>
      <c r="S26" s="3"/>
      <c r="T26" s="4"/>
      <c r="U26" s="51" t="s">
        <v>106</v>
      </c>
      <c r="V26" s="4"/>
      <c r="W26" s="49" t="s">
        <v>145</v>
      </c>
      <c r="X26" s="3"/>
      <c r="Y26" s="3"/>
      <c r="Z26" s="3"/>
      <c r="AA26" s="3"/>
      <c r="AB26" s="3"/>
      <c r="AC26" s="4"/>
      <c r="AD26" s="48">
        <v>25.0</v>
      </c>
      <c r="AE26" s="3"/>
      <c r="AF26" s="4"/>
    </row>
    <row r="27" ht="30.0" customHeight="1">
      <c r="B27" s="47">
        <v>20.0</v>
      </c>
      <c r="C27" s="48" t="s">
        <v>146</v>
      </c>
      <c r="D27" s="3"/>
      <c r="E27" s="4"/>
      <c r="F27" s="49" t="s">
        <v>147</v>
      </c>
      <c r="G27" s="3"/>
      <c r="H27" s="3"/>
      <c r="I27" s="3"/>
      <c r="J27" s="3"/>
      <c r="K27" s="3"/>
      <c r="L27" s="4"/>
      <c r="M27" s="49" t="s">
        <v>148</v>
      </c>
      <c r="N27" s="3"/>
      <c r="O27" s="3"/>
      <c r="P27" s="3"/>
      <c r="Q27" s="3"/>
      <c r="R27" s="3"/>
      <c r="S27" s="3"/>
      <c r="T27" s="4"/>
      <c r="U27" s="50" t="s">
        <v>81</v>
      </c>
      <c r="V27" s="4"/>
      <c r="W27" s="49" t="s">
        <v>142</v>
      </c>
      <c r="X27" s="3"/>
      <c r="Y27" s="3"/>
      <c r="Z27" s="3"/>
      <c r="AA27" s="3"/>
      <c r="AB27" s="3"/>
      <c r="AC27" s="4"/>
      <c r="AD27" s="48">
        <v>60.0</v>
      </c>
      <c r="AE27" s="3"/>
      <c r="AF27" s="4"/>
    </row>
    <row r="28" ht="30.0" customHeight="1">
      <c r="B28" s="47">
        <v>21.0</v>
      </c>
      <c r="C28" s="48" t="s">
        <v>149</v>
      </c>
      <c r="D28" s="3"/>
      <c r="E28" s="4"/>
      <c r="F28" s="49" t="s">
        <v>147</v>
      </c>
      <c r="G28" s="3"/>
      <c r="H28" s="3"/>
      <c r="I28" s="3"/>
      <c r="J28" s="3"/>
      <c r="K28" s="3"/>
      <c r="L28" s="4"/>
      <c r="M28" s="49" t="s">
        <v>150</v>
      </c>
      <c r="N28" s="3"/>
      <c r="O28" s="3"/>
      <c r="P28" s="3"/>
      <c r="Q28" s="3"/>
      <c r="R28" s="3"/>
      <c r="S28" s="3"/>
      <c r="T28" s="4"/>
      <c r="U28" s="51" t="s">
        <v>106</v>
      </c>
      <c r="V28" s="4"/>
      <c r="W28" s="49" t="s">
        <v>151</v>
      </c>
      <c r="X28" s="3"/>
      <c r="Y28" s="3"/>
      <c r="Z28" s="3"/>
      <c r="AA28" s="3"/>
      <c r="AB28" s="3"/>
      <c r="AC28" s="4"/>
      <c r="AD28" s="48">
        <v>16.0</v>
      </c>
      <c r="AE28" s="3"/>
      <c r="AF28" s="4"/>
    </row>
    <row r="29" ht="30.0" customHeight="1">
      <c r="B29" s="47">
        <v>22.0</v>
      </c>
      <c r="C29" s="48" t="s">
        <v>152</v>
      </c>
      <c r="D29" s="3"/>
      <c r="E29" s="4"/>
      <c r="F29" s="49" t="s">
        <v>147</v>
      </c>
      <c r="G29" s="3"/>
      <c r="H29" s="3"/>
      <c r="I29" s="3"/>
      <c r="J29" s="3"/>
      <c r="K29" s="3"/>
      <c r="L29" s="4"/>
      <c r="M29" s="49" t="s">
        <v>155</v>
      </c>
      <c r="N29" s="3"/>
      <c r="O29" s="3"/>
      <c r="P29" s="3"/>
      <c r="Q29" s="3"/>
      <c r="R29" s="3"/>
      <c r="S29" s="3"/>
      <c r="T29" s="4"/>
      <c r="U29" s="50" t="s">
        <v>81</v>
      </c>
      <c r="V29" s="4"/>
      <c r="W29" s="49" t="s">
        <v>158</v>
      </c>
      <c r="X29" s="3"/>
      <c r="Y29" s="3"/>
      <c r="Z29" s="3"/>
      <c r="AA29" s="3"/>
      <c r="AB29" s="3"/>
      <c r="AC29" s="4"/>
      <c r="AD29" s="48">
        <v>18.0</v>
      </c>
      <c r="AE29" s="3"/>
      <c r="AF29" s="4"/>
    </row>
    <row r="30" ht="30.0" customHeight="1">
      <c r="B30" s="47">
        <v>23.0</v>
      </c>
      <c r="C30" s="48" t="s">
        <v>161</v>
      </c>
      <c r="D30" s="3"/>
      <c r="E30" s="4"/>
      <c r="F30" s="49" t="s">
        <v>147</v>
      </c>
      <c r="G30" s="3"/>
      <c r="H30" s="3"/>
      <c r="I30" s="3"/>
      <c r="J30" s="3"/>
      <c r="K30" s="3"/>
      <c r="L30" s="4"/>
      <c r="M30" s="49" t="s">
        <v>163</v>
      </c>
      <c r="N30" s="3"/>
      <c r="O30" s="3"/>
      <c r="P30" s="3"/>
      <c r="Q30" s="3"/>
      <c r="R30" s="3"/>
      <c r="S30" s="3"/>
      <c r="T30" s="4"/>
      <c r="U30" s="51" t="s">
        <v>106</v>
      </c>
      <c r="V30" s="4"/>
      <c r="W30" s="49" t="s">
        <v>164</v>
      </c>
      <c r="X30" s="3"/>
      <c r="Y30" s="3"/>
      <c r="Z30" s="3"/>
      <c r="AA30" s="3"/>
      <c r="AB30" s="3"/>
      <c r="AC30" s="4"/>
      <c r="AD30" s="48">
        <v>8.0</v>
      </c>
      <c r="AE30" s="3"/>
      <c r="AF30" s="4"/>
    </row>
    <row r="31" ht="30.0" customHeight="1">
      <c r="B31" s="47">
        <v>24.0</v>
      </c>
      <c r="C31" s="48" t="s">
        <v>166</v>
      </c>
      <c r="D31" s="3"/>
      <c r="E31" s="4"/>
      <c r="F31" s="49" t="s">
        <v>147</v>
      </c>
      <c r="G31" s="3"/>
      <c r="H31" s="3"/>
      <c r="I31" s="3"/>
      <c r="J31" s="3"/>
      <c r="K31" s="3"/>
      <c r="L31" s="4"/>
      <c r="M31" s="49" t="s">
        <v>167</v>
      </c>
      <c r="N31" s="3"/>
      <c r="O31" s="3"/>
      <c r="P31" s="3"/>
      <c r="Q31" s="3"/>
      <c r="R31" s="3"/>
      <c r="S31" s="3"/>
      <c r="T31" s="4"/>
      <c r="U31" s="50" t="s">
        <v>81</v>
      </c>
      <c r="V31" s="4"/>
      <c r="W31" s="49" t="s">
        <v>169</v>
      </c>
      <c r="X31" s="3"/>
      <c r="Y31" s="3"/>
      <c r="Z31" s="3"/>
      <c r="AA31" s="3"/>
      <c r="AB31" s="3"/>
      <c r="AC31" s="4"/>
      <c r="AD31" s="48">
        <v>10.0</v>
      </c>
      <c r="AE31" s="3"/>
      <c r="AF31" s="4"/>
    </row>
    <row r="32" ht="30.0" customHeight="1">
      <c r="B32" s="47">
        <v>25.0</v>
      </c>
      <c r="C32" s="48" t="s">
        <v>170</v>
      </c>
      <c r="D32" s="3"/>
      <c r="E32" s="4"/>
      <c r="F32" s="49" t="s">
        <v>147</v>
      </c>
      <c r="G32" s="3"/>
      <c r="H32" s="3"/>
      <c r="I32" s="3"/>
      <c r="J32" s="3"/>
      <c r="K32" s="3"/>
      <c r="L32" s="4"/>
      <c r="M32" s="49" t="s">
        <v>173</v>
      </c>
      <c r="N32" s="3"/>
      <c r="O32" s="3"/>
      <c r="P32" s="3"/>
      <c r="Q32" s="3"/>
      <c r="R32" s="3"/>
      <c r="S32" s="3"/>
      <c r="T32" s="4"/>
      <c r="U32" s="51" t="s">
        <v>106</v>
      </c>
      <c r="V32" s="4"/>
      <c r="W32" s="49" t="s">
        <v>174</v>
      </c>
      <c r="X32" s="3"/>
      <c r="Y32" s="3"/>
      <c r="Z32" s="3"/>
      <c r="AA32" s="3"/>
      <c r="AB32" s="3"/>
      <c r="AC32" s="4"/>
      <c r="AD32" s="48">
        <v>30.0</v>
      </c>
      <c r="AE32" s="3"/>
      <c r="AF32" s="4"/>
    </row>
    <row r="33" ht="30.0" customHeight="1">
      <c r="B33" s="47">
        <v>26.0</v>
      </c>
      <c r="C33" s="48" t="s">
        <v>177</v>
      </c>
      <c r="D33" s="3"/>
      <c r="E33" s="4"/>
      <c r="F33" s="49" t="s">
        <v>147</v>
      </c>
      <c r="G33" s="3"/>
      <c r="H33" s="3"/>
      <c r="I33" s="3"/>
      <c r="J33" s="3"/>
      <c r="K33" s="3"/>
      <c r="L33" s="4"/>
      <c r="M33" s="49" t="s">
        <v>178</v>
      </c>
      <c r="N33" s="3"/>
      <c r="O33" s="3"/>
      <c r="P33" s="3"/>
      <c r="Q33" s="3"/>
      <c r="R33" s="3"/>
      <c r="S33" s="3"/>
      <c r="T33" s="4"/>
      <c r="U33" s="50" t="s">
        <v>81</v>
      </c>
      <c r="V33" s="4"/>
      <c r="W33" s="49" t="s">
        <v>179</v>
      </c>
      <c r="X33" s="3"/>
      <c r="Y33" s="3"/>
      <c r="Z33" s="3"/>
      <c r="AA33" s="3"/>
      <c r="AB33" s="3"/>
      <c r="AC33" s="4"/>
      <c r="AD33" s="48">
        <v>15.0</v>
      </c>
      <c r="AE33" s="3"/>
      <c r="AF33" s="4"/>
    </row>
    <row r="34" ht="30.0" customHeight="1">
      <c r="B34" s="47">
        <v>27.0</v>
      </c>
      <c r="C34" s="48" t="s">
        <v>181</v>
      </c>
      <c r="D34" s="3"/>
      <c r="E34" s="4"/>
      <c r="F34" s="49" t="s">
        <v>147</v>
      </c>
      <c r="G34" s="3"/>
      <c r="H34" s="3"/>
      <c r="I34" s="3"/>
      <c r="J34" s="3"/>
      <c r="K34" s="3"/>
      <c r="L34" s="4"/>
      <c r="M34" s="49" t="s">
        <v>182</v>
      </c>
      <c r="N34" s="3"/>
      <c r="O34" s="3"/>
      <c r="P34" s="3"/>
      <c r="Q34" s="3"/>
      <c r="R34" s="3"/>
      <c r="S34" s="3"/>
      <c r="T34" s="4"/>
      <c r="U34" s="50" t="s">
        <v>81</v>
      </c>
      <c r="V34" s="4"/>
      <c r="W34" s="49" t="s">
        <v>183</v>
      </c>
      <c r="X34" s="3"/>
      <c r="Y34" s="3"/>
      <c r="Z34" s="3"/>
      <c r="AA34" s="3"/>
      <c r="AB34" s="3"/>
      <c r="AC34" s="4"/>
      <c r="AD34" s="48">
        <v>18.0</v>
      </c>
      <c r="AE34" s="3"/>
      <c r="AF34" s="4"/>
    </row>
    <row r="35" ht="30.0" customHeight="1">
      <c r="B35" s="47">
        <v>28.0</v>
      </c>
      <c r="C35" s="48" t="s">
        <v>184</v>
      </c>
      <c r="D35" s="3"/>
      <c r="E35" s="4"/>
      <c r="F35" s="49" t="s">
        <v>186</v>
      </c>
      <c r="G35" s="3"/>
      <c r="H35" s="3"/>
      <c r="I35" s="3"/>
      <c r="J35" s="3"/>
      <c r="K35" s="3"/>
      <c r="L35" s="4"/>
      <c r="M35" s="49" t="s">
        <v>188</v>
      </c>
      <c r="N35" s="3"/>
      <c r="O35" s="3"/>
      <c r="P35" s="3"/>
      <c r="Q35" s="3"/>
      <c r="R35" s="3"/>
      <c r="S35" s="3"/>
      <c r="T35" s="4"/>
      <c r="U35" s="50" t="s">
        <v>81</v>
      </c>
      <c r="V35" s="4"/>
      <c r="W35" s="49" t="s">
        <v>190</v>
      </c>
      <c r="X35" s="3"/>
      <c r="Y35" s="3"/>
      <c r="Z35" s="3"/>
      <c r="AA35" s="3"/>
      <c r="AB35" s="3"/>
      <c r="AC35" s="4"/>
      <c r="AD35" s="48">
        <v>25.0</v>
      </c>
      <c r="AE35" s="3"/>
      <c r="AF35" s="4"/>
    </row>
    <row r="36" ht="30.0" customHeight="1">
      <c r="B36" s="47">
        <v>29.0</v>
      </c>
      <c r="C36" s="48" t="s">
        <v>192</v>
      </c>
      <c r="D36" s="3"/>
      <c r="E36" s="4"/>
      <c r="F36" s="49" t="s">
        <v>186</v>
      </c>
      <c r="G36" s="3"/>
      <c r="H36" s="3"/>
      <c r="I36" s="3"/>
      <c r="J36" s="3"/>
      <c r="K36" s="3"/>
      <c r="L36" s="4"/>
      <c r="M36" s="49" t="s">
        <v>195</v>
      </c>
      <c r="N36" s="3"/>
      <c r="O36" s="3"/>
      <c r="P36" s="3"/>
      <c r="Q36" s="3"/>
      <c r="R36" s="3"/>
      <c r="S36" s="3"/>
      <c r="T36" s="4"/>
      <c r="U36" s="50" t="s">
        <v>81</v>
      </c>
      <c r="V36" s="4"/>
      <c r="W36" s="49" t="s">
        <v>94</v>
      </c>
      <c r="X36" s="3"/>
      <c r="Y36" s="3"/>
      <c r="Z36" s="3"/>
      <c r="AA36" s="3"/>
      <c r="AB36" s="3"/>
      <c r="AC36" s="4"/>
      <c r="AD36" s="48">
        <v>8.0</v>
      </c>
      <c r="AE36" s="3"/>
      <c r="AF36" s="4"/>
    </row>
    <row r="37" ht="30.0" customHeight="1">
      <c r="B37" s="47">
        <v>30.0</v>
      </c>
      <c r="C37" s="48" t="s">
        <v>197</v>
      </c>
      <c r="D37" s="3"/>
      <c r="E37" s="4"/>
      <c r="F37" s="49" t="s">
        <v>186</v>
      </c>
      <c r="G37" s="3"/>
      <c r="H37" s="3"/>
      <c r="I37" s="3"/>
      <c r="J37" s="3"/>
      <c r="K37" s="3"/>
      <c r="L37" s="4"/>
      <c r="M37" s="49" t="s">
        <v>198</v>
      </c>
      <c r="N37" s="3"/>
      <c r="O37" s="3"/>
      <c r="P37" s="3"/>
      <c r="Q37" s="3"/>
      <c r="R37" s="3"/>
      <c r="S37" s="3"/>
      <c r="T37" s="4"/>
      <c r="U37" s="50" t="s">
        <v>81</v>
      </c>
      <c r="V37" s="4"/>
      <c r="W37" s="49" t="s">
        <v>200</v>
      </c>
      <c r="X37" s="3"/>
      <c r="Y37" s="3"/>
      <c r="Z37" s="3"/>
      <c r="AA37" s="3"/>
      <c r="AB37" s="3"/>
      <c r="AC37" s="4"/>
      <c r="AD37" s="48">
        <v>15.0</v>
      </c>
      <c r="AE37" s="3"/>
      <c r="AF37" s="4"/>
    </row>
    <row r="38" ht="30.0" customHeight="1">
      <c r="B38" s="47">
        <v>31.0</v>
      </c>
      <c r="C38" s="48" t="s">
        <v>204</v>
      </c>
      <c r="D38" s="3"/>
      <c r="E38" s="4"/>
      <c r="F38" s="49" t="s">
        <v>186</v>
      </c>
      <c r="G38" s="3"/>
      <c r="H38" s="3"/>
      <c r="I38" s="3"/>
      <c r="J38" s="3"/>
      <c r="K38" s="3"/>
      <c r="L38" s="4"/>
      <c r="M38" s="49" t="s">
        <v>206</v>
      </c>
      <c r="N38" s="3"/>
      <c r="O38" s="3"/>
      <c r="P38" s="3"/>
      <c r="Q38" s="3"/>
      <c r="R38" s="3"/>
      <c r="S38" s="3"/>
      <c r="T38" s="4"/>
      <c r="U38" s="50" t="s">
        <v>81</v>
      </c>
      <c r="V38" s="4"/>
      <c r="W38" s="49" t="s">
        <v>94</v>
      </c>
      <c r="X38" s="3"/>
      <c r="Y38" s="3"/>
      <c r="Z38" s="3"/>
      <c r="AA38" s="3"/>
      <c r="AB38" s="3"/>
      <c r="AC38" s="4"/>
      <c r="AD38" s="48">
        <v>40.0</v>
      </c>
      <c r="AE38" s="3"/>
      <c r="AF38" s="4"/>
    </row>
    <row r="39" ht="30.0" customHeight="1">
      <c r="B39" s="47">
        <v>32.0</v>
      </c>
      <c r="C39" s="48" t="s">
        <v>210</v>
      </c>
      <c r="D39" s="3"/>
      <c r="E39" s="4"/>
      <c r="F39" s="49" t="s">
        <v>186</v>
      </c>
      <c r="G39" s="3"/>
      <c r="H39" s="3"/>
      <c r="I39" s="3"/>
      <c r="J39" s="3"/>
      <c r="K39" s="3"/>
      <c r="L39" s="4"/>
      <c r="M39" s="49" t="s">
        <v>211</v>
      </c>
      <c r="N39" s="3"/>
      <c r="O39" s="3"/>
      <c r="P39" s="3"/>
      <c r="Q39" s="3"/>
      <c r="R39" s="3"/>
      <c r="S39" s="3"/>
      <c r="T39" s="4"/>
      <c r="U39" s="51" t="s">
        <v>106</v>
      </c>
      <c r="V39" s="4"/>
      <c r="W39" s="49" t="s">
        <v>212</v>
      </c>
      <c r="X39" s="3"/>
      <c r="Y39" s="3"/>
      <c r="Z39" s="3"/>
      <c r="AA39" s="3"/>
      <c r="AB39" s="3"/>
      <c r="AC39" s="4"/>
      <c r="AD39" s="48">
        <v>20.0</v>
      </c>
      <c r="AE39" s="3"/>
      <c r="AF39" s="4"/>
    </row>
    <row r="40" ht="30.0" customHeight="1">
      <c r="B40" s="47">
        <v>33.0</v>
      </c>
      <c r="C40" s="48" t="s">
        <v>213</v>
      </c>
      <c r="D40" s="3"/>
      <c r="E40" s="4"/>
      <c r="F40" s="49" t="s">
        <v>186</v>
      </c>
      <c r="G40" s="3"/>
      <c r="H40" s="3"/>
      <c r="I40" s="3"/>
      <c r="J40" s="3"/>
      <c r="K40" s="3"/>
      <c r="L40" s="4"/>
      <c r="M40" s="49" t="s">
        <v>216</v>
      </c>
      <c r="N40" s="3"/>
      <c r="O40" s="3"/>
      <c r="P40" s="3"/>
      <c r="Q40" s="3"/>
      <c r="R40" s="3"/>
      <c r="S40" s="3"/>
      <c r="T40" s="4"/>
      <c r="U40" s="51" t="s">
        <v>106</v>
      </c>
      <c r="V40" s="4"/>
      <c r="W40" s="49" t="s">
        <v>219</v>
      </c>
      <c r="X40" s="3"/>
      <c r="Y40" s="3"/>
      <c r="Z40" s="3"/>
      <c r="AA40" s="3"/>
      <c r="AB40" s="3"/>
      <c r="AC40" s="4"/>
      <c r="AD40" s="48">
        <v>12.0</v>
      </c>
      <c r="AE40" s="3"/>
      <c r="AF40" s="4"/>
    </row>
    <row r="41" ht="30.0" customHeight="1">
      <c r="B41" s="47">
        <v>34.0</v>
      </c>
      <c r="C41" s="48" t="s">
        <v>221</v>
      </c>
      <c r="D41" s="3"/>
      <c r="E41" s="4"/>
      <c r="F41" s="49" t="s">
        <v>186</v>
      </c>
      <c r="G41" s="3"/>
      <c r="H41" s="3"/>
      <c r="I41" s="3"/>
      <c r="J41" s="3"/>
      <c r="K41" s="3"/>
      <c r="L41" s="4"/>
      <c r="M41" s="49" t="s">
        <v>223</v>
      </c>
      <c r="N41" s="3"/>
      <c r="O41" s="3"/>
      <c r="P41" s="3"/>
      <c r="Q41" s="3"/>
      <c r="R41" s="3"/>
      <c r="S41" s="3"/>
      <c r="T41" s="4"/>
      <c r="U41" s="50" t="s">
        <v>81</v>
      </c>
      <c r="V41" s="4"/>
      <c r="W41" s="49" t="s">
        <v>224</v>
      </c>
      <c r="X41" s="3"/>
      <c r="Y41" s="3"/>
      <c r="Z41" s="3"/>
      <c r="AA41" s="3"/>
      <c r="AB41" s="3"/>
      <c r="AC41" s="4"/>
      <c r="AD41" s="48">
        <v>15.0</v>
      </c>
      <c r="AE41" s="3"/>
      <c r="AF41" s="4"/>
    </row>
    <row r="42" ht="30.0" customHeight="1">
      <c r="B42" s="47">
        <v>35.0</v>
      </c>
      <c r="C42" s="48" t="s">
        <v>225</v>
      </c>
      <c r="D42" s="3"/>
      <c r="E42" s="4"/>
      <c r="F42" s="49" t="s">
        <v>186</v>
      </c>
      <c r="G42" s="3"/>
      <c r="H42" s="3"/>
      <c r="I42" s="3"/>
      <c r="J42" s="3"/>
      <c r="K42" s="3"/>
      <c r="L42" s="4"/>
      <c r="M42" s="49" t="s">
        <v>226</v>
      </c>
      <c r="N42" s="3"/>
      <c r="O42" s="3"/>
      <c r="P42" s="3"/>
      <c r="Q42" s="3"/>
      <c r="R42" s="3"/>
      <c r="S42" s="3"/>
      <c r="T42" s="4"/>
      <c r="U42" s="51" t="s">
        <v>106</v>
      </c>
      <c r="V42" s="4"/>
      <c r="W42" s="49" t="s">
        <v>94</v>
      </c>
      <c r="X42" s="3"/>
      <c r="Y42" s="3"/>
      <c r="Z42" s="3"/>
      <c r="AA42" s="3"/>
      <c r="AB42" s="3"/>
      <c r="AC42" s="4"/>
      <c r="AD42" s="48">
        <v>30.0</v>
      </c>
      <c r="AE42" s="3"/>
      <c r="AF42" s="4"/>
    </row>
    <row r="43" ht="36.0" customHeight="1">
      <c r="B43" s="47">
        <v>36.0</v>
      </c>
      <c r="C43" s="48" t="s">
        <v>227</v>
      </c>
      <c r="D43" s="3"/>
      <c r="E43" s="4"/>
      <c r="F43" s="49" t="s">
        <v>186</v>
      </c>
      <c r="G43" s="3"/>
      <c r="H43" s="3"/>
      <c r="I43" s="3"/>
      <c r="J43" s="3"/>
      <c r="K43" s="3"/>
      <c r="L43" s="4"/>
      <c r="M43" s="49" t="s">
        <v>231</v>
      </c>
      <c r="N43" s="3"/>
      <c r="O43" s="3"/>
      <c r="P43" s="3"/>
      <c r="Q43" s="3"/>
      <c r="R43" s="3"/>
      <c r="S43" s="3"/>
      <c r="T43" s="4"/>
      <c r="U43" s="50" t="s">
        <v>81</v>
      </c>
      <c r="V43" s="4"/>
      <c r="W43" s="49" t="s">
        <v>200</v>
      </c>
      <c r="X43" s="3"/>
      <c r="Y43" s="3"/>
      <c r="Z43" s="3"/>
      <c r="AA43" s="3"/>
      <c r="AB43" s="3"/>
      <c r="AC43" s="4"/>
      <c r="AD43" s="48">
        <v>6.0</v>
      </c>
      <c r="AE43" s="3"/>
      <c r="AF43" s="4"/>
    </row>
    <row r="44" ht="30.0" customHeight="1">
      <c r="B44" s="47">
        <v>37.0</v>
      </c>
      <c r="C44" s="48" t="s">
        <v>234</v>
      </c>
      <c r="D44" s="3"/>
      <c r="E44" s="4"/>
      <c r="F44" s="49" t="s">
        <v>235</v>
      </c>
      <c r="G44" s="3"/>
      <c r="H44" s="3"/>
      <c r="I44" s="3"/>
      <c r="J44" s="3"/>
      <c r="K44" s="3"/>
      <c r="L44" s="4"/>
      <c r="M44" s="49" t="s">
        <v>236</v>
      </c>
      <c r="N44" s="3"/>
      <c r="O44" s="3"/>
      <c r="P44" s="3"/>
      <c r="Q44" s="3"/>
      <c r="R44" s="3"/>
      <c r="S44" s="3"/>
      <c r="T44" s="4"/>
      <c r="U44" s="60" t="s">
        <v>237</v>
      </c>
      <c r="V44" s="4"/>
      <c r="W44" s="49" t="s">
        <v>238</v>
      </c>
      <c r="X44" s="3"/>
      <c r="Y44" s="3"/>
      <c r="Z44" s="3"/>
      <c r="AA44" s="3"/>
      <c r="AB44" s="3"/>
      <c r="AC44" s="4"/>
      <c r="AD44" s="48">
        <v>60.0</v>
      </c>
      <c r="AE44" s="3"/>
      <c r="AF44" s="4"/>
    </row>
    <row r="45" ht="36.0" customHeight="1">
      <c r="B45" s="47">
        <v>38.0</v>
      </c>
      <c r="C45" s="48" t="s">
        <v>239</v>
      </c>
      <c r="D45" s="3"/>
      <c r="E45" s="4"/>
      <c r="F45" s="49" t="s">
        <v>235</v>
      </c>
      <c r="G45" s="3"/>
      <c r="H45" s="3"/>
      <c r="I45" s="3"/>
      <c r="J45" s="3"/>
      <c r="K45" s="3"/>
      <c r="L45" s="4"/>
      <c r="M45" s="49" t="s">
        <v>243</v>
      </c>
      <c r="N45" s="3"/>
      <c r="O45" s="3"/>
      <c r="P45" s="3"/>
      <c r="Q45" s="3"/>
      <c r="R45" s="3"/>
      <c r="S45" s="3"/>
      <c r="T45" s="4"/>
      <c r="U45" s="60" t="s">
        <v>237</v>
      </c>
      <c r="V45" s="4"/>
      <c r="W45" s="49" t="s">
        <v>238</v>
      </c>
      <c r="X45" s="3"/>
      <c r="Y45" s="3"/>
      <c r="Z45" s="3"/>
      <c r="AA45" s="3"/>
      <c r="AB45" s="3"/>
      <c r="AC45" s="4"/>
      <c r="AD45" s="48">
        <v>40.0</v>
      </c>
      <c r="AE45" s="3"/>
      <c r="AF45" s="4"/>
    </row>
    <row r="46" ht="30.0" customHeight="1">
      <c r="B46" s="47">
        <v>39.0</v>
      </c>
      <c r="C46" s="48" t="s">
        <v>245</v>
      </c>
      <c r="D46" s="3"/>
      <c r="E46" s="4"/>
      <c r="F46" s="49" t="s">
        <v>235</v>
      </c>
      <c r="G46" s="3"/>
      <c r="H46" s="3"/>
      <c r="I46" s="3"/>
      <c r="J46" s="3"/>
      <c r="K46" s="3"/>
      <c r="L46" s="4"/>
      <c r="M46" s="49" t="s">
        <v>247</v>
      </c>
      <c r="N46" s="3"/>
      <c r="O46" s="3"/>
      <c r="P46" s="3"/>
      <c r="Q46" s="3"/>
      <c r="R46" s="3"/>
      <c r="S46" s="3"/>
      <c r="T46" s="4"/>
      <c r="U46" s="60" t="s">
        <v>237</v>
      </c>
      <c r="V46" s="4"/>
      <c r="W46" s="49" t="s">
        <v>123</v>
      </c>
      <c r="X46" s="3"/>
      <c r="Y46" s="3"/>
      <c r="Z46" s="3"/>
      <c r="AA46" s="3"/>
      <c r="AB46" s="3"/>
      <c r="AC46" s="4"/>
      <c r="AD46" s="48">
        <v>25.0</v>
      </c>
      <c r="AE46" s="3"/>
      <c r="AF46" s="4"/>
    </row>
    <row r="47" ht="30.0" customHeight="1">
      <c r="B47" s="47">
        <v>40.0</v>
      </c>
      <c r="C47" s="48" t="s">
        <v>248</v>
      </c>
      <c r="D47" s="3"/>
      <c r="E47" s="4"/>
      <c r="F47" s="49" t="s">
        <v>235</v>
      </c>
      <c r="G47" s="3"/>
      <c r="H47" s="3"/>
      <c r="I47" s="3"/>
      <c r="J47" s="3"/>
      <c r="K47" s="3"/>
      <c r="L47" s="4"/>
      <c r="M47" s="49" t="s">
        <v>249</v>
      </c>
      <c r="N47" s="3"/>
      <c r="O47" s="3"/>
      <c r="P47" s="3"/>
      <c r="Q47" s="3"/>
      <c r="R47" s="3"/>
      <c r="S47" s="3"/>
      <c r="T47" s="4"/>
      <c r="U47" s="60" t="s">
        <v>237</v>
      </c>
      <c r="V47" s="4"/>
      <c r="W47" s="49" t="s">
        <v>94</v>
      </c>
      <c r="X47" s="3"/>
      <c r="Y47" s="3"/>
      <c r="Z47" s="3"/>
      <c r="AA47" s="3"/>
      <c r="AB47" s="3"/>
      <c r="AC47" s="4"/>
      <c r="AD47" s="48">
        <v>5.0</v>
      </c>
      <c r="AE47" s="3"/>
      <c r="AF47" s="4"/>
    </row>
    <row r="48" ht="30.0" customHeight="1">
      <c r="B48" s="47">
        <v>41.0</v>
      </c>
      <c r="C48" s="48" t="s">
        <v>252</v>
      </c>
      <c r="D48" s="3"/>
      <c r="E48" s="4"/>
      <c r="F48" s="49" t="s">
        <v>235</v>
      </c>
      <c r="G48" s="3"/>
      <c r="H48" s="3"/>
      <c r="I48" s="3"/>
      <c r="J48" s="3"/>
      <c r="K48" s="3"/>
      <c r="L48" s="4"/>
      <c r="M48" s="49" t="s">
        <v>253</v>
      </c>
      <c r="N48" s="3"/>
      <c r="O48" s="3"/>
      <c r="P48" s="3"/>
      <c r="Q48" s="3"/>
      <c r="R48" s="3"/>
      <c r="S48" s="3"/>
      <c r="T48" s="4"/>
      <c r="U48" s="50" t="s">
        <v>81</v>
      </c>
      <c r="V48" s="4"/>
      <c r="W48" s="49" t="s">
        <v>94</v>
      </c>
      <c r="X48" s="3"/>
      <c r="Y48" s="3"/>
      <c r="Z48" s="3"/>
      <c r="AA48" s="3"/>
      <c r="AB48" s="3"/>
      <c r="AC48" s="4"/>
      <c r="AD48" s="48">
        <v>5.0</v>
      </c>
      <c r="AE48" s="3"/>
      <c r="AF48" s="4"/>
    </row>
    <row r="49" ht="30.0" customHeight="1">
      <c r="B49" s="47">
        <v>42.0</v>
      </c>
      <c r="C49" s="48" t="s">
        <v>256</v>
      </c>
      <c r="D49" s="3"/>
      <c r="E49" s="4"/>
      <c r="F49" s="49" t="s">
        <v>235</v>
      </c>
      <c r="G49" s="3"/>
      <c r="H49" s="3"/>
      <c r="I49" s="3"/>
      <c r="J49" s="3"/>
      <c r="K49" s="3"/>
      <c r="L49" s="4"/>
      <c r="M49" s="49" t="s">
        <v>258</v>
      </c>
      <c r="N49" s="3"/>
      <c r="O49" s="3"/>
      <c r="P49" s="3"/>
      <c r="Q49" s="3"/>
      <c r="R49" s="3"/>
      <c r="S49" s="3"/>
      <c r="T49" s="4"/>
      <c r="U49" s="51" t="s">
        <v>106</v>
      </c>
      <c r="V49" s="4"/>
      <c r="W49" s="49" t="s">
        <v>260</v>
      </c>
      <c r="X49" s="3"/>
      <c r="Y49" s="3"/>
      <c r="Z49" s="3"/>
      <c r="AA49" s="3"/>
      <c r="AB49" s="3"/>
      <c r="AC49" s="4"/>
      <c r="AD49" s="48">
        <v>8.0</v>
      </c>
      <c r="AE49" s="3"/>
      <c r="AF49" s="4"/>
    </row>
    <row r="50" ht="30.0" customHeight="1">
      <c r="B50" s="47">
        <v>43.0</v>
      </c>
      <c r="C50" s="48" t="s">
        <v>262</v>
      </c>
      <c r="D50" s="3"/>
      <c r="E50" s="4"/>
      <c r="F50" s="49" t="s">
        <v>263</v>
      </c>
      <c r="G50" s="3"/>
      <c r="H50" s="3"/>
      <c r="I50" s="3"/>
      <c r="J50" s="3"/>
      <c r="K50" s="3"/>
      <c r="L50" s="4"/>
      <c r="M50" s="49" t="s">
        <v>264</v>
      </c>
      <c r="N50" s="3"/>
      <c r="O50" s="3"/>
      <c r="P50" s="3"/>
      <c r="Q50" s="3"/>
      <c r="R50" s="3"/>
      <c r="S50" s="3"/>
      <c r="T50" s="4"/>
      <c r="U50" s="51" t="s">
        <v>106</v>
      </c>
      <c r="V50" s="4"/>
      <c r="W50" s="49" t="s">
        <v>265</v>
      </c>
      <c r="X50" s="3"/>
      <c r="Y50" s="3"/>
      <c r="Z50" s="3"/>
      <c r="AA50" s="3"/>
      <c r="AB50" s="3"/>
      <c r="AC50" s="4"/>
      <c r="AD50" s="48">
        <v>12.0</v>
      </c>
      <c r="AE50" s="3"/>
      <c r="AF50" s="4"/>
    </row>
    <row r="51" ht="30.0" customHeight="1">
      <c r="B51" s="47">
        <v>44.0</v>
      </c>
      <c r="C51" s="48" t="s">
        <v>266</v>
      </c>
      <c r="D51" s="3"/>
      <c r="E51" s="4"/>
      <c r="F51" s="49" t="s">
        <v>263</v>
      </c>
      <c r="G51" s="3"/>
      <c r="H51" s="3"/>
      <c r="I51" s="3"/>
      <c r="J51" s="3"/>
      <c r="K51" s="3"/>
      <c r="L51" s="4"/>
      <c r="M51" s="49" t="s">
        <v>267</v>
      </c>
      <c r="N51" s="3"/>
      <c r="O51" s="3"/>
      <c r="P51" s="3"/>
      <c r="Q51" s="3"/>
      <c r="R51" s="3"/>
      <c r="S51" s="3"/>
      <c r="T51" s="4"/>
      <c r="U51" s="51" t="s">
        <v>106</v>
      </c>
      <c r="V51" s="4"/>
      <c r="W51" s="49" t="s">
        <v>268</v>
      </c>
      <c r="X51" s="3"/>
      <c r="Y51" s="3"/>
      <c r="Z51" s="3"/>
      <c r="AA51" s="3"/>
      <c r="AB51" s="3"/>
      <c r="AC51" s="4"/>
      <c r="AD51" s="48">
        <v>8.0</v>
      </c>
      <c r="AE51" s="3"/>
      <c r="AF51" s="4"/>
    </row>
    <row r="52" ht="22.5" customHeight="1">
      <c r="B52" s="61" t="s">
        <v>44</v>
      </c>
      <c r="C52" s="3"/>
      <c r="D52" s="3"/>
      <c r="E52" s="3"/>
      <c r="F52" s="3"/>
      <c r="G52" s="3"/>
      <c r="H52" s="3"/>
      <c r="I52" s="3"/>
      <c r="J52" s="3"/>
      <c r="K52" s="3"/>
      <c r="L52" s="3"/>
      <c r="M52" s="3"/>
      <c r="N52" s="3"/>
      <c r="O52" s="3"/>
      <c r="P52" s="3"/>
      <c r="Q52" s="3"/>
      <c r="R52" s="3"/>
      <c r="S52" s="3"/>
      <c r="T52" s="4"/>
      <c r="U52" s="34"/>
      <c r="V52" s="4"/>
      <c r="W52" s="34"/>
      <c r="X52" s="3"/>
      <c r="Y52" s="3"/>
      <c r="Z52" s="3"/>
      <c r="AA52" s="3"/>
      <c r="AB52" s="3"/>
      <c r="AC52" s="4"/>
      <c r="AD52" s="34">
        <f>SUM(AD8:AD51)</f>
        <v>1682</v>
      </c>
      <c r="AE52" s="3"/>
      <c r="AF52" s="4"/>
    </row>
    <row r="53" ht="15.75" customHeight="1"/>
    <row r="54" ht="19.5" customHeight="1">
      <c r="B54" s="22" t="s">
        <v>274</v>
      </c>
    </row>
    <row r="55" ht="15.75" customHeight="1"/>
    <row r="56" ht="28.5" customHeight="1">
      <c r="B56" s="46" t="s">
        <v>275</v>
      </c>
      <c r="C56" s="4"/>
      <c r="D56" s="46" t="s">
        <v>276</v>
      </c>
      <c r="E56" s="3"/>
      <c r="F56" s="4"/>
      <c r="G56" s="46" t="s">
        <v>277</v>
      </c>
      <c r="H56" s="3"/>
      <c r="I56" s="3"/>
      <c r="J56" s="3"/>
      <c r="K56" s="3"/>
      <c r="L56" s="4"/>
      <c r="M56" s="46" t="s">
        <v>278</v>
      </c>
      <c r="N56" s="4"/>
      <c r="O56" s="46" t="s">
        <v>279</v>
      </c>
      <c r="P56" s="3"/>
      <c r="Q56" s="4"/>
      <c r="R56" s="46" t="s">
        <v>280</v>
      </c>
      <c r="S56" s="3"/>
      <c r="T56" s="3"/>
      <c r="U56" s="3"/>
      <c r="V56" s="3"/>
      <c r="W56" s="3"/>
      <c r="X56" s="3"/>
      <c r="Y56" s="3"/>
      <c r="Z56" s="3"/>
      <c r="AA56" s="3"/>
      <c r="AB56" s="3"/>
      <c r="AC56" s="3"/>
      <c r="AD56" s="3"/>
      <c r="AE56" s="3"/>
      <c r="AF56" s="3"/>
      <c r="AG56" s="3"/>
      <c r="AH56" s="3"/>
      <c r="AI56" s="3"/>
      <c r="AJ56" s="3"/>
      <c r="AK56" s="4"/>
    </row>
    <row r="57" ht="36.0" customHeight="1">
      <c r="B57" s="62" t="s">
        <v>209</v>
      </c>
      <c r="C57" s="4"/>
      <c r="D57" s="48" t="s">
        <v>281</v>
      </c>
      <c r="E57" s="3"/>
      <c r="F57" s="4"/>
      <c r="G57" s="49" t="s">
        <v>282</v>
      </c>
      <c r="H57" s="3"/>
      <c r="I57" s="3"/>
      <c r="J57" s="3"/>
      <c r="K57" s="3"/>
      <c r="L57" s="4"/>
      <c r="M57" s="48">
        <v>10.0</v>
      </c>
      <c r="N57" s="4"/>
      <c r="O57" s="48" t="s">
        <v>81</v>
      </c>
      <c r="P57" s="3"/>
      <c r="Q57" s="4"/>
      <c r="R57" s="49" t="s">
        <v>283</v>
      </c>
      <c r="S57" s="3"/>
      <c r="T57" s="3"/>
      <c r="U57" s="3"/>
      <c r="V57" s="3"/>
      <c r="W57" s="3"/>
      <c r="X57" s="3"/>
      <c r="Y57" s="3"/>
      <c r="Z57" s="3"/>
      <c r="AA57" s="3"/>
      <c r="AB57" s="3"/>
      <c r="AC57" s="3"/>
      <c r="AD57" s="3"/>
      <c r="AE57" s="3"/>
      <c r="AF57" s="3"/>
      <c r="AG57" s="3"/>
      <c r="AH57" s="3"/>
      <c r="AI57" s="3"/>
      <c r="AJ57" s="3"/>
      <c r="AK57" s="4"/>
    </row>
    <row r="58" ht="30.0" customHeight="1">
      <c r="B58" s="62" t="s">
        <v>286</v>
      </c>
      <c r="C58" s="4"/>
      <c r="D58" s="48" t="s">
        <v>287</v>
      </c>
      <c r="E58" s="3"/>
      <c r="F58" s="4"/>
      <c r="G58" s="49" t="s">
        <v>288</v>
      </c>
      <c r="H58" s="3"/>
      <c r="I58" s="3"/>
      <c r="J58" s="3"/>
      <c r="K58" s="3"/>
      <c r="L58" s="4"/>
      <c r="M58" s="48">
        <v>9.0</v>
      </c>
      <c r="N58" s="4"/>
      <c r="O58" s="48" t="s">
        <v>106</v>
      </c>
      <c r="P58" s="3"/>
      <c r="Q58" s="4"/>
      <c r="R58" s="49" t="s">
        <v>290</v>
      </c>
      <c r="S58" s="3"/>
      <c r="T58" s="3"/>
      <c r="U58" s="3"/>
      <c r="V58" s="3"/>
      <c r="W58" s="3"/>
      <c r="X58" s="3"/>
      <c r="Y58" s="3"/>
      <c r="Z58" s="3"/>
      <c r="AA58" s="3"/>
      <c r="AB58" s="3"/>
      <c r="AC58" s="3"/>
      <c r="AD58" s="3"/>
      <c r="AE58" s="3"/>
      <c r="AF58" s="3"/>
      <c r="AG58" s="3"/>
      <c r="AH58" s="3"/>
      <c r="AI58" s="3"/>
      <c r="AJ58" s="3"/>
      <c r="AK58" s="4"/>
    </row>
    <row r="59" ht="36.0" customHeight="1">
      <c r="B59" s="62" t="s">
        <v>292</v>
      </c>
      <c r="C59" s="4"/>
      <c r="D59" s="48" t="s">
        <v>293</v>
      </c>
      <c r="E59" s="3"/>
      <c r="F59" s="4"/>
      <c r="G59" s="49" t="s">
        <v>295</v>
      </c>
      <c r="H59" s="3"/>
      <c r="I59" s="3"/>
      <c r="J59" s="3"/>
      <c r="K59" s="3"/>
      <c r="L59" s="4"/>
      <c r="M59" s="48">
        <v>8.0</v>
      </c>
      <c r="N59" s="4"/>
      <c r="O59" s="48" t="s">
        <v>81</v>
      </c>
      <c r="P59" s="3"/>
      <c r="Q59" s="4"/>
      <c r="R59" s="49" t="s">
        <v>296</v>
      </c>
      <c r="S59" s="3"/>
      <c r="T59" s="3"/>
      <c r="U59" s="3"/>
      <c r="V59" s="3"/>
      <c r="W59" s="3"/>
      <c r="X59" s="3"/>
      <c r="Y59" s="3"/>
      <c r="Z59" s="3"/>
      <c r="AA59" s="3"/>
      <c r="AB59" s="3"/>
      <c r="AC59" s="3"/>
      <c r="AD59" s="3"/>
      <c r="AE59" s="3"/>
      <c r="AF59" s="3"/>
      <c r="AG59" s="3"/>
      <c r="AH59" s="3"/>
      <c r="AI59" s="3"/>
      <c r="AJ59" s="3"/>
      <c r="AK59" s="4"/>
    </row>
    <row r="60" ht="36.0" customHeight="1">
      <c r="B60" s="62" t="s">
        <v>297</v>
      </c>
      <c r="C60" s="4"/>
      <c r="D60" s="48" t="s">
        <v>298</v>
      </c>
      <c r="E60" s="3"/>
      <c r="F60" s="4"/>
      <c r="G60" s="49" t="s">
        <v>299</v>
      </c>
      <c r="H60" s="3"/>
      <c r="I60" s="3"/>
      <c r="J60" s="3"/>
      <c r="K60" s="3"/>
      <c r="L60" s="4"/>
      <c r="M60" s="48">
        <v>9.0</v>
      </c>
      <c r="N60" s="4"/>
      <c r="O60" s="48" t="s">
        <v>81</v>
      </c>
      <c r="P60" s="3"/>
      <c r="Q60" s="4"/>
      <c r="R60" s="49" t="s">
        <v>300</v>
      </c>
      <c r="S60" s="3"/>
      <c r="T60" s="3"/>
      <c r="U60" s="3"/>
      <c r="V60" s="3"/>
      <c r="W60" s="3"/>
      <c r="X60" s="3"/>
      <c r="Y60" s="3"/>
      <c r="Z60" s="3"/>
      <c r="AA60" s="3"/>
      <c r="AB60" s="3"/>
      <c r="AC60" s="3"/>
      <c r="AD60" s="3"/>
      <c r="AE60" s="3"/>
      <c r="AF60" s="3"/>
      <c r="AG60" s="3"/>
      <c r="AH60" s="3"/>
      <c r="AI60" s="3"/>
      <c r="AJ60" s="3"/>
      <c r="AK60" s="4"/>
    </row>
    <row r="61" ht="36.0" customHeight="1">
      <c r="B61" s="62" t="s">
        <v>301</v>
      </c>
      <c r="C61" s="4"/>
      <c r="D61" s="48" t="s">
        <v>302</v>
      </c>
      <c r="E61" s="3"/>
      <c r="F61" s="4"/>
      <c r="G61" s="49" t="s">
        <v>303</v>
      </c>
      <c r="H61" s="3"/>
      <c r="I61" s="3"/>
      <c r="J61" s="3"/>
      <c r="K61" s="3"/>
      <c r="L61" s="4"/>
      <c r="M61" s="48">
        <v>6.0</v>
      </c>
      <c r="N61" s="4"/>
      <c r="O61" s="48" t="s">
        <v>304</v>
      </c>
      <c r="P61" s="3"/>
      <c r="Q61" s="4"/>
      <c r="R61" s="49" t="s">
        <v>305</v>
      </c>
      <c r="S61" s="3"/>
      <c r="T61" s="3"/>
      <c r="U61" s="3"/>
      <c r="V61" s="3"/>
      <c r="W61" s="3"/>
      <c r="X61" s="3"/>
      <c r="Y61" s="3"/>
      <c r="Z61" s="3"/>
      <c r="AA61" s="3"/>
      <c r="AB61" s="3"/>
      <c r="AC61" s="3"/>
      <c r="AD61" s="3"/>
      <c r="AE61" s="3"/>
      <c r="AF61" s="3"/>
      <c r="AG61" s="3"/>
      <c r="AH61" s="3"/>
      <c r="AI61" s="3"/>
      <c r="AJ61" s="3"/>
      <c r="AK61" s="4"/>
    </row>
    <row r="62" ht="30.0" customHeight="1">
      <c r="B62" s="62" t="s">
        <v>306</v>
      </c>
      <c r="C62" s="4"/>
      <c r="D62" s="48" t="s">
        <v>307</v>
      </c>
      <c r="E62" s="3"/>
      <c r="F62" s="4"/>
      <c r="G62" s="49" t="s">
        <v>308</v>
      </c>
      <c r="H62" s="3"/>
      <c r="I62" s="3"/>
      <c r="J62" s="3"/>
      <c r="K62" s="3"/>
      <c r="L62" s="4"/>
      <c r="M62" s="48">
        <v>2.0</v>
      </c>
      <c r="N62" s="4"/>
      <c r="O62" s="48" t="s">
        <v>106</v>
      </c>
      <c r="P62" s="3"/>
      <c r="Q62" s="4"/>
      <c r="R62" s="49" t="s">
        <v>309</v>
      </c>
      <c r="S62" s="3"/>
      <c r="T62" s="3"/>
      <c r="U62" s="3"/>
      <c r="V62" s="3"/>
      <c r="W62" s="3"/>
      <c r="X62" s="3"/>
      <c r="Y62" s="3"/>
      <c r="Z62" s="3"/>
      <c r="AA62" s="3"/>
      <c r="AB62" s="3"/>
      <c r="AC62" s="3"/>
      <c r="AD62" s="3"/>
      <c r="AE62" s="3"/>
      <c r="AF62" s="3"/>
      <c r="AG62" s="3"/>
      <c r="AH62" s="3"/>
      <c r="AI62" s="3"/>
      <c r="AJ62" s="3"/>
      <c r="AK62" s="4"/>
    </row>
    <row r="63" ht="15.75" customHeight="1"/>
    <row r="64" ht="30.0" customHeight="1">
      <c r="B64" s="63" t="s">
        <v>311</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92</v>
      </c>
      <c r="B1" s="3"/>
      <c r="C1" s="3"/>
      <c r="D1" s="3"/>
      <c r="E1" s="4"/>
      <c r="F1" s="14" t="s">
        <v>95</v>
      </c>
      <c r="G1" s="3"/>
      <c r="H1" s="3"/>
      <c r="I1" s="3"/>
      <c r="J1" s="3"/>
      <c r="K1" s="3"/>
      <c r="L1" s="3"/>
      <c r="M1" s="3"/>
      <c r="N1" s="3"/>
      <c r="O1" s="3"/>
      <c r="P1" s="3"/>
      <c r="Q1" s="4"/>
      <c r="R1" s="46" t="s">
        <v>97</v>
      </c>
      <c r="S1" s="3"/>
      <c r="T1" s="3"/>
      <c r="U1" s="3"/>
      <c r="V1" s="4"/>
      <c r="W1" s="14" t="s">
        <v>99</v>
      </c>
      <c r="X1" s="3"/>
      <c r="Y1" s="3"/>
      <c r="Z1" s="3"/>
      <c r="AA1" s="3"/>
      <c r="AB1" s="3"/>
      <c r="AC1" s="3"/>
      <c r="AD1" s="3"/>
      <c r="AE1" s="3"/>
      <c r="AF1" s="3"/>
      <c r="AG1" s="3"/>
      <c r="AH1" s="4"/>
    </row>
    <row r="2" ht="22.5" customHeight="1">
      <c r="A2" s="46" t="s">
        <v>10</v>
      </c>
      <c r="B2" s="3"/>
      <c r="C2" s="3"/>
      <c r="D2" s="3"/>
      <c r="E2" s="4"/>
      <c r="F2" s="14" t="s">
        <v>22</v>
      </c>
      <c r="G2" s="3"/>
      <c r="H2" s="3"/>
      <c r="I2" s="3"/>
      <c r="J2" s="3"/>
      <c r="K2" s="3"/>
      <c r="L2" s="3"/>
      <c r="M2" s="3"/>
      <c r="N2" s="3"/>
      <c r="O2" s="3"/>
      <c r="P2" s="3"/>
      <c r="Q2" s="4"/>
      <c r="R2" s="46" t="s">
        <v>9</v>
      </c>
      <c r="S2" s="3"/>
      <c r="T2" s="3"/>
      <c r="U2" s="3"/>
      <c r="V2" s="4"/>
      <c r="W2" s="28" t="s">
        <v>21</v>
      </c>
      <c r="X2" s="3"/>
      <c r="Y2" s="3"/>
      <c r="Z2" s="3"/>
      <c r="AA2" s="3"/>
      <c r="AB2" s="3"/>
      <c r="AC2" s="3"/>
      <c r="AD2" s="3"/>
      <c r="AE2" s="3"/>
      <c r="AF2" s="3"/>
      <c r="AG2" s="3"/>
      <c r="AH2" s="4"/>
    </row>
    <row r="3" ht="22.5" customHeight="1">
      <c r="A3" s="46" t="s">
        <v>11</v>
      </c>
      <c r="B3" s="3"/>
      <c r="C3" s="3"/>
      <c r="D3" s="3"/>
      <c r="E3" s="4"/>
      <c r="F3" s="14" t="s">
        <v>24</v>
      </c>
      <c r="G3" s="3"/>
      <c r="H3" s="3"/>
      <c r="I3" s="3"/>
      <c r="J3" s="3"/>
      <c r="K3" s="3"/>
      <c r="L3" s="3"/>
      <c r="M3" s="3"/>
      <c r="N3" s="3"/>
      <c r="O3" s="3"/>
      <c r="P3" s="3"/>
      <c r="Q3" s="4"/>
      <c r="R3" s="46" t="s">
        <v>104</v>
      </c>
      <c r="S3" s="3"/>
      <c r="T3" s="3"/>
      <c r="U3" s="3"/>
      <c r="V3" s="4"/>
      <c r="W3" s="28"/>
      <c r="X3" s="3"/>
      <c r="Y3" s="3"/>
      <c r="Z3" s="3"/>
      <c r="AA3" s="3"/>
      <c r="AB3" s="3"/>
      <c r="AC3" s="3"/>
      <c r="AD3" s="3"/>
      <c r="AE3" s="3"/>
      <c r="AF3" s="3"/>
      <c r="AG3" s="3"/>
      <c r="AH3" s="4"/>
    </row>
    <row r="4" ht="22.5" customHeight="1">
      <c r="A4" s="46" t="s">
        <v>108</v>
      </c>
      <c r="B4" s="3"/>
      <c r="C4" s="3"/>
      <c r="D4" s="3"/>
      <c r="E4" s="4"/>
      <c r="F4" s="14" t="s">
        <v>109</v>
      </c>
      <c r="G4" s="3"/>
      <c r="H4" s="3"/>
      <c r="I4" s="3"/>
      <c r="J4" s="3"/>
      <c r="K4" s="3"/>
      <c r="L4" s="3"/>
      <c r="M4" s="3"/>
      <c r="N4" s="3"/>
      <c r="O4" s="3"/>
      <c r="P4" s="3"/>
      <c r="Q4" s="3"/>
      <c r="R4" s="3"/>
      <c r="S4" s="3"/>
      <c r="T4" s="3"/>
      <c r="U4" s="3"/>
      <c r="V4" s="3"/>
      <c r="W4" s="3"/>
      <c r="X4" s="3"/>
      <c r="Y4" s="3"/>
      <c r="Z4" s="3"/>
      <c r="AA4" s="3"/>
      <c r="AB4" s="3"/>
      <c r="AC4" s="3"/>
      <c r="AD4" s="3"/>
      <c r="AE4" s="3"/>
      <c r="AF4" s="3"/>
      <c r="AG4" s="3"/>
      <c r="AH4" s="4"/>
    </row>
    <row r="5" ht="22.5" customHeight="1">
      <c r="A5" s="46" t="s">
        <v>112</v>
      </c>
      <c r="B5" s="3"/>
      <c r="C5" s="3"/>
      <c r="D5" s="3"/>
      <c r="E5" s="3"/>
      <c r="F5" s="3"/>
      <c r="G5" s="3"/>
      <c r="H5" s="3"/>
      <c r="I5" s="3"/>
      <c r="J5" s="3"/>
      <c r="K5" s="3"/>
      <c r="L5" s="3"/>
      <c r="M5" s="3"/>
      <c r="N5" s="3"/>
      <c r="O5" s="3"/>
      <c r="P5" s="3"/>
      <c r="Q5" s="3"/>
      <c r="R5" s="3"/>
      <c r="S5" s="4"/>
      <c r="T5" s="46" t="s">
        <v>46</v>
      </c>
      <c r="U5" s="3"/>
      <c r="V5" s="3"/>
      <c r="W5" s="3"/>
      <c r="X5" s="3"/>
      <c r="Y5" s="3"/>
      <c r="Z5" s="3"/>
      <c r="AA5" s="3"/>
      <c r="AB5" s="3"/>
      <c r="AC5" s="3"/>
      <c r="AD5" s="3"/>
      <c r="AE5" s="3"/>
      <c r="AF5" s="3"/>
      <c r="AG5" s="3"/>
      <c r="AH5" s="4"/>
    </row>
    <row r="6" ht="22.5" customHeight="1">
      <c r="A6" s="46" t="s">
        <v>115</v>
      </c>
      <c r="B6" s="3"/>
      <c r="C6" s="3"/>
      <c r="D6" s="3"/>
      <c r="E6" s="3"/>
      <c r="F6" s="3"/>
      <c r="G6" s="4"/>
      <c r="H6" s="46" t="s">
        <v>51</v>
      </c>
      <c r="I6" s="3"/>
      <c r="J6" s="4"/>
      <c r="K6" s="46" t="s">
        <v>53</v>
      </c>
      <c r="L6" s="3"/>
      <c r="M6" s="4"/>
      <c r="N6" s="46" t="s">
        <v>118</v>
      </c>
      <c r="O6" s="3"/>
      <c r="P6" s="4"/>
      <c r="Q6" s="46" t="s">
        <v>44</v>
      </c>
      <c r="R6" s="3"/>
      <c r="S6" s="4"/>
      <c r="T6" s="46" t="s">
        <v>57</v>
      </c>
      <c r="U6" s="3"/>
      <c r="V6" s="4"/>
      <c r="W6" s="46" t="s">
        <v>59</v>
      </c>
      <c r="X6" s="3"/>
      <c r="Y6" s="4"/>
      <c r="Z6" s="46" t="s">
        <v>60</v>
      </c>
      <c r="AA6" s="3"/>
      <c r="AB6" s="4"/>
      <c r="AC6" s="46" t="s">
        <v>61</v>
      </c>
      <c r="AD6" s="3"/>
      <c r="AE6" s="4"/>
      <c r="AF6" s="46" t="s">
        <v>44</v>
      </c>
      <c r="AG6" s="3"/>
      <c r="AH6" s="4"/>
    </row>
    <row r="7" ht="22.5" customHeight="1">
      <c r="A7" s="46" t="s">
        <v>122</v>
      </c>
      <c r="B7" s="3"/>
      <c r="C7" s="3"/>
      <c r="D7" s="3"/>
      <c r="E7" s="3"/>
      <c r="F7" s="3"/>
      <c r="G7" s="4"/>
      <c r="H7" s="12">
        <f t="shared" ref="H7:H8" si="1">COUNTIF($AE$12:$AF$1049,"N")</f>
        <v>27</v>
      </c>
      <c r="I7" s="3"/>
      <c r="J7" s="4"/>
      <c r="K7" s="12">
        <f t="shared" ref="K7:K8" si="2">COUNTIF($AE$12:$AF$1049,"A")</f>
        <v>15</v>
      </c>
      <c r="L7" s="3"/>
      <c r="M7" s="4"/>
      <c r="N7" s="12">
        <f t="shared" ref="N7:N8" si="3">COUNTIF($AE$12:$AF$1049,"B")</f>
        <v>1</v>
      </c>
      <c r="O7" s="3"/>
      <c r="P7" s="4"/>
      <c r="Q7" s="43">
        <f t="shared" ref="Q7:Q8" si="4">SUM(H7:P7)</f>
        <v>43</v>
      </c>
      <c r="R7" s="3"/>
      <c r="S7" s="4"/>
      <c r="T7" s="12">
        <f>COUNTIF($AG$12:$AI$1049,T$6)</f>
        <v>40</v>
      </c>
      <c r="U7" s="3"/>
      <c r="V7" s="4"/>
      <c r="W7" s="12">
        <f>COUNTIF($AG$12:$AI$1049,W$6)</f>
        <v>0</v>
      </c>
      <c r="X7" s="3"/>
      <c r="Y7" s="4"/>
      <c r="Z7" s="12">
        <f>COUNTIF($AG$12:$AI$1049,Z$6)</f>
        <v>3</v>
      </c>
      <c r="AA7" s="3"/>
      <c r="AB7" s="4"/>
      <c r="AC7" s="12">
        <f>COUNTIF($AG$12:$AI$1049,AC$6)</f>
        <v>0</v>
      </c>
      <c r="AD7" s="3"/>
      <c r="AE7" s="4"/>
      <c r="AF7" s="43">
        <f t="shared" ref="AF7:AF8" si="5">SUM(T7:AE7)</f>
        <v>43</v>
      </c>
      <c r="AG7" s="3"/>
      <c r="AH7" s="4"/>
    </row>
    <row r="8" ht="22.5" customHeight="1">
      <c r="A8" s="46" t="s">
        <v>130</v>
      </c>
      <c r="B8" s="3"/>
      <c r="C8" s="3"/>
      <c r="D8" s="3"/>
      <c r="E8" s="3"/>
      <c r="F8" s="3"/>
      <c r="G8" s="4"/>
      <c r="H8" s="12">
        <f t="shared" si="1"/>
        <v>27</v>
      </c>
      <c r="I8" s="3"/>
      <c r="J8" s="4"/>
      <c r="K8" s="12">
        <f t="shared" si="2"/>
        <v>15</v>
      </c>
      <c r="L8" s="3"/>
      <c r="M8" s="4"/>
      <c r="N8" s="12">
        <f t="shared" si="3"/>
        <v>1</v>
      </c>
      <c r="O8" s="3"/>
      <c r="P8" s="4"/>
      <c r="Q8" s="43">
        <f t="shared" si="4"/>
        <v>43</v>
      </c>
      <c r="R8" s="3"/>
      <c r="S8" s="4"/>
      <c r="T8" s="12">
        <f>COUNTIF($AV$12:$AX$1049,T$6)</f>
        <v>43</v>
      </c>
      <c r="U8" s="3"/>
      <c r="V8" s="4"/>
      <c r="W8" s="12">
        <f>COUNTIF($AV$12:$AX$1049,W$6)</f>
        <v>0</v>
      </c>
      <c r="X8" s="3"/>
      <c r="Y8" s="4"/>
      <c r="Z8" s="12">
        <f>COUNTIF($AV$12:$AX$1049,Z$6)</f>
        <v>0</v>
      </c>
      <c r="AA8" s="3"/>
      <c r="AB8" s="4"/>
      <c r="AC8" s="12">
        <f>COUNTIF($AV$12:$AX$1049,AC$6)</f>
        <v>0</v>
      </c>
      <c r="AD8" s="3"/>
      <c r="AE8" s="4"/>
      <c r="AF8" s="43">
        <f t="shared" si="5"/>
        <v>43</v>
      </c>
      <c r="AG8" s="3"/>
      <c r="AH8" s="4"/>
    </row>
    <row r="9" ht="12.75" customHeight="1"/>
    <row r="10" ht="36.0" customHeight="1">
      <c r="A10" s="52" t="s">
        <v>38</v>
      </c>
      <c r="B10" s="53" t="s">
        <v>153</v>
      </c>
      <c r="C10" s="10"/>
      <c r="D10" s="11"/>
      <c r="E10" s="53" t="s">
        <v>154</v>
      </c>
      <c r="F10" s="10"/>
      <c r="G10" s="10"/>
      <c r="H10" s="10"/>
      <c r="I10" s="11"/>
      <c r="J10" s="53" t="s">
        <v>156</v>
      </c>
      <c r="K10" s="10"/>
      <c r="L10" s="10"/>
      <c r="M10" s="10"/>
      <c r="N10" s="10"/>
      <c r="O10" s="10"/>
      <c r="P10" s="11"/>
      <c r="Q10" s="53" t="s">
        <v>157</v>
      </c>
      <c r="R10" s="10"/>
      <c r="S10" s="10"/>
      <c r="T10" s="10"/>
      <c r="U10" s="10"/>
      <c r="V10" s="10"/>
      <c r="W10" s="11"/>
      <c r="X10" s="53" t="s">
        <v>159</v>
      </c>
      <c r="Y10" s="10"/>
      <c r="Z10" s="10"/>
      <c r="AA10" s="10"/>
      <c r="AB10" s="10"/>
      <c r="AC10" s="10"/>
      <c r="AD10" s="11"/>
      <c r="AE10" s="53" t="s">
        <v>160</v>
      </c>
      <c r="AF10" s="11"/>
      <c r="AG10" s="46" t="s">
        <v>162</v>
      </c>
      <c r="AH10" s="3"/>
      <c r="AI10" s="3"/>
      <c r="AJ10" s="3"/>
      <c r="AK10" s="3"/>
      <c r="AL10" s="3"/>
      <c r="AM10" s="3"/>
      <c r="AN10" s="3"/>
      <c r="AO10" s="3"/>
      <c r="AP10" s="3"/>
      <c r="AQ10" s="3"/>
      <c r="AR10" s="3"/>
      <c r="AS10" s="3"/>
      <c r="AT10" s="3"/>
      <c r="AU10" s="4"/>
      <c r="AV10" s="46" t="s">
        <v>165</v>
      </c>
      <c r="AW10" s="3"/>
      <c r="AX10" s="3"/>
      <c r="AY10" s="3"/>
      <c r="AZ10" s="3"/>
      <c r="BA10" s="3"/>
      <c r="BB10" s="3"/>
      <c r="BC10" s="3"/>
      <c r="BD10" s="3"/>
      <c r="BE10" s="3"/>
      <c r="BF10" s="3"/>
      <c r="BG10" s="3"/>
      <c r="BH10" s="3"/>
      <c r="BI10" s="3"/>
      <c r="BJ10" s="4"/>
      <c r="BK10" s="53" t="s">
        <v>168</v>
      </c>
      <c r="BL10" s="10"/>
      <c r="BM10" s="10"/>
      <c r="BN10" s="10"/>
      <c r="BO10" s="10"/>
      <c r="BP10" s="10"/>
      <c r="BQ10" s="11"/>
    </row>
    <row r="11" ht="36.0" customHeight="1">
      <c r="A11" s="36"/>
      <c r="B11" s="19"/>
      <c r="C11" s="20"/>
      <c r="D11" s="21"/>
      <c r="E11" s="19"/>
      <c r="F11" s="20"/>
      <c r="G11" s="20"/>
      <c r="H11" s="20"/>
      <c r="I11" s="21"/>
      <c r="J11" s="19"/>
      <c r="K11" s="20"/>
      <c r="L11" s="20"/>
      <c r="M11" s="20"/>
      <c r="N11" s="20"/>
      <c r="O11" s="20"/>
      <c r="P11" s="21"/>
      <c r="Q11" s="19"/>
      <c r="R11" s="20"/>
      <c r="S11" s="20"/>
      <c r="T11" s="20"/>
      <c r="U11" s="20"/>
      <c r="V11" s="20"/>
      <c r="W11" s="21"/>
      <c r="X11" s="19"/>
      <c r="Y11" s="20"/>
      <c r="Z11" s="20"/>
      <c r="AA11" s="20"/>
      <c r="AB11" s="20"/>
      <c r="AC11" s="20"/>
      <c r="AD11" s="21"/>
      <c r="AE11" s="19"/>
      <c r="AF11" s="21"/>
      <c r="AG11" s="46" t="s">
        <v>171</v>
      </c>
      <c r="AH11" s="3"/>
      <c r="AI11" s="4"/>
      <c r="AJ11" s="46" t="s">
        <v>172</v>
      </c>
      <c r="AK11" s="3"/>
      <c r="AL11" s="4"/>
      <c r="AM11" s="46" t="s">
        <v>6</v>
      </c>
      <c r="AN11" s="3"/>
      <c r="AO11" s="4"/>
      <c r="AP11" s="46" t="s">
        <v>175</v>
      </c>
      <c r="AQ11" s="3"/>
      <c r="AR11" s="4"/>
      <c r="AS11" s="46" t="s">
        <v>176</v>
      </c>
      <c r="AT11" s="3"/>
      <c r="AU11" s="4"/>
      <c r="AV11" s="46" t="s">
        <v>171</v>
      </c>
      <c r="AW11" s="3"/>
      <c r="AX11" s="4"/>
      <c r="AY11" s="46" t="s">
        <v>172</v>
      </c>
      <c r="AZ11" s="3"/>
      <c r="BA11" s="4"/>
      <c r="BB11" s="46" t="s">
        <v>6</v>
      </c>
      <c r="BC11" s="3"/>
      <c r="BD11" s="4"/>
      <c r="BE11" s="46" t="s">
        <v>175</v>
      </c>
      <c r="BF11" s="3"/>
      <c r="BG11" s="4"/>
      <c r="BH11" s="46" t="s">
        <v>176</v>
      </c>
      <c r="BI11" s="3"/>
      <c r="BJ11" s="4"/>
      <c r="BK11" s="19"/>
      <c r="BL11" s="20"/>
      <c r="BM11" s="20"/>
      <c r="BN11" s="20"/>
      <c r="BO11" s="20"/>
      <c r="BP11" s="20"/>
      <c r="BQ11" s="21"/>
    </row>
    <row r="12" ht="22.5" customHeight="1">
      <c r="A12" s="13" t="s">
        <v>180</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4"/>
    </row>
    <row r="13" ht="450.0" customHeight="1">
      <c r="A13" s="47">
        <v>1.0</v>
      </c>
      <c r="B13" s="49" t="s">
        <v>185</v>
      </c>
      <c r="C13" s="3"/>
      <c r="D13" s="4"/>
      <c r="E13" s="49" t="s">
        <v>187</v>
      </c>
      <c r="F13" s="3"/>
      <c r="G13" s="3"/>
      <c r="H13" s="3"/>
      <c r="I13" s="4"/>
      <c r="J13" s="49" t="s">
        <v>189</v>
      </c>
      <c r="K13" s="3"/>
      <c r="L13" s="3"/>
      <c r="M13" s="3"/>
      <c r="N13" s="3"/>
      <c r="O13" s="3"/>
      <c r="P13" s="4"/>
      <c r="Q13" s="54" t="s">
        <v>191</v>
      </c>
      <c r="R13" s="3"/>
      <c r="S13" s="3"/>
      <c r="T13" s="3"/>
      <c r="U13" s="3"/>
      <c r="V13" s="3"/>
      <c r="W13" s="4"/>
      <c r="X13" s="49" t="s">
        <v>193</v>
      </c>
      <c r="Y13" s="3"/>
      <c r="Z13" s="3"/>
      <c r="AA13" s="3"/>
      <c r="AB13" s="3"/>
      <c r="AC13" s="3"/>
      <c r="AD13" s="4"/>
      <c r="AE13" s="48" t="s">
        <v>194</v>
      </c>
      <c r="AF13" s="4"/>
      <c r="AG13" s="55" t="s">
        <v>57</v>
      </c>
      <c r="AH13" s="3"/>
      <c r="AI13" s="4"/>
      <c r="AJ13" s="48"/>
      <c r="AK13" s="3"/>
      <c r="AL13" s="4"/>
      <c r="AM13" s="55" t="s">
        <v>196</v>
      </c>
      <c r="AN13" s="3"/>
      <c r="AO13" s="4"/>
      <c r="AP13" s="56">
        <v>46147.0</v>
      </c>
      <c r="AQ13" s="3"/>
      <c r="AR13" s="4"/>
      <c r="AS13" s="48"/>
      <c r="AT13" s="3"/>
      <c r="AU13" s="4"/>
      <c r="AV13" s="55" t="s">
        <v>57</v>
      </c>
      <c r="AW13" s="3"/>
      <c r="AX13" s="4"/>
      <c r="AY13" s="48"/>
      <c r="AZ13" s="3"/>
      <c r="BA13" s="4"/>
      <c r="BB13" s="55" t="s">
        <v>199</v>
      </c>
      <c r="BC13" s="3"/>
      <c r="BD13" s="4"/>
      <c r="BE13" s="56">
        <v>46238.0</v>
      </c>
      <c r="BF13" s="3"/>
      <c r="BG13" s="4"/>
      <c r="BH13" s="48"/>
      <c r="BI13" s="3"/>
      <c r="BJ13" s="4"/>
      <c r="BK13" s="49" t="s">
        <v>201</v>
      </c>
      <c r="BL13" s="3"/>
      <c r="BM13" s="3"/>
      <c r="BN13" s="3"/>
      <c r="BO13" s="3"/>
      <c r="BP13" s="3"/>
      <c r="BQ13" s="4"/>
    </row>
    <row r="14" ht="450.0" customHeight="1">
      <c r="A14" s="47">
        <v>2.0</v>
      </c>
      <c r="B14" s="49" t="s">
        <v>202</v>
      </c>
      <c r="C14" s="3"/>
      <c r="D14" s="4"/>
      <c r="E14" s="49" t="s">
        <v>203</v>
      </c>
      <c r="F14" s="3"/>
      <c r="G14" s="3"/>
      <c r="H14" s="3"/>
      <c r="I14" s="4"/>
      <c r="J14" s="49" t="s">
        <v>205</v>
      </c>
      <c r="K14" s="3"/>
      <c r="L14" s="3"/>
      <c r="M14" s="3"/>
      <c r="N14" s="3"/>
      <c r="O14" s="3"/>
      <c r="P14" s="4"/>
      <c r="Q14" s="54" t="s">
        <v>207</v>
      </c>
      <c r="R14" s="3"/>
      <c r="S14" s="3"/>
      <c r="T14" s="3"/>
      <c r="U14" s="3"/>
      <c r="V14" s="3"/>
      <c r="W14" s="4"/>
      <c r="X14" s="54" t="s">
        <v>208</v>
      </c>
      <c r="Y14" s="3"/>
      <c r="Z14" s="3"/>
      <c r="AA14" s="3"/>
      <c r="AB14" s="3"/>
      <c r="AC14" s="3"/>
      <c r="AD14" s="4"/>
      <c r="AE14" s="48" t="s">
        <v>209</v>
      </c>
      <c r="AF14" s="4"/>
      <c r="AG14" s="55" t="s">
        <v>57</v>
      </c>
      <c r="AH14" s="3"/>
      <c r="AI14" s="4"/>
      <c r="AJ14" s="48"/>
      <c r="AK14" s="3"/>
      <c r="AL14" s="4"/>
      <c r="AM14" s="55" t="s">
        <v>196</v>
      </c>
      <c r="AN14" s="3"/>
      <c r="AO14" s="4"/>
      <c r="AP14" s="56">
        <v>46147.0</v>
      </c>
      <c r="AQ14" s="3"/>
      <c r="AR14" s="4"/>
      <c r="AS14" s="48"/>
      <c r="AT14" s="3"/>
      <c r="AU14" s="4"/>
      <c r="AV14" s="55" t="s">
        <v>57</v>
      </c>
      <c r="AW14" s="3"/>
      <c r="AX14" s="4"/>
      <c r="AY14" s="48"/>
      <c r="AZ14" s="3"/>
      <c r="BA14" s="4"/>
      <c r="BB14" s="55" t="s">
        <v>199</v>
      </c>
      <c r="BC14" s="3"/>
      <c r="BD14" s="4"/>
      <c r="BE14" s="56">
        <v>46238.0</v>
      </c>
      <c r="BF14" s="3"/>
      <c r="BG14" s="4"/>
      <c r="BH14" s="48"/>
      <c r="BI14" s="3"/>
      <c r="BJ14" s="4"/>
      <c r="BK14" s="49" t="s">
        <v>214</v>
      </c>
      <c r="BL14" s="3"/>
      <c r="BM14" s="3"/>
      <c r="BN14" s="3"/>
      <c r="BO14" s="3"/>
      <c r="BP14" s="3"/>
      <c r="BQ14" s="4"/>
    </row>
    <row r="15" ht="450.0" customHeight="1">
      <c r="A15" s="47">
        <v>3.0</v>
      </c>
      <c r="B15" s="49" t="s">
        <v>215</v>
      </c>
      <c r="C15" s="3"/>
      <c r="D15" s="4"/>
      <c r="E15" s="49" t="s">
        <v>217</v>
      </c>
      <c r="F15" s="3"/>
      <c r="G15" s="3"/>
      <c r="H15" s="3"/>
      <c r="I15" s="4"/>
      <c r="J15" s="49" t="s">
        <v>218</v>
      </c>
      <c r="K15" s="3"/>
      <c r="L15" s="3"/>
      <c r="M15" s="3"/>
      <c r="N15" s="3"/>
      <c r="O15" s="3"/>
      <c r="P15" s="4"/>
      <c r="Q15" s="54" t="s">
        <v>220</v>
      </c>
      <c r="R15" s="3"/>
      <c r="S15" s="3"/>
      <c r="T15" s="3"/>
      <c r="U15" s="3"/>
      <c r="V15" s="3"/>
      <c r="W15" s="4"/>
      <c r="X15" s="54" t="s">
        <v>222</v>
      </c>
      <c r="Y15" s="3"/>
      <c r="Z15" s="3"/>
      <c r="AA15" s="3"/>
      <c r="AB15" s="3"/>
      <c r="AC15" s="3"/>
      <c r="AD15" s="4"/>
      <c r="AE15" s="48" t="s">
        <v>194</v>
      </c>
      <c r="AF15" s="4"/>
      <c r="AG15" s="57" t="s">
        <v>57</v>
      </c>
      <c r="AH15" s="3"/>
      <c r="AI15" s="4"/>
      <c r="AJ15" s="58"/>
      <c r="AK15" s="3"/>
      <c r="AL15" s="4"/>
      <c r="AM15" s="57" t="s">
        <v>196</v>
      </c>
      <c r="AN15" s="3"/>
      <c r="AO15" s="4"/>
      <c r="AP15" s="59">
        <v>46147.0</v>
      </c>
      <c r="AQ15" s="3"/>
      <c r="AR15" s="4"/>
      <c r="AS15" s="48"/>
      <c r="AT15" s="3"/>
      <c r="AU15" s="4"/>
      <c r="AV15" s="55" t="s">
        <v>57</v>
      </c>
      <c r="AW15" s="3"/>
      <c r="AX15" s="4"/>
      <c r="AY15" s="48"/>
      <c r="AZ15" s="3"/>
      <c r="BA15" s="4"/>
      <c r="BB15" s="55" t="s">
        <v>199</v>
      </c>
      <c r="BC15" s="3"/>
      <c r="BD15" s="4"/>
      <c r="BE15" s="56">
        <v>46238.0</v>
      </c>
      <c r="BF15" s="3"/>
      <c r="BG15" s="4"/>
      <c r="BH15" s="48"/>
      <c r="BI15" s="3"/>
      <c r="BJ15" s="4"/>
      <c r="BK15" s="49"/>
      <c r="BL15" s="3"/>
      <c r="BM15" s="3"/>
      <c r="BN15" s="3"/>
      <c r="BO15" s="3"/>
      <c r="BP15" s="3"/>
      <c r="BQ15" s="4"/>
    </row>
    <row r="16" ht="450.0" customHeight="1">
      <c r="A16" s="47">
        <v>4.0</v>
      </c>
      <c r="B16" s="49" t="s">
        <v>228</v>
      </c>
      <c r="C16" s="3"/>
      <c r="D16" s="4"/>
      <c r="E16" s="49" t="s">
        <v>229</v>
      </c>
      <c r="F16" s="3"/>
      <c r="G16" s="3"/>
      <c r="H16" s="3"/>
      <c r="I16" s="4"/>
      <c r="J16" s="49" t="s">
        <v>230</v>
      </c>
      <c r="K16" s="3"/>
      <c r="L16" s="3"/>
      <c r="M16" s="3"/>
      <c r="N16" s="3"/>
      <c r="O16" s="3"/>
      <c r="P16" s="4"/>
      <c r="Q16" s="54" t="s">
        <v>232</v>
      </c>
      <c r="R16" s="3"/>
      <c r="S16" s="3"/>
      <c r="T16" s="3"/>
      <c r="U16" s="3"/>
      <c r="V16" s="3"/>
      <c r="W16" s="4"/>
      <c r="X16" s="49" t="s">
        <v>233</v>
      </c>
      <c r="Y16" s="3"/>
      <c r="Z16" s="3"/>
      <c r="AA16" s="3"/>
      <c r="AB16" s="3"/>
      <c r="AC16" s="3"/>
      <c r="AD16" s="4"/>
      <c r="AE16" s="48" t="s">
        <v>194</v>
      </c>
      <c r="AF16" s="4"/>
      <c r="AG16" s="57" t="s">
        <v>57</v>
      </c>
      <c r="AH16" s="3"/>
      <c r="AI16" s="4"/>
      <c r="AJ16" s="58"/>
      <c r="AK16" s="3"/>
      <c r="AL16" s="4"/>
      <c r="AM16" s="57" t="s">
        <v>196</v>
      </c>
      <c r="AN16" s="3"/>
      <c r="AO16" s="4"/>
      <c r="AP16" s="59">
        <v>46147.0</v>
      </c>
      <c r="AQ16" s="3"/>
      <c r="AR16" s="4"/>
      <c r="AS16" s="48"/>
      <c r="AT16" s="3"/>
      <c r="AU16" s="4"/>
      <c r="AV16" s="55" t="s">
        <v>57</v>
      </c>
      <c r="AW16" s="3"/>
      <c r="AX16" s="4"/>
      <c r="AY16" s="48"/>
      <c r="AZ16" s="3"/>
      <c r="BA16" s="4"/>
      <c r="BB16" s="55" t="s">
        <v>199</v>
      </c>
      <c r="BC16" s="3"/>
      <c r="BD16" s="4"/>
      <c r="BE16" s="56">
        <v>46238.0</v>
      </c>
      <c r="BF16" s="3"/>
      <c r="BG16" s="4"/>
      <c r="BH16" s="48"/>
      <c r="BI16" s="3"/>
      <c r="BJ16" s="4"/>
      <c r="BK16" s="49"/>
      <c r="BL16" s="3"/>
      <c r="BM16" s="3"/>
      <c r="BN16" s="3"/>
      <c r="BO16" s="3"/>
      <c r="BP16" s="3"/>
      <c r="BQ16" s="4"/>
    </row>
    <row r="17" ht="399.75" customHeight="1">
      <c r="A17" s="47">
        <v>5.0</v>
      </c>
      <c r="B17" s="49" t="s">
        <v>240</v>
      </c>
      <c r="C17" s="3"/>
      <c r="D17" s="4"/>
      <c r="E17" s="49" t="s">
        <v>241</v>
      </c>
      <c r="F17" s="3"/>
      <c r="G17" s="3"/>
      <c r="H17" s="3"/>
      <c r="I17" s="4"/>
      <c r="J17" s="49" t="s">
        <v>242</v>
      </c>
      <c r="K17" s="3"/>
      <c r="L17" s="3"/>
      <c r="M17" s="3"/>
      <c r="N17" s="3"/>
      <c r="O17" s="3"/>
      <c r="P17" s="4"/>
      <c r="Q17" s="54" t="s">
        <v>244</v>
      </c>
      <c r="R17" s="3"/>
      <c r="S17" s="3"/>
      <c r="T17" s="3"/>
      <c r="U17" s="3"/>
      <c r="V17" s="3"/>
      <c r="W17" s="4"/>
      <c r="X17" s="49" t="s">
        <v>246</v>
      </c>
      <c r="Y17" s="3"/>
      <c r="Z17" s="3"/>
      <c r="AA17" s="3"/>
      <c r="AB17" s="3"/>
      <c r="AC17" s="3"/>
      <c r="AD17" s="4"/>
      <c r="AE17" s="48" t="s">
        <v>209</v>
      </c>
      <c r="AF17" s="4"/>
      <c r="AG17" s="57" t="s">
        <v>57</v>
      </c>
      <c r="AH17" s="3"/>
      <c r="AI17" s="4"/>
      <c r="AJ17" s="58"/>
      <c r="AK17" s="3"/>
      <c r="AL17" s="4"/>
      <c r="AM17" s="57" t="s">
        <v>196</v>
      </c>
      <c r="AN17" s="3"/>
      <c r="AO17" s="4"/>
      <c r="AP17" s="59">
        <v>46147.0</v>
      </c>
      <c r="AQ17" s="3"/>
      <c r="AR17" s="4"/>
      <c r="AS17" s="48"/>
      <c r="AT17" s="3"/>
      <c r="AU17" s="4"/>
      <c r="AV17" s="55" t="s">
        <v>57</v>
      </c>
      <c r="AW17" s="3"/>
      <c r="AX17" s="4"/>
      <c r="AY17" s="48"/>
      <c r="AZ17" s="3"/>
      <c r="BA17" s="4"/>
      <c r="BB17" s="55" t="s">
        <v>199</v>
      </c>
      <c r="BC17" s="3"/>
      <c r="BD17" s="4"/>
      <c r="BE17" s="56">
        <v>46238.0</v>
      </c>
      <c r="BF17" s="3"/>
      <c r="BG17" s="4"/>
      <c r="BH17" s="48"/>
      <c r="BI17" s="3"/>
      <c r="BJ17" s="4"/>
      <c r="BK17" s="49" t="s">
        <v>250</v>
      </c>
      <c r="BL17" s="3"/>
      <c r="BM17" s="3"/>
      <c r="BN17" s="3"/>
      <c r="BO17" s="3"/>
      <c r="BP17" s="3"/>
      <c r="BQ17" s="4"/>
    </row>
    <row r="18" ht="22.5" customHeight="1">
      <c r="A18" s="13" t="s">
        <v>251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4"/>
    </row>
    <row r="19" ht="367.5" customHeight="1">
      <c r="A19" s="47">
        <v>6.0</v>
      </c>
      <c r="B19" s="49" t="s">
        <v>254</v>
      </c>
      <c r="C19" s="3"/>
      <c r="D19" s="4"/>
      <c r="E19" s="49" t="s">
        <v>255</v>
      </c>
      <c r="F19" s="3"/>
      <c r="G19" s="3"/>
      <c r="H19" s="3"/>
      <c r="I19" s="4"/>
      <c r="J19" s="49" t="s">
        <v>257</v>
      </c>
      <c r="K19" s="3"/>
      <c r="L19" s="3"/>
      <c r="M19" s="3"/>
      <c r="N19" s="3"/>
      <c r="O19" s="3"/>
      <c r="P19" s="4"/>
      <c r="Q19" s="49" t="s">
        <v>259</v>
      </c>
      <c r="R19" s="3"/>
      <c r="S19" s="3"/>
      <c r="T19" s="3"/>
      <c r="U19" s="3"/>
      <c r="V19" s="3"/>
      <c r="W19" s="4"/>
      <c r="X19" s="49" t="s">
        <v>261</v>
      </c>
      <c r="Y19" s="3"/>
      <c r="Z19" s="3"/>
      <c r="AA19" s="3"/>
      <c r="AB19" s="3"/>
      <c r="AC19" s="3"/>
      <c r="AD19" s="4"/>
      <c r="AE19" s="48" t="s">
        <v>194</v>
      </c>
      <c r="AF19" s="4"/>
      <c r="AG19" s="57" t="s">
        <v>57</v>
      </c>
      <c r="AH19" s="3"/>
      <c r="AI19" s="4"/>
      <c r="AJ19" s="58"/>
      <c r="AK19" s="3"/>
      <c r="AL19" s="4"/>
      <c r="AM19" s="57" t="s">
        <v>196</v>
      </c>
      <c r="AN19" s="3"/>
      <c r="AO19" s="4"/>
      <c r="AP19" s="59">
        <v>46147.0</v>
      </c>
      <c r="AQ19" s="3"/>
      <c r="AR19" s="4"/>
      <c r="AS19" s="48"/>
      <c r="AT19" s="3"/>
      <c r="AU19" s="4"/>
      <c r="AV19" s="55" t="s">
        <v>57</v>
      </c>
      <c r="AW19" s="3"/>
      <c r="AX19" s="4"/>
      <c r="AY19" s="48"/>
      <c r="AZ19" s="3"/>
      <c r="BA19" s="4"/>
      <c r="BB19" s="55" t="s">
        <v>199</v>
      </c>
      <c r="BC19" s="3"/>
      <c r="BD19" s="4"/>
      <c r="BE19" s="56">
        <v>46238.0</v>
      </c>
      <c r="BF19" s="3"/>
      <c r="BG19" s="4"/>
      <c r="BH19" s="48"/>
      <c r="BI19" s="3"/>
      <c r="BJ19" s="4"/>
      <c r="BK19" s="49"/>
      <c r="BL19" s="3"/>
      <c r="BM19" s="3"/>
      <c r="BN19" s="3"/>
      <c r="BO19" s="3"/>
      <c r="BP19" s="3"/>
      <c r="BQ19" s="4"/>
    </row>
    <row r="20" ht="432.0" customHeight="1">
      <c r="A20" s="47">
        <v>7.0</v>
      </c>
      <c r="B20" s="49" t="s">
        <v>269</v>
      </c>
      <c r="C20" s="3"/>
      <c r="D20" s="4"/>
      <c r="E20" s="49" t="s">
        <v>270</v>
      </c>
      <c r="F20" s="3"/>
      <c r="G20" s="3"/>
      <c r="H20" s="3"/>
      <c r="I20" s="4"/>
      <c r="J20" s="49" t="s">
        <v>271</v>
      </c>
      <c r="K20" s="3"/>
      <c r="L20" s="3"/>
      <c r="M20" s="3"/>
      <c r="N20" s="3"/>
      <c r="O20" s="3"/>
      <c r="P20" s="4"/>
      <c r="Q20" s="49" t="s">
        <v>272</v>
      </c>
      <c r="R20" s="3"/>
      <c r="S20" s="3"/>
      <c r="T20" s="3"/>
      <c r="U20" s="3"/>
      <c r="V20" s="3"/>
      <c r="W20" s="4"/>
      <c r="X20" s="49" t="s">
        <v>273</v>
      </c>
      <c r="Y20" s="3"/>
      <c r="Z20" s="3"/>
      <c r="AA20" s="3"/>
      <c r="AB20" s="3"/>
      <c r="AC20" s="3"/>
      <c r="AD20" s="4"/>
      <c r="AE20" s="48" t="s">
        <v>194</v>
      </c>
      <c r="AF20" s="4"/>
      <c r="AG20" s="57" t="s">
        <v>57</v>
      </c>
      <c r="AH20" s="3"/>
      <c r="AI20" s="4"/>
      <c r="AJ20" s="58"/>
      <c r="AK20" s="3"/>
      <c r="AL20" s="4"/>
      <c r="AM20" s="57" t="s">
        <v>196</v>
      </c>
      <c r="AN20" s="3"/>
      <c r="AO20" s="4"/>
      <c r="AP20" s="59">
        <v>46147.0</v>
      </c>
      <c r="AQ20" s="3"/>
      <c r="AR20" s="4"/>
      <c r="AS20" s="48"/>
      <c r="AT20" s="3"/>
      <c r="AU20" s="4"/>
      <c r="AV20" s="55" t="s">
        <v>57</v>
      </c>
      <c r="AW20" s="3"/>
      <c r="AX20" s="4"/>
      <c r="AY20" s="48"/>
      <c r="AZ20" s="3"/>
      <c r="BA20" s="4"/>
      <c r="BB20" s="55" t="s">
        <v>199</v>
      </c>
      <c r="BC20" s="3"/>
      <c r="BD20" s="4"/>
      <c r="BE20" s="56">
        <v>46238.0</v>
      </c>
      <c r="BF20" s="3"/>
      <c r="BG20" s="4"/>
      <c r="BH20" s="48"/>
      <c r="BI20" s="3"/>
      <c r="BJ20" s="4"/>
      <c r="BK20" s="49"/>
      <c r="BL20" s="3"/>
      <c r="BM20" s="3"/>
      <c r="BN20" s="3"/>
      <c r="BO20" s="3"/>
      <c r="BP20" s="3"/>
      <c r="BQ20" s="4"/>
    </row>
    <row r="21" ht="450.0" customHeight="1">
      <c r="A21" s="47">
        <v>8.0</v>
      </c>
      <c r="B21" s="49" t="s">
        <v>284</v>
      </c>
      <c r="C21" s="3"/>
      <c r="D21" s="4"/>
      <c r="E21" s="49" t="s">
        <v>285</v>
      </c>
      <c r="F21" s="3"/>
      <c r="G21" s="3"/>
      <c r="H21" s="3"/>
      <c r="I21" s="4"/>
      <c r="J21" s="49" t="s">
        <v>289</v>
      </c>
      <c r="K21" s="3"/>
      <c r="L21" s="3"/>
      <c r="M21" s="3"/>
      <c r="N21" s="3"/>
      <c r="O21" s="3"/>
      <c r="P21" s="4"/>
      <c r="Q21" s="49" t="s">
        <v>291</v>
      </c>
      <c r="R21" s="3"/>
      <c r="S21" s="3"/>
      <c r="T21" s="3"/>
      <c r="U21" s="3"/>
      <c r="V21" s="3"/>
      <c r="W21" s="4"/>
      <c r="X21" s="49" t="s">
        <v>294</v>
      </c>
      <c r="Y21" s="3"/>
      <c r="Z21" s="3"/>
      <c r="AA21" s="3"/>
      <c r="AB21" s="3"/>
      <c r="AC21" s="3"/>
      <c r="AD21" s="4"/>
      <c r="AE21" s="48" t="s">
        <v>194</v>
      </c>
      <c r="AF21" s="4"/>
      <c r="AG21" s="57" t="s">
        <v>57</v>
      </c>
      <c r="AH21" s="3"/>
      <c r="AI21" s="4"/>
      <c r="AJ21" s="58"/>
      <c r="AK21" s="3"/>
      <c r="AL21" s="4"/>
      <c r="AM21" s="57" t="s">
        <v>196</v>
      </c>
      <c r="AN21" s="3"/>
      <c r="AO21" s="4"/>
      <c r="AP21" s="59">
        <v>46147.0</v>
      </c>
      <c r="AQ21" s="3"/>
      <c r="AR21" s="4"/>
      <c r="AS21" s="48"/>
      <c r="AT21" s="3"/>
      <c r="AU21" s="4"/>
      <c r="AV21" s="55" t="s">
        <v>57</v>
      </c>
      <c r="AW21" s="3"/>
      <c r="AX21" s="4"/>
      <c r="AY21" s="48"/>
      <c r="AZ21" s="3"/>
      <c r="BA21" s="4"/>
      <c r="BB21" s="55" t="s">
        <v>199</v>
      </c>
      <c r="BC21" s="3"/>
      <c r="BD21" s="4"/>
      <c r="BE21" s="56">
        <v>46238.0</v>
      </c>
      <c r="BF21" s="3"/>
      <c r="BG21" s="4"/>
      <c r="BH21" s="48"/>
      <c r="BI21" s="3"/>
      <c r="BJ21" s="4"/>
      <c r="BK21" s="49"/>
      <c r="BL21" s="3"/>
      <c r="BM21" s="3"/>
      <c r="BN21" s="3"/>
      <c r="BO21" s="3"/>
      <c r="BP21" s="3"/>
      <c r="BQ21" s="4"/>
    </row>
    <row r="22" ht="432.0" customHeight="1">
      <c r="A22" s="47">
        <v>9.0</v>
      </c>
      <c r="B22" s="49" t="s">
        <v>310</v>
      </c>
      <c r="C22" s="3"/>
      <c r="D22" s="4"/>
      <c r="E22" s="49" t="s">
        <v>312</v>
      </c>
      <c r="F22" s="3"/>
      <c r="G22" s="3"/>
      <c r="H22" s="3"/>
      <c r="I22" s="4"/>
      <c r="J22" s="49" t="s">
        <v>271</v>
      </c>
      <c r="K22" s="3"/>
      <c r="L22" s="3"/>
      <c r="M22" s="3"/>
      <c r="N22" s="3"/>
      <c r="O22" s="3"/>
      <c r="P22" s="4"/>
      <c r="Q22" s="49" t="s">
        <v>313</v>
      </c>
      <c r="R22" s="3"/>
      <c r="S22" s="3"/>
      <c r="T22" s="3"/>
      <c r="U22" s="3"/>
      <c r="V22" s="3"/>
      <c r="W22" s="4"/>
      <c r="X22" s="49" t="s">
        <v>314</v>
      </c>
      <c r="Y22" s="3"/>
      <c r="Z22" s="3"/>
      <c r="AA22" s="3"/>
      <c r="AB22" s="3"/>
      <c r="AC22" s="3"/>
      <c r="AD22" s="4"/>
      <c r="AE22" s="48" t="s">
        <v>194</v>
      </c>
      <c r="AF22" s="4"/>
      <c r="AG22" s="57" t="s">
        <v>57</v>
      </c>
      <c r="AH22" s="3"/>
      <c r="AI22" s="4"/>
      <c r="AJ22" s="58"/>
      <c r="AK22" s="3"/>
      <c r="AL22" s="4"/>
      <c r="AM22" s="57" t="s">
        <v>196</v>
      </c>
      <c r="AN22" s="3"/>
      <c r="AO22" s="4"/>
      <c r="AP22" s="59">
        <v>46147.0</v>
      </c>
      <c r="AQ22" s="3"/>
      <c r="AR22" s="4"/>
      <c r="AS22" s="48"/>
      <c r="AT22" s="3"/>
      <c r="AU22" s="4"/>
      <c r="AV22" s="55" t="s">
        <v>57</v>
      </c>
      <c r="AW22" s="3"/>
      <c r="AX22" s="4"/>
      <c r="AY22" s="48"/>
      <c r="AZ22" s="3"/>
      <c r="BA22" s="4"/>
      <c r="BB22" s="55" t="s">
        <v>199</v>
      </c>
      <c r="BC22" s="3"/>
      <c r="BD22" s="4"/>
      <c r="BE22" s="56">
        <v>46238.0</v>
      </c>
      <c r="BF22" s="3"/>
      <c r="BG22" s="4"/>
      <c r="BH22" s="48"/>
      <c r="BI22" s="3"/>
      <c r="BJ22" s="4"/>
      <c r="BK22" s="49"/>
      <c r="BL22" s="3"/>
      <c r="BM22" s="3"/>
      <c r="BN22" s="3"/>
      <c r="BO22" s="3"/>
      <c r="BP22" s="3"/>
      <c r="BQ22" s="4"/>
    </row>
    <row r="23" ht="415.5" customHeight="1">
      <c r="A23" s="47">
        <v>10.0</v>
      </c>
      <c r="B23" s="49" t="s">
        <v>315</v>
      </c>
      <c r="C23" s="3"/>
      <c r="D23" s="4"/>
      <c r="E23" s="49" t="s">
        <v>316</v>
      </c>
      <c r="F23" s="3"/>
      <c r="G23" s="3"/>
      <c r="H23" s="3"/>
      <c r="I23" s="4"/>
      <c r="J23" s="49" t="s">
        <v>317</v>
      </c>
      <c r="K23" s="3"/>
      <c r="L23" s="3"/>
      <c r="M23" s="3"/>
      <c r="N23" s="3"/>
      <c r="O23" s="3"/>
      <c r="P23" s="4"/>
      <c r="Q23" s="49" t="s">
        <v>318</v>
      </c>
      <c r="R23" s="3"/>
      <c r="S23" s="3"/>
      <c r="T23" s="3"/>
      <c r="U23" s="3"/>
      <c r="V23" s="3"/>
      <c r="W23" s="4"/>
      <c r="X23" s="49" t="s">
        <v>319</v>
      </c>
      <c r="Y23" s="3"/>
      <c r="Z23" s="3"/>
      <c r="AA23" s="3"/>
      <c r="AB23" s="3"/>
      <c r="AC23" s="3"/>
      <c r="AD23" s="4"/>
      <c r="AE23" s="48" t="s">
        <v>194</v>
      </c>
      <c r="AF23" s="4"/>
      <c r="AG23" s="57" t="s">
        <v>57</v>
      </c>
      <c r="AH23" s="3"/>
      <c r="AI23" s="4"/>
      <c r="AJ23" s="58"/>
      <c r="AK23" s="3"/>
      <c r="AL23" s="4"/>
      <c r="AM23" s="57" t="s">
        <v>196</v>
      </c>
      <c r="AN23" s="3"/>
      <c r="AO23" s="4"/>
      <c r="AP23" s="59">
        <v>46147.0</v>
      </c>
      <c r="AQ23" s="3"/>
      <c r="AR23" s="4"/>
      <c r="AS23" s="48"/>
      <c r="AT23" s="3"/>
      <c r="AU23" s="4"/>
      <c r="AV23" s="55" t="s">
        <v>57</v>
      </c>
      <c r="AW23" s="3"/>
      <c r="AX23" s="4"/>
      <c r="AY23" s="48"/>
      <c r="AZ23" s="3"/>
      <c r="BA23" s="4"/>
      <c r="BB23" s="55" t="s">
        <v>199</v>
      </c>
      <c r="BC23" s="3"/>
      <c r="BD23" s="4"/>
      <c r="BE23" s="56">
        <v>46238.0</v>
      </c>
      <c r="BF23" s="3"/>
      <c r="BG23" s="4"/>
      <c r="BH23" s="48"/>
      <c r="BI23" s="3"/>
      <c r="BJ23" s="4"/>
      <c r="BK23" s="49" t="s">
        <v>250</v>
      </c>
      <c r="BL23" s="3"/>
      <c r="BM23" s="3"/>
      <c r="BN23" s="3"/>
      <c r="BO23" s="3"/>
      <c r="BP23" s="3"/>
      <c r="BQ23" s="4"/>
    </row>
    <row r="24" ht="22.5" customHeight="1">
      <c r="A24" s="13" t="s">
        <v>320</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4"/>
    </row>
    <row r="25" ht="159.75" customHeight="1">
      <c r="A25" s="47">
        <v>11.0</v>
      </c>
      <c r="B25" s="49" t="s">
        <v>321</v>
      </c>
      <c r="C25" s="3"/>
      <c r="D25" s="4"/>
      <c r="E25" s="49" t="s">
        <v>322</v>
      </c>
      <c r="F25" s="3"/>
      <c r="G25" s="3"/>
      <c r="H25" s="3"/>
      <c r="I25" s="4"/>
      <c r="J25" s="49" t="s">
        <v>271</v>
      </c>
      <c r="K25" s="3"/>
      <c r="L25" s="3"/>
      <c r="M25" s="3"/>
      <c r="N25" s="3"/>
      <c r="O25" s="3"/>
      <c r="P25" s="4"/>
      <c r="Q25" s="49" t="s">
        <v>323</v>
      </c>
      <c r="R25" s="3"/>
      <c r="S25" s="3"/>
      <c r="T25" s="3"/>
      <c r="U25" s="3"/>
      <c r="V25" s="3"/>
      <c r="W25" s="4"/>
      <c r="X25" s="49" t="s">
        <v>324</v>
      </c>
      <c r="Y25" s="3"/>
      <c r="Z25" s="3"/>
      <c r="AA25" s="3"/>
      <c r="AB25" s="3"/>
      <c r="AC25" s="3"/>
      <c r="AD25" s="4"/>
      <c r="AE25" s="48" t="s">
        <v>194</v>
      </c>
      <c r="AF25" s="4"/>
      <c r="AG25" s="57" t="s">
        <v>57</v>
      </c>
      <c r="AH25" s="3"/>
      <c r="AI25" s="4"/>
      <c r="AJ25" s="58"/>
      <c r="AK25" s="3"/>
      <c r="AL25" s="4"/>
      <c r="AM25" s="57" t="s">
        <v>196</v>
      </c>
      <c r="AN25" s="3"/>
      <c r="AO25" s="4"/>
      <c r="AP25" s="59">
        <v>46147.0</v>
      </c>
      <c r="AQ25" s="3"/>
      <c r="AR25" s="4"/>
      <c r="AS25" s="48"/>
      <c r="AT25" s="3"/>
      <c r="AU25" s="4"/>
      <c r="AV25" s="55" t="s">
        <v>57</v>
      </c>
      <c r="AW25" s="3"/>
      <c r="AX25" s="4"/>
      <c r="AY25" s="48"/>
      <c r="AZ25" s="3"/>
      <c r="BA25" s="4"/>
      <c r="BB25" s="55" t="s">
        <v>199</v>
      </c>
      <c r="BC25" s="3"/>
      <c r="BD25" s="4"/>
      <c r="BE25" s="56">
        <v>46238.0</v>
      </c>
      <c r="BF25" s="3"/>
      <c r="BG25" s="4"/>
      <c r="BH25" s="48"/>
      <c r="BI25" s="3"/>
      <c r="BJ25" s="4"/>
      <c r="BK25" s="49"/>
      <c r="BL25" s="3"/>
      <c r="BM25" s="3"/>
      <c r="BN25" s="3"/>
      <c r="BO25" s="3"/>
      <c r="BP25" s="3"/>
      <c r="BQ25" s="4"/>
    </row>
    <row r="26" ht="303.75" customHeight="1">
      <c r="A26" s="47">
        <v>12.0</v>
      </c>
      <c r="B26" s="49" t="s">
        <v>325</v>
      </c>
      <c r="C26" s="3"/>
      <c r="D26" s="4"/>
      <c r="E26" s="49" t="s">
        <v>326</v>
      </c>
      <c r="F26" s="3"/>
      <c r="G26" s="3"/>
      <c r="H26" s="3"/>
      <c r="I26" s="4"/>
      <c r="J26" s="49" t="s">
        <v>327</v>
      </c>
      <c r="K26" s="3"/>
      <c r="L26" s="3"/>
      <c r="M26" s="3"/>
      <c r="N26" s="3"/>
      <c r="O26" s="3"/>
      <c r="P26" s="4"/>
      <c r="Q26" s="49" t="s">
        <v>328</v>
      </c>
      <c r="R26" s="3"/>
      <c r="S26" s="3"/>
      <c r="T26" s="3"/>
      <c r="U26" s="3"/>
      <c r="V26" s="3"/>
      <c r="W26" s="4"/>
      <c r="X26" s="49" t="s">
        <v>329</v>
      </c>
      <c r="Y26" s="3"/>
      <c r="Z26" s="3"/>
      <c r="AA26" s="3"/>
      <c r="AB26" s="3"/>
      <c r="AC26" s="3"/>
      <c r="AD26" s="4"/>
      <c r="AE26" s="48" t="s">
        <v>194</v>
      </c>
      <c r="AF26" s="4"/>
      <c r="AG26" s="57" t="s">
        <v>57</v>
      </c>
      <c r="AH26" s="3"/>
      <c r="AI26" s="4"/>
      <c r="AJ26" s="58"/>
      <c r="AK26" s="3"/>
      <c r="AL26" s="4"/>
      <c r="AM26" s="57" t="s">
        <v>196</v>
      </c>
      <c r="AN26" s="3"/>
      <c r="AO26" s="4"/>
      <c r="AP26" s="59">
        <v>46147.0</v>
      </c>
      <c r="AQ26" s="3"/>
      <c r="AR26" s="4"/>
      <c r="AS26" s="48"/>
      <c r="AT26" s="3"/>
      <c r="AU26" s="4"/>
      <c r="AV26" s="55" t="s">
        <v>57</v>
      </c>
      <c r="AW26" s="3"/>
      <c r="AX26" s="4"/>
      <c r="AY26" s="48"/>
      <c r="AZ26" s="3"/>
      <c r="BA26" s="4"/>
      <c r="BB26" s="55" t="s">
        <v>199</v>
      </c>
      <c r="BC26" s="3"/>
      <c r="BD26" s="4"/>
      <c r="BE26" s="56">
        <v>46238.0</v>
      </c>
      <c r="BF26" s="3"/>
      <c r="BG26" s="4"/>
      <c r="BH26" s="48"/>
      <c r="BI26" s="3"/>
      <c r="BJ26" s="4"/>
      <c r="BK26" s="49"/>
      <c r="BL26" s="3"/>
      <c r="BM26" s="3"/>
      <c r="BN26" s="3"/>
      <c r="BO26" s="3"/>
      <c r="BP26" s="3"/>
      <c r="BQ26" s="4"/>
    </row>
    <row r="27" ht="255.75" customHeight="1">
      <c r="A27" s="47">
        <v>13.0</v>
      </c>
      <c r="B27" s="49" t="s">
        <v>330</v>
      </c>
      <c r="C27" s="3"/>
      <c r="D27" s="4"/>
      <c r="E27" s="49" t="s">
        <v>331</v>
      </c>
      <c r="F27" s="3"/>
      <c r="G27" s="3"/>
      <c r="H27" s="3"/>
      <c r="I27" s="4"/>
      <c r="J27" s="49" t="s">
        <v>271</v>
      </c>
      <c r="K27" s="3"/>
      <c r="L27" s="3"/>
      <c r="M27" s="3"/>
      <c r="N27" s="3"/>
      <c r="O27" s="3"/>
      <c r="P27" s="4"/>
      <c r="Q27" s="49" t="s">
        <v>332</v>
      </c>
      <c r="R27" s="3"/>
      <c r="S27" s="3"/>
      <c r="T27" s="3"/>
      <c r="U27" s="3"/>
      <c r="V27" s="3"/>
      <c r="W27" s="4"/>
      <c r="X27" s="49" t="s">
        <v>333</v>
      </c>
      <c r="Y27" s="3"/>
      <c r="Z27" s="3"/>
      <c r="AA27" s="3"/>
      <c r="AB27" s="3"/>
      <c r="AC27" s="3"/>
      <c r="AD27" s="4"/>
      <c r="AE27" s="48" t="s">
        <v>194</v>
      </c>
      <c r="AF27" s="4"/>
      <c r="AG27" s="57" t="s">
        <v>57</v>
      </c>
      <c r="AH27" s="3"/>
      <c r="AI27" s="4"/>
      <c r="AJ27" s="58"/>
      <c r="AK27" s="3"/>
      <c r="AL27" s="4"/>
      <c r="AM27" s="57" t="s">
        <v>196</v>
      </c>
      <c r="AN27" s="3"/>
      <c r="AO27" s="4"/>
      <c r="AP27" s="59">
        <v>46147.0</v>
      </c>
      <c r="AQ27" s="3"/>
      <c r="AR27" s="4"/>
      <c r="AS27" s="48"/>
      <c r="AT27" s="3"/>
      <c r="AU27" s="4"/>
      <c r="AV27" s="55" t="s">
        <v>57</v>
      </c>
      <c r="AW27" s="3"/>
      <c r="AX27" s="4"/>
      <c r="AY27" s="48"/>
      <c r="AZ27" s="3"/>
      <c r="BA27" s="4"/>
      <c r="BB27" s="55" t="s">
        <v>199</v>
      </c>
      <c r="BC27" s="3"/>
      <c r="BD27" s="4"/>
      <c r="BE27" s="56">
        <v>46238.0</v>
      </c>
      <c r="BF27" s="3"/>
      <c r="BG27" s="4"/>
      <c r="BH27" s="48"/>
      <c r="BI27" s="3"/>
      <c r="BJ27" s="4"/>
      <c r="BK27" s="49"/>
      <c r="BL27" s="3"/>
      <c r="BM27" s="3"/>
      <c r="BN27" s="3"/>
      <c r="BO27" s="3"/>
      <c r="BP27" s="3"/>
      <c r="BQ27" s="4"/>
    </row>
    <row r="28" ht="240.0" customHeight="1">
      <c r="A28" s="47">
        <v>14.0</v>
      </c>
      <c r="B28" s="49" t="s">
        <v>334</v>
      </c>
      <c r="C28" s="3"/>
      <c r="D28" s="4"/>
      <c r="E28" s="49" t="s">
        <v>335</v>
      </c>
      <c r="F28" s="3"/>
      <c r="G28" s="3"/>
      <c r="H28" s="3"/>
      <c r="I28" s="4"/>
      <c r="J28" s="49" t="s">
        <v>271</v>
      </c>
      <c r="K28" s="3"/>
      <c r="L28" s="3"/>
      <c r="M28" s="3"/>
      <c r="N28" s="3"/>
      <c r="O28" s="3"/>
      <c r="P28" s="4"/>
      <c r="Q28" s="49" t="s">
        <v>336</v>
      </c>
      <c r="R28" s="3"/>
      <c r="S28" s="3"/>
      <c r="T28" s="3"/>
      <c r="U28" s="3"/>
      <c r="V28" s="3"/>
      <c r="W28" s="4"/>
      <c r="X28" s="49" t="s">
        <v>337</v>
      </c>
      <c r="Y28" s="3"/>
      <c r="Z28" s="3"/>
      <c r="AA28" s="3"/>
      <c r="AB28" s="3"/>
      <c r="AC28" s="3"/>
      <c r="AD28" s="4"/>
      <c r="AE28" s="48" t="s">
        <v>194</v>
      </c>
      <c r="AF28" s="4"/>
      <c r="AG28" s="57" t="s">
        <v>57</v>
      </c>
      <c r="AH28" s="3"/>
      <c r="AI28" s="4"/>
      <c r="AJ28" s="58"/>
      <c r="AK28" s="3"/>
      <c r="AL28" s="4"/>
      <c r="AM28" s="57" t="s">
        <v>196</v>
      </c>
      <c r="AN28" s="3"/>
      <c r="AO28" s="4"/>
      <c r="AP28" s="59">
        <v>46147.0</v>
      </c>
      <c r="AQ28" s="3"/>
      <c r="AR28" s="4"/>
      <c r="AS28" s="48"/>
      <c r="AT28" s="3"/>
      <c r="AU28" s="4"/>
      <c r="AV28" s="55" t="s">
        <v>57</v>
      </c>
      <c r="AW28" s="3"/>
      <c r="AX28" s="4"/>
      <c r="AY28" s="48"/>
      <c r="AZ28" s="3"/>
      <c r="BA28" s="4"/>
      <c r="BB28" s="55" t="s">
        <v>199</v>
      </c>
      <c r="BC28" s="3"/>
      <c r="BD28" s="4"/>
      <c r="BE28" s="56">
        <v>46238.0</v>
      </c>
      <c r="BF28" s="3"/>
      <c r="BG28" s="4"/>
      <c r="BH28" s="48"/>
      <c r="BI28" s="3"/>
      <c r="BJ28" s="4"/>
      <c r="BK28" s="49" t="s">
        <v>250</v>
      </c>
      <c r="BL28" s="3"/>
      <c r="BM28" s="3"/>
      <c r="BN28" s="3"/>
      <c r="BO28" s="3"/>
      <c r="BP28" s="3"/>
      <c r="BQ28" s="4"/>
    </row>
    <row r="29" ht="22.5" customHeight="1">
      <c r="A29" s="13" t="s">
        <v>338</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4"/>
    </row>
    <row r="30" ht="432.0" customHeight="1">
      <c r="A30" s="47">
        <v>15.0</v>
      </c>
      <c r="B30" s="49" t="s">
        <v>339</v>
      </c>
      <c r="C30" s="3"/>
      <c r="D30" s="4"/>
      <c r="E30" s="49" t="s">
        <v>340</v>
      </c>
      <c r="F30" s="3"/>
      <c r="G30" s="3"/>
      <c r="H30" s="3"/>
      <c r="I30" s="4"/>
      <c r="J30" s="49" t="s">
        <v>341</v>
      </c>
      <c r="K30" s="3"/>
      <c r="L30" s="3"/>
      <c r="M30" s="3"/>
      <c r="N30" s="3"/>
      <c r="O30" s="3"/>
      <c r="P30" s="4"/>
      <c r="Q30" s="54" t="s">
        <v>342</v>
      </c>
      <c r="R30" s="3"/>
      <c r="S30" s="3"/>
      <c r="T30" s="3"/>
      <c r="U30" s="3"/>
      <c r="V30" s="3"/>
      <c r="W30" s="4"/>
      <c r="X30" s="54" t="s">
        <v>343</v>
      </c>
      <c r="Y30" s="3"/>
      <c r="Z30" s="3"/>
      <c r="AA30" s="3"/>
      <c r="AB30" s="3"/>
      <c r="AC30" s="3"/>
      <c r="AD30" s="4"/>
      <c r="AE30" s="48" t="s">
        <v>194</v>
      </c>
      <c r="AF30" s="4"/>
      <c r="AG30" s="57" t="s">
        <v>57</v>
      </c>
      <c r="AH30" s="3"/>
      <c r="AI30" s="4"/>
      <c r="AJ30" s="58"/>
      <c r="AK30" s="3"/>
      <c r="AL30" s="4"/>
      <c r="AM30" s="57" t="s">
        <v>196</v>
      </c>
      <c r="AN30" s="3"/>
      <c r="AO30" s="4"/>
      <c r="AP30" s="59">
        <v>46147.0</v>
      </c>
      <c r="AQ30" s="3"/>
      <c r="AR30" s="4"/>
      <c r="AS30" s="48"/>
      <c r="AT30" s="3"/>
      <c r="AU30" s="4"/>
      <c r="AV30" s="55" t="s">
        <v>57</v>
      </c>
      <c r="AW30" s="3"/>
      <c r="AX30" s="4"/>
      <c r="AY30" s="48"/>
      <c r="AZ30" s="3"/>
      <c r="BA30" s="4"/>
      <c r="BB30" s="55" t="s">
        <v>199</v>
      </c>
      <c r="BC30" s="3"/>
      <c r="BD30" s="4"/>
      <c r="BE30" s="56">
        <v>46238.0</v>
      </c>
      <c r="BF30" s="3"/>
      <c r="BG30" s="4"/>
      <c r="BH30" s="48"/>
      <c r="BI30" s="3"/>
      <c r="BJ30" s="4"/>
      <c r="BK30" s="49"/>
      <c r="BL30" s="3"/>
      <c r="BM30" s="3"/>
      <c r="BN30" s="3"/>
      <c r="BO30" s="3"/>
      <c r="BP30" s="3"/>
      <c r="BQ30" s="4"/>
    </row>
    <row r="31" ht="399.75" customHeight="1">
      <c r="A31" s="47">
        <v>16.0</v>
      </c>
      <c r="B31" s="49" t="s">
        <v>344</v>
      </c>
      <c r="C31" s="3"/>
      <c r="D31" s="4"/>
      <c r="E31" s="49" t="s">
        <v>345</v>
      </c>
      <c r="F31" s="3"/>
      <c r="G31" s="3"/>
      <c r="H31" s="3"/>
      <c r="I31" s="4"/>
      <c r="J31" s="49" t="s">
        <v>346</v>
      </c>
      <c r="K31" s="3"/>
      <c r="L31" s="3"/>
      <c r="M31" s="3"/>
      <c r="N31" s="3"/>
      <c r="O31" s="3"/>
      <c r="P31" s="4"/>
      <c r="Q31" s="49" t="s">
        <v>347</v>
      </c>
      <c r="R31" s="3"/>
      <c r="S31" s="3"/>
      <c r="T31" s="3"/>
      <c r="U31" s="3"/>
      <c r="V31" s="3"/>
      <c r="W31" s="4"/>
      <c r="X31" s="49" t="s">
        <v>348</v>
      </c>
      <c r="Y31" s="3"/>
      <c r="Z31" s="3"/>
      <c r="AA31" s="3"/>
      <c r="AB31" s="3"/>
      <c r="AC31" s="3"/>
      <c r="AD31" s="4"/>
      <c r="AE31" s="48" t="s">
        <v>194</v>
      </c>
      <c r="AF31" s="4"/>
      <c r="AG31" s="57" t="s">
        <v>57</v>
      </c>
      <c r="AH31" s="3"/>
      <c r="AI31" s="4"/>
      <c r="AJ31" s="58"/>
      <c r="AK31" s="3"/>
      <c r="AL31" s="4"/>
      <c r="AM31" s="57" t="s">
        <v>196</v>
      </c>
      <c r="AN31" s="3"/>
      <c r="AO31" s="4"/>
      <c r="AP31" s="59">
        <v>46147.0</v>
      </c>
      <c r="AQ31" s="3"/>
      <c r="AR31" s="4"/>
      <c r="AS31" s="48"/>
      <c r="AT31" s="3"/>
      <c r="AU31" s="4"/>
      <c r="AV31" s="55" t="s">
        <v>57</v>
      </c>
      <c r="AW31" s="3"/>
      <c r="AX31" s="4"/>
      <c r="AY31" s="48"/>
      <c r="AZ31" s="3"/>
      <c r="BA31" s="4"/>
      <c r="BB31" s="55" t="s">
        <v>199</v>
      </c>
      <c r="BC31" s="3"/>
      <c r="BD31" s="4"/>
      <c r="BE31" s="56">
        <v>46238.0</v>
      </c>
      <c r="BF31" s="3"/>
      <c r="BG31" s="4"/>
      <c r="BH31" s="48"/>
      <c r="BI31" s="3"/>
      <c r="BJ31" s="4"/>
      <c r="BK31" s="49"/>
      <c r="BL31" s="3"/>
      <c r="BM31" s="3"/>
      <c r="BN31" s="3"/>
      <c r="BO31" s="3"/>
      <c r="BP31" s="3"/>
      <c r="BQ31" s="4"/>
    </row>
    <row r="32" ht="303.75" customHeight="1">
      <c r="A32" s="47">
        <v>17.0</v>
      </c>
      <c r="B32" s="49" t="s">
        <v>349</v>
      </c>
      <c r="C32" s="3"/>
      <c r="D32" s="4"/>
      <c r="E32" s="49" t="s">
        <v>350</v>
      </c>
      <c r="F32" s="3"/>
      <c r="G32" s="3"/>
      <c r="H32" s="3"/>
      <c r="I32" s="4"/>
      <c r="J32" s="49" t="s">
        <v>351</v>
      </c>
      <c r="K32" s="3"/>
      <c r="L32" s="3"/>
      <c r="M32" s="3"/>
      <c r="N32" s="3"/>
      <c r="O32" s="3"/>
      <c r="P32" s="4"/>
      <c r="Q32" s="54" t="s">
        <v>352</v>
      </c>
      <c r="R32" s="3"/>
      <c r="S32" s="3"/>
      <c r="T32" s="3"/>
      <c r="U32" s="3"/>
      <c r="V32" s="3"/>
      <c r="W32" s="4"/>
      <c r="X32" s="49" t="s">
        <v>353</v>
      </c>
      <c r="Y32" s="3"/>
      <c r="Z32" s="3"/>
      <c r="AA32" s="3"/>
      <c r="AB32" s="3"/>
      <c r="AC32" s="3"/>
      <c r="AD32" s="4"/>
      <c r="AE32" s="48" t="s">
        <v>194</v>
      </c>
      <c r="AF32" s="4"/>
      <c r="AG32" s="57" t="s">
        <v>57</v>
      </c>
      <c r="AH32" s="3"/>
      <c r="AI32" s="4"/>
      <c r="AJ32" s="58"/>
      <c r="AK32" s="3"/>
      <c r="AL32" s="4"/>
      <c r="AM32" s="57" t="s">
        <v>196</v>
      </c>
      <c r="AN32" s="3"/>
      <c r="AO32" s="4"/>
      <c r="AP32" s="59">
        <v>46147.0</v>
      </c>
      <c r="AQ32" s="3"/>
      <c r="AR32" s="4"/>
      <c r="AS32" s="48"/>
      <c r="AT32" s="3"/>
      <c r="AU32" s="4"/>
      <c r="AV32" s="55" t="s">
        <v>57</v>
      </c>
      <c r="AW32" s="3"/>
      <c r="AX32" s="4"/>
      <c r="AY32" s="48"/>
      <c r="AZ32" s="3"/>
      <c r="BA32" s="4"/>
      <c r="BB32" s="55" t="s">
        <v>199</v>
      </c>
      <c r="BC32" s="3"/>
      <c r="BD32" s="4"/>
      <c r="BE32" s="56">
        <v>46238.0</v>
      </c>
      <c r="BF32" s="3"/>
      <c r="BG32" s="4"/>
      <c r="BH32" s="48"/>
      <c r="BI32" s="3"/>
      <c r="BJ32" s="4"/>
      <c r="BK32" s="49"/>
      <c r="BL32" s="3"/>
      <c r="BM32" s="3"/>
      <c r="BN32" s="3"/>
      <c r="BO32" s="3"/>
      <c r="BP32" s="3"/>
      <c r="BQ32" s="4"/>
    </row>
    <row r="33" ht="288.0" customHeight="1">
      <c r="A33" s="47">
        <v>18.0</v>
      </c>
      <c r="B33" s="49" t="s">
        <v>354</v>
      </c>
      <c r="C33" s="3"/>
      <c r="D33" s="4"/>
      <c r="E33" s="49" t="s">
        <v>355</v>
      </c>
      <c r="F33" s="3"/>
      <c r="G33" s="3"/>
      <c r="H33" s="3"/>
      <c r="I33" s="4"/>
      <c r="J33" s="49" t="s">
        <v>356</v>
      </c>
      <c r="K33" s="3"/>
      <c r="L33" s="3"/>
      <c r="M33" s="3"/>
      <c r="N33" s="3"/>
      <c r="O33" s="3"/>
      <c r="P33" s="4"/>
      <c r="Q33" s="54" t="s">
        <v>357</v>
      </c>
      <c r="R33" s="3"/>
      <c r="S33" s="3"/>
      <c r="T33" s="3"/>
      <c r="U33" s="3"/>
      <c r="V33" s="3"/>
      <c r="W33" s="4"/>
      <c r="X33" s="49" t="s">
        <v>358</v>
      </c>
      <c r="Y33" s="3"/>
      <c r="Z33" s="3"/>
      <c r="AA33" s="3"/>
      <c r="AB33" s="3"/>
      <c r="AC33" s="3"/>
      <c r="AD33" s="4"/>
      <c r="AE33" s="48" t="s">
        <v>194</v>
      </c>
      <c r="AF33" s="4"/>
      <c r="AG33" s="57" t="s">
        <v>57</v>
      </c>
      <c r="AH33" s="3"/>
      <c r="AI33" s="4"/>
      <c r="AJ33" s="58"/>
      <c r="AK33" s="3"/>
      <c r="AL33" s="4"/>
      <c r="AM33" s="57" t="s">
        <v>196</v>
      </c>
      <c r="AN33" s="3"/>
      <c r="AO33" s="4"/>
      <c r="AP33" s="59">
        <v>46147.0</v>
      </c>
      <c r="AQ33" s="3"/>
      <c r="AR33" s="4"/>
      <c r="AS33" s="48"/>
      <c r="AT33" s="3"/>
      <c r="AU33" s="4"/>
      <c r="AV33" s="55" t="s">
        <v>57</v>
      </c>
      <c r="AW33" s="3"/>
      <c r="AX33" s="4"/>
      <c r="AY33" s="48"/>
      <c r="AZ33" s="3"/>
      <c r="BA33" s="4"/>
      <c r="BB33" s="55" t="s">
        <v>199</v>
      </c>
      <c r="BC33" s="3"/>
      <c r="BD33" s="4"/>
      <c r="BE33" s="56">
        <v>46238.0</v>
      </c>
      <c r="BF33" s="3"/>
      <c r="BG33" s="4"/>
      <c r="BH33" s="48"/>
      <c r="BI33" s="3"/>
      <c r="BJ33" s="4"/>
      <c r="BK33" s="49"/>
      <c r="BL33" s="3"/>
      <c r="BM33" s="3"/>
      <c r="BN33" s="3"/>
      <c r="BO33" s="3"/>
      <c r="BP33" s="3"/>
      <c r="BQ33" s="4"/>
    </row>
    <row r="34" ht="415.5" customHeight="1">
      <c r="A34" s="47">
        <v>19.0</v>
      </c>
      <c r="B34" s="49" t="s">
        <v>359</v>
      </c>
      <c r="C34" s="3"/>
      <c r="D34" s="4"/>
      <c r="E34" s="49" t="s">
        <v>360</v>
      </c>
      <c r="F34" s="3"/>
      <c r="G34" s="3"/>
      <c r="H34" s="3"/>
      <c r="I34" s="4"/>
      <c r="J34" s="49" t="s">
        <v>361</v>
      </c>
      <c r="K34" s="3"/>
      <c r="L34" s="3"/>
      <c r="M34" s="3"/>
      <c r="N34" s="3"/>
      <c r="O34" s="3"/>
      <c r="P34" s="4"/>
      <c r="Q34" s="54" t="s">
        <v>362</v>
      </c>
      <c r="R34" s="3"/>
      <c r="S34" s="3"/>
      <c r="T34" s="3"/>
      <c r="U34" s="3"/>
      <c r="V34" s="3"/>
      <c r="W34" s="4"/>
      <c r="X34" s="54" t="s">
        <v>363</v>
      </c>
      <c r="Y34" s="3"/>
      <c r="Z34" s="3"/>
      <c r="AA34" s="3"/>
      <c r="AB34" s="3"/>
      <c r="AC34" s="3"/>
      <c r="AD34" s="4"/>
      <c r="AE34" s="48" t="s">
        <v>194</v>
      </c>
      <c r="AF34" s="4"/>
      <c r="AG34" s="57" t="s">
        <v>57</v>
      </c>
      <c r="AH34" s="3"/>
      <c r="AI34" s="4"/>
      <c r="AJ34" s="58"/>
      <c r="AK34" s="3"/>
      <c r="AL34" s="4"/>
      <c r="AM34" s="57" t="s">
        <v>196</v>
      </c>
      <c r="AN34" s="3"/>
      <c r="AO34" s="4"/>
      <c r="AP34" s="59">
        <v>46147.0</v>
      </c>
      <c r="AQ34" s="3"/>
      <c r="AR34" s="4"/>
      <c r="AS34" s="48"/>
      <c r="AT34" s="3"/>
      <c r="AU34" s="4"/>
      <c r="AV34" s="55" t="s">
        <v>57</v>
      </c>
      <c r="AW34" s="3"/>
      <c r="AX34" s="4"/>
      <c r="AY34" s="48"/>
      <c r="AZ34" s="3"/>
      <c r="BA34" s="4"/>
      <c r="BB34" s="55" t="s">
        <v>199</v>
      </c>
      <c r="BC34" s="3"/>
      <c r="BD34" s="4"/>
      <c r="BE34" s="56">
        <v>46238.0</v>
      </c>
      <c r="BF34" s="3"/>
      <c r="BG34" s="4"/>
      <c r="BH34" s="48"/>
      <c r="BI34" s="3"/>
      <c r="BJ34" s="4"/>
      <c r="BK34" s="49"/>
      <c r="BL34" s="3"/>
      <c r="BM34" s="3"/>
      <c r="BN34" s="3"/>
      <c r="BO34" s="3"/>
      <c r="BP34" s="3"/>
      <c r="BQ34" s="4"/>
    </row>
    <row r="35" ht="351.75" customHeight="1">
      <c r="A35" s="47">
        <v>20.0</v>
      </c>
      <c r="B35" s="49" t="s">
        <v>364</v>
      </c>
      <c r="C35" s="3"/>
      <c r="D35" s="4"/>
      <c r="E35" s="49" t="s">
        <v>365</v>
      </c>
      <c r="F35" s="3"/>
      <c r="G35" s="3"/>
      <c r="H35" s="3"/>
      <c r="I35" s="4"/>
      <c r="J35" s="49" t="s">
        <v>366</v>
      </c>
      <c r="K35" s="3"/>
      <c r="L35" s="3"/>
      <c r="M35" s="3"/>
      <c r="N35" s="3"/>
      <c r="O35" s="3"/>
      <c r="P35" s="4"/>
      <c r="Q35" s="49" t="s">
        <v>367</v>
      </c>
      <c r="R35" s="3"/>
      <c r="S35" s="3"/>
      <c r="T35" s="3"/>
      <c r="U35" s="3"/>
      <c r="V35" s="3"/>
      <c r="W35" s="4"/>
      <c r="X35" s="54" t="s">
        <v>368</v>
      </c>
      <c r="Y35" s="3"/>
      <c r="Z35" s="3"/>
      <c r="AA35" s="3"/>
      <c r="AB35" s="3"/>
      <c r="AC35" s="3"/>
      <c r="AD35" s="4"/>
      <c r="AE35" s="48" t="s">
        <v>194</v>
      </c>
      <c r="AF35" s="4"/>
      <c r="AG35" s="57" t="s">
        <v>57</v>
      </c>
      <c r="AH35" s="3"/>
      <c r="AI35" s="4"/>
      <c r="AJ35" s="58"/>
      <c r="AK35" s="3"/>
      <c r="AL35" s="4"/>
      <c r="AM35" s="57" t="s">
        <v>196</v>
      </c>
      <c r="AN35" s="3"/>
      <c r="AO35" s="4"/>
      <c r="AP35" s="59">
        <v>46147.0</v>
      </c>
      <c r="AQ35" s="3"/>
      <c r="AR35" s="4"/>
      <c r="AS35" s="48"/>
      <c r="AT35" s="3"/>
      <c r="AU35" s="4"/>
      <c r="AV35" s="55" t="s">
        <v>57</v>
      </c>
      <c r="AW35" s="3"/>
      <c r="AX35" s="4"/>
      <c r="AY35" s="48"/>
      <c r="AZ35" s="3"/>
      <c r="BA35" s="4"/>
      <c r="BB35" s="55" t="s">
        <v>199</v>
      </c>
      <c r="BC35" s="3"/>
      <c r="BD35" s="4"/>
      <c r="BE35" s="56">
        <v>46238.0</v>
      </c>
      <c r="BF35" s="3"/>
      <c r="BG35" s="4"/>
      <c r="BH35" s="48"/>
      <c r="BI35" s="3"/>
      <c r="BJ35" s="4"/>
      <c r="BK35" s="49"/>
      <c r="BL35" s="3"/>
      <c r="BM35" s="3"/>
      <c r="BN35" s="3"/>
      <c r="BO35" s="3"/>
      <c r="BP35" s="3"/>
      <c r="BQ35" s="4"/>
    </row>
    <row r="36" ht="447.75" customHeight="1">
      <c r="A36" s="47">
        <v>21.0</v>
      </c>
      <c r="B36" s="49" t="s">
        <v>369</v>
      </c>
      <c r="C36" s="3"/>
      <c r="D36" s="4"/>
      <c r="E36" s="49" t="s">
        <v>370</v>
      </c>
      <c r="F36" s="3"/>
      <c r="G36" s="3"/>
      <c r="H36" s="3"/>
      <c r="I36" s="4"/>
      <c r="J36" s="49" t="s">
        <v>271</v>
      </c>
      <c r="K36" s="3"/>
      <c r="L36" s="3"/>
      <c r="M36" s="3"/>
      <c r="N36" s="3"/>
      <c r="O36" s="3"/>
      <c r="P36" s="4"/>
      <c r="Q36" s="54" t="s">
        <v>371</v>
      </c>
      <c r="R36" s="3"/>
      <c r="S36" s="3"/>
      <c r="T36" s="3"/>
      <c r="U36" s="3"/>
      <c r="V36" s="3"/>
      <c r="W36" s="4"/>
      <c r="X36" s="49" t="s">
        <v>372</v>
      </c>
      <c r="Y36" s="3"/>
      <c r="Z36" s="3"/>
      <c r="AA36" s="3"/>
      <c r="AB36" s="3"/>
      <c r="AC36" s="3"/>
      <c r="AD36" s="4"/>
      <c r="AE36" s="48" t="s">
        <v>286</v>
      </c>
      <c r="AF36" s="4"/>
      <c r="AG36" s="57" t="s">
        <v>57</v>
      </c>
      <c r="AH36" s="3"/>
      <c r="AI36" s="4"/>
      <c r="AJ36" s="58"/>
      <c r="AK36" s="3"/>
      <c r="AL36" s="4"/>
      <c r="AM36" s="57" t="s">
        <v>196</v>
      </c>
      <c r="AN36" s="3"/>
      <c r="AO36" s="4"/>
      <c r="AP36" s="59">
        <v>46147.0</v>
      </c>
      <c r="AQ36" s="3"/>
      <c r="AR36" s="4"/>
      <c r="AS36" s="48"/>
      <c r="AT36" s="3"/>
      <c r="AU36" s="4"/>
      <c r="AV36" s="55" t="s">
        <v>57</v>
      </c>
      <c r="AW36" s="3"/>
      <c r="AX36" s="4"/>
      <c r="AY36" s="48"/>
      <c r="AZ36" s="3"/>
      <c r="BA36" s="4"/>
      <c r="BB36" s="55" t="s">
        <v>199</v>
      </c>
      <c r="BC36" s="3"/>
      <c r="BD36" s="4"/>
      <c r="BE36" s="56">
        <v>46238.0</v>
      </c>
      <c r="BF36" s="3"/>
      <c r="BG36" s="4"/>
      <c r="BH36" s="48"/>
      <c r="BI36" s="3"/>
      <c r="BJ36" s="4"/>
      <c r="BK36" s="49"/>
      <c r="BL36" s="3"/>
      <c r="BM36" s="3"/>
      <c r="BN36" s="3"/>
      <c r="BO36" s="3"/>
      <c r="BP36" s="3"/>
      <c r="BQ36" s="4"/>
    </row>
    <row r="37" ht="399.75" customHeight="1">
      <c r="A37" s="47">
        <v>22.0</v>
      </c>
      <c r="B37" s="49" t="s">
        <v>373</v>
      </c>
      <c r="C37" s="3"/>
      <c r="D37" s="4"/>
      <c r="E37" s="49" t="s">
        <v>374</v>
      </c>
      <c r="F37" s="3"/>
      <c r="G37" s="3"/>
      <c r="H37" s="3"/>
      <c r="I37" s="4"/>
      <c r="J37" s="49" t="s">
        <v>271</v>
      </c>
      <c r="K37" s="3"/>
      <c r="L37" s="3"/>
      <c r="M37" s="3"/>
      <c r="N37" s="3"/>
      <c r="O37" s="3"/>
      <c r="P37" s="4"/>
      <c r="Q37" s="54" t="s">
        <v>375</v>
      </c>
      <c r="R37" s="3"/>
      <c r="S37" s="3"/>
      <c r="T37" s="3"/>
      <c r="U37" s="3"/>
      <c r="V37" s="3"/>
      <c r="W37" s="4"/>
      <c r="X37" s="49" t="s">
        <v>376</v>
      </c>
      <c r="Y37" s="3"/>
      <c r="Z37" s="3"/>
      <c r="AA37" s="3"/>
      <c r="AB37" s="3"/>
      <c r="AC37" s="3"/>
      <c r="AD37" s="4"/>
      <c r="AE37" s="48" t="s">
        <v>209</v>
      </c>
      <c r="AF37" s="4"/>
      <c r="AG37" s="57" t="s">
        <v>57</v>
      </c>
      <c r="AH37" s="3"/>
      <c r="AI37" s="4"/>
      <c r="AJ37" s="58"/>
      <c r="AK37" s="3"/>
      <c r="AL37" s="4"/>
      <c r="AM37" s="57" t="s">
        <v>196</v>
      </c>
      <c r="AN37" s="3"/>
      <c r="AO37" s="4"/>
      <c r="AP37" s="59">
        <v>46147.0</v>
      </c>
      <c r="AQ37" s="3"/>
      <c r="AR37" s="4"/>
      <c r="AS37" s="48"/>
      <c r="AT37" s="3"/>
      <c r="AU37" s="4"/>
      <c r="AV37" s="55" t="s">
        <v>57</v>
      </c>
      <c r="AW37" s="3"/>
      <c r="AX37" s="4"/>
      <c r="AY37" s="48"/>
      <c r="AZ37" s="3"/>
      <c r="BA37" s="4"/>
      <c r="BB37" s="55" t="s">
        <v>199</v>
      </c>
      <c r="BC37" s="3"/>
      <c r="BD37" s="4"/>
      <c r="BE37" s="56">
        <v>46238.0</v>
      </c>
      <c r="BF37" s="3"/>
      <c r="BG37" s="4"/>
      <c r="BH37" s="48"/>
      <c r="BI37" s="3"/>
      <c r="BJ37" s="4"/>
      <c r="BK37" s="49"/>
      <c r="BL37" s="3"/>
      <c r="BM37" s="3"/>
      <c r="BN37" s="3"/>
      <c r="BO37" s="3"/>
      <c r="BP37" s="3"/>
      <c r="BQ37" s="4"/>
    </row>
    <row r="38" ht="384.0" customHeight="1">
      <c r="A38" s="47">
        <v>23.0</v>
      </c>
      <c r="B38" s="49" t="s">
        <v>377</v>
      </c>
      <c r="C38" s="3"/>
      <c r="D38" s="4"/>
      <c r="E38" s="49" t="s">
        <v>378</v>
      </c>
      <c r="F38" s="3"/>
      <c r="G38" s="3"/>
      <c r="H38" s="3"/>
      <c r="I38" s="4"/>
      <c r="J38" s="49" t="s">
        <v>379</v>
      </c>
      <c r="K38" s="3"/>
      <c r="L38" s="3"/>
      <c r="M38" s="3"/>
      <c r="N38" s="3"/>
      <c r="O38" s="3"/>
      <c r="P38" s="4"/>
      <c r="Q38" s="54" t="s">
        <v>380</v>
      </c>
      <c r="R38" s="3"/>
      <c r="S38" s="3"/>
      <c r="T38" s="3"/>
      <c r="U38" s="3"/>
      <c r="V38" s="3"/>
      <c r="W38" s="4"/>
      <c r="X38" s="49" t="s">
        <v>381</v>
      </c>
      <c r="Y38" s="3"/>
      <c r="Z38" s="3"/>
      <c r="AA38" s="3"/>
      <c r="AB38" s="3"/>
      <c r="AC38" s="3"/>
      <c r="AD38" s="4"/>
      <c r="AE38" s="48" t="s">
        <v>209</v>
      </c>
      <c r="AF38" s="4"/>
      <c r="AG38" s="57" t="s">
        <v>57</v>
      </c>
      <c r="AH38" s="3"/>
      <c r="AI38" s="4"/>
      <c r="AJ38" s="58"/>
      <c r="AK38" s="3"/>
      <c r="AL38" s="4"/>
      <c r="AM38" s="57" t="s">
        <v>196</v>
      </c>
      <c r="AN38" s="3"/>
      <c r="AO38" s="4"/>
      <c r="AP38" s="59">
        <v>46147.0</v>
      </c>
      <c r="AQ38" s="3"/>
      <c r="AR38" s="4"/>
      <c r="AS38" s="48"/>
      <c r="AT38" s="3"/>
      <c r="AU38" s="4"/>
      <c r="AV38" s="55" t="s">
        <v>57</v>
      </c>
      <c r="AW38" s="3"/>
      <c r="AX38" s="4"/>
      <c r="AY38" s="48"/>
      <c r="AZ38" s="3"/>
      <c r="BA38" s="4"/>
      <c r="BB38" s="55" t="s">
        <v>199</v>
      </c>
      <c r="BC38" s="3"/>
      <c r="BD38" s="4"/>
      <c r="BE38" s="56">
        <v>46238.0</v>
      </c>
      <c r="BF38" s="3"/>
      <c r="BG38" s="4"/>
      <c r="BH38" s="48"/>
      <c r="BI38" s="3"/>
      <c r="BJ38" s="4"/>
      <c r="BK38" s="49"/>
      <c r="BL38" s="3"/>
      <c r="BM38" s="3"/>
      <c r="BN38" s="3"/>
      <c r="BO38" s="3"/>
      <c r="BP38" s="3"/>
      <c r="BQ38" s="4"/>
    </row>
    <row r="39" ht="447.75" customHeight="1">
      <c r="A39" s="47">
        <v>24.0</v>
      </c>
      <c r="B39" s="49" t="s">
        <v>382</v>
      </c>
      <c r="C39" s="3"/>
      <c r="D39" s="4"/>
      <c r="E39" s="49" t="s">
        <v>383</v>
      </c>
      <c r="F39" s="3"/>
      <c r="G39" s="3"/>
      <c r="H39" s="3"/>
      <c r="I39" s="4"/>
      <c r="J39" s="49" t="s">
        <v>379</v>
      </c>
      <c r="K39" s="3"/>
      <c r="L39" s="3"/>
      <c r="M39" s="3"/>
      <c r="N39" s="3"/>
      <c r="O39" s="3"/>
      <c r="P39" s="4"/>
      <c r="Q39" s="49" t="s">
        <v>384</v>
      </c>
      <c r="R39" s="3"/>
      <c r="S39" s="3"/>
      <c r="T39" s="3"/>
      <c r="U39" s="3"/>
      <c r="V39" s="3"/>
      <c r="W39" s="4"/>
      <c r="X39" s="49" t="s">
        <v>385</v>
      </c>
      <c r="Y39" s="3"/>
      <c r="Z39" s="3"/>
      <c r="AA39" s="3"/>
      <c r="AB39" s="3"/>
      <c r="AC39" s="3"/>
      <c r="AD39" s="4"/>
      <c r="AE39" s="48" t="s">
        <v>194</v>
      </c>
      <c r="AF39" s="4"/>
      <c r="AG39" s="57" t="s">
        <v>57</v>
      </c>
      <c r="AH39" s="3"/>
      <c r="AI39" s="4"/>
      <c r="AJ39" s="58"/>
      <c r="AK39" s="3"/>
      <c r="AL39" s="4"/>
      <c r="AM39" s="57" t="s">
        <v>196</v>
      </c>
      <c r="AN39" s="3"/>
      <c r="AO39" s="4"/>
      <c r="AP39" s="59">
        <v>46147.0</v>
      </c>
      <c r="AQ39" s="3"/>
      <c r="AR39" s="4"/>
      <c r="AS39" s="48"/>
      <c r="AT39" s="3"/>
      <c r="AU39" s="4"/>
      <c r="AV39" s="55" t="s">
        <v>57</v>
      </c>
      <c r="AW39" s="3"/>
      <c r="AX39" s="4"/>
      <c r="AY39" s="48"/>
      <c r="AZ39" s="3"/>
      <c r="BA39" s="4"/>
      <c r="BB39" s="55" t="s">
        <v>199</v>
      </c>
      <c r="BC39" s="3"/>
      <c r="BD39" s="4"/>
      <c r="BE39" s="56">
        <v>46238.0</v>
      </c>
      <c r="BF39" s="3"/>
      <c r="BG39" s="4"/>
      <c r="BH39" s="48"/>
      <c r="BI39" s="3"/>
      <c r="BJ39" s="4"/>
      <c r="BK39" s="49"/>
      <c r="BL39" s="3"/>
      <c r="BM39" s="3"/>
      <c r="BN39" s="3"/>
      <c r="BO39" s="3"/>
      <c r="BP39" s="3"/>
      <c r="BQ39" s="4"/>
    </row>
    <row r="40" ht="336.0" customHeight="1">
      <c r="A40" s="47">
        <v>25.0</v>
      </c>
      <c r="B40" s="49" t="s">
        <v>386</v>
      </c>
      <c r="C40" s="3"/>
      <c r="D40" s="4"/>
      <c r="E40" s="49" t="s">
        <v>387</v>
      </c>
      <c r="F40" s="3"/>
      <c r="G40" s="3"/>
      <c r="H40" s="3"/>
      <c r="I40" s="4"/>
      <c r="J40" s="49" t="s">
        <v>388</v>
      </c>
      <c r="K40" s="3"/>
      <c r="L40" s="3"/>
      <c r="M40" s="3"/>
      <c r="N40" s="3"/>
      <c r="O40" s="3"/>
      <c r="P40" s="4"/>
      <c r="Q40" s="49" t="s">
        <v>389</v>
      </c>
      <c r="R40" s="3"/>
      <c r="S40" s="3"/>
      <c r="T40" s="3"/>
      <c r="U40" s="3"/>
      <c r="V40" s="3"/>
      <c r="W40" s="4"/>
      <c r="X40" s="49" t="s">
        <v>390</v>
      </c>
      <c r="Y40" s="3"/>
      <c r="Z40" s="3"/>
      <c r="AA40" s="3"/>
      <c r="AB40" s="3"/>
      <c r="AC40" s="3"/>
      <c r="AD40" s="4"/>
      <c r="AE40" s="48" t="s">
        <v>194</v>
      </c>
      <c r="AF40" s="4"/>
      <c r="AG40" s="57" t="s">
        <v>57</v>
      </c>
      <c r="AH40" s="3"/>
      <c r="AI40" s="4"/>
      <c r="AJ40" s="58"/>
      <c r="AK40" s="3"/>
      <c r="AL40" s="4"/>
      <c r="AM40" s="57" t="s">
        <v>196</v>
      </c>
      <c r="AN40" s="3"/>
      <c r="AO40" s="4"/>
      <c r="AP40" s="59">
        <v>46147.0</v>
      </c>
      <c r="AQ40" s="3"/>
      <c r="AR40" s="4"/>
      <c r="AS40" s="48"/>
      <c r="AT40" s="3"/>
      <c r="AU40" s="4"/>
      <c r="AV40" s="55" t="s">
        <v>57</v>
      </c>
      <c r="AW40" s="3"/>
      <c r="AX40" s="4"/>
      <c r="AY40" s="48"/>
      <c r="AZ40" s="3"/>
      <c r="BA40" s="4"/>
      <c r="BB40" s="55" t="s">
        <v>199</v>
      </c>
      <c r="BC40" s="3"/>
      <c r="BD40" s="4"/>
      <c r="BE40" s="56">
        <v>46238.0</v>
      </c>
      <c r="BF40" s="3"/>
      <c r="BG40" s="4"/>
      <c r="BH40" s="48"/>
      <c r="BI40" s="3"/>
      <c r="BJ40" s="4"/>
      <c r="BK40" s="49"/>
      <c r="BL40" s="3"/>
      <c r="BM40" s="3"/>
      <c r="BN40" s="3"/>
      <c r="BO40" s="3"/>
      <c r="BP40" s="3"/>
      <c r="BQ40" s="4"/>
    </row>
    <row r="41" ht="384.0" customHeight="1">
      <c r="A41" s="47">
        <v>26.0</v>
      </c>
      <c r="B41" s="49" t="s">
        <v>391</v>
      </c>
      <c r="C41" s="3"/>
      <c r="D41" s="4"/>
      <c r="E41" s="49" t="s">
        <v>392</v>
      </c>
      <c r="F41" s="3"/>
      <c r="G41" s="3"/>
      <c r="H41" s="3"/>
      <c r="I41" s="4"/>
      <c r="J41" s="49" t="s">
        <v>393</v>
      </c>
      <c r="K41" s="3"/>
      <c r="L41" s="3"/>
      <c r="M41" s="3"/>
      <c r="N41" s="3"/>
      <c r="O41" s="3"/>
      <c r="P41" s="4"/>
      <c r="Q41" s="49" t="s">
        <v>394</v>
      </c>
      <c r="R41" s="3"/>
      <c r="S41" s="3"/>
      <c r="T41" s="3"/>
      <c r="U41" s="3"/>
      <c r="V41" s="3"/>
      <c r="W41" s="4"/>
      <c r="X41" s="49" t="s">
        <v>395</v>
      </c>
      <c r="Y41" s="3"/>
      <c r="Z41" s="3"/>
      <c r="AA41" s="3"/>
      <c r="AB41" s="3"/>
      <c r="AC41" s="3"/>
      <c r="AD41" s="4"/>
      <c r="AE41" s="48" t="s">
        <v>194</v>
      </c>
      <c r="AF41" s="4"/>
      <c r="AG41" s="57" t="s">
        <v>57</v>
      </c>
      <c r="AH41" s="3"/>
      <c r="AI41" s="4"/>
      <c r="AJ41" s="58"/>
      <c r="AK41" s="3"/>
      <c r="AL41" s="4"/>
      <c r="AM41" s="57" t="s">
        <v>196</v>
      </c>
      <c r="AN41" s="3"/>
      <c r="AO41" s="4"/>
      <c r="AP41" s="59">
        <v>46147.0</v>
      </c>
      <c r="AQ41" s="3"/>
      <c r="AR41" s="4"/>
      <c r="AS41" s="48"/>
      <c r="AT41" s="3"/>
      <c r="AU41" s="4"/>
      <c r="AV41" s="55" t="s">
        <v>57</v>
      </c>
      <c r="AW41" s="3"/>
      <c r="AX41" s="4"/>
      <c r="AY41" s="48"/>
      <c r="AZ41" s="3"/>
      <c r="BA41" s="4"/>
      <c r="BB41" s="55" t="s">
        <v>199</v>
      </c>
      <c r="BC41" s="3"/>
      <c r="BD41" s="4"/>
      <c r="BE41" s="56">
        <v>46238.0</v>
      </c>
      <c r="BF41" s="3"/>
      <c r="BG41" s="4"/>
      <c r="BH41" s="48"/>
      <c r="BI41" s="3"/>
      <c r="BJ41" s="4"/>
      <c r="BK41" s="49"/>
      <c r="BL41" s="3"/>
      <c r="BM41" s="3"/>
      <c r="BN41" s="3"/>
      <c r="BO41" s="3"/>
      <c r="BP41" s="3"/>
      <c r="BQ41" s="4"/>
    </row>
    <row r="42" ht="384.0" customHeight="1">
      <c r="A42" s="47">
        <v>27.0</v>
      </c>
      <c r="B42" s="49" t="s">
        <v>396</v>
      </c>
      <c r="C42" s="3"/>
      <c r="D42" s="4"/>
      <c r="E42" s="49" t="s">
        <v>397</v>
      </c>
      <c r="F42" s="3"/>
      <c r="G42" s="3"/>
      <c r="H42" s="3"/>
      <c r="I42" s="4"/>
      <c r="J42" s="49" t="s">
        <v>398</v>
      </c>
      <c r="K42" s="3"/>
      <c r="L42" s="3"/>
      <c r="M42" s="3"/>
      <c r="N42" s="3"/>
      <c r="O42" s="3"/>
      <c r="P42" s="4"/>
      <c r="Q42" s="54" t="s">
        <v>399</v>
      </c>
      <c r="R42" s="3"/>
      <c r="S42" s="3"/>
      <c r="T42" s="3"/>
      <c r="U42" s="3"/>
      <c r="V42" s="3"/>
      <c r="W42" s="4"/>
      <c r="X42" s="49" t="s">
        <v>400</v>
      </c>
      <c r="Y42" s="3"/>
      <c r="Z42" s="3"/>
      <c r="AA42" s="3"/>
      <c r="AB42" s="3"/>
      <c r="AC42" s="3"/>
      <c r="AD42" s="4"/>
      <c r="AE42" s="48" t="s">
        <v>194</v>
      </c>
      <c r="AF42" s="4"/>
      <c r="AG42" s="57" t="s">
        <v>57</v>
      </c>
      <c r="AH42" s="3"/>
      <c r="AI42" s="4"/>
      <c r="AJ42" s="58"/>
      <c r="AK42" s="3"/>
      <c r="AL42" s="4"/>
      <c r="AM42" s="57" t="s">
        <v>196</v>
      </c>
      <c r="AN42" s="3"/>
      <c r="AO42" s="4"/>
      <c r="AP42" s="59">
        <v>46147.0</v>
      </c>
      <c r="AQ42" s="3"/>
      <c r="AR42" s="4"/>
      <c r="AS42" s="48"/>
      <c r="AT42" s="3"/>
      <c r="AU42" s="4"/>
      <c r="AV42" s="55" t="s">
        <v>57</v>
      </c>
      <c r="AW42" s="3"/>
      <c r="AX42" s="4"/>
      <c r="AY42" s="48"/>
      <c r="AZ42" s="3"/>
      <c r="BA42" s="4"/>
      <c r="BB42" s="55" t="s">
        <v>199</v>
      </c>
      <c r="BC42" s="3"/>
      <c r="BD42" s="4"/>
      <c r="BE42" s="56">
        <v>46238.0</v>
      </c>
      <c r="BF42" s="3"/>
      <c r="BG42" s="4"/>
      <c r="BH42" s="48"/>
      <c r="BI42" s="3"/>
      <c r="BJ42" s="4"/>
      <c r="BK42" s="49" t="s">
        <v>250</v>
      </c>
      <c r="BL42" s="3"/>
      <c r="BM42" s="3"/>
      <c r="BN42" s="3"/>
      <c r="BO42" s="3"/>
      <c r="BP42" s="3"/>
      <c r="BQ42" s="4"/>
    </row>
    <row r="43" ht="22.5" customHeight="1">
      <c r="A43" s="13" t="s">
        <v>401</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4"/>
    </row>
    <row r="44" ht="450.0" customHeight="1">
      <c r="A44" s="47">
        <v>28.0</v>
      </c>
      <c r="B44" s="49" t="s">
        <v>402</v>
      </c>
      <c r="C44" s="3"/>
      <c r="D44" s="4"/>
      <c r="E44" s="49" t="s">
        <v>403</v>
      </c>
      <c r="F44" s="3"/>
      <c r="G44" s="3"/>
      <c r="H44" s="3"/>
      <c r="I44" s="4"/>
      <c r="J44" s="49" t="s">
        <v>404</v>
      </c>
      <c r="K44" s="3"/>
      <c r="L44" s="3"/>
      <c r="M44" s="3"/>
      <c r="N44" s="3"/>
      <c r="O44" s="3"/>
      <c r="P44" s="4"/>
      <c r="Q44" s="54" t="s">
        <v>405</v>
      </c>
      <c r="R44" s="3"/>
      <c r="S44" s="3"/>
      <c r="T44" s="3"/>
      <c r="U44" s="3"/>
      <c r="V44" s="3"/>
      <c r="W44" s="4"/>
      <c r="X44" s="54" t="s">
        <v>406</v>
      </c>
      <c r="Y44" s="3"/>
      <c r="Z44" s="3"/>
      <c r="AA44" s="3"/>
      <c r="AB44" s="3"/>
      <c r="AC44" s="3"/>
      <c r="AD44" s="4"/>
      <c r="AE44" s="48" t="s">
        <v>194</v>
      </c>
      <c r="AF44" s="4"/>
      <c r="AG44" s="57" t="s">
        <v>57</v>
      </c>
      <c r="AH44" s="3"/>
      <c r="AI44" s="4"/>
      <c r="AJ44" s="58"/>
      <c r="AK44" s="3"/>
      <c r="AL44" s="4"/>
      <c r="AM44" s="57" t="s">
        <v>196</v>
      </c>
      <c r="AN44" s="3"/>
      <c r="AO44" s="4"/>
      <c r="AP44" s="59">
        <v>46147.0</v>
      </c>
      <c r="AQ44" s="3"/>
      <c r="AR44" s="4"/>
      <c r="AS44" s="48"/>
      <c r="AT44" s="3"/>
      <c r="AU44" s="4"/>
      <c r="AV44" s="55" t="s">
        <v>57</v>
      </c>
      <c r="AW44" s="3"/>
      <c r="AX44" s="4"/>
      <c r="AY44" s="48"/>
      <c r="AZ44" s="3"/>
      <c r="BA44" s="4"/>
      <c r="BB44" s="55" t="s">
        <v>199</v>
      </c>
      <c r="BC44" s="3"/>
      <c r="BD44" s="4"/>
      <c r="BE44" s="56">
        <v>46238.0</v>
      </c>
      <c r="BF44" s="3"/>
      <c r="BG44" s="4"/>
      <c r="BH44" s="48"/>
      <c r="BI44" s="3"/>
      <c r="BJ44" s="4"/>
      <c r="BK44" s="49"/>
      <c r="BL44" s="3"/>
      <c r="BM44" s="3"/>
      <c r="BN44" s="3"/>
      <c r="BO44" s="3"/>
      <c r="BP44" s="3"/>
      <c r="BQ44" s="4"/>
    </row>
    <row r="45" ht="351.75" customHeight="1">
      <c r="A45" s="47">
        <v>29.0</v>
      </c>
      <c r="B45" s="49" t="s">
        <v>407</v>
      </c>
      <c r="C45" s="3"/>
      <c r="D45" s="4"/>
      <c r="E45" s="49" t="s">
        <v>408</v>
      </c>
      <c r="F45" s="3"/>
      <c r="G45" s="3"/>
      <c r="H45" s="3"/>
      <c r="I45" s="4"/>
      <c r="J45" s="49" t="s">
        <v>409</v>
      </c>
      <c r="K45" s="3"/>
      <c r="L45" s="3"/>
      <c r="M45" s="3"/>
      <c r="N45" s="3"/>
      <c r="O45" s="3"/>
      <c r="P45" s="4"/>
      <c r="Q45" s="49" t="s">
        <v>410</v>
      </c>
      <c r="R45" s="3"/>
      <c r="S45" s="3"/>
      <c r="T45" s="3"/>
      <c r="U45" s="3"/>
      <c r="V45" s="3"/>
      <c r="W45" s="4"/>
      <c r="X45" s="49" t="s">
        <v>411</v>
      </c>
      <c r="Y45" s="3"/>
      <c r="Z45" s="3"/>
      <c r="AA45" s="3"/>
      <c r="AB45" s="3"/>
      <c r="AC45" s="3"/>
      <c r="AD45" s="4"/>
      <c r="AE45" s="48" t="s">
        <v>194</v>
      </c>
      <c r="AF45" s="4"/>
      <c r="AG45" s="57" t="s">
        <v>57</v>
      </c>
      <c r="AH45" s="3"/>
      <c r="AI45" s="4"/>
      <c r="AJ45" s="58"/>
      <c r="AK45" s="3"/>
      <c r="AL45" s="4"/>
      <c r="AM45" s="57" t="s">
        <v>196</v>
      </c>
      <c r="AN45" s="3"/>
      <c r="AO45" s="4"/>
      <c r="AP45" s="59">
        <v>46147.0</v>
      </c>
      <c r="AQ45" s="3"/>
      <c r="AR45" s="4"/>
      <c r="AS45" s="48"/>
      <c r="AT45" s="3"/>
      <c r="AU45" s="4"/>
      <c r="AV45" s="55" t="s">
        <v>57</v>
      </c>
      <c r="AW45" s="3"/>
      <c r="AX45" s="4"/>
      <c r="AY45" s="48"/>
      <c r="AZ45" s="3"/>
      <c r="BA45" s="4"/>
      <c r="BB45" s="55" t="s">
        <v>199</v>
      </c>
      <c r="BC45" s="3"/>
      <c r="BD45" s="4"/>
      <c r="BE45" s="56">
        <v>46238.0</v>
      </c>
      <c r="BF45" s="3"/>
      <c r="BG45" s="4"/>
      <c r="BH45" s="48"/>
      <c r="BI45" s="3"/>
      <c r="BJ45" s="4"/>
      <c r="BK45" s="49"/>
      <c r="BL45" s="3"/>
      <c r="BM45" s="3"/>
      <c r="BN45" s="3"/>
      <c r="BO45" s="3"/>
      <c r="BP45" s="3"/>
      <c r="BQ45" s="4"/>
    </row>
    <row r="46" ht="450.0" customHeight="1">
      <c r="A46" s="47">
        <v>30.0</v>
      </c>
      <c r="B46" s="49" t="s">
        <v>412</v>
      </c>
      <c r="C46" s="3"/>
      <c r="D46" s="4"/>
      <c r="E46" s="49" t="s">
        <v>413</v>
      </c>
      <c r="F46" s="3"/>
      <c r="G46" s="3"/>
      <c r="H46" s="3"/>
      <c r="I46" s="4"/>
      <c r="J46" s="49" t="s">
        <v>414</v>
      </c>
      <c r="K46" s="3"/>
      <c r="L46" s="3"/>
      <c r="M46" s="3"/>
      <c r="N46" s="3"/>
      <c r="O46" s="3"/>
      <c r="P46" s="4"/>
      <c r="Q46" s="54" t="s">
        <v>415</v>
      </c>
      <c r="R46" s="3"/>
      <c r="S46" s="3"/>
      <c r="T46" s="3"/>
      <c r="U46" s="3"/>
      <c r="V46" s="3"/>
      <c r="W46" s="4"/>
      <c r="X46" s="54" t="s">
        <v>416</v>
      </c>
      <c r="Y46" s="3"/>
      <c r="Z46" s="3"/>
      <c r="AA46" s="3"/>
      <c r="AB46" s="3"/>
      <c r="AC46" s="3"/>
      <c r="AD46" s="4"/>
      <c r="AE46" s="48" t="s">
        <v>209</v>
      </c>
      <c r="AF46" s="4"/>
      <c r="AG46" s="55" t="s">
        <v>60</v>
      </c>
      <c r="AH46" s="3"/>
      <c r="AI46" s="4"/>
      <c r="AJ46" s="48"/>
      <c r="AK46" s="3"/>
      <c r="AL46" s="4"/>
      <c r="AM46" s="48"/>
      <c r="AN46" s="3"/>
      <c r="AO46" s="4"/>
      <c r="AP46" s="48"/>
      <c r="AQ46" s="3"/>
      <c r="AR46" s="4"/>
      <c r="AS46" s="48"/>
      <c r="AT46" s="3"/>
      <c r="AU46" s="4"/>
      <c r="AV46" s="55" t="s">
        <v>57</v>
      </c>
      <c r="AW46" s="3"/>
      <c r="AX46" s="4"/>
      <c r="AY46" s="48"/>
      <c r="AZ46" s="3"/>
      <c r="BA46" s="4"/>
      <c r="BB46" s="55" t="s">
        <v>199</v>
      </c>
      <c r="BC46" s="3"/>
      <c r="BD46" s="4"/>
      <c r="BE46" s="56">
        <v>46238.0</v>
      </c>
      <c r="BF46" s="3"/>
      <c r="BG46" s="4"/>
      <c r="BH46" s="48"/>
      <c r="BI46" s="3"/>
      <c r="BJ46" s="4"/>
      <c r="BK46" s="49" t="s">
        <v>417</v>
      </c>
      <c r="BL46" s="3"/>
      <c r="BM46" s="3"/>
      <c r="BN46" s="3"/>
      <c r="BO46" s="3"/>
      <c r="BP46" s="3"/>
      <c r="BQ46" s="4"/>
    </row>
    <row r="47" ht="336.0" customHeight="1">
      <c r="A47" s="47">
        <v>31.0</v>
      </c>
      <c r="B47" s="49" t="s">
        <v>418</v>
      </c>
      <c r="C47" s="3"/>
      <c r="D47" s="4"/>
      <c r="E47" s="49" t="s">
        <v>419</v>
      </c>
      <c r="F47" s="3"/>
      <c r="G47" s="3"/>
      <c r="H47" s="3"/>
      <c r="I47" s="4"/>
      <c r="J47" s="49" t="s">
        <v>420</v>
      </c>
      <c r="K47" s="3"/>
      <c r="L47" s="3"/>
      <c r="M47" s="3"/>
      <c r="N47" s="3"/>
      <c r="O47" s="3"/>
      <c r="P47" s="4"/>
      <c r="Q47" s="54" t="s">
        <v>421</v>
      </c>
      <c r="R47" s="3"/>
      <c r="S47" s="3"/>
      <c r="T47" s="3"/>
      <c r="U47" s="3"/>
      <c r="V47" s="3"/>
      <c r="W47" s="4"/>
      <c r="X47" s="49" t="s">
        <v>422</v>
      </c>
      <c r="Y47" s="3"/>
      <c r="Z47" s="3"/>
      <c r="AA47" s="3"/>
      <c r="AB47" s="3"/>
      <c r="AC47" s="3"/>
      <c r="AD47" s="4"/>
      <c r="AE47" s="48" t="s">
        <v>209</v>
      </c>
      <c r="AF47" s="4"/>
      <c r="AG47" s="57" t="s">
        <v>57</v>
      </c>
      <c r="AH47" s="3"/>
      <c r="AI47" s="4"/>
      <c r="AJ47" s="58"/>
      <c r="AK47" s="3"/>
      <c r="AL47" s="4"/>
      <c r="AM47" s="57" t="s">
        <v>196</v>
      </c>
      <c r="AN47" s="3"/>
      <c r="AO47" s="4"/>
      <c r="AP47" s="59">
        <v>46147.0</v>
      </c>
      <c r="AQ47" s="3"/>
      <c r="AR47" s="4"/>
      <c r="AS47" s="48"/>
      <c r="AT47" s="3"/>
      <c r="AU47" s="4"/>
      <c r="AV47" s="55" t="s">
        <v>57</v>
      </c>
      <c r="AW47" s="3"/>
      <c r="AX47" s="4"/>
      <c r="AY47" s="48"/>
      <c r="AZ47" s="3"/>
      <c r="BA47" s="4"/>
      <c r="BB47" s="55" t="s">
        <v>199</v>
      </c>
      <c r="BC47" s="3"/>
      <c r="BD47" s="4"/>
      <c r="BE47" s="56">
        <v>46238.0</v>
      </c>
      <c r="BF47" s="3"/>
      <c r="BG47" s="4"/>
      <c r="BH47" s="48"/>
      <c r="BI47" s="3"/>
      <c r="BJ47" s="4"/>
      <c r="BK47" s="49"/>
      <c r="BL47" s="3"/>
      <c r="BM47" s="3"/>
      <c r="BN47" s="3"/>
      <c r="BO47" s="3"/>
      <c r="BP47" s="3"/>
      <c r="BQ47" s="4"/>
    </row>
    <row r="48" ht="432.0" customHeight="1">
      <c r="A48" s="47">
        <v>32.0</v>
      </c>
      <c r="B48" s="49" t="s">
        <v>423</v>
      </c>
      <c r="C48" s="3"/>
      <c r="D48" s="4"/>
      <c r="E48" s="49" t="s">
        <v>424</v>
      </c>
      <c r="F48" s="3"/>
      <c r="G48" s="3"/>
      <c r="H48" s="3"/>
      <c r="I48" s="4"/>
      <c r="J48" s="49" t="s">
        <v>425</v>
      </c>
      <c r="K48" s="3"/>
      <c r="L48" s="3"/>
      <c r="M48" s="3"/>
      <c r="N48" s="3"/>
      <c r="O48" s="3"/>
      <c r="P48" s="4"/>
      <c r="Q48" s="54" t="s">
        <v>426</v>
      </c>
      <c r="R48" s="3"/>
      <c r="S48" s="3"/>
      <c r="T48" s="3"/>
      <c r="U48" s="3"/>
      <c r="V48" s="3"/>
      <c r="W48" s="4"/>
      <c r="X48" s="49" t="s">
        <v>427</v>
      </c>
      <c r="Y48" s="3"/>
      <c r="Z48" s="3"/>
      <c r="AA48" s="3"/>
      <c r="AB48" s="3"/>
      <c r="AC48" s="3"/>
      <c r="AD48" s="4"/>
      <c r="AE48" s="48" t="s">
        <v>209</v>
      </c>
      <c r="AF48" s="4"/>
      <c r="AG48" s="57" t="s">
        <v>57</v>
      </c>
      <c r="AH48" s="3"/>
      <c r="AI48" s="4"/>
      <c r="AJ48" s="58"/>
      <c r="AK48" s="3"/>
      <c r="AL48" s="4"/>
      <c r="AM48" s="57" t="s">
        <v>196</v>
      </c>
      <c r="AN48" s="3"/>
      <c r="AO48" s="4"/>
      <c r="AP48" s="59">
        <v>46147.0</v>
      </c>
      <c r="AQ48" s="3"/>
      <c r="AR48" s="4"/>
      <c r="AS48" s="48"/>
      <c r="AT48" s="3"/>
      <c r="AU48" s="4"/>
      <c r="AV48" s="55" t="s">
        <v>57</v>
      </c>
      <c r="AW48" s="3"/>
      <c r="AX48" s="4"/>
      <c r="AY48" s="48"/>
      <c r="AZ48" s="3"/>
      <c r="BA48" s="4"/>
      <c r="BB48" s="55" t="s">
        <v>199</v>
      </c>
      <c r="BC48" s="3"/>
      <c r="BD48" s="4"/>
      <c r="BE48" s="56">
        <v>46238.0</v>
      </c>
      <c r="BF48" s="3"/>
      <c r="BG48" s="4"/>
      <c r="BH48" s="48"/>
      <c r="BI48" s="3"/>
      <c r="BJ48" s="4"/>
      <c r="BK48" s="49"/>
      <c r="BL48" s="3"/>
      <c r="BM48" s="3"/>
      <c r="BN48" s="3"/>
      <c r="BO48" s="3"/>
      <c r="BP48" s="3"/>
      <c r="BQ48" s="4"/>
    </row>
    <row r="49" ht="450.0" customHeight="1">
      <c r="A49" s="47">
        <v>33.0</v>
      </c>
      <c r="B49" s="49" t="s">
        <v>428</v>
      </c>
      <c r="C49" s="3"/>
      <c r="D49" s="4"/>
      <c r="E49" s="49" t="s">
        <v>429</v>
      </c>
      <c r="F49" s="3"/>
      <c r="G49" s="3"/>
      <c r="H49" s="3"/>
      <c r="I49" s="4"/>
      <c r="J49" s="49" t="s">
        <v>430</v>
      </c>
      <c r="K49" s="3"/>
      <c r="L49" s="3"/>
      <c r="M49" s="3"/>
      <c r="N49" s="3"/>
      <c r="O49" s="3"/>
      <c r="P49" s="4"/>
      <c r="Q49" s="49" t="s">
        <v>431</v>
      </c>
      <c r="R49" s="3"/>
      <c r="S49" s="3"/>
      <c r="T49" s="3"/>
      <c r="U49" s="3"/>
      <c r="V49" s="3"/>
      <c r="W49" s="4"/>
      <c r="X49" s="49" t="s">
        <v>432</v>
      </c>
      <c r="Y49" s="3"/>
      <c r="Z49" s="3"/>
      <c r="AA49" s="3"/>
      <c r="AB49" s="3"/>
      <c r="AC49" s="3"/>
      <c r="AD49" s="4"/>
      <c r="AE49" s="48" t="s">
        <v>194</v>
      </c>
      <c r="AF49" s="4"/>
      <c r="AG49" s="57" t="s">
        <v>57</v>
      </c>
      <c r="AH49" s="3"/>
      <c r="AI49" s="4"/>
      <c r="AJ49" s="58"/>
      <c r="AK49" s="3"/>
      <c r="AL49" s="4"/>
      <c r="AM49" s="57" t="s">
        <v>196</v>
      </c>
      <c r="AN49" s="3"/>
      <c r="AO49" s="4"/>
      <c r="AP49" s="59">
        <v>46147.0</v>
      </c>
      <c r="AQ49" s="3"/>
      <c r="AR49" s="4"/>
      <c r="AS49" s="48"/>
      <c r="AT49" s="3"/>
      <c r="AU49" s="4"/>
      <c r="AV49" s="55" t="s">
        <v>57</v>
      </c>
      <c r="AW49" s="3"/>
      <c r="AX49" s="4"/>
      <c r="AY49" s="48"/>
      <c r="AZ49" s="3"/>
      <c r="BA49" s="4"/>
      <c r="BB49" s="55" t="s">
        <v>199</v>
      </c>
      <c r="BC49" s="3"/>
      <c r="BD49" s="4"/>
      <c r="BE49" s="56">
        <v>46238.0</v>
      </c>
      <c r="BF49" s="3"/>
      <c r="BG49" s="4"/>
      <c r="BH49" s="48"/>
      <c r="BI49" s="3"/>
      <c r="BJ49" s="4"/>
      <c r="BK49" s="49"/>
      <c r="BL49" s="3"/>
      <c r="BM49" s="3"/>
      <c r="BN49" s="3"/>
      <c r="BO49" s="3"/>
      <c r="BP49" s="3"/>
      <c r="BQ49" s="4"/>
    </row>
    <row r="50" ht="447.75" customHeight="1">
      <c r="A50" s="47">
        <v>34.0</v>
      </c>
      <c r="B50" s="49" t="s">
        <v>433</v>
      </c>
      <c r="C50" s="3"/>
      <c r="D50" s="4"/>
      <c r="E50" s="49" t="s">
        <v>434</v>
      </c>
      <c r="F50" s="3"/>
      <c r="G50" s="3"/>
      <c r="H50" s="3"/>
      <c r="I50" s="4"/>
      <c r="J50" s="49" t="s">
        <v>435</v>
      </c>
      <c r="K50" s="3"/>
      <c r="L50" s="3"/>
      <c r="M50" s="3"/>
      <c r="N50" s="3"/>
      <c r="O50" s="3"/>
      <c r="P50" s="4"/>
      <c r="Q50" s="49" t="s">
        <v>436</v>
      </c>
      <c r="R50" s="3"/>
      <c r="S50" s="3"/>
      <c r="T50" s="3"/>
      <c r="U50" s="3"/>
      <c r="V50" s="3"/>
      <c r="W50" s="4"/>
      <c r="X50" s="49" t="s">
        <v>437</v>
      </c>
      <c r="Y50" s="3"/>
      <c r="Z50" s="3"/>
      <c r="AA50" s="3"/>
      <c r="AB50" s="3"/>
      <c r="AC50" s="3"/>
      <c r="AD50" s="4"/>
      <c r="AE50" s="48" t="s">
        <v>209</v>
      </c>
      <c r="AF50" s="4"/>
      <c r="AG50" s="55" t="s">
        <v>60</v>
      </c>
      <c r="AH50" s="3"/>
      <c r="AI50" s="4"/>
      <c r="AJ50" s="48"/>
      <c r="AK50" s="3"/>
      <c r="AL50" s="4"/>
      <c r="AM50" s="48"/>
      <c r="AN50" s="3"/>
      <c r="AO50" s="4"/>
      <c r="AP50" s="48"/>
      <c r="AQ50" s="3"/>
      <c r="AR50" s="4"/>
      <c r="AS50" s="48"/>
      <c r="AT50" s="3"/>
      <c r="AU50" s="4"/>
      <c r="AV50" s="55" t="s">
        <v>57</v>
      </c>
      <c r="AW50" s="3"/>
      <c r="AX50" s="4"/>
      <c r="AY50" s="48"/>
      <c r="AZ50" s="3"/>
      <c r="BA50" s="4"/>
      <c r="BB50" s="55" t="s">
        <v>199</v>
      </c>
      <c r="BC50" s="3"/>
      <c r="BD50" s="4"/>
      <c r="BE50" s="56">
        <v>46238.0</v>
      </c>
      <c r="BF50" s="3"/>
      <c r="BG50" s="4"/>
      <c r="BH50" s="48"/>
      <c r="BI50" s="3"/>
      <c r="BJ50" s="4"/>
      <c r="BK50" s="49" t="s">
        <v>438</v>
      </c>
      <c r="BL50" s="3"/>
      <c r="BM50" s="3"/>
      <c r="BN50" s="3"/>
      <c r="BO50" s="3"/>
      <c r="BP50" s="3"/>
      <c r="BQ50" s="4"/>
    </row>
    <row r="51" ht="22.5" customHeight="1">
      <c r="A51" s="13" t="s">
        <v>439</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4"/>
    </row>
    <row r="52" ht="223.5" customHeight="1">
      <c r="A52" s="47">
        <v>35.0</v>
      </c>
      <c r="B52" s="49" t="s">
        <v>440</v>
      </c>
      <c r="C52" s="3"/>
      <c r="D52" s="4"/>
      <c r="E52" s="49" t="s">
        <v>441</v>
      </c>
      <c r="F52" s="3"/>
      <c r="G52" s="3"/>
      <c r="H52" s="3"/>
      <c r="I52" s="4"/>
      <c r="J52" s="49" t="s">
        <v>442</v>
      </c>
      <c r="K52" s="3"/>
      <c r="L52" s="3"/>
      <c r="M52" s="3"/>
      <c r="N52" s="3"/>
      <c r="O52" s="3"/>
      <c r="P52" s="4"/>
      <c r="Q52" s="49" t="s">
        <v>443</v>
      </c>
      <c r="R52" s="3"/>
      <c r="S52" s="3"/>
      <c r="T52" s="3"/>
      <c r="U52" s="3"/>
      <c r="V52" s="3"/>
      <c r="W52" s="4"/>
      <c r="X52" s="49" t="s">
        <v>444</v>
      </c>
      <c r="Y52" s="3"/>
      <c r="Z52" s="3"/>
      <c r="AA52" s="3"/>
      <c r="AB52" s="3"/>
      <c r="AC52" s="3"/>
      <c r="AD52" s="4"/>
      <c r="AE52" s="48" t="s">
        <v>194</v>
      </c>
      <c r="AF52" s="4"/>
      <c r="AG52" s="57" t="s">
        <v>57</v>
      </c>
      <c r="AH52" s="3"/>
      <c r="AI52" s="4"/>
      <c r="AJ52" s="58"/>
      <c r="AK52" s="3"/>
      <c r="AL52" s="4"/>
      <c r="AM52" s="57" t="s">
        <v>196</v>
      </c>
      <c r="AN52" s="3"/>
      <c r="AO52" s="4"/>
      <c r="AP52" s="59">
        <v>46147.0</v>
      </c>
      <c r="AQ52" s="3"/>
      <c r="AR52" s="4"/>
      <c r="AS52" s="48"/>
      <c r="AT52" s="3"/>
      <c r="AU52" s="4"/>
      <c r="AV52" s="55" t="s">
        <v>57</v>
      </c>
      <c r="AW52" s="3"/>
      <c r="AX52" s="4"/>
      <c r="AY52" s="48"/>
      <c r="AZ52" s="3"/>
      <c r="BA52" s="4"/>
      <c r="BB52" s="55" t="s">
        <v>199</v>
      </c>
      <c r="BC52" s="3"/>
      <c r="BD52" s="4"/>
      <c r="BE52" s="56">
        <v>46238.0</v>
      </c>
      <c r="BF52" s="3"/>
      <c r="BG52" s="4"/>
      <c r="BH52" s="48"/>
      <c r="BI52" s="3"/>
      <c r="BJ52" s="4"/>
      <c r="BK52" s="49"/>
      <c r="BL52" s="3"/>
      <c r="BM52" s="3"/>
      <c r="BN52" s="3"/>
      <c r="BO52" s="3"/>
      <c r="BP52" s="3"/>
      <c r="BQ52" s="4"/>
    </row>
    <row r="53" ht="351.75" customHeight="1">
      <c r="A53" s="47">
        <v>36.0</v>
      </c>
      <c r="B53" s="49" t="s">
        <v>445</v>
      </c>
      <c r="C53" s="3"/>
      <c r="D53" s="4"/>
      <c r="E53" s="49" t="s">
        <v>446</v>
      </c>
      <c r="F53" s="3"/>
      <c r="G53" s="3"/>
      <c r="H53" s="3"/>
      <c r="I53" s="4"/>
      <c r="J53" s="49" t="s">
        <v>447</v>
      </c>
      <c r="K53" s="3"/>
      <c r="L53" s="3"/>
      <c r="M53" s="3"/>
      <c r="N53" s="3"/>
      <c r="O53" s="3"/>
      <c r="P53" s="4"/>
      <c r="Q53" s="49" t="s">
        <v>448</v>
      </c>
      <c r="R53" s="3"/>
      <c r="S53" s="3"/>
      <c r="T53" s="3"/>
      <c r="U53" s="3"/>
      <c r="V53" s="3"/>
      <c r="W53" s="4"/>
      <c r="X53" s="49" t="s">
        <v>449</v>
      </c>
      <c r="Y53" s="3"/>
      <c r="Z53" s="3"/>
      <c r="AA53" s="3"/>
      <c r="AB53" s="3"/>
      <c r="AC53" s="3"/>
      <c r="AD53" s="4"/>
      <c r="AE53" s="48" t="s">
        <v>194</v>
      </c>
      <c r="AF53" s="4"/>
      <c r="AG53" s="57" t="s">
        <v>57</v>
      </c>
      <c r="AH53" s="3"/>
      <c r="AI53" s="4"/>
      <c r="AJ53" s="58"/>
      <c r="AK53" s="3"/>
      <c r="AL53" s="4"/>
      <c r="AM53" s="57" t="s">
        <v>196</v>
      </c>
      <c r="AN53" s="3"/>
      <c r="AO53" s="4"/>
      <c r="AP53" s="59">
        <v>46147.0</v>
      </c>
      <c r="AQ53" s="3"/>
      <c r="AR53" s="4"/>
      <c r="AS53" s="48"/>
      <c r="AT53" s="3"/>
      <c r="AU53" s="4"/>
      <c r="AV53" s="55" t="s">
        <v>57</v>
      </c>
      <c r="AW53" s="3"/>
      <c r="AX53" s="4"/>
      <c r="AY53" s="48"/>
      <c r="AZ53" s="3"/>
      <c r="BA53" s="4"/>
      <c r="BB53" s="55" t="s">
        <v>199</v>
      </c>
      <c r="BC53" s="3"/>
      <c r="BD53" s="4"/>
      <c r="BE53" s="56">
        <v>46238.0</v>
      </c>
      <c r="BF53" s="3"/>
      <c r="BG53" s="4"/>
      <c r="BH53" s="48"/>
      <c r="BI53" s="3"/>
      <c r="BJ53" s="4"/>
      <c r="BK53" s="49"/>
      <c r="BL53" s="3"/>
      <c r="BM53" s="3"/>
      <c r="BN53" s="3"/>
      <c r="BO53" s="3"/>
      <c r="BP53" s="3"/>
      <c r="BQ53" s="4"/>
    </row>
    <row r="54" ht="415.5" customHeight="1">
      <c r="A54" s="47">
        <v>37.0</v>
      </c>
      <c r="B54" s="49" t="s">
        <v>450</v>
      </c>
      <c r="C54" s="3"/>
      <c r="D54" s="4"/>
      <c r="E54" s="49" t="s">
        <v>451</v>
      </c>
      <c r="F54" s="3"/>
      <c r="G54" s="3"/>
      <c r="H54" s="3"/>
      <c r="I54" s="4"/>
      <c r="J54" s="49" t="s">
        <v>452</v>
      </c>
      <c r="K54" s="3"/>
      <c r="L54" s="3"/>
      <c r="M54" s="3"/>
      <c r="N54" s="3"/>
      <c r="O54" s="3"/>
      <c r="P54" s="4"/>
      <c r="Q54" s="54" t="s">
        <v>453</v>
      </c>
      <c r="R54" s="3"/>
      <c r="S54" s="3"/>
      <c r="T54" s="3"/>
      <c r="U54" s="3"/>
      <c r="V54" s="3"/>
      <c r="W54" s="4"/>
      <c r="X54" s="49" t="s">
        <v>454</v>
      </c>
      <c r="Y54" s="3"/>
      <c r="Z54" s="3"/>
      <c r="AA54" s="3"/>
      <c r="AB54" s="3"/>
      <c r="AC54" s="3"/>
      <c r="AD54" s="4"/>
      <c r="AE54" s="48" t="s">
        <v>209</v>
      </c>
      <c r="AF54" s="4"/>
      <c r="AG54" s="57" t="s">
        <v>57</v>
      </c>
      <c r="AH54" s="3"/>
      <c r="AI54" s="4"/>
      <c r="AJ54" s="58"/>
      <c r="AK54" s="3"/>
      <c r="AL54" s="4"/>
      <c r="AM54" s="57" t="s">
        <v>196</v>
      </c>
      <c r="AN54" s="3"/>
      <c r="AO54" s="4"/>
      <c r="AP54" s="59">
        <v>46147.0</v>
      </c>
      <c r="AQ54" s="3"/>
      <c r="AR54" s="4"/>
      <c r="AS54" s="48"/>
      <c r="AT54" s="3"/>
      <c r="AU54" s="4"/>
      <c r="AV54" s="55" t="s">
        <v>57</v>
      </c>
      <c r="AW54" s="3"/>
      <c r="AX54" s="4"/>
      <c r="AY54" s="48"/>
      <c r="AZ54" s="3"/>
      <c r="BA54" s="4"/>
      <c r="BB54" s="55" t="s">
        <v>199</v>
      </c>
      <c r="BC54" s="3"/>
      <c r="BD54" s="4"/>
      <c r="BE54" s="56">
        <v>46238.0</v>
      </c>
      <c r="BF54" s="3"/>
      <c r="BG54" s="4"/>
      <c r="BH54" s="48"/>
      <c r="BI54" s="3"/>
      <c r="BJ54" s="4"/>
      <c r="BK54" s="49" t="s">
        <v>250</v>
      </c>
      <c r="BL54" s="3"/>
      <c r="BM54" s="3"/>
      <c r="BN54" s="3"/>
      <c r="BO54" s="3"/>
      <c r="BP54" s="3"/>
      <c r="BQ54" s="4"/>
    </row>
    <row r="55" ht="22.5" customHeight="1">
      <c r="A55" s="13" t="s">
        <v>455</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4"/>
    </row>
    <row r="56" ht="384.0" customHeight="1">
      <c r="A56" s="47">
        <v>38.0</v>
      </c>
      <c r="B56" s="49" t="s">
        <v>456</v>
      </c>
      <c r="C56" s="3"/>
      <c r="D56" s="4"/>
      <c r="E56" s="49" t="s">
        <v>457</v>
      </c>
      <c r="F56" s="3"/>
      <c r="G56" s="3"/>
      <c r="H56" s="3"/>
      <c r="I56" s="4"/>
      <c r="J56" s="49" t="s">
        <v>458</v>
      </c>
      <c r="K56" s="3"/>
      <c r="L56" s="3"/>
      <c r="M56" s="3"/>
      <c r="N56" s="3"/>
      <c r="O56" s="3"/>
      <c r="P56" s="4"/>
      <c r="Q56" s="49" t="s">
        <v>459</v>
      </c>
      <c r="R56" s="3"/>
      <c r="S56" s="3"/>
      <c r="T56" s="3"/>
      <c r="U56" s="3"/>
      <c r="V56" s="3"/>
      <c r="W56" s="4"/>
      <c r="X56" s="49" t="s">
        <v>460</v>
      </c>
      <c r="Y56" s="3"/>
      <c r="Z56" s="3"/>
      <c r="AA56" s="3"/>
      <c r="AB56" s="3"/>
      <c r="AC56" s="3"/>
      <c r="AD56" s="4"/>
      <c r="AE56" s="48" t="s">
        <v>209</v>
      </c>
      <c r="AF56" s="4"/>
      <c r="AG56" s="57" t="s">
        <v>57</v>
      </c>
      <c r="AH56" s="3"/>
      <c r="AI56" s="4"/>
      <c r="AJ56" s="58"/>
      <c r="AK56" s="3"/>
      <c r="AL56" s="4"/>
      <c r="AM56" s="57" t="s">
        <v>196</v>
      </c>
      <c r="AN56" s="3"/>
      <c r="AO56" s="4"/>
      <c r="AP56" s="59">
        <v>46147.0</v>
      </c>
      <c r="AQ56" s="3"/>
      <c r="AR56" s="4"/>
      <c r="AS56" s="48"/>
      <c r="AT56" s="3"/>
      <c r="AU56" s="4"/>
      <c r="AV56" s="55" t="s">
        <v>57</v>
      </c>
      <c r="AW56" s="3"/>
      <c r="AX56" s="4"/>
      <c r="AY56" s="48"/>
      <c r="AZ56" s="3"/>
      <c r="BA56" s="4"/>
      <c r="BB56" s="55" t="s">
        <v>199</v>
      </c>
      <c r="BC56" s="3"/>
      <c r="BD56" s="4"/>
      <c r="BE56" s="56">
        <v>46239.0</v>
      </c>
      <c r="BF56" s="3"/>
      <c r="BG56" s="4"/>
      <c r="BH56" s="48"/>
      <c r="BI56" s="3"/>
      <c r="BJ56" s="4"/>
      <c r="BK56" s="49"/>
      <c r="BL56" s="3"/>
      <c r="BM56" s="3"/>
      <c r="BN56" s="3"/>
      <c r="BO56" s="3"/>
      <c r="BP56" s="3"/>
      <c r="BQ56" s="4"/>
    </row>
    <row r="57" ht="367.5" customHeight="1">
      <c r="A57" s="47">
        <v>39.0</v>
      </c>
      <c r="B57" s="49" t="s">
        <v>461</v>
      </c>
      <c r="C57" s="3"/>
      <c r="D57" s="4"/>
      <c r="E57" s="49" t="s">
        <v>462</v>
      </c>
      <c r="F57" s="3"/>
      <c r="G57" s="3"/>
      <c r="H57" s="3"/>
      <c r="I57" s="4"/>
      <c r="J57" s="49" t="s">
        <v>463</v>
      </c>
      <c r="K57" s="3"/>
      <c r="L57" s="3"/>
      <c r="M57" s="3"/>
      <c r="N57" s="3"/>
      <c r="O57" s="3"/>
      <c r="P57" s="4"/>
      <c r="Q57" s="54" t="s">
        <v>464</v>
      </c>
      <c r="R57" s="3"/>
      <c r="S57" s="3"/>
      <c r="T57" s="3"/>
      <c r="U57" s="3"/>
      <c r="V57" s="3"/>
      <c r="W57" s="4"/>
      <c r="X57" s="49" t="s">
        <v>465</v>
      </c>
      <c r="Y57" s="3"/>
      <c r="Z57" s="3"/>
      <c r="AA57" s="3"/>
      <c r="AB57" s="3"/>
      <c r="AC57" s="3"/>
      <c r="AD57" s="4"/>
      <c r="AE57" s="48" t="s">
        <v>209</v>
      </c>
      <c r="AF57" s="4"/>
      <c r="AG57" s="57" t="s">
        <v>57</v>
      </c>
      <c r="AH57" s="3"/>
      <c r="AI57" s="4"/>
      <c r="AJ57" s="58"/>
      <c r="AK57" s="3"/>
      <c r="AL57" s="4"/>
      <c r="AM57" s="57" t="s">
        <v>196</v>
      </c>
      <c r="AN57" s="3"/>
      <c r="AO57" s="4"/>
      <c r="AP57" s="59">
        <v>46147.0</v>
      </c>
      <c r="AQ57" s="3"/>
      <c r="AR57" s="4"/>
      <c r="AS57" s="48"/>
      <c r="AT57" s="3"/>
      <c r="AU57" s="4"/>
      <c r="AV57" s="55" t="s">
        <v>57</v>
      </c>
      <c r="AW57" s="3"/>
      <c r="AX57" s="4"/>
      <c r="AY57" s="48"/>
      <c r="AZ57" s="3"/>
      <c r="BA57" s="4"/>
      <c r="BB57" s="55" t="s">
        <v>199</v>
      </c>
      <c r="BC57" s="3"/>
      <c r="BD57" s="4"/>
      <c r="BE57" s="56">
        <v>46239.0</v>
      </c>
      <c r="BF57" s="3"/>
      <c r="BG57" s="4"/>
      <c r="BH57" s="48"/>
      <c r="BI57" s="3"/>
      <c r="BJ57" s="4"/>
      <c r="BK57" s="49"/>
      <c r="BL57" s="3"/>
      <c r="BM57" s="3"/>
      <c r="BN57" s="3"/>
      <c r="BO57" s="3"/>
      <c r="BP57" s="3"/>
      <c r="BQ57" s="4"/>
    </row>
    <row r="58" ht="399.75" customHeight="1">
      <c r="A58" s="47">
        <v>40.0</v>
      </c>
      <c r="B58" s="49" t="s">
        <v>466</v>
      </c>
      <c r="C58" s="3"/>
      <c r="D58" s="4"/>
      <c r="E58" s="49" t="s">
        <v>467</v>
      </c>
      <c r="F58" s="3"/>
      <c r="G58" s="3"/>
      <c r="H58" s="3"/>
      <c r="I58" s="4"/>
      <c r="J58" s="49" t="s">
        <v>468</v>
      </c>
      <c r="K58" s="3"/>
      <c r="L58" s="3"/>
      <c r="M58" s="3"/>
      <c r="N58" s="3"/>
      <c r="O58" s="3"/>
      <c r="P58" s="4"/>
      <c r="Q58" s="54" t="s">
        <v>469</v>
      </c>
      <c r="R58" s="3"/>
      <c r="S58" s="3"/>
      <c r="T58" s="3"/>
      <c r="U58" s="3"/>
      <c r="V58" s="3"/>
      <c r="W58" s="4"/>
      <c r="X58" s="49" t="s">
        <v>470</v>
      </c>
      <c r="Y58" s="3"/>
      <c r="Z58" s="3"/>
      <c r="AA58" s="3"/>
      <c r="AB58" s="3"/>
      <c r="AC58" s="3"/>
      <c r="AD58" s="4"/>
      <c r="AE58" s="48" t="s">
        <v>209</v>
      </c>
      <c r="AF58" s="4"/>
      <c r="AG58" s="57" t="s">
        <v>57</v>
      </c>
      <c r="AH58" s="3"/>
      <c r="AI58" s="4"/>
      <c r="AJ58" s="58"/>
      <c r="AK58" s="3"/>
      <c r="AL58" s="4"/>
      <c r="AM58" s="57" t="s">
        <v>196</v>
      </c>
      <c r="AN58" s="3"/>
      <c r="AO58" s="4"/>
      <c r="AP58" s="59">
        <v>46147.0</v>
      </c>
      <c r="AQ58" s="3"/>
      <c r="AR58" s="4"/>
      <c r="AS58" s="48"/>
      <c r="AT58" s="3"/>
      <c r="AU58" s="4"/>
      <c r="AV58" s="55" t="s">
        <v>57</v>
      </c>
      <c r="AW58" s="3"/>
      <c r="AX58" s="4"/>
      <c r="AY58" s="48"/>
      <c r="AZ58" s="3"/>
      <c r="BA58" s="4"/>
      <c r="BB58" s="55" t="s">
        <v>199</v>
      </c>
      <c r="BC58" s="3"/>
      <c r="BD58" s="4"/>
      <c r="BE58" s="56">
        <v>46239.0</v>
      </c>
      <c r="BF58" s="3"/>
      <c r="BG58" s="4"/>
      <c r="BH58" s="48"/>
      <c r="BI58" s="3"/>
      <c r="BJ58" s="4"/>
      <c r="BK58" s="49"/>
      <c r="BL58" s="3"/>
      <c r="BM58" s="3"/>
      <c r="BN58" s="3"/>
      <c r="BO58" s="3"/>
      <c r="BP58" s="3"/>
      <c r="BQ58" s="4"/>
    </row>
    <row r="59" ht="399.75" customHeight="1">
      <c r="A59" s="47">
        <v>41.0</v>
      </c>
      <c r="B59" s="49" t="s">
        <v>471</v>
      </c>
      <c r="C59" s="3"/>
      <c r="D59" s="4"/>
      <c r="E59" s="49" t="s">
        <v>472</v>
      </c>
      <c r="F59" s="3"/>
      <c r="G59" s="3"/>
      <c r="H59" s="3"/>
      <c r="I59" s="4"/>
      <c r="J59" s="49" t="s">
        <v>473</v>
      </c>
      <c r="K59" s="3"/>
      <c r="L59" s="3"/>
      <c r="M59" s="3"/>
      <c r="N59" s="3"/>
      <c r="O59" s="3"/>
      <c r="P59" s="4"/>
      <c r="Q59" s="49" t="s">
        <v>474</v>
      </c>
      <c r="R59" s="3"/>
      <c r="S59" s="3"/>
      <c r="T59" s="3"/>
      <c r="U59" s="3"/>
      <c r="V59" s="3"/>
      <c r="W59" s="4"/>
      <c r="X59" s="49" t="s">
        <v>475</v>
      </c>
      <c r="Y59" s="3"/>
      <c r="Z59" s="3"/>
      <c r="AA59" s="3"/>
      <c r="AB59" s="3"/>
      <c r="AC59" s="3"/>
      <c r="AD59" s="4"/>
      <c r="AE59" s="48" t="s">
        <v>209</v>
      </c>
      <c r="AF59" s="4"/>
      <c r="AG59" s="57" t="s">
        <v>57</v>
      </c>
      <c r="AH59" s="3"/>
      <c r="AI59" s="4"/>
      <c r="AJ59" s="58"/>
      <c r="AK59" s="3"/>
      <c r="AL59" s="4"/>
      <c r="AM59" s="57" t="s">
        <v>196</v>
      </c>
      <c r="AN59" s="3"/>
      <c r="AO59" s="4"/>
      <c r="AP59" s="59">
        <v>46147.0</v>
      </c>
      <c r="AQ59" s="3"/>
      <c r="AR59" s="4"/>
      <c r="AS59" s="48"/>
      <c r="AT59" s="3"/>
      <c r="AU59" s="4"/>
      <c r="AV59" s="55" t="s">
        <v>57</v>
      </c>
      <c r="AW59" s="3"/>
      <c r="AX59" s="4"/>
      <c r="AY59" s="48"/>
      <c r="AZ59" s="3"/>
      <c r="BA59" s="4"/>
      <c r="BB59" s="55" t="s">
        <v>199</v>
      </c>
      <c r="BC59" s="3"/>
      <c r="BD59" s="4"/>
      <c r="BE59" s="56">
        <v>46239.0</v>
      </c>
      <c r="BF59" s="3"/>
      <c r="BG59" s="4"/>
      <c r="BH59" s="48"/>
      <c r="BI59" s="3"/>
      <c r="BJ59" s="4"/>
      <c r="BK59" s="49"/>
      <c r="BL59" s="3"/>
      <c r="BM59" s="3"/>
      <c r="BN59" s="3"/>
      <c r="BO59" s="3"/>
      <c r="BP59" s="3"/>
      <c r="BQ59" s="4"/>
    </row>
    <row r="60" ht="447.75" customHeight="1">
      <c r="A60" s="47">
        <v>42.0</v>
      </c>
      <c r="B60" s="49" t="s">
        <v>476</v>
      </c>
      <c r="C60" s="3"/>
      <c r="D60" s="4"/>
      <c r="E60" s="49" t="s">
        <v>477</v>
      </c>
      <c r="F60" s="3"/>
      <c r="G60" s="3"/>
      <c r="H60" s="3"/>
      <c r="I60" s="4"/>
      <c r="J60" s="49" t="s">
        <v>478</v>
      </c>
      <c r="K60" s="3"/>
      <c r="L60" s="3"/>
      <c r="M60" s="3"/>
      <c r="N60" s="3"/>
      <c r="O60" s="3"/>
      <c r="P60" s="4"/>
      <c r="Q60" s="49" t="s">
        <v>479</v>
      </c>
      <c r="R60" s="3"/>
      <c r="S60" s="3"/>
      <c r="T60" s="3"/>
      <c r="U60" s="3"/>
      <c r="V60" s="3"/>
      <c r="W60" s="4"/>
      <c r="X60" s="49" t="s">
        <v>480</v>
      </c>
      <c r="Y60" s="3"/>
      <c r="Z60" s="3"/>
      <c r="AA60" s="3"/>
      <c r="AB60" s="3"/>
      <c r="AC60" s="3"/>
      <c r="AD60" s="4"/>
      <c r="AE60" s="48" t="s">
        <v>209</v>
      </c>
      <c r="AF60" s="4"/>
      <c r="AG60" s="55" t="s">
        <v>60</v>
      </c>
      <c r="AH60" s="3"/>
      <c r="AI60" s="4"/>
      <c r="AJ60" s="48"/>
      <c r="AK60" s="3"/>
      <c r="AL60" s="4"/>
      <c r="AM60" s="48"/>
      <c r="AN60" s="3"/>
      <c r="AO60" s="4"/>
      <c r="AP60" s="48"/>
      <c r="AQ60" s="3"/>
      <c r="AR60" s="4"/>
      <c r="AS60" s="48"/>
      <c r="AT60" s="3"/>
      <c r="AU60" s="4"/>
      <c r="AV60" s="55" t="s">
        <v>57</v>
      </c>
      <c r="AW60" s="3"/>
      <c r="AX60" s="4"/>
      <c r="AY60" s="48"/>
      <c r="AZ60" s="3"/>
      <c r="BA60" s="4"/>
      <c r="BB60" s="55" t="s">
        <v>199</v>
      </c>
      <c r="BC60" s="3"/>
      <c r="BD60" s="4"/>
      <c r="BE60" s="56">
        <v>46239.0</v>
      </c>
      <c r="BF60" s="3"/>
      <c r="BG60" s="4"/>
      <c r="BH60" s="48"/>
      <c r="BI60" s="3"/>
      <c r="BJ60" s="4"/>
      <c r="BK60" s="49"/>
      <c r="BL60" s="3"/>
      <c r="BM60" s="3"/>
      <c r="BN60" s="3"/>
      <c r="BO60" s="3"/>
      <c r="BP60" s="3"/>
      <c r="BQ60" s="4"/>
    </row>
    <row r="61" ht="351.75" customHeight="1">
      <c r="A61" s="47">
        <v>43.0</v>
      </c>
      <c r="B61" s="49" t="s">
        <v>481</v>
      </c>
      <c r="C61" s="3"/>
      <c r="D61" s="4"/>
      <c r="E61" s="49" t="s">
        <v>482</v>
      </c>
      <c r="F61" s="3"/>
      <c r="G61" s="3"/>
      <c r="H61" s="3"/>
      <c r="I61" s="4"/>
      <c r="J61" s="49" t="s">
        <v>483</v>
      </c>
      <c r="K61" s="3"/>
      <c r="L61" s="3"/>
      <c r="M61" s="3"/>
      <c r="N61" s="3"/>
      <c r="O61" s="3"/>
      <c r="P61" s="4"/>
      <c r="Q61" s="49" t="s">
        <v>484</v>
      </c>
      <c r="R61" s="3"/>
      <c r="S61" s="3"/>
      <c r="T61" s="3"/>
      <c r="U61" s="3"/>
      <c r="V61" s="3"/>
      <c r="W61" s="4"/>
      <c r="X61" s="49" t="s">
        <v>485</v>
      </c>
      <c r="Y61" s="3"/>
      <c r="Z61" s="3"/>
      <c r="AA61" s="3"/>
      <c r="AB61" s="3"/>
      <c r="AC61" s="3"/>
      <c r="AD61" s="4"/>
      <c r="AE61" s="48" t="s">
        <v>209</v>
      </c>
      <c r="AF61" s="4"/>
      <c r="AG61" s="57" t="s">
        <v>57</v>
      </c>
      <c r="AH61" s="3"/>
      <c r="AI61" s="4"/>
      <c r="AJ61" s="58"/>
      <c r="AK61" s="3"/>
      <c r="AL61" s="4"/>
      <c r="AM61" s="57" t="s">
        <v>196</v>
      </c>
      <c r="AN61" s="3"/>
      <c r="AO61" s="4"/>
      <c r="AP61" s="59">
        <v>46147.0</v>
      </c>
      <c r="AQ61" s="3"/>
      <c r="AR61" s="4"/>
      <c r="AS61" s="48"/>
      <c r="AT61" s="3"/>
      <c r="AU61" s="4"/>
      <c r="AV61" s="55" t="s">
        <v>57</v>
      </c>
      <c r="AW61" s="3"/>
      <c r="AX61" s="4"/>
      <c r="AY61" s="48"/>
      <c r="AZ61" s="3"/>
      <c r="BA61" s="4"/>
      <c r="BB61" s="55" t="s">
        <v>199</v>
      </c>
      <c r="BC61" s="3"/>
      <c r="BD61" s="4"/>
      <c r="BE61" s="56">
        <v>46239.0</v>
      </c>
      <c r="BF61" s="3"/>
      <c r="BG61" s="4"/>
      <c r="BH61" s="48"/>
      <c r="BI61" s="3"/>
      <c r="BJ61" s="4"/>
      <c r="BK61" s="49"/>
      <c r="BL61" s="3"/>
      <c r="BM61" s="3"/>
      <c r="BN61" s="3"/>
      <c r="BO61" s="3"/>
      <c r="BP61" s="3"/>
      <c r="BQ61" s="4"/>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4">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G19:AI19"/>
    <mergeCell ref="AJ19:AL19"/>
    <mergeCell ref="AM19:AO19"/>
    <mergeCell ref="AP19:AR19"/>
    <mergeCell ref="AS19:AU19"/>
    <mergeCell ref="AV19:AX19"/>
    <mergeCell ref="AY19:BA19"/>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H19:BJ19"/>
    <mergeCell ref="BK19:BQ19"/>
    <mergeCell ref="AJ17:AL17"/>
    <mergeCell ref="AM17:AO17"/>
    <mergeCell ref="AP17:AR17"/>
    <mergeCell ref="AS17:AU17"/>
    <mergeCell ref="AV17:AX17"/>
    <mergeCell ref="AY17:BA17"/>
    <mergeCell ref="BB17:BD17"/>
    <mergeCell ref="E17:I17"/>
    <mergeCell ref="J17:P17"/>
    <mergeCell ref="Q17:W17"/>
    <mergeCell ref="X17:AD17"/>
    <mergeCell ref="AE17:AF17"/>
    <mergeCell ref="AG17:AI17"/>
    <mergeCell ref="A18:BQ18"/>
    <mergeCell ref="B17:D17"/>
    <mergeCell ref="B19:D19"/>
    <mergeCell ref="E19:I19"/>
    <mergeCell ref="J19:P19"/>
    <mergeCell ref="Q19:W19"/>
    <mergeCell ref="X19:AD19"/>
    <mergeCell ref="AE19:AF19"/>
    <mergeCell ref="BE42:BG42"/>
    <mergeCell ref="BH42:BJ42"/>
    <mergeCell ref="AJ42:AL42"/>
    <mergeCell ref="AM42:AO42"/>
    <mergeCell ref="AP42:AR42"/>
    <mergeCell ref="AS42:AU42"/>
    <mergeCell ref="AV42:AX42"/>
    <mergeCell ref="AY42:BA42"/>
    <mergeCell ref="BB42:BD42"/>
    <mergeCell ref="E42:I42"/>
    <mergeCell ref="J42:P42"/>
    <mergeCell ref="Q42:W42"/>
    <mergeCell ref="X42:AD42"/>
    <mergeCell ref="AE42:AF42"/>
    <mergeCell ref="AG42:AI42"/>
    <mergeCell ref="A43:BQ43"/>
    <mergeCell ref="B42:D42"/>
    <mergeCell ref="B44:D44"/>
    <mergeCell ref="E44:I44"/>
    <mergeCell ref="J44:P44"/>
    <mergeCell ref="Q44:W44"/>
    <mergeCell ref="X44:AD44"/>
    <mergeCell ref="AE44:AF44"/>
    <mergeCell ref="BH44:BJ44"/>
    <mergeCell ref="BK44:BQ44"/>
    <mergeCell ref="AM44:AO44"/>
    <mergeCell ref="AP44:AR44"/>
    <mergeCell ref="AS44:AU44"/>
    <mergeCell ref="AV44:AX44"/>
    <mergeCell ref="AY44:BA44"/>
    <mergeCell ref="BB44:BD44"/>
    <mergeCell ref="BE44:BG44"/>
    <mergeCell ref="BE40:BG40"/>
    <mergeCell ref="BH40:BJ40"/>
    <mergeCell ref="BK40:BQ40"/>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E41:BG41"/>
    <mergeCell ref="BH41:BJ41"/>
    <mergeCell ref="BK41:BQ41"/>
    <mergeCell ref="BK42:BQ42"/>
    <mergeCell ref="AJ41:AL41"/>
    <mergeCell ref="AM41:AO41"/>
    <mergeCell ref="AP41:AR41"/>
    <mergeCell ref="AS41:AU41"/>
    <mergeCell ref="AV41:AX41"/>
    <mergeCell ref="AY41:BA41"/>
    <mergeCell ref="BB41:BD41"/>
    <mergeCell ref="B41:D41"/>
    <mergeCell ref="E41:I41"/>
    <mergeCell ref="J41:P41"/>
    <mergeCell ref="Q41:W41"/>
    <mergeCell ref="X41:AD41"/>
    <mergeCell ref="AE41:AF41"/>
    <mergeCell ref="AG41:AI41"/>
    <mergeCell ref="BE45:BG45"/>
    <mergeCell ref="BH45:BJ45"/>
    <mergeCell ref="BK45:BQ45"/>
    <mergeCell ref="AJ45:AL45"/>
    <mergeCell ref="AM45:AO45"/>
    <mergeCell ref="AP45:AR45"/>
    <mergeCell ref="AS45:AU45"/>
    <mergeCell ref="AV45:AX45"/>
    <mergeCell ref="AY45:BA45"/>
    <mergeCell ref="BB45:BD45"/>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E48:BG48"/>
    <mergeCell ref="BH48:BJ48"/>
    <mergeCell ref="AJ48:AL48"/>
    <mergeCell ref="AM48:AO48"/>
    <mergeCell ref="AP48:AR48"/>
    <mergeCell ref="AS48:AU48"/>
    <mergeCell ref="AV48:AX48"/>
    <mergeCell ref="AY48:BA48"/>
    <mergeCell ref="BB48:BD48"/>
    <mergeCell ref="AE45:AF45"/>
    <mergeCell ref="AG45:AI45"/>
    <mergeCell ref="AG44:AI44"/>
    <mergeCell ref="AJ44:AL44"/>
    <mergeCell ref="B45:D45"/>
    <mergeCell ref="E45:I45"/>
    <mergeCell ref="J45:P45"/>
    <mergeCell ref="Q45:W45"/>
    <mergeCell ref="X45:AD45"/>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B48:D48"/>
    <mergeCell ref="E48:I48"/>
    <mergeCell ref="J48:P48"/>
    <mergeCell ref="Q48:W48"/>
    <mergeCell ref="X48:AD48"/>
    <mergeCell ref="AE48:AF48"/>
    <mergeCell ref="AG48:AI48"/>
    <mergeCell ref="BB52:BD52"/>
    <mergeCell ref="BE52:BG52"/>
    <mergeCell ref="AG52:AI52"/>
    <mergeCell ref="AJ52:AL52"/>
    <mergeCell ref="AM52:AO52"/>
    <mergeCell ref="AP52:AR52"/>
    <mergeCell ref="AS52:AU52"/>
    <mergeCell ref="AV52:AX52"/>
    <mergeCell ref="AY52:BA52"/>
    <mergeCell ref="BE49:BG49"/>
    <mergeCell ref="BH49:BJ49"/>
    <mergeCell ref="BK49:BQ49"/>
    <mergeCell ref="AJ49:AL49"/>
    <mergeCell ref="AM49:AO49"/>
    <mergeCell ref="AP49:AR49"/>
    <mergeCell ref="AS49:AU49"/>
    <mergeCell ref="AV49:AX49"/>
    <mergeCell ref="AY49:BA49"/>
    <mergeCell ref="BB49:BD49"/>
    <mergeCell ref="B49:D49"/>
    <mergeCell ref="E49:I49"/>
    <mergeCell ref="J49:P49"/>
    <mergeCell ref="Q49:W49"/>
    <mergeCell ref="X49:AD49"/>
    <mergeCell ref="AE49:AF49"/>
    <mergeCell ref="AG49:AI49"/>
    <mergeCell ref="BE50:BG50"/>
    <mergeCell ref="BH50:BJ50"/>
    <mergeCell ref="BK50:BQ50"/>
    <mergeCell ref="BH52:BJ52"/>
    <mergeCell ref="BK52:BQ52"/>
    <mergeCell ref="AJ50:AL50"/>
    <mergeCell ref="AM50:AO50"/>
    <mergeCell ref="AP50:AR50"/>
    <mergeCell ref="AS50:AU50"/>
    <mergeCell ref="AV50:AX50"/>
    <mergeCell ref="AY50:BA50"/>
    <mergeCell ref="BB50:BD50"/>
    <mergeCell ref="E50:I50"/>
    <mergeCell ref="J50:P50"/>
    <mergeCell ref="Q50:W50"/>
    <mergeCell ref="X50:AD50"/>
    <mergeCell ref="AE50:AF50"/>
    <mergeCell ref="AG50:AI50"/>
    <mergeCell ref="A51:BQ51"/>
    <mergeCell ref="B50:D50"/>
    <mergeCell ref="B52:D52"/>
    <mergeCell ref="E52:I52"/>
    <mergeCell ref="J52:P52"/>
    <mergeCell ref="Q52:W52"/>
    <mergeCell ref="X52:AD52"/>
    <mergeCell ref="AE52:AF52"/>
    <mergeCell ref="BE22:BG22"/>
    <mergeCell ref="BH22:BJ22"/>
    <mergeCell ref="AJ22:AL22"/>
    <mergeCell ref="AM22:AO22"/>
    <mergeCell ref="AP22:AR22"/>
    <mergeCell ref="AS22:AU22"/>
    <mergeCell ref="AV22:AX22"/>
    <mergeCell ref="AY22:BA22"/>
    <mergeCell ref="BB22:BD22"/>
    <mergeCell ref="BE20:BG20"/>
    <mergeCell ref="BH20:BJ20"/>
    <mergeCell ref="BK20:BQ20"/>
    <mergeCell ref="AJ20:AL20"/>
    <mergeCell ref="AM20:AO20"/>
    <mergeCell ref="AP20:AR20"/>
    <mergeCell ref="AS20:AU20"/>
    <mergeCell ref="AV20:AX20"/>
    <mergeCell ref="AY20:BA20"/>
    <mergeCell ref="BB20:BD20"/>
    <mergeCell ref="B20:D20"/>
    <mergeCell ref="E20:I20"/>
    <mergeCell ref="J20:P20"/>
    <mergeCell ref="Q20:W20"/>
    <mergeCell ref="X20:AD20"/>
    <mergeCell ref="AE20:AF20"/>
    <mergeCell ref="AG20:AI20"/>
    <mergeCell ref="BE21:BG21"/>
    <mergeCell ref="BH21:BJ21"/>
    <mergeCell ref="BK21:BQ21"/>
    <mergeCell ref="BK22:BQ22"/>
    <mergeCell ref="AJ21:AL21"/>
    <mergeCell ref="AM21:AO21"/>
    <mergeCell ref="AP21:AR21"/>
    <mergeCell ref="AS21:AU21"/>
    <mergeCell ref="AV21:AX21"/>
    <mergeCell ref="AY21:BA21"/>
    <mergeCell ref="BB21:BD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BE26:BG26"/>
    <mergeCell ref="BH26:BJ26"/>
    <mergeCell ref="AJ26:AL26"/>
    <mergeCell ref="AM26:AO26"/>
    <mergeCell ref="AP26:AR26"/>
    <mergeCell ref="AS26:AU26"/>
    <mergeCell ref="AV26:AX26"/>
    <mergeCell ref="AY26:BA26"/>
    <mergeCell ref="BB26:BD26"/>
    <mergeCell ref="BE23:BG23"/>
    <mergeCell ref="BH23:BJ23"/>
    <mergeCell ref="BK23:BQ23"/>
    <mergeCell ref="AJ23:AL23"/>
    <mergeCell ref="AM23:AO23"/>
    <mergeCell ref="AP23:AR23"/>
    <mergeCell ref="AS23:AU23"/>
    <mergeCell ref="AV23:AX23"/>
    <mergeCell ref="AY23:BA23"/>
    <mergeCell ref="BB23:BD23"/>
    <mergeCell ref="E23:I23"/>
    <mergeCell ref="J23:P23"/>
    <mergeCell ref="Q23:W23"/>
    <mergeCell ref="X23:AD23"/>
    <mergeCell ref="AE23:AF23"/>
    <mergeCell ref="AG23:AI23"/>
    <mergeCell ref="A24:BQ24"/>
    <mergeCell ref="BB25:BD25"/>
    <mergeCell ref="BE25:BG25"/>
    <mergeCell ref="BH25:BJ25"/>
    <mergeCell ref="BK25:BQ25"/>
    <mergeCell ref="BK26:BQ26"/>
    <mergeCell ref="AG25:AI25"/>
    <mergeCell ref="AJ25:AL25"/>
    <mergeCell ref="AM25:AO25"/>
    <mergeCell ref="AP25:AR25"/>
    <mergeCell ref="AS25:AU25"/>
    <mergeCell ref="AV25:AX25"/>
    <mergeCell ref="AY25:BA25"/>
    <mergeCell ref="B23:D23"/>
    <mergeCell ref="B25:D25"/>
    <mergeCell ref="E25:I25"/>
    <mergeCell ref="J25:P25"/>
    <mergeCell ref="Q25:W25"/>
    <mergeCell ref="X25:AD25"/>
    <mergeCell ref="AE25:AF25"/>
    <mergeCell ref="B26:D26"/>
    <mergeCell ref="E26:I26"/>
    <mergeCell ref="J26:P26"/>
    <mergeCell ref="Q26:W26"/>
    <mergeCell ref="X26:AD26"/>
    <mergeCell ref="AE26:AF26"/>
    <mergeCell ref="AG26:AI26"/>
    <mergeCell ref="BB30:BD30"/>
    <mergeCell ref="BE30:BG30"/>
    <mergeCell ref="AG30:AI30"/>
    <mergeCell ref="AJ30:AL30"/>
    <mergeCell ref="AM30:AO30"/>
    <mergeCell ref="AP30:AR30"/>
    <mergeCell ref="AS30:AU30"/>
    <mergeCell ref="AV30:AX30"/>
    <mergeCell ref="AY30:BA30"/>
    <mergeCell ref="BE27:BG27"/>
    <mergeCell ref="BH27:BJ27"/>
    <mergeCell ref="BK27:BQ27"/>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E28:BG28"/>
    <mergeCell ref="BH28:BJ28"/>
    <mergeCell ref="BK28:BQ28"/>
    <mergeCell ref="BH30:BJ30"/>
    <mergeCell ref="BK30:BQ30"/>
    <mergeCell ref="AJ28:AL28"/>
    <mergeCell ref="AM28:AO28"/>
    <mergeCell ref="AP28:AR28"/>
    <mergeCell ref="AS28:AU28"/>
    <mergeCell ref="AV28:AX28"/>
    <mergeCell ref="AY28:BA28"/>
    <mergeCell ref="BB28:BD28"/>
    <mergeCell ref="E28:I28"/>
    <mergeCell ref="J28:P28"/>
    <mergeCell ref="Q28:W28"/>
    <mergeCell ref="X28:AD28"/>
    <mergeCell ref="AE28:AF28"/>
    <mergeCell ref="AG28:AI28"/>
    <mergeCell ref="A29:BQ29"/>
    <mergeCell ref="B28:D28"/>
    <mergeCell ref="B30:D30"/>
    <mergeCell ref="E30:I30"/>
    <mergeCell ref="J30:P30"/>
    <mergeCell ref="Q30:W30"/>
    <mergeCell ref="X30:AD30"/>
    <mergeCell ref="AE30:AF30"/>
    <mergeCell ref="BE33:BG33"/>
    <mergeCell ref="BH33:BJ33"/>
    <mergeCell ref="AJ33:AL33"/>
    <mergeCell ref="AM33:AO33"/>
    <mergeCell ref="AP33:AR33"/>
    <mergeCell ref="AS33:AU33"/>
    <mergeCell ref="AV33:AX33"/>
    <mergeCell ref="AY33:BA33"/>
    <mergeCell ref="BB33:BD33"/>
    <mergeCell ref="BE31:BG31"/>
    <mergeCell ref="BH31:BJ31"/>
    <mergeCell ref="BK31:BQ31"/>
    <mergeCell ref="AJ31:AL31"/>
    <mergeCell ref="AM31:AO31"/>
    <mergeCell ref="AP31:AR31"/>
    <mergeCell ref="AS31:AU31"/>
    <mergeCell ref="AV31:AX31"/>
    <mergeCell ref="AY31:BA31"/>
    <mergeCell ref="BB31:BD31"/>
    <mergeCell ref="B31:D31"/>
    <mergeCell ref="E31:I31"/>
    <mergeCell ref="J31:P31"/>
    <mergeCell ref="Q31:W31"/>
    <mergeCell ref="X31:AD31"/>
    <mergeCell ref="AE31:AF31"/>
    <mergeCell ref="AG31:AI31"/>
    <mergeCell ref="BE32:BG32"/>
    <mergeCell ref="BH32:BJ32"/>
    <mergeCell ref="BK32:BQ32"/>
    <mergeCell ref="BK33:BQ33"/>
    <mergeCell ref="AJ32:AL32"/>
    <mergeCell ref="AM32:AO32"/>
    <mergeCell ref="AP32:AR32"/>
    <mergeCell ref="AS32:AU32"/>
    <mergeCell ref="AV32:AX32"/>
    <mergeCell ref="AY32:BA32"/>
    <mergeCell ref="BB32:BD32"/>
    <mergeCell ref="B32:D32"/>
    <mergeCell ref="E32:I32"/>
    <mergeCell ref="J32:P32"/>
    <mergeCell ref="Q32:W32"/>
    <mergeCell ref="X32:AD32"/>
    <mergeCell ref="AE32:AF32"/>
    <mergeCell ref="AG32:AI32"/>
    <mergeCell ref="B33:D33"/>
    <mergeCell ref="E33:I33"/>
    <mergeCell ref="J33:P33"/>
    <mergeCell ref="Q33:W33"/>
    <mergeCell ref="X33:AD33"/>
    <mergeCell ref="AE33:AF33"/>
    <mergeCell ref="AG33:AI33"/>
    <mergeCell ref="BE36:BG36"/>
    <mergeCell ref="BH36:BJ36"/>
    <mergeCell ref="AJ36:AL36"/>
    <mergeCell ref="AM36:AO36"/>
    <mergeCell ref="AP36:AR36"/>
    <mergeCell ref="AS36:AU36"/>
    <mergeCell ref="AV36:AX36"/>
    <mergeCell ref="AY36:BA36"/>
    <mergeCell ref="BB36:BD36"/>
    <mergeCell ref="BE34:BG34"/>
    <mergeCell ref="BH34:BJ34"/>
    <mergeCell ref="BK34:BQ34"/>
    <mergeCell ref="AJ34:AL34"/>
    <mergeCell ref="AM34:AO34"/>
    <mergeCell ref="AP34:AR34"/>
    <mergeCell ref="AS34:AU34"/>
    <mergeCell ref="AV34:AX34"/>
    <mergeCell ref="AY34:BA34"/>
    <mergeCell ref="BB34:BD34"/>
    <mergeCell ref="B34:D34"/>
    <mergeCell ref="E34:I34"/>
    <mergeCell ref="J34:P34"/>
    <mergeCell ref="Q34:W34"/>
    <mergeCell ref="X34:AD34"/>
    <mergeCell ref="AE34:AF34"/>
    <mergeCell ref="AG34:AI34"/>
    <mergeCell ref="BE35:BG35"/>
    <mergeCell ref="BH35:BJ35"/>
    <mergeCell ref="BK35:BQ35"/>
    <mergeCell ref="BK36:BQ36"/>
    <mergeCell ref="AJ35:AL35"/>
    <mergeCell ref="AM35:AO35"/>
    <mergeCell ref="AP35:AR35"/>
    <mergeCell ref="AS35:AU35"/>
    <mergeCell ref="AV35:AX35"/>
    <mergeCell ref="AY35:BA35"/>
    <mergeCell ref="BB35:BD35"/>
    <mergeCell ref="B35:D35"/>
    <mergeCell ref="E35:I35"/>
    <mergeCell ref="J35:P35"/>
    <mergeCell ref="Q35:W35"/>
    <mergeCell ref="X35:AD35"/>
    <mergeCell ref="AE35:AF35"/>
    <mergeCell ref="AG35:AI35"/>
    <mergeCell ref="B36:D36"/>
    <mergeCell ref="E36:I36"/>
    <mergeCell ref="J36:P36"/>
    <mergeCell ref="Q36:W36"/>
    <mergeCell ref="X36:AD36"/>
    <mergeCell ref="AE36:AF36"/>
    <mergeCell ref="AG36:AI36"/>
    <mergeCell ref="BE39:BG39"/>
    <mergeCell ref="BH39:BJ39"/>
    <mergeCell ref="AJ39:AL39"/>
    <mergeCell ref="AM39:AO39"/>
    <mergeCell ref="AP39:AR39"/>
    <mergeCell ref="AS39:AU39"/>
    <mergeCell ref="AV39:AX39"/>
    <mergeCell ref="AY39:BA39"/>
    <mergeCell ref="BB39:BD39"/>
    <mergeCell ref="BE37:BG37"/>
    <mergeCell ref="BH37:BJ37"/>
    <mergeCell ref="BK37:BQ37"/>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E38:BG38"/>
    <mergeCell ref="BH38:BJ38"/>
    <mergeCell ref="BK38:BQ38"/>
    <mergeCell ref="BK39:BQ39"/>
    <mergeCell ref="AJ38:AL38"/>
    <mergeCell ref="AM38:AO38"/>
    <mergeCell ref="AP38:AR38"/>
    <mergeCell ref="AS38:AU38"/>
    <mergeCell ref="AV38:AX38"/>
    <mergeCell ref="AY38:BA38"/>
    <mergeCell ref="BB38:BD38"/>
    <mergeCell ref="B38:D38"/>
    <mergeCell ref="E38:I38"/>
    <mergeCell ref="J38:P38"/>
    <mergeCell ref="Q38:W38"/>
    <mergeCell ref="X38:AD38"/>
    <mergeCell ref="AE38:AF38"/>
    <mergeCell ref="AG38:AI38"/>
    <mergeCell ref="B39:D39"/>
    <mergeCell ref="E39:I39"/>
    <mergeCell ref="J39:P39"/>
    <mergeCell ref="Q39:W39"/>
    <mergeCell ref="X39:AD39"/>
    <mergeCell ref="AE39:AF39"/>
    <mergeCell ref="AG39:AI39"/>
    <mergeCell ref="BB56:BD56"/>
    <mergeCell ref="BE56:BG56"/>
    <mergeCell ref="AG56:AI56"/>
    <mergeCell ref="AJ56:AL56"/>
    <mergeCell ref="AM56:AO56"/>
    <mergeCell ref="AP56:AR56"/>
    <mergeCell ref="AS56:AU56"/>
    <mergeCell ref="AV56:AX56"/>
    <mergeCell ref="AY56:BA56"/>
    <mergeCell ref="BE53:BG53"/>
    <mergeCell ref="BH53:BJ53"/>
    <mergeCell ref="BK53:BQ53"/>
    <mergeCell ref="AJ53:AL53"/>
    <mergeCell ref="AM53:AO53"/>
    <mergeCell ref="AP53:AR53"/>
    <mergeCell ref="AS53:AU53"/>
    <mergeCell ref="AV53:AX53"/>
    <mergeCell ref="AY53:BA53"/>
    <mergeCell ref="BB53:BD53"/>
    <mergeCell ref="B53:D53"/>
    <mergeCell ref="E53:I53"/>
    <mergeCell ref="J53:P53"/>
    <mergeCell ref="Q53:W53"/>
    <mergeCell ref="X53:AD53"/>
    <mergeCell ref="AE53:AF53"/>
    <mergeCell ref="AG53:AI53"/>
    <mergeCell ref="BE54:BG54"/>
    <mergeCell ref="BH54:BJ54"/>
    <mergeCell ref="BK54:BQ54"/>
    <mergeCell ref="BH56:BJ56"/>
    <mergeCell ref="BK56:BQ56"/>
    <mergeCell ref="AJ54:AL54"/>
    <mergeCell ref="AM54:AO54"/>
    <mergeCell ref="AP54:AR54"/>
    <mergeCell ref="AS54:AU54"/>
    <mergeCell ref="AV54:AX54"/>
    <mergeCell ref="AY54:BA54"/>
    <mergeCell ref="BB54:BD54"/>
    <mergeCell ref="E54:I54"/>
    <mergeCell ref="J54:P54"/>
    <mergeCell ref="Q54:W54"/>
    <mergeCell ref="X54:AD54"/>
    <mergeCell ref="AE54:AF54"/>
    <mergeCell ref="AG54:AI54"/>
    <mergeCell ref="A55:BQ55"/>
    <mergeCell ref="B54:D54"/>
    <mergeCell ref="B56:D56"/>
    <mergeCell ref="E56:I56"/>
    <mergeCell ref="J56:P56"/>
    <mergeCell ref="Q56:W56"/>
    <mergeCell ref="X56:AD56"/>
    <mergeCell ref="AE56:AF56"/>
    <mergeCell ref="BE59:BG59"/>
    <mergeCell ref="BH59:BJ59"/>
    <mergeCell ref="AJ59:AL59"/>
    <mergeCell ref="AM59:AO59"/>
    <mergeCell ref="AP59:AR59"/>
    <mergeCell ref="AS59:AU59"/>
    <mergeCell ref="AV59:AX59"/>
    <mergeCell ref="AY59:BA59"/>
    <mergeCell ref="BB59:BD59"/>
    <mergeCell ref="BE60:BG60"/>
    <mergeCell ref="BH60:BJ60"/>
    <mergeCell ref="BK60:BQ60"/>
    <mergeCell ref="AJ60:AL60"/>
    <mergeCell ref="AM60:AO60"/>
    <mergeCell ref="AP60:AR60"/>
    <mergeCell ref="AS60:AU60"/>
    <mergeCell ref="AV60:AX60"/>
    <mergeCell ref="AY60:BA60"/>
    <mergeCell ref="BB60:BD60"/>
    <mergeCell ref="B60:D60"/>
    <mergeCell ref="E60:I60"/>
    <mergeCell ref="J60:P60"/>
    <mergeCell ref="Q60:W60"/>
    <mergeCell ref="X60:AD60"/>
    <mergeCell ref="AE60:AF60"/>
    <mergeCell ref="AG60:AI60"/>
    <mergeCell ref="B61:D61"/>
    <mergeCell ref="E61:I61"/>
    <mergeCell ref="J61:P61"/>
    <mergeCell ref="Q61:W61"/>
    <mergeCell ref="X61:AD61"/>
    <mergeCell ref="AE61:AF61"/>
    <mergeCell ref="AG61:AI61"/>
    <mergeCell ref="BE61:BG61"/>
    <mergeCell ref="BH61:BJ61"/>
    <mergeCell ref="BK61:BQ61"/>
    <mergeCell ref="AJ61:AL61"/>
    <mergeCell ref="AM61:AO61"/>
    <mergeCell ref="AP61:AR61"/>
    <mergeCell ref="AS61:AU61"/>
    <mergeCell ref="AV61:AX61"/>
    <mergeCell ref="AY61:BA61"/>
    <mergeCell ref="BB61:BD61"/>
    <mergeCell ref="BE57:BG57"/>
    <mergeCell ref="BH57:BJ57"/>
    <mergeCell ref="BK57:BQ57"/>
    <mergeCell ref="AJ57:AL57"/>
    <mergeCell ref="AM57:AO57"/>
    <mergeCell ref="AP57:AR57"/>
    <mergeCell ref="AS57:AU57"/>
    <mergeCell ref="AV57:AX57"/>
    <mergeCell ref="AY57:BA57"/>
    <mergeCell ref="BB57:BD57"/>
    <mergeCell ref="B57:D57"/>
    <mergeCell ref="E57:I57"/>
    <mergeCell ref="J57:P57"/>
    <mergeCell ref="Q57:W57"/>
    <mergeCell ref="X57:AD57"/>
    <mergeCell ref="AE57:AF57"/>
    <mergeCell ref="AG57:AI57"/>
    <mergeCell ref="BE58:BG58"/>
    <mergeCell ref="BH58:BJ58"/>
    <mergeCell ref="BK58:BQ58"/>
    <mergeCell ref="BK59:BQ59"/>
    <mergeCell ref="AJ58:AL58"/>
    <mergeCell ref="AM58:AO58"/>
    <mergeCell ref="AP58:AR58"/>
    <mergeCell ref="AS58:AU58"/>
    <mergeCell ref="AV58:AX58"/>
    <mergeCell ref="AY58:BA58"/>
    <mergeCell ref="BB58:BD58"/>
    <mergeCell ref="B58:D58"/>
    <mergeCell ref="E58:I58"/>
    <mergeCell ref="J58:P58"/>
    <mergeCell ref="Q58:W58"/>
    <mergeCell ref="X58:AD58"/>
    <mergeCell ref="AE58:AF58"/>
    <mergeCell ref="AG58:AI58"/>
    <mergeCell ref="B59:D59"/>
    <mergeCell ref="E59:I59"/>
    <mergeCell ref="J59:P59"/>
    <mergeCell ref="Q59:W59"/>
    <mergeCell ref="X59:AD59"/>
    <mergeCell ref="AE59:AF59"/>
    <mergeCell ref="AG59:AI59"/>
  </mergeCells>
  <dataValidations>
    <dataValidation type="list" allowBlank="1" sqref="F1">
      <formula1>"単体テスト,結合テスト,システムテスト"</formula1>
    </dataValidation>
    <dataValidation type="list" allowBlank="1" sqref="AG13:AG17 AV13:AV17 AG19:AG23 AV19:AV23 AG25:AG28 AV25:AV28 AG30:AG42 AV30:AV42 AG44:AG50 AV44:AV50 AG52:AG54 AV52:AV54 AG56:AG61 AV56:AV61">
      <formula1>"合格,不合格,未テスト,N/A"</formula1>
    </dataValidation>
    <dataValidation type="list" allowBlank="1" sqref="AE13:AE17 AE19:AE23 AE25:AE28 AE30:AE42 AE44:AE50 AE52:AE54 AE56:AE61">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2026-05-13T04:01:55Z</dcterms:created>
  <dc:creator>openpyxl</dc:creator>
</cp:coreProperties>
</file>