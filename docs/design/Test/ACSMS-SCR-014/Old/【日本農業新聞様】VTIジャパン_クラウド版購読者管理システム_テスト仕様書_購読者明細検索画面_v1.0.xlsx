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856qTq70XojcDdJLq6Lkp8dAIeABb4qt7Ozhd6/4pFo="/>
    </ext>
  </extLst>
</workbook>
</file>

<file path=xl/sharedStrings.xml><?xml version="1.0" encoding="utf-8"?>
<sst xmlns="http://schemas.openxmlformats.org/spreadsheetml/2006/main" count="767" uniqueCount="485">
  <si>
    <t>クラウド版購読者管理システム</t>
  </si>
  <si>
    <t>購読者明細検索画面</t>
  </si>
  <si>
    <t>版1.0</t>
  </si>
  <si>
    <t>フォーマットコード</t>
  </si>
  <si>
    <t>16-BM/PM/VTI</t>
  </si>
  <si>
    <t>フォーマットバージョン</t>
  </si>
  <si>
    <t>1.0</t>
  </si>
  <si>
    <t>発行日</t>
  </si>
  <si>
    <t>2026/06/03</t>
  </si>
  <si>
    <t>項番</t>
  </si>
  <si>
    <t>バージョン</t>
  </si>
  <si>
    <t>担当者</t>
  </si>
  <si>
    <t>変更内容</t>
  </si>
  <si>
    <t>確認者</t>
  </si>
  <si>
    <t>承認者</t>
  </si>
  <si>
    <t>2026-06-03</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</si>
  <si>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</si>
  <si>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</si>
  <si>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</si>
  <si>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</si>
  <si>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</si>
  <si>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</si>
  <si>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</si>
  <si>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</si>
  <si>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</si>
  <si>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</si>
  <si>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</si>
  <si>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</si>
  <si>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</si>
  <si>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t>
  </si>
  <si>
    <t>cung cấp các chức năng như quản lý thông tin độc giả, quản lý lịch sử đặt mua, quản lý dữ liệu chuyển khoản tự động.</t>
  </si>
  <si>
    <t>Các chức năng chính bao gồm đăng ký・cập nhật・tìm kiếm thông tin độc giả,</t>
  </si>
  <si>
    <t>quản lý lịch sử thay đổi nội dung đặt mua, tạo và quản lý dữ liệu chuyển khoản tự động,</t>
  </si>
  <si>
    <t>chức năng upload・download file, quản lý thông báo hệ thống.</t>
  </si>
  <si>
    <t>Ngoài ra còn hỗ trợ các chức năng bảo mật・kiểm toán như quản lý đăng nhập của user, ghi lịch sử đăng nhập,</t>
  </si>
  <si>
    <t>ghi log thao tác của user.</t>
  </si>
  <si>
    <t>2.資料目的</t>
  </si>
  <si>
    <t>Đây là tài liệu mô tả chi tiết test specification được tạo mới trên hệ thống cho màn hình「購読者明細検索画面（ACSMS-SCR-014）」.</t>
  </si>
  <si>
    <t>Tài liệu này tham khảo ISTQB và IEEE 829, đáp ứng các tiêu chuẩn chất lượng sau.</t>
  </si>
  <si>
    <t>- Mỗi testcase được tạo dựa trên một kịch bản đơn lẻ (single responsibility).</t>
  </si>
  <si>
    <t>- Các bước được mô tả ở mức độ có thể tái hiện, nêu rõ test data.</t>
  </si>
  <si>
    <t>- Kết quả mong đợi phải đo lường được (nội dung message, kết quả query DB, HTTP status code, v.v.).</t>
  </si>
  <si>
    <t>3.関連資料</t>
  </si>
  <si>
    <t>No</t>
  </si>
  <si>
    <t>資料コード</t>
  </si>
  <si>
    <t>資料名</t>
  </si>
  <si>
    <t>ACSMS-SCR-014</t>
  </si>
  <si>
    <t>Tài liệu thiết kế màn hình 購読者明細検索画面</t>
  </si>
  <si>
    <t>ACSMS-SCR-014-api</t>
  </si>
  <si>
    <t>Tài liệu thiết kế API 購読者明細検索</t>
  </si>
  <si>
    <t>testcase-viewpoints</t>
  </si>
  <si>
    <t>Danh sách viewpoint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</si>
  <si>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</si>
  <si>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</si>
  <si>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</si>
  <si>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</si>
  <si>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</si>
  <si>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</si>
  <si>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</si>
  <si>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</si>
  <si>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</si>
  <si>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</si>
  <si>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</si>
  <si>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</si>
  <si>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</si>
  <si>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</si>
  <si>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</si>
  <si>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</si>
  <si>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</si>
  <si>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</si>
  <si>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</si>
  <si>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</si>
  <si>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</si>
  <si>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</si>
  <si>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</si>
  <si>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</si>
  <si>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</si>
  <si>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</si>
  <si>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</si>
  <si>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</si>
  <si>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</si>
  <si>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</si>
  <si>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</si>
  <si>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</si>
  <si>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</si>
  <si>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</si>
  <si>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</si>
  <si>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</si>
  <si>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</si>
  <si>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</si>
  <si>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</si>
  <si>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</si>
  <si>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</si>
  <si>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</si>
  <si>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</si>
  <si>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</si>
  <si>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</si>
  <si>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</si>
  <si>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</si>
  <si>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</si>
  <si>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</si>
  <si>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</si>
  <si>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</si>
  <si>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</si>
  <si>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</si>
  <si>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</si>
  <si>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</si>
  <si>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</si>
  <si>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</si>
  <si>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</si>
  <si>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</si>
  <si>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</si>
  <si>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</si>
  <si>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</si>
  <si>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</si>
  <si>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</si>
  <si>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</si>
  <si>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</si>
  <si>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</si>
  <si>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</si>
  <si>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</si>
  <si>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</si>
  <si>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</si>
  <si>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</si>
  <si>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</si>
  <si>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</si>
  <si>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</si>
  <si>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</si>
  <si>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</si>
  <si>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</si>
  <si>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</si>
  <si>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</si>
  <si>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</si>
  <si>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</si>
  <si>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</si>
  <si>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</si>
  <si>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</si>
  <si>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</si>
  <si>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</si>
  <si>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</si>
  <si>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</si>
  <si>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</si>
  <si>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</si>
  <si>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</si>
  <si>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</si>
  <si>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</si>
  <si>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</si>
  <si>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</si>
  <si>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</si>
  <si>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</si>
  <si>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</si>
  <si>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</si>
  <si>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</si>
  <si>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</si>
  <si>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</si>
  <si>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</si>
  <si>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</si>
  <si>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</si>
  <si>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</si>
  <si>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</si>
  <si>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</si>
  <si>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</si>
  <si>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</si>
  <si>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</si>
  <si>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</si>
  <si>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</si>
  <si>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</si>
  <si>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</si>
  <si>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</si>
  <si>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</si>
  <si>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</si>
  <si>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</si>
  <si>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</si>
  <si>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</si>
  <si>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</si>
  <si>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</si>
  <si>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</si>
  <si>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</si>
  <si>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</si>
  <si>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</si>
  <si>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</si>
  <si>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</si>
  <si>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</si>
  <si>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</si>
  <si>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</si>
  <si>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</si>
  <si>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</si>
  <si>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</si>
  <si>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</si>
  <si>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</si>
  <si>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</si>
  <si>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</si>
  <si>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</si>
  <si>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</si>
  <si>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</si>
  <si>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</si>
  <si>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</si>
  <si>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</si>
  <si>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</si>
  <si>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</si>
  <si>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</si>
  <si>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</si>
  <si>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</si>
  <si>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</si>
  <si>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</si>
  <si>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</si>
  <si>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</si>
  <si>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</si>
  <si>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</si>
  <si>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</si>
  <si>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</si>
  <si>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</si>
  <si>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</si>
  <si>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</si>
  <si>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</si>
  <si>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</si>
  <si>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</si>
  <si>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</si>
  <si>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</si>
  <si>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</si>
  <si>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</si>
  <si>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</si>
  <si>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</si>
  <si>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</si>
  <si>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</si>
  <si>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</si>
  <si>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</si>
  <si>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</si>
  <si>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</si>
  <si>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</si>
  <si>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</si>
  <si>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</si>
  <si>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</si>
  <si>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</si>
  <si>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</si>
  <si>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</si>
  <si>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</si>
  <si>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</si>
  <si>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</si>
  <si>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</si>
  <si>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</si>
  <si>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</si>
  <si>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ACSMS-SCR-014_購読者明細検索画面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</si>
  <si>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</si>
  <si>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</si>
  <si>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</si>
  <si>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</si>
  <si>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</si>
  <si>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</si>
  <si>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</si>
  <si>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</si>
  <si>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</si>
  <si>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</si>
  <si>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</si>
  <si>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</si>
  <si>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</si>
  <si>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</si>
  <si>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</si>
  <si>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</si>
  <si>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</si>
  <si>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</si>
  <si>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</si>
  <si>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</si>
  <si>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</si>
  <si>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</si>
  <si>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ACSMS-TC-014-001</t>
  </si>
  <si>
    <t>Cấm truy cập màn hình 購読者明細検索画面 (NICHINO_ADMIN)</t>
  </si>
  <si>
    <t>・role: NICHINO_ADMIN
・Đã đăng nhập + đã xác thực MFA</t>
  </si>
  <si>
    <r>
      <rPr>
        <rFont val="游ゴシック"/>
        <b/>
        <color rgb="FF000000"/>
        <sz val="10.0"/>
      </rPr>
      <t xml:space="preserve">ステップ1：
</t>
    </r>
    <r>
      <rPr>
        <rFont val="游ゴシック"/>
        <color rgb="FF000000"/>
        <sz val="10.0"/>
      </rPr>
      <t xml:space="preserve">Mở dashboard, kiểm tra mục「購読者明細検索画面」ở section「購読者管理」trên sidebar
</t>
    </r>
    <r>
      <rPr>
        <rFont val="游ゴシック"/>
        <b/>
        <color rgb="FF000000"/>
        <sz val="10.0"/>
      </rPr>
      <t xml:space="preserve">ステップ2：
</t>
    </r>
    <r>
      <rPr>
        <rFont val="游ゴシック"/>
        <color rgb="FF000000"/>
        <sz val="10.0"/>
      </rPr>
      <t xml:space="preserve">Nhập trực tiếp `/dokusya` vào address bar của browser và truy cập trực tiếp
</t>
    </r>
    <r>
      <rPr>
        <rFont val="游ゴシック"/>
        <b/>
        <color rgb="FF000000"/>
        <sz val="10.0"/>
      </rPr>
      <t xml:space="preserve">ステップ3：
</t>
    </r>
    <r>
      <rPr>
        <rFont val="游ゴシック"/>
        <color rgb="FF000000"/>
        <sz val="10.0"/>
      </rPr>
      <t xml:space="preserve">Gọi trực tiếp GET `/api/v1/dokusya?page=1&amp;per_page=20` qua DevTools
</t>
    </r>
  </si>
  <si>
    <r>
      <rPr>
        <rFont val="游ゴシック"/>
        <b/>
        <color rgb="FF000000"/>
        <sz val="10.0"/>
      </rPr>
      <t xml:space="preserve">ステップ1：
</t>
    </r>
    <r>
      <rPr>
        <rFont val="游ゴシック"/>
        <color rgb="FF000000"/>
        <sz val="10.0"/>
      </rPr>
      <t xml:space="preserve">Mục「購読者明細検索画面」không hiển thị trên sidebar (NICHINO_ADMIN không có quyền `dokusya.view`)
</t>
    </r>
    <r>
      <rPr>
        <rFont val="游ゴシック"/>
        <b/>
        <color rgb="FF000000"/>
        <sz val="10.0"/>
      </rPr>
      <t xml:space="preserve">ステップ2：
</t>
    </r>
    <r>
      <rPr>
        <rFont val="游ゴシック"/>
        <color rgb="FF000000"/>
        <sz val="10.0"/>
      </rPr>
      <t xml:space="preserve">Hiển thị toast `アクセス権がありません。`, đồng thời chuyển về `/dashboard`
</t>
    </r>
    <r>
      <rPr>
        <rFont val="游ゴシック"/>
        <b/>
        <color rgb="FF000000"/>
        <sz val="10.0"/>
      </rPr>
      <t xml:space="preserve">ステップ3：
</t>
    </r>
    <r>
      <rPr>
        <rFont val="游ゴシック"/>
        <color rgb="FF000000"/>
        <sz val="10.0"/>
      </rPr>
      <t xml:space="preserve">Trả về HTTP 403 (`error_code: FORBIDDEN`, message `この画面へのアクセス権限がありません。`)
</t>
    </r>
  </si>
  <si>
    <t>diem.kieuthi</t>
  </si>
  <si>
    <t>Critical — nếu fail nghĩa là bypass RBAC, xử lý như sự cố bảo mật.</t>
  </si>
  <si>
    <t>ACSMS-TC-014-002</t>
  </si>
  <si>
    <t>Cấm truy cập màn hình 購読者明細検索画面 (NICHINO_STAFF)</t>
  </si>
  <si>
    <t>・role: NICHINO_STAFF
・Đã đăng nhập + đã xác thực MFA</t>
  </si>
  <si>
    <r>
      <rPr>
        <rFont val="メイリオ"/>
        <b/>
        <color rgb="FF000000"/>
        <sz val="10.0"/>
      </rPr>
      <t xml:space="preserve">ステップ1：
</t>
    </r>
    <r>
      <rPr>
        <rFont val="メイリオ"/>
        <color rgb="FF000000"/>
        <sz val="10.0"/>
      </rPr>
      <t xml:space="preserve">Kiểm tra mục「購読者明細検索画面」trên sidebar
</t>
    </r>
    <r>
      <rPr>
        <rFont val="メイリオ"/>
        <b/>
        <color rgb="FF000000"/>
        <sz val="10.0"/>
      </rPr>
      <t xml:space="preserve">ステップ2：
</t>
    </r>
    <r>
      <rPr>
        <rFont val="メイリオ"/>
        <color rgb="FF000000"/>
        <sz val="10.0"/>
      </rPr>
      <t xml:space="preserve">Truy cập trực tiếp URL `/dokusya`
</t>
    </r>
    <r>
      <rPr>
        <rFont val="メイリオ"/>
        <b/>
        <color rgb="FF000000"/>
        <sz val="10.0"/>
      </rPr>
      <t xml:space="preserve">ステップ3：
</t>
    </r>
    <r>
      <rPr>
        <rFont val="メイリオ"/>
        <color rgb="FF000000"/>
        <sz val="10.0"/>
      </rPr>
      <t>Gọi trực tiếp GET `/api/v1/dokusya?page=1&amp;per_page=20` qua DevTools</t>
    </r>
  </si>
  <si>
    <r>
      <rPr>
        <rFont val="メイリオ"/>
        <b/>
        <color rgb="FF000000"/>
        <sz val="10.0"/>
      </rPr>
      <t xml:space="preserve">ステップ1：
</t>
    </r>
    <r>
      <rPr>
        <rFont val="メイリオ"/>
        <color rgb="FF000000"/>
        <sz val="10.0"/>
      </rPr>
      <t xml:space="preserve">Mục「購読者明細検索画面」không hiển thị trên sidebar (NICHINO_STAFF không có quyền `dokusya.view`)
</t>
    </r>
    <r>
      <rPr>
        <rFont val="メイリオ"/>
        <b/>
        <color rgb="FF000000"/>
        <sz val="10.0"/>
      </rPr>
      <t xml:space="preserve">ステップ2：
</t>
    </r>
    <r>
      <rPr>
        <rFont val="メイリオ"/>
        <color rgb="FF000000"/>
        <sz val="10.0"/>
      </rPr>
      <t xml:space="preserve">Hiển thị toast `アクセス権がありません。`, đồng thời chuyển về `/dashboard`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・Theo ma trận quyền `account_concept.md`, chức năng quản lý độc giả nằm ngoài phạm vi của 日農 (担当者) (×)
</t>
    </r>
    <r>
      <rPr>
        <rFont val="メイリオ"/>
        <color rgb="FF000000"/>
        <sz val="10.0"/>
      </rPr>
      <t>・日農 (担当者) chỉ có thể nhập thay販売店代行入力, không thể tham chiếu・xóa・xuất độc giả</t>
    </r>
  </si>
  <si>
    <t>ACSMS-TC-014-003</t>
  </si>
  <si>
    <t>Truy cập màn hình 購読者明細検索画面 bởi CHUOKAI (chỉ xem JA quản hạt của trung ương hội mình + được xóa)</t>
  </si>
  <si>
    <t>・role: CHUOKAI (thuộc chuokai-001)
・Test data: độc giả của JA quản hạt trung ương hội mình (ja-001), độc giả của JA thuộc trung ương hội khác (ja-101) đã được đăng ký</t>
  </si>
  <si>
    <r>
      <rPr>
        <rFont val="メイリオ"/>
        <b/>
        <color rgb="FF000000"/>
        <sz val="10.0"/>
      </rPr>
      <t xml:space="preserve">ステップ1：
</t>
    </r>
    <r>
      <rPr>
        <rFont val="メイリオ"/>
        <color rgb="FF000000"/>
        <sz val="10.0"/>
      </rPr>
      <t xml:space="preserve">Kiểm tra mục「購読者明細検索画面」trên sidebar
</t>
    </r>
    <r>
      <rPr>
        <rFont val="メイリオ"/>
        <b/>
        <color rgb="FF000000"/>
        <sz val="10.0"/>
      </rPr>
      <t xml:space="preserve">ステップ2：
</t>
    </r>
    <r>
      <rPr>
        <rFont val="メイリオ"/>
        <color rgb="FF000000"/>
        <sz val="10.0"/>
      </rPr>
      <t xml:space="preserve">Click「購読者明細検索画面」→ kiểm tra nội dung hiển thị màn hình list
</t>
    </r>
    <r>
      <rPr>
        <rFont val="メイリオ"/>
        <b/>
        <color rgb="FF000000"/>
        <sz val="10.0"/>
      </rPr>
      <t xml:space="preserve">ステップ3：
</t>
    </r>
    <r>
      <rPr>
        <rFont val="メイリオ"/>
        <color rgb="FF000000"/>
        <sz val="10.0"/>
      </rPr>
      <t xml:space="preserve">Kiểm tra cột「操作」của bảng list
</t>
    </r>
    <r>
      <rPr>
        <rFont val="メイリオ"/>
        <b/>
        <color rgb="FF000000"/>
        <sz val="10.0"/>
      </rPr>
      <t xml:space="preserve">ステップ4：
</t>
    </r>
    <r>
      <rPr>
        <rFont val="メイリオ"/>
        <color rgb="FF000000"/>
        <sz val="10.0"/>
      </rPr>
      <t xml:space="preserve">Kiểm tra trạng thái button「購読者情報登録」và button「Excel出力」ở góc trên phải màn hình
</t>
    </r>
    <r>
      <rPr>
        <rFont val="メイリオ"/>
        <b/>
        <color rgb="FF000000"/>
        <sz val="10.0"/>
      </rPr>
      <t xml:space="preserve">ステップ5：
</t>
    </r>
    <r>
      <rPr>
        <rFont val="メイリオ"/>
        <color rgb="FF000000"/>
        <sz val="10.0"/>
      </rPr>
      <t>Gọi trực tiếp GET `/api/v1/dokusya?page=1&amp;per_page=20` qua DevTools, kiểm tra response</t>
    </r>
  </si>
  <si>
    <r>
      <rPr>
        <rFont val="メイリオ"/>
        <b/>
        <color rgb="FF000000"/>
        <sz val="10.0"/>
      </rPr>
      <t xml:space="preserve">ステップ1：
</t>
    </r>
    <r>
      <rPr>
        <rFont val="メイリオ"/>
        <color rgb="FF000000"/>
        <sz val="10.0"/>
      </rPr>
      <t xml:space="preserve">Mục「購読者明細検索画面」hiển thị trên sidebar (có quyền `dokusya.view`)
</t>
    </r>
    <r>
      <rPr>
        <rFont val="メイリオ"/>
        <b/>
        <color rgb="FF000000"/>
        <sz val="10.0"/>
      </rPr>
      <t xml:space="preserve">ステップ2：
</t>
    </r>
    <r>
      <rPr>
        <rFont val="メイリオ"/>
        <color rgb="FF000000"/>
        <sz val="10.0"/>
      </rPr>
      <t xml:space="preserve">Màn hình 購読者明細検索画面 hiển thị bình thường. Trong list chỉ hiển thị độc giả của JA quản hạt trung ương hội mình (ja-001), độc giả của ja-101 không hiển thị
</t>
    </r>
    <r>
      <rPr>
        <rFont val="メイリオ"/>
        <b/>
        <color rgb="FF000000"/>
        <sz val="10.0"/>
      </rPr>
      <t xml:space="preserve">ステップ3：
</t>
    </r>
    <r>
      <rPr>
        <rFont val="メイリオ"/>
        <color rgb="FF000000"/>
        <sz val="10.0"/>
      </rPr>
      <t xml:space="preserve">Link「削除」hiển thị ở trạng thái active (có quyền `dokusya.delete`). Tuy nhiên dòng có `is_read_only=true` (người thanh toán thẻ tín dụng bản điện tử・người đọc kép) thì ở trạng thái disable
</t>
    </r>
    <r>
      <rPr>
        <rFont val="メイリオ"/>
        <b/>
        <color rgb="FF000000"/>
        <sz val="10.0"/>
      </rPr>
      <t xml:space="preserve">ステップ4：
</t>
    </r>
    <r>
      <rPr>
        <rFont val="メイリオ"/>
        <color rgb="FF000000"/>
        <sz val="10.0"/>
      </rPr>
      <t xml:space="preserve">Button「購読者情報登録」hiển thị ở trạng thái active (có quyền `dokusya.create`). Button「Excel出力」hiển thị ở trạng thái active (có quyền `dokusya.view`)
</t>
    </r>
    <r>
      <rPr>
        <rFont val="メイリオ"/>
        <b/>
        <color rgb="FF000000"/>
        <sz val="10.0"/>
      </rPr>
      <t xml:space="preserve">ステップ5：
</t>
    </r>
    <r>
      <rPr>
        <rFont val="メイリオ"/>
        <color rgb="FF000000"/>
        <sz val="10.0"/>
      </rPr>
      <t xml:space="preserve">Trả về HTTP 200 (mảng `data` chỉ chứa độc giả của JA quản hạt trung ương hội mình, `meta.total` khớp với số lượng sau khi áp dụng DataScope)
</t>
    </r>
    <r>
      <rPr>
        <rFont val="メイリオ"/>
        <b/>
        <color rgb="FF000000"/>
        <sz val="10.0"/>
      </rPr>
      <t xml:space="preserve">補足：
</t>
    </r>
    <r>
      <rPr>
        <rFont val="メイリオ"/>
        <color rgb="FF000000"/>
        <sz val="10.0"/>
      </rPr>
      <t xml:space="preserve">・CHUOKAI có quyền `dokusya.view` / `dokusya.create` / `dokusya.delete`
</t>
    </r>
    <r>
      <rPr>
        <rFont val="メイリオ"/>
        <color rgb="FF000000"/>
        <sz val="10.0"/>
      </rPr>
      <t xml:space="preserve">・Theo DataScope, chỉ xem được độc giả của JA quản hạt trung ương hội mình (`d.ja_id IN (SELECT ja_id FROM m_ja WHERE chuokai_id = :user_chuokai_id)`)
</t>
    </r>
    <r>
      <rPr>
        <rFont val="メイリオ"/>
        <color rgb="FF000000"/>
        <sz val="10.0"/>
      </rPr>
      <t>・Được cho phép ở cả 3 tầng: FE menu, FE router guard, BE API guard</t>
    </r>
  </si>
  <si>
    <t>N</t>
  </si>
  <si>
    <t>ACSMS-TC-014-004</t>
  </si>
  <si>
    <t>Truy cập màn hình 購読者明細検索画面 bởi JA_HONTEN (chỉ xem JA mình + được xóa)</t>
  </si>
  <si>
    <t>・role: JA_HONTEN (thuộc ja-001, JA mình = ja-001)
・Test data: độc giả của JA mình (ja-001), độc giả của JA khác (ja-002) đã được đăng ký</t>
  </si>
  <si>
    <r>
      <rPr>
        <rFont val="メイリオ"/>
        <b/>
        <color rgb="FF000000"/>
        <sz val="10.0"/>
      </rPr>
      <t xml:space="preserve">ステップ1：
</t>
    </r>
    <r>
      <rPr>
        <rFont val="メイリオ"/>
        <color rgb="FF000000"/>
        <sz val="10.0"/>
      </rPr>
      <t xml:space="preserve">Kiểm tra mục「購読者明細検索画面」trên sidebar
</t>
    </r>
    <r>
      <rPr>
        <rFont val="メイリオ"/>
        <b/>
        <color rgb="FF000000"/>
        <sz val="10.0"/>
      </rPr>
      <t xml:space="preserve">ステップ2：
</t>
    </r>
    <r>
      <rPr>
        <rFont val="メイリオ"/>
        <color rgb="FF000000"/>
        <sz val="10.0"/>
      </rPr>
      <t xml:space="preserve">Click「購読者明細検索画面」→ kiểm tra nội dung hiển thị màn hình list
</t>
    </r>
    <r>
      <rPr>
        <rFont val="メイリオ"/>
        <b/>
        <color rgb="FF000000"/>
        <sz val="10.0"/>
      </rPr>
      <t xml:space="preserve">ステップ3：
</t>
    </r>
    <r>
      <rPr>
        <rFont val="メイリオ"/>
        <color rgb="FF000000"/>
        <sz val="10.0"/>
      </rPr>
      <t xml:space="preserve">Kiểm tra trạng thái link「削除」ở cột「操作」, button「購読者情報登録」, button「Excel出力」
</t>
    </r>
    <r>
      <rPr>
        <rFont val="メイリオ"/>
        <b/>
        <color rgb="FF000000"/>
        <sz val="10.0"/>
      </rPr>
      <t xml:space="preserve">ステップ4：
</t>
    </r>
    <r>
      <rPr>
        <rFont val="メイリオ"/>
        <color rgb="FF000000"/>
        <sz val="10.0"/>
      </rPr>
      <t>Gọi trực tiếp GET `/api/v1/dokusya?page=1&amp;per_page=20` qua DevTools</t>
    </r>
  </si>
  <si>
    <r>
      <rPr>
        <rFont val="メイリオ"/>
        <b/>
        <color rgb="FF000000"/>
        <sz val="10.0"/>
      </rPr>
      <t xml:space="preserve">ステップ1：
</t>
    </r>
    <r>
      <rPr>
        <rFont val="メイリオ"/>
        <color rgb="FF000000"/>
        <sz val="10.0"/>
      </rPr>
      <t xml:space="preserve">Mục「購読者明細検索画面」hiển thị trên sidebar (có quyền `dokusya.view`)
</t>
    </r>
    <r>
      <rPr>
        <rFont val="メイリオ"/>
        <b/>
        <color rgb="FF000000"/>
        <sz val="10.0"/>
      </rPr>
      <t xml:space="preserve">ステップ2：
</t>
    </r>
    <r>
      <rPr>
        <rFont val="メイリオ"/>
        <color rgb="FF000000"/>
        <sz val="10.0"/>
      </rPr>
      <t xml:space="preserve">Chỉ hiển thị độc giả của JA mình (ja-001), độc giả của JA khác (ja-002) không hiển thị
</t>
    </r>
    <r>
      <rPr>
        <rFont val="メイリオ"/>
        <b/>
        <color rgb="FF000000"/>
        <sz val="10.0"/>
      </rPr>
      <t xml:space="preserve">ステップ3：
</t>
    </r>
    <r>
      <rPr>
        <rFont val="メイリオ"/>
        <color rgb="FF000000"/>
        <sz val="10.0"/>
      </rPr>
      <t xml:space="preserve">Link「削除」(dòng `is_read_only=false`), button「購読者情報登録」, button「Excel出力」đều hiển thị ở trạng thái active (có quyền `dokusya.view` / `dokusya.create` / `dokusya.delete`)
</t>
    </r>
    <r>
      <rPr>
        <rFont val="メイリオ"/>
        <b/>
        <color rgb="FF000000"/>
        <sz val="10.0"/>
      </rPr>
      <t xml:space="preserve">ステップ4：
</t>
    </r>
    <r>
      <rPr>
        <rFont val="メイリオ"/>
        <color rgb="FF000000"/>
        <sz val="10.0"/>
      </rPr>
      <t xml:space="preserve">Trả về HTTP 200 (mảng `data` chỉ chứa độc giả của JA mình)
</t>
    </r>
    <r>
      <rPr>
        <rFont val="メイリオ"/>
        <b/>
        <color rgb="FF000000"/>
        <sz val="10.0"/>
      </rPr>
      <t xml:space="preserve">補足：
</t>
    </r>
    <r>
      <rPr>
        <rFont val="メイリオ"/>
        <color rgb="FF000000"/>
        <sz val="10.0"/>
      </rPr>
      <t xml:space="preserve">・JA_HONTEN có quyền `dokusya.view` / `dokusya.create` / `dokusya.delete`
</t>
    </r>
    <r>
      <rPr>
        <rFont val="メイリオ"/>
        <color rgb="FF000000"/>
        <sz val="10.0"/>
      </rPr>
      <t>・Theo DataScope, chỉ xem được độc giả của JA mình (`d.ja_id = :user_ja_id`)</t>
    </r>
  </si>
  <si>
    <t>ACSMS-TC-014-005</t>
  </si>
  <si>
    <t>Truy cập màn hình 購読者明細検索画面 bởi JA_KANRI_SHITEN (chỉ xem chi nhánh quản lý mình + được xóa)</t>
  </si>
  <si>
    <t>・role: JA_KANRI_SHITEN (thuộc ja-001 / chi nhánh quản lý kanri_shiten-001)
・Test data: độc giả của chi nhánh quản lý mình (kanri_shiten-001), độc giả của chi nhánh quản lý khác cùng JA (kanri_shiten-002) đã được đăng ký</t>
  </si>
  <si>
    <r>
      <rPr>
        <rFont val="メイリオ"/>
        <b/>
        <color rgb="FF000000"/>
        <sz val="10.0"/>
      </rPr>
      <t xml:space="preserve">ステップ1：
</t>
    </r>
    <r>
      <rPr>
        <rFont val="メイリオ"/>
        <color rgb="FF000000"/>
        <sz val="10.0"/>
      </rPr>
      <t xml:space="preserve">Kiểm tra mục「購読者明細検索画面」trên sidebar
</t>
    </r>
    <r>
      <rPr>
        <rFont val="メイリオ"/>
        <b/>
        <color rgb="FF000000"/>
        <sz val="10.0"/>
      </rPr>
      <t xml:space="preserve">ステップ2：
</t>
    </r>
    <r>
      <rPr>
        <rFont val="メイリオ"/>
        <color rgb="FF000000"/>
        <sz val="10.0"/>
      </rPr>
      <t xml:space="preserve">Click「購読者明細検索画面」→ kiểm tra nội dung hiển thị màn hình list
</t>
    </r>
    <r>
      <rPr>
        <rFont val="メイリオ"/>
        <b/>
        <color rgb="FF000000"/>
        <sz val="10.0"/>
      </rPr>
      <t xml:space="preserve">ステップ3：
</t>
    </r>
    <r>
      <rPr>
        <rFont val="メイリオ"/>
        <color rgb="FF000000"/>
        <sz val="10.0"/>
      </rPr>
      <t xml:space="preserve">Gọi trực tiếp GET `/api/v1/dokusya?page=1&amp;per_page=20` qua DevTools
</t>
    </r>
    <r>
      <rPr>
        <rFont val="メイリオ"/>
        <b/>
        <color rgb="FF000000"/>
        <sz val="10.0"/>
      </rPr>
      <t xml:space="preserve">ステップ4：
</t>
    </r>
    <r>
      <rPr>
        <rFont val="メイリオ"/>
        <color rgb="FF000000"/>
        <sz val="10.0"/>
      </rPr>
      <t>Chỉ định ID độc giả của chi nhánh quản lý khác (kanri_shiten-002), gọi trực tiếp DELETE `/api/v1/dokusya/{id độc giả chi nhánh quản lý khác}` qua DevTools</t>
    </r>
  </si>
  <si>
    <r>
      <rPr>
        <rFont val="メイリオ"/>
        <b/>
        <color rgb="FF000000"/>
        <sz val="10.0"/>
      </rPr>
      <t xml:space="preserve">ステップ1：
</t>
    </r>
    <r>
      <rPr>
        <rFont val="メイリオ"/>
        <color rgb="FF000000"/>
        <sz val="10.0"/>
      </rPr>
      <t xml:space="preserve">Mục「購読者明細検索画面」hiển thị trên sidebar (có quyền `dokusya.view`)
</t>
    </r>
    <r>
      <rPr>
        <rFont val="メイリオ"/>
        <b/>
        <color rgb="FF000000"/>
        <sz val="10.0"/>
      </rPr>
      <t xml:space="preserve">ステップ2：
</t>
    </r>
    <r>
      <rPr>
        <rFont val="メイリオ"/>
        <color rgb="FF000000"/>
        <sz val="10.0"/>
      </rPr>
      <t xml:space="preserve">Chỉ hiển thị độc giả của chi nhánh quản lý mình (kanri_shiten-001), độc giả của chi nhánh quản lý khác (kanri_shiten-002) không hiển thị
</t>
    </r>
    <r>
      <rPr>
        <rFont val="メイリオ"/>
        <b/>
        <color rgb="FF000000"/>
        <sz val="10.0"/>
      </rPr>
      <t xml:space="preserve">ステップ3：
</t>
    </r>
    <r>
      <rPr>
        <rFont val="メイリオ"/>
        <color rgb="FF000000"/>
        <sz val="10.0"/>
      </rPr>
      <t xml:space="preserve">Trả về HTTP 200 (mảng `data` chỉ chứa độc giả của chi nhánh quản lý mình)
</t>
    </r>
    <r>
      <rPr>
        <rFont val="メイリオ"/>
        <b/>
        <color rgb="FF000000"/>
        <sz val="10.0"/>
      </rPr>
      <t xml:space="preserve">ステップ4：
</t>
    </r>
    <r>
      <rPr>
        <rFont val="メイリオ"/>
        <color rgb="FF000000"/>
        <sz val="10.0"/>
      </rPr>
      <t xml:space="preserve">Trả về HTTP 404 (`error_code: NOT_FOUND`, message `指定された購読者が見つかりません。` (ẩn sự tồn tại bởi DataScope))
</t>
    </r>
    <r>
      <rPr>
        <rFont val="メイリオ"/>
        <b/>
        <color rgb="FF000000"/>
        <sz val="10.0"/>
      </rPr>
      <t xml:space="preserve">補足：
</t>
    </r>
    <r>
      <rPr>
        <rFont val="メイリオ"/>
        <color rgb="FF000000"/>
        <sz val="10.0"/>
      </rPr>
      <t xml:space="preserve">・JA_KANRI_SHITEN có quyền `dokusya.view` / `dokusya.create` / `dokusya.delete`
</t>
    </r>
    <r>
      <rPr>
        <rFont val="メイリオ"/>
        <color rgb="FF000000"/>
        <sz val="10.0"/>
      </rPr>
      <t xml:space="preserve">・Theo DataScope, chỉ xem được độc giả của chi nhánh quản lý mình (`d.ja_id = :user_ja_id AND d.kanri_shiten_id = :user_kanri_shiten_id`)
</t>
    </r>
    <r>
      <rPr>
        <rFont val="メイリオ"/>
        <color rgb="FF000000"/>
        <sz val="10.0"/>
      </rPr>
      <t>・Thao tác xóa record ngoài scope trả về HTTP 404 để ẩn sự tồn tại</t>
    </r>
  </si>
  <si>
    <t>(なし)
---</t>
  </si>
  <si>
    <t>Hiển thị màn hình・Responsive (Layout &amp; Responsive)</t>
  </si>
  <si>
    <t>ACSMS-TC-014-006</t>
  </si>
  <si>
    <t>Layout tổng thể màn hình tìm kiếm khớp với thiết kế</t>
  </si>
  <si>
    <t>・role: JA_HONTEN
・Browser: Chrome (latest), độ phân giải 1920×1080</t>
  </si>
  <si>
    <r>
      <rPr>
        <rFont val="メイリオ"/>
        <b/>
        <color rgb="FF000000"/>
        <sz val="10.0"/>
      </rPr>
      <t xml:space="preserve">ステップ1：
</t>
    </r>
    <r>
      <rPr>
        <rFont val="メイリオ"/>
        <color rgb="FF000000"/>
        <sz val="10.0"/>
      </rPr>
      <t xml:space="preserve">Click「購読者明細検索画面」từ sidebar, mở màn hình `/dokusya`
</t>
    </r>
    <r>
      <rPr>
        <rFont val="メイリオ"/>
        <b/>
        <color rgb="FF000000"/>
        <sz val="10.0"/>
      </rPr>
      <t xml:space="preserve">ステップ2：
</t>
    </r>
    <r>
      <rPr>
        <rFont val="メイリオ"/>
        <color rgb="FF000000"/>
        <sz val="10.0"/>
      </rPr>
      <t xml:space="preserve">So sánh màn hình với tài liệu thiết kế (screen-design.md / index.html)
</t>
    </r>
    <r>
      <rPr>
        <rFont val="メイリオ"/>
        <b/>
        <color rgb="FF000000"/>
        <sz val="10.0"/>
      </rPr>
      <t xml:space="preserve">ステップ3：
</t>
    </r>
    <r>
      <rPr>
        <rFont val="メイリオ"/>
        <color rgb="FF000000"/>
        <sz val="10.0"/>
      </rPr>
      <t>Kiểm tra vị trí từng section (header, breadcrumb, card form tìm kiếm, card bảng list, pagination)</t>
    </r>
  </si>
  <si>
    <r>
      <rPr>
        <rFont val="メイリオ"/>
        <b/>
        <color rgb="FF000000"/>
        <sz val="10.0"/>
      </rPr>
      <t xml:space="preserve">ステップ1：
</t>
    </r>
    <r>
      <rPr>
        <rFont val="メイリオ"/>
        <color rgb="FF000000"/>
        <sz val="10.0"/>
      </rPr>
      <t xml:space="preserve">Màn hình 購読者明細検索画面 được hiển thị
</t>
    </r>
    <r>
      <rPr>
        <rFont val="メイリオ"/>
        <b/>
        <color rgb="FF000000"/>
        <sz val="10.0"/>
      </rPr>
      <t xml:space="preserve">ステップ2：
</t>
    </r>
    <r>
      <rPr>
        <rFont val="メイリオ"/>
        <color rgb="FF000000"/>
        <sz val="10.0"/>
      </rPr>
      <t xml:space="preserve">Màu nền, font, cỡ chữ, padding, màu button, style ô input đều khớp
</t>
    </r>
    <r>
      <rPr>
        <rFont val="メイリオ"/>
        <b/>
        <color rgb="FF000000"/>
        <sz val="10.0"/>
      </rPr>
      <t xml:space="preserve">ステップ3：
</t>
    </r>
    <r>
      <rPr>
        <rFont val="メイリオ"/>
        <color rgb="FF000000"/>
        <sz val="10.0"/>
      </rPr>
      <t xml:space="preserve">Đúng theo thiết kế: header phía trên → breadcrumb → card form tìm kiếm → card bảng list (header + data + pagination) theo bố cục dọc
</t>
    </r>
    <r>
      <rPr>
        <rFont val="メイリオ"/>
        <b/>
        <color rgb="FF000000"/>
        <sz val="10.0"/>
      </rPr>
      <t xml:space="preserve">補足：
</t>
    </r>
    <r>
      <rPr>
        <rFont val="メイリオ"/>
        <color rgb="FF000000"/>
        <sz val="10.0"/>
      </rPr>
      <t xml:space="preserve">・Không có sai khác về mặt thị giác so với thiết kế
</t>
    </r>
    <r>
      <rPr>
        <rFont val="メイリオ"/>
        <color rgb="FF000000"/>
        <sz val="10.0"/>
      </rPr>
      <t>・design tokens (`design-tokens.ts`) được áp dụng (không có màu hardcode)</t>
    </r>
  </si>
  <si>
    <t>ACSMS-TC-014-007</t>
  </si>
  <si>
    <t>Hiển thị các phần tử form tìm kiếm (vùng hiển thị thường xuyên) đúng thiết kế</t>
  </si>
  <si>
    <t>・Trạng thái đã mở màn hình tìm kiếm</t>
  </si>
  <si>
    <r>
      <rPr>
        <rFont val="メイリオ"/>
        <b/>
        <color rgb="FF000000"/>
        <sz val="10.0"/>
      </rPr>
      <t xml:space="preserve">ステップ1：
</t>
    </r>
    <r>
      <rPr>
        <rFont val="メイリオ"/>
        <color rgb="FF000000"/>
        <sz val="10.0"/>
      </rPr>
      <t xml:space="preserve">Kiểm tra các mục input vùng hiển thị thường xuyên (管理支店, 支店, 組合員コード, 氏名, かな氏名, 配達先住所, 配達販売店, 手続種類, 購読開始日, 購読中止日, 購読種別, 電子版承認ステータス)
</t>
    </r>
    <r>
      <rPr>
        <rFont val="メイリオ"/>
        <b/>
        <color rgb="FF000000"/>
        <sz val="10.0"/>
      </rPr>
      <t xml:space="preserve">ステップ2：
</t>
    </r>
    <r>
      <rPr>
        <rFont val="メイリオ"/>
        <color rgb="FF000000"/>
        <sz val="10.0"/>
      </rPr>
      <t xml:space="preserve">Kiểm tra option của mục pulldown (管理支店 / 支店 / 配達販売店), option của mục radio (手続種類 / 購読種別 / 電子版承認ステータス)
</t>
    </r>
    <r>
      <rPr>
        <rFont val="メイリオ"/>
        <b/>
        <color rgb="FF000000"/>
        <sz val="10.0"/>
      </rPr>
      <t xml:space="preserve">ステップ3：
</t>
    </r>
    <r>
      <rPr>
        <rFont val="メイリオ"/>
        <color rgb="FF000000"/>
        <sz val="10.0"/>
      </rPr>
      <t>Kiểm tra 2 ô input bắt đầu・kết thúc của mục khoảng ngày (購読開始日 / 購読中止日)</t>
    </r>
  </si>
  <si>
    <r>
      <rPr>
        <rFont val="メイリオ"/>
        <b/>
        <color rgb="FF000000"/>
        <sz val="10.0"/>
      </rPr>
      <t xml:space="preserve">ステップ1：
</t>
    </r>
    <r>
      <rPr>
        <rFont val="メイリオ"/>
        <color rgb="FF000000"/>
        <sz val="10.0"/>
      </rPr>
      <t xml:space="preserve">Từng mục input hiển thị đúng thiết kế. Placeholder và label đúng theo sheet định nghĩa mục màn hình
</t>
    </r>
    <r>
      <rPr>
        <rFont val="メイリオ"/>
        <b/>
        <color rgb="FF000000"/>
        <sz val="10.0"/>
      </rPr>
      <t xml:space="preserve">ステップ2：
</t>
    </r>
    <r>
      <rPr>
        <rFont val="メイリオ"/>
        <color rgb="FF000000"/>
        <sz val="10.0"/>
      </rPr>
      <t xml:space="preserve">・Radio của 手続種類 hiển thị「解約」「新規」
</t>
    </r>
    <r>
      <rPr>
        <rFont val="メイリオ"/>
        <color rgb="FF000000"/>
        <sz val="10.0"/>
      </rPr>
      <t xml:space="preserve">・Radio của 購読種別 hiển thị「紙版」「電子版」「併読」
</t>
    </r>
    <r>
      <rPr>
        <rFont val="メイリオ"/>
        <color rgb="FF000000"/>
        <sz val="10.0"/>
      </rPr>
      <t xml:space="preserve">・Radio của 電子版承認ステータス hiển thị「Web申込以外」「未承認」「承認済み」「否認」
</t>
    </r>
    <r>
      <rPr>
        <rFont val="メイリオ"/>
        <color rgb="FF000000"/>
        <sz val="10.0"/>
      </rPr>
      <t xml:space="preserve">・Option của pulldown lấy từ `m_code` và API dropdown dùng chung, DataScope được phản ánh
</t>
    </r>
    <r>
      <rPr>
        <rFont val="メイリオ"/>
        <b/>
        <color rgb="FF000000"/>
        <sz val="10.0"/>
      </rPr>
      <t xml:space="preserve">ステップ3：
</t>
    </r>
    <r>
      <rPr>
        <rFont val="メイリオ"/>
        <color rgb="FF000000"/>
        <sz val="10.0"/>
      </rPr>
      <t xml:space="preserve">購読開始日・購読中止日 mỗi mục có 2 ô input「開始日」「終了日」hiển thị nằm ngang phân cách bởi「-」
</t>
    </r>
    <r>
      <rPr>
        <rFont val="メイリオ"/>
        <b/>
        <color rgb="FF000000"/>
        <sz val="10.0"/>
      </rPr>
      <t xml:space="preserve">補足：
</t>
    </r>
    <r>
      <rPr>
        <rFont val="メイリオ"/>
        <color rgb="FF000000"/>
        <sz val="10.0"/>
      </rPr>
      <t xml:space="preserve">・Toàn bộ phần tử form khớp với thiết kế
</t>
    </r>
    <r>
      <rPr>
        <rFont val="メイリオ"/>
        <color rgb="FF000000"/>
        <sz val="10.0"/>
      </rPr>
      <t>・Mỗi mục tìm kiếm đều là mục tùy chọn (không có marker bắt buộc `*`)</t>
    </r>
  </si>
  <si>
    <t>ACSMS-TC-014-008</t>
  </si>
  <si>
    <t>Mở rộng・thu gọn vùng tìm kiếm chi tiết</t>
  </si>
  <si>
    <r>
      <rPr>
        <rFont val="メイリオ"/>
        <b/>
        <color rgb="FF000000"/>
        <sz val="10.0"/>
      </rPr>
      <t xml:space="preserve">ステップ1：
</t>
    </r>
    <r>
      <rPr>
        <rFont val="メイリオ"/>
        <color rgb="FF000000"/>
        <sz val="10.0"/>
      </rPr>
      <t xml:space="preserve">Kiểm tra trạng thái vùng tìm kiếm chi tiết lúc hiển thị ban đầu
</t>
    </r>
    <r>
      <rPr>
        <rFont val="メイリオ"/>
        <b/>
        <color rgb="FF000000"/>
        <sz val="10.0"/>
      </rPr>
      <t xml:space="preserve">ステップ2：
</t>
    </r>
    <r>
      <rPr>
        <rFont val="メイリオ"/>
        <color rgb="FF000000"/>
        <sz val="10.0"/>
      </rPr>
      <t xml:space="preserve">Click button「詳細検索を表示」
</t>
    </r>
    <r>
      <rPr>
        <rFont val="メイリオ"/>
        <b/>
        <color rgb="FF000000"/>
        <sz val="10.0"/>
      </rPr>
      <t xml:space="preserve">ステップ3：
</t>
    </r>
    <r>
      <rPr>
        <rFont val="メイリオ"/>
        <color rgb="FF000000"/>
        <sz val="10.0"/>
      </rPr>
      <t xml:space="preserve">Kiểm tra các mục của vùng tìm kiếm chi tiết được mở rộng (引落元口座支店コード, 引落元口座支店名, 連絡先１, メールアドレス, 請求開始月, 適用日, 支払方法)
</t>
    </r>
    <r>
      <rPr>
        <rFont val="メイリオ"/>
        <b/>
        <color rgb="FF000000"/>
        <sz val="10.0"/>
      </rPr>
      <t xml:space="preserve">ステップ4：
</t>
    </r>
    <r>
      <rPr>
        <rFont val="メイリオ"/>
        <color rgb="FF000000"/>
        <sz val="10.0"/>
      </rPr>
      <t>Click button「詳細検索を非表示」</t>
    </r>
  </si>
  <si>
    <r>
      <rPr>
        <rFont val="メイリオ"/>
        <b/>
        <color rgb="FF000000"/>
        <sz val="10.0"/>
      </rPr>
      <t xml:space="preserve">ステップ1：
</t>
    </r>
    <r>
      <rPr>
        <rFont val="メイリオ"/>
        <color rgb="FF000000"/>
        <sz val="10.0"/>
      </rPr>
      <t xml:space="preserve">Vùng tìm kiếm chi tiết ở trạng thái thu gọn (trạng thái ban đầu là ẩn)
</t>
    </r>
    <r>
      <rPr>
        <rFont val="メイリオ"/>
        <b/>
        <color rgb="FF000000"/>
        <sz val="10.0"/>
      </rPr>
      <t xml:space="preserve">ステップ2：
</t>
    </r>
    <r>
      <rPr>
        <rFont val="メイリオ"/>
        <color rgb="FF000000"/>
        <sz val="10.0"/>
      </rPr>
      <t xml:space="preserve">Vùng tìm kiếm chi tiết được mở rộng, label button đổi thành「詳細検索を非表示」
</t>
    </r>
    <r>
      <rPr>
        <rFont val="メイリオ"/>
        <b/>
        <color rgb="FF000000"/>
        <sz val="10.0"/>
      </rPr>
      <t xml:space="preserve">ステップ3：
</t>
    </r>
    <r>
      <rPr>
        <rFont val="メイリオ"/>
        <color rgb="FF000000"/>
        <sz val="10.0"/>
      </rPr>
      <t xml:space="preserve">引落元口座支店コード, 引落元口座支店名, 連絡先１, メールアドレス, 請求開始月, 適用日 (2 ô input bắt đầu・kết thúc), 支払方法 (radio 7 lựa chọn: 口座引落・現金集金・振込集金・JA施設等・給与天引き・クレジットカード・その他) được hiển thị
</t>
    </r>
    <r>
      <rPr>
        <rFont val="メイリオ"/>
        <b/>
        <color rgb="FF000000"/>
        <sz val="10.0"/>
      </rPr>
      <t xml:space="preserve">ステップ4：
</t>
    </r>
    <r>
      <rPr>
        <rFont val="メイリオ"/>
        <color rgb="FF000000"/>
        <sz val="10.0"/>
      </rPr>
      <t xml:space="preserve">Vùng tìm kiếm chi tiết được thu gọn lại, label button trở về「詳細検索を表示」
</t>
    </r>
    <r>
      <rPr>
        <rFont val="メイリオ"/>
        <b/>
        <color rgb="FF000000"/>
        <sz val="10.0"/>
      </rPr>
      <t xml:space="preserve">補足：
</t>
    </r>
    <r>
      <rPr>
        <rFont val="メイリオ"/>
        <color rgb="FF000000"/>
        <sz val="10.0"/>
      </rPr>
      <t>・Việc mở rộng・thu gọn tìm kiếm chi tiết chỉ là thay đổi trạng thái màn hình, không kèm gọi API</t>
    </r>
  </si>
  <si>
    <t>ACSMS-TC-014-009</t>
  </si>
  <si>
    <t>Hiển thị cột bảng kết quả tìm kiếm đúng thiết kế</t>
  </si>
  <si>
    <t>・Trạng thái đã mở màn hình tìm kiếm
・Nhiều record độc giả đã được đăng ký</t>
  </si>
  <si>
    <r>
      <rPr>
        <rFont val="メイリオ"/>
        <b/>
        <color rgb="FF000000"/>
        <sz val="10.0"/>
      </rPr>
      <t xml:space="preserve">ステップ1：
</t>
    </r>
    <r>
      <rPr>
        <rFont val="メイリオ"/>
        <color rgb="FF000000"/>
        <sz val="10.0"/>
      </rPr>
      <t xml:space="preserve">Kiểm tra dòng header của bảng list
</t>
    </r>
    <r>
      <rPr>
        <rFont val="メイリオ"/>
        <b/>
        <color rgb="FF000000"/>
        <sz val="10.0"/>
      </rPr>
      <t xml:space="preserve">ステップ2：
</t>
    </r>
    <r>
      <rPr>
        <rFont val="メイリオ"/>
        <color rgb="FF000000"/>
        <sz val="10.0"/>
      </rPr>
      <t xml:space="preserve">Kiểm tra hiển thị từng cell của dòng data
</t>
    </r>
    <r>
      <rPr>
        <rFont val="メイリオ"/>
        <b/>
        <color rgb="FF000000"/>
        <sz val="10.0"/>
      </rPr>
      <t xml:space="preserve">ステップ3：
</t>
    </r>
    <r>
      <rPr>
        <rFont val="メイリオ"/>
        <color rgb="FF000000"/>
        <sz val="10.0"/>
      </rPr>
      <t>Kiểm tra button「購読者情報登録」ở góc trên phải header card</t>
    </r>
  </si>
  <si>
    <r>
      <rPr>
        <rFont val="メイリオ"/>
        <b/>
        <color rgb="FF000000"/>
        <sz val="10.0"/>
      </rPr>
      <t xml:space="preserve">ステップ1：
</t>
    </r>
    <r>
      <rPr>
        <rFont val="メイリオ"/>
        <color rgb="FF000000"/>
        <sz val="10.0"/>
      </rPr>
      <t xml:space="preserve">Tiêu đề cột hiển thị từ trái sang「管理支店」「支店」「組合員コード」「購読者名」「連絡先1」「連絡先2」「配達先郵便」「配達先住所」「販売店コード」「販売店名」「購読開始日」「購読中止日」「操作」. Các cột「管理支店」「支店」「組合員コード」「販売店コード」「購読開始日」「購読中止日」có icon sort
</t>
    </r>
    <r>
      <rPr>
        <rFont val="メイリオ"/>
        <b/>
        <color rgb="FF000000"/>
        <sz val="10.0"/>
      </rPr>
      <t xml:space="preserve">ステップ2：
</t>
    </r>
    <r>
      <rPr>
        <rFont val="メイリオ"/>
        <color rgb="FF000000"/>
        <sz val="10.0"/>
      </rPr>
      <t xml:space="preserve">Giá trị từng cột DB hiển thị ở cell tương ứng. Cell「購読者名」hiển thị dạng link màu chủ đạo, click chuyển sang màn hình đăng ký thông tin độc giả (chế độ chỉnh sửa). Cell「操作」có link「削除」(màu đỏ)
</t>
    </r>
    <r>
      <rPr>
        <rFont val="メイリオ"/>
        <b/>
        <color rgb="FF000000"/>
        <sz val="10.0"/>
      </rPr>
      <t xml:space="preserve">ステップ3：
</t>
    </r>
    <r>
      <rPr>
        <rFont val="メイリオ"/>
        <color rgb="FF000000"/>
        <sz val="10.0"/>
      </rPr>
      <t xml:space="preserve">Header card bên trái có tiêu đề「購読者一覧」, bên phải có button「購読者情報登録」
</t>
    </r>
    <r>
      <rPr>
        <rFont val="メイリオ"/>
        <b/>
        <color rgb="FF000000"/>
        <sz val="10.0"/>
      </rPr>
      <t xml:space="preserve">補足：
</t>
    </r>
    <r>
      <rPr>
        <rFont val="メイリオ"/>
        <color rgb="FF000000"/>
        <sz val="10.0"/>
      </rPr>
      <t xml:space="preserve">・Toàn bộ cột khớp với bảng kết quả tìm kiếm thiết kế (mục #24-#37)
</t>
    </r>
    <r>
      <rPr>
        <rFont val="メイリオ"/>
        <color rgb="FF000000"/>
        <sz val="10.0"/>
      </rPr>
      <t>・Icon sort ở trạng thái trung lập ban đầu, chỉ hiển thị ▲ (tăng dần) / ▼ (giảm dần) khi áp dụng sort</t>
    </r>
  </si>
  <si>
    <t>ACSMS-TC-014-010</t>
  </si>
  <si>
    <t>Hiển thị cột thao tác của độc giả read-only (người thanh toán thẻ tín dụng bản điện tử・người đọc kép)</t>
  </si>
  <si>
    <t>・role: JA_HONTEN
・Test data: 1 người thanh toán thẻ tín dụng bản điện tử (`dokusya_shubetsu=2 AND shiharai_hoho=6`), 1 người đọc kép (`dokusya_shubetsu=3`), 1 bản giấy (`dokusya_shubetsu=1`) đã được đăng ký</t>
  </si>
  <si>
    <r>
      <rPr>
        <rFont val="メイリオ"/>
        <b/>
        <strike/>
        <color rgb="FF000000"/>
        <sz val="10.0"/>
      </rPr>
      <t xml:space="preserve">ステップ1：
</t>
    </r>
    <r>
      <rPr>
        <rFont val="メイリオ"/>
        <strike/>
        <color rgb="FF000000"/>
        <sz val="10.0"/>
      </rPr>
      <t xml:space="preserve">Kiểm tra trạng thái link「削除」ở dòng người thanh toán thẻ tín dụng bản điện tử trong bảng list
</t>
    </r>
    <r>
      <rPr>
        <rFont val="メイリオ"/>
        <b/>
        <strike/>
        <color rgb="FF000000"/>
        <sz val="10.0"/>
      </rPr>
      <t xml:space="preserve">ステップ2：
</t>
    </r>
    <r>
      <rPr>
        <rFont val="メイリオ"/>
        <strike/>
        <color rgb="FF000000"/>
        <sz val="10.0"/>
      </rPr>
      <t xml:space="preserve">Kiểm tra trạng thái link「削除」ở dòng người đọc kép
</t>
    </r>
    <r>
      <rPr>
        <rFont val="メイリオ"/>
        <b/>
        <strike/>
        <color rgb="FF000000"/>
        <sz val="10.0"/>
      </rPr>
      <t xml:space="preserve">ステップ3：
</t>
    </r>
    <r>
      <rPr>
        <rFont val="メイリオ"/>
        <strike/>
        <color rgb="FF000000"/>
        <sz val="10.0"/>
      </rPr>
      <t>Kiểm tra trạng thái link「削除」ở dòng độc giả bản giấy</t>
    </r>
  </si>
  <si>
    <r>
      <rPr>
        <rFont val="メイリオ"/>
        <b/>
        <strike/>
        <color rgb="FF000000"/>
        <sz val="10.0"/>
      </rPr>
      <t xml:space="preserve">ステップ1：
</t>
    </r>
    <r>
      <rPr>
        <rFont val="メイリオ"/>
        <strike/>
        <color rgb="FF000000"/>
        <sz val="10.0"/>
      </rPr>
      <t xml:space="preserve">Dòng người thanh toán thẻ tín dụng bản điện tử hiển thị link「削除」ở trạng thái disable (`is_read_only=true`)
</t>
    </r>
    <r>
      <rPr>
        <rFont val="メイリオ"/>
        <b/>
        <strike/>
        <color rgb="FF000000"/>
        <sz val="10.0"/>
      </rPr>
      <t xml:space="preserve">ステップ2：
</t>
    </r>
    <r>
      <rPr>
        <rFont val="メイリオ"/>
        <strike/>
        <color rgb="FF000000"/>
        <sz val="10.0"/>
      </rPr>
      <t xml:space="preserve">Dòng người đọc kép hiển thị link「削除」ở trạng thái disable (`is_read_only=true`)
</t>
    </r>
    <r>
      <rPr>
        <rFont val="メイリオ"/>
        <b/>
        <strike/>
        <color rgb="FF000000"/>
        <sz val="10.0"/>
      </rPr>
      <t xml:space="preserve">ステップ3：
</t>
    </r>
    <r>
      <rPr>
        <rFont val="メイリオ"/>
        <strike/>
        <color rgb="FF000000"/>
        <sz val="10.0"/>
      </rPr>
      <t xml:space="preserve">Dòng độc giả bản giấy hiển thị link「削除」ở trạng thái active (`is_read_only=false`)
</t>
    </r>
    <r>
      <rPr>
        <rFont val="メイリオ"/>
        <b/>
        <strike/>
        <color rgb="FF000000"/>
        <sz val="10.0"/>
      </rPr>
      <t xml:space="preserve">補足：
</t>
    </r>
    <r>
      <rPr>
        <rFont val="メイリオ"/>
        <strike/>
        <color rgb="FF000000"/>
        <sz val="10.0"/>
      </rPr>
      <t xml:space="preserve">・Flag `is_read_only` được tính ở phía backend và bao gồm trong từng dòng response
</t>
    </r>
    <r>
      <rPr>
        <rFont val="メイリオ"/>
        <strike/>
        <color rgb="FF000000"/>
        <sz val="10.0"/>
      </rPr>
      <t>・Tuân theo viewpoint VP-C-05「購読者種別ルール（読み取り専用）」</t>
    </r>
  </si>
  <si>
    <t>Hiện tại khi đăng ký điện tử không có loại thanh toán bằng thẻ tín dụng nữa nên k cần case này.</t>
  </si>
  <si>
    <t>ACSMS-TC-014-011</t>
  </si>
  <si>
    <t>Hoạt động responsive — breakpoint PC／Tablet／Mobile</t>
  </si>
  <si>
    <r>
      <rPr>
        <rFont val="メイリオ"/>
        <b/>
        <color rgb="FF000000"/>
        <sz val="10.0"/>
      </rPr>
      <t xml:space="preserve">ステップ1：
</t>
    </r>
    <r>
      <rPr>
        <rFont val="メイリオ"/>
        <color rgb="FF000000"/>
        <sz val="10.0"/>
      </rPr>
      <t xml:space="preserve">Đặt kích thước cửa sổ thành 1920×1080 (PC)
</t>
    </r>
    <r>
      <rPr>
        <rFont val="メイリオ"/>
        <b/>
        <color rgb="FF000000"/>
        <sz val="10.0"/>
      </rPr>
      <t xml:space="preserve">ステップ2：
</t>
    </r>
    <r>
      <rPr>
        <rFont val="メイリオ"/>
        <color rgb="FF000000"/>
        <sz val="10.0"/>
      </rPr>
      <t xml:space="preserve">Đổi sang 768×1024 (Tablet)
</t>
    </r>
    <r>
      <rPr>
        <rFont val="メイリオ"/>
        <b/>
        <color rgb="FF000000"/>
        <sz val="10.0"/>
      </rPr>
      <t xml:space="preserve">ステップ3：
</t>
    </r>
    <r>
      <rPr>
        <rFont val="メイリオ"/>
        <color rgb="FF000000"/>
        <sz val="10.0"/>
      </rPr>
      <t>Đổi sang 375×667 (Mobile)</t>
    </r>
  </si>
  <si>
    <r>
      <rPr>
        <rFont val="メイリオ"/>
        <b/>
        <color rgb="FF000000"/>
        <sz val="10.0"/>
      </rPr>
      <t xml:space="preserve">ステップ1：
</t>
    </r>
    <r>
      <rPr>
        <rFont val="メイリオ"/>
        <color rgb="FF000000"/>
        <sz val="10.0"/>
      </rPr>
      <t xml:space="preserve">Sidebar hiển thị cố định, form tìm kiếm nằm ngang, toàn bộ cột bảng list nằm trong bề rộng màn hình
</t>
    </r>
    <r>
      <rPr>
        <rFont val="メイリオ"/>
        <b/>
        <color rgb="FF000000"/>
        <sz val="10.0"/>
      </rPr>
      <t xml:space="preserve">ステップ2：
</t>
    </r>
    <r>
      <rPr>
        <rFont val="メイリオ"/>
        <color rgb="FF000000"/>
        <sz val="10.0"/>
      </rPr>
      <t xml:space="preserve">Sidebar thu gọn, giữ nguyên bố cục form tìm kiếm, bảng có thể scroll ngang
</t>
    </r>
    <r>
      <rPr>
        <rFont val="メイリオ"/>
        <b/>
        <color rgb="FF000000"/>
        <sz val="10.0"/>
      </rPr>
      <t xml:space="preserve">ステップ3：
</t>
    </r>
    <r>
      <rPr>
        <rFont val="メイリオ"/>
        <color rgb="FF000000"/>
        <sz val="10.0"/>
      </rPr>
      <t xml:space="preserve">Sidebar hiển thị dạng overlay, form tìm kiếm xếp dọc, bảng có thể scroll ngang
</t>
    </r>
    <r>
      <rPr>
        <rFont val="メイリオ"/>
        <b/>
        <color rgb="FF000000"/>
        <sz val="10.0"/>
      </rPr>
      <t xml:space="preserve">補足：
</t>
    </r>
    <r>
      <rPr>
        <rFont val="メイリオ"/>
        <color rgb="FF000000"/>
        <sz val="10.0"/>
      </rPr>
      <t xml:space="preserve">・Không vỡ layout ở cả 3 breakpoint
</t>
    </r>
    <r>
      <rPr>
        <rFont val="メイリオ"/>
        <color rgb="FF000000"/>
        <sz val="10.0"/>
      </rPr>
      <t xml:space="preserve">・Bảng có thể xem toàn bộ cột bằng scroll ngang nhờ `overflow-x-auto`
</t>
    </r>
    <r>
      <rPr>
        <rFont val="メイリオ"/>
        <color rgb="FF000000"/>
        <sz val="10.0"/>
      </rPr>
      <t>・Các thao tác chính (tìm kiếm, xóa, xuất Excel, chuyển trang) đều thực hiện được ở mọi breakpoint</t>
    </r>
  </si>
  <si>
    <t>ACSMS-TC-014-012</t>
  </si>
  <si>
    <t>Hiển thị breadcrumb・header và thao tác bàn phím</t>
  </si>
  <si>
    <r>
      <rPr>
        <rFont val="メイリオ"/>
        <b/>
        <color rgb="FF000000"/>
        <sz val="10.0"/>
      </rPr>
      <t xml:space="preserve">ステップ1：
</t>
    </r>
    <r>
      <rPr>
        <rFont val="メイリオ"/>
        <color rgb="FF000000"/>
        <sz val="10.0"/>
      </rPr>
      <t xml:space="preserve">Kiểm tra tiêu đề header và vùng breadcrumb ở phía trên màn hình
</t>
    </r>
    <r>
      <rPr>
        <rFont val="メイリオ"/>
        <b/>
        <color rgb="FF000000"/>
        <sz val="10.0"/>
      </rPr>
      <t xml:space="preserve">ステップ2：
</t>
    </r>
    <r>
      <rPr>
        <rFont val="メイリオ"/>
        <color rgb="FF000000"/>
        <sz val="10.0"/>
      </rPr>
      <t xml:space="preserve">Click「ホーム」trên breadcrumb
</t>
    </r>
    <r>
      <rPr>
        <rFont val="メイリオ"/>
        <b/>
        <color rgb="FF000000"/>
        <sz val="10.0"/>
      </rPr>
      <t xml:space="preserve">ステップ3：
</t>
    </r>
    <r>
      <rPr>
        <rFont val="メイリオ"/>
        <color rgb="FF000000"/>
        <sz val="10.0"/>
      </rPr>
      <t xml:space="preserve">Đặt focus vào ô input đầu tiên của form tìm kiếm, dùng phím Tab di chuyển lần lượt qua từng mục
</t>
    </r>
    <r>
      <rPr>
        <rFont val="メイリオ"/>
        <b/>
        <color rgb="FF000000"/>
        <sz val="10.0"/>
      </rPr>
      <t xml:space="preserve">ステップ4：
</t>
    </r>
    <r>
      <rPr>
        <rFont val="メイリオ"/>
        <color rgb="FF000000"/>
        <sz val="10.0"/>
      </rPr>
      <t>Kiểm tra chuyển focus của pagination・bảng kết quả tìm kiếm</t>
    </r>
  </si>
  <si>
    <r>
      <rPr>
        <rFont val="メイリオ"/>
        <b/>
        <color rgb="FF000000"/>
        <sz val="10.0"/>
      </rPr>
      <t xml:space="preserve">ステップ1：
</t>
    </r>
    <r>
      <rPr>
        <rFont val="メイリオ"/>
        <color rgb="FF000000"/>
        <sz val="10.0"/>
      </rPr>
      <t xml:space="preserve">Tiêu đề header「購読者明細検索画面」được hiển thị. Breadcrumb hiển thị theo cấp `ホーム &gt; 購読者管理 &gt; 購読者明細検索画面`, màn hình hiện tại (購読者明細検索画面) không có link
</t>
    </r>
    <r>
      <rPr>
        <rFont val="メイリオ"/>
        <b/>
        <color rgb="FF000000"/>
        <sz val="10.0"/>
      </rPr>
      <t xml:space="preserve">ステップ2：
</t>
    </r>
    <r>
      <rPr>
        <rFont val="メイリオ"/>
        <color rgb="FF000000"/>
        <sz val="10.0"/>
      </rPr>
      <t xml:space="preserve">Chuyển về `/dashboard`
</t>
    </r>
    <r>
      <rPr>
        <rFont val="メイリオ"/>
        <b/>
        <color rgb="FF000000"/>
        <sz val="10.0"/>
      </rPr>
      <t xml:space="preserve">ステップ3：
</t>
    </r>
    <r>
      <rPr>
        <rFont val="メイリオ"/>
        <color rgb="FF000000"/>
        <sz val="10.0"/>
      </rPr>
      <t xml:space="preserve">Thứ tự Tab theo luồng tự nhiên (trên xuống dưới, trái sang phải). Phần tử được focus hiển thị viền (outline)
</t>
    </r>
    <r>
      <rPr>
        <rFont val="メイリオ"/>
        <b/>
        <color rgb="FF000000"/>
        <sz val="10.0"/>
      </rPr>
      <t xml:space="preserve">ステップ4：
</t>
    </r>
    <r>
      <rPr>
        <rFont val="メイリオ"/>
        <color rgb="FF000000"/>
        <sz val="10.0"/>
      </rPr>
      <t xml:space="preserve">Các phần tử thao tác của pagination・bảng có thể tới được bằng bàn phím
</t>
    </r>
    <r>
      <rPr>
        <rFont val="メイリオ"/>
        <b/>
        <color rgb="FF000000"/>
        <sz val="10.0"/>
      </rPr>
      <t xml:space="preserve">補足：
</t>
    </r>
    <r>
      <rPr>
        <rFont val="メイリオ"/>
        <color rgb="FF000000"/>
        <sz val="10.0"/>
      </rPr>
      <t xml:space="preserve">・Mục giữa「購読者管理」của breadcrumb là tên nhóm sidebar, theo quy ước breadcrumb của dự án không xử lý như link chuyển
</t>
    </r>
    <r>
      <rPr>
        <rFont val="メイリオ"/>
        <color rgb="FF000000"/>
        <sz val="10.0"/>
      </rPr>
      <t>・Tuân theo viewpoint VP-E-03「キーボード操作」</t>
    </r>
  </si>
  <si>
    <t>Kiểm tra input (Input Validation)</t>
  </si>
  <si>
    <t>ACSMS-TC-014-013</t>
  </si>
  <si>
    <t>Kiểm tra format địa chỉ email</t>
  </si>
  <si>
    <t>・Trạng thái đã mở màn hình tìm kiếm và mở rộng vùng tìm kiếm chi tiết</t>
  </si>
  <si>
    <r>
      <rPr>
        <rFont val="メイリオ"/>
        <b/>
        <color rgb="FF000000"/>
        <sz val="10.0"/>
      </rPr>
      <t xml:space="preserve">ステップ1：
</t>
    </r>
    <r>
      <rPr>
        <rFont val="メイリオ"/>
        <color rgb="FF000000"/>
        <sz val="10.0"/>
      </rPr>
      <t xml:space="preserve">Nhập `test@example.com` vào ô メールアドレス, click「検索」
</t>
    </r>
    <r>
      <rPr>
        <rFont val="メイリオ"/>
        <b/>
        <color rgb="FF000000"/>
        <sz val="10.0"/>
      </rPr>
      <t xml:space="preserve">ステップ2：
</t>
    </r>
    <r>
      <rPr>
        <rFont val="メイリオ"/>
        <color rgb="FF000000"/>
        <sz val="10.0"/>
      </rPr>
      <t xml:space="preserve">Nhập `invalid-email` vào ô メールアドレス, click「検索」
</t>
    </r>
    <r>
      <rPr>
        <rFont val="メイリオ"/>
        <b/>
        <color rgb="FF000000"/>
        <sz val="10.0"/>
      </rPr>
      <t xml:space="preserve">ステップ3：
</t>
    </r>
    <r>
      <rPr>
        <rFont val="メイリオ"/>
        <color rgb="FF000000"/>
        <sz val="10.0"/>
      </rPr>
      <t>Kiểm tra response body của bước 2 qua DevTools</t>
    </r>
  </si>
  <si>
    <r>
      <rPr>
        <rFont val="メイリオ"/>
        <b/>
        <color rgb="FF000000"/>
        <sz val="10.0"/>
      </rPr>
      <t xml:space="preserve">ステップ1：
</t>
    </r>
    <r>
      <rPr>
        <rFont val="メイリオ"/>
        <color rgb="FF000000"/>
        <sz val="10.0"/>
      </rPr>
      <t xml:space="preserve">Trả về HTTP 200, tìm kiếm được thực hiện bình thường
</t>
    </r>
    <r>
      <rPr>
        <rFont val="メイリオ"/>
        <b/>
        <color rgb="FF000000"/>
        <sz val="10.0"/>
      </rPr>
      <t xml:space="preserve">ステップ2：
</t>
    </r>
    <r>
      <rPr>
        <rFont val="メイリオ"/>
        <color rgb="FF000000"/>
        <sz val="10.0"/>
      </rPr>
      <t xml:space="preserve">Hiển thị lỗi format (message `正しいメール形式を入力してください。` dưới mục tương ứng)
</t>
    </r>
    <r>
      <rPr>
        <rFont val="メイリオ"/>
        <b/>
        <color rgb="FF000000"/>
        <sz val="10.0"/>
      </rPr>
      <t xml:space="preserve">ステップ3：
</t>
    </r>
    <r>
      <rPr>
        <rFont val="メイリオ"/>
        <color rgb="FF000000"/>
        <sz val="10.0"/>
      </rPr>
      <t xml:space="preserve">Trả về HTTP 400 (`error_code: VALIDATION_ERROR`, mảng `errors[]` chứa `{ field: 'email', message: '正しいメール形式を入力してください。' }`)
</t>
    </r>
    <r>
      <rPr>
        <rFont val="メイリオ"/>
        <b/>
        <color rgb="FF000000"/>
        <sz val="10.0"/>
      </rPr>
      <t xml:space="preserve">補足：
</t>
    </r>
    <r>
      <rPr>
        <rFont val="メイリオ"/>
        <color rgb="FF000000"/>
        <sz val="10.0"/>
      </rPr>
      <t xml:space="preserve">・ACSMS-MSG-014-008 tương ứng
</t>
    </r>
    <r>
      <rPr>
        <rFont val="メイリオ"/>
        <color rgb="FF000000"/>
        <sz val="10.0"/>
      </rPr>
      <t xml:space="preserve">・メールアドレス là tìm kiếm partial match, nhưng chỉ nhận giá trị qua được kiểm tra format làm điều kiện tìm kiếm
</t>
    </r>
    <r>
      <rPr>
        <rFont val="メイリオ"/>
        <color rgb="FF000000"/>
        <sz val="10.0"/>
      </rPr>
      <t>・Không phụ thuộc vào validation chuẩn của browser bằng HTML5 `type="email"`, mà dùng regex của dự án và message tiếng Nhật để phán định</t>
    </r>
  </si>
  <si>
    <t>ACSMS-TC-014-014</t>
  </si>
  <si>
    <t>Kiểm tra tương quan khoảng 購読開始日 (from ≦ to)</t>
  </si>
  <si>
    <r>
      <rPr>
        <rFont val="メイリオ"/>
        <b/>
        <color rgb="FF000000"/>
        <sz val="10.0"/>
      </rPr>
      <t xml:space="preserve">ステップ1：
</t>
    </r>
    <r>
      <rPr>
        <rFont val="メイリオ"/>
        <color rgb="FF000000"/>
        <sz val="10.0"/>
      </rPr>
      <t xml:space="preserve">Nhập ngày bắt đầu `2024/12/31`, ngày kết thúc `2024/01/01` cho 購読開始日, click「検索」 (from &gt; to)
</t>
    </r>
    <r>
      <rPr>
        <rFont val="メイリオ"/>
        <b/>
        <color rgb="FF000000"/>
        <sz val="10.0"/>
      </rPr>
      <t xml:space="preserve">ステップ2：
</t>
    </r>
    <r>
      <rPr>
        <rFont val="メイリオ"/>
        <color rgb="FF000000"/>
        <sz val="10.0"/>
      </rPr>
      <t xml:space="preserve">Nhập ngày bắt đầu `2024/01/01`, ngày kết thúc `2024/12/31` cho 購読開始日, click「検索」 (from ≦ to)
</t>
    </r>
    <r>
      <rPr>
        <rFont val="メイリオ"/>
        <b/>
        <color rgb="FF000000"/>
        <sz val="10.0"/>
      </rPr>
      <t xml:space="preserve">ステップ3：
</t>
    </r>
    <r>
      <rPr>
        <rFont val="メイリオ"/>
        <color rgb="FF000000"/>
        <sz val="10.0"/>
      </rPr>
      <t>Kiểm tra response body của bước 1 qua DevTools</t>
    </r>
  </si>
  <si>
    <r>
      <rPr>
        <rFont val="メイリオ"/>
        <b/>
        <color rgb="FF000000"/>
        <sz val="10.0"/>
      </rPr>
      <t xml:space="preserve">ステップ1：
</t>
    </r>
    <r>
      <rPr>
        <rFont val="メイリオ"/>
        <color rgb="FF000000"/>
        <sz val="10.0"/>
      </rPr>
      <t xml:space="preserve">Hiển thị lỗi format (lỗi tương quan do ngày bắt đầu sau ngày kết thúc)
</t>
    </r>
    <r>
      <rPr>
        <rFont val="メイリオ"/>
        <b/>
        <color rgb="FF000000"/>
        <sz val="10.0"/>
      </rPr>
      <t xml:space="preserve">ステップ2：
</t>
    </r>
    <r>
      <rPr>
        <rFont val="メイリオ"/>
        <color rgb="FF000000"/>
        <sz val="10.0"/>
      </rPr>
      <t xml:space="preserve">Trả về HTTP 200, tìm kiếm được thực hiện bình thường
</t>
    </r>
    <r>
      <rPr>
        <rFont val="メイリオ"/>
        <b/>
        <color rgb="FF000000"/>
        <sz val="10.0"/>
      </rPr>
      <t xml:space="preserve">ステップ3：
</t>
    </r>
    <r>
      <rPr>
        <rFont val="メイリオ"/>
        <color rgb="FF000000"/>
        <sz val="10.0"/>
      </rPr>
      <t xml:space="preserve">Trả về HTTP 400 (`error_code: VALIDATION_ERROR`, mảng `errors[]` chứa mục `field: shoki_dokusya_kaishi_date_to` (hoặc `shoki_dokusya_kaishi_date_from`))
</t>
    </r>
    <r>
      <rPr>
        <rFont val="メイリオ"/>
        <b/>
        <color rgb="FF000000"/>
        <sz val="10.0"/>
      </rPr>
      <t xml:space="preserve">補足：
</t>
    </r>
    <r>
      <rPr>
        <rFont val="メイリオ"/>
        <color rgb="FF000000"/>
        <sz val="10.0"/>
      </rPr>
      <t xml:space="preserve">・Tuân theo kiểm tra tương quan「処理手順 4.1」của tài liệu API (`shoki_dokusya_kaishi_date_from ≦ shoki_dokusya_kaishi_date_to`)
</t>
    </r>
    <r>
      <rPr>
        <rFont val="メイリオ"/>
        <color rgb="FF000000"/>
        <sz val="10.0"/>
      </rPr>
      <t xml:space="preserve">・Ngày dạng `YYYY/MM/DD`
</t>
    </r>
    <r>
      <rPr>
        <rFont val="メイリオ"/>
        <color rgb="FF000000"/>
        <sz val="10.0"/>
      </rPr>
      <t>・Tuân theo viewpoint VP-B-05「日付ロジック」</t>
    </r>
  </si>
  <si>
    <t>ACSMS-TC-014-015</t>
  </si>
  <si>
    <t>Kiểm tra tương quan khoảng 購読中止日・適用日 (from ≦ to)</t>
  </si>
  <si>
    <r>
      <rPr>
        <rFont val="メイリオ"/>
        <b/>
        <color rgb="FF000000"/>
        <sz val="10.0"/>
      </rPr>
      <t xml:space="preserve">ステップ1：
</t>
    </r>
    <r>
      <rPr>
        <rFont val="メイリオ"/>
        <color rgb="FF000000"/>
        <sz val="10.0"/>
      </rPr>
      <t xml:space="preserve">Nhập ngày bắt đầu `2025/06/30`, ngày kết thúc `2025/01/01` cho 購読中止日, click「検索」 (from &gt; to)
</t>
    </r>
    <r>
      <rPr>
        <rFont val="メイリオ"/>
        <b/>
        <color rgb="FF000000"/>
        <sz val="10.0"/>
      </rPr>
      <t xml:space="preserve">ステップ2：
</t>
    </r>
    <r>
      <rPr>
        <rFont val="メイリオ"/>
        <color rgb="FF000000"/>
        <sz val="10.0"/>
      </rPr>
      <t xml:space="preserve">Nhập ngày bắt đầu `2025/12/31`, ngày kết thúc `2025/01/01` cho 適用日, click「検索」 (from &gt; to)
</t>
    </r>
    <r>
      <rPr>
        <rFont val="メイリオ"/>
        <b/>
        <color rgb="FF000000"/>
        <sz val="10.0"/>
      </rPr>
      <t xml:space="preserve">ステップ3：
</t>
    </r>
    <r>
      <rPr>
        <rFont val="メイリオ"/>
        <color rgb="FF000000"/>
        <sz val="10.0"/>
      </rPr>
      <t>Kiểm tra từng response body qua DevTools</t>
    </r>
  </si>
  <si>
    <r>
      <rPr>
        <rFont val="メイリオ"/>
        <b/>
        <color rgb="FF000000"/>
        <sz val="10.0"/>
      </rPr>
      <t xml:space="preserve">ステップ1：
</t>
    </r>
    <r>
      <rPr>
        <rFont val="メイリオ"/>
        <color rgb="FF000000"/>
        <sz val="10.0"/>
      </rPr>
      <t xml:space="preserve">Hiển thị lỗi format (lỗi tương quan)
</t>
    </r>
    <r>
      <rPr>
        <rFont val="メイリオ"/>
        <b/>
        <color rgb="FF000000"/>
        <sz val="10.0"/>
      </rPr>
      <t xml:space="preserve">ステップ2：
</t>
    </r>
    <r>
      <rPr>
        <rFont val="メイリオ"/>
        <color rgb="FF000000"/>
        <sz val="10.0"/>
      </rPr>
      <t xml:space="preserve">Hiển thị lỗi format (lỗi tương quan)
</t>
    </r>
    <r>
      <rPr>
        <rFont val="メイリオ"/>
        <b/>
        <color rgb="FF000000"/>
        <sz val="10.0"/>
      </rPr>
      <t xml:space="preserve">ステップ3：
</t>
    </r>
    <r>
      <rPr>
        <rFont val="メイリオ"/>
        <color rgb="FF000000"/>
        <sz val="10.0"/>
      </rPr>
      <t xml:space="preserve">Cả hai trường hợp đều trả về HTTP 400 (`error_code: VALIDATION_ERROR`, mảng `errors[]` chứa mục `field: dokusya_chushi_date_to` và `field: joho_henko_tekiyo_date_to` (hoặc `_from` tương ứng))
</t>
    </r>
    <r>
      <rPr>
        <rFont val="メイリオ"/>
        <b/>
        <color rgb="FF000000"/>
        <sz val="10.0"/>
      </rPr>
      <t xml:space="preserve">補足：
</t>
    </r>
    <r>
      <rPr>
        <rFont val="メイリオ"/>
        <color rgb="FF000000"/>
        <sz val="10.0"/>
      </rPr>
      <t xml:space="preserve">・Kiểm tra tương quan áp dụng cho từng mục: 購読中止日 (`dokusya_chushi_date_from ≦ dokusya_chushi_date_to`), 適用日 (`joho_henko_tekiyo_date_from ≦ joho_henko_tekiyo_date_to`)
</t>
    </r>
    <r>
      <rPr>
        <rFont val="メイリオ"/>
        <color rgb="FF000000"/>
        <sz val="10.0"/>
      </rPr>
      <t>・Trường hợp 適用日 cả hai đều trống thì trích xuất record có flag dữ liệu mới nhất (`saishin_data_flg=TRUE`)</t>
    </r>
  </si>
  <si>
    <t>ACSMS-TC-014-016</t>
  </si>
  <si>
    <t>Giá trị biên độ dài tối đa mục tìm kiếm (組合員コード 20 ký tự, 氏名 100 ký tự)</t>
  </si>
  <si>
    <r>
      <rPr>
        <rFont val="メイリオ"/>
        <b/>
        <strike/>
        <color rgb="FF000000"/>
        <sz val="10.0"/>
      </rPr>
      <t xml:space="preserve">ステップ1：
</t>
    </r>
    <r>
      <rPr>
        <rFont val="メイリオ"/>
        <strike/>
        <color rgb="FF000000"/>
        <sz val="10.0"/>
      </rPr>
      <t xml:space="preserve">Nhập 20 ký tự vào 組合員コード, click「検索」
</t>
    </r>
    <r>
      <rPr>
        <rFont val="メイリオ"/>
        <b/>
        <strike/>
        <color rgb="FF000000"/>
        <sz val="10.0"/>
      </rPr>
      <t xml:space="preserve">ステップ2：
</t>
    </r>
    <r>
      <rPr>
        <rFont val="メイリオ"/>
        <strike/>
        <color rgb="FF000000"/>
        <sz val="10.0"/>
      </rPr>
      <t xml:space="preserve">Nhập 21 ký tự vào 組合員コード, click「検索」
</t>
    </r>
    <r>
      <rPr>
        <rFont val="メイリオ"/>
        <b/>
        <strike/>
        <color rgb="FF000000"/>
        <sz val="10.0"/>
      </rPr>
      <t xml:space="preserve">ステップ3：
</t>
    </r>
    <r>
      <rPr>
        <rFont val="メイリオ"/>
        <strike/>
        <color rgb="FF000000"/>
        <sz val="10.0"/>
      </rPr>
      <t xml:space="preserve">Nhập 100 ký tự vào 氏名, click「検索」
</t>
    </r>
    <r>
      <rPr>
        <rFont val="メイリオ"/>
        <b/>
        <strike/>
        <color rgb="FF000000"/>
        <sz val="10.0"/>
      </rPr>
      <t xml:space="preserve">ステップ4：
</t>
    </r>
    <r>
      <rPr>
        <rFont val="メイリオ"/>
        <strike/>
        <color rgb="FF000000"/>
        <sz val="10.0"/>
      </rPr>
      <t>Nhập 101 ký tự vào 氏名, click「検索」</t>
    </r>
  </si>
  <si>
    <r>
      <rPr>
        <rFont val="メイリオ"/>
        <b/>
        <strike/>
        <color rgb="FF000000"/>
        <sz val="10.0"/>
      </rPr>
      <t xml:space="preserve">ステップ1：
</t>
    </r>
    <r>
      <rPr>
        <rFont val="メイリオ"/>
        <strike/>
        <color rgb="FF000000"/>
        <sz val="10.0"/>
      </rPr>
      <t xml:space="preserve">Trả về HTTP 200, tìm kiếm được thực hiện bình thường
</t>
    </r>
    <r>
      <rPr>
        <rFont val="メイリオ"/>
        <b/>
        <strike/>
        <color rgb="FF000000"/>
        <sz val="10.0"/>
      </rPr>
      <t xml:space="preserve">ステップ2：
</t>
    </r>
    <r>
      <rPr>
        <rFont val="メイリオ"/>
        <strike/>
        <color rgb="FF000000"/>
        <sz val="10.0"/>
      </rPr>
      <t xml:space="preserve">Hiển thị lỗi vượt quá số ký tự (HTTP 400, `error_code: VALIDATION_ERROR`, mảng `errors[]` chứa mục `field: kumiaiin_code`)
</t>
    </r>
    <r>
      <rPr>
        <rFont val="メイリオ"/>
        <b/>
        <strike/>
        <color rgb="FF000000"/>
        <sz val="10.0"/>
      </rPr>
      <t xml:space="preserve">ステップ3：
</t>
    </r>
    <r>
      <rPr>
        <rFont val="メイリオ"/>
        <strike/>
        <color rgb="FF000000"/>
        <sz val="10.0"/>
      </rPr>
      <t xml:space="preserve">Trả về HTTP 200, tìm kiếm được thực hiện bình thường
</t>
    </r>
    <r>
      <rPr>
        <rFont val="メイリオ"/>
        <b/>
        <strike/>
        <color rgb="FF000000"/>
        <sz val="10.0"/>
      </rPr>
      <t xml:space="preserve">ステップ4：
</t>
    </r>
    <r>
      <rPr>
        <rFont val="メイリオ"/>
        <strike/>
        <color rgb="FF000000"/>
        <sz val="10.0"/>
      </rPr>
      <t xml:space="preserve">Hiển thị lỗi vượt quá số ký tự (HTTP 400, `error_code: VALIDATION_ERROR`, mảng `errors[]` chứa mục `field: full_name`)
</t>
    </r>
    <r>
      <rPr>
        <rFont val="メイリオ"/>
        <b/>
        <strike/>
        <color rgb="FF000000"/>
        <sz val="10.0"/>
      </rPr>
      <t xml:space="preserve">補足：
</t>
    </r>
    <r>
      <rPr>
        <rFont val="メイリオ"/>
        <strike/>
        <color rgb="FF000000"/>
        <sz val="10.0"/>
      </rPr>
      <t xml:space="preserve">・組合員コード tối đa 20 ký tự, 氏名 tối đa 100 ký tự (theo request parameter tài liệu API)
</t>
    </r>
    <r>
      <rPr>
        <rFont val="メイリオ"/>
        <strike/>
        <color rgb="FF000000"/>
        <sz val="10.0"/>
      </rPr>
      <t>・Giá trị tối đa nhận bình thường, tối đa+1 bị từ chối (phân hoạch tương đương / phân tích giá trị biên)</t>
    </r>
  </si>
  <si>
    <t xml:space="preserve">Case này hệ thống hiện tại đang không check maxlength nên không cần test </t>
  </si>
  <si>
    <t>ACSMS-TC-014-017</t>
  </si>
  <si>
    <t>Giá trị biên độ dài tối đa mục tìm kiếm chi tiết (引落元口座支店コード 3 ký tự, 請求開始月 6 ký tự, 連絡先１ 15 ký tự)</t>
  </si>
  <si>
    <r>
      <rPr>
        <rFont val="メイリオ"/>
        <b/>
        <strike/>
        <color rgb="FF000000"/>
        <sz val="10.0"/>
      </rPr>
      <t xml:space="preserve">ステップ1：
</t>
    </r>
    <r>
      <rPr>
        <rFont val="メイリオ"/>
        <strike/>
        <color rgb="FF000000"/>
        <sz val="10.0"/>
      </rPr>
      <t xml:space="preserve">Nhập 3 ký tự vào 引落元口座支店コード, click「検索」, tiếp tục nhập 4 ký tự, click「検索」
</t>
    </r>
    <r>
      <rPr>
        <rFont val="メイリオ"/>
        <b/>
        <strike/>
        <color rgb="FF000000"/>
        <sz val="10.0"/>
      </rPr>
      <t xml:space="preserve">ステップ2：
</t>
    </r>
    <r>
      <rPr>
        <rFont val="メイリオ"/>
        <strike/>
        <color rgb="FF000000"/>
        <sz val="10.0"/>
      </rPr>
      <t xml:space="preserve">Nhập 6 ký tự vào 請求開始月, click「検索」, tiếp tục nhập 7 ký tự, click「検索」
</t>
    </r>
    <r>
      <rPr>
        <rFont val="メイリオ"/>
        <b/>
        <strike/>
        <color rgb="FF000000"/>
        <sz val="10.0"/>
      </rPr>
      <t xml:space="preserve">ステップ3：
</t>
    </r>
    <r>
      <rPr>
        <rFont val="メイリオ"/>
        <strike/>
        <color rgb="FF000000"/>
        <sz val="10.0"/>
      </rPr>
      <t>Nhập 15 ký tự vào 連絡先１, click「検索」, tiếp tục nhập 16 ký tự, click「検索」</t>
    </r>
  </si>
  <si>
    <r>
      <rPr>
        <rFont val="メイリオ"/>
        <b/>
        <strike/>
        <color rgb="FF000000"/>
        <sz val="10.0"/>
      </rPr>
      <t xml:space="preserve">ステップ1：
</t>
    </r>
    <r>
      <rPr>
        <rFont val="メイリオ"/>
        <strike/>
        <color rgb="FF000000"/>
        <sz val="10.0"/>
      </rPr>
      <t xml:space="preserve">3 ký tự tìm kiếm bình thường với HTTP 200, 4 ký tự hiển thị lỗi vượt quá số ký tự (`error_code: VALIDATION_ERROR`, `errors[]` có `field: jastem_toriatsukai_tenpo_code`)
</t>
    </r>
    <r>
      <rPr>
        <rFont val="メイリオ"/>
        <b/>
        <strike/>
        <color rgb="FF000000"/>
        <sz val="10.0"/>
      </rPr>
      <t xml:space="preserve">ステップ2：
</t>
    </r>
    <r>
      <rPr>
        <rFont val="メイリオ"/>
        <strike/>
        <color rgb="FF000000"/>
        <sz val="10.0"/>
      </rPr>
      <t xml:space="preserve">6 ký tự tìm kiếm bình thường với HTTP 200, 7 ký tự hiển thị lỗi vượt quá số ký tự (`errors[]` có `field: seikyu_kaishi_month`)
</t>
    </r>
    <r>
      <rPr>
        <rFont val="メイリオ"/>
        <b/>
        <strike/>
        <color rgb="FF000000"/>
        <sz val="10.0"/>
      </rPr>
      <t xml:space="preserve">ステップ3：
</t>
    </r>
    <r>
      <rPr>
        <rFont val="メイリオ"/>
        <strike/>
        <color rgb="FF000000"/>
        <sz val="10.0"/>
      </rPr>
      <t xml:space="preserve">15 ký tự tìm kiếm bình thường với HTTP 200, 16 ký tự hiển thị lỗi vượt quá số ký tự (`errors[]` có `field: renrakusaki_1`)
</t>
    </r>
    <r>
      <rPr>
        <rFont val="メイリオ"/>
        <b/>
        <strike/>
        <color rgb="FF000000"/>
        <sz val="10.0"/>
      </rPr>
      <t xml:space="preserve">補足：
</t>
    </r>
    <r>
      <rPr>
        <rFont val="メイリオ"/>
        <strike/>
        <color rgb="FF000000"/>
        <sz val="10.0"/>
      </rPr>
      <t xml:space="preserve">・引落元口座支店コード là partial match với cột vật lý `bank_branch_code` (tối đa 3 ký tự)
</t>
    </r>
    <r>
      <rPr>
        <rFont val="メイリオ"/>
        <strike/>
        <color rgb="FF000000"/>
        <sz val="10.0"/>
      </rPr>
      <t xml:space="preserve">・引落元口座支店名 là partial match với cột vật lý `bank_branch_name` (tối đa 100 ký tự)
</t>
    </r>
    <r>
      <rPr>
        <rFont val="メイリオ"/>
        <strike/>
        <color rgb="FF000000"/>
        <sz val="10.0"/>
      </rPr>
      <t>・Mỗi độ dài tối đa theo request parameter tài liệu API</t>
    </r>
  </si>
  <si>
    <t>ACSMS-TC-014-018</t>
  </si>
  <si>
    <t>Giá trị biên page size (per_page 1 / 100 / 101)</t>
  </si>
  <si>
    <t>・role: JA_HONTEN
・Đang mở Console của DevTools</t>
  </si>
  <si>
    <r>
      <rPr>
        <rFont val="メイリオ"/>
        <b/>
        <color rgb="FF000000"/>
        <sz val="10.0"/>
      </rPr>
      <t xml:space="preserve">ステップ1：
</t>
    </r>
    <r>
      <rPr>
        <rFont val="メイリオ"/>
        <color rgb="FF000000"/>
        <sz val="10.0"/>
      </rPr>
      <t xml:space="preserve">Chạy `fetch('/api/v1/dokusya?page=1&amp;per_page=1', { credentials: 'include' })` từ Console của DevTools
</t>
    </r>
    <r>
      <rPr>
        <rFont val="メイリオ"/>
        <b/>
        <color rgb="FF000000"/>
        <sz val="10.0"/>
      </rPr>
      <t xml:space="preserve">ステップ2：
</t>
    </r>
    <r>
      <rPr>
        <rFont val="メイリオ"/>
        <color rgb="FF000000"/>
        <sz val="10.0"/>
      </rPr>
      <t xml:space="preserve">Chạy `fetch('/api/v1/dokusya?page=1&amp;per_page=100', { credentials: 'include' })`
</t>
    </r>
    <r>
      <rPr>
        <rFont val="メイリオ"/>
        <b/>
        <color rgb="FF000000"/>
        <sz val="10.0"/>
      </rPr>
      <t xml:space="preserve">ステップ3：
</t>
    </r>
    <r>
      <rPr>
        <rFont val="メイリオ"/>
        <color rgb="FF000000"/>
        <sz val="10.0"/>
      </rPr>
      <t xml:space="preserve">Chạy `fetch('/api/v1/dokusya?page=1&amp;per_page=101', { credentials: 'include' })`
</t>
    </r>
    <r>
      <rPr>
        <rFont val="メイリオ"/>
        <b/>
        <color rgb="FF000000"/>
        <sz val="10.0"/>
      </rPr>
      <t xml:space="preserve">ステップ4：
</t>
    </r>
    <r>
      <rPr>
        <rFont val="メイリオ"/>
        <color rgb="FF000000"/>
        <sz val="10.0"/>
      </rPr>
      <t>Chạy `fetch('/api/v1/dokusya?page=1&amp;per_page=0', { credentials: 'include' })`</t>
    </r>
  </si>
  <si>
    <r>
      <rPr>
        <rFont val="メイリオ"/>
        <b/>
        <color rgb="FF000000"/>
        <sz val="10.0"/>
      </rPr>
      <t xml:space="preserve">ステップ1：
</t>
    </r>
    <r>
      <rPr>
        <rFont val="メイリオ"/>
        <color rgb="FF000000"/>
        <sz val="10.0"/>
      </rPr>
      <t xml:space="preserve">Trả về HTTP 200 (`meta.per_page=1`)
</t>
    </r>
    <r>
      <rPr>
        <rFont val="メイリオ"/>
        <b/>
        <color rgb="FF000000"/>
        <sz val="10.0"/>
      </rPr>
      <t xml:space="preserve">ステップ2：
</t>
    </r>
    <r>
      <rPr>
        <rFont val="メイリオ"/>
        <color rgb="FF000000"/>
        <sz val="10.0"/>
      </rPr>
      <t xml:space="preserve">Trả về HTTP 200 (`meta.per_page=100`)
</t>
    </r>
    <r>
      <rPr>
        <rFont val="メイリオ"/>
        <b/>
        <color rgb="FF000000"/>
        <sz val="10.0"/>
      </rPr>
      <t xml:space="preserve">ステップ3：
</t>
    </r>
    <r>
      <rPr>
        <rFont val="メイリオ"/>
        <color rgb="FF000000"/>
        <sz val="10.0"/>
      </rPr>
      <t xml:space="preserve">Trả về HTTP 400 (`error_code: VALIDATION_ERROR` hoặc `BAD_REQUEST`, `per_page` vượt quá giới hạn trên 100)
</t>
    </r>
    <r>
      <rPr>
        <rFont val="メイリオ"/>
        <b/>
        <color rgb="FF000000"/>
        <sz val="10.0"/>
      </rPr>
      <t xml:space="preserve">ステップ4：
</t>
    </r>
    <r>
      <rPr>
        <rFont val="メイリオ"/>
        <color rgb="FF000000"/>
        <sz val="10.0"/>
      </rPr>
      <t xml:space="preserve">Trả về HTTP 400 (`error_code: VALIDATION_ERROR` hoặc `BAD_REQUEST`, `per_page` dưới giá trị nhỏ nhất 1)
</t>
    </r>
    <r>
      <rPr>
        <rFont val="メイリオ"/>
        <b/>
        <color rgb="FF000000"/>
        <sz val="10.0"/>
      </rPr>
      <t xml:space="preserve">補足：
</t>
    </r>
    <r>
      <rPr>
        <rFont val="メイリオ"/>
        <color rgb="FF000000"/>
        <sz val="10.0"/>
      </rPr>
      <t xml:space="preserve">・per_page trong khoảng 1〜100 (theo「処理手順 4.1」tài liệu API)
</t>
    </r>
    <r>
      <rPr>
        <rFont val="メイリオ"/>
        <color rgb="FF000000"/>
        <sz val="10.0"/>
      </rPr>
      <t>・page từ 1 trở lên</t>
    </r>
  </si>
  <si>
    <t>ACSMS-TC-014-019</t>
  </si>
  <si>
    <t>Trim trước sau・partial match mục tìm kiếm</t>
  </si>
  <si>
    <t>・role: JA_HONTEN
・Test data: độc giả `kumiaiin_code='K000001'`, `kumiaiin_code='K000010'`, `kumiaiin_code='M000001'` đã được đăng ký</t>
  </si>
  <si>
    <r>
      <rPr>
        <rFont val="メイリオ"/>
        <b/>
        <strike/>
        <color rgb="FF000000"/>
        <sz val="10.0"/>
      </rPr>
      <t xml:space="preserve">ステップ1：
</t>
    </r>
    <r>
      <rPr>
        <rFont val="メイリオ"/>
        <strike/>
        <color rgb="FF000000"/>
        <sz val="10.0"/>
      </rPr>
      <t xml:space="preserve">Nhập `  K0000  ` có thêm space trước sau vào 組合員コード, click「検索」
</t>
    </r>
    <r>
      <rPr>
        <rFont val="メイリオ"/>
        <b/>
        <strike/>
        <color rgb="FF000000"/>
        <sz val="10.0"/>
      </rPr>
      <t xml:space="preserve">ステップ2：
</t>
    </r>
    <r>
      <rPr>
        <rFont val="メイリオ"/>
        <strike/>
        <color rgb="FF000000"/>
        <sz val="10.0"/>
      </rPr>
      <t xml:space="preserve">Kiểm tra request parameter đã gửi qua DevTools
</t>
    </r>
    <r>
      <rPr>
        <rFont val="メイリオ"/>
        <b/>
        <strike/>
        <color rgb="FF000000"/>
        <sz val="10.0"/>
      </rPr>
      <t xml:space="preserve">ステップ3：
</t>
    </r>
    <r>
      <rPr>
        <rFont val="メイリオ"/>
        <strike/>
        <color rgb="FF000000"/>
        <sz val="10.0"/>
      </rPr>
      <t>Kiểm tra kết quả bảng list</t>
    </r>
  </si>
  <si>
    <r>
      <rPr>
        <rFont val="メイリオ"/>
        <b/>
        <strike/>
        <color rgb="FF000000"/>
        <sz val="10.0"/>
      </rPr>
      <t xml:space="preserve">ステップ1：
</t>
    </r>
    <r>
      <rPr>
        <rFont val="メイリオ"/>
        <strike/>
        <color rgb="FF000000"/>
        <sz val="10.0"/>
      </rPr>
      <t xml:space="preserve">Giá trị nhập được trim space trước sau, tìm kiếm được thực hiện (ô input cập nhật về dạng đã trim space trước sau)
</t>
    </r>
    <r>
      <rPr>
        <rFont val="メイリオ"/>
        <b/>
        <strike/>
        <color rgb="FF000000"/>
        <sz val="10.0"/>
      </rPr>
      <t xml:space="preserve">ステップ2：
</t>
    </r>
    <r>
      <rPr>
        <rFont val="メイリオ"/>
        <strike/>
        <color rgb="FF000000"/>
        <sz val="10.0"/>
      </rPr>
      <t xml:space="preserve">Query parameter chứa `kumiaiin_code=K0000` (không có space trước sau)
</t>
    </r>
    <r>
      <rPr>
        <rFont val="メイリオ"/>
        <b/>
        <strike/>
        <color rgb="FF000000"/>
        <sz val="10.0"/>
      </rPr>
      <t xml:space="preserve">ステップ3：
</t>
    </r>
    <r>
      <rPr>
        <rFont val="メイリオ"/>
        <strike/>
        <color rgb="FF000000"/>
        <sz val="10.0"/>
      </rPr>
      <t xml:space="preserve">Chỉ hiển thị 2 record chứa `K0000` (`K000001`, `K000010`). `M000001` không hiển thị
</t>
    </r>
    <r>
      <rPr>
        <rFont val="メイリオ"/>
        <b/>
        <strike/>
        <color rgb="FF000000"/>
        <sz val="10.0"/>
      </rPr>
      <t xml:space="preserve">補足：
</t>
    </r>
    <r>
      <rPr>
        <rFont val="メイリオ"/>
        <strike/>
        <color rgb="FF000000"/>
        <sz val="10.0"/>
      </rPr>
      <t xml:space="preserve">・Tìm kiếm partial match (ILIKE '%K0000%')
</t>
    </r>
    <r>
      <rPr>
        <rFont val="メイリオ"/>
        <strike/>
        <color rgb="FF000000"/>
        <sz val="10.0"/>
      </rPr>
      <t xml:space="preserve">・Không phân biệt chữ hoa chữ thường
</t>
    </r>
    <r>
      <rPr>
        <rFont val="メイリオ"/>
        <strike/>
        <color rgb="FF000000"/>
        <sz val="10.0"/>
      </rPr>
      <t>・Space trước sau được trim trước khi tìm kiếm</t>
    </r>
  </si>
  <si>
    <t xml:space="preserve">Hiện tại hệ thống không tự động trim ở màn hình tìm kiếm </t>
  </si>
  <si>
    <t>ACSMS-TC-014-020</t>
  </si>
  <si>
    <t>An toàn XSS／SQL injection mục tìm kiếm</t>
  </si>
  <si>
    <t>・role: JA_HONTEN
・Test data: nhiều record độc giả đã được đăng ký</t>
  </si>
  <si>
    <r>
      <rPr>
        <rFont val="メイリオ"/>
        <b/>
        <color rgb="FF000000"/>
        <sz val="10.0"/>
      </rPr>
      <t xml:space="preserve">ステップ1：
</t>
    </r>
    <r>
      <rPr>
        <rFont val="メイリオ"/>
        <color rgb="FF000000"/>
        <sz val="10.0"/>
      </rPr>
      <t xml:space="preserve">Nhập `&lt;script&gt;alert('XSS')&lt;/script&gt;` vào 氏名, click「検索」
</t>
    </r>
    <r>
      <rPr>
        <rFont val="メイリオ"/>
        <b/>
        <color rgb="FF000000"/>
        <sz val="10.0"/>
      </rPr>
      <t xml:space="preserve">ステップ2：
</t>
    </r>
    <r>
      <rPr>
        <rFont val="メイリオ"/>
        <color rgb="FF000000"/>
        <sz val="10.0"/>
      </rPr>
      <t xml:space="preserve">Nhập `' OR '1'='1` vào 組合員コード, click「検索」
</t>
    </r>
    <r>
      <rPr>
        <rFont val="メイリオ"/>
        <b/>
        <color rgb="FF000000"/>
        <sz val="10.0"/>
      </rPr>
      <t xml:space="preserve">ステップ3：
</t>
    </r>
    <r>
      <rPr>
        <rFont val="メイリオ"/>
        <color rgb="FF000000"/>
        <sz val="10.0"/>
      </rPr>
      <t xml:space="preserve">Nhập `'; DROP TABLE t_dokusya; --` vào 氏名, click「検索」
</t>
    </r>
    <r>
      <rPr>
        <rFont val="メイリオ"/>
        <b/>
        <color rgb="FF000000"/>
        <sz val="10.0"/>
      </rPr>
      <t xml:space="preserve">ステップ4：
</t>
    </r>
    <r>
      <rPr>
        <rFont val="メイリオ"/>
        <color rgb="FF000000"/>
        <sz val="10.0"/>
      </rPr>
      <t>Kiểm tra DB: `SELECT COUNT(*) FROM t_dokusya WHERE deleted_at IS NULL`</t>
    </r>
  </si>
  <si>
    <r>
      <rPr>
        <rFont val="メイリオ"/>
        <b/>
        <color rgb="FF000000"/>
        <sz val="10.0"/>
      </rPr>
      <t xml:space="preserve">ステップ1：
</t>
    </r>
    <r>
      <rPr>
        <rFont val="メイリオ"/>
        <color rgb="FF000000"/>
        <sz val="10.0"/>
      </rPr>
      <t xml:space="preserve">Trả về HTTP 200 (`data: []` (không có record tương ứng)). Không hiển thị alert JavaScript, ô input hiển thị chuỗi đã escape dưới dạng text an toàn
</t>
    </r>
    <r>
      <rPr>
        <rFont val="メイリオ"/>
        <b/>
        <color rgb="FF000000"/>
        <sz val="10.0"/>
      </rPr>
      <t xml:space="preserve">ステップ2：
</t>
    </r>
    <r>
      <rPr>
        <rFont val="メイリオ"/>
        <color rgb="FF000000"/>
        <sz val="10.0"/>
      </rPr>
      <t xml:space="preserve">Trả về HTTP 200 (`data: []` — payload injection được truyền vào mệnh đề ILIKE dưới dạng chuỗi literal)
</t>
    </r>
    <r>
      <rPr>
        <rFont val="メイリオ"/>
        <b/>
        <color rgb="FF000000"/>
        <sz val="10.0"/>
      </rPr>
      <t xml:space="preserve">ステップ3：
</t>
    </r>
    <r>
      <rPr>
        <rFont val="メイリオ"/>
        <color rgb="FF000000"/>
        <sz val="10.0"/>
      </rPr>
      <t xml:space="preserve">Trả về HTTP 200 (`data: []` — không xảy ra việc xóa bảng)
</t>
    </r>
    <r>
      <rPr>
        <rFont val="メイリオ"/>
        <b/>
        <color rgb="FF000000"/>
        <sz val="10.0"/>
      </rPr>
      <t xml:space="preserve">ステップ4：
</t>
    </r>
    <r>
      <rPr>
        <rFont val="メイリオ"/>
        <color rgb="FF000000"/>
        <sz val="10.0"/>
      </rPr>
      <t xml:space="preserve">Số lượng record độc giả giống như trước khi test (bảng không bị xóa)
</t>
    </r>
    <r>
      <rPr>
        <rFont val="メイリオ"/>
        <b/>
        <color rgb="FF000000"/>
        <sz val="10.0"/>
      </rPr>
      <t xml:space="preserve">補足：
</t>
    </r>
    <r>
      <rPr>
        <rFont val="メイリオ"/>
        <color rgb="FF000000"/>
        <sz val="10.0"/>
      </rPr>
      <t xml:space="preserve">・Tấn công XSS bị vô hiệu hóa nhờ auto-escape của Vue bằng nội suy `{{ }}` (viewpoint VP-A-06)
</t>
    </r>
    <r>
      <rPr>
        <rFont val="メイリオ"/>
        <color rgb="FF000000"/>
        <sz val="10.0"/>
      </rPr>
      <t>・SQL injection bị vô hiệu hóa nhờ query tham số hóa của TypeORM (biến bind `:kumiaiin_code`) (viewpoint VP-A-10)</t>
    </r>
  </si>
  <si>
    <t>Logic nghiệp vụ — Tìm kiếm・Xóa・Xuất Excel (Function — Search / Delete / Export)</t>
  </si>
  <si>
    <t>ACSMS-TC-014-021</t>
  </si>
  <si>
    <t>Hiển thị ban đầu — form tìm kiếm trống + list độc giả mặc định (mới nhất trước)</t>
  </si>
  <si>
    <t>・role: JA_HONTEN
・Test data: nhiều record độc giả của JA mình đã được đăng ký</t>
  </si>
  <si>
    <r>
      <rPr>
        <rFont val="メイリオ"/>
        <b/>
        <color rgb="FF000000"/>
        <sz val="10.0"/>
      </rPr>
      <t xml:space="preserve">ステップ1：
</t>
    </r>
    <r>
      <rPr>
        <rFont val="メイリオ"/>
        <color rgb="FF000000"/>
        <sz val="10.0"/>
      </rPr>
      <t xml:space="preserve">Click「購読者明細検索画面」từ dashboard
</t>
    </r>
    <r>
      <rPr>
        <rFont val="メイリオ"/>
        <b/>
        <color rgb="FF000000"/>
        <sz val="10.0"/>
      </rPr>
      <t xml:space="preserve">ステップ2：
</t>
    </r>
    <r>
      <rPr>
        <rFont val="メイリオ"/>
        <color rgb="FF000000"/>
        <sz val="10.0"/>
      </rPr>
      <t xml:space="preserve">Kiểm tra trạng thái form tìm kiếm của màn hình
</t>
    </r>
    <r>
      <rPr>
        <rFont val="メイリオ"/>
        <b/>
        <color rgb="FF000000"/>
        <sz val="10.0"/>
      </rPr>
      <t xml:space="preserve">ステップ3：
</t>
    </r>
    <r>
      <rPr>
        <rFont val="メイリオ"/>
        <color rgb="FF000000"/>
        <sz val="10.0"/>
      </rPr>
      <t xml:space="preserve">Kiểm tra nội dung bảng list
</t>
    </r>
    <r>
      <rPr>
        <rFont val="メイリオ"/>
        <b/>
        <color rgb="FF000000"/>
        <sz val="10.0"/>
      </rPr>
      <t xml:space="preserve">ステップ4：
</t>
    </r>
    <r>
      <rPr>
        <rFont val="メイリオ"/>
        <color rgb="FF000000"/>
        <sz val="10.0"/>
      </rPr>
      <t>Kiểm tra query parameter của GET `/api/v1/dokusya` ở tab Network của DevTools</t>
    </r>
  </si>
  <si>
    <r>
      <rPr>
        <rFont val="メイリオ"/>
        <b/>
        <color rgb="FF000000"/>
        <sz val="10.0"/>
      </rPr>
      <t xml:space="preserve">ステップ1：
</t>
    </r>
    <r>
      <rPr>
        <rFont val="メイリオ"/>
        <color rgb="FF000000"/>
        <sz val="10.0"/>
      </rPr>
      <t xml:space="preserve">Chuyển về URL `/dokusya`
</t>
    </r>
    <r>
      <rPr>
        <rFont val="メイリオ"/>
        <b/>
        <color rgb="FF000000"/>
        <sz val="10.0"/>
      </rPr>
      <t xml:space="preserve">ステップ2：
</t>
    </r>
    <r>
      <rPr>
        <rFont val="メイリオ"/>
        <color rgb="FF000000"/>
        <sz val="10.0"/>
      </rPr>
      <t xml:space="preserve">Toàn bộ mục tìm kiếm hiển thị trống, vùng tìm kiếm chi tiết ở trạng thái thu gọn
</t>
    </r>
    <r>
      <rPr>
        <rFont val="メイリオ"/>
        <b/>
        <color rgb="FF000000"/>
        <sz val="10.0"/>
      </rPr>
      <t xml:space="preserve">ステップ3：
</t>
    </r>
    <r>
      <rPr>
        <rFont val="メイリオ"/>
        <color rgb="FF000000"/>
        <sz val="10.0"/>
      </rPr>
      <t xml:space="preserve">Record độc giả sau khi áp dụng DataScope hiển thị theo thứ tự mới nhất (`updated_at` giảm dần) tới 20 record. Record đã xóa logical (`deleted_at IS NOT NULL`) không hiển thị
</t>
    </r>
    <r>
      <rPr>
        <rFont val="メイリオ"/>
        <b/>
        <color rgb="FF000000"/>
        <sz val="10.0"/>
      </rPr>
      <t xml:space="preserve">ステップ4：
</t>
    </r>
    <r>
      <rPr>
        <rFont val="メイリオ"/>
        <color rgb="FF000000"/>
        <sz val="10.0"/>
      </rPr>
      <t xml:space="preserve">Query parameter là `?page=1&amp;per_page=20&amp;sort_by=updated_at&amp;sort_order=desc` (giá trị mặc định)
</t>
    </r>
    <r>
      <rPr>
        <rFont val="メイリオ"/>
        <b/>
        <color rgb="FF000000"/>
        <sz val="10.0"/>
      </rPr>
      <t xml:space="preserve">補足：
</t>
    </r>
    <r>
      <rPr>
        <rFont val="メイリオ"/>
        <color rgb="FF000000"/>
        <sz val="10.0"/>
      </rPr>
      <t xml:space="preserve">・Lúc hiển thị ban đầu lấy toàn bộ không có điều kiện tìm kiếm (sau khi áp dụng DataScope)
</t>
    </r>
    <r>
      <rPr>
        <rFont val="メイリオ"/>
        <color rgb="FF000000"/>
        <sz val="10.0"/>
      </rPr>
      <t xml:space="preserve">・Giá trị mặc định per_page là 20, sort_by là `updated_at` giảm dần
</t>
    </r>
    <r>
      <rPr>
        <rFont val="メイリオ"/>
        <color rgb="FF000000"/>
        <sz val="10.0"/>
      </rPr>
      <t>・適用日 cả hai đều trống nên trích xuất record có flag dữ liệu mới nhất (`saishin_data_flg=TRUE`)</t>
    </r>
  </si>
  <si>
    <t>ACSMS-TC-014-022</t>
  </si>
  <si>
    <t>Tìm kiếm — partial match 組合員コード</t>
  </si>
  <si>
    <t>・role: JA_HONTEN
・Test data: 3 record `kumiaiin_code='K000001'`, `kumiaiin_code='K000002'`, `kumiaiin_code='M000099'` đã được đăng ký</t>
  </si>
  <si>
    <r>
      <rPr>
        <rFont val="メイリオ"/>
        <b/>
        <color rgb="FF000000"/>
        <sz val="10.0"/>
      </rPr>
      <t xml:space="preserve">ステップ1：
</t>
    </r>
    <r>
      <rPr>
        <rFont val="メイリオ"/>
        <color rgb="FF000000"/>
        <sz val="10.0"/>
      </rPr>
      <t xml:space="preserve">Nhập `K0000` vào ô 組合員コード
</t>
    </r>
    <r>
      <rPr>
        <rFont val="メイリオ"/>
        <b/>
        <color rgb="FF000000"/>
        <sz val="10.0"/>
      </rPr>
      <t xml:space="preserve">ステップ2：
</t>
    </r>
    <r>
      <rPr>
        <rFont val="メイリオ"/>
        <color rgb="FF000000"/>
        <sz val="10.0"/>
      </rPr>
      <t xml:space="preserve">Click button「検索」
</t>
    </r>
    <r>
      <rPr>
        <rFont val="メイリオ"/>
        <b/>
        <color rgb="FF000000"/>
        <sz val="10.0"/>
      </rPr>
      <t xml:space="preserve">ステップ3：
</t>
    </r>
    <r>
      <rPr>
        <rFont val="メイリオ"/>
        <color rgb="FF000000"/>
        <sz val="10.0"/>
      </rPr>
      <t xml:space="preserve">Kiểm tra request parameter đã gửi qua DevTools
</t>
    </r>
    <r>
      <rPr>
        <rFont val="メイリオ"/>
        <b/>
        <color rgb="FF000000"/>
        <sz val="10.0"/>
      </rPr>
      <t xml:space="preserve">ステップ4：
</t>
    </r>
    <r>
      <rPr>
        <rFont val="メイリオ"/>
        <color rgb="FF000000"/>
        <sz val="10.0"/>
      </rPr>
      <t>Kiểm tra kết quả bảng list</t>
    </r>
  </si>
  <si>
    <r>
      <rPr>
        <rFont val="メイリオ"/>
        <b/>
        <color rgb="FF000000"/>
        <sz val="10.0"/>
      </rPr>
      <t xml:space="preserve">ステップ1：
</t>
    </r>
    <r>
      <rPr>
        <rFont val="メイリオ"/>
        <color rgb="FF000000"/>
        <sz val="10.0"/>
      </rPr>
      <t xml:space="preserve">Nhận input hoàn tất
</t>
    </r>
    <r>
      <rPr>
        <rFont val="メイリオ"/>
        <b/>
        <color rgb="FF000000"/>
        <sz val="10.0"/>
      </rPr>
      <t xml:space="preserve">ステップ2：
</t>
    </r>
    <r>
      <rPr>
        <rFont val="メイリオ"/>
        <color rgb="FF000000"/>
        <sz val="10.0"/>
      </rPr>
      <t xml:space="preserve">Trả về HTTP 200 (điều kiện tìm kiếm được áp dụng và màn hình cập nhật)
</t>
    </r>
    <r>
      <rPr>
        <rFont val="メイリオ"/>
        <b/>
        <color rgb="FF000000"/>
        <sz val="10.0"/>
      </rPr>
      <t xml:space="preserve">ステップ3：
</t>
    </r>
    <r>
      <rPr>
        <rFont val="メイリオ"/>
        <color rgb="FF000000"/>
        <sz val="10.0"/>
      </rPr>
      <t xml:space="preserve">Query parameter chứa `kumiaiin_code=K0000`
</t>
    </r>
    <r>
      <rPr>
        <rFont val="メイリオ"/>
        <b/>
        <color rgb="FF000000"/>
        <sz val="10.0"/>
      </rPr>
      <t xml:space="preserve">ステップ4：
</t>
    </r>
    <r>
      <rPr>
        <rFont val="メイリオ"/>
        <color rgb="FF000000"/>
        <sz val="10.0"/>
      </rPr>
      <t xml:space="preserve">Chỉ hiển thị 2 record chứa `K0000` (`K000001`, `K000002`). `M000099` không hiển thị
</t>
    </r>
    <r>
      <rPr>
        <rFont val="メイリオ"/>
        <b/>
        <color rgb="FF000000"/>
        <sz val="10.0"/>
      </rPr>
      <t xml:space="preserve">補足：
</t>
    </r>
    <r>
      <rPr>
        <rFont val="メイリオ"/>
        <color rgb="FF000000"/>
        <sz val="10.0"/>
      </rPr>
      <t xml:space="preserve">・Tìm kiếm partial match (`d.kumiaiin_code ILIKE '%K0000%'`)
</t>
    </r>
    <r>
      <rPr>
        <rFont val="メイリオ"/>
        <color rgb="FF000000"/>
        <sz val="10.0"/>
      </rPr>
      <t>・Không phân biệt chữ hoa chữ thường</t>
    </r>
  </si>
  <si>
    <t>ACSMS-TC-014-023</t>
  </si>
  <si>
    <t>Tìm kiếm — partial match 氏名・かな氏名 (nối họ tên)</t>
  </si>
  <si>
    <t>・role: JA_HONTEN
・Test data: 3 record `shimei_sei='山田', shimei_mei='太郎'`, `shimei_sei='山田', shimei_mei='花子'`, `shimei_sei='佐藤', shimei_mei='次郎'` đã được đăng ký</t>
  </si>
  <si>
    <r>
      <rPr>
        <rFont val="メイリオ"/>
        <b/>
        <color rgb="FF000000"/>
        <sz val="10.0"/>
      </rPr>
      <t xml:space="preserve">ステップ1：
</t>
    </r>
    <r>
      <rPr>
        <rFont val="メイリオ"/>
        <color rgb="FF000000"/>
        <sz val="10.0"/>
      </rPr>
      <t xml:space="preserve">Nhập `山田` vào ô 氏名, click「検索」
</t>
    </r>
    <r>
      <rPr>
        <rFont val="メイリオ"/>
        <b/>
        <color rgb="FF000000"/>
        <sz val="10.0"/>
      </rPr>
      <t xml:space="preserve">ステップ2：
</t>
    </r>
    <r>
      <rPr>
        <rFont val="メイリオ"/>
        <color rgb="FF000000"/>
        <sz val="10.0"/>
      </rPr>
      <t xml:space="preserve">Kiểm tra kết quả bảng list
</t>
    </r>
    <r>
      <rPr>
        <rFont val="メイリオ"/>
        <b/>
        <color rgb="FF000000"/>
        <sz val="10.0"/>
      </rPr>
      <t xml:space="preserve">ステップ3：
</t>
    </r>
    <r>
      <rPr>
        <rFont val="メイリオ"/>
        <color rgb="FF000000"/>
        <sz val="10.0"/>
      </rPr>
      <t>Clear 氏名, nhập `ヤマダ` vào ô かな氏名, click「検索」</t>
    </r>
  </si>
  <si>
    <r>
      <rPr>
        <rFont val="メイリオ"/>
        <b/>
        <color rgb="FF000000"/>
        <sz val="10.0"/>
      </rPr>
      <t xml:space="preserve">ステップ1：
</t>
    </r>
    <r>
      <rPr>
        <rFont val="メイリオ"/>
        <color rgb="FF000000"/>
        <sz val="10.0"/>
      </rPr>
      <t xml:space="preserve">Trả về HTTP 200 (điều kiện tìm kiếm được áp dụng)
</t>
    </r>
    <r>
      <rPr>
        <rFont val="メイリオ"/>
        <b/>
        <color rgb="FF000000"/>
        <sz val="10.0"/>
      </rPr>
      <t xml:space="preserve">ステップ2：
</t>
    </r>
    <r>
      <rPr>
        <rFont val="メイリオ"/>
        <color rgb="FF000000"/>
        <sz val="10.0"/>
      </rPr>
      <t xml:space="preserve">Chỉ hiển thị 2 record chứa `山田` (`山田 太郎`, `山田 花子`). `佐藤 次郎` không hiển thị
</t>
    </r>
    <r>
      <rPr>
        <rFont val="メイリオ"/>
        <b/>
        <color rgb="FF000000"/>
        <sz val="10.0"/>
      </rPr>
      <t xml:space="preserve">ステップ3：
</t>
    </r>
    <r>
      <rPr>
        <rFont val="メイリオ"/>
        <color rgb="FF000000"/>
        <sz val="10.0"/>
      </rPr>
      <t xml:space="preserve">Tìm kiếm partial match theo かな氏名 được thực hiện, độc giả tương ứng được hiển thị
</t>
    </r>
    <r>
      <rPr>
        <rFont val="メイリオ"/>
        <b/>
        <color rgb="FF000000"/>
        <sz val="10.0"/>
      </rPr>
      <t xml:space="preserve">補足：
</t>
    </r>
    <r>
      <rPr>
        <rFont val="メイリオ"/>
        <color rgb="FF000000"/>
        <sz val="10.0"/>
      </rPr>
      <t xml:space="preserve">・氏名 là partial match với chuỗi nối `(d.shimei_sei || ' ' || d.shimei_mei)`
</t>
    </r>
    <r>
      <rPr>
        <rFont val="メイリオ"/>
        <color rgb="FF000000"/>
        <sz val="10.0"/>
      </rPr>
      <t xml:space="preserve">・かな氏名 là partial match với chuỗi nối `(d.shimei_kana_sei || ' ' || d.shimei_kana_mei)`
</t>
    </r>
    <r>
      <rPr>
        <rFont val="メイリオ"/>
        <color rgb="FF000000"/>
        <sz val="10.0"/>
      </rPr>
      <t>・Toàn角・hiragana・katakana được đối chiếu nguyên dạng</t>
    </r>
  </si>
  <si>
    <t>ACSMS-TC-014-024</t>
  </si>
  <si>
    <t>Tìm kiếm — kết hợp AND điều kiện pulldown・radio</t>
  </si>
  <si>
    <t>・role: JA_HONTEN
・Test data: nhiều độc giả khác nhau về 管理支店・支店・購読種別・支払方法 đã được đăng ký</t>
  </si>
  <si>
    <r>
      <rPr>
        <rFont val="メイリオ"/>
        <b/>
        <color rgb="FF000000"/>
        <sz val="10.0"/>
      </rPr>
      <t xml:space="preserve">ステップ1：
</t>
    </r>
    <r>
      <rPr>
        <rFont val="メイリオ"/>
        <color rgb="FF000000"/>
        <sz val="10.0"/>
      </rPr>
      <t xml:space="preserve">Chọn một 管理支店 bất kỳ ở pulldown 管理支店
</t>
    </r>
    <r>
      <rPr>
        <rFont val="メイリオ"/>
        <b/>
        <color rgb="FF000000"/>
        <sz val="10.0"/>
      </rPr>
      <t xml:space="preserve">ステップ2：
</t>
    </r>
    <r>
      <rPr>
        <rFont val="メイリオ"/>
        <color rgb="FF000000"/>
        <sz val="10.0"/>
      </rPr>
      <t xml:space="preserve">Chọn「紙版」ở radio 購読種別
</t>
    </r>
    <r>
      <rPr>
        <rFont val="メイリオ"/>
        <b/>
        <color rgb="FF000000"/>
        <sz val="10.0"/>
      </rPr>
      <t xml:space="preserve">ステップ3：
</t>
    </r>
    <r>
      <rPr>
        <rFont val="メイリオ"/>
        <color rgb="FF000000"/>
        <sz val="10.0"/>
      </rPr>
      <t xml:space="preserve">Click button「検索」
</t>
    </r>
    <r>
      <rPr>
        <rFont val="メイリオ"/>
        <b/>
        <color rgb="FF000000"/>
        <sz val="10.0"/>
      </rPr>
      <t xml:space="preserve">ステップ4：
</t>
    </r>
    <r>
      <rPr>
        <rFont val="メイリオ"/>
        <color rgb="FF000000"/>
        <sz val="10.0"/>
      </rPr>
      <t>Kiểm tra request parameter và kết quả bảng list qua DevTools</t>
    </r>
  </si>
  <si>
    <r>
      <rPr>
        <rFont val="メイリオ"/>
        <b/>
        <color rgb="FF000000"/>
        <sz val="10.0"/>
      </rPr>
      <t xml:space="preserve">ステップ1：
</t>
    </r>
    <r>
      <rPr>
        <rFont val="メイリオ"/>
        <color rgb="FF000000"/>
        <sz val="10.0"/>
      </rPr>
      <t xml:space="preserve">管理支店 được chọn, option của pulldown「支店」được lọc xuống các 支店 thuộc 管理支店 đã chọn
</t>
    </r>
    <r>
      <rPr>
        <rFont val="メイリオ"/>
        <b/>
        <color rgb="FF000000"/>
        <sz val="10.0"/>
      </rPr>
      <t xml:space="preserve">ステップ2：
</t>
    </r>
    <r>
      <rPr>
        <rFont val="メイリオ"/>
        <color rgb="FF000000"/>
        <sz val="10.0"/>
      </rPr>
      <t xml:space="preserve">購読種別 được chọn
</t>
    </r>
    <r>
      <rPr>
        <rFont val="メイリオ"/>
        <b/>
        <color rgb="FF000000"/>
        <sz val="10.0"/>
      </rPr>
      <t xml:space="preserve">ステップ3：
</t>
    </r>
    <r>
      <rPr>
        <rFont val="メイリオ"/>
        <color rgb="FF000000"/>
        <sz val="10.0"/>
      </rPr>
      <t xml:space="preserve">Trả về HTTP 200 (áp dụng theo điều kiện AND)
</t>
    </r>
    <r>
      <rPr>
        <rFont val="メイリオ"/>
        <b/>
        <color rgb="FF000000"/>
        <sz val="10.0"/>
      </rPr>
      <t xml:space="preserve">ステップ4：
</t>
    </r>
    <r>
      <rPr>
        <rFont val="メイリオ"/>
        <color rgb="FF000000"/>
        <sz val="10.0"/>
      </rPr>
      <t xml:space="preserve">Query parameter chứa `kanri_shiten_id` và `dokusya_shubetsu=1`, chỉ hiển thị độc giả thỏa mãn cả hai điều kiện
</t>
    </r>
    <r>
      <rPr>
        <rFont val="メイリオ"/>
        <b/>
        <color rgb="FF000000"/>
        <sz val="10.0"/>
      </rPr>
      <t xml:space="preserve">補足：
</t>
    </r>
    <r>
      <rPr>
        <rFont val="メイリオ"/>
        <color rgb="FF000000"/>
        <sz val="10.0"/>
      </rPr>
      <t xml:space="preserve">・Nhiều điều kiện tìm kiếm được nối bằng AND
</t>
    </r>
    <r>
      <rPr>
        <rFont val="メイリオ"/>
        <color rgb="FF000000"/>
        <sz val="10.0"/>
      </rPr>
      <t xml:space="preserve">・Mục trống không bao gồm trong query (xử lý như undefined)
</t>
    </r>
    <r>
      <rPr>
        <rFont val="メイリオ"/>
        <color rgb="FF000000"/>
        <sz val="10.0"/>
      </rPr>
      <t>・Pulldown 支店 liên động theo giá trị chọn của 管理支店</t>
    </r>
  </si>
  <si>
    <t>ACSMS-TC-014-025</t>
  </si>
  <si>
    <t>Tìm kiếm — trích xuất lịch sử theo 適用日</t>
  </si>
  <si>
    <t>・role: JA_HONTEN
・Test data: lịch sử độc giả (`t_dokusya_rireki`) có nhiều record với ngày áp dụng thay đổi khác nhau đã được đăng ký</t>
  </si>
  <si>
    <r>
      <rPr>
        <rFont val="メイリオ"/>
        <b/>
        <color rgb="FF000000"/>
        <sz val="10.0"/>
      </rPr>
      <t xml:space="preserve">ステップ1：
</t>
    </r>
    <r>
      <rPr>
        <rFont val="メイリオ"/>
        <color rgb="FF000000"/>
        <sz val="10.0"/>
      </rPr>
      <t xml:space="preserve">Để cả hai 適用日 trống, click「検索」
</t>
    </r>
    <r>
      <rPr>
        <rFont val="メイリオ"/>
        <b/>
        <color rgb="FF000000"/>
        <sz val="10.0"/>
      </rPr>
      <t xml:space="preserve">ステップ2：
</t>
    </r>
    <r>
      <rPr>
        <rFont val="メイリオ"/>
        <color rgb="FF000000"/>
        <sz val="10.0"/>
      </rPr>
      <t xml:space="preserve">Kiểm tra kết quả bảng list
</t>
    </r>
    <r>
      <rPr>
        <rFont val="メイリオ"/>
        <b/>
        <color rgb="FF000000"/>
        <sz val="10.0"/>
      </rPr>
      <t xml:space="preserve">ステップ3：
</t>
    </r>
    <r>
      <rPr>
        <rFont val="メイリオ"/>
        <color rgb="FF000000"/>
        <sz val="10.0"/>
      </rPr>
      <t xml:space="preserve">Ở vùng tìm kiếm chi tiết, nhập ngày bắt đầu `2025/01/01`, ngày kết thúc `2025/06/30` cho 適用日, click「検索」
</t>
    </r>
    <r>
      <rPr>
        <rFont val="メイリオ"/>
        <b/>
        <color rgb="FF000000"/>
        <sz val="10.0"/>
      </rPr>
      <t xml:space="preserve">ステップ4：
</t>
    </r>
    <r>
      <rPr>
        <rFont val="メイリオ"/>
        <color rgb="FF000000"/>
        <sz val="10.0"/>
      </rPr>
      <t>Kiểm tra kết quả bảng list</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</si>
  <si>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Record có flag dữ liệu mới nhất của lịch sử độc giả (`saishin_data_flg=TRUE`) được trích xuất
</t>
    </r>
    <r>
      <rPr>
        <rFont val="メイリオ"/>
        <b/>
        <color rgb="FF000000"/>
        <sz val="10.0"/>
      </rPr>
      <t xml:space="preserve">ステップ3：
</t>
    </r>
    <r>
      <rPr>
        <rFont val="メイリオ"/>
        <color rgb="FF000000"/>
        <sz val="10.0"/>
      </rPr>
      <t xml:space="preserve">Trả về HTTP 200
</t>
    </r>
    <r>
      <rPr>
        <rFont val="メイリオ"/>
        <b/>
        <color rgb="FF000000"/>
        <sz val="10.0"/>
      </rPr>
      <t xml:space="preserve">ステップ4：
</t>
    </r>
    <r>
      <rPr>
        <rFont val="メイリオ"/>
        <color rgb="FF000000"/>
        <sz val="10.0"/>
      </rPr>
      <t xml:space="preserve">Record của lịch sử độc giả (`t_dokusya_rireki`) có ngày áp dụng thay đổi nằm trong khoảng `[2025/01/01, 2025/06/30]` được trích xuất
</t>
    </r>
    <r>
      <rPr>
        <rFont val="メイリオ"/>
        <b/>
        <color rgb="FF000000"/>
        <sz val="10.0"/>
      </rPr>
      <t xml:space="preserve">補足：
</t>
    </r>
    <r>
      <rPr>
        <rFont val="メイリオ"/>
        <color rgb="FF000000"/>
        <sz val="10.0"/>
      </rPr>
      <t xml:space="preserve">・Trường hợp 適用日 cả hai đều trống: trích xuất record `saishin_data_flg=TRUE` (theo「処理手順 4.3」tài liệu API)
</t>
    </r>
    <r>
      <rPr>
        <rFont val="メイリオ"/>
        <color rgb="FF000000"/>
        <sz val="10.0"/>
      </rPr>
      <t>・Trường hợp 適用日 có nhập: trích xuất record có ngày áp dụng thay đổi của bảng lịch sử nằm trong khoảng (chỉ from → `&gt;= from`, chỉ to → `&lt;= to`, cả hai → trong khoảng)</t>
    </r>
  </si>
  <si>
    <t>ACSMS-TC-014-026</t>
  </si>
  <si>
    <t>Clear tìm kiếm — reset toàn bộ điều kiện và về trang 1</t>
  </si>
  <si>
    <t>・Trạng thái đã mở màn hình tìm kiếm
・Đã tìm kiếm với 組合員コード `K0000`, đang hiển thị trang 2, đã áp dụng sort 組合員コード giảm dần</t>
  </si>
  <si>
    <r>
      <rPr>
        <rFont val="メイリオ"/>
        <b/>
        <color rgb="FF000000"/>
        <sz val="10.0"/>
      </rPr>
      <t xml:space="preserve">ステップ1：
</t>
    </r>
    <r>
      <rPr>
        <rFont val="メイリオ"/>
        <color rgb="FF000000"/>
        <sz val="10.0"/>
      </rPr>
      <t xml:space="preserve">Click button「検索クリア」
</t>
    </r>
    <r>
      <rPr>
        <rFont val="メイリオ"/>
        <b/>
        <color rgb="FF000000"/>
        <sz val="10.0"/>
      </rPr>
      <t xml:space="preserve">ステップ2：
</t>
    </r>
    <r>
      <rPr>
        <rFont val="メイリオ"/>
        <color rgb="FF000000"/>
        <sz val="10.0"/>
      </rPr>
      <t xml:space="preserve">Kiểm tra nội dung form tìm kiếm
</t>
    </r>
    <r>
      <rPr>
        <rFont val="メイリオ"/>
        <b/>
        <color rgb="FF000000"/>
        <sz val="10.0"/>
      </rPr>
      <t xml:space="preserve">ステップ3：
</t>
    </r>
    <r>
      <rPr>
        <rFont val="メイリオ"/>
        <color rgb="FF000000"/>
        <sz val="10.0"/>
      </rPr>
      <t xml:space="preserve">Kiểm tra trạng thái pagination và icon sort
</t>
    </r>
    <r>
      <rPr>
        <rFont val="メイリオ"/>
        <b/>
        <color rgb="FF000000"/>
        <sz val="10.0"/>
      </rPr>
      <t xml:space="preserve">ステップ4：
</t>
    </r>
    <r>
      <rPr>
        <rFont val="メイリオ"/>
        <color rgb="FF000000"/>
        <sz val="10.0"/>
      </rPr>
      <t>Kiểm tra nội dung bảng list</t>
    </r>
  </si>
  <si>
    <r>
      <rPr>
        <rFont val="メイリオ"/>
        <b/>
        <color rgb="FF000000"/>
        <sz val="10.0"/>
      </rPr>
      <t xml:space="preserve">ステップ1：
</t>
    </r>
    <r>
      <rPr>
        <rFont val="メイリオ"/>
        <color rgb="FF000000"/>
        <sz val="10.0"/>
      </rPr>
      <t xml:space="preserve">Điều kiện tìm kiếm được clear, hiển thị toast `検索条件をクリアしました。`
</t>
    </r>
    <r>
      <rPr>
        <rFont val="メイリオ"/>
        <b/>
        <color rgb="FF000000"/>
        <sz val="10.0"/>
      </rPr>
      <t xml:space="preserve">ステップ2：
</t>
    </r>
    <r>
      <rPr>
        <rFont val="メイリオ"/>
        <color rgb="FF000000"/>
        <sz val="10.0"/>
      </rPr>
      <t xml:space="preserve">Toàn bộ mục tìm kiếm được reset về trống
</t>
    </r>
    <r>
      <rPr>
        <rFont val="メイリオ"/>
        <b/>
        <color rgb="FF000000"/>
        <sz val="10.0"/>
      </rPr>
      <t xml:space="preserve">ステップ3：
</t>
    </r>
    <r>
      <rPr>
        <rFont val="メイリオ"/>
        <color rgb="FF000000"/>
        <sz val="10.0"/>
      </rPr>
      <t xml:space="preserve">Về trang 1 (trang hiện tại hiển thị「1」), icon sort về trạng thái ban đầu
</t>
    </r>
    <r>
      <rPr>
        <rFont val="メイリオ"/>
        <b/>
        <color rgb="FF000000"/>
        <sz val="10.0"/>
      </rPr>
      <t xml:space="preserve">ステップ4：
</t>
    </r>
    <r>
      <rPr>
        <rFont val="メイリオ"/>
        <color rgb="FF000000"/>
        <sz val="10.0"/>
      </rPr>
      <t xml:space="preserve">Record độc giả sau khi áp dụng DataScope hiển thị theo thứ tự mặc định (mới nhất trước)
</t>
    </r>
    <r>
      <rPr>
        <rFont val="メイリオ"/>
        <b/>
        <color rgb="FF000000"/>
        <sz val="10.0"/>
      </rPr>
      <t xml:space="preserve">補足：
</t>
    </r>
    <r>
      <rPr>
        <rFont val="メイリオ"/>
        <color rgb="FF000000"/>
        <sz val="10.0"/>
      </rPr>
      <t xml:space="preserve">・ACSMS-MSG-014-004 (検索条件をクリアしました。) tương ứng
</t>
    </r>
    <r>
      <rPr>
        <rFont val="メイリオ"/>
        <color rgb="FF000000"/>
        <sz val="10.0"/>
      </rPr>
      <t xml:space="preserve">・Toàn bộ điều kiện tìm kiếm + sort + trang được reset về trạng thái ban đầu
</t>
    </r>
    <r>
      <rPr>
        <rFont val="メイリオ"/>
        <color rgb="FF000000"/>
        <sz val="10.0"/>
      </rPr>
      <t>・Lúc clear tìm kiếm không hiển thị modal xác nhận</t>
    </r>
  </si>
  <si>
    <t>ACSMS-TC-014-027</t>
  </si>
  <si>
    <t>Không có kết quả tìm kiếm — hiển thị ACSMS-MSG-014-002</t>
  </si>
  <si>
    <t>・Trạng thái đã mở màn hình tìm kiếm
・Test data: chưa đăng ký độc giả tương ứng `kumiaiin_code='ZZZ99999'`</t>
  </si>
  <si>
    <r>
      <rPr>
        <rFont val="メイリオ"/>
        <b/>
        <color rgb="FF000000"/>
        <sz val="10.0"/>
      </rPr>
      <t xml:space="preserve">ステップ1：
</t>
    </r>
    <r>
      <rPr>
        <rFont val="メイリオ"/>
        <color rgb="FF000000"/>
        <sz val="10.0"/>
      </rPr>
      <t xml:space="preserve">Nhập `ZZZ99999` vào 組合員コード, click「検索」
</t>
    </r>
    <r>
      <rPr>
        <rFont val="メイリオ"/>
        <b/>
        <color rgb="FF000000"/>
        <sz val="10.0"/>
      </rPr>
      <t xml:space="preserve">ステップ2：
</t>
    </r>
    <r>
      <rPr>
        <rFont val="メイリオ"/>
        <color rgb="FF000000"/>
        <sz val="10.0"/>
      </rPr>
      <t xml:space="preserve">Kiểm tra hiển thị màn hình
</t>
    </r>
    <r>
      <rPr>
        <rFont val="メイリオ"/>
        <b/>
        <color rgb="FF000000"/>
        <sz val="10.0"/>
      </rPr>
      <t xml:space="preserve">ステップ3：
</t>
    </r>
    <r>
      <rPr>
        <rFont val="メイリオ"/>
        <color rgb="FF000000"/>
        <sz val="10.0"/>
      </rPr>
      <t>Kiểm tra vùng bảng list</t>
    </r>
  </si>
  <si>
    <r>
      <rPr>
        <rFont val="メイリオ"/>
        <b/>
        <color rgb="FF000000"/>
        <sz val="10.0"/>
      </rPr>
      <t xml:space="preserve">ステップ1：
</t>
    </r>
    <r>
      <rPr>
        <rFont val="メイリオ"/>
        <color rgb="FF000000"/>
        <sz val="10.0"/>
      </rPr>
      <t xml:space="preserve">Trả về HTTP 200 (trả về `data: []`, `meta.total: 0`)
</t>
    </r>
    <r>
      <rPr>
        <rFont val="メイリオ"/>
        <b/>
        <color rgb="FF000000"/>
        <sz val="10.0"/>
      </rPr>
      <t xml:space="preserve">ステップ2：
</t>
    </r>
    <r>
      <rPr>
        <rFont val="メイリオ"/>
        <color rgb="FF000000"/>
        <sz val="10.0"/>
      </rPr>
      <t xml:space="preserve">Message không có kết quả tìm kiếm `該当するデータが存在しません。` hiển thị bên ngoài bảng list
</t>
    </r>
    <r>
      <rPr>
        <rFont val="メイリオ"/>
        <b/>
        <color rgb="FF000000"/>
        <sz val="10.0"/>
      </rPr>
      <t xml:space="preserve">ステップ3：
</t>
    </r>
    <r>
      <rPr>
        <rFont val="メイリオ"/>
        <color rgb="FF000000"/>
        <sz val="10.0"/>
      </rPr>
      <t xml:space="preserve">Không hiển thị dòng data, pagination hiển thị「全 0 件」
</t>
    </r>
    <r>
      <rPr>
        <rFont val="メイリオ"/>
        <b/>
        <color rgb="FF000000"/>
        <sz val="10.0"/>
      </rPr>
      <t xml:space="preserve">補足：
</t>
    </r>
    <r>
      <rPr>
        <rFont val="メイリオ"/>
        <color rgb="FF000000"/>
        <sz val="10.0"/>
      </rPr>
      <t xml:space="preserve">・ACSMS-MSG-014-002 tương ứng
</t>
    </r>
    <r>
      <rPr>
        <rFont val="メイリオ"/>
        <color rgb="FF000000"/>
        <sz val="10.0"/>
      </rPr>
      <t>・Message trống hiển thị dưới dạng phần tử anh em bên ngoài bảng, không phải slot `#emptyText` của a-table</t>
    </r>
  </si>
  <si>
    <t>ACSMS-TC-014-028</t>
  </si>
  <si>
    <t>Sort — chuyển đổi 3 trạng thái khi click header cột (giữ điều kiện tìm kiếm)</t>
  </si>
  <si>
    <t>・Trạng thái đã mở màn hình tìm kiếm
・Test data: nhiều record độc giả đã được đăng ký</t>
  </si>
  <si>
    <r>
      <rPr>
        <rFont val="メイリオ"/>
        <b/>
        <color rgb="FF000000"/>
        <sz val="10.0"/>
      </rPr>
      <t xml:space="preserve">ステップ1：
</t>
    </r>
    <r>
      <rPr>
        <rFont val="メイリオ"/>
        <color rgb="FF000000"/>
        <sz val="10.0"/>
      </rPr>
      <t xml:space="preserve">Click header cột 組合員コード (lần 1)
</t>
    </r>
    <r>
      <rPr>
        <rFont val="メイリオ"/>
        <b/>
        <color rgb="FF000000"/>
        <sz val="10.0"/>
      </rPr>
      <t xml:space="preserve">ステップ2：
</t>
    </r>
    <r>
      <rPr>
        <rFont val="メイリオ"/>
        <color rgb="FF000000"/>
        <sz val="10.0"/>
      </rPr>
      <t xml:space="preserve">Click header cột 組合員コード (lần 2)
</t>
    </r>
    <r>
      <rPr>
        <rFont val="メイリオ"/>
        <b/>
        <color rgb="FF000000"/>
        <sz val="10.0"/>
      </rPr>
      <t xml:space="preserve">ステップ3：
</t>
    </r>
    <r>
      <rPr>
        <rFont val="メイリオ"/>
        <color rgb="FF000000"/>
        <sz val="10.0"/>
      </rPr>
      <t xml:space="preserve">Click header cột 組合員コード (lần 3)
</t>
    </r>
    <r>
      <rPr>
        <rFont val="メイリオ"/>
        <b/>
        <color rgb="FF000000"/>
        <sz val="10.0"/>
      </rPr>
      <t xml:space="preserve">ステップ4：
</t>
    </r>
    <r>
      <rPr>
        <rFont val="メイリオ"/>
        <color rgb="FF000000"/>
        <sz val="10.0"/>
      </rPr>
      <t>Kiểm tra request parameter mỗi lần click qua DevTools</t>
    </r>
  </si>
  <si>
    <r>
      <rPr>
        <rFont val="游ゴシック"/>
        <b/>
        <color rgb="FF000000"/>
        <sz val="10.0"/>
      </rPr>
      <t xml:space="preserve">ステップ1：
</t>
    </r>
    <r>
      <rPr>
        <rFont val="游ゴシック"/>
        <color rgb="FF000000"/>
        <sz val="10.0"/>
      </rPr>
      <t xml:space="preserve">Sort tăng dần (ASC), header hiển thị icon ▲ (query parameter `sort_by=kumiaiin_code&amp;sort_order=asc`)
</t>
    </r>
    <r>
      <rPr>
        <rFont val="游ゴシック"/>
        <b/>
        <color rgb="FF000000"/>
        <sz val="10.0"/>
      </rPr>
      <t xml:space="preserve">ステップ2：
</t>
    </r>
    <r>
      <rPr>
        <rFont val="游ゴシック"/>
        <color rgb="FF000000"/>
        <sz val="10.0"/>
      </rPr>
      <t xml:space="preserve">Sort giảm dần (DESC), header hiển thị icon ▼ (query parameter `sort_by=kumiaiin_code&amp;sort_order=desc`)
</t>
    </r>
    <r>
      <rPr>
        <rFont val="游ゴシック"/>
        <b/>
        <color rgb="FF000000"/>
        <sz val="10.0"/>
      </rPr>
      <t xml:space="preserve">ステップ3：
</t>
    </r>
    <r>
      <rPr>
        <rFont val="游ゴシック"/>
        <color rgb="FF000000"/>
        <sz val="10.0"/>
      </rPr>
      <t xml:space="preserve">Về không sort (trạng thái ban đầu), icon ẩn (mục liên quan sort bị loại khỏi query parameter)
</t>
    </r>
    <r>
      <rPr>
        <rFont val="游ゴシック"/>
        <b/>
        <color rgb="FF000000"/>
        <sz val="10.0"/>
      </rPr>
      <t xml:space="preserve">ステップ4：
</t>
    </r>
    <r>
      <rPr>
        <rFont val="游ゴシック"/>
        <color rgb="FF000000"/>
        <sz val="10.0"/>
      </rPr>
      <t xml:space="preserve">Mỗi click thực hiện GET `/api/v1/dokusya`, điều kiện sort được phản ánh. Điều kiện tìm kiếm và page size hiện tại được giữ lại
</t>
    </r>
    <r>
      <rPr>
        <rFont val="游ゴシック"/>
        <b/>
        <color rgb="FF000000"/>
        <sz val="10.0"/>
      </rPr>
      <t xml:space="preserve">補足：
</t>
    </r>
    <r>
      <rPr>
        <rFont val="游ゴシック"/>
        <color rgb="FF000000"/>
        <sz val="10.0"/>
      </rPr>
      <t>・Cột đối tượng sort: 管理支店・支店・組合員コード・販売店コード・購読開始日・ID  (theo sort_by cho phép của tài liệu API)
・Quy tắc chuyển sort: lần 1=tăng dần → lần 2=giảm dần → lần 3=bỏ sort</t>
    </r>
  </si>
  <si>
    <t>ACSMS-TC-014-029</t>
  </si>
  <si>
    <t>Pagination — chuyển page size và giữ điều kiện tìm kiếm</t>
  </si>
  <si>
    <t>・Trạng thái đã mở màn hình tìm kiếm
・Test data: đã đăng ký 124 độc giả của JA mình</t>
  </si>
  <si>
    <r>
      <rPr>
        <rFont val="メイリオ"/>
        <b/>
        <color rgb="FF000000"/>
        <sz val="10.0"/>
      </rPr>
      <t xml:space="preserve">ステップ1：
</t>
    </r>
    <r>
      <rPr>
        <rFont val="メイリオ"/>
        <color rgb="FF000000"/>
        <sz val="10.0"/>
      </rPr>
      <t xml:space="preserve">Nhập `山` vào 氏名, click「検索」
</t>
    </r>
    <r>
      <rPr>
        <rFont val="メイリオ"/>
        <b/>
        <color rgb="FF000000"/>
        <sz val="10.0"/>
      </rPr>
      <t xml:space="preserve">ステップ2：
</t>
    </r>
    <r>
      <rPr>
        <rFont val="メイリオ"/>
        <color rgb="FF000000"/>
        <sz val="10.0"/>
      </rPr>
      <t xml:space="preserve">Chọn「50 / 頁」ở dropdown page size
</t>
    </r>
    <r>
      <rPr>
        <rFont val="メイリオ"/>
        <b/>
        <color rgb="FF000000"/>
        <sz val="10.0"/>
      </rPr>
      <t xml:space="preserve">ステップ3：
</t>
    </r>
    <r>
      <rPr>
        <rFont val="メイリオ"/>
        <color rgb="FF000000"/>
        <sz val="10.0"/>
      </rPr>
      <t xml:space="preserve">Click「2」ở pagination
</t>
    </r>
    <r>
      <rPr>
        <rFont val="メイリオ"/>
        <b/>
        <color rgb="FF000000"/>
        <sz val="10.0"/>
      </rPr>
      <t xml:space="preserve">ステップ4：
</t>
    </r>
    <r>
      <rPr>
        <rFont val="メイリオ"/>
        <color rgb="FF000000"/>
        <sz val="10.0"/>
      </rPr>
      <t>Kiểm tra `per_page` và parameter điều kiện tìm kiếm của mỗi request qua DevTools</t>
    </r>
  </si>
  <si>
    <r>
      <rPr>
        <rFont val="メイリオ"/>
        <b/>
        <color rgb="FF000000"/>
        <sz val="10.0"/>
      </rPr>
      <t xml:space="preserve">ステップ1：
</t>
    </r>
    <r>
      <rPr>
        <rFont val="メイリオ"/>
        <color rgb="FF000000"/>
        <sz val="10.0"/>
      </rPr>
      <t xml:space="preserve">Trả về HTTP 200 (độc giả chứa `山` được hiển thị)
</t>
    </r>
    <r>
      <rPr>
        <rFont val="メイリオ"/>
        <b/>
        <color rgb="FF000000"/>
        <sz val="10.0"/>
      </rPr>
      <t xml:space="preserve">ステップ2：
</t>
    </r>
    <r>
      <rPr>
        <rFont val="メイリオ"/>
        <color rgb="FF000000"/>
        <sz val="10.0"/>
      </rPr>
      <t xml:space="preserve">Số lượng hiển thị chuyển thành 50, về trang 1 (`per_page=50`)
</t>
    </r>
    <r>
      <rPr>
        <rFont val="メイリオ"/>
        <b/>
        <color rgb="FF000000"/>
        <sz val="10.0"/>
      </rPr>
      <t xml:space="preserve">ステップ3：
</t>
    </r>
    <r>
      <rPr>
        <rFont val="メイリオ"/>
        <color rgb="FF000000"/>
        <sz val="10.0"/>
      </rPr>
      <t xml:space="preserve">Hiển thị record thứ 51〜100
</t>
    </r>
    <r>
      <rPr>
        <rFont val="メイリオ"/>
        <b/>
        <color rgb="FF000000"/>
        <sz val="10.0"/>
      </rPr>
      <t xml:space="preserve">ステップ4：
</t>
    </r>
    <r>
      <rPr>
        <rFont val="メイリオ"/>
        <color rgb="FF000000"/>
        <sz val="10.0"/>
      </rPr>
      <t xml:space="preserve">Query parameter chứa toàn bộ `full_name=山&amp;page=2&amp;per_page=50`
</t>
    </r>
    <r>
      <rPr>
        <rFont val="メイリオ"/>
        <b/>
        <color rgb="FF000000"/>
        <sz val="10.0"/>
      </rPr>
      <t xml:space="preserve">補足：
</t>
    </r>
    <r>
      <rPr>
        <rFont val="メイリオ"/>
        <color rgb="FF000000"/>
        <sz val="10.0"/>
      </rPr>
      <t xml:space="preserve">・per_page tối đa là 100 (theo tài liệu API)
</t>
    </r>
    <r>
      <rPr>
        <rFont val="メイリオ"/>
        <color rgb="FF000000"/>
        <sz val="10.0"/>
      </rPr>
      <t xml:space="preserve">・Lúc chuyển per_page về trang 1
</t>
    </r>
    <r>
      <rPr>
        <rFont val="メイリオ"/>
        <color rgb="FF000000"/>
        <sz val="10.0"/>
      </rPr>
      <t>・Điều kiện tìm kiếm được giữ lại khi chuyển trang</t>
    </r>
  </si>
  <si>
    <t>ACSMS-TC-014-030</t>
  </si>
  <si>
    <t>Xóa độc giả — bình thường (xóa logical + audit log)</t>
  </si>
  <si>
    <t>・role: JA_HONTEN
・Test data: `dokusya_id=1001, kumiaiin_code='K000001', shimei_sei='山田', shimei_mei='太郎', dokusya_shubetsu=1, shiharai_hoho=1` (bản giấy, không có record liên quan)</t>
  </si>
  <si>
    <r>
      <rPr>
        <rFont val="メイリオ"/>
        <b/>
        <color rgb="FF000000"/>
        <sz val="10.0"/>
      </rPr>
      <t xml:space="preserve">ステップ1：
</t>
    </r>
    <r>
      <rPr>
        <rFont val="メイリオ"/>
        <color rgb="FF000000"/>
        <sz val="10.0"/>
      </rPr>
      <t xml:space="preserve">Click link「削除」ở dòng `dokusya_id=1001` trong bảng list
</t>
    </r>
    <r>
      <rPr>
        <rFont val="メイリオ"/>
        <b/>
        <color rgb="FF000000"/>
        <sz val="10.0"/>
      </rPr>
      <t xml:space="preserve">ステップ2：
</t>
    </r>
    <r>
      <rPr>
        <rFont val="メイリオ"/>
        <color rgb="FF000000"/>
        <sz val="10.0"/>
      </rPr>
      <t xml:space="preserve">Kiểm tra nội dung modal xác nhận
</t>
    </r>
    <r>
      <rPr>
        <rFont val="メイリオ"/>
        <b/>
        <color rgb="FF000000"/>
        <sz val="10.0"/>
      </rPr>
      <t xml:space="preserve">ステップ3：
</t>
    </r>
    <r>
      <rPr>
        <rFont val="メイリオ"/>
        <color rgb="FF000000"/>
        <sz val="10.0"/>
      </rPr>
      <t xml:space="preserve">Click button「はい」
</t>
    </r>
    <r>
      <rPr>
        <rFont val="メイリオ"/>
        <b/>
        <color rgb="FF000000"/>
        <sz val="10.0"/>
      </rPr>
      <t xml:space="preserve">ステップ4：
</t>
    </r>
    <r>
      <rPr>
        <rFont val="メイリオ"/>
        <color rgb="FF000000"/>
        <sz val="10.0"/>
      </rPr>
      <t xml:space="preserve">Kiểm tra DB: `SELECT deleted_at, updated_by FROM t_dokusya WHERE dokusya_id = 1001`
</t>
    </r>
    <r>
      <rPr>
        <rFont val="メイリオ"/>
        <b/>
        <color rgb="FF000000"/>
        <sz val="10.0"/>
      </rPr>
      <t xml:space="preserve">ステップ5：
</t>
    </r>
    <r>
      <rPr>
        <rFont val="メイリオ"/>
        <color rgb="FF000000"/>
        <sz val="10.0"/>
      </rPr>
      <t xml:space="preserve">Kiểm tra DB: `SELECT * FROM t_log WHERE target_table = 't_dokusya' AND target_id = 1001 AND operation = 'DELETE' ORDER BY log_datetime DESC LIMIT 1`
</t>
    </r>
    <r>
      <rPr>
        <rFont val="メイリオ"/>
        <b/>
        <color rgb="FF000000"/>
        <sz val="10.0"/>
      </rPr>
      <t xml:space="preserve">ステップ6：
</t>
    </r>
    <r>
      <rPr>
        <rFont val="メイリオ"/>
        <color rgb="FF000000"/>
        <sz val="10.0"/>
      </rPr>
      <t>Kiểm tra bảng list của màn hình</t>
    </r>
  </si>
  <si>
    <r>
      <rPr>
        <rFont val="メイリオ"/>
        <b/>
        <color rgb="FF000000"/>
        <sz val="10.0"/>
      </rPr>
      <t xml:space="preserve">ステップ1：
</t>
    </r>
    <r>
      <rPr>
        <rFont val="メイリオ"/>
        <color rgb="FF000000"/>
        <sz val="10.0"/>
      </rPr>
      <t xml:space="preserve">Hiển thị dialog confirm xóa
</t>
    </r>
    <r>
      <rPr>
        <rFont val="メイリオ"/>
        <b/>
        <color rgb="FF000000"/>
        <sz val="10.0"/>
      </rPr>
      <t xml:space="preserve">ステップ2：
</t>
    </r>
    <r>
      <rPr>
        <rFont val="メイリオ"/>
        <color rgb="FF000000"/>
        <sz val="10.0"/>
      </rPr>
      <t xml:space="preserve">Modal hiển thị message `この購読者を削除してもよろしいですか？`, button là「はい」(màu đỏ) /「いいえ」
</t>
    </r>
    <r>
      <rPr>
        <rFont val="メイリオ"/>
        <b/>
        <color rgb="FF000000"/>
        <sz val="10.0"/>
      </rPr>
      <t xml:space="preserve">ステップ3：
</t>
    </r>
    <r>
      <rPr>
        <rFont val="メイリオ"/>
        <color rgb="FF000000"/>
        <sz val="10.0"/>
      </rPr>
      <t xml:space="preserve">Trả về HTTP 200 (response `{ "message": "購読者を削除しました。" }`, toast `購読者を削除しました。`)
</t>
    </r>
    <r>
      <rPr>
        <rFont val="メイリオ"/>
        <b/>
        <color rgb="FF000000"/>
        <sz val="10.0"/>
      </rPr>
      <t xml:space="preserve">ステップ4：
</t>
    </r>
    <r>
      <rPr>
        <rFont val="メイリオ"/>
        <color rgb="FF000000"/>
        <sz val="10.0"/>
      </rPr>
      <t xml:space="preserve">Xác nhận 1 dòng, `deleted_at` được set thời gian hiện tại (NOW()), `updated_by` khớp với `account_id` của tài khoản test
</t>
    </r>
    <r>
      <rPr>
        <rFont val="メイリオ"/>
        <b/>
        <color rgb="FF000000"/>
        <sz val="10.0"/>
      </rPr>
      <t xml:space="preserve">ステップ5：
</t>
    </r>
    <r>
      <rPr>
        <rFont val="メイリオ"/>
        <color rgb="FF000000"/>
        <sz val="10.0"/>
      </rPr>
      <t xml:space="preserve">Xác nhận 1 dòng, `log_type=1`, `gamen_name='購読者明細検索画面 (ACSMS-SCR-014)'`, `account_id` khớp với tài khoản test, `result_status=1`, `before_value` JSON ghi data record trước khi xóa (loại trừ thông tin nhạy cảm như mật khẩu), `after_value` là chuỗi rỗng
</t>
    </r>
    <r>
      <rPr>
        <rFont val="メイリオ"/>
        <b/>
        <color rgb="FF000000"/>
        <sz val="10.0"/>
      </rPr>
      <t xml:space="preserve">ステップ6：
</t>
    </r>
    <r>
      <rPr>
        <rFont val="メイリオ"/>
        <color rgb="FF000000"/>
        <sz val="10.0"/>
      </rPr>
      <t xml:space="preserve">Độc giả đã xóa biến mất khỏi list, list kết quả tìm kiếm được load lại
</t>
    </r>
    <r>
      <rPr>
        <rFont val="メイリオ"/>
        <b/>
        <color rgb="FF000000"/>
        <sz val="10.0"/>
      </rPr>
      <t xml:space="preserve">補足：
</t>
    </r>
    <r>
      <rPr>
        <rFont val="メイリオ"/>
        <color rgb="FF000000"/>
        <sz val="10.0"/>
      </rPr>
      <t xml:space="preserve">・ACSMS-MSG-014-010 (dialog xác nhận), ACSMS-MSG-014-011 (xóa hoàn tất) tương ứng
</t>
    </r>
    <r>
      <rPr>
        <rFont val="メイリオ"/>
        <color rgb="FF000000"/>
        <sz val="10.0"/>
      </rPr>
      <t xml:space="preserve">・DML chính (UPDATE t_dokusya SET deleted_at) + audit log INSERT được commit trong cùng một transaction
</t>
    </r>
    <r>
      <rPr>
        <rFont val="メイリオ"/>
        <color rgb="FF000000"/>
        <sz val="10.0"/>
      </rPr>
      <t xml:space="preserve">・Không phải xóa vật lý mà là xóa logical (set `deleted_at`)
</t>
    </r>
    <r>
      <rPr>
        <rFont val="メイリオ"/>
        <color rgb="FF000000"/>
        <sz val="10.0"/>
      </rPr>
      <t>・Tuân theo viewpoint VP-C-03「論理削除 + FK 関連」</t>
    </r>
  </si>
  <si>
    <t>ACSMS-TC-014-031</t>
  </si>
  <si>
    <t>Xóa độc giả — cancel bằng「いいえ」trên modal xác nhận</t>
  </si>
  <si>
    <t>・role: JA_HONTEN
・Test data: `dokusya_id=1001` (bản giấy, không có record liên quan)</t>
  </si>
  <si>
    <r>
      <rPr>
        <rFont val="メイリオ"/>
        <b/>
        <color rgb="FF000000"/>
        <sz val="10.0"/>
      </rPr>
      <t xml:space="preserve">ステップ1：
</t>
    </r>
    <r>
      <rPr>
        <rFont val="メイリオ"/>
        <color rgb="FF000000"/>
        <sz val="10.0"/>
      </rPr>
      <t xml:space="preserve">Click link「削除」ở dòng đối tượng trong bảng list
</t>
    </r>
    <r>
      <rPr>
        <rFont val="メイリオ"/>
        <b/>
        <color rgb="FF000000"/>
        <sz val="10.0"/>
      </rPr>
      <t xml:space="preserve">ステップ2：
</t>
    </r>
    <r>
      <rPr>
        <rFont val="メイリオ"/>
        <color rgb="FF000000"/>
        <sz val="10.0"/>
      </rPr>
      <t xml:space="preserve">Click button「いいえ」trên modal xác nhận
</t>
    </r>
    <r>
      <rPr>
        <rFont val="メイリオ"/>
        <b/>
        <color rgb="FF000000"/>
        <sz val="10.0"/>
      </rPr>
      <t xml:space="preserve">ステップ3：
</t>
    </r>
    <r>
      <rPr>
        <rFont val="メイリオ"/>
        <color rgb="FF000000"/>
        <sz val="10.0"/>
      </rPr>
      <t xml:space="preserve">Kiểm tra DB: `SELECT deleted_at FROM t_dokusya WHERE dokusya_id = 1001`
</t>
    </r>
    <r>
      <rPr>
        <rFont val="メイリオ"/>
        <b/>
        <color rgb="FF000000"/>
        <sz val="10.0"/>
      </rPr>
      <t xml:space="preserve">ステップ4：
</t>
    </r>
    <r>
      <rPr>
        <rFont val="メイリオ"/>
        <color rgb="FF000000"/>
        <sz val="10.0"/>
      </rPr>
      <t>Kiểm tra DB: `SELECT COUNT(*) FROM t_log WHERE target_id = 1001 AND target_table = 't_dokusya' AND operation = 'DELETE'`</t>
    </r>
  </si>
  <si>
    <r>
      <rPr>
        <rFont val="メイリオ"/>
        <b/>
        <color rgb="FF000000"/>
        <sz val="10.0"/>
      </rPr>
      <t xml:space="preserve">ステップ1：
</t>
    </r>
    <r>
      <rPr>
        <rFont val="メイリオ"/>
        <color rgb="FF000000"/>
        <sz val="10.0"/>
      </rPr>
      <t xml:space="preserve">Modal xác nhận `この購読者を削除してもよろしいですか？` được hiển thị
</t>
    </r>
    <r>
      <rPr>
        <rFont val="メイリオ"/>
        <b/>
        <color rgb="FF000000"/>
        <sz val="10.0"/>
      </rPr>
      <t xml:space="preserve">ステップ2：
</t>
    </r>
    <r>
      <rPr>
        <rFont val="メイリオ"/>
        <color rgb="FF000000"/>
        <sz val="10.0"/>
      </rPr>
      <t xml:space="preserve">Modal đóng lại, màn hình giữ nguyên (giữ hiển thị list)
</t>
    </r>
    <r>
      <rPr>
        <rFont val="メイリオ"/>
        <b/>
        <color rgb="FF000000"/>
        <sz val="10.0"/>
      </rPr>
      <t xml:space="preserve">ステップ3：
</t>
    </r>
    <r>
      <rPr>
        <rFont val="メイリオ"/>
        <color rgb="FF000000"/>
        <sz val="10.0"/>
      </rPr>
      <t xml:space="preserve">`deleted_at IS NULL` (chưa bị xóa)
</t>
    </r>
    <r>
      <rPr>
        <rFont val="メイリオ"/>
        <b/>
        <color rgb="FF000000"/>
        <sz val="10.0"/>
      </rPr>
      <t xml:space="preserve">ステップ4：
</t>
    </r>
    <r>
      <rPr>
        <rFont val="メイリオ"/>
        <color rgb="FF000000"/>
        <sz val="10.0"/>
      </rPr>
      <t xml:space="preserve">0 dòng (không thêm log DELETE)
</t>
    </r>
    <r>
      <rPr>
        <rFont val="メイリオ"/>
        <b/>
        <color rgb="FF000000"/>
        <sz val="10.0"/>
      </rPr>
      <t xml:space="preserve">補足：
</t>
    </r>
    <r>
      <rPr>
        <rFont val="メイリオ"/>
        <color rgb="FF000000"/>
        <sz val="10.0"/>
      </rPr>
      <t xml:space="preserve">・Thao tác cancel không thay đổi DB, không ghi log
</t>
    </r>
    <r>
      <rPr>
        <rFont val="メイリオ"/>
        <color rgb="FF000000"/>
        <sz val="10.0"/>
      </rPr>
      <t>・Lúc cancel không gọi API DELETE</t>
    </r>
  </si>
  <si>
    <t>ACSMS-TC-014-032</t>
  </si>
  <si>
    <t>Xóa độc giả — từ chối xóa khi có data liên quan (CONFLICT)</t>
  </si>
  <si>
    <t>・role: JA_HONTEN
・Test data: `dokusya_id=1005` (bản giấy), có ít nhất 1 record với ID độc giả này trong bảng liên quan</t>
  </si>
  <si>
    <r>
      <rPr>
        <rFont val="メイリオ"/>
        <b/>
        <color rgb="FF000000"/>
        <sz val="10.0"/>
      </rPr>
      <t xml:space="preserve">ステップ1：
</t>
    </r>
    <r>
      <rPr>
        <rFont val="メイリオ"/>
        <color rgb="FF000000"/>
        <sz val="10.0"/>
      </rPr>
      <t xml:space="preserve">Click link「削除」ở dòng `dokusya_id=1005` trong bảng list
</t>
    </r>
    <r>
      <rPr>
        <rFont val="メイリオ"/>
        <b/>
        <color rgb="FF000000"/>
        <sz val="10.0"/>
      </rPr>
      <t xml:space="preserve">ステップ2：
</t>
    </r>
    <r>
      <rPr>
        <rFont val="メイリオ"/>
        <color rgb="FF000000"/>
        <sz val="10.0"/>
      </rPr>
      <t xml:space="preserve">Click button「はい」trên modal xác nhận
</t>
    </r>
    <r>
      <rPr>
        <rFont val="メイリオ"/>
        <b/>
        <color rgb="FF000000"/>
        <sz val="10.0"/>
      </rPr>
      <t xml:space="preserve">ステップ3：
</t>
    </r>
    <r>
      <rPr>
        <rFont val="メイリオ"/>
        <color rgb="FF000000"/>
        <sz val="10.0"/>
      </rPr>
      <t xml:space="preserve">Kiểm tra hiển thị message của màn hình
</t>
    </r>
    <r>
      <rPr>
        <rFont val="メイリオ"/>
        <b/>
        <color rgb="FF000000"/>
        <sz val="10.0"/>
      </rPr>
      <t xml:space="preserve">ステップ4：
</t>
    </r>
    <r>
      <rPr>
        <rFont val="メイリオ"/>
        <color rgb="FF000000"/>
        <sz val="10.0"/>
      </rPr>
      <t xml:space="preserve">Kiểm tra DB: `SELECT deleted_at FROM t_dokusya WHERE dokusya_id = 1005`
</t>
    </r>
    <r>
      <rPr>
        <rFont val="メイリオ"/>
        <b/>
        <color rgb="FF000000"/>
        <sz val="10.0"/>
      </rPr>
      <t xml:space="preserve">ステップ5：
</t>
    </r>
    <r>
      <rPr>
        <rFont val="メイリオ"/>
        <color rgb="FF000000"/>
        <sz val="10.0"/>
      </rPr>
      <t>Kiểm tra DB: `SELECT * FROM t_log WHERE target_id = 1005 AND target_table = 't_dokusya' AND log_type = 3 ORDER BY log_datetime DESC LIMIT 1`</t>
    </r>
  </si>
  <si>
    <r>
      <rPr>
        <rFont val="メイリオ"/>
        <b/>
        <color rgb="FF000000"/>
        <sz val="10.0"/>
      </rPr>
      <t xml:space="preserve">ステップ1：
</t>
    </r>
    <r>
      <rPr>
        <rFont val="メイリオ"/>
        <color rgb="FF000000"/>
        <sz val="10.0"/>
      </rPr>
      <t xml:space="preserve">Hiển thị dialog confirm xóa
</t>
    </r>
    <r>
      <rPr>
        <rFont val="メイリオ"/>
        <b/>
        <color rgb="FF000000"/>
        <sz val="10.0"/>
      </rPr>
      <t xml:space="preserve">ステップ2：
</t>
    </r>
    <r>
      <rPr>
        <rFont val="メイリオ"/>
        <color rgb="FF000000"/>
        <sz val="10.0"/>
      </rPr>
      <t xml:space="preserve">Request xóa được gửi
</t>
    </r>
    <r>
      <rPr>
        <rFont val="メイリオ"/>
        <b/>
        <color rgb="FF000000"/>
        <sz val="10.0"/>
      </rPr>
      <t xml:space="preserve">ステップ3：
</t>
    </r>
    <r>
      <rPr>
        <rFont val="メイリオ"/>
        <color rgb="FF000000"/>
        <sz val="10.0"/>
      </rPr>
      <t xml:space="preserve">Trả về HTTP 409 (`error_code: CONFLICT`, toast `この購読者は関連オブジェクトに紐づいているため削除できません。`)
</t>
    </r>
    <r>
      <rPr>
        <rFont val="メイリオ"/>
        <b/>
        <color rgb="FF000000"/>
        <sz val="10.0"/>
      </rPr>
      <t xml:space="preserve">ステップ4：
</t>
    </r>
    <r>
      <rPr>
        <rFont val="メイリオ"/>
        <color rgb="FF000000"/>
        <sz val="10.0"/>
      </rPr>
      <t xml:space="preserve">`deleted_at IS NULL` (chưa bị xóa)
</t>
    </r>
    <r>
      <rPr>
        <rFont val="メイリオ"/>
        <b/>
        <color rgb="FF000000"/>
        <sz val="10.0"/>
      </rPr>
      <t xml:space="preserve">ステップ5：
</t>
    </r>
    <r>
      <rPr>
        <rFont val="メイリオ"/>
        <color rgb="FF000000"/>
        <sz val="10.0"/>
      </rPr>
      <t xml:space="preserve">Xác nhận 1 dòng (ghi error log, `log_type=3`, `error_message` chứa lý do CONFLICT)
</t>
    </r>
    <r>
      <rPr>
        <rFont val="メイリオ"/>
        <b/>
        <color rgb="FF000000"/>
        <sz val="10.0"/>
      </rPr>
      <t xml:space="preserve">補足：
</t>
    </r>
    <r>
      <rPr>
        <rFont val="メイリオ"/>
        <color rgb="FF000000"/>
        <sz val="10.0"/>
      </rPr>
      <t xml:space="preserve">・ACSMS-MSG-014-009 tương ứng (message CONFLICT trong エラー一覧 tài liệu API là `関連データが存在するため削除できません。`)
</t>
    </r>
    <r>
      <rPr>
        <rFont val="メイリオ"/>
        <color rgb="FF000000"/>
        <sz val="10.0"/>
      </rPr>
      <t xml:space="preserve">・Trường hợp tồn tại record có dokusya_id đối tượng trong bảng liên quan thì từ chối xóa
</t>
    </r>
    <r>
      <rPr>
        <rFont val="メイリオ"/>
        <color rgb="FF000000"/>
        <sz val="10.0"/>
      </rPr>
      <t>・Sau khi rollback transaction, chỉ ghi riêng error log</t>
    </r>
  </si>
  <si>
    <t>Critical — kiểm tra quan trọng phòng ngừa hỏng data nghiệp vụ do vi phạm tính toàn vẹn FK.</t>
  </si>
  <si>
    <t>ACSMS-TC-014-033</t>
  </si>
  <si>
    <t>Xóa độc giả — từ chối xóa độc giả read-only (DOKUSYA_READ_ONLY)</t>
  </si>
  <si>
    <t>・role: JA_HONTEN
・Test data: người thanh toán thẻ tín dụng bản điện tử (`dokusya_id=1010, dokusya_shubetsu=2, shiharai_hoho=6`), người đọc kép (`dokusya_id=1011, dokusya_shubetsu=3`) đã được đăng ký</t>
  </si>
  <si>
    <r>
      <rPr>
        <rFont val="メイリオ"/>
        <b/>
        <strike/>
        <color rgb="FF000000"/>
        <sz val="10.0"/>
      </rPr>
      <t xml:space="preserve">ステップ1：
</t>
    </r>
    <r>
      <rPr>
        <rFont val="メイリオ"/>
        <strike/>
        <color rgb="FF000000"/>
        <sz val="10.0"/>
      </rPr>
      <t xml:space="preserve">Gọi trực tiếp DELETE `/api/v1/dokusya/1010` qua DevTools (người thanh toán thẻ tín dụng bản điện tử)
</t>
    </r>
    <r>
      <rPr>
        <rFont val="メイリオ"/>
        <b/>
        <strike/>
        <color rgb="FF000000"/>
        <sz val="10.0"/>
      </rPr>
      <t xml:space="preserve">ステップ2：
</t>
    </r>
    <r>
      <rPr>
        <rFont val="メイリオ"/>
        <strike/>
        <color rgb="FF000000"/>
        <sz val="10.0"/>
      </rPr>
      <t xml:space="preserve">Gọi trực tiếp DELETE `/api/v1/dokusya/1011` qua DevTools (người đọc kép)
</t>
    </r>
    <r>
      <rPr>
        <rFont val="メイリオ"/>
        <b/>
        <strike/>
        <color rgb="FF000000"/>
        <sz val="10.0"/>
      </rPr>
      <t xml:space="preserve">ステップ3：
</t>
    </r>
    <r>
      <rPr>
        <rFont val="メイリオ"/>
        <strike/>
        <color rgb="FF000000"/>
        <sz val="10.0"/>
      </rPr>
      <t>Kiểm tra DB: `SELECT deleted_at FROM t_dokusya WHERE dokusya_id IN (1010, 1011)`</t>
    </r>
  </si>
  <si>
    <r>
      <rPr>
        <rFont val="メイリオ"/>
        <b/>
        <strike/>
        <color rgb="FF000000"/>
        <sz val="10.0"/>
      </rPr>
      <t xml:space="preserve">ステップ1：
</t>
    </r>
    <r>
      <rPr>
        <rFont val="メイリオ"/>
        <strike/>
        <color rgb="FF000000"/>
        <sz val="10.0"/>
      </rPr>
      <t xml:space="preserve">Trả về HTTP 403 (`error_code: DOKUSYA_READ_ONLY`, message `この購読者は編集・削除できません。（電子版クレジットカード決済者・併読者は読み取り専用）`)
</t>
    </r>
    <r>
      <rPr>
        <rFont val="メイリオ"/>
        <b/>
        <strike/>
        <color rgb="FF000000"/>
        <sz val="10.0"/>
      </rPr>
      <t xml:space="preserve">ステップ2：
</t>
    </r>
    <r>
      <rPr>
        <rFont val="メイリオ"/>
        <strike/>
        <color rgb="FF000000"/>
        <sz val="10.0"/>
      </rPr>
      <t xml:space="preserve">Trả về HTTP 403 (`error_code: DOKUSYA_READ_ONLY`, message `この購読者は編集・削除できません。（電子版クレジットカード決済者・併読者は読み取り専用）`)
</t>
    </r>
    <r>
      <rPr>
        <rFont val="メイリオ"/>
        <b/>
        <strike/>
        <color rgb="FF000000"/>
        <sz val="10.0"/>
      </rPr>
      <t xml:space="preserve">ステップ3：
</t>
    </r>
    <r>
      <rPr>
        <rFont val="メイリオ"/>
        <strike/>
        <color rgb="FF000000"/>
        <sz val="10.0"/>
      </rPr>
      <t xml:space="preserve">Cả hai record đều `deleted_at IS NULL` (chưa bị xóa)
</t>
    </r>
    <r>
      <rPr>
        <rFont val="メイリオ"/>
        <b/>
        <strike/>
        <color rgb="FF000000"/>
        <sz val="10.0"/>
      </rPr>
      <t xml:space="preserve">補足：
</t>
    </r>
    <r>
      <rPr>
        <rFont val="メイリオ"/>
        <strike/>
        <color rgb="FF000000"/>
        <sz val="10.0"/>
      </rPr>
      <t xml:space="preserve">・Phán định read-only: `(dokusya_shubetsu = 2 AND shiharai_hoho = 6) OR dokusya_shubetsu = 3` (theo「処理手順 4.3」tài liệu API)
</t>
    </r>
    <r>
      <rPr>
        <rFont val="メイリオ"/>
        <strike/>
        <color rgb="FF000000"/>
        <sz val="10.0"/>
      </rPr>
      <t>・Link「削除」bị disable ở phía frontend, nhưng phía backend cũng từ chối khi gọi trực tiếp (viewpoint VP-C-05)</t>
    </r>
  </si>
  <si>
    <t>Case này không test vì k bản điện tử không thanh toán bằng thẻ tín dụng</t>
  </si>
  <si>
    <t>ACSMS-TC-014-034</t>
  </si>
  <si>
    <t>Xuất Excel — bình thường (download file + audit log)</t>
  </si>
  <si>
    <t>・role: JA_HONTEN
・Test data: nhiều độc giả của JA mình đã được đăng ký</t>
  </si>
  <si>
    <r>
      <rPr>
        <rFont val="メイリオ"/>
        <b/>
        <color rgb="FF000000"/>
        <sz val="10.0"/>
      </rPr>
      <t xml:space="preserve">ステップ1：
</t>
    </r>
    <r>
      <rPr>
        <rFont val="メイリオ"/>
        <color rgb="FF000000"/>
        <sz val="10.0"/>
      </rPr>
      <t xml:space="preserve">Chọn một 管理支店 bất kỳ ở pulldown 管理支店, click「検索」
</t>
    </r>
    <r>
      <rPr>
        <rFont val="メイリオ"/>
        <b/>
        <color rgb="FF000000"/>
        <sz val="10.0"/>
      </rPr>
      <t xml:space="preserve">ステップ2：
</t>
    </r>
    <r>
      <rPr>
        <rFont val="メイリオ"/>
        <color rgb="FF000000"/>
        <sz val="10.0"/>
      </rPr>
      <t xml:space="preserve">Click button「Excel出力」
</t>
    </r>
    <r>
      <rPr>
        <rFont val="メイリオ"/>
        <b/>
        <color rgb="FF000000"/>
        <sz val="10.0"/>
      </rPr>
      <t xml:space="preserve">ステップ3：
</t>
    </r>
    <r>
      <rPr>
        <rFont val="メイリオ"/>
        <color rgb="FF000000"/>
        <sz val="10.0"/>
      </rPr>
      <t xml:space="preserve">Kiểm tra tên file・format・dòng header đã download
</t>
    </r>
    <r>
      <rPr>
        <rFont val="メイリオ"/>
        <b/>
        <color rgb="FF000000"/>
        <sz val="10.0"/>
      </rPr>
      <t xml:space="preserve">ステップ4：
</t>
    </r>
    <r>
      <rPr>
        <rFont val="メイリオ"/>
        <color rgb="FF000000"/>
        <sz val="10.0"/>
      </rPr>
      <t>Kiểm tra DB: `SELECT * FROM t_log WHERE target_table = 't_dokusya' AND operation = 'EXPORT_EXCEL' AND result_status = 1 ORDER BY log_datetime DESC LIMIT 1`</t>
    </r>
  </si>
  <si>
    <r>
      <rPr>
        <rFont val="メイリオ"/>
        <b/>
        <color rgb="FF000000"/>
        <sz val="10.0"/>
      </rPr>
      <t xml:space="preserve">ステップ1：
</t>
    </r>
    <r>
      <rPr>
        <rFont val="メイリオ"/>
        <color rgb="FF000000"/>
        <sz val="10.0"/>
      </rPr>
      <t xml:space="preserve">Trả về HTTP 200 (điều kiện tìm kiếm được áp dụng)
</t>
    </r>
    <r>
      <rPr>
        <rFont val="メイリオ"/>
        <b/>
        <color rgb="FF000000"/>
        <sz val="10.0"/>
      </rPr>
      <t xml:space="preserve">ステップ2：
</t>
    </r>
    <r>
      <rPr>
        <rFont val="メイリオ"/>
        <color rgb="FF000000"/>
        <sz val="10.0"/>
      </rPr>
      <t xml:space="preserve">Trả về HTTP 200, file Excel được download, hiển thị toast `Excel出力が正常に完了しました。`
</t>
    </r>
    <r>
      <rPr>
        <rFont val="メイリオ"/>
        <b/>
        <color rgb="FF000000"/>
        <sz val="10.0"/>
      </rPr>
      <t xml:space="preserve">ステップ3：
</t>
    </r>
    <r>
      <rPr>
        <rFont val="メイリオ"/>
        <color rgb="FF000000"/>
        <sz val="10.0"/>
      </rPr>
      <t xml:space="preserve">Tên file là `dokusya_export_YYYYMMDD_HHmmss.xlsx` (JST), `Content-Type` là `application/vnd.openxmlformats-officedocument.spreadsheetml.sheet`, dòng header là `管理支店, 支店, 組合員コード, 購読者名, 連絡先１, 連絡先２, 配達先郵便, 配達先住所, 販売店コード, 販売店名, 購読開始日, 購読中止日` (12 cột)
</t>
    </r>
    <r>
      <rPr>
        <rFont val="メイリオ"/>
        <b/>
        <color rgb="FF000000"/>
        <sz val="10.0"/>
      </rPr>
      <t xml:space="preserve">ステップ4：
</t>
    </r>
    <r>
      <rPr>
        <rFont val="メイリオ"/>
        <color rgb="FF000000"/>
        <sz val="10.0"/>
      </rPr>
      <t xml:space="preserve">Xác nhận 1 dòng, `log_type=1`, `operation='EXPORT_EXCEL'`, `result_status=1`, `after_value` JSON ghi điều kiện export và số lượng (`record_count`)
</t>
    </r>
    <r>
      <rPr>
        <rFont val="メイリオ"/>
        <b/>
        <color rgb="FF000000"/>
        <sz val="10.0"/>
      </rPr>
      <t xml:space="preserve">補足：
</t>
    </r>
    <r>
      <rPr>
        <rFont val="メイリオ"/>
        <color rgb="FF000000"/>
        <sz val="10.0"/>
      </rPr>
      <t xml:space="preserve">・ACSMS-MSG-014-005 (Excel出力が正常に完了しました。) tương ứng
</t>
    </r>
    <r>
      <rPr>
        <rFont val="メイリオ"/>
        <color rgb="FF000000"/>
        <sz val="10.0"/>
      </rPr>
      <t xml:space="preserve">・Xuất Excel kế thừa điều kiện tìm kiếm hiện tại, bỏ qua page / per_page / sort_by / sort_order
</t>
    </r>
    <r>
      <rPr>
        <rFont val="メイリオ"/>
        <color rgb="FF000000"/>
        <sz val="10.0"/>
      </rPr>
      <t>・Ngày được format dạng `YYYY/MM/DD` (trường hợp NULL là chuỗi rỗng)</t>
    </r>
  </si>
  <si>
    <t>ACSMS-TC-014-035</t>
  </si>
  <si>
    <t>Xuất Excel — không có data tương ứng (EXPORT_NO_DATA)</t>
  </si>
  <si>
    <t>・role: JA_HONTEN
・Test data: chưa đăng ký độc giả tương ứng `kumiaiin_code='ZZZ99999'`</t>
  </si>
  <si>
    <r>
      <rPr>
        <rFont val="メイリオ"/>
        <b/>
        <color rgb="FF000000"/>
        <sz val="10.0"/>
      </rPr>
      <t xml:space="preserve">ステップ1：
</t>
    </r>
    <r>
      <rPr>
        <rFont val="メイリオ"/>
        <color rgb="FF000000"/>
        <sz val="10.0"/>
      </rPr>
      <t xml:space="preserve">Nhập `ZZZ99999` vào 組合員コード, click「検索」
</t>
    </r>
    <r>
      <rPr>
        <rFont val="メイリオ"/>
        <b/>
        <color rgb="FF000000"/>
        <sz val="10.0"/>
      </rPr>
      <t xml:space="preserve">ステップ2：
</t>
    </r>
    <r>
      <rPr>
        <rFont val="メイリオ"/>
        <color rgb="FF000000"/>
        <sz val="10.0"/>
      </rPr>
      <t xml:space="preserve">Click button「Excel出力」
</t>
    </r>
    <r>
      <rPr>
        <rFont val="メイリオ"/>
        <b/>
        <color rgb="FF000000"/>
        <sz val="10.0"/>
      </rPr>
      <t xml:space="preserve">ステップ3：
</t>
    </r>
    <r>
      <rPr>
        <rFont val="メイリオ"/>
        <color rgb="FF000000"/>
        <sz val="10.0"/>
      </rPr>
      <t>Kiểm tra trạng thái màn hình</t>
    </r>
  </si>
  <si>
    <r>
      <rPr>
        <rFont val="メイリオ"/>
        <b/>
        <color rgb="FF000000"/>
        <sz val="10.0"/>
      </rPr>
      <t xml:space="preserve">ステップ1：
</t>
    </r>
    <r>
      <rPr>
        <rFont val="メイリオ"/>
        <color rgb="FF000000"/>
        <sz val="10.0"/>
      </rPr>
      <t xml:space="preserve">Trả về HTTP 200 (`data: []`, `meta.total: 0`)
</t>
    </r>
    <r>
      <rPr>
        <rFont val="メイリオ"/>
        <b/>
        <color rgb="FF000000"/>
        <sz val="10.0"/>
      </rPr>
      <t xml:space="preserve">ステップ2：
</t>
    </r>
    <r>
      <rPr>
        <rFont val="メイリオ"/>
        <color rgb="FF000000"/>
        <sz val="10.0"/>
      </rPr>
      <t xml:space="preserve">Trả về HTTP 404 (`error_code: EXPORT_NO_DATA`, message `出力データがありません。`)
</t>
    </r>
    <r>
      <rPr>
        <rFont val="メイリオ"/>
        <b/>
        <color rgb="FF000000"/>
        <sz val="10.0"/>
      </rPr>
      <t xml:space="preserve">ステップ3：
</t>
    </r>
    <r>
      <rPr>
        <rFont val="メイリオ"/>
        <color rgb="FF000000"/>
        <sz val="10.0"/>
      </rPr>
      <t xml:space="preserve">Hiển thị toast `出力データがありません。`, file Excel không được download
</t>
    </r>
    <r>
      <rPr>
        <rFont val="メイリオ"/>
        <b/>
        <color rgb="FF000000"/>
        <sz val="10.0"/>
      </rPr>
      <t xml:space="preserve">補足：
</t>
    </r>
    <r>
      <rPr>
        <rFont val="メイリオ"/>
        <color rgb="FF000000"/>
        <sz val="10.0"/>
      </rPr>
      <t xml:space="preserve">・ACSMS-MSG-014-006 tương ứng
</t>
    </r>
    <r>
      <rPr>
        <rFont val="メイリオ"/>
        <color rgb="FF000000"/>
        <sz val="10.0"/>
      </rPr>
      <t>・Trường hợp số lượng đối tượng output là 0, theo「処理手順 4.3」tài liệu API trả về HTTP 404 (EXPORT_NO_DATA)</t>
    </r>
  </si>
  <si>
    <t>ACSMS-TC-014-036</t>
  </si>
  <si>
    <t>Xuất Excel — vượt quá 30000 record output (EXPORT_LIMIT_EXCEEDED)</t>
  </si>
  <si>
    <t>・role: JA_HONTEN
・Test data: tồn tại từ 30.001 độc giả trở lên khớp với điều kiện tìm kiếm</t>
  </si>
  <si>
    <r>
      <rPr>
        <rFont val="メイリオ"/>
        <b/>
        <color rgb="FF000000"/>
        <sz val="10.0"/>
      </rPr>
      <t xml:space="preserve">ステップ1：
</t>
    </r>
    <r>
      <rPr>
        <rFont val="メイリオ"/>
        <color rgb="FF000000"/>
        <sz val="10.0"/>
      </rPr>
      <t xml:space="preserve">Để điều kiện tìm kiếm trống (hoặc với điều kiện rộng), click「検索」
</t>
    </r>
    <r>
      <rPr>
        <rFont val="メイリオ"/>
        <b/>
        <color rgb="FF000000"/>
        <sz val="10.0"/>
      </rPr>
      <t xml:space="preserve">ステップ2：
</t>
    </r>
    <r>
      <rPr>
        <rFont val="メイリオ"/>
        <color rgb="FF000000"/>
        <sz val="10.0"/>
      </rPr>
      <t xml:space="preserve">Click button「Excel出力」
</t>
    </r>
    <r>
      <rPr>
        <rFont val="メイリオ"/>
        <b/>
        <color rgb="FF000000"/>
        <sz val="10.0"/>
      </rPr>
      <t xml:space="preserve">ステップ3：
</t>
    </r>
    <r>
      <rPr>
        <rFont val="メイリオ"/>
        <color rgb="FF000000"/>
        <sz val="10.0"/>
      </rPr>
      <t xml:space="preserve">Kiểm tra trạng thái màn hình
</t>
    </r>
    <r>
      <rPr>
        <rFont val="メイリオ"/>
        <b/>
        <color rgb="FF000000"/>
        <sz val="10.0"/>
      </rPr>
      <t xml:space="preserve">ステップ4：
</t>
    </r>
    <r>
      <rPr>
        <rFont val="メイリオ"/>
        <color rgb="FF000000"/>
        <sz val="10.0"/>
      </rPr>
      <t>Kiểm tra DB: `SELECT COUNT(*) FROM t_dokusya WHERE deleted_at IS NULL`</t>
    </r>
  </si>
  <si>
    <r>
      <rPr>
        <rFont val="メイリオ"/>
        <b/>
        <color rgb="FF000000"/>
        <sz val="10.0"/>
      </rPr>
      <t xml:space="preserve">ステップ1：
</t>
    </r>
    <r>
      <rPr>
        <rFont val="メイリオ"/>
        <color rgb="FF000000"/>
        <sz val="10.0"/>
      </rPr>
      <t xml:space="preserve">Trả về HTTP 200 (kết quả tìm kiếm được hiển thị)
</t>
    </r>
    <r>
      <rPr>
        <rFont val="メイリオ"/>
        <b/>
        <color rgb="FF000000"/>
        <sz val="10.0"/>
      </rPr>
      <t xml:space="preserve">ステップ2：
</t>
    </r>
    <r>
      <rPr>
        <rFont val="メイリオ"/>
        <color rgb="FF000000"/>
        <sz val="10.0"/>
      </rPr>
      <t xml:space="preserve">Trả về HTTP 409 (`error_code: EXPORT_LIMIT_EXCEEDED`, message `出力データ件数が30000件を超えています。`)
</t>
    </r>
    <r>
      <rPr>
        <rFont val="メイリオ"/>
        <b/>
        <color rgb="FF000000"/>
        <sz val="10.0"/>
      </rPr>
      <t xml:space="preserve">ステップ3：
</t>
    </r>
    <r>
      <rPr>
        <rFont val="メイリオ"/>
        <color rgb="FF000000"/>
        <sz val="10.0"/>
      </rPr>
      <t xml:space="preserve">Hiển thị toast `出力データ件数が30000件を超えています。`, file Excel không được download, xử lý dừng lại
</t>
    </r>
    <r>
      <rPr>
        <rFont val="メイリオ"/>
        <b/>
        <color rgb="FF000000"/>
        <sz val="10.0"/>
      </rPr>
      <t xml:space="preserve">ステップ4：
</t>
    </r>
    <r>
      <rPr>
        <rFont val="メイリオ"/>
        <color rgb="FF000000"/>
        <sz val="10.0"/>
      </rPr>
      <t xml:space="preserve">Số lượng đối tượng vượt quá 30.000
</t>
    </r>
    <r>
      <rPr>
        <rFont val="メイリオ"/>
        <b/>
        <color rgb="FF000000"/>
        <sz val="10.0"/>
      </rPr>
      <t xml:space="preserve">補足：
</t>
    </r>
    <r>
      <rPr>
        <rFont val="メイリオ"/>
        <color rgb="FF000000"/>
        <sz val="10.0"/>
      </rPr>
      <t xml:space="preserve">・ACSMS-MSG-014-012 tương ứng
</t>
    </r>
    <r>
      <rPr>
        <rFont val="メイリオ"/>
        <color rgb="FF000000"/>
        <sz val="10.0"/>
      </rPr>
      <t xml:space="preserve">・Trường hợp số lượng output vượt quá 30.000, theo「処理手順 4.3」tài liệu API trả về HTTP 409 (EXPORT_LIMIT_EXCEEDED) ở bước check số lượng, không thực hiện lấy data・tạo Excel
</t>
    </r>
    <r>
      <rPr>
        <rFont val="メイリオ"/>
        <color rgb="FF000000"/>
        <sz val="10.0"/>
      </rPr>
      <t>・Tuân theo viewpoint VP-F-02「大量データ表示性能」</t>
    </r>
  </si>
  <si>
    <t>Xử lý lỗi chung (Common Error Handling)</t>
  </si>
  <si>
    <t>ACSMS-TC-014-037</t>
  </si>
  <si>
    <t>Lỗi chung — UNAUTHORIZED — xử lý khi hết session</t>
  </si>
  <si>
    <t>・role: JA_HONTEN
・Đang hiển thị màn hình tìm kiếm
・Đã quá 24 giờ kể từ thao tác cuối, Redis session TTL đã hết hạn (hoặc đã ép hết hạn bằng tool quản trị)</t>
  </si>
  <si>
    <r>
      <rPr>
        <rFont val="メイリオ"/>
        <b/>
        <color rgb="FF000000"/>
        <sz val="10.0"/>
      </rPr>
      <t xml:space="preserve">ステップ1：
</t>
    </r>
    <r>
      <rPr>
        <rFont val="メイリオ"/>
        <color rgb="FF000000"/>
        <sz val="10.0"/>
      </rPr>
      <t xml:space="preserve">Click button「検索」, gửi API request
</t>
    </r>
    <r>
      <rPr>
        <rFont val="メイリオ"/>
        <b/>
        <color rgb="FF000000"/>
        <sz val="10.0"/>
      </rPr>
      <t xml:space="preserve">ステップ2：
</t>
    </r>
    <r>
      <rPr>
        <rFont val="メイリオ"/>
        <color rgb="FF000000"/>
        <sz val="10.0"/>
      </rPr>
      <t xml:space="preserve">Kiểm tra nội dung response và chuyển màn hình
</t>
    </r>
    <r>
      <rPr>
        <rFont val="メイリオ"/>
        <b/>
        <color rgb="FF000000"/>
        <sz val="10.0"/>
      </rPr>
      <t xml:space="preserve">ステップ3：
</t>
    </r>
    <r>
      <rPr>
        <rFont val="メイリオ"/>
        <color rgb="FF000000"/>
        <sz val="10.0"/>
      </rPr>
      <t>Kiểm tra address bar của browser</t>
    </r>
  </si>
  <si>
    <r>
      <rPr>
        <rFont val="メイリオ"/>
        <b/>
        <color rgb="FF000000"/>
        <sz val="10.0"/>
      </rPr>
      <t xml:space="preserve">ステップ1：
</t>
    </r>
    <r>
      <rPr>
        <rFont val="メイリオ"/>
        <color rgb="FF000000"/>
        <sz val="10.0"/>
      </rPr>
      <t xml:space="preserve">Trả về HTTP 401 (`error_code: UNAUTHORIZED`, message `セッションが切れました。再度ログインしてください。`)
</t>
    </r>
    <r>
      <rPr>
        <rFont val="メイリオ"/>
        <b/>
        <color rgb="FF000000"/>
        <sz val="10.0"/>
      </rPr>
      <t xml:space="preserve">ステップ2：
</t>
    </r>
    <r>
      <rPr>
        <rFont val="メイリオ"/>
        <color rgb="FF000000"/>
        <sz val="10.0"/>
      </rPr>
      <t xml:space="preserve">Phía frontend trạng thái user của Pinia auth store được clear, tự động chuyển về `/login?redirect=/dokusya`
</t>
    </r>
    <r>
      <rPr>
        <rFont val="メイリオ"/>
        <b/>
        <color rgb="FF000000"/>
        <sz val="10.0"/>
      </rPr>
      <t xml:space="preserve">ステップ3：
</t>
    </r>
    <r>
      <rPr>
        <rFont val="メイリオ"/>
        <color rgb="FF000000"/>
        <sz val="10.0"/>
      </rPr>
      <t xml:space="preserve">URL đã chuyển về `/login` kèm `?redirect=/dokusya`
</t>
    </r>
    <r>
      <rPr>
        <rFont val="メイリオ"/>
        <b/>
        <color rgb="FF000000"/>
        <sz val="10.0"/>
      </rPr>
      <t xml:space="preserve">補足：
</t>
    </r>
    <r>
      <rPr>
        <rFont val="メイリオ"/>
        <color rgb="FF000000"/>
        <sz val="10.0"/>
      </rPr>
      <t xml:space="preserve">・Lúc hết session, phía backend SessionAuthGuard trả về 401, phía frontend axios interceptor điều hướng về màn hình login một cách thống nhất
</t>
    </r>
    <r>
      <rPr>
        <rFont val="メイリオ"/>
        <color rgb="FF000000"/>
        <sz val="10.0"/>
      </rPr>
      <t>・Sau khi đăng nhập lại quay về URL của parameter redirect (màn hình tìm kiếm)</t>
    </r>
  </si>
  <si>
    <t>ACSMS-TC-014-038</t>
  </si>
  <si>
    <t>Lỗi chung — BAD_REQUEST — query parameter không hợp lệ</t>
  </si>
  <si>
    <r>
      <rPr>
        <rFont val="メイリオ"/>
        <b/>
        <color rgb="FF000000"/>
        <sz val="10.0"/>
      </rPr>
      <t xml:space="preserve">ステップ1：
</t>
    </r>
    <r>
      <rPr>
        <rFont val="メイリオ"/>
        <color rgb="FF000000"/>
        <sz val="10.0"/>
      </rPr>
      <t xml:space="preserve">Chạy `fetch('/api/v1/dokusya?page=-1&amp;sort_by=evil_column&amp;sort_order=invalid', { credentials: 'include' })` từ Console của DevTools
</t>
    </r>
    <r>
      <rPr>
        <rFont val="メイリオ"/>
        <b/>
        <color rgb="FF000000"/>
        <sz val="10.0"/>
      </rPr>
      <t xml:space="preserve">ステップ2：
</t>
    </r>
    <r>
      <rPr>
        <rFont val="メイリオ"/>
        <color rgb="FF000000"/>
        <sz val="10.0"/>
      </rPr>
      <t xml:space="preserve">Kiểm tra HTTP status và error_code của response
</t>
    </r>
    <r>
      <rPr>
        <rFont val="メイリオ"/>
        <b/>
        <color rgb="FF000000"/>
        <sz val="10.0"/>
      </rPr>
      <t xml:space="preserve">ステップ3：
</t>
    </r>
    <r>
      <rPr>
        <rFont val="メイリオ"/>
        <color rgb="FF000000"/>
        <sz val="10.0"/>
      </rPr>
      <t>Kiểm tra DB: `SELECT COUNT(*) FROM t_dokusya WHERE deleted_at IS NULL`</t>
    </r>
  </si>
  <si>
    <r>
      <rPr>
        <rFont val="メイリオ"/>
        <b/>
        <color rgb="FF000000"/>
        <sz val="10.0"/>
      </rPr>
      <t xml:space="preserve">ステップ1：
</t>
    </r>
    <r>
      <rPr>
        <rFont val="メイリオ"/>
        <color rgb="FF000000"/>
        <sz val="10.0"/>
      </rPr>
      <t xml:space="preserve">Request được gửi, xử lý được thực hiện
</t>
    </r>
    <r>
      <rPr>
        <rFont val="メイリオ"/>
        <b/>
        <color rgb="FF000000"/>
        <sz val="10.0"/>
      </rPr>
      <t xml:space="preserve">ステップ2：
</t>
    </r>
    <r>
      <rPr>
        <rFont val="メイリオ"/>
        <color rgb="FF000000"/>
        <sz val="10.0"/>
      </rPr>
      <t xml:space="preserve">Trả về HTTP 400 (`error_code: BAD_REQUEST` hoặc `VALIDATION_ERROR`, message `リクエストパラメータが不正です。` hoặc `入力値が不正です。詳細はerrorsフィールドを確認してください。`)
</t>
    </r>
    <r>
      <rPr>
        <rFont val="メイリオ"/>
        <b/>
        <color rgb="FF000000"/>
        <sz val="10.0"/>
      </rPr>
      <t xml:space="preserve">ステップ3：
</t>
    </r>
    <r>
      <rPr>
        <rFont val="メイリオ"/>
        <color rgb="FF000000"/>
        <sz val="10.0"/>
      </rPr>
      <t xml:space="preserve">Số lượng record DB không thay đổi
</t>
    </r>
    <r>
      <rPr>
        <rFont val="メイリオ"/>
        <b/>
        <color rgb="FF000000"/>
        <sz val="10.0"/>
      </rPr>
      <t xml:space="preserve">補足：
</t>
    </r>
    <r>
      <rPr>
        <rFont val="メイリオ"/>
        <color rgb="FF000000"/>
        <sz val="10.0"/>
      </rPr>
      <t xml:space="preserve">・Trường hợp page &lt; 1, sort_by ngoài danh sách cho phép, sort_order khác asc/desc đều bị từ chối với 400
</t>
    </r>
    <r>
      <rPr>
        <rFont val="メイリオ"/>
        <color rgb="FF000000"/>
        <sz val="10.0"/>
      </rPr>
      <t>・Giá trị sort_by được cho phép: kanri_shiten_id, shiten_id, kumiaiin_code, hanbaiten_id, shoki_dokusya_kaishi_date, dokusya_chushi_date, updated_at</t>
    </r>
  </si>
  <si>
    <t>ACSMS-TC-014-039</t>
  </si>
  <si>
    <t>Lỗi chung — VALIDATION_ERROR — vi phạm đồng thời nhiều điều kiện tìm kiếm</t>
  </si>
  <si>
    <t>・role: JA_HONTEN
・Đang hiển thị màn hình tìm kiếm, đã mở rộng vùng tìm kiếm chi tiết</t>
  </si>
  <si>
    <r>
      <rPr>
        <rFont val="メイリオ"/>
        <b/>
        <color rgb="FF000000"/>
        <sz val="10.0"/>
      </rPr>
      <t xml:space="preserve">ステップ1：
</t>
    </r>
    <r>
      <rPr>
        <rFont val="メイリオ"/>
        <color rgb="FF000000"/>
        <sz val="10.0"/>
      </rPr>
      <t xml:space="preserve">Nhập 21 ký tự vào 組合員コード, nhập `invalid-email` vào メールアドレス
</t>
    </r>
    <r>
      <rPr>
        <rFont val="メイリオ"/>
        <b/>
        <color rgb="FF000000"/>
        <sz val="10.0"/>
      </rPr>
      <t xml:space="preserve">ステップ2：
</t>
    </r>
    <r>
      <rPr>
        <rFont val="メイリオ"/>
        <color rgb="FF000000"/>
        <sz val="10.0"/>
      </rPr>
      <t xml:space="preserve">Click button「検索」
</t>
    </r>
    <r>
      <rPr>
        <rFont val="メイリオ"/>
        <b/>
        <color rgb="FF000000"/>
        <sz val="10.0"/>
      </rPr>
      <t xml:space="preserve">ステップ3：
</t>
    </r>
    <r>
      <rPr>
        <rFont val="メイリオ"/>
        <color rgb="FF000000"/>
        <sz val="10.0"/>
      </rPr>
      <t>Kiểm tra response body</t>
    </r>
  </si>
  <si>
    <r>
      <rPr>
        <rFont val="メイリオ"/>
        <b/>
        <color rgb="FF000000"/>
        <sz val="10.0"/>
      </rPr>
      <t xml:space="preserve">ステップ1：
</t>
    </r>
    <r>
      <rPr>
        <rFont val="メイリオ"/>
        <color rgb="FF000000"/>
        <sz val="10.0"/>
      </rPr>
      <t xml:space="preserve">Nhận input hoàn tất
</t>
    </r>
    <r>
      <rPr>
        <rFont val="メイリオ"/>
        <b/>
        <color rgb="FF000000"/>
        <sz val="10.0"/>
      </rPr>
      <t xml:space="preserve">ステップ2：
</t>
    </r>
    <r>
      <rPr>
        <rFont val="メイリオ"/>
        <color rgb="FF000000"/>
        <sz val="10.0"/>
      </rPr>
      <t xml:space="preserve">Trả về HTTP 400 (`error_code: VALIDATION_ERROR`, message `入力値が不正です。詳細はerrorsフィールドを確認してください。`)
</t>
    </r>
    <r>
      <rPr>
        <rFont val="メイリオ"/>
        <b/>
        <color rgb="FF000000"/>
        <sz val="10.0"/>
      </rPr>
      <t xml:space="preserve">ステップ3：
</t>
    </r>
    <r>
      <rPr>
        <rFont val="メイリオ"/>
        <color rgb="FF000000"/>
        <sz val="10.0"/>
      </rPr>
      <t xml:space="preserve">Mảng `errors` trong response body chứa 2 mục:
</t>
    </r>
    <r>
      <rPr>
        <rFont val="メイリオ"/>
        <color rgb="FF000000"/>
        <sz val="10.0"/>
      </rPr>
      <t xml:space="preserve">・`{ field: 'kumiaiin_code', message: &lt;message độ dài tối đa&gt; }`
</t>
    </r>
    <r>
      <rPr>
        <rFont val="メイリオ"/>
        <color rgb="FF000000"/>
        <sz val="10.0"/>
      </rPr>
      <t xml:space="preserve">・`{ field: 'email', message: '正しいメール形式を入力してください。' }`
</t>
    </r>
    <r>
      <rPr>
        <rFont val="メイリオ"/>
        <b/>
        <color rgb="FF000000"/>
        <sz val="10.0"/>
      </rPr>
      <t xml:space="preserve">補足：
</t>
    </r>
    <r>
      <rPr>
        <rFont val="メイリオ"/>
        <color rgb="FF000000"/>
        <sz val="10.0"/>
      </rPr>
      <t xml:space="preserve">・Lúc vi phạm nhiều mục thì trả về toàn bộ vi phạm trong 1 request
</t>
    </r>
    <r>
      <rPr>
        <rFont val="メイリオ"/>
        <color rgb="FF000000"/>
        <sz val="10.0"/>
      </rPr>
      <t>・Mỗi vi phạm hiển thị dưới mục tìm kiếm tương ứng</t>
    </r>
  </si>
  <si>
    <t>ACSMS-TC-014-040</t>
  </si>
  <si>
    <t>Lỗi chung — DATA_SCOPE_VIOLATION — xuất Excel scope khác</t>
  </si>
  <si>
    <t>・role: JA_KANRI_SHITEN (chi nhánh quản lý mình = kanri_shiten-001)
・Test data: tồn tại chi nhánh quản lý khác (kanri_shiten-002, trong JA mình)</t>
  </si>
  <si>
    <r>
      <rPr>
        <rFont val="メイリオ"/>
        <b/>
        <color rgb="FF000000"/>
        <sz val="10.0"/>
      </rPr>
      <t xml:space="preserve">ステップ1：
</t>
    </r>
    <r>
      <rPr>
        <rFont val="メイリオ"/>
        <color rgb="FF000000"/>
        <sz val="10.0"/>
      </rPr>
      <t xml:space="preserve">Gọi trực tiếp GET `/api/v1/dokusya/export?kanri_shiten_id={id của kanri_shiten-002}` qua DevTools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Gọi trực tiếp GET `/api/v1/dokusya?kanri_shiten_id={id của kanri_shiten-002}` qua DevTools</t>
    </r>
  </si>
  <si>
    <r>
      <rPr>
        <rFont val="メイリオ"/>
        <b/>
        <color rgb="FF000000"/>
        <sz val="10.0"/>
      </rPr>
      <t xml:space="preserve">ステップ1：
</t>
    </r>
    <r>
      <rPr>
        <rFont val="メイリオ"/>
        <color rgb="FF000000"/>
        <sz val="10.0"/>
      </rPr>
      <t xml:space="preserve">Request được gửi, xử lý được thực hiện
</t>
    </r>
    <r>
      <rPr>
        <rFont val="メイリオ"/>
        <b/>
        <color rgb="FF000000"/>
        <sz val="10.0"/>
      </rPr>
      <t xml:space="preserve">ステップ2：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ステップ3：
</t>
    </r>
    <r>
      <rPr>
        <rFont val="メイリオ"/>
        <color rgb="FF000000"/>
        <sz val="10.0"/>
      </rPr>
      <t xml:space="preserve">Tìm kiếm (lấy list) cũng vậy, khi chỉ định chi nhánh quản lý khác thì trả về HTTP 403 (`error_code: DATA_SCOPE_VIOLATION`, message `このデータへのアクセス権限がありません。`)
</t>
    </r>
    <r>
      <rPr>
        <rFont val="メイリオ"/>
        <b/>
        <color rgb="FF000000"/>
        <sz val="10.0"/>
      </rPr>
      <t xml:space="preserve">補足：
</t>
    </r>
    <r>
      <rPr>
        <rFont val="メイリオ"/>
        <color rgb="FF000000"/>
        <sz val="10.0"/>
      </rPr>
      <t xml:space="preserve">・Cả tìm kiếm・xuất Excel đều áp dụng DataScope, khi chỉ định `kanri_shiten_id` ngoài scope mình làm điều kiện thì trả về DATA_SCOPE_VIOLATION (HTTP 403)
</t>
    </r>
    <r>
      <rPr>
        <rFont val="メイリオ"/>
        <color rgb="FF000000"/>
        <sz val="10.0"/>
      </rPr>
      <t>・Xóa (DELETE) do ID trên URL chỉ đích danh đối tượng nên truy cập ngoài scope trả về NOT_FOUND ẩn sự tồn tại (HTTP 404), khác với tìm kiếm・output</t>
    </r>
  </si>
  <si>
    <t>ACSMS-TC-014-041</t>
  </si>
  <si>
    <t>Lỗi chung — NOT_FOUND — xóa ID không tồn tại／đã xóa logical</t>
  </si>
  <si>
    <t>・role: JA_HONTEN
・Test data: `dokusya_id=99999` chưa đăng ký, `dokusya_id=99998` đã xóa logical (`deleted_at IS NOT NULL`, JA mình)</t>
  </si>
  <si>
    <r>
      <rPr>
        <rFont val="メイリオ"/>
        <b/>
        <color rgb="FF000000"/>
        <sz val="10.0"/>
      </rPr>
      <t xml:space="preserve">ステップ1：
</t>
    </r>
    <r>
      <rPr>
        <rFont val="メイリオ"/>
        <color rgb="FF000000"/>
        <sz val="10.0"/>
      </rPr>
      <t xml:space="preserve">Gọi trực tiếp DELETE `/api/v1/dokusya/99999` qua DevTools
</t>
    </r>
    <r>
      <rPr>
        <rFont val="メイリオ"/>
        <b/>
        <color rgb="FF000000"/>
        <sz val="10.0"/>
      </rPr>
      <t xml:space="preserve">ステップ2：
</t>
    </r>
    <r>
      <rPr>
        <rFont val="メイリオ"/>
        <color rgb="FF000000"/>
        <sz val="10.0"/>
      </rPr>
      <t xml:space="preserve">Gọi trực tiếp DELETE `/api/v1/dokusya/99998` qua DevTools
</t>
    </r>
    <r>
      <rPr>
        <rFont val="メイリオ"/>
        <b/>
        <color rgb="FF000000"/>
        <sz val="10.0"/>
      </rPr>
      <t xml:space="preserve">ステップ3：
</t>
    </r>
    <r>
      <rPr>
        <rFont val="メイリオ"/>
        <color rgb="FF000000"/>
        <sz val="10.0"/>
      </rPr>
      <t>Kiểm tra nội dung từng response</t>
    </r>
  </si>
  <si>
    <r>
      <rPr>
        <rFont val="メイリオ"/>
        <b/>
        <color rgb="FF000000"/>
        <sz val="10.0"/>
      </rPr>
      <t xml:space="preserve">ステップ1：
</t>
    </r>
    <r>
      <rPr>
        <rFont val="メイリオ"/>
        <color rgb="FF000000"/>
        <sz val="10.0"/>
      </rPr>
      <t xml:space="preserve">Trả về HTTP 404 (`error_code: NOT_FOUND`, message `指定された購読者が見つかりません。`)
</t>
    </r>
    <r>
      <rPr>
        <rFont val="メイリオ"/>
        <b/>
        <color rgb="FF000000"/>
        <sz val="10.0"/>
      </rPr>
      <t xml:space="preserve">ステップ2：
</t>
    </r>
    <r>
      <rPr>
        <rFont val="メイリオ"/>
        <color rgb="FF000000"/>
        <sz val="10.0"/>
      </rPr>
      <t xml:space="preserve">Trả về HTTP 404 (`error_code: NOT_FOUND`, message `指定された購読者が見つかりません。`)
</t>
    </r>
    <r>
      <rPr>
        <rFont val="メイリオ"/>
        <b/>
        <color rgb="FF000000"/>
        <sz val="10.0"/>
      </rPr>
      <t xml:space="preserve">ステップ3：
</t>
    </r>
    <r>
      <rPr>
        <rFont val="メイリオ"/>
        <color rgb="FF000000"/>
        <sz val="10.0"/>
      </rPr>
      <t xml:space="preserve">Cả hai trường hợp response body cùng định dạng
</t>
    </r>
    <r>
      <rPr>
        <rFont val="メイリオ"/>
        <b/>
        <color rgb="FF000000"/>
        <sz val="10.0"/>
      </rPr>
      <t xml:space="preserve">補足：
</t>
    </r>
    <r>
      <rPr>
        <rFont val="メイリオ"/>
        <color rgb="FF000000"/>
        <sz val="10.0"/>
      </rPr>
      <t xml:space="preserve">・Truy cập resource không tồn tại／đã xóa logical đều trả về NOT_FOUND một cách thống nhất
</t>
    </r>
    <r>
      <rPr>
        <rFont val="メイリオ"/>
        <color rgb="FF000000"/>
        <sz val="10.0"/>
      </rPr>
      <t>・Record đã xóa logical bị loại khỏi đối tượng tìm kiếm (filter `deleted_at IS NULL`)</t>
    </r>
  </si>
  <si>
    <t>ACSMS-TC-014-042</t>
  </si>
  <si>
    <t>Lỗi chung — INTERNAL_SERVER_ERROR / TOO_MANY_REQUESTS</t>
  </si>
  <si>
    <t>・role: JA_HONTEN
・Đang hiển thị màn hình tìm kiếm
・Ở môi trường test cố ý trigger lỗi nội bộ phía backend, chuẩn bị riêng script vượt rate limit</t>
  </si>
  <si>
    <r>
      <rPr>
        <rFont val="メイリオ"/>
        <b/>
        <color rgb="FF000000"/>
        <sz val="10.0"/>
      </rPr>
      <t xml:space="preserve">ステップ1：
</t>
    </r>
    <r>
      <rPr>
        <rFont val="メイリオ"/>
        <color rgb="FF000000"/>
        <sz val="10.0"/>
      </rPr>
      <t xml:space="preserve">Ở trạng thái đã phát sinh lỗi nội bộ phía backend trong môi trường test, thực hiện「検索」hoặc「Excel出力」
</t>
    </r>
    <r>
      <rPr>
        <rFont val="メイリオ"/>
        <b/>
        <color rgb="FF000000"/>
        <sz val="10.0"/>
      </rPr>
      <t xml:space="preserve">ステップ2：
</t>
    </r>
    <r>
      <rPr>
        <rFont val="メイリオ"/>
        <color rgb="FF000000"/>
        <sz val="10.0"/>
      </rPr>
      <t xml:space="preserve">Kiểm tra DB: `SELECT * FROM t_log WHERE log_type = 3 ORDER BY log_datetime DESC LIMIT 1`
</t>
    </r>
    <r>
      <rPr>
        <rFont val="メイリオ"/>
        <b/>
        <color rgb="FF000000"/>
        <sz val="10.0"/>
      </rPr>
      <t xml:space="preserve">ステップ3：
</t>
    </r>
    <r>
      <rPr>
        <rFont val="メイリオ"/>
        <color rgb="FF000000"/>
        <sz val="10.0"/>
      </rPr>
      <t xml:space="preserve">Gửi GET `/api/v1/dokusya` quá 100 request trong 1 phút bằng script test
</t>
    </r>
    <r>
      <rPr>
        <rFont val="メイリオ"/>
        <b/>
        <color rgb="FF000000"/>
        <sz val="10.0"/>
      </rPr>
      <t xml:space="preserve">ステップ4：
</t>
    </r>
    <r>
      <rPr>
        <rFont val="メイリオ"/>
        <color rgb="FF000000"/>
        <sz val="10.0"/>
      </rPr>
      <t>Kiểm tra response và toast lúc vượt rate limit</t>
    </r>
  </si>
  <si>
    <r>
      <rPr>
        <rFont val="メイリオ"/>
        <b/>
        <color rgb="FF000000"/>
        <sz val="10.0"/>
      </rPr>
      <t xml:space="preserve">ステップ1：
</t>
    </r>
    <r>
      <rPr>
        <rFont val="メイリオ"/>
        <color rgb="FF000000"/>
        <sz val="10.0"/>
      </rPr>
      <t xml:space="preserve">Trả về HTTP 500 (`error_code: INTERNAL_SERVER_ERROR`, toast `システムエラーが発生しました。しばらくしてから再度お試しください。`). Giữ nguyên màn hình tìm kiếm (không redirect), điều kiện tìm kiếm đã nhập được giữ lại
</t>
    </r>
    <r>
      <rPr>
        <rFont val="メイリオ"/>
        <b/>
        <color rgb="FF000000"/>
        <sz val="10.0"/>
      </rPr>
      <t xml:space="preserve">ステップ2：
</t>
    </r>
    <r>
      <rPr>
        <rFont val="メイリオ"/>
        <color rgb="FF000000"/>
        <sz val="10.0"/>
      </rPr>
      <t xml:space="preserve">Xác nhận 1 dòng, `log_type=3` (error log), `result_status=2`, `error_message` và `stack_trace` ghi chi tiết (không công khai cho client)
</t>
    </r>
    <r>
      <rPr>
        <rFont val="メイリオ"/>
        <b/>
        <color rgb="FF000000"/>
        <sz val="10.0"/>
      </rPr>
      <t xml:space="preserve">ステップ3：
</t>
    </r>
    <r>
      <rPr>
        <rFont val="メイリオ"/>
        <color rgb="FF000000"/>
        <sz val="10.0"/>
      </rPr>
      <t xml:space="preserve">100 request đầu phản hồi bình thường, sau đó trả về HTTP 429 (`error_code: TOO_MANY_REQUESTS`, message `リクエスト回数が上限を超えました。しばらくしてから再度お試しください。`)
</t>
    </r>
    <r>
      <rPr>
        <rFont val="メイリオ"/>
        <b/>
        <color rgb="FF000000"/>
        <sz val="10.0"/>
      </rPr>
      <t xml:space="preserve">ステップ4：
</t>
    </r>
    <r>
      <rPr>
        <rFont val="メイリオ"/>
        <color rgb="FF000000"/>
        <sz val="10.0"/>
      </rPr>
      <t xml:space="preserve">Hiển thị toast `リクエスト回数が上限を超えました。しばらくしてから再度お試しください。`
</t>
    </r>
    <r>
      <rPr>
        <rFont val="メイリオ"/>
        <b/>
        <color rgb="FF000000"/>
        <sz val="10.0"/>
      </rPr>
      <t xml:space="preserve">補足：
</t>
    </r>
    <r>
      <rPr>
        <rFont val="メイリオ"/>
        <color rgb="FF000000"/>
        <sz val="10.0"/>
      </rPr>
      <t xml:space="preserve">・ACSMS-MSG-014-003 (lỗi hệ thống) tương ứng
</t>
    </r>
    <r>
      <rPr>
        <rFont val="メイリオ"/>
        <color rgb="FF000000"/>
        <sz val="10.0"/>
      </rPr>
      <t xml:space="preserve">・Message lỗi cho người dùng không chứa chi tiết mà là văn bản chung, stack trace không bao gồm trong response body
</t>
    </r>
    <r>
      <rPr>
        <rFont val="メイリオ"/>
        <color rgb="FF000000"/>
        <sz val="10.0"/>
      </rPr>
      <t>・Rate limit bị chặn ở hai tầng: NestJS `@Throttle` decorator + AWS WAF rate limit</t>
    </r>
  </si>
  <si>
    <t>ACSMS-TC-014-043</t>
  </si>
  <si>
    <t>Lỗi chung — xử lý khi mất kết nối mạng</t>
  </si>
  <si>
    <t>・role: JA_HONTEN
・Đang hiển thị màn hình tìm kiếm
・DevTools → Network → chuyển sang chế độ ngắt kết nối mạng</t>
  </si>
  <si>
    <r>
      <rPr>
        <rFont val="メイリオ"/>
        <b/>
        <color rgb="FF000000"/>
        <sz val="10.0"/>
      </rPr>
      <t xml:space="preserve">ステップ1：
</t>
    </r>
    <r>
      <rPr>
        <rFont val="メイリオ"/>
        <color rgb="FF000000"/>
        <sz val="10.0"/>
      </rPr>
      <t xml:space="preserve">Click button「検索」
</t>
    </r>
    <r>
      <rPr>
        <rFont val="メイリオ"/>
        <b/>
        <color rgb="FF000000"/>
        <sz val="10.0"/>
      </rPr>
      <t xml:space="preserve">ステップ2：
</t>
    </r>
    <r>
      <rPr>
        <rFont val="メイリオ"/>
        <color rgb="FF000000"/>
        <sz val="10.0"/>
      </rPr>
      <t xml:space="preserve">Kiểm tra trạng thái màn hình
</t>
    </r>
    <r>
      <rPr>
        <rFont val="メイリオ"/>
        <b/>
        <color rgb="FF000000"/>
        <sz val="10.0"/>
      </rPr>
      <t xml:space="preserve">ステップ3：
</t>
    </r>
    <r>
      <rPr>
        <rFont val="メイリオ"/>
        <color rgb="FF000000"/>
        <sz val="10.0"/>
      </rPr>
      <t>Đưa mạng về online và click lại button「検索」</t>
    </r>
  </si>
  <si>
    <r>
      <rPr>
        <rFont val="メイリオ"/>
        <b/>
        <color rgb="FF000000"/>
        <sz val="10.0"/>
      </rPr>
      <t xml:space="preserve">ステップ1：
</t>
    </r>
    <r>
      <rPr>
        <rFont val="メイリオ"/>
        <color rgb="FF000000"/>
        <sz val="10.0"/>
      </rPr>
      <t xml:space="preserve">Hiển thị toast `ネットワークエラーが発生しました。接続をご確認ください。`
</t>
    </r>
    <r>
      <rPr>
        <rFont val="メイリオ"/>
        <b/>
        <color rgb="FF000000"/>
        <sz val="10.0"/>
      </rPr>
      <t xml:space="preserve">ステップ2：
</t>
    </r>
    <r>
      <rPr>
        <rFont val="メイリオ"/>
        <color rgb="FF000000"/>
        <sz val="10.0"/>
      </rPr>
      <t xml:space="preserve">Giữ nguyên màn hình tìm kiếm, giá trị nhập và data list hiện tại được giữ lại
</t>
    </r>
    <r>
      <rPr>
        <rFont val="メイリオ"/>
        <b/>
        <color rgb="FF000000"/>
        <sz val="10.0"/>
      </rPr>
      <t xml:space="preserve">ステップ3：
</t>
    </r>
    <r>
      <rPr>
        <rFont val="メイリオ"/>
        <color rgb="FF000000"/>
        <sz val="10.0"/>
      </rPr>
      <t xml:space="preserve">Kết quả tìm kiếm được hiển thị bình thường
</t>
    </r>
    <r>
      <rPr>
        <rFont val="メイリオ"/>
        <b/>
        <color rgb="FF000000"/>
        <sz val="10.0"/>
      </rPr>
      <t xml:space="preserve">補足：
</t>
    </r>
    <r>
      <rPr>
        <rFont val="メイリオ"/>
        <color rgb="FF000000"/>
        <sz val="10.0"/>
      </rPr>
      <t xml:space="preserve">・Phát hiện lỗi mạng → thông báo cho người dùng
</t>
    </r>
    <r>
      <rPr>
        <rFont val="メイリオ"/>
        <color rgb="FF000000"/>
        <sz val="10.0"/>
      </rPr>
      <t xml:space="preserve">・Giá trị nhập được giữ lại, có thể gửi lại
</t>
    </r>
    <r>
      <rPr>
        <rFont val="メイリオ"/>
        <color rgb="FF000000"/>
        <sz val="10.0"/>
      </rPr>
      <t>・Lỗi mạng không có HTTP status code nên được xử lý toast riêng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</si>
</sst>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mm/yyyy"/>
  </numFmts>
  <fonts count="13">
    <font>
      <sz val="11.0"/>
      <color theme="1"/>
      <name val="Calibri"/>
      <scheme val="minor"/>
    </font>
    <font>
      <sz val="11.0"/>
      <color theme="1"/>
      <name val="Calibri"/>
    </font>
    <font>
      <sz val="26.0"/>
      <color rgb="FF1F3864"/>
      <name val="游ゴシック"/>
    </font>
    <font/>
    <font>
      <sz val="24.0"/>
      <color rgb="FF1F3864"/>
      <name val="游ゴシック"/>
    </font>
    <font>
      <sz val="15.0"/>
      <color theme="1"/>
      <name val="游ゴシック"/>
    </font>
    <font>
      <sz val="10.0"/>
      <color rgb="FF000000"/>
      <name val="游ゴシック"/>
    </font>
    <font>
      <b/>
      <sz val="11.0"/>
      <color rgb="FF000000"/>
      <name val="游ゴシック"/>
    </font>
    <font>
      <sz val="11.0"/>
      <color rgb="FF000000"/>
      <name val="游ゴシック"/>
    </font>
    <font>
      <b/>
      <sz val="14.0"/>
      <color rgb="FF000000"/>
      <name val="游ゴシック"/>
    </font>
    <font>
      <i/>
      <sz val="11.0"/>
      <color rgb="FF000000"/>
      <name val="游ゴシック"/>
    </font>
    <font>
      <sz val="11.0"/>
      <color theme="1"/>
      <name val="Arial"/>
    </font>
    <font>
      <strike/>
      <sz val="11.0"/>
      <color rgb="FF000000"/>
      <name val="游ゴシック"/>
    </font>
  </fonts>
  <fills count="10">
    <fill>
      <patternFill patternType="none"/>
    </fill>
    <fill>
      <patternFill patternType="lightGray"/>
    </fill>
    <fill>
      <patternFill patternType="solid">
        <fgColor rgb="FFD9E2F3"/>
        <bgColor rgb="FFD9E2F3"/>
      </patternFill>
    </fill>
    <fill>
      <patternFill patternType="solid">
        <fgColor rgb="FFB4C6E7"/>
        <bgColor rgb="FFB4C6E7"/>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4" fillId="0" fontId="2" numFmtId="0" xfId="0" applyAlignment="1" applyBorder="1" applyFont="1">
      <alignment horizontal="center" shrinkToFit="0" vertical="center" wrapText="1"/>
    </xf>
    <xf borderId="5" fillId="0" fontId="3" numFmtId="0" xfId="0" applyBorder="1" applyFont="1"/>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 fontId="6"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2" fontId="6" numFmtId="49" xfId="0" applyAlignment="1" applyBorder="1" applyFont="1" applyNumberFormat="1">
      <alignment horizontal="center" shrinkToFit="0" vertical="center" wrapText="1"/>
    </xf>
    <xf borderId="9" fillId="0" fontId="1" numFmtId="0" xfId="0" applyBorder="1" applyFont="1"/>
    <xf borderId="10" fillId="0" fontId="1" numFmtId="0" xfId="0" applyBorder="1" applyFont="1"/>
    <xf borderId="11" fillId="0" fontId="1" numFmtId="0" xfId="0" applyBorder="1" applyFont="1"/>
    <xf borderId="12" fillId="3" fontId="7" numFmtId="0" xfId="0" applyAlignment="1" applyBorder="1" applyFill="1" applyFont="1">
      <alignment horizontal="center" shrinkToFit="0" vertical="center" wrapText="1"/>
    </xf>
    <xf borderId="6" fillId="3" fontId="7"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8" numFmtId="49"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3" fillId="4" fontId="7"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6" fillId="3" fontId="9" numFmtId="0" xfId="0" applyAlignment="1" applyBorder="1" applyFont="1">
      <alignment horizontal="center" shrinkToFit="0" vertical="center" wrapText="1"/>
    </xf>
    <xf borderId="6" fillId="5" fontId="7" numFmtId="0" xfId="0" applyAlignment="1" applyBorder="1" applyFill="1" applyFont="1">
      <alignment horizontal="left" shrinkToFit="0" vertical="center" wrapText="1"/>
    </xf>
    <xf borderId="6" fillId="0" fontId="8" numFmtId="49" xfId="0" applyAlignment="1" applyBorder="1" applyFont="1" applyNumberFormat="1">
      <alignment horizontal="left" shrinkToFit="0" vertical="center" wrapText="1"/>
    </xf>
    <xf borderId="16"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7" fillId="0" fontId="3" numFmtId="0" xfId="0" applyBorder="1" applyFont="1"/>
    <xf borderId="12" fillId="6" fontId="7" numFmtId="0" xfId="0" applyAlignment="1" applyBorder="1" applyFill="1" applyFont="1">
      <alignment horizontal="left" shrinkToFit="0" vertical="center" wrapText="1"/>
    </xf>
    <xf borderId="6" fillId="0" fontId="8" numFmtId="16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12" fillId="6"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xf borderId="12" fillId="0" fontId="8"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6" fillId="7" fontId="7" numFmtId="0" xfId="0" applyAlignment="1" applyBorder="1" applyFill="1" applyFont="1">
      <alignment horizontal="center" shrinkToFit="0" vertical="top" wrapText="1"/>
    </xf>
    <xf borderId="6" fillId="8" fontId="7" numFmtId="0" xfId="0" applyAlignment="1" applyBorder="1" applyFill="1" applyFont="1">
      <alignment horizontal="center" shrinkToFit="0" vertical="top" wrapText="1"/>
    </xf>
    <xf borderId="6" fillId="9" fontId="7" numFmtId="0" xfId="0" applyAlignment="1" applyBorder="1" applyFill="1" applyFont="1">
      <alignment horizontal="center" shrinkToFit="0" vertical="top" wrapText="1"/>
    </xf>
    <xf borderId="6" fillId="5" fontId="7" numFmtId="0" xfId="0" applyAlignment="1" applyBorder="1" applyFont="1">
      <alignment horizontal="right" shrinkToFit="0" vertical="center" wrapText="1"/>
    </xf>
    <xf borderId="6" fillId="0" fontId="7" numFmtId="0" xfId="0" applyAlignment="1" applyBorder="1" applyFont="1">
      <alignment horizontal="center" shrinkToFit="0" vertical="top" wrapText="1"/>
    </xf>
    <xf borderId="6" fillId="0" fontId="10" numFmtId="0" xfId="0" applyAlignment="1" applyBorder="1" applyFont="1">
      <alignment horizontal="left" shrinkToFit="0" vertical="top" wrapText="1"/>
    </xf>
    <xf borderId="16" fillId="6" fontId="7"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6" fillId="0" fontId="8" numFmtId="0" xfId="0" applyAlignment="1" applyBorder="1" applyFont="1">
      <alignment horizontal="left" readingOrder="0" shrinkToFit="0" vertical="top" wrapText="1"/>
    </xf>
    <xf borderId="6" fillId="0" fontId="8" numFmtId="0" xfId="0" applyAlignment="1" applyBorder="1" applyFont="1">
      <alignment horizontal="center" readingOrder="0" shrinkToFit="0" vertical="top" wrapText="1"/>
    </xf>
    <xf borderId="6" fillId="0" fontId="8" numFmtId="165" xfId="0" applyAlignment="1" applyBorder="1" applyFont="1" applyNumberFormat="1">
      <alignment horizontal="center" readingOrder="0" shrinkToFit="0" vertical="top" wrapText="1"/>
    </xf>
    <xf borderId="6" fillId="0" fontId="11" numFmtId="0" xfId="0" applyAlignment="1" applyBorder="1" applyFont="1">
      <alignment horizontal="center" shrinkToFit="0" vertical="top" wrapText="1"/>
    </xf>
    <xf borderId="6" fillId="0" fontId="1" numFmtId="0" xfId="0" applyAlignment="1" applyBorder="1" applyFont="1">
      <alignment vertical="top"/>
    </xf>
    <xf borderId="6" fillId="0" fontId="11" numFmtId="165" xfId="0" applyAlignment="1" applyBorder="1" applyFont="1" applyNumberFormat="1">
      <alignment horizontal="center" shrinkToFit="0" vertical="top" wrapText="1"/>
    </xf>
    <xf borderId="12" fillId="0" fontId="12" numFmtId="0" xfId="0" applyAlignment="1" applyBorder="1" applyFont="1">
      <alignment horizontal="center" shrinkToFit="0" vertical="top" wrapText="1"/>
    </xf>
    <xf borderId="6" fillId="0" fontId="12" numFmtId="0" xfId="0" applyAlignment="1" applyBorder="1" applyFont="1">
      <alignment horizontal="left" shrinkToFit="0" vertical="top" wrapText="1"/>
    </xf>
    <xf borderId="6" fillId="0" fontId="12" numFmtId="0" xfId="0" applyAlignment="1" applyBorder="1" applyFont="1">
      <alignment horizontal="center" shrinkToFit="0" vertical="top" wrapText="1"/>
    </xf>
    <xf borderId="6" fillId="0" fontId="12"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ht="12.75" customHeight="1">
      <c r="B3" s="4"/>
      <c r="AK3" s="5"/>
    </row>
    <row r="4" ht="12.75" customHeight="1">
      <c r="B4" s="4"/>
      <c r="AK4" s="5"/>
    </row>
    <row r="5" ht="12.75" customHeight="1">
      <c r="B5" s="4"/>
      <c r="AK5" s="5"/>
    </row>
    <row r="6" ht="12.75" customHeight="1">
      <c r="B6" s="4"/>
      <c r="AK6" s="5"/>
    </row>
    <row r="7" ht="12.75" customHeight="1">
      <c r="B7" s="4"/>
      <c r="AK7" s="5"/>
    </row>
    <row r="8" ht="12.75" customHeight="1">
      <c r="B8" s="4"/>
      <c r="AK8" s="5"/>
    </row>
    <row r="9" ht="12.75" customHeight="1">
      <c r="B9" s="4"/>
      <c r="AK9" s="5"/>
    </row>
    <row r="10" ht="29.25" customHeight="1">
      <c r="B10" s="6" t="s">
        <v>0</v>
      </c>
      <c r="AK10" s="7"/>
    </row>
    <row r="11" ht="12.75" customHeight="1">
      <c r="B11" s="4"/>
      <c r="AK11" s="5"/>
    </row>
    <row r="12" ht="39.0" customHeight="1">
      <c r="B12" s="8" t="s">
        <v>1</v>
      </c>
      <c r="AK12" s="7"/>
    </row>
    <row r="13" ht="12.75" customHeight="1">
      <c r="B13" s="4"/>
      <c r="AK13" s="5"/>
    </row>
    <row r="14" ht="12.75" customHeight="1">
      <c r="B14" s="4"/>
      <c r="AK14" s="5"/>
    </row>
    <row r="15" ht="12.75" customHeight="1">
      <c r="B15" s="9" t="s">
        <v>2</v>
      </c>
      <c r="AK15" s="7"/>
    </row>
    <row r="16" ht="12.75" customHeight="1">
      <c r="B16" s="4"/>
      <c r="AK16" s="5"/>
    </row>
    <row r="17" ht="12.75" customHeight="1">
      <c r="B17" s="4"/>
      <c r="AK17" s="5"/>
    </row>
    <row r="18" ht="12.75" customHeight="1">
      <c r="B18" s="4"/>
      <c r="N18" s="10" t="s">
        <v>3</v>
      </c>
      <c r="O18" s="11"/>
      <c r="P18" s="11"/>
      <c r="Q18" s="11"/>
      <c r="R18" s="12"/>
      <c r="S18" s="10" t="s">
        <v>4</v>
      </c>
      <c r="T18" s="11"/>
      <c r="U18" s="11"/>
      <c r="V18" s="11"/>
      <c r="W18" s="12"/>
      <c r="AK18" s="5"/>
    </row>
    <row r="19" ht="12.75" customHeight="1">
      <c r="B19" s="4"/>
      <c r="N19" s="10" t="s">
        <v>5</v>
      </c>
      <c r="O19" s="11"/>
      <c r="P19" s="11"/>
      <c r="Q19" s="11"/>
      <c r="R19" s="12"/>
      <c r="S19" s="10" t="s">
        <v>6</v>
      </c>
      <c r="T19" s="11"/>
      <c r="U19" s="11"/>
      <c r="V19" s="11"/>
      <c r="W19" s="12"/>
      <c r="AK19" s="5"/>
    </row>
    <row r="20" ht="12.75" customHeight="1">
      <c r="B20" s="4"/>
      <c r="N20" s="10" t="s">
        <v>7</v>
      </c>
      <c r="O20" s="11"/>
      <c r="P20" s="11"/>
      <c r="Q20" s="11"/>
      <c r="R20" s="12"/>
      <c r="S20" s="13" t="s">
        <v>8</v>
      </c>
      <c r="T20" s="11"/>
      <c r="U20" s="11"/>
      <c r="V20" s="11"/>
      <c r="W20" s="12"/>
      <c r="AK20" s="5"/>
    </row>
    <row r="21" ht="12.75" customHeight="1">
      <c r="B21" s="4"/>
      <c r="AK21" s="5"/>
    </row>
    <row r="22" ht="12.75" customHeight="1">
      <c r="B22" s="4"/>
      <c r="AK22" s="5"/>
    </row>
    <row r="23" ht="12.75" customHeight="1">
      <c r="B23" s="4"/>
      <c r="AK23" s="5"/>
    </row>
    <row r="24" ht="12.75" customHeight="1">
      <c r="B24" s="4"/>
      <c r="AK24" s="5"/>
    </row>
    <row r="25" ht="12.75" customHeight="1">
      <c r="B25" s="4"/>
      <c r="AK25" s="5"/>
    </row>
    <row r="26" ht="12.75" customHeight="1">
      <c r="B26" s="4"/>
      <c r="AK26" s="5"/>
    </row>
    <row r="27" ht="12.75" customHeight="1">
      <c r="B27" s="4"/>
      <c r="AK27" s="5"/>
    </row>
    <row r="28" ht="12.75" customHeight="1">
      <c r="B28" s="4"/>
      <c r="AK28" s="5"/>
    </row>
    <row r="29" ht="12.75" customHeight="1">
      <c r="B29" s="4"/>
      <c r="AK29" s="5"/>
    </row>
    <row r="30" ht="12.75" customHeight="1">
      <c r="B30" s="4"/>
      <c r="AK30" s="5"/>
    </row>
    <row r="31" ht="12.75" customHeight="1">
      <c r="B31" s="4"/>
      <c r="AK31" s="5"/>
    </row>
    <row r="32" ht="12.75" customHeight="1">
      <c r="B32" s="4"/>
      <c r="AK32" s="5"/>
    </row>
    <row r="33" ht="12.75" customHeight="1">
      <c r="B33" s="4"/>
      <c r="AK33" s="5"/>
    </row>
    <row r="34" ht="12.75" customHeight="1">
      <c r="B34" s="14"/>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7" t="s">
        <v>9</v>
      </c>
      <c r="B1" s="18" t="s">
        <v>7</v>
      </c>
      <c r="C1" s="11"/>
      <c r="D1" s="11"/>
      <c r="E1" s="12"/>
      <c r="F1" s="18" t="s">
        <v>10</v>
      </c>
      <c r="G1" s="11"/>
      <c r="H1" s="12"/>
      <c r="I1" s="18" t="s">
        <v>11</v>
      </c>
      <c r="J1" s="11"/>
      <c r="K1" s="11"/>
      <c r="L1" s="11"/>
      <c r="M1" s="11"/>
      <c r="N1" s="12"/>
      <c r="O1" s="18" t="s">
        <v>12</v>
      </c>
      <c r="P1" s="11"/>
      <c r="Q1" s="11"/>
      <c r="R1" s="11"/>
      <c r="S1" s="11"/>
      <c r="T1" s="11"/>
      <c r="U1" s="11"/>
      <c r="V1" s="12"/>
      <c r="W1" s="18" t="s">
        <v>13</v>
      </c>
      <c r="X1" s="11"/>
      <c r="Y1" s="11"/>
      <c r="Z1" s="11"/>
      <c r="AA1" s="11"/>
      <c r="AB1" s="12"/>
      <c r="AC1" s="18" t="s">
        <v>14</v>
      </c>
      <c r="AD1" s="11"/>
      <c r="AE1" s="11"/>
      <c r="AF1" s="11"/>
      <c r="AG1" s="11"/>
      <c r="AH1" s="12"/>
    </row>
    <row r="2" ht="22.5" customHeight="1">
      <c r="A2" s="19">
        <v>1.0</v>
      </c>
      <c r="B2" s="20" t="s">
        <v>15</v>
      </c>
      <c r="C2" s="11"/>
      <c r="D2" s="11"/>
      <c r="E2" s="12"/>
      <c r="F2" s="20" t="s">
        <v>6</v>
      </c>
      <c r="G2" s="11"/>
      <c r="H2" s="12"/>
      <c r="I2" s="20" t="s">
        <v>16</v>
      </c>
      <c r="J2" s="11"/>
      <c r="K2" s="11"/>
      <c r="L2" s="11"/>
      <c r="M2" s="11"/>
      <c r="N2" s="12"/>
      <c r="O2" s="21" t="s">
        <v>17</v>
      </c>
      <c r="P2" s="11"/>
      <c r="Q2" s="11"/>
      <c r="R2" s="11"/>
      <c r="S2" s="11"/>
      <c r="T2" s="11"/>
      <c r="U2" s="11"/>
      <c r="V2" s="12"/>
      <c r="W2" s="20" t="s">
        <v>18</v>
      </c>
      <c r="X2" s="11"/>
      <c r="Y2" s="11"/>
      <c r="Z2" s="11"/>
      <c r="AA2" s="11"/>
      <c r="AB2" s="12"/>
      <c r="AC2" s="20"/>
      <c r="AD2" s="11"/>
      <c r="AE2" s="11"/>
      <c r="AF2" s="11"/>
      <c r="AG2" s="11"/>
      <c r="AH2"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19</v>
      </c>
      <c r="B1" s="11"/>
      <c r="C1" s="11"/>
      <c r="D1" s="11"/>
      <c r="E1" s="11"/>
      <c r="F1" s="11"/>
      <c r="G1" s="11"/>
      <c r="H1" s="11"/>
      <c r="I1" s="12"/>
      <c r="J1" s="18" t="s">
        <v>20</v>
      </c>
      <c r="K1" s="11"/>
      <c r="L1" s="11"/>
      <c r="M1" s="11"/>
      <c r="N1" s="11"/>
      <c r="O1" s="11"/>
      <c r="P1" s="12"/>
      <c r="Q1" s="18" t="s">
        <v>21</v>
      </c>
      <c r="R1" s="11"/>
      <c r="S1" s="11"/>
      <c r="T1" s="11"/>
      <c r="U1" s="12"/>
      <c r="V1" s="18" t="s">
        <v>22</v>
      </c>
      <c r="W1" s="11"/>
      <c r="X1" s="11"/>
      <c r="Y1" s="12"/>
      <c r="Z1" s="18" t="s">
        <v>23</v>
      </c>
      <c r="AA1" s="11"/>
      <c r="AB1" s="11"/>
      <c r="AC1" s="12"/>
      <c r="AD1" s="18" t="s">
        <v>24</v>
      </c>
      <c r="AE1" s="11"/>
      <c r="AF1" s="11"/>
      <c r="AG1" s="12"/>
      <c r="AH1" s="18" t="s">
        <v>25</v>
      </c>
      <c r="AI1" s="11"/>
      <c r="AJ1" s="11"/>
      <c r="AK1" s="12"/>
    </row>
    <row r="2" ht="19.5" customHeight="1">
      <c r="A2" s="22" t="s">
        <v>0</v>
      </c>
      <c r="B2" s="23"/>
      <c r="C2" s="23"/>
      <c r="D2" s="23"/>
      <c r="E2" s="23"/>
      <c r="F2" s="23"/>
      <c r="G2" s="23"/>
      <c r="H2" s="23"/>
      <c r="I2" s="24"/>
      <c r="J2" s="22" t="s">
        <v>26</v>
      </c>
      <c r="K2" s="23"/>
      <c r="L2" s="23"/>
      <c r="M2" s="23"/>
      <c r="N2" s="23"/>
      <c r="O2" s="23"/>
      <c r="P2" s="24"/>
      <c r="Q2" s="22" t="s">
        <v>27</v>
      </c>
      <c r="R2" s="23"/>
      <c r="S2" s="23"/>
      <c r="T2" s="23"/>
      <c r="U2" s="24"/>
      <c r="V2" s="25" t="s">
        <v>8</v>
      </c>
      <c r="W2" s="23"/>
      <c r="X2" s="23"/>
      <c r="Y2" s="24"/>
      <c r="Z2" s="22" t="s">
        <v>16</v>
      </c>
      <c r="AA2" s="23"/>
      <c r="AB2" s="23"/>
      <c r="AC2" s="24"/>
      <c r="AD2" s="25" t="s">
        <v>8</v>
      </c>
      <c r="AE2" s="23"/>
      <c r="AF2" s="23"/>
      <c r="AG2" s="24"/>
      <c r="AH2" s="22" t="s">
        <v>16</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4" ht="15.0" customHeight="1"/>
    <row r="5" ht="19.5" customHeight="1">
      <c r="B5" s="29" t="s">
        <v>28</v>
      </c>
    </row>
    <row r="6" ht="19.5" customHeight="1">
      <c r="C6" s="30" t="s">
        <v>29</v>
      </c>
    </row>
    <row r="7" ht="19.5" customHeight="1">
      <c r="C7" s="30" t="s">
        <v>30</v>
      </c>
    </row>
    <row r="8" ht="19.5" customHeight="1">
      <c r="C8" s="30" t="s">
        <v>31</v>
      </c>
    </row>
    <row r="9" ht="19.5" customHeight="1">
      <c r="C9" s="30" t="s">
        <v>32</v>
      </c>
    </row>
    <row r="10" ht="19.5" customHeight="1">
      <c r="C10" s="30" t="s">
        <v>33</v>
      </c>
    </row>
    <row r="11" ht="19.5" customHeight="1">
      <c r="C11" s="30" t="s">
        <v>34</v>
      </c>
    </row>
    <row r="12" ht="19.5" customHeight="1">
      <c r="C12" s="30" t="s">
        <v>35</v>
      </c>
    </row>
    <row r="13" ht="15.0" customHeight="1"/>
    <row r="14" ht="19.5" customHeight="1">
      <c r="B14" s="29" t="s">
        <v>36</v>
      </c>
    </row>
    <row r="15" ht="19.5" customHeight="1">
      <c r="C15" s="31" t="s">
        <v>37</v>
      </c>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3"/>
    </row>
    <row r="16" ht="19.5" customHeight="1">
      <c r="C16" s="31" t="s">
        <v>38</v>
      </c>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3"/>
    </row>
    <row r="17" ht="19.5" customHeight="1">
      <c r="C17" s="31" t="s">
        <v>39</v>
      </c>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3"/>
    </row>
    <row r="18" ht="19.5" customHeight="1">
      <c r="C18" s="31" t="s">
        <v>40</v>
      </c>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3"/>
    </row>
    <row r="19" ht="19.5" customHeight="1">
      <c r="C19" s="31" t="s">
        <v>41</v>
      </c>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3"/>
    </row>
    <row r="20" ht="15.0" customHeight="1"/>
    <row r="21" ht="19.5" customHeight="1">
      <c r="B21" s="29" t="s">
        <v>42</v>
      </c>
    </row>
    <row r="22" ht="15.0" customHeight="1"/>
    <row r="23" ht="22.5" customHeight="1">
      <c r="C23" s="17" t="s">
        <v>43</v>
      </c>
      <c r="D23" s="18" t="s">
        <v>44</v>
      </c>
      <c r="E23" s="11"/>
      <c r="F23" s="11"/>
      <c r="G23" s="11"/>
      <c r="H23" s="11"/>
      <c r="I23" s="11"/>
      <c r="J23" s="11"/>
      <c r="K23" s="11"/>
      <c r="L23" s="11"/>
      <c r="M23" s="11"/>
      <c r="N23" s="12"/>
      <c r="O23" s="18" t="s">
        <v>45</v>
      </c>
      <c r="P23" s="11"/>
      <c r="Q23" s="11"/>
      <c r="R23" s="11"/>
      <c r="S23" s="11"/>
      <c r="T23" s="11"/>
      <c r="U23" s="11"/>
      <c r="V23" s="11"/>
      <c r="W23" s="11"/>
      <c r="X23" s="11"/>
      <c r="Y23" s="11"/>
      <c r="Z23" s="11"/>
      <c r="AA23" s="11"/>
      <c r="AB23" s="11"/>
      <c r="AC23" s="11"/>
      <c r="AD23" s="11"/>
      <c r="AE23" s="11"/>
      <c r="AF23" s="11"/>
      <c r="AG23" s="12"/>
    </row>
    <row r="24" ht="22.5" customHeight="1">
      <c r="C24" s="19">
        <v>1.0</v>
      </c>
      <c r="D24" s="21" t="s">
        <v>46</v>
      </c>
      <c r="E24" s="11"/>
      <c r="F24" s="11"/>
      <c r="G24" s="11"/>
      <c r="H24" s="11"/>
      <c r="I24" s="11"/>
      <c r="J24" s="11"/>
      <c r="K24" s="11"/>
      <c r="L24" s="11"/>
      <c r="M24" s="11"/>
      <c r="N24" s="12"/>
      <c r="O24" s="21" t="s">
        <v>47</v>
      </c>
      <c r="P24" s="11"/>
      <c r="Q24" s="11"/>
      <c r="R24" s="11"/>
      <c r="S24" s="11"/>
      <c r="T24" s="11"/>
      <c r="U24" s="11"/>
      <c r="V24" s="11"/>
      <c r="W24" s="11"/>
      <c r="X24" s="11"/>
      <c r="Y24" s="11"/>
      <c r="Z24" s="11"/>
      <c r="AA24" s="11"/>
      <c r="AB24" s="11"/>
      <c r="AC24" s="11"/>
      <c r="AD24" s="11"/>
      <c r="AE24" s="11"/>
      <c r="AF24" s="11"/>
      <c r="AG24" s="12"/>
    </row>
    <row r="25" ht="22.5" customHeight="1">
      <c r="C25" s="19">
        <v>2.0</v>
      </c>
      <c r="D25" s="21" t="s">
        <v>48</v>
      </c>
      <c r="E25" s="11"/>
      <c r="F25" s="11"/>
      <c r="G25" s="11"/>
      <c r="H25" s="11"/>
      <c r="I25" s="11"/>
      <c r="J25" s="11"/>
      <c r="K25" s="11"/>
      <c r="L25" s="11"/>
      <c r="M25" s="11"/>
      <c r="N25" s="12"/>
      <c r="O25" s="21" t="s">
        <v>49</v>
      </c>
      <c r="P25" s="11"/>
      <c r="Q25" s="11"/>
      <c r="R25" s="11"/>
      <c r="S25" s="11"/>
      <c r="T25" s="11"/>
      <c r="U25" s="11"/>
      <c r="V25" s="11"/>
      <c r="W25" s="11"/>
      <c r="X25" s="11"/>
      <c r="Y25" s="11"/>
      <c r="Z25" s="11"/>
      <c r="AA25" s="11"/>
      <c r="AB25" s="11"/>
      <c r="AC25" s="11"/>
      <c r="AD25" s="11"/>
      <c r="AE25" s="11"/>
      <c r="AF25" s="11"/>
      <c r="AG25" s="12"/>
    </row>
    <row r="26" ht="22.5" customHeight="1">
      <c r="C26" s="19">
        <v>3.0</v>
      </c>
      <c r="D26" s="21" t="s">
        <v>50</v>
      </c>
      <c r="E26" s="11"/>
      <c r="F26" s="11"/>
      <c r="G26" s="11"/>
      <c r="H26" s="11"/>
      <c r="I26" s="11"/>
      <c r="J26" s="11"/>
      <c r="K26" s="11"/>
      <c r="L26" s="11"/>
      <c r="M26" s="11"/>
      <c r="N26" s="12"/>
      <c r="O26" s="21" t="s">
        <v>51</v>
      </c>
      <c r="P26" s="11"/>
      <c r="Q26" s="11"/>
      <c r="R26" s="11"/>
      <c r="S26" s="11"/>
      <c r="T26" s="11"/>
      <c r="U26" s="11"/>
      <c r="V26" s="11"/>
      <c r="W26" s="11"/>
      <c r="X26" s="11"/>
      <c r="Y26" s="11"/>
      <c r="Z26" s="11"/>
      <c r="AA26" s="11"/>
      <c r="AB26" s="11"/>
      <c r="AC26" s="11"/>
      <c r="AD26" s="11"/>
      <c r="AE26" s="11"/>
      <c r="AF26" s="11"/>
      <c r="AG26" s="1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D26:N26"/>
    <mergeCell ref="O26:AG26"/>
    <mergeCell ref="B21:AK21"/>
    <mergeCell ref="D23:N23"/>
    <mergeCell ref="O23:AG23"/>
    <mergeCell ref="D24:N24"/>
    <mergeCell ref="O24:AG24"/>
    <mergeCell ref="D25:N25"/>
    <mergeCell ref="O25:AG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4" t="s">
        <v>52</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2"/>
    </row>
    <row r="3" ht="22.5" customHeight="1">
      <c r="A3" s="35" t="s">
        <v>53</v>
      </c>
      <c r="B3" s="11"/>
      <c r="C3" s="11"/>
      <c r="D3" s="11"/>
      <c r="E3" s="11"/>
      <c r="F3" s="12"/>
      <c r="G3" s="21" t="s">
        <v>0</v>
      </c>
      <c r="H3" s="11"/>
      <c r="I3" s="11"/>
      <c r="J3" s="11"/>
      <c r="K3" s="11"/>
      <c r="L3" s="11"/>
      <c r="M3" s="11"/>
      <c r="N3" s="11"/>
      <c r="O3" s="12"/>
      <c r="P3" s="35" t="s">
        <v>54</v>
      </c>
      <c r="Q3" s="11"/>
      <c r="R3" s="11"/>
      <c r="S3" s="11"/>
      <c r="T3" s="11"/>
      <c r="U3" s="11"/>
      <c r="V3" s="11"/>
      <c r="W3" s="12"/>
      <c r="X3" s="21" t="s">
        <v>18</v>
      </c>
      <c r="Y3" s="11"/>
      <c r="Z3" s="11"/>
      <c r="AA3" s="11"/>
      <c r="AB3" s="11"/>
      <c r="AC3" s="11"/>
      <c r="AD3" s="11"/>
      <c r="AE3" s="11"/>
      <c r="AF3" s="11"/>
      <c r="AG3" s="11"/>
      <c r="AH3" s="12"/>
    </row>
    <row r="4" ht="22.5" customHeight="1">
      <c r="A4" s="35" t="s">
        <v>11</v>
      </c>
      <c r="B4" s="11"/>
      <c r="C4" s="11"/>
      <c r="D4" s="11"/>
      <c r="E4" s="11"/>
      <c r="F4" s="12"/>
      <c r="G4" s="21" t="s">
        <v>16</v>
      </c>
      <c r="H4" s="11"/>
      <c r="I4" s="11"/>
      <c r="J4" s="11"/>
      <c r="K4" s="11"/>
      <c r="L4" s="11"/>
      <c r="M4" s="11"/>
      <c r="N4" s="11"/>
      <c r="O4" s="12"/>
      <c r="P4" s="35" t="s">
        <v>22</v>
      </c>
      <c r="Q4" s="11"/>
      <c r="R4" s="11"/>
      <c r="S4" s="11"/>
      <c r="T4" s="11"/>
      <c r="U4" s="11"/>
      <c r="V4" s="11"/>
      <c r="W4" s="12"/>
      <c r="X4" s="36" t="s">
        <v>8</v>
      </c>
      <c r="Y4" s="11"/>
      <c r="Z4" s="11"/>
      <c r="AA4" s="11"/>
      <c r="AB4" s="11"/>
      <c r="AC4" s="11"/>
      <c r="AD4" s="11"/>
      <c r="AE4" s="11"/>
      <c r="AF4" s="11"/>
      <c r="AG4" s="11"/>
      <c r="AH4" s="12"/>
    </row>
    <row r="6" ht="22.5" customHeight="1">
      <c r="A6" s="37" t="s">
        <v>55</v>
      </c>
      <c r="B6" s="38" t="s">
        <v>56</v>
      </c>
      <c r="C6" s="23"/>
      <c r="D6" s="23"/>
      <c r="E6" s="23"/>
      <c r="F6" s="23"/>
      <c r="G6" s="24"/>
      <c r="H6" s="39" t="s">
        <v>57</v>
      </c>
      <c r="I6" s="11"/>
      <c r="J6" s="11"/>
      <c r="K6" s="11"/>
      <c r="L6" s="11"/>
      <c r="M6" s="11"/>
      <c r="N6" s="11"/>
      <c r="O6" s="11"/>
      <c r="P6" s="12"/>
      <c r="Q6" s="38" t="s">
        <v>58</v>
      </c>
      <c r="R6" s="23"/>
      <c r="S6" s="24"/>
      <c r="T6" s="39" t="s">
        <v>59</v>
      </c>
      <c r="U6" s="11"/>
      <c r="V6" s="11"/>
      <c r="W6" s="11"/>
      <c r="X6" s="11"/>
      <c r="Y6" s="11"/>
      <c r="Z6" s="11"/>
      <c r="AA6" s="11"/>
      <c r="AB6" s="11"/>
      <c r="AC6" s="11"/>
      <c r="AD6" s="11"/>
      <c r="AE6" s="11"/>
      <c r="AF6" s="11"/>
      <c r="AG6" s="11"/>
      <c r="AH6" s="12"/>
    </row>
    <row r="7" ht="22.5" customHeight="1">
      <c r="A7" s="40"/>
      <c r="B7" s="26"/>
      <c r="C7" s="27"/>
      <c r="D7" s="27"/>
      <c r="E7" s="27"/>
      <c r="F7" s="27"/>
      <c r="G7" s="28"/>
      <c r="H7" s="39" t="s">
        <v>60</v>
      </c>
      <c r="I7" s="11"/>
      <c r="J7" s="12"/>
      <c r="K7" s="39" t="s">
        <v>61</v>
      </c>
      <c r="L7" s="11"/>
      <c r="M7" s="12"/>
      <c r="N7" s="39" t="s">
        <v>62</v>
      </c>
      <c r="O7" s="11"/>
      <c r="P7" s="12"/>
      <c r="Q7" s="26"/>
      <c r="R7" s="27"/>
      <c r="S7" s="28"/>
      <c r="T7" s="39" t="s">
        <v>63</v>
      </c>
      <c r="U7" s="11"/>
      <c r="V7" s="12"/>
      <c r="W7" s="39" t="s">
        <v>64</v>
      </c>
      <c r="X7" s="11"/>
      <c r="Y7" s="12"/>
      <c r="Z7" s="39" t="s">
        <v>65</v>
      </c>
      <c r="AA7" s="11"/>
      <c r="AB7" s="12"/>
      <c r="AC7" s="39" t="s">
        <v>66</v>
      </c>
      <c r="AD7" s="11"/>
      <c r="AE7" s="12"/>
      <c r="AF7" s="39" t="s">
        <v>67</v>
      </c>
      <c r="AG7" s="11"/>
      <c r="AH7" s="12"/>
    </row>
    <row r="8" ht="22.5" customHeight="1">
      <c r="A8" s="41" t="s">
        <v>68</v>
      </c>
    </row>
    <row r="9" ht="22.5" customHeight="1">
      <c r="A9" s="19">
        <v>1.0</v>
      </c>
      <c r="B9" s="21" t="s">
        <v>69</v>
      </c>
      <c r="C9" s="11"/>
      <c r="D9" s="11"/>
      <c r="E9" s="11"/>
      <c r="F9" s="11"/>
      <c r="G9" s="12"/>
      <c r="H9" s="20">
        <f t="array" ref="H9">INDIRECT("'"&amp;$B9&amp;"'!H7",TRUE)</f>
        <v>23</v>
      </c>
      <c r="I9" s="11"/>
      <c r="J9" s="12"/>
      <c r="K9" s="20">
        <f t="array" ref="K9">INDIRECT("'"&amp;$B9&amp;"'!K7",TRUE)</f>
        <v>17</v>
      </c>
      <c r="L9" s="11"/>
      <c r="M9" s="12"/>
      <c r="N9" s="20">
        <f t="array" ref="N9">INDIRECT("'"&amp;$B9&amp;"'!N7",TRUE)</f>
        <v>3</v>
      </c>
      <c r="O9" s="11"/>
      <c r="P9" s="12"/>
      <c r="Q9" s="20">
        <f t="array" ref="Q9">INDIRECT("'"&amp;$B9&amp;"'!Q7",TRUE)</f>
        <v>43</v>
      </c>
      <c r="R9" s="11"/>
      <c r="S9" s="12"/>
      <c r="T9" s="20">
        <f t="array" ref="T9">INDIRECT("'"&amp;$B9&amp;"'!T7",TRUE)</f>
        <v>35</v>
      </c>
      <c r="U9" s="11"/>
      <c r="V9" s="12"/>
      <c r="W9" s="20">
        <f t="array" ref="W9">INDIRECT("'"&amp;$B9&amp;"'!W7",TRUE)</f>
        <v>0</v>
      </c>
      <c r="X9" s="11"/>
      <c r="Y9" s="12"/>
      <c r="Z9" s="20">
        <f t="array" ref="Z9">INDIRECT("'"&amp;$B9&amp;"'!Z7",TRUE)</f>
        <v>3</v>
      </c>
      <c r="AA9" s="11"/>
      <c r="AB9" s="12"/>
      <c r="AC9" s="20">
        <f t="array" ref="AC9">INDIRECT("'"&amp;$B9&amp;"'!AC7",TRUE)</f>
        <v>5</v>
      </c>
      <c r="AD9" s="11"/>
      <c r="AE9" s="12"/>
      <c r="AF9" s="42">
        <f>IFERROR((T9+W9+AC9)/Q9,0)</f>
        <v>0.9302325581</v>
      </c>
      <c r="AG9" s="11"/>
      <c r="AH9" s="12"/>
    </row>
    <row r="10" ht="22.5" customHeight="1">
      <c r="A10" s="19">
        <v>2.0</v>
      </c>
      <c r="B10" s="21"/>
      <c r="C10" s="11"/>
      <c r="D10" s="11"/>
      <c r="E10" s="11"/>
      <c r="F10" s="11"/>
      <c r="G10" s="12"/>
      <c r="H10" s="20"/>
      <c r="I10" s="11"/>
      <c r="J10" s="12"/>
      <c r="K10" s="20"/>
      <c r="L10" s="11"/>
      <c r="M10" s="12"/>
      <c r="N10" s="20"/>
      <c r="O10" s="11"/>
      <c r="P10" s="12"/>
      <c r="Q10" s="20"/>
      <c r="R10" s="11"/>
      <c r="S10" s="12"/>
      <c r="T10" s="20"/>
      <c r="U10" s="11"/>
      <c r="V10" s="12"/>
      <c r="W10" s="20"/>
      <c r="X10" s="11"/>
      <c r="Y10" s="12"/>
      <c r="Z10" s="20"/>
      <c r="AA10" s="11"/>
      <c r="AB10" s="12"/>
      <c r="AC10" s="20"/>
      <c r="AD10" s="11"/>
      <c r="AE10" s="12"/>
      <c r="AF10" s="42"/>
      <c r="AG10" s="11"/>
      <c r="AH10" s="12"/>
    </row>
    <row r="11" ht="22.5" customHeight="1">
      <c r="A11" s="19"/>
      <c r="B11" s="39" t="s">
        <v>58</v>
      </c>
      <c r="C11" s="11"/>
      <c r="D11" s="11"/>
      <c r="E11" s="11"/>
      <c r="F11" s="11"/>
      <c r="G11" s="12"/>
      <c r="H11" s="43">
        <f>SUM(H9:J10)</f>
        <v>23</v>
      </c>
      <c r="I11" s="11"/>
      <c r="J11" s="12"/>
      <c r="K11" s="43">
        <f>SUM(K9:M10)</f>
        <v>17</v>
      </c>
      <c r="L11" s="11"/>
      <c r="M11" s="12"/>
      <c r="N11" s="43">
        <f>SUM(N9:P10)</f>
        <v>3</v>
      </c>
      <c r="O11" s="11"/>
      <c r="P11" s="12"/>
      <c r="Q11" s="43">
        <f>SUM(Q9:S10)</f>
        <v>43</v>
      </c>
      <c r="R11" s="11"/>
      <c r="S11" s="12"/>
      <c r="T11" s="43">
        <f>SUM(T9:V10)</f>
        <v>35</v>
      </c>
      <c r="U11" s="11"/>
      <c r="V11" s="12"/>
      <c r="W11" s="43">
        <f>SUM(W9:Y10)</f>
        <v>0</v>
      </c>
      <c r="X11" s="11"/>
      <c r="Y11" s="12"/>
      <c r="Z11" s="43">
        <f>SUM(Z9:AB10)</f>
        <v>3</v>
      </c>
      <c r="AA11" s="11"/>
      <c r="AB11" s="12"/>
      <c r="AC11" s="43">
        <f>SUM(AC9:AE10)</f>
        <v>5</v>
      </c>
      <c r="AD11" s="11"/>
      <c r="AE11" s="12"/>
      <c r="AF11" s="44">
        <f>IFERROR((T11+W11+AC11)/Q11,0)</f>
        <v>0.9302325581</v>
      </c>
      <c r="AG11" s="11"/>
      <c r="AH11" s="12"/>
    </row>
    <row r="12" ht="22.5" customHeight="1">
      <c r="A12" s="41" t="s">
        <v>70</v>
      </c>
    </row>
    <row r="13" ht="22.5" customHeight="1">
      <c r="A13" s="19">
        <v>1.0</v>
      </c>
      <c r="B13" s="21" t="s">
        <v>69</v>
      </c>
      <c r="C13" s="11"/>
      <c r="D13" s="11"/>
      <c r="E13" s="11"/>
      <c r="F13" s="11"/>
      <c r="G13" s="12"/>
      <c r="H13" s="20">
        <f t="array" ref="H13">INDIRECT("'"&amp;$B13&amp;"'!H8",TRUE)</f>
        <v>23</v>
      </c>
      <c r="I13" s="11"/>
      <c r="J13" s="12"/>
      <c r="K13" s="20">
        <f t="array" ref="K13">INDIRECT("'"&amp;$B13&amp;"'!K8",TRUE)</f>
        <v>17</v>
      </c>
      <c r="L13" s="11"/>
      <c r="M13" s="12"/>
      <c r="N13" s="20">
        <f t="array" ref="N13">INDIRECT("'"&amp;$B13&amp;"'!N8",TRUE)</f>
        <v>3</v>
      </c>
      <c r="O13" s="11"/>
      <c r="P13" s="12"/>
      <c r="Q13" s="20">
        <f t="array" ref="Q13">INDIRECT("'"&amp;$B13&amp;"'!Q8",TRUE)</f>
        <v>43</v>
      </c>
      <c r="R13" s="11"/>
      <c r="S13" s="12"/>
      <c r="T13" s="20">
        <f t="array" ref="T13">INDIRECT("'"&amp;$B13&amp;"'!T8",TRUE)</f>
        <v>0</v>
      </c>
      <c r="U13" s="11"/>
      <c r="V13" s="12"/>
      <c r="W13" s="20">
        <f t="array" ref="W13">INDIRECT("'"&amp;$B13&amp;"'!W8",TRUE)</f>
        <v>0</v>
      </c>
      <c r="X13" s="11"/>
      <c r="Y13" s="12"/>
      <c r="Z13" s="20">
        <f t="array" ref="Z13">INDIRECT("'"&amp;$B13&amp;"'!Z8",TRUE)</f>
        <v>0</v>
      </c>
      <c r="AA13" s="11"/>
      <c r="AB13" s="12"/>
      <c r="AC13" s="20">
        <f t="array" ref="AC13">INDIRECT("'"&amp;$B13&amp;"'!AC8",TRUE)</f>
        <v>0</v>
      </c>
      <c r="AD13" s="11"/>
      <c r="AE13" s="12"/>
      <c r="AF13" s="42">
        <f>IFERROR((T13+W13+AC13)/Q13,0)</f>
        <v>0</v>
      </c>
      <c r="AG13" s="11"/>
      <c r="AH13" s="12"/>
    </row>
    <row r="14" ht="22.5" customHeight="1">
      <c r="A14" s="19">
        <v>2.0</v>
      </c>
      <c r="B14" s="21"/>
      <c r="C14" s="11"/>
      <c r="D14" s="11"/>
      <c r="E14" s="11"/>
      <c r="F14" s="11"/>
      <c r="G14" s="12"/>
      <c r="H14" s="20"/>
      <c r="I14" s="11"/>
      <c r="J14" s="12"/>
      <c r="K14" s="20"/>
      <c r="L14" s="11"/>
      <c r="M14" s="12"/>
      <c r="N14" s="20"/>
      <c r="O14" s="11"/>
      <c r="P14" s="12"/>
      <c r="Q14" s="20"/>
      <c r="R14" s="11"/>
      <c r="S14" s="12"/>
      <c r="T14" s="20"/>
      <c r="U14" s="11"/>
      <c r="V14" s="12"/>
      <c r="W14" s="20"/>
      <c r="X14" s="11"/>
      <c r="Y14" s="12"/>
      <c r="Z14" s="20"/>
      <c r="AA14" s="11"/>
      <c r="AB14" s="12"/>
      <c r="AC14" s="20"/>
      <c r="AD14" s="11"/>
      <c r="AE14" s="12"/>
      <c r="AF14" s="42"/>
      <c r="AG14" s="11"/>
      <c r="AH14" s="12"/>
    </row>
    <row r="15" ht="22.5" customHeight="1">
      <c r="A15" s="19"/>
      <c r="B15" s="39" t="s">
        <v>58</v>
      </c>
      <c r="C15" s="11"/>
      <c r="D15" s="11"/>
      <c r="E15" s="11"/>
      <c r="F15" s="11"/>
      <c r="G15" s="12"/>
      <c r="H15" s="43">
        <f>SUM(H13:J14)</f>
        <v>23</v>
      </c>
      <c r="I15" s="11"/>
      <c r="J15" s="12"/>
      <c r="K15" s="43">
        <f>SUM(K13:M14)</f>
        <v>17</v>
      </c>
      <c r="L15" s="11"/>
      <c r="M15" s="12"/>
      <c r="N15" s="43">
        <f>SUM(N13:P14)</f>
        <v>3</v>
      </c>
      <c r="O15" s="11"/>
      <c r="P15" s="12"/>
      <c r="Q15" s="43">
        <f>SUM(Q13:S14)</f>
        <v>43</v>
      </c>
      <c r="R15" s="11"/>
      <c r="S15" s="12"/>
      <c r="T15" s="43">
        <f>SUM(T13:V14)</f>
        <v>0</v>
      </c>
      <c r="U15" s="11"/>
      <c r="V15" s="12"/>
      <c r="W15" s="43">
        <f>SUM(W13:Y14)</f>
        <v>0</v>
      </c>
      <c r="X15" s="11"/>
      <c r="Y15" s="12"/>
      <c r="Z15" s="43">
        <f>SUM(Z13:AB14)</f>
        <v>0</v>
      </c>
      <c r="AA15" s="11"/>
      <c r="AB15" s="12"/>
      <c r="AC15" s="43">
        <f>SUM(AC13:AE14)</f>
        <v>0</v>
      </c>
      <c r="AD15" s="11"/>
      <c r="AE15" s="12"/>
      <c r="AF15" s="44">
        <f>IFERROR((T15+W15+AC15)/Q15,0)</f>
        <v>0</v>
      </c>
      <c r="AG15" s="11"/>
      <c r="AH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19</v>
      </c>
      <c r="B1" s="11"/>
      <c r="C1" s="11"/>
      <c r="D1" s="11"/>
      <c r="E1" s="11"/>
      <c r="F1" s="11"/>
      <c r="G1" s="11"/>
      <c r="H1" s="11"/>
      <c r="I1" s="12"/>
      <c r="J1" s="18" t="s">
        <v>20</v>
      </c>
      <c r="K1" s="11"/>
      <c r="L1" s="11"/>
      <c r="M1" s="11"/>
      <c r="N1" s="11"/>
      <c r="O1" s="11"/>
      <c r="P1" s="12"/>
      <c r="Q1" s="18" t="s">
        <v>21</v>
      </c>
      <c r="R1" s="11"/>
      <c r="S1" s="11"/>
      <c r="T1" s="11"/>
      <c r="U1" s="12"/>
      <c r="V1" s="18" t="s">
        <v>22</v>
      </c>
      <c r="W1" s="11"/>
      <c r="X1" s="11"/>
      <c r="Y1" s="12"/>
      <c r="Z1" s="18" t="s">
        <v>23</v>
      </c>
      <c r="AA1" s="11"/>
      <c r="AB1" s="11"/>
      <c r="AC1" s="12"/>
      <c r="AD1" s="18" t="s">
        <v>24</v>
      </c>
      <c r="AE1" s="11"/>
      <c r="AF1" s="11"/>
      <c r="AG1" s="12"/>
      <c r="AH1" s="18" t="s">
        <v>25</v>
      </c>
      <c r="AI1" s="11"/>
      <c r="AJ1" s="11"/>
      <c r="AK1" s="12"/>
    </row>
    <row r="2" ht="19.5" customHeight="1">
      <c r="A2" s="22" t="s">
        <v>0</v>
      </c>
      <c r="B2" s="23"/>
      <c r="C2" s="23"/>
      <c r="D2" s="23"/>
      <c r="E2" s="23"/>
      <c r="F2" s="23"/>
      <c r="G2" s="23"/>
      <c r="H2" s="23"/>
      <c r="I2" s="24"/>
      <c r="J2" s="22" t="s">
        <v>26</v>
      </c>
      <c r="K2" s="23"/>
      <c r="L2" s="23"/>
      <c r="M2" s="23"/>
      <c r="N2" s="23"/>
      <c r="O2" s="23"/>
      <c r="P2" s="24"/>
      <c r="Q2" s="22" t="s">
        <v>71</v>
      </c>
      <c r="R2" s="23"/>
      <c r="S2" s="23"/>
      <c r="T2" s="23"/>
      <c r="U2" s="24"/>
      <c r="V2" s="25" t="s">
        <v>8</v>
      </c>
      <c r="W2" s="23"/>
      <c r="X2" s="23"/>
      <c r="Y2" s="24"/>
      <c r="Z2" s="22" t="s">
        <v>16</v>
      </c>
      <c r="AA2" s="23"/>
      <c r="AB2" s="23"/>
      <c r="AC2" s="24"/>
      <c r="AD2" s="25" t="s">
        <v>8</v>
      </c>
      <c r="AE2" s="23"/>
      <c r="AF2" s="23"/>
      <c r="AG2" s="24"/>
      <c r="AH2" s="22" t="s">
        <v>16</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5" ht="19.5" customHeight="1">
      <c r="B5" s="29" t="s">
        <v>72</v>
      </c>
    </row>
    <row r="7" ht="28.5" customHeight="1">
      <c r="B7" s="45" t="s">
        <v>55</v>
      </c>
      <c r="C7" s="46" t="s">
        <v>73</v>
      </c>
      <c r="D7" s="11"/>
      <c r="E7" s="12"/>
      <c r="F7" s="46" t="s">
        <v>74</v>
      </c>
      <c r="G7" s="11"/>
      <c r="H7" s="11"/>
      <c r="I7" s="11"/>
      <c r="J7" s="11"/>
      <c r="K7" s="11"/>
      <c r="L7" s="12"/>
      <c r="M7" s="46" t="s">
        <v>75</v>
      </c>
      <c r="N7" s="11"/>
      <c r="O7" s="11"/>
      <c r="P7" s="11"/>
      <c r="Q7" s="11"/>
      <c r="R7" s="11"/>
      <c r="S7" s="11"/>
      <c r="T7" s="12"/>
      <c r="U7" s="46" t="s">
        <v>76</v>
      </c>
      <c r="V7" s="12"/>
      <c r="W7" s="46" t="s">
        <v>77</v>
      </c>
      <c r="X7" s="11"/>
      <c r="Y7" s="11"/>
      <c r="Z7" s="11"/>
      <c r="AA7" s="11"/>
      <c r="AB7" s="11"/>
      <c r="AC7" s="12"/>
      <c r="AD7" s="46" t="s">
        <v>78</v>
      </c>
      <c r="AE7" s="11"/>
      <c r="AF7" s="12"/>
    </row>
    <row r="8" ht="30.0" customHeight="1">
      <c r="B8" s="47">
        <v>1.0</v>
      </c>
      <c r="C8" s="48" t="s">
        <v>79</v>
      </c>
      <c r="D8" s="11"/>
      <c r="E8" s="12"/>
      <c r="F8" s="49" t="s">
        <v>80</v>
      </c>
      <c r="G8" s="11"/>
      <c r="H8" s="11"/>
      <c r="I8" s="11"/>
      <c r="J8" s="11"/>
      <c r="K8" s="11"/>
      <c r="L8" s="12"/>
      <c r="M8" s="49" t="s">
        <v>81</v>
      </c>
      <c r="N8" s="11"/>
      <c r="O8" s="11"/>
      <c r="P8" s="11"/>
      <c r="Q8" s="11"/>
      <c r="R8" s="11"/>
      <c r="S8" s="11"/>
      <c r="T8" s="12"/>
      <c r="U8" s="50" t="s">
        <v>82</v>
      </c>
      <c r="V8" s="12"/>
      <c r="W8" s="49" t="s">
        <v>83</v>
      </c>
      <c r="X8" s="11"/>
      <c r="Y8" s="11"/>
      <c r="Z8" s="11"/>
      <c r="AA8" s="11"/>
      <c r="AB8" s="11"/>
      <c r="AC8" s="12"/>
      <c r="AD8" s="48">
        <v>265.0</v>
      </c>
      <c r="AE8" s="11"/>
      <c r="AF8" s="12"/>
    </row>
    <row r="9" ht="30.0" customHeight="1">
      <c r="B9" s="47">
        <v>2.0</v>
      </c>
      <c r="C9" s="48" t="s">
        <v>84</v>
      </c>
      <c r="D9" s="11"/>
      <c r="E9" s="12"/>
      <c r="F9" s="49" t="s">
        <v>80</v>
      </c>
      <c r="G9" s="11"/>
      <c r="H9" s="11"/>
      <c r="I9" s="11"/>
      <c r="J9" s="11"/>
      <c r="K9" s="11"/>
      <c r="L9" s="12"/>
      <c r="M9" s="49" t="s">
        <v>85</v>
      </c>
      <c r="N9" s="11"/>
      <c r="O9" s="11"/>
      <c r="P9" s="11"/>
      <c r="Q9" s="11"/>
      <c r="R9" s="11"/>
      <c r="S9" s="11"/>
      <c r="T9" s="12"/>
      <c r="U9" s="50" t="s">
        <v>82</v>
      </c>
      <c r="V9" s="12"/>
      <c r="W9" s="49" t="s">
        <v>86</v>
      </c>
      <c r="X9" s="11"/>
      <c r="Y9" s="11"/>
      <c r="Z9" s="11"/>
      <c r="AA9" s="11"/>
      <c r="AB9" s="11"/>
      <c r="AC9" s="12"/>
      <c r="AD9" s="48">
        <v>200.0</v>
      </c>
      <c r="AE9" s="11"/>
      <c r="AF9" s="12"/>
    </row>
    <row r="10" ht="36.0" customHeight="1">
      <c r="B10" s="47">
        <v>3.0</v>
      </c>
      <c r="C10" s="48" t="s">
        <v>87</v>
      </c>
      <c r="D10" s="11"/>
      <c r="E10" s="12"/>
      <c r="F10" s="49" t="s">
        <v>80</v>
      </c>
      <c r="G10" s="11"/>
      <c r="H10" s="11"/>
      <c r="I10" s="11"/>
      <c r="J10" s="11"/>
      <c r="K10" s="11"/>
      <c r="L10" s="12"/>
      <c r="M10" s="49" t="s">
        <v>88</v>
      </c>
      <c r="N10" s="11"/>
      <c r="O10" s="11"/>
      <c r="P10" s="11"/>
      <c r="Q10" s="11"/>
      <c r="R10" s="11"/>
      <c r="S10" s="11"/>
      <c r="T10" s="12"/>
      <c r="U10" s="50" t="s">
        <v>82</v>
      </c>
      <c r="V10" s="12"/>
      <c r="W10" s="49" t="s">
        <v>89</v>
      </c>
      <c r="X10" s="11"/>
      <c r="Y10" s="11"/>
      <c r="Z10" s="11"/>
      <c r="AA10" s="11"/>
      <c r="AB10" s="11"/>
      <c r="AC10" s="12"/>
      <c r="AD10" s="48">
        <v>50.0</v>
      </c>
      <c r="AE10" s="11"/>
      <c r="AF10" s="12"/>
    </row>
    <row r="11" ht="30.0" customHeight="1">
      <c r="B11" s="47">
        <v>4.0</v>
      </c>
      <c r="C11" s="48" t="s">
        <v>90</v>
      </c>
      <c r="D11" s="11"/>
      <c r="E11" s="12"/>
      <c r="F11" s="49" t="s">
        <v>80</v>
      </c>
      <c r="G11" s="11"/>
      <c r="H11" s="11"/>
      <c r="I11" s="11"/>
      <c r="J11" s="11"/>
      <c r="K11" s="11"/>
      <c r="L11" s="12"/>
      <c r="M11" s="49" t="s">
        <v>91</v>
      </c>
      <c r="N11" s="11"/>
      <c r="O11" s="11"/>
      <c r="P11" s="11"/>
      <c r="Q11" s="11"/>
      <c r="R11" s="11"/>
      <c r="S11" s="11"/>
      <c r="T11" s="12"/>
      <c r="U11" s="50" t="s">
        <v>82</v>
      </c>
      <c r="V11" s="12"/>
      <c r="W11" s="49" t="s">
        <v>83</v>
      </c>
      <c r="X11" s="11"/>
      <c r="Y11" s="11"/>
      <c r="Z11" s="11"/>
      <c r="AA11" s="11"/>
      <c r="AB11" s="11"/>
      <c r="AC11" s="12"/>
      <c r="AD11" s="48">
        <v>75.0</v>
      </c>
      <c r="AE11" s="11"/>
      <c r="AF11" s="12"/>
    </row>
    <row r="12" ht="30.0" customHeight="1">
      <c r="B12" s="47">
        <v>5.0</v>
      </c>
      <c r="C12" s="48" t="s">
        <v>92</v>
      </c>
      <c r="D12" s="11"/>
      <c r="E12" s="12"/>
      <c r="F12" s="49" t="s">
        <v>80</v>
      </c>
      <c r="G12" s="11"/>
      <c r="H12" s="11"/>
      <c r="I12" s="11"/>
      <c r="J12" s="11"/>
      <c r="K12" s="11"/>
      <c r="L12" s="12"/>
      <c r="M12" s="49" t="s">
        <v>93</v>
      </c>
      <c r="N12" s="11"/>
      <c r="O12" s="11"/>
      <c r="P12" s="11"/>
      <c r="Q12" s="11"/>
      <c r="R12" s="11"/>
      <c r="S12" s="11"/>
      <c r="T12" s="12"/>
      <c r="U12" s="50" t="s">
        <v>82</v>
      </c>
      <c r="V12" s="12"/>
      <c r="W12" s="49" t="s">
        <v>94</v>
      </c>
      <c r="X12" s="11"/>
      <c r="Y12" s="11"/>
      <c r="Z12" s="11"/>
      <c r="AA12" s="11"/>
      <c r="AB12" s="11"/>
      <c r="AC12" s="12"/>
      <c r="AD12" s="48">
        <v>30.0</v>
      </c>
      <c r="AE12" s="11"/>
      <c r="AF12" s="12"/>
    </row>
    <row r="13" ht="30.0" customHeight="1">
      <c r="B13" s="47">
        <v>6.0</v>
      </c>
      <c r="C13" s="48" t="s">
        <v>95</v>
      </c>
      <c r="D13" s="11"/>
      <c r="E13" s="12"/>
      <c r="F13" s="49" t="s">
        <v>80</v>
      </c>
      <c r="G13" s="11"/>
      <c r="H13" s="11"/>
      <c r="I13" s="11"/>
      <c r="J13" s="11"/>
      <c r="K13" s="11"/>
      <c r="L13" s="12"/>
      <c r="M13" s="49" t="s">
        <v>96</v>
      </c>
      <c r="N13" s="11"/>
      <c r="O13" s="11"/>
      <c r="P13" s="11"/>
      <c r="Q13" s="11"/>
      <c r="R13" s="11"/>
      <c r="S13" s="11"/>
      <c r="T13" s="12"/>
      <c r="U13" s="50" t="s">
        <v>82</v>
      </c>
      <c r="V13" s="12"/>
      <c r="W13" s="49" t="s">
        <v>97</v>
      </c>
      <c r="X13" s="11"/>
      <c r="Y13" s="11"/>
      <c r="Z13" s="11"/>
      <c r="AA13" s="11"/>
      <c r="AB13" s="11"/>
      <c r="AC13" s="12"/>
      <c r="AD13" s="48">
        <v>50.0</v>
      </c>
      <c r="AE13" s="11"/>
      <c r="AF13" s="12"/>
    </row>
    <row r="14" ht="30.0" customHeight="1">
      <c r="B14" s="47">
        <v>7.0</v>
      </c>
      <c r="C14" s="48" t="s">
        <v>98</v>
      </c>
      <c r="D14" s="11"/>
      <c r="E14" s="12"/>
      <c r="F14" s="49" t="s">
        <v>80</v>
      </c>
      <c r="G14" s="11"/>
      <c r="H14" s="11"/>
      <c r="I14" s="11"/>
      <c r="J14" s="11"/>
      <c r="K14" s="11"/>
      <c r="L14" s="12"/>
      <c r="M14" s="49" t="s">
        <v>99</v>
      </c>
      <c r="N14" s="11"/>
      <c r="O14" s="11"/>
      <c r="P14" s="11"/>
      <c r="Q14" s="11"/>
      <c r="R14" s="11"/>
      <c r="S14" s="11"/>
      <c r="T14" s="12"/>
      <c r="U14" s="50" t="s">
        <v>82</v>
      </c>
      <c r="V14" s="12"/>
      <c r="W14" s="49" t="s">
        <v>94</v>
      </c>
      <c r="X14" s="11"/>
      <c r="Y14" s="11"/>
      <c r="Z14" s="11"/>
      <c r="AA14" s="11"/>
      <c r="AB14" s="11"/>
      <c r="AC14" s="12"/>
      <c r="AD14" s="48">
        <v>10.0</v>
      </c>
      <c r="AE14" s="11"/>
      <c r="AF14" s="12"/>
    </row>
    <row r="15" ht="30.0" customHeight="1">
      <c r="B15" s="47">
        <v>8.0</v>
      </c>
      <c r="C15" s="48" t="s">
        <v>100</v>
      </c>
      <c r="D15" s="11"/>
      <c r="E15" s="12"/>
      <c r="F15" s="49" t="s">
        <v>80</v>
      </c>
      <c r="G15" s="11"/>
      <c r="H15" s="11"/>
      <c r="I15" s="11"/>
      <c r="J15" s="11"/>
      <c r="K15" s="11"/>
      <c r="L15" s="12"/>
      <c r="M15" s="49" t="s">
        <v>101</v>
      </c>
      <c r="N15" s="11"/>
      <c r="O15" s="11"/>
      <c r="P15" s="11"/>
      <c r="Q15" s="11"/>
      <c r="R15" s="11"/>
      <c r="S15" s="11"/>
      <c r="T15" s="12"/>
      <c r="U15" s="51" t="s">
        <v>102</v>
      </c>
      <c r="V15" s="12"/>
      <c r="W15" s="49" t="s">
        <v>103</v>
      </c>
      <c r="X15" s="11"/>
      <c r="Y15" s="11"/>
      <c r="Z15" s="11"/>
      <c r="AA15" s="11"/>
      <c r="AB15" s="11"/>
      <c r="AC15" s="12"/>
      <c r="AD15" s="48">
        <v>20.0</v>
      </c>
      <c r="AE15" s="11"/>
      <c r="AF15" s="12"/>
    </row>
    <row r="16" ht="30.0" customHeight="1">
      <c r="B16" s="47">
        <v>9.0</v>
      </c>
      <c r="C16" s="48" t="s">
        <v>104</v>
      </c>
      <c r="D16" s="11"/>
      <c r="E16" s="12"/>
      <c r="F16" s="49" t="s">
        <v>80</v>
      </c>
      <c r="G16" s="11"/>
      <c r="H16" s="11"/>
      <c r="I16" s="11"/>
      <c r="J16" s="11"/>
      <c r="K16" s="11"/>
      <c r="L16" s="12"/>
      <c r="M16" s="49" t="s">
        <v>105</v>
      </c>
      <c r="N16" s="11"/>
      <c r="O16" s="11"/>
      <c r="P16" s="11"/>
      <c r="Q16" s="11"/>
      <c r="R16" s="11"/>
      <c r="S16" s="11"/>
      <c r="T16" s="12"/>
      <c r="U16" s="50" t="s">
        <v>82</v>
      </c>
      <c r="V16" s="12"/>
      <c r="W16" s="49" t="s">
        <v>106</v>
      </c>
      <c r="X16" s="11"/>
      <c r="Y16" s="11"/>
      <c r="Z16" s="11"/>
      <c r="AA16" s="11"/>
      <c r="AB16" s="11"/>
      <c r="AC16" s="12"/>
      <c r="AD16" s="48">
        <v>8.0</v>
      </c>
      <c r="AE16" s="11"/>
      <c r="AF16" s="12"/>
    </row>
    <row r="17" ht="30.0" customHeight="1">
      <c r="B17" s="47">
        <v>10.0</v>
      </c>
      <c r="C17" s="48" t="s">
        <v>107</v>
      </c>
      <c r="D17" s="11"/>
      <c r="E17" s="12"/>
      <c r="F17" s="49" t="s">
        <v>80</v>
      </c>
      <c r="G17" s="11"/>
      <c r="H17" s="11"/>
      <c r="I17" s="11"/>
      <c r="J17" s="11"/>
      <c r="K17" s="11"/>
      <c r="L17" s="12"/>
      <c r="M17" s="49" t="s">
        <v>108</v>
      </c>
      <c r="N17" s="11"/>
      <c r="O17" s="11"/>
      <c r="P17" s="11"/>
      <c r="Q17" s="11"/>
      <c r="R17" s="11"/>
      <c r="S17" s="11"/>
      <c r="T17" s="12"/>
      <c r="U17" s="50" t="s">
        <v>82</v>
      </c>
      <c r="V17" s="12"/>
      <c r="W17" s="49" t="s">
        <v>109</v>
      </c>
      <c r="X17" s="11"/>
      <c r="Y17" s="11"/>
      <c r="Z17" s="11"/>
      <c r="AA17" s="11"/>
      <c r="AB17" s="11"/>
      <c r="AC17" s="12"/>
      <c r="AD17" s="48">
        <v>30.0</v>
      </c>
      <c r="AE17" s="11"/>
      <c r="AF17" s="12"/>
    </row>
    <row r="18" ht="30.0" customHeight="1">
      <c r="B18" s="47">
        <v>11.0</v>
      </c>
      <c r="C18" s="48" t="s">
        <v>110</v>
      </c>
      <c r="D18" s="11"/>
      <c r="E18" s="12"/>
      <c r="F18" s="49" t="s">
        <v>111</v>
      </c>
      <c r="G18" s="11"/>
      <c r="H18" s="11"/>
      <c r="I18" s="11"/>
      <c r="J18" s="11"/>
      <c r="K18" s="11"/>
      <c r="L18" s="12"/>
      <c r="M18" s="49" t="s">
        <v>112</v>
      </c>
      <c r="N18" s="11"/>
      <c r="O18" s="11"/>
      <c r="P18" s="11"/>
      <c r="Q18" s="11"/>
      <c r="R18" s="11"/>
      <c r="S18" s="11"/>
      <c r="T18" s="12"/>
      <c r="U18" s="51" t="s">
        <v>102</v>
      </c>
      <c r="V18" s="12"/>
      <c r="W18" s="49" t="s">
        <v>113</v>
      </c>
      <c r="X18" s="11"/>
      <c r="Y18" s="11"/>
      <c r="Z18" s="11"/>
      <c r="AA18" s="11"/>
      <c r="AB18" s="11"/>
      <c r="AC18" s="12"/>
      <c r="AD18" s="48">
        <v>100.0</v>
      </c>
      <c r="AE18" s="11"/>
      <c r="AF18" s="12"/>
    </row>
    <row r="19" ht="30.0" customHeight="1">
      <c r="B19" s="47">
        <v>12.0</v>
      </c>
      <c r="C19" s="48" t="s">
        <v>114</v>
      </c>
      <c r="D19" s="11"/>
      <c r="E19" s="12"/>
      <c r="F19" s="49" t="s">
        <v>111</v>
      </c>
      <c r="G19" s="11"/>
      <c r="H19" s="11"/>
      <c r="I19" s="11"/>
      <c r="J19" s="11"/>
      <c r="K19" s="11"/>
      <c r="L19" s="12"/>
      <c r="M19" s="49" t="s">
        <v>115</v>
      </c>
      <c r="N19" s="11"/>
      <c r="O19" s="11"/>
      <c r="P19" s="11"/>
      <c r="Q19" s="11"/>
      <c r="R19" s="11"/>
      <c r="S19" s="11"/>
      <c r="T19" s="12"/>
      <c r="U19" s="51" t="s">
        <v>102</v>
      </c>
      <c r="V19" s="12"/>
      <c r="W19" s="49" t="s">
        <v>113</v>
      </c>
      <c r="X19" s="11"/>
      <c r="Y19" s="11"/>
      <c r="Z19" s="11"/>
      <c r="AA19" s="11"/>
      <c r="AB19" s="11"/>
      <c r="AC19" s="12"/>
      <c r="AD19" s="48">
        <v>80.0</v>
      </c>
      <c r="AE19" s="11"/>
      <c r="AF19" s="12"/>
    </row>
    <row r="20" ht="30.0" customHeight="1">
      <c r="B20" s="47">
        <v>13.0</v>
      </c>
      <c r="C20" s="48" t="s">
        <v>116</v>
      </c>
      <c r="D20" s="11"/>
      <c r="E20" s="12"/>
      <c r="F20" s="49" t="s">
        <v>111</v>
      </c>
      <c r="G20" s="11"/>
      <c r="H20" s="11"/>
      <c r="I20" s="11"/>
      <c r="J20" s="11"/>
      <c r="K20" s="11"/>
      <c r="L20" s="12"/>
      <c r="M20" s="49" t="s">
        <v>117</v>
      </c>
      <c r="N20" s="11"/>
      <c r="O20" s="11"/>
      <c r="P20" s="11"/>
      <c r="Q20" s="11"/>
      <c r="R20" s="11"/>
      <c r="S20" s="11"/>
      <c r="T20" s="12"/>
      <c r="U20" s="51" t="s">
        <v>102</v>
      </c>
      <c r="V20" s="12"/>
      <c r="W20" s="49" t="s">
        <v>97</v>
      </c>
      <c r="X20" s="11"/>
      <c r="Y20" s="11"/>
      <c r="Z20" s="11"/>
      <c r="AA20" s="11"/>
      <c r="AB20" s="11"/>
      <c r="AC20" s="12"/>
      <c r="AD20" s="48">
        <v>60.0</v>
      </c>
      <c r="AE20" s="11"/>
      <c r="AF20" s="12"/>
    </row>
    <row r="21" ht="30.0" customHeight="1">
      <c r="B21" s="47">
        <v>14.0</v>
      </c>
      <c r="C21" s="48" t="s">
        <v>118</v>
      </c>
      <c r="D21" s="11"/>
      <c r="E21" s="12"/>
      <c r="F21" s="49" t="s">
        <v>111</v>
      </c>
      <c r="G21" s="11"/>
      <c r="H21" s="11"/>
      <c r="I21" s="11"/>
      <c r="J21" s="11"/>
      <c r="K21" s="11"/>
      <c r="L21" s="12"/>
      <c r="M21" s="49" t="s">
        <v>119</v>
      </c>
      <c r="N21" s="11"/>
      <c r="O21" s="11"/>
      <c r="P21" s="11"/>
      <c r="Q21" s="11"/>
      <c r="R21" s="11"/>
      <c r="S21" s="11"/>
      <c r="T21" s="12"/>
      <c r="U21" s="51" t="s">
        <v>102</v>
      </c>
      <c r="V21" s="12"/>
      <c r="W21" s="49" t="s">
        <v>113</v>
      </c>
      <c r="X21" s="11"/>
      <c r="Y21" s="11"/>
      <c r="Z21" s="11"/>
      <c r="AA21" s="11"/>
      <c r="AB21" s="11"/>
      <c r="AC21" s="12"/>
      <c r="AD21" s="48">
        <v>50.0</v>
      </c>
      <c r="AE21" s="11"/>
      <c r="AF21" s="12"/>
    </row>
    <row r="22" ht="30.0" customHeight="1">
      <c r="B22" s="47">
        <v>15.0</v>
      </c>
      <c r="C22" s="48" t="s">
        <v>120</v>
      </c>
      <c r="D22" s="11"/>
      <c r="E22" s="12"/>
      <c r="F22" s="49" t="s">
        <v>111</v>
      </c>
      <c r="G22" s="11"/>
      <c r="H22" s="11"/>
      <c r="I22" s="11"/>
      <c r="J22" s="11"/>
      <c r="K22" s="11"/>
      <c r="L22" s="12"/>
      <c r="M22" s="49" t="s">
        <v>121</v>
      </c>
      <c r="N22" s="11"/>
      <c r="O22" s="11"/>
      <c r="P22" s="11"/>
      <c r="Q22" s="11"/>
      <c r="R22" s="11"/>
      <c r="S22" s="11"/>
      <c r="T22" s="12"/>
      <c r="U22" s="51" t="s">
        <v>102</v>
      </c>
      <c r="V22" s="12"/>
      <c r="W22" s="49" t="s">
        <v>122</v>
      </c>
      <c r="X22" s="11"/>
      <c r="Y22" s="11"/>
      <c r="Z22" s="11"/>
      <c r="AA22" s="11"/>
      <c r="AB22" s="11"/>
      <c r="AC22" s="12"/>
      <c r="AD22" s="48">
        <v>30.0</v>
      </c>
      <c r="AE22" s="11"/>
      <c r="AF22" s="12"/>
    </row>
    <row r="23" ht="30.0" customHeight="1">
      <c r="B23" s="47">
        <v>16.0</v>
      </c>
      <c r="C23" s="48" t="s">
        <v>123</v>
      </c>
      <c r="D23" s="11"/>
      <c r="E23" s="12"/>
      <c r="F23" s="49" t="s">
        <v>111</v>
      </c>
      <c r="G23" s="11"/>
      <c r="H23" s="11"/>
      <c r="I23" s="11"/>
      <c r="J23" s="11"/>
      <c r="K23" s="11"/>
      <c r="L23" s="12"/>
      <c r="M23" s="49" t="s">
        <v>124</v>
      </c>
      <c r="N23" s="11"/>
      <c r="O23" s="11"/>
      <c r="P23" s="11"/>
      <c r="Q23" s="11"/>
      <c r="R23" s="11"/>
      <c r="S23" s="11"/>
      <c r="T23" s="12"/>
      <c r="U23" s="50" t="s">
        <v>82</v>
      </c>
      <c r="V23" s="12"/>
      <c r="W23" s="49" t="s">
        <v>125</v>
      </c>
      <c r="X23" s="11"/>
      <c r="Y23" s="11"/>
      <c r="Z23" s="11"/>
      <c r="AA23" s="11"/>
      <c r="AB23" s="11"/>
      <c r="AC23" s="12"/>
      <c r="AD23" s="48">
        <v>15.0</v>
      </c>
      <c r="AE23" s="11"/>
      <c r="AF23" s="12"/>
    </row>
    <row r="24" ht="36.0" customHeight="1">
      <c r="B24" s="47">
        <v>17.0</v>
      </c>
      <c r="C24" s="48" t="s">
        <v>126</v>
      </c>
      <c r="D24" s="11"/>
      <c r="E24" s="12"/>
      <c r="F24" s="49" t="s">
        <v>111</v>
      </c>
      <c r="G24" s="11"/>
      <c r="H24" s="11"/>
      <c r="I24" s="11"/>
      <c r="J24" s="11"/>
      <c r="K24" s="11"/>
      <c r="L24" s="12"/>
      <c r="M24" s="49" t="s">
        <v>127</v>
      </c>
      <c r="N24" s="11"/>
      <c r="O24" s="11"/>
      <c r="P24" s="11"/>
      <c r="Q24" s="11"/>
      <c r="R24" s="11"/>
      <c r="S24" s="11"/>
      <c r="T24" s="12"/>
      <c r="U24" s="51" t="s">
        <v>102</v>
      </c>
      <c r="V24" s="12"/>
      <c r="W24" s="49" t="s">
        <v>128</v>
      </c>
      <c r="X24" s="11"/>
      <c r="Y24" s="11"/>
      <c r="Z24" s="11"/>
      <c r="AA24" s="11"/>
      <c r="AB24" s="11"/>
      <c r="AC24" s="12"/>
      <c r="AD24" s="48">
        <v>45.0</v>
      </c>
      <c r="AE24" s="11"/>
      <c r="AF24" s="12"/>
    </row>
    <row r="25" ht="30.0" customHeight="1">
      <c r="B25" s="47">
        <v>18.0</v>
      </c>
      <c r="C25" s="48" t="s">
        <v>129</v>
      </c>
      <c r="D25" s="11"/>
      <c r="E25" s="12"/>
      <c r="F25" s="49" t="s">
        <v>111</v>
      </c>
      <c r="G25" s="11"/>
      <c r="H25" s="11"/>
      <c r="I25" s="11"/>
      <c r="J25" s="11"/>
      <c r="K25" s="11"/>
      <c r="L25" s="12"/>
      <c r="M25" s="49" t="s">
        <v>130</v>
      </c>
      <c r="N25" s="11"/>
      <c r="O25" s="11"/>
      <c r="P25" s="11"/>
      <c r="Q25" s="11"/>
      <c r="R25" s="11"/>
      <c r="S25" s="11"/>
      <c r="T25" s="12"/>
      <c r="U25" s="51" t="s">
        <v>102</v>
      </c>
      <c r="V25" s="12"/>
      <c r="W25" s="49" t="s">
        <v>131</v>
      </c>
      <c r="X25" s="11"/>
      <c r="Y25" s="11"/>
      <c r="Z25" s="11"/>
      <c r="AA25" s="11"/>
      <c r="AB25" s="11"/>
      <c r="AC25" s="12"/>
      <c r="AD25" s="48">
        <v>30.0</v>
      </c>
      <c r="AE25" s="11"/>
      <c r="AF25" s="12"/>
    </row>
    <row r="26" ht="36.0" customHeight="1">
      <c r="B26" s="47">
        <v>19.0</v>
      </c>
      <c r="C26" s="48" t="s">
        <v>132</v>
      </c>
      <c r="D26" s="11"/>
      <c r="E26" s="12"/>
      <c r="F26" s="49" t="s">
        <v>111</v>
      </c>
      <c r="G26" s="11"/>
      <c r="H26" s="11"/>
      <c r="I26" s="11"/>
      <c r="J26" s="11"/>
      <c r="K26" s="11"/>
      <c r="L26" s="12"/>
      <c r="M26" s="49" t="s">
        <v>133</v>
      </c>
      <c r="N26" s="11"/>
      <c r="O26" s="11"/>
      <c r="P26" s="11"/>
      <c r="Q26" s="11"/>
      <c r="R26" s="11"/>
      <c r="S26" s="11"/>
      <c r="T26" s="12"/>
      <c r="U26" s="51" t="s">
        <v>102</v>
      </c>
      <c r="V26" s="12"/>
      <c r="W26" s="49" t="s">
        <v>134</v>
      </c>
      <c r="X26" s="11"/>
      <c r="Y26" s="11"/>
      <c r="Z26" s="11"/>
      <c r="AA26" s="11"/>
      <c r="AB26" s="11"/>
      <c r="AC26" s="12"/>
      <c r="AD26" s="48">
        <v>25.0</v>
      </c>
      <c r="AE26" s="11"/>
      <c r="AF26" s="12"/>
    </row>
    <row r="27" ht="30.0" customHeight="1">
      <c r="B27" s="47">
        <v>20.0</v>
      </c>
      <c r="C27" s="48" t="s">
        <v>135</v>
      </c>
      <c r="D27" s="11"/>
      <c r="E27" s="12"/>
      <c r="F27" s="49" t="s">
        <v>136</v>
      </c>
      <c r="G27" s="11"/>
      <c r="H27" s="11"/>
      <c r="I27" s="11"/>
      <c r="J27" s="11"/>
      <c r="K27" s="11"/>
      <c r="L27" s="12"/>
      <c r="M27" s="49" t="s">
        <v>137</v>
      </c>
      <c r="N27" s="11"/>
      <c r="O27" s="11"/>
      <c r="P27" s="11"/>
      <c r="Q27" s="11"/>
      <c r="R27" s="11"/>
      <c r="S27" s="11"/>
      <c r="T27" s="12"/>
      <c r="U27" s="50" t="s">
        <v>82</v>
      </c>
      <c r="V27" s="12"/>
      <c r="W27" s="49" t="s">
        <v>131</v>
      </c>
      <c r="X27" s="11"/>
      <c r="Y27" s="11"/>
      <c r="Z27" s="11"/>
      <c r="AA27" s="11"/>
      <c r="AB27" s="11"/>
      <c r="AC27" s="12"/>
      <c r="AD27" s="48">
        <v>60.0</v>
      </c>
      <c r="AE27" s="11"/>
      <c r="AF27" s="12"/>
    </row>
    <row r="28" ht="30.0" customHeight="1">
      <c r="B28" s="47">
        <v>21.0</v>
      </c>
      <c r="C28" s="48" t="s">
        <v>138</v>
      </c>
      <c r="D28" s="11"/>
      <c r="E28" s="12"/>
      <c r="F28" s="49" t="s">
        <v>136</v>
      </c>
      <c r="G28" s="11"/>
      <c r="H28" s="11"/>
      <c r="I28" s="11"/>
      <c r="J28" s="11"/>
      <c r="K28" s="11"/>
      <c r="L28" s="12"/>
      <c r="M28" s="49" t="s">
        <v>139</v>
      </c>
      <c r="N28" s="11"/>
      <c r="O28" s="11"/>
      <c r="P28" s="11"/>
      <c r="Q28" s="11"/>
      <c r="R28" s="11"/>
      <c r="S28" s="11"/>
      <c r="T28" s="12"/>
      <c r="U28" s="51" t="s">
        <v>102</v>
      </c>
      <c r="V28" s="12"/>
      <c r="W28" s="49" t="s">
        <v>140</v>
      </c>
      <c r="X28" s="11"/>
      <c r="Y28" s="11"/>
      <c r="Z28" s="11"/>
      <c r="AA28" s="11"/>
      <c r="AB28" s="11"/>
      <c r="AC28" s="12"/>
      <c r="AD28" s="48">
        <v>16.0</v>
      </c>
      <c r="AE28" s="11"/>
      <c r="AF28" s="12"/>
    </row>
    <row r="29" ht="30.0" customHeight="1">
      <c r="B29" s="47">
        <v>22.0</v>
      </c>
      <c r="C29" s="48" t="s">
        <v>141</v>
      </c>
      <c r="D29" s="11"/>
      <c r="E29" s="12"/>
      <c r="F29" s="49" t="s">
        <v>136</v>
      </c>
      <c r="G29" s="11"/>
      <c r="H29" s="11"/>
      <c r="I29" s="11"/>
      <c r="J29" s="11"/>
      <c r="K29" s="11"/>
      <c r="L29" s="12"/>
      <c r="M29" s="49" t="s">
        <v>142</v>
      </c>
      <c r="N29" s="11"/>
      <c r="O29" s="11"/>
      <c r="P29" s="11"/>
      <c r="Q29" s="11"/>
      <c r="R29" s="11"/>
      <c r="S29" s="11"/>
      <c r="T29" s="12"/>
      <c r="U29" s="50" t="s">
        <v>82</v>
      </c>
      <c r="V29" s="12"/>
      <c r="W29" s="49" t="s">
        <v>143</v>
      </c>
      <c r="X29" s="11"/>
      <c r="Y29" s="11"/>
      <c r="Z29" s="11"/>
      <c r="AA29" s="11"/>
      <c r="AB29" s="11"/>
      <c r="AC29" s="12"/>
      <c r="AD29" s="48">
        <v>18.0</v>
      </c>
      <c r="AE29" s="11"/>
      <c r="AF29" s="12"/>
    </row>
    <row r="30" ht="30.0" customHeight="1">
      <c r="B30" s="47">
        <v>23.0</v>
      </c>
      <c r="C30" s="48" t="s">
        <v>144</v>
      </c>
      <c r="D30" s="11"/>
      <c r="E30" s="12"/>
      <c r="F30" s="49" t="s">
        <v>136</v>
      </c>
      <c r="G30" s="11"/>
      <c r="H30" s="11"/>
      <c r="I30" s="11"/>
      <c r="J30" s="11"/>
      <c r="K30" s="11"/>
      <c r="L30" s="12"/>
      <c r="M30" s="49" t="s">
        <v>145</v>
      </c>
      <c r="N30" s="11"/>
      <c r="O30" s="11"/>
      <c r="P30" s="11"/>
      <c r="Q30" s="11"/>
      <c r="R30" s="11"/>
      <c r="S30" s="11"/>
      <c r="T30" s="12"/>
      <c r="U30" s="51" t="s">
        <v>102</v>
      </c>
      <c r="V30" s="12"/>
      <c r="W30" s="49" t="s">
        <v>146</v>
      </c>
      <c r="X30" s="11"/>
      <c r="Y30" s="11"/>
      <c r="Z30" s="11"/>
      <c r="AA30" s="11"/>
      <c r="AB30" s="11"/>
      <c r="AC30" s="12"/>
      <c r="AD30" s="48">
        <v>8.0</v>
      </c>
      <c r="AE30" s="11"/>
      <c r="AF30" s="12"/>
    </row>
    <row r="31" ht="30.0" customHeight="1">
      <c r="B31" s="47">
        <v>24.0</v>
      </c>
      <c r="C31" s="48" t="s">
        <v>147</v>
      </c>
      <c r="D31" s="11"/>
      <c r="E31" s="12"/>
      <c r="F31" s="49" t="s">
        <v>136</v>
      </c>
      <c r="G31" s="11"/>
      <c r="H31" s="11"/>
      <c r="I31" s="11"/>
      <c r="J31" s="11"/>
      <c r="K31" s="11"/>
      <c r="L31" s="12"/>
      <c r="M31" s="49" t="s">
        <v>148</v>
      </c>
      <c r="N31" s="11"/>
      <c r="O31" s="11"/>
      <c r="P31" s="11"/>
      <c r="Q31" s="11"/>
      <c r="R31" s="11"/>
      <c r="S31" s="11"/>
      <c r="T31" s="12"/>
      <c r="U31" s="50" t="s">
        <v>82</v>
      </c>
      <c r="V31" s="12"/>
      <c r="W31" s="49" t="s">
        <v>149</v>
      </c>
      <c r="X31" s="11"/>
      <c r="Y31" s="11"/>
      <c r="Z31" s="11"/>
      <c r="AA31" s="11"/>
      <c r="AB31" s="11"/>
      <c r="AC31" s="12"/>
      <c r="AD31" s="48">
        <v>10.0</v>
      </c>
      <c r="AE31" s="11"/>
      <c r="AF31" s="12"/>
    </row>
    <row r="32" ht="30.0" customHeight="1">
      <c r="B32" s="47">
        <v>25.0</v>
      </c>
      <c r="C32" s="48" t="s">
        <v>150</v>
      </c>
      <c r="D32" s="11"/>
      <c r="E32" s="12"/>
      <c r="F32" s="49" t="s">
        <v>136</v>
      </c>
      <c r="G32" s="11"/>
      <c r="H32" s="11"/>
      <c r="I32" s="11"/>
      <c r="J32" s="11"/>
      <c r="K32" s="11"/>
      <c r="L32" s="12"/>
      <c r="M32" s="49" t="s">
        <v>151</v>
      </c>
      <c r="N32" s="11"/>
      <c r="O32" s="11"/>
      <c r="P32" s="11"/>
      <c r="Q32" s="11"/>
      <c r="R32" s="11"/>
      <c r="S32" s="11"/>
      <c r="T32" s="12"/>
      <c r="U32" s="51" t="s">
        <v>102</v>
      </c>
      <c r="V32" s="12"/>
      <c r="W32" s="49" t="s">
        <v>152</v>
      </c>
      <c r="X32" s="11"/>
      <c r="Y32" s="11"/>
      <c r="Z32" s="11"/>
      <c r="AA32" s="11"/>
      <c r="AB32" s="11"/>
      <c r="AC32" s="12"/>
      <c r="AD32" s="48">
        <v>30.0</v>
      </c>
      <c r="AE32" s="11"/>
      <c r="AF32" s="12"/>
    </row>
    <row r="33" ht="30.0" customHeight="1">
      <c r="B33" s="47">
        <v>26.0</v>
      </c>
      <c r="C33" s="48" t="s">
        <v>153</v>
      </c>
      <c r="D33" s="11"/>
      <c r="E33" s="12"/>
      <c r="F33" s="49" t="s">
        <v>136</v>
      </c>
      <c r="G33" s="11"/>
      <c r="H33" s="11"/>
      <c r="I33" s="11"/>
      <c r="J33" s="11"/>
      <c r="K33" s="11"/>
      <c r="L33" s="12"/>
      <c r="M33" s="49" t="s">
        <v>154</v>
      </c>
      <c r="N33" s="11"/>
      <c r="O33" s="11"/>
      <c r="P33" s="11"/>
      <c r="Q33" s="11"/>
      <c r="R33" s="11"/>
      <c r="S33" s="11"/>
      <c r="T33" s="12"/>
      <c r="U33" s="50" t="s">
        <v>82</v>
      </c>
      <c r="V33" s="12"/>
      <c r="W33" s="49" t="s">
        <v>155</v>
      </c>
      <c r="X33" s="11"/>
      <c r="Y33" s="11"/>
      <c r="Z33" s="11"/>
      <c r="AA33" s="11"/>
      <c r="AB33" s="11"/>
      <c r="AC33" s="12"/>
      <c r="AD33" s="48">
        <v>15.0</v>
      </c>
      <c r="AE33" s="11"/>
      <c r="AF33" s="12"/>
    </row>
    <row r="34" ht="30.0" customHeight="1">
      <c r="B34" s="47">
        <v>27.0</v>
      </c>
      <c r="C34" s="48" t="s">
        <v>156</v>
      </c>
      <c r="D34" s="11"/>
      <c r="E34" s="12"/>
      <c r="F34" s="49" t="s">
        <v>136</v>
      </c>
      <c r="G34" s="11"/>
      <c r="H34" s="11"/>
      <c r="I34" s="11"/>
      <c r="J34" s="11"/>
      <c r="K34" s="11"/>
      <c r="L34" s="12"/>
      <c r="M34" s="49" t="s">
        <v>157</v>
      </c>
      <c r="N34" s="11"/>
      <c r="O34" s="11"/>
      <c r="P34" s="11"/>
      <c r="Q34" s="11"/>
      <c r="R34" s="11"/>
      <c r="S34" s="11"/>
      <c r="T34" s="12"/>
      <c r="U34" s="50" t="s">
        <v>82</v>
      </c>
      <c r="V34" s="12"/>
      <c r="W34" s="49" t="s">
        <v>158</v>
      </c>
      <c r="X34" s="11"/>
      <c r="Y34" s="11"/>
      <c r="Z34" s="11"/>
      <c r="AA34" s="11"/>
      <c r="AB34" s="11"/>
      <c r="AC34" s="12"/>
      <c r="AD34" s="48">
        <v>18.0</v>
      </c>
      <c r="AE34" s="11"/>
      <c r="AF34" s="12"/>
    </row>
    <row r="35" ht="30.0" customHeight="1">
      <c r="B35" s="47">
        <v>28.0</v>
      </c>
      <c r="C35" s="48" t="s">
        <v>159</v>
      </c>
      <c r="D35" s="11"/>
      <c r="E35" s="12"/>
      <c r="F35" s="49" t="s">
        <v>160</v>
      </c>
      <c r="G35" s="11"/>
      <c r="H35" s="11"/>
      <c r="I35" s="11"/>
      <c r="J35" s="11"/>
      <c r="K35" s="11"/>
      <c r="L35" s="12"/>
      <c r="M35" s="49" t="s">
        <v>161</v>
      </c>
      <c r="N35" s="11"/>
      <c r="O35" s="11"/>
      <c r="P35" s="11"/>
      <c r="Q35" s="11"/>
      <c r="R35" s="11"/>
      <c r="S35" s="11"/>
      <c r="T35" s="12"/>
      <c r="U35" s="50" t="s">
        <v>82</v>
      </c>
      <c r="V35" s="12"/>
      <c r="W35" s="49" t="s">
        <v>162</v>
      </c>
      <c r="X35" s="11"/>
      <c r="Y35" s="11"/>
      <c r="Z35" s="11"/>
      <c r="AA35" s="11"/>
      <c r="AB35" s="11"/>
      <c r="AC35" s="12"/>
      <c r="AD35" s="48">
        <v>25.0</v>
      </c>
      <c r="AE35" s="11"/>
      <c r="AF35" s="12"/>
    </row>
    <row r="36" ht="30.0" customHeight="1">
      <c r="B36" s="47">
        <v>29.0</v>
      </c>
      <c r="C36" s="48" t="s">
        <v>163</v>
      </c>
      <c r="D36" s="11"/>
      <c r="E36" s="12"/>
      <c r="F36" s="49" t="s">
        <v>160</v>
      </c>
      <c r="G36" s="11"/>
      <c r="H36" s="11"/>
      <c r="I36" s="11"/>
      <c r="J36" s="11"/>
      <c r="K36" s="11"/>
      <c r="L36" s="12"/>
      <c r="M36" s="49" t="s">
        <v>164</v>
      </c>
      <c r="N36" s="11"/>
      <c r="O36" s="11"/>
      <c r="P36" s="11"/>
      <c r="Q36" s="11"/>
      <c r="R36" s="11"/>
      <c r="S36" s="11"/>
      <c r="T36" s="12"/>
      <c r="U36" s="50" t="s">
        <v>82</v>
      </c>
      <c r="V36" s="12"/>
      <c r="W36" s="49" t="s">
        <v>94</v>
      </c>
      <c r="X36" s="11"/>
      <c r="Y36" s="11"/>
      <c r="Z36" s="11"/>
      <c r="AA36" s="11"/>
      <c r="AB36" s="11"/>
      <c r="AC36" s="12"/>
      <c r="AD36" s="48">
        <v>8.0</v>
      </c>
      <c r="AE36" s="11"/>
      <c r="AF36" s="12"/>
    </row>
    <row r="37" ht="30.0" customHeight="1">
      <c r="B37" s="47">
        <v>30.0</v>
      </c>
      <c r="C37" s="48" t="s">
        <v>165</v>
      </c>
      <c r="D37" s="11"/>
      <c r="E37" s="12"/>
      <c r="F37" s="49" t="s">
        <v>160</v>
      </c>
      <c r="G37" s="11"/>
      <c r="H37" s="11"/>
      <c r="I37" s="11"/>
      <c r="J37" s="11"/>
      <c r="K37" s="11"/>
      <c r="L37" s="12"/>
      <c r="M37" s="49" t="s">
        <v>166</v>
      </c>
      <c r="N37" s="11"/>
      <c r="O37" s="11"/>
      <c r="P37" s="11"/>
      <c r="Q37" s="11"/>
      <c r="R37" s="11"/>
      <c r="S37" s="11"/>
      <c r="T37" s="12"/>
      <c r="U37" s="50" t="s">
        <v>82</v>
      </c>
      <c r="V37" s="12"/>
      <c r="W37" s="49" t="s">
        <v>167</v>
      </c>
      <c r="X37" s="11"/>
      <c r="Y37" s="11"/>
      <c r="Z37" s="11"/>
      <c r="AA37" s="11"/>
      <c r="AB37" s="11"/>
      <c r="AC37" s="12"/>
      <c r="AD37" s="48">
        <v>15.0</v>
      </c>
      <c r="AE37" s="11"/>
      <c r="AF37" s="12"/>
    </row>
    <row r="38" ht="30.0" customHeight="1">
      <c r="B38" s="47">
        <v>31.0</v>
      </c>
      <c r="C38" s="48" t="s">
        <v>168</v>
      </c>
      <c r="D38" s="11"/>
      <c r="E38" s="12"/>
      <c r="F38" s="49" t="s">
        <v>160</v>
      </c>
      <c r="G38" s="11"/>
      <c r="H38" s="11"/>
      <c r="I38" s="11"/>
      <c r="J38" s="11"/>
      <c r="K38" s="11"/>
      <c r="L38" s="12"/>
      <c r="M38" s="49" t="s">
        <v>169</v>
      </c>
      <c r="N38" s="11"/>
      <c r="O38" s="11"/>
      <c r="P38" s="11"/>
      <c r="Q38" s="11"/>
      <c r="R38" s="11"/>
      <c r="S38" s="11"/>
      <c r="T38" s="12"/>
      <c r="U38" s="50" t="s">
        <v>82</v>
      </c>
      <c r="V38" s="12"/>
      <c r="W38" s="49" t="s">
        <v>94</v>
      </c>
      <c r="X38" s="11"/>
      <c r="Y38" s="11"/>
      <c r="Z38" s="11"/>
      <c r="AA38" s="11"/>
      <c r="AB38" s="11"/>
      <c r="AC38" s="12"/>
      <c r="AD38" s="48">
        <v>40.0</v>
      </c>
      <c r="AE38" s="11"/>
      <c r="AF38" s="12"/>
    </row>
    <row r="39" ht="30.0" customHeight="1">
      <c r="B39" s="47">
        <v>32.0</v>
      </c>
      <c r="C39" s="48" t="s">
        <v>170</v>
      </c>
      <c r="D39" s="11"/>
      <c r="E39" s="12"/>
      <c r="F39" s="49" t="s">
        <v>160</v>
      </c>
      <c r="G39" s="11"/>
      <c r="H39" s="11"/>
      <c r="I39" s="11"/>
      <c r="J39" s="11"/>
      <c r="K39" s="11"/>
      <c r="L39" s="12"/>
      <c r="M39" s="49" t="s">
        <v>171</v>
      </c>
      <c r="N39" s="11"/>
      <c r="O39" s="11"/>
      <c r="P39" s="11"/>
      <c r="Q39" s="11"/>
      <c r="R39" s="11"/>
      <c r="S39" s="11"/>
      <c r="T39" s="12"/>
      <c r="U39" s="51" t="s">
        <v>102</v>
      </c>
      <c r="V39" s="12"/>
      <c r="W39" s="49" t="s">
        <v>172</v>
      </c>
      <c r="X39" s="11"/>
      <c r="Y39" s="11"/>
      <c r="Z39" s="11"/>
      <c r="AA39" s="11"/>
      <c r="AB39" s="11"/>
      <c r="AC39" s="12"/>
      <c r="AD39" s="48">
        <v>20.0</v>
      </c>
      <c r="AE39" s="11"/>
      <c r="AF39" s="12"/>
    </row>
    <row r="40" ht="30.0" customHeight="1">
      <c r="B40" s="47">
        <v>33.0</v>
      </c>
      <c r="C40" s="48" t="s">
        <v>173</v>
      </c>
      <c r="D40" s="11"/>
      <c r="E40" s="12"/>
      <c r="F40" s="49" t="s">
        <v>160</v>
      </c>
      <c r="G40" s="11"/>
      <c r="H40" s="11"/>
      <c r="I40" s="11"/>
      <c r="J40" s="11"/>
      <c r="K40" s="11"/>
      <c r="L40" s="12"/>
      <c r="M40" s="49" t="s">
        <v>174</v>
      </c>
      <c r="N40" s="11"/>
      <c r="O40" s="11"/>
      <c r="P40" s="11"/>
      <c r="Q40" s="11"/>
      <c r="R40" s="11"/>
      <c r="S40" s="11"/>
      <c r="T40" s="12"/>
      <c r="U40" s="51" t="s">
        <v>102</v>
      </c>
      <c r="V40" s="12"/>
      <c r="W40" s="49" t="s">
        <v>175</v>
      </c>
      <c r="X40" s="11"/>
      <c r="Y40" s="11"/>
      <c r="Z40" s="11"/>
      <c r="AA40" s="11"/>
      <c r="AB40" s="11"/>
      <c r="AC40" s="12"/>
      <c r="AD40" s="48">
        <v>12.0</v>
      </c>
      <c r="AE40" s="11"/>
      <c r="AF40" s="12"/>
    </row>
    <row r="41" ht="30.0" customHeight="1">
      <c r="B41" s="47">
        <v>34.0</v>
      </c>
      <c r="C41" s="48" t="s">
        <v>176</v>
      </c>
      <c r="D41" s="11"/>
      <c r="E41" s="12"/>
      <c r="F41" s="49" t="s">
        <v>160</v>
      </c>
      <c r="G41" s="11"/>
      <c r="H41" s="11"/>
      <c r="I41" s="11"/>
      <c r="J41" s="11"/>
      <c r="K41" s="11"/>
      <c r="L41" s="12"/>
      <c r="M41" s="49" t="s">
        <v>177</v>
      </c>
      <c r="N41" s="11"/>
      <c r="O41" s="11"/>
      <c r="P41" s="11"/>
      <c r="Q41" s="11"/>
      <c r="R41" s="11"/>
      <c r="S41" s="11"/>
      <c r="T41" s="12"/>
      <c r="U41" s="50" t="s">
        <v>82</v>
      </c>
      <c r="V41" s="12"/>
      <c r="W41" s="49" t="s">
        <v>178</v>
      </c>
      <c r="X41" s="11"/>
      <c r="Y41" s="11"/>
      <c r="Z41" s="11"/>
      <c r="AA41" s="11"/>
      <c r="AB41" s="11"/>
      <c r="AC41" s="12"/>
      <c r="AD41" s="48">
        <v>15.0</v>
      </c>
      <c r="AE41" s="11"/>
      <c r="AF41" s="12"/>
    </row>
    <row r="42" ht="30.0" customHeight="1">
      <c r="B42" s="47">
        <v>35.0</v>
      </c>
      <c r="C42" s="48" t="s">
        <v>179</v>
      </c>
      <c r="D42" s="11"/>
      <c r="E42" s="12"/>
      <c r="F42" s="49" t="s">
        <v>160</v>
      </c>
      <c r="G42" s="11"/>
      <c r="H42" s="11"/>
      <c r="I42" s="11"/>
      <c r="J42" s="11"/>
      <c r="K42" s="11"/>
      <c r="L42" s="12"/>
      <c r="M42" s="49" t="s">
        <v>180</v>
      </c>
      <c r="N42" s="11"/>
      <c r="O42" s="11"/>
      <c r="P42" s="11"/>
      <c r="Q42" s="11"/>
      <c r="R42" s="11"/>
      <c r="S42" s="11"/>
      <c r="T42" s="12"/>
      <c r="U42" s="51" t="s">
        <v>102</v>
      </c>
      <c r="V42" s="12"/>
      <c r="W42" s="49" t="s">
        <v>94</v>
      </c>
      <c r="X42" s="11"/>
      <c r="Y42" s="11"/>
      <c r="Z42" s="11"/>
      <c r="AA42" s="11"/>
      <c r="AB42" s="11"/>
      <c r="AC42" s="12"/>
      <c r="AD42" s="48">
        <v>30.0</v>
      </c>
      <c r="AE42" s="11"/>
      <c r="AF42" s="12"/>
    </row>
    <row r="43" ht="36.0" customHeight="1">
      <c r="B43" s="47">
        <v>36.0</v>
      </c>
      <c r="C43" s="48" t="s">
        <v>181</v>
      </c>
      <c r="D43" s="11"/>
      <c r="E43" s="12"/>
      <c r="F43" s="49" t="s">
        <v>160</v>
      </c>
      <c r="G43" s="11"/>
      <c r="H43" s="11"/>
      <c r="I43" s="11"/>
      <c r="J43" s="11"/>
      <c r="K43" s="11"/>
      <c r="L43" s="12"/>
      <c r="M43" s="49" t="s">
        <v>182</v>
      </c>
      <c r="N43" s="11"/>
      <c r="O43" s="11"/>
      <c r="P43" s="11"/>
      <c r="Q43" s="11"/>
      <c r="R43" s="11"/>
      <c r="S43" s="11"/>
      <c r="T43" s="12"/>
      <c r="U43" s="50" t="s">
        <v>82</v>
      </c>
      <c r="V43" s="12"/>
      <c r="W43" s="49" t="s">
        <v>167</v>
      </c>
      <c r="X43" s="11"/>
      <c r="Y43" s="11"/>
      <c r="Z43" s="11"/>
      <c r="AA43" s="11"/>
      <c r="AB43" s="11"/>
      <c r="AC43" s="12"/>
      <c r="AD43" s="48">
        <v>6.0</v>
      </c>
      <c r="AE43" s="11"/>
      <c r="AF43" s="12"/>
    </row>
    <row r="44" ht="30.0" customHeight="1">
      <c r="B44" s="47">
        <v>37.0</v>
      </c>
      <c r="C44" s="48" t="s">
        <v>183</v>
      </c>
      <c r="D44" s="11"/>
      <c r="E44" s="12"/>
      <c r="F44" s="49" t="s">
        <v>184</v>
      </c>
      <c r="G44" s="11"/>
      <c r="H44" s="11"/>
      <c r="I44" s="11"/>
      <c r="J44" s="11"/>
      <c r="K44" s="11"/>
      <c r="L44" s="12"/>
      <c r="M44" s="49" t="s">
        <v>185</v>
      </c>
      <c r="N44" s="11"/>
      <c r="O44" s="11"/>
      <c r="P44" s="11"/>
      <c r="Q44" s="11"/>
      <c r="R44" s="11"/>
      <c r="S44" s="11"/>
      <c r="T44" s="12"/>
      <c r="U44" s="52" t="s">
        <v>186</v>
      </c>
      <c r="V44" s="12"/>
      <c r="W44" s="49" t="s">
        <v>187</v>
      </c>
      <c r="X44" s="11"/>
      <c r="Y44" s="11"/>
      <c r="Z44" s="11"/>
      <c r="AA44" s="11"/>
      <c r="AB44" s="11"/>
      <c r="AC44" s="12"/>
      <c r="AD44" s="48">
        <v>60.0</v>
      </c>
      <c r="AE44" s="11"/>
      <c r="AF44" s="12"/>
    </row>
    <row r="45" ht="36.0" customHeight="1">
      <c r="B45" s="47">
        <v>38.0</v>
      </c>
      <c r="C45" s="48" t="s">
        <v>188</v>
      </c>
      <c r="D45" s="11"/>
      <c r="E45" s="12"/>
      <c r="F45" s="49" t="s">
        <v>184</v>
      </c>
      <c r="G45" s="11"/>
      <c r="H45" s="11"/>
      <c r="I45" s="11"/>
      <c r="J45" s="11"/>
      <c r="K45" s="11"/>
      <c r="L45" s="12"/>
      <c r="M45" s="49" t="s">
        <v>189</v>
      </c>
      <c r="N45" s="11"/>
      <c r="O45" s="11"/>
      <c r="P45" s="11"/>
      <c r="Q45" s="11"/>
      <c r="R45" s="11"/>
      <c r="S45" s="11"/>
      <c r="T45" s="12"/>
      <c r="U45" s="52" t="s">
        <v>186</v>
      </c>
      <c r="V45" s="12"/>
      <c r="W45" s="49" t="s">
        <v>187</v>
      </c>
      <c r="X45" s="11"/>
      <c r="Y45" s="11"/>
      <c r="Z45" s="11"/>
      <c r="AA45" s="11"/>
      <c r="AB45" s="11"/>
      <c r="AC45" s="12"/>
      <c r="AD45" s="48">
        <v>40.0</v>
      </c>
      <c r="AE45" s="11"/>
      <c r="AF45" s="12"/>
    </row>
    <row r="46" ht="30.0" customHeight="1">
      <c r="B46" s="47">
        <v>39.0</v>
      </c>
      <c r="C46" s="48" t="s">
        <v>190</v>
      </c>
      <c r="D46" s="11"/>
      <c r="E46" s="12"/>
      <c r="F46" s="49" t="s">
        <v>184</v>
      </c>
      <c r="G46" s="11"/>
      <c r="H46" s="11"/>
      <c r="I46" s="11"/>
      <c r="J46" s="11"/>
      <c r="K46" s="11"/>
      <c r="L46" s="12"/>
      <c r="M46" s="49" t="s">
        <v>191</v>
      </c>
      <c r="N46" s="11"/>
      <c r="O46" s="11"/>
      <c r="P46" s="11"/>
      <c r="Q46" s="11"/>
      <c r="R46" s="11"/>
      <c r="S46" s="11"/>
      <c r="T46" s="12"/>
      <c r="U46" s="52" t="s">
        <v>186</v>
      </c>
      <c r="V46" s="12"/>
      <c r="W46" s="49" t="s">
        <v>113</v>
      </c>
      <c r="X46" s="11"/>
      <c r="Y46" s="11"/>
      <c r="Z46" s="11"/>
      <c r="AA46" s="11"/>
      <c r="AB46" s="11"/>
      <c r="AC46" s="12"/>
      <c r="AD46" s="48">
        <v>25.0</v>
      </c>
      <c r="AE46" s="11"/>
      <c r="AF46" s="12"/>
    </row>
    <row r="47" ht="30.0" customHeight="1">
      <c r="B47" s="47">
        <v>40.0</v>
      </c>
      <c r="C47" s="48" t="s">
        <v>192</v>
      </c>
      <c r="D47" s="11"/>
      <c r="E47" s="12"/>
      <c r="F47" s="49" t="s">
        <v>184</v>
      </c>
      <c r="G47" s="11"/>
      <c r="H47" s="11"/>
      <c r="I47" s="11"/>
      <c r="J47" s="11"/>
      <c r="K47" s="11"/>
      <c r="L47" s="12"/>
      <c r="M47" s="49" t="s">
        <v>193</v>
      </c>
      <c r="N47" s="11"/>
      <c r="O47" s="11"/>
      <c r="P47" s="11"/>
      <c r="Q47" s="11"/>
      <c r="R47" s="11"/>
      <c r="S47" s="11"/>
      <c r="T47" s="12"/>
      <c r="U47" s="52" t="s">
        <v>186</v>
      </c>
      <c r="V47" s="12"/>
      <c r="W47" s="49" t="s">
        <v>94</v>
      </c>
      <c r="X47" s="11"/>
      <c r="Y47" s="11"/>
      <c r="Z47" s="11"/>
      <c r="AA47" s="11"/>
      <c r="AB47" s="11"/>
      <c r="AC47" s="12"/>
      <c r="AD47" s="48">
        <v>5.0</v>
      </c>
      <c r="AE47" s="11"/>
      <c r="AF47" s="12"/>
    </row>
    <row r="48" ht="30.0" customHeight="1">
      <c r="B48" s="47">
        <v>41.0</v>
      </c>
      <c r="C48" s="48" t="s">
        <v>194</v>
      </c>
      <c r="D48" s="11"/>
      <c r="E48" s="12"/>
      <c r="F48" s="49" t="s">
        <v>184</v>
      </c>
      <c r="G48" s="11"/>
      <c r="H48" s="11"/>
      <c r="I48" s="11"/>
      <c r="J48" s="11"/>
      <c r="K48" s="11"/>
      <c r="L48" s="12"/>
      <c r="M48" s="49" t="s">
        <v>195</v>
      </c>
      <c r="N48" s="11"/>
      <c r="O48" s="11"/>
      <c r="P48" s="11"/>
      <c r="Q48" s="11"/>
      <c r="R48" s="11"/>
      <c r="S48" s="11"/>
      <c r="T48" s="12"/>
      <c r="U48" s="50" t="s">
        <v>82</v>
      </c>
      <c r="V48" s="12"/>
      <c r="W48" s="49" t="s">
        <v>94</v>
      </c>
      <c r="X48" s="11"/>
      <c r="Y48" s="11"/>
      <c r="Z48" s="11"/>
      <c r="AA48" s="11"/>
      <c r="AB48" s="11"/>
      <c r="AC48" s="12"/>
      <c r="AD48" s="48">
        <v>5.0</v>
      </c>
      <c r="AE48" s="11"/>
      <c r="AF48" s="12"/>
    </row>
    <row r="49" ht="30.0" customHeight="1">
      <c r="B49" s="47">
        <v>42.0</v>
      </c>
      <c r="C49" s="48" t="s">
        <v>196</v>
      </c>
      <c r="D49" s="11"/>
      <c r="E49" s="12"/>
      <c r="F49" s="49" t="s">
        <v>184</v>
      </c>
      <c r="G49" s="11"/>
      <c r="H49" s="11"/>
      <c r="I49" s="11"/>
      <c r="J49" s="11"/>
      <c r="K49" s="11"/>
      <c r="L49" s="12"/>
      <c r="M49" s="49" t="s">
        <v>197</v>
      </c>
      <c r="N49" s="11"/>
      <c r="O49" s="11"/>
      <c r="P49" s="11"/>
      <c r="Q49" s="11"/>
      <c r="R49" s="11"/>
      <c r="S49" s="11"/>
      <c r="T49" s="12"/>
      <c r="U49" s="51" t="s">
        <v>102</v>
      </c>
      <c r="V49" s="12"/>
      <c r="W49" s="49" t="s">
        <v>198</v>
      </c>
      <c r="X49" s="11"/>
      <c r="Y49" s="11"/>
      <c r="Z49" s="11"/>
      <c r="AA49" s="11"/>
      <c r="AB49" s="11"/>
      <c r="AC49" s="12"/>
      <c r="AD49" s="48">
        <v>8.0</v>
      </c>
      <c r="AE49" s="11"/>
      <c r="AF49" s="12"/>
    </row>
    <row r="50" ht="30.0" customHeight="1">
      <c r="B50" s="47">
        <v>43.0</v>
      </c>
      <c r="C50" s="48" t="s">
        <v>199</v>
      </c>
      <c r="D50" s="11"/>
      <c r="E50" s="12"/>
      <c r="F50" s="49" t="s">
        <v>200</v>
      </c>
      <c r="G50" s="11"/>
      <c r="H50" s="11"/>
      <c r="I50" s="11"/>
      <c r="J50" s="11"/>
      <c r="K50" s="11"/>
      <c r="L50" s="12"/>
      <c r="M50" s="49" t="s">
        <v>201</v>
      </c>
      <c r="N50" s="11"/>
      <c r="O50" s="11"/>
      <c r="P50" s="11"/>
      <c r="Q50" s="11"/>
      <c r="R50" s="11"/>
      <c r="S50" s="11"/>
      <c r="T50" s="12"/>
      <c r="U50" s="51" t="s">
        <v>102</v>
      </c>
      <c r="V50" s="12"/>
      <c r="W50" s="49" t="s">
        <v>202</v>
      </c>
      <c r="X50" s="11"/>
      <c r="Y50" s="11"/>
      <c r="Z50" s="11"/>
      <c r="AA50" s="11"/>
      <c r="AB50" s="11"/>
      <c r="AC50" s="12"/>
      <c r="AD50" s="48">
        <v>12.0</v>
      </c>
      <c r="AE50" s="11"/>
      <c r="AF50" s="12"/>
    </row>
    <row r="51" ht="30.0" customHeight="1">
      <c r="B51" s="47">
        <v>44.0</v>
      </c>
      <c r="C51" s="48" t="s">
        <v>203</v>
      </c>
      <c r="D51" s="11"/>
      <c r="E51" s="12"/>
      <c r="F51" s="49" t="s">
        <v>200</v>
      </c>
      <c r="G51" s="11"/>
      <c r="H51" s="11"/>
      <c r="I51" s="11"/>
      <c r="J51" s="11"/>
      <c r="K51" s="11"/>
      <c r="L51" s="12"/>
      <c r="M51" s="49" t="s">
        <v>204</v>
      </c>
      <c r="N51" s="11"/>
      <c r="O51" s="11"/>
      <c r="P51" s="11"/>
      <c r="Q51" s="11"/>
      <c r="R51" s="11"/>
      <c r="S51" s="11"/>
      <c r="T51" s="12"/>
      <c r="U51" s="51" t="s">
        <v>102</v>
      </c>
      <c r="V51" s="12"/>
      <c r="W51" s="49" t="s">
        <v>205</v>
      </c>
      <c r="X51" s="11"/>
      <c r="Y51" s="11"/>
      <c r="Z51" s="11"/>
      <c r="AA51" s="11"/>
      <c r="AB51" s="11"/>
      <c r="AC51" s="12"/>
      <c r="AD51" s="48">
        <v>8.0</v>
      </c>
      <c r="AE51" s="11"/>
      <c r="AF51" s="12"/>
    </row>
    <row r="52" ht="22.5" customHeight="1">
      <c r="B52" s="53" t="s">
        <v>58</v>
      </c>
      <c r="C52" s="11"/>
      <c r="D52" s="11"/>
      <c r="E52" s="11"/>
      <c r="F52" s="11"/>
      <c r="G52" s="11"/>
      <c r="H52" s="11"/>
      <c r="I52" s="11"/>
      <c r="J52" s="11"/>
      <c r="K52" s="11"/>
      <c r="L52" s="11"/>
      <c r="M52" s="11"/>
      <c r="N52" s="11"/>
      <c r="O52" s="11"/>
      <c r="P52" s="11"/>
      <c r="Q52" s="11"/>
      <c r="R52" s="11"/>
      <c r="S52" s="11"/>
      <c r="T52" s="12"/>
      <c r="U52" s="39"/>
      <c r="V52" s="12"/>
      <c r="W52" s="39"/>
      <c r="X52" s="11"/>
      <c r="Y52" s="11"/>
      <c r="Z52" s="11"/>
      <c r="AA52" s="11"/>
      <c r="AB52" s="11"/>
      <c r="AC52" s="12"/>
      <c r="AD52" s="39">
        <f>SUM(AD8:AD51)</f>
        <v>1682</v>
      </c>
      <c r="AE52" s="11"/>
      <c r="AF52" s="12"/>
    </row>
    <row r="53" ht="15.75" customHeight="1"/>
    <row r="54" ht="19.5" customHeight="1">
      <c r="B54" s="29" t="s">
        <v>206</v>
      </c>
    </row>
    <row r="55" ht="15.75" customHeight="1"/>
    <row r="56" ht="28.5" customHeight="1">
      <c r="B56" s="46" t="s">
        <v>207</v>
      </c>
      <c r="C56" s="12"/>
      <c r="D56" s="46" t="s">
        <v>208</v>
      </c>
      <c r="E56" s="11"/>
      <c r="F56" s="12"/>
      <c r="G56" s="46" t="s">
        <v>209</v>
      </c>
      <c r="H56" s="11"/>
      <c r="I56" s="11"/>
      <c r="J56" s="11"/>
      <c r="K56" s="11"/>
      <c r="L56" s="12"/>
      <c r="M56" s="46" t="s">
        <v>210</v>
      </c>
      <c r="N56" s="12"/>
      <c r="O56" s="46" t="s">
        <v>211</v>
      </c>
      <c r="P56" s="11"/>
      <c r="Q56" s="12"/>
      <c r="R56" s="46" t="s">
        <v>212</v>
      </c>
      <c r="S56" s="11"/>
      <c r="T56" s="11"/>
      <c r="U56" s="11"/>
      <c r="V56" s="11"/>
      <c r="W56" s="11"/>
      <c r="X56" s="11"/>
      <c r="Y56" s="11"/>
      <c r="Z56" s="11"/>
      <c r="AA56" s="11"/>
      <c r="AB56" s="11"/>
      <c r="AC56" s="11"/>
      <c r="AD56" s="11"/>
      <c r="AE56" s="11"/>
      <c r="AF56" s="11"/>
      <c r="AG56" s="11"/>
      <c r="AH56" s="11"/>
      <c r="AI56" s="11"/>
      <c r="AJ56" s="11"/>
      <c r="AK56" s="12"/>
    </row>
    <row r="57" ht="36.0" customHeight="1">
      <c r="B57" s="54" t="s">
        <v>213</v>
      </c>
      <c r="C57" s="12"/>
      <c r="D57" s="48" t="s">
        <v>214</v>
      </c>
      <c r="E57" s="11"/>
      <c r="F57" s="12"/>
      <c r="G57" s="49" t="s">
        <v>215</v>
      </c>
      <c r="H57" s="11"/>
      <c r="I57" s="11"/>
      <c r="J57" s="11"/>
      <c r="K57" s="11"/>
      <c r="L57" s="12"/>
      <c r="M57" s="48">
        <v>10.0</v>
      </c>
      <c r="N57" s="12"/>
      <c r="O57" s="48" t="s">
        <v>82</v>
      </c>
      <c r="P57" s="11"/>
      <c r="Q57" s="12"/>
      <c r="R57" s="49" t="s">
        <v>216</v>
      </c>
      <c r="S57" s="11"/>
      <c r="T57" s="11"/>
      <c r="U57" s="11"/>
      <c r="V57" s="11"/>
      <c r="W57" s="11"/>
      <c r="X57" s="11"/>
      <c r="Y57" s="11"/>
      <c r="Z57" s="11"/>
      <c r="AA57" s="11"/>
      <c r="AB57" s="11"/>
      <c r="AC57" s="11"/>
      <c r="AD57" s="11"/>
      <c r="AE57" s="11"/>
      <c r="AF57" s="11"/>
      <c r="AG57" s="11"/>
      <c r="AH57" s="11"/>
      <c r="AI57" s="11"/>
      <c r="AJ57" s="11"/>
      <c r="AK57" s="12"/>
    </row>
    <row r="58" ht="30.0" customHeight="1">
      <c r="B58" s="54" t="s">
        <v>217</v>
      </c>
      <c r="C58" s="12"/>
      <c r="D58" s="48" t="s">
        <v>218</v>
      </c>
      <c r="E58" s="11"/>
      <c r="F58" s="12"/>
      <c r="G58" s="49" t="s">
        <v>219</v>
      </c>
      <c r="H58" s="11"/>
      <c r="I58" s="11"/>
      <c r="J58" s="11"/>
      <c r="K58" s="11"/>
      <c r="L58" s="12"/>
      <c r="M58" s="48">
        <v>9.0</v>
      </c>
      <c r="N58" s="12"/>
      <c r="O58" s="48" t="s">
        <v>102</v>
      </c>
      <c r="P58" s="11"/>
      <c r="Q58" s="12"/>
      <c r="R58" s="49" t="s">
        <v>220</v>
      </c>
      <c r="S58" s="11"/>
      <c r="T58" s="11"/>
      <c r="U58" s="11"/>
      <c r="V58" s="11"/>
      <c r="W58" s="11"/>
      <c r="X58" s="11"/>
      <c r="Y58" s="11"/>
      <c r="Z58" s="11"/>
      <c r="AA58" s="11"/>
      <c r="AB58" s="11"/>
      <c r="AC58" s="11"/>
      <c r="AD58" s="11"/>
      <c r="AE58" s="11"/>
      <c r="AF58" s="11"/>
      <c r="AG58" s="11"/>
      <c r="AH58" s="11"/>
      <c r="AI58" s="11"/>
      <c r="AJ58" s="11"/>
      <c r="AK58" s="12"/>
    </row>
    <row r="59" ht="36.0" customHeight="1">
      <c r="B59" s="54" t="s">
        <v>221</v>
      </c>
      <c r="C59" s="12"/>
      <c r="D59" s="48" t="s">
        <v>222</v>
      </c>
      <c r="E59" s="11"/>
      <c r="F59" s="12"/>
      <c r="G59" s="49" t="s">
        <v>223</v>
      </c>
      <c r="H59" s="11"/>
      <c r="I59" s="11"/>
      <c r="J59" s="11"/>
      <c r="K59" s="11"/>
      <c r="L59" s="12"/>
      <c r="M59" s="48">
        <v>8.0</v>
      </c>
      <c r="N59" s="12"/>
      <c r="O59" s="48" t="s">
        <v>82</v>
      </c>
      <c r="P59" s="11"/>
      <c r="Q59" s="12"/>
      <c r="R59" s="49" t="s">
        <v>224</v>
      </c>
      <c r="S59" s="11"/>
      <c r="T59" s="11"/>
      <c r="U59" s="11"/>
      <c r="V59" s="11"/>
      <c r="W59" s="11"/>
      <c r="X59" s="11"/>
      <c r="Y59" s="11"/>
      <c r="Z59" s="11"/>
      <c r="AA59" s="11"/>
      <c r="AB59" s="11"/>
      <c r="AC59" s="11"/>
      <c r="AD59" s="11"/>
      <c r="AE59" s="11"/>
      <c r="AF59" s="11"/>
      <c r="AG59" s="11"/>
      <c r="AH59" s="11"/>
      <c r="AI59" s="11"/>
      <c r="AJ59" s="11"/>
      <c r="AK59" s="12"/>
    </row>
    <row r="60" ht="36.0" customHeight="1">
      <c r="B60" s="54" t="s">
        <v>225</v>
      </c>
      <c r="C60" s="12"/>
      <c r="D60" s="48" t="s">
        <v>226</v>
      </c>
      <c r="E60" s="11"/>
      <c r="F60" s="12"/>
      <c r="G60" s="49" t="s">
        <v>227</v>
      </c>
      <c r="H60" s="11"/>
      <c r="I60" s="11"/>
      <c r="J60" s="11"/>
      <c r="K60" s="11"/>
      <c r="L60" s="12"/>
      <c r="M60" s="48">
        <v>9.0</v>
      </c>
      <c r="N60" s="12"/>
      <c r="O60" s="48" t="s">
        <v>82</v>
      </c>
      <c r="P60" s="11"/>
      <c r="Q60" s="12"/>
      <c r="R60" s="49" t="s">
        <v>228</v>
      </c>
      <c r="S60" s="11"/>
      <c r="T60" s="11"/>
      <c r="U60" s="11"/>
      <c r="V60" s="11"/>
      <c r="W60" s="11"/>
      <c r="X60" s="11"/>
      <c r="Y60" s="11"/>
      <c r="Z60" s="11"/>
      <c r="AA60" s="11"/>
      <c r="AB60" s="11"/>
      <c r="AC60" s="11"/>
      <c r="AD60" s="11"/>
      <c r="AE60" s="11"/>
      <c r="AF60" s="11"/>
      <c r="AG60" s="11"/>
      <c r="AH60" s="11"/>
      <c r="AI60" s="11"/>
      <c r="AJ60" s="11"/>
      <c r="AK60" s="12"/>
    </row>
    <row r="61" ht="36.0" customHeight="1">
      <c r="B61" s="54" t="s">
        <v>229</v>
      </c>
      <c r="C61" s="12"/>
      <c r="D61" s="48" t="s">
        <v>230</v>
      </c>
      <c r="E61" s="11"/>
      <c r="F61" s="12"/>
      <c r="G61" s="49" t="s">
        <v>231</v>
      </c>
      <c r="H61" s="11"/>
      <c r="I61" s="11"/>
      <c r="J61" s="11"/>
      <c r="K61" s="11"/>
      <c r="L61" s="12"/>
      <c r="M61" s="48">
        <v>6.0</v>
      </c>
      <c r="N61" s="12"/>
      <c r="O61" s="48" t="s">
        <v>232</v>
      </c>
      <c r="P61" s="11"/>
      <c r="Q61" s="12"/>
      <c r="R61" s="49" t="s">
        <v>233</v>
      </c>
      <c r="S61" s="11"/>
      <c r="T61" s="11"/>
      <c r="U61" s="11"/>
      <c r="V61" s="11"/>
      <c r="W61" s="11"/>
      <c r="X61" s="11"/>
      <c r="Y61" s="11"/>
      <c r="Z61" s="11"/>
      <c r="AA61" s="11"/>
      <c r="AB61" s="11"/>
      <c r="AC61" s="11"/>
      <c r="AD61" s="11"/>
      <c r="AE61" s="11"/>
      <c r="AF61" s="11"/>
      <c r="AG61" s="11"/>
      <c r="AH61" s="11"/>
      <c r="AI61" s="11"/>
      <c r="AJ61" s="11"/>
      <c r="AK61" s="12"/>
    </row>
    <row r="62" ht="30.0" customHeight="1">
      <c r="B62" s="54" t="s">
        <v>234</v>
      </c>
      <c r="C62" s="12"/>
      <c r="D62" s="48" t="s">
        <v>235</v>
      </c>
      <c r="E62" s="11"/>
      <c r="F62" s="12"/>
      <c r="G62" s="49" t="s">
        <v>236</v>
      </c>
      <c r="H62" s="11"/>
      <c r="I62" s="11"/>
      <c r="J62" s="11"/>
      <c r="K62" s="11"/>
      <c r="L62" s="12"/>
      <c r="M62" s="48">
        <v>2.0</v>
      </c>
      <c r="N62" s="12"/>
      <c r="O62" s="48" t="s">
        <v>102</v>
      </c>
      <c r="P62" s="11"/>
      <c r="Q62" s="12"/>
      <c r="R62" s="49" t="s">
        <v>237</v>
      </c>
      <c r="S62" s="11"/>
      <c r="T62" s="11"/>
      <c r="U62" s="11"/>
      <c r="V62" s="11"/>
      <c r="W62" s="11"/>
      <c r="X62" s="11"/>
      <c r="Y62" s="11"/>
      <c r="Z62" s="11"/>
      <c r="AA62" s="11"/>
      <c r="AB62" s="11"/>
      <c r="AC62" s="11"/>
      <c r="AD62" s="11"/>
      <c r="AE62" s="11"/>
      <c r="AF62" s="11"/>
      <c r="AG62" s="11"/>
      <c r="AH62" s="11"/>
      <c r="AI62" s="11"/>
      <c r="AJ62" s="11"/>
      <c r="AK62" s="12"/>
    </row>
    <row r="63" ht="15.75" customHeight="1"/>
    <row r="64" ht="30.0" customHeight="1">
      <c r="B64" s="55" t="s">
        <v>238</v>
      </c>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239</v>
      </c>
      <c r="B1" s="11"/>
      <c r="C1" s="11"/>
      <c r="D1" s="11"/>
      <c r="E1" s="12"/>
      <c r="F1" s="21" t="s">
        <v>240</v>
      </c>
      <c r="G1" s="11"/>
      <c r="H1" s="11"/>
      <c r="I1" s="11"/>
      <c r="J1" s="11"/>
      <c r="K1" s="11"/>
      <c r="L1" s="11"/>
      <c r="M1" s="11"/>
      <c r="N1" s="11"/>
      <c r="O1" s="11"/>
      <c r="P1" s="11"/>
      <c r="Q1" s="12"/>
      <c r="R1" s="46" t="s">
        <v>241</v>
      </c>
      <c r="S1" s="11"/>
      <c r="T1" s="11"/>
      <c r="U1" s="11"/>
      <c r="V1" s="12"/>
      <c r="W1" s="21" t="s">
        <v>242</v>
      </c>
      <c r="X1" s="11"/>
      <c r="Y1" s="11"/>
      <c r="Z1" s="11"/>
      <c r="AA1" s="11"/>
      <c r="AB1" s="11"/>
      <c r="AC1" s="11"/>
      <c r="AD1" s="11"/>
      <c r="AE1" s="11"/>
      <c r="AF1" s="11"/>
      <c r="AG1" s="11"/>
      <c r="AH1" s="12"/>
    </row>
    <row r="2" ht="22.5" customHeight="1">
      <c r="A2" s="46" t="s">
        <v>23</v>
      </c>
      <c r="B2" s="11"/>
      <c r="C2" s="11"/>
      <c r="D2" s="11"/>
      <c r="E2" s="12"/>
      <c r="F2" s="21" t="s">
        <v>16</v>
      </c>
      <c r="G2" s="11"/>
      <c r="H2" s="11"/>
      <c r="I2" s="11"/>
      <c r="J2" s="11"/>
      <c r="K2" s="11"/>
      <c r="L2" s="11"/>
      <c r="M2" s="11"/>
      <c r="N2" s="11"/>
      <c r="O2" s="11"/>
      <c r="P2" s="11"/>
      <c r="Q2" s="12"/>
      <c r="R2" s="46" t="s">
        <v>22</v>
      </c>
      <c r="S2" s="11"/>
      <c r="T2" s="11"/>
      <c r="U2" s="11"/>
      <c r="V2" s="12"/>
      <c r="W2" s="36" t="s">
        <v>8</v>
      </c>
      <c r="X2" s="11"/>
      <c r="Y2" s="11"/>
      <c r="Z2" s="11"/>
      <c r="AA2" s="11"/>
      <c r="AB2" s="11"/>
      <c r="AC2" s="11"/>
      <c r="AD2" s="11"/>
      <c r="AE2" s="11"/>
      <c r="AF2" s="11"/>
      <c r="AG2" s="11"/>
      <c r="AH2" s="12"/>
    </row>
    <row r="3" ht="22.5" customHeight="1">
      <c r="A3" s="46" t="s">
        <v>13</v>
      </c>
      <c r="B3" s="11"/>
      <c r="C3" s="11"/>
      <c r="D3" s="11"/>
      <c r="E3" s="12"/>
      <c r="F3" s="21" t="s">
        <v>18</v>
      </c>
      <c r="G3" s="11"/>
      <c r="H3" s="11"/>
      <c r="I3" s="11"/>
      <c r="J3" s="11"/>
      <c r="K3" s="11"/>
      <c r="L3" s="11"/>
      <c r="M3" s="11"/>
      <c r="N3" s="11"/>
      <c r="O3" s="11"/>
      <c r="P3" s="11"/>
      <c r="Q3" s="12"/>
      <c r="R3" s="46" t="s">
        <v>243</v>
      </c>
      <c r="S3" s="11"/>
      <c r="T3" s="11"/>
      <c r="U3" s="11"/>
      <c r="V3" s="12"/>
      <c r="W3" s="36"/>
      <c r="X3" s="11"/>
      <c r="Y3" s="11"/>
      <c r="Z3" s="11"/>
      <c r="AA3" s="11"/>
      <c r="AB3" s="11"/>
      <c r="AC3" s="11"/>
      <c r="AD3" s="11"/>
      <c r="AE3" s="11"/>
      <c r="AF3" s="11"/>
      <c r="AG3" s="11"/>
      <c r="AH3" s="12"/>
    </row>
    <row r="4" ht="22.5" customHeight="1">
      <c r="A4" s="46" t="s">
        <v>244</v>
      </c>
      <c r="B4" s="11"/>
      <c r="C4" s="11"/>
      <c r="D4" s="11"/>
      <c r="E4" s="12"/>
      <c r="F4" s="21" t="s">
        <v>245</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ht="22.5" customHeight="1">
      <c r="A5" s="46" t="s">
        <v>246</v>
      </c>
      <c r="B5" s="11"/>
      <c r="C5" s="11"/>
      <c r="D5" s="11"/>
      <c r="E5" s="11"/>
      <c r="F5" s="11"/>
      <c r="G5" s="11"/>
      <c r="H5" s="11"/>
      <c r="I5" s="11"/>
      <c r="J5" s="11"/>
      <c r="K5" s="11"/>
      <c r="L5" s="11"/>
      <c r="M5" s="11"/>
      <c r="N5" s="11"/>
      <c r="O5" s="11"/>
      <c r="P5" s="11"/>
      <c r="Q5" s="11"/>
      <c r="R5" s="11"/>
      <c r="S5" s="12"/>
      <c r="T5" s="46" t="s">
        <v>59</v>
      </c>
      <c r="U5" s="11"/>
      <c r="V5" s="11"/>
      <c r="W5" s="11"/>
      <c r="X5" s="11"/>
      <c r="Y5" s="11"/>
      <c r="Z5" s="11"/>
      <c r="AA5" s="11"/>
      <c r="AB5" s="11"/>
      <c r="AC5" s="11"/>
      <c r="AD5" s="11"/>
      <c r="AE5" s="11"/>
      <c r="AF5" s="11"/>
      <c r="AG5" s="11"/>
      <c r="AH5" s="12"/>
    </row>
    <row r="6" ht="22.5" customHeight="1">
      <c r="A6" s="46" t="s">
        <v>247</v>
      </c>
      <c r="B6" s="11"/>
      <c r="C6" s="11"/>
      <c r="D6" s="11"/>
      <c r="E6" s="11"/>
      <c r="F6" s="11"/>
      <c r="G6" s="12"/>
      <c r="H6" s="46" t="s">
        <v>60</v>
      </c>
      <c r="I6" s="11"/>
      <c r="J6" s="12"/>
      <c r="K6" s="46" t="s">
        <v>61</v>
      </c>
      <c r="L6" s="11"/>
      <c r="M6" s="12"/>
      <c r="N6" s="46" t="s">
        <v>248</v>
      </c>
      <c r="O6" s="11"/>
      <c r="P6" s="12"/>
      <c r="Q6" s="46" t="s">
        <v>58</v>
      </c>
      <c r="R6" s="11"/>
      <c r="S6" s="12"/>
      <c r="T6" s="46" t="s">
        <v>63</v>
      </c>
      <c r="U6" s="11"/>
      <c r="V6" s="12"/>
      <c r="W6" s="46" t="s">
        <v>64</v>
      </c>
      <c r="X6" s="11"/>
      <c r="Y6" s="12"/>
      <c r="Z6" s="46" t="s">
        <v>65</v>
      </c>
      <c r="AA6" s="11"/>
      <c r="AB6" s="12"/>
      <c r="AC6" s="46" t="s">
        <v>66</v>
      </c>
      <c r="AD6" s="11"/>
      <c r="AE6" s="12"/>
      <c r="AF6" s="46" t="s">
        <v>58</v>
      </c>
      <c r="AG6" s="11"/>
      <c r="AH6" s="12"/>
    </row>
    <row r="7" ht="22.5" customHeight="1">
      <c r="A7" s="46" t="s">
        <v>249</v>
      </c>
      <c r="B7" s="11"/>
      <c r="C7" s="11"/>
      <c r="D7" s="11"/>
      <c r="E7" s="11"/>
      <c r="F7" s="11"/>
      <c r="G7" s="12"/>
      <c r="H7" s="20">
        <f t="shared" ref="H7:H8" si="1">COUNTIF($AE$12:$AF$1049,"N")</f>
        <v>23</v>
      </c>
      <c r="I7" s="11"/>
      <c r="J7" s="12"/>
      <c r="K7" s="20">
        <f t="shared" ref="K7:K8" si="2">COUNTIF($AE$12:$AF$1049,"A")</f>
        <v>17</v>
      </c>
      <c r="L7" s="11"/>
      <c r="M7" s="12"/>
      <c r="N7" s="20">
        <f t="shared" ref="N7:N8" si="3">COUNTIF($AE$12:$AF$1049,"B")</f>
        <v>3</v>
      </c>
      <c r="O7" s="11"/>
      <c r="P7" s="12"/>
      <c r="Q7" s="43">
        <f t="shared" ref="Q7:Q8" si="4">SUM(H7:P7)</f>
        <v>43</v>
      </c>
      <c r="R7" s="11"/>
      <c r="S7" s="12"/>
      <c r="T7" s="20">
        <f>COUNTIF($AG$12:$AI$1049,T$6)</f>
        <v>35</v>
      </c>
      <c r="U7" s="11"/>
      <c r="V7" s="12"/>
      <c r="W7" s="20">
        <f>COUNTIF($AG$12:$AI$1049,W$6)</f>
        <v>0</v>
      </c>
      <c r="X7" s="11"/>
      <c r="Y7" s="12"/>
      <c r="Z7" s="20">
        <f>COUNTIF($AG$12:$AI$1049,Z$6)</f>
        <v>3</v>
      </c>
      <c r="AA7" s="11"/>
      <c r="AB7" s="12"/>
      <c r="AC7" s="20">
        <f>COUNTIF($AG$12:$AI$1049,AC$6)</f>
        <v>5</v>
      </c>
      <c r="AD7" s="11"/>
      <c r="AE7" s="12"/>
      <c r="AF7" s="43">
        <f t="shared" ref="AF7:AF8" si="5">SUM(T7:AE7)</f>
        <v>43</v>
      </c>
      <c r="AG7" s="11"/>
      <c r="AH7" s="12"/>
    </row>
    <row r="8" ht="22.5" customHeight="1">
      <c r="A8" s="46" t="s">
        <v>250</v>
      </c>
      <c r="B8" s="11"/>
      <c r="C8" s="11"/>
      <c r="D8" s="11"/>
      <c r="E8" s="11"/>
      <c r="F8" s="11"/>
      <c r="G8" s="12"/>
      <c r="H8" s="20">
        <f t="shared" si="1"/>
        <v>23</v>
      </c>
      <c r="I8" s="11"/>
      <c r="J8" s="12"/>
      <c r="K8" s="20">
        <f t="shared" si="2"/>
        <v>17</v>
      </c>
      <c r="L8" s="11"/>
      <c r="M8" s="12"/>
      <c r="N8" s="20">
        <f t="shared" si="3"/>
        <v>3</v>
      </c>
      <c r="O8" s="11"/>
      <c r="P8" s="12"/>
      <c r="Q8" s="43">
        <f t="shared" si="4"/>
        <v>43</v>
      </c>
      <c r="R8" s="11"/>
      <c r="S8" s="12"/>
      <c r="T8" s="20">
        <f>COUNTIF($AV$12:$AX$1049,T$6)</f>
        <v>0</v>
      </c>
      <c r="U8" s="11"/>
      <c r="V8" s="12"/>
      <c r="W8" s="20">
        <f>COUNTIF($AV$12:$AX$1049,W$6)</f>
        <v>0</v>
      </c>
      <c r="X8" s="11"/>
      <c r="Y8" s="12"/>
      <c r="Z8" s="20">
        <f>COUNTIF($AV$12:$AX$1049,Z$6)</f>
        <v>0</v>
      </c>
      <c r="AA8" s="11"/>
      <c r="AB8" s="12"/>
      <c r="AC8" s="20">
        <f>COUNTIF($AV$12:$AX$1049,AC$6)</f>
        <v>0</v>
      </c>
      <c r="AD8" s="11"/>
      <c r="AE8" s="12"/>
      <c r="AF8" s="43">
        <f t="shared" si="5"/>
        <v>0</v>
      </c>
      <c r="AG8" s="11"/>
      <c r="AH8" s="12"/>
    </row>
    <row r="9" ht="12.75" customHeight="1"/>
    <row r="10" ht="36.0" customHeight="1">
      <c r="A10" s="56" t="s">
        <v>55</v>
      </c>
      <c r="B10" s="57" t="s">
        <v>251</v>
      </c>
      <c r="C10" s="23"/>
      <c r="D10" s="24"/>
      <c r="E10" s="57" t="s">
        <v>252</v>
      </c>
      <c r="F10" s="23"/>
      <c r="G10" s="23"/>
      <c r="H10" s="23"/>
      <c r="I10" s="24"/>
      <c r="J10" s="57" t="s">
        <v>253</v>
      </c>
      <c r="K10" s="23"/>
      <c r="L10" s="23"/>
      <c r="M10" s="23"/>
      <c r="N10" s="23"/>
      <c r="O10" s="23"/>
      <c r="P10" s="24"/>
      <c r="Q10" s="57" t="s">
        <v>254</v>
      </c>
      <c r="R10" s="23"/>
      <c r="S10" s="23"/>
      <c r="T10" s="23"/>
      <c r="U10" s="23"/>
      <c r="V10" s="23"/>
      <c r="W10" s="24"/>
      <c r="X10" s="57" t="s">
        <v>255</v>
      </c>
      <c r="Y10" s="23"/>
      <c r="Z10" s="23"/>
      <c r="AA10" s="23"/>
      <c r="AB10" s="23"/>
      <c r="AC10" s="23"/>
      <c r="AD10" s="24"/>
      <c r="AE10" s="57" t="s">
        <v>256</v>
      </c>
      <c r="AF10" s="24"/>
      <c r="AG10" s="46" t="s">
        <v>257</v>
      </c>
      <c r="AH10" s="11"/>
      <c r="AI10" s="11"/>
      <c r="AJ10" s="11"/>
      <c r="AK10" s="11"/>
      <c r="AL10" s="11"/>
      <c r="AM10" s="11"/>
      <c r="AN10" s="11"/>
      <c r="AO10" s="11"/>
      <c r="AP10" s="11"/>
      <c r="AQ10" s="11"/>
      <c r="AR10" s="11"/>
      <c r="AS10" s="11"/>
      <c r="AT10" s="11"/>
      <c r="AU10" s="12"/>
      <c r="AV10" s="46" t="s">
        <v>258</v>
      </c>
      <c r="AW10" s="11"/>
      <c r="AX10" s="11"/>
      <c r="AY10" s="11"/>
      <c r="AZ10" s="11"/>
      <c r="BA10" s="11"/>
      <c r="BB10" s="11"/>
      <c r="BC10" s="11"/>
      <c r="BD10" s="11"/>
      <c r="BE10" s="11"/>
      <c r="BF10" s="11"/>
      <c r="BG10" s="11"/>
      <c r="BH10" s="11"/>
      <c r="BI10" s="11"/>
      <c r="BJ10" s="12"/>
      <c r="BK10" s="57" t="s">
        <v>259</v>
      </c>
      <c r="BL10" s="23"/>
      <c r="BM10" s="23"/>
      <c r="BN10" s="23"/>
      <c r="BO10" s="23"/>
      <c r="BP10" s="23"/>
      <c r="BQ10" s="24"/>
    </row>
    <row r="11" ht="36.0" customHeight="1">
      <c r="A11" s="40"/>
      <c r="B11" s="26"/>
      <c r="C11" s="27"/>
      <c r="D11" s="28"/>
      <c r="E11" s="26"/>
      <c r="F11" s="27"/>
      <c r="G11" s="27"/>
      <c r="H11" s="27"/>
      <c r="I11" s="28"/>
      <c r="J11" s="26"/>
      <c r="K11" s="27"/>
      <c r="L11" s="27"/>
      <c r="M11" s="27"/>
      <c r="N11" s="27"/>
      <c r="O11" s="27"/>
      <c r="P11" s="28"/>
      <c r="Q11" s="26"/>
      <c r="R11" s="27"/>
      <c r="S11" s="27"/>
      <c r="T11" s="27"/>
      <c r="U11" s="27"/>
      <c r="V11" s="27"/>
      <c r="W11" s="28"/>
      <c r="X11" s="26"/>
      <c r="Y11" s="27"/>
      <c r="Z11" s="27"/>
      <c r="AA11" s="27"/>
      <c r="AB11" s="27"/>
      <c r="AC11" s="27"/>
      <c r="AD11" s="28"/>
      <c r="AE11" s="26"/>
      <c r="AF11" s="28"/>
      <c r="AG11" s="46" t="s">
        <v>260</v>
      </c>
      <c r="AH11" s="11"/>
      <c r="AI11" s="12"/>
      <c r="AJ11" s="46" t="s">
        <v>261</v>
      </c>
      <c r="AK11" s="11"/>
      <c r="AL11" s="12"/>
      <c r="AM11" s="46" t="s">
        <v>11</v>
      </c>
      <c r="AN11" s="11"/>
      <c r="AO11" s="12"/>
      <c r="AP11" s="46" t="s">
        <v>262</v>
      </c>
      <c r="AQ11" s="11"/>
      <c r="AR11" s="12"/>
      <c r="AS11" s="46" t="s">
        <v>263</v>
      </c>
      <c r="AT11" s="11"/>
      <c r="AU11" s="12"/>
      <c r="AV11" s="46" t="s">
        <v>260</v>
      </c>
      <c r="AW11" s="11"/>
      <c r="AX11" s="12"/>
      <c r="AY11" s="46" t="s">
        <v>261</v>
      </c>
      <c r="AZ11" s="11"/>
      <c r="BA11" s="12"/>
      <c r="BB11" s="46" t="s">
        <v>11</v>
      </c>
      <c r="BC11" s="11"/>
      <c r="BD11" s="12"/>
      <c r="BE11" s="46" t="s">
        <v>262</v>
      </c>
      <c r="BF11" s="11"/>
      <c r="BG11" s="12"/>
      <c r="BH11" s="46" t="s">
        <v>263</v>
      </c>
      <c r="BI11" s="11"/>
      <c r="BJ11" s="12"/>
      <c r="BK11" s="26"/>
      <c r="BL11" s="27"/>
      <c r="BM11" s="27"/>
      <c r="BN11" s="27"/>
      <c r="BO11" s="27"/>
      <c r="BP11" s="27"/>
      <c r="BQ11" s="28"/>
    </row>
    <row r="12" ht="22.5" customHeight="1">
      <c r="A12" s="35" t="s">
        <v>264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2"/>
    </row>
    <row r="13" ht="450.0" customHeight="1">
      <c r="A13" s="47">
        <v>1.0</v>
      </c>
      <c r="B13" s="49" t="s">
        <v>265</v>
      </c>
      <c r="C13" s="11"/>
      <c r="D13" s="12"/>
      <c r="E13" s="49" t="s">
        <v>266</v>
      </c>
      <c r="F13" s="11"/>
      <c r="G13" s="11"/>
      <c r="H13" s="11"/>
      <c r="I13" s="12"/>
      <c r="J13" s="49" t="s">
        <v>267</v>
      </c>
      <c r="K13" s="11"/>
      <c r="L13" s="11"/>
      <c r="M13" s="11"/>
      <c r="N13" s="11"/>
      <c r="O13" s="11"/>
      <c r="P13" s="12"/>
      <c r="Q13" s="58" t="s">
        <v>268</v>
      </c>
      <c r="R13" s="11"/>
      <c r="S13" s="11"/>
      <c r="T13" s="11"/>
      <c r="U13" s="11"/>
      <c r="V13" s="11"/>
      <c r="W13" s="12"/>
      <c r="X13" s="58" t="s">
        <v>269</v>
      </c>
      <c r="Y13" s="11"/>
      <c r="Z13" s="11"/>
      <c r="AA13" s="11"/>
      <c r="AB13" s="11"/>
      <c r="AC13" s="11"/>
      <c r="AD13" s="12"/>
      <c r="AE13" s="48" t="s">
        <v>213</v>
      </c>
      <c r="AF13" s="12"/>
      <c r="AG13" s="59" t="s">
        <v>63</v>
      </c>
      <c r="AH13" s="11"/>
      <c r="AI13" s="12"/>
      <c r="AJ13" s="48"/>
      <c r="AK13" s="11"/>
      <c r="AL13" s="12"/>
      <c r="AM13" s="59" t="s">
        <v>270</v>
      </c>
      <c r="AN13" s="11"/>
      <c r="AO13" s="12"/>
      <c r="AP13" s="60">
        <v>46195.0</v>
      </c>
      <c r="AQ13" s="11"/>
      <c r="AR13" s="12"/>
      <c r="AS13" s="48"/>
      <c r="AT13" s="11"/>
      <c r="AU13" s="12"/>
      <c r="AV13" s="48"/>
      <c r="AW13" s="11"/>
      <c r="AX13" s="12"/>
      <c r="AY13" s="48"/>
      <c r="AZ13" s="11"/>
      <c r="BA13" s="12"/>
      <c r="BB13" s="48"/>
      <c r="BC13" s="11"/>
      <c r="BD13" s="12"/>
      <c r="BE13" s="48"/>
      <c r="BF13" s="11"/>
      <c r="BG13" s="12"/>
      <c r="BH13" s="48"/>
      <c r="BI13" s="11"/>
      <c r="BJ13" s="12"/>
      <c r="BK13" s="49" t="s">
        <v>271</v>
      </c>
      <c r="BL13" s="11"/>
      <c r="BM13" s="11"/>
      <c r="BN13" s="11"/>
      <c r="BO13" s="11"/>
      <c r="BP13" s="11"/>
      <c r="BQ13" s="12"/>
    </row>
    <row r="14" ht="415.5" customHeight="1">
      <c r="A14" s="47">
        <v>2.0</v>
      </c>
      <c r="B14" s="49" t="s">
        <v>272</v>
      </c>
      <c r="C14" s="11"/>
      <c r="D14" s="12"/>
      <c r="E14" s="49" t="s">
        <v>273</v>
      </c>
      <c r="F14" s="11"/>
      <c r="G14" s="11"/>
      <c r="H14" s="11"/>
      <c r="I14" s="12"/>
      <c r="J14" s="49" t="s">
        <v>274</v>
      </c>
      <c r="K14" s="11"/>
      <c r="L14" s="11"/>
      <c r="M14" s="11"/>
      <c r="N14" s="11"/>
      <c r="O14" s="11"/>
      <c r="P14" s="12"/>
      <c r="Q14" s="49" t="s">
        <v>275</v>
      </c>
      <c r="R14" s="11"/>
      <c r="S14" s="11"/>
      <c r="T14" s="11"/>
      <c r="U14" s="11"/>
      <c r="V14" s="11"/>
      <c r="W14" s="12"/>
      <c r="X14" s="49" t="s">
        <v>276</v>
      </c>
      <c r="Y14" s="11"/>
      <c r="Z14" s="11"/>
      <c r="AA14" s="11"/>
      <c r="AB14" s="11"/>
      <c r="AC14" s="11"/>
      <c r="AD14" s="12"/>
      <c r="AE14" s="48" t="s">
        <v>213</v>
      </c>
      <c r="AF14" s="12"/>
      <c r="AG14" s="59" t="s">
        <v>63</v>
      </c>
      <c r="AH14" s="11"/>
      <c r="AI14" s="12"/>
      <c r="AJ14" s="48"/>
      <c r="AK14" s="11"/>
      <c r="AL14" s="12"/>
      <c r="AM14" s="59" t="s">
        <v>270</v>
      </c>
      <c r="AN14" s="11"/>
      <c r="AO14" s="12"/>
      <c r="AP14" s="60">
        <v>46195.0</v>
      </c>
      <c r="AQ14" s="11"/>
      <c r="AR14" s="12"/>
      <c r="AS14" s="48"/>
      <c r="AT14" s="11"/>
      <c r="AU14" s="12"/>
      <c r="AV14" s="48"/>
      <c r="AW14" s="11"/>
      <c r="AX14" s="12"/>
      <c r="AY14" s="48"/>
      <c r="AZ14" s="11"/>
      <c r="BA14" s="12"/>
      <c r="BB14" s="48"/>
      <c r="BC14" s="11"/>
      <c r="BD14" s="12"/>
      <c r="BE14" s="48"/>
      <c r="BF14" s="11"/>
      <c r="BG14" s="12"/>
      <c r="BH14" s="48"/>
      <c r="BI14" s="11"/>
      <c r="BJ14" s="12"/>
      <c r="BK14" s="49"/>
      <c r="BL14" s="11"/>
      <c r="BM14" s="11"/>
      <c r="BN14" s="11"/>
      <c r="BO14" s="11"/>
      <c r="BP14" s="11"/>
      <c r="BQ14" s="12"/>
    </row>
    <row r="15" ht="450.0" customHeight="1">
      <c r="A15" s="47">
        <v>3.0</v>
      </c>
      <c r="B15" s="49" t="s">
        <v>277</v>
      </c>
      <c r="C15" s="11"/>
      <c r="D15" s="12"/>
      <c r="E15" s="49" t="s">
        <v>278</v>
      </c>
      <c r="F15" s="11"/>
      <c r="G15" s="11"/>
      <c r="H15" s="11"/>
      <c r="I15" s="12"/>
      <c r="J15" s="49" t="s">
        <v>279</v>
      </c>
      <c r="K15" s="11"/>
      <c r="L15" s="11"/>
      <c r="M15" s="11"/>
      <c r="N15" s="11"/>
      <c r="O15" s="11"/>
      <c r="P15" s="12"/>
      <c r="Q15" s="49" t="s">
        <v>280</v>
      </c>
      <c r="R15" s="11"/>
      <c r="S15" s="11"/>
      <c r="T15" s="11"/>
      <c r="U15" s="11"/>
      <c r="V15" s="11"/>
      <c r="W15" s="12"/>
      <c r="X15" s="49" t="s">
        <v>281</v>
      </c>
      <c r="Y15" s="11"/>
      <c r="Z15" s="11"/>
      <c r="AA15" s="11"/>
      <c r="AB15" s="11"/>
      <c r="AC15" s="11"/>
      <c r="AD15" s="12"/>
      <c r="AE15" s="48" t="s">
        <v>282</v>
      </c>
      <c r="AF15" s="12"/>
      <c r="AG15" s="61" t="s">
        <v>63</v>
      </c>
      <c r="AH15" s="11"/>
      <c r="AI15" s="12"/>
      <c r="AJ15" s="62"/>
      <c r="AK15" s="11"/>
      <c r="AL15" s="12"/>
      <c r="AM15" s="61" t="s">
        <v>270</v>
      </c>
      <c r="AN15" s="11"/>
      <c r="AO15" s="12"/>
      <c r="AP15" s="63">
        <v>46195.0</v>
      </c>
      <c r="AQ15" s="11"/>
      <c r="AR15" s="12"/>
      <c r="AS15" s="48"/>
      <c r="AT15" s="11"/>
      <c r="AU15" s="12"/>
      <c r="AV15" s="48"/>
      <c r="AW15" s="11"/>
      <c r="AX15" s="12"/>
      <c r="AY15" s="48"/>
      <c r="AZ15" s="11"/>
      <c r="BA15" s="12"/>
      <c r="BB15" s="48"/>
      <c r="BC15" s="11"/>
      <c r="BD15" s="12"/>
      <c r="BE15" s="48"/>
      <c r="BF15" s="11"/>
      <c r="BG15" s="12"/>
      <c r="BH15" s="48"/>
      <c r="BI15" s="11"/>
      <c r="BJ15" s="12"/>
      <c r="BK15" s="49"/>
      <c r="BL15" s="11"/>
      <c r="BM15" s="11"/>
      <c r="BN15" s="11"/>
      <c r="BO15" s="11"/>
      <c r="BP15" s="11"/>
      <c r="BQ15" s="12"/>
    </row>
    <row r="16" ht="450.0" customHeight="1">
      <c r="A16" s="47">
        <v>4.0</v>
      </c>
      <c r="B16" s="49" t="s">
        <v>283</v>
      </c>
      <c r="C16" s="11"/>
      <c r="D16" s="12"/>
      <c r="E16" s="49" t="s">
        <v>284</v>
      </c>
      <c r="F16" s="11"/>
      <c r="G16" s="11"/>
      <c r="H16" s="11"/>
      <c r="I16" s="12"/>
      <c r="J16" s="49" t="s">
        <v>285</v>
      </c>
      <c r="K16" s="11"/>
      <c r="L16" s="11"/>
      <c r="M16" s="11"/>
      <c r="N16" s="11"/>
      <c r="O16" s="11"/>
      <c r="P16" s="12"/>
      <c r="Q16" s="49" t="s">
        <v>286</v>
      </c>
      <c r="R16" s="11"/>
      <c r="S16" s="11"/>
      <c r="T16" s="11"/>
      <c r="U16" s="11"/>
      <c r="V16" s="11"/>
      <c r="W16" s="12"/>
      <c r="X16" s="49" t="s">
        <v>287</v>
      </c>
      <c r="Y16" s="11"/>
      <c r="Z16" s="11"/>
      <c r="AA16" s="11"/>
      <c r="AB16" s="11"/>
      <c r="AC16" s="11"/>
      <c r="AD16" s="12"/>
      <c r="AE16" s="48" t="s">
        <v>282</v>
      </c>
      <c r="AF16" s="12"/>
      <c r="AG16" s="61" t="s">
        <v>63</v>
      </c>
      <c r="AH16" s="11"/>
      <c r="AI16" s="12"/>
      <c r="AJ16" s="62"/>
      <c r="AK16" s="11"/>
      <c r="AL16" s="12"/>
      <c r="AM16" s="61" t="s">
        <v>270</v>
      </c>
      <c r="AN16" s="11"/>
      <c r="AO16" s="12"/>
      <c r="AP16" s="63">
        <v>46195.0</v>
      </c>
      <c r="AQ16" s="11"/>
      <c r="AR16" s="12"/>
      <c r="AS16" s="48"/>
      <c r="AT16" s="11"/>
      <c r="AU16" s="12"/>
      <c r="AV16" s="48"/>
      <c r="AW16" s="11"/>
      <c r="AX16" s="12"/>
      <c r="AY16" s="48"/>
      <c r="AZ16" s="11"/>
      <c r="BA16" s="12"/>
      <c r="BB16" s="48"/>
      <c r="BC16" s="11"/>
      <c r="BD16" s="12"/>
      <c r="BE16" s="48"/>
      <c r="BF16" s="11"/>
      <c r="BG16" s="12"/>
      <c r="BH16" s="48"/>
      <c r="BI16" s="11"/>
      <c r="BJ16" s="12"/>
      <c r="BK16" s="49"/>
      <c r="BL16" s="11"/>
      <c r="BM16" s="11"/>
      <c r="BN16" s="11"/>
      <c r="BO16" s="11"/>
      <c r="BP16" s="11"/>
      <c r="BQ16" s="12"/>
    </row>
    <row r="17" ht="450.0" customHeight="1">
      <c r="A17" s="47">
        <v>5.0</v>
      </c>
      <c r="B17" s="49" t="s">
        <v>288</v>
      </c>
      <c r="C17" s="11"/>
      <c r="D17" s="12"/>
      <c r="E17" s="49" t="s">
        <v>289</v>
      </c>
      <c r="F17" s="11"/>
      <c r="G17" s="11"/>
      <c r="H17" s="11"/>
      <c r="I17" s="12"/>
      <c r="J17" s="49" t="s">
        <v>290</v>
      </c>
      <c r="K17" s="11"/>
      <c r="L17" s="11"/>
      <c r="M17" s="11"/>
      <c r="N17" s="11"/>
      <c r="O17" s="11"/>
      <c r="P17" s="12"/>
      <c r="Q17" s="49" t="s">
        <v>291</v>
      </c>
      <c r="R17" s="11"/>
      <c r="S17" s="11"/>
      <c r="T17" s="11"/>
      <c r="U17" s="11"/>
      <c r="V17" s="11"/>
      <c r="W17" s="12"/>
      <c r="X17" s="49" t="s">
        <v>292</v>
      </c>
      <c r="Y17" s="11"/>
      <c r="Z17" s="11"/>
      <c r="AA17" s="11"/>
      <c r="AB17" s="11"/>
      <c r="AC17" s="11"/>
      <c r="AD17" s="12"/>
      <c r="AE17" s="48" t="s">
        <v>282</v>
      </c>
      <c r="AF17" s="12"/>
      <c r="AG17" s="61" t="s">
        <v>63</v>
      </c>
      <c r="AH17" s="11"/>
      <c r="AI17" s="12"/>
      <c r="AJ17" s="62"/>
      <c r="AK17" s="11"/>
      <c r="AL17" s="12"/>
      <c r="AM17" s="61" t="s">
        <v>270</v>
      </c>
      <c r="AN17" s="11"/>
      <c r="AO17" s="12"/>
      <c r="AP17" s="63">
        <v>46195.0</v>
      </c>
      <c r="AQ17" s="11"/>
      <c r="AR17" s="12"/>
      <c r="AS17" s="48"/>
      <c r="AT17" s="11"/>
      <c r="AU17" s="12"/>
      <c r="AV17" s="48"/>
      <c r="AW17" s="11"/>
      <c r="AX17" s="12"/>
      <c r="AY17" s="48"/>
      <c r="AZ17" s="11"/>
      <c r="BA17" s="12"/>
      <c r="BB17" s="48"/>
      <c r="BC17" s="11"/>
      <c r="BD17" s="12"/>
      <c r="BE17" s="48"/>
      <c r="BF17" s="11"/>
      <c r="BG17" s="12"/>
      <c r="BH17" s="48"/>
      <c r="BI17" s="11"/>
      <c r="BJ17" s="12"/>
      <c r="BK17" s="49" t="s">
        <v>293</v>
      </c>
      <c r="BL17" s="11"/>
      <c r="BM17" s="11"/>
      <c r="BN17" s="11"/>
      <c r="BO17" s="11"/>
      <c r="BP17" s="11"/>
      <c r="BQ17" s="12"/>
    </row>
    <row r="18" ht="22.5" customHeight="1">
      <c r="A18" s="35" t="s">
        <v>294</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2"/>
    </row>
    <row r="19" ht="351.75" customHeight="1">
      <c r="A19" s="47">
        <v>6.0</v>
      </c>
      <c r="B19" s="49" t="s">
        <v>295</v>
      </c>
      <c r="C19" s="11"/>
      <c r="D19" s="12"/>
      <c r="E19" s="49" t="s">
        <v>296</v>
      </c>
      <c r="F19" s="11"/>
      <c r="G19" s="11"/>
      <c r="H19" s="11"/>
      <c r="I19" s="12"/>
      <c r="J19" s="49" t="s">
        <v>297</v>
      </c>
      <c r="K19" s="11"/>
      <c r="L19" s="11"/>
      <c r="M19" s="11"/>
      <c r="N19" s="11"/>
      <c r="O19" s="11"/>
      <c r="P19" s="12"/>
      <c r="Q19" s="49" t="s">
        <v>298</v>
      </c>
      <c r="R19" s="11"/>
      <c r="S19" s="11"/>
      <c r="T19" s="11"/>
      <c r="U19" s="11"/>
      <c r="V19" s="11"/>
      <c r="W19" s="12"/>
      <c r="X19" s="49" t="s">
        <v>299</v>
      </c>
      <c r="Y19" s="11"/>
      <c r="Z19" s="11"/>
      <c r="AA19" s="11"/>
      <c r="AB19" s="11"/>
      <c r="AC19" s="11"/>
      <c r="AD19" s="12"/>
      <c r="AE19" s="48" t="s">
        <v>282</v>
      </c>
      <c r="AF19" s="12"/>
      <c r="AG19" s="61" t="s">
        <v>63</v>
      </c>
      <c r="AH19" s="11"/>
      <c r="AI19" s="12"/>
      <c r="AJ19" s="62"/>
      <c r="AK19" s="11"/>
      <c r="AL19" s="12"/>
      <c r="AM19" s="61" t="s">
        <v>270</v>
      </c>
      <c r="AN19" s="11"/>
      <c r="AO19" s="12"/>
      <c r="AP19" s="63">
        <v>46195.0</v>
      </c>
      <c r="AQ19" s="11"/>
      <c r="AR19" s="12"/>
      <c r="AS19" s="48"/>
      <c r="AT19" s="11"/>
      <c r="AU19" s="12"/>
      <c r="AV19" s="48"/>
      <c r="AW19" s="11"/>
      <c r="AX19" s="12"/>
      <c r="AY19" s="48"/>
      <c r="AZ19" s="11"/>
      <c r="BA19" s="12"/>
      <c r="BB19" s="48"/>
      <c r="BC19" s="11"/>
      <c r="BD19" s="12"/>
      <c r="BE19" s="48"/>
      <c r="BF19" s="11"/>
      <c r="BG19" s="12"/>
      <c r="BH19" s="48"/>
      <c r="BI19" s="11"/>
      <c r="BJ19" s="12"/>
      <c r="BK19" s="49"/>
      <c r="BL19" s="11"/>
      <c r="BM19" s="11"/>
      <c r="BN19" s="11"/>
      <c r="BO19" s="11"/>
      <c r="BP19" s="11"/>
      <c r="BQ19" s="12"/>
    </row>
    <row r="20" ht="450.0" customHeight="1">
      <c r="A20" s="47">
        <v>7.0</v>
      </c>
      <c r="B20" s="49" t="s">
        <v>300</v>
      </c>
      <c r="C20" s="11"/>
      <c r="D20" s="12"/>
      <c r="E20" s="49" t="s">
        <v>301</v>
      </c>
      <c r="F20" s="11"/>
      <c r="G20" s="11"/>
      <c r="H20" s="11"/>
      <c r="I20" s="12"/>
      <c r="J20" s="49" t="s">
        <v>302</v>
      </c>
      <c r="K20" s="11"/>
      <c r="L20" s="11"/>
      <c r="M20" s="11"/>
      <c r="N20" s="11"/>
      <c r="O20" s="11"/>
      <c r="P20" s="12"/>
      <c r="Q20" s="49" t="s">
        <v>303</v>
      </c>
      <c r="R20" s="11"/>
      <c r="S20" s="11"/>
      <c r="T20" s="11"/>
      <c r="U20" s="11"/>
      <c r="V20" s="11"/>
      <c r="W20" s="12"/>
      <c r="X20" s="49" t="s">
        <v>304</v>
      </c>
      <c r="Y20" s="11"/>
      <c r="Z20" s="11"/>
      <c r="AA20" s="11"/>
      <c r="AB20" s="11"/>
      <c r="AC20" s="11"/>
      <c r="AD20" s="12"/>
      <c r="AE20" s="48" t="s">
        <v>282</v>
      </c>
      <c r="AF20" s="12"/>
      <c r="AG20" s="61" t="s">
        <v>63</v>
      </c>
      <c r="AH20" s="11"/>
      <c r="AI20" s="12"/>
      <c r="AJ20" s="62"/>
      <c r="AK20" s="11"/>
      <c r="AL20" s="12"/>
      <c r="AM20" s="61" t="s">
        <v>270</v>
      </c>
      <c r="AN20" s="11"/>
      <c r="AO20" s="12"/>
      <c r="AP20" s="63">
        <v>46195.0</v>
      </c>
      <c r="AQ20" s="11"/>
      <c r="AR20" s="12"/>
      <c r="AS20" s="48"/>
      <c r="AT20" s="11"/>
      <c r="AU20" s="12"/>
      <c r="AV20" s="48"/>
      <c r="AW20" s="11"/>
      <c r="AX20" s="12"/>
      <c r="AY20" s="48"/>
      <c r="AZ20" s="11"/>
      <c r="BA20" s="12"/>
      <c r="BB20" s="48"/>
      <c r="BC20" s="11"/>
      <c r="BD20" s="12"/>
      <c r="BE20" s="48"/>
      <c r="BF20" s="11"/>
      <c r="BG20" s="12"/>
      <c r="BH20" s="48"/>
      <c r="BI20" s="11"/>
      <c r="BJ20" s="12"/>
      <c r="BK20" s="49"/>
      <c r="BL20" s="11"/>
      <c r="BM20" s="11"/>
      <c r="BN20" s="11"/>
      <c r="BO20" s="11"/>
      <c r="BP20" s="11"/>
      <c r="BQ20" s="12"/>
    </row>
    <row r="21" ht="450.0" customHeight="1">
      <c r="A21" s="47">
        <v>8.0</v>
      </c>
      <c r="B21" s="49" t="s">
        <v>305</v>
      </c>
      <c r="C21" s="11"/>
      <c r="D21" s="12"/>
      <c r="E21" s="49" t="s">
        <v>306</v>
      </c>
      <c r="F21" s="11"/>
      <c r="G21" s="11"/>
      <c r="H21" s="11"/>
      <c r="I21" s="12"/>
      <c r="J21" s="49" t="s">
        <v>302</v>
      </c>
      <c r="K21" s="11"/>
      <c r="L21" s="11"/>
      <c r="M21" s="11"/>
      <c r="N21" s="11"/>
      <c r="O21" s="11"/>
      <c r="P21" s="12"/>
      <c r="Q21" s="49" t="s">
        <v>307</v>
      </c>
      <c r="R21" s="11"/>
      <c r="S21" s="11"/>
      <c r="T21" s="11"/>
      <c r="U21" s="11"/>
      <c r="V21" s="11"/>
      <c r="W21" s="12"/>
      <c r="X21" s="49" t="s">
        <v>308</v>
      </c>
      <c r="Y21" s="11"/>
      <c r="Z21" s="11"/>
      <c r="AA21" s="11"/>
      <c r="AB21" s="11"/>
      <c r="AC21" s="11"/>
      <c r="AD21" s="12"/>
      <c r="AE21" s="48" t="s">
        <v>282</v>
      </c>
      <c r="AF21" s="12"/>
      <c r="AG21" s="61" t="s">
        <v>63</v>
      </c>
      <c r="AH21" s="11"/>
      <c r="AI21" s="12"/>
      <c r="AJ21" s="62"/>
      <c r="AK21" s="11"/>
      <c r="AL21" s="12"/>
      <c r="AM21" s="61" t="s">
        <v>270</v>
      </c>
      <c r="AN21" s="11"/>
      <c r="AO21" s="12"/>
      <c r="AP21" s="63">
        <v>46195.0</v>
      </c>
      <c r="AQ21" s="11"/>
      <c r="AR21" s="12"/>
      <c r="AS21" s="48"/>
      <c r="AT21" s="11"/>
      <c r="AU21" s="12"/>
      <c r="AV21" s="48"/>
      <c r="AW21" s="11"/>
      <c r="AX21" s="12"/>
      <c r="AY21" s="48"/>
      <c r="AZ21" s="11"/>
      <c r="BA21" s="12"/>
      <c r="BB21" s="48"/>
      <c r="BC21" s="11"/>
      <c r="BD21" s="12"/>
      <c r="BE21" s="48"/>
      <c r="BF21" s="11"/>
      <c r="BG21" s="12"/>
      <c r="BH21" s="48"/>
      <c r="BI21" s="11"/>
      <c r="BJ21" s="12"/>
      <c r="BK21" s="49"/>
      <c r="BL21" s="11"/>
      <c r="BM21" s="11"/>
      <c r="BN21" s="11"/>
      <c r="BO21" s="11"/>
      <c r="BP21" s="11"/>
      <c r="BQ21" s="12"/>
    </row>
    <row r="22" ht="450.0" customHeight="1">
      <c r="A22" s="47">
        <v>9.0</v>
      </c>
      <c r="B22" s="49" t="s">
        <v>309</v>
      </c>
      <c r="C22" s="11"/>
      <c r="D22" s="12"/>
      <c r="E22" s="49" t="s">
        <v>310</v>
      </c>
      <c r="F22" s="11"/>
      <c r="G22" s="11"/>
      <c r="H22" s="11"/>
      <c r="I22" s="12"/>
      <c r="J22" s="49" t="s">
        <v>311</v>
      </c>
      <c r="K22" s="11"/>
      <c r="L22" s="11"/>
      <c r="M22" s="11"/>
      <c r="N22" s="11"/>
      <c r="O22" s="11"/>
      <c r="P22" s="12"/>
      <c r="Q22" s="49" t="s">
        <v>312</v>
      </c>
      <c r="R22" s="11"/>
      <c r="S22" s="11"/>
      <c r="T22" s="11"/>
      <c r="U22" s="11"/>
      <c r="V22" s="11"/>
      <c r="W22" s="12"/>
      <c r="X22" s="49" t="s">
        <v>313</v>
      </c>
      <c r="Y22" s="11"/>
      <c r="Z22" s="11"/>
      <c r="AA22" s="11"/>
      <c r="AB22" s="11"/>
      <c r="AC22" s="11"/>
      <c r="AD22" s="12"/>
      <c r="AE22" s="48" t="s">
        <v>282</v>
      </c>
      <c r="AF22" s="12"/>
      <c r="AG22" s="61" t="s">
        <v>63</v>
      </c>
      <c r="AH22" s="11"/>
      <c r="AI22" s="12"/>
      <c r="AJ22" s="62"/>
      <c r="AK22" s="11"/>
      <c r="AL22" s="12"/>
      <c r="AM22" s="61" t="s">
        <v>270</v>
      </c>
      <c r="AN22" s="11"/>
      <c r="AO22" s="12"/>
      <c r="AP22" s="63">
        <v>46195.0</v>
      </c>
      <c r="AQ22" s="11"/>
      <c r="AR22" s="12"/>
      <c r="AS22" s="48"/>
      <c r="AT22" s="11"/>
      <c r="AU22" s="12"/>
      <c r="AV22" s="48"/>
      <c r="AW22" s="11"/>
      <c r="AX22" s="12"/>
      <c r="AY22" s="48"/>
      <c r="AZ22" s="11"/>
      <c r="BA22" s="12"/>
      <c r="BB22" s="48"/>
      <c r="BC22" s="11"/>
      <c r="BD22" s="12"/>
      <c r="BE22" s="48"/>
      <c r="BF22" s="11"/>
      <c r="BG22" s="12"/>
      <c r="BH22" s="48"/>
      <c r="BI22" s="11"/>
      <c r="BJ22" s="12"/>
      <c r="BK22" s="49"/>
      <c r="BL22" s="11"/>
      <c r="BM22" s="11"/>
      <c r="BN22" s="11"/>
      <c r="BO22" s="11"/>
      <c r="BP22" s="11"/>
      <c r="BQ22" s="12"/>
    </row>
    <row r="23" ht="384.0" customHeight="1">
      <c r="A23" s="64">
        <v>10.0</v>
      </c>
      <c r="B23" s="65" t="s">
        <v>314</v>
      </c>
      <c r="C23" s="11"/>
      <c r="D23" s="12"/>
      <c r="E23" s="65" t="s">
        <v>315</v>
      </c>
      <c r="F23" s="11"/>
      <c r="G23" s="11"/>
      <c r="H23" s="11"/>
      <c r="I23" s="12"/>
      <c r="J23" s="65" t="s">
        <v>316</v>
      </c>
      <c r="K23" s="11"/>
      <c r="L23" s="11"/>
      <c r="M23" s="11"/>
      <c r="N23" s="11"/>
      <c r="O23" s="11"/>
      <c r="P23" s="12"/>
      <c r="Q23" s="65" t="s">
        <v>317</v>
      </c>
      <c r="R23" s="11"/>
      <c r="S23" s="11"/>
      <c r="T23" s="11"/>
      <c r="U23" s="11"/>
      <c r="V23" s="11"/>
      <c r="W23" s="12"/>
      <c r="X23" s="65" t="s">
        <v>318</v>
      </c>
      <c r="Y23" s="11"/>
      <c r="Z23" s="11"/>
      <c r="AA23" s="11"/>
      <c r="AB23" s="11"/>
      <c r="AC23" s="11"/>
      <c r="AD23" s="12"/>
      <c r="AE23" s="66" t="s">
        <v>282</v>
      </c>
      <c r="AF23" s="12"/>
      <c r="AG23" s="67" t="s">
        <v>66</v>
      </c>
      <c r="AH23" s="11"/>
      <c r="AI23" s="12"/>
      <c r="AJ23" s="48"/>
      <c r="AK23" s="11"/>
      <c r="AL23" s="12"/>
      <c r="AM23" s="48"/>
      <c r="AN23" s="11"/>
      <c r="AO23" s="12"/>
      <c r="AP23" s="48"/>
      <c r="AQ23" s="11"/>
      <c r="AR23" s="12"/>
      <c r="AS23" s="48"/>
      <c r="AT23" s="11"/>
      <c r="AU23" s="12"/>
      <c r="AV23" s="48"/>
      <c r="AW23" s="11"/>
      <c r="AX23" s="12"/>
      <c r="AY23" s="48"/>
      <c r="AZ23" s="11"/>
      <c r="BA23" s="12"/>
      <c r="BB23" s="48"/>
      <c r="BC23" s="11"/>
      <c r="BD23" s="12"/>
      <c r="BE23" s="48"/>
      <c r="BF23" s="11"/>
      <c r="BG23" s="12"/>
      <c r="BH23" s="48"/>
      <c r="BI23" s="11"/>
      <c r="BJ23" s="12"/>
      <c r="BK23" s="58" t="s">
        <v>319</v>
      </c>
      <c r="BL23" s="11"/>
      <c r="BM23" s="11"/>
      <c r="BN23" s="11"/>
      <c r="BO23" s="11"/>
      <c r="BP23" s="11"/>
      <c r="BQ23" s="12"/>
    </row>
    <row r="24" ht="415.5" customHeight="1">
      <c r="A24" s="47">
        <v>11.0</v>
      </c>
      <c r="B24" s="49" t="s">
        <v>320</v>
      </c>
      <c r="C24" s="11"/>
      <c r="D24" s="12"/>
      <c r="E24" s="49" t="s">
        <v>321</v>
      </c>
      <c r="F24" s="11"/>
      <c r="G24" s="11"/>
      <c r="H24" s="11"/>
      <c r="I24" s="12"/>
      <c r="J24" s="49" t="s">
        <v>302</v>
      </c>
      <c r="K24" s="11"/>
      <c r="L24" s="11"/>
      <c r="M24" s="11"/>
      <c r="N24" s="11"/>
      <c r="O24" s="11"/>
      <c r="P24" s="12"/>
      <c r="Q24" s="49" t="s">
        <v>322</v>
      </c>
      <c r="R24" s="11"/>
      <c r="S24" s="11"/>
      <c r="T24" s="11"/>
      <c r="U24" s="11"/>
      <c r="V24" s="11"/>
      <c r="W24" s="12"/>
      <c r="X24" s="49" t="s">
        <v>323</v>
      </c>
      <c r="Y24" s="11"/>
      <c r="Z24" s="11"/>
      <c r="AA24" s="11"/>
      <c r="AB24" s="11"/>
      <c r="AC24" s="11"/>
      <c r="AD24" s="12"/>
      <c r="AE24" s="48" t="s">
        <v>282</v>
      </c>
      <c r="AF24" s="12"/>
      <c r="AG24" s="61" t="s">
        <v>63</v>
      </c>
      <c r="AH24" s="11"/>
      <c r="AI24" s="12"/>
      <c r="AJ24" s="62"/>
      <c r="AK24" s="11"/>
      <c r="AL24" s="12"/>
      <c r="AM24" s="61" t="s">
        <v>270</v>
      </c>
      <c r="AN24" s="11"/>
      <c r="AO24" s="12"/>
      <c r="AP24" s="63">
        <v>46195.0</v>
      </c>
      <c r="AQ24" s="11"/>
      <c r="AR24" s="12"/>
      <c r="AS24" s="48"/>
      <c r="AT24" s="11"/>
      <c r="AU24" s="12"/>
      <c r="AV24" s="48"/>
      <c r="AW24" s="11"/>
      <c r="AX24" s="12"/>
      <c r="AY24" s="48"/>
      <c r="AZ24" s="11"/>
      <c r="BA24" s="12"/>
      <c r="BB24" s="48"/>
      <c r="BC24" s="11"/>
      <c r="BD24" s="12"/>
      <c r="BE24" s="48"/>
      <c r="BF24" s="11"/>
      <c r="BG24" s="12"/>
      <c r="BH24" s="48"/>
      <c r="BI24" s="11"/>
      <c r="BJ24" s="12"/>
      <c r="BK24" s="49"/>
      <c r="BL24" s="11"/>
      <c r="BM24" s="11"/>
      <c r="BN24" s="11"/>
      <c r="BO24" s="11"/>
      <c r="BP24" s="11"/>
      <c r="BQ24" s="12"/>
    </row>
    <row r="25" ht="450.0" customHeight="1">
      <c r="A25" s="47">
        <v>12.0</v>
      </c>
      <c r="B25" s="49" t="s">
        <v>324</v>
      </c>
      <c r="C25" s="11"/>
      <c r="D25" s="12"/>
      <c r="E25" s="49" t="s">
        <v>325</v>
      </c>
      <c r="F25" s="11"/>
      <c r="G25" s="11"/>
      <c r="H25" s="11"/>
      <c r="I25" s="12"/>
      <c r="J25" s="49" t="s">
        <v>302</v>
      </c>
      <c r="K25" s="11"/>
      <c r="L25" s="11"/>
      <c r="M25" s="11"/>
      <c r="N25" s="11"/>
      <c r="O25" s="11"/>
      <c r="P25" s="12"/>
      <c r="Q25" s="49" t="s">
        <v>326</v>
      </c>
      <c r="R25" s="11"/>
      <c r="S25" s="11"/>
      <c r="T25" s="11"/>
      <c r="U25" s="11"/>
      <c r="V25" s="11"/>
      <c r="W25" s="12"/>
      <c r="X25" s="49" t="s">
        <v>327</v>
      </c>
      <c r="Y25" s="11"/>
      <c r="Z25" s="11"/>
      <c r="AA25" s="11"/>
      <c r="AB25" s="11"/>
      <c r="AC25" s="11"/>
      <c r="AD25" s="12"/>
      <c r="AE25" s="48" t="s">
        <v>282</v>
      </c>
      <c r="AF25" s="12"/>
      <c r="AG25" s="61" t="s">
        <v>63</v>
      </c>
      <c r="AH25" s="11"/>
      <c r="AI25" s="12"/>
      <c r="AJ25" s="62"/>
      <c r="AK25" s="11"/>
      <c r="AL25" s="12"/>
      <c r="AM25" s="61" t="s">
        <v>270</v>
      </c>
      <c r="AN25" s="11"/>
      <c r="AO25" s="12"/>
      <c r="AP25" s="63">
        <v>46195.0</v>
      </c>
      <c r="AQ25" s="11"/>
      <c r="AR25" s="12"/>
      <c r="AS25" s="48"/>
      <c r="AT25" s="11"/>
      <c r="AU25" s="12"/>
      <c r="AV25" s="48"/>
      <c r="AW25" s="11"/>
      <c r="AX25" s="12"/>
      <c r="AY25" s="48"/>
      <c r="AZ25" s="11"/>
      <c r="BA25" s="12"/>
      <c r="BB25" s="48"/>
      <c r="BC25" s="11"/>
      <c r="BD25" s="12"/>
      <c r="BE25" s="48"/>
      <c r="BF25" s="11"/>
      <c r="BG25" s="12"/>
      <c r="BH25" s="48"/>
      <c r="BI25" s="11"/>
      <c r="BJ25" s="12"/>
      <c r="BK25" s="49" t="s">
        <v>293</v>
      </c>
      <c r="BL25" s="11"/>
      <c r="BM25" s="11"/>
      <c r="BN25" s="11"/>
      <c r="BO25" s="11"/>
      <c r="BP25" s="11"/>
      <c r="BQ25" s="12"/>
    </row>
    <row r="26" ht="22.5" customHeight="1">
      <c r="A26" s="35" t="s">
        <v>328</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2"/>
    </row>
    <row r="27" ht="450.0" customHeight="1">
      <c r="A27" s="47">
        <v>13.0</v>
      </c>
      <c r="B27" s="49" t="s">
        <v>329</v>
      </c>
      <c r="C27" s="11"/>
      <c r="D27" s="12"/>
      <c r="E27" s="49" t="s">
        <v>330</v>
      </c>
      <c r="F27" s="11"/>
      <c r="G27" s="11"/>
      <c r="H27" s="11"/>
      <c r="I27" s="12"/>
      <c r="J27" s="49" t="s">
        <v>331</v>
      </c>
      <c r="K27" s="11"/>
      <c r="L27" s="11"/>
      <c r="M27" s="11"/>
      <c r="N27" s="11"/>
      <c r="O27" s="11"/>
      <c r="P27" s="12"/>
      <c r="Q27" s="49" t="s">
        <v>332</v>
      </c>
      <c r="R27" s="11"/>
      <c r="S27" s="11"/>
      <c r="T27" s="11"/>
      <c r="U27" s="11"/>
      <c r="V27" s="11"/>
      <c r="W27" s="12"/>
      <c r="X27" s="49" t="s">
        <v>333</v>
      </c>
      <c r="Y27" s="11"/>
      <c r="Z27" s="11"/>
      <c r="AA27" s="11"/>
      <c r="AB27" s="11"/>
      <c r="AC27" s="11"/>
      <c r="AD27" s="12"/>
      <c r="AE27" s="48" t="s">
        <v>213</v>
      </c>
      <c r="AF27" s="12"/>
      <c r="AG27" s="61" t="s">
        <v>63</v>
      </c>
      <c r="AH27" s="11"/>
      <c r="AI27" s="12"/>
      <c r="AJ27" s="62"/>
      <c r="AK27" s="11"/>
      <c r="AL27" s="12"/>
      <c r="AM27" s="61" t="s">
        <v>270</v>
      </c>
      <c r="AN27" s="11"/>
      <c r="AO27" s="12"/>
      <c r="AP27" s="63">
        <v>46195.0</v>
      </c>
      <c r="AQ27" s="11"/>
      <c r="AR27" s="12"/>
      <c r="AS27" s="48"/>
      <c r="AT27" s="11"/>
      <c r="AU27" s="12"/>
      <c r="AV27" s="48"/>
      <c r="AW27" s="11"/>
      <c r="AX27" s="12"/>
      <c r="AY27" s="48"/>
      <c r="AZ27" s="11"/>
      <c r="BA27" s="12"/>
      <c r="BB27" s="48"/>
      <c r="BC27" s="11"/>
      <c r="BD27" s="12"/>
      <c r="BE27" s="48"/>
      <c r="BF27" s="11"/>
      <c r="BG27" s="12"/>
      <c r="BH27" s="48"/>
      <c r="BI27" s="11"/>
      <c r="BJ27" s="12"/>
      <c r="BK27" s="49"/>
      <c r="BL27" s="11"/>
      <c r="BM27" s="11"/>
      <c r="BN27" s="11"/>
      <c r="BO27" s="11"/>
      <c r="BP27" s="11"/>
      <c r="BQ27" s="12"/>
    </row>
    <row r="28" ht="415.5" customHeight="1">
      <c r="A28" s="47">
        <v>14.0</v>
      </c>
      <c r="B28" s="49" t="s">
        <v>334</v>
      </c>
      <c r="C28" s="11"/>
      <c r="D28" s="12"/>
      <c r="E28" s="49" t="s">
        <v>335</v>
      </c>
      <c r="F28" s="11"/>
      <c r="G28" s="11"/>
      <c r="H28" s="11"/>
      <c r="I28" s="12"/>
      <c r="J28" s="49" t="s">
        <v>302</v>
      </c>
      <c r="K28" s="11"/>
      <c r="L28" s="11"/>
      <c r="M28" s="11"/>
      <c r="N28" s="11"/>
      <c r="O28" s="11"/>
      <c r="P28" s="12"/>
      <c r="Q28" s="49" t="s">
        <v>336</v>
      </c>
      <c r="R28" s="11"/>
      <c r="S28" s="11"/>
      <c r="T28" s="11"/>
      <c r="U28" s="11"/>
      <c r="V28" s="11"/>
      <c r="W28" s="12"/>
      <c r="X28" s="49" t="s">
        <v>337</v>
      </c>
      <c r="Y28" s="11"/>
      <c r="Z28" s="11"/>
      <c r="AA28" s="11"/>
      <c r="AB28" s="11"/>
      <c r="AC28" s="11"/>
      <c r="AD28" s="12"/>
      <c r="AE28" s="48" t="s">
        <v>213</v>
      </c>
      <c r="AF28" s="12"/>
      <c r="AG28" s="61" t="s">
        <v>63</v>
      </c>
      <c r="AH28" s="11"/>
      <c r="AI28" s="12"/>
      <c r="AJ28" s="62"/>
      <c r="AK28" s="11"/>
      <c r="AL28" s="12"/>
      <c r="AM28" s="61" t="s">
        <v>270</v>
      </c>
      <c r="AN28" s="11"/>
      <c r="AO28" s="12"/>
      <c r="AP28" s="63">
        <v>46195.0</v>
      </c>
      <c r="AQ28" s="11"/>
      <c r="AR28" s="12"/>
      <c r="AS28" s="48"/>
      <c r="AT28" s="11"/>
      <c r="AU28" s="12"/>
      <c r="AV28" s="48"/>
      <c r="AW28" s="11"/>
      <c r="AX28" s="12"/>
      <c r="AY28" s="48"/>
      <c r="AZ28" s="11"/>
      <c r="BA28" s="12"/>
      <c r="BB28" s="48"/>
      <c r="BC28" s="11"/>
      <c r="BD28" s="12"/>
      <c r="BE28" s="48"/>
      <c r="BF28" s="11"/>
      <c r="BG28" s="12"/>
      <c r="BH28" s="48"/>
      <c r="BI28" s="11"/>
      <c r="BJ28" s="12"/>
      <c r="BK28" s="49"/>
      <c r="BL28" s="11"/>
      <c r="BM28" s="11"/>
      <c r="BN28" s="11"/>
      <c r="BO28" s="11"/>
      <c r="BP28" s="11"/>
      <c r="BQ28" s="12"/>
    </row>
    <row r="29" ht="450.0" customHeight="1">
      <c r="A29" s="47">
        <v>15.0</v>
      </c>
      <c r="B29" s="49" t="s">
        <v>338</v>
      </c>
      <c r="C29" s="11"/>
      <c r="D29" s="12"/>
      <c r="E29" s="49" t="s">
        <v>339</v>
      </c>
      <c r="F29" s="11"/>
      <c r="G29" s="11"/>
      <c r="H29" s="11"/>
      <c r="I29" s="12"/>
      <c r="J29" s="49" t="s">
        <v>331</v>
      </c>
      <c r="K29" s="11"/>
      <c r="L29" s="11"/>
      <c r="M29" s="11"/>
      <c r="N29" s="11"/>
      <c r="O29" s="11"/>
      <c r="P29" s="12"/>
      <c r="Q29" s="49" t="s">
        <v>340</v>
      </c>
      <c r="R29" s="11"/>
      <c r="S29" s="11"/>
      <c r="T29" s="11"/>
      <c r="U29" s="11"/>
      <c r="V29" s="11"/>
      <c r="W29" s="12"/>
      <c r="X29" s="49" t="s">
        <v>341</v>
      </c>
      <c r="Y29" s="11"/>
      <c r="Z29" s="11"/>
      <c r="AA29" s="11"/>
      <c r="AB29" s="11"/>
      <c r="AC29" s="11"/>
      <c r="AD29" s="12"/>
      <c r="AE29" s="48" t="s">
        <v>213</v>
      </c>
      <c r="AF29" s="12"/>
      <c r="AG29" s="61" t="s">
        <v>63</v>
      </c>
      <c r="AH29" s="11"/>
      <c r="AI29" s="12"/>
      <c r="AJ29" s="62"/>
      <c r="AK29" s="11"/>
      <c r="AL29" s="12"/>
      <c r="AM29" s="61" t="s">
        <v>270</v>
      </c>
      <c r="AN29" s="11"/>
      <c r="AO29" s="12"/>
      <c r="AP29" s="63">
        <v>46195.0</v>
      </c>
      <c r="AQ29" s="11"/>
      <c r="AR29" s="12"/>
      <c r="AS29" s="48"/>
      <c r="AT29" s="11"/>
      <c r="AU29" s="12"/>
      <c r="AV29" s="48"/>
      <c r="AW29" s="11"/>
      <c r="AX29" s="12"/>
      <c r="AY29" s="48"/>
      <c r="AZ29" s="11"/>
      <c r="BA29" s="12"/>
      <c r="BB29" s="48"/>
      <c r="BC29" s="11"/>
      <c r="BD29" s="12"/>
      <c r="BE29" s="48"/>
      <c r="BF29" s="11"/>
      <c r="BG29" s="12"/>
      <c r="BH29" s="48"/>
      <c r="BI29" s="11"/>
      <c r="BJ29" s="12"/>
      <c r="BK29" s="49"/>
      <c r="BL29" s="11"/>
      <c r="BM29" s="11"/>
      <c r="BN29" s="11"/>
      <c r="BO29" s="11"/>
      <c r="BP29" s="11"/>
      <c r="BQ29" s="12"/>
    </row>
    <row r="30" ht="450.0" customHeight="1">
      <c r="A30" s="64">
        <v>16.0</v>
      </c>
      <c r="B30" s="65" t="s">
        <v>342</v>
      </c>
      <c r="C30" s="11"/>
      <c r="D30" s="12"/>
      <c r="E30" s="65" t="s">
        <v>343</v>
      </c>
      <c r="F30" s="11"/>
      <c r="G30" s="11"/>
      <c r="H30" s="11"/>
      <c r="I30" s="12"/>
      <c r="J30" s="65" t="s">
        <v>302</v>
      </c>
      <c r="K30" s="11"/>
      <c r="L30" s="11"/>
      <c r="M30" s="11"/>
      <c r="N30" s="11"/>
      <c r="O30" s="11"/>
      <c r="P30" s="12"/>
      <c r="Q30" s="65" t="s">
        <v>344</v>
      </c>
      <c r="R30" s="11"/>
      <c r="S30" s="11"/>
      <c r="T30" s="11"/>
      <c r="U30" s="11"/>
      <c r="V30" s="11"/>
      <c r="W30" s="12"/>
      <c r="X30" s="65" t="s">
        <v>345</v>
      </c>
      <c r="Y30" s="11"/>
      <c r="Z30" s="11"/>
      <c r="AA30" s="11"/>
      <c r="AB30" s="11"/>
      <c r="AC30" s="11"/>
      <c r="AD30" s="12"/>
      <c r="AE30" s="66" t="s">
        <v>217</v>
      </c>
      <c r="AF30" s="12"/>
      <c r="AG30" s="67" t="s">
        <v>66</v>
      </c>
      <c r="AH30" s="11"/>
      <c r="AI30" s="12"/>
      <c r="AJ30" s="48"/>
      <c r="AK30" s="11"/>
      <c r="AL30" s="12"/>
      <c r="AM30" s="48"/>
      <c r="AN30" s="11"/>
      <c r="AO30" s="12"/>
      <c r="AP30" s="48"/>
      <c r="AQ30" s="11"/>
      <c r="AR30" s="12"/>
      <c r="AS30" s="48"/>
      <c r="AT30" s="11"/>
      <c r="AU30" s="12"/>
      <c r="AV30" s="48"/>
      <c r="AW30" s="11"/>
      <c r="AX30" s="12"/>
      <c r="AY30" s="48"/>
      <c r="AZ30" s="11"/>
      <c r="BA30" s="12"/>
      <c r="BB30" s="48"/>
      <c r="BC30" s="11"/>
      <c r="BD30" s="12"/>
      <c r="BE30" s="48"/>
      <c r="BF30" s="11"/>
      <c r="BG30" s="12"/>
      <c r="BH30" s="48"/>
      <c r="BI30" s="11"/>
      <c r="BJ30" s="12"/>
      <c r="BK30" s="58" t="s">
        <v>346</v>
      </c>
      <c r="BL30" s="11"/>
      <c r="BM30" s="11"/>
      <c r="BN30" s="11"/>
      <c r="BO30" s="11"/>
      <c r="BP30" s="11"/>
      <c r="BQ30" s="12"/>
    </row>
    <row r="31" ht="450.0" customHeight="1">
      <c r="A31" s="47">
        <v>17.0</v>
      </c>
      <c r="B31" s="65" t="s">
        <v>347</v>
      </c>
      <c r="C31" s="11"/>
      <c r="D31" s="12"/>
      <c r="E31" s="65" t="s">
        <v>348</v>
      </c>
      <c r="F31" s="11"/>
      <c r="G31" s="11"/>
      <c r="H31" s="11"/>
      <c r="I31" s="12"/>
      <c r="J31" s="65" t="s">
        <v>331</v>
      </c>
      <c r="K31" s="11"/>
      <c r="L31" s="11"/>
      <c r="M31" s="11"/>
      <c r="N31" s="11"/>
      <c r="O31" s="11"/>
      <c r="P31" s="12"/>
      <c r="Q31" s="65" t="s">
        <v>349</v>
      </c>
      <c r="R31" s="11"/>
      <c r="S31" s="11"/>
      <c r="T31" s="11"/>
      <c r="U31" s="11"/>
      <c r="V31" s="11"/>
      <c r="W31" s="12"/>
      <c r="X31" s="65" t="s">
        <v>350</v>
      </c>
      <c r="Y31" s="11"/>
      <c r="Z31" s="11"/>
      <c r="AA31" s="11"/>
      <c r="AB31" s="11"/>
      <c r="AC31" s="11"/>
      <c r="AD31" s="12"/>
      <c r="AE31" s="66" t="s">
        <v>217</v>
      </c>
      <c r="AF31" s="12"/>
      <c r="AG31" s="67" t="s">
        <v>66</v>
      </c>
      <c r="AH31" s="11"/>
      <c r="AI31" s="12"/>
      <c r="AJ31" s="48"/>
      <c r="AK31" s="11"/>
      <c r="AL31" s="12"/>
      <c r="AM31" s="48"/>
      <c r="AN31" s="11"/>
      <c r="AO31" s="12"/>
      <c r="AP31" s="48"/>
      <c r="AQ31" s="11"/>
      <c r="AR31" s="12"/>
      <c r="AS31" s="48"/>
      <c r="AT31" s="11"/>
      <c r="AU31" s="12"/>
      <c r="AV31" s="48"/>
      <c r="AW31" s="11"/>
      <c r="AX31" s="12"/>
      <c r="AY31" s="48"/>
      <c r="AZ31" s="11"/>
      <c r="BA31" s="12"/>
      <c r="BB31" s="48"/>
      <c r="BC31" s="11"/>
      <c r="BD31" s="12"/>
      <c r="BE31" s="48"/>
      <c r="BF31" s="11"/>
      <c r="BG31" s="12"/>
      <c r="BH31" s="48"/>
      <c r="BI31" s="11"/>
      <c r="BJ31" s="12"/>
      <c r="BK31" s="58" t="s">
        <v>346</v>
      </c>
      <c r="BL31" s="11"/>
      <c r="BM31" s="11"/>
      <c r="BN31" s="11"/>
      <c r="BO31" s="11"/>
      <c r="BP31" s="11"/>
      <c r="BQ31" s="12"/>
    </row>
    <row r="32" ht="399.75" customHeight="1">
      <c r="A32" s="47">
        <v>18.0</v>
      </c>
      <c r="B32" s="49" t="s">
        <v>351</v>
      </c>
      <c r="C32" s="11"/>
      <c r="D32" s="12"/>
      <c r="E32" s="49" t="s">
        <v>352</v>
      </c>
      <c r="F32" s="11"/>
      <c r="G32" s="11"/>
      <c r="H32" s="11"/>
      <c r="I32" s="12"/>
      <c r="J32" s="49" t="s">
        <v>353</v>
      </c>
      <c r="K32" s="11"/>
      <c r="L32" s="11"/>
      <c r="M32" s="11"/>
      <c r="N32" s="11"/>
      <c r="O32" s="11"/>
      <c r="P32" s="12"/>
      <c r="Q32" s="49" t="s">
        <v>354</v>
      </c>
      <c r="R32" s="11"/>
      <c r="S32" s="11"/>
      <c r="T32" s="11"/>
      <c r="U32" s="11"/>
      <c r="V32" s="11"/>
      <c r="W32" s="12"/>
      <c r="X32" s="49" t="s">
        <v>355</v>
      </c>
      <c r="Y32" s="11"/>
      <c r="Z32" s="11"/>
      <c r="AA32" s="11"/>
      <c r="AB32" s="11"/>
      <c r="AC32" s="11"/>
      <c r="AD32" s="12"/>
      <c r="AE32" s="48" t="s">
        <v>217</v>
      </c>
      <c r="AF32" s="12"/>
      <c r="AG32" s="61" t="s">
        <v>63</v>
      </c>
      <c r="AH32" s="11"/>
      <c r="AI32" s="12"/>
      <c r="AJ32" s="62"/>
      <c r="AK32" s="11"/>
      <c r="AL32" s="12"/>
      <c r="AM32" s="61" t="s">
        <v>270</v>
      </c>
      <c r="AN32" s="11"/>
      <c r="AO32" s="12"/>
      <c r="AP32" s="63">
        <v>46195.0</v>
      </c>
      <c r="AQ32" s="11"/>
      <c r="AR32" s="12"/>
      <c r="AS32" s="48"/>
      <c r="AT32" s="11"/>
      <c r="AU32" s="12"/>
      <c r="AV32" s="48"/>
      <c r="AW32" s="11"/>
      <c r="AX32" s="12"/>
      <c r="AY32" s="48"/>
      <c r="AZ32" s="11"/>
      <c r="BA32" s="12"/>
      <c r="BB32" s="48"/>
      <c r="BC32" s="11"/>
      <c r="BD32" s="12"/>
      <c r="BE32" s="48"/>
      <c r="BF32" s="11"/>
      <c r="BG32" s="12"/>
      <c r="BH32" s="48"/>
      <c r="BI32" s="11"/>
      <c r="BJ32" s="12"/>
      <c r="BK32" s="58"/>
      <c r="BL32" s="11"/>
      <c r="BM32" s="11"/>
      <c r="BN32" s="11"/>
      <c r="BO32" s="11"/>
      <c r="BP32" s="11"/>
      <c r="BQ32" s="12"/>
    </row>
    <row r="33" ht="384.0" customHeight="1">
      <c r="A33" s="64">
        <v>19.0</v>
      </c>
      <c r="B33" s="65" t="s">
        <v>356</v>
      </c>
      <c r="C33" s="11"/>
      <c r="D33" s="12"/>
      <c r="E33" s="65" t="s">
        <v>357</v>
      </c>
      <c r="F33" s="11"/>
      <c r="G33" s="11"/>
      <c r="H33" s="11"/>
      <c r="I33" s="12"/>
      <c r="J33" s="65" t="s">
        <v>358</v>
      </c>
      <c r="K33" s="11"/>
      <c r="L33" s="11"/>
      <c r="M33" s="11"/>
      <c r="N33" s="11"/>
      <c r="O33" s="11"/>
      <c r="P33" s="12"/>
      <c r="Q33" s="65" t="s">
        <v>359</v>
      </c>
      <c r="R33" s="11"/>
      <c r="S33" s="11"/>
      <c r="T33" s="11"/>
      <c r="U33" s="11"/>
      <c r="V33" s="11"/>
      <c r="W33" s="12"/>
      <c r="X33" s="65" t="s">
        <v>360</v>
      </c>
      <c r="Y33" s="11"/>
      <c r="Z33" s="11"/>
      <c r="AA33" s="11"/>
      <c r="AB33" s="11"/>
      <c r="AC33" s="11"/>
      <c r="AD33" s="12"/>
      <c r="AE33" s="66" t="s">
        <v>282</v>
      </c>
      <c r="AF33" s="12"/>
      <c r="AG33" s="67" t="s">
        <v>66</v>
      </c>
      <c r="AH33" s="11"/>
      <c r="AI33" s="12"/>
      <c r="AJ33" s="48"/>
      <c r="AK33" s="11"/>
      <c r="AL33" s="12"/>
      <c r="AM33" s="48"/>
      <c r="AN33" s="11"/>
      <c r="AO33" s="12"/>
      <c r="AP33" s="48"/>
      <c r="AQ33" s="11"/>
      <c r="AR33" s="12"/>
      <c r="AS33" s="48"/>
      <c r="AT33" s="11"/>
      <c r="AU33" s="12"/>
      <c r="AV33" s="48"/>
      <c r="AW33" s="11"/>
      <c r="AX33" s="12"/>
      <c r="AY33" s="48"/>
      <c r="AZ33" s="11"/>
      <c r="BA33" s="12"/>
      <c r="BB33" s="48"/>
      <c r="BC33" s="11"/>
      <c r="BD33" s="12"/>
      <c r="BE33" s="48"/>
      <c r="BF33" s="11"/>
      <c r="BG33" s="12"/>
      <c r="BH33" s="48"/>
      <c r="BI33" s="11"/>
      <c r="BJ33" s="12"/>
      <c r="BK33" s="58" t="s">
        <v>361</v>
      </c>
      <c r="BL33" s="11"/>
      <c r="BM33" s="11"/>
      <c r="BN33" s="11"/>
      <c r="BO33" s="11"/>
      <c r="BP33" s="11"/>
      <c r="BQ33" s="12"/>
    </row>
    <row r="34" ht="450.0" customHeight="1">
      <c r="A34" s="47">
        <v>20.0</v>
      </c>
      <c r="B34" s="49" t="s">
        <v>362</v>
      </c>
      <c r="C34" s="11"/>
      <c r="D34" s="12"/>
      <c r="E34" s="49" t="s">
        <v>363</v>
      </c>
      <c r="F34" s="11"/>
      <c r="G34" s="11"/>
      <c r="H34" s="11"/>
      <c r="I34" s="12"/>
      <c r="J34" s="49" t="s">
        <v>364</v>
      </c>
      <c r="K34" s="11"/>
      <c r="L34" s="11"/>
      <c r="M34" s="11"/>
      <c r="N34" s="11"/>
      <c r="O34" s="11"/>
      <c r="P34" s="12"/>
      <c r="Q34" s="49" t="s">
        <v>365</v>
      </c>
      <c r="R34" s="11"/>
      <c r="S34" s="11"/>
      <c r="T34" s="11"/>
      <c r="U34" s="11"/>
      <c r="V34" s="11"/>
      <c r="W34" s="12"/>
      <c r="X34" s="49" t="s">
        <v>366</v>
      </c>
      <c r="Y34" s="11"/>
      <c r="Z34" s="11"/>
      <c r="AA34" s="11"/>
      <c r="AB34" s="11"/>
      <c r="AC34" s="11"/>
      <c r="AD34" s="12"/>
      <c r="AE34" s="48" t="s">
        <v>213</v>
      </c>
      <c r="AF34" s="12"/>
      <c r="AG34" s="61" t="s">
        <v>63</v>
      </c>
      <c r="AH34" s="11"/>
      <c r="AI34" s="12"/>
      <c r="AJ34" s="62"/>
      <c r="AK34" s="11"/>
      <c r="AL34" s="12"/>
      <c r="AM34" s="61" t="s">
        <v>270</v>
      </c>
      <c r="AN34" s="11"/>
      <c r="AO34" s="12"/>
      <c r="AP34" s="63">
        <v>46195.0</v>
      </c>
      <c r="AQ34" s="11"/>
      <c r="AR34" s="12"/>
      <c r="AS34" s="48"/>
      <c r="AT34" s="11"/>
      <c r="AU34" s="12"/>
      <c r="AV34" s="48"/>
      <c r="AW34" s="11"/>
      <c r="AX34" s="12"/>
      <c r="AY34" s="48"/>
      <c r="AZ34" s="11"/>
      <c r="BA34" s="12"/>
      <c r="BB34" s="48"/>
      <c r="BC34" s="11"/>
      <c r="BD34" s="12"/>
      <c r="BE34" s="48"/>
      <c r="BF34" s="11"/>
      <c r="BG34" s="12"/>
      <c r="BH34" s="48"/>
      <c r="BI34" s="11"/>
      <c r="BJ34" s="12"/>
      <c r="BK34" s="49" t="s">
        <v>293</v>
      </c>
      <c r="BL34" s="11"/>
      <c r="BM34" s="11"/>
      <c r="BN34" s="11"/>
      <c r="BO34" s="11"/>
      <c r="BP34" s="11"/>
      <c r="BQ34" s="12"/>
    </row>
    <row r="35" ht="22.5" customHeight="1">
      <c r="A35" s="35" t="s">
        <v>367</v>
      </c>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2"/>
    </row>
    <row r="36" ht="450.0" customHeight="1">
      <c r="A36" s="47">
        <v>21.0</v>
      </c>
      <c r="B36" s="49" t="s">
        <v>368</v>
      </c>
      <c r="C36" s="11"/>
      <c r="D36" s="12"/>
      <c r="E36" s="49" t="s">
        <v>369</v>
      </c>
      <c r="F36" s="11"/>
      <c r="G36" s="11"/>
      <c r="H36" s="11"/>
      <c r="I36" s="12"/>
      <c r="J36" s="49" t="s">
        <v>370</v>
      </c>
      <c r="K36" s="11"/>
      <c r="L36" s="11"/>
      <c r="M36" s="11"/>
      <c r="N36" s="11"/>
      <c r="O36" s="11"/>
      <c r="P36" s="12"/>
      <c r="Q36" s="49" t="s">
        <v>371</v>
      </c>
      <c r="R36" s="11"/>
      <c r="S36" s="11"/>
      <c r="T36" s="11"/>
      <c r="U36" s="11"/>
      <c r="V36" s="11"/>
      <c r="W36" s="12"/>
      <c r="X36" s="49" t="s">
        <v>372</v>
      </c>
      <c r="Y36" s="11"/>
      <c r="Z36" s="11"/>
      <c r="AA36" s="11"/>
      <c r="AB36" s="11"/>
      <c r="AC36" s="11"/>
      <c r="AD36" s="12"/>
      <c r="AE36" s="48" t="s">
        <v>282</v>
      </c>
      <c r="AF36" s="12"/>
      <c r="AG36" s="61" t="s">
        <v>63</v>
      </c>
      <c r="AH36" s="11"/>
      <c r="AI36" s="12"/>
      <c r="AJ36" s="62"/>
      <c r="AK36" s="11"/>
      <c r="AL36" s="12"/>
      <c r="AM36" s="61" t="s">
        <v>270</v>
      </c>
      <c r="AN36" s="11"/>
      <c r="AO36" s="12"/>
      <c r="AP36" s="63">
        <v>46195.0</v>
      </c>
      <c r="AQ36" s="11"/>
      <c r="AR36" s="12"/>
      <c r="AS36" s="48"/>
      <c r="AT36" s="11"/>
      <c r="AU36" s="12"/>
      <c r="AV36" s="48"/>
      <c r="AW36" s="11"/>
      <c r="AX36" s="12"/>
      <c r="AY36" s="48"/>
      <c r="AZ36" s="11"/>
      <c r="BA36" s="12"/>
      <c r="BB36" s="48"/>
      <c r="BC36" s="11"/>
      <c r="BD36" s="12"/>
      <c r="BE36" s="48"/>
      <c r="BF36" s="11"/>
      <c r="BG36" s="12"/>
      <c r="BH36" s="48"/>
      <c r="BI36" s="11"/>
      <c r="BJ36" s="12"/>
      <c r="BK36" s="49"/>
      <c r="BL36" s="11"/>
      <c r="BM36" s="11"/>
      <c r="BN36" s="11"/>
      <c r="BO36" s="11"/>
      <c r="BP36" s="11"/>
      <c r="BQ36" s="12"/>
    </row>
    <row r="37" ht="367.5" customHeight="1">
      <c r="A37" s="47">
        <v>22.0</v>
      </c>
      <c r="B37" s="49" t="s">
        <v>373</v>
      </c>
      <c r="C37" s="11"/>
      <c r="D37" s="12"/>
      <c r="E37" s="49" t="s">
        <v>374</v>
      </c>
      <c r="F37" s="11"/>
      <c r="G37" s="11"/>
      <c r="H37" s="11"/>
      <c r="I37" s="12"/>
      <c r="J37" s="49" t="s">
        <v>375</v>
      </c>
      <c r="K37" s="11"/>
      <c r="L37" s="11"/>
      <c r="M37" s="11"/>
      <c r="N37" s="11"/>
      <c r="O37" s="11"/>
      <c r="P37" s="12"/>
      <c r="Q37" s="49" t="s">
        <v>376</v>
      </c>
      <c r="R37" s="11"/>
      <c r="S37" s="11"/>
      <c r="T37" s="11"/>
      <c r="U37" s="11"/>
      <c r="V37" s="11"/>
      <c r="W37" s="12"/>
      <c r="X37" s="49" t="s">
        <v>377</v>
      </c>
      <c r="Y37" s="11"/>
      <c r="Z37" s="11"/>
      <c r="AA37" s="11"/>
      <c r="AB37" s="11"/>
      <c r="AC37" s="11"/>
      <c r="AD37" s="12"/>
      <c r="AE37" s="48" t="s">
        <v>282</v>
      </c>
      <c r="AF37" s="12"/>
      <c r="AG37" s="61" t="s">
        <v>63</v>
      </c>
      <c r="AH37" s="11"/>
      <c r="AI37" s="12"/>
      <c r="AJ37" s="62"/>
      <c r="AK37" s="11"/>
      <c r="AL37" s="12"/>
      <c r="AM37" s="61" t="s">
        <v>270</v>
      </c>
      <c r="AN37" s="11"/>
      <c r="AO37" s="12"/>
      <c r="AP37" s="63">
        <v>46195.0</v>
      </c>
      <c r="AQ37" s="11"/>
      <c r="AR37" s="12"/>
      <c r="AS37" s="48"/>
      <c r="AT37" s="11"/>
      <c r="AU37" s="12"/>
      <c r="AV37" s="48"/>
      <c r="AW37" s="11"/>
      <c r="AX37" s="12"/>
      <c r="AY37" s="48"/>
      <c r="AZ37" s="11"/>
      <c r="BA37" s="12"/>
      <c r="BB37" s="48"/>
      <c r="BC37" s="11"/>
      <c r="BD37" s="12"/>
      <c r="BE37" s="48"/>
      <c r="BF37" s="11"/>
      <c r="BG37" s="12"/>
      <c r="BH37" s="48"/>
      <c r="BI37" s="11"/>
      <c r="BJ37" s="12"/>
      <c r="BK37" s="49"/>
      <c r="BL37" s="11"/>
      <c r="BM37" s="11"/>
      <c r="BN37" s="11"/>
      <c r="BO37" s="11"/>
      <c r="BP37" s="11"/>
      <c r="BQ37" s="12"/>
    </row>
    <row r="38" ht="399.75" customHeight="1">
      <c r="A38" s="47">
        <v>23.0</v>
      </c>
      <c r="B38" s="49" t="s">
        <v>378</v>
      </c>
      <c r="C38" s="11"/>
      <c r="D38" s="12"/>
      <c r="E38" s="49" t="s">
        <v>379</v>
      </c>
      <c r="F38" s="11"/>
      <c r="G38" s="11"/>
      <c r="H38" s="11"/>
      <c r="I38" s="12"/>
      <c r="J38" s="49" t="s">
        <v>380</v>
      </c>
      <c r="K38" s="11"/>
      <c r="L38" s="11"/>
      <c r="M38" s="11"/>
      <c r="N38" s="11"/>
      <c r="O38" s="11"/>
      <c r="P38" s="12"/>
      <c r="Q38" s="49" t="s">
        <v>381</v>
      </c>
      <c r="R38" s="11"/>
      <c r="S38" s="11"/>
      <c r="T38" s="11"/>
      <c r="U38" s="11"/>
      <c r="V38" s="11"/>
      <c r="W38" s="12"/>
      <c r="X38" s="49" t="s">
        <v>382</v>
      </c>
      <c r="Y38" s="11"/>
      <c r="Z38" s="11"/>
      <c r="AA38" s="11"/>
      <c r="AB38" s="11"/>
      <c r="AC38" s="11"/>
      <c r="AD38" s="12"/>
      <c r="AE38" s="48" t="s">
        <v>282</v>
      </c>
      <c r="AF38" s="12"/>
      <c r="AG38" s="61" t="s">
        <v>63</v>
      </c>
      <c r="AH38" s="11"/>
      <c r="AI38" s="12"/>
      <c r="AJ38" s="62"/>
      <c r="AK38" s="11"/>
      <c r="AL38" s="12"/>
      <c r="AM38" s="61" t="s">
        <v>270</v>
      </c>
      <c r="AN38" s="11"/>
      <c r="AO38" s="12"/>
      <c r="AP38" s="63">
        <v>46195.0</v>
      </c>
      <c r="AQ38" s="11"/>
      <c r="AR38" s="12"/>
      <c r="AS38" s="48"/>
      <c r="AT38" s="11"/>
      <c r="AU38" s="12"/>
      <c r="AV38" s="48"/>
      <c r="AW38" s="11"/>
      <c r="AX38" s="12"/>
      <c r="AY38" s="48"/>
      <c r="AZ38" s="11"/>
      <c r="BA38" s="12"/>
      <c r="BB38" s="48"/>
      <c r="BC38" s="11"/>
      <c r="BD38" s="12"/>
      <c r="BE38" s="48"/>
      <c r="BF38" s="11"/>
      <c r="BG38" s="12"/>
      <c r="BH38" s="48"/>
      <c r="BI38" s="11"/>
      <c r="BJ38" s="12"/>
      <c r="BK38" s="49"/>
      <c r="BL38" s="11"/>
      <c r="BM38" s="11"/>
      <c r="BN38" s="11"/>
      <c r="BO38" s="11"/>
      <c r="BP38" s="11"/>
      <c r="BQ38" s="12"/>
    </row>
    <row r="39" ht="432.0" customHeight="1">
      <c r="A39" s="47">
        <v>24.0</v>
      </c>
      <c r="B39" s="49" t="s">
        <v>383</v>
      </c>
      <c r="C39" s="11"/>
      <c r="D39" s="12"/>
      <c r="E39" s="49" t="s">
        <v>384</v>
      </c>
      <c r="F39" s="11"/>
      <c r="G39" s="11"/>
      <c r="H39" s="11"/>
      <c r="I39" s="12"/>
      <c r="J39" s="49" t="s">
        <v>385</v>
      </c>
      <c r="K39" s="11"/>
      <c r="L39" s="11"/>
      <c r="M39" s="11"/>
      <c r="N39" s="11"/>
      <c r="O39" s="11"/>
      <c r="P39" s="12"/>
      <c r="Q39" s="49" t="s">
        <v>386</v>
      </c>
      <c r="R39" s="11"/>
      <c r="S39" s="11"/>
      <c r="T39" s="11"/>
      <c r="U39" s="11"/>
      <c r="V39" s="11"/>
      <c r="W39" s="12"/>
      <c r="X39" s="49" t="s">
        <v>387</v>
      </c>
      <c r="Y39" s="11"/>
      <c r="Z39" s="11"/>
      <c r="AA39" s="11"/>
      <c r="AB39" s="11"/>
      <c r="AC39" s="11"/>
      <c r="AD39" s="12"/>
      <c r="AE39" s="48" t="s">
        <v>282</v>
      </c>
      <c r="AF39" s="12"/>
      <c r="AG39" s="61" t="s">
        <v>63</v>
      </c>
      <c r="AH39" s="11"/>
      <c r="AI39" s="12"/>
      <c r="AJ39" s="62"/>
      <c r="AK39" s="11"/>
      <c r="AL39" s="12"/>
      <c r="AM39" s="61" t="s">
        <v>270</v>
      </c>
      <c r="AN39" s="11"/>
      <c r="AO39" s="12"/>
      <c r="AP39" s="63">
        <v>46195.0</v>
      </c>
      <c r="AQ39" s="11"/>
      <c r="AR39" s="12"/>
      <c r="AS39" s="48"/>
      <c r="AT39" s="11"/>
      <c r="AU39" s="12"/>
      <c r="AV39" s="48"/>
      <c r="AW39" s="11"/>
      <c r="AX39" s="12"/>
      <c r="AY39" s="48"/>
      <c r="AZ39" s="11"/>
      <c r="BA39" s="12"/>
      <c r="BB39" s="48"/>
      <c r="BC39" s="11"/>
      <c r="BD39" s="12"/>
      <c r="BE39" s="48"/>
      <c r="BF39" s="11"/>
      <c r="BG39" s="12"/>
      <c r="BH39" s="48"/>
      <c r="BI39" s="11"/>
      <c r="BJ39" s="12"/>
      <c r="BK39" s="49"/>
      <c r="BL39" s="11"/>
      <c r="BM39" s="11"/>
      <c r="BN39" s="11"/>
      <c r="BO39" s="11"/>
      <c r="BP39" s="11"/>
      <c r="BQ39" s="12"/>
    </row>
    <row r="40" ht="450.0" customHeight="1">
      <c r="A40" s="47">
        <v>25.0</v>
      </c>
      <c r="B40" s="49" t="s">
        <v>388</v>
      </c>
      <c r="C40" s="11"/>
      <c r="D40" s="12"/>
      <c r="E40" s="49" t="s">
        <v>389</v>
      </c>
      <c r="F40" s="11"/>
      <c r="G40" s="11"/>
      <c r="H40" s="11"/>
      <c r="I40" s="12"/>
      <c r="J40" s="49" t="s">
        <v>390</v>
      </c>
      <c r="K40" s="11"/>
      <c r="L40" s="11"/>
      <c r="M40" s="11"/>
      <c r="N40" s="11"/>
      <c r="O40" s="11"/>
      <c r="P40" s="12"/>
      <c r="Q40" s="49" t="s">
        <v>391</v>
      </c>
      <c r="R40" s="11"/>
      <c r="S40" s="11"/>
      <c r="T40" s="11"/>
      <c r="U40" s="11"/>
      <c r="V40" s="11"/>
      <c r="W40" s="12"/>
      <c r="X40" s="49" t="s">
        <v>392</v>
      </c>
      <c r="Y40" s="11"/>
      <c r="Z40" s="11"/>
      <c r="AA40" s="11"/>
      <c r="AB40" s="11"/>
      <c r="AC40" s="11"/>
      <c r="AD40" s="12"/>
      <c r="AE40" s="48" t="s">
        <v>282</v>
      </c>
      <c r="AF40" s="12"/>
      <c r="AG40" s="61" t="s">
        <v>63</v>
      </c>
      <c r="AH40" s="11"/>
      <c r="AI40" s="12"/>
      <c r="AJ40" s="62"/>
      <c r="AK40" s="11"/>
      <c r="AL40" s="12"/>
      <c r="AM40" s="61" t="s">
        <v>270</v>
      </c>
      <c r="AN40" s="11"/>
      <c r="AO40" s="12"/>
      <c r="AP40" s="63">
        <v>46195.0</v>
      </c>
      <c r="AQ40" s="11"/>
      <c r="AR40" s="12"/>
      <c r="AS40" s="48"/>
      <c r="AT40" s="11"/>
      <c r="AU40" s="12"/>
      <c r="AV40" s="48"/>
      <c r="AW40" s="11"/>
      <c r="AX40" s="12"/>
      <c r="AY40" s="48"/>
      <c r="AZ40" s="11"/>
      <c r="BA40" s="12"/>
      <c r="BB40" s="48"/>
      <c r="BC40" s="11"/>
      <c r="BD40" s="12"/>
      <c r="BE40" s="48"/>
      <c r="BF40" s="11"/>
      <c r="BG40" s="12"/>
      <c r="BH40" s="48"/>
      <c r="BI40" s="11"/>
      <c r="BJ40" s="12"/>
      <c r="BK40" s="49"/>
      <c r="BL40" s="11"/>
      <c r="BM40" s="11"/>
      <c r="BN40" s="11"/>
      <c r="BO40" s="11"/>
      <c r="BP40" s="11"/>
      <c r="BQ40" s="12"/>
    </row>
    <row r="41" ht="450.0" customHeight="1">
      <c r="A41" s="47">
        <v>26.0</v>
      </c>
      <c r="B41" s="49" t="s">
        <v>393</v>
      </c>
      <c r="C41" s="11"/>
      <c r="D41" s="12"/>
      <c r="E41" s="49" t="s">
        <v>394</v>
      </c>
      <c r="F41" s="11"/>
      <c r="G41" s="11"/>
      <c r="H41" s="11"/>
      <c r="I41" s="12"/>
      <c r="J41" s="49" t="s">
        <v>395</v>
      </c>
      <c r="K41" s="11"/>
      <c r="L41" s="11"/>
      <c r="M41" s="11"/>
      <c r="N41" s="11"/>
      <c r="O41" s="11"/>
      <c r="P41" s="12"/>
      <c r="Q41" s="49" t="s">
        <v>396</v>
      </c>
      <c r="R41" s="11"/>
      <c r="S41" s="11"/>
      <c r="T41" s="11"/>
      <c r="U41" s="11"/>
      <c r="V41" s="11"/>
      <c r="W41" s="12"/>
      <c r="X41" s="49" t="s">
        <v>397</v>
      </c>
      <c r="Y41" s="11"/>
      <c r="Z41" s="11"/>
      <c r="AA41" s="11"/>
      <c r="AB41" s="11"/>
      <c r="AC41" s="11"/>
      <c r="AD41" s="12"/>
      <c r="AE41" s="48" t="s">
        <v>282</v>
      </c>
      <c r="AF41" s="12"/>
      <c r="AG41" s="61" t="s">
        <v>63</v>
      </c>
      <c r="AH41" s="11"/>
      <c r="AI41" s="12"/>
      <c r="AJ41" s="62"/>
      <c r="AK41" s="11"/>
      <c r="AL41" s="12"/>
      <c r="AM41" s="61" t="s">
        <v>270</v>
      </c>
      <c r="AN41" s="11"/>
      <c r="AO41" s="12"/>
      <c r="AP41" s="63">
        <v>46195.0</v>
      </c>
      <c r="AQ41" s="11"/>
      <c r="AR41" s="12"/>
      <c r="AS41" s="48"/>
      <c r="AT41" s="11"/>
      <c r="AU41" s="12"/>
      <c r="AV41" s="48"/>
      <c r="AW41" s="11"/>
      <c r="AX41" s="12"/>
      <c r="AY41" s="48"/>
      <c r="AZ41" s="11"/>
      <c r="BA41" s="12"/>
      <c r="BB41" s="48"/>
      <c r="BC41" s="11"/>
      <c r="BD41" s="12"/>
      <c r="BE41" s="48"/>
      <c r="BF41" s="11"/>
      <c r="BG41" s="12"/>
      <c r="BH41" s="48"/>
      <c r="BI41" s="11"/>
      <c r="BJ41" s="12"/>
      <c r="BK41" s="49"/>
      <c r="BL41" s="11"/>
      <c r="BM41" s="11"/>
      <c r="BN41" s="11"/>
      <c r="BO41" s="11"/>
      <c r="BP41" s="11"/>
      <c r="BQ41" s="12"/>
    </row>
    <row r="42" ht="336.0" customHeight="1">
      <c r="A42" s="47">
        <v>27.0</v>
      </c>
      <c r="B42" s="49" t="s">
        <v>398</v>
      </c>
      <c r="C42" s="11"/>
      <c r="D42" s="12"/>
      <c r="E42" s="49" t="s">
        <v>399</v>
      </c>
      <c r="F42" s="11"/>
      <c r="G42" s="11"/>
      <c r="H42" s="11"/>
      <c r="I42" s="12"/>
      <c r="J42" s="49" t="s">
        <v>400</v>
      </c>
      <c r="K42" s="11"/>
      <c r="L42" s="11"/>
      <c r="M42" s="11"/>
      <c r="N42" s="11"/>
      <c r="O42" s="11"/>
      <c r="P42" s="12"/>
      <c r="Q42" s="49" t="s">
        <v>401</v>
      </c>
      <c r="R42" s="11"/>
      <c r="S42" s="11"/>
      <c r="T42" s="11"/>
      <c r="U42" s="11"/>
      <c r="V42" s="11"/>
      <c r="W42" s="12"/>
      <c r="X42" s="49" t="s">
        <v>402</v>
      </c>
      <c r="Y42" s="11"/>
      <c r="Z42" s="11"/>
      <c r="AA42" s="11"/>
      <c r="AB42" s="11"/>
      <c r="AC42" s="11"/>
      <c r="AD42" s="12"/>
      <c r="AE42" s="48" t="s">
        <v>282</v>
      </c>
      <c r="AF42" s="12"/>
      <c r="AG42" s="61" t="s">
        <v>63</v>
      </c>
      <c r="AH42" s="11"/>
      <c r="AI42" s="12"/>
      <c r="AJ42" s="62"/>
      <c r="AK42" s="11"/>
      <c r="AL42" s="12"/>
      <c r="AM42" s="61" t="s">
        <v>270</v>
      </c>
      <c r="AN42" s="11"/>
      <c r="AO42" s="12"/>
      <c r="AP42" s="63">
        <v>46195.0</v>
      </c>
      <c r="AQ42" s="11"/>
      <c r="AR42" s="12"/>
      <c r="AS42" s="48"/>
      <c r="AT42" s="11"/>
      <c r="AU42" s="12"/>
      <c r="AV42" s="48"/>
      <c r="AW42" s="11"/>
      <c r="AX42" s="12"/>
      <c r="AY42" s="48"/>
      <c r="AZ42" s="11"/>
      <c r="BA42" s="12"/>
      <c r="BB42" s="48"/>
      <c r="BC42" s="11"/>
      <c r="BD42" s="12"/>
      <c r="BE42" s="48"/>
      <c r="BF42" s="11"/>
      <c r="BG42" s="12"/>
      <c r="BH42" s="48"/>
      <c r="BI42" s="11"/>
      <c r="BJ42" s="12"/>
      <c r="BK42" s="49"/>
      <c r="BL42" s="11"/>
      <c r="BM42" s="11"/>
      <c r="BN42" s="11"/>
      <c r="BO42" s="11"/>
      <c r="BP42" s="11"/>
      <c r="BQ42" s="12"/>
    </row>
    <row r="43" ht="450.0" customHeight="1">
      <c r="A43" s="47">
        <v>28.0</v>
      </c>
      <c r="B43" s="49" t="s">
        <v>403</v>
      </c>
      <c r="C43" s="11"/>
      <c r="D43" s="12"/>
      <c r="E43" s="49" t="s">
        <v>404</v>
      </c>
      <c r="F43" s="11"/>
      <c r="G43" s="11"/>
      <c r="H43" s="11"/>
      <c r="I43" s="12"/>
      <c r="J43" s="49" t="s">
        <v>405</v>
      </c>
      <c r="K43" s="11"/>
      <c r="L43" s="11"/>
      <c r="M43" s="11"/>
      <c r="N43" s="11"/>
      <c r="O43" s="11"/>
      <c r="P43" s="12"/>
      <c r="Q43" s="49" t="s">
        <v>406</v>
      </c>
      <c r="R43" s="11"/>
      <c r="S43" s="11"/>
      <c r="T43" s="11"/>
      <c r="U43" s="11"/>
      <c r="V43" s="11"/>
      <c r="W43" s="12"/>
      <c r="X43" s="58" t="s">
        <v>407</v>
      </c>
      <c r="Y43" s="11"/>
      <c r="Z43" s="11"/>
      <c r="AA43" s="11"/>
      <c r="AB43" s="11"/>
      <c r="AC43" s="11"/>
      <c r="AD43" s="12"/>
      <c r="AE43" s="48" t="s">
        <v>282</v>
      </c>
      <c r="AF43" s="12"/>
      <c r="AG43" s="61" t="s">
        <v>63</v>
      </c>
      <c r="AH43" s="11"/>
      <c r="AI43" s="12"/>
      <c r="AJ43" s="62"/>
      <c r="AK43" s="11"/>
      <c r="AL43" s="12"/>
      <c r="AM43" s="61" t="s">
        <v>270</v>
      </c>
      <c r="AN43" s="11"/>
      <c r="AO43" s="12"/>
      <c r="AP43" s="63">
        <v>46195.0</v>
      </c>
      <c r="AQ43" s="11"/>
      <c r="AR43" s="12"/>
      <c r="AS43" s="48"/>
      <c r="AT43" s="11"/>
      <c r="AU43" s="12"/>
      <c r="AV43" s="48"/>
      <c r="AW43" s="11"/>
      <c r="AX43" s="12"/>
      <c r="AY43" s="48"/>
      <c r="AZ43" s="11"/>
      <c r="BA43" s="12"/>
      <c r="BB43" s="48"/>
      <c r="BC43" s="11"/>
      <c r="BD43" s="12"/>
      <c r="BE43" s="48"/>
      <c r="BF43" s="11"/>
      <c r="BG43" s="12"/>
      <c r="BH43" s="48"/>
      <c r="BI43" s="11"/>
      <c r="BJ43" s="12"/>
      <c r="BK43" s="49"/>
      <c r="BL43" s="11"/>
      <c r="BM43" s="11"/>
      <c r="BN43" s="11"/>
      <c r="BO43" s="11"/>
      <c r="BP43" s="11"/>
      <c r="BQ43" s="12"/>
    </row>
    <row r="44" ht="384.0" customHeight="1">
      <c r="A44" s="47">
        <v>29.0</v>
      </c>
      <c r="B44" s="49" t="s">
        <v>408</v>
      </c>
      <c r="C44" s="11"/>
      <c r="D44" s="12"/>
      <c r="E44" s="49" t="s">
        <v>409</v>
      </c>
      <c r="F44" s="11"/>
      <c r="G44" s="11"/>
      <c r="H44" s="11"/>
      <c r="I44" s="12"/>
      <c r="J44" s="49" t="s">
        <v>410</v>
      </c>
      <c r="K44" s="11"/>
      <c r="L44" s="11"/>
      <c r="M44" s="11"/>
      <c r="N44" s="11"/>
      <c r="O44" s="11"/>
      <c r="P44" s="12"/>
      <c r="Q44" s="49" t="s">
        <v>411</v>
      </c>
      <c r="R44" s="11"/>
      <c r="S44" s="11"/>
      <c r="T44" s="11"/>
      <c r="U44" s="11"/>
      <c r="V44" s="11"/>
      <c r="W44" s="12"/>
      <c r="X44" s="49" t="s">
        <v>412</v>
      </c>
      <c r="Y44" s="11"/>
      <c r="Z44" s="11"/>
      <c r="AA44" s="11"/>
      <c r="AB44" s="11"/>
      <c r="AC44" s="11"/>
      <c r="AD44" s="12"/>
      <c r="AE44" s="48" t="s">
        <v>282</v>
      </c>
      <c r="AF44" s="12"/>
      <c r="AG44" s="61" t="s">
        <v>63</v>
      </c>
      <c r="AH44" s="11"/>
      <c r="AI44" s="12"/>
      <c r="AJ44" s="62"/>
      <c r="AK44" s="11"/>
      <c r="AL44" s="12"/>
      <c r="AM44" s="61" t="s">
        <v>270</v>
      </c>
      <c r="AN44" s="11"/>
      <c r="AO44" s="12"/>
      <c r="AP44" s="63">
        <v>46195.0</v>
      </c>
      <c r="AQ44" s="11"/>
      <c r="AR44" s="12"/>
      <c r="AS44" s="48"/>
      <c r="AT44" s="11"/>
      <c r="AU44" s="12"/>
      <c r="AV44" s="48"/>
      <c r="AW44" s="11"/>
      <c r="AX44" s="12"/>
      <c r="AY44" s="48"/>
      <c r="AZ44" s="11"/>
      <c r="BA44" s="12"/>
      <c r="BB44" s="48"/>
      <c r="BC44" s="11"/>
      <c r="BD44" s="12"/>
      <c r="BE44" s="48"/>
      <c r="BF44" s="11"/>
      <c r="BG44" s="12"/>
      <c r="BH44" s="48"/>
      <c r="BI44" s="11"/>
      <c r="BJ44" s="12"/>
      <c r="BK44" s="49"/>
      <c r="BL44" s="11"/>
      <c r="BM44" s="11"/>
      <c r="BN44" s="11"/>
      <c r="BO44" s="11"/>
      <c r="BP44" s="11"/>
      <c r="BQ44" s="12"/>
    </row>
    <row r="45" ht="450.0" customHeight="1">
      <c r="A45" s="47">
        <v>30.0</v>
      </c>
      <c r="B45" s="49" t="s">
        <v>413</v>
      </c>
      <c r="C45" s="11"/>
      <c r="D45" s="12"/>
      <c r="E45" s="49" t="s">
        <v>414</v>
      </c>
      <c r="F45" s="11"/>
      <c r="G45" s="11"/>
      <c r="H45" s="11"/>
      <c r="I45" s="12"/>
      <c r="J45" s="49" t="s">
        <v>415</v>
      </c>
      <c r="K45" s="11"/>
      <c r="L45" s="11"/>
      <c r="M45" s="11"/>
      <c r="N45" s="11"/>
      <c r="O45" s="11"/>
      <c r="P45" s="12"/>
      <c r="Q45" s="49" t="s">
        <v>416</v>
      </c>
      <c r="R45" s="11"/>
      <c r="S45" s="11"/>
      <c r="T45" s="11"/>
      <c r="U45" s="11"/>
      <c r="V45" s="11"/>
      <c r="W45" s="12"/>
      <c r="X45" s="49" t="s">
        <v>417</v>
      </c>
      <c r="Y45" s="11"/>
      <c r="Z45" s="11"/>
      <c r="AA45" s="11"/>
      <c r="AB45" s="11"/>
      <c r="AC45" s="11"/>
      <c r="AD45" s="12"/>
      <c r="AE45" s="48" t="s">
        <v>282</v>
      </c>
      <c r="AF45" s="12"/>
      <c r="AG45" s="61" t="s">
        <v>63</v>
      </c>
      <c r="AH45" s="11"/>
      <c r="AI45" s="12"/>
      <c r="AJ45" s="62"/>
      <c r="AK45" s="11"/>
      <c r="AL45" s="12"/>
      <c r="AM45" s="61" t="s">
        <v>270</v>
      </c>
      <c r="AN45" s="11"/>
      <c r="AO45" s="12"/>
      <c r="AP45" s="63">
        <v>46195.0</v>
      </c>
      <c r="AQ45" s="11"/>
      <c r="AR45" s="12"/>
      <c r="AS45" s="48"/>
      <c r="AT45" s="11"/>
      <c r="AU45" s="12"/>
      <c r="AV45" s="48"/>
      <c r="AW45" s="11"/>
      <c r="AX45" s="12"/>
      <c r="AY45" s="48"/>
      <c r="AZ45" s="11"/>
      <c r="BA45" s="12"/>
      <c r="BB45" s="48"/>
      <c r="BC45" s="11"/>
      <c r="BD45" s="12"/>
      <c r="BE45" s="48"/>
      <c r="BF45" s="11"/>
      <c r="BG45" s="12"/>
      <c r="BH45" s="48"/>
      <c r="BI45" s="11"/>
      <c r="BJ45" s="12"/>
      <c r="BK45" s="49"/>
      <c r="BL45" s="11"/>
      <c r="BM45" s="11"/>
      <c r="BN45" s="11"/>
      <c r="BO45" s="11"/>
      <c r="BP45" s="11"/>
      <c r="BQ45" s="12"/>
    </row>
    <row r="46" ht="351.75" customHeight="1">
      <c r="A46" s="47">
        <v>31.0</v>
      </c>
      <c r="B46" s="49" t="s">
        <v>418</v>
      </c>
      <c r="C46" s="11"/>
      <c r="D46" s="12"/>
      <c r="E46" s="49" t="s">
        <v>419</v>
      </c>
      <c r="F46" s="11"/>
      <c r="G46" s="11"/>
      <c r="H46" s="11"/>
      <c r="I46" s="12"/>
      <c r="J46" s="49" t="s">
        <v>420</v>
      </c>
      <c r="K46" s="11"/>
      <c r="L46" s="11"/>
      <c r="M46" s="11"/>
      <c r="N46" s="11"/>
      <c r="O46" s="11"/>
      <c r="P46" s="12"/>
      <c r="Q46" s="49" t="s">
        <v>421</v>
      </c>
      <c r="R46" s="11"/>
      <c r="S46" s="11"/>
      <c r="T46" s="11"/>
      <c r="U46" s="11"/>
      <c r="V46" s="11"/>
      <c r="W46" s="12"/>
      <c r="X46" s="49" t="s">
        <v>422</v>
      </c>
      <c r="Y46" s="11"/>
      <c r="Z46" s="11"/>
      <c r="AA46" s="11"/>
      <c r="AB46" s="11"/>
      <c r="AC46" s="11"/>
      <c r="AD46" s="12"/>
      <c r="AE46" s="48" t="s">
        <v>282</v>
      </c>
      <c r="AF46" s="12"/>
      <c r="AG46" s="61" t="s">
        <v>63</v>
      </c>
      <c r="AH46" s="11"/>
      <c r="AI46" s="12"/>
      <c r="AJ46" s="62"/>
      <c r="AK46" s="11"/>
      <c r="AL46" s="12"/>
      <c r="AM46" s="61" t="s">
        <v>270</v>
      </c>
      <c r="AN46" s="11"/>
      <c r="AO46" s="12"/>
      <c r="AP46" s="63">
        <v>46195.0</v>
      </c>
      <c r="AQ46" s="11"/>
      <c r="AR46" s="12"/>
      <c r="AS46" s="48"/>
      <c r="AT46" s="11"/>
      <c r="AU46" s="12"/>
      <c r="AV46" s="48"/>
      <c r="AW46" s="11"/>
      <c r="AX46" s="12"/>
      <c r="AY46" s="48"/>
      <c r="AZ46" s="11"/>
      <c r="BA46" s="12"/>
      <c r="BB46" s="48"/>
      <c r="BC46" s="11"/>
      <c r="BD46" s="12"/>
      <c r="BE46" s="48"/>
      <c r="BF46" s="11"/>
      <c r="BG46" s="12"/>
      <c r="BH46" s="48"/>
      <c r="BI46" s="11"/>
      <c r="BJ46" s="12"/>
      <c r="BK46" s="49"/>
      <c r="BL46" s="11"/>
      <c r="BM46" s="11"/>
      <c r="BN46" s="11"/>
      <c r="BO46" s="11"/>
      <c r="BP46" s="11"/>
      <c r="BQ46" s="12"/>
    </row>
    <row r="47" ht="450.0" customHeight="1">
      <c r="A47" s="47">
        <v>32.0</v>
      </c>
      <c r="B47" s="49" t="s">
        <v>423</v>
      </c>
      <c r="C47" s="11"/>
      <c r="D47" s="12"/>
      <c r="E47" s="49" t="s">
        <v>424</v>
      </c>
      <c r="F47" s="11"/>
      <c r="G47" s="11"/>
      <c r="H47" s="11"/>
      <c r="I47" s="12"/>
      <c r="J47" s="49" t="s">
        <v>425</v>
      </c>
      <c r="K47" s="11"/>
      <c r="L47" s="11"/>
      <c r="M47" s="11"/>
      <c r="N47" s="11"/>
      <c r="O47" s="11"/>
      <c r="P47" s="12"/>
      <c r="Q47" s="49" t="s">
        <v>426</v>
      </c>
      <c r="R47" s="11"/>
      <c r="S47" s="11"/>
      <c r="T47" s="11"/>
      <c r="U47" s="11"/>
      <c r="V47" s="11"/>
      <c r="W47" s="12"/>
      <c r="X47" s="49" t="s">
        <v>427</v>
      </c>
      <c r="Y47" s="11"/>
      <c r="Z47" s="11"/>
      <c r="AA47" s="11"/>
      <c r="AB47" s="11"/>
      <c r="AC47" s="11"/>
      <c r="AD47" s="12"/>
      <c r="AE47" s="48" t="s">
        <v>213</v>
      </c>
      <c r="AF47" s="12"/>
      <c r="AG47" s="59" t="s">
        <v>65</v>
      </c>
      <c r="AH47" s="11"/>
      <c r="AI47" s="12"/>
      <c r="AJ47" s="48"/>
      <c r="AK47" s="11"/>
      <c r="AL47" s="12"/>
      <c r="AM47" s="48"/>
      <c r="AN47" s="11"/>
      <c r="AO47" s="12"/>
      <c r="AP47" s="48"/>
      <c r="AQ47" s="11"/>
      <c r="AR47" s="12"/>
      <c r="AS47" s="48"/>
      <c r="AT47" s="11"/>
      <c r="AU47" s="12"/>
      <c r="AV47" s="48"/>
      <c r="AW47" s="11"/>
      <c r="AX47" s="12"/>
      <c r="AY47" s="48"/>
      <c r="AZ47" s="11"/>
      <c r="BA47" s="12"/>
      <c r="BB47" s="48"/>
      <c r="BC47" s="11"/>
      <c r="BD47" s="12"/>
      <c r="BE47" s="48"/>
      <c r="BF47" s="11"/>
      <c r="BG47" s="12"/>
      <c r="BH47" s="48"/>
      <c r="BI47" s="11"/>
      <c r="BJ47" s="12"/>
      <c r="BK47" s="49" t="s">
        <v>428</v>
      </c>
      <c r="BL47" s="11"/>
      <c r="BM47" s="11"/>
      <c r="BN47" s="11"/>
      <c r="BO47" s="11"/>
      <c r="BP47" s="11"/>
      <c r="BQ47" s="12"/>
    </row>
    <row r="48" ht="450.0" customHeight="1">
      <c r="A48" s="64">
        <v>33.0</v>
      </c>
      <c r="B48" s="65" t="s">
        <v>429</v>
      </c>
      <c r="C48" s="11"/>
      <c r="D48" s="12"/>
      <c r="E48" s="65" t="s">
        <v>430</v>
      </c>
      <c r="F48" s="11"/>
      <c r="G48" s="11"/>
      <c r="H48" s="11"/>
      <c r="I48" s="12"/>
      <c r="J48" s="65" t="s">
        <v>431</v>
      </c>
      <c r="K48" s="11"/>
      <c r="L48" s="11"/>
      <c r="M48" s="11"/>
      <c r="N48" s="11"/>
      <c r="O48" s="11"/>
      <c r="P48" s="12"/>
      <c r="Q48" s="65" t="s">
        <v>432</v>
      </c>
      <c r="R48" s="11"/>
      <c r="S48" s="11"/>
      <c r="T48" s="11"/>
      <c r="U48" s="11"/>
      <c r="V48" s="11"/>
      <c r="W48" s="12"/>
      <c r="X48" s="65" t="s">
        <v>433</v>
      </c>
      <c r="Y48" s="11"/>
      <c r="Z48" s="11"/>
      <c r="AA48" s="11"/>
      <c r="AB48" s="11"/>
      <c r="AC48" s="11"/>
      <c r="AD48" s="12"/>
      <c r="AE48" s="66" t="s">
        <v>213</v>
      </c>
      <c r="AF48" s="12"/>
      <c r="AG48" s="67" t="s">
        <v>66</v>
      </c>
      <c r="AH48" s="11"/>
      <c r="AI48" s="12"/>
      <c r="AJ48" s="48"/>
      <c r="AK48" s="11"/>
      <c r="AL48" s="12"/>
      <c r="AM48" s="48"/>
      <c r="AN48" s="11"/>
      <c r="AO48" s="12"/>
      <c r="AP48" s="48"/>
      <c r="AQ48" s="11"/>
      <c r="AR48" s="12"/>
      <c r="AS48" s="48"/>
      <c r="AT48" s="11"/>
      <c r="AU48" s="12"/>
      <c r="AV48" s="48"/>
      <c r="AW48" s="11"/>
      <c r="AX48" s="12"/>
      <c r="AY48" s="48"/>
      <c r="AZ48" s="11"/>
      <c r="BA48" s="12"/>
      <c r="BB48" s="48"/>
      <c r="BC48" s="11"/>
      <c r="BD48" s="12"/>
      <c r="BE48" s="48"/>
      <c r="BF48" s="11"/>
      <c r="BG48" s="12"/>
      <c r="BH48" s="48"/>
      <c r="BI48" s="11"/>
      <c r="BJ48" s="12"/>
      <c r="BK48" s="58" t="s">
        <v>434</v>
      </c>
      <c r="BL48" s="11"/>
      <c r="BM48" s="11"/>
      <c r="BN48" s="11"/>
      <c r="BO48" s="11"/>
      <c r="BP48" s="11"/>
      <c r="BQ48" s="12"/>
    </row>
    <row r="49" ht="450.0" customHeight="1">
      <c r="A49" s="47">
        <v>34.0</v>
      </c>
      <c r="B49" s="49" t="s">
        <v>435</v>
      </c>
      <c r="C49" s="11"/>
      <c r="D49" s="12"/>
      <c r="E49" s="49" t="s">
        <v>436</v>
      </c>
      <c r="F49" s="11"/>
      <c r="G49" s="11"/>
      <c r="H49" s="11"/>
      <c r="I49" s="12"/>
      <c r="J49" s="49" t="s">
        <v>437</v>
      </c>
      <c r="K49" s="11"/>
      <c r="L49" s="11"/>
      <c r="M49" s="11"/>
      <c r="N49" s="11"/>
      <c r="O49" s="11"/>
      <c r="P49" s="12"/>
      <c r="Q49" s="49" t="s">
        <v>438</v>
      </c>
      <c r="R49" s="11"/>
      <c r="S49" s="11"/>
      <c r="T49" s="11"/>
      <c r="U49" s="11"/>
      <c r="V49" s="11"/>
      <c r="W49" s="12"/>
      <c r="X49" s="49" t="s">
        <v>439</v>
      </c>
      <c r="Y49" s="11"/>
      <c r="Z49" s="11"/>
      <c r="AA49" s="11"/>
      <c r="AB49" s="11"/>
      <c r="AC49" s="11"/>
      <c r="AD49" s="12"/>
      <c r="AE49" s="48" t="s">
        <v>282</v>
      </c>
      <c r="AF49" s="12"/>
      <c r="AG49" s="61" t="s">
        <v>63</v>
      </c>
      <c r="AH49" s="11"/>
      <c r="AI49" s="12"/>
      <c r="AJ49" s="62"/>
      <c r="AK49" s="11"/>
      <c r="AL49" s="12"/>
      <c r="AM49" s="61" t="s">
        <v>270</v>
      </c>
      <c r="AN49" s="11"/>
      <c r="AO49" s="12"/>
      <c r="AP49" s="63">
        <v>46195.0</v>
      </c>
      <c r="AQ49" s="11"/>
      <c r="AR49" s="12"/>
      <c r="AS49" s="48"/>
      <c r="AT49" s="11"/>
      <c r="AU49" s="12"/>
      <c r="AV49" s="48"/>
      <c r="AW49" s="11"/>
      <c r="AX49" s="12"/>
      <c r="AY49" s="48"/>
      <c r="AZ49" s="11"/>
      <c r="BA49" s="12"/>
      <c r="BB49" s="48"/>
      <c r="BC49" s="11"/>
      <c r="BD49" s="12"/>
      <c r="BE49" s="48"/>
      <c r="BF49" s="11"/>
      <c r="BG49" s="12"/>
      <c r="BH49" s="48"/>
      <c r="BI49" s="11"/>
      <c r="BJ49" s="12"/>
      <c r="BK49" s="49"/>
      <c r="BL49" s="11"/>
      <c r="BM49" s="11"/>
      <c r="BN49" s="11"/>
      <c r="BO49" s="11"/>
      <c r="BP49" s="11"/>
      <c r="BQ49" s="12"/>
    </row>
    <row r="50" ht="336.0" customHeight="1">
      <c r="A50" s="47">
        <v>35.0</v>
      </c>
      <c r="B50" s="49" t="s">
        <v>440</v>
      </c>
      <c r="C50" s="11"/>
      <c r="D50" s="12"/>
      <c r="E50" s="49" t="s">
        <v>441</v>
      </c>
      <c r="F50" s="11"/>
      <c r="G50" s="11"/>
      <c r="H50" s="11"/>
      <c r="I50" s="12"/>
      <c r="J50" s="49" t="s">
        <v>442</v>
      </c>
      <c r="K50" s="11"/>
      <c r="L50" s="11"/>
      <c r="M50" s="11"/>
      <c r="N50" s="11"/>
      <c r="O50" s="11"/>
      <c r="P50" s="12"/>
      <c r="Q50" s="49" t="s">
        <v>443</v>
      </c>
      <c r="R50" s="11"/>
      <c r="S50" s="11"/>
      <c r="T50" s="11"/>
      <c r="U50" s="11"/>
      <c r="V50" s="11"/>
      <c r="W50" s="12"/>
      <c r="X50" s="49" t="s">
        <v>444</v>
      </c>
      <c r="Y50" s="11"/>
      <c r="Z50" s="11"/>
      <c r="AA50" s="11"/>
      <c r="AB50" s="11"/>
      <c r="AC50" s="11"/>
      <c r="AD50" s="12"/>
      <c r="AE50" s="48" t="s">
        <v>213</v>
      </c>
      <c r="AF50" s="12"/>
      <c r="AG50" s="61" t="s">
        <v>63</v>
      </c>
      <c r="AH50" s="11"/>
      <c r="AI50" s="12"/>
      <c r="AJ50" s="62"/>
      <c r="AK50" s="11"/>
      <c r="AL50" s="12"/>
      <c r="AM50" s="61" t="s">
        <v>270</v>
      </c>
      <c r="AN50" s="11"/>
      <c r="AO50" s="12"/>
      <c r="AP50" s="63">
        <v>46195.0</v>
      </c>
      <c r="AQ50" s="11"/>
      <c r="AR50" s="12"/>
      <c r="AS50" s="48"/>
      <c r="AT50" s="11"/>
      <c r="AU50" s="12"/>
      <c r="AV50" s="48"/>
      <c r="AW50" s="11"/>
      <c r="AX50" s="12"/>
      <c r="AY50" s="48"/>
      <c r="AZ50" s="11"/>
      <c r="BA50" s="12"/>
      <c r="BB50" s="48"/>
      <c r="BC50" s="11"/>
      <c r="BD50" s="12"/>
      <c r="BE50" s="48"/>
      <c r="BF50" s="11"/>
      <c r="BG50" s="12"/>
      <c r="BH50" s="48"/>
      <c r="BI50" s="11"/>
      <c r="BJ50" s="12"/>
      <c r="BK50" s="49"/>
      <c r="BL50" s="11"/>
      <c r="BM50" s="11"/>
      <c r="BN50" s="11"/>
      <c r="BO50" s="11"/>
      <c r="BP50" s="11"/>
      <c r="BQ50" s="12"/>
    </row>
    <row r="51" ht="450.0" customHeight="1">
      <c r="A51" s="47">
        <v>36.0</v>
      </c>
      <c r="B51" s="49" t="s">
        <v>445</v>
      </c>
      <c r="C51" s="11"/>
      <c r="D51" s="12"/>
      <c r="E51" s="49" t="s">
        <v>446</v>
      </c>
      <c r="F51" s="11"/>
      <c r="G51" s="11"/>
      <c r="H51" s="11"/>
      <c r="I51" s="12"/>
      <c r="J51" s="49" t="s">
        <v>447</v>
      </c>
      <c r="K51" s="11"/>
      <c r="L51" s="11"/>
      <c r="M51" s="11"/>
      <c r="N51" s="11"/>
      <c r="O51" s="11"/>
      <c r="P51" s="12"/>
      <c r="Q51" s="49" t="s">
        <v>448</v>
      </c>
      <c r="R51" s="11"/>
      <c r="S51" s="11"/>
      <c r="T51" s="11"/>
      <c r="U51" s="11"/>
      <c r="V51" s="11"/>
      <c r="W51" s="12"/>
      <c r="X51" s="49" t="s">
        <v>449</v>
      </c>
      <c r="Y51" s="11"/>
      <c r="Z51" s="11"/>
      <c r="AA51" s="11"/>
      <c r="AB51" s="11"/>
      <c r="AC51" s="11"/>
      <c r="AD51" s="12"/>
      <c r="AE51" s="48" t="s">
        <v>213</v>
      </c>
      <c r="AF51" s="12"/>
      <c r="AG51" s="59" t="s">
        <v>65</v>
      </c>
      <c r="AH51" s="11"/>
      <c r="AI51" s="12"/>
      <c r="AJ51" s="48"/>
      <c r="AK51" s="11"/>
      <c r="AL51" s="12"/>
      <c r="AM51" s="48"/>
      <c r="AN51" s="11"/>
      <c r="AO51" s="12"/>
      <c r="AP51" s="48"/>
      <c r="AQ51" s="11"/>
      <c r="AR51" s="12"/>
      <c r="AS51" s="48"/>
      <c r="AT51" s="11"/>
      <c r="AU51" s="12"/>
      <c r="AV51" s="48"/>
      <c r="AW51" s="11"/>
      <c r="AX51" s="12"/>
      <c r="AY51" s="48"/>
      <c r="AZ51" s="11"/>
      <c r="BA51" s="12"/>
      <c r="BB51" s="48"/>
      <c r="BC51" s="11"/>
      <c r="BD51" s="12"/>
      <c r="BE51" s="48"/>
      <c r="BF51" s="11"/>
      <c r="BG51" s="12"/>
      <c r="BH51" s="48"/>
      <c r="BI51" s="11"/>
      <c r="BJ51" s="12"/>
      <c r="BK51" s="49" t="s">
        <v>293</v>
      </c>
      <c r="BL51" s="11"/>
      <c r="BM51" s="11"/>
      <c r="BN51" s="11"/>
      <c r="BO51" s="11"/>
      <c r="BP51" s="11"/>
      <c r="BQ51" s="12"/>
    </row>
    <row r="52" ht="22.5" customHeight="1">
      <c r="A52" s="35" t="s">
        <v>450</v>
      </c>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2"/>
    </row>
    <row r="53" ht="415.5" customHeight="1">
      <c r="A53" s="47">
        <v>37.0</v>
      </c>
      <c r="B53" s="49" t="s">
        <v>451</v>
      </c>
      <c r="C53" s="11"/>
      <c r="D53" s="12"/>
      <c r="E53" s="49" t="s">
        <v>452</v>
      </c>
      <c r="F53" s="11"/>
      <c r="G53" s="11"/>
      <c r="H53" s="11"/>
      <c r="I53" s="12"/>
      <c r="J53" s="49" t="s">
        <v>453</v>
      </c>
      <c r="K53" s="11"/>
      <c r="L53" s="11"/>
      <c r="M53" s="11"/>
      <c r="N53" s="11"/>
      <c r="O53" s="11"/>
      <c r="P53" s="12"/>
      <c r="Q53" s="49" t="s">
        <v>454</v>
      </c>
      <c r="R53" s="11"/>
      <c r="S53" s="11"/>
      <c r="T53" s="11"/>
      <c r="U53" s="11"/>
      <c r="V53" s="11"/>
      <c r="W53" s="12"/>
      <c r="X53" s="49" t="s">
        <v>455</v>
      </c>
      <c r="Y53" s="11"/>
      <c r="Z53" s="11"/>
      <c r="AA53" s="11"/>
      <c r="AB53" s="11"/>
      <c r="AC53" s="11"/>
      <c r="AD53" s="12"/>
      <c r="AE53" s="48" t="s">
        <v>213</v>
      </c>
      <c r="AF53" s="12"/>
      <c r="AG53" s="61" t="s">
        <v>63</v>
      </c>
      <c r="AH53" s="11"/>
      <c r="AI53" s="12"/>
      <c r="AJ53" s="62"/>
      <c r="AK53" s="11"/>
      <c r="AL53" s="12"/>
      <c r="AM53" s="61" t="s">
        <v>270</v>
      </c>
      <c r="AN53" s="11"/>
      <c r="AO53" s="12"/>
      <c r="AP53" s="63">
        <v>46195.0</v>
      </c>
      <c r="AQ53" s="11"/>
      <c r="AR53" s="12"/>
      <c r="AS53" s="48"/>
      <c r="AT53" s="11"/>
      <c r="AU53" s="12"/>
      <c r="AV53" s="48"/>
      <c r="AW53" s="11"/>
      <c r="AX53" s="12"/>
      <c r="AY53" s="48"/>
      <c r="AZ53" s="11"/>
      <c r="BA53" s="12"/>
      <c r="BB53" s="48"/>
      <c r="BC53" s="11"/>
      <c r="BD53" s="12"/>
      <c r="BE53" s="48"/>
      <c r="BF53" s="11"/>
      <c r="BG53" s="12"/>
      <c r="BH53" s="48"/>
      <c r="BI53" s="11"/>
      <c r="BJ53" s="12"/>
      <c r="BK53" s="49"/>
      <c r="BL53" s="11"/>
      <c r="BM53" s="11"/>
      <c r="BN53" s="11"/>
      <c r="BO53" s="11"/>
      <c r="BP53" s="11"/>
      <c r="BQ53" s="12"/>
    </row>
    <row r="54" ht="447.75" customHeight="1">
      <c r="A54" s="47">
        <v>38.0</v>
      </c>
      <c r="B54" s="49" t="s">
        <v>456</v>
      </c>
      <c r="C54" s="11"/>
      <c r="D54" s="12"/>
      <c r="E54" s="49" t="s">
        <v>457</v>
      </c>
      <c r="F54" s="11"/>
      <c r="G54" s="11"/>
      <c r="H54" s="11"/>
      <c r="I54" s="12"/>
      <c r="J54" s="49" t="s">
        <v>353</v>
      </c>
      <c r="K54" s="11"/>
      <c r="L54" s="11"/>
      <c r="M54" s="11"/>
      <c r="N54" s="11"/>
      <c r="O54" s="11"/>
      <c r="P54" s="12"/>
      <c r="Q54" s="49" t="s">
        <v>458</v>
      </c>
      <c r="R54" s="11"/>
      <c r="S54" s="11"/>
      <c r="T54" s="11"/>
      <c r="U54" s="11"/>
      <c r="V54" s="11"/>
      <c r="W54" s="12"/>
      <c r="X54" s="49" t="s">
        <v>459</v>
      </c>
      <c r="Y54" s="11"/>
      <c r="Z54" s="11"/>
      <c r="AA54" s="11"/>
      <c r="AB54" s="11"/>
      <c r="AC54" s="11"/>
      <c r="AD54" s="12"/>
      <c r="AE54" s="48" t="s">
        <v>213</v>
      </c>
      <c r="AF54" s="12"/>
      <c r="AG54" s="61" t="s">
        <v>63</v>
      </c>
      <c r="AH54" s="11"/>
      <c r="AI54" s="12"/>
      <c r="AJ54" s="62"/>
      <c r="AK54" s="11"/>
      <c r="AL54" s="12"/>
      <c r="AM54" s="61" t="s">
        <v>270</v>
      </c>
      <c r="AN54" s="11"/>
      <c r="AO54" s="12"/>
      <c r="AP54" s="63">
        <v>46195.0</v>
      </c>
      <c r="AQ54" s="11"/>
      <c r="AR54" s="12"/>
      <c r="AS54" s="48"/>
      <c r="AT54" s="11"/>
      <c r="AU54" s="12"/>
      <c r="AV54" s="48"/>
      <c r="AW54" s="11"/>
      <c r="AX54" s="12"/>
      <c r="AY54" s="48"/>
      <c r="AZ54" s="11"/>
      <c r="BA54" s="12"/>
      <c r="BB54" s="48"/>
      <c r="BC54" s="11"/>
      <c r="BD54" s="12"/>
      <c r="BE54" s="48"/>
      <c r="BF54" s="11"/>
      <c r="BG54" s="12"/>
      <c r="BH54" s="48"/>
      <c r="BI54" s="11"/>
      <c r="BJ54" s="12"/>
      <c r="BK54" s="49"/>
      <c r="BL54" s="11"/>
      <c r="BM54" s="11"/>
      <c r="BN54" s="11"/>
      <c r="BO54" s="11"/>
      <c r="BP54" s="11"/>
      <c r="BQ54" s="12"/>
    </row>
    <row r="55" ht="415.5" customHeight="1">
      <c r="A55" s="47">
        <v>39.0</v>
      </c>
      <c r="B55" s="49" t="s">
        <v>460</v>
      </c>
      <c r="C55" s="11"/>
      <c r="D55" s="12"/>
      <c r="E55" s="49" t="s">
        <v>461</v>
      </c>
      <c r="F55" s="11"/>
      <c r="G55" s="11"/>
      <c r="H55" s="11"/>
      <c r="I55" s="12"/>
      <c r="J55" s="49" t="s">
        <v>462</v>
      </c>
      <c r="K55" s="11"/>
      <c r="L55" s="11"/>
      <c r="M55" s="11"/>
      <c r="N55" s="11"/>
      <c r="O55" s="11"/>
      <c r="P55" s="12"/>
      <c r="Q55" s="49" t="s">
        <v>463</v>
      </c>
      <c r="R55" s="11"/>
      <c r="S55" s="11"/>
      <c r="T55" s="11"/>
      <c r="U55" s="11"/>
      <c r="V55" s="11"/>
      <c r="W55" s="12"/>
      <c r="X55" s="49" t="s">
        <v>464</v>
      </c>
      <c r="Y55" s="11"/>
      <c r="Z55" s="11"/>
      <c r="AA55" s="11"/>
      <c r="AB55" s="11"/>
      <c r="AC55" s="11"/>
      <c r="AD55" s="12"/>
      <c r="AE55" s="48" t="s">
        <v>213</v>
      </c>
      <c r="AF55" s="12"/>
      <c r="AG55" s="61" t="s">
        <v>63</v>
      </c>
      <c r="AH55" s="11"/>
      <c r="AI55" s="12"/>
      <c r="AJ55" s="62"/>
      <c r="AK55" s="11"/>
      <c r="AL55" s="12"/>
      <c r="AM55" s="61" t="s">
        <v>270</v>
      </c>
      <c r="AN55" s="11"/>
      <c r="AO55" s="12"/>
      <c r="AP55" s="63">
        <v>46195.0</v>
      </c>
      <c r="AQ55" s="11"/>
      <c r="AR55" s="12"/>
      <c r="AS55" s="48"/>
      <c r="AT55" s="11"/>
      <c r="AU55" s="12"/>
      <c r="AV55" s="48"/>
      <c r="AW55" s="11"/>
      <c r="AX55" s="12"/>
      <c r="AY55" s="48"/>
      <c r="AZ55" s="11"/>
      <c r="BA55" s="12"/>
      <c r="BB55" s="48"/>
      <c r="BC55" s="11"/>
      <c r="BD55" s="12"/>
      <c r="BE55" s="48"/>
      <c r="BF55" s="11"/>
      <c r="BG55" s="12"/>
      <c r="BH55" s="48"/>
      <c r="BI55" s="11"/>
      <c r="BJ55" s="12"/>
      <c r="BK55" s="49"/>
      <c r="BL55" s="11"/>
      <c r="BM55" s="11"/>
      <c r="BN55" s="11"/>
      <c r="BO55" s="11"/>
      <c r="BP55" s="11"/>
      <c r="BQ55" s="12"/>
    </row>
    <row r="56" ht="450.0" customHeight="1">
      <c r="A56" s="47">
        <v>40.0</v>
      </c>
      <c r="B56" s="49" t="s">
        <v>465</v>
      </c>
      <c r="C56" s="11"/>
      <c r="D56" s="12"/>
      <c r="E56" s="49" t="s">
        <v>466</v>
      </c>
      <c r="F56" s="11"/>
      <c r="G56" s="11"/>
      <c r="H56" s="11"/>
      <c r="I56" s="12"/>
      <c r="J56" s="49" t="s">
        <v>467</v>
      </c>
      <c r="K56" s="11"/>
      <c r="L56" s="11"/>
      <c r="M56" s="11"/>
      <c r="N56" s="11"/>
      <c r="O56" s="11"/>
      <c r="P56" s="12"/>
      <c r="Q56" s="49" t="s">
        <v>468</v>
      </c>
      <c r="R56" s="11"/>
      <c r="S56" s="11"/>
      <c r="T56" s="11"/>
      <c r="U56" s="11"/>
      <c r="V56" s="11"/>
      <c r="W56" s="12"/>
      <c r="X56" s="49" t="s">
        <v>469</v>
      </c>
      <c r="Y56" s="11"/>
      <c r="Z56" s="11"/>
      <c r="AA56" s="11"/>
      <c r="AB56" s="11"/>
      <c r="AC56" s="11"/>
      <c r="AD56" s="12"/>
      <c r="AE56" s="48" t="s">
        <v>213</v>
      </c>
      <c r="AF56" s="12"/>
      <c r="AG56" s="61" t="s">
        <v>63</v>
      </c>
      <c r="AH56" s="11"/>
      <c r="AI56" s="12"/>
      <c r="AJ56" s="62"/>
      <c r="AK56" s="11"/>
      <c r="AL56" s="12"/>
      <c r="AM56" s="61" t="s">
        <v>270</v>
      </c>
      <c r="AN56" s="11"/>
      <c r="AO56" s="12"/>
      <c r="AP56" s="63">
        <v>46195.0</v>
      </c>
      <c r="AQ56" s="11"/>
      <c r="AR56" s="12"/>
      <c r="AS56" s="48"/>
      <c r="AT56" s="11"/>
      <c r="AU56" s="12"/>
      <c r="AV56" s="48"/>
      <c r="AW56" s="11"/>
      <c r="AX56" s="12"/>
      <c r="AY56" s="48"/>
      <c r="AZ56" s="11"/>
      <c r="BA56" s="12"/>
      <c r="BB56" s="48"/>
      <c r="BC56" s="11"/>
      <c r="BD56" s="12"/>
      <c r="BE56" s="48"/>
      <c r="BF56" s="11"/>
      <c r="BG56" s="12"/>
      <c r="BH56" s="48"/>
      <c r="BI56" s="11"/>
      <c r="BJ56" s="12"/>
      <c r="BK56" s="49"/>
      <c r="BL56" s="11"/>
      <c r="BM56" s="11"/>
      <c r="BN56" s="11"/>
      <c r="BO56" s="11"/>
      <c r="BP56" s="11"/>
      <c r="BQ56" s="12"/>
    </row>
    <row r="57" ht="399.75" customHeight="1">
      <c r="A57" s="47">
        <v>41.0</v>
      </c>
      <c r="B57" s="49" t="s">
        <v>470</v>
      </c>
      <c r="C57" s="11"/>
      <c r="D57" s="12"/>
      <c r="E57" s="49" t="s">
        <v>471</v>
      </c>
      <c r="F57" s="11"/>
      <c r="G57" s="11"/>
      <c r="H57" s="11"/>
      <c r="I57" s="12"/>
      <c r="J57" s="49" t="s">
        <v>472</v>
      </c>
      <c r="K57" s="11"/>
      <c r="L57" s="11"/>
      <c r="M57" s="11"/>
      <c r="N57" s="11"/>
      <c r="O57" s="11"/>
      <c r="P57" s="12"/>
      <c r="Q57" s="49" t="s">
        <v>473</v>
      </c>
      <c r="R57" s="11"/>
      <c r="S57" s="11"/>
      <c r="T57" s="11"/>
      <c r="U57" s="11"/>
      <c r="V57" s="11"/>
      <c r="W57" s="12"/>
      <c r="X57" s="49" t="s">
        <v>474</v>
      </c>
      <c r="Y57" s="11"/>
      <c r="Z57" s="11"/>
      <c r="AA57" s="11"/>
      <c r="AB57" s="11"/>
      <c r="AC57" s="11"/>
      <c r="AD57" s="12"/>
      <c r="AE57" s="48" t="s">
        <v>213</v>
      </c>
      <c r="AF57" s="12"/>
      <c r="AG57" s="61" t="s">
        <v>63</v>
      </c>
      <c r="AH57" s="11"/>
      <c r="AI57" s="12"/>
      <c r="AJ57" s="62"/>
      <c r="AK57" s="11"/>
      <c r="AL57" s="12"/>
      <c r="AM57" s="61" t="s">
        <v>270</v>
      </c>
      <c r="AN57" s="11"/>
      <c r="AO57" s="12"/>
      <c r="AP57" s="63">
        <v>46195.0</v>
      </c>
      <c r="AQ57" s="11"/>
      <c r="AR57" s="12"/>
      <c r="AS57" s="48"/>
      <c r="AT57" s="11"/>
      <c r="AU57" s="12"/>
      <c r="AV57" s="48"/>
      <c r="AW57" s="11"/>
      <c r="AX57" s="12"/>
      <c r="AY57" s="48"/>
      <c r="AZ57" s="11"/>
      <c r="BA57" s="12"/>
      <c r="BB57" s="48"/>
      <c r="BC57" s="11"/>
      <c r="BD57" s="12"/>
      <c r="BE57" s="48"/>
      <c r="BF57" s="11"/>
      <c r="BG57" s="12"/>
      <c r="BH57" s="48"/>
      <c r="BI57" s="11"/>
      <c r="BJ57" s="12"/>
      <c r="BK57" s="49"/>
      <c r="BL57" s="11"/>
      <c r="BM57" s="11"/>
      <c r="BN57" s="11"/>
      <c r="BO57" s="11"/>
      <c r="BP57" s="11"/>
      <c r="BQ57" s="12"/>
    </row>
    <row r="58" ht="450.0" customHeight="1">
      <c r="A58" s="47">
        <v>42.0</v>
      </c>
      <c r="B58" s="49" t="s">
        <v>475</v>
      </c>
      <c r="C58" s="11"/>
      <c r="D58" s="12"/>
      <c r="E58" s="49" t="s">
        <v>476</v>
      </c>
      <c r="F58" s="11"/>
      <c r="G58" s="11"/>
      <c r="H58" s="11"/>
      <c r="I58" s="12"/>
      <c r="J58" s="49" t="s">
        <v>477</v>
      </c>
      <c r="K58" s="11"/>
      <c r="L58" s="11"/>
      <c r="M58" s="11"/>
      <c r="N58" s="11"/>
      <c r="O58" s="11"/>
      <c r="P58" s="12"/>
      <c r="Q58" s="49" t="s">
        <v>478</v>
      </c>
      <c r="R58" s="11"/>
      <c r="S58" s="11"/>
      <c r="T58" s="11"/>
      <c r="U58" s="11"/>
      <c r="V58" s="11"/>
      <c r="W58" s="12"/>
      <c r="X58" s="49" t="s">
        <v>479</v>
      </c>
      <c r="Y58" s="11"/>
      <c r="Z58" s="11"/>
      <c r="AA58" s="11"/>
      <c r="AB58" s="11"/>
      <c r="AC58" s="11"/>
      <c r="AD58" s="12"/>
      <c r="AE58" s="48" t="s">
        <v>213</v>
      </c>
      <c r="AF58" s="12"/>
      <c r="AG58" s="59" t="s">
        <v>65</v>
      </c>
      <c r="AH58" s="11"/>
      <c r="AI58" s="12"/>
      <c r="AJ58" s="48"/>
      <c r="AK58" s="11"/>
      <c r="AL58" s="12"/>
      <c r="AM58" s="48"/>
      <c r="AN58" s="11"/>
      <c r="AO58" s="12"/>
      <c r="AP58" s="48"/>
      <c r="AQ58" s="11"/>
      <c r="AR58" s="12"/>
      <c r="AS58" s="48"/>
      <c r="AT58" s="11"/>
      <c r="AU58" s="12"/>
      <c r="AV58" s="48"/>
      <c r="AW58" s="11"/>
      <c r="AX58" s="12"/>
      <c r="AY58" s="48"/>
      <c r="AZ58" s="11"/>
      <c r="BA58" s="12"/>
      <c r="BB58" s="48"/>
      <c r="BC58" s="11"/>
      <c r="BD58" s="12"/>
      <c r="BE58" s="48"/>
      <c r="BF58" s="11"/>
      <c r="BG58" s="12"/>
      <c r="BH58" s="48"/>
      <c r="BI58" s="11"/>
      <c r="BJ58" s="12"/>
      <c r="BK58" s="49"/>
      <c r="BL58" s="11"/>
      <c r="BM58" s="11"/>
      <c r="BN58" s="11"/>
      <c r="BO58" s="11"/>
      <c r="BP58" s="11"/>
      <c r="BQ58" s="12"/>
    </row>
    <row r="59" ht="351.75" customHeight="1">
      <c r="A59" s="47">
        <v>43.0</v>
      </c>
      <c r="B59" s="49" t="s">
        <v>480</v>
      </c>
      <c r="C59" s="11"/>
      <c r="D59" s="12"/>
      <c r="E59" s="49" t="s">
        <v>481</v>
      </c>
      <c r="F59" s="11"/>
      <c r="G59" s="11"/>
      <c r="H59" s="11"/>
      <c r="I59" s="12"/>
      <c r="J59" s="49" t="s">
        <v>482</v>
      </c>
      <c r="K59" s="11"/>
      <c r="L59" s="11"/>
      <c r="M59" s="11"/>
      <c r="N59" s="11"/>
      <c r="O59" s="11"/>
      <c r="P59" s="12"/>
      <c r="Q59" s="49" t="s">
        <v>483</v>
      </c>
      <c r="R59" s="11"/>
      <c r="S59" s="11"/>
      <c r="T59" s="11"/>
      <c r="U59" s="11"/>
      <c r="V59" s="11"/>
      <c r="W59" s="12"/>
      <c r="X59" s="49" t="s">
        <v>484</v>
      </c>
      <c r="Y59" s="11"/>
      <c r="Z59" s="11"/>
      <c r="AA59" s="11"/>
      <c r="AB59" s="11"/>
      <c r="AC59" s="11"/>
      <c r="AD59" s="12"/>
      <c r="AE59" s="48" t="s">
        <v>213</v>
      </c>
      <c r="AF59" s="12"/>
      <c r="AG59" s="61" t="s">
        <v>63</v>
      </c>
      <c r="AH59" s="11"/>
      <c r="AI59" s="12"/>
      <c r="AJ59" s="62"/>
      <c r="AK59" s="11"/>
      <c r="AL59" s="12"/>
      <c r="AM59" s="61" t="s">
        <v>270</v>
      </c>
      <c r="AN59" s="11"/>
      <c r="AO59" s="12"/>
      <c r="AP59" s="63">
        <v>46195.0</v>
      </c>
      <c r="AQ59" s="11"/>
      <c r="AR59" s="12"/>
      <c r="AS59" s="48"/>
      <c r="AT59" s="11"/>
      <c r="AU59" s="12"/>
      <c r="AV59" s="48"/>
      <c r="AW59" s="11"/>
      <c r="AX59" s="12"/>
      <c r="AY59" s="48"/>
      <c r="AZ59" s="11"/>
      <c r="BA59" s="12"/>
      <c r="BB59" s="48"/>
      <c r="BC59" s="11"/>
      <c r="BD59" s="12"/>
      <c r="BE59" s="48"/>
      <c r="BF59" s="11"/>
      <c r="BG59" s="12"/>
      <c r="BH59" s="48"/>
      <c r="BI59" s="11"/>
      <c r="BJ59" s="12"/>
      <c r="BK59" s="49"/>
      <c r="BL59" s="11"/>
      <c r="BM59" s="11"/>
      <c r="BN59" s="11"/>
      <c r="BO59" s="11"/>
      <c r="BP59" s="11"/>
      <c r="BQ59" s="1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02">
    <mergeCell ref="BE22:BG22"/>
    <mergeCell ref="BH22:BJ22"/>
    <mergeCell ref="AS22:AU22"/>
    <mergeCell ref="AV22:AX22"/>
    <mergeCell ref="AY22:BA22"/>
    <mergeCell ref="BB22:BD22"/>
    <mergeCell ref="AJ22:AL22"/>
    <mergeCell ref="AM22:AO22"/>
    <mergeCell ref="AP22:AR22"/>
    <mergeCell ref="BE20:BG20"/>
    <mergeCell ref="BH20:BJ20"/>
    <mergeCell ref="BK20:BQ20"/>
    <mergeCell ref="AS20:AU20"/>
    <mergeCell ref="AV20:AX20"/>
    <mergeCell ref="AY20:BA20"/>
    <mergeCell ref="BB20:BD20"/>
    <mergeCell ref="AJ20:AL20"/>
    <mergeCell ref="AM20:AO20"/>
    <mergeCell ref="AP20:AR20"/>
    <mergeCell ref="B20:D20"/>
    <mergeCell ref="E20:I20"/>
    <mergeCell ref="J20:P20"/>
    <mergeCell ref="Q20:W20"/>
    <mergeCell ref="X20:AD20"/>
    <mergeCell ref="AE20:AF20"/>
    <mergeCell ref="AG20:AI20"/>
    <mergeCell ref="BE21:BG21"/>
    <mergeCell ref="BH21:BJ21"/>
    <mergeCell ref="BK21:BQ21"/>
    <mergeCell ref="BK22:BQ22"/>
    <mergeCell ref="AS21:AU21"/>
    <mergeCell ref="AV21:AX21"/>
    <mergeCell ref="AY21:BA21"/>
    <mergeCell ref="BB21:BD21"/>
    <mergeCell ref="AJ21:AL21"/>
    <mergeCell ref="AM21:AO21"/>
    <mergeCell ref="AP21:AR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S15:AU15"/>
    <mergeCell ref="AV15:AX15"/>
    <mergeCell ref="AY15:BA15"/>
    <mergeCell ref="BB15:BD15"/>
    <mergeCell ref="AJ15:AL15"/>
    <mergeCell ref="AM15:AO15"/>
    <mergeCell ref="AP15:AR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S14:AU14"/>
    <mergeCell ref="AV14:AX14"/>
    <mergeCell ref="AY14:BA14"/>
    <mergeCell ref="BB14:BD14"/>
    <mergeCell ref="AJ14:AL14"/>
    <mergeCell ref="AM14:AO14"/>
    <mergeCell ref="AP14:AR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B19:BD19"/>
    <mergeCell ref="BE19:BG19"/>
    <mergeCell ref="AS19:AU19"/>
    <mergeCell ref="AV19:AX19"/>
    <mergeCell ref="AY19:BA19"/>
    <mergeCell ref="AG19:AI19"/>
    <mergeCell ref="AJ19:AL19"/>
    <mergeCell ref="AM19:AO19"/>
    <mergeCell ref="AP19:AR19"/>
    <mergeCell ref="BE16:BG16"/>
    <mergeCell ref="BH16:BJ16"/>
    <mergeCell ref="BK16:BQ16"/>
    <mergeCell ref="AS16:AU16"/>
    <mergeCell ref="AV16:AX16"/>
    <mergeCell ref="AY16:BA16"/>
    <mergeCell ref="BB16:BD16"/>
    <mergeCell ref="AJ16:AL16"/>
    <mergeCell ref="AM16:AO16"/>
    <mergeCell ref="AP16:AR16"/>
    <mergeCell ref="B16:D16"/>
    <mergeCell ref="E16:I16"/>
    <mergeCell ref="J16:P16"/>
    <mergeCell ref="Q16:W16"/>
    <mergeCell ref="X16:AD16"/>
    <mergeCell ref="AE16:AF16"/>
    <mergeCell ref="AG16:AI16"/>
    <mergeCell ref="BE17:BG17"/>
    <mergeCell ref="BH17:BJ17"/>
    <mergeCell ref="BK17:BQ17"/>
    <mergeCell ref="BH19:BJ19"/>
    <mergeCell ref="BK19:BQ19"/>
    <mergeCell ref="AS17:AU17"/>
    <mergeCell ref="AV17:AX17"/>
    <mergeCell ref="AY17:BA17"/>
    <mergeCell ref="BB17:BD17"/>
    <mergeCell ref="AJ17:AL17"/>
    <mergeCell ref="AM17:AO17"/>
    <mergeCell ref="AP17:AR17"/>
    <mergeCell ref="E17:I17"/>
    <mergeCell ref="J17:P17"/>
    <mergeCell ref="Q17:W17"/>
    <mergeCell ref="X17:AD17"/>
    <mergeCell ref="AE17:AF17"/>
    <mergeCell ref="A18:BQ18"/>
    <mergeCell ref="AG17:AI17"/>
    <mergeCell ref="B17:D17"/>
    <mergeCell ref="B19:D19"/>
    <mergeCell ref="E19:I19"/>
    <mergeCell ref="J19:P19"/>
    <mergeCell ref="Q19:W19"/>
    <mergeCell ref="X19:AD19"/>
    <mergeCell ref="AE19:AF19"/>
    <mergeCell ref="BE25:BG25"/>
    <mergeCell ref="BH25:BJ25"/>
    <mergeCell ref="AG24:AI24"/>
    <mergeCell ref="AJ24:AL24"/>
    <mergeCell ref="AM24:AO24"/>
    <mergeCell ref="AP24:AR24"/>
    <mergeCell ref="AS25:AU25"/>
    <mergeCell ref="AV25:AX25"/>
    <mergeCell ref="AY25:BA25"/>
    <mergeCell ref="BB25:BD25"/>
    <mergeCell ref="AG25:AI25"/>
    <mergeCell ref="AJ25:AL25"/>
    <mergeCell ref="AM25:AO25"/>
    <mergeCell ref="AP25:AR25"/>
    <mergeCell ref="B34:D34"/>
    <mergeCell ref="B36:D36"/>
    <mergeCell ref="E36:I36"/>
    <mergeCell ref="J36:P36"/>
    <mergeCell ref="Q36:W36"/>
    <mergeCell ref="X36:AD36"/>
    <mergeCell ref="AE36:AF36"/>
    <mergeCell ref="BH36:BJ36"/>
    <mergeCell ref="BK36:BQ36"/>
    <mergeCell ref="AJ34:AL34"/>
    <mergeCell ref="AM34:AO34"/>
    <mergeCell ref="E34:I34"/>
    <mergeCell ref="J34:P34"/>
    <mergeCell ref="Q34:W34"/>
    <mergeCell ref="X34:AD34"/>
    <mergeCell ref="AE34:AF34"/>
    <mergeCell ref="A35:BQ35"/>
    <mergeCell ref="AG34:AI34"/>
    <mergeCell ref="AP34:AR34"/>
    <mergeCell ref="AM36:AO36"/>
    <mergeCell ref="AP36:AR36"/>
    <mergeCell ref="AS36:AU36"/>
    <mergeCell ref="AV36:AX36"/>
    <mergeCell ref="AY36:BA36"/>
    <mergeCell ref="BB36:BD36"/>
    <mergeCell ref="BE36:BG36"/>
    <mergeCell ref="AG36:AI36"/>
    <mergeCell ref="AJ36:AL36"/>
    <mergeCell ref="BE32:BG32"/>
    <mergeCell ref="BH32:BJ32"/>
    <mergeCell ref="BK32:BQ32"/>
    <mergeCell ref="AS32:AU32"/>
    <mergeCell ref="AV32:AX32"/>
    <mergeCell ref="AY32:BA32"/>
    <mergeCell ref="BB32:BD32"/>
    <mergeCell ref="AJ32:AL32"/>
    <mergeCell ref="AM32:AO32"/>
    <mergeCell ref="AP32:AR32"/>
    <mergeCell ref="B32:D32"/>
    <mergeCell ref="E32:I32"/>
    <mergeCell ref="J32:P32"/>
    <mergeCell ref="Q32:W32"/>
    <mergeCell ref="X32:AD32"/>
    <mergeCell ref="AE32:AF32"/>
    <mergeCell ref="AG32:AI32"/>
    <mergeCell ref="BE33:BG33"/>
    <mergeCell ref="BH33:BJ33"/>
    <mergeCell ref="BK33:BQ33"/>
    <mergeCell ref="BK34:BQ34"/>
    <mergeCell ref="AJ33:AL33"/>
    <mergeCell ref="AM33:AO33"/>
    <mergeCell ref="AP33:AR33"/>
    <mergeCell ref="AS33:AU33"/>
    <mergeCell ref="AV33:AX33"/>
    <mergeCell ref="AY33:BA33"/>
    <mergeCell ref="BB33:BD33"/>
    <mergeCell ref="B33:D33"/>
    <mergeCell ref="E33:I33"/>
    <mergeCell ref="J33:P33"/>
    <mergeCell ref="Q33:W33"/>
    <mergeCell ref="X33:AD33"/>
    <mergeCell ref="AE33:AF33"/>
    <mergeCell ref="AG33:AI33"/>
    <mergeCell ref="BE37:BG37"/>
    <mergeCell ref="BH37:BJ37"/>
    <mergeCell ref="BK37:BQ37"/>
    <mergeCell ref="AS37:AU37"/>
    <mergeCell ref="AV37:AX37"/>
    <mergeCell ref="AY37:BA37"/>
    <mergeCell ref="BB37:BD37"/>
    <mergeCell ref="AG37:AI37"/>
    <mergeCell ref="AJ37:AL37"/>
    <mergeCell ref="AM37:AO37"/>
    <mergeCell ref="AP37:AR37"/>
    <mergeCell ref="E25:I25"/>
    <mergeCell ref="J25:P25"/>
    <mergeCell ref="Q25:W25"/>
    <mergeCell ref="X25:AD25"/>
    <mergeCell ref="AE25:AF25"/>
    <mergeCell ref="A26:BQ26"/>
    <mergeCell ref="B25:D25"/>
    <mergeCell ref="B27:D27"/>
    <mergeCell ref="E27:I27"/>
    <mergeCell ref="J27:P27"/>
    <mergeCell ref="Q27:W27"/>
    <mergeCell ref="X27:AD27"/>
    <mergeCell ref="AE27:AF27"/>
    <mergeCell ref="BH27:BJ27"/>
    <mergeCell ref="BK27:BQ27"/>
    <mergeCell ref="AM27:AO27"/>
    <mergeCell ref="AP27:AR27"/>
    <mergeCell ref="AS27:AU27"/>
    <mergeCell ref="AV27:AX27"/>
    <mergeCell ref="AY27:BA27"/>
    <mergeCell ref="BB27:BD27"/>
    <mergeCell ref="BE27:BG27"/>
    <mergeCell ref="AG27:AI27"/>
    <mergeCell ref="AJ27:AL27"/>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S24:AU24"/>
    <mergeCell ref="AV24:AX24"/>
    <mergeCell ref="AY24:BA24"/>
    <mergeCell ref="BB24:BD24"/>
    <mergeCell ref="B24:D24"/>
    <mergeCell ref="E24:I24"/>
    <mergeCell ref="J24:P24"/>
    <mergeCell ref="Q24:W24"/>
    <mergeCell ref="X24:AD24"/>
    <mergeCell ref="AE24:AF24"/>
    <mergeCell ref="BE28:BG28"/>
    <mergeCell ref="BH28:BJ28"/>
    <mergeCell ref="BK28:BQ28"/>
    <mergeCell ref="AS28:AU28"/>
    <mergeCell ref="AV28:AX28"/>
    <mergeCell ref="AY28:BA28"/>
    <mergeCell ref="BB28:BD28"/>
    <mergeCell ref="AG28:AI28"/>
    <mergeCell ref="AJ28:AL28"/>
    <mergeCell ref="AM28:AO28"/>
    <mergeCell ref="AP28:AR28"/>
    <mergeCell ref="AJ30:AL30"/>
    <mergeCell ref="AM30:AO30"/>
    <mergeCell ref="AP30:AR30"/>
    <mergeCell ref="AS30:AU30"/>
    <mergeCell ref="AV30:AX30"/>
    <mergeCell ref="AY30:BA30"/>
    <mergeCell ref="BB30:BD30"/>
    <mergeCell ref="B30:D30"/>
    <mergeCell ref="E30:I30"/>
    <mergeCell ref="J30:P30"/>
    <mergeCell ref="Q30:W30"/>
    <mergeCell ref="X30:AD30"/>
    <mergeCell ref="AE30:AF30"/>
    <mergeCell ref="AG30:AI30"/>
    <mergeCell ref="BE31:BG31"/>
    <mergeCell ref="BH31:BJ31"/>
    <mergeCell ref="AJ31:AL31"/>
    <mergeCell ref="AM31:AO31"/>
    <mergeCell ref="AP31:AR31"/>
    <mergeCell ref="AS31:AU31"/>
    <mergeCell ref="AV31:AX31"/>
    <mergeCell ref="AY31:BA31"/>
    <mergeCell ref="BB31:BD31"/>
    <mergeCell ref="B28:D28"/>
    <mergeCell ref="E28:I28"/>
    <mergeCell ref="J28:P28"/>
    <mergeCell ref="Q28:W28"/>
    <mergeCell ref="X28:AD28"/>
    <mergeCell ref="BE29:BG29"/>
    <mergeCell ref="BH29:BJ29"/>
    <mergeCell ref="BK29:BQ29"/>
    <mergeCell ref="AS29:AU29"/>
    <mergeCell ref="AV29:AX29"/>
    <mergeCell ref="AY29:BA29"/>
    <mergeCell ref="BB29:BD29"/>
    <mergeCell ref="AJ29:AL29"/>
    <mergeCell ref="AM29:AO29"/>
    <mergeCell ref="AP29:AR29"/>
    <mergeCell ref="B29:D29"/>
    <mergeCell ref="E29:I29"/>
    <mergeCell ref="J29:P29"/>
    <mergeCell ref="Q29:W29"/>
    <mergeCell ref="X29:AD29"/>
    <mergeCell ref="AE29:AF29"/>
    <mergeCell ref="AG29:AI29"/>
    <mergeCell ref="BE30:BG30"/>
    <mergeCell ref="BH30:BJ30"/>
    <mergeCell ref="BK30:BQ30"/>
    <mergeCell ref="BK31:BQ31"/>
    <mergeCell ref="B31:D31"/>
    <mergeCell ref="E31:I31"/>
    <mergeCell ref="J31:P31"/>
    <mergeCell ref="Q31:W31"/>
    <mergeCell ref="X31:AD31"/>
    <mergeCell ref="AE31:AF31"/>
    <mergeCell ref="AG31:AI31"/>
    <mergeCell ref="AE28:AF28"/>
    <mergeCell ref="BE34:BG34"/>
    <mergeCell ref="BH34:BJ34"/>
    <mergeCell ref="AS34:AU34"/>
    <mergeCell ref="AV34:AX34"/>
    <mergeCell ref="AY34:BA34"/>
    <mergeCell ref="BB34:BD34"/>
    <mergeCell ref="BE40:BG40"/>
    <mergeCell ref="BH40:BJ40"/>
    <mergeCell ref="AG38:AI38"/>
    <mergeCell ref="AJ38:AL38"/>
    <mergeCell ref="AM38:AO38"/>
    <mergeCell ref="AP38:AR38"/>
    <mergeCell ref="AG39:AI39"/>
    <mergeCell ref="AJ39:AL39"/>
    <mergeCell ref="AM39:AO39"/>
    <mergeCell ref="AP39:AR39"/>
    <mergeCell ref="AS40:AU40"/>
    <mergeCell ref="AV40:AX40"/>
    <mergeCell ref="AY40:BA40"/>
    <mergeCell ref="BB40:BD40"/>
    <mergeCell ref="AG40:AI40"/>
    <mergeCell ref="AJ40:AL40"/>
    <mergeCell ref="AM40:AO40"/>
    <mergeCell ref="AP40:AR40"/>
    <mergeCell ref="BE49:BG49"/>
    <mergeCell ref="BH49:BJ49"/>
    <mergeCell ref="AS49:AU49"/>
    <mergeCell ref="AV49:AX49"/>
    <mergeCell ref="AY49:BA49"/>
    <mergeCell ref="BB49:BD49"/>
    <mergeCell ref="AJ49:AL49"/>
    <mergeCell ref="AM49:AO49"/>
    <mergeCell ref="AP49:AR49"/>
    <mergeCell ref="BE47:BG47"/>
    <mergeCell ref="BH47:BJ47"/>
    <mergeCell ref="BK47:BQ47"/>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E48:BG48"/>
    <mergeCell ref="BH48:BJ48"/>
    <mergeCell ref="BK48:BQ48"/>
    <mergeCell ref="BK49:BQ49"/>
    <mergeCell ref="AJ48:AL48"/>
    <mergeCell ref="AM48:AO48"/>
    <mergeCell ref="AP48:AR48"/>
    <mergeCell ref="AS48:AU48"/>
    <mergeCell ref="AV48:AX48"/>
    <mergeCell ref="AY48:BA48"/>
    <mergeCell ref="BB48:BD48"/>
    <mergeCell ref="B48:D48"/>
    <mergeCell ref="E48:I48"/>
    <mergeCell ref="J48:P48"/>
    <mergeCell ref="Q48:W48"/>
    <mergeCell ref="X48:AD48"/>
    <mergeCell ref="AE48:AF48"/>
    <mergeCell ref="AG48:AI48"/>
    <mergeCell ref="B49:D49"/>
    <mergeCell ref="E49:I49"/>
    <mergeCell ref="J49:P49"/>
    <mergeCell ref="Q49:W49"/>
    <mergeCell ref="X49:AD49"/>
    <mergeCell ref="AE49:AF49"/>
    <mergeCell ref="AG49:AI49"/>
    <mergeCell ref="BB53:BD53"/>
    <mergeCell ref="BE53:BG53"/>
    <mergeCell ref="AS53:AU53"/>
    <mergeCell ref="AV53:AX53"/>
    <mergeCell ref="AY53:BA53"/>
    <mergeCell ref="AG53:AI53"/>
    <mergeCell ref="AJ53:AL53"/>
    <mergeCell ref="AM53:AO53"/>
    <mergeCell ref="AP53:AR53"/>
    <mergeCell ref="BE50:BG50"/>
    <mergeCell ref="BH50:BJ50"/>
    <mergeCell ref="BK50:BQ50"/>
    <mergeCell ref="AS50:AU50"/>
    <mergeCell ref="AV50:AX50"/>
    <mergeCell ref="AY50:BA50"/>
    <mergeCell ref="BB50:BD50"/>
    <mergeCell ref="AJ50:AL50"/>
    <mergeCell ref="AM50:AO50"/>
    <mergeCell ref="AP50:AR50"/>
    <mergeCell ref="B50:D50"/>
    <mergeCell ref="E50:I50"/>
    <mergeCell ref="J50:P50"/>
    <mergeCell ref="Q50:W50"/>
    <mergeCell ref="X50:AD50"/>
    <mergeCell ref="AE50:AF50"/>
    <mergeCell ref="AG50:AI50"/>
    <mergeCell ref="BE51:BG51"/>
    <mergeCell ref="BH51:BJ51"/>
    <mergeCell ref="BK51:BQ51"/>
    <mergeCell ref="BH53:BJ53"/>
    <mergeCell ref="BK53:BQ53"/>
    <mergeCell ref="AJ51:AL51"/>
    <mergeCell ref="AM51:AO51"/>
    <mergeCell ref="AP51:AR51"/>
    <mergeCell ref="AS51:AU51"/>
    <mergeCell ref="AV51:AX51"/>
    <mergeCell ref="AY51:BA51"/>
    <mergeCell ref="BB51:BD51"/>
    <mergeCell ref="E51:I51"/>
    <mergeCell ref="J51:P51"/>
    <mergeCell ref="Q51:W51"/>
    <mergeCell ref="X51:AD51"/>
    <mergeCell ref="AE51:AF51"/>
    <mergeCell ref="AG51:AI51"/>
    <mergeCell ref="A52:BQ52"/>
    <mergeCell ref="B51:D51"/>
    <mergeCell ref="B53:D53"/>
    <mergeCell ref="E53:I53"/>
    <mergeCell ref="J53:P53"/>
    <mergeCell ref="Q53:W53"/>
    <mergeCell ref="X53:AD53"/>
    <mergeCell ref="AE53:AF53"/>
    <mergeCell ref="BE56:BG56"/>
    <mergeCell ref="BH56:BJ56"/>
    <mergeCell ref="AS56:AU56"/>
    <mergeCell ref="AV56:AX56"/>
    <mergeCell ref="AY56:BA56"/>
    <mergeCell ref="BB56:BD56"/>
    <mergeCell ref="AJ56:AL56"/>
    <mergeCell ref="AM56:AO56"/>
    <mergeCell ref="AP56:AR56"/>
    <mergeCell ref="BE54:BG54"/>
    <mergeCell ref="BH54:BJ54"/>
    <mergeCell ref="BK54:BQ54"/>
    <mergeCell ref="AS54:AU54"/>
    <mergeCell ref="AV54:AX54"/>
    <mergeCell ref="AY54:BA54"/>
    <mergeCell ref="BB54:BD54"/>
    <mergeCell ref="AJ54:AL54"/>
    <mergeCell ref="AM54:AO54"/>
    <mergeCell ref="AP54:AR54"/>
    <mergeCell ref="B54:D54"/>
    <mergeCell ref="E54:I54"/>
    <mergeCell ref="J54:P54"/>
    <mergeCell ref="Q54:W54"/>
    <mergeCell ref="X54:AD54"/>
    <mergeCell ref="AE54:AF54"/>
    <mergeCell ref="AG54:AI54"/>
    <mergeCell ref="BE55:BG55"/>
    <mergeCell ref="BH55:BJ55"/>
    <mergeCell ref="BK55:BQ55"/>
    <mergeCell ref="BK56:BQ56"/>
    <mergeCell ref="AS55:AU55"/>
    <mergeCell ref="AV55:AX55"/>
    <mergeCell ref="AY55:BA55"/>
    <mergeCell ref="BB55:BD55"/>
    <mergeCell ref="AJ55:AL55"/>
    <mergeCell ref="AM55:AO55"/>
    <mergeCell ref="AP55:AR55"/>
    <mergeCell ref="B55:D55"/>
    <mergeCell ref="E55:I55"/>
    <mergeCell ref="J55:P55"/>
    <mergeCell ref="Q55:W55"/>
    <mergeCell ref="X55:AD55"/>
    <mergeCell ref="AE55:AF55"/>
    <mergeCell ref="AG55:AI55"/>
    <mergeCell ref="B56:D56"/>
    <mergeCell ref="E56:I56"/>
    <mergeCell ref="J56:P56"/>
    <mergeCell ref="Q56:W56"/>
    <mergeCell ref="X56:AD56"/>
    <mergeCell ref="AE56:AF56"/>
    <mergeCell ref="AG56:AI56"/>
    <mergeCell ref="AS39:AU39"/>
    <mergeCell ref="AV39:AX39"/>
    <mergeCell ref="AY39:BA39"/>
    <mergeCell ref="BB39:BD39"/>
    <mergeCell ref="B39:D39"/>
    <mergeCell ref="E39:I39"/>
    <mergeCell ref="J39:P39"/>
    <mergeCell ref="Q39:W39"/>
    <mergeCell ref="X39:AD39"/>
    <mergeCell ref="AE39:AF39"/>
    <mergeCell ref="B37:D37"/>
    <mergeCell ref="E37:I37"/>
    <mergeCell ref="J37:P37"/>
    <mergeCell ref="Q37:W37"/>
    <mergeCell ref="X37:AD37"/>
    <mergeCell ref="BE38:BG38"/>
    <mergeCell ref="BH38:BJ38"/>
    <mergeCell ref="BK38:BQ38"/>
    <mergeCell ref="AS38:AU38"/>
    <mergeCell ref="AV38:AX38"/>
    <mergeCell ref="AY38:BA38"/>
    <mergeCell ref="BB38:BD38"/>
    <mergeCell ref="B38:D38"/>
    <mergeCell ref="E38:I38"/>
    <mergeCell ref="J38:P38"/>
    <mergeCell ref="Q38:W38"/>
    <mergeCell ref="X38:AD38"/>
    <mergeCell ref="AE38:AF38"/>
    <mergeCell ref="BE39:BG39"/>
    <mergeCell ref="BH39:BJ39"/>
    <mergeCell ref="BK39:BQ39"/>
    <mergeCell ref="BK40:BQ40"/>
    <mergeCell ref="B40:D40"/>
    <mergeCell ref="E40:I40"/>
    <mergeCell ref="J40:P40"/>
    <mergeCell ref="Q40:W40"/>
    <mergeCell ref="X40:AD40"/>
    <mergeCell ref="AE40:AF40"/>
    <mergeCell ref="AE37:AF37"/>
    <mergeCell ref="BE43:BG43"/>
    <mergeCell ref="BH43:BJ43"/>
    <mergeCell ref="AS43:AU43"/>
    <mergeCell ref="AV43:AX43"/>
    <mergeCell ref="AY43:BA43"/>
    <mergeCell ref="BB43:BD43"/>
    <mergeCell ref="AJ43:AL43"/>
    <mergeCell ref="AM43:AO43"/>
    <mergeCell ref="AP43:AR43"/>
    <mergeCell ref="BE41:BG41"/>
    <mergeCell ref="BH41:BJ41"/>
    <mergeCell ref="BK41:BQ41"/>
    <mergeCell ref="AS41:AU41"/>
    <mergeCell ref="AV41:AX41"/>
    <mergeCell ref="AY41:BA41"/>
    <mergeCell ref="BB41:BD41"/>
    <mergeCell ref="AJ41:AL41"/>
    <mergeCell ref="AM41:AO41"/>
    <mergeCell ref="AP41:AR41"/>
    <mergeCell ref="B41:D41"/>
    <mergeCell ref="E41:I41"/>
    <mergeCell ref="J41:P41"/>
    <mergeCell ref="Q41:W41"/>
    <mergeCell ref="X41:AD41"/>
    <mergeCell ref="AE41:AF41"/>
    <mergeCell ref="AG41:AI41"/>
    <mergeCell ref="BE42:BG42"/>
    <mergeCell ref="BH42:BJ42"/>
    <mergeCell ref="BK42:BQ42"/>
    <mergeCell ref="BK43:BQ43"/>
    <mergeCell ref="AS42:AU42"/>
    <mergeCell ref="AV42:AX42"/>
    <mergeCell ref="AY42:BA42"/>
    <mergeCell ref="BB42:BD42"/>
    <mergeCell ref="AJ42:AL42"/>
    <mergeCell ref="AM42:AO42"/>
    <mergeCell ref="AP42:AR42"/>
    <mergeCell ref="B42:D42"/>
    <mergeCell ref="E42:I42"/>
    <mergeCell ref="J42:P42"/>
    <mergeCell ref="Q42:W42"/>
    <mergeCell ref="X42:AD42"/>
    <mergeCell ref="AE42:AF42"/>
    <mergeCell ref="AG42:AI42"/>
    <mergeCell ref="B43:D43"/>
    <mergeCell ref="E43:I43"/>
    <mergeCell ref="J43:P43"/>
    <mergeCell ref="Q43:W43"/>
    <mergeCell ref="X43:AD43"/>
    <mergeCell ref="AE43:AF43"/>
    <mergeCell ref="AG43:AI43"/>
    <mergeCell ref="BE46:BG46"/>
    <mergeCell ref="BH46:BJ46"/>
    <mergeCell ref="AS46:AU46"/>
    <mergeCell ref="AV46:AX46"/>
    <mergeCell ref="AY46:BA46"/>
    <mergeCell ref="BB46:BD46"/>
    <mergeCell ref="AJ46:AL46"/>
    <mergeCell ref="AM46:AO46"/>
    <mergeCell ref="AP46:AR46"/>
    <mergeCell ref="BE44:BG44"/>
    <mergeCell ref="BH44:BJ44"/>
    <mergeCell ref="BK44:BQ44"/>
    <mergeCell ref="AS44:AU44"/>
    <mergeCell ref="AV44:AX44"/>
    <mergeCell ref="AY44:BA44"/>
    <mergeCell ref="BB44:BD44"/>
    <mergeCell ref="AJ44:AL44"/>
    <mergeCell ref="AM44:AO44"/>
    <mergeCell ref="AP44:AR44"/>
    <mergeCell ref="B44:D44"/>
    <mergeCell ref="E44:I44"/>
    <mergeCell ref="J44:P44"/>
    <mergeCell ref="Q44:W44"/>
    <mergeCell ref="X44:AD44"/>
    <mergeCell ref="AE44:AF44"/>
    <mergeCell ref="AG44:AI44"/>
    <mergeCell ref="BE45:BG45"/>
    <mergeCell ref="BH45:BJ45"/>
    <mergeCell ref="BK45:BQ45"/>
    <mergeCell ref="BK46:BQ46"/>
    <mergeCell ref="AS45:AU45"/>
    <mergeCell ref="AV45:AX45"/>
    <mergeCell ref="AY45:BA45"/>
    <mergeCell ref="BB45:BD45"/>
    <mergeCell ref="AJ45:AL45"/>
    <mergeCell ref="AM45:AO45"/>
    <mergeCell ref="AP45:AR45"/>
    <mergeCell ref="B45:D45"/>
    <mergeCell ref="E45:I45"/>
    <mergeCell ref="J45:P45"/>
    <mergeCell ref="Q45:W45"/>
    <mergeCell ref="X45:AD45"/>
    <mergeCell ref="AE45:AF45"/>
    <mergeCell ref="AG45:AI45"/>
    <mergeCell ref="B46:D46"/>
    <mergeCell ref="E46:I46"/>
    <mergeCell ref="J46:P46"/>
    <mergeCell ref="Q46:W46"/>
    <mergeCell ref="X46:AD46"/>
    <mergeCell ref="AE46:AF46"/>
    <mergeCell ref="AG46:AI46"/>
    <mergeCell ref="BE59:BG59"/>
    <mergeCell ref="BH59:BJ59"/>
    <mergeCell ref="AS59:AU59"/>
    <mergeCell ref="AV59:AX59"/>
    <mergeCell ref="AY59:BA59"/>
    <mergeCell ref="BB59:BD59"/>
    <mergeCell ref="AJ59:AL59"/>
    <mergeCell ref="AM59:AO59"/>
    <mergeCell ref="AP59:AR59"/>
    <mergeCell ref="BE57:BG57"/>
    <mergeCell ref="BH57:BJ57"/>
    <mergeCell ref="BK57:BQ57"/>
    <mergeCell ref="AS57:AU57"/>
    <mergeCell ref="AV57:AX57"/>
    <mergeCell ref="AY57:BA57"/>
    <mergeCell ref="BB57:BD57"/>
    <mergeCell ref="AJ57:AL57"/>
    <mergeCell ref="AM57:AO57"/>
    <mergeCell ref="AP57:AR57"/>
    <mergeCell ref="B57:D57"/>
    <mergeCell ref="E57:I57"/>
    <mergeCell ref="J57:P57"/>
    <mergeCell ref="Q57:W57"/>
    <mergeCell ref="X57:AD57"/>
    <mergeCell ref="AE57:AF57"/>
    <mergeCell ref="AG57:AI57"/>
    <mergeCell ref="BE58:BG58"/>
    <mergeCell ref="BH58:BJ58"/>
    <mergeCell ref="BK58:BQ58"/>
    <mergeCell ref="BK59:BQ59"/>
    <mergeCell ref="AJ58:AL58"/>
    <mergeCell ref="AM58:AO58"/>
    <mergeCell ref="AP58:AR58"/>
    <mergeCell ref="AS58:AU58"/>
    <mergeCell ref="AV58:AX58"/>
    <mergeCell ref="AY58:BA58"/>
    <mergeCell ref="BB58:BD58"/>
    <mergeCell ref="B58:D58"/>
    <mergeCell ref="E58:I58"/>
    <mergeCell ref="J58:P58"/>
    <mergeCell ref="Q58:W58"/>
    <mergeCell ref="X58:AD58"/>
    <mergeCell ref="AE58:AF58"/>
    <mergeCell ref="AG58:AI58"/>
    <mergeCell ref="B59:D59"/>
    <mergeCell ref="E59:I59"/>
    <mergeCell ref="J59:P59"/>
    <mergeCell ref="Q59:W59"/>
    <mergeCell ref="X59:AD59"/>
    <mergeCell ref="AE59:AF59"/>
    <mergeCell ref="AG59:AI59"/>
  </mergeCells>
  <dataValidations>
    <dataValidation type="list" allowBlank="1" sqref="F1">
      <formula1>"単体テスト,結合テスト,システムテスト"</formula1>
    </dataValidation>
    <dataValidation type="list" allowBlank="1" sqref="AG13:AG17 AV13:AV17 AG19:AG25 AV19:AV25 AG27:AG34 AV27:AV34 AG36:AG51 AV36:AV51 AG53:AG59 AV53:AV59">
      <formula1>"合格,不合格,未テスト,N/A"</formula1>
    </dataValidation>
    <dataValidation type="list" allowBlank="1" sqref="AE13:AE17 AE19:AE25 AE27:AE34 AE36:AE51 AE53:AE59">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2026-06-03T06:18:00Z</dcterms:created>
  <dc:creator>openpyxl</dc:creator>
</cp:coreProperties>
</file>