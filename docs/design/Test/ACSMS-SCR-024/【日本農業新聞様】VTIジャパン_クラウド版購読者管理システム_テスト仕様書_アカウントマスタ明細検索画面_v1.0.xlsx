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1580" activeTab="5"/>
  </bookViews>
  <sheets>
    <sheet name="表紙" sheetId="1" r:id="rId1"/>
    <sheet name="変更履歴" sheetId="2" r:id="rId2"/>
    <sheet name="概要" sheetId="3" r:id="rId3"/>
    <sheet name="テスト報告書" sheetId="4" r:id="rId4"/>
    <sheet name="テスト観点" sheetId="5" r:id="rId5"/>
    <sheet name="機能"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<sst xmlns="http://schemas.openxmlformats.org/spreadsheetml/2006/main" count="933" uniqueCount="505">
  <si>
    <t>クラウド版購読者管理システム</t>
  </si>
  <si>
    <t>アカウントマスタ明細検索画面</t>
  </si>
  <si>
    <t>版1.0</t>
  </si>
  <si>
    <t>フォーマットコード</t>
  </si>
  <si>
    <t>16-BM/PM/VTI</t>
  </si>
  <si>
    <t>フォーマットバージョン</t>
  </si>
  <si>
    <t>1.0</t>
  </si>
  <si>
    <t>発行日</t>
  </si>
  <si>
    <t>2026/05/21</t>
  </si>
  <si>
    <t>項番</t>
  </si>
  <si>
    <t>バージョン</t>
  </si>
  <si>
    <t>担当者</t>
  </si>
  <si>
    <t>変更内容</t>
  </si>
  <si>
    <t>確認者</t>
  </si>
  <si>
    <t>承認者</t>
  </si>
  <si>
    <t>2026-05-21</t>
  </si>
  <si>
    <t>Kieu Thi Diem</t>
  </si>
  <si>
    <t>Tạo mới</t>
  </si>
  <si>
    <t>Nguyen Huy Dat</t>
  </si>
  <si>
    <t>システム・アプリケーション名</t>
  </si>
  <si>
    <t>ドキュメント</t>
  </si>
  <si>
    <t>シート名</t>
  </si>
  <si>
    <t>作成日</t>
  </si>
  <si>
    <t>作成者</t>
  </si>
  <si>
    <t>更新日</t>
  </si>
  <si>
    <t>更新者</t>
  </si>
  <si>
    <t>テスト仕様書</t>
  </si>
  <si>
    <t>概要</t>
  </si>
  <si>
    <t>1.システム概要</t>
  </si>
  <si>
    <t>本システムは、JA向けのクラウド型購読者管理システムであり、</t>
  </si>
  <si>
    <t>購読者情報の管理、購読履歴の管理、口座振替データの管理などの機能を提供する。</t>
  </si>
  <si>
    <t>主な機能として、購読者情報の登録・更新・検索、</t>
  </si>
  <si>
    <t>購読内容の変更履歴管理、口座振替データの作成および管理、</t>
  </si>
  <si>
    <t>ファイルのアップロード・ダウンロード機能、システムのお知らせ管理などを提供する。</t>
  </si>
  <si>
    <t>また、ユーザーのログイン管理、ログイン履歴の記録、</t>
  </si>
  <si>
    <t>ユーザー操作ログの記録などのセキュリティ・監査機能をサポートする。</t>
  </si>
  <si>
    <t>2.資料目的</t>
  </si>
  <si>
    <t>Tài liệu này mô tả chi tiết test specification cho "Màn hình tìm kiếm chi tiết Master Account (ACSMS-SCR-024)" được tạo mới trên hệ thống.</t>
  </si>
  <si>
    <t>3.関連資料</t>
  </si>
  <si>
    <t>No</t>
  </si>
  <si>
    <t>資料コード</t>
  </si>
  <si>
    <t>資料名</t>
  </si>
  <si>
    <t>ACSMS-SCR-024</t>
  </si>
  <si>
    <t>Tài liệu thiết kế Màn hình tìm kiếm chi tiết Master Account</t>
  </si>
  <si>
    <t>ACSMS-SCR-024-api</t>
  </si>
  <si>
    <t>Tài liệu thiết kế API tìm kiếm chi tiết Master Account</t>
  </si>
  <si>
    <t>testcase-viewpoints</t>
  </si>
  <si>
    <t>Danh sách quan điểm test chung toàn hệ thống</t>
  </si>
  <si>
    <t>&lt;単体/結合/システム&gt; テスト報告書</t>
  </si>
  <si>
    <t>プロジェクト名</t>
  </si>
  <si>
    <t>プロジェクトマネージャ</t>
  </si>
  <si>
    <t>#</t>
  </si>
  <si>
    <t>機能名</t>
  </si>
  <si>
    <t>テストケース分類</t>
  </si>
  <si>
    <t>合計</t>
  </si>
  <si>
    <t>テスト結果</t>
  </si>
  <si>
    <t>正常</t>
  </si>
  <si>
    <t>異常</t>
  </si>
  <si>
    <t>境界</t>
  </si>
  <si>
    <t>合格</t>
  </si>
  <si>
    <t>不合格</t>
  </si>
  <si>
    <t>未テスト</t>
  </si>
  <si>
    <t>N/A</t>
  </si>
  <si>
    <t>進捗（%）</t>
  </si>
  <si>
    <t>テスト1回目</t>
  </si>
  <si>
    <t>機能</t>
  </si>
  <si>
    <t>テスト2回目</t>
  </si>
  <si>
    <t>テスト観点</t>
  </si>
  <si>
    <t>1. テスト観点一覧</t>
  </si>
  <si>
    <t>観点ID</t>
  </si>
  <si>
    <t>大分類</t>
  </si>
  <si>
    <t>観点名</t>
  </si>
  <si>
    <t>リスク</t>
  </si>
  <si>
    <t>対象画面範囲</t>
  </si>
  <si>
    <t>TC見積</t>
  </si>
  <si>
    <t>VP-A-01</t>
  </si>
  <si>
    <t>A. セキュリティ・権限</t>
  </si>
  <si>
    <t>ロール別権限制御（RBAC gate）</t>
  </si>
  <si>
    <t>高</t>
  </si>
  <si>
    <t>約25保護画面</t>
  </si>
  <si>
    <t>VP-A-02</t>
  </si>
  <si>
    <t>データ範囲（DataScope）</t>
  </si>
  <si>
    <t>約20一覧／詳細画面</t>
  </si>
  <si>
    <t>VP-A-03</t>
  </si>
  <si>
    <t>項目レベル制限（Field-level restriction）</t>
  </si>
  <si>
    <t>5マスタ</t>
  </si>
  <si>
    <t>VP-A-04</t>
  </si>
  <si>
    <t>URL直接アクセス攻撃</t>
  </si>
  <si>
    <t>VP-A-05</t>
  </si>
  <si>
    <t>セッション失効／401 ハンドリング</t>
  </si>
  <si>
    <t>全システム</t>
  </si>
  <si>
    <t>VP-A-06</t>
  </si>
  <si>
    <t>XSS／HTML 描画安全性</t>
  </si>
  <si>
    <t>約20フォーム</t>
  </si>
  <si>
    <t>VP-A-07</t>
  </si>
  <si>
    <t>CSRF／Cookie セキュリティフラグ</t>
  </si>
  <si>
    <t>VP-A-08</t>
  </si>
  <si>
    <t>レート制限・Throttling</t>
  </si>
  <si>
    <t>中</t>
  </si>
  <si>
    <t>全公開API＋認証エンドポイント</t>
  </si>
  <si>
    <t>VP-A-09</t>
  </si>
  <si>
    <t>アカウントロック・解除運用</t>
  </si>
  <si>
    <t>SCR-001／002＋管理機能</t>
  </si>
  <si>
    <t>VP-A-10</t>
  </si>
  <si>
    <t>SQL インジェクション</t>
  </si>
  <si>
    <t>約20フォーム＋検索</t>
  </si>
  <si>
    <t>VP-B-01</t>
  </si>
  <si>
    <t>B. データバリデーション</t>
  </si>
  <si>
    <t>必須項目チェック</t>
  </si>
  <si>
    <t>約25フォーム</t>
  </si>
  <si>
    <t>VP-B-02</t>
  </si>
  <si>
    <t>最小／最大長境界</t>
  </si>
  <si>
    <t>VP-B-03</t>
  </si>
  <si>
    <t>形式正規表現（郵便／電話／コード）</t>
  </si>
  <si>
    <t>VP-B-04</t>
  </si>
  <si>
    <t>半角／全角ハンドリング</t>
  </si>
  <si>
    <t>VP-B-05</t>
  </si>
  <si>
    <t>日付ロジック</t>
  </si>
  <si>
    <t>約10日付付きフォーム</t>
  </si>
  <si>
    <t>VP-B-06</t>
  </si>
  <si>
    <t>通貨／パーセント形式</t>
  </si>
  <si>
    <t>2-3フォーム（単価）</t>
  </si>
  <si>
    <t>VP-B-07</t>
  </si>
  <si>
    <t>マスタコード（m_code）参照</t>
  </si>
  <si>
    <t>約15ドロップダウン付きフォーム</t>
  </si>
  <si>
    <t>VP-B-08</t>
  </si>
  <si>
    <t>キー重複（duplicate code）</t>
  </si>
  <si>
    <t>約10マスタ</t>
  </si>
  <si>
    <t>VP-B-09</t>
  </si>
  <si>
    <t>IME・全角入力・貼付ハンドリング</t>
  </si>
  <si>
    <t>全テキスト入力フォーム＋検索画面</t>
  </si>
  <si>
    <t>VP-C-01</t>
  </si>
  <si>
    <t>C. 業務ロジック</t>
  </si>
  <si>
    <t>CRUD 正常系 + DB 永続化</t>
  </si>
  <si>
    <t>VP-C-02</t>
  </si>
  <si>
    <t>同時編集競合</t>
  </si>
  <si>
    <t>約8編集画面</t>
  </si>
  <si>
    <t>VP-C-03</t>
  </si>
  <si>
    <t>論理削除 + FK 関連</t>
  </si>
  <si>
    <t>約6関連付きマスタ</t>
  </si>
  <si>
    <t>VP-C-04</t>
  </si>
  <si>
    <t>税込／税抜計算</t>
  </si>
  <si>
    <t>単価マスタ</t>
  </si>
  <si>
    <t>VP-C-05</t>
  </si>
  <si>
    <t>購読者種別ルール（読み取り専用）</t>
  </si>
  <si>
    <t>購読者マスタ</t>
  </si>
  <si>
    <t>VP-C-06</t>
  </si>
  <si>
    <t>Excel取込 部分成功</t>
  </si>
  <si>
    <t>2取込画面</t>
  </si>
  <si>
    <t>VP-C-07</t>
  </si>
  <si>
    <t>販売店一括置換</t>
  </si>
  <si>
    <t>一括置換</t>
  </si>
  <si>
    <t>VP-C-08</t>
  </si>
  <si>
    <t>レポート集計の正確性</t>
  </si>
  <si>
    <t>3レポート</t>
  </si>
  <si>
    <t>VP-D-01</t>
  </si>
  <si>
    <t>D. 統合・システム</t>
  </si>
  <si>
    <t>ログイン + MFA フロー</t>
  </si>
  <si>
    <t>SCR-001／002</t>
  </si>
  <si>
    <t>VP-D-02</t>
  </si>
  <si>
    <t>セッションスライディング 24h</t>
  </si>
  <si>
    <t>VP-D-03</t>
  </si>
  <si>
    <t>パスワード再発行フロー</t>
  </si>
  <si>
    <t>SCR-007</t>
  </si>
  <si>
    <t>VP-D-04</t>
  </si>
  <si>
    <t>監査ログの完全性</t>
  </si>
  <si>
    <t>VP-D-05</t>
  </si>
  <si>
    <t>ファイルアップロード S3</t>
  </si>
  <si>
    <t>SCR-022</t>
  </si>
  <si>
    <t>VP-D-06</t>
  </si>
  <si>
    <t>メール通知</t>
  </si>
  <si>
    <t>SCR-001／007／お知らせ</t>
  </si>
  <si>
    <t>VP-D-07</t>
  </si>
  <si>
    <t>外部 CSV 形式準拠</t>
  </si>
  <si>
    <t>SCR-008／009</t>
  </si>
  <si>
    <t>VP-D-08</t>
  </si>
  <si>
    <t>ネットワーク／500／タイムアウト</t>
  </si>
  <si>
    <t>VP-D-09</t>
  </si>
  <si>
    <t>パスワード再発行 旧token無効化＋クールダウン</t>
  </si>
  <si>
    <t>VP-E-01</t>
  </si>
  <si>
    <t>E. 非機能・ユーザビリティ</t>
  </si>
  <si>
    <t>レイアウト／デザイントークン</t>
  </si>
  <si>
    <t>低</t>
  </si>
  <si>
    <t>全画面</t>
  </si>
  <si>
    <t>VP-E-02</t>
  </si>
  <si>
    <t>レスポンシブ（モバイル／タブレット）</t>
  </si>
  <si>
    <t>VP-E-03</t>
  </si>
  <si>
    <t>キーボード操作</t>
  </si>
  <si>
    <t>VP-E-04</t>
  </si>
  <si>
    <t>ブラウザ互換性</t>
  </si>
  <si>
    <t>VP-E-05</t>
  </si>
  <si>
    <t>マルチタブセッション同期</t>
  </si>
  <si>
    <t>VP-E-07</t>
  </si>
  <si>
    <t>未保存変更ガード・ブラウザ離脱</t>
  </si>
  <si>
    <t>全 CRUD 編集フォーム</t>
  </si>
  <si>
    <t>VP-F-01</t>
  </si>
  <si>
    <t>F. 性能</t>
  </si>
  <si>
    <t>性能ベンチマーク</t>
  </si>
  <si>
    <t>全画面パフォーマンス計測対象</t>
  </si>
  <si>
    <t>VP-F-02</t>
  </si>
  <si>
    <t>大量データ表示性能</t>
  </si>
  <si>
    <t>一覧／レポート画面</t>
  </si>
  <si>
    <t>2. 観点ID 命名規約・グループ凡例</t>
  </si>
  <si>
    <t>グループ</t>
  </si>
  <si>
    <t>接頭辞</t>
  </si>
  <si>
    <t>名称</t>
  </si>
  <si>
    <t>観点数</t>
  </si>
  <si>
    <t>リスク傾向</t>
  </si>
  <si>
    <t>代表的なテスト観点</t>
  </si>
  <si>
    <t>A</t>
  </si>
  <si>
    <t>VP-A-NN</t>
  </si>
  <si>
    <t>セキュリティ・権限</t>
  </si>
  <si>
    <t>RBAC、DataScope、項目レベル制限、URL直接攻撃、セッション失効、XSS、CSRF、レート制限、アカウントロック、SQL注入</t>
  </si>
  <si>
    <t>B</t>
  </si>
  <si>
    <t>VP-B-NN</t>
  </si>
  <si>
    <t>データバリデーション</t>
  </si>
  <si>
    <t>必須／長さ／形式／半角全角／日付／通貨／m_code／重複キー／IME・貼付ハンドリング</t>
  </si>
  <si>
    <t>C</t>
  </si>
  <si>
    <t>VP-C-NN</t>
  </si>
  <si>
    <t>業務ロジック</t>
  </si>
  <si>
    <t>CRUD 永続化、同時編集競合、論理削除＋FK、税計算、購読者ルール、Excel 取込、レポート集計</t>
  </si>
  <si>
    <t>D</t>
  </si>
  <si>
    <t>VP-D-NN</t>
  </si>
  <si>
    <t>統合・システム</t>
  </si>
  <si>
    <t>ログイン＋MFA、セッション管理、パスワード再発行、監査ログ、S3、メール、CSV 準拠、ネットワーク／500</t>
  </si>
  <si>
    <t>E</t>
  </si>
  <si>
    <t>VP-E-NN</t>
  </si>
  <si>
    <t>非機能・ユーザビリティ</t>
  </si>
  <si>
    <t>低〜中</t>
  </si>
  <si>
    <t>レイアウト、レスポンシブ、キーボード操作、ブラウザ互換、マルチタブ同期、未保存変更ガード</t>
  </si>
  <si>
    <t>F</t>
  </si>
  <si>
    <t>VP-F-NN</t>
  </si>
  <si>
    <t>性能</t>
  </si>
  <si>
    <t>性能ベンチマーク、大量データ表示性能</t>
  </si>
  <si>
    <t>命名規約：VP-{グループ記号}-{NN} 形式（NN はグループ内の2桁連番）。新規観点は同グループの末尾に追加する（例：VP-A-11）。グループ記号はリスク軸による分類で、JSTQB FL の品質特性区分に準拠する。</t>
  </si>
  <si>
    <t>テストレベル</t>
  </si>
  <si>
    <t>結合テスト</t>
  </si>
  <si>
    <t>機能／モジュール</t>
  </si>
  <si>
    <t>ACSMS-SCR-024_アカウントマスタ明細検索画面</t>
  </si>
  <si>
    <t>確認日</t>
  </si>
  <si>
    <t>テスト環境</t>
  </si>
  <si>
    <t>Windows 10/11, Chrome, Edge</t>
  </si>
  <si>
    <t>分類</t>
  </si>
  <si>
    <t>回目</t>
  </si>
  <si>
    <t>境界値</t>
  </si>
  <si>
    <t>1回目</t>
  </si>
  <si>
    <t>2回目</t>
  </si>
  <si>
    <t>要件ID</t>
  </si>
  <si>
    <t>説明</t>
  </si>
  <si>
    <t>前提条件</t>
  </si>
  <si>
    <t>ステップ／手順</t>
  </si>
  <si>
    <t>期待結果／アウトプット</t>
  </si>
  <si>
    <t>種類</t>
  </si>
  <si>
    <t>テスト1回目の結果</t>
  </si>
  <si>
    <t>テスト2回目の結果</t>
  </si>
  <si>
    <t>備考</t>
  </si>
  <si>
    <t>結果</t>
  </si>
  <si>
    <t>実績／
アウトプット</t>
  </si>
  <si>
    <t>確認日付
（MM/DD）</t>
  </si>
  <si>
    <t>バグID</t>
  </si>
  <si>
    <t>Kiểm soát quyền truy cập (Access Control)</t>
  </si>
  <si>
    <t>ACSMS-TC-024-001</t>
  </si>
  <si>
    <t>NICHINO_ADMIN access vào màn tìm kiếm chi tiết Master Account (normal)</t>
  </si>
  <si>
    <t>・role: NICHINO_ADMIN
・Đã login + đã xác thực MFA
・Có quyền `account.view` và `account.delete`</t>
  </si>
  <si>
    <r>
      <rPr>
        <b/>
        <sz val="10"/>
        <color rgb="FF000000"/>
        <rFont val="メイリオ"/>
        <charset val="134"/>
      </rPr>
      <t xml:space="preserve">ステップ1：
</t>
    </r>
    <r>
      <rPr>
        <sz val="10"/>
        <color rgb="FF000000"/>
        <rFont val="メイリオ"/>
        <charset val="134"/>
      </rPr>
      <t xml:space="preserve">Mở dashboard, kiểm tra item "アカウントマスタ" trên sidebar
</t>
    </r>
    <r>
      <rPr>
        <b/>
        <sz val="10"/>
        <color rgb="FF000000"/>
        <rFont val="メイリオ"/>
        <charset val="134"/>
      </rPr>
      <t xml:space="preserve">ステップ2：
</t>
    </r>
    <r>
      <rPr>
        <sz val="10"/>
        <color rgb="FF000000"/>
        <rFont val="メイリオ"/>
        <charset val="134"/>
      </rPr>
      <t xml:space="preserve">Truy cập URL `/accounts`
</t>
    </r>
    <r>
      <rPr>
        <b/>
        <sz val="10"/>
        <color rgb="FF000000"/>
        <rFont val="メイリオ"/>
        <charset val="134"/>
      </rPr>
      <t xml:space="preserve">ステップ3：
</t>
    </r>
    <r>
      <rPr>
        <sz val="10"/>
        <color rgb="FF000000"/>
        <rFont val="メイリオ"/>
        <charset val="134"/>
      </rPr>
      <t xml:space="preserve">Kiểm tra response của GET `/api/v1/accounts` qua DevTools
</t>
    </r>
    <r>
      <rPr>
        <b/>
        <sz val="10"/>
        <color rgb="FF000000"/>
        <rFont val="メイリオ"/>
        <charset val="134"/>
      </rPr>
      <t xml:space="preserve">ステップ4：
</t>
    </r>
    <r>
      <rPr>
        <sz val="10"/>
        <color rgb="FF000000"/>
        <rFont val="メイリオ"/>
        <charset val="134"/>
      </rPr>
      <t>Kiểm tra cột thao tác của row bất kỳ trong table kết quả tìm kiếm</t>
    </r>
  </si>
  <si>
    <r>
      <rPr>
        <b/>
        <sz val="10"/>
        <color rgb="FF000000"/>
        <rFont val="メイリオ"/>
        <charset val="134"/>
      </rPr>
      <t xml:space="preserve">ステップ1：
</t>
    </r>
    <r>
      <rPr>
        <sz val="10"/>
        <color rgb="FF000000"/>
        <rFont val="メイリオ"/>
        <charset val="134"/>
      </rPr>
      <t xml:space="preserve">Sidebar hiển thị item "アカウントマスタ" (do có quyền `account.view`)
</t>
    </r>
    <r>
      <rPr>
        <b/>
        <sz val="10"/>
        <color rgb="FF000000"/>
        <rFont val="メイリオ"/>
        <charset val="134"/>
      </rPr>
      <t xml:space="preserve">ステップ2：
</t>
    </r>
    <r>
      <rPr>
        <sz val="10"/>
        <color rgb="FF000000"/>
        <rFont val="メイリオ"/>
        <charset val="134"/>
      </rPr>
      <t xml:space="preserve">Màn tìm kiếm chi tiết Master Account được hiển thị, form tìm kiếm và table kết quả được render chính xác
</t>
    </r>
    <r>
      <rPr>
        <b/>
        <sz val="10"/>
        <color rgb="FF000000"/>
        <rFont val="メイリオ"/>
        <charset val="134"/>
      </rPr>
      <t xml:space="preserve">ステップ3：
</t>
    </r>
    <r>
      <rPr>
        <sz val="10"/>
        <color rgb="FF000000"/>
        <rFont val="メイリオ"/>
        <charset val="134"/>
      </rPr>
      <t xml:space="preserve">Trả về HTTP 200, danh sách account toàn JA được trả về (DataScope không giới hạn)
</t>
    </r>
    <r>
      <rPr>
        <b/>
        <sz val="10"/>
        <color rgb="FF000000"/>
        <rFont val="メイリオ"/>
        <charset val="134"/>
      </rPr>
      <t xml:space="preserve">ステップ4：
</t>
    </r>
    <r>
      <rPr>
        <sz val="10"/>
        <color rgb="FF000000"/>
        <rFont val="メイリオ"/>
        <charset val="134"/>
      </rPr>
      <t xml:space="preserve">Button xóa được kích hoạt (do có quyền `account.delete`)
</t>
    </r>
    <r>
      <rPr>
        <b/>
        <sz val="10"/>
        <color rgb="FF000000"/>
        <rFont val="メイリオ"/>
        <charset val="134"/>
      </rPr>
      <t xml:space="preserve">補足：
</t>
    </r>
    <r>
      <rPr>
        <sz val="10"/>
        <color rgb="FF000000"/>
        <rFont val="メイリオ"/>
        <charset val="134"/>
      </rPr>
      <t xml:space="preserve">・NICHINO_ADMIN là role duy nhất được phép truy cập màn Master Account
</t>
    </r>
    <r>
      <rPr>
        <sz val="10"/>
        <color rgb="FF000000"/>
        <rFont val="メイリオ"/>
        <charset val="134"/>
      </rPr>
      <t xml:space="preserve">・Có thể xem toàn bộ account của các JA
</t>
    </r>
    <r>
      <rPr>
        <sz val="10"/>
        <color rgb="FF000000"/>
        <rFont val="メイリオ"/>
        <charset val="134"/>
      </rPr>
      <t>・Button 新規登録 cũng được kích hoạt</t>
    </r>
  </si>
  <si>
    <t>N</t>
  </si>
  <si>
    <t>diem.kieuthi</t>
  </si>
  <si>
    <t>tuyen.tranduc</t>
  </si>
  <si>
    <t>Màn Master Account là màn dành riêng cho NICHINO_ADMIN, các role khác không thể truy cập.</t>
  </si>
  <si>
    <t>ACSMS-TC-024-002</t>
  </si>
  <si>
    <t>Cấm truy cập với role NICHINO_STAFF</t>
  </si>
  <si>
    <t>・role: NICHINO_STAFF
・Đã login + đã xác thực MFA</t>
  </si>
  <si>
    <r>
      <rPr>
        <b/>
        <sz val="10"/>
        <color rgb="FF000000"/>
        <rFont val="游ゴシック"/>
        <charset val="134"/>
      </rPr>
      <t xml:space="preserve">ステップ1：
</t>
    </r>
    <r>
      <rPr>
        <sz val="10"/>
        <color rgb="FF000000"/>
        <rFont val="游ゴシック"/>
        <charset val="134"/>
      </rPr>
      <t xml:space="preserve">Mở dashboard, kiểm tra item "アカウントマスタ" trên sidebar
</t>
    </r>
    <r>
      <rPr>
        <b/>
        <sz val="10"/>
        <color rgb="FF000000"/>
        <rFont val="游ゴシック"/>
        <charset val="134"/>
      </rPr>
      <t xml:space="preserve">ステップ2：
</t>
    </r>
    <r>
      <rPr>
        <sz val="10"/>
        <color rgb="FF000000"/>
        <rFont val="游ゴシック"/>
        <charset val="134"/>
      </rPr>
      <t xml:space="preserve">Truy cập trực tiếp URL `/accounts`
</t>
    </r>
    <r>
      <rPr>
        <b/>
        <sz val="10"/>
        <color rgb="FF000000"/>
        <rFont val="游ゴシック"/>
        <charset val="134"/>
      </rPr>
      <t xml:space="preserve">ステップ3：
</t>
    </r>
    <r>
      <rPr>
        <sz val="10"/>
        <color rgb="FF000000"/>
        <rFont val="游ゴシック"/>
        <charset val="134"/>
      </rPr>
      <t xml:space="preserve">Dùng DevTools gọi trực tiếp GET `/api/v1/accounts`
</t>
    </r>
    <r>
      <rPr>
        <b/>
        <sz val="10"/>
        <color rgb="FF000000"/>
        <rFont val="游ゴシック"/>
        <charset val="134"/>
      </rPr>
      <t xml:space="preserve">ステップ4：
</t>
    </r>
    <r>
      <rPr>
        <sz val="10"/>
        <color rgb="FF000000"/>
        <rFont val="游ゴシック"/>
        <charset val="134"/>
      </rPr>
      <t>Kiểm tra DB: `SELECT * FROM t_log WHERE result_status = 2 AND target_table = 'm_account' ORDER BY log_datetime DESC LIMIT 1`</t>
    </r>
  </si>
  <si>
    <r>
      <rPr>
        <b/>
        <sz val="10"/>
        <color rgb="FF000000"/>
        <rFont val="游ゴシック"/>
        <charset val="134"/>
      </rPr>
      <t xml:space="preserve">ステップ1：
</t>
    </r>
    <r>
      <rPr>
        <sz val="10"/>
        <color rgb="FF000000"/>
        <rFont val="游ゴシック"/>
        <charset val="134"/>
      </rPr>
      <t xml:space="preserve">Sidebar KHÔNG hiển thị item "アカウントマスタ" (do không có quyền `account.view`)
</t>
    </r>
    <r>
      <rPr>
        <b/>
        <sz val="10"/>
        <color rgb="FF000000"/>
        <rFont val="游ゴシック"/>
        <charset val="134"/>
      </rPr>
      <t xml:space="preserve">ステップ2：
</t>
    </r>
    <r>
      <rPr>
        <sz val="10"/>
        <color rgb="FF000000"/>
        <rFont val="游ゴシック"/>
        <charset val="134"/>
      </rPr>
      <t xml:space="preserve">Hiển thị toast `アクセス権がありません。` + chuyển về `/dashboard`
</t>
    </r>
    <r>
      <rPr>
        <b/>
        <sz val="10"/>
        <color rgb="FF000000"/>
        <rFont val="游ゴシック"/>
        <charset val="134"/>
      </rPr>
      <t xml:space="preserve">ステップ3：
</t>
    </r>
    <r>
      <rPr>
        <sz val="10"/>
        <color rgb="FF000000"/>
        <rFont val="游ゴシック"/>
        <charset val="134"/>
      </rPr>
      <t xml:space="preserve">Trả về HTTP 403 (`error_code: FORBIDDEN`, message `この画面へのアクセス権限がありません。`)
</t>
    </r>
    <r>
      <rPr>
        <b/>
        <sz val="10"/>
        <color rgb="FF000000"/>
        <rFont val="游ゴシック"/>
        <charset val="134"/>
      </rPr>
      <t xml:space="preserve">ステップ4：
</t>
    </r>
    <r>
      <rPr>
        <sz val="10"/>
        <color rgb="FF000000"/>
        <rFont val="游ゴシック"/>
        <charset val="134"/>
      </rPr>
      <t xml:space="preserve">Có ≥1 dòng error log, `account_id` khớp với test account
</t>
    </r>
    <r>
      <rPr>
        <b/>
        <sz val="10"/>
        <color rgb="FF000000"/>
        <rFont val="游ゴシック"/>
        <charset val="134"/>
      </rPr>
      <t xml:space="preserve">補足：
</t>
    </r>
    <r>
      <rPr>
        <sz val="10"/>
        <color rgb="FF000000"/>
        <rFont val="游ゴシック"/>
        <charset val="134"/>
      </rPr>
      <t xml:space="preserve">・Cả 3 tầng FE menu / FE router guard / BE API guard đều block
・Data của `m_account` không được trả về
</t>
    </r>
    <r>
      <rPr>
        <strike/>
        <sz val="10"/>
        <color rgb="FF000000"/>
        <rFont val="游ゴシック"/>
        <charset val="134"/>
      </rPr>
      <t>・Có ghi error log vào `t_log`</t>
    </r>
  </si>
  <si>
    <t>Critical — Nếu fail, đồng nghĩa với việc bypass RBAC, xử lý như security incident.</t>
  </si>
  <si>
    <t>ACSMS-TC-024-003</t>
  </si>
  <si>
    <t>Cấm truy cập màn Master Account với role CHUOKAI</t>
  </si>
  <si>
    <t>・role: CHUOKAI
・Đã login + đã xác thực MFA</t>
  </si>
  <si>
    <r>
      <rPr>
        <b/>
        <sz val="10"/>
        <color rgb="FF000000"/>
        <rFont val="メイリオ"/>
        <charset val="134"/>
      </rPr>
      <t xml:space="preserve">ステップ1：
</t>
    </r>
    <r>
      <rPr>
        <sz val="10"/>
        <color rgb="FF000000"/>
        <rFont val="メイリオ"/>
        <charset val="134"/>
      </rPr>
      <t xml:space="preserve">Kiểm tra item "アカウントマスタ" trên sidebar
</t>
    </r>
    <r>
      <rPr>
        <b/>
        <sz val="10"/>
        <color rgb="FF000000"/>
        <rFont val="メイリオ"/>
        <charset val="134"/>
      </rPr>
      <t xml:space="preserve">ステップ2：
</t>
    </r>
    <r>
      <rPr>
        <sz val="10"/>
        <color rgb="FF000000"/>
        <rFont val="メイリオ"/>
        <charset val="134"/>
      </rPr>
      <t xml:space="preserve">Truy cập trực tiếp URL `/accounts`
</t>
    </r>
    <r>
      <rPr>
        <b/>
        <sz val="10"/>
        <color rgb="FF000000"/>
        <rFont val="メイリオ"/>
        <charset val="134"/>
      </rPr>
      <t xml:space="preserve">ステップ3：
</t>
    </r>
    <r>
      <rPr>
        <sz val="10"/>
        <color rgb="FF000000"/>
        <rFont val="メイリオ"/>
        <charset val="134"/>
      </rPr>
      <t>Dùng DevTools gọi trực tiếp GET `/api/v1/accounts`</t>
    </r>
  </si>
  <si>
    <r>
      <rPr>
        <b/>
        <sz val="10"/>
        <color rgb="FF000000"/>
        <rFont val="游ゴシック"/>
        <charset val="134"/>
      </rPr>
      <t xml:space="preserve">ステップ1：
</t>
    </r>
    <r>
      <rPr>
        <sz val="10"/>
        <color rgb="FF000000"/>
        <rFont val="游ゴシック"/>
        <charset val="134"/>
      </rPr>
      <t xml:space="preserve">Sidebar KHÔNG hiển thị item "アカウントマスタ" (do không có quyền `account.view`)
</t>
    </r>
    <r>
      <rPr>
        <b/>
        <sz val="10"/>
        <color rgb="FF000000"/>
        <rFont val="游ゴシック"/>
        <charset val="134"/>
      </rPr>
      <t xml:space="preserve">ステップ2：
</t>
    </r>
    <r>
      <rPr>
        <sz val="10"/>
        <color rgb="FF000000"/>
        <rFont val="游ゴシック"/>
        <charset val="134"/>
      </rPr>
      <t xml:space="preserve">Hiển thị toast `アクセス権がありません。` + chuyển về `/dashboard`
</t>
    </r>
    <r>
      <rPr>
        <b/>
        <sz val="10"/>
        <color rgb="FF000000"/>
        <rFont val="游ゴシック"/>
        <charset val="134"/>
      </rPr>
      <t xml:space="preserve">ステップ3：
</t>
    </r>
    <r>
      <rPr>
        <sz val="10"/>
        <color rgb="FF000000"/>
        <rFont val="游ゴシック"/>
        <charset val="134"/>
      </rPr>
      <t xml:space="preserve">Trả về HTTP 403 (`error_code: FORBIDDEN`, message `この画面へのアクセス権限がありません。`)
</t>
    </r>
    <r>
      <rPr>
        <b/>
        <sz val="10"/>
        <color rgb="FF000000"/>
        <rFont val="游ゴシック"/>
        <charset val="134"/>
      </rPr>
      <t xml:space="preserve">補足：
</t>
    </r>
    <r>
      <rPr>
        <sz val="10"/>
        <color rgb="FF000000"/>
        <rFont val="游ゴシック"/>
        <charset val="134"/>
      </rPr>
      <t xml:space="preserve">・CHUOKAI không có quyền truy cập màn Master Account
</t>
    </r>
    <r>
      <rPr>
        <strike/>
        <sz val="10"/>
        <color rgb="FF000000"/>
        <rFont val="游ゴシック"/>
        <charset val="134"/>
      </rPr>
      <t>・Có ghi error log vào `t_log`</t>
    </r>
  </si>
  <si>
    <t>Theo `account_concept.md`, màn Master Account chỉ dành cho NICHINO_ADMIN.</t>
  </si>
  <si>
    <t>ACSMS-TC-024-004</t>
  </si>
  <si>
    <t>Cấm truy cập màn Master Account với role JA_HONTEN</t>
  </si>
  <si>
    <t>・role: JA_HONTEN
・Đã login + đã xác thực MFA</t>
  </si>
  <si>
    <r>
      <rPr>
        <b/>
        <sz val="10"/>
        <color rgb="FF000000"/>
        <rFont val="メイリオ"/>
        <charset val="134"/>
      </rPr>
      <t xml:space="preserve">ステップ1：
</t>
    </r>
    <r>
      <rPr>
        <sz val="10"/>
        <color rgb="FF000000"/>
        <rFont val="メイリオ"/>
        <charset val="134"/>
      </rPr>
      <t xml:space="preserve">Sidebar KHÔNG hiển thị item "アカウントマスタ" (do không có quyền `account.view`)
</t>
    </r>
    <r>
      <rPr>
        <b/>
        <sz val="10"/>
        <color rgb="FF000000"/>
        <rFont val="メイリオ"/>
        <charset val="134"/>
      </rPr>
      <t xml:space="preserve">ステップ2：
</t>
    </r>
    <r>
      <rPr>
        <sz val="10"/>
        <color rgb="FF000000"/>
        <rFont val="メイリオ"/>
        <charset val="134"/>
      </rPr>
      <t xml:space="preserve">Hiển thị toast `アクセス権がありません。` + chuyển về `/dashboard`
</t>
    </r>
    <r>
      <rPr>
        <b/>
        <sz val="10"/>
        <color rgb="FF000000"/>
        <rFont val="メイリオ"/>
        <charset val="134"/>
      </rPr>
      <t xml:space="preserve">ステップ3：
</t>
    </r>
    <r>
      <rPr>
        <sz val="10"/>
        <color rgb="FF000000"/>
        <rFont val="メイリオ"/>
        <charset val="134"/>
      </rPr>
      <t xml:space="preserve">Trả về HTTP 403 (`error_code: FORBIDDEN`, message `この画面へのアクセス権限がありません。`)
</t>
    </r>
    <r>
      <rPr>
        <b/>
        <sz val="10"/>
        <color rgb="FF000000"/>
        <rFont val="メイリオ"/>
        <charset val="134"/>
      </rPr>
      <t xml:space="preserve">補足：
</t>
    </r>
    <r>
      <rPr>
        <sz val="10"/>
        <color rgb="FF000000"/>
        <rFont val="メイリオ"/>
        <charset val="134"/>
      </rPr>
      <t xml:space="preserve">・JA_HONTEN không có quyền truy cập màn Master Account
</t>
    </r>
    <r>
      <rPr>
        <sz val="10"/>
        <color rgb="FF000000"/>
        <rFont val="メイリオ"/>
        <charset val="134"/>
      </rPr>
      <t>・Việc quản lý account dưới JA do phía NICHINO_ADMIN thực hiện</t>
    </r>
  </si>
  <si>
    <t>ACSMS-TC-024-005</t>
  </si>
  <si>
    <t>Cấm truy cập màn Master Account với role JA_KANRI_SHITEN</t>
  </si>
  <si>
    <t>・role: JA_KANRI_SHITEN
・Đã login + đã xác thực MFA</t>
  </si>
  <si>
    <r>
      <rPr>
        <b/>
        <sz val="10"/>
        <color rgb="FF000000"/>
        <rFont val="メイリオ"/>
        <charset val="134"/>
      </rPr>
      <t xml:space="preserve">ステップ1：
</t>
    </r>
    <r>
      <rPr>
        <sz val="10"/>
        <color rgb="FF000000"/>
        <rFont val="メイリオ"/>
        <charset val="134"/>
      </rPr>
      <t xml:space="preserve">Sidebar KHÔNG hiển thị item "アカウントマスタ" (do không có quyền `account.view`)
</t>
    </r>
    <r>
      <rPr>
        <b/>
        <sz val="10"/>
        <color rgb="FF000000"/>
        <rFont val="メイリオ"/>
        <charset val="134"/>
      </rPr>
      <t xml:space="preserve">ステップ2：
</t>
    </r>
    <r>
      <rPr>
        <sz val="10"/>
        <color rgb="FF000000"/>
        <rFont val="メイリオ"/>
        <charset val="134"/>
      </rPr>
      <t xml:space="preserve">Hiển thị toast `アクセス権がありません。` + chuyển về `/dashboard`
</t>
    </r>
    <r>
      <rPr>
        <b/>
        <sz val="10"/>
        <color rgb="FF000000"/>
        <rFont val="メイリオ"/>
        <charset val="134"/>
      </rPr>
      <t xml:space="preserve">ステップ3：
</t>
    </r>
    <r>
      <rPr>
        <sz val="10"/>
        <color rgb="FF000000"/>
        <rFont val="メイリオ"/>
        <charset val="134"/>
      </rPr>
      <t xml:space="preserve">Trả về HTTP 403 (`error_code: FORBIDDEN`, message `この画面へのアクセス権限がありません。`)
</t>
    </r>
    <r>
      <rPr>
        <b/>
        <sz val="10"/>
        <color rgb="FF000000"/>
        <rFont val="メイリオ"/>
        <charset val="134"/>
      </rPr>
      <t xml:space="preserve">補足：
</t>
    </r>
    <r>
      <rPr>
        <sz val="10"/>
        <color rgb="FF000000"/>
        <rFont val="メイリオ"/>
        <charset val="134"/>
      </rPr>
      <t>・JA_KANRI_SHITEN không có quyền truy cập màn Master Account</t>
    </r>
  </si>
  <si>
    <t>Hiển thị màn hình &amp; Responsive (Layout &amp; Responsive)</t>
  </si>
  <si>
    <t>ACSMS-TC-024-006</t>
  </si>
  <si>
    <t>Hiển thị ban đầu — form tìm kiếm trống, danh sách default</t>
  </si>
  <si>
    <t>・role: NICHINO_ADMIN
・Đã login + đã xác thực MFA
・Tồn tại ≥20 bản ghi trong `m_account`</t>
  </si>
  <si>
    <r>
      <rPr>
        <b/>
        <sz val="10"/>
        <color rgb="FF000000"/>
        <rFont val="メイリオ"/>
        <charset val="134"/>
      </rPr>
      <t xml:space="preserve">ステップ1：
</t>
    </r>
    <r>
      <rPr>
        <sz val="10"/>
        <color rgb="FF000000"/>
        <rFont val="メイリオ"/>
        <charset val="134"/>
      </rPr>
      <t xml:space="preserve">Truy cập URL `/accounts`
</t>
    </r>
    <r>
      <rPr>
        <b/>
        <sz val="10"/>
        <color rgb="FF000000"/>
        <rFont val="メイリオ"/>
        <charset val="134"/>
      </rPr>
      <t xml:space="preserve">ステップ2：
</t>
    </r>
    <r>
      <rPr>
        <sz val="10"/>
        <color rgb="FF000000"/>
        <rFont val="メイリオ"/>
        <charset val="134"/>
      </rPr>
      <t xml:space="preserve">Kiểm tra giá trị khởi tạo của 4 mục trong form tìm kiếm
</t>
    </r>
    <r>
      <rPr>
        <b/>
        <sz val="10"/>
        <color rgb="FF000000"/>
        <rFont val="メイリオ"/>
        <charset val="134"/>
      </rPr>
      <t xml:space="preserve">ステップ3：
</t>
    </r>
    <r>
      <rPr>
        <sz val="10"/>
        <color rgb="FF000000"/>
        <rFont val="メイリオ"/>
        <charset val="134"/>
      </rPr>
      <t>Kiểm tra số dòng table kết quả và hiển thị pagination</t>
    </r>
  </si>
  <si>
    <r>
      <rPr>
        <b/>
        <sz val="10"/>
        <color rgb="FF000000"/>
        <rFont val="游ゴシック"/>
        <charset val="134"/>
      </rPr>
      <t xml:space="preserve">ステップ1：
</t>
    </r>
    <r>
      <rPr>
        <sz val="10"/>
        <color rgb="FF000000"/>
        <rFont val="游ゴシック"/>
        <charset val="134"/>
      </rPr>
      <t xml:space="preserve">Màn tìm kiếm chi tiết Master Account được hiển thị
</t>
    </r>
    <r>
      <rPr>
        <b/>
        <sz val="10"/>
        <color rgb="FF000000"/>
        <rFont val="游ゴシック"/>
        <charset val="134"/>
      </rPr>
      <t xml:space="preserve">ステップ2：
</t>
    </r>
    <r>
      <rPr>
        <sz val="10"/>
        <color rgb="FF000000"/>
        <rFont val="游ゴシック"/>
        <charset val="134"/>
      </rPr>
      <t xml:space="preserve">Tất cả login_id, role_id, ja_id, kanri_shiten_id đều trống/chưa chọn
</t>
    </r>
    <r>
      <rPr>
        <b/>
        <sz val="10"/>
        <color rgb="FF000000"/>
        <rFont val="游ゴシック"/>
        <charset val="134"/>
      </rPr>
      <t xml:space="preserve">ステップ3：
</t>
    </r>
    <r>
      <rPr>
        <sz val="10"/>
        <color rgb="FF000000"/>
        <rFont val="游ゴシック"/>
        <charset val="134"/>
      </rPr>
      <t xml:space="preserve">GET `/api/v1/accounts` được gọi với param mặc định (page=1, per_page=20, sort_by=created_at, sort_order=desc), tối đa 20 account có `deleted_at IS NULL` được hiển thị
</t>
    </r>
    <r>
      <rPr>
        <b/>
        <sz val="10"/>
        <color rgb="FF000000"/>
        <rFont val="游ゴシック"/>
        <charset val="134"/>
      </rPr>
      <t xml:space="preserve">補足：
</t>
    </r>
    <r>
      <rPr>
        <sz val="10"/>
        <color rgb="FF000000"/>
        <rFont val="游ゴシック"/>
        <charset val="134"/>
      </rPr>
      <t xml:space="preserve">・Khi hiển thị ban đầu, các row đã bị xóa logical (deleted_at IS NOT NULL) không được hiển thị
</t>
    </r>
  </si>
  <si>
    <t>ACSMS-TC-024-007</t>
  </si>
  <si>
    <t>Render form tìm kiếm — 4 mục và label</t>
  </si>
  <si>
    <t>・role: NICHINO_ADMIN
・Đã login + đã xác thực MFA</t>
  </si>
  <si>
    <r>
      <rPr>
        <b/>
        <sz val="10"/>
        <color rgb="FF000000"/>
        <rFont val="メイリオ"/>
        <charset val="134"/>
      </rPr>
      <t xml:space="preserve">ステップ1：
</t>
    </r>
    <r>
      <rPr>
        <sz val="10"/>
        <color rgb="FF000000"/>
        <rFont val="メイリオ"/>
        <charset val="134"/>
      </rPr>
      <t xml:space="preserve">Truy cập URL `/accounts`
</t>
    </r>
    <r>
      <rPr>
        <b/>
        <sz val="10"/>
        <color rgb="FF000000"/>
        <rFont val="メイリオ"/>
        <charset val="134"/>
      </rPr>
      <t xml:space="preserve">ステップ2：
</t>
    </r>
    <r>
      <rPr>
        <sz val="10"/>
        <color rgb="FF000000"/>
        <rFont val="メイリオ"/>
        <charset val="134"/>
      </rPr>
      <t xml:space="preserve">Kiểm tra label và placeholder của từng input element trong form tìm kiếm
</t>
    </r>
    <r>
      <rPr>
        <b/>
        <sz val="10"/>
        <color rgb="FF000000"/>
        <rFont val="メイリオ"/>
        <charset val="134"/>
      </rPr>
      <t xml:space="preserve">ステップ3：
</t>
    </r>
    <r>
      <rPr>
        <sz val="10"/>
        <color rgb="FF000000"/>
        <rFont val="メイリオ"/>
        <charset val="134"/>
      </rPr>
      <t xml:space="preserve">Mở dropdown ja_id và kiểm tra các tùy chọn
</t>
    </r>
    <r>
      <rPr>
        <b/>
        <sz val="10"/>
        <color rgb="FF000000"/>
        <rFont val="メイリオ"/>
        <charset val="134"/>
      </rPr>
      <t xml:space="preserve">ステップ4：
</t>
    </r>
    <r>
      <rPr>
        <sz val="10"/>
        <color rgb="FF000000"/>
        <rFont val="メイリオ"/>
        <charset val="134"/>
      </rPr>
      <t>Mở dropdown kanri_shiten_id và kiểm tra các tùy chọn</t>
    </r>
  </si>
  <si>
    <r>
      <rPr>
        <b/>
        <sz val="10"/>
        <color rgb="FF000000"/>
        <rFont val="メイリオ"/>
        <charset val="134"/>
      </rPr>
      <t xml:space="preserve">ステップ1：
</t>
    </r>
    <r>
      <rPr>
        <sz val="10"/>
        <color rgb="FF000000"/>
        <rFont val="メイリオ"/>
        <charset val="134"/>
      </rPr>
      <t xml:space="preserve">Màn tìm kiếm chi tiết Master Account được hiển thị
</t>
    </r>
    <r>
      <rPr>
        <b/>
        <sz val="10"/>
        <color rgb="FF000000"/>
        <rFont val="メイリオ"/>
        <charset val="134"/>
      </rPr>
      <t xml:space="preserve">ステップ2：
</t>
    </r>
    <r>
      <rPr>
        <sz val="10"/>
        <color rgb="FF000000"/>
        <rFont val="メイリオ"/>
        <charset val="134"/>
      </rPr>
      <t xml:space="preserve">4 label "ログインID" "ロール" "JA" "管理支店" được hiển thị, login_id là text input, role_id / ja_id / kanri_shiten_id là dropdown
</t>
    </r>
    <r>
      <rPr>
        <b/>
        <sz val="10"/>
        <color rgb="FF000000"/>
        <rFont val="メイリオ"/>
        <charset val="134"/>
      </rPr>
      <t xml:space="preserve">ステップ3：
</t>
    </r>
    <r>
      <rPr>
        <sz val="10"/>
        <color rgb="FF000000"/>
        <rFont val="メイリオ"/>
        <charset val="134"/>
      </rPr>
      <t xml:space="preserve">Toàn bộ JA được hiển thị làm các tùy chọn (NICHINO_ADMIN không có giới hạn DataScope)
</t>
    </r>
    <r>
      <rPr>
        <b/>
        <sz val="10"/>
        <color rgb="FF000000"/>
        <rFont val="メイリオ"/>
        <charset val="134"/>
      </rPr>
      <t xml:space="preserve">ステップ4：
</t>
    </r>
    <r>
      <rPr>
        <sz val="10"/>
        <color rgb="FF000000"/>
        <rFont val="メイリオ"/>
        <charset val="134"/>
      </rPr>
      <t xml:space="preserve">Khi chưa chọn JA, dropdown kanri_shiten bị disable
</t>
    </r>
    <r>
      <rPr>
        <b/>
        <sz val="10"/>
        <color rgb="FF000000"/>
        <rFont val="メイリオ"/>
        <charset val="134"/>
      </rPr>
      <t xml:space="preserve">補足：
</t>
    </r>
    <r>
      <rPr>
        <sz val="10"/>
        <color rgb="FF000000"/>
        <rFont val="メイリオ"/>
        <charset val="134"/>
      </rPr>
      <t xml:space="preserve">・Dropdown role hiển thị 5 bản ghi của `m_roles` (NICHINO_ADMIN, NICHINO_STAFF, CHUOKAI, JA_HONTEN, JA_KANRI_SHITEN)
</t>
    </r>
    <r>
      <rPr>
        <sz val="10"/>
        <color rgb="FF000000"/>
        <rFont val="メイリオ"/>
        <charset val="134"/>
      </rPr>
      <t>・Quan hệ cascade (JA → kanri_shiten) hoạt động đúng</t>
    </r>
  </si>
  <si>
    <t>ACSMS-TC-024-008</t>
  </si>
  <si>
    <t>Table kết quả tìm kiếm — cấu trúc cột và nội dung hiển thị</t>
  </si>
  <si>
    <t>・role: NICHINO_ADMIN
・Đã login + đã xác thực MFA
・Tồn tại nhiều bản ghi trong `m_account`</t>
  </si>
  <si>
    <r>
      <rPr>
        <b/>
        <sz val="10"/>
        <color rgb="FF000000"/>
        <rFont val="メイリオ"/>
        <charset val="134"/>
      </rPr>
      <t xml:space="preserve">ステップ1：
</t>
    </r>
    <r>
      <rPr>
        <sz val="10"/>
        <color rgb="FF000000"/>
        <rFont val="メイリオ"/>
        <charset val="134"/>
      </rPr>
      <t xml:space="preserve">Truy cập URL `/accounts`
</t>
    </r>
    <r>
      <rPr>
        <b/>
        <sz val="10"/>
        <color rgb="FF000000"/>
        <rFont val="メイリオ"/>
        <charset val="134"/>
      </rPr>
      <t xml:space="preserve">ステップ2：
</t>
    </r>
    <r>
      <rPr>
        <sz val="10"/>
        <color rgb="FF000000"/>
        <rFont val="メイリオ"/>
        <charset val="134"/>
      </rPr>
      <t xml:space="preserve">Kiểm tra header các cột của table kết quả tìm kiếm
</t>
    </r>
    <r>
      <rPr>
        <b/>
        <sz val="10"/>
        <color rgb="FF000000"/>
        <rFont val="メイリオ"/>
        <charset val="134"/>
      </rPr>
      <t xml:space="preserve">ステップ3：
</t>
    </r>
    <r>
      <rPr>
        <sz val="10"/>
        <color rgb="FF000000"/>
        <rFont val="メイリオ"/>
        <charset val="134"/>
      </rPr>
      <t>So sánh giá trị của row bất kỳ trong table với giá trị DB</t>
    </r>
  </si>
  <si>
    <r>
      <rPr>
        <b/>
        <sz val="10"/>
        <color rgb="FF000000"/>
        <rFont val="メイリオ"/>
        <charset val="134"/>
      </rPr>
      <t xml:space="preserve">ステップ1：
</t>
    </r>
    <r>
      <rPr>
        <sz val="10"/>
        <color rgb="FF000000"/>
        <rFont val="メイリオ"/>
        <charset val="134"/>
      </rPr>
      <t xml:space="preserve">Màn tìm kiếm chi tiết Master Account được hiển thị
</t>
    </r>
    <r>
      <rPr>
        <b/>
        <sz val="10"/>
        <color rgb="FF000000"/>
        <rFont val="メイリオ"/>
        <charset val="134"/>
      </rPr>
      <t xml:space="preserve">ステップ2：
</t>
    </r>
    <r>
      <rPr>
        <sz val="10"/>
        <color rgb="FF000000"/>
        <rFont val="メイリオ"/>
        <charset val="134"/>
      </rPr>
      <t xml:space="preserve">8 cột ログインID, ロール名, 都道府県, JA, 管理支店, 紙, 電子, 操作 được hiển thị
</t>
    </r>
    <r>
      <rPr>
        <b/>
        <sz val="10"/>
        <color rgb="FF000000"/>
        <rFont val="メイリオ"/>
        <charset val="134"/>
      </rPr>
      <t xml:space="preserve">ステップ3：
</t>
    </r>
    <r>
      <rPr>
        <sz val="10"/>
        <color rgb="FF000000"/>
        <rFont val="メイリオ"/>
        <charset val="134"/>
      </rPr>
      <t xml:space="preserve">login_id hiển thị dưới dạng link, role_name là `m_roles.role_name`, todofuken là `m_todofuken.todofuken_name`, JA là `m_ja.ja_name`, kanri_shiten là `m_kanri_shiten.kanri_shiten_name`, 紙/電子 hiển thị bằng checkmark (paper_flg / denshi_flg)
</t>
    </r>
    <r>
      <rPr>
        <b/>
        <sz val="10"/>
        <color rgb="FF000000"/>
        <rFont val="メイリオ"/>
        <charset val="134"/>
      </rPr>
      <t xml:space="preserve">補足：
</t>
    </r>
    <r>
      <rPr>
        <sz val="10"/>
        <color rgb="FF000000"/>
        <rFont val="メイリオ"/>
        <charset val="134"/>
      </rPr>
      <t xml:space="preserve">・Cột thao tác chứa button xóa
</t>
    </r>
    <r>
      <rPr>
        <sz val="10"/>
        <color rgb="FF000000"/>
        <rFont val="メイリオ"/>
        <charset val="134"/>
      </rPr>
      <t>・Account không thuộc JA (NICHINO_ADMIN / NICHINO_STAFF) thì cột JA / kanri_shiten để trống</t>
    </r>
  </si>
  <si>
    <t>ACSMS-TC-024-009</t>
  </si>
  <si>
    <t>Button thao tác — 検索 / クリア / 新規登録</t>
  </si>
  <si>
    <r>
      <rPr>
        <b/>
        <sz val="10"/>
        <color rgb="FF000000"/>
        <rFont val="メイリオ"/>
        <charset val="134"/>
      </rPr>
      <t xml:space="preserve">ステップ1：
</t>
    </r>
    <r>
      <rPr>
        <sz val="10"/>
        <color rgb="FF000000"/>
        <rFont val="メイリオ"/>
        <charset val="134"/>
      </rPr>
      <t xml:space="preserve">Truy cập URL `/accounts`
</t>
    </r>
    <r>
      <rPr>
        <b/>
        <sz val="10"/>
        <color rgb="FF000000"/>
        <rFont val="メイリオ"/>
        <charset val="134"/>
      </rPr>
      <t xml:space="preserve">ステップ2：
</t>
    </r>
    <r>
      <rPr>
        <sz val="10"/>
        <color rgb="FF000000"/>
        <rFont val="メイリオ"/>
        <charset val="134"/>
      </rPr>
      <t xml:space="preserve">Kiểm tra vị trí và trạng thái kích hoạt của button "検索" "検索クリア" dưới form tìm kiếm
</t>
    </r>
    <r>
      <rPr>
        <b/>
        <sz val="10"/>
        <color rgb="FF000000"/>
        <rFont val="メイリオ"/>
        <charset val="134"/>
      </rPr>
      <t xml:space="preserve">ステップ3：
</t>
    </r>
    <r>
      <rPr>
        <sz val="10"/>
        <color rgb="FF000000"/>
        <rFont val="メイリオ"/>
        <charset val="134"/>
      </rPr>
      <t>Kiểm tra vị trí và trạng thái kích hoạt của button "新規登録" ở góc phải trên màn</t>
    </r>
  </si>
  <si>
    <r>
      <rPr>
        <b/>
        <sz val="10"/>
        <color rgb="FF000000"/>
        <rFont val="メイリオ"/>
        <charset val="134"/>
      </rPr>
      <t xml:space="preserve">ステップ1：
</t>
    </r>
    <r>
      <rPr>
        <sz val="10"/>
        <color rgb="FF000000"/>
        <rFont val="メイリオ"/>
        <charset val="134"/>
      </rPr>
      <t xml:space="preserve">Màn tìm kiếm chi tiết Master Account được hiển thị
</t>
    </r>
    <r>
      <rPr>
        <b/>
        <sz val="10"/>
        <color rgb="FF000000"/>
        <rFont val="メイリオ"/>
        <charset val="134"/>
      </rPr>
      <t xml:space="preserve">ステップ2：
</t>
    </r>
    <r>
      <rPr>
        <sz val="10"/>
        <color rgb="FF000000"/>
        <rFont val="メイリオ"/>
        <charset val="134"/>
      </rPr>
      <t xml:space="preserve">Button "検索" "検索クリア" được kích hoạt, được đặt căn trái phía dưới form tìm kiếm
</t>
    </r>
    <r>
      <rPr>
        <b/>
        <sz val="10"/>
        <color rgb="FF000000"/>
        <rFont val="メイリオ"/>
        <charset val="134"/>
      </rPr>
      <t xml:space="preserve">ステップ3：
</t>
    </r>
    <r>
      <rPr>
        <sz val="10"/>
        <color rgb="FF000000"/>
        <rFont val="メイリオ"/>
        <charset val="134"/>
      </rPr>
      <t xml:space="preserve">Button "新規登録" được kích hoạt (do có quyền `account.create`)
</t>
    </r>
    <r>
      <rPr>
        <b/>
        <sz val="10"/>
        <color rgb="FF000000"/>
        <rFont val="メイリオ"/>
        <charset val="134"/>
      </rPr>
      <t xml:space="preserve">補足：
</t>
    </r>
    <r>
      <rPr>
        <sz val="10"/>
        <color rgb="FF000000"/>
        <rFont val="メイリオ"/>
        <charset val="134"/>
      </rPr>
      <t>・Mỗi button phản ánh đúng trạng thái kích hoạt/không kích hoạt</t>
    </r>
  </si>
  <si>
    <t>ACSMS-TC-024-010</t>
  </si>
  <si>
    <t>Hiển thị pagination — mặc định 20 record/page</t>
  </si>
  <si>
    <t>・role: NICHINO_ADMIN
・Đã login + đã xác thực MFA
・Tồn tại 25 bản ghi trong `m_account`</t>
  </si>
  <si>
    <r>
      <rPr>
        <b/>
        <sz val="10"/>
        <color rgb="FF000000"/>
        <rFont val="メイリオ"/>
        <charset val="134"/>
      </rPr>
      <t xml:space="preserve">ステップ1：
</t>
    </r>
    <r>
      <rPr>
        <sz val="10"/>
        <color rgb="FF000000"/>
        <rFont val="メイリオ"/>
        <charset val="134"/>
      </rPr>
      <t xml:space="preserve">Truy cập URL `/accounts`
</t>
    </r>
    <r>
      <rPr>
        <b/>
        <sz val="10"/>
        <color rgb="FF000000"/>
        <rFont val="メイリオ"/>
        <charset val="134"/>
      </rPr>
      <t xml:space="preserve">ステップ2：
</t>
    </r>
    <r>
      <rPr>
        <sz val="10"/>
        <color rgb="FF000000"/>
        <rFont val="メイリオ"/>
        <charset val="134"/>
      </rPr>
      <t xml:space="preserve">Kiểm tra vị trí và nội dung của control pagination
</t>
    </r>
    <r>
      <rPr>
        <b/>
        <sz val="10"/>
        <color rgb="FF000000"/>
        <rFont val="メイリオ"/>
        <charset val="134"/>
      </rPr>
      <t xml:space="preserve">ステップ3：
</t>
    </r>
    <r>
      <rPr>
        <sz val="10"/>
        <color rgb="FF000000"/>
        <rFont val="メイリオ"/>
        <charset val="134"/>
      </rPr>
      <t>Chuyển sang page 2</t>
    </r>
  </si>
  <si>
    <r>
      <rPr>
        <b/>
        <sz val="10"/>
        <color rgb="FF000000"/>
        <rFont val="メイリオ"/>
        <charset val="134"/>
      </rPr>
      <t xml:space="preserve">ステップ1：
</t>
    </r>
    <r>
      <rPr>
        <sz val="10"/>
        <color rgb="FF000000"/>
        <rFont val="メイリオ"/>
        <charset val="134"/>
      </rPr>
      <t xml:space="preserve">Màn tìm kiếm chi tiết Master Account được hiển thị
</t>
    </r>
    <r>
      <rPr>
        <b/>
        <sz val="10"/>
        <color rgb="FF000000"/>
        <rFont val="メイリオ"/>
        <charset val="134"/>
      </rPr>
      <t xml:space="preserve">ステップ2：
</t>
    </r>
    <r>
      <rPr>
        <sz val="10"/>
        <color rgb="FF000000"/>
        <rFont val="メイリオ"/>
        <charset val="134"/>
      </rPr>
      <t xml:space="preserve">Dưới table có hiển thị "全 25 件中 1-20 件を表示" "ページ 1 / 2", các tùy chọn page size kèm label `/ 頁` được hiển thị
</t>
    </r>
    <r>
      <rPr>
        <b/>
        <sz val="10"/>
        <color rgb="FF000000"/>
        <rFont val="メイリオ"/>
        <charset val="134"/>
      </rPr>
      <t xml:space="preserve">ステップ3：
</t>
    </r>
    <r>
      <rPr>
        <sz val="10"/>
        <color rgb="FF000000"/>
        <rFont val="メイリオ"/>
        <charset val="134"/>
      </rPr>
      <t xml:space="preserve">Chuyển sang page 2, hiển thị bản ghi thứ 21-25 (5 bản ghi)
</t>
    </r>
    <r>
      <rPr>
        <b/>
        <sz val="10"/>
        <color rgb="FF000000"/>
        <rFont val="メイリオ"/>
        <charset val="134"/>
      </rPr>
      <t xml:space="preserve">補足：
</t>
    </r>
    <r>
      <rPr>
        <sz val="10"/>
        <color rgb="FF000000"/>
        <rFont val="メイリオ"/>
        <charset val="134"/>
      </rPr>
      <t>・Pagination tuân theo format chuẩn của BaseDataTable (vị trí bottomLeft)</t>
    </r>
  </si>
  <si>
    <t>ACSMS-TC-024-011</t>
  </si>
  <si>
    <t>Responsive — độ rộng tablet / smartphone</t>
  </si>
  <si>
    <r>
      <rPr>
        <b/>
        <sz val="10"/>
        <color rgb="FF000000"/>
        <rFont val="メイリオ"/>
        <charset val="134"/>
      </rPr>
      <t xml:space="preserve">ステップ1：
</t>
    </r>
    <r>
      <rPr>
        <sz val="10"/>
        <color rgb="FF000000"/>
        <rFont val="メイリオ"/>
        <charset val="134"/>
      </rPr>
      <t xml:space="preserve">Thay đổi URL `/accounts` về độ rộng 1024px bằng Chrome DevTools
</t>
    </r>
    <r>
      <rPr>
        <b/>
        <sz val="10"/>
        <color rgb="FF000000"/>
        <rFont val="メイリオ"/>
        <charset val="134"/>
      </rPr>
      <t xml:space="preserve">ステップ2：
</t>
    </r>
    <r>
      <rPr>
        <sz val="10"/>
        <color rgb="FF000000"/>
        <rFont val="メイリオ"/>
        <charset val="134"/>
      </rPr>
      <t xml:space="preserve">Đổi sang độ rộng 375px (mobile)
</t>
    </r>
    <r>
      <rPr>
        <b/>
        <sz val="10"/>
        <color rgb="FF000000"/>
        <rFont val="メイリオ"/>
        <charset val="134"/>
      </rPr>
      <t xml:space="preserve">ステップ3：
</t>
    </r>
    <r>
      <rPr>
        <sz val="10"/>
        <color rgb="FF000000"/>
        <rFont val="メイリオ"/>
        <charset val="134"/>
      </rPr>
      <t>Kiểm tra hành vi scroll ngang</t>
    </r>
  </si>
  <si>
    <r>
      <rPr>
        <b/>
        <sz val="10"/>
        <color rgb="FF000000"/>
        <rFont val="メイリオ"/>
        <charset val="134"/>
      </rPr>
      <t xml:space="preserve">ステップ1：
</t>
    </r>
    <r>
      <rPr>
        <sz val="10"/>
        <color rgb="FF000000"/>
        <rFont val="メイリオ"/>
        <charset val="134"/>
      </rPr>
      <t xml:space="preserve">Form tìm kiếm và table kết quả được hiển thị không bị vỡ layout, form được sắp xếp lại theo grid layout
</t>
    </r>
    <r>
      <rPr>
        <b/>
        <sz val="10"/>
        <color rgb="FF000000"/>
        <rFont val="メイリオ"/>
        <charset val="134"/>
      </rPr>
      <t xml:space="preserve">ステップ2：
</t>
    </r>
    <r>
      <rPr>
        <sz val="10"/>
        <color rgb="FF000000"/>
        <rFont val="メイリオ"/>
        <charset val="134"/>
      </rPr>
      <t xml:space="preserve">Ở độ rộng mobile, form tìm kiếm và table kết quả vẫn được hiển thị, table kết quả hỗ trợ scroll ngang
</t>
    </r>
    <r>
      <rPr>
        <b/>
        <sz val="10"/>
        <color rgb="FF000000"/>
        <rFont val="メイリオ"/>
        <charset val="134"/>
      </rPr>
      <t xml:space="preserve">ステップ3：
</t>
    </r>
    <r>
      <rPr>
        <sz val="10"/>
        <color rgb="FF000000"/>
        <rFont val="メイリオ"/>
        <charset val="134"/>
      </rPr>
      <t xml:space="preserve">Table có thể scroll ngang với `scroll: { x: 'max-content' }`
</t>
    </r>
    <r>
      <rPr>
        <b/>
        <sz val="10"/>
        <color rgb="FF000000"/>
        <rFont val="メイリオ"/>
        <charset val="134"/>
      </rPr>
      <t xml:space="preserve">補足：
</t>
    </r>
    <r>
      <rPr>
        <sz val="10"/>
        <color rgb="FF000000"/>
        <rFont val="メイリオ"/>
        <charset val="134"/>
      </rPr>
      <t>・Tuân theo hành vi responsive chuẩn của BaseDataTable</t>
    </r>
  </si>
  <si>
    <t>Header &amp; Breadcrumb</t>
  </si>
  <si>
    <t>ACSMS-TC-024-012</t>
  </si>
  <si>
    <t>Hiển thị tiêu đề màn hình</t>
  </si>
  <si>
    <r>
      <rPr>
        <b/>
        <sz val="10"/>
        <color rgb="FF000000"/>
        <rFont val="メイリオ"/>
        <charset val="134"/>
      </rPr>
      <t xml:space="preserve">ステップ1：
</t>
    </r>
    <r>
      <rPr>
        <sz val="10"/>
        <color rgb="FF000000"/>
        <rFont val="メイリオ"/>
        <charset val="134"/>
      </rPr>
      <t xml:space="preserve">Truy cập URL `/accounts`
</t>
    </r>
    <r>
      <rPr>
        <b/>
        <sz val="10"/>
        <color rgb="FF000000"/>
        <rFont val="メイリオ"/>
        <charset val="134"/>
      </rPr>
      <t xml:space="preserve">ステップ2：
</t>
    </r>
    <r>
      <rPr>
        <sz val="10"/>
        <color rgb="FF000000"/>
        <rFont val="メイリオ"/>
        <charset val="134"/>
      </rPr>
      <t>Kiểm tra tiêu đề ở vùng header trên cùng của màn hình</t>
    </r>
  </si>
  <si>
    <r>
      <rPr>
        <b/>
        <sz val="10"/>
        <color rgb="FF000000"/>
        <rFont val="メイリオ"/>
        <charset val="134"/>
      </rPr>
      <t xml:space="preserve">ステップ1：
</t>
    </r>
    <r>
      <rPr>
        <sz val="10"/>
        <color rgb="FF000000"/>
        <rFont val="メイリオ"/>
        <charset val="134"/>
      </rPr>
      <t xml:space="preserve">Màn tìm kiếm chi tiết Master Account được hiển thị
</t>
    </r>
    <r>
      <rPr>
        <b/>
        <sz val="10"/>
        <color rgb="FF000000"/>
        <rFont val="メイリオ"/>
        <charset val="134"/>
      </rPr>
      <t xml:space="preserve">ステップ2：
</t>
    </r>
    <r>
      <rPr>
        <sz val="10"/>
        <color rgb="FF000000"/>
        <rFont val="メイリオ"/>
        <charset val="134"/>
      </rPr>
      <t xml:space="preserve">Vùng header hiển thị "アカウントマスタ明細検索" (lấy từ route.meta.breadcrumb)
</t>
    </r>
    <r>
      <rPr>
        <b/>
        <sz val="10"/>
        <color rgb="FF000000"/>
        <rFont val="メイリオ"/>
        <charset val="134"/>
      </rPr>
      <t xml:space="preserve">補足：
</t>
    </r>
    <r>
      <rPr>
        <sz val="10"/>
        <color rgb="FF000000"/>
        <rFont val="メイリオ"/>
        <charset val="134"/>
      </rPr>
      <t>・Tiêu đề do AppHeader của MainLayout render, View không được render trùng lặp</t>
    </r>
  </si>
  <si>
    <t>ACSMS-TC-024-013</t>
  </si>
  <si>
    <t>Hiển thị breadcrumb — 3 cấp</t>
  </si>
  <si>
    <r>
      <rPr>
        <b/>
        <sz val="10"/>
        <color rgb="FF000000"/>
        <rFont val="メイリオ"/>
        <charset val="134"/>
      </rPr>
      <t xml:space="preserve">ステップ1：
</t>
    </r>
    <r>
      <rPr>
        <sz val="10"/>
        <color rgb="FF000000"/>
        <rFont val="メイリオ"/>
        <charset val="134"/>
      </rPr>
      <t xml:space="preserve">Truy cập URL `/accounts`
</t>
    </r>
    <r>
      <rPr>
        <b/>
        <sz val="10"/>
        <color rgb="FF000000"/>
        <rFont val="メイリオ"/>
        <charset val="134"/>
      </rPr>
      <t xml:space="preserve">ステップ2：
</t>
    </r>
    <r>
      <rPr>
        <sz val="10"/>
        <color rgb="FF000000"/>
        <rFont val="メイリオ"/>
        <charset val="134"/>
      </rPr>
      <t xml:space="preserve">Kiểm tra cấp và từng node của breadcrumb
</t>
    </r>
    <r>
      <rPr>
        <b/>
        <sz val="10"/>
        <color rgb="FF000000"/>
        <rFont val="メイリオ"/>
        <charset val="134"/>
      </rPr>
      <t xml:space="preserve">ステップ3：
</t>
    </r>
    <r>
      <rPr>
        <sz val="10"/>
        <color rgb="FF000000"/>
        <rFont val="メイリオ"/>
        <charset val="134"/>
      </rPr>
      <t>Click link "ホーム"</t>
    </r>
  </si>
  <si>
    <r>
      <rPr>
        <b/>
        <sz val="10"/>
        <color rgb="FF000000"/>
        <rFont val="游ゴシック"/>
        <charset val="134"/>
      </rPr>
      <t xml:space="preserve">ステップ1：
</t>
    </r>
    <r>
      <rPr>
        <sz val="10"/>
        <color rgb="FF000000"/>
        <rFont val="游ゴシック"/>
        <charset val="134"/>
      </rPr>
      <t xml:space="preserve">Màn tìm kiếm chi tiết Master Account được hiển thị
</t>
    </r>
    <r>
      <rPr>
        <b/>
        <sz val="10"/>
        <color rgb="FF000000"/>
        <rFont val="游ゴシック"/>
        <charset val="134"/>
      </rPr>
      <t xml:space="preserve">ステップ2：
</t>
    </r>
    <r>
      <rPr>
        <sz val="10"/>
        <color rgb="FF000000"/>
        <rFont val="游ゴシック"/>
        <charset val="134"/>
      </rPr>
      <t xml:space="preserve">Breadcrumb hiển thị 2 cấp "ホーム &gt; アカウントマスタ明細検索", node cuối cùng không phải là link
</t>
    </r>
    <r>
      <rPr>
        <b/>
        <sz val="10"/>
        <color rgb="FF000000"/>
        <rFont val="游ゴシック"/>
        <charset val="134"/>
      </rPr>
      <t xml:space="preserve">ステップ3：
</t>
    </r>
    <r>
      <rPr>
        <sz val="10"/>
        <color rgb="FF000000"/>
        <rFont val="游ゴシック"/>
        <charset val="134"/>
      </rPr>
      <t xml:space="preserve">Chuyển đến dashboard `/dashboard`
</t>
    </r>
    <r>
      <rPr>
        <b/>
        <sz val="10"/>
        <color rgb="FF000000"/>
        <rFont val="游ゴシック"/>
        <charset val="134"/>
      </rPr>
      <t xml:space="preserve">補足：
</t>
    </r>
    <r>
      <rPr>
        <sz val="10"/>
        <color rgb="FF000000"/>
        <rFont val="游ゴシック"/>
        <charset val="134"/>
      </rPr>
      <t>・Chỉ "ホーム"  và "アカウントマスタ明細検索" hiển thị dạng text</t>
    </r>
  </si>
  <si>
    <t>ACSMS-TC-024-014</t>
  </si>
  <si>
    <t>Hiển thị thông tin user</t>
  </si>
  <si>
    <r>
      <rPr>
        <b/>
        <sz val="10"/>
        <color rgb="FF000000"/>
        <rFont val="メイリオ"/>
        <charset val="134"/>
      </rPr>
      <t xml:space="preserve">ステップ1：
</t>
    </r>
    <r>
      <rPr>
        <sz val="10"/>
        <color rgb="FF000000"/>
        <rFont val="メイリオ"/>
        <charset val="134"/>
      </rPr>
      <t xml:space="preserve">Truy cập URL `/accounts`
</t>
    </r>
    <r>
      <rPr>
        <b/>
        <sz val="10"/>
        <color rgb="FF000000"/>
        <rFont val="メイリオ"/>
        <charset val="134"/>
      </rPr>
      <t xml:space="preserve">ステップ2：
</t>
    </r>
    <r>
      <rPr>
        <sz val="10"/>
        <color rgb="FF000000"/>
        <rFont val="メイリオ"/>
        <charset val="134"/>
      </rPr>
      <t>Kiểm tra vùng thông tin user ở góc phải trên màn hình</t>
    </r>
  </si>
  <si>
    <r>
      <rPr>
        <b/>
        <sz val="10"/>
        <color rgb="FF000000"/>
        <rFont val="メイリオ"/>
        <charset val="134"/>
      </rPr>
      <t xml:space="preserve">ステップ1：
</t>
    </r>
    <r>
      <rPr>
        <sz val="10"/>
        <color rgb="FF000000"/>
        <rFont val="メイリオ"/>
        <charset val="134"/>
      </rPr>
      <t xml:space="preserve">Màn tìm kiếm chi tiết Master Account được hiển thị
</t>
    </r>
    <r>
      <rPr>
        <b/>
        <sz val="10"/>
        <color rgb="FF000000"/>
        <rFont val="メイリオ"/>
        <charset val="134"/>
      </rPr>
      <t xml:space="preserve">ステップ2：
</t>
    </r>
    <r>
      <rPr>
        <sz val="10"/>
        <color rgb="FF000000"/>
        <rFont val="メイリオ"/>
        <charset val="134"/>
      </rPr>
      <t xml:space="preserve">Góc phải trên header hiển thị login_id và role_name (NICHINO_ADMIN) của account đang login, menu đăng xuất có thể sử dụng
</t>
    </r>
    <r>
      <rPr>
        <b/>
        <sz val="10"/>
        <color rgb="FF000000"/>
        <rFont val="メイリオ"/>
        <charset val="134"/>
      </rPr>
      <t xml:space="preserve">補足：
</t>
    </r>
    <r>
      <rPr>
        <sz val="10"/>
        <color rgb="FF000000"/>
        <rFont val="メイリオ"/>
        <charset val="134"/>
      </rPr>
      <t>・Hành vi chuẩn của AppHeader trong MainLayout</t>
    </r>
  </si>
  <si>
    <t>Chức năng tìm kiếm / Sort / Pagination</t>
  </si>
  <si>
    <t>ACSMS-TC-024-015</t>
  </si>
  <si>
    <t>Tìm kiếm partial match theo login_id</t>
  </si>
  <si>
    <t>・role: NICHINO_ADMIN
・Đã login + đã xác thực MFA
・Trong `m_account` có login_id='admin01', 'admin02', 'staff01'</t>
  </si>
  <si>
    <r>
      <rPr>
        <b/>
        <sz val="10"/>
        <color rgb="FF000000"/>
        <rFont val="メイリオ"/>
        <charset val="134"/>
      </rPr>
      <t xml:space="preserve">ステップ1：
</t>
    </r>
    <r>
      <rPr>
        <sz val="10"/>
        <color rgb="FF000000"/>
        <rFont val="メイリオ"/>
        <charset val="134"/>
      </rPr>
      <t xml:space="preserve">Truy cập URL `/accounts`
</t>
    </r>
    <r>
      <rPr>
        <b/>
        <sz val="10"/>
        <color rgb="FF000000"/>
        <rFont val="メイリオ"/>
        <charset val="134"/>
      </rPr>
      <t xml:space="preserve">ステップ2：
</t>
    </r>
    <r>
      <rPr>
        <sz val="10"/>
        <color rgb="FF000000"/>
        <rFont val="メイリオ"/>
        <charset val="134"/>
      </rPr>
      <t xml:space="preserve">Nhập "admin" vào ô input ログインID
</t>
    </r>
    <r>
      <rPr>
        <b/>
        <sz val="10"/>
        <color rgb="FF000000"/>
        <rFont val="メイリオ"/>
        <charset val="134"/>
      </rPr>
      <t xml:space="preserve">ステップ3：
</t>
    </r>
    <r>
      <rPr>
        <sz val="10"/>
        <color rgb="FF000000"/>
        <rFont val="メイリオ"/>
        <charset val="134"/>
      </rPr>
      <t>Click button "検索"</t>
    </r>
  </si>
  <si>
    <r>
      <rPr>
        <b/>
        <sz val="10"/>
        <color rgb="FF000000"/>
        <rFont val="メイリオ"/>
        <charset val="134"/>
      </rPr>
      <t xml:space="preserve">ステップ1：
</t>
    </r>
    <r>
      <rPr>
        <sz val="10"/>
        <color rgb="FF000000"/>
        <rFont val="メイリオ"/>
        <charset val="134"/>
      </rPr>
      <t xml:space="preserve">Màn tìm kiếm chi tiết Master Account được hiển thị
</t>
    </r>
    <r>
      <rPr>
        <b/>
        <sz val="10"/>
        <color rgb="FF000000"/>
        <rFont val="メイリオ"/>
        <charset val="134"/>
      </rPr>
      <t xml:space="preserve">ステップ2：
</t>
    </r>
    <r>
      <rPr>
        <sz val="10"/>
        <color rgb="FF000000"/>
        <rFont val="メイリオ"/>
        <charset val="134"/>
      </rPr>
      <t xml:space="preserve">"admin" được nhập vào ô input ログインID
</t>
    </r>
    <r>
      <rPr>
        <b/>
        <sz val="10"/>
        <color rgb="FF000000"/>
        <rFont val="メイリオ"/>
        <charset val="134"/>
      </rPr>
      <t xml:space="preserve">ステップ3：
</t>
    </r>
    <r>
      <rPr>
        <sz val="10"/>
        <color rgb="FF000000"/>
        <rFont val="メイリオ"/>
        <charset val="134"/>
      </rPr>
      <t xml:space="preserve">GET `/api/v1/accounts?login_id=admin` được gọi, 2 bản ghi 'admin01', 'admin02' được trả về (partial match LIKE '%admin%')
</t>
    </r>
    <r>
      <rPr>
        <b/>
        <sz val="10"/>
        <color rgb="FF000000"/>
        <rFont val="メイリオ"/>
        <charset val="134"/>
      </rPr>
      <t xml:space="preserve">補足：
</t>
    </r>
    <r>
      <rPr>
        <sz val="10"/>
        <color rgb="FF000000"/>
        <rFont val="メイリオ"/>
        <charset val="134"/>
      </rPr>
      <t xml:space="preserve">・Việc phân biệt hoa thường tuân theo spec
</t>
    </r>
    <r>
      <rPr>
        <sz val="10"/>
        <color rgb="FF000000"/>
        <rFont val="メイリオ"/>
        <charset val="134"/>
      </rPr>
      <t>・'staff01' không được bao gồm trong kết quả</t>
    </r>
  </si>
  <si>
    <t>ACSMS-TC-024-016</t>
  </si>
  <si>
    <t>Tìm kiếm exact match theo role_id</t>
  </si>
  <si>
    <t>・role: NICHINO_ADMIN
・Đã login + đã xác thực MFA
・Trong `m_account` tồn tại bản ghi của từng role</t>
  </si>
  <si>
    <r>
      <rPr>
        <b/>
        <sz val="10"/>
        <color rgb="FF000000"/>
        <rFont val="メイリオ"/>
        <charset val="134"/>
      </rPr>
      <t xml:space="preserve">ステップ1：
</t>
    </r>
    <r>
      <rPr>
        <sz val="10"/>
        <color rgb="FF000000"/>
        <rFont val="メイリオ"/>
        <charset val="134"/>
      </rPr>
      <t xml:space="preserve">Truy cập URL `/accounts`
</t>
    </r>
    <r>
      <rPr>
        <b/>
        <sz val="10"/>
        <color rgb="FF000000"/>
        <rFont val="メイリオ"/>
        <charset val="134"/>
      </rPr>
      <t xml:space="preserve">ステップ2：
</t>
    </r>
    <r>
      <rPr>
        <sz val="10"/>
        <color rgb="FF000000"/>
        <rFont val="メイリオ"/>
        <charset val="134"/>
      </rPr>
      <t xml:space="preserve">Chọn "JA_HONTEN" từ dropdown role
</t>
    </r>
    <r>
      <rPr>
        <b/>
        <sz val="10"/>
        <color rgb="FF000000"/>
        <rFont val="メイリオ"/>
        <charset val="134"/>
      </rPr>
      <t xml:space="preserve">ステップ3：
</t>
    </r>
    <r>
      <rPr>
        <sz val="10"/>
        <color rgb="FF000000"/>
        <rFont val="メイリオ"/>
        <charset val="134"/>
      </rPr>
      <t>Click button "検索"</t>
    </r>
  </si>
  <si>
    <r>
      <rPr>
        <b/>
        <sz val="10"/>
        <color rgb="FF000000"/>
        <rFont val="メイリオ"/>
        <charset val="134"/>
      </rPr>
      <t xml:space="preserve">ステップ1：
</t>
    </r>
    <r>
      <rPr>
        <sz val="10"/>
        <color rgb="FF000000"/>
        <rFont val="メイリオ"/>
        <charset val="134"/>
      </rPr>
      <t xml:space="preserve">Màn tìm kiếm chi tiết Master Account được hiển thị
</t>
    </r>
    <r>
      <rPr>
        <b/>
        <sz val="10"/>
        <color rgb="FF000000"/>
        <rFont val="メイリオ"/>
        <charset val="134"/>
      </rPr>
      <t xml:space="preserve">ステップ2：
</t>
    </r>
    <r>
      <rPr>
        <sz val="10"/>
        <color rgb="FF000000"/>
        <rFont val="メイリオ"/>
        <charset val="134"/>
      </rPr>
      <t xml:space="preserve">"JA_HONTEN" được chọn trong dropdown role
</t>
    </r>
    <r>
      <rPr>
        <b/>
        <sz val="10"/>
        <color rgb="FF000000"/>
        <rFont val="メイリオ"/>
        <charset val="134"/>
      </rPr>
      <t xml:space="preserve">ステップ3：
</t>
    </r>
    <r>
      <rPr>
        <sz val="10"/>
        <color rgb="FF000000"/>
        <rFont val="メイリオ"/>
        <charset val="134"/>
      </rPr>
      <t xml:space="preserve">GET `/api/v1/accounts?role_id=4` được gọi, chỉ trả về các account có role_id=4
</t>
    </r>
    <r>
      <rPr>
        <b/>
        <sz val="10"/>
        <color rgb="FF000000"/>
        <rFont val="メイリオ"/>
        <charset val="134"/>
      </rPr>
      <t xml:space="preserve">補足：
</t>
    </r>
    <r>
      <rPr>
        <sz val="10"/>
        <color rgb="FF000000"/>
        <rFont val="メイリオ"/>
        <charset val="134"/>
      </rPr>
      <t>・Lọc theo exact match của role_id</t>
    </r>
  </si>
  <si>
    <t>ACSMS-TC-024-017</t>
  </si>
  <si>
    <t>Tìm kiếm exact match theo ja_id</t>
  </si>
  <si>
    <t>・role: NICHINO_ADMIN
・Đã login + đã xác thực MFA
・Tồn tại account của nhiều JA</t>
  </si>
  <si>
    <r>
      <rPr>
        <b/>
        <sz val="10"/>
        <color rgb="FF000000"/>
        <rFont val="メイリオ"/>
        <charset val="134"/>
      </rPr>
      <t xml:space="preserve">ステップ1：
</t>
    </r>
    <r>
      <rPr>
        <sz val="10"/>
        <color rgb="FF000000"/>
        <rFont val="メイリオ"/>
        <charset val="134"/>
      </rPr>
      <t xml:space="preserve">Truy cập URL `/accounts`
</t>
    </r>
    <r>
      <rPr>
        <b/>
        <sz val="10"/>
        <color rgb="FF000000"/>
        <rFont val="メイリオ"/>
        <charset val="134"/>
      </rPr>
      <t xml:space="preserve">ステップ2：
</t>
    </r>
    <r>
      <rPr>
        <sz val="10"/>
        <color rgb="FF000000"/>
        <rFont val="メイリオ"/>
        <charset val="134"/>
      </rPr>
      <t xml:space="preserve">Chọn "東京都" từ dropdown todofuken
</t>
    </r>
    <r>
      <rPr>
        <b/>
        <sz val="10"/>
        <color rgb="FF000000"/>
        <rFont val="メイリオ"/>
        <charset val="134"/>
      </rPr>
      <t xml:space="preserve">ステップ3：
</t>
    </r>
    <r>
      <rPr>
        <sz val="10"/>
        <color rgb="FF000000"/>
        <rFont val="メイリオ"/>
        <charset val="134"/>
      </rPr>
      <t xml:space="preserve">Chọn JA bất kỳ từ dropdown JA
</t>
    </r>
    <r>
      <rPr>
        <b/>
        <sz val="10"/>
        <color rgb="FF000000"/>
        <rFont val="メイリオ"/>
        <charset val="134"/>
      </rPr>
      <t xml:space="preserve">ステップ4：
</t>
    </r>
    <r>
      <rPr>
        <sz val="10"/>
        <color rgb="FF000000"/>
        <rFont val="メイリオ"/>
        <charset val="134"/>
      </rPr>
      <t>Click button "検索"</t>
    </r>
  </si>
  <si>
    <r>
      <rPr>
        <b/>
        <sz val="10"/>
        <color rgb="FF000000"/>
        <rFont val="メイリオ"/>
        <charset val="134"/>
      </rPr>
      <t xml:space="preserve">ステップ1：
</t>
    </r>
    <r>
      <rPr>
        <sz val="10"/>
        <color rgb="FF000000"/>
        <rFont val="メイリオ"/>
        <charset val="134"/>
      </rPr>
      <t xml:space="preserve">Màn tìm kiếm chi tiết Master Account được hiển thị
</t>
    </r>
    <r>
      <rPr>
        <b/>
        <sz val="10"/>
        <color rgb="FF000000"/>
        <rFont val="メイリオ"/>
        <charset val="134"/>
      </rPr>
      <t xml:space="preserve">ステップ2：
</t>
    </r>
    <r>
      <rPr>
        <sz val="10"/>
        <color rgb="FF000000"/>
        <rFont val="メイリオ"/>
        <charset val="134"/>
      </rPr>
      <t xml:space="preserve">Sau khi chọn todofuken, dropdown JA được load lại chỉ với các JA thuộc todofuken đã chọn
</t>
    </r>
    <r>
      <rPr>
        <b/>
        <sz val="10"/>
        <color rgb="FF000000"/>
        <rFont val="メイリオ"/>
        <charset val="134"/>
      </rPr>
      <t xml:space="preserve">ステップ3：
</t>
    </r>
    <r>
      <rPr>
        <sz val="10"/>
        <color rgb="FF000000"/>
        <rFont val="メイリオ"/>
        <charset val="134"/>
      </rPr>
      <t xml:space="preserve">Dropdown JA phản ánh giá trị đã chọn
</t>
    </r>
    <r>
      <rPr>
        <b/>
        <sz val="10"/>
        <color rgb="FF000000"/>
        <rFont val="メイリオ"/>
        <charset val="134"/>
      </rPr>
      <t xml:space="preserve">ステップ4：
</t>
    </r>
    <r>
      <rPr>
        <sz val="10"/>
        <color rgb="FF000000"/>
        <rFont val="メイリオ"/>
        <charset val="134"/>
      </rPr>
      <t xml:space="preserve">GET `/api/v1/accounts?ja_id=&lt;id&gt;` được gọi, chỉ trả về các account dưới JA đã chỉ định
</t>
    </r>
    <r>
      <rPr>
        <b/>
        <sz val="10"/>
        <color rgb="FF000000"/>
        <rFont val="メイリオ"/>
        <charset val="134"/>
      </rPr>
      <t xml:space="preserve">補足：
</t>
    </r>
    <r>
      <rPr>
        <sz val="10"/>
        <color rgb="FF000000"/>
        <rFont val="メイリオ"/>
        <charset val="134"/>
      </rPr>
      <t>・Cascade todofuken → JA hoạt động đúng</t>
    </r>
  </si>
  <si>
    <t>ACSMS-TC-024-018</t>
  </si>
  <si>
    <t>Tìm kiếm exact match theo kanri_shiten_id</t>
  </si>
  <si>
    <t>・role: NICHINO_ADMIN
・Đã login + đã xác thực MFA
・Tồn tại nhiều kanri_shiten dưới một JA cụ thể</t>
  </si>
  <si>
    <r>
      <rPr>
        <b/>
        <sz val="10"/>
        <color rgb="FF000000"/>
        <rFont val="メイリオ"/>
        <charset val="134"/>
      </rPr>
      <t xml:space="preserve">ステップ1：
</t>
    </r>
    <r>
      <rPr>
        <sz val="10"/>
        <color rgb="FF000000"/>
        <rFont val="メイリオ"/>
        <charset val="134"/>
      </rPr>
      <t xml:space="preserve">Truy cập URL `/accounts`
</t>
    </r>
    <r>
      <rPr>
        <b/>
        <sz val="10"/>
        <color rgb="FF000000"/>
        <rFont val="メイリオ"/>
        <charset val="134"/>
      </rPr>
      <t xml:space="preserve">ステップ2：
</t>
    </r>
    <r>
      <rPr>
        <sz val="10"/>
        <color rgb="FF000000"/>
        <rFont val="メイリオ"/>
        <charset val="134"/>
      </rPr>
      <t xml:space="preserve">Chọn JA bất kỳ từ dropdown JA
</t>
    </r>
    <r>
      <rPr>
        <b/>
        <sz val="10"/>
        <color rgb="FF000000"/>
        <rFont val="メイリオ"/>
        <charset val="134"/>
      </rPr>
      <t xml:space="preserve">ステップ3：
</t>
    </r>
    <r>
      <rPr>
        <sz val="10"/>
        <color rgb="FF000000"/>
        <rFont val="メイリオ"/>
        <charset val="134"/>
      </rPr>
      <t xml:space="preserve">Chọn kanri_shiten bất kỳ từ dropdown kanri_shiten
</t>
    </r>
    <r>
      <rPr>
        <b/>
        <sz val="10"/>
        <color rgb="FF000000"/>
        <rFont val="メイリオ"/>
        <charset val="134"/>
      </rPr>
      <t xml:space="preserve">ステップ4：
</t>
    </r>
    <r>
      <rPr>
        <sz val="10"/>
        <color rgb="FF000000"/>
        <rFont val="メイリオ"/>
        <charset val="134"/>
      </rPr>
      <t>Click button "検索"</t>
    </r>
  </si>
  <si>
    <r>
      <rPr>
        <b/>
        <sz val="10"/>
        <color rgb="FF000000"/>
        <rFont val="メイリオ"/>
        <charset val="134"/>
      </rPr>
      <t xml:space="preserve">ステップ1：
</t>
    </r>
    <r>
      <rPr>
        <sz val="10"/>
        <color rgb="FF000000"/>
        <rFont val="メイリオ"/>
        <charset val="134"/>
      </rPr>
      <t xml:space="preserve">Màn tìm kiếm chi tiết Master Account được hiển thị
</t>
    </r>
    <r>
      <rPr>
        <b/>
        <sz val="10"/>
        <color rgb="FF000000"/>
        <rFont val="メイリオ"/>
        <charset val="134"/>
      </rPr>
      <t xml:space="preserve">ステップ2：
</t>
    </r>
    <r>
      <rPr>
        <sz val="10"/>
        <color rgb="FF000000"/>
        <rFont val="メイリオ"/>
        <charset val="134"/>
      </rPr>
      <t xml:space="preserve">Sau khi chọn JA, dropdown kanri_shiten được kích hoạt và được load lại chỉ với các kanri_shiten thuộc JA đã chọn
</t>
    </r>
    <r>
      <rPr>
        <b/>
        <sz val="10"/>
        <color rgb="FF000000"/>
        <rFont val="メイリオ"/>
        <charset val="134"/>
      </rPr>
      <t xml:space="preserve">ステップ3：
</t>
    </r>
    <r>
      <rPr>
        <sz val="10"/>
        <color rgb="FF000000"/>
        <rFont val="メイリオ"/>
        <charset val="134"/>
      </rPr>
      <t xml:space="preserve">Dropdown kanri_shiten phản ánh giá trị đã chọn
</t>
    </r>
    <r>
      <rPr>
        <b/>
        <sz val="10"/>
        <color rgb="FF000000"/>
        <rFont val="メイリオ"/>
        <charset val="134"/>
      </rPr>
      <t xml:space="preserve">ステップ4：
</t>
    </r>
    <r>
      <rPr>
        <sz val="10"/>
        <color rgb="FF000000"/>
        <rFont val="メイリオ"/>
        <charset val="134"/>
      </rPr>
      <t xml:space="preserve">GET `/api/v1/accounts?ja_id=&lt;id&gt;&amp;kanri_shiten_id=&lt;id&gt;` được gọi, chỉ trả về các account dưới kanri_shiten đã chỉ định
</t>
    </r>
    <r>
      <rPr>
        <b/>
        <sz val="10"/>
        <color rgb="FF000000"/>
        <rFont val="メイリオ"/>
        <charset val="134"/>
      </rPr>
      <t xml:space="preserve">補足：
</t>
    </r>
    <r>
      <rPr>
        <sz val="10"/>
        <color rgb="FF000000"/>
        <rFont val="メイリオ"/>
        <charset val="134"/>
      </rPr>
      <t>・Cascade JA → kanri_shiten hoạt động đúng</t>
    </r>
  </si>
  <si>
    <t>ACSMS-TC-024-019</t>
  </si>
  <si>
    <t>Cascade clear JA → kanri_shiten bị disable</t>
  </si>
  <si>
    <r>
      <rPr>
        <b/>
        <sz val="10"/>
        <color rgb="FF000000"/>
        <rFont val="メイリオ"/>
        <charset val="134"/>
      </rPr>
      <t xml:space="preserve">ステップ1：
</t>
    </r>
    <r>
      <rPr>
        <sz val="10"/>
        <color rgb="FF000000"/>
        <rFont val="メイリオ"/>
        <charset val="134"/>
      </rPr>
      <t xml:space="preserve">Truy cập URL `/accounts`, chọn JA và kanri_shiten
</t>
    </r>
    <r>
      <rPr>
        <b/>
        <sz val="10"/>
        <color rgb="FF000000"/>
        <rFont val="メイリオ"/>
        <charset val="134"/>
      </rPr>
      <t xml:space="preserve">ステップ2：
</t>
    </r>
    <r>
      <rPr>
        <sz val="10"/>
        <color rgb="FF000000"/>
        <rFont val="メイリオ"/>
        <charset val="134"/>
      </rPr>
      <t xml:space="preserve">Click button × của dropdown JA để clear JA
</t>
    </r>
    <r>
      <rPr>
        <b/>
        <sz val="10"/>
        <color rgb="FF000000"/>
        <rFont val="メイリオ"/>
        <charset val="134"/>
      </rPr>
      <t xml:space="preserve">ステップ3：
</t>
    </r>
    <r>
      <rPr>
        <sz val="10"/>
        <color rgb="FF000000"/>
        <rFont val="メイリオ"/>
        <charset val="134"/>
      </rPr>
      <t>Kiểm tra trạng thái của dropdown kanri_shiten</t>
    </r>
  </si>
  <si>
    <r>
      <rPr>
        <b/>
        <sz val="10"/>
        <color rgb="FF000000"/>
        <rFont val="メイリオ"/>
        <charset val="134"/>
      </rPr>
      <t xml:space="preserve">ステップ1：
</t>
    </r>
    <r>
      <rPr>
        <sz val="10"/>
        <color rgb="FF000000"/>
        <rFont val="メイリオ"/>
        <charset val="134"/>
      </rPr>
      <t xml:space="preserve">Màn tìm kiếm chi tiết Master Account được hiển thị, JA và kanri_shiten đang ở trạng thái đã chọn
</t>
    </r>
    <r>
      <rPr>
        <b/>
        <sz val="10"/>
        <color rgb="FF000000"/>
        <rFont val="メイリオ"/>
        <charset val="134"/>
      </rPr>
      <t xml:space="preserve">ステップ2：
</t>
    </r>
    <r>
      <rPr>
        <sz val="10"/>
        <color rgb="FF000000"/>
        <rFont val="メイリオ"/>
        <charset val="134"/>
      </rPr>
      <t xml:space="preserve">JA được clear
</t>
    </r>
    <r>
      <rPr>
        <b/>
        <sz val="10"/>
        <color rgb="FF000000"/>
        <rFont val="メイリオ"/>
        <charset val="134"/>
      </rPr>
      <t xml:space="preserve">ステップ3：
</t>
    </r>
    <r>
      <rPr>
        <sz val="10"/>
        <color rgb="FF000000"/>
        <rFont val="メイリオ"/>
        <charset val="134"/>
      </rPr>
      <t xml:space="preserve">Pulldown kanri_shiten bị disable, giá trị đã chọn cũng được clear
</t>
    </r>
    <r>
      <rPr>
        <b/>
        <sz val="10"/>
        <color rgb="FF000000"/>
        <rFont val="メイリオ"/>
        <charset val="134"/>
      </rPr>
      <t xml:space="preserve">補足：
</t>
    </r>
    <r>
      <rPr>
        <sz val="10"/>
        <color rgb="FF000000"/>
        <rFont val="メイリオ"/>
        <charset val="134"/>
      </rPr>
      <t>・Khi clear JA, kanri_shiten cũng được reset theo</t>
    </r>
  </si>
  <si>
    <t>ACSMS-TC-024-020</t>
  </si>
  <si>
    <t>Tìm kiếm tổ hợp nhiều điều kiện</t>
  </si>
  <si>
    <r>
      <rPr>
        <b/>
        <sz val="10"/>
        <color rgb="FF000000"/>
        <rFont val="メイリオ"/>
        <charset val="134"/>
      </rPr>
      <t xml:space="preserve">ステップ1：
</t>
    </r>
    <r>
      <rPr>
        <sz val="10"/>
        <color rgb="FF000000"/>
        <rFont val="メイリオ"/>
        <charset val="134"/>
      </rPr>
      <t xml:space="preserve">Truy cập URL `/accounts`
</t>
    </r>
    <r>
      <rPr>
        <b/>
        <sz val="10"/>
        <color rgb="FF000000"/>
        <rFont val="メイリオ"/>
        <charset val="134"/>
      </rPr>
      <t xml:space="preserve">ステップ2：
</t>
    </r>
    <r>
      <rPr>
        <sz val="10"/>
        <color rgb="FF000000"/>
        <rFont val="メイリオ"/>
        <charset val="134"/>
      </rPr>
      <t xml:space="preserve">Nhập/chọn ログインID "ja", role "JA_HONTEN", JA "ja-001"
</t>
    </r>
    <r>
      <rPr>
        <b/>
        <sz val="10"/>
        <color rgb="FF000000"/>
        <rFont val="メイリオ"/>
        <charset val="134"/>
      </rPr>
      <t xml:space="preserve">ステップ3：
</t>
    </r>
    <r>
      <rPr>
        <sz val="10"/>
        <color rgb="FF000000"/>
        <rFont val="メイリオ"/>
        <charset val="134"/>
      </rPr>
      <t>Click button "検索"</t>
    </r>
  </si>
  <si>
    <r>
      <rPr>
        <b/>
        <sz val="10"/>
        <color rgb="FF000000"/>
        <rFont val="メイリオ"/>
        <charset val="134"/>
      </rPr>
      <t xml:space="preserve">ステップ1：
</t>
    </r>
    <r>
      <rPr>
        <sz val="10"/>
        <color rgb="FF000000"/>
        <rFont val="メイリオ"/>
        <charset val="134"/>
      </rPr>
      <t xml:space="preserve">Màn tìm kiếm chi tiết Master Account được hiển thị
</t>
    </r>
    <r>
      <rPr>
        <b/>
        <sz val="10"/>
        <color rgb="FF000000"/>
        <rFont val="メイリオ"/>
        <charset val="134"/>
      </rPr>
      <t xml:space="preserve">ステップ2：
</t>
    </r>
    <r>
      <rPr>
        <sz val="10"/>
        <color rgb="FF000000"/>
        <rFont val="メイリオ"/>
        <charset val="134"/>
      </rPr>
      <t xml:space="preserve">Cả 3 mục đều phản ánh giá trị đã nhập/chọn
</t>
    </r>
    <r>
      <rPr>
        <b/>
        <sz val="10"/>
        <color rgb="FF000000"/>
        <rFont val="メイリオ"/>
        <charset val="134"/>
      </rPr>
      <t xml:space="preserve">ステップ3：
</t>
    </r>
    <r>
      <rPr>
        <sz val="10"/>
        <color rgb="FF000000"/>
        <rFont val="メイリオ"/>
        <charset val="134"/>
      </rPr>
      <t xml:space="preserve">GET `/api/v1/accounts?login_id=ja&amp;role_id=4&amp;ja_id=1` được gọi, chỉ trả về các account khớp với cả 3 điều kiện (kết hợp AND)
</t>
    </r>
    <r>
      <rPr>
        <b/>
        <sz val="10"/>
        <color rgb="FF000000"/>
        <rFont val="メイリオ"/>
        <charset val="134"/>
      </rPr>
      <t xml:space="preserve">補足：
</t>
    </r>
    <r>
      <rPr>
        <sz val="10"/>
        <color rgb="FF000000"/>
        <rFont val="メイリオ"/>
        <charset val="134"/>
      </rPr>
      <t>・Các điều kiện đa dạng được kết hợp bằng AND</t>
    </r>
  </si>
  <si>
    <t>ACSMS-TC-024-021</t>
  </si>
  <si>
    <t>Tìm kiếm với filter rỗng (hiển thị danh sách ban đầu)</t>
  </si>
  <si>
    <r>
      <rPr>
        <b/>
        <sz val="10"/>
        <color rgb="FF000000"/>
        <rFont val="メイリオ"/>
        <charset val="134"/>
      </rPr>
      <t xml:space="preserve">ステップ1：
</t>
    </r>
    <r>
      <rPr>
        <sz val="10"/>
        <color rgb="FF000000"/>
        <rFont val="メイリオ"/>
        <charset val="134"/>
      </rPr>
      <t xml:space="preserve">Truy cập URL `/accounts`
</t>
    </r>
    <r>
      <rPr>
        <b/>
        <sz val="10"/>
        <color rgb="FF000000"/>
        <rFont val="メイリオ"/>
        <charset val="134"/>
      </rPr>
      <t xml:space="preserve">ステップ2：
</t>
    </r>
    <r>
      <rPr>
        <sz val="10"/>
        <color rgb="FF000000"/>
        <rFont val="メイリオ"/>
        <charset val="134"/>
      </rPr>
      <t>Không nhập điều kiện tìm kiếm nào và click button "検索"</t>
    </r>
  </si>
  <si>
    <r>
      <rPr>
        <b/>
        <sz val="10"/>
        <color rgb="FF000000"/>
        <rFont val="メイリオ"/>
        <charset val="134"/>
      </rPr>
      <t xml:space="preserve">ステップ1：
</t>
    </r>
    <r>
      <rPr>
        <sz val="10"/>
        <color rgb="FF000000"/>
        <rFont val="メイリオ"/>
        <charset val="134"/>
      </rPr>
      <t xml:space="preserve">Màn tìm kiếm chi tiết Master Account được hiển thị
</t>
    </r>
    <r>
      <rPr>
        <b/>
        <sz val="10"/>
        <color rgb="FF000000"/>
        <rFont val="メイリオ"/>
        <charset val="134"/>
      </rPr>
      <t xml:space="preserve">ステップ2：
</t>
    </r>
    <r>
      <rPr>
        <sz val="10"/>
        <color rgb="FF000000"/>
        <rFont val="メイリオ"/>
        <charset val="134"/>
      </rPr>
      <t xml:space="preserve">GET `/api/v1/accounts` được gọi không kèm filter param, tối đa 20 account có `deleted_at IS NULL` được hiển thị
</t>
    </r>
    <r>
      <rPr>
        <b/>
        <sz val="10"/>
        <color rgb="FF000000"/>
        <rFont val="メイリオ"/>
        <charset val="134"/>
      </rPr>
      <t xml:space="preserve">補足：
</t>
    </r>
    <r>
      <rPr>
        <sz val="10"/>
        <color rgb="FF000000"/>
        <rFont val="メイリオ"/>
        <charset val="134"/>
      </rPr>
      <t>・Kết quả trả về tương đương hiển thị ban đầu</t>
    </r>
  </si>
  <si>
    <t>ACSMS-TC-024-022</t>
  </si>
  <si>
    <t>role_id giá trị biên 0 (ngoài phạm vi)</t>
  </si>
  <si>
    <r>
      <rPr>
        <b/>
        <sz val="10"/>
        <color rgb="FF000000"/>
        <rFont val="メイリオ"/>
        <charset val="134"/>
      </rPr>
      <t xml:space="preserve">ステップ1：
</t>
    </r>
    <r>
      <rPr>
        <sz val="10"/>
        <color rgb="FF000000"/>
        <rFont val="メイリオ"/>
        <charset val="134"/>
      </rPr>
      <t xml:space="preserve">Dùng DevTools gửi trực tiếp GET `/api/v1/accounts?role_id=0`
</t>
    </r>
    <r>
      <rPr>
        <b/>
        <sz val="10"/>
        <color rgb="FF000000"/>
        <rFont val="メイリオ"/>
        <charset val="134"/>
      </rPr>
      <t xml:space="preserve">ステップ2：
</t>
    </r>
    <r>
      <rPr>
        <sz val="10"/>
        <color rgb="FF000000"/>
        <rFont val="メイリオ"/>
        <charset val="134"/>
      </rPr>
      <t>Kiểm tra nội dung response</t>
    </r>
  </si>
  <si>
    <r>
      <rPr>
        <b/>
        <sz val="10"/>
        <color rgb="FF000000"/>
        <rFont val="游ゴシック"/>
        <charset val="134"/>
      </rPr>
      <t xml:space="preserve">ステップ1：
</t>
    </r>
    <r>
      <rPr>
        <sz val="10"/>
        <color rgb="FF000000"/>
        <rFont val="游ゴシック"/>
        <charset val="134"/>
      </rPr>
      <t xml:space="preserve">Trả về HTTP 400 (`error_code: VALIDATION_ERROR`, message `管理者区分は1〜5の範囲で指定してください。`)
</t>
    </r>
    <r>
      <rPr>
        <b/>
        <sz val="10"/>
        <color rgb="FF000000"/>
        <rFont val="游ゴシック"/>
        <charset val="134"/>
      </rPr>
      <t xml:space="preserve">ステップ2：
</t>
    </r>
    <r>
      <rPr>
        <sz val="10"/>
        <color rgb="FF000000"/>
        <rFont val="游ゴシック"/>
        <charset val="134"/>
      </rPr>
      <t xml:space="preserve">Trường errors chứa lỗi ngoài phạm vi của `role_id`
</t>
    </r>
    <r>
      <rPr>
        <b/>
        <sz val="10"/>
        <color rgb="FF000000"/>
        <rFont val="游ゴシック"/>
        <charset val="134"/>
      </rPr>
      <t xml:space="preserve">補足：
</t>
    </r>
    <r>
      <rPr>
        <sz val="10"/>
        <color rgb="FF000000"/>
        <rFont val="游ゴシック"/>
        <charset val="134"/>
      </rPr>
      <t>・role_id chỉ cho phép trong phạm vi 1-5</t>
    </r>
  </si>
  <si>
    <t>ACSMS-TC-024-023</t>
  </si>
  <si>
    <t>role_id giá trị biên 1 (min, normal)</t>
  </si>
  <si>
    <t>・role: NICHINO_ADMIN
・Đã login + đã xác thực MFA
・Tồn tại account có role_id=1</t>
  </si>
  <si>
    <r>
      <rPr>
        <b/>
        <sz val="10"/>
        <color rgb="FF000000"/>
        <rFont val="メイリオ"/>
        <charset val="134"/>
      </rPr>
      <t xml:space="preserve">ステップ1：
</t>
    </r>
    <r>
      <rPr>
        <sz val="10"/>
        <color rgb="FF000000"/>
        <rFont val="メイリオ"/>
        <charset val="134"/>
      </rPr>
      <t xml:space="preserve">Truy cập URL `/accounts`, chọn "NICHINO_ADMIN" (role_id=1) từ dropdown role
</t>
    </r>
    <r>
      <rPr>
        <b/>
        <sz val="10"/>
        <color rgb="FF000000"/>
        <rFont val="メイリオ"/>
        <charset val="134"/>
      </rPr>
      <t xml:space="preserve">ステップ2：
</t>
    </r>
    <r>
      <rPr>
        <sz val="10"/>
        <color rgb="FF000000"/>
        <rFont val="メイリオ"/>
        <charset val="134"/>
      </rPr>
      <t>Click button "検索"</t>
    </r>
  </si>
  <si>
    <r>
      <rPr>
        <b/>
        <sz val="10"/>
        <color rgb="FF000000"/>
        <rFont val="メイリオ"/>
        <charset val="134"/>
      </rPr>
      <t xml:space="preserve">ステップ1：
</t>
    </r>
    <r>
      <rPr>
        <sz val="10"/>
        <color rgb="FF000000"/>
        <rFont val="メイリオ"/>
        <charset val="134"/>
      </rPr>
      <t xml:space="preserve">"NICHINO_ADMIN" được chọn trong dropdown role
</t>
    </r>
    <r>
      <rPr>
        <b/>
        <sz val="10"/>
        <color rgb="FF000000"/>
        <rFont val="メイリオ"/>
        <charset val="134"/>
      </rPr>
      <t xml:space="preserve">ステップ2：
</t>
    </r>
    <r>
      <rPr>
        <sz val="10"/>
        <color rgb="FF000000"/>
        <rFont val="メイリオ"/>
        <charset val="134"/>
      </rPr>
      <t xml:space="preserve">GET `/api/v1/accounts?role_id=1` được gọi, trả về HTTP 200, chỉ các account có role_id=1 được trả về
</t>
    </r>
    <r>
      <rPr>
        <b/>
        <sz val="10"/>
        <color rgb="FF000000"/>
        <rFont val="メイリオ"/>
        <charset val="134"/>
      </rPr>
      <t xml:space="preserve">補足：
</t>
    </r>
    <r>
      <rPr>
        <sz val="10"/>
        <color rgb="FF000000"/>
        <rFont val="メイリオ"/>
        <charset val="134"/>
      </rPr>
      <t>・Min 1 được nhận bình thường</t>
    </r>
  </si>
  <si>
    <t>ACSMS-TC-024-024</t>
  </si>
  <si>
    <t>role_id giá trị biên 5 (max, normal)</t>
  </si>
  <si>
    <t>・role: NICHINO_ADMIN
・Đã login + đã xác thực MFA
・Tồn tại account có role_id=5</t>
  </si>
  <si>
    <r>
      <rPr>
        <b/>
        <sz val="10"/>
        <color rgb="FF000000"/>
        <rFont val="メイリオ"/>
        <charset val="134"/>
      </rPr>
      <t xml:space="preserve">ステップ1：
</t>
    </r>
    <r>
      <rPr>
        <sz val="10"/>
        <color rgb="FF000000"/>
        <rFont val="メイリオ"/>
        <charset val="134"/>
      </rPr>
      <t xml:space="preserve">Truy cập URL `/accounts`, chọn "JA_KANRI_SHITEN" (role_id=5) từ dropdown role
</t>
    </r>
    <r>
      <rPr>
        <b/>
        <sz val="10"/>
        <color rgb="FF000000"/>
        <rFont val="メイリオ"/>
        <charset val="134"/>
      </rPr>
      <t xml:space="preserve">ステップ2：
</t>
    </r>
    <r>
      <rPr>
        <sz val="10"/>
        <color rgb="FF000000"/>
        <rFont val="メイリオ"/>
        <charset val="134"/>
      </rPr>
      <t>Click button "検索"</t>
    </r>
  </si>
  <si>
    <r>
      <rPr>
        <b/>
        <sz val="10"/>
        <color rgb="FF000000"/>
        <rFont val="メイリオ"/>
        <charset val="134"/>
      </rPr>
      <t xml:space="preserve">ステップ1：
</t>
    </r>
    <r>
      <rPr>
        <sz val="10"/>
        <color rgb="FF000000"/>
        <rFont val="メイリオ"/>
        <charset val="134"/>
      </rPr>
      <t xml:space="preserve">"JA_KANRI_SHITEN" được chọn trong dropdown role
</t>
    </r>
    <r>
      <rPr>
        <b/>
        <sz val="10"/>
        <color rgb="FF000000"/>
        <rFont val="メイリオ"/>
        <charset val="134"/>
      </rPr>
      <t xml:space="preserve">ステップ2：
</t>
    </r>
    <r>
      <rPr>
        <sz val="10"/>
        <color rgb="FF000000"/>
        <rFont val="メイリオ"/>
        <charset val="134"/>
      </rPr>
      <t xml:space="preserve">GET `/api/v1/accounts?role_id=5` được gọi, trả về HTTP 200, chỉ các account có role_id=5 được trả về
</t>
    </r>
    <r>
      <rPr>
        <b/>
        <sz val="10"/>
        <color rgb="FF000000"/>
        <rFont val="メイリオ"/>
        <charset val="134"/>
      </rPr>
      <t xml:space="preserve">補足：
</t>
    </r>
    <r>
      <rPr>
        <sz val="10"/>
        <color rgb="FF000000"/>
        <rFont val="メイリオ"/>
        <charset val="134"/>
      </rPr>
      <t>・Max 5 được nhận bình thường</t>
    </r>
  </si>
  <si>
    <t>ACSMS-TC-024-025</t>
  </si>
  <si>
    <t>role_id giá trị biên 6 (ngoài phạm vi)</t>
  </si>
  <si>
    <r>
      <rPr>
        <b/>
        <sz val="10"/>
        <color rgb="FF000000"/>
        <rFont val="メイリオ"/>
        <charset val="134"/>
      </rPr>
      <t xml:space="preserve">ステップ1：
</t>
    </r>
    <r>
      <rPr>
        <sz val="10"/>
        <color rgb="FF000000"/>
        <rFont val="メイリオ"/>
        <charset val="134"/>
      </rPr>
      <t xml:space="preserve">Dùng DevTools gửi trực tiếp GET `/api/v1/accounts?role_id=6`
</t>
    </r>
    <r>
      <rPr>
        <b/>
        <sz val="10"/>
        <color rgb="FF000000"/>
        <rFont val="メイリオ"/>
        <charset val="134"/>
      </rPr>
      <t xml:space="preserve">ステップ2：
</t>
    </r>
    <r>
      <rPr>
        <sz val="10"/>
        <color rgb="FF000000"/>
        <rFont val="メイリオ"/>
        <charset val="134"/>
      </rPr>
      <t>Kiểm tra nội dung response</t>
    </r>
  </si>
  <si>
    <t>ACSMS-TC-024-026</t>
  </si>
  <si>
    <t>login_id max độ dài 20 ký tự (biên, normal)</t>
  </si>
  <si>
    <r>
      <rPr>
        <b/>
        <sz val="10"/>
        <color rgb="FF000000"/>
        <rFont val="メイリオ"/>
        <charset val="134"/>
      </rPr>
      <t xml:space="preserve">ステップ1：
</t>
    </r>
    <r>
      <rPr>
        <sz val="10"/>
        <color rgb="FF000000"/>
        <rFont val="メイリオ"/>
        <charset val="134"/>
      </rPr>
      <t xml:space="preserve">Truy cập URL `/accounts`
</t>
    </r>
    <r>
      <rPr>
        <b/>
        <sz val="10"/>
        <color rgb="FF000000"/>
        <rFont val="メイリオ"/>
        <charset val="134"/>
      </rPr>
      <t xml:space="preserve">ステップ2：
</t>
    </r>
    <r>
      <rPr>
        <sz val="10"/>
        <color rgb="FF000000"/>
        <rFont val="メイリオ"/>
        <charset val="134"/>
      </rPr>
      <t xml:space="preserve">Nhập 20 ký tự (`a` 20 lần) vào ô input ログインID
</t>
    </r>
    <r>
      <rPr>
        <b/>
        <sz val="10"/>
        <color rgb="FF000000"/>
        <rFont val="メイリオ"/>
        <charset val="134"/>
      </rPr>
      <t xml:space="preserve">ステップ3：
</t>
    </r>
    <r>
      <rPr>
        <sz val="10"/>
        <color rgb="FF000000"/>
        <rFont val="メイリオ"/>
        <charset val="134"/>
      </rPr>
      <t>Click button "検索"</t>
    </r>
  </si>
  <si>
    <r>
      <rPr>
        <b/>
        <sz val="10"/>
        <color rgb="FF000000"/>
        <rFont val="メイリオ"/>
        <charset val="134"/>
      </rPr>
      <t xml:space="preserve">ステップ1：
</t>
    </r>
    <r>
      <rPr>
        <sz val="10"/>
        <color rgb="FF000000"/>
        <rFont val="メイリオ"/>
        <charset val="134"/>
      </rPr>
      <t xml:space="preserve">Màn tìm kiếm chi tiết Master Account được hiển thị
</t>
    </r>
    <r>
      <rPr>
        <b/>
        <sz val="10"/>
        <color rgb="FF000000"/>
        <rFont val="メイリオ"/>
        <charset val="134"/>
      </rPr>
      <t xml:space="preserve">ステップ2：
</t>
    </r>
    <r>
      <rPr>
        <sz val="10"/>
        <color rgb="FF000000"/>
        <rFont val="メイリオ"/>
        <charset val="134"/>
      </rPr>
      <t xml:space="preserve">Toàn bộ 20 ký tự được nhập vào ô input (đạt maxlength 20)
</t>
    </r>
    <r>
      <rPr>
        <b/>
        <sz val="10"/>
        <color rgb="FF000000"/>
        <rFont val="メイリオ"/>
        <charset val="134"/>
      </rPr>
      <t xml:space="preserve">ステップ3：
</t>
    </r>
    <r>
      <rPr>
        <sz val="10"/>
        <color rgb="FF000000"/>
        <rFont val="メイリオ"/>
        <charset val="134"/>
      </rPr>
      <t xml:space="preserve">GET `/api/v1/accounts?login_id=aaaaaaaaaaaaaaaaaaaa` được gọi, trả về HTTP 200
</t>
    </r>
    <r>
      <rPr>
        <b/>
        <sz val="10"/>
        <color rgb="FF000000"/>
        <rFont val="メイリオ"/>
        <charset val="134"/>
      </rPr>
      <t xml:space="preserve">補足：
</t>
    </r>
    <r>
      <rPr>
        <sz val="10"/>
        <color rgb="FF000000"/>
        <rFont val="メイリオ"/>
        <charset val="134"/>
      </rPr>
      <t>・Max độ dài 20 được nhận bình thường</t>
    </r>
  </si>
  <si>
    <t>ACSMS-TC-024-027</t>
  </si>
  <si>
    <t>login_id không cho nhập ký tự thứ 21 (ngoài biên)</t>
  </si>
  <si>
    <r>
      <rPr>
        <b/>
        <sz val="10"/>
        <color rgb="FF000000"/>
        <rFont val="メイリオ"/>
        <charset val="134"/>
      </rPr>
      <t xml:space="preserve">ステップ1：
</t>
    </r>
    <r>
      <rPr>
        <sz val="10"/>
        <color rgb="FF000000"/>
        <rFont val="メイリオ"/>
        <charset val="134"/>
      </rPr>
      <t xml:space="preserve">Truy cập URL `/accounts`
</t>
    </r>
    <r>
      <rPr>
        <b/>
        <sz val="10"/>
        <color rgb="FF000000"/>
        <rFont val="メイリオ"/>
        <charset val="134"/>
      </rPr>
      <t xml:space="preserve">ステップ2：
</t>
    </r>
    <r>
      <rPr>
        <sz val="10"/>
        <color rgb="FF000000"/>
        <rFont val="メイリオ"/>
        <charset val="134"/>
      </rPr>
      <t>Thử nhập ký tự thứ 21 vào ô input ログインID</t>
    </r>
  </si>
  <si>
    <r>
      <rPr>
        <b/>
        <sz val="10"/>
        <color rgb="FF000000"/>
        <rFont val="メイリオ"/>
        <charset val="134"/>
      </rPr>
      <t xml:space="preserve">ステップ1：
</t>
    </r>
    <r>
      <rPr>
        <sz val="10"/>
        <color rgb="FF000000"/>
        <rFont val="メイリオ"/>
        <charset val="134"/>
      </rPr>
      <t xml:space="preserve">Màn tìm kiếm chi tiết Master Account được hiển thị
</t>
    </r>
    <r>
      <rPr>
        <b/>
        <sz val="10"/>
        <color rgb="FF000000"/>
        <rFont val="メイリオ"/>
        <charset val="134"/>
      </rPr>
      <t xml:space="preserve">ステップ2：
</t>
    </r>
    <r>
      <rPr>
        <sz val="10"/>
        <color rgb="FF000000"/>
        <rFont val="メイリオ"/>
        <charset val="134"/>
      </rPr>
      <t xml:space="preserve">Do maxlength=20, ký tự thứ 21 không được nhập (dừng ở 20 ký tự)
</t>
    </r>
    <r>
      <rPr>
        <b/>
        <sz val="10"/>
        <color rgb="FF000000"/>
        <rFont val="メイリオ"/>
        <charset val="134"/>
      </rPr>
      <t xml:space="preserve">補足：
</t>
    </r>
    <r>
      <rPr>
        <sz val="10"/>
        <color rgb="FF000000"/>
        <rFont val="メイリオ"/>
        <charset val="134"/>
      </rPr>
      <t>・Bị chặn bởi thuộc tính maxlength phía FE</t>
    </r>
  </si>
  <si>
    <t>ACSMS-TC-024-028</t>
  </si>
  <si>
    <t>login_id sort 3 trạng thái cycle</t>
  </si>
  <si>
    <r>
      <rPr>
        <b/>
        <sz val="10"/>
        <color rgb="FF000000"/>
        <rFont val="メイリオ"/>
        <charset val="134"/>
      </rPr>
      <t xml:space="preserve">ステップ1：
</t>
    </r>
    <r>
      <rPr>
        <sz val="10"/>
        <color rgb="FF000000"/>
        <rFont val="メイリオ"/>
        <charset val="134"/>
      </rPr>
      <t xml:space="preserve">Truy cập URL `/accounts`
</t>
    </r>
    <r>
      <rPr>
        <b/>
        <sz val="10"/>
        <color rgb="FF000000"/>
        <rFont val="メイリオ"/>
        <charset val="134"/>
      </rPr>
      <t xml:space="preserve">ステップ2：
</t>
    </r>
    <r>
      <rPr>
        <sz val="10"/>
        <color rgb="FF000000"/>
        <rFont val="メイリオ"/>
        <charset val="134"/>
      </rPr>
      <t xml:space="preserve">Click header cột ログインID (lần 1)
</t>
    </r>
    <r>
      <rPr>
        <b/>
        <sz val="10"/>
        <color rgb="FF000000"/>
        <rFont val="メイリオ"/>
        <charset val="134"/>
      </rPr>
      <t xml:space="preserve">ステップ3：
</t>
    </r>
    <r>
      <rPr>
        <sz val="10"/>
        <color rgb="FF000000"/>
        <rFont val="メイリオ"/>
        <charset val="134"/>
      </rPr>
      <t xml:space="preserve">Click header cột ログインID (lần 2)
</t>
    </r>
    <r>
      <rPr>
        <b/>
        <sz val="10"/>
        <color rgb="FF000000"/>
        <rFont val="メイリオ"/>
        <charset val="134"/>
      </rPr>
      <t xml:space="preserve">ステップ4：
</t>
    </r>
    <r>
      <rPr>
        <sz val="10"/>
        <color rgb="FF000000"/>
        <rFont val="メイリオ"/>
        <charset val="134"/>
      </rPr>
      <t>Click header cột ログインID (lần 3)</t>
    </r>
  </si>
  <si>
    <r>
      <rPr>
        <b/>
        <sz val="10"/>
        <color rgb="FF000000"/>
        <rFont val="メイリオ"/>
        <charset val="134"/>
      </rPr>
      <t xml:space="preserve">ステップ1：
</t>
    </r>
    <r>
      <rPr>
        <sz val="10"/>
        <color rgb="FF000000"/>
        <rFont val="メイリオ"/>
        <charset val="134"/>
      </rPr>
      <t xml:space="preserve">Màn tìm kiếm chi tiết Master Account được hiển thị
</t>
    </r>
    <r>
      <rPr>
        <b/>
        <sz val="10"/>
        <color rgb="FF000000"/>
        <rFont val="メイリオ"/>
        <charset val="134"/>
      </rPr>
      <t xml:space="preserve">ステップ2：
</t>
    </r>
    <r>
      <rPr>
        <sz val="10"/>
        <color rgb="FF000000"/>
        <rFont val="メイリオ"/>
        <charset val="134"/>
      </rPr>
      <t xml:space="preserve">GET `/api/v1/accounts?sort_by=login_id&amp;sort_order=asc` được gọi, hiển thị theo login_id tăng dần
</t>
    </r>
    <r>
      <rPr>
        <b/>
        <sz val="10"/>
        <color rgb="FF000000"/>
        <rFont val="メイリオ"/>
        <charset val="134"/>
      </rPr>
      <t xml:space="preserve">ステップ3：
</t>
    </r>
    <r>
      <rPr>
        <sz val="10"/>
        <color rgb="FF000000"/>
        <rFont val="メイリオ"/>
        <charset val="134"/>
      </rPr>
      <t xml:space="preserve">GET `/api/v1/accounts?sort_by=login_id&amp;sort_order=desc` được gọi, hiển thị theo login_id giảm dần
</t>
    </r>
    <r>
      <rPr>
        <b/>
        <sz val="10"/>
        <color rgb="FF000000"/>
        <rFont val="メイリオ"/>
        <charset val="134"/>
      </rPr>
      <t xml:space="preserve">ステップ4：
</t>
    </r>
    <r>
      <rPr>
        <sz val="10"/>
        <color rgb="FF000000"/>
        <rFont val="メイリオ"/>
        <charset val="134"/>
      </rPr>
      <t xml:space="preserve">Sort được hủy, trở về thứ tự mặc định (created_at desc)
</t>
    </r>
    <r>
      <rPr>
        <b/>
        <sz val="10"/>
        <color rgb="FF000000"/>
        <rFont val="メイリオ"/>
        <charset val="134"/>
      </rPr>
      <t xml:space="preserve">補足：
</t>
    </r>
    <r>
      <rPr>
        <sz val="10"/>
        <color rgb="FF000000"/>
        <rFont val="メイリオ"/>
        <charset val="134"/>
      </rPr>
      <t>・3 trạng thái cycle: tăng → giảm → hủy</t>
    </r>
  </si>
  <si>
    <t>ACSMS-TC-024-029</t>
  </si>
  <si>
    <t>Sort theo role_id</t>
  </si>
  <si>
    <t>・role: NICHINO_ADMIN
・Đã login + đã xác thực MFA
・Tồn tại account của mỗi role</t>
  </si>
  <si>
    <r>
      <rPr>
        <b/>
        <sz val="10"/>
        <color rgb="FF000000"/>
        <rFont val="メイリオ"/>
        <charset val="134"/>
      </rPr>
      <t xml:space="preserve">ステップ1：
</t>
    </r>
    <r>
      <rPr>
        <sz val="10"/>
        <color rgb="FF000000"/>
        <rFont val="メイリオ"/>
        <charset val="134"/>
      </rPr>
      <t xml:space="preserve">Truy cập URL `/accounts`
</t>
    </r>
    <r>
      <rPr>
        <b/>
        <sz val="10"/>
        <color rgb="FF000000"/>
        <rFont val="メイリオ"/>
        <charset val="134"/>
      </rPr>
      <t xml:space="preserve">ステップ2：
</t>
    </r>
    <r>
      <rPr>
        <sz val="10"/>
        <color rgb="FF000000"/>
        <rFont val="メイリオ"/>
        <charset val="134"/>
      </rPr>
      <t>Click header cột role</t>
    </r>
  </si>
  <si>
    <r>
      <rPr>
        <b/>
        <sz val="10"/>
        <color rgb="FF000000"/>
        <rFont val="メイリオ"/>
        <charset val="134"/>
      </rPr>
      <t xml:space="preserve">ステップ1：
</t>
    </r>
    <r>
      <rPr>
        <sz val="10"/>
        <color rgb="FF000000"/>
        <rFont val="メイリオ"/>
        <charset val="134"/>
      </rPr>
      <t xml:space="preserve">Màn tìm kiếm chi tiết Master Account được hiển thị
</t>
    </r>
    <r>
      <rPr>
        <b/>
        <sz val="10"/>
        <color rgb="FF000000"/>
        <rFont val="メイリオ"/>
        <charset val="134"/>
      </rPr>
      <t xml:space="preserve">ステップ2：
</t>
    </r>
    <r>
      <rPr>
        <sz val="10"/>
        <color rgb="FF000000"/>
        <rFont val="メイリオ"/>
        <charset val="134"/>
      </rPr>
      <t xml:space="preserve">GET `/api/v1/accounts?sort_by=role_id&amp;sort_order=asc` được gọi, hiển thị theo role_id tăng dần (NICHINO_ADMIN → JA_KANRI_SHITEN)
</t>
    </r>
    <r>
      <rPr>
        <b/>
        <sz val="10"/>
        <color rgb="FF000000"/>
        <rFont val="メイリオ"/>
        <charset val="134"/>
      </rPr>
      <t xml:space="preserve">補足：
</t>
    </r>
    <r>
      <rPr>
        <sz val="10"/>
        <color rgb="FF000000"/>
        <rFont val="メイリオ"/>
        <charset val="134"/>
      </rPr>
      <t>・Cột role có thể sort</t>
    </r>
  </si>
  <si>
    <t>ACSMS-TC-024-030</t>
  </si>
  <si>
    <t>Sort theo created_at (mặc định)</t>
  </si>
  <si>
    <r>
      <rPr>
        <b/>
        <sz val="10"/>
        <color rgb="FF000000"/>
        <rFont val="メイリオ"/>
        <charset val="134"/>
      </rPr>
      <t xml:space="preserve">ステップ1：
</t>
    </r>
    <r>
      <rPr>
        <sz val="10"/>
        <color rgb="FF000000"/>
        <rFont val="メイリオ"/>
        <charset val="134"/>
      </rPr>
      <t xml:space="preserve">Truy cập URL `/accounts`
</t>
    </r>
    <r>
      <rPr>
        <b/>
        <sz val="10"/>
        <color rgb="FF000000"/>
        <rFont val="メイリオ"/>
        <charset val="134"/>
      </rPr>
      <t xml:space="preserve">ステップ2：
</t>
    </r>
    <r>
      <rPr>
        <sz val="10"/>
        <color rgb="FF000000"/>
        <rFont val="メイリオ"/>
        <charset val="134"/>
      </rPr>
      <t>Kiểm tra thứ tự sắp xếp của kết quả tìm kiếm</t>
    </r>
  </si>
  <si>
    <r>
      <rPr>
        <b/>
        <sz val="10"/>
        <color rgb="FF000000"/>
        <rFont val="メイリオ"/>
        <charset val="134"/>
      </rPr>
      <t xml:space="preserve">ステップ1：
</t>
    </r>
    <r>
      <rPr>
        <sz val="10"/>
        <color rgb="FF000000"/>
        <rFont val="メイリオ"/>
        <charset val="134"/>
      </rPr>
      <t xml:space="preserve">Màn tìm kiếm chi tiết Master Account được hiển thị
</t>
    </r>
    <r>
      <rPr>
        <b/>
        <sz val="10"/>
        <color rgb="FF000000"/>
        <rFont val="メイリオ"/>
        <charset val="134"/>
      </rPr>
      <t xml:space="preserve">ステップ2：
</t>
    </r>
    <r>
      <rPr>
        <sz val="10"/>
        <color rgb="FF000000"/>
        <rFont val="メイリオ"/>
        <charset val="134"/>
      </rPr>
      <t xml:space="preserve">GET `/api/v1/accounts?sort_by=created_at&amp;sort_order=desc` được gọi mặc định, hiển thị theo created_at giảm dần (mới nhất trước)
</t>
    </r>
    <r>
      <rPr>
        <b/>
        <sz val="10"/>
        <color rgb="FF000000"/>
        <rFont val="メイリオ"/>
        <charset val="134"/>
      </rPr>
      <t xml:space="preserve">補足：
</t>
    </r>
    <r>
      <rPr>
        <sz val="10"/>
        <color rgb="FF000000"/>
        <rFont val="メイリオ"/>
        <charset val="134"/>
      </rPr>
      <t>・Sort mặc định là created_at giảm dần</t>
    </r>
  </si>
  <si>
    <t>ACSMS-TC-024-031</t>
  </si>
  <si>
    <t>per_page giá trị biên 100 (max, normal)</t>
  </si>
  <si>
    <t>・role: NICHINO_ADMIN
・Đã login + đã xác thực MFA
・Tồn tại ≥100 bản ghi trong `m_account`</t>
  </si>
  <si>
    <r>
      <rPr>
        <b/>
        <sz val="10"/>
        <color rgb="FF000000"/>
        <rFont val="メイリオ"/>
        <charset val="134"/>
      </rPr>
      <t xml:space="preserve">ステップ1：
</t>
    </r>
    <r>
      <rPr>
        <sz val="10"/>
        <color rgb="FF000000"/>
        <rFont val="メイリオ"/>
        <charset val="134"/>
      </rPr>
      <t xml:space="preserve">Dùng DevTools gửi GET `/api/v1/accounts?per_page=100`
</t>
    </r>
    <r>
      <rPr>
        <b/>
        <sz val="10"/>
        <color rgb="FF000000"/>
        <rFont val="メイリオ"/>
        <charset val="134"/>
      </rPr>
      <t xml:space="preserve">ステップ2：
</t>
    </r>
    <r>
      <rPr>
        <sz val="10"/>
        <color rgb="FF000000"/>
        <rFont val="メイリオ"/>
        <charset val="134"/>
      </rPr>
      <t>Kiểm tra nội dung response</t>
    </r>
  </si>
  <si>
    <r>
      <rPr>
        <b/>
        <sz val="10"/>
        <color rgb="FF000000"/>
        <rFont val="メイリオ"/>
        <charset val="134"/>
      </rPr>
      <t xml:space="preserve">ステップ1：
</t>
    </r>
    <r>
      <rPr>
        <sz val="10"/>
        <color rgb="FF000000"/>
        <rFont val="メイリオ"/>
        <charset val="134"/>
      </rPr>
      <t xml:space="preserve">Trả về HTTP 200
</t>
    </r>
    <r>
      <rPr>
        <b/>
        <sz val="10"/>
        <color rgb="FF000000"/>
        <rFont val="メイリオ"/>
        <charset val="134"/>
      </rPr>
      <t xml:space="preserve">ステップ2：
</t>
    </r>
    <r>
      <rPr>
        <sz val="10"/>
        <color rgb="FF000000"/>
        <rFont val="メイリオ"/>
        <charset val="134"/>
      </rPr>
      <t xml:space="preserve">Tối đa 100 account được trả về, meta.per_page=100
</t>
    </r>
    <r>
      <rPr>
        <b/>
        <sz val="10"/>
        <color rgb="FF000000"/>
        <rFont val="メイリオ"/>
        <charset val="134"/>
      </rPr>
      <t xml:space="preserve">補足：
</t>
    </r>
    <r>
      <rPr>
        <sz val="10"/>
        <color rgb="FF000000"/>
        <rFont val="メイリオ"/>
        <charset val="134"/>
      </rPr>
      <t>・Max 100 được nhận bình thường</t>
    </r>
  </si>
  <si>
    <t>ACSMS-TC-024-032</t>
  </si>
  <si>
    <t>per_page giá trị biên 101 (ngoài phạm vi)</t>
  </si>
  <si>
    <r>
      <rPr>
        <b/>
        <sz val="10"/>
        <color rgb="FF000000"/>
        <rFont val="メイリオ"/>
        <charset val="134"/>
      </rPr>
      <t xml:space="preserve">ステップ1：
</t>
    </r>
    <r>
      <rPr>
        <sz val="10"/>
        <color rgb="FF000000"/>
        <rFont val="メイリオ"/>
        <charset val="134"/>
      </rPr>
      <t xml:space="preserve">Dùng DevTools gửi GET `/api/v1/accounts?per_page=101`
</t>
    </r>
    <r>
      <rPr>
        <b/>
        <sz val="10"/>
        <color rgb="FF000000"/>
        <rFont val="メイリオ"/>
        <charset val="134"/>
      </rPr>
      <t xml:space="preserve">ステップ2：
</t>
    </r>
    <r>
      <rPr>
        <sz val="10"/>
        <color rgb="FF000000"/>
        <rFont val="メイリオ"/>
        <charset val="134"/>
      </rPr>
      <t>Kiểm tra nội dung response</t>
    </r>
  </si>
  <si>
    <r>
      <rPr>
        <b/>
        <sz val="10"/>
        <color rgb="FF000000"/>
        <rFont val="メイリオ"/>
        <charset val="134"/>
      </rPr>
      <t xml:space="preserve">ステップ1：
</t>
    </r>
    <r>
      <rPr>
        <sz val="10"/>
        <color rgb="FF000000"/>
        <rFont val="メイリオ"/>
        <charset val="134"/>
      </rPr>
      <t xml:space="preserve">Trả về HTTP 400 (`error_code: VALIDATION_ERROR`, message `入力値が不正です。詳細はerrorsフィールドを確認してください。`)
</t>
    </r>
    <r>
      <rPr>
        <b/>
        <sz val="10"/>
        <color rgb="FF000000"/>
        <rFont val="メイリオ"/>
        <charset val="134"/>
      </rPr>
      <t xml:space="preserve">ステップ2：
</t>
    </r>
    <r>
      <rPr>
        <sz val="10"/>
        <color rgb="FF000000"/>
        <rFont val="メイリオ"/>
        <charset val="134"/>
      </rPr>
      <t xml:space="preserve">Trường errors chứa lỗi vượt max của `per_page`
</t>
    </r>
    <r>
      <rPr>
        <b/>
        <sz val="10"/>
        <color rgb="FF000000"/>
        <rFont val="メイリオ"/>
        <charset val="134"/>
      </rPr>
      <t xml:space="preserve">補足：
</t>
    </r>
    <r>
      <rPr>
        <sz val="10"/>
        <color rgb="FF000000"/>
        <rFont val="メイリオ"/>
        <charset val="134"/>
      </rPr>
      <t>・per_page chỉ cho phép trong phạm vi 1-100</t>
    </r>
  </si>
  <si>
    <t>ACSMS-TC-024-033</t>
  </si>
  <si>
    <t>Kết quả tìm kiếm 0 bản ghi — hiển thị message</t>
  </si>
  <si>
    <t>・role: NICHINO_ADMIN
・Đã login + đã xác thực MFA
・login_id='xxxxxxxxxxxxxxx' không tồn tại</t>
  </si>
  <si>
    <r>
      <rPr>
        <b/>
        <sz val="10"/>
        <color rgb="FF000000"/>
        <rFont val="メイリオ"/>
        <charset val="134"/>
      </rPr>
      <t xml:space="preserve">ステップ1：
</t>
    </r>
    <r>
      <rPr>
        <sz val="10"/>
        <color rgb="FF000000"/>
        <rFont val="メイリオ"/>
        <charset val="134"/>
      </rPr>
      <t xml:space="preserve">Truy cập URL `/accounts`
</t>
    </r>
    <r>
      <rPr>
        <b/>
        <sz val="10"/>
        <color rgb="FF000000"/>
        <rFont val="メイリオ"/>
        <charset val="134"/>
      </rPr>
      <t xml:space="preserve">ステップ2：
</t>
    </r>
    <r>
      <rPr>
        <sz val="10"/>
        <color rgb="FF000000"/>
        <rFont val="メイリオ"/>
        <charset val="134"/>
      </rPr>
      <t>Nhập "xxxxxxxxxxxxxxx" vào ô input ログインID và click button "検索"</t>
    </r>
  </si>
  <si>
    <r>
      <rPr>
        <b/>
        <sz val="10"/>
        <color rgb="FF000000"/>
        <rFont val="游ゴシック"/>
        <charset val="134"/>
      </rPr>
      <t xml:space="preserve">ステップ1：
</t>
    </r>
    <r>
      <rPr>
        <sz val="10"/>
        <color rgb="FF000000"/>
        <rFont val="游ゴシック"/>
        <charset val="134"/>
      </rPr>
      <t xml:space="preserve">Màn tìm kiếm chi tiết Master Account được hiển thị
</t>
    </r>
    <r>
      <rPr>
        <b/>
        <sz val="10"/>
        <color rgb="FF000000"/>
        <rFont val="游ゴシック"/>
        <charset val="134"/>
      </rPr>
      <t xml:space="preserve">ステップ2：
</t>
    </r>
    <r>
      <rPr>
        <sz val="10"/>
        <color rgb="FF000000"/>
        <rFont val="游ゴシック"/>
        <charset val="134"/>
      </rPr>
      <t xml:space="preserve">GET `/api/v1/accounts?login_id=xxxxxxxxxxxxxxx` được gọi, trả về 0 kết quả, màn hiển thị `検索結果が見つかりませんでした。` (MSG-024-001)
</t>
    </r>
    <r>
      <rPr>
        <b/>
        <sz val="10"/>
        <color rgb="FF000000"/>
        <rFont val="游ゴシック"/>
        <charset val="134"/>
      </rPr>
      <t xml:space="preserve">補足：
</t>
    </r>
    <r>
      <rPr>
        <sz val="10"/>
        <color rgb="FF000000"/>
        <rFont val="游ゴシック"/>
        <charset val="134"/>
      </rPr>
      <t>・Table kết quả tìm kiếm trống, pagination cũng hiển thị 0 bản ghi</t>
    </r>
  </si>
  <si>
    <t>ACSMS-TC-024-034</t>
  </si>
  <si>
    <t>Button クリア — reset điều kiện tìm kiếm</t>
  </si>
  <si>
    <r>
      <rPr>
        <b/>
        <sz val="10"/>
        <color rgb="FF000000"/>
        <rFont val="メイリオ"/>
        <charset val="134"/>
      </rPr>
      <t xml:space="preserve">ステップ1：
</t>
    </r>
    <r>
      <rPr>
        <sz val="10"/>
        <color rgb="FF000000"/>
        <rFont val="メイリオ"/>
        <charset val="134"/>
      </rPr>
      <t xml:space="preserve">Truy cập URL `/accounts`, nhập/chọn giá trị vào cả 4 mục của form tìm kiếm
</t>
    </r>
    <r>
      <rPr>
        <b/>
        <sz val="10"/>
        <color rgb="FF000000"/>
        <rFont val="メイリオ"/>
        <charset val="134"/>
      </rPr>
      <t xml:space="preserve">ステップ2：
</t>
    </r>
    <r>
      <rPr>
        <sz val="10"/>
        <color rgb="FF000000"/>
        <rFont val="メイリオ"/>
        <charset val="134"/>
      </rPr>
      <t xml:space="preserve">Click button "検索クリア"
</t>
    </r>
    <r>
      <rPr>
        <b/>
        <sz val="10"/>
        <color rgb="FF000000"/>
        <rFont val="メイリオ"/>
        <charset val="134"/>
      </rPr>
      <t xml:space="preserve">ステップ3：
</t>
    </r>
    <r>
      <rPr>
        <sz val="10"/>
        <color rgb="FF000000"/>
        <rFont val="メイリオ"/>
        <charset val="134"/>
      </rPr>
      <t>Kiểm tra nội dung form tìm kiếm và table kết quả</t>
    </r>
  </si>
  <si>
    <r>
      <rPr>
        <b/>
        <sz val="10"/>
        <color rgb="FF000000"/>
        <rFont val="メイリオ"/>
        <charset val="134"/>
      </rPr>
      <t xml:space="preserve">ステップ1：
</t>
    </r>
    <r>
      <rPr>
        <sz val="10"/>
        <color rgb="FF000000"/>
        <rFont val="メイリオ"/>
        <charset val="134"/>
      </rPr>
      <t xml:space="preserve">Màn tìm kiếm chi tiết Master Account được hiển thị, cả 4 mục đều phản ánh giá trị
</t>
    </r>
    <r>
      <rPr>
        <b/>
        <sz val="10"/>
        <color rgb="FF000000"/>
        <rFont val="メイリオ"/>
        <charset val="134"/>
      </rPr>
      <t xml:space="preserve">ステップ2：
</t>
    </r>
    <r>
      <rPr>
        <sz val="10"/>
        <color rgb="FF000000"/>
        <rFont val="メイリオ"/>
        <charset val="134"/>
      </rPr>
      <t xml:space="preserve">Toàn bộ các mục được reset (login_id trống, role_id chưa chọn, ja_id chưa chọn, kanri_shiten_id chưa chọn và bị disable)
</t>
    </r>
    <r>
      <rPr>
        <b/>
        <sz val="10"/>
        <color rgb="FF000000"/>
        <rFont val="メイリオ"/>
        <charset val="134"/>
      </rPr>
      <t xml:space="preserve">ステップ3：
</t>
    </r>
    <r>
      <rPr>
        <sz val="10"/>
        <color rgb="FF000000"/>
        <rFont val="メイリオ"/>
        <charset val="134"/>
      </rPr>
      <t xml:space="preserve">Table kết quả trở về trạng thái hiển thị ban đầu (GET `/api/v1/accounts` không kèm filter)
</t>
    </r>
    <r>
      <rPr>
        <b/>
        <sz val="10"/>
        <color rgb="FF000000"/>
        <rFont val="メイリオ"/>
        <charset val="134"/>
      </rPr>
      <t xml:space="preserve">補足：
</t>
    </r>
    <r>
      <rPr>
        <sz val="10"/>
        <color rgb="FF000000"/>
        <rFont val="メイリオ"/>
        <charset val="134"/>
      </rPr>
      <t>・Button クリア chỉ reset form tìm kiếm, table cũng trở về trạng thái ban đầu</t>
    </r>
  </si>
  <si>
    <t>Logic nghiệp vụ — Xóa (Function — Delete)</t>
  </si>
  <si>
    <t>ACSMS-TC-024-035</t>
  </si>
  <si>
    <t>Hiển thị dialog confirm xóa</t>
  </si>
  <si>
    <t>・role: NICHINO_ADMIN
・Đã login + đã xác thực MFA
・Tồn tại account có thể xóa (không có data liên quan)</t>
  </si>
  <si>
    <r>
      <rPr>
        <b/>
        <sz val="10"/>
        <color rgb="FF000000"/>
        <rFont val="メイリオ"/>
        <charset val="134"/>
      </rPr>
      <t xml:space="preserve">ステップ1：
</t>
    </r>
    <r>
      <rPr>
        <sz val="10"/>
        <color rgb="FF000000"/>
        <rFont val="メイリオ"/>
        <charset val="134"/>
      </rPr>
      <t xml:space="preserve">Truy cập URL `/accounts`
</t>
    </r>
    <r>
      <rPr>
        <b/>
        <sz val="10"/>
        <color rgb="FF000000"/>
        <rFont val="メイリオ"/>
        <charset val="134"/>
      </rPr>
      <t xml:space="preserve">ステップ2：
</t>
    </r>
    <r>
      <rPr>
        <sz val="10"/>
        <color rgb="FF000000"/>
        <rFont val="メイリオ"/>
        <charset val="134"/>
      </rPr>
      <t xml:space="preserve">Click button xóa của row bất kỳ
</t>
    </r>
    <r>
      <rPr>
        <b/>
        <sz val="10"/>
        <color rgb="FF000000"/>
        <rFont val="メイリオ"/>
        <charset val="134"/>
      </rPr>
      <t xml:space="preserve">ステップ3：
</t>
    </r>
    <r>
      <rPr>
        <sz val="10"/>
        <color rgb="FF000000"/>
        <rFont val="メイリオ"/>
        <charset val="134"/>
      </rPr>
      <t>Kiểm tra nội dung dialog</t>
    </r>
  </si>
  <si>
    <r>
      <rPr>
        <b/>
        <sz val="10"/>
        <color rgb="FF000000"/>
        <rFont val="メイリオ"/>
        <charset val="134"/>
      </rPr>
      <t xml:space="preserve">ステップ1：
</t>
    </r>
    <r>
      <rPr>
        <sz val="10"/>
        <color rgb="FF000000"/>
        <rFont val="メイリオ"/>
        <charset val="134"/>
      </rPr>
      <t xml:space="preserve">Màn tìm kiếm chi tiết Master Account được hiển thị
</t>
    </r>
    <r>
      <rPr>
        <b/>
        <sz val="10"/>
        <color rgb="FF000000"/>
        <rFont val="メイリオ"/>
        <charset val="134"/>
      </rPr>
      <t xml:space="preserve">ステップ2：
</t>
    </r>
    <r>
      <rPr>
        <sz val="10"/>
        <color rgb="FF000000"/>
        <rFont val="メイリオ"/>
        <charset val="134"/>
      </rPr>
      <t xml:space="preserve">Hiển thị dialog confirm xóa
</t>
    </r>
    <r>
      <rPr>
        <b/>
        <sz val="10"/>
        <color rgb="FF000000"/>
        <rFont val="メイリオ"/>
        <charset val="134"/>
      </rPr>
      <t xml:space="preserve">ステップ3：
</t>
    </r>
    <r>
      <rPr>
        <sz val="10"/>
        <color rgb="FF000000"/>
        <rFont val="メイリオ"/>
        <charset val="134"/>
      </rPr>
      <t xml:space="preserve">Trong dialog hiển thị `このアカウントを削除してもよろしいですか？` (MSG-024-004), button "はい" "いいえ" được hiển thị, button "はい" có màu đỏ (danger)
</t>
    </r>
    <r>
      <rPr>
        <b/>
        <sz val="10"/>
        <color rgb="FF000000"/>
        <rFont val="メイリオ"/>
        <charset val="134"/>
      </rPr>
      <t xml:space="preserve">補足：
</t>
    </r>
    <r>
      <rPr>
        <sz val="10"/>
        <color rgb="FF000000"/>
        <rFont val="メイリオ"/>
        <charset val="134"/>
      </rPr>
      <t>・Label button của dialog confirm là はい / いいえ (quy tắc dự án)</t>
    </r>
  </si>
  <si>
    <t>ACSMS-TC-024-036</t>
  </si>
  <si>
    <t>Confirm xóa "はい" — thực hiện xóa logical + reload danh sách</t>
  </si>
  <si>
    <t>・role: NICHINO_ADMIN
・Đã login + đã xác thực MFA
・Tồn tại account có thể xóa (account_id=999)</t>
  </si>
  <si>
    <r>
      <rPr>
        <b/>
        <sz val="10"/>
        <color rgb="FF000000"/>
        <rFont val="メイリオ"/>
        <charset val="134"/>
      </rPr>
      <t xml:space="preserve">ステップ1：
</t>
    </r>
    <r>
      <rPr>
        <sz val="10"/>
        <color rgb="FF000000"/>
        <rFont val="メイリオ"/>
        <charset val="134"/>
      </rPr>
      <t xml:space="preserve">Truy cập URL `/accounts`
</t>
    </r>
    <r>
      <rPr>
        <b/>
        <sz val="10"/>
        <color rgb="FF000000"/>
        <rFont val="メイリオ"/>
        <charset val="134"/>
      </rPr>
      <t xml:space="preserve">ステップ2：
</t>
    </r>
    <r>
      <rPr>
        <sz val="10"/>
        <color rgb="FF000000"/>
        <rFont val="メイリオ"/>
        <charset val="134"/>
      </rPr>
      <t xml:space="preserve">Click button xóa của row account_id=999, click "はい" trong dialog
</t>
    </r>
    <r>
      <rPr>
        <b/>
        <sz val="10"/>
        <color rgb="FF000000"/>
        <rFont val="メイリオ"/>
        <charset val="134"/>
      </rPr>
      <t xml:space="preserve">ステップ3：
</t>
    </r>
    <r>
      <rPr>
        <sz val="10"/>
        <color rgb="FF000000"/>
        <rFont val="メイリオ"/>
        <charset val="134"/>
      </rPr>
      <t xml:space="preserve">Kiểm tra DB: `SELECT deleted_at FROM m_account WHERE account_id = 999`
</t>
    </r>
    <r>
      <rPr>
        <b/>
        <sz val="10"/>
        <color rgb="FF000000"/>
        <rFont val="メイリオ"/>
        <charset val="134"/>
      </rPr>
      <t xml:space="preserve">ステップ4：
</t>
    </r>
    <r>
      <rPr>
        <sz val="10"/>
        <color rgb="FF000000"/>
        <rFont val="メイリオ"/>
        <charset val="134"/>
      </rPr>
      <t>Kiểm tra kết quả reload danh sách trên màn</t>
    </r>
  </si>
  <si>
    <r>
      <rPr>
        <b/>
        <sz val="10"/>
        <color rgb="FF000000"/>
        <rFont val="メイリオ"/>
        <charset val="134"/>
      </rPr>
      <t xml:space="preserve">ステップ1：
</t>
    </r>
    <r>
      <rPr>
        <sz val="10"/>
        <color rgb="FF000000"/>
        <rFont val="メイリオ"/>
        <charset val="134"/>
      </rPr>
      <t xml:space="preserve">Màn tìm kiếm chi tiết Master Account được hiển thị
</t>
    </r>
    <r>
      <rPr>
        <b/>
        <sz val="10"/>
        <color rgb="FF000000"/>
        <rFont val="メイリオ"/>
        <charset val="134"/>
      </rPr>
      <t xml:space="preserve">ステップ2：
</t>
    </r>
    <r>
      <rPr>
        <sz val="10"/>
        <color rgb="FF000000"/>
        <rFont val="メイリオ"/>
        <charset val="134"/>
      </rPr>
      <t xml:space="preserve">DELETE `/api/v1/accounts/999` được gọi, trả về HTTP 200, hiển thị toast `削除しました。` (MSG-024-005)
</t>
    </r>
    <r>
      <rPr>
        <b/>
        <sz val="10"/>
        <color rgb="FF000000"/>
        <rFont val="メイリオ"/>
        <charset val="134"/>
      </rPr>
      <t xml:space="preserve">ステップ3：
</t>
    </r>
    <r>
      <rPr>
        <sz val="10"/>
        <color rgb="FF000000"/>
        <rFont val="メイリオ"/>
        <charset val="134"/>
      </rPr>
      <t xml:space="preserve">`deleted_at` được update thành NOW() (xóa logical)
</t>
    </r>
    <r>
      <rPr>
        <b/>
        <sz val="10"/>
        <color rgb="FF000000"/>
        <rFont val="メイリオ"/>
        <charset val="134"/>
      </rPr>
      <t xml:space="preserve">ステップ4：
</t>
    </r>
    <r>
      <rPr>
        <sz val="10"/>
        <color rgb="FF000000"/>
        <rFont val="メイリオ"/>
        <charset val="134"/>
      </rPr>
      <t xml:space="preserve">account_id=999 biến mất khỏi danh sách (do filter deleted_at IS NULL)
</t>
    </r>
    <r>
      <rPr>
        <b/>
        <sz val="10"/>
        <color rgb="FF000000"/>
        <rFont val="メイリオ"/>
        <charset val="134"/>
      </rPr>
      <t xml:space="preserve">補足：
</t>
    </r>
    <r>
      <rPr>
        <sz val="10"/>
        <color rgb="FF000000"/>
        <rFont val="メイリオ"/>
        <charset val="134"/>
      </rPr>
      <t xml:space="preserve">・Xóa logical (set deleted_at), không phải xóa vật lý
</t>
    </r>
    <r>
      <rPr>
        <sz val="10"/>
        <color rgb="FF000000"/>
        <rFont val="メイリオ"/>
        <charset val="134"/>
      </rPr>
      <t>・Sau khi xóa, danh sách được auto reload</t>
    </r>
  </si>
  <si>
    <t>ACSMS-TC-024-037</t>
  </si>
  <si>
    <t>Confirm xóa "いいえ" — hủy thao tác</t>
  </si>
  <si>
    <r>
      <rPr>
        <b/>
        <sz val="10"/>
        <color rgb="FF000000"/>
        <rFont val="メイリオ"/>
        <charset val="134"/>
      </rPr>
      <t xml:space="preserve">ステップ1：
</t>
    </r>
    <r>
      <rPr>
        <sz val="10"/>
        <color rgb="FF000000"/>
        <rFont val="メイリオ"/>
        <charset val="134"/>
      </rPr>
      <t xml:space="preserve">Truy cập URL `/accounts`
</t>
    </r>
    <r>
      <rPr>
        <b/>
        <sz val="10"/>
        <color rgb="FF000000"/>
        <rFont val="メイリオ"/>
        <charset val="134"/>
      </rPr>
      <t xml:space="preserve">ステップ2：
</t>
    </r>
    <r>
      <rPr>
        <sz val="10"/>
        <color rgb="FF000000"/>
        <rFont val="メイリオ"/>
        <charset val="134"/>
      </rPr>
      <t xml:space="preserve">Click button xóa của row bất kỳ, click "いいえ" trong dialog
</t>
    </r>
    <r>
      <rPr>
        <b/>
        <sz val="10"/>
        <color rgb="FF000000"/>
        <rFont val="メイリオ"/>
        <charset val="134"/>
      </rPr>
      <t xml:space="preserve">ステップ3：
</t>
    </r>
    <r>
      <rPr>
        <sz val="10"/>
        <color rgb="FF000000"/>
        <rFont val="メイリオ"/>
        <charset val="134"/>
      </rPr>
      <t>Kiểm tra DB: `SELECT deleted_at FROM m_account WHERE account_id = &lt;id&gt;`</t>
    </r>
  </si>
  <si>
    <r>
      <rPr>
        <b/>
        <sz val="10"/>
        <color rgb="FF000000"/>
        <rFont val="メイリオ"/>
        <charset val="134"/>
      </rPr>
      <t xml:space="preserve">ステップ1：
</t>
    </r>
    <r>
      <rPr>
        <sz val="10"/>
        <color rgb="FF000000"/>
        <rFont val="メイリオ"/>
        <charset val="134"/>
      </rPr>
      <t xml:space="preserve">Màn tìm kiếm chi tiết Master Account được hiển thị
</t>
    </r>
    <r>
      <rPr>
        <b/>
        <sz val="10"/>
        <color rgb="FF000000"/>
        <rFont val="メイリオ"/>
        <charset val="134"/>
      </rPr>
      <t xml:space="preserve">ステップ2：
</t>
    </r>
    <r>
      <rPr>
        <sz val="10"/>
        <color rgb="FF000000"/>
        <rFont val="メイリオ"/>
        <charset val="134"/>
      </rPr>
      <t xml:space="preserve">Dialog đóng, DELETE API không được gọi, trạng thái danh sách không thay đổi
</t>
    </r>
    <r>
      <rPr>
        <b/>
        <sz val="10"/>
        <color rgb="FF000000"/>
        <rFont val="メイリオ"/>
        <charset val="134"/>
      </rPr>
      <t xml:space="preserve">ステップ3：
</t>
    </r>
    <r>
      <rPr>
        <sz val="10"/>
        <color rgb="FF000000"/>
        <rFont val="メイリオ"/>
        <charset val="134"/>
      </rPr>
      <t xml:space="preserve">`deleted_at` vẫn giữ NULL
</t>
    </r>
    <r>
      <rPr>
        <b/>
        <sz val="10"/>
        <color rgb="FF000000"/>
        <rFont val="メイリオ"/>
        <charset val="134"/>
      </rPr>
      <t xml:space="preserve">補足：
</t>
    </r>
    <r>
      <rPr>
        <sz val="10"/>
        <color rgb="FF000000"/>
        <rFont val="メイリオ"/>
        <charset val="134"/>
      </rPr>
      <t xml:space="preserve">・Khi click "いいえ" không có xử lý nào chạy
</t>
    </r>
    <r>
      <rPr>
        <sz val="10"/>
        <color rgb="FF000000"/>
        <rFont val="メイリオ"/>
        <charset val="134"/>
      </rPr>
      <t>・`t_log` không ghi log liên quan đến xóa</t>
    </r>
  </si>
  <si>
    <t>ACSMS-TC-024-038</t>
  </si>
  <si>
    <t>Vi phạm FK constraint — từ chối xóa khi tồn tại data liên quan</t>
  </si>
  <si>
    <t>・role: NICHINO_ADMIN
・Đã login + đã xác thực MFA
・account_id=500 có liên kết với `t_log` hoặc table liên quan khác</t>
  </si>
  <si>
    <r>
      <rPr>
        <b/>
        <sz val="10"/>
        <color rgb="FF000000"/>
        <rFont val="メイリオ"/>
        <charset val="134"/>
      </rPr>
      <t xml:space="preserve">ステップ1：
</t>
    </r>
    <r>
      <rPr>
        <sz val="10"/>
        <color rgb="FF000000"/>
        <rFont val="メイリオ"/>
        <charset val="134"/>
      </rPr>
      <t xml:space="preserve">Truy cập URL `/accounts`
</t>
    </r>
    <r>
      <rPr>
        <b/>
        <sz val="10"/>
        <color rgb="FF000000"/>
        <rFont val="メイリオ"/>
        <charset val="134"/>
      </rPr>
      <t xml:space="preserve">ステップ2：
</t>
    </r>
    <r>
      <rPr>
        <sz val="10"/>
        <color rgb="FF000000"/>
        <rFont val="メイリオ"/>
        <charset val="134"/>
      </rPr>
      <t xml:space="preserve">Click button xóa của row account_id=500, click "はい" trong dialog
</t>
    </r>
    <r>
      <rPr>
        <b/>
        <sz val="10"/>
        <color rgb="FF000000"/>
        <rFont val="メイリオ"/>
        <charset val="134"/>
      </rPr>
      <t xml:space="preserve">ステップ3：
</t>
    </r>
    <r>
      <rPr>
        <sz val="10"/>
        <color rgb="FF000000"/>
        <rFont val="メイリオ"/>
        <charset val="134"/>
      </rPr>
      <t xml:space="preserve">Kiểm tra nội dung response
</t>
    </r>
    <r>
      <rPr>
        <b/>
        <sz val="10"/>
        <color rgb="FF000000"/>
        <rFont val="メイリオ"/>
        <charset val="134"/>
      </rPr>
      <t xml:space="preserve">ステップ4：
</t>
    </r>
    <r>
      <rPr>
        <sz val="10"/>
        <color rgb="FF000000"/>
        <rFont val="メイリオ"/>
        <charset val="134"/>
      </rPr>
      <t>Kiểm tra DB: `SELECT deleted_at FROM m_account WHERE account_id = 500`</t>
    </r>
  </si>
  <si>
    <r>
      <rPr>
        <b/>
        <sz val="10"/>
        <color rgb="FF000000"/>
        <rFont val="メイリオ"/>
        <charset val="134"/>
      </rPr>
      <t xml:space="preserve">ステップ1：
</t>
    </r>
    <r>
      <rPr>
        <sz val="10"/>
        <color rgb="FF000000"/>
        <rFont val="メイリオ"/>
        <charset val="134"/>
      </rPr>
      <t xml:space="preserve">Màn tìm kiếm chi tiết Master Account được hiển thị
</t>
    </r>
    <r>
      <rPr>
        <b/>
        <sz val="10"/>
        <color rgb="FF000000"/>
        <rFont val="メイリオ"/>
        <charset val="134"/>
      </rPr>
      <t xml:space="preserve">ステップ2：
</t>
    </r>
    <r>
      <rPr>
        <sz val="10"/>
        <color rgb="FF000000"/>
        <rFont val="メイリオ"/>
        <charset val="134"/>
      </rPr>
      <t xml:space="preserve">Dialog confirm xóa được hiển thị, click "はい" thì DELETE `/api/v1/accounts/500` được gọi
</t>
    </r>
    <r>
      <rPr>
        <b/>
        <sz val="10"/>
        <color rgb="FF000000"/>
        <rFont val="メイリオ"/>
        <charset val="134"/>
      </rPr>
      <t xml:space="preserve">ステップ3：
</t>
    </r>
    <r>
      <rPr>
        <sz val="10"/>
        <color rgb="FF000000"/>
        <rFont val="メイリオ"/>
        <charset val="134"/>
      </rPr>
      <t xml:space="preserve">Trả về HTTP 409 (`error_code: CONFLICT`, message `関連データが存在するため削除できません。`), hiển thị toast `このアカウントは関連オブジェクトに紐づいているため削除できません。` (MSG-024-003)
</t>
    </r>
    <r>
      <rPr>
        <b/>
        <sz val="10"/>
        <color rgb="FF000000"/>
        <rFont val="メイリオ"/>
        <charset val="134"/>
      </rPr>
      <t xml:space="preserve">ステップ4：
</t>
    </r>
    <r>
      <rPr>
        <sz val="10"/>
        <color rgb="FF000000"/>
        <rFont val="メイリオ"/>
        <charset val="134"/>
      </rPr>
      <t xml:space="preserve">`deleted_at` vẫn giữ NULL (không bị xóa)
</t>
    </r>
    <r>
      <rPr>
        <b/>
        <sz val="10"/>
        <color rgb="FF000000"/>
        <rFont val="メイリオ"/>
        <charset val="134"/>
      </rPr>
      <t xml:space="preserve">補足：
</t>
    </r>
    <r>
      <rPr>
        <sz val="10"/>
        <color rgb="FF000000"/>
        <rFont val="メイリオ"/>
        <charset val="134"/>
      </rPr>
      <t>・Khi tồn tại object liên quan (t_log, t_login_log v.v.), xóa logical cũng bị từ chối</t>
    </r>
  </si>
  <si>
    <t>Theo spec, account có data liên quan không thể bị xóa.</t>
  </si>
  <si>
    <t>ACSMS-TC-024-039</t>
  </si>
  <si>
    <t>Thao tác xóa — record audit log</t>
  </si>
  <si>
    <t>・role: NICHINO_ADMIN
・Đã login + đã xác thực MFA
・Tồn tại account có thể xóa (account_id=998)</t>
  </si>
  <si>
    <r>
      <rPr>
        <b/>
        <sz val="10"/>
        <color rgb="FF000000"/>
        <rFont val="メイリオ"/>
        <charset val="134"/>
      </rPr>
      <t xml:space="preserve">ステップ1：
</t>
    </r>
    <r>
      <rPr>
        <sz val="10"/>
        <color rgb="FF000000"/>
        <rFont val="メイリオ"/>
        <charset val="134"/>
      </rPr>
      <t xml:space="preserve">Truy cập URL `/accounts`
</t>
    </r>
    <r>
      <rPr>
        <b/>
        <sz val="10"/>
        <color rgb="FF000000"/>
        <rFont val="メイリオ"/>
        <charset val="134"/>
      </rPr>
      <t xml:space="preserve">ステップ2：
</t>
    </r>
    <r>
      <rPr>
        <sz val="10"/>
        <color rgb="FF000000"/>
        <rFont val="メイリオ"/>
        <charset val="134"/>
      </rPr>
      <t xml:space="preserve">Xóa row account_id=998, click "はい" trong dialog
</t>
    </r>
    <r>
      <rPr>
        <b/>
        <sz val="10"/>
        <color rgb="FF000000"/>
        <rFont val="メイリオ"/>
        <charset val="134"/>
      </rPr>
      <t xml:space="preserve">ステップ3：
</t>
    </r>
    <r>
      <rPr>
        <sz val="10"/>
        <color rgb="FF000000"/>
        <rFont val="メイリオ"/>
        <charset val="134"/>
      </rPr>
      <t>Kiểm tra DB: `SELECT * FROM t_log WHERE target_table = 'm_account' AND target_id = 998 ORDER BY log_datetime DESC LIMIT 1`</t>
    </r>
  </si>
  <si>
    <r>
      <rPr>
        <b/>
        <sz val="10"/>
        <color rgb="FF000000"/>
        <rFont val="メイリオ"/>
        <charset val="134"/>
      </rPr>
      <t xml:space="preserve">ステップ1：
</t>
    </r>
    <r>
      <rPr>
        <sz val="10"/>
        <color rgb="FF000000"/>
        <rFont val="メイリオ"/>
        <charset val="134"/>
      </rPr>
      <t xml:space="preserve">Màn tìm kiếm chi tiết Master Account được hiển thị
</t>
    </r>
    <r>
      <rPr>
        <b/>
        <sz val="10"/>
        <color rgb="FF000000"/>
        <rFont val="メイリオ"/>
        <charset val="134"/>
      </rPr>
      <t xml:space="preserve">ステップ2：
</t>
    </r>
    <r>
      <rPr>
        <sz val="10"/>
        <color rgb="FF000000"/>
        <rFont val="メイリオ"/>
        <charset val="134"/>
      </rPr>
      <t xml:space="preserve">DELETE `/api/v1/accounts/998` thành công, hiển thị toast `削除しました。`
</t>
    </r>
    <r>
      <rPr>
        <b/>
        <sz val="10"/>
        <color rgb="FF000000"/>
        <rFont val="メイリオ"/>
        <charset val="134"/>
      </rPr>
      <t xml:space="preserve">ステップ3：
</t>
    </r>
    <r>
      <rPr>
        <sz val="10"/>
        <color rgb="FF000000"/>
        <rFont val="メイリオ"/>
        <charset val="134"/>
      </rPr>
      <t xml:space="preserve">1 dòng được thêm vào `t_log`, operation='DELETE', result_status=1 (thành công), target_table='m_account', target_id=998, `account_id` khớp với test account, before_value lưu data trước khi xóa dưới dạng JSON
</t>
    </r>
    <r>
      <rPr>
        <b/>
        <sz val="10"/>
        <color rgb="FF000000"/>
        <rFont val="メイリオ"/>
        <charset val="134"/>
      </rPr>
      <t xml:space="preserve">補足：
</t>
    </r>
    <r>
      <rPr>
        <sz val="10"/>
        <color rgb="FF000000"/>
        <rFont val="メイリオ"/>
        <charset val="134"/>
      </rPr>
      <t>・Main DML và audit log được commit trong cùng 1 transaction</t>
    </r>
  </si>
  <si>
    <t>ACSMS-TC-024-040</t>
  </si>
  <si>
    <t>Reload danh sách sau khi xóa — filter deleted_at IS NULL</t>
  </si>
  <si>
    <t>・role: NICHINO_ADMIN
・Đã login + đã xác thực MFA
・Ngay sau khi xóa account_id=997</t>
  </si>
  <si>
    <r>
      <rPr>
        <b/>
        <sz val="10"/>
        <color rgb="FF000000"/>
        <rFont val="メイリオ"/>
        <charset val="134"/>
      </rPr>
      <t xml:space="preserve">ステップ1：
</t>
    </r>
    <r>
      <rPr>
        <sz val="10"/>
        <color rgb="FF000000"/>
        <rFont val="メイリオ"/>
        <charset val="134"/>
      </rPr>
      <t xml:space="preserve">Truy cập URL `/accounts`, xóa account_id=997
</t>
    </r>
    <r>
      <rPr>
        <b/>
        <sz val="10"/>
        <color rgb="FF000000"/>
        <rFont val="メイリオ"/>
        <charset val="134"/>
      </rPr>
      <t xml:space="preserve">ステップ2：
</t>
    </r>
    <r>
      <rPr>
        <sz val="10"/>
        <color rgb="FF000000"/>
        <rFont val="メイリオ"/>
        <charset val="134"/>
      </rPr>
      <t xml:space="preserve">Kiểm tra response của GET `/api/v1/accounts`
</t>
    </r>
    <r>
      <rPr>
        <b/>
        <sz val="10"/>
        <color rgb="FF000000"/>
        <rFont val="メイリオ"/>
        <charset val="134"/>
      </rPr>
      <t xml:space="preserve">ステップ3：
</t>
    </r>
    <r>
      <rPr>
        <sz val="10"/>
        <color rgb="FF000000"/>
        <rFont val="メイリオ"/>
        <charset val="134"/>
      </rPr>
      <t>Dùng DevTools gửi GET `/api/v1/accounts?include_deleted=true` và kiểm tra hành vi</t>
    </r>
  </si>
  <si>
    <r>
      <rPr>
        <b/>
        <sz val="10"/>
        <color rgb="FF000000"/>
        <rFont val="メイリオ"/>
        <charset val="134"/>
      </rPr>
      <t xml:space="preserve">ステップ1：
</t>
    </r>
    <r>
      <rPr>
        <sz val="10"/>
        <color rgb="FF000000"/>
        <rFont val="メイリオ"/>
        <charset val="134"/>
      </rPr>
      <t xml:space="preserve">Màn tìm kiếm chi tiết Master Account được hiển thị, danh sách được fetch lại sau khi xóa hoàn tất
</t>
    </r>
    <r>
      <rPr>
        <b/>
        <sz val="10"/>
        <color rgb="FF000000"/>
        <rFont val="メイリオ"/>
        <charset val="134"/>
      </rPr>
      <t xml:space="preserve">ステップ2：
</t>
    </r>
    <r>
      <rPr>
        <sz val="10"/>
        <color rgb="FF000000"/>
        <rFont val="メイリオ"/>
        <charset val="134"/>
      </rPr>
      <t xml:space="preserve">account_id=997 không có trong kết quả (do deleted_at IS NOT NULL nên bị loại)
</t>
    </r>
    <r>
      <rPr>
        <b/>
        <sz val="10"/>
        <color rgb="FF000000"/>
        <rFont val="メイリオ"/>
        <charset val="134"/>
      </rPr>
      <t xml:space="preserve">ステップ3：
</t>
    </r>
    <r>
      <rPr>
        <sz val="10"/>
        <color rgb="FF000000"/>
        <rFont val="メイリオ"/>
        <charset val="134"/>
      </rPr>
      <t xml:space="preserve">Param ngoài spec bị bỏ qua hoặc trả về HTTP 400 (kiểu whitelist)
</t>
    </r>
    <r>
      <rPr>
        <b/>
        <sz val="10"/>
        <color rgb="FF000000"/>
        <rFont val="メイリオ"/>
        <charset val="134"/>
      </rPr>
      <t xml:space="preserve">補足：
</t>
    </r>
    <r>
      <rPr>
        <sz val="10"/>
        <color rgb="FF000000"/>
        <rFont val="メイリオ"/>
        <charset val="134"/>
      </rPr>
      <t>・API thường bắt buộc có filter deleted_at IS NULL</t>
    </r>
  </si>
  <si>
    <t>ACSMS-TC-024-041</t>
  </si>
  <si>
    <t>Chặn xóa account của chính mình</t>
  </si>
  <si>
    <t>・role: NICHINO_ADMIN
・Đã login + đã xác thực MFA
・account_id=1 đang login</t>
  </si>
  <si>
    <r>
      <rPr>
        <b/>
        <strike/>
        <sz val="10"/>
        <color rgb="FF000000"/>
        <rFont val="メイリオ"/>
        <charset val="134"/>
      </rPr>
      <t xml:space="preserve">ステップ1：
</t>
    </r>
    <r>
      <rPr>
        <strike/>
        <sz val="10"/>
        <color rgb="FF000000"/>
        <rFont val="メイリオ"/>
        <charset val="134"/>
      </rPr>
      <t xml:space="preserve">Truy cập URL `/accounts`
</t>
    </r>
    <r>
      <rPr>
        <b/>
        <strike/>
        <sz val="10"/>
        <color rgb="FF000000"/>
        <rFont val="メイリオ"/>
        <charset val="134"/>
      </rPr>
      <t xml:space="preserve">ステップ2：
</t>
    </r>
    <r>
      <rPr>
        <strike/>
        <sz val="10"/>
        <color rgb="FF000000"/>
        <rFont val="メイリオ"/>
        <charset val="134"/>
      </rPr>
      <t xml:space="preserve">Click button xóa của row account của chính mình (account_id=1), click "はい" trong dialog
</t>
    </r>
    <r>
      <rPr>
        <b/>
        <strike/>
        <sz val="10"/>
        <color rgb="FF000000"/>
        <rFont val="メイリオ"/>
        <charset val="134"/>
      </rPr>
      <t xml:space="preserve">ステップ3：
</t>
    </r>
    <r>
      <rPr>
        <strike/>
        <sz val="10"/>
        <color rgb="FF000000"/>
        <rFont val="メイリオ"/>
        <charset val="134"/>
      </rPr>
      <t>Kiểm tra DB: `SELECT deleted_at FROM m_account WHERE account_id = 1`</t>
    </r>
  </si>
  <si>
    <r>
      <rPr>
        <b/>
        <strike/>
        <sz val="10"/>
        <color rgb="FF000000"/>
        <rFont val="メイリオ"/>
        <charset val="134"/>
      </rPr>
      <t xml:space="preserve">ステップ1：
</t>
    </r>
    <r>
      <rPr>
        <strike/>
        <sz val="10"/>
        <color rgb="FF000000"/>
        <rFont val="メイリオ"/>
        <charset val="134"/>
      </rPr>
      <t xml:space="preserve">Màn tìm kiếm chi tiết Master Account được hiển thị
</t>
    </r>
    <r>
      <rPr>
        <b/>
        <strike/>
        <sz val="10"/>
        <color rgb="FF000000"/>
        <rFont val="メイリオ"/>
        <charset val="134"/>
      </rPr>
      <t xml:space="preserve">ステップ2：
</t>
    </r>
    <r>
      <rPr>
        <strike/>
        <sz val="10"/>
        <color rgb="FF000000"/>
        <rFont val="メイリオ"/>
        <charset val="134"/>
      </rPr>
      <t xml:space="preserve">Hiển thị error toast từ chối xóa account của chính mình, hoặc button xóa bị disable, `deleted_at` vẫn giữ NULL
</t>
    </r>
    <r>
      <rPr>
        <b/>
        <strike/>
        <sz val="10"/>
        <color rgb="FF000000"/>
        <rFont val="メイリオ"/>
        <charset val="134"/>
      </rPr>
      <t xml:space="preserve">ステップ3：
</t>
    </r>
    <r>
      <rPr>
        <strike/>
        <sz val="10"/>
        <color rgb="FF000000"/>
        <rFont val="メイリオ"/>
        <charset val="134"/>
      </rPr>
      <t xml:space="preserve">`deleted_at` vẫn giữ NULL (account của chính mình không bị xóa)
</t>
    </r>
    <r>
      <rPr>
        <b/>
        <strike/>
        <sz val="10"/>
        <color rgb="FF000000"/>
        <rFont val="メイリオ"/>
        <charset val="134"/>
      </rPr>
      <t xml:space="preserve">補足：
</t>
    </r>
    <r>
      <rPr>
        <strike/>
        <sz val="10"/>
        <color rgb="FF000000"/>
        <rFont val="メイリオ"/>
        <charset val="134"/>
      </rPr>
      <t xml:space="preserve">・Chặn xóa account của chính mình là yêu cầu bảo mật bắt buộc
</t>
    </r>
    <r>
      <rPr>
        <strike/>
        <sz val="10"/>
        <color rgb="FF000000"/>
        <rFont val="メイリオ"/>
        <charset val="134"/>
      </rPr>
      <t>・Chi tiết phương pháp chặn (FE disable / BE từ chối) tuân theo spec sau khi xác nhận</t>
    </r>
  </si>
  <si>
    <t>Nếu spec chặn xóa account của chính mình chưa được định nghĩa, sẽ đánh giá lại sau khi xác nhận spec.</t>
  </si>
  <si>
    <t>Logic nghiệp vụ — Chuyển đến chỉnh sửa/đăng ký (Navigation)</t>
  </si>
  <si>
    <t>ACSMS-TC-024-042</t>
  </si>
  <si>
    <t>Button 新規登録 → chuyển sang màn đăng ký</t>
  </si>
  <si>
    <t>・role: NICHINO_ADMIN
・Đã login + đã xác thực MFA
・Có quyền `account.create`</t>
  </si>
  <si>
    <r>
      <rPr>
        <b/>
        <sz val="10"/>
        <color rgb="FF000000"/>
        <rFont val="メイリオ"/>
        <charset val="134"/>
      </rPr>
      <t xml:space="preserve">ステップ1：
</t>
    </r>
    <r>
      <rPr>
        <sz val="10"/>
        <color rgb="FF000000"/>
        <rFont val="メイリオ"/>
        <charset val="134"/>
      </rPr>
      <t xml:space="preserve">Truy cập URL `/accounts`
</t>
    </r>
    <r>
      <rPr>
        <b/>
        <sz val="10"/>
        <color rgb="FF000000"/>
        <rFont val="メイリオ"/>
        <charset val="134"/>
      </rPr>
      <t xml:space="preserve">ステップ2：
</t>
    </r>
    <r>
      <rPr>
        <sz val="10"/>
        <color rgb="FF000000"/>
        <rFont val="メイリオ"/>
        <charset val="134"/>
      </rPr>
      <t>Click button "新規登録"</t>
    </r>
  </si>
  <si>
    <r>
      <rPr>
        <b/>
        <sz val="10"/>
        <color rgb="FF000000"/>
        <rFont val="メイリオ"/>
        <charset val="134"/>
      </rPr>
      <t xml:space="preserve">ステップ1：
</t>
    </r>
    <r>
      <rPr>
        <sz val="10"/>
        <color rgb="FF000000"/>
        <rFont val="メイリオ"/>
        <charset val="134"/>
      </rPr>
      <t xml:space="preserve">Màn tìm kiếm chi tiết Master Account được hiển thị, button "新規登録" được kích hoạt
</t>
    </r>
    <r>
      <rPr>
        <b/>
        <sz val="10"/>
        <color rgb="FF000000"/>
        <rFont val="メイリオ"/>
        <charset val="134"/>
      </rPr>
      <t xml:space="preserve">ステップ2：
</t>
    </r>
    <r>
      <rPr>
        <sz val="10"/>
        <color rgb="FF000000"/>
        <rFont val="メイリオ"/>
        <charset val="134"/>
      </rPr>
      <t xml:space="preserve">URL chuyển sang `/accounts/create`, hiển thị màn đăng ký Master Account (SCR-025)
</t>
    </r>
    <r>
      <rPr>
        <b/>
        <sz val="10"/>
        <color rgb="FF000000"/>
        <rFont val="メイリオ"/>
        <charset val="134"/>
      </rPr>
      <t xml:space="preserve">補足：
</t>
    </r>
    <r>
      <rPr>
        <sz val="10"/>
        <color rgb="FF000000"/>
        <rFont val="メイリオ"/>
        <charset val="134"/>
      </rPr>
      <t>・Việc chuyển trang được thực hiện bằng router.push({ name: 'AccountCreate' })</t>
    </r>
  </si>
  <si>
    <t>ACSMS-TC-024-043</t>
  </si>
  <si>
    <t>Link login_id → chuyển sang màn chỉnh sửa</t>
  </si>
  <si>
    <t>・role: NICHINO_ADMIN
・Đã login + đã xác thực MFA
・Tồn tại account có account_id=100</t>
  </si>
  <si>
    <r>
      <rPr>
        <b/>
        <sz val="10"/>
        <color rgb="FF000000"/>
        <rFont val="メイリオ"/>
        <charset val="134"/>
      </rPr>
      <t xml:space="preserve">ステップ1：
</t>
    </r>
    <r>
      <rPr>
        <sz val="10"/>
        <color rgb="FF000000"/>
        <rFont val="メイリオ"/>
        <charset val="134"/>
      </rPr>
      <t xml:space="preserve">Truy cập URL `/accounts`
</t>
    </r>
    <r>
      <rPr>
        <b/>
        <sz val="10"/>
        <color rgb="FF000000"/>
        <rFont val="メイリオ"/>
        <charset val="134"/>
      </rPr>
      <t xml:space="preserve">ステップ2：
</t>
    </r>
    <r>
      <rPr>
        <sz val="10"/>
        <color rgb="FF000000"/>
        <rFont val="メイリオ"/>
        <charset val="134"/>
      </rPr>
      <t xml:space="preserve">Click link login_id của row account_id=100
</t>
    </r>
    <r>
      <rPr>
        <b/>
        <sz val="10"/>
        <color rgb="FF000000"/>
        <rFont val="メイリオ"/>
        <charset val="134"/>
      </rPr>
      <t xml:space="preserve">ステップ3：
</t>
    </r>
    <r>
      <rPr>
        <sz val="10"/>
        <color rgb="FF000000"/>
        <rFont val="メイリオ"/>
        <charset val="134"/>
      </rPr>
      <t>Kiểm tra nội dung hiển thị màn chỉnh sửa</t>
    </r>
  </si>
  <si>
    <r>
      <rPr>
        <b/>
        <sz val="10"/>
        <color rgb="FF000000"/>
        <rFont val="メイリオ"/>
        <charset val="134"/>
      </rPr>
      <t xml:space="preserve">ステップ1：
</t>
    </r>
    <r>
      <rPr>
        <sz val="10"/>
        <color rgb="FF000000"/>
        <rFont val="メイリオ"/>
        <charset val="134"/>
      </rPr>
      <t xml:space="preserve">Màn tìm kiếm chi tiết Master Account được hiển thị, cột login_id hiển thị dạng link
</t>
    </r>
    <r>
      <rPr>
        <b/>
        <sz val="10"/>
        <color rgb="FF000000"/>
        <rFont val="メイリオ"/>
        <charset val="134"/>
      </rPr>
      <t xml:space="preserve">ステップ2：
</t>
    </r>
    <r>
      <rPr>
        <sz val="10"/>
        <color rgb="FF000000"/>
        <rFont val="メイリオ"/>
        <charset val="134"/>
      </rPr>
      <t xml:space="preserve">URL chuyển sang `/accounts/100/edit`, hiển thị màn chỉnh sửa Master Account (SCR-025 mode chỉnh sửa)
</t>
    </r>
    <r>
      <rPr>
        <b/>
        <sz val="10"/>
        <color rgb="FF000000"/>
        <rFont val="メイリオ"/>
        <charset val="134"/>
      </rPr>
      <t xml:space="preserve">ステップ3：
</t>
    </r>
    <r>
      <rPr>
        <sz val="10"/>
        <color rgb="FF000000"/>
        <rFont val="メイリオ"/>
        <charset val="134"/>
      </rPr>
      <t xml:space="preserve">Data hiện có của account_id=100 được preload vào từng mục form, login_id không thể chỉnh sửa (disabled)
</t>
    </r>
    <r>
      <rPr>
        <b/>
        <sz val="10"/>
        <color rgb="FF000000"/>
        <rFont val="メイリオ"/>
        <charset val="134"/>
      </rPr>
      <t xml:space="preserve">補足：
</t>
    </r>
    <r>
      <rPr>
        <sz val="10"/>
        <color rgb="FF000000"/>
        <rFont val="メイリオ"/>
        <charset val="134"/>
      </rPr>
      <t xml:space="preserve">・Việc chuyển trang được thực hiện bằng router.push({ name: 'AccountEdit', params: { id: 100 } })
</t>
    </r>
    <r>
      <rPr>
        <sz val="10"/>
        <color rgb="FF000000"/>
        <rFont val="メイリオ"/>
        <charset val="134"/>
      </rPr>
      <t>・login_id không thể thay đổi (spec)</t>
    </r>
  </si>
  <si>
    <t>ACSMS-TC-024-044</t>
  </si>
  <si>
    <t>Giữ lại điều kiện tìm kiếm khi chuyển page pagination</t>
  </si>
  <si>
    <t>・role: NICHINO_ADMIN
・Đã login + đã xác thực MFA
・Tồn tại ≥25 account khớp với login_id='admin'</t>
  </si>
  <si>
    <r>
      <rPr>
        <b/>
        <sz val="10"/>
        <color rgb="FF000000"/>
        <rFont val="メイリオ"/>
        <charset val="134"/>
      </rPr>
      <t xml:space="preserve">ステップ1：
</t>
    </r>
    <r>
      <rPr>
        <sz val="10"/>
        <color rgb="FF000000"/>
        <rFont val="メイリオ"/>
        <charset val="134"/>
      </rPr>
      <t xml:space="preserve">Truy cập URL `/accounts`
</t>
    </r>
    <r>
      <rPr>
        <b/>
        <sz val="10"/>
        <color rgb="FF000000"/>
        <rFont val="メイリオ"/>
        <charset val="134"/>
      </rPr>
      <t xml:space="preserve">ステップ2：
</t>
    </r>
    <r>
      <rPr>
        <sz val="10"/>
        <color rgb="FF000000"/>
        <rFont val="メイリオ"/>
        <charset val="134"/>
      </rPr>
      <t xml:space="preserve">Nhập "admin" vào ô input ログインID, click button "検索", chuyển sang page 2
</t>
    </r>
    <r>
      <rPr>
        <b/>
        <sz val="10"/>
        <color rgb="FF000000"/>
        <rFont val="メイリオ"/>
        <charset val="134"/>
      </rPr>
      <t xml:space="preserve">ステップ3：
</t>
    </r>
    <r>
      <rPr>
        <sz val="10"/>
        <color rgb="FF000000"/>
        <rFont val="メイリオ"/>
        <charset val="134"/>
      </rPr>
      <t xml:space="preserve">Kiểm tra request param của page 2
</t>
    </r>
    <r>
      <rPr>
        <b/>
        <sz val="10"/>
        <color rgb="FF000000"/>
        <rFont val="メイリオ"/>
        <charset val="134"/>
      </rPr>
      <t xml:space="preserve">ステップ4：
</t>
    </r>
    <r>
      <rPr>
        <sz val="10"/>
        <color rgb="FF000000"/>
        <rFont val="メイリオ"/>
        <charset val="134"/>
      </rPr>
      <t>Kiểm tra trạng thái điều kiện tìm kiếm sau khi quay lại từ page 2</t>
    </r>
  </si>
  <si>
    <r>
      <rPr>
        <b/>
        <sz val="10"/>
        <color rgb="FF000000"/>
        <rFont val="メイリオ"/>
        <charset val="134"/>
      </rPr>
      <t xml:space="preserve">ステップ1：
</t>
    </r>
    <r>
      <rPr>
        <sz val="10"/>
        <color rgb="FF000000"/>
        <rFont val="メイリオ"/>
        <charset val="134"/>
      </rPr>
      <t xml:space="preserve">Màn tìm kiếm chi tiết Master Account được hiển thị
</t>
    </r>
    <r>
      <rPr>
        <b/>
        <sz val="10"/>
        <color rgb="FF000000"/>
        <rFont val="メイリオ"/>
        <charset val="134"/>
      </rPr>
      <t xml:space="preserve">ステップ2：
</t>
    </r>
    <r>
      <rPr>
        <sz val="10"/>
        <color rgb="FF000000"/>
        <rFont val="メイリオ"/>
        <charset val="134"/>
      </rPr>
      <t xml:space="preserve">Kết quả tìm kiếm được hiển thị, có thể chuyển sang page 2
</t>
    </r>
    <r>
      <rPr>
        <b/>
        <sz val="10"/>
        <color rgb="FF000000"/>
        <rFont val="メイリオ"/>
        <charset val="134"/>
      </rPr>
      <t xml:space="preserve">ステップ3：
</t>
    </r>
    <r>
      <rPr>
        <sz val="10"/>
        <color rgb="FF000000"/>
        <rFont val="メイリオ"/>
        <charset val="134"/>
      </rPr>
      <t xml:space="preserve">GET `/api/v1/accounts?login_id=admin&amp;page=2` được gọi, filter login_id được giữ lại
</t>
    </r>
    <r>
      <rPr>
        <b/>
        <sz val="10"/>
        <color rgb="FF000000"/>
        <rFont val="メイリオ"/>
        <charset val="134"/>
      </rPr>
      <t xml:space="preserve">ステップ4：
</t>
    </r>
    <r>
      <rPr>
        <sz val="10"/>
        <color rgb="FF000000"/>
        <rFont val="メイリオ"/>
        <charset val="134"/>
      </rPr>
      <t xml:space="preserve">Giá trị input login_id của form tìm kiếm vẫn giữ "admin"
</t>
    </r>
    <r>
      <rPr>
        <b/>
        <sz val="10"/>
        <color rgb="FF000000"/>
        <rFont val="メイリオ"/>
        <charset val="134"/>
      </rPr>
      <t xml:space="preserve">補足：
</t>
    </r>
    <r>
      <rPr>
        <sz val="10"/>
        <color rgb="FF000000"/>
        <rFont val="メイリオ"/>
        <charset val="134"/>
      </rPr>
      <t>・Khi thao tác pagination, điều kiện tìm kiếm / sort không bị reset</t>
    </r>
  </si>
  <si>
    <t>Xử lý lỗi chung (Common Error Handling)</t>
  </si>
  <si>
    <t>ACSMS-TC-024-045</t>
  </si>
  <si>
    <t>Session hết hạn — UNAUTHORIZED</t>
  </si>
  <si>
    <r>
      <rPr>
        <b/>
        <sz val="10"/>
        <color rgb="FF000000"/>
        <rFont val="メイリオ"/>
        <charset val="134"/>
      </rPr>
      <t xml:space="preserve">ステップ1：
</t>
    </r>
    <r>
      <rPr>
        <sz val="10"/>
        <color rgb="FF000000"/>
        <rFont val="メイリオ"/>
        <charset val="134"/>
      </rPr>
      <t xml:space="preserve">Truy cập URL `/accounts`
</t>
    </r>
    <r>
      <rPr>
        <b/>
        <sz val="10"/>
        <color rgb="FF000000"/>
        <rFont val="メイリオ"/>
        <charset val="134"/>
      </rPr>
      <t xml:space="preserve">ステップ2：
</t>
    </r>
    <r>
      <rPr>
        <sz val="10"/>
        <color rgb="FF000000"/>
        <rFont val="メイリオ"/>
        <charset val="134"/>
      </rPr>
      <t xml:space="preserve">Xóa session tương ứng từ Redis (hoặc chờ 24h)
</t>
    </r>
    <r>
      <rPr>
        <b/>
        <sz val="10"/>
        <color rgb="FF000000"/>
        <rFont val="メイリオ"/>
        <charset val="134"/>
      </rPr>
      <t xml:space="preserve">ステップ3：
</t>
    </r>
    <r>
      <rPr>
        <sz val="10"/>
        <color rgb="FF000000"/>
        <rFont val="メイリオ"/>
        <charset val="134"/>
      </rPr>
      <t>Click button "検索"</t>
    </r>
  </si>
  <si>
    <r>
      <rPr>
        <b/>
        <sz val="10"/>
        <color rgb="FF000000"/>
        <rFont val="メイリオ"/>
        <charset val="134"/>
      </rPr>
      <t xml:space="preserve">ステップ1：
</t>
    </r>
    <r>
      <rPr>
        <sz val="10"/>
        <color rgb="FF000000"/>
        <rFont val="メイリオ"/>
        <charset val="134"/>
      </rPr>
      <t xml:space="preserve">Màn tìm kiếm chi tiết Master Account được hiển thị
</t>
    </r>
    <r>
      <rPr>
        <b/>
        <sz val="10"/>
        <color rgb="FF000000"/>
        <rFont val="メイリオ"/>
        <charset val="134"/>
      </rPr>
      <t xml:space="preserve">ステップ2：
</t>
    </r>
    <r>
      <rPr>
        <sz val="10"/>
        <color rgb="FF000000"/>
        <rFont val="メイリオ"/>
        <charset val="134"/>
      </rPr>
      <t xml:space="preserve">Session bị xóa khỏi Redis
</t>
    </r>
    <r>
      <rPr>
        <b/>
        <sz val="10"/>
        <color rgb="FF000000"/>
        <rFont val="メイリオ"/>
        <charset val="134"/>
      </rPr>
      <t xml:space="preserve">ステップ3：
</t>
    </r>
    <r>
      <rPr>
        <sz val="10"/>
        <color rgb="FF000000"/>
        <rFont val="メイリオ"/>
        <charset val="134"/>
      </rPr>
      <t xml:space="preserve">Trả về HTTP 401 (`error_code: UNAUTHORIZED`, message `セッションが切れました。再度ログインしてください。`), chuyển đến `/login?redirect=/accounts`
</t>
    </r>
    <r>
      <rPr>
        <b/>
        <sz val="10"/>
        <color rgb="FF000000"/>
        <rFont val="メイリオ"/>
        <charset val="134"/>
      </rPr>
      <t xml:space="preserve">補足：
</t>
    </r>
    <r>
      <rPr>
        <sz val="10"/>
        <color rgb="FF000000"/>
        <rFont val="メイリオ"/>
        <charset val="134"/>
      </rPr>
      <t>・Được xử lý bởi axios interceptor chung phía FE</t>
    </r>
  </si>
  <si>
    <t>ACSMS-TC-024-046</t>
  </si>
  <si>
    <t>Param không hợp lệ — BAD_REQUEST</t>
  </si>
  <si>
    <r>
      <rPr>
        <b/>
        <sz val="10"/>
        <color rgb="FF000000"/>
        <rFont val="メイリオ"/>
        <charset val="134"/>
      </rPr>
      <t xml:space="preserve">ステップ1：
</t>
    </r>
    <r>
      <rPr>
        <sz val="10"/>
        <color rgb="FF000000"/>
        <rFont val="メイリオ"/>
        <charset val="134"/>
      </rPr>
      <t xml:space="preserve">Dùng DevTools gửi GET `/api/v1/accounts?page=abc`
</t>
    </r>
    <r>
      <rPr>
        <b/>
        <sz val="10"/>
        <color rgb="FF000000"/>
        <rFont val="メイリオ"/>
        <charset val="134"/>
      </rPr>
      <t xml:space="preserve">ステップ2：
</t>
    </r>
    <r>
      <rPr>
        <sz val="10"/>
        <color rgb="FF000000"/>
        <rFont val="メイリオ"/>
        <charset val="134"/>
      </rPr>
      <t>Kiểm tra nội dung response</t>
    </r>
  </si>
  <si>
    <r>
      <rPr>
        <b/>
        <sz val="10"/>
        <color rgb="FF000000"/>
        <rFont val="メイリオ"/>
        <charset val="134"/>
      </rPr>
      <t xml:space="preserve">ステップ1：
</t>
    </r>
    <r>
      <rPr>
        <sz val="10"/>
        <color rgb="FF000000"/>
        <rFont val="メイリオ"/>
        <charset val="134"/>
      </rPr>
      <t xml:space="preserve">Trả về HTTP 400 (`error_code: BAD_REQUEST`, message `リクエストパラメータが不正です。`)
</t>
    </r>
    <r>
      <rPr>
        <b/>
        <sz val="10"/>
        <color rgb="FF000000"/>
        <rFont val="メイリオ"/>
        <charset val="134"/>
      </rPr>
      <t xml:space="preserve">ステップ2：
</t>
    </r>
    <r>
      <rPr>
        <sz val="10"/>
        <color rgb="FF000000"/>
        <rFont val="メイリオ"/>
        <charset val="134"/>
      </rPr>
      <t xml:space="preserve">Trường errors chứa lỗi kiểu dữ liệu của `page`
</t>
    </r>
    <r>
      <rPr>
        <b/>
        <sz val="10"/>
        <color rgb="FF000000"/>
        <rFont val="メイリオ"/>
        <charset val="134"/>
      </rPr>
      <t xml:space="preserve">補足：
</t>
    </r>
    <r>
      <rPr>
        <sz val="10"/>
        <color rgb="FF000000"/>
        <rFont val="メイリオ"/>
        <charset val="134"/>
      </rPr>
      <t>・Param sai kiểu được chặn ở cả FE / BE</t>
    </r>
  </si>
  <si>
    <t>ACSMS-TC-024-047</t>
  </si>
  <si>
    <t>sort_by giá trị không hợp lệ — VALIDATION_ERROR</t>
  </si>
  <si>
    <r>
      <rPr>
        <b/>
        <sz val="10"/>
        <color rgb="FF000000"/>
        <rFont val="メイリオ"/>
        <charset val="134"/>
      </rPr>
      <t xml:space="preserve">ステップ1：
</t>
    </r>
    <r>
      <rPr>
        <sz val="10"/>
        <color rgb="FF000000"/>
        <rFont val="メイリオ"/>
        <charset val="134"/>
      </rPr>
      <t xml:space="preserve">Dùng DevTools gửi GET `/api/v1/accounts?sort_by=invalid_column`
</t>
    </r>
    <r>
      <rPr>
        <b/>
        <sz val="10"/>
        <color rgb="FF000000"/>
        <rFont val="メイリオ"/>
        <charset val="134"/>
      </rPr>
      <t xml:space="preserve">ステップ2：
</t>
    </r>
    <r>
      <rPr>
        <sz val="10"/>
        <color rgb="FF000000"/>
        <rFont val="メイリオ"/>
        <charset val="134"/>
      </rPr>
      <t>Kiểm tra nội dung response</t>
    </r>
  </si>
  <si>
    <r>
      <rPr>
        <b/>
        <sz val="10"/>
        <color rgb="FF000000"/>
        <rFont val="メイリオ"/>
        <charset val="134"/>
      </rPr>
      <t xml:space="preserve">ステップ1：
</t>
    </r>
    <r>
      <rPr>
        <sz val="10"/>
        <color rgb="FF000000"/>
        <rFont val="メイリオ"/>
        <charset val="134"/>
      </rPr>
      <t xml:space="preserve">Trả về HTTP 400 (`error_code: VALIDATION_ERROR`, message `入力値が不正です。詳細はerrorsフィールドを確認してください。`)
</t>
    </r>
    <r>
      <rPr>
        <b/>
        <sz val="10"/>
        <color rgb="FF000000"/>
        <rFont val="メイリオ"/>
        <charset val="134"/>
      </rPr>
      <t xml:space="preserve">ステップ2：
</t>
    </r>
    <r>
      <rPr>
        <sz val="10"/>
        <color rgb="FF000000"/>
        <rFont val="メイリオ"/>
        <charset val="134"/>
      </rPr>
      <t xml:space="preserve">Trường errors chứa lỗi giá trị nằm ngoài danh sách cho phép của `sort_by` (giá trị cho phép: login_id, role_id, created_at)
</t>
    </r>
    <r>
      <rPr>
        <b/>
        <sz val="10"/>
        <color rgb="FF000000"/>
        <rFont val="メイリオ"/>
        <charset val="134"/>
      </rPr>
      <t xml:space="preserve">補足：
</t>
    </r>
    <r>
      <rPr>
        <sz val="10"/>
        <color rgb="FF000000"/>
        <rFont val="メイリオ"/>
        <charset val="134"/>
      </rPr>
      <t>・sort_by được validate theo kiểu whitelist</t>
    </r>
  </si>
  <si>
    <t>ACSMS-TC-024-048</t>
  </si>
  <si>
    <t>Rate limit — TOO_MANY_REQUESTS</t>
  </si>
  <si>
    <r>
      <rPr>
        <b/>
        <sz val="10"/>
        <color rgb="FF000000"/>
        <rFont val="メイリオ"/>
        <charset val="134"/>
      </rPr>
      <t xml:space="preserve">ステップ1：
</t>
    </r>
    <r>
      <rPr>
        <sz val="10"/>
        <color rgb="FF000000"/>
        <rFont val="メイリオ"/>
        <charset val="134"/>
      </rPr>
      <t xml:space="preserve">Gửi liên tục GET `/api/v1/accounts` ≥100 lần trong 1 phút từ DevTools console
</t>
    </r>
    <r>
      <rPr>
        <b/>
        <sz val="10"/>
        <color rgb="FF000000"/>
        <rFont val="メイリオ"/>
        <charset val="134"/>
      </rPr>
      <t xml:space="preserve">ステップ2：
</t>
    </r>
    <r>
      <rPr>
        <sz val="10"/>
        <color rgb="FF000000"/>
        <rFont val="メイリオ"/>
        <charset val="134"/>
      </rPr>
      <t>Kiểm tra response sau khi vượt ngưỡng</t>
    </r>
  </si>
  <si>
    <r>
      <rPr>
        <b/>
        <sz val="10"/>
        <color rgb="FF000000"/>
        <rFont val="メイリオ"/>
        <charset val="134"/>
      </rPr>
      <t xml:space="preserve">ステップ1：
</t>
    </r>
    <r>
      <rPr>
        <sz val="10"/>
        <color rgb="FF000000"/>
        <rFont val="メイリオ"/>
        <charset val="134"/>
      </rPr>
      <t xml:space="preserve">Vài chục request đầu trả về HTTP 200
</t>
    </r>
    <r>
      <rPr>
        <b/>
        <sz val="10"/>
        <color rgb="FF000000"/>
        <rFont val="メイリオ"/>
        <charset val="134"/>
      </rPr>
      <t xml:space="preserve">ステップ2：
</t>
    </r>
    <r>
      <rPr>
        <sz val="10"/>
        <color rgb="FF000000"/>
        <rFont val="メイリオ"/>
        <charset val="134"/>
      </rPr>
      <t xml:space="preserve">Sau khi vượt ngưỡng, trả về HTTP 429 (`error_code: TOO_MANY_REQUESTS`, message `リクエスト回数が上限を超えました。しばらくしてから再度お試しください。`)
</t>
    </r>
    <r>
      <rPr>
        <b/>
        <sz val="10"/>
        <color rgb="FF000000"/>
        <rFont val="メイリオ"/>
        <charset val="134"/>
      </rPr>
      <t xml:space="preserve">補足：
</t>
    </r>
    <r>
      <rPr>
        <sz val="10"/>
        <color rgb="FF000000"/>
        <rFont val="メイリオ"/>
        <charset val="134"/>
      </rPr>
      <t>・Rate limit được thực thi qua API gateway / NestJS Throttler</t>
    </r>
  </si>
  <si>
    <t>ACSMS-TC-024-049</t>
  </si>
  <si>
    <t>Lỗi server — INTERNAL_SERVER_ERROR</t>
  </si>
  <si>
    <t>・role: NICHINO_ADMIN
・Đã login + đã xác thực MFA
・Cấu hình để chủ động phát sinh exception ở BE</t>
  </si>
  <si>
    <r>
      <rPr>
        <b/>
        <sz val="10"/>
        <color rgb="FF000000"/>
        <rFont val="メイリオ"/>
        <charset val="134"/>
      </rPr>
      <t xml:space="preserve">ステップ1：
</t>
    </r>
    <r>
      <rPr>
        <sz val="10"/>
        <color rgb="FF000000"/>
        <rFont val="メイリオ"/>
        <charset val="134"/>
      </rPr>
      <t xml:space="preserve">Lock table `m_account` hoặc phát sinh service exception ở BE
</t>
    </r>
    <r>
      <rPr>
        <b/>
        <sz val="10"/>
        <color rgb="FF000000"/>
        <rFont val="メイリオ"/>
        <charset val="134"/>
      </rPr>
      <t xml:space="preserve">ステップ2：
</t>
    </r>
    <r>
      <rPr>
        <sz val="10"/>
        <color rgb="FF000000"/>
        <rFont val="メイリオ"/>
        <charset val="134"/>
      </rPr>
      <t>Truy cập URL `/accounts` và click button "検索"</t>
    </r>
  </si>
  <si>
    <r>
      <rPr>
        <b/>
        <sz val="10"/>
        <color rgb="FF000000"/>
        <rFont val="メイリオ"/>
        <charset val="134"/>
      </rPr>
      <t xml:space="preserve">ステップ1：
</t>
    </r>
    <r>
      <rPr>
        <sz val="10"/>
        <color rgb="FF000000"/>
        <rFont val="メイリオ"/>
        <charset val="134"/>
      </rPr>
      <t xml:space="preserve">BE rơi vào trạng thái phát sinh exception
</t>
    </r>
    <r>
      <rPr>
        <b/>
        <sz val="10"/>
        <color rgb="FF000000"/>
        <rFont val="メイリオ"/>
        <charset val="134"/>
      </rPr>
      <t xml:space="preserve">ステップ2：
</t>
    </r>
    <r>
      <rPr>
        <sz val="10"/>
        <color rgb="FF000000"/>
        <rFont val="メイリオ"/>
        <charset val="134"/>
      </rPr>
      <t xml:space="preserve">Trả về HTTP 500 (`error_code: INTERNAL_SERVER_ERROR`, message `システムエラーが発生しました。しばらくしてから再度お試しください。`), hiển thị toast `システムエラーが発生しました。しばらくしてから再度お試しください。` (MSG-024-002)
</t>
    </r>
    <r>
      <rPr>
        <b/>
        <sz val="10"/>
        <color rgb="FF000000"/>
        <rFont val="メイリオ"/>
        <charset val="134"/>
      </rPr>
      <t xml:space="preserve">補足：
</t>
    </r>
    <r>
      <rPr>
        <sz val="10"/>
        <color rgb="FF000000"/>
        <rFont val="メイリオ"/>
        <charset val="134"/>
      </rPr>
      <t xml:space="preserve">・Stack trace không bị lộ ra màn hình / response
</t>
    </r>
    <r>
      <rPr>
        <sz val="10"/>
        <color rgb="FF000000"/>
        <rFont val="メイリオ"/>
        <charset val="134"/>
      </rPr>
      <t>・`t_log` ghi error log (log_type=3)</t>
    </r>
  </si>
  <si>
    <t>ACSMS-TC-024-050</t>
  </si>
  <si>
    <t>Xóa account_id không tồn tại — NOT_FOUND</t>
  </si>
  <si>
    <t>・role: NICHINO_ADMIN
・Đã login + đã xác thực MFA
・account_id=99999 không tồn tại</t>
  </si>
  <si>
    <r>
      <rPr>
        <b/>
        <sz val="10"/>
        <color rgb="FF000000"/>
        <rFont val="メイリオ"/>
        <charset val="134"/>
      </rPr>
      <t xml:space="preserve">ステップ1：
</t>
    </r>
    <r>
      <rPr>
        <sz val="10"/>
        <color rgb="FF000000"/>
        <rFont val="メイリオ"/>
        <charset val="134"/>
      </rPr>
      <t xml:space="preserve">Dùng DevTools gửi trực tiếp DELETE `/api/v1/accounts/99999`
</t>
    </r>
    <r>
      <rPr>
        <b/>
        <sz val="10"/>
        <color rgb="FF000000"/>
        <rFont val="メイリオ"/>
        <charset val="134"/>
      </rPr>
      <t xml:space="preserve">ステップ2：
</t>
    </r>
    <r>
      <rPr>
        <sz val="10"/>
        <color rgb="FF000000"/>
        <rFont val="メイリオ"/>
        <charset val="134"/>
      </rPr>
      <t>Kiểm tra nội dung response</t>
    </r>
  </si>
  <si>
    <r>
      <rPr>
        <b/>
        <sz val="10"/>
        <color rgb="FF000000"/>
        <rFont val="メイリオ"/>
        <charset val="134"/>
      </rPr>
      <t xml:space="preserve">ステップ1：
</t>
    </r>
    <r>
      <rPr>
        <sz val="10"/>
        <color rgb="FF000000"/>
        <rFont val="メイリオ"/>
        <charset val="134"/>
      </rPr>
      <t xml:space="preserve">Request DELETE được gửi
</t>
    </r>
    <r>
      <rPr>
        <b/>
        <sz val="10"/>
        <color rgb="FF000000"/>
        <rFont val="メイリオ"/>
        <charset val="134"/>
      </rPr>
      <t xml:space="preserve">ステップ2：
</t>
    </r>
    <r>
      <rPr>
        <sz val="10"/>
        <color rgb="FF000000"/>
        <rFont val="メイリオ"/>
        <charset val="134"/>
      </rPr>
      <t xml:space="preserve">Trả về HTTP 404 (`error_code: NOT_FOUND`, message `指定されたアカウントが見つかりません。`)
</t>
    </r>
    <r>
      <rPr>
        <b/>
        <sz val="10"/>
        <color rgb="FF000000"/>
        <rFont val="メイリオ"/>
        <charset val="134"/>
      </rPr>
      <t xml:space="preserve">補足：
</t>
    </r>
    <r>
      <rPr>
        <sz val="10"/>
        <color rgb="FF000000"/>
        <rFont val="メイリオ"/>
        <charset val="134"/>
      </rPr>
      <t>・DELETE đến account_id không tồn tại trả về 404</t>
    </r>
  </si>
  <si>
    <t>ACSMS-TC-024-051</t>
  </si>
  <si>
    <t>Mất kết nối network — lỗi offline</t>
  </si>
  <si>
    <r>
      <rPr>
        <b/>
        <sz val="10"/>
        <color rgb="FF000000"/>
        <rFont val="メイリオ"/>
        <charset val="134"/>
      </rPr>
      <t xml:space="preserve">ステップ1：
</t>
    </r>
    <r>
      <rPr>
        <sz val="10"/>
        <color rgb="FF000000"/>
        <rFont val="メイリオ"/>
        <charset val="134"/>
      </rPr>
      <t xml:space="preserve">Truy cập URL `/accounts`
</t>
    </r>
    <r>
      <rPr>
        <b/>
        <sz val="10"/>
        <color rgb="FF000000"/>
        <rFont val="メイリオ"/>
        <charset val="134"/>
      </rPr>
      <t xml:space="preserve">ステップ2：
</t>
    </r>
    <r>
      <rPr>
        <sz val="10"/>
        <color rgb="FF000000"/>
        <rFont val="メイリオ"/>
        <charset val="134"/>
      </rPr>
      <t xml:space="preserve">Chuyển sang chế độ "Offline" ở tab Network của DevTools
</t>
    </r>
    <r>
      <rPr>
        <b/>
        <sz val="10"/>
        <color rgb="FF000000"/>
        <rFont val="メイリオ"/>
        <charset val="134"/>
      </rPr>
      <t xml:space="preserve">ステップ3：
</t>
    </r>
    <r>
      <rPr>
        <sz val="10"/>
        <color rgb="FF000000"/>
        <rFont val="メイリオ"/>
        <charset val="134"/>
      </rPr>
      <t>Click button "検索"</t>
    </r>
  </si>
  <si>
    <r>
      <rPr>
        <b/>
        <sz val="10"/>
        <color rgb="FF000000"/>
        <rFont val="メイリオ"/>
        <charset val="134"/>
      </rPr>
      <t xml:space="preserve">ステップ1：
</t>
    </r>
    <r>
      <rPr>
        <sz val="10"/>
        <color rgb="FF000000"/>
        <rFont val="メイリオ"/>
        <charset val="134"/>
      </rPr>
      <t xml:space="preserve">Màn tìm kiếm chi tiết Master Account được hiển thị
</t>
    </r>
    <r>
      <rPr>
        <b/>
        <sz val="10"/>
        <color rgb="FF000000"/>
        <rFont val="メイリオ"/>
        <charset val="134"/>
      </rPr>
      <t xml:space="preserve">ステップ2：
</t>
    </r>
    <r>
      <rPr>
        <sz val="10"/>
        <color rgb="FF000000"/>
        <rFont val="メイリオ"/>
        <charset val="134"/>
      </rPr>
      <t xml:space="preserve">Trạng thái mất kết nối network
</t>
    </r>
    <r>
      <rPr>
        <b/>
        <sz val="10"/>
        <color rgb="FF000000"/>
        <rFont val="メイリオ"/>
        <charset val="134"/>
      </rPr>
      <t xml:space="preserve">ステップ3：
</t>
    </r>
    <r>
      <rPr>
        <sz val="10"/>
        <color rgb="FF000000"/>
        <rFont val="メイリオ"/>
        <charset val="134"/>
      </rPr>
      <t xml:space="preserve">Lỗi network được hiển thị qua toast, màn hình không thay đổi (không rơi vào trạng thái loading vô hạn)
</t>
    </r>
    <r>
      <rPr>
        <b/>
        <sz val="10"/>
        <color rgb="FF000000"/>
        <rFont val="メイリオ"/>
        <charset val="134"/>
      </rPr>
      <t xml:space="preserve">補足：
</t>
    </r>
    <r>
      <rPr>
        <sz val="10"/>
        <color rgb="FF000000"/>
        <rFont val="メイリオ"/>
        <charset val="134"/>
      </rPr>
      <t xml:space="preserve">・Hành vi khi xảy ra axios timeout không làm hỏng UX
</t>
    </r>
    <r>
      <rPr>
        <sz val="10"/>
        <color rgb="FF000000"/>
        <rFont val="メイリオ"/>
        <charset val="134"/>
      </rPr>
      <t>・Sau khi khôi phục "Online", hoạt động bình thường</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</si>
</sst>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m/yyyy"/>
    <numFmt numFmtId="179" formatCode="0.0%"/>
  </numFmts>
  <fonts count="38">
    <font>
      <sz val="11"/>
      <color theme="1"/>
      <name val="Calibri"/>
      <charset val="134"/>
      <scheme val="minor"/>
    </font>
    <font>
      <b/>
      <sz val="11"/>
      <color rgb="FF000000"/>
      <name val="游ゴシック"/>
      <charset val="134"/>
    </font>
    <font>
      <sz val="11"/>
      <name val="Calibri"/>
      <charset val="134"/>
      <scheme val="minor"/>
    </font>
    <font>
      <sz val="11"/>
      <color rgb="FF000000"/>
      <name val="游ゴシック"/>
      <charset val="134"/>
    </font>
    <font>
      <sz val="11"/>
      <color theme="1"/>
      <name val="Arial"/>
      <charset val="134"/>
    </font>
    <font>
      <sz val="11"/>
      <color theme="1"/>
      <name val="Calibri"/>
      <charset val="134"/>
    </font>
    <font>
      <strike/>
      <sz val="11"/>
      <color rgb="FF000000"/>
      <name val="游ゴシック"/>
      <charset val="134"/>
    </font>
    <font>
      <i/>
      <sz val="11"/>
      <color rgb="FF000000"/>
      <name val="游ゴシック"/>
      <charset val="134"/>
    </font>
    <font>
      <b/>
      <sz val="14"/>
      <color rgb="FF000000"/>
      <name val="游ゴシック"/>
      <charset val="134"/>
    </font>
    <font>
      <sz val="26"/>
      <color rgb="FF1F3864"/>
      <name val="游ゴシック"/>
      <charset val="134"/>
    </font>
    <font>
      <sz val="24"/>
      <color rgb="FF1F3864"/>
      <name val="游ゴシック"/>
      <charset val="134"/>
    </font>
    <font>
      <sz val="15"/>
      <color theme="1"/>
      <name val="游ゴシック"/>
      <charset val="134"/>
    </font>
    <font>
      <sz val="10"/>
      <color rgb="FF000000"/>
      <name val="游ゴシック"/>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0"/>
      <color rgb="FF000000"/>
      <name val="メイリオ"/>
      <charset val="134"/>
    </font>
    <font>
      <sz val="10"/>
      <color rgb="FF000000"/>
      <name val="メイリオ"/>
      <charset val="134"/>
    </font>
    <font>
      <b/>
      <sz val="10"/>
      <color rgb="FF000000"/>
      <name val="游ゴシック"/>
      <charset val="134"/>
    </font>
    <font>
      <b/>
      <strike/>
      <sz val="10"/>
      <color rgb="FF000000"/>
      <name val="メイリオ"/>
      <charset val="134"/>
    </font>
    <font>
      <strike/>
      <sz val="10"/>
      <color rgb="FF000000"/>
      <name val="メイリオ"/>
      <charset val="134"/>
    </font>
    <font>
      <strike/>
      <sz val="10"/>
      <color rgb="FF000000"/>
      <name val="游ゴシック"/>
      <charset val="134"/>
    </font>
  </fonts>
  <fills count="41">
    <fill>
      <patternFill patternType="none"/>
    </fill>
    <fill>
      <patternFill patternType="gray125"/>
    </fill>
    <fill>
      <patternFill patternType="solid">
        <fgColor rgb="FFDEEAF6"/>
        <bgColor rgb="FFDEEAF6"/>
      </patternFill>
    </fill>
    <fill>
      <patternFill patternType="solid">
        <fgColor rgb="FFBDD6EE"/>
        <bgColor rgb="FFBDD6EE"/>
      </patternFill>
    </fill>
    <fill>
      <patternFill patternType="solid">
        <fgColor rgb="FFB4C6E7"/>
        <bgColor rgb="FFB4C6E7"/>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FFFF99"/>
        <bgColor rgb="FFFFFF99"/>
      </patternFill>
    </fill>
    <fill>
      <patternFill patternType="solid">
        <fgColor rgb="FFD9E2F3"/>
        <bgColor rgb="FFD9E2F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10" borderId="15"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6" applyNumberFormat="0" applyFill="0" applyAlignment="0" applyProtection="0">
      <alignment vertical="center"/>
    </xf>
    <xf numFmtId="0" fontId="19" fillId="0" borderId="16" applyNumberFormat="0" applyFill="0" applyAlignment="0" applyProtection="0">
      <alignment vertical="center"/>
    </xf>
    <xf numFmtId="0" fontId="20" fillId="0" borderId="17" applyNumberFormat="0" applyFill="0" applyAlignment="0" applyProtection="0">
      <alignment vertical="center"/>
    </xf>
    <xf numFmtId="0" fontId="20" fillId="0" borderId="0" applyNumberFormat="0" applyFill="0" applyBorder="0" applyAlignment="0" applyProtection="0">
      <alignment vertical="center"/>
    </xf>
    <xf numFmtId="0" fontId="21" fillId="11" borderId="18" applyNumberFormat="0" applyAlignment="0" applyProtection="0">
      <alignment vertical="center"/>
    </xf>
    <xf numFmtId="0" fontId="22" fillId="12" borderId="19" applyNumberFormat="0" applyAlignment="0" applyProtection="0">
      <alignment vertical="center"/>
    </xf>
    <xf numFmtId="0" fontId="23" fillId="12" borderId="18" applyNumberFormat="0" applyAlignment="0" applyProtection="0">
      <alignment vertical="center"/>
    </xf>
    <xf numFmtId="0" fontId="24" fillId="13" borderId="20" applyNumberFormat="0" applyAlignment="0" applyProtection="0">
      <alignment vertical="center"/>
    </xf>
    <xf numFmtId="0" fontId="25" fillId="0" borderId="21" applyNumberFormat="0" applyFill="0" applyAlignment="0" applyProtection="0">
      <alignment vertical="center"/>
    </xf>
    <xf numFmtId="0" fontId="26" fillId="0" borderId="22" applyNumberFormat="0" applyFill="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31" fillId="34" borderId="0" applyNumberFormat="0" applyBorder="0" applyAlignment="0" applyProtection="0">
      <alignment vertical="center"/>
    </xf>
    <xf numFmtId="0" fontId="31" fillId="35" borderId="0" applyNumberFormat="0" applyBorder="0" applyAlignment="0" applyProtection="0">
      <alignment vertical="center"/>
    </xf>
    <xf numFmtId="0" fontId="30" fillId="36" borderId="0" applyNumberFormat="0" applyBorder="0" applyAlignment="0" applyProtection="0">
      <alignment vertical="center"/>
    </xf>
    <xf numFmtId="0" fontId="30" fillId="37" borderId="0" applyNumberFormat="0" applyBorder="0" applyAlignment="0" applyProtection="0">
      <alignment vertical="center"/>
    </xf>
    <xf numFmtId="0" fontId="31" fillId="38" borderId="0" applyNumberFormat="0" applyBorder="0" applyAlignment="0" applyProtection="0">
      <alignment vertical="center"/>
    </xf>
    <xf numFmtId="0" fontId="31" fillId="39" borderId="0" applyNumberFormat="0" applyBorder="0" applyAlignment="0" applyProtection="0">
      <alignment vertical="center"/>
    </xf>
    <xf numFmtId="0" fontId="30" fillId="40" borderId="0" applyNumberFormat="0" applyBorder="0" applyAlignment="0" applyProtection="0">
      <alignment vertical="center"/>
    </xf>
  </cellStyleXfs>
  <cellXfs count="63">
    <xf numFmtId="0" fontId="0" fillId="0" borderId="0" xfId="0" applyFont="1" applyAlignment="1"/>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3" fillId="0" borderId="1" xfId="0" applyFont="1" applyBorder="1" applyAlignment="1">
      <alignment horizontal="left"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2" fillId="0" borderId="10" xfId="0" applyFont="1" applyBorder="1"/>
    <xf numFmtId="0" fontId="2" fillId="0" borderId="11" xfId="0" applyFont="1" applyBorder="1"/>
    <xf numFmtId="0" fontId="1" fillId="3" borderId="1" xfId="0" applyFont="1" applyFill="1" applyBorder="1" applyAlignment="1">
      <alignment horizontal="left" vertical="center" wrapText="1"/>
    </xf>
    <xf numFmtId="0" fontId="3" fillId="0" borderId="12" xfId="0" applyFont="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178" fontId="3" fillId="0" borderId="1" xfId="0" applyNumberFormat="1" applyFont="1" applyBorder="1" applyAlignment="1">
      <alignment horizontal="center" vertical="top" wrapText="1"/>
    </xf>
    <xf numFmtId="0" fontId="4" fillId="0" borderId="1" xfId="0" applyFont="1" applyBorder="1" applyAlignment="1">
      <alignment horizontal="center" vertical="top" wrapText="1"/>
    </xf>
    <xf numFmtId="0" fontId="5" fillId="0" borderId="1" xfId="0" applyFont="1" applyBorder="1" applyAlignment="1">
      <alignment vertical="top"/>
    </xf>
    <xf numFmtId="178" fontId="4" fillId="0" borderId="1" xfId="0" applyNumberFormat="1" applyFont="1" applyBorder="1" applyAlignment="1">
      <alignment horizontal="center" vertical="top" wrapText="1"/>
    </xf>
    <xf numFmtId="0" fontId="6" fillId="0" borderId="1" xfId="0" applyFont="1" applyBorder="1" applyAlignment="1">
      <alignment horizontal="left" vertical="top" wrapText="1"/>
    </xf>
    <xf numFmtId="0" fontId="6" fillId="0" borderId="1" xfId="0" applyFont="1" applyBorder="1" applyAlignment="1">
      <alignment horizontal="center" vertical="top" wrapText="1"/>
    </xf>
    <xf numFmtId="0" fontId="1" fillId="4" borderId="1" xfId="0" applyFont="1" applyFill="1" applyBorder="1" applyAlignment="1">
      <alignment horizontal="center" vertical="center" wrapText="1"/>
    </xf>
    <xf numFmtId="0" fontId="3" fillId="0" borderId="5" xfId="0" applyFont="1" applyBorder="1" applyAlignment="1">
      <alignment horizontal="center" vertical="center" wrapText="1"/>
    </xf>
    <xf numFmtId="49" fontId="3" fillId="0" borderId="5" xfId="0" applyNumberFormat="1" applyFont="1" applyBorder="1" applyAlignment="1">
      <alignment horizontal="center" vertical="center" wrapText="1"/>
    </xf>
    <xf numFmtId="0" fontId="1" fillId="0" borderId="0" xfId="0" applyFont="1" applyAlignment="1">
      <alignment horizontal="left" vertical="center" wrapText="1"/>
    </xf>
    <xf numFmtId="0" fontId="1" fillId="2" borderId="12" xfId="0" applyFont="1" applyFill="1" applyBorder="1" applyAlignment="1">
      <alignment horizontal="center" vertical="center" wrapText="1"/>
    </xf>
    <xf numFmtId="0" fontId="1" fillId="5" borderId="1" xfId="0" applyFont="1" applyFill="1" applyBorder="1" applyAlignment="1">
      <alignment horizontal="center" vertical="top" wrapText="1"/>
    </xf>
    <xf numFmtId="0" fontId="1" fillId="6" borderId="1" xfId="0" applyFont="1" applyFill="1" applyBorder="1" applyAlignment="1">
      <alignment horizontal="center" vertical="top" wrapText="1"/>
    </xf>
    <xf numFmtId="0" fontId="1" fillId="7" borderId="1" xfId="0" applyFont="1" applyFill="1" applyBorder="1" applyAlignment="1">
      <alignment horizontal="center" vertical="top" wrapText="1"/>
    </xf>
    <xf numFmtId="0" fontId="1" fillId="3" borderId="1" xfId="0" applyFont="1" applyFill="1" applyBorder="1" applyAlignment="1">
      <alignment horizontal="right" vertical="center" wrapText="1"/>
    </xf>
    <xf numFmtId="0" fontId="1" fillId="3" borderId="1" xfId="0" applyFont="1" applyFill="1" applyBorder="1" applyAlignment="1">
      <alignment horizontal="center" vertical="center" wrapText="1"/>
    </xf>
    <xf numFmtId="0" fontId="1" fillId="0" borderId="1" xfId="0" applyFont="1" applyBorder="1" applyAlignment="1">
      <alignment horizontal="center" vertical="top" wrapText="1"/>
    </xf>
    <xf numFmtId="0" fontId="7" fillId="0" borderId="1" xfId="0" applyFont="1" applyBorder="1" applyAlignment="1">
      <alignment horizontal="left" vertical="top" wrapText="1"/>
    </xf>
    <xf numFmtId="0" fontId="8" fillId="4" borderId="1"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2" borderId="12" xfId="0" applyFont="1" applyFill="1" applyBorder="1" applyAlignment="1">
      <alignment horizontal="left" vertical="center" wrapText="1"/>
    </xf>
    <xf numFmtId="0" fontId="3" fillId="0" borderId="12" xfId="0" applyFont="1" applyBorder="1" applyAlignment="1">
      <alignment horizontal="center" vertical="center" wrapText="1"/>
    </xf>
    <xf numFmtId="179" fontId="3" fillId="0" borderId="1" xfId="0" applyNumberFormat="1" applyFont="1" applyBorder="1" applyAlignment="1">
      <alignment horizontal="center" vertical="center" wrapText="1"/>
    </xf>
    <xf numFmtId="179" fontId="1" fillId="0" borderId="1" xfId="0" applyNumberFormat="1" applyFont="1" applyBorder="1" applyAlignment="1">
      <alignment horizontal="center" vertical="center" wrapText="1"/>
    </xf>
    <xf numFmtId="0" fontId="3" fillId="0" borderId="0" xfId="0" applyFont="1" applyAlignment="1">
      <alignment horizontal="left" vertical="center" wrapText="1"/>
    </xf>
    <xf numFmtId="0" fontId="1" fillId="8" borderId="0" xfId="0" applyFont="1" applyFill="1" applyBorder="1" applyAlignment="1">
      <alignment horizontal="left" vertical="center" wrapText="1"/>
    </xf>
    <xf numFmtId="0" fontId="2" fillId="0" borderId="0" xfId="0" applyFont="1" applyBorder="1"/>
    <xf numFmtId="0" fontId="1" fillId="4" borderId="12" xfId="0" applyFont="1" applyFill="1" applyBorder="1" applyAlignment="1">
      <alignment horizontal="center" vertical="center" wrapText="1"/>
    </xf>
    <xf numFmtId="0" fontId="5" fillId="0" borderId="5" xfId="0" applyFont="1" applyBorder="1"/>
    <xf numFmtId="0" fontId="5" fillId="0" borderId="6" xfId="0" applyFont="1" applyBorder="1"/>
    <xf numFmtId="0" fontId="5" fillId="0" borderId="7" xfId="0" applyFont="1" applyBorder="1"/>
    <xf numFmtId="0" fontId="5" fillId="0" borderId="13" xfId="0" applyFont="1" applyBorder="1"/>
    <xf numFmtId="0" fontId="5" fillId="0" borderId="14" xfId="0" applyFont="1" applyBorder="1"/>
    <xf numFmtId="0" fontId="9" fillId="0" borderId="13" xfId="0" applyFont="1" applyBorder="1" applyAlignment="1">
      <alignment horizontal="center" vertical="center" wrapText="1"/>
    </xf>
    <xf numFmtId="0" fontId="2" fillId="0" borderId="14" xfId="0" applyFont="1" applyBorder="1"/>
    <xf numFmtId="0" fontId="10" fillId="0" borderId="13" xfId="0" applyFont="1" applyBorder="1" applyAlignment="1">
      <alignment horizontal="center" vertical="center" wrapText="1"/>
    </xf>
    <xf numFmtId="0" fontId="11" fillId="0" borderId="13" xfId="0" applyFont="1" applyBorder="1" applyAlignment="1">
      <alignment horizontal="center" vertical="center" wrapText="1"/>
    </xf>
    <xf numFmtId="0" fontId="12" fillId="9" borderId="1" xfId="0" applyFont="1" applyFill="1" applyBorder="1" applyAlignment="1">
      <alignment horizontal="center" vertical="center" wrapText="1"/>
    </xf>
    <xf numFmtId="49" fontId="12" fillId="9" borderId="1" xfId="0" applyNumberFormat="1" applyFont="1" applyFill="1" applyBorder="1" applyAlignment="1">
      <alignment horizontal="center" vertical="center" wrapText="1"/>
    </xf>
    <xf numFmtId="0" fontId="5" fillId="0" borderId="9" xfId="0" applyFont="1" applyBorder="1"/>
    <xf numFmtId="0" fontId="5" fillId="0" borderId="10" xfId="0" applyFont="1" applyBorder="1"/>
    <xf numFmtId="0" fontId="5" fillId="0" borderId="11" xfId="0" applyFont="1"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15</xdr:col>
      <xdr:colOff>0</xdr:colOff>
      <xdr:row>2</xdr:row>
      <xdr:rowOff>0</xdr:rowOff>
    </xdr:from>
    <xdr:ext cx="1333500" cy="514350"/>
    <xdr:pic>
      <xdr:nvPicPr>
        <xdr:cNvPr id="2" name="image1.png" descr="Picture"/>
        <xdr:cNvPicPr preferRelativeResize="0"/>
      </xdr:nvPicPr>
      <xdr:blipFill>
        <a:blip r:embed="rId1" cstate="print"/>
        <a:stretch>
          <a:fillRect/>
        </a:stretch>
      </xdr:blipFill>
      <xdr:spPr>
        <a:xfrm>
          <a:off x="3314700" y="409575"/>
          <a:ext cx="1333500" cy="5143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K1000"/>
  <sheetViews>
    <sheetView showGridLines="0" workbookViewId="0">
      <selection activeCell="T39" sqref="T39"/>
    </sheetView>
  </sheetViews>
  <sheetFormatPr defaultColWidth="14.4285714285714" defaultRowHeight="15" customHeight="1"/>
  <cols>
    <col min="1" max="1" width="3.71428571428571" customWidth="1"/>
    <col min="2" max="37" width="3.28571428571429" customWidth="1"/>
  </cols>
  <sheetData>
    <row r="1" ht="19.5" customHeight="1"/>
    <row r="2" ht="12.75" customHeight="1" spans="2:37">
      <c r="B2" s="49"/>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1"/>
    </row>
    <row r="3" ht="12.75" customHeight="1" spans="2:37">
      <c r="B3" s="52"/>
      <c r="AK3" s="53"/>
    </row>
    <row r="4" ht="12.75" customHeight="1" spans="2:37">
      <c r="B4" s="52"/>
      <c r="AK4" s="53"/>
    </row>
    <row r="5" ht="12.75" customHeight="1" spans="2:37">
      <c r="B5" s="52"/>
      <c r="AK5" s="53"/>
    </row>
    <row r="6" ht="12.75" customHeight="1" spans="2:37">
      <c r="B6" s="52"/>
      <c r="AK6" s="53"/>
    </row>
    <row r="7" ht="12.75" customHeight="1" spans="2:37">
      <c r="B7" s="52"/>
      <c r="AK7" s="53"/>
    </row>
    <row r="8" ht="12.75" customHeight="1" spans="2:37">
      <c r="B8" s="52"/>
      <c r="AK8" s="53"/>
    </row>
    <row r="9" ht="12.75" customHeight="1" spans="2:37">
      <c r="B9" s="52"/>
      <c r="AK9" s="53"/>
    </row>
    <row r="10" ht="29.25" customHeight="1" spans="2:37">
      <c r="B10" s="54" t="s">
        <v>0</v>
      </c>
      <c r="AK10" s="55"/>
    </row>
    <row r="11" ht="12.75" customHeight="1" spans="2:37">
      <c r="B11" s="52"/>
      <c r="AK11" s="53"/>
    </row>
    <row r="12" ht="39" customHeight="1" spans="2:37">
      <c r="B12" s="56" t="s">
        <v>1</v>
      </c>
      <c r="AK12" s="55"/>
    </row>
    <row r="13" ht="12.75" customHeight="1" spans="2:37">
      <c r="B13" s="52"/>
      <c r="AK13" s="53"/>
    </row>
    <row r="14" ht="12.75" customHeight="1" spans="2:37">
      <c r="B14" s="52"/>
      <c r="AK14" s="53"/>
    </row>
    <row r="15" ht="12.75" customHeight="1" spans="2:37">
      <c r="B15" s="57" t="s">
        <v>2</v>
      </c>
      <c r="AK15" s="55"/>
    </row>
    <row r="16" ht="12.75" customHeight="1" spans="2:37">
      <c r="B16" s="52"/>
      <c r="AK16" s="53"/>
    </row>
    <row r="17" ht="12.75" customHeight="1" spans="2:37">
      <c r="B17" s="52"/>
      <c r="AK17" s="53"/>
    </row>
    <row r="18" ht="12.75" customHeight="1" spans="2:37">
      <c r="B18" s="52"/>
      <c r="N18" s="58" t="s">
        <v>3</v>
      </c>
      <c r="O18" s="2"/>
      <c r="P18" s="2"/>
      <c r="Q18" s="2"/>
      <c r="R18" s="3"/>
      <c r="S18" s="58" t="s">
        <v>4</v>
      </c>
      <c r="T18" s="2"/>
      <c r="U18" s="2"/>
      <c r="V18" s="2"/>
      <c r="W18" s="3"/>
      <c r="AK18" s="53"/>
    </row>
    <row r="19" ht="12.75" customHeight="1" spans="2:37">
      <c r="B19" s="52"/>
      <c r="N19" s="58" t="s">
        <v>5</v>
      </c>
      <c r="O19" s="2"/>
      <c r="P19" s="2"/>
      <c r="Q19" s="2"/>
      <c r="R19" s="3"/>
      <c r="S19" s="58" t="s">
        <v>6</v>
      </c>
      <c r="T19" s="2"/>
      <c r="U19" s="2"/>
      <c r="V19" s="2"/>
      <c r="W19" s="3"/>
      <c r="AK19" s="53"/>
    </row>
    <row r="20" ht="12.75" customHeight="1" spans="2:37">
      <c r="B20" s="52"/>
      <c r="N20" s="58" t="s">
        <v>7</v>
      </c>
      <c r="O20" s="2"/>
      <c r="P20" s="2"/>
      <c r="Q20" s="2"/>
      <c r="R20" s="3"/>
      <c r="S20" s="59" t="s">
        <v>8</v>
      </c>
      <c r="T20" s="2"/>
      <c r="U20" s="2"/>
      <c r="V20" s="2"/>
      <c r="W20" s="3"/>
      <c r="AK20" s="53"/>
    </row>
    <row r="21" ht="12.75" customHeight="1" spans="2:37">
      <c r="B21" s="52"/>
      <c r="AK21" s="53"/>
    </row>
    <row r="22" ht="12.75" customHeight="1" spans="2:37">
      <c r="B22" s="52"/>
      <c r="AK22" s="53"/>
    </row>
    <row r="23" ht="12.75" customHeight="1" spans="2:37">
      <c r="B23" s="52"/>
      <c r="AK23" s="53"/>
    </row>
    <row r="24" ht="12.75" customHeight="1" spans="2:37">
      <c r="B24" s="52"/>
      <c r="AK24" s="53"/>
    </row>
    <row r="25" ht="12.75" customHeight="1" spans="2:37">
      <c r="B25" s="52"/>
      <c r="AK25" s="53"/>
    </row>
    <row r="26" ht="12.75" customHeight="1" spans="2:37">
      <c r="B26" s="52"/>
      <c r="AK26" s="53"/>
    </row>
    <row r="27" ht="12.75" customHeight="1" spans="2:37">
      <c r="B27" s="52"/>
      <c r="AK27" s="53"/>
    </row>
    <row r="28" ht="12.75" customHeight="1" spans="2:37">
      <c r="B28" s="52"/>
      <c r="AK28" s="53"/>
    </row>
    <row r="29" ht="12.75" customHeight="1" spans="2:37">
      <c r="B29" s="52"/>
      <c r="AK29" s="53"/>
    </row>
    <row r="30" ht="12.75" customHeight="1" spans="2:37">
      <c r="B30" s="52"/>
      <c r="AK30" s="53"/>
    </row>
    <row r="31" ht="12.75" customHeight="1" spans="2:37">
      <c r="B31" s="52"/>
      <c r="AK31" s="53"/>
    </row>
    <row r="32" ht="12.75" customHeight="1" spans="2:37">
      <c r="B32" s="52"/>
      <c r="AK32" s="53"/>
    </row>
    <row r="33" ht="12.75" customHeight="1" spans="2:37">
      <c r="B33" s="52"/>
      <c r="AK33" s="53"/>
    </row>
    <row r="34" ht="12.75" customHeight="1" spans="2:37">
      <c r="B34" s="60"/>
      <c r="C34" s="61"/>
      <c r="D34" s="61"/>
      <c r="E34" s="61"/>
      <c r="F34" s="61"/>
      <c r="G34" s="61"/>
      <c r="H34" s="61"/>
      <c r="I34" s="61"/>
      <c r="J34" s="61"/>
      <c r="K34" s="61"/>
      <c r="L34" s="61"/>
      <c r="M34" s="61"/>
      <c r="N34" s="61"/>
      <c r="O34" s="61"/>
      <c r="P34" s="61"/>
      <c r="Q34" s="61"/>
      <c r="R34" s="61"/>
      <c r="S34" s="61"/>
      <c r="T34" s="61"/>
      <c r="U34" s="61"/>
      <c r="V34" s="61"/>
      <c r="W34" s="61"/>
      <c r="X34" s="61"/>
      <c r="Y34" s="61"/>
      <c r="Z34" s="61"/>
      <c r="AA34" s="61"/>
      <c r="AB34" s="61"/>
      <c r="AC34" s="61"/>
      <c r="AD34" s="61"/>
      <c r="AE34" s="61"/>
      <c r="AF34" s="61"/>
      <c r="AG34" s="61"/>
      <c r="AH34" s="61"/>
      <c r="AI34" s="61"/>
      <c r="AJ34" s="61"/>
      <c r="AK34" s="62"/>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B10:AK10"/>
    <mergeCell ref="B12:AK12"/>
    <mergeCell ref="B15:AK15"/>
    <mergeCell ref="N18:R18"/>
    <mergeCell ref="S18:W18"/>
    <mergeCell ref="N19:R19"/>
    <mergeCell ref="S19:W19"/>
    <mergeCell ref="N20:R20"/>
    <mergeCell ref="S20:W20"/>
  </mergeCells>
  <pageMargins left="0.75" right="0.75" top="1" bottom="1" header="0" footer="0"/>
  <pageSetup paperSize="1"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000"/>
  <sheetViews>
    <sheetView showGridLines="0" workbookViewId="0">
      <selection activeCell="A1" sqref="A1"/>
    </sheetView>
  </sheetViews>
  <sheetFormatPr defaultColWidth="14.4285714285714" defaultRowHeight="15" customHeight="1"/>
  <cols>
    <col min="1" max="1" width="8" customWidth="1"/>
    <col min="2" max="34" width="3.28571428571429" customWidth="1"/>
  </cols>
  <sheetData>
    <row r="1" ht="22.5" customHeight="1" spans="1:34">
      <c r="A1" s="48" t="s">
        <v>9</v>
      </c>
      <c r="B1" s="26" t="s">
        <v>7</v>
      </c>
      <c r="C1" s="2"/>
      <c r="D1" s="2"/>
      <c r="E1" s="3"/>
      <c r="F1" s="26" t="s">
        <v>10</v>
      </c>
      <c r="G1" s="2"/>
      <c r="H1" s="3"/>
      <c r="I1" s="26" t="s">
        <v>11</v>
      </c>
      <c r="J1" s="2"/>
      <c r="K1" s="2"/>
      <c r="L1" s="2"/>
      <c r="M1" s="2"/>
      <c r="N1" s="3"/>
      <c r="O1" s="26" t="s">
        <v>12</v>
      </c>
      <c r="P1" s="2"/>
      <c r="Q1" s="2"/>
      <c r="R1" s="2"/>
      <c r="S1" s="2"/>
      <c r="T1" s="2"/>
      <c r="U1" s="2"/>
      <c r="V1" s="3"/>
      <c r="W1" s="26" t="s">
        <v>13</v>
      </c>
      <c r="X1" s="2"/>
      <c r="Y1" s="2"/>
      <c r="Z1" s="2"/>
      <c r="AA1" s="2"/>
      <c r="AB1" s="3"/>
      <c r="AC1" s="26" t="s">
        <v>14</v>
      </c>
      <c r="AD1" s="2"/>
      <c r="AE1" s="2"/>
      <c r="AF1" s="2"/>
      <c r="AG1" s="2"/>
      <c r="AH1" s="3"/>
    </row>
    <row r="2" ht="22.5" customHeight="1" spans="1:34">
      <c r="A2" s="42">
        <v>1</v>
      </c>
      <c r="B2" s="6" t="s">
        <v>15</v>
      </c>
      <c r="C2" s="2"/>
      <c r="D2" s="2"/>
      <c r="E2" s="3"/>
      <c r="F2" s="6" t="s">
        <v>6</v>
      </c>
      <c r="G2" s="2"/>
      <c r="H2" s="3"/>
      <c r="I2" s="6" t="s">
        <v>16</v>
      </c>
      <c r="J2" s="2"/>
      <c r="K2" s="2"/>
      <c r="L2" s="2"/>
      <c r="M2" s="2"/>
      <c r="N2" s="3"/>
      <c r="O2" s="4" t="s">
        <v>17</v>
      </c>
      <c r="P2" s="2"/>
      <c r="Q2" s="2"/>
      <c r="R2" s="2"/>
      <c r="S2" s="2"/>
      <c r="T2" s="2"/>
      <c r="U2" s="2"/>
      <c r="V2" s="3"/>
      <c r="W2" s="6" t="s">
        <v>18</v>
      </c>
      <c r="X2" s="2"/>
      <c r="Y2" s="2"/>
      <c r="Z2" s="2"/>
      <c r="AA2" s="2"/>
      <c r="AB2" s="3"/>
      <c r="AC2" s="6"/>
      <c r="AD2" s="2"/>
      <c r="AE2" s="2"/>
      <c r="AF2" s="2"/>
      <c r="AG2" s="2"/>
      <c r="AH2"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1:E1"/>
    <mergeCell ref="F1:H1"/>
    <mergeCell ref="I1:N1"/>
    <mergeCell ref="O1:V1"/>
    <mergeCell ref="W1:AB1"/>
    <mergeCell ref="AC1:AH1"/>
    <mergeCell ref="B2:E2"/>
    <mergeCell ref="F2:H2"/>
    <mergeCell ref="I2:N2"/>
    <mergeCell ref="O2:V2"/>
    <mergeCell ref="W2:AB2"/>
    <mergeCell ref="AC2:AH2"/>
  </mergeCells>
  <pageMargins left="0.75" right="0.75" top="1" bottom="1"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00"/>
  <sheetViews>
    <sheetView showGridLines="0" workbookViewId="0">
      <selection activeCell="A1" sqref="A1:I1"/>
    </sheetView>
  </sheetViews>
  <sheetFormatPr defaultColWidth="14.4285714285714" defaultRowHeight="15" customHeight="1"/>
  <cols>
    <col min="1" max="37" width="4.28571428571429" customWidth="1"/>
  </cols>
  <sheetData>
    <row r="1" ht="19.5" customHeight="1" spans="1:37">
      <c r="A1" s="26" t="s">
        <v>19</v>
      </c>
      <c r="B1" s="2"/>
      <c r="C1" s="2"/>
      <c r="D1" s="2"/>
      <c r="E1" s="2"/>
      <c r="F1" s="2"/>
      <c r="G1" s="2"/>
      <c r="H1" s="2"/>
      <c r="I1" s="3"/>
      <c r="J1" s="26" t="s">
        <v>20</v>
      </c>
      <c r="K1" s="2"/>
      <c r="L1" s="2"/>
      <c r="M1" s="2"/>
      <c r="N1" s="2"/>
      <c r="O1" s="2"/>
      <c r="P1" s="3"/>
      <c r="Q1" s="26" t="s">
        <v>21</v>
      </c>
      <c r="R1" s="2"/>
      <c r="S1" s="2"/>
      <c r="T1" s="2"/>
      <c r="U1" s="3"/>
      <c r="V1" s="26" t="s">
        <v>22</v>
      </c>
      <c r="W1" s="2"/>
      <c r="X1" s="2"/>
      <c r="Y1" s="3"/>
      <c r="Z1" s="26" t="s">
        <v>23</v>
      </c>
      <c r="AA1" s="2"/>
      <c r="AB1" s="2"/>
      <c r="AC1" s="3"/>
      <c r="AD1" s="26" t="s">
        <v>24</v>
      </c>
      <c r="AE1" s="2"/>
      <c r="AF1" s="2"/>
      <c r="AG1" s="3"/>
      <c r="AH1" s="26" t="s">
        <v>25</v>
      </c>
      <c r="AI1" s="2"/>
      <c r="AJ1" s="2"/>
      <c r="AK1" s="3"/>
    </row>
    <row r="2" ht="19.5" customHeight="1" spans="1:37">
      <c r="A2" s="27" t="s">
        <v>0</v>
      </c>
      <c r="B2" s="10"/>
      <c r="C2" s="10"/>
      <c r="D2" s="10"/>
      <c r="E2" s="10"/>
      <c r="F2" s="10"/>
      <c r="G2" s="10"/>
      <c r="H2" s="10"/>
      <c r="I2" s="11"/>
      <c r="J2" s="27" t="s">
        <v>26</v>
      </c>
      <c r="K2" s="10"/>
      <c r="L2" s="10"/>
      <c r="M2" s="10"/>
      <c r="N2" s="10"/>
      <c r="O2" s="10"/>
      <c r="P2" s="11"/>
      <c r="Q2" s="27" t="s">
        <v>27</v>
      </c>
      <c r="R2" s="10"/>
      <c r="S2" s="10"/>
      <c r="T2" s="10"/>
      <c r="U2" s="11"/>
      <c r="V2" s="28" t="s">
        <v>8</v>
      </c>
      <c r="W2" s="10"/>
      <c r="X2" s="10"/>
      <c r="Y2" s="11"/>
      <c r="Z2" s="27" t="s">
        <v>16</v>
      </c>
      <c r="AA2" s="10"/>
      <c r="AB2" s="10"/>
      <c r="AC2" s="11"/>
      <c r="AD2" s="28" t="s">
        <v>8</v>
      </c>
      <c r="AE2" s="10"/>
      <c r="AF2" s="10"/>
      <c r="AG2" s="11"/>
      <c r="AH2" s="27" t="s">
        <v>16</v>
      </c>
      <c r="AI2" s="10"/>
      <c r="AJ2" s="10"/>
      <c r="AK2" s="11"/>
    </row>
    <row r="3" ht="19.5" customHeight="1" spans="1:37">
      <c r="A3" s="13"/>
      <c r="B3" s="14"/>
      <c r="C3" s="14"/>
      <c r="D3" s="14"/>
      <c r="E3" s="14"/>
      <c r="F3" s="14"/>
      <c r="G3" s="14"/>
      <c r="H3" s="14"/>
      <c r="I3" s="15"/>
      <c r="J3" s="13"/>
      <c r="K3" s="14"/>
      <c r="L3" s="14"/>
      <c r="M3" s="14"/>
      <c r="N3" s="14"/>
      <c r="O3" s="14"/>
      <c r="P3" s="15"/>
      <c r="Q3" s="13"/>
      <c r="R3" s="14"/>
      <c r="S3" s="14"/>
      <c r="T3" s="14"/>
      <c r="U3" s="15"/>
      <c r="V3" s="13"/>
      <c r="W3" s="14"/>
      <c r="X3" s="14"/>
      <c r="Y3" s="15"/>
      <c r="Z3" s="13"/>
      <c r="AA3" s="14"/>
      <c r="AB3" s="14"/>
      <c r="AC3" s="15"/>
      <c r="AD3" s="13"/>
      <c r="AE3" s="14"/>
      <c r="AF3" s="14"/>
      <c r="AG3" s="15"/>
      <c r="AH3" s="13"/>
      <c r="AI3" s="14"/>
      <c r="AJ3" s="14"/>
      <c r="AK3" s="15"/>
    </row>
    <row r="5" ht="19.5" customHeight="1" spans="1:37">
      <c r="B5" s="29" t="s">
        <v>28</v>
      </c>
    </row>
    <row r="6" ht="19.5" customHeight="1" spans="1:37">
      <c r="C6" s="45" t="s">
        <v>29</v>
      </c>
    </row>
    <row r="7" ht="19.5" customHeight="1" spans="1:37">
      <c r="C7" s="45" t="s">
        <v>30</v>
      </c>
    </row>
    <row r="8" ht="19.5" customHeight="1" spans="1:37">
      <c r="C8" s="45" t="s">
        <v>31</v>
      </c>
    </row>
    <row r="9" ht="19.5" customHeight="1" spans="1:37">
      <c r="C9" s="45" t="s">
        <v>32</v>
      </c>
    </row>
    <row r="10" ht="19.5" customHeight="1" spans="1:37">
      <c r="C10" s="45" t="s">
        <v>33</v>
      </c>
    </row>
    <row r="11" ht="19.5" customHeight="1" spans="1:37">
      <c r="C11" s="45" t="s">
        <v>34</v>
      </c>
    </row>
    <row r="12" ht="19.5" customHeight="1" spans="1:37">
      <c r="C12" s="45" t="s">
        <v>35</v>
      </c>
    </row>
    <row r="14" ht="19.5" customHeight="1" spans="1:37">
      <c r="B14" s="29" t="s">
        <v>36</v>
      </c>
    </row>
    <row r="15" ht="19.5" customHeight="1" spans="1:37">
      <c r="C15" s="46" t="s">
        <v>37</v>
      </c>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row>
    <row r="17" ht="19.5" customHeight="1" spans="2:33">
      <c r="B17" s="29" t="s">
        <v>38</v>
      </c>
    </row>
    <row r="19" ht="22.5" customHeight="1" spans="2:33">
      <c r="C19" s="48" t="s">
        <v>39</v>
      </c>
      <c r="D19" s="26" t="s">
        <v>40</v>
      </c>
      <c r="E19" s="2"/>
      <c r="F19" s="2"/>
      <c r="G19" s="2"/>
      <c r="H19" s="2"/>
      <c r="I19" s="2"/>
      <c r="J19" s="2"/>
      <c r="K19" s="2"/>
      <c r="L19" s="2"/>
      <c r="M19" s="2"/>
      <c r="N19" s="3"/>
      <c r="O19" s="26" t="s">
        <v>41</v>
      </c>
      <c r="P19" s="2"/>
      <c r="Q19" s="2"/>
      <c r="R19" s="2"/>
      <c r="S19" s="2"/>
      <c r="T19" s="2"/>
      <c r="U19" s="2"/>
      <c r="V19" s="2"/>
      <c r="W19" s="2"/>
      <c r="X19" s="2"/>
      <c r="Y19" s="2"/>
      <c r="Z19" s="2"/>
      <c r="AA19" s="2"/>
      <c r="AB19" s="2"/>
      <c r="AC19" s="2"/>
      <c r="AD19" s="2"/>
      <c r="AE19" s="2"/>
      <c r="AF19" s="2"/>
      <c r="AG19" s="3"/>
    </row>
    <row r="20" ht="22.5" customHeight="1" spans="2:33">
      <c r="C20" s="42">
        <v>1</v>
      </c>
      <c r="D20" s="4" t="s">
        <v>42</v>
      </c>
      <c r="E20" s="2"/>
      <c r="F20" s="2"/>
      <c r="G20" s="2"/>
      <c r="H20" s="2"/>
      <c r="I20" s="2"/>
      <c r="J20" s="2"/>
      <c r="K20" s="2"/>
      <c r="L20" s="2"/>
      <c r="M20" s="2"/>
      <c r="N20" s="3"/>
      <c r="O20" s="4" t="s">
        <v>43</v>
      </c>
      <c r="P20" s="2"/>
      <c r="Q20" s="2"/>
      <c r="R20" s="2"/>
      <c r="S20" s="2"/>
      <c r="T20" s="2"/>
      <c r="U20" s="2"/>
      <c r="V20" s="2"/>
      <c r="W20" s="2"/>
      <c r="X20" s="2"/>
      <c r="Y20" s="2"/>
      <c r="Z20" s="2"/>
      <c r="AA20" s="2"/>
      <c r="AB20" s="2"/>
      <c r="AC20" s="2"/>
      <c r="AD20" s="2"/>
      <c r="AE20" s="2"/>
      <c r="AF20" s="2"/>
      <c r="AG20" s="3"/>
    </row>
    <row r="21" ht="22.5" customHeight="1" spans="2:33">
      <c r="C21" s="42">
        <v>2</v>
      </c>
      <c r="D21" s="4" t="s">
        <v>44</v>
      </c>
      <c r="E21" s="2"/>
      <c r="F21" s="2"/>
      <c r="G21" s="2"/>
      <c r="H21" s="2"/>
      <c r="I21" s="2"/>
      <c r="J21" s="2"/>
      <c r="K21" s="2"/>
      <c r="L21" s="2"/>
      <c r="M21" s="2"/>
      <c r="N21" s="3"/>
      <c r="O21" s="4" t="s">
        <v>45</v>
      </c>
      <c r="P21" s="2"/>
      <c r="Q21" s="2"/>
      <c r="R21" s="2"/>
      <c r="S21" s="2"/>
      <c r="T21" s="2"/>
      <c r="U21" s="2"/>
      <c r="V21" s="2"/>
      <c r="W21" s="2"/>
      <c r="X21" s="2"/>
      <c r="Y21" s="2"/>
      <c r="Z21" s="2"/>
      <c r="AA21" s="2"/>
      <c r="AB21" s="2"/>
      <c r="AC21" s="2"/>
      <c r="AD21" s="2"/>
      <c r="AE21" s="2"/>
      <c r="AF21" s="2"/>
      <c r="AG21" s="3"/>
    </row>
    <row r="22" ht="22.5" customHeight="1" spans="2:33">
      <c r="C22" s="42">
        <v>3</v>
      </c>
      <c r="D22" s="4" t="s">
        <v>46</v>
      </c>
      <c r="E22" s="2"/>
      <c r="F22" s="2"/>
      <c r="G22" s="2"/>
      <c r="H22" s="2"/>
      <c r="I22" s="2"/>
      <c r="J22" s="2"/>
      <c r="K22" s="2"/>
      <c r="L22" s="2"/>
      <c r="M22" s="2"/>
      <c r="N22" s="3"/>
      <c r="O22" s="4" t="s">
        <v>47</v>
      </c>
      <c r="P22" s="2"/>
      <c r="Q22" s="2"/>
      <c r="R22" s="2"/>
      <c r="S22" s="2"/>
      <c r="T22" s="2"/>
      <c r="U22" s="2"/>
      <c r="V22" s="2"/>
      <c r="W22" s="2"/>
      <c r="X22" s="2"/>
      <c r="Y22" s="2"/>
      <c r="Z22" s="2"/>
      <c r="AA22" s="2"/>
      <c r="AB22" s="2"/>
      <c r="AC22" s="2"/>
      <c r="AD22" s="2"/>
      <c r="AE22" s="2"/>
      <c r="AF22" s="2"/>
      <c r="AG22" s="3"/>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
    <mergeCell ref="A1:I1"/>
    <mergeCell ref="J1:P1"/>
    <mergeCell ref="Q1:U1"/>
    <mergeCell ref="V1:Y1"/>
    <mergeCell ref="Z1:AC1"/>
    <mergeCell ref="AD1:AG1"/>
    <mergeCell ref="AH1:AK1"/>
    <mergeCell ref="B5:AK5"/>
    <mergeCell ref="C6:AK6"/>
    <mergeCell ref="C7:AK7"/>
    <mergeCell ref="C8:AK8"/>
    <mergeCell ref="C9:AK9"/>
    <mergeCell ref="C10:AK10"/>
    <mergeCell ref="C11:AK11"/>
    <mergeCell ref="C12:AK12"/>
    <mergeCell ref="B14:AK14"/>
    <mergeCell ref="C15:AK15"/>
    <mergeCell ref="B17:AK17"/>
    <mergeCell ref="D19:N19"/>
    <mergeCell ref="O19:AG19"/>
    <mergeCell ref="D20:N20"/>
    <mergeCell ref="O20:AG20"/>
    <mergeCell ref="D21:N21"/>
    <mergeCell ref="O21:AG21"/>
    <mergeCell ref="D22:N22"/>
    <mergeCell ref="O22:AG22"/>
    <mergeCell ref="A2:I3"/>
    <mergeCell ref="J2:P3"/>
    <mergeCell ref="Q2:U3"/>
    <mergeCell ref="V2:Y3"/>
    <mergeCell ref="Z2:AC3"/>
    <mergeCell ref="AD2:AG3"/>
    <mergeCell ref="AH2:AK3"/>
  </mergeCells>
  <pageMargins left="0.75" right="0.75" top="1" bottom="1"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000"/>
  <sheetViews>
    <sheetView showGridLines="0" workbookViewId="0">
      <selection activeCell="A1" sqref="A1:AH1"/>
    </sheetView>
  </sheetViews>
  <sheetFormatPr defaultColWidth="14.4285714285714" defaultRowHeight="15" customHeight="1"/>
  <cols>
    <col min="1" max="1" width="13" customWidth="1"/>
    <col min="2" max="34" width="5" customWidth="1"/>
  </cols>
  <sheetData>
    <row r="1" ht="28.5" customHeight="1" spans="1:34">
      <c r="A1" s="38" t="s">
        <v>48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3"/>
    </row>
    <row r="3" ht="22.5" customHeight="1" spans="1:34">
      <c r="A3" s="16" t="s">
        <v>49</v>
      </c>
      <c r="B3" s="2"/>
      <c r="C3" s="2"/>
      <c r="D3" s="2"/>
      <c r="E3" s="2"/>
      <c r="F3" s="3"/>
      <c r="G3" s="4" t="s">
        <v>0</v>
      </c>
      <c r="H3" s="2"/>
      <c r="I3" s="2"/>
      <c r="J3" s="2"/>
      <c r="K3" s="2"/>
      <c r="L3" s="2"/>
      <c r="M3" s="2"/>
      <c r="N3" s="2"/>
      <c r="O3" s="3"/>
      <c r="P3" s="16" t="s">
        <v>50</v>
      </c>
      <c r="Q3" s="2"/>
      <c r="R3" s="2"/>
      <c r="S3" s="2"/>
      <c r="T3" s="2"/>
      <c r="U3" s="2"/>
      <c r="V3" s="2"/>
      <c r="W3" s="3"/>
      <c r="X3" s="4" t="s">
        <v>18</v>
      </c>
      <c r="Y3" s="2"/>
      <c r="Z3" s="2"/>
      <c r="AA3" s="2"/>
      <c r="AB3" s="2"/>
      <c r="AC3" s="2"/>
      <c r="AD3" s="2"/>
      <c r="AE3" s="2"/>
      <c r="AF3" s="2"/>
      <c r="AG3" s="2"/>
      <c r="AH3" s="3"/>
    </row>
    <row r="4" ht="22.5" customHeight="1" spans="1:34">
      <c r="A4" s="16" t="s">
        <v>11</v>
      </c>
      <c r="B4" s="2"/>
      <c r="C4" s="2"/>
      <c r="D4" s="2"/>
      <c r="E4" s="2"/>
      <c r="F4" s="3"/>
      <c r="G4" s="4" t="s">
        <v>16</v>
      </c>
      <c r="H4" s="2"/>
      <c r="I4" s="2"/>
      <c r="J4" s="2"/>
      <c r="K4" s="2"/>
      <c r="L4" s="2"/>
      <c r="M4" s="2"/>
      <c r="N4" s="2"/>
      <c r="O4" s="3"/>
      <c r="P4" s="16" t="s">
        <v>22</v>
      </c>
      <c r="Q4" s="2"/>
      <c r="R4" s="2"/>
      <c r="S4" s="2"/>
      <c r="T4" s="2"/>
      <c r="U4" s="2"/>
      <c r="V4" s="2"/>
      <c r="W4" s="3"/>
      <c r="X4" s="5" t="s">
        <v>8</v>
      </c>
      <c r="Y4" s="2"/>
      <c r="Z4" s="2"/>
      <c r="AA4" s="2"/>
      <c r="AB4" s="2"/>
      <c r="AC4" s="2"/>
      <c r="AD4" s="2"/>
      <c r="AE4" s="2"/>
      <c r="AF4" s="2"/>
      <c r="AG4" s="2"/>
      <c r="AH4" s="3"/>
    </row>
    <row r="6" ht="22.5" customHeight="1" spans="1:34">
      <c r="A6" s="39" t="s">
        <v>51</v>
      </c>
      <c r="B6" s="40" t="s">
        <v>52</v>
      </c>
      <c r="C6" s="10"/>
      <c r="D6" s="10"/>
      <c r="E6" s="10"/>
      <c r="F6" s="10"/>
      <c r="G6" s="11"/>
      <c r="H6" s="35" t="s">
        <v>53</v>
      </c>
      <c r="I6" s="2"/>
      <c r="J6" s="2"/>
      <c r="K6" s="2"/>
      <c r="L6" s="2"/>
      <c r="M6" s="2"/>
      <c r="N6" s="2"/>
      <c r="O6" s="2"/>
      <c r="P6" s="3"/>
      <c r="Q6" s="40" t="s">
        <v>54</v>
      </c>
      <c r="R6" s="10"/>
      <c r="S6" s="11"/>
      <c r="T6" s="35" t="s">
        <v>55</v>
      </c>
      <c r="U6" s="2"/>
      <c r="V6" s="2"/>
      <c r="W6" s="2"/>
      <c r="X6" s="2"/>
      <c r="Y6" s="2"/>
      <c r="Z6" s="2"/>
      <c r="AA6" s="2"/>
      <c r="AB6" s="2"/>
      <c r="AC6" s="2"/>
      <c r="AD6" s="2"/>
      <c r="AE6" s="2"/>
      <c r="AF6" s="2"/>
      <c r="AG6" s="2"/>
      <c r="AH6" s="3"/>
    </row>
    <row r="7" ht="22.5" customHeight="1" spans="1:34">
      <c r="A7" s="12"/>
      <c r="B7" s="13"/>
      <c r="C7" s="14"/>
      <c r="D7" s="14"/>
      <c r="E7" s="14"/>
      <c r="F7" s="14"/>
      <c r="G7" s="15"/>
      <c r="H7" s="35" t="s">
        <v>56</v>
      </c>
      <c r="I7" s="2"/>
      <c r="J7" s="3"/>
      <c r="K7" s="35" t="s">
        <v>57</v>
      </c>
      <c r="L7" s="2"/>
      <c r="M7" s="3"/>
      <c r="N7" s="35" t="s">
        <v>58</v>
      </c>
      <c r="O7" s="2"/>
      <c r="P7" s="3"/>
      <c r="Q7" s="13"/>
      <c r="R7" s="14"/>
      <c r="S7" s="15"/>
      <c r="T7" s="35" t="s">
        <v>59</v>
      </c>
      <c r="U7" s="2"/>
      <c r="V7" s="3"/>
      <c r="W7" s="35" t="s">
        <v>60</v>
      </c>
      <c r="X7" s="2"/>
      <c r="Y7" s="3"/>
      <c r="Z7" s="35" t="s">
        <v>61</v>
      </c>
      <c r="AA7" s="2"/>
      <c r="AB7" s="3"/>
      <c r="AC7" s="35" t="s">
        <v>62</v>
      </c>
      <c r="AD7" s="2"/>
      <c r="AE7" s="3"/>
      <c r="AF7" s="35" t="s">
        <v>63</v>
      </c>
      <c r="AG7" s="2"/>
      <c r="AH7" s="3"/>
    </row>
    <row r="8" ht="22.5" customHeight="1" spans="1:34">
      <c r="A8" s="41" t="s">
        <v>64</v>
      </c>
    </row>
    <row r="9" ht="22.5" customHeight="1" spans="1:34">
      <c r="A9" s="42">
        <v>1</v>
      </c>
      <c r="B9" s="4" t="s">
        <v>65</v>
      </c>
      <c r="C9" s="2"/>
      <c r="D9" s="2"/>
      <c r="E9" s="2"/>
      <c r="F9" s="2"/>
      <c r="G9" s="3"/>
      <c r="H9" s="6">
        <f ca="1" t="array" ref="H9">INDIRECT("'"&amp;$B9&amp;"'!H7",TRUE)</f>
        <v>29</v>
      </c>
      <c r="I9" s="2"/>
      <c r="J9" s="3"/>
      <c r="K9" s="6">
        <f ca="1" t="array" ref="K9">INDIRECT("'"&amp;$B9&amp;"'!K7",TRUE)</f>
        <v>14</v>
      </c>
      <c r="L9" s="2"/>
      <c r="M9" s="3"/>
      <c r="N9" s="6">
        <f ca="1" t="array" ref="N9">INDIRECT("'"&amp;$B9&amp;"'!N7",TRUE)</f>
        <v>8</v>
      </c>
      <c r="O9" s="2"/>
      <c r="P9" s="3"/>
      <c r="Q9" s="6">
        <f ca="1" t="array" ref="Q9">INDIRECT("'"&amp;$B9&amp;"'!Q7",TRUE)</f>
        <v>51</v>
      </c>
      <c r="R9" s="2"/>
      <c r="S9" s="3"/>
      <c r="T9" s="6">
        <f ca="1" t="array" ref="T9">INDIRECT("'"&amp;$B9&amp;"'!T7",TRUE)</f>
        <v>48</v>
      </c>
      <c r="U9" s="2"/>
      <c r="V9" s="3"/>
      <c r="W9" s="6">
        <f ca="1" t="array" ref="W9">INDIRECT("'"&amp;$B9&amp;"'!W7",TRUE)</f>
        <v>0</v>
      </c>
      <c r="X9" s="2"/>
      <c r="Y9" s="3"/>
      <c r="Z9" s="6">
        <f ca="1" t="array" ref="Z9">INDIRECT("'"&amp;$B9&amp;"'!Z7",TRUE)</f>
        <v>2</v>
      </c>
      <c r="AA9" s="2"/>
      <c r="AB9" s="3"/>
      <c r="AC9" s="6">
        <f ca="1" t="array" ref="AC9">INDIRECT("'"&amp;$B9&amp;"'!AC7",TRUE)</f>
        <v>1</v>
      </c>
      <c r="AD9" s="2"/>
      <c r="AE9" s="3"/>
      <c r="AF9" s="43">
        <f ca="1">IFERROR((T9+W9+AC9)/Q9,0)</f>
        <v>0.96078431372549</v>
      </c>
      <c r="AG9" s="2"/>
      <c r="AH9" s="3"/>
    </row>
    <row r="10" ht="22.5" customHeight="1" spans="1:34">
      <c r="A10" s="42">
        <v>2</v>
      </c>
      <c r="B10" s="4"/>
      <c r="C10" s="2"/>
      <c r="D10" s="2"/>
      <c r="E10" s="2"/>
      <c r="F10" s="2"/>
      <c r="G10" s="3"/>
      <c r="H10" s="6"/>
      <c r="I10" s="2"/>
      <c r="J10" s="3"/>
      <c r="K10" s="6"/>
      <c r="L10" s="2"/>
      <c r="M10" s="3"/>
      <c r="N10" s="6"/>
      <c r="O10" s="2"/>
      <c r="P10" s="3"/>
      <c r="Q10" s="6"/>
      <c r="R10" s="2"/>
      <c r="S10" s="3"/>
      <c r="T10" s="6"/>
      <c r="U10" s="2"/>
      <c r="V10" s="3"/>
      <c r="W10" s="6"/>
      <c r="X10" s="2"/>
      <c r="Y10" s="3"/>
      <c r="Z10" s="6"/>
      <c r="AA10" s="2"/>
      <c r="AB10" s="3"/>
      <c r="AC10" s="6"/>
      <c r="AD10" s="2"/>
      <c r="AE10" s="3"/>
      <c r="AF10" s="43"/>
      <c r="AG10" s="2"/>
      <c r="AH10" s="3"/>
    </row>
    <row r="11" ht="22.5" customHeight="1" spans="1:34">
      <c r="A11" s="42"/>
      <c r="B11" s="35" t="s">
        <v>54</v>
      </c>
      <c r="C11" s="2"/>
      <c r="D11" s="2"/>
      <c r="E11" s="2"/>
      <c r="F11" s="2"/>
      <c r="G11" s="3"/>
      <c r="H11" s="7">
        <f ca="1">SUM(H9:J10)</f>
        <v>29</v>
      </c>
      <c r="I11" s="2"/>
      <c r="J11" s="3"/>
      <c r="K11" s="7">
        <f ca="1">SUM(K9:M10)</f>
        <v>14</v>
      </c>
      <c r="L11" s="2"/>
      <c r="M11" s="3"/>
      <c r="N11" s="7">
        <f ca="1">SUM(N9:P10)</f>
        <v>8</v>
      </c>
      <c r="O11" s="2"/>
      <c r="P11" s="3"/>
      <c r="Q11" s="7">
        <f ca="1">SUM(Q9:S10)</f>
        <v>51</v>
      </c>
      <c r="R11" s="2"/>
      <c r="S11" s="3"/>
      <c r="T11" s="7">
        <f ca="1">SUM(T9:V10)</f>
        <v>48</v>
      </c>
      <c r="U11" s="2"/>
      <c r="V11" s="3"/>
      <c r="W11" s="7">
        <f ca="1">SUM(W9:Y10)</f>
        <v>0</v>
      </c>
      <c r="X11" s="2"/>
      <c r="Y11" s="3"/>
      <c r="Z11" s="7">
        <f ca="1">SUM(Z9:AB10)</f>
        <v>2</v>
      </c>
      <c r="AA11" s="2"/>
      <c r="AB11" s="3"/>
      <c r="AC11" s="7">
        <f ca="1">SUM(AC9:AE10)</f>
        <v>1</v>
      </c>
      <c r="AD11" s="2"/>
      <c r="AE11" s="3"/>
      <c r="AF11" s="44">
        <f ca="1">IFERROR((T11+W11+AC11)/Q11,0)</f>
        <v>0.96078431372549</v>
      </c>
      <c r="AG11" s="2"/>
      <c r="AH11" s="3"/>
    </row>
    <row r="12" ht="22.5" customHeight="1" spans="1:34">
      <c r="A12" s="41" t="s">
        <v>66</v>
      </c>
    </row>
    <row r="13" ht="22.5" customHeight="1" spans="1:34">
      <c r="A13" s="42">
        <v>1</v>
      </c>
      <c r="B13" s="4" t="s">
        <v>65</v>
      </c>
      <c r="C13" s="2"/>
      <c r="D13" s="2"/>
      <c r="E13" s="2"/>
      <c r="F13" s="2"/>
      <c r="G13" s="3"/>
      <c r="H13" s="6">
        <f ca="1" t="array" ref="H13">INDIRECT("'"&amp;$B13&amp;"'!H8",TRUE)</f>
        <v>29</v>
      </c>
      <c r="I13" s="2"/>
      <c r="J13" s="3"/>
      <c r="K13" s="6">
        <f ca="1" t="array" ref="K13">INDIRECT("'"&amp;$B13&amp;"'!K8",TRUE)</f>
        <v>14</v>
      </c>
      <c r="L13" s="2"/>
      <c r="M13" s="3"/>
      <c r="N13" s="6">
        <f ca="1" t="array" ref="N13">INDIRECT("'"&amp;$B13&amp;"'!N8",TRUE)</f>
        <v>8</v>
      </c>
      <c r="O13" s="2"/>
      <c r="P13" s="3"/>
      <c r="Q13" s="6">
        <f ca="1" t="array" ref="Q13">INDIRECT("'"&amp;$B13&amp;"'!Q8",TRUE)</f>
        <v>51</v>
      </c>
      <c r="R13" s="2"/>
      <c r="S13" s="3"/>
      <c r="T13" s="6">
        <f ca="1" t="array" ref="T13">INDIRECT("'"&amp;$B13&amp;"'!T8",TRUE)</f>
        <v>50</v>
      </c>
      <c r="U13" s="2"/>
      <c r="V13" s="3"/>
      <c r="W13" s="6">
        <f ca="1" t="array" ref="W13">INDIRECT("'"&amp;$B13&amp;"'!W8",TRUE)</f>
        <v>0</v>
      </c>
      <c r="X13" s="2"/>
      <c r="Y13" s="3"/>
      <c r="Z13" s="6">
        <f ca="1" t="array" ref="Z13">INDIRECT("'"&amp;$B13&amp;"'!Z8",TRUE)</f>
        <v>0</v>
      </c>
      <c r="AA13" s="2"/>
      <c r="AB13" s="3"/>
      <c r="AC13" s="6">
        <f ca="1" t="array" ref="AC13">INDIRECT("'"&amp;$B13&amp;"'!AC8",TRUE)</f>
        <v>1</v>
      </c>
      <c r="AD13" s="2"/>
      <c r="AE13" s="3"/>
      <c r="AF13" s="43">
        <f ca="1">IFERROR((T13+W13+AC13)/Q13,0)</f>
        <v>1</v>
      </c>
      <c r="AG13" s="2"/>
      <c r="AH13" s="3"/>
    </row>
    <row r="14" ht="22.5" customHeight="1" spans="1:34">
      <c r="A14" s="42">
        <v>2</v>
      </c>
      <c r="B14" s="4"/>
      <c r="C14" s="2"/>
      <c r="D14" s="2"/>
      <c r="E14" s="2"/>
      <c r="F14" s="2"/>
      <c r="G14" s="3"/>
      <c r="H14" s="6"/>
      <c r="I14" s="2"/>
      <c r="J14" s="3"/>
      <c r="K14" s="6"/>
      <c r="L14" s="2"/>
      <c r="M14" s="3"/>
      <c r="N14" s="6"/>
      <c r="O14" s="2"/>
      <c r="P14" s="3"/>
      <c r="Q14" s="6"/>
      <c r="R14" s="2"/>
      <c r="S14" s="3"/>
      <c r="T14" s="6"/>
      <c r="U14" s="2"/>
      <c r="V14" s="3"/>
      <c r="W14" s="6"/>
      <c r="X14" s="2"/>
      <c r="Y14" s="3"/>
      <c r="Z14" s="6"/>
      <c r="AA14" s="2"/>
      <c r="AB14" s="3"/>
      <c r="AC14" s="6"/>
      <c r="AD14" s="2"/>
      <c r="AE14" s="3"/>
      <c r="AF14" s="43"/>
      <c r="AG14" s="2"/>
      <c r="AH14" s="3"/>
    </row>
    <row r="15" ht="22.5" customHeight="1" spans="1:34">
      <c r="A15" s="42"/>
      <c r="B15" s="35" t="s">
        <v>54</v>
      </c>
      <c r="C15" s="2"/>
      <c r="D15" s="2"/>
      <c r="E15" s="2"/>
      <c r="F15" s="2"/>
      <c r="G15" s="3"/>
      <c r="H15" s="7">
        <f ca="1">SUM(H13:J14)</f>
        <v>29</v>
      </c>
      <c r="I15" s="2"/>
      <c r="J15" s="3"/>
      <c r="K15" s="7">
        <f ca="1">SUM(K13:M14)</f>
        <v>14</v>
      </c>
      <c r="L15" s="2"/>
      <c r="M15" s="3"/>
      <c r="N15" s="7">
        <f ca="1">SUM(N13:P14)</f>
        <v>8</v>
      </c>
      <c r="O15" s="2"/>
      <c r="P15" s="3"/>
      <c r="Q15" s="7">
        <f ca="1">SUM(Q13:S14)</f>
        <v>51</v>
      </c>
      <c r="R15" s="2"/>
      <c r="S15" s="3"/>
      <c r="T15" s="7">
        <f ca="1">SUM(T13:V14)</f>
        <v>50</v>
      </c>
      <c r="U15" s="2"/>
      <c r="V15" s="3"/>
      <c r="W15" s="7">
        <f ca="1">SUM(W13:Y14)</f>
        <v>0</v>
      </c>
      <c r="X15" s="2"/>
      <c r="Y15" s="3"/>
      <c r="Z15" s="7">
        <f ca="1">SUM(Z13:AB14)</f>
        <v>0</v>
      </c>
      <c r="AA15" s="2"/>
      <c r="AB15" s="3"/>
      <c r="AC15" s="7">
        <f ca="1">SUM(AC13:AE14)</f>
        <v>1</v>
      </c>
      <c r="AD15" s="2"/>
      <c r="AE15" s="3"/>
      <c r="AF15" s="44">
        <f ca="1">IFERROR((T15+W15+AC15)/Q15,0)</f>
        <v>1</v>
      </c>
      <c r="AG15" s="2"/>
      <c r="AH15"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A1:AH1"/>
    <mergeCell ref="A3:F3"/>
    <mergeCell ref="G3:O3"/>
    <mergeCell ref="P3:W3"/>
    <mergeCell ref="X3:AH3"/>
    <mergeCell ref="A4:F4"/>
    <mergeCell ref="G4:O4"/>
    <mergeCell ref="P4:W4"/>
    <mergeCell ref="X4:AH4"/>
    <mergeCell ref="H6:P6"/>
    <mergeCell ref="T6:AH6"/>
    <mergeCell ref="H7:J7"/>
    <mergeCell ref="K7:M7"/>
    <mergeCell ref="N7:P7"/>
    <mergeCell ref="T7:V7"/>
    <mergeCell ref="W7:Y7"/>
    <mergeCell ref="Z7:AB7"/>
    <mergeCell ref="AC7:AE7"/>
    <mergeCell ref="AF7:AH7"/>
    <mergeCell ref="B9:G9"/>
    <mergeCell ref="H9:J9"/>
    <mergeCell ref="K9:M9"/>
    <mergeCell ref="N9:P9"/>
    <mergeCell ref="Q9:S9"/>
    <mergeCell ref="T9:V9"/>
    <mergeCell ref="W9:Y9"/>
    <mergeCell ref="Z9:AB9"/>
    <mergeCell ref="AC9:AE9"/>
    <mergeCell ref="AF9:AH9"/>
    <mergeCell ref="B10:G10"/>
    <mergeCell ref="H10:J10"/>
    <mergeCell ref="K10:M10"/>
    <mergeCell ref="N10:P10"/>
    <mergeCell ref="Q10:S10"/>
    <mergeCell ref="T10:V10"/>
    <mergeCell ref="W10:Y10"/>
    <mergeCell ref="Z10:AB10"/>
    <mergeCell ref="AC10:AE10"/>
    <mergeCell ref="AF10:AH10"/>
    <mergeCell ref="B11:G11"/>
    <mergeCell ref="H11:J11"/>
    <mergeCell ref="K11:M11"/>
    <mergeCell ref="N11:P11"/>
    <mergeCell ref="Q11:S11"/>
    <mergeCell ref="T11:V11"/>
    <mergeCell ref="W11:Y11"/>
    <mergeCell ref="Z11:AB11"/>
    <mergeCell ref="AC11:AE11"/>
    <mergeCell ref="AF11:AH11"/>
    <mergeCell ref="B13:G13"/>
    <mergeCell ref="H13:J13"/>
    <mergeCell ref="K13:M13"/>
    <mergeCell ref="N13:P13"/>
    <mergeCell ref="Q13:S13"/>
    <mergeCell ref="T13:V13"/>
    <mergeCell ref="W13:Y13"/>
    <mergeCell ref="Z13:AB13"/>
    <mergeCell ref="AC13:AE13"/>
    <mergeCell ref="AF13:AH13"/>
    <mergeCell ref="B14:G14"/>
    <mergeCell ref="H14:J14"/>
    <mergeCell ref="K14:M14"/>
    <mergeCell ref="N14:P14"/>
    <mergeCell ref="Q14:S14"/>
    <mergeCell ref="T14:V14"/>
    <mergeCell ref="W14:Y14"/>
    <mergeCell ref="Z14:AB14"/>
    <mergeCell ref="AC14:AE14"/>
    <mergeCell ref="AF14:AH14"/>
    <mergeCell ref="B15:G15"/>
    <mergeCell ref="H15:J15"/>
    <mergeCell ref="K15:M15"/>
    <mergeCell ref="N15:P15"/>
    <mergeCell ref="Q15:S15"/>
    <mergeCell ref="T15:V15"/>
    <mergeCell ref="W15:Y15"/>
    <mergeCell ref="Z15:AB15"/>
    <mergeCell ref="AC15:AE15"/>
    <mergeCell ref="AF15:AH15"/>
    <mergeCell ref="A6:A7"/>
    <mergeCell ref="B6:G7"/>
    <mergeCell ref="Q6:S7"/>
  </mergeCells>
  <pageMargins left="0.75" right="0.75" top="1" bottom="1" header="0" footer="0"/>
  <pageSetup paperSize="1"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00"/>
  <sheetViews>
    <sheetView showGridLines="0" workbookViewId="0">
      <selection activeCell="A1" sqref="A1:I1"/>
    </sheetView>
  </sheetViews>
  <sheetFormatPr defaultColWidth="14.4285714285714" defaultRowHeight="15" customHeight="1"/>
  <cols>
    <col min="1" max="37" width="4.28571428571429" customWidth="1"/>
  </cols>
  <sheetData>
    <row r="1" ht="19.5" customHeight="1" spans="1:37">
      <c r="A1" s="26" t="s">
        <v>19</v>
      </c>
      <c r="B1" s="2"/>
      <c r="C1" s="2"/>
      <c r="D1" s="2"/>
      <c r="E1" s="2"/>
      <c r="F1" s="2"/>
      <c r="G1" s="2"/>
      <c r="H1" s="2"/>
      <c r="I1" s="3"/>
      <c r="J1" s="26" t="s">
        <v>20</v>
      </c>
      <c r="K1" s="2"/>
      <c r="L1" s="2"/>
      <c r="M1" s="2"/>
      <c r="N1" s="2"/>
      <c r="O1" s="2"/>
      <c r="P1" s="3"/>
      <c r="Q1" s="26" t="s">
        <v>21</v>
      </c>
      <c r="R1" s="2"/>
      <c r="S1" s="2"/>
      <c r="T1" s="2"/>
      <c r="U1" s="3"/>
      <c r="V1" s="26" t="s">
        <v>22</v>
      </c>
      <c r="W1" s="2"/>
      <c r="X1" s="2"/>
      <c r="Y1" s="3"/>
      <c r="Z1" s="26" t="s">
        <v>23</v>
      </c>
      <c r="AA1" s="2"/>
      <c r="AB1" s="2"/>
      <c r="AC1" s="3"/>
      <c r="AD1" s="26" t="s">
        <v>24</v>
      </c>
      <c r="AE1" s="2"/>
      <c r="AF1" s="2"/>
      <c r="AG1" s="3"/>
      <c r="AH1" s="26" t="s">
        <v>25</v>
      </c>
      <c r="AI1" s="2"/>
      <c r="AJ1" s="2"/>
      <c r="AK1" s="3"/>
    </row>
    <row r="2" ht="19.5" customHeight="1" spans="1:37">
      <c r="A2" s="27" t="s">
        <v>0</v>
      </c>
      <c r="B2" s="10"/>
      <c r="C2" s="10"/>
      <c r="D2" s="10"/>
      <c r="E2" s="10"/>
      <c r="F2" s="10"/>
      <c r="G2" s="10"/>
      <c r="H2" s="10"/>
      <c r="I2" s="11"/>
      <c r="J2" s="27" t="s">
        <v>26</v>
      </c>
      <c r="K2" s="10"/>
      <c r="L2" s="10"/>
      <c r="M2" s="10"/>
      <c r="N2" s="10"/>
      <c r="O2" s="10"/>
      <c r="P2" s="11"/>
      <c r="Q2" s="27" t="s">
        <v>67</v>
      </c>
      <c r="R2" s="10"/>
      <c r="S2" s="10"/>
      <c r="T2" s="10"/>
      <c r="U2" s="11"/>
      <c r="V2" s="28" t="s">
        <v>8</v>
      </c>
      <c r="W2" s="10"/>
      <c r="X2" s="10"/>
      <c r="Y2" s="11"/>
      <c r="Z2" s="27" t="s">
        <v>16</v>
      </c>
      <c r="AA2" s="10"/>
      <c r="AB2" s="10"/>
      <c r="AC2" s="11"/>
      <c r="AD2" s="28" t="s">
        <v>8</v>
      </c>
      <c r="AE2" s="10"/>
      <c r="AF2" s="10"/>
      <c r="AG2" s="11"/>
      <c r="AH2" s="27" t="s">
        <v>16</v>
      </c>
      <c r="AI2" s="10"/>
      <c r="AJ2" s="10"/>
      <c r="AK2" s="11"/>
    </row>
    <row r="3" ht="19.5" customHeight="1" spans="1:37">
      <c r="A3" s="13"/>
      <c r="B3" s="14"/>
      <c r="C3" s="14"/>
      <c r="D3" s="14"/>
      <c r="E3" s="14"/>
      <c r="F3" s="14"/>
      <c r="G3" s="14"/>
      <c r="H3" s="14"/>
      <c r="I3" s="15"/>
      <c r="J3" s="13"/>
      <c r="K3" s="14"/>
      <c r="L3" s="14"/>
      <c r="M3" s="14"/>
      <c r="N3" s="14"/>
      <c r="O3" s="14"/>
      <c r="P3" s="15"/>
      <c r="Q3" s="13"/>
      <c r="R3" s="14"/>
      <c r="S3" s="14"/>
      <c r="T3" s="14"/>
      <c r="U3" s="15"/>
      <c r="V3" s="13"/>
      <c r="W3" s="14"/>
      <c r="X3" s="14"/>
      <c r="Y3" s="15"/>
      <c r="Z3" s="13"/>
      <c r="AA3" s="14"/>
      <c r="AB3" s="14"/>
      <c r="AC3" s="15"/>
      <c r="AD3" s="13"/>
      <c r="AE3" s="14"/>
      <c r="AF3" s="14"/>
      <c r="AG3" s="15"/>
      <c r="AH3" s="13"/>
      <c r="AI3" s="14"/>
      <c r="AJ3" s="14"/>
      <c r="AK3" s="15"/>
    </row>
    <row r="5" ht="19.5" customHeight="1" spans="1:37">
      <c r="B5" s="29" t="s">
        <v>68</v>
      </c>
    </row>
    <row r="7" ht="28.5" customHeight="1" spans="1:37">
      <c r="B7" s="30" t="s">
        <v>51</v>
      </c>
      <c r="C7" s="1" t="s">
        <v>69</v>
      </c>
      <c r="D7" s="2"/>
      <c r="E7" s="3"/>
      <c r="F7" s="1" t="s">
        <v>70</v>
      </c>
      <c r="G7" s="2"/>
      <c r="H7" s="2"/>
      <c r="I7" s="2"/>
      <c r="J7" s="2"/>
      <c r="K7" s="2"/>
      <c r="L7" s="3"/>
      <c r="M7" s="1" t="s">
        <v>71</v>
      </c>
      <c r="N7" s="2"/>
      <c r="O7" s="2"/>
      <c r="P7" s="2"/>
      <c r="Q7" s="2"/>
      <c r="R7" s="2"/>
      <c r="S7" s="2"/>
      <c r="T7" s="3"/>
      <c r="U7" s="1" t="s">
        <v>72</v>
      </c>
      <c r="V7" s="3"/>
      <c r="W7" s="1" t="s">
        <v>73</v>
      </c>
      <c r="X7" s="2"/>
      <c r="Y7" s="2"/>
      <c r="Z7" s="2"/>
      <c r="AA7" s="2"/>
      <c r="AB7" s="2"/>
      <c r="AC7" s="3"/>
      <c r="AD7" s="1" t="s">
        <v>74</v>
      </c>
      <c r="AE7" s="2"/>
      <c r="AF7" s="3"/>
    </row>
    <row r="8" ht="30" customHeight="1" spans="1:37">
      <c r="B8" s="17">
        <v>1</v>
      </c>
      <c r="C8" s="19" t="s">
        <v>75</v>
      </c>
      <c r="D8" s="2"/>
      <c r="E8" s="3"/>
      <c r="F8" s="18" t="s">
        <v>76</v>
      </c>
      <c r="G8" s="2"/>
      <c r="H8" s="2"/>
      <c r="I8" s="2"/>
      <c r="J8" s="2"/>
      <c r="K8" s="2"/>
      <c r="L8" s="3"/>
      <c r="M8" s="18" t="s">
        <v>77</v>
      </c>
      <c r="N8" s="2"/>
      <c r="O8" s="2"/>
      <c r="P8" s="2"/>
      <c r="Q8" s="2"/>
      <c r="R8" s="2"/>
      <c r="S8" s="2"/>
      <c r="T8" s="3"/>
      <c r="U8" s="31" t="s">
        <v>78</v>
      </c>
      <c r="V8" s="3"/>
      <c r="W8" s="18" t="s">
        <v>79</v>
      </c>
      <c r="X8" s="2"/>
      <c r="Y8" s="2"/>
      <c r="Z8" s="2"/>
      <c r="AA8" s="2"/>
      <c r="AB8" s="2"/>
      <c r="AC8" s="3"/>
      <c r="AD8" s="19">
        <v>265</v>
      </c>
      <c r="AE8" s="2"/>
      <c r="AF8" s="3"/>
    </row>
    <row r="9" ht="30" customHeight="1" spans="1:37">
      <c r="B9" s="17">
        <v>2</v>
      </c>
      <c r="C9" s="19" t="s">
        <v>80</v>
      </c>
      <c r="D9" s="2"/>
      <c r="E9" s="3"/>
      <c r="F9" s="18" t="s">
        <v>76</v>
      </c>
      <c r="G9" s="2"/>
      <c r="H9" s="2"/>
      <c r="I9" s="2"/>
      <c r="J9" s="2"/>
      <c r="K9" s="2"/>
      <c r="L9" s="3"/>
      <c r="M9" s="18" t="s">
        <v>81</v>
      </c>
      <c r="N9" s="2"/>
      <c r="O9" s="2"/>
      <c r="P9" s="2"/>
      <c r="Q9" s="2"/>
      <c r="R9" s="2"/>
      <c r="S9" s="2"/>
      <c r="T9" s="3"/>
      <c r="U9" s="31" t="s">
        <v>78</v>
      </c>
      <c r="V9" s="3"/>
      <c r="W9" s="18" t="s">
        <v>82</v>
      </c>
      <c r="X9" s="2"/>
      <c r="Y9" s="2"/>
      <c r="Z9" s="2"/>
      <c r="AA9" s="2"/>
      <c r="AB9" s="2"/>
      <c r="AC9" s="3"/>
      <c r="AD9" s="19">
        <v>200</v>
      </c>
      <c r="AE9" s="2"/>
      <c r="AF9" s="3"/>
    </row>
    <row r="10" ht="36" customHeight="1" spans="1:37">
      <c r="B10" s="17">
        <v>3</v>
      </c>
      <c r="C10" s="19" t="s">
        <v>83</v>
      </c>
      <c r="D10" s="2"/>
      <c r="E10" s="3"/>
      <c r="F10" s="18" t="s">
        <v>76</v>
      </c>
      <c r="G10" s="2"/>
      <c r="H10" s="2"/>
      <c r="I10" s="2"/>
      <c r="J10" s="2"/>
      <c r="K10" s="2"/>
      <c r="L10" s="3"/>
      <c r="M10" s="18" t="s">
        <v>84</v>
      </c>
      <c r="N10" s="2"/>
      <c r="O10" s="2"/>
      <c r="P10" s="2"/>
      <c r="Q10" s="2"/>
      <c r="R10" s="2"/>
      <c r="S10" s="2"/>
      <c r="T10" s="3"/>
      <c r="U10" s="31" t="s">
        <v>78</v>
      </c>
      <c r="V10" s="3"/>
      <c r="W10" s="18" t="s">
        <v>85</v>
      </c>
      <c r="X10" s="2"/>
      <c r="Y10" s="2"/>
      <c r="Z10" s="2"/>
      <c r="AA10" s="2"/>
      <c r="AB10" s="2"/>
      <c r="AC10" s="3"/>
      <c r="AD10" s="19">
        <v>50</v>
      </c>
      <c r="AE10" s="2"/>
      <c r="AF10" s="3"/>
    </row>
    <row r="11" ht="30" customHeight="1" spans="1:37">
      <c r="B11" s="17">
        <v>4</v>
      </c>
      <c r="C11" s="19" t="s">
        <v>86</v>
      </c>
      <c r="D11" s="2"/>
      <c r="E11" s="3"/>
      <c r="F11" s="18" t="s">
        <v>76</v>
      </c>
      <c r="G11" s="2"/>
      <c r="H11" s="2"/>
      <c r="I11" s="2"/>
      <c r="J11" s="2"/>
      <c r="K11" s="2"/>
      <c r="L11" s="3"/>
      <c r="M11" s="18" t="s">
        <v>87</v>
      </c>
      <c r="N11" s="2"/>
      <c r="O11" s="2"/>
      <c r="P11" s="2"/>
      <c r="Q11" s="2"/>
      <c r="R11" s="2"/>
      <c r="S11" s="2"/>
      <c r="T11" s="3"/>
      <c r="U11" s="31" t="s">
        <v>78</v>
      </c>
      <c r="V11" s="3"/>
      <c r="W11" s="18" t="s">
        <v>79</v>
      </c>
      <c r="X11" s="2"/>
      <c r="Y11" s="2"/>
      <c r="Z11" s="2"/>
      <c r="AA11" s="2"/>
      <c r="AB11" s="2"/>
      <c r="AC11" s="3"/>
      <c r="AD11" s="19">
        <v>75</v>
      </c>
      <c r="AE11" s="2"/>
      <c r="AF11" s="3"/>
    </row>
    <row r="12" ht="30" customHeight="1" spans="1:37">
      <c r="B12" s="17">
        <v>5</v>
      </c>
      <c r="C12" s="19" t="s">
        <v>88</v>
      </c>
      <c r="D12" s="2"/>
      <c r="E12" s="3"/>
      <c r="F12" s="18" t="s">
        <v>76</v>
      </c>
      <c r="G12" s="2"/>
      <c r="H12" s="2"/>
      <c r="I12" s="2"/>
      <c r="J12" s="2"/>
      <c r="K12" s="2"/>
      <c r="L12" s="3"/>
      <c r="M12" s="18" t="s">
        <v>89</v>
      </c>
      <c r="N12" s="2"/>
      <c r="O12" s="2"/>
      <c r="P12" s="2"/>
      <c r="Q12" s="2"/>
      <c r="R12" s="2"/>
      <c r="S12" s="2"/>
      <c r="T12" s="3"/>
      <c r="U12" s="31" t="s">
        <v>78</v>
      </c>
      <c r="V12" s="3"/>
      <c r="W12" s="18" t="s">
        <v>90</v>
      </c>
      <c r="X12" s="2"/>
      <c r="Y12" s="2"/>
      <c r="Z12" s="2"/>
      <c r="AA12" s="2"/>
      <c r="AB12" s="2"/>
      <c r="AC12" s="3"/>
      <c r="AD12" s="19">
        <v>30</v>
      </c>
      <c r="AE12" s="2"/>
      <c r="AF12" s="3"/>
    </row>
    <row r="13" ht="30" customHeight="1" spans="1:37">
      <c r="B13" s="17">
        <v>6</v>
      </c>
      <c r="C13" s="19" t="s">
        <v>91</v>
      </c>
      <c r="D13" s="2"/>
      <c r="E13" s="3"/>
      <c r="F13" s="18" t="s">
        <v>76</v>
      </c>
      <c r="G13" s="2"/>
      <c r="H13" s="2"/>
      <c r="I13" s="2"/>
      <c r="J13" s="2"/>
      <c r="K13" s="2"/>
      <c r="L13" s="3"/>
      <c r="M13" s="18" t="s">
        <v>92</v>
      </c>
      <c r="N13" s="2"/>
      <c r="O13" s="2"/>
      <c r="P13" s="2"/>
      <c r="Q13" s="2"/>
      <c r="R13" s="2"/>
      <c r="S13" s="2"/>
      <c r="T13" s="3"/>
      <c r="U13" s="31" t="s">
        <v>78</v>
      </c>
      <c r="V13" s="3"/>
      <c r="W13" s="18" t="s">
        <v>93</v>
      </c>
      <c r="X13" s="2"/>
      <c r="Y13" s="2"/>
      <c r="Z13" s="2"/>
      <c r="AA13" s="2"/>
      <c r="AB13" s="2"/>
      <c r="AC13" s="3"/>
      <c r="AD13" s="19">
        <v>50</v>
      </c>
      <c r="AE13" s="2"/>
      <c r="AF13" s="3"/>
    </row>
    <row r="14" ht="30" customHeight="1" spans="1:37">
      <c r="B14" s="17">
        <v>7</v>
      </c>
      <c r="C14" s="19" t="s">
        <v>94</v>
      </c>
      <c r="D14" s="2"/>
      <c r="E14" s="3"/>
      <c r="F14" s="18" t="s">
        <v>76</v>
      </c>
      <c r="G14" s="2"/>
      <c r="H14" s="2"/>
      <c r="I14" s="2"/>
      <c r="J14" s="2"/>
      <c r="K14" s="2"/>
      <c r="L14" s="3"/>
      <c r="M14" s="18" t="s">
        <v>95</v>
      </c>
      <c r="N14" s="2"/>
      <c r="O14" s="2"/>
      <c r="P14" s="2"/>
      <c r="Q14" s="2"/>
      <c r="R14" s="2"/>
      <c r="S14" s="2"/>
      <c r="T14" s="3"/>
      <c r="U14" s="31" t="s">
        <v>78</v>
      </c>
      <c r="V14" s="3"/>
      <c r="W14" s="18" t="s">
        <v>90</v>
      </c>
      <c r="X14" s="2"/>
      <c r="Y14" s="2"/>
      <c r="Z14" s="2"/>
      <c r="AA14" s="2"/>
      <c r="AB14" s="2"/>
      <c r="AC14" s="3"/>
      <c r="AD14" s="19">
        <v>10</v>
      </c>
      <c r="AE14" s="2"/>
      <c r="AF14" s="3"/>
    </row>
    <row r="15" ht="30" customHeight="1" spans="1:37">
      <c r="B15" s="17">
        <v>8</v>
      </c>
      <c r="C15" s="19" t="s">
        <v>96</v>
      </c>
      <c r="D15" s="2"/>
      <c r="E15" s="3"/>
      <c r="F15" s="18" t="s">
        <v>76</v>
      </c>
      <c r="G15" s="2"/>
      <c r="H15" s="2"/>
      <c r="I15" s="2"/>
      <c r="J15" s="2"/>
      <c r="K15" s="2"/>
      <c r="L15" s="3"/>
      <c r="M15" s="18" t="s">
        <v>97</v>
      </c>
      <c r="N15" s="2"/>
      <c r="O15" s="2"/>
      <c r="P15" s="2"/>
      <c r="Q15" s="2"/>
      <c r="R15" s="2"/>
      <c r="S15" s="2"/>
      <c r="T15" s="3"/>
      <c r="U15" s="32" t="s">
        <v>98</v>
      </c>
      <c r="V15" s="3"/>
      <c r="W15" s="18" t="s">
        <v>99</v>
      </c>
      <c r="X15" s="2"/>
      <c r="Y15" s="2"/>
      <c r="Z15" s="2"/>
      <c r="AA15" s="2"/>
      <c r="AB15" s="2"/>
      <c r="AC15" s="3"/>
      <c r="AD15" s="19">
        <v>20</v>
      </c>
      <c r="AE15" s="2"/>
      <c r="AF15" s="3"/>
    </row>
    <row r="16" ht="30" customHeight="1" spans="1:37">
      <c r="B16" s="17">
        <v>9</v>
      </c>
      <c r="C16" s="19" t="s">
        <v>100</v>
      </c>
      <c r="D16" s="2"/>
      <c r="E16" s="3"/>
      <c r="F16" s="18" t="s">
        <v>76</v>
      </c>
      <c r="G16" s="2"/>
      <c r="H16" s="2"/>
      <c r="I16" s="2"/>
      <c r="J16" s="2"/>
      <c r="K16" s="2"/>
      <c r="L16" s="3"/>
      <c r="M16" s="18" t="s">
        <v>101</v>
      </c>
      <c r="N16" s="2"/>
      <c r="O16" s="2"/>
      <c r="P16" s="2"/>
      <c r="Q16" s="2"/>
      <c r="R16" s="2"/>
      <c r="S16" s="2"/>
      <c r="T16" s="3"/>
      <c r="U16" s="31" t="s">
        <v>78</v>
      </c>
      <c r="V16" s="3"/>
      <c r="W16" s="18" t="s">
        <v>102</v>
      </c>
      <c r="X16" s="2"/>
      <c r="Y16" s="2"/>
      <c r="Z16" s="2"/>
      <c r="AA16" s="2"/>
      <c r="AB16" s="2"/>
      <c r="AC16" s="3"/>
      <c r="AD16" s="19">
        <v>8</v>
      </c>
      <c r="AE16" s="2"/>
      <c r="AF16" s="3"/>
    </row>
    <row r="17" ht="30" customHeight="1" spans="2:32">
      <c r="B17" s="17">
        <v>10</v>
      </c>
      <c r="C17" s="19" t="s">
        <v>103</v>
      </c>
      <c r="D17" s="2"/>
      <c r="E17" s="3"/>
      <c r="F17" s="18" t="s">
        <v>76</v>
      </c>
      <c r="G17" s="2"/>
      <c r="H17" s="2"/>
      <c r="I17" s="2"/>
      <c r="J17" s="2"/>
      <c r="K17" s="2"/>
      <c r="L17" s="3"/>
      <c r="M17" s="18" t="s">
        <v>104</v>
      </c>
      <c r="N17" s="2"/>
      <c r="O17" s="2"/>
      <c r="P17" s="2"/>
      <c r="Q17" s="2"/>
      <c r="R17" s="2"/>
      <c r="S17" s="2"/>
      <c r="T17" s="3"/>
      <c r="U17" s="31" t="s">
        <v>78</v>
      </c>
      <c r="V17" s="3"/>
      <c r="W17" s="18" t="s">
        <v>105</v>
      </c>
      <c r="X17" s="2"/>
      <c r="Y17" s="2"/>
      <c r="Z17" s="2"/>
      <c r="AA17" s="2"/>
      <c r="AB17" s="2"/>
      <c r="AC17" s="3"/>
      <c r="AD17" s="19">
        <v>30</v>
      </c>
      <c r="AE17" s="2"/>
      <c r="AF17" s="3"/>
    </row>
    <row r="18" ht="30" customHeight="1" spans="2:32">
      <c r="B18" s="17">
        <v>11</v>
      </c>
      <c r="C18" s="19" t="s">
        <v>106</v>
      </c>
      <c r="D18" s="2"/>
      <c r="E18" s="3"/>
      <c r="F18" s="18" t="s">
        <v>107</v>
      </c>
      <c r="G18" s="2"/>
      <c r="H18" s="2"/>
      <c r="I18" s="2"/>
      <c r="J18" s="2"/>
      <c r="K18" s="2"/>
      <c r="L18" s="3"/>
      <c r="M18" s="18" t="s">
        <v>108</v>
      </c>
      <c r="N18" s="2"/>
      <c r="O18" s="2"/>
      <c r="P18" s="2"/>
      <c r="Q18" s="2"/>
      <c r="R18" s="2"/>
      <c r="S18" s="2"/>
      <c r="T18" s="3"/>
      <c r="U18" s="32" t="s">
        <v>98</v>
      </c>
      <c r="V18" s="3"/>
      <c r="W18" s="18" t="s">
        <v>109</v>
      </c>
      <c r="X18" s="2"/>
      <c r="Y18" s="2"/>
      <c r="Z18" s="2"/>
      <c r="AA18" s="2"/>
      <c r="AB18" s="2"/>
      <c r="AC18" s="3"/>
      <c r="AD18" s="19">
        <v>100</v>
      </c>
      <c r="AE18" s="2"/>
      <c r="AF18" s="3"/>
    </row>
    <row r="19" ht="30" customHeight="1" spans="2:32">
      <c r="B19" s="17">
        <v>12</v>
      </c>
      <c r="C19" s="19" t="s">
        <v>110</v>
      </c>
      <c r="D19" s="2"/>
      <c r="E19" s="3"/>
      <c r="F19" s="18" t="s">
        <v>107</v>
      </c>
      <c r="G19" s="2"/>
      <c r="H19" s="2"/>
      <c r="I19" s="2"/>
      <c r="J19" s="2"/>
      <c r="K19" s="2"/>
      <c r="L19" s="3"/>
      <c r="M19" s="18" t="s">
        <v>111</v>
      </c>
      <c r="N19" s="2"/>
      <c r="O19" s="2"/>
      <c r="P19" s="2"/>
      <c r="Q19" s="2"/>
      <c r="R19" s="2"/>
      <c r="S19" s="2"/>
      <c r="T19" s="3"/>
      <c r="U19" s="32" t="s">
        <v>98</v>
      </c>
      <c r="V19" s="3"/>
      <c r="W19" s="18" t="s">
        <v>109</v>
      </c>
      <c r="X19" s="2"/>
      <c r="Y19" s="2"/>
      <c r="Z19" s="2"/>
      <c r="AA19" s="2"/>
      <c r="AB19" s="2"/>
      <c r="AC19" s="3"/>
      <c r="AD19" s="19">
        <v>80</v>
      </c>
      <c r="AE19" s="2"/>
      <c r="AF19" s="3"/>
    </row>
    <row r="20" ht="30" customHeight="1" spans="2:32">
      <c r="B20" s="17">
        <v>13</v>
      </c>
      <c r="C20" s="19" t="s">
        <v>112</v>
      </c>
      <c r="D20" s="2"/>
      <c r="E20" s="3"/>
      <c r="F20" s="18" t="s">
        <v>107</v>
      </c>
      <c r="G20" s="2"/>
      <c r="H20" s="2"/>
      <c r="I20" s="2"/>
      <c r="J20" s="2"/>
      <c r="K20" s="2"/>
      <c r="L20" s="3"/>
      <c r="M20" s="18" t="s">
        <v>113</v>
      </c>
      <c r="N20" s="2"/>
      <c r="O20" s="2"/>
      <c r="P20" s="2"/>
      <c r="Q20" s="2"/>
      <c r="R20" s="2"/>
      <c r="S20" s="2"/>
      <c r="T20" s="3"/>
      <c r="U20" s="32" t="s">
        <v>98</v>
      </c>
      <c r="V20" s="3"/>
      <c r="W20" s="18" t="s">
        <v>93</v>
      </c>
      <c r="X20" s="2"/>
      <c r="Y20" s="2"/>
      <c r="Z20" s="2"/>
      <c r="AA20" s="2"/>
      <c r="AB20" s="2"/>
      <c r="AC20" s="3"/>
      <c r="AD20" s="19">
        <v>60</v>
      </c>
      <c r="AE20" s="2"/>
      <c r="AF20" s="3"/>
    </row>
    <row r="21" ht="30" customHeight="1" spans="2:32">
      <c r="B21" s="17">
        <v>14</v>
      </c>
      <c r="C21" s="19" t="s">
        <v>114</v>
      </c>
      <c r="D21" s="2"/>
      <c r="E21" s="3"/>
      <c r="F21" s="18" t="s">
        <v>107</v>
      </c>
      <c r="G21" s="2"/>
      <c r="H21" s="2"/>
      <c r="I21" s="2"/>
      <c r="J21" s="2"/>
      <c r="K21" s="2"/>
      <c r="L21" s="3"/>
      <c r="M21" s="18" t="s">
        <v>115</v>
      </c>
      <c r="N21" s="2"/>
      <c r="O21" s="2"/>
      <c r="P21" s="2"/>
      <c r="Q21" s="2"/>
      <c r="R21" s="2"/>
      <c r="S21" s="2"/>
      <c r="T21" s="3"/>
      <c r="U21" s="32" t="s">
        <v>98</v>
      </c>
      <c r="V21" s="3"/>
      <c r="W21" s="18" t="s">
        <v>109</v>
      </c>
      <c r="X21" s="2"/>
      <c r="Y21" s="2"/>
      <c r="Z21" s="2"/>
      <c r="AA21" s="2"/>
      <c r="AB21" s="2"/>
      <c r="AC21" s="3"/>
      <c r="AD21" s="19">
        <v>50</v>
      </c>
      <c r="AE21" s="2"/>
      <c r="AF21" s="3"/>
    </row>
    <row r="22" ht="30" customHeight="1" spans="2:32">
      <c r="B22" s="17">
        <v>15</v>
      </c>
      <c r="C22" s="19" t="s">
        <v>116</v>
      </c>
      <c r="D22" s="2"/>
      <c r="E22" s="3"/>
      <c r="F22" s="18" t="s">
        <v>107</v>
      </c>
      <c r="G22" s="2"/>
      <c r="H22" s="2"/>
      <c r="I22" s="2"/>
      <c r="J22" s="2"/>
      <c r="K22" s="2"/>
      <c r="L22" s="3"/>
      <c r="M22" s="18" t="s">
        <v>117</v>
      </c>
      <c r="N22" s="2"/>
      <c r="O22" s="2"/>
      <c r="P22" s="2"/>
      <c r="Q22" s="2"/>
      <c r="R22" s="2"/>
      <c r="S22" s="2"/>
      <c r="T22" s="3"/>
      <c r="U22" s="32" t="s">
        <v>98</v>
      </c>
      <c r="V22" s="3"/>
      <c r="W22" s="18" t="s">
        <v>118</v>
      </c>
      <c r="X22" s="2"/>
      <c r="Y22" s="2"/>
      <c r="Z22" s="2"/>
      <c r="AA22" s="2"/>
      <c r="AB22" s="2"/>
      <c r="AC22" s="3"/>
      <c r="AD22" s="19">
        <v>30</v>
      </c>
      <c r="AE22" s="2"/>
      <c r="AF22" s="3"/>
    </row>
    <row r="23" ht="30" customHeight="1" spans="2:32">
      <c r="B23" s="17">
        <v>16</v>
      </c>
      <c r="C23" s="19" t="s">
        <v>119</v>
      </c>
      <c r="D23" s="2"/>
      <c r="E23" s="3"/>
      <c r="F23" s="18" t="s">
        <v>107</v>
      </c>
      <c r="G23" s="2"/>
      <c r="H23" s="2"/>
      <c r="I23" s="2"/>
      <c r="J23" s="2"/>
      <c r="K23" s="2"/>
      <c r="L23" s="3"/>
      <c r="M23" s="18" t="s">
        <v>120</v>
      </c>
      <c r="N23" s="2"/>
      <c r="O23" s="2"/>
      <c r="P23" s="2"/>
      <c r="Q23" s="2"/>
      <c r="R23" s="2"/>
      <c r="S23" s="2"/>
      <c r="T23" s="3"/>
      <c r="U23" s="31" t="s">
        <v>78</v>
      </c>
      <c r="V23" s="3"/>
      <c r="W23" s="18" t="s">
        <v>121</v>
      </c>
      <c r="X23" s="2"/>
      <c r="Y23" s="2"/>
      <c r="Z23" s="2"/>
      <c r="AA23" s="2"/>
      <c r="AB23" s="2"/>
      <c r="AC23" s="3"/>
      <c r="AD23" s="19">
        <v>15</v>
      </c>
      <c r="AE23" s="2"/>
      <c r="AF23" s="3"/>
    </row>
    <row r="24" ht="36" customHeight="1" spans="2:32">
      <c r="B24" s="17">
        <v>17</v>
      </c>
      <c r="C24" s="19" t="s">
        <v>122</v>
      </c>
      <c r="D24" s="2"/>
      <c r="E24" s="3"/>
      <c r="F24" s="18" t="s">
        <v>107</v>
      </c>
      <c r="G24" s="2"/>
      <c r="H24" s="2"/>
      <c r="I24" s="2"/>
      <c r="J24" s="2"/>
      <c r="K24" s="2"/>
      <c r="L24" s="3"/>
      <c r="M24" s="18" t="s">
        <v>123</v>
      </c>
      <c r="N24" s="2"/>
      <c r="O24" s="2"/>
      <c r="P24" s="2"/>
      <c r="Q24" s="2"/>
      <c r="R24" s="2"/>
      <c r="S24" s="2"/>
      <c r="T24" s="3"/>
      <c r="U24" s="32" t="s">
        <v>98</v>
      </c>
      <c r="V24" s="3"/>
      <c r="W24" s="18" t="s">
        <v>124</v>
      </c>
      <c r="X24" s="2"/>
      <c r="Y24" s="2"/>
      <c r="Z24" s="2"/>
      <c r="AA24" s="2"/>
      <c r="AB24" s="2"/>
      <c r="AC24" s="3"/>
      <c r="AD24" s="19">
        <v>45</v>
      </c>
      <c r="AE24" s="2"/>
      <c r="AF24" s="3"/>
    </row>
    <row r="25" ht="30" customHeight="1" spans="2:32">
      <c r="B25" s="17">
        <v>18</v>
      </c>
      <c r="C25" s="19" t="s">
        <v>125</v>
      </c>
      <c r="D25" s="2"/>
      <c r="E25" s="3"/>
      <c r="F25" s="18" t="s">
        <v>107</v>
      </c>
      <c r="G25" s="2"/>
      <c r="H25" s="2"/>
      <c r="I25" s="2"/>
      <c r="J25" s="2"/>
      <c r="K25" s="2"/>
      <c r="L25" s="3"/>
      <c r="M25" s="18" t="s">
        <v>126</v>
      </c>
      <c r="N25" s="2"/>
      <c r="O25" s="2"/>
      <c r="P25" s="2"/>
      <c r="Q25" s="2"/>
      <c r="R25" s="2"/>
      <c r="S25" s="2"/>
      <c r="T25" s="3"/>
      <c r="U25" s="32" t="s">
        <v>98</v>
      </c>
      <c r="V25" s="3"/>
      <c r="W25" s="18" t="s">
        <v>127</v>
      </c>
      <c r="X25" s="2"/>
      <c r="Y25" s="2"/>
      <c r="Z25" s="2"/>
      <c r="AA25" s="2"/>
      <c r="AB25" s="2"/>
      <c r="AC25" s="3"/>
      <c r="AD25" s="19">
        <v>30</v>
      </c>
      <c r="AE25" s="2"/>
      <c r="AF25" s="3"/>
    </row>
    <row r="26" ht="36" customHeight="1" spans="2:32">
      <c r="B26" s="17">
        <v>19</v>
      </c>
      <c r="C26" s="19" t="s">
        <v>128</v>
      </c>
      <c r="D26" s="2"/>
      <c r="E26" s="3"/>
      <c r="F26" s="18" t="s">
        <v>107</v>
      </c>
      <c r="G26" s="2"/>
      <c r="H26" s="2"/>
      <c r="I26" s="2"/>
      <c r="J26" s="2"/>
      <c r="K26" s="2"/>
      <c r="L26" s="3"/>
      <c r="M26" s="18" t="s">
        <v>129</v>
      </c>
      <c r="N26" s="2"/>
      <c r="O26" s="2"/>
      <c r="P26" s="2"/>
      <c r="Q26" s="2"/>
      <c r="R26" s="2"/>
      <c r="S26" s="2"/>
      <c r="T26" s="3"/>
      <c r="U26" s="32" t="s">
        <v>98</v>
      </c>
      <c r="V26" s="3"/>
      <c r="W26" s="18" t="s">
        <v>130</v>
      </c>
      <c r="X26" s="2"/>
      <c r="Y26" s="2"/>
      <c r="Z26" s="2"/>
      <c r="AA26" s="2"/>
      <c r="AB26" s="2"/>
      <c r="AC26" s="3"/>
      <c r="AD26" s="19">
        <v>25</v>
      </c>
      <c r="AE26" s="2"/>
      <c r="AF26" s="3"/>
    </row>
    <row r="27" ht="30" customHeight="1" spans="2:32">
      <c r="B27" s="17">
        <v>20</v>
      </c>
      <c r="C27" s="19" t="s">
        <v>131</v>
      </c>
      <c r="D27" s="2"/>
      <c r="E27" s="3"/>
      <c r="F27" s="18" t="s">
        <v>132</v>
      </c>
      <c r="G27" s="2"/>
      <c r="H27" s="2"/>
      <c r="I27" s="2"/>
      <c r="J27" s="2"/>
      <c r="K27" s="2"/>
      <c r="L27" s="3"/>
      <c r="M27" s="18" t="s">
        <v>133</v>
      </c>
      <c r="N27" s="2"/>
      <c r="O27" s="2"/>
      <c r="P27" s="2"/>
      <c r="Q27" s="2"/>
      <c r="R27" s="2"/>
      <c r="S27" s="2"/>
      <c r="T27" s="3"/>
      <c r="U27" s="31" t="s">
        <v>78</v>
      </c>
      <c r="V27" s="3"/>
      <c r="W27" s="18" t="s">
        <v>127</v>
      </c>
      <c r="X27" s="2"/>
      <c r="Y27" s="2"/>
      <c r="Z27" s="2"/>
      <c r="AA27" s="2"/>
      <c r="AB27" s="2"/>
      <c r="AC27" s="3"/>
      <c r="AD27" s="19">
        <v>60</v>
      </c>
      <c r="AE27" s="2"/>
      <c r="AF27" s="3"/>
    </row>
    <row r="28" ht="30" customHeight="1" spans="2:32">
      <c r="B28" s="17">
        <v>21</v>
      </c>
      <c r="C28" s="19" t="s">
        <v>134</v>
      </c>
      <c r="D28" s="2"/>
      <c r="E28" s="3"/>
      <c r="F28" s="18" t="s">
        <v>132</v>
      </c>
      <c r="G28" s="2"/>
      <c r="H28" s="2"/>
      <c r="I28" s="2"/>
      <c r="J28" s="2"/>
      <c r="K28" s="2"/>
      <c r="L28" s="3"/>
      <c r="M28" s="18" t="s">
        <v>135</v>
      </c>
      <c r="N28" s="2"/>
      <c r="O28" s="2"/>
      <c r="P28" s="2"/>
      <c r="Q28" s="2"/>
      <c r="R28" s="2"/>
      <c r="S28" s="2"/>
      <c r="T28" s="3"/>
      <c r="U28" s="32" t="s">
        <v>98</v>
      </c>
      <c r="V28" s="3"/>
      <c r="W28" s="18" t="s">
        <v>136</v>
      </c>
      <c r="X28" s="2"/>
      <c r="Y28" s="2"/>
      <c r="Z28" s="2"/>
      <c r="AA28" s="2"/>
      <c r="AB28" s="2"/>
      <c r="AC28" s="3"/>
      <c r="AD28" s="19">
        <v>16</v>
      </c>
      <c r="AE28" s="2"/>
      <c r="AF28" s="3"/>
    </row>
    <row r="29" ht="30" customHeight="1" spans="2:32">
      <c r="B29" s="17">
        <v>22</v>
      </c>
      <c r="C29" s="19" t="s">
        <v>137</v>
      </c>
      <c r="D29" s="2"/>
      <c r="E29" s="3"/>
      <c r="F29" s="18" t="s">
        <v>132</v>
      </c>
      <c r="G29" s="2"/>
      <c r="H29" s="2"/>
      <c r="I29" s="2"/>
      <c r="J29" s="2"/>
      <c r="K29" s="2"/>
      <c r="L29" s="3"/>
      <c r="M29" s="18" t="s">
        <v>138</v>
      </c>
      <c r="N29" s="2"/>
      <c r="O29" s="2"/>
      <c r="P29" s="2"/>
      <c r="Q29" s="2"/>
      <c r="R29" s="2"/>
      <c r="S29" s="2"/>
      <c r="T29" s="3"/>
      <c r="U29" s="31" t="s">
        <v>78</v>
      </c>
      <c r="V29" s="3"/>
      <c r="W29" s="18" t="s">
        <v>139</v>
      </c>
      <c r="X29" s="2"/>
      <c r="Y29" s="2"/>
      <c r="Z29" s="2"/>
      <c r="AA29" s="2"/>
      <c r="AB29" s="2"/>
      <c r="AC29" s="3"/>
      <c r="AD29" s="19">
        <v>18</v>
      </c>
      <c r="AE29" s="2"/>
      <c r="AF29" s="3"/>
    </row>
    <row r="30" ht="30" customHeight="1" spans="2:32">
      <c r="B30" s="17">
        <v>23</v>
      </c>
      <c r="C30" s="19" t="s">
        <v>140</v>
      </c>
      <c r="D30" s="2"/>
      <c r="E30" s="3"/>
      <c r="F30" s="18" t="s">
        <v>132</v>
      </c>
      <c r="G30" s="2"/>
      <c r="H30" s="2"/>
      <c r="I30" s="2"/>
      <c r="J30" s="2"/>
      <c r="K30" s="2"/>
      <c r="L30" s="3"/>
      <c r="M30" s="18" t="s">
        <v>141</v>
      </c>
      <c r="N30" s="2"/>
      <c r="O30" s="2"/>
      <c r="P30" s="2"/>
      <c r="Q30" s="2"/>
      <c r="R30" s="2"/>
      <c r="S30" s="2"/>
      <c r="T30" s="3"/>
      <c r="U30" s="32" t="s">
        <v>98</v>
      </c>
      <c r="V30" s="3"/>
      <c r="W30" s="18" t="s">
        <v>142</v>
      </c>
      <c r="X30" s="2"/>
      <c r="Y30" s="2"/>
      <c r="Z30" s="2"/>
      <c r="AA30" s="2"/>
      <c r="AB30" s="2"/>
      <c r="AC30" s="3"/>
      <c r="AD30" s="19">
        <v>8</v>
      </c>
      <c r="AE30" s="2"/>
      <c r="AF30" s="3"/>
    </row>
    <row r="31" ht="30" customHeight="1" spans="2:32">
      <c r="B31" s="17">
        <v>24</v>
      </c>
      <c r="C31" s="19" t="s">
        <v>143</v>
      </c>
      <c r="D31" s="2"/>
      <c r="E31" s="3"/>
      <c r="F31" s="18" t="s">
        <v>132</v>
      </c>
      <c r="G31" s="2"/>
      <c r="H31" s="2"/>
      <c r="I31" s="2"/>
      <c r="J31" s="2"/>
      <c r="K31" s="2"/>
      <c r="L31" s="3"/>
      <c r="M31" s="18" t="s">
        <v>144</v>
      </c>
      <c r="N31" s="2"/>
      <c r="O31" s="2"/>
      <c r="P31" s="2"/>
      <c r="Q31" s="2"/>
      <c r="R31" s="2"/>
      <c r="S31" s="2"/>
      <c r="T31" s="3"/>
      <c r="U31" s="31" t="s">
        <v>78</v>
      </c>
      <c r="V31" s="3"/>
      <c r="W31" s="18" t="s">
        <v>145</v>
      </c>
      <c r="X31" s="2"/>
      <c r="Y31" s="2"/>
      <c r="Z31" s="2"/>
      <c r="AA31" s="2"/>
      <c r="AB31" s="2"/>
      <c r="AC31" s="3"/>
      <c r="AD31" s="19">
        <v>10</v>
      </c>
      <c r="AE31" s="2"/>
      <c r="AF31" s="3"/>
    </row>
    <row r="32" ht="30" customHeight="1" spans="2:32">
      <c r="B32" s="17">
        <v>25</v>
      </c>
      <c r="C32" s="19" t="s">
        <v>146</v>
      </c>
      <c r="D32" s="2"/>
      <c r="E32" s="3"/>
      <c r="F32" s="18" t="s">
        <v>132</v>
      </c>
      <c r="G32" s="2"/>
      <c r="H32" s="2"/>
      <c r="I32" s="2"/>
      <c r="J32" s="2"/>
      <c r="K32" s="2"/>
      <c r="L32" s="3"/>
      <c r="M32" s="18" t="s">
        <v>147</v>
      </c>
      <c r="N32" s="2"/>
      <c r="O32" s="2"/>
      <c r="P32" s="2"/>
      <c r="Q32" s="2"/>
      <c r="R32" s="2"/>
      <c r="S32" s="2"/>
      <c r="T32" s="3"/>
      <c r="U32" s="32" t="s">
        <v>98</v>
      </c>
      <c r="V32" s="3"/>
      <c r="W32" s="18" t="s">
        <v>148</v>
      </c>
      <c r="X32" s="2"/>
      <c r="Y32" s="2"/>
      <c r="Z32" s="2"/>
      <c r="AA32" s="2"/>
      <c r="AB32" s="2"/>
      <c r="AC32" s="3"/>
      <c r="AD32" s="19">
        <v>30</v>
      </c>
      <c r="AE32" s="2"/>
      <c r="AF32" s="3"/>
    </row>
    <row r="33" ht="30" customHeight="1" spans="2:32">
      <c r="B33" s="17">
        <v>26</v>
      </c>
      <c r="C33" s="19" t="s">
        <v>149</v>
      </c>
      <c r="D33" s="2"/>
      <c r="E33" s="3"/>
      <c r="F33" s="18" t="s">
        <v>132</v>
      </c>
      <c r="G33" s="2"/>
      <c r="H33" s="2"/>
      <c r="I33" s="2"/>
      <c r="J33" s="2"/>
      <c r="K33" s="2"/>
      <c r="L33" s="3"/>
      <c r="M33" s="18" t="s">
        <v>150</v>
      </c>
      <c r="N33" s="2"/>
      <c r="O33" s="2"/>
      <c r="P33" s="2"/>
      <c r="Q33" s="2"/>
      <c r="R33" s="2"/>
      <c r="S33" s="2"/>
      <c r="T33" s="3"/>
      <c r="U33" s="31" t="s">
        <v>78</v>
      </c>
      <c r="V33" s="3"/>
      <c r="W33" s="18" t="s">
        <v>151</v>
      </c>
      <c r="X33" s="2"/>
      <c r="Y33" s="2"/>
      <c r="Z33" s="2"/>
      <c r="AA33" s="2"/>
      <c r="AB33" s="2"/>
      <c r="AC33" s="3"/>
      <c r="AD33" s="19">
        <v>15</v>
      </c>
      <c r="AE33" s="2"/>
      <c r="AF33" s="3"/>
    </row>
    <row r="34" ht="30" customHeight="1" spans="2:32">
      <c r="B34" s="17">
        <v>27</v>
      </c>
      <c r="C34" s="19" t="s">
        <v>152</v>
      </c>
      <c r="D34" s="2"/>
      <c r="E34" s="3"/>
      <c r="F34" s="18" t="s">
        <v>132</v>
      </c>
      <c r="G34" s="2"/>
      <c r="H34" s="2"/>
      <c r="I34" s="2"/>
      <c r="J34" s="2"/>
      <c r="K34" s="2"/>
      <c r="L34" s="3"/>
      <c r="M34" s="18" t="s">
        <v>153</v>
      </c>
      <c r="N34" s="2"/>
      <c r="O34" s="2"/>
      <c r="P34" s="2"/>
      <c r="Q34" s="2"/>
      <c r="R34" s="2"/>
      <c r="S34" s="2"/>
      <c r="T34" s="3"/>
      <c r="U34" s="31" t="s">
        <v>78</v>
      </c>
      <c r="V34" s="3"/>
      <c r="W34" s="18" t="s">
        <v>154</v>
      </c>
      <c r="X34" s="2"/>
      <c r="Y34" s="2"/>
      <c r="Z34" s="2"/>
      <c r="AA34" s="2"/>
      <c r="AB34" s="2"/>
      <c r="AC34" s="3"/>
      <c r="AD34" s="19">
        <v>18</v>
      </c>
      <c r="AE34" s="2"/>
      <c r="AF34" s="3"/>
    </row>
    <row r="35" ht="30" customHeight="1" spans="2:32">
      <c r="B35" s="17">
        <v>28</v>
      </c>
      <c r="C35" s="19" t="s">
        <v>155</v>
      </c>
      <c r="D35" s="2"/>
      <c r="E35" s="3"/>
      <c r="F35" s="18" t="s">
        <v>156</v>
      </c>
      <c r="G35" s="2"/>
      <c r="H35" s="2"/>
      <c r="I35" s="2"/>
      <c r="J35" s="2"/>
      <c r="K35" s="2"/>
      <c r="L35" s="3"/>
      <c r="M35" s="18" t="s">
        <v>157</v>
      </c>
      <c r="N35" s="2"/>
      <c r="O35" s="2"/>
      <c r="P35" s="2"/>
      <c r="Q35" s="2"/>
      <c r="R35" s="2"/>
      <c r="S35" s="2"/>
      <c r="T35" s="3"/>
      <c r="U35" s="31" t="s">
        <v>78</v>
      </c>
      <c r="V35" s="3"/>
      <c r="W35" s="18" t="s">
        <v>158</v>
      </c>
      <c r="X35" s="2"/>
      <c r="Y35" s="2"/>
      <c r="Z35" s="2"/>
      <c r="AA35" s="2"/>
      <c r="AB35" s="2"/>
      <c r="AC35" s="3"/>
      <c r="AD35" s="19">
        <v>25</v>
      </c>
      <c r="AE35" s="2"/>
      <c r="AF35" s="3"/>
    </row>
    <row r="36" ht="30" customHeight="1" spans="2:32">
      <c r="B36" s="17">
        <v>29</v>
      </c>
      <c r="C36" s="19" t="s">
        <v>159</v>
      </c>
      <c r="D36" s="2"/>
      <c r="E36" s="3"/>
      <c r="F36" s="18" t="s">
        <v>156</v>
      </c>
      <c r="G36" s="2"/>
      <c r="H36" s="2"/>
      <c r="I36" s="2"/>
      <c r="J36" s="2"/>
      <c r="K36" s="2"/>
      <c r="L36" s="3"/>
      <c r="M36" s="18" t="s">
        <v>160</v>
      </c>
      <c r="N36" s="2"/>
      <c r="O36" s="2"/>
      <c r="P36" s="2"/>
      <c r="Q36" s="2"/>
      <c r="R36" s="2"/>
      <c r="S36" s="2"/>
      <c r="T36" s="3"/>
      <c r="U36" s="31" t="s">
        <v>78</v>
      </c>
      <c r="V36" s="3"/>
      <c r="W36" s="18" t="s">
        <v>90</v>
      </c>
      <c r="X36" s="2"/>
      <c r="Y36" s="2"/>
      <c r="Z36" s="2"/>
      <c r="AA36" s="2"/>
      <c r="AB36" s="2"/>
      <c r="AC36" s="3"/>
      <c r="AD36" s="19">
        <v>8</v>
      </c>
      <c r="AE36" s="2"/>
      <c r="AF36" s="3"/>
    </row>
    <row r="37" ht="30" customHeight="1" spans="2:32">
      <c r="B37" s="17">
        <v>30</v>
      </c>
      <c r="C37" s="19" t="s">
        <v>161</v>
      </c>
      <c r="D37" s="2"/>
      <c r="E37" s="3"/>
      <c r="F37" s="18" t="s">
        <v>156</v>
      </c>
      <c r="G37" s="2"/>
      <c r="H37" s="2"/>
      <c r="I37" s="2"/>
      <c r="J37" s="2"/>
      <c r="K37" s="2"/>
      <c r="L37" s="3"/>
      <c r="M37" s="18" t="s">
        <v>162</v>
      </c>
      <c r="N37" s="2"/>
      <c r="O37" s="2"/>
      <c r="P37" s="2"/>
      <c r="Q37" s="2"/>
      <c r="R37" s="2"/>
      <c r="S37" s="2"/>
      <c r="T37" s="3"/>
      <c r="U37" s="31" t="s">
        <v>78</v>
      </c>
      <c r="V37" s="3"/>
      <c r="W37" s="18" t="s">
        <v>163</v>
      </c>
      <c r="X37" s="2"/>
      <c r="Y37" s="2"/>
      <c r="Z37" s="2"/>
      <c r="AA37" s="2"/>
      <c r="AB37" s="2"/>
      <c r="AC37" s="3"/>
      <c r="AD37" s="19">
        <v>15</v>
      </c>
      <c r="AE37" s="2"/>
      <c r="AF37" s="3"/>
    </row>
    <row r="38" ht="30" customHeight="1" spans="2:32">
      <c r="B38" s="17">
        <v>31</v>
      </c>
      <c r="C38" s="19" t="s">
        <v>164</v>
      </c>
      <c r="D38" s="2"/>
      <c r="E38" s="3"/>
      <c r="F38" s="18" t="s">
        <v>156</v>
      </c>
      <c r="G38" s="2"/>
      <c r="H38" s="2"/>
      <c r="I38" s="2"/>
      <c r="J38" s="2"/>
      <c r="K38" s="2"/>
      <c r="L38" s="3"/>
      <c r="M38" s="18" t="s">
        <v>165</v>
      </c>
      <c r="N38" s="2"/>
      <c r="O38" s="2"/>
      <c r="P38" s="2"/>
      <c r="Q38" s="2"/>
      <c r="R38" s="2"/>
      <c r="S38" s="2"/>
      <c r="T38" s="3"/>
      <c r="U38" s="31" t="s">
        <v>78</v>
      </c>
      <c r="V38" s="3"/>
      <c r="W38" s="18" t="s">
        <v>90</v>
      </c>
      <c r="X38" s="2"/>
      <c r="Y38" s="2"/>
      <c r="Z38" s="2"/>
      <c r="AA38" s="2"/>
      <c r="AB38" s="2"/>
      <c r="AC38" s="3"/>
      <c r="AD38" s="19">
        <v>40</v>
      </c>
      <c r="AE38" s="2"/>
      <c r="AF38" s="3"/>
    </row>
    <row r="39" ht="30" customHeight="1" spans="2:32">
      <c r="B39" s="17">
        <v>32</v>
      </c>
      <c r="C39" s="19" t="s">
        <v>166</v>
      </c>
      <c r="D39" s="2"/>
      <c r="E39" s="3"/>
      <c r="F39" s="18" t="s">
        <v>156</v>
      </c>
      <c r="G39" s="2"/>
      <c r="H39" s="2"/>
      <c r="I39" s="2"/>
      <c r="J39" s="2"/>
      <c r="K39" s="2"/>
      <c r="L39" s="3"/>
      <c r="M39" s="18" t="s">
        <v>167</v>
      </c>
      <c r="N39" s="2"/>
      <c r="O39" s="2"/>
      <c r="P39" s="2"/>
      <c r="Q39" s="2"/>
      <c r="R39" s="2"/>
      <c r="S39" s="2"/>
      <c r="T39" s="3"/>
      <c r="U39" s="32" t="s">
        <v>98</v>
      </c>
      <c r="V39" s="3"/>
      <c r="W39" s="18" t="s">
        <v>168</v>
      </c>
      <c r="X39" s="2"/>
      <c r="Y39" s="2"/>
      <c r="Z39" s="2"/>
      <c r="AA39" s="2"/>
      <c r="AB39" s="2"/>
      <c r="AC39" s="3"/>
      <c r="AD39" s="19">
        <v>20</v>
      </c>
      <c r="AE39" s="2"/>
      <c r="AF39" s="3"/>
    </row>
    <row r="40" ht="30" customHeight="1" spans="2:32">
      <c r="B40" s="17">
        <v>33</v>
      </c>
      <c r="C40" s="19" t="s">
        <v>169</v>
      </c>
      <c r="D40" s="2"/>
      <c r="E40" s="3"/>
      <c r="F40" s="18" t="s">
        <v>156</v>
      </c>
      <c r="G40" s="2"/>
      <c r="H40" s="2"/>
      <c r="I40" s="2"/>
      <c r="J40" s="2"/>
      <c r="K40" s="2"/>
      <c r="L40" s="3"/>
      <c r="M40" s="18" t="s">
        <v>170</v>
      </c>
      <c r="N40" s="2"/>
      <c r="O40" s="2"/>
      <c r="P40" s="2"/>
      <c r="Q40" s="2"/>
      <c r="R40" s="2"/>
      <c r="S40" s="2"/>
      <c r="T40" s="3"/>
      <c r="U40" s="32" t="s">
        <v>98</v>
      </c>
      <c r="V40" s="3"/>
      <c r="W40" s="18" t="s">
        <v>171</v>
      </c>
      <c r="X40" s="2"/>
      <c r="Y40" s="2"/>
      <c r="Z40" s="2"/>
      <c r="AA40" s="2"/>
      <c r="AB40" s="2"/>
      <c r="AC40" s="3"/>
      <c r="AD40" s="19">
        <v>12</v>
      </c>
      <c r="AE40" s="2"/>
      <c r="AF40" s="3"/>
    </row>
    <row r="41" ht="30" customHeight="1" spans="2:32">
      <c r="B41" s="17">
        <v>34</v>
      </c>
      <c r="C41" s="19" t="s">
        <v>172</v>
      </c>
      <c r="D41" s="2"/>
      <c r="E41" s="3"/>
      <c r="F41" s="18" t="s">
        <v>156</v>
      </c>
      <c r="G41" s="2"/>
      <c r="H41" s="2"/>
      <c r="I41" s="2"/>
      <c r="J41" s="2"/>
      <c r="K41" s="2"/>
      <c r="L41" s="3"/>
      <c r="M41" s="18" t="s">
        <v>173</v>
      </c>
      <c r="N41" s="2"/>
      <c r="O41" s="2"/>
      <c r="P41" s="2"/>
      <c r="Q41" s="2"/>
      <c r="R41" s="2"/>
      <c r="S41" s="2"/>
      <c r="T41" s="3"/>
      <c r="U41" s="31" t="s">
        <v>78</v>
      </c>
      <c r="V41" s="3"/>
      <c r="W41" s="18" t="s">
        <v>174</v>
      </c>
      <c r="X41" s="2"/>
      <c r="Y41" s="2"/>
      <c r="Z41" s="2"/>
      <c r="AA41" s="2"/>
      <c r="AB41" s="2"/>
      <c r="AC41" s="3"/>
      <c r="AD41" s="19">
        <v>15</v>
      </c>
      <c r="AE41" s="2"/>
      <c r="AF41" s="3"/>
    </row>
    <row r="42" ht="30" customHeight="1" spans="2:32">
      <c r="B42" s="17">
        <v>35</v>
      </c>
      <c r="C42" s="19" t="s">
        <v>175</v>
      </c>
      <c r="D42" s="2"/>
      <c r="E42" s="3"/>
      <c r="F42" s="18" t="s">
        <v>156</v>
      </c>
      <c r="G42" s="2"/>
      <c r="H42" s="2"/>
      <c r="I42" s="2"/>
      <c r="J42" s="2"/>
      <c r="K42" s="2"/>
      <c r="L42" s="3"/>
      <c r="M42" s="18" t="s">
        <v>176</v>
      </c>
      <c r="N42" s="2"/>
      <c r="O42" s="2"/>
      <c r="P42" s="2"/>
      <c r="Q42" s="2"/>
      <c r="R42" s="2"/>
      <c r="S42" s="2"/>
      <c r="T42" s="3"/>
      <c r="U42" s="32" t="s">
        <v>98</v>
      </c>
      <c r="V42" s="3"/>
      <c r="W42" s="18" t="s">
        <v>90</v>
      </c>
      <c r="X42" s="2"/>
      <c r="Y42" s="2"/>
      <c r="Z42" s="2"/>
      <c r="AA42" s="2"/>
      <c r="AB42" s="2"/>
      <c r="AC42" s="3"/>
      <c r="AD42" s="19">
        <v>30</v>
      </c>
      <c r="AE42" s="2"/>
      <c r="AF42" s="3"/>
    </row>
    <row r="43" ht="36" customHeight="1" spans="2:32">
      <c r="B43" s="17">
        <v>36</v>
      </c>
      <c r="C43" s="19" t="s">
        <v>177</v>
      </c>
      <c r="D43" s="2"/>
      <c r="E43" s="3"/>
      <c r="F43" s="18" t="s">
        <v>156</v>
      </c>
      <c r="G43" s="2"/>
      <c r="H43" s="2"/>
      <c r="I43" s="2"/>
      <c r="J43" s="2"/>
      <c r="K43" s="2"/>
      <c r="L43" s="3"/>
      <c r="M43" s="18" t="s">
        <v>178</v>
      </c>
      <c r="N43" s="2"/>
      <c r="O43" s="2"/>
      <c r="P43" s="2"/>
      <c r="Q43" s="2"/>
      <c r="R43" s="2"/>
      <c r="S43" s="2"/>
      <c r="T43" s="3"/>
      <c r="U43" s="31" t="s">
        <v>78</v>
      </c>
      <c r="V43" s="3"/>
      <c r="W43" s="18" t="s">
        <v>163</v>
      </c>
      <c r="X43" s="2"/>
      <c r="Y43" s="2"/>
      <c r="Z43" s="2"/>
      <c r="AA43" s="2"/>
      <c r="AB43" s="2"/>
      <c r="AC43" s="3"/>
      <c r="AD43" s="19">
        <v>6</v>
      </c>
      <c r="AE43" s="2"/>
      <c r="AF43" s="3"/>
    </row>
    <row r="44" ht="30" customHeight="1" spans="2:32">
      <c r="B44" s="17">
        <v>37</v>
      </c>
      <c r="C44" s="19" t="s">
        <v>179</v>
      </c>
      <c r="D44" s="2"/>
      <c r="E44" s="3"/>
      <c r="F44" s="18" t="s">
        <v>180</v>
      </c>
      <c r="G44" s="2"/>
      <c r="H44" s="2"/>
      <c r="I44" s="2"/>
      <c r="J44" s="2"/>
      <c r="K44" s="2"/>
      <c r="L44" s="3"/>
      <c r="M44" s="18" t="s">
        <v>181</v>
      </c>
      <c r="N44" s="2"/>
      <c r="O44" s="2"/>
      <c r="P44" s="2"/>
      <c r="Q44" s="2"/>
      <c r="R44" s="2"/>
      <c r="S44" s="2"/>
      <c r="T44" s="3"/>
      <c r="U44" s="33" t="s">
        <v>182</v>
      </c>
      <c r="V44" s="3"/>
      <c r="W44" s="18" t="s">
        <v>183</v>
      </c>
      <c r="X44" s="2"/>
      <c r="Y44" s="2"/>
      <c r="Z44" s="2"/>
      <c r="AA44" s="2"/>
      <c r="AB44" s="2"/>
      <c r="AC44" s="3"/>
      <c r="AD44" s="19">
        <v>60</v>
      </c>
      <c r="AE44" s="2"/>
      <c r="AF44" s="3"/>
    </row>
    <row r="45" ht="36" customHeight="1" spans="2:32">
      <c r="B45" s="17">
        <v>38</v>
      </c>
      <c r="C45" s="19" t="s">
        <v>184</v>
      </c>
      <c r="D45" s="2"/>
      <c r="E45" s="3"/>
      <c r="F45" s="18" t="s">
        <v>180</v>
      </c>
      <c r="G45" s="2"/>
      <c r="H45" s="2"/>
      <c r="I45" s="2"/>
      <c r="J45" s="2"/>
      <c r="K45" s="2"/>
      <c r="L45" s="3"/>
      <c r="M45" s="18" t="s">
        <v>185</v>
      </c>
      <c r="N45" s="2"/>
      <c r="O45" s="2"/>
      <c r="P45" s="2"/>
      <c r="Q45" s="2"/>
      <c r="R45" s="2"/>
      <c r="S45" s="2"/>
      <c r="T45" s="3"/>
      <c r="U45" s="33" t="s">
        <v>182</v>
      </c>
      <c r="V45" s="3"/>
      <c r="W45" s="18" t="s">
        <v>183</v>
      </c>
      <c r="X45" s="2"/>
      <c r="Y45" s="2"/>
      <c r="Z45" s="2"/>
      <c r="AA45" s="2"/>
      <c r="AB45" s="2"/>
      <c r="AC45" s="3"/>
      <c r="AD45" s="19">
        <v>40</v>
      </c>
      <c r="AE45" s="2"/>
      <c r="AF45" s="3"/>
    </row>
    <row r="46" ht="30" customHeight="1" spans="2:32">
      <c r="B46" s="17">
        <v>39</v>
      </c>
      <c r="C46" s="19" t="s">
        <v>186</v>
      </c>
      <c r="D46" s="2"/>
      <c r="E46" s="3"/>
      <c r="F46" s="18" t="s">
        <v>180</v>
      </c>
      <c r="G46" s="2"/>
      <c r="H46" s="2"/>
      <c r="I46" s="2"/>
      <c r="J46" s="2"/>
      <c r="K46" s="2"/>
      <c r="L46" s="3"/>
      <c r="M46" s="18" t="s">
        <v>187</v>
      </c>
      <c r="N46" s="2"/>
      <c r="O46" s="2"/>
      <c r="P46" s="2"/>
      <c r="Q46" s="2"/>
      <c r="R46" s="2"/>
      <c r="S46" s="2"/>
      <c r="T46" s="3"/>
      <c r="U46" s="33" t="s">
        <v>182</v>
      </c>
      <c r="V46" s="3"/>
      <c r="W46" s="18" t="s">
        <v>109</v>
      </c>
      <c r="X46" s="2"/>
      <c r="Y46" s="2"/>
      <c r="Z46" s="2"/>
      <c r="AA46" s="2"/>
      <c r="AB46" s="2"/>
      <c r="AC46" s="3"/>
      <c r="AD46" s="19">
        <v>25</v>
      </c>
      <c r="AE46" s="2"/>
      <c r="AF46" s="3"/>
    </row>
    <row r="47" ht="30" customHeight="1" spans="2:32">
      <c r="B47" s="17">
        <v>40</v>
      </c>
      <c r="C47" s="19" t="s">
        <v>188</v>
      </c>
      <c r="D47" s="2"/>
      <c r="E47" s="3"/>
      <c r="F47" s="18" t="s">
        <v>180</v>
      </c>
      <c r="G47" s="2"/>
      <c r="H47" s="2"/>
      <c r="I47" s="2"/>
      <c r="J47" s="2"/>
      <c r="K47" s="2"/>
      <c r="L47" s="3"/>
      <c r="M47" s="18" t="s">
        <v>189</v>
      </c>
      <c r="N47" s="2"/>
      <c r="O47" s="2"/>
      <c r="P47" s="2"/>
      <c r="Q47" s="2"/>
      <c r="R47" s="2"/>
      <c r="S47" s="2"/>
      <c r="T47" s="3"/>
      <c r="U47" s="33" t="s">
        <v>182</v>
      </c>
      <c r="V47" s="3"/>
      <c r="W47" s="18" t="s">
        <v>90</v>
      </c>
      <c r="X47" s="2"/>
      <c r="Y47" s="2"/>
      <c r="Z47" s="2"/>
      <c r="AA47" s="2"/>
      <c r="AB47" s="2"/>
      <c r="AC47" s="3"/>
      <c r="AD47" s="19">
        <v>5</v>
      </c>
      <c r="AE47" s="2"/>
      <c r="AF47" s="3"/>
    </row>
    <row r="48" ht="30" customHeight="1" spans="2:32">
      <c r="B48" s="17">
        <v>41</v>
      </c>
      <c r="C48" s="19" t="s">
        <v>190</v>
      </c>
      <c r="D48" s="2"/>
      <c r="E48" s="3"/>
      <c r="F48" s="18" t="s">
        <v>180</v>
      </c>
      <c r="G48" s="2"/>
      <c r="H48" s="2"/>
      <c r="I48" s="2"/>
      <c r="J48" s="2"/>
      <c r="K48" s="2"/>
      <c r="L48" s="3"/>
      <c r="M48" s="18" t="s">
        <v>191</v>
      </c>
      <c r="N48" s="2"/>
      <c r="O48" s="2"/>
      <c r="P48" s="2"/>
      <c r="Q48" s="2"/>
      <c r="R48" s="2"/>
      <c r="S48" s="2"/>
      <c r="T48" s="3"/>
      <c r="U48" s="31" t="s">
        <v>78</v>
      </c>
      <c r="V48" s="3"/>
      <c r="W48" s="18" t="s">
        <v>90</v>
      </c>
      <c r="X48" s="2"/>
      <c r="Y48" s="2"/>
      <c r="Z48" s="2"/>
      <c r="AA48" s="2"/>
      <c r="AB48" s="2"/>
      <c r="AC48" s="3"/>
      <c r="AD48" s="19">
        <v>5</v>
      </c>
      <c r="AE48" s="2"/>
      <c r="AF48" s="3"/>
    </row>
    <row r="49" ht="30" customHeight="1" spans="2:37">
      <c r="B49" s="17">
        <v>42</v>
      </c>
      <c r="C49" s="19" t="s">
        <v>192</v>
      </c>
      <c r="D49" s="2"/>
      <c r="E49" s="3"/>
      <c r="F49" s="18" t="s">
        <v>180</v>
      </c>
      <c r="G49" s="2"/>
      <c r="H49" s="2"/>
      <c r="I49" s="2"/>
      <c r="J49" s="2"/>
      <c r="K49" s="2"/>
      <c r="L49" s="3"/>
      <c r="M49" s="18" t="s">
        <v>193</v>
      </c>
      <c r="N49" s="2"/>
      <c r="O49" s="2"/>
      <c r="P49" s="2"/>
      <c r="Q49" s="2"/>
      <c r="R49" s="2"/>
      <c r="S49" s="2"/>
      <c r="T49" s="3"/>
      <c r="U49" s="32" t="s">
        <v>98</v>
      </c>
      <c r="V49" s="3"/>
      <c r="W49" s="18" t="s">
        <v>194</v>
      </c>
      <c r="X49" s="2"/>
      <c r="Y49" s="2"/>
      <c r="Z49" s="2"/>
      <c r="AA49" s="2"/>
      <c r="AB49" s="2"/>
      <c r="AC49" s="3"/>
      <c r="AD49" s="19">
        <v>8</v>
      </c>
      <c r="AE49" s="2"/>
      <c r="AF49" s="3"/>
    </row>
    <row r="50" ht="30" customHeight="1" spans="2:37">
      <c r="B50" s="17">
        <v>43</v>
      </c>
      <c r="C50" s="19" t="s">
        <v>195</v>
      </c>
      <c r="D50" s="2"/>
      <c r="E50" s="3"/>
      <c r="F50" s="18" t="s">
        <v>196</v>
      </c>
      <c r="G50" s="2"/>
      <c r="H50" s="2"/>
      <c r="I50" s="2"/>
      <c r="J50" s="2"/>
      <c r="K50" s="2"/>
      <c r="L50" s="3"/>
      <c r="M50" s="18" t="s">
        <v>197</v>
      </c>
      <c r="N50" s="2"/>
      <c r="O50" s="2"/>
      <c r="P50" s="2"/>
      <c r="Q50" s="2"/>
      <c r="R50" s="2"/>
      <c r="S50" s="2"/>
      <c r="T50" s="3"/>
      <c r="U50" s="32" t="s">
        <v>98</v>
      </c>
      <c r="V50" s="3"/>
      <c r="W50" s="18" t="s">
        <v>198</v>
      </c>
      <c r="X50" s="2"/>
      <c r="Y50" s="2"/>
      <c r="Z50" s="2"/>
      <c r="AA50" s="2"/>
      <c r="AB50" s="2"/>
      <c r="AC50" s="3"/>
      <c r="AD50" s="19">
        <v>12</v>
      </c>
      <c r="AE50" s="2"/>
      <c r="AF50" s="3"/>
    </row>
    <row r="51" ht="30" customHeight="1" spans="2:37">
      <c r="B51" s="17">
        <v>44</v>
      </c>
      <c r="C51" s="19" t="s">
        <v>199</v>
      </c>
      <c r="D51" s="2"/>
      <c r="E51" s="3"/>
      <c r="F51" s="18" t="s">
        <v>196</v>
      </c>
      <c r="G51" s="2"/>
      <c r="H51" s="2"/>
      <c r="I51" s="2"/>
      <c r="J51" s="2"/>
      <c r="K51" s="2"/>
      <c r="L51" s="3"/>
      <c r="M51" s="18" t="s">
        <v>200</v>
      </c>
      <c r="N51" s="2"/>
      <c r="O51" s="2"/>
      <c r="P51" s="2"/>
      <c r="Q51" s="2"/>
      <c r="R51" s="2"/>
      <c r="S51" s="2"/>
      <c r="T51" s="3"/>
      <c r="U51" s="32" t="s">
        <v>98</v>
      </c>
      <c r="V51" s="3"/>
      <c r="W51" s="18" t="s">
        <v>201</v>
      </c>
      <c r="X51" s="2"/>
      <c r="Y51" s="2"/>
      <c r="Z51" s="2"/>
      <c r="AA51" s="2"/>
      <c r="AB51" s="2"/>
      <c r="AC51" s="3"/>
      <c r="AD51" s="19">
        <v>8</v>
      </c>
      <c r="AE51" s="2"/>
      <c r="AF51" s="3"/>
    </row>
    <row r="52" ht="22.5" customHeight="1" spans="2:37">
      <c r="B52" s="34" t="s">
        <v>54</v>
      </c>
      <c r="C52" s="2"/>
      <c r="D52" s="2"/>
      <c r="E52" s="2"/>
      <c r="F52" s="2"/>
      <c r="G52" s="2"/>
      <c r="H52" s="2"/>
      <c r="I52" s="2"/>
      <c r="J52" s="2"/>
      <c r="K52" s="2"/>
      <c r="L52" s="2"/>
      <c r="M52" s="2"/>
      <c r="N52" s="2"/>
      <c r="O52" s="2"/>
      <c r="P52" s="2"/>
      <c r="Q52" s="2"/>
      <c r="R52" s="2"/>
      <c r="S52" s="2"/>
      <c r="T52" s="3"/>
      <c r="U52" s="35"/>
      <c r="V52" s="3"/>
      <c r="W52" s="35"/>
      <c r="X52" s="2"/>
      <c r="Y52" s="2"/>
      <c r="Z52" s="2"/>
      <c r="AA52" s="2"/>
      <c r="AB52" s="2"/>
      <c r="AC52" s="3"/>
      <c r="AD52" s="35">
        <f>SUM(AD8:AD51)</f>
        <v>1682</v>
      </c>
      <c r="AE52" s="2"/>
      <c r="AF52" s="3"/>
    </row>
    <row r="53" ht="15.75" customHeight="1"/>
    <row r="54" ht="19.5" customHeight="1" spans="2:37">
      <c r="B54" s="29" t="s">
        <v>202</v>
      </c>
    </row>
    <row r="55" ht="15.75" customHeight="1"/>
    <row r="56" ht="28.5" customHeight="1" spans="2:37">
      <c r="B56" s="1" t="s">
        <v>203</v>
      </c>
      <c r="C56" s="3"/>
      <c r="D56" s="1" t="s">
        <v>204</v>
      </c>
      <c r="E56" s="2"/>
      <c r="F56" s="3"/>
      <c r="G56" s="1" t="s">
        <v>205</v>
      </c>
      <c r="H56" s="2"/>
      <c r="I56" s="2"/>
      <c r="J56" s="2"/>
      <c r="K56" s="2"/>
      <c r="L56" s="3"/>
      <c r="M56" s="1" t="s">
        <v>206</v>
      </c>
      <c r="N56" s="3"/>
      <c r="O56" s="1" t="s">
        <v>207</v>
      </c>
      <c r="P56" s="2"/>
      <c r="Q56" s="3"/>
      <c r="R56" s="1" t="s">
        <v>208</v>
      </c>
      <c r="S56" s="2"/>
      <c r="T56" s="2"/>
      <c r="U56" s="2"/>
      <c r="V56" s="2"/>
      <c r="W56" s="2"/>
      <c r="X56" s="2"/>
      <c r="Y56" s="2"/>
      <c r="Z56" s="2"/>
      <c r="AA56" s="2"/>
      <c r="AB56" s="2"/>
      <c r="AC56" s="2"/>
      <c r="AD56" s="2"/>
      <c r="AE56" s="2"/>
      <c r="AF56" s="2"/>
      <c r="AG56" s="2"/>
      <c r="AH56" s="2"/>
      <c r="AI56" s="2"/>
      <c r="AJ56" s="2"/>
      <c r="AK56" s="3"/>
    </row>
    <row r="57" ht="36" customHeight="1" spans="2:37">
      <c r="B57" s="36" t="s">
        <v>209</v>
      </c>
      <c r="C57" s="3"/>
      <c r="D57" s="19" t="s">
        <v>210</v>
      </c>
      <c r="E57" s="2"/>
      <c r="F57" s="3"/>
      <c r="G57" s="18" t="s">
        <v>211</v>
      </c>
      <c r="H57" s="2"/>
      <c r="I57" s="2"/>
      <c r="J57" s="2"/>
      <c r="K57" s="2"/>
      <c r="L57" s="3"/>
      <c r="M57" s="19">
        <v>10</v>
      </c>
      <c r="N57" s="3"/>
      <c r="O57" s="19" t="s">
        <v>78</v>
      </c>
      <c r="P57" s="2"/>
      <c r="Q57" s="3"/>
      <c r="R57" s="18" t="s">
        <v>212</v>
      </c>
      <c r="S57" s="2"/>
      <c r="T57" s="2"/>
      <c r="U57" s="2"/>
      <c r="V57" s="2"/>
      <c r="W57" s="2"/>
      <c r="X57" s="2"/>
      <c r="Y57" s="2"/>
      <c r="Z57" s="2"/>
      <c r="AA57" s="2"/>
      <c r="AB57" s="2"/>
      <c r="AC57" s="2"/>
      <c r="AD57" s="2"/>
      <c r="AE57" s="2"/>
      <c r="AF57" s="2"/>
      <c r="AG57" s="2"/>
      <c r="AH57" s="2"/>
      <c r="AI57" s="2"/>
      <c r="AJ57" s="2"/>
      <c r="AK57" s="3"/>
    </row>
    <row r="58" ht="30" customHeight="1" spans="2:37">
      <c r="B58" s="36" t="s">
        <v>213</v>
      </c>
      <c r="C58" s="3"/>
      <c r="D58" s="19" t="s">
        <v>214</v>
      </c>
      <c r="E58" s="2"/>
      <c r="F58" s="3"/>
      <c r="G58" s="18" t="s">
        <v>215</v>
      </c>
      <c r="H58" s="2"/>
      <c r="I58" s="2"/>
      <c r="J58" s="2"/>
      <c r="K58" s="2"/>
      <c r="L58" s="3"/>
      <c r="M58" s="19">
        <v>9</v>
      </c>
      <c r="N58" s="3"/>
      <c r="O58" s="19" t="s">
        <v>98</v>
      </c>
      <c r="P58" s="2"/>
      <c r="Q58" s="3"/>
      <c r="R58" s="18" t="s">
        <v>216</v>
      </c>
      <c r="S58" s="2"/>
      <c r="T58" s="2"/>
      <c r="U58" s="2"/>
      <c r="V58" s="2"/>
      <c r="W58" s="2"/>
      <c r="X58" s="2"/>
      <c r="Y58" s="2"/>
      <c r="Z58" s="2"/>
      <c r="AA58" s="2"/>
      <c r="AB58" s="2"/>
      <c r="AC58" s="2"/>
      <c r="AD58" s="2"/>
      <c r="AE58" s="2"/>
      <c r="AF58" s="2"/>
      <c r="AG58" s="2"/>
      <c r="AH58" s="2"/>
      <c r="AI58" s="2"/>
      <c r="AJ58" s="2"/>
      <c r="AK58" s="3"/>
    </row>
    <row r="59" ht="36" customHeight="1" spans="2:37">
      <c r="B59" s="36" t="s">
        <v>217</v>
      </c>
      <c r="C59" s="3"/>
      <c r="D59" s="19" t="s">
        <v>218</v>
      </c>
      <c r="E59" s="2"/>
      <c r="F59" s="3"/>
      <c r="G59" s="18" t="s">
        <v>219</v>
      </c>
      <c r="H59" s="2"/>
      <c r="I59" s="2"/>
      <c r="J59" s="2"/>
      <c r="K59" s="2"/>
      <c r="L59" s="3"/>
      <c r="M59" s="19">
        <v>8</v>
      </c>
      <c r="N59" s="3"/>
      <c r="O59" s="19" t="s">
        <v>78</v>
      </c>
      <c r="P59" s="2"/>
      <c r="Q59" s="3"/>
      <c r="R59" s="18" t="s">
        <v>220</v>
      </c>
      <c r="S59" s="2"/>
      <c r="T59" s="2"/>
      <c r="U59" s="2"/>
      <c r="V59" s="2"/>
      <c r="W59" s="2"/>
      <c r="X59" s="2"/>
      <c r="Y59" s="2"/>
      <c r="Z59" s="2"/>
      <c r="AA59" s="2"/>
      <c r="AB59" s="2"/>
      <c r="AC59" s="2"/>
      <c r="AD59" s="2"/>
      <c r="AE59" s="2"/>
      <c r="AF59" s="2"/>
      <c r="AG59" s="2"/>
      <c r="AH59" s="2"/>
      <c r="AI59" s="2"/>
      <c r="AJ59" s="2"/>
      <c r="AK59" s="3"/>
    </row>
    <row r="60" ht="36" customHeight="1" spans="2:37">
      <c r="B60" s="36" t="s">
        <v>221</v>
      </c>
      <c r="C60" s="3"/>
      <c r="D60" s="19" t="s">
        <v>222</v>
      </c>
      <c r="E60" s="2"/>
      <c r="F60" s="3"/>
      <c r="G60" s="18" t="s">
        <v>223</v>
      </c>
      <c r="H60" s="2"/>
      <c r="I60" s="2"/>
      <c r="J60" s="2"/>
      <c r="K60" s="2"/>
      <c r="L60" s="3"/>
      <c r="M60" s="19">
        <v>9</v>
      </c>
      <c r="N60" s="3"/>
      <c r="O60" s="19" t="s">
        <v>78</v>
      </c>
      <c r="P60" s="2"/>
      <c r="Q60" s="3"/>
      <c r="R60" s="18" t="s">
        <v>224</v>
      </c>
      <c r="S60" s="2"/>
      <c r="T60" s="2"/>
      <c r="U60" s="2"/>
      <c r="V60" s="2"/>
      <c r="W60" s="2"/>
      <c r="X60" s="2"/>
      <c r="Y60" s="2"/>
      <c r="Z60" s="2"/>
      <c r="AA60" s="2"/>
      <c r="AB60" s="2"/>
      <c r="AC60" s="2"/>
      <c r="AD60" s="2"/>
      <c r="AE60" s="2"/>
      <c r="AF60" s="2"/>
      <c r="AG60" s="2"/>
      <c r="AH60" s="2"/>
      <c r="AI60" s="2"/>
      <c r="AJ60" s="2"/>
      <c r="AK60" s="3"/>
    </row>
    <row r="61" ht="36" customHeight="1" spans="2:37">
      <c r="B61" s="36" t="s">
        <v>225</v>
      </c>
      <c r="C61" s="3"/>
      <c r="D61" s="19" t="s">
        <v>226</v>
      </c>
      <c r="E61" s="2"/>
      <c r="F61" s="3"/>
      <c r="G61" s="18" t="s">
        <v>227</v>
      </c>
      <c r="H61" s="2"/>
      <c r="I61" s="2"/>
      <c r="J61" s="2"/>
      <c r="K61" s="2"/>
      <c r="L61" s="3"/>
      <c r="M61" s="19">
        <v>6</v>
      </c>
      <c r="N61" s="3"/>
      <c r="O61" s="19" t="s">
        <v>228</v>
      </c>
      <c r="P61" s="2"/>
      <c r="Q61" s="3"/>
      <c r="R61" s="18" t="s">
        <v>229</v>
      </c>
      <c r="S61" s="2"/>
      <c r="T61" s="2"/>
      <c r="U61" s="2"/>
      <c r="V61" s="2"/>
      <c r="W61" s="2"/>
      <c r="X61" s="2"/>
      <c r="Y61" s="2"/>
      <c r="Z61" s="2"/>
      <c r="AA61" s="2"/>
      <c r="AB61" s="2"/>
      <c r="AC61" s="2"/>
      <c r="AD61" s="2"/>
      <c r="AE61" s="2"/>
      <c r="AF61" s="2"/>
      <c r="AG61" s="2"/>
      <c r="AH61" s="2"/>
      <c r="AI61" s="2"/>
      <c r="AJ61" s="2"/>
      <c r="AK61" s="3"/>
    </row>
    <row r="62" ht="30" customHeight="1" spans="2:37">
      <c r="B62" s="36" t="s">
        <v>230</v>
      </c>
      <c r="C62" s="3"/>
      <c r="D62" s="19" t="s">
        <v>231</v>
      </c>
      <c r="E62" s="2"/>
      <c r="F62" s="3"/>
      <c r="G62" s="18" t="s">
        <v>232</v>
      </c>
      <c r="H62" s="2"/>
      <c r="I62" s="2"/>
      <c r="J62" s="2"/>
      <c r="K62" s="2"/>
      <c r="L62" s="3"/>
      <c r="M62" s="19">
        <v>2</v>
      </c>
      <c r="N62" s="3"/>
      <c r="O62" s="19" t="s">
        <v>98</v>
      </c>
      <c r="P62" s="2"/>
      <c r="Q62" s="3"/>
      <c r="R62" s="18" t="s">
        <v>233</v>
      </c>
      <c r="S62" s="2"/>
      <c r="T62" s="2"/>
      <c r="U62" s="2"/>
      <c r="V62" s="2"/>
      <c r="W62" s="2"/>
      <c r="X62" s="2"/>
      <c r="Y62" s="2"/>
      <c r="Z62" s="2"/>
      <c r="AA62" s="2"/>
      <c r="AB62" s="2"/>
      <c r="AC62" s="2"/>
      <c r="AD62" s="2"/>
      <c r="AE62" s="2"/>
      <c r="AF62" s="2"/>
      <c r="AG62" s="2"/>
      <c r="AH62" s="2"/>
      <c r="AI62" s="2"/>
      <c r="AJ62" s="2"/>
      <c r="AK62" s="3"/>
    </row>
    <row r="63" ht="15.75" customHeight="1"/>
    <row r="64" ht="30" customHeight="1" spans="2:37">
      <c r="B64" s="37" t="s">
        <v>234</v>
      </c>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3"/>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3">
    <mergeCell ref="A1:I1"/>
    <mergeCell ref="J1:P1"/>
    <mergeCell ref="Q1:U1"/>
    <mergeCell ref="V1:Y1"/>
    <mergeCell ref="Z1:AC1"/>
    <mergeCell ref="AD1:AG1"/>
    <mergeCell ref="AH1:AK1"/>
    <mergeCell ref="B5:AK5"/>
    <mergeCell ref="C7:E7"/>
    <mergeCell ref="F7:L7"/>
    <mergeCell ref="M7:T7"/>
    <mergeCell ref="U7:V7"/>
    <mergeCell ref="W7:AC7"/>
    <mergeCell ref="AD7:AF7"/>
    <mergeCell ref="C8:E8"/>
    <mergeCell ref="F8:L8"/>
    <mergeCell ref="M8:T8"/>
    <mergeCell ref="U8:V8"/>
    <mergeCell ref="W8:AC8"/>
    <mergeCell ref="AD8:AF8"/>
    <mergeCell ref="C9:E9"/>
    <mergeCell ref="F9:L9"/>
    <mergeCell ref="M9:T9"/>
    <mergeCell ref="U9:V9"/>
    <mergeCell ref="W9:AC9"/>
    <mergeCell ref="AD9:AF9"/>
    <mergeCell ref="C10:E10"/>
    <mergeCell ref="F10:L10"/>
    <mergeCell ref="M10:T10"/>
    <mergeCell ref="U10:V10"/>
    <mergeCell ref="W10:AC10"/>
    <mergeCell ref="AD10:AF10"/>
    <mergeCell ref="C11:E11"/>
    <mergeCell ref="F11:L11"/>
    <mergeCell ref="M11:T11"/>
    <mergeCell ref="U11:V11"/>
    <mergeCell ref="W11:AC11"/>
    <mergeCell ref="AD11:AF11"/>
    <mergeCell ref="C12:E12"/>
    <mergeCell ref="F12:L12"/>
    <mergeCell ref="M12:T12"/>
    <mergeCell ref="U12:V12"/>
    <mergeCell ref="W12:AC12"/>
    <mergeCell ref="AD12:AF12"/>
    <mergeCell ref="C13:E13"/>
    <mergeCell ref="F13:L13"/>
    <mergeCell ref="M13:T13"/>
    <mergeCell ref="U13:V13"/>
    <mergeCell ref="W13:AC13"/>
    <mergeCell ref="AD13:AF13"/>
    <mergeCell ref="C14:E14"/>
    <mergeCell ref="F14:L14"/>
    <mergeCell ref="M14:T14"/>
    <mergeCell ref="U14:V14"/>
    <mergeCell ref="W14:AC14"/>
    <mergeCell ref="AD14:AF14"/>
    <mergeCell ref="C15:E15"/>
    <mergeCell ref="F15:L15"/>
    <mergeCell ref="M15:T15"/>
    <mergeCell ref="U15:V15"/>
    <mergeCell ref="W15:AC15"/>
    <mergeCell ref="AD15:AF15"/>
    <mergeCell ref="C16:E16"/>
    <mergeCell ref="F16:L16"/>
    <mergeCell ref="M16:T16"/>
    <mergeCell ref="U16:V16"/>
    <mergeCell ref="W16:AC16"/>
    <mergeCell ref="AD16:AF16"/>
    <mergeCell ref="C17:E17"/>
    <mergeCell ref="F17:L17"/>
    <mergeCell ref="M17:T17"/>
    <mergeCell ref="U17:V17"/>
    <mergeCell ref="W17:AC17"/>
    <mergeCell ref="AD17:AF17"/>
    <mergeCell ref="C18:E18"/>
    <mergeCell ref="F18:L18"/>
    <mergeCell ref="M18:T18"/>
    <mergeCell ref="U18:V18"/>
    <mergeCell ref="W18:AC18"/>
    <mergeCell ref="AD18:AF18"/>
    <mergeCell ref="C19:E19"/>
    <mergeCell ref="F19:L19"/>
    <mergeCell ref="M19:T19"/>
    <mergeCell ref="U19:V19"/>
    <mergeCell ref="W19:AC19"/>
    <mergeCell ref="AD19:AF19"/>
    <mergeCell ref="C20:E20"/>
    <mergeCell ref="F20:L20"/>
    <mergeCell ref="M20:T20"/>
    <mergeCell ref="U20:V20"/>
    <mergeCell ref="W20:AC20"/>
    <mergeCell ref="AD20:AF20"/>
    <mergeCell ref="C21:E21"/>
    <mergeCell ref="F21:L21"/>
    <mergeCell ref="M21:T21"/>
    <mergeCell ref="U21:V21"/>
    <mergeCell ref="W21:AC21"/>
    <mergeCell ref="AD21:AF21"/>
    <mergeCell ref="C22:E22"/>
    <mergeCell ref="F22:L22"/>
    <mergeCell ref="M22:T22"/>
    <mergeCell ref="U22:V22"/>
    <mergeCell ref="W22:AC22"/>
    <mergeCell ref="AD22:AF22"/>
    <mergeCell ref="C23:E23"/>
    <mergeCell ref="F23:L23"/>
    <mergeCell ref="M23:T23"/>
    <mergeCell ref="U23:V23"/>
    <mergeCell ref="W23:AC23"/>
    <mergeCell ref="AD23:AF23"/>
    <mergeCell ref="C24:E24"/>
    <mergeCell ref="F24:L24"/>
    <mergeCell ref="M24:T24"/>
    <mergeCell ref="U24:V24"/>
    <mergeCell ref="W24:AC24"/>
    <mergeCell ref="AD24:AF24"/>
    <mergeCell ref="C25:E25"/>
    <mergeCell ref="F25:L25"/>
    <mergeCell ref="M25:T25"/>
    <mergeCell ref="U25:V25"/>
    <mergeCell ref="W25:AC25"/>
    <mergeCell ref="AD25:AF25"/>
    <mergeCell ref="C26:E26"/>
    <mergeCell ref="F26:L26"/>
    <mergeCell ref="M26:T26"/>
    <mergeCell ref="U26:V26"/>
    <mergeCell ref="W26:AC26"/>
    <mergeCell ref="AD26:AF26"/>
    <mergeCell ref="C27:E27"/>
    <mergeCell ref="F27:L27"/>
    <mergeCell ref="M27:T27"/>
    <mergeCell ref="U27:V27"/>
    <mergeCell ref="W27:AC27"/>
    <mergeCell ref="AD27:AF27"/>
    <mergeCell ref="C28:E28"/>
    <mergeCell ref="F28:L28"/>
    <mergeCell ref="M28:T28"/>
    <mergeCell ref="U28:V28"/>
    <mergeCell ref="W28:AC28"/>
    <mergeCell ref="AD28:AF28"/>
    <mergeCell ref="C29:E29"/>
    <mergeCell ref="F29:L29"/>
    <mergeCell ref="M29:T29"/>
    <mergeCell ref="U29:V29"/>
    <mergeCell ref="W29:AC29"/>
    <mergeCell ref="AD29:AF29"/>
    <mergeCell ref="C30:E30"/>
    <mergeCell ref="F30:L30"/>
    <mergeCell ref="M30:T30"/>
    <mergeCell ref="U30:V30"/>
    <mergeCell ref="W30:AC30"/>
    <mergeCell ref="AD30:AF30"/>
    <mergeCell ref="C31:E31"/>
    <mergeCell ref="F31:L31"/>
    <mergeCell ref="M31:T31"/>
    <mergeCell ref="U31:V31"/>
    <mergeCell ref="W31:AC31"/>
    <mergeCell ref="AD31:AF31"/>
    <mergeCell ref="C32:E32"/>
    <mergeCell ref="F32:L32"/>
    <mergeCell ref="M32:T32"/>
    <mergeCell ref="U32:V32"/>
    <mergeCell ref="W32:AC32"/>
    <mergeCell ref="AD32:AF32"/>
    <mergeCell ref="C33:E33"/>
    <mergeCell ref="F33:L33"/>
    <mergeCell ref="M33:T33"/>
    <mergeCell ref="U33:V33"/>
    <mergeCell ref="W33:AC33"/>
    <mergeCell ref="AD33:AF33"/>
    <mergeCell ref="C34:E34"/>
    <mergeCell ref="F34:L34"/>
    <mergeCell ref="M34:T34"/>
    <mergeCell ref="U34:V34"/>
    <mergeCell ref="W34:AC34"/>
    <mergeCell ref="AD34:AF34"/>
    <mergeCell ref="C35:E35"/>
    <mergeCell ref="F35:L35"/>
    <mergeCell ref="M35:T35"/>
    <mergeCell ref="U35:V35"/>
    <mergeCell ref="W35:AC35"/>
    <mergeCell ref="AD35:AF35"/>
    <mergeCell ref="C36:E36"/>
    <mergeCell ref="F36:L36"/>
    <mergeCell ref="M36:T36"/>
    <mergeCell ref="U36:V36"/>
    <mergeCell ref="W36:AC36"/>
    <mergeCell ref="AD36:AF36"/>
    <mergeCell ref="C37:E37"/>
    <mergeCell ref="F37:L37"/>
    <mergeCell ref="M37:T37"/>
    <mergeCell ref="U37:V37"/>
    <mergeCell ref="W37:AC37"/>
    <mergeCell ref="AD37:AF37"/>
    <mergeCell ref="C38:E38"/>
    <mergeCell ref="F38:L38"/>
    <mergeCell ref="M38:T38"/>
    <mergeCell ref="U38:V38"/>
    <mergeCell ref="W38:AC38"/>
    <mergeCell ref="AD38:AF38"/>
    <mergeCell ref="C39:E39"/>
    <mergeCell ref="F39:L39"/>
    <mergeCell ref="M39:T39"/>
    <mergeCell ref="U39:V39"/>
    <mergeCell ref="W39:AC39"/>
    <mergeCell ref="AD39:AF39"/>
    <mergeCell ref="C40:E40"/>
    <mergeCell ref="F40:L40"/>
    <mergeCell ref="M40:T40"/>
    <mergeCell ref="U40:V40"/>
    <mergeCell ref="W40:AC40"/>
    <mergeCell ref="AD40:AF40"/>
    <mergeCell ref="C41:E41"/>
    <mergeCell ref="F41:L41"/>
    <mergeCell ref="M41:T41"/>
    <mergeCell ref="U41:V41"/>
    <mergeCell ref="W41:AC41"/>
    <mergeCell ref="AD41:AF41"/>
    <mergeCell ref="C42:E42"/>
    <mergeCell ref="F42:L42"/>
    <mergeCell ref="M42:T42"/>
    <mergeCell ref="U42:V42"/>
    <mergeCell ref="W42:AC42"/>
    <mergeCell ref="AD42:AF42"/>
    <mergeCell ref="C43:E43"/>
    <mergeCell ref="F43:L43"/>
    <mergeCell ref="M43:T43"/>
    <mergeCell ref="U43:V43"/>
    <mergeCell ref="W43:AC43"/>
    <mergeCell ref="AD43:AF43"/>
    <mergeCell ref="C44:E44"/>
    <mergeCell ref="F44:L44"/>
    <mergeCell ref="M44:T44"/>
    <mergeCell ref="U44:V44"/>
    <mergeCell ref="W44:AC44"/>
    <mergeCell ref="AD44:AF44"/>
    <mergeCell ref="C45:E45"/>
    <mergeCell ref="F45:L45"/>
    <mergeCell ref="M45:T45"/>
    <mergeCell ref="U45:V45"/>
    <mergeCell ref="W45:AC45"/>
    <mergeCell ref="AD45:AF45"/>
    <mergeCell ref="C46:E46"/>
    <mergeCell ref="F46:L46"/>
    <mergeCell ref="M46:T46"/>
    <mergeCell ref="U46:V46"/>
    <mergeCell ref="W46:AC46"/>
    <mergeCell ref="AD46:AF46"/>
    <mergeCell ref="C47:E47"/>
    <mergeCell ref="F47:L47"/>
    <mergeCell ref="M47:T47"/>
    <mergeCell ref="U47:V47"/>
    <mergeCell ref="W47:AC47"/>
    <mergeCell ref="AD47:AF47"/>
    <mergeCell ref="C48:E48"/>
    <mergeCell ref="F48:L48"/>
    <mergeCell ref="M48:T48"/>
    <mergeCell ref="U48:V48"/>
    <mergeCell ref="W48:AC48"/>
    <mergeCell ref="AD48:AF48"/>
    <mergeCell ref="C49:E49"/>
    <mergeCell ref="F49:L49"/>
    <mergeCell ref="M49:T49"/>
    <mergeCell ref="U49:V49"/>
    <mergeCell ref="W49:AC49"/>
    <mergeCell ref="AD49:AF49"/>
    <mergeCell ref="C50:E50"/>
    <mergeCell ref="F50:L50"/>
    <mergeCell ref="M50:T50"/>
    <mergeCell ref="U50:V50"/>
    <mergeCell ref="W50:AC50"/>
    <mergeCell ref="AD50:AF50"/>
    <mergeCell ref="C51:E51"/>
    <mergeCell ref="F51:L51"/>
    <mergeCell ref="M51:T51"/>
    <mergeCell ref="U51:V51"/>
    <mergeCell ref="W51:AC51"/>
    <mergeCell ref="AD51:AF51"/>
    <mergeCell ref="B52:T52"/>
    <mergeCell ref="U52:V52"/>
    <mergeCell ref="W52:AC52"/>
    <mergeCell ref="AD52:AF52"/>
    <mergeCell ref="B54:AK54"/>
    <mergeCell ref="B56:C56"/>
    <mergeCell ref="D56:F56"/>
    <mergeCell ref="G56:L56"/>
    <mergeCell ref="M56:N56"/>
    <mergeCell ref="O56:Q56"/>
    <mergeCell ref="R56:AK56"/>
    <mergeCell ref="B57:C57"/>
    <mergeCell ref="D57:F57"/>
    <mergeCell ref="G57:L57"/>
    <mergeCell ref="M57:N57"/>
    <mergeCell ref="O57:Q57"/>
    <mergeCell ref="R57:AK57"/>
    <mergeCell ref="B58:C58"/>
    <mergeCell ref="D58:F58"/>
    <mergeCell ref="G58:L58"/>
    <mergeCell ref="M58:N58"/>
    <mergeCell ref="O58:Q58"/>
    <mergeCell ref="R58:AK58"/>
    <mergeCell ref="B59:C59"/>
    <mergeCell ref="D59:F59"/>
    <mergeCell ref="G59:L59"/>
    <mergeCell ref="M59:N59"/>
    <mergeCell ref="O59:Q59"/>
    <mergeCell ref="R59:AK59"/>
    <mergeCell ref="B60:C60"/>
    <mergeCell ref="D60:F60"/>
    <mergeCell ref="G60:L60"/>
    <mergeCell ref="M60:N60"/>
    <mergeCell ref="O60:Q60"/>
    <mergeCell ref="R60:AK60"/>
    <mergeCell ref="B61:C61"/>
    <mergeCell ref="D61:F61"/>
    <mergeCell ref="G61:L61"/>
    <mergeCell ref="M61:N61"/>
    <mergeCell ref="O61:Q61"/>
    <mergeCell ref="R61:AK61"/>
    <mergeCell ref="B62:C62"/>
    <mergeCell ref="D62:F62"/>
    <mergeCell ref="G62:L62"/>
    <mergeCell ref="M62:N62"/>
    <mergeCell ref="O62:Q62"/>
    <mergeCell ref="R62:AK62"/>
    <mergeCell ref="B64:AK64"/>
    <mergeCell ref="J2:P3"/>
    <mergeCell ref="Q2:U3"/>
    <mergeCell ref="V2:Y3"/>
    <mergeCell ref="Z2:AC3"/>
    <mergeCell ref="AD2:AG3"/>
    <mergeCell ref="AH2:AK3"/>
    <mergeCell ref="A2:I3"/>
  </mergeCells>
  <pageMargins left="0.75" right="0.75" top="1" bottom="1" header="0" footer="0"/>
  <pageSetup paperSize="1"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1000"/>
  <sheetViews>
    <sheetView showGridLines="0" tabSelected="1" topLeftCell="A54" workbookViewId="0">
      <selection activeCell="AY54" sqref="AY54:BA54"/>
    </sheetView>
  </sheetViews>
  <sheetFormatPr defaultColWidth="14.4285714285714" defaultRowHeight="15" customHeight="1"/>
  <cols>
    <col min="1" max="69" width="4" customWidth="1"/>
  </cols>
  <sheetData>
    <row r="1" ht="22.5" customHeight="1" spans="1:69">
      <c r="A1" s="1" t="s">
        <v>235</v>
      </c>
      <c r="B1" s="2"/>
      <c r="C1" s="2"/>
      <c r="D1" s="2"/>
      <c r="E1" s="3"/>
      <c r="F1" s="4" t="s">
        <v>236</v>
      </c>
      <c r="G1" s="2"/>
      <c r="H1" s="2"/>
      <c r="I1" s="2"/>
      <c r="J1" s="2"/>
      <c r="K1" s="2"/>
      <c r="L1" s="2"/>
      <c r="M1" s="2"/>
      <c r="N1" s="2"/>
      <c r="O1" s="2"/>
      <c r="P1" s="2"/>
      <c r="Q1" s="3"/>
      <c r="R1" s="1" t="s">
        <v>237</v>
      </c>
      <c r="S1" s="2"/>
      <c r="T1" s="2"/>
      <c r="U1" s="2"/>
      <c r="V1" s="3"/>
      <c r="W1" s="4" t="s">
        <v>238</v>
      </c>
      <c r="X1" s="2"/>
      <c r="Y1" s="2"/>
      <c r="Z1" s="2"/>
      <c r="AA1" s="2"/>
      <c r="AB1" s="2"/>
      <c r="AC1" s="2"/>
      <c r="AD1" s="2"/>
      <c r="AE1" s="2"/>
      <c r="AF1" s="2"/>
      <c r="AG1" s="2"/>
      <c r="AH1" s="3"/>
    </row>
    <row r="2" ht="22.5" customHeight="1" spans="1:69">
      <c r="A2" s="1" t="s">
        <v>23</v>
      </c>
      <c r="B2" s="2"/>
      <c r="C2" s="2"/>
      <c r="D2" s="2"/>
      <c r="E2" s="3"/>
      <c r="F2" s="4" t="s">
        <v>16</v>
      </c>
      <c r="G2" s="2"/>
      <c r="H2" s="2"/>
      <c r="I2" s="2"/>
      <c r="J2" s="2"/>
      <c r="K2" s="2"/>
      <c r="L2" s="2"/>
      <c r="M2" s="2"/>
      <c r="N2" s="2"/>
      <c r="O2" s="2"/>
      <c r="P2" s="2"/>
      <c r="Q2" s="3"/>
      <c r="R2" s="1" t="s">
        <v>22</v>
      </c>
      <c r="S2" s="2"/>
      <c r="T2" s="2"/>
      <c r="U2" s="2"/>
      <c r="V2" s="3"/>
      <c r="W2" s="5" t="s">
        <v>8</v>
      </c>
      <c r="X2" s="2"/>
      <c r="Y2" s="2"/>
      <c r="Z2" s="2"/>
      <c r="AA2" s="2"/>
      <c r="AB2" s="2"/>
      <c r="AC2" s="2"/>
      <c r="AD2" s="2"/>
      <c r="AE2" s="2"/>
      <c r="AF2" s="2"/>
      <c r="AG2" s="2"/>
      <c r="AH2" s="3"/>
    </row>
    <row r="3" ht="22.5" customHeight="1" spans="1:69">
      <c r="A3" s="1" t="s">
        <v>13</v>
      </c>
      <c r="B3" s="2"/>
      <c r="C3" s="2"/>
      <c r="D3" s="2"/>
      <c r="E3" s="3"/>
      <c r="F3" s="4" t="s">
        <v>18</v>
      </c>
      <c r="G3" s="2"/>
      <c r="H3" s="2"/>
      <c r="I3" s="2"/>
      <c r="J3" s="2"/>
      <c r="K3" s="2"/>
      <c r="L3" s="2"/>
      <c r="M3" s="2"/>
      <c r="N3" s="2"/>
      <c r="O3" s="2"/>
      <c r="P3" s="2"/>
      <c r="Q3" s="3"/>
      <c r="R3" s="1" t="s">
        <v>239</v>
      </c>
      <c r="S3" s="2"/>
      <c r="T3" s="2"/>
      <c r="U3" s="2"/>
      <c r="V3" s="3"/>
      <c r="W3" s="5"/>
      <c r="X3" s="2"/>
      <c r="Y3" s="2"/>
      <c r="Z3" s="2"/>
      <c r="AA3" s="2"/>
      <c r="AB3" s="2"/>
      <c r="AC3" s="2"/>
      <c r="AD3" s="2"/>
      <c r="AE3" s="2"/>
      <c r="AF3" s="2"/>
      <c r="AG3" s="2"/>
      <c r="AH3" s="3"/>
    </row>
    <row r="4" ht="22.5" customHeight="1" spans="1:69">
      <c r="A4" s="1" t="s">
        <v>240</v>
      </c>
      <c r="B4" s="2"/>
      <c r="C4" s="2"/>
      <c r="D4" s="2"/>
      <c r="E4" s="3"/>
      <c r="F4" s="4" t="s">
        <v>241</v>
      </c>
      <c r="G4" s="2"/>
      <c r="H4" s="2"/>
      <c r="I4" s="2"/>
      <c r="J4" s="2"/>
      <c r="K4" s="2"/>
      <c r="L4" s="2"/>
      <c r="M4" s="2"/>
      <c r="N4" s="2"/>
      <c r="O4" s="2"/>
      <c r="P4" s="2"/>
      <c r="Q4" s="2"/>
      <c r="R4" s="2"/>
      <c r="S4" s="2"/>
      <c r="T4" s="2"/>
      <c r="U4" s="2"/>
      <c r="V4" s="2"/>
      <c r="W4" s="2"/>
      <c r="X4" s="2"/>
      <c r="Y4" s="2"/>
      <c r="Z4" s="2"/>
      <c r="AA4" s="2"/>
      <c r="AB4" s="2"/>
      <c r="AC4" s="2"/>
      <c r="AD4" s="2"/>
      <c r="AE4" s="2"/>
      <c r="AF4" s="2"/>
      <c r="AG4" s="2"/>
      <c r="AH4" s="3"/>
    </row>
    <row r="5" ht="22.5" customHeight="1" spans="1:69">
      <c r="A5" s="1" t="s">
        <v>242</v>
      </c>
      <c r="B5" s="2"/>
      <c r="C5" s="2"/>
      <c r="D5" s="2"/>
      <c r="E5" s="2"/>
      <c r="F5" s="2"/>
      <c r="G5" s="2"/>
      <c r="H5" s="2"/>
      <c r="I5" s="2"/>
      <c r="J5" s="2"/>
      <c r="K5" s="2"/>
      <c r="L5" s="2"/>
      <c r="M5" s="2"/>
      <c r="N5" s="2"/>
      <c r="O5" s="2"/>
      <c r="P5" s="2"/>
      <c r="Q5" s="2"/>
      <c r="R5" s="2"/>
      <c r="S5" s="3"/>
      <c r="T5" s="1" t="s">
        <v>55</v>
      </c>
      <c r="U5" s="2"/>
      <c r="V5" s="2"/>
      <c r="W5" s="2"/>
      <c r="X5" s="2"/>
      <c r="Y5" s="2"/>
      <c r="Z5" s="2"/>
      <c r="AA5" s="2"/>
      <c r="AB5" s="2"/>
      <c r="AC5" s="2"/>
      <c r="AD5" s="2"/>
      <c r="AE5" s="2"/>
      <c r="AF5" s="2"/>
      <c r="AG5" s="2"/>
      <c r="AH5" s="3"/>
    </row>
    <row r="6" ht="22.5" customHeight="1" spans="1:69">
      <c r="A6" s="1" t="s">
        <v>243</v>
      </c>
      <c r="B6" s="2"/>
      <c r="C6" s="2"/>
      <c r="D6" s="2"/>
      <c r="E6" s="2"/>
      <c r="F6" s="2"/>
      <c r="G6" s="3"/>
      <c r="H6" s="1" t="s">
        <v>56</v>
      </c>
      <c r="I6" s="2"/>
      <c r="J6" s="3"/>
      <c r="K6" s="1" t="s">
        <v>57</v>
      </c>
      <c r="L6" s="2"/>
      <c r="M6" s="3"/>
      <c r="N6" s="1" t="s">
        <v>244</v>
      </c>
      <c r="O6" s="2"/>
      <c r="P6" s="3"/>
      <c r="Q6" s="1" t="s">
        <v>54</v>
      </c>
      <c r="R6" s="2"/>
      <c r="S6" s="3"/>
      <c r="T6" s="1" t="s">
        <v>59</v>
      </c>
      <c r="U6" s="2"/>
      <c r="V6" s="3"/>
      <c r="W6" s="1" t="s">
        <v>60</v>
      </c>
      <c r="X6" s="2"/>
      <c r="Y6" s="3"/>
      <c r="Z6" s="1" t="s">
        <v>61</v>
      </c>
      <c r="AA6" s="2"/>
      <c r="AB6" s="3"/>
      <c r="AC6" s="1" t="s">
        <v>62</v>
      </c>
      <c r="AD6" s="2"/>
      <c r="AE6" s="3"/>
      <c r="AF6" s="1" t="s">
        <v>54</v>
      </c>
      <c r="AG6" s="2"/>
      <c r="AH6" s="3"/>
    </row>
    <row r="7" ht="22.5" customHeight="1" spans="1:69">
      <c r="A7" s="1" t="s">
        <v>245</v>
      </c>
      <c r="B7" s="2"/>
      <c r="C7" s="2"/>
      <c r="D7" s="2"/>
      <c r="E7" s="2"/>
      <c r="F7" s="2"/>
      <c r="G7" s="3"/>
      <c r="H7" s="6">
        <f t="shared" ref="H7:H8" si="0">COUNTIF($AE$12:$AF$1049,"N")</f>
        <v>29</v>
      </c>
      <c r="I7" s="2"/>
      <c r="J7" s="3"/>
      <c r="K7" s="6">
        <f t="shared" ref="K7:K8" si="1">COUNTIF($AE$12:$AF$1049,"A")</f>
        <v>14</v>
      </c>
      <c r="L7" s="2"/>
      <c r="M7" s="3"/>
      <c r="N7" s="6">
        <f t="shared" ref="N7:N8" si="2">COUNTIF($AE$12:$AF$1049,"B")</f>
        <v>8</v>
      </c>
      <c r="O7" s="2"/>
      <c r="P7" s="3"/>
      <c r="Q7" s="7">
        <f t="shared" ref="Q7:Q8" si="3">SUM(H7:P7)</f>
        <v>51</v>
      </c>
      <c r="R7" s="2"/>
      <c r="S7" s="3"/>
      <c r="T7" s="6">
        <f>COUNTIF($AG$12:$AI$1049,T$6)</f>
        <v>48</v>
      </c>
      <c r="U7" s="2"/>
      <c r="V7" s="3"/>
      <c r="W7" s="6">
        <f>COUNTIF($AG$12:$AI$1049,W$6)</f>
        <v>0</v>
      </c>
      <c r="X7" s="2"/>
      <c r="Y7" s="3"/>
      <c r="Z7" s="6">
        <f>COUNTIF($AG$12:$AI$1049,Z$6)</f>
        <v>2</v>
      </c>
      <c r="AA7" s="2"/>
      <c r="AB7" s="3"/>
      <c r="AC7" s="6">
        <f>COUNTIF($AG$12:$AI$1049,AC$6)</f>
        <v>1</v>
      </c>
      <c r="AD7" s="2"/>
      <c r="AE7" s="3"/>
      <c r="AF7" s="7">
        <f t="shared" ref="AF7:AF8" si="4">SUM(T7:AE7)</f>
        <v>51</v>
      </c>
      <c r="AG7" s="2"/>
      <c r="AH7" s="3"/>
    </row>
    <row r="8" ht="22.5" customHeight="1" spans="1:69">
      <c r="A8" s="1" t="s">
        <v>246</v>
      </c>
      <c r="B8" s="2"/>
      <c r="C8" s="2"/>
      <c r="D8" s="2"/>
      <c r="E8" s="2"/>
      <c r="F8" s="2"/>
      <c r="G8" s="3"/>
      <c r="H8" s="6">
        <f t="shared" si="0"/>
        <v>29</v>
      </c>
      <c r="I8" s="2"/>
      <c r="J8" s="3"/>
      <c r="K8" s="6">
        <f t="shared" si="1"/>
        <v>14</v>
      </c>
      <c r="L8" s="2"/>
      <c r="M8" s="3"/>
      <c r="N8" s="6">
        <f t="shared" si="2"/>
        <v>8</v>
      </c>
      <c r="O8" s="2"/>
      <c r="P8" s="3"/>
      <c r="Q8" s="7">
        <f t="shared" si="3"/>
        <v>51</v>
      </c>
      <c r="R8" s="2"/>
      <c r="S8" s="3"/>
      <c r="T8" s="6">
        <f>COUNTIF($AV$12:$AX$1049,T$6)</f>
        <v>50</v>
      </c>
      <c r="U8" s="2"/>
      <c r="V8" s="3"/>
      <c r="W8" s="6">
        <f>COUNTIF($AV$12:$AX$1049,W$6)</f>
        <v>0</v>
      </c>
      <c r="X8" s="2"/>
      <c r="Y8" s="3"/>
      <c r="Z8" s="6">
        <f>COUNTIF($AV$12:$AX$1049,Z$6)</f>
        <v>0</v>
      </c>
      <c r="AA8" s="2"/>
      <c r="AB8" s="3"/>
      <c r="AC8" s="6">
        <f>COUNTIF($AV$12:$AX$1049,AC$6)</f>
        <v>1</v>
      </c>
      <c r="AD8" s="2"/>
      <c r="AE8" s="3"/>
      <c r="AF8" s="7">
        <f t="shared" si="4"/>
        <v>51</v>
      </c>
      <c r="AG8" s="2"/>
      <c r="AH8" s="3"/>
    </row>
    <row r="9" ht="12.75" customHeight="1"/>
    <row r="10" ht="36" customHeight="1" spans="1:69">
      <c r="A10" s="8" t="s">
        <v>51</v>
      </c>
      <c r="B10" s="9" t="s">
        <v>247</v>
      </c>
      <c r="C10" s="10"/>
      <c r="D10" s="11"/>
      <c r="E10" s="9" t="s">
        <v>248</v>
      </c>
      <c r="F10" s="10"/>
      <c r="G10" s="10"/>
      <c r="H10" s="10"/>
      <c r="I10" s="11"/>
      <c r="J10" s="9" t="s">
        <v>249</v>
      </c>
      <c r="K10" s="10"/>
      <c r="L10" s="10"/>
      <c r="M10" s="10"/>
      <c r="N10" s="10"/>
      <c r="O10" s="10"/>
      <c r="P10" s="11"/>
      <c r="Q10" s="9" t="s">
        <v>250</v>
      </c>
      <c r="R10" s="10"/>
      <c r="S10" s="10"/>
      <c r="T10" s="10"/>
      <c r="U10" s="10"/>
      <c r="V10" s="10"/>
      <c r="W10" s="11"/>
      <c r="X10" s="9" t="s">
        <v>251</v>
      </c>
      <c r="Y10" s="10"/>
      <c r="Z10" s="10"/>
      <c r="AA10" s="10"/>
      <c r="AB10" s="10"/>
      <c r="AC10" s="10"/>
      <c r="AD10" s="11"/>
      <c r="AE10" s="9" t="s">
        <v>252</v>
      </c>
      <c r="AF10" s="11"/>
      <c r="AG10" s="1" t="s">
        <v>253</v>
      </c>
      <c r="AH10" s="2"/>
      <c r="AI10" s="2"/>
      <c r="AJ10" s="2"/>
      <c r="AK10" s="2"/>
      <c r="AL10" s="2"/>
      <c r="AM10" s="2"/>
      <c r="AN10" s="2"/>
      <c r="AO10" s="2"/>
      <c r="AP10" s="2"/>
      <c r="AQ10" s="2"/>
      <c r="AR10" s="2"/>
      <c r="AS10" s="2"/>
      <c r="AT10" s="2"/>
      <c r="AU10" s="3"/>
      <c r="AV10" s="1" t="s">
        <v>254</v>
      </c>
      <c r="AW10" s="2"/>
      <c r="AX10" s="2"/>
      <c r="AY10" s="2"/>
      <c r="AZ10" s="2"/>
      <c r="BA10" s="2"/>
      <c r="BB10" s="2"/>
      <c r="BC10" s="2"/>
      <c r="BD10" s="2"/>
      <c r="BE10" s="2"/>
      <c r="BF10" s="2"/>
      <c r="BG10" s="2"/>
      <c r="BH10" s="2"/>
      <c r="BI10" s="2"/>
      <c r="BJ10" s="3"/>
      <c r="BK10" s="9" t="s">
        <v>255</v>
      </c>
      <c r="BL10" s="10"/>
      <c r="BM10" s="10"/>
      <c r="BN10" s="10"/>
      <c r="BO10" s="10"/>
      <c r="BP10" s="10"/>
      <c r="BQ10" s="11"/>
    </row>
    <row r="11" ht="36" customHeight="1" spans="1:69">
      <c r="A11" s="12"/>
      <c r="B11" s="13"/>
      <c r="C11" s="14"/>
      <c r="D11" s="15"/>
      <c r="E11" s="13"/>
      <c r="F11" s="14"/>
      <c r="G11" s="14"/>
      <c r="H11" s="14"/>
      <c r="I11" s="15"/>
      <c r="J11" s="13"/>
      <c r="K11" s="14"/>
      <c r="L11" s="14"/>
      <c r="M11" s="14"/>
      <c r="N11" s="14"/>
      <c r="O11" s="14"/>
      <c r="P11" s="15"/>
      <c r="Q11" s="13"/>
      <c r="R11" s="14"/>
      <c r="S11" s="14"/>
      <c r="T11" s="14"/>
      <c r="U11" s="14"/>
      <c r="V11" s="14"/>
      <c r="W11" s="15"/>
      <c r="X11" s="13"/>
      <c r="Y11" s="14"/>
      <c r="Z11" s="14"/>
      <c r="AA11" s="14"/>
      <c r="AB11" s="14"/>
      <c r="AC11" s="14"/>
      <c r="AD11" s="15"/>
      <c r="AE11" s="13"/>
      <c r="AF11" s="15"/>
      <c r="AG11" s="1" t="s">
        <v>256</v>
      </c>
      <c r="AH11" s="2"/>
      <c r="AI11" s="3"/>
      <c r="AJ11" s="1" t="s">
        <v>257</v>
      </c>
      <c r="AK11" s="2"/>
      <c r="AL11" s="3"/>
      <c r="AM11" s="1" t="s">
        <v>11</v>
      </c>
      <c r="AN11" s="2"/>
      <c r="AO11" s="3"/>
      <c r="AP11" s="1" t="s">
        <v>258</v>
      </c>
      <c r="AQ11" s="2"/>
      <c r="AR11" s="3"/>
      <c r="AS11" s="1" t="s">
        <v>259</v>
      </c>
      <c r="AT11" s="2"/>
      <c r="AU11" s="3"/>
      <c r="AV11" s="1" t="s">
        <v>256</v>
      </c>
      <c r="AW11" s="2"/>
      <c r="AX11" s="3"/>
      <c r="AY11" s="1" t="s">
        <v>257</v>
      </c>
      <c r="AZ11" s="2"/>
      <c r="BA11" s="3"/>
      <c r="BB11" s="1" t="s">
        <v>11</v>
      </c>
      <c r="BC11" s="2"/>
      <c r="BD11" s="3"/>
      <c r="BE11" s="1" t="s">
        <v>258</v>
      </c>
      <c r="BF11" s="2"/>
      <c r="BG11" s="3"/>
      <c r="BH11" s="1" t="s">
        <v>259</v>
      </c>
      <c r="BI11" s="2"/>
      <c r="BJ11" s="3"/>
      <c r="BK11" s="13"/>
      <c r="BL11" s="14"/>
      <c r="BM11" s="14"/>
      <c r="BN11" s="14"/>
      <c r="BO11" s="14"/>
      <c r="BP11" s="14"/>
      <c r="BQ11" s="15"/>
    </row>
    <row r="12" ht="22.5" customHeight="1" spans="1:69">
      <c r="A12" s="16" t="s">
        <v>260</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3"/>
    </row>
    <row r="13" ht="409.5" customHeight="1" spans="1:69">
      <c r="A13" s="17">
        <v>1</v>
      </c>
      <c r="B13" s="18" t="s">
        <v>261</v>
      </c>
      <c r="C13" s="2"/>
      <c r="D13" s="3"/>
      <c r="E13" s="18" t="s">
        <v>262</v>
      </c>
      <c r="F13" s="2"/>
      <c r="G13" s="2"/>
      <c r="H13" s="2"/>
      <c r="I13" s="3"/>
      <c r="J13" s="18" t="s">
        <v>263</v>
      </c>
      <c r="K13" s="2"/>
      <c r="L13" s="2"/>
      <c r="M13" s="2"/>
      <c r="N13" s="2"/>
      <c r="O13" s="2"/>
      <c r="P13" s="3"/>
      <c r="Q13" s="18" t="s">
        <v>264</v>
      </c>
      <c r="R13" s="2"/>
      <c r="S13" s="2"/>
      <c r="T13" s="2"/>
      <c r="U13" s="2"/>
      <c r="V13" s="2"/>
      <c r="W13" s="3"/>
      <c r="X13" s="18" t="s">
        <v>265</v>
      </c>
      <c r="Y13" s="2"/>
      <c r="Z13" s="2"/>
      <c r="AA13" s="2"/>
      <c r="AB13" s="2"/>
      <c r="AC13" s="2"/>
      <c r="AD13" s="3"/>
      <c r="AE13" s="19" t="s">
        <v>266</v>
      </c>
      <c r="AF13" s="3"/>
      <c r="AG13" s="19" t="s">
        <v>59</v>
      </c>
      <c r="AH13" s="2"/>
      <c r="AI13" s="3"/>
      <c r="AJ13" s="19"/>
      <c r="AK13" s="2"/>
      <c r="AL13" s="3"/>
      <c r="AM13" s="19" t="s">
        <v>267</v>
      </c>
      <c r="AN13" s="2"/>
      <c r="AO13" s="3"/>
      <c r="AP13" s="20">
        <v>46170</v>
      </c>
      <c r="AQ13" s="2"/>
      <c r="AR13" s="3"/>
      <c r="AS13" s="19"/>
      <c r="AT13" s="2"/>
      <c r="AU13" s="3"/>
      <c r="AV13" s="19" t="s">
        <v>59</v>
      </c>
      <c r="AW13" s="2"/>
      <c r="AX13" s="3"/>
      <c r="AY13" s="19"/>
      <c r="AZ13" s="2"/>
      <c r="BA13" s="3"/>
      <c r="BB13" s="19" t="s">
        <v>268</v>
      </c>
      <c r="BC13" s="2"/>
      <c r="BD13" s="3"/>
      <c r="BE13" s="20">
        <v>46244</v>
      </c>
      <c r="BF13" s="2"/>
      <c r="BG13" s="3"/>
      <c r="BH13" s="19"/>
      <c r="BI13" s="2"/>
      <c r="BJ13" s="3"/>
      <c r="BK13" s="18" t="s">
        <v>269</v>
      </c>
      <c r="BL13" s="2"/>
      <c r="BM13" s="2"/>
      <c r="BN13" s="2"/>
      <c r="BO13" s="2"/>
      <c r="BP13" s="2"/>
      <c r="BQ13" s="3"/>
    </row>
    <row r="14" ht="409.5" customHeight="1" spans="1:69">
      <c r="A14" s="17">
        <v>2</v>
      </c>
      <c r="B14" s="18" t="s">
        <v>270</v>
      </c>
      <c r="C14" s="2"/>
      <c r="D14" s="3"/>
      <c r="E14" s="18" t="s">
        <v>271</v>
      </c>
      <c r="F14" s="2"/>
      <c r="G14" s="2"/>
      <c r="H14" s="2"/>
      <c r="I14" s="3"/>
      <c r="J14" s="18" t="s">
        <v>272</v>
      </c>
      <c r="K14" s="2"/>
      <c r="L14" s="2"/>
      <c r="M14" s="2"/>
      <c r="N14" s="2"/>
      <c r="O14" s="2"/>
      <c r="P14" s="3"/>
      <c r="Q14" s="18" t="s">
        <v>273</v>
      </c>
      <c r="R14" s="2"/>
      <c r="S14" s="2"/>
      <c r="T14" s="2"/>
      <c r="U14" s="2"/>
      <c r="V14" s="2"/>
      <c r="W14" s="3"/>
      <c r="X14" s="18" t="s">
        <v>274</v>
      </c>
      <c r="Y14" s="2"/>
      <c r="Z14" s="2"/>
      <c r="AA14" s="2"/>
      <c r="AB14" s="2"/>
      <c r="AC14" s="2"/>
      <c r="AD14" s="3"/>
      <c r="AE14" s="19" t="s">
        <v>209</v>
      </c>
      <c r="AF14" s="3"/>
      <c r="AG14" s="19" t="s">
        <v>59</v>
      </c>
      <c r="AH14" s="2"/>
      <c r="AI14" s="3"/>
      <c r="AJ14" s="19"/>
      <c r="AK14" s="2"/>
      <c r="AL14" s="3"/>
      <c r="AM14" s="19" t="s">
        <v>267</v>
      </c>
      <c r="AN14" s="2"/>
      <c r="AO14" s="3"/>
      <c r="AP14" s="20">
        <v>46170</v>
      </c>
      <c r="AQ14" s="2"/>
      <c r="AR14" s="3"/>
      <c r="AS14" s="19"/>
      <c r="AT14" s="2"/>
      <c r="AU14" s="3"/>
      <c r="AV14" s="19" t="s">
        <v>59</v>
      </c>
      <c r="AW14" s="2"/>
      <c r="AX14" s="3"/>
      <c r="AY14" s="19"/>
      <c r="AZ14" s="2"/>
      <c r="BA14" s="3"/>
      <c r="BB14" s="19" t="s">
        <v>268</v>
      </c>
      <c r="BC14" s="2"/>
      <c r="BD14" s="3"/>
      <c r="BE14" s="20">
        <v>46244</v>
      </c>
      <c r="BF14" s="2"/>
      <c r="BG14" s="3"/>
      <c r="BH14" s="19"/>
      <c r="BI14" s="2"/>
      <c r="BJ14" s="3"/>
      <c r="BK14" s="18" t="s">
        <v>275</v>
      </c>
      <c r="BL14" s="2"/>
      <c r="BM14" s="2"/>
      <c r="BN14" s="2"/>
      <c r="BO14" s="2"/>
      <c r="BP14" s="2"/>
      <c r="BQ14" s="3"/>
    </row>
    <row r="15" ht="336" customHeight="1" spans="1:69">
      <c r="A15" s="17">
        <v>3</v>
      </c>
      <c r="B15" s="18" t="s">
        <v>276</v>
      </c>
      <c r="C15" s="2"/>
      <c r="D15" s="3"/>
      <c r="E15" s="18" t="s">
        <v>277</v>
      </c>
      <c r="F15" s="2"/>
      <c r="G15" s="2"/>
      <c r="H15" s="2"/>
      <c r="I15" s="3"/>
      <c r="J15" s="18" t="s">
        <v>278</v>
      </c>
      <c r="K15" s="2"/>
      <c r="L15" s="2"/>
      <c r="M15" s="2"/>
      <c r="N15" s="2"/>
      <c r="O15" s="2"/>
      <c r="P15" s="3"/>
      <c r="Q15" s="18" t="s">
        <v>279</v>
      </c>
      <c r="R15" s="2"/>
      <c r="S15" s="2"/>
      <c r="T15" s="2"/>
      <c r="U15" s="2"/>
      <c r="V15" s="2"/>
      <c r="W15" s="3"/>
      <c r="X15" s="18" t="s">
        <v>280</v>
      </c>
      <c r="Y15" s="2"/>
      <c r="Z15" s="2"/>
      <c r="AA15" s="2"/>
      <c r="AB15" s="2"/>
      <c r="AC15" s="2"/>
      <c r="AD15" s="3"/>
      <c r="AE15" s="19" t="s">
        <v>209</v>
      </c>
      <c r="AF15" s="3"/>
      <c r="AG15" s="21" t="s">
        <v>59</v>
      </c>
      <c r="AH15" s="2"/>
      <c r="AI15" s="3"/>
      <c r="AJ15" s="22"/>
      <c r="AK15" s="2"/>
      <c r="AL15" s="3"/>
      <c r="AM15" s="21" t="s">
        <v>267</v>
      </c>
      <c r="AN15" s="2"/>
      <c r="AO15" s="3"/>
      <c r="AP15" s="23">
        <v>46170</v>
      </c>
      <c r="AQ15" s="2"/>
      <c r="AR15" s="3"/>
      <c r="AS15" s="19"/>
      <c r="AT15" s="2"/>
      <c r="AU15" s="3"/>
      <c r="AV15" s="19" t="s">
        <v>59</v>
      </c>
      <c r="AW15" s="2"/>
      <c r="AX15" s="3"/>
      <c r="AY15" s="19"/>
      <c r="AZ15" s="2"/>
      <c r="BA15" s="3"/>
      <c r="BB15" s="19" t="s">
        <v>268</v>
      </c>
      <c r="BC15" s="2"/>
      <c r="BD15" s="3"/>
      <c r="BE15" s="20">
        <v>46244</v>
      </c>
      <c r="BF15" s="2"/>
      <c r="BG15" s="3"/>
      <c r="BH15" s="19"/>
      <c r="BI15" s="2"/>
      <c r="BJ15" s="3"/>
      <c r="BK15" s="18" t="s">
        <v>281</v>
      </c>
      <c r="BL15" s="2"/>
      <c r="BM15" s="2"/>
      <c r="BN15" s="2"/>
      <c r="BO15" s="2"/>
      <c r="BP15" s="2"/>
      <c r="BQ15" s="3"/>
    </row>
    <row r="16" ht="351.75" customHeight="1" spans="1:69">
      <c r="A16" s="17">
        <v>4</v>
      </c>
      <c r="B16" s="18" t="s">
        <v>282</v>
      </c>
      <c r="C16" s="2"/>
      <c r="D16" s="3"/>
      <c r="E16" s="18" t="s">
        <v>283</v>
      </c>
      <c r="F16" s="2"/>
      <c r="G16" s="2"/>
      <c r="H16" s="2"/>
      <c r="I16" s="3"/>
      <c r="J16" s="18" t="s">
        <v>284</v>
      </c>
      <c r="K16" s="2"/>
      <c r="L16" s="2"/>
      <c r="M16" s="2"/>
      <c r="N16" s="2"/>
      <c r="O16" s="2"/>
      <c r="P16" s="3"/>
      <c r="Q16" s="18" t="s">
        <v>279</v>
      </c>
      <c r="R16" s="2"/>
      <c r="S16" s="2"/>
      <c r="T16" s="2"/>
      <c r="U16" s="2"/>
      <c r="V16" s="2"/>
      <c r="W16" s="3"/>
      <c r="X16" s="18" t="s">
        <v>285</v>
      </c>
      <c r="Y16" s="2"/>
      <c r="Z16" s="2"/>
      <c r="AA16" s="2"/>
      <c r="AB16" s="2"/>
      <c r="AC16" s="2"/>
      <c r="AD16" s="3"/>
      <c r="AE16" s="19" t="s">
        <v>209</v>
      </c>
      <c r="AF16" s="3"/>
      <c r="AG16" s="21" t="s">
        <v>59</v>
      </c>
      <c r="AH16" s="2"/>
      <c r="AI16" s="3"/>
      <c r="AJ16" s="22"/>
      <c r="AK16" s="2"/>
      <c r="AL16" s="3"/>
      <c r="AM16" s="21" t="s">
        <v>267</v>
      </c>
      <c r="AN16" s="2"/>
      <c r="AO16" s="3"/>
      <c r="AP16" s="23">
        <v>46170</v>
      </c>
      <c r="AQ16" s="2"/>
      <c r="AR16" s="3"/>
      <c r="AS16" s="19"/>
      <c r="AT16" s="2"/>
      <c r="AU16" s="3"/>
      <c r="AV16" s="19" t="s">
        <v>59</v>
      </c>
      <c r="AW16" s="2"/>
      <c r="AX16" s="3"/>
      <c r="AY16" s="19"/>
      <c r="AZ16" s="2"/>
      <c r="BA16" s="3"/>
      <c r="BB16" s="19" t="s">
        <v>268</v>
      </c>
      <c r="BC16" s="2"/>
      <c r="BD16" s="3"/>
      <c r="BE16" s="20">
        <v>46244</v>
      </c>
      <c r="BF16" s="2"/>
      <c r="BG16" s="3"/>
      <c r="BH16" s="19"/>
      <c r="BI16" s="2"/>
      <c r="BJ16" s="3"/>
      <c r="BK16" s="18"/>
      <c r="BL16" s="2"/>
      <c r="BM16" s="2"/>
      <c r="BN16" s="2"/>
      <c r="BO16" s="2"/>
      <c r="BP16" s="2"/>
      <c r="BQ16" s="3"/>
    </row>
    <row r="17" ht="319.5" customHeight="1" spans="1:69">
      <c r="A17" s="17">
        <v>5</v>
      </c>
      <c r="B17" s="18" t="s">
        <v>286</v>
      </c>
      <c r="C17" s="2"/>
      <c r="D17" s="3"/>
      <c r="E17" s="18" t="s">
        <v>287</v>
      </c>
      <c r="F17" s="2"/>
      <c r="G17" s="2"/>
      <c r="H17" s="2"/>
      <c r="I17" s="3"/>
      <c r="J17" s="18" t="s">
        <v>288</v>
      </c>
      <c r="K17" s="2"/>
      <c r="L17" s="2"/>
      <c r="M17" s="2"/>
      <c r="N17" s="2"/>
      <c r="O17" s="2"/>
      <c r="P17" s="3"/>
      <c r="Q17" s="18" t="s">
        <v>279</v>
      </c>
      <c r="R17" s="2"/>
      <c r="S17" s="2"/>
      <c r="T17" s="2"/>
      <c r="U17" s="2"/>
      <c r="V17" s="2"/>
      <c r="W17" s="3"/>
      <c r="X17" s="18" t="s">
        <v>289</v>
      </c>
      <c r="Y17" s="2"/>
      <c r="Z17" s="2"/>
      <c r="AA17" s="2"/>
      <c r="AB17" s="2"/>
      <c r="AC17" s="2"/>
      <c r="AD17" s="3"/>
      <c r="AE17" s="19" t="s">
        <v>209</v>
      </c>
      <c r="AF17" s="3"/>
      <c r="AG17" s="21" t="s">
        <v>59</v>
      </c>
      <c r="AH17" s="2"/>
      <c r="AI17" s="3"/>
      <c r="AJ17" s="22"/>
      <c r="AK17" s="2"/>
      <c r="AL17" s="3"/>
      <c r="AM17" s="21" t="s">
        <v>267</v>
      </c>
      <c r="AN17" s="2"/>
      <c r="AO17" s="3"/>
      <c r="AP17" s="23">
        <v>46170</v>
      </c>
      <c r="AQ17" s="2"/>
      <c r="AR17" s="3"/>
      <c r="AS17" s="19"/>
      <c r="AT17" s="2"/>
      <c r="AU17" s="3"/>
      <c r="AV17" s="19" t="s">
        <v>59</v>
      </c>
      <c r="AW17" s="2"/>
      <c r="AX17" s="3"/>
      <c r="AY17" s="19"/>
      <c r="AZ17" s="2"/>
      <c r="BA17" s="3"/>
      <c r="BB17" s="19" t="s">
        <v>268</v>
      </c>
      <c r="BC17" s="2"/>
      <c r="BD17" s="3"/>
      <c r="BE17" s="20">
        <v>46244</v>
      </c>
      <c r="BF17" s="2"/>
      <c r="BG17" s="3"/>
      <c r="BH17" s="19"/>
      <c r="BI17" s="2"/>
      <c r="BJ17" s="3"/>
      <c r="BK17" s="18"/>
      <c r="BL17" s="2"/>
      <c r="BM17" s="2"/>
      <c r="BN17" s="2"/>
      <c r="BO17" s="2"/>
      <c r="BP17" s="2"/>
      <c r="BQ17" s="3"/>
    </row>
    <row r="18" ht="22.5" customHeight="1" spans="1:69">
      <c r="A18" s="16" t="s">
        <v>290</v>
      </c>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3"/>
    </row>
    <row r="19" ht="384" customHeight="1" spans="1:69">
      <c r="A19" s="17">
        <v>6</v>
      </c>
      <c r="B19" s="18" t="s">
        <v>291</v>
      </c>
      <c r="C19" s="2"/>
      <c r="D19" s="3"/>
      <c r="E19" s="18" t="s">
        <v>292</v>
      </c>
      <c r="F19" s="2"/>
      <c r="G19" s="2"/>
      <c r="H19" s="2"/>
      <c r="I19" s="3"/>
      <c r="J19" s="18" t="s">
        <v>293</v>
      </c>
      <c r="K19" s="2"/>
      <c r="L19" s="2"/>
      <c r="M19" s="2"/>
      <c r="N19" s="2"/>
      <c r="O19" s="2"/>
      <c r="P19" s="3"/>
      <c r="Q19" s="18" t="s">
        <v>294</v>
      </c>
      <c r="R19" s="2"/>
      <c r="S19" s="2"/>
      <c r="T19" s="2"/>
      <c r="U19" s="2"/>
      <c r="V19" s="2"/>
      <c r="W19" s="3"/>
      <c r="X19" s="18" t="s">
        <v>295</v>
      </c>
      <c r="Y19" s="2"/>
      <c r="Z19" s="2"/>
      <c r="AA19" s="2"/>
      <c r="AB19" s="2"/>
      <c r="AC19" s="2"/>
      <c r="AD19" s="3"/>
      <c r="AE19" s="19" t="s">
        <v>266</v>
      </c>
      <c r="AF19" s="3"/>
      <c r="AG19" s="21" t="s">
        <v>59</v>
      </c>
      <c r="AH19" s="2"/>
      <c r="AI19" s="3"/>
      <c r="AJ19" s="22"/>
      <c r="AK19" s="2"/>
      <c r="AL19" s="3"/>
      <c r="AM19" s="21" t="s">
        <v>267</v>
      </c>
      <c r="AN19" s="2"/>
      <c r="AO19" s="3"/>
      <c r="AP19" s="23">
        <v>46170</v>
      </c>
      <c r="AQ19" s="2"/>
      <c r="AR19" s="3"/>
      <c r="AS19" s="19"/>
      <c r="AT19" s="2"/>
      <c r="AU19" s="3"/>
      <c r="AV19" s="19" t="s">
        <v>59</v>
      </c>
      <c r="AW19" s="2"/>
      <c r="AX19" s="3"/>
      <c r="AY19" s="19"/>
      <c r="AZ19" s="2"/>
      <c r="BA19" s="3"/>
      <c r="BB19" s="19" t="s">
        <v>268</v>
      </c>
      <c r="BC19" s="2"/>
      <c r="BD19" s="3"/>
      <c r="BE19" s="20">
        <v>46244</v>
      </c>
      <c r="BF19" s="2"/>
      <c r="BG19" s="3"/>
      <c r="BH19" s="19"/>
      <c r="BI19" s="2"/>
      <c r="BJ19" s="3"/>
      <c r="BK19" s="18"/>
      <c r="BL19" s="2"/>
      <c r="BM19" s="2"/>
      <c r="BN19" s="2"/>
      <c r="BO19" s="2"/>
      <c r="BP19" s="2"/>
      <c r="BQ19" s="3"/>
    </row>
    <row r="20" ht="409.5" customHeight="1" spans="1:69">
      <c r="A20" s="17">
        <v>7</v>
      </c>
      <c r="B20" s="18" t="s">
        <v>296</v>
      </c>
      <c r="C20" s="2"/>
      <c r="D20" s="3"/>
      <c r="E20" s="18" t="s">
        <v>297</v>
      </c>
      <c r="F20" s="2"/>
      <c r="G20" s="2"/>
      <c r="H20" s="2"/>
      <c r="I20" s="3"/>
      <c r="J20" s="18" t="s">
        <v>298</v>
      </c>
      <c r="K20" s="2"/>
      <c r="L20" s="2"/>
      <c r="M20" s="2"/>
      <c r="N20" s="2"/>
      <c r="O20" s="2"/>
      <c r="P20" s="3"/>
      <c r="Q20" s="18" t="s">
        <v>299</v>
      </c>
      <c r="R20" s="2"/>
      <c r="S20" s="2"/>
      <c r="T20" s="2"/>
      <c r="U20" s="2"/>
      <c r="V20" s="2"/>
      <c r="W20" s="3"/>
      <c r="X20" s="18" t="s">
        <v>300</v>
      </c>
      <c r="Y20" s="2"/>
      <c r="Z20" s="2"/>
      <c r="AA20" s="2"/>
      <c r="AB20" s="2"/>
      <c r="AC20" s="2"/>
      <c r="AD20" s="3"/>
      <c r="AE20" s="19" t="s">
        <v>266</v>
      </c>
      <c r="AF20" s="3"/>
      <c r="AG20" s="21" t="s">
        <v>59</v>
      </c>
      <c r="AH20" s="2"/>
      <c r="AI20" s="3"/>
      <c r="AJ20" s="22"/>
      <c r="AK20" s="2"/>
      <c r="AL20" s="3"/>
      <c r="AM20" s="21" t="s">
        <v>267</v>
      </c>
      <c r="AN20" s="2"/>
      <c r="AO20" s="3"/>
      <c r="AP20" s="23">
        <v>46170</v>
      </c>
      <c r="AQ20" s="2"/>
      <c r="AR20" s="3"/>
      <c r="AS20" s="19"/>
      <c r="AT20" s="2"/>
      <c r="AU20" s="3"/>
      <c r="AV20" s="19" t="s">
        <v>59</v>
      </c>
      <c r="AW20" s="2"/>
      <c r="AX20" s="3"/>
      <c r="AY20" s="19"/>
      <c r="AZ20" s="2"/>
      <c r="BA20" s="3"/>
      <c r="BB20" s="19" t="s">
        <v>268</v>
      </c>
      <c r="BC20" s="2"/>
      <c r="BD20" s="3"/>
      <c r="BE20" s="20">
        <v>46244</v>
      </c>
      <c r="BF20" s="2"/>
      <c r="BG20" s="3"/>
      <c r="BH20" s="19"/>
      <c r="BI20" s="2"/>
      <c r="BJ20" s="3"/>
      <c r="BK20" s="18"/>
      <c r="BL20" s="2"/>
      <c r="BM20" s="2"/>
      <c r="BN20" s="2"/>
      <c r="BO20" s="2"/>
      <c r="BP20" s="2"/>
      <c r="BQ20" s="3"/>
    </row>
    <row r="21" ht="409.5" customHeight="1" spans="1:69">
      <c r="A21" s="17">
        <v>8</v>
      </c>
      <c r="B21" s="18" t="s">
        <v>301</v>
      </c>
      <c r="C21" s="2"/>
      <c r="D21" s="3"/>
      <c r="E21" s="18" t="s">
        <v>302</v>
      </c>
      <c r="F21" s="2"/>
      <c r="G21" s="2"/>
      <c r="H21" s="2"/>
      <c r="I21" s="3"/>
      <c r="J21" s="18" t="s">
        <v>303</v>
      </c>
      <c r="K21" s="2"/>
      <c r="L21" s="2"/>
      <c r="M21" s="2"/>
      <c r="N21" s="2"/>
      <c r="O21" s="2"/>
      <c r="P21" s="3"/>
      <c r="Q21" s="18" t="s">
        <v>304</v>
      </c>
      <c r="R21" s="2"/>
      <c r="S21" s="2"/>
      <c r="T21" s="2"/>
      <c r="U21" s="2"/>
      <c r="V21" s="2"/>
      <c r="W21" s="3"/>
      <c r="X21" s="18" t="s">
        <v>305</v>
      </c>
      <c r="Y21" s="2"/>
      <c r="Z21" s="2"/>
      <c r="AA21" s="2"/>
      <c r="AB21" s="2"/>
      <c r="AC21" s="2"/>
      <c r="AD21" s="3"/>
      <c r="AE21" s="19" t="s">
        <v>266</v>
      </c>
      <c r="AF21" s="3"/>
      <c r="AG21" s="21" t="s">
        <v>59</v>
      </c>
      <c r="AH21" s="2"/>
      <c r="AI21" s="3"/>
      <c r="AJ21" s="22"/>
      <c r="AK21" s="2"/>
      <c r="AL21" s="3"/>
      <c r="AM21" s="21" t="s">
        <v>267</v>
      </c>
      <c r="AN21" s="2"/>
      <c r="AO21" s="3"/>
      <c r="AP21" s="23">
        <v>46170</v>
      </c>
      <c r="AQ21" s="2"/>
      <c r="AR21" s="3"/>
      <c r="AS21" s="19"/>
      <c r="AT21" s="2"/>
      <c r="AU21" s="3"/>
      <c r="AV21" s="19" t="s">
        <v>59</v>
      </c>
      <c r="AW21" s="2"/>
      <c r="AX21" s="3"/>
      <c r="AY21" s="19"/>
      <c r="AZ21" s="2"/>
      <c r="BA21" s="3"/>
      <c r="BB21" s="19" t="s">
        <v>268</v>
      </c>
      <c r="BC21" s="2"/>
      <c r="BD21" s="3"/>
      <c r="BE21" s="20">
        <v>46244</v>
      </c>
      <c r="BF21" s="2"/>
      <c r="BG21" s="3"/>
      <c r="BH21" s="19"/>
      <c r="BI21" s="2"/>
      <c r="BJ21" s="3"/>
      <c r="BK21" s="18"/>
      <c r="BL21" s="2"/>
      <c r="BM21" s="2"/>
      <c r="BN21" s="2"/>
      <c r="BO21" s="2"/>
      <c r="BP21" s="2"/>
      <c r="BQ21" s="3"/>
    </row>
    <row r="22" ht="288" customHeight="1" spans="1:69">
      <c r="A22" s="17">
        <v>9</v>
      </c>
      <c r="B22" s="18" t="s">
        <v>306</v>
      </c>
      <c r="C22" s="2"/>
      <c r="D22" s="3"/>
      <c r="E22" s="18" t="s">
        <v>307</v>
      </c>
      <c r="F22" s="2"/>
      <c r="G22" s="2"/>
      <c r="H22" s="2"/>
      <c r="I22" s="3"/>
      <c r="J22" s="18" t="s">
        <v>298</v>
      </c>
      <c r="K22" s="2"/>
      <c r="L22" s="2"/>
      <c r="M22" s="2"/>
      <c r="N22" s="2"/>
      <c r="O22" s="2"/>
      <c r="P22" s="3"/>
      <c r="Q22" s="18" t="s">
        <v>308</v>
      </c>
      <c r="R22" s="2"/>
      <c r="S22" s="2"/>
      <c r="T22" s="2"/>
      <c r="U22" s="2"/>
      <c r="V22" s="2"/>
      <c r="W22" s="3"/>
      <c r="X22" s="18" t="s">
        <v>309</v>
      </c>
      <c r="Y22" s="2"/>
      <c r="Z22" s="2"/>
      <c r="AA22" s="2"/>
      <c r="AB22" s="2"/>
      <c r="AC22" s="2"/>
      <c r="AD22" s="3"/>
      <c r="AE22" s="19" t="s">
        <v>266</v>
      </c>
      <c r="AF22" s="3"/>
      <c r="AG22" s="21" t="s">
        <v>59</v>
      </c>
      <c r="AH22" s="2"/>
      <c r="AI22" s="3"/>
      <c r="AJ22" s="22"/>
      <c r="AK22" s="2"/>
      <c r="AL22" s="3"/>
      <c r="AM22" s="21" t="s">
        <v>267</v>
      </c>
      <c r="AN22" s="2"/>
      <c r="AO22" s="3"/>
      <c r="AP22" s="23">
        <v>46170</v>
      </c>
      <c r="AQ22" s="2"/>
      <c r="AR22" s="3"/>
      <c r="AS22" s="19"/>
      <c r="AT22" s="2"/>
      <c r="AU22" s="3"/>
      <c r="AV22" s="19" t="s">
        <v>59</v>
      </c>
      <c r="AW22" s="2"/>
      <c r="AX22" s="3"/>
      <c r="AY22" s="19"/>
      <c r="AZ22" s="2"/>
      <c r="BA22" s="3"/>
      <c r="BB22" s="19" t="s">
        <v>268</v>
      </c>
      <c r="BC22" s="2"/>
      <c r="BD22" s="3"/>
      <c r="BE22" s="20">
        <v>46244</v>
      </c>
      <c r="BF22" s="2"/>
      <c r="BG22" s="3"/>
      <c r="BH22" s="19"/>
      <c r="BI22" s="2"/>
      <c r="BJ22" s="3"/>
      <c r="BK22" s="18"/>
      <c r="BL22" s="2"/>
      <c r="BM22" s="2"/>
      <c r="BN22" s="2"/>
      <c r="BO22" s="2"/>
      <c r="BP22" s="2"/>
      <c r="BQ22" s="3"/>
    </row>
    <row r="23" ht="319.5" customHeight="1" spans="1:69">
      <c r="A23" s="17">
        <v>10</v>
      </c>
      <c r="B23" s="18" t="s">
        <v>310</v>
      </c>
      <c r="C23" s="2"/>
      <c r="D23" s="3"/>
      <c r="E23" s="18" t="s">
        <v>311</v>
      </c>
      <c r="F23" s="2"/>
      <c r="G23" s="2"/>
      <c r="H23" s="2"/>
      <c r="I23" s="3"/>
      <c r="J23" s="18" t="s">
        <v>312</v>
      </c>
      <c r="K23" s="2"/>
      <c r="L23" s="2"/>
      <c r="M23" s="2"/>
      <c r="N23" s="2"/>
      <c r="O23" s="2"/>
      <c r="P23" s="3"/>
      <c r="Q23" s="18" t="s">
        <v>313</v>
      </c>
      <c r="R23" s="2"/>
      <c r="S23" s="2"/>
      <c r="T23" s="2"/>
      <c r="U23" s="2"/>
      <c r="V23" s="2"/>
      <c r="W23" s="3"/>
      <c r="X23" s="18" t="s">
        <v>314</v>
      </c>
      <c r="Y23" s="2"/>
      <c r="Z23" s="2"/>
      <c r="AA23" s="2"/>
      <c r="AB23" s="2"/>
      <c r="AC23" s="2"/>
      <c r="AD23" s="3"/>
      <c r="AE23" s="19" t="s">
        <v>266</v>
      </c>
      <c r="AF23" s="3"/>
      <c r="AG23" s="21" t="s">
        <v>59</v>
      </c>
      <c r="AH23" s="2"/>
      <c r="AI23" s="3"/>
      <c r="AJ23" s="22"/>
      <c r="AK23" s="2"/>
      <c r="AL23" s="3"/>
      <c r="AM23" s="21" t="s">
        <v>267</v>
      </c>
      <c r="AN23" s="2"/>
      <c r="AO23" s="3"/>
      <c r="AP23" s="23">
        <v>46170</v>
      </c>
      <c r="AQ23" s="2"/>
      <c r="AR23" s="3"/>
      <c r="AS23" s="19"/>
      <c r="AT23" s="2"/>
      <c r="AU23" s="3"/>
      <c r="AV23" s="19" t="s">
        <v>59</v>
      </c>
      <c r="AW23" s="2"/>
      <c r="AX23" s="3"/>
      <c r="AY23" s="19"/>
      <c r="AZ23" s="2"/>
      <c r="BA23" s="3"/>
      <c r="BB23" s="19" t="s">
        <v>268</v>
      </c>
      <c r="BC23" s="2"/>
      <c r="BD23" s="3"/>
      <c r="BE23" s="20">
        <v>46244</v>
      </c>
      <c r="BF23" s="2"/>
      <c r="BG23" s="3"/>
      <c r="BH23" s="19"/>
      <c r="BI23" s="2"/>
      <c r="BJ23" s="3"/>
      <c r="BK23" s="18"/>
      <c r="BL23" s="2"/>
      <c r="BM23" s="2"/>
      <c r="BN23" s="2"/>
      <c r="BO23" s="2"/>
      <c r="BP23" s="2"/>
      <c r="BQ23" s="3"/>
    </row>
    <row r="24" ht="319.5" customHeight="1" spans="1:69">
      <c r="A24" s="17">
        <v>11</v>
      </c>
      <c r="B24" s="18" t="s">
        <v>315</v>
      </c>
      <c r="C24" s="2"/>
      <c r="D24" s="3"/>
      <c r="E24" s="18" t="s">
        <v>316</v>
      </c>
      <c r="F24" s="2"/>
      <c r="G24" s="2"/>
      <c r="H24" s="2"/>
      <c r="I24" s="3"/>
      <c r="J24" s="18" t="s">
        <v>298</v>
      </c>
      <c r="K24" s="2"/>
      <c r="L24" s="2"/>
      <c r="M24" s="2"/>
      <c r="N24" s="2"/>
      <c r="O24" s="2"/>
      <c r="P24" s="3"/>
      <c r="Q24" s="18" t="s">
        <v>317</v>
      </c>
      <c r="R24" s="2"/>
      <c r="S24" s="2"/>
      <c r="T24" s="2"/>
      <c r="U24" s="2"/>
      <c r="V24" s="2"/>
      <c r="W24" s="3"/>
      <c r="X24" s="18" t="s">
        <v>318</v>
      </c>
      <c r="Y24" s="2"/>
      <c r="Z24" s="2"/>
      <c r="AA24" s="2"/>
      <c r="AB24" s="2"/>
      <c r="AC24" s="2"/>
      <c r="AD24" s="3"/>
      <c r="AE24" s="19" t="s">
        <v>266</v>
      </c>
      <c r="AF24" s="3"/>
      <c r="AG24" s="21" t="s">
        <v>59</v>
      </c>
      <c r="AH24" s="2"/>
      <c r="AI24" s="3"/>
      <c r="AJ24" s="22"/>
      <c r="AK24" s="2"/>
      <c r="AL24" s="3"/>
      <c r="AM24" s="21" t="s">
        <v>267</v>
      </c>
      <c r="AN24" s="2"/>
      <c r="AO24" s="3"/>
      <c r="AP24" s="23">
        <v>46170</v>
      </c>
      <c r="AQ24" s="2"/>
      <c r="AR24" s="3"/>
      <c r="AS24" s="19"/>
      <c r="AT24" s="2"/>
      <c r="AU24" s="3"/>
      <c r="AV24" s="19" t="s">
        <v>59</v>
      </c>
      <c r="AW24" s="2"/>
      <c r="AX24" s="3"/>
      <c r="AY24" s="19"/>
      <c r="AZ24" s="2"/>
      <c r="BA24" s="3"/>
      <c r="BB24" s="19" t="s">
        <v>268</v>
      </c>
      <c r="BC24" s="2"/>
      <c r="BD24" s="3"/>
      <c r="BE24" s="20">
        <v>46244</v>
      </c>
      <c r="BF24" s="2"/>
      <c r="BG24" s="3"/>
      <c r="BH24" s="19"/>
      <c r="BI24" s="2"/>
      <c r="BJ24" s="3"/>
      <c r="BK24" s="18"/>
      <c r="BL24" s="2"/>
      <c r="BM24" s="2"/>
      <c r="BN24" s="2"/>
      <c r="BO24" s="2"/>
      <c r="BP24" s="2"/>
      <c r="BQ24" s="3"/>
    </row>
    <row r="25" ht="22.5" customHeight="1" spans="1:69">
      <c r="A25" s="16" t="s">
        <v>319</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3"/>
    </row>
    <row r="26" ht="207.75" customHeight="1" spans="1:69">
      <c r="A26" s="17">
        <v>12</v>
      </c>
      <c r="B26" s="18" t="s">
        <v>320</v>
      </c>
      <c r="C26" s="2"/>
      <c r="D26" s="3"/>
      <c r="E26" s="18" t="s">
        <v>321</v>
      </c>
      <c r="F26" s="2"/>
      <c r="G26" s="2"/>
      <c r="H26" s="2"/>
      <c r="I26" s="3"/>
      <c r="J26" s="18" t="s">
        <v>298</v>
      </c>
      <c r="K26" s="2"/>
      <c r="L26" s="2"/>
      <c r="M26" s="2"/>
      <c r="N26" s="2"/>
      <c r="O26" s="2"/>
      <c r="P26" s="3"/>
      <c r="Q26" s="18" t="s">
        <v>322</v>
      </c>
      <c r="R26" s="2"/>
      <c r="S26" s="2"/>
      <c r="T26" s="2"/>
      <c r="U26" s="2"/>
      <c r="V26" s="2"/>
      <c r="W26" s="3"/>
      <c r="X26" s="18" t="s">
        <v>323</v>
      </c>
      <c r="Y26" s="2"/>
      <c r="Z26" s="2"/>
      <c r="AA26" s="2"/>
      <c r="AB26" s="2"/>
      <c r="AC26" s="2"/>
      <c r="AD26" s="3"/>
      <c r="AE26" s="19" t="s">
        <v>266</v>
      </c>
      <c r="AF26" s="3"/>
      <c r="AG26" s="21" t="s">
        <v>59</v>
      </c>
      <c r="AH26" s="2"/>
      <c r="AI26" s="3"/>
      <c r="AJ26" s="22"/>
      <c r="AK26" s="2"/>
      <c r="AL26" s="3"/>
      <c r="AM26" s="21" t="s">
        <v>267</v>
      </c>
      <c r="AN26" s="2"/>
      <c r="AO26" s="3"/>
      <c r="AP26" s="23">
        <v>46170</v>
      </c>
      <c r="AQ26" s="2"/>
      <c r="AR26" s="3"/>
      <c r="AS26" s="19"/>
      <c r="AT26" s="2"/>
      <c r="AU26" s="3"/>
      <c r="AV26" s="19" t="s">
        <v>59</v>
      </c>
      <c r="AW26" s="2"/>
      <c r="AX26" s="3"/>
      <c r="AY26" s="19"/>
      <c r="AZ26" s="2"/>
      <c r="BA26" s="3"/>
      <c r="BB26" s="19" t="s">
        <v>268</v>
      </c>
      <c r="BC26" s="2"/>
      <c r="BD26" s="3"/>
      <c r="BE26" s="20">
        <v>46244</v>
      </c>
      <c r="BF26" s="2"/>
      <c r="BG26" s="3"/>
      <c r="BH26" s="19"/>
      <c r="BI26" s="2"/>
      <c r="BJ26" s="3"/>
      <c r="BK26" s="18"/>
      <c r="BL26" s="2"/>
      <c r="BM26" s="2"/>
      <c r="BN26" s="2"/>
      <c r="BO26" s="2"/>
      <c r="BP26" s="2"/>
      <c r="BQ26" s="3"/>
    </row>
    <row r="27" ht="303.75" customHeight="1" spans="1:69">
      <c r="A27" s="17">
        <v>13</v>
      </c>
      <c r="B27" s="18" t="s">
        <v>324</v>
      </c>
      <c r="C27" s="2"/>
      <c r="D27" s="3"/>
      <c r="E27" s="18" t="s">
        <v>325</v>
      </c>
      <c r="F27" s="2"/>
      <c r="G27" s="2"/>
      <c r="H27" s="2"/>
      <c r="I27" s="3"/>
      <c r="J27" s="18" t="s">
        <v>298</v>
      </c>
      <c r="K27" s="2"/>
      <c r="L27" s="2"/>
      <c r="M27" s="2"/>
      <c r="N27" s="2"/>
      <c r="O27" s="2"/>
      <c r="P27" s="3"/>
      <c r="Q27" s="18" t="s">
        <v>326</v>
      </c>
      <c r="R27" s="2"/>
      <c r="S27" s="2"/>
      <c r="T27" s="2"/>
      <c r="U27" s="2"/>
      <c r="V27" s="2"/>
      <c r="W27" s="3"/>
      <c r="X27" s="18" t="s">
        <v>327</v>
      </c>
      <c r="Y27" s="2"/>
      <c r="Z27" s="2"/>
      <c r="AA27" s="2"/>
      <c r="AB27" s="2"/>
      <c r="AC27" s="2"/>
      <c r="AD27" s="3"/>
      <c r="AE27" s="19" t="s">
        <v>266</v>
      </c>
      <c r="AF27" s="3"/>
      <c r="AG27" s="21" t="s">
        <v>59</v>
      </c>
      <c r="AH27" s="2"/>
      <c r="AI27" s="3"/>
      <c r="AJ27" s="22"/>
      <c r="AK27" s="2"/>
      <c r="AL27" s="3"/>
      <c r="AM27" s="21" t="s">
        <v>267</v>
      </c>
      <c r="AN27" s="2"/>
      <c r="AO27" s="3"/>
      <c r="AP27" s="23">
        <v>46170</v>
      </c>
      <c r="AQ27" s="2"/>
      <c r="AR27" s="3"/>
      <c r="AS27" s="19"/>
      <c r="AT27" s="2"/>
      <c r="AU27" s="3"/>
      <c r="AV27" s="19" t="s">
        <v>59</v>
      </c>
      <c r="AW27" s="2"/>
      <c r="AX27" s="3"/>
      <c r="AY27" s="19"/>
      <c r="AZ27" s="2"/>
      <c r="BA27" s="3"/>
      <c r="BB27" s="19" t="s">
        <v>268</v>
      </c>
      <c r="BC27" s="2"/>
      <c r="BD27" s="3"/>
      <c r="BE27" s="20">
        <v>46244</v>
      </c>
      <c r="BF27" s="2"/>
      <c r="BG27" s="3"/>
      <c r="BH27" s="19"/>
      <c r="BI27" s="2"/>
      <c r="BJ27" s="3"/>
      <c r="BK27" s="18"/>
      <c r="BL27" s="2"/>
      <c r="BM27" s="2"/>
      <c r="BN27" s="2"/>
      <c r="BO27" s="2"/>
      <c r="BP27" s="2"/>
      <c r="BQ27" s="3"/>
    </row>
    <row r="28" ht="223.5" customHeight="1" spans="1:69">
      <c r="A28" s="17">
        <v>14</v>
      </c>
      <c r="B28" s="18" t="s">
        <v>328</v>
      </c>
      <c r="C28" s="2"/>
      <c r="D28" s="3"/>
      <c r="E28" s="18" t="s">
        <v>329</v>
      </c>
      <c r="F28" s="2"/>
      <c r="G28" s="2"/>
      <c r="H28" s="2"/>
      <c r="I28" s="3"/>
      <c r="J28" s="18" t="s">
        <v>298</v>
      </c>
      <c r="K28" s="2"/>
      <c r="L28" s="2"/>
      <c r="M28" s="2"/>
      <c r="N28" s="2"/>
      <c r="O28" s="2"/>
      <c r="P28" s="3"/>
      <c r="Q28" s="18" t="s">
        <v>330</v>
      </c>
      <c r="R28" s="2"/>
      <c r="S28" s="2"/>
      <c r="T28" s="2"/>
      <c r="U28" s="2"/>
      <c r="V28" s="2"/>
      <c r="W28" s="3"/>
      <c r="X28" s="18" t="s">
        <v>331</v>
      </c>
      <c r="Y28" s="2"/>
      <c r="Z28" s="2"/>
      <c r="AA28" s="2"/>
      <c r="AB28" s="2"/>
      <c r="AC28" s="2"/>
      <c r="AD28" s="3"/>
      <c r="AE28" s="19" t="s">
        <v>266</v>
      </c>
      <c r="AF28" s="3"/>
      <c r="AG28" s="21" t="s">
        <v>59</v>
      </c>
      <c r="AH28" s="2"/>
      <c r="AI28" s="3"/>
      <c r="AJ28" s="22"/>
      <c r="AK28" s="2"/>
      <c r="AL28" s="3"/>
      <c r="AM28" s="21" t="s">
        <v>267</v>
      </c>
      <c r="AN28" s="2"/>
      <c r="AO28" s="3"/>
      <c r="AP28" s="23">
        <v>46170</v>
      </c>
      <c r="AQ28" s="2"/>
      <c r="AR28" s="3"/>
      <c r="AS28" s="19"/>
      <c r="AT28" s="2"/>
      <c r="AU28" s="3"/>
      <c r="AV28" s="19" t="s">
        <v>59</v>
      </c>
      <c r="AW28" s="2"/>
      <c r="AX28" s="3"/>
      <c r="AY28" s="19"/>
      <c r="AZ28" s="2"/>
      <c r="BA28" s="3"/>
      <c r="BB28" s="19" t="s">
        <v>268</v>
      </c>
      <c r="BC28" s="2"/>
      <c r="BD28" s="3"/>
      <c r="BE28" s="20">
        <v>46244</v>
      </c>
      <c r="BF28" s="2"/>
      <c r="BG28" s="3"/>
      <c r="BH28" s="19"/>
      <c r="BI28" s="2"/>
      <c r="BJ28" s="3"/>
      <c r="BK28" s="18"/>
      <c r="BL28" s="2"/>
      <c r="BM28" s="2"/>
      <c r="BN28" s="2"/>
      <c r="BO28" s="2"/>
      <c r="BP28" s="2"/>
      <c r="BQ28" s="3"/>
    </row>
    <row r="29" ht="22.5" customHeight="1" spans="1:69">
      <c r="A29" s="16" t="s">
        <v>332</v>
      </c>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3"/>
    </row>
    <row r="30" ht="319.5" customHeight="1" spans="1:69">
      <c r="A30" s="17">
        <v>15</v>
      </c>
      <c r="B30" s="18" t="s">
        <v>333</v>
      </c>
      <c r="C30" s="2"/>
      <c r="D30" s="3"/>
      <c r="E30" s="18" t="s">
        <v>334</v>
      </c>
      <c r="F30" s="2"/>
      <c r="G30" s="2"/>
      <c r="H30" s="2"/>
      <c r="I30" s="3"/>
      <c r="J30" s="18" t="s">
        <v>335</v>
      </c>
      <c r="K30" s="2"/>
      <c r="L30" s="2"/>
      <c r="M30" s="2"/>
      <c r="N30" s="2"/>
      <c r="O30" s="2"/>
      <c r="P30" s="3"/>
      <c r="Q30" s="18" t="s">
        <v>336</v>
      </c>
      <c r="R30" s="2"/>
      <c r="S30" s="2"/>
      <c r="T30" s="2"/>
      <c r="U30" s="2"/>
      <c r="V30" s="2"/>
      <c r="W30" s="3"/>
      <c r="X30" s="18" t="s">
        <v>337</v>
      </c>
      <c r="Y30" s="2"/>
      <c r="Z30" s="2"/>
      <c r="AA30" s="2"/>
      <c r="AB30" s="2"/>
      <c r="AC30" s="2"/>
      <c r="AD30" s="3"/>
      <c r="AE30" s="19" t="s">
        <v>266</v>
      </c>
      <c r="AF30" s="3"/>
      <c r="AG30" s="21" t="s">
        <v>59</v>
      </c>
      <c r="AH30" s="2"/>
      <c r="AI30" s="3"/>
      <c r="AJ30" s="22"/>
      <c r="AK30" s="2"/>
      <c r="AL30" s="3"/>
      <c r="AM30" s="21" t="s">
        <v>267</v>
      </c>
      <c r="AN30" s="2"/>
      <c r="AO30" s="3"/>
      <c r="AP30" s="23">
        <v>46170</v>
      </c>
      <c r="AQ30" s="2"/>
      <c r="AR30" s="3"/>
      <c r="AS30" s="19"/>
      <c r="AT30" s="2"/>
      <c r="AU30" s="3"/>
      <c r="AV30" s="19" t="s">
        <v>59</v>
      </c>
      <c r="AW30" s="2"/>
      <c r="AX30" s="3"/>
      <c r="AY30" s="19"/>
      <c r="AZ30" s="2"/>
      <c r="BA30" s="3"/>
      <c r="BB30" s="19" t="s">
        <v>268</v>
      </c>
      <c r="BC30" s="2"/>
      <c r="BD30" s="3"/>
      <c r="BE30" s="20">
        <v>46244</v>
      </c>
      <c r="BF30" s="2"/>
      <c r="BG30" s="3"/>
      <c r="BH30" s="19"/>
      <c r="BI30" s="2"/>
      <c r="BJ30" s="3"/>
      <c r="BK30" s="18"/>
      <c r="BL30" s="2"/>
      <c r="BM30" s="2"/>
      <c r="BN30" s="2"/>
      <c r="BO30" s="2"/>
      <c r="BP30" s="2"/>
      <c r="BQ30" s="3"/>
    </row>
    <row r="31" ht="255.75" customHeight="1" spans="1:69">
      <c r="A31" s="17">
        <v>16</v>
      </c>
      <c r="B31" s="18" t="s">
        <v>338</v>
      </c>
      <c r="C31" s="2"/>
      <c r="D31" s="3"/>
      <c r="E31" s="18" t="s">
        <v>339</v>
      </c>
      <c r="F31" s="2"/>
      <c r="G31" s="2"/>
      <c r="H31" s="2"/>
      <c r="I31" s="3"/>
      <c r="J31" s="18" t="s">
        <v>340</v>
      </c>
      <c r="K31" s="2"/>
      <c r="L31" s="2"/>
      <c r="M31" s="2"/>
      <c r="N31" s="2"/>
      <c r="O31" s="2"/>
      <c r="P31" s="3"/>
      <c r="Q31" s="18" t="s">
        <v>341</v>
      </c>
      <c r="R31" s="2"/>
      <c r="S31" s="2"/>
      <c r="T31" s="2"/>
      <c r="U31" s="2"/>
      <c r="V31" s="2"/>
      <c r="W31" s="3"/>
      <c r="X31" s="18" t="s">
        <v>342</v>
      </c>
      <c r="Y31" s="2"/>
      <c r="Z31" s="2"/>
      <c r="AA31" s="2"/>
      <c r="AB31" s="2"/>
      <c r="AC31" s="2"/>
      <c r="AD31" s="3"/>
      <c r="AE31" s="19" t="s">
        <v>266</v>
      </c>
      <c r="AF31" s="3"/>
      <c r="AG31" s="21" t="s">
        <v>59</v>
      </c>
      <c r="AH31" s="2"/>
      <c r="AI31" s="3"/>
      <c r="AJ31" s="22"/>
      <c r="AK31" s="2"/>
      <c r="AL31" s="3"/>
      <c r="AM31" s="21" t="s">
        <v>267</v>
      </c>
      <c r="AN31" s="2"/>
      <c r="AO31" s="3"/>
      <c r="AP31" s="23">
        <v>46170</v>
      </c>
      <c r="AQ31" s="2"/>
      <c r="AR31" s="3"/>
      <c r="AS31" s="19"/>
      <c r="AT31" s="2"/>
      <c r="AU31" s="3"/>
      <c r="AV31" s="19" t="s">
        <v>59</v>
      </c>
      <c r="AW31" s="2"/>
      <c r="AX31" s="3"/>
      <c r="AY31" s="19"/>
      <c r="AZ31" s="2"/>
      <c r="BA31" s="3"/>
      <c r="BB31" s="19" t="s">
        <v>268</v>
      </c>
      <c r="BC31" s="2"/>
      <c r="BD31" s="3"/>
      <c r="BE31" s="20">
        <v>46244</v>
      </c>
      <c r="BF31" s="2"/>
      <c r="BG31" s="3"/>
      <c r="BH31" s="19"/>
      <c r="BI31" s="2"/>
      <c r="BJ31" s="3"/>
      <c r="BK31" s="18"/>
      <c r="BL31" s="2"/>
      <c r="BM31" s="2"/>
      <c r="BN31" s="2"/>
      <c r="BO31" s="2"/>
      <c r="BP31" s="2"/>
      <c r="BQ31" s="3"/>
    </row>
    <row r="32" ht="367.5" customHeight="1" spans="1:69">
      <c r="A32" s="17">
        <v>17</v>
      </c>
      <c r="B32" s="18" t="s">
        <v>343</v>
      </c>
      <c r="C32" s="2"/>
      <c r="D32" s="3"/>
      <c r="E32" s="18" t="s">
        <v>344</v>
      </c>
      <c r="F32" s="2"/>
      <c r="G32" s="2"/>
      <c r="H32" s="2"/>
      <c r="I32" s="3"/>
      <c r="J32" s="18" t="s">
        <v>345</v>
      </c>
      <c r="K32" s="2"/>
      <c r="L32" s="2"/>
      <c r="M32" s="2"/>
      <c r="N32" s="2"/>
      <c r="O32" s="2"/>
      <c r="P32" s="3"/>
      <c r="Q32" s="18" t="s">
        <v>346</v>
      </c>
      <c r="R32" s="2"/>
      <c r="S32" s="2"/>
      <c r="T32" s="2"/>
      <c r="U32" s="2"/>
      <c r="V32" s="2"/>
      <c r="W32" s="3"/>
      <c r="X32" s="18" t="s">
        <v>347</v>
      </c>
      <c r="Y32" s="2"/>
      <c r="Z32" s="2"/>
      <c r="AA32" s="2"/>
      <c r="AB32" s="2"/>
      <c r="AC32" s="2"/>
      <c r="AD32" s="3"/>
      <c r="AE32" s="19" t="s">
        <v>266</v>
      </c>
      <c r="AF32" s="3"/>
      <c r="AG32" s="21" t="s">
        <v>59</v>
      </c>
      <c r="AH32" s="2"/>
      <c r="AI32" s="3"/>
      <c r="AJ32" s="22"/>
      <c r="AK32" s="2"/>
      <c r="AL32" s="3"/>
      <c r="AM32" s="21" t="s">
        <v>267</v>
      </c>
      <c r="AN32" s="2"/>
      <c r="AO32" s="3"/>
      <c r="AP32" s="23">
        <v>46170</v>
      </c>
      <c r="AQ32" s="2"/>
      <c r="AR32" s="3"/>
      <c r="AS32" s="19"/>
      <c r="AT32" s="2"/>
      <c r="AU32" s="3"/>
      <c r="AV32" s="19" t="s">
        <v>59</v>
      </c>
      <c r="AW32" s="2"/>
      <c r="AX32" s="3"/>
      <c r="AY32" s="19"/>
      <c r="AZ32" s="2"/>
      <c r="BA32" s="3"/>
      <c r="BB32" s="19" t="s">
        <v>268</v>
      </c>
      <c r="BC32" s="2"/>
      <c r="BD32" s="3"/>
      <c r="BE32" s="20">
        <v>46244</v>
      </c>
      <c r="BF32" s="2"/>
      <c r="BG32" s="3"/>
      <c r="BH32" s="19"/>
      <c r="BI32" s="2"/>
      <c r="BJ32" s="3"/>
      <c r="BK32" s="18"/>
      <c r="BL32" s="2"/>
      <c r="BM32" s="2"/>
      <c r="BN32" s="2"/>
      <c r="BO32" s="2"/>
      <c r="BP32" s="2"/>
      <c r="BQ32" s="3"/>
    </row>
    <row r="33" ht="384" customHeight="1" spans="1:69">
      <c r="A33" s="17">
        <v>18</v>
      </c>
      <c r="B33" s="18" t="s">
        <v>348</v>
      </c>
      <c r="C33" s="2"/>
      <c r="D33" s="3"/>
      <c r="E33" s="18" t="s">
        <v>349</v>
      </c>
      <c r="F33" s="2"/>
      <c r="G33" s="2"/>
      <c r="H33" s="2"/>
      <c r="I33" s="3"/>
      <c r="J33" s="18" t="s">
        <v>350</v>
      </c>
      <c r="K33" s="2"/>
      <c r="L33" s="2"/>
      <c r="M33" s="2"/>
      <c r="N33" s="2"/>
      <c r="O33" s="2"/>
      <c r="P33" s="3"/>
      <c r="Q33" s="18" t="s">
        <v>351</v>
      </c>
      <c r="R33" s="2"/>
      <c r="S33" s="2"/>
      <c r="T33" s="2"/>
      <c r="U33" s="2"/>
      <c r="V33" s="2"/>
      <c r="W33" s="3"/>
      <c r="X33" s="18" t="s">
        <v>352</v>
      </c>
      <c r="Y33" s="2"/>
      <c r="Z33" s="2"/>
      <c r="AA33" s="2"/>
      <c r="AB33" s="2"/>
      <c r="AC33" s="2"/>
      <c r="AD33" s="3"/>
      <c r="AE33" s="19" t="s">
        <v>266</v>
      </c>
      <c r="AF33" s="3"/>
      <c r="AG33" s="21" t="s">
        <v>59</v>
      </c>
      <c r="AH33" s="2"/>
      <c r="AI33" s="3"/>
      <c r="AJ33" s="22"/>
      <c r="AK33" s="2"/>
      <c r="AL33" s="3"/>
      <c r="AM33" s="21" t="s">
        <v>267</v>
      </c>
      <c r="AN33" s="2"/>
      <c r="AO33" s="3"/>
      <c r="AP33" s="23">
        <v>46170</v>
      </c>
      <c r="AQ33" s="2"/>
      <c r="AR33" s="3"/>
      <c r="AS33" s="19"/>
      <c r="AT33" s="2"/>
      <c r="AU33" s="3"/>
      <c r="AV33" s="19" t="s">
        <v>59</v>
      </c>
      <c r="AW33" s="2"/>
      <c r="AX33" s="3"/>
      <c r="AY33" s="19"/>
      <c r="AZ33" s="2"/>
      <c r="BA33" s="3"/>
      <c r="BB33" s="19" t="s">
        <v>268</v>
      </c>
      <c r="BC33" s="2"/>
      <c r="BD33" s="3"/>
      <c r="BE33" s="20">
        <v>46244</v>
      </c>
      <c r="BF33" s="2"/>
      <c r="BG33" s="3"/>
      <c r="BH33" s="19"/>
      <c r="BI33" s="2"/>
      <c r="BJ33" s="3"/>
      <c r="BK33" s="18"/>
      <c r="BL33" s="2"/>
      <c r="BM33" s="2"/>
      <c r="BN33" s="2"/>
      <c r="BO33" s="2"/>
      <c r="BP33" s="2"/>
      <c r="BQ33" s="3"/>
    </row>
    <row r="34" ht="271.5" customHeight="1" spans="1:69">
      <c r="A34" s="17">
        <v>19</v>
      </c>
      <c r="B34" s="18" t="s">
        <v>353</v>
      </c>
      <c r="C34" s="2"/>
      <c r="D34" s="3"/>
      <c r="E34" s="18" t="s">
        <v>354</v>
      </c>
      <c r="F34" s="2"/>
      <c r="G34" s="2"/>
      <c r="H34" s="2"/>
      <c r="I34" s="3"/>
      <c r="J34" s="18" t="s">
        <v>298</v>
      </c>
      <c r="K34" s="2"/>
      <c r="L34" s="2"/>
      <c r="M34" s="2"/>
      <c r="N34" s="2"/>
      <c r="O34" s="2"/>
      <c r="P34" s="3"/>
      <c r="Q34" s="18" t="s">
        <v>355</v>
      </c>
      <c r="R34" s="2"/>
      <c r="S34" s="2"/>
      <c r="T34" s="2"/>
      <c r="U34" s="2"/>
      <c r="V34" s="2"/>
      <c r="W34" s="3"/>
      <c r="X34" s="18" t="s">
        <v>356</v>
      </c>
      <c r="Y34" s="2"/>
      <c r="Z34" s="2"/>
      <c r="AA34" s="2"/>
      <c r="AB34" s="2"/>
      <c r="AC34" s="2"/>
      <c r="AD34" s="3"/>
      <c r="AE34" s="19" t="s">
        <v>266</v>
      </c>
      <c r="AF34" s="3"/>
      <c r="AG34" s="21" t="s">
        <v>59</v>
      </c>
      <c r="AH34" s="2"/>
      <c r="AI34" s="3"/>
      <c r="AJ34" s="22"/>
      <c r="AK34" s="2"/>
      <c r="AL34" s="3"/>
      <c r="AM34" s="21" t="s">
        <v>267</v>
      </c>
      <c r="AN34" s="2"/>
      <c r="AO34" s="3"/>
      <c r="AP34" s="23">
        <v>46170</v>
      </c>
      <c r="AQ34" s="2"/>
      <c r="AR34" s="3"/>
      <c r="AS34" s="19"/>
      <c r="AT34" s="2"/>
      <c r="AU34" s="3"/>
      <c r="AV34" s="19" t="s">
        <v>59</v>
      </c>
      <c r="AW34" s="2"/>
      <c r="AX34" s="3"/>
      <c r="AY34" s="19"/>
      <c r="AZ34" s="2"/>
      <c r="BA34" s="3"/>
      <c r="BB34" s="19" t="s">
        <v>268</v>
      </c>
      <c r="BC34" s="2"/>
      <c r="BD34" s="3"/>
      <c r="BE34" s="20">
        <v>46244</v>
      </c>
      <c r="BF34" s="2"/>
      <c r="BG34" s="3"/>
      <c r="BH34" s="19"/>
      <c r="BI34" s="2"/>
      <c r="BJ34" s="3"/>
      <c r="BK34" s="18"/>
      <c r="BL34" s="2"/>
      <c r="BM34" s="2"/>
      <c r="BN34" s="2"/>
      <c r="BO34" s="2"/>
      <c r="BP34" s="2"/>
      <c r="BQ34" s="3"/>
    </row>
    <row r="35" ht="288" customHeight="1" spans="1:69">
      <c r="A35" s="17">
        <v>20</v>
      </c>
      <c r="B35" s="18" t="s">
        <v>357</v>
      </c>
      <c r="C35" s="2"/>
      <c r="D35" s="3"/>
      <c r="E35" s="18" t="s">
        <v>358</v>
      </c>
      <c r="F35" s="2"/>
      <c r="G35" s="2"/>
      <c r="H35" s="2"/>
      <c r="I35" s="3"/>
      <c r="J35" s="18" t="s">
        <v>298</v>
      </c>
      <c r="K35" s="2"/>
      <c r="L35" s="2"/>
      <c r="M35" s="2"/>
      <c r="N35" s="2"/>
      <c r="O35" s="2"/>
      <c r="P35" s="3"/>
      <c r="Q35" s="18" t="s">
        <v>359</v>
      </c>
      <c r="R35" s="2"/>
      <c r="S35" s="2"/>
      <c r="T35" s="2"/>
      <c r="U35" s="2"/>
      <c r="V35" s="2"/>
      <c r="W35" s="3"/>
      <c r="X35" s="18" t="s">
        <v>360</v>
      </c>
      <c r="Y35" s="2"/>
      <c r="Z35" s="2"/>
      <c r="AA35" s="2"/>
      <c r="AB35" s="2"/>
      <c r="AC35" s="2"/>
      <c r="AD35" s="3"/>
      <c r="AE35" s="19" t="s">
        <v>266</v>
      </c>
      <c r="AF35" s="3"/>
      <c r="AG35" s="21" t="s">
        <v>59</v>
      </c>
      <c r="AH35" s="2"/>
      <c r="AI35" s="3"/>
      <c r="AJ35" s="22"/>
      <c r="AK35" s="2"/>
      <c r="AL35" s="3"/>
      <c r="AM35" s="21" t="s">
        <v>267</v>
      </c>
      <c r="AN35" s="2"/>
      <c r="AO35" s="3"/>
      <c r="AP35" s="23">
        <v>46170</v>
      </c>
      <c r="AQ35" s="2"/>
      <c r="AR35" s="3"/>
      <c r="AS35" s="19"/>
      <c r="AT35" s="2"/>
      <c r="AU35" s="3"/>
      <c r="AV35" s="19" t="s">
        <v>59</v>
      </c>
      <c r="AW35" s="2"/>
      <c r="AX35" s="3"/>
      <c r="AY35" s="19"/>
      <c r="AZ35" s="2"/>
      <c r="BA35" s="3"/>
      <c r="BB35" s="19" t="s">
        <v>268</v>
      </c>
      <c r="BC35" s="2"/>
      <c r="BD35" s="3"/>
      <c r="BE35" s="20">
        <v>46244</v>
      </c>
      <c r="BF35" s="2"/>
      <c r="BG35" s="3"/>
      <c r="BH35" s="19"/>
      <c r="BI35" s="2"/>
      <c r="BJ35" s="3"/>
      <c r="BK35" s="18"/>
      <c r="BL35" s="2"/>
      <c r="BM35" s="2"/>
      <c r="BN35" s="2"/>
      <c r="BO35" s="2"/>
      <c r="BP35" s="2"/>
      <c r="BQ35" s="3"/>
    </row>
    <row r="36" ht="207.75" customHeight="1" spans="1:69">
      <c r="A36" s="17">
        <v>21</v>
      </c>
      <c r="B36" s="18" t="s">
        <v>361</v>
      </c>
      <c r="C36" s="2"/>
      <c r="D36" s="3"/>
      <c r="E36" s="18" t="s">
        <v>362</v>
      </c>
      <c r="F36" s="2"/>
      <c r="G36" s="2"/>
      <c r="H36" s="2"/>
      <c r="I36" s="3"/>
      <c r="J36" s="18" t="s">
        <v>298</v>
      </c>
      <c r="K36" s="2"/>
      <c r="L36" s="2"/>
      <c r="M36" s="2"/>
      <c r="N36" s="2"/>
      <c r="O36" s="2"/>
      <c r="P36" s="3"/>
      <c r="Q36" s="18" t="s">
        <v>363</v>
      </c>
      <c r="R36" s="2"/>
      <c r="S36" s="2"/>
      <c r="T36" s="2"/>
      <c r="U36" s="2"/>
      <c r="V36" s="2"/>
      <c r="W36" s="3"/>
      <c r="X36" s="18" t="s">
        <v>364</v>
      </c>
      <c r="Y36" s="2"/>
      <c r="Z36" s="2"/>
      <c r="AA36" s="2"/>
      <c r="AB36" s="2"/>
      <c r="AC36" s="2"/>
      <c r="AD36" s="3"/>
      <c r="AE36" s="19" t="s">
        <v>266</v>
      </c>
      <c r="AF36" s="3"/>
      <c r="AG36" s="21" t="s">
        <v>59</v>
      </c>
      <c r="AH36" s="2"/>
      <c r="AI36" s="3"/>
      <c r="AJ36" s="22"/>
      <c r="AK36" s="2"/>
      <c r="AL36" s="3"/>
      <c r="AM36" s="21" t="s">
        <v>267</v>
      </c>
      <c r="AN36" s="2"/>
      <c r="AO36" s="3"/>
      <c r="AP36" s="23">
        <v>46170</v>
      </c>
      <c r="AQ36" s="2"/>
      <c r="AR36" s="3"/>
      <c r="AS36" s="19"/>
      <c r="AT36" s="2"/>
      <c r="AU36" s="3"/>
      <c r="AV36" s="19" t="s">
        <v>59</v>
      </c>
      <c r="AW36" s="2"/>
      <c r="AX36" s="3"/>
      <c r="AY36" s="19"/>
      <c r="AZ36" s="2"/>
      <c r="BA36" s="3"/>
      <c r="BB36" s="19" t="s">
        <v>268</v>
      </c>
      <c r="BC36" s="2"/>
      <c r="BD36" s="3"/>
      <c r="BE36" s="20">
        <v>46244</v>
      </c>
      <c r="BF36" s="2"/>
      <c r="BG36" s="3"/>
      <c r="BH36" s="19"/>
      <c r="BI36" s="2"/>
      <c r="BJ36" s="3"/>
      <c r="BK36" s="18"/>
      <c r="BL36" s="2"/>
      <c r="BM36" s="2"/>
      <c r="BN36" s="2"/>
      <c r="BO36" s="2"/>
      <c r="BP36" s="2"/>
      <c r="BQ36" s="3"/>
    </row>
    <row r="37" ht="223.5" customHeight="1" spans="1:69">
      <c r="A37" s="17">
        <v>22</v>
      </c>
      <c r="B37" s="18" t="s">
        <v>365</v>
      </c>
      <c r="C37" s="2"/>
      <c r="D37" s="3"/>
      <c r="E37" s="18" t="s">
        <v>366</v>
      </c>
      <c r="F37" s="2"/>
      <c r="G37" s="2"/>
      <c r="H37" s="2"/>
      <c r="I37" s="3"/>
      <c r="J37" s="18" t="s">
        <v>298</v>
      </c>
      <c r="K37" s="2"/>
      <c r="L37" s="2"/>
      <c r="M37" s="2"/>
      <c r="N37" s="2"/>
      <c r="O37" s="2"/>
      <c r="P37" s="3"/>
      <c r="Q37" s="18" t="s">
        <v>367</v>
      </c>
      <c r="R37" s="2"/>
      <c r="S37" s="2"/>
      <c r="T37" s="2"/>
      <c r="U37" s="2"/>
      <c r="V37" s="2"/>
      <c r="W37" s="3"/>
      <c r="X37" s="18" t="s">
        <v>368</v>
      </c>
      <c r="Y37" s="2"/>
      <c r="Z37" s="2"/>
      <c r="AA37" s="2"/>
      <c r="AB37" s="2"/>
      <c r="AC37" s="2"/>
      <c r="AD37" s="3"/>
      <c r="AE37" s="19" t="s">
        <v>213</v>
      </c>
      <c r="AF37" s="3"/>
      <c r="AG37" s="21" t="s">
        <v>59</v>
      </c>
      <c r="AH37" s="2"/>
      <c r="AI37" s="3"/>
      <c r="AJ37" s="22"/>
      <c r="AK37" s="2"/>
      <c r="AL37" s="3"/>
      <c r="AM37" s="21" t="s">
        <v>267</v>
      </c>
      <c r="AN37" s="2"/>
      <c r="AO37" s="3"/>
      <c r="AP37" s="23">
        <v>46170</v>
      </c>
      <c r="AQ37" s="2"/>
      <c r="AR37" s="3"/>
      <c r="AS37" s="19"/>
      <c r="AT37" s="2"/>
      <c r="AU37" s="3"/>
      <c r="AV37" s="19" t="s">
        <v>59</v>
      </c>
      <c r="AW37" s="2"/>
      <c r="AX37" s="3"/>
      <c r="AY37" s="19"/>
      <c r="AZ37" s="2"/>
      <c r="BA37" s="3"/>
      <c r="BB37" s="19" t="s">
        <v>268</v>
      </c>
      <c r="BC37" s="2"/>
      <c r="BD37" s="3"/>
      <c r="BE37" s="20">
        <v>46244</v>
      </c>
      <c r="BF37" s="2"/>
      <c r="BG37" s="3"/>
      <c r="BH37" s="19"/>
      <c r="BI37" s="2"/>
      <c r="BJ37" s="3"/>
      <c r="BK37" s="18"/>
      <c r="BL37" s="2"/>
      <c r="BM37" s="2"/>
      <c r="BN37" s="2"/>
      <c r="BO37" s="2"/>
      <c r="BP37" s="2"/>
      <c r="BQ37" s="3"/>
    </row>
    <row r="38" ht="207.75" customHeight="1" spans="1:69">
      <c r="A38" s="17">
        <v>23</v>
      </c>
      <c r="B38" s="18" t="s">
        <v>369</v>
      </c>
      <c r="C38" s="2"/>
      <c r="D38" s="3"/>
      <c r="E38" s="18" t="s">
        <v>370</v>
      </c>
      <c r="F38" s="2"/>
      <c r="G38" s="2"/>
      <c r="H38" s="2"/>
      <c r="I38" s="3"/>
      <c r="J38" s="18" t="s">
        <v>371</v>
      </c>
      <c r="K38" s="2"/>
      <c r="L38" s="2"/>
      <c r="M38" s="2"/>
      <c r="N38" s="2"/>
      <c r="O38" s="2"/>
      <c r="P38" s="3"/>
      <c r="Q38" s="18" t="s">
        <v>372</v>
      </c>
      <c r="R38" s="2"/>
      <c r="S38" s="2"/>
      <c r="T38" s="2"/>
      <c r="U38" s="2"/>
      <c r="V38" s="2"/>
      <c r="W38" s="3"/>
      <c r="X38" s="18" t="s">
        <v>373</v>
      </c>
      <c r="Y38" s="2"/>
      <c r="Z38" s="2"/>
      <c r="AA38" s="2"/>
      <c r="AB38" s="2"/>
      <c r="AC38" s="2"/>
      <c r="AD38" s="3"/>
      <c r="AE38" s="19" t="s">
        <v>213</v>
      </c>
      <c r="AF38" s="3"/>
      <c r="AG38" s="21" t="s">
        <v>59</v>
      </c>
      <c r="AH38" s="2"/>
      <c r="AI38" s="3"/>
      <c r="AJ38" s="22"/>
      <c r="AK38" s="2"/>
      <c r="AL38" s="3"/>
      <c r="AM38" s="21" t="s">
        <v>267</v>
      </c>
      <c r="AN38" s="2"/>
      <c r="AO38" s="3"/>
      <c r="AP38" s="23">
        <v>46170</v>
      </c>
      <c r="AQ38" s="2"/>
      <c r="AR38" s="3"/>
      <c r="AS38" s="19"/>
      <c r="AT38" s="2"/>
      <c r="AU38" s="3"/>
      <c r="AV38" s="19" t="s">
        <v>59</v>
      </c>
      <c r="AW38" s="2"/>
      <c r="AX38" s="3"/>
      <c r="AY38" s="19"/>
      <c r="AZ38" s="2"/>
      <c r="BA38" s="3"/>
      <c r="BB38" s="19" t="s">
        <v>268</v>
      </c>
      <c r="BC38" s="2"/>
      <c r="BD38" s="3"/>
      <c r="BE38" s="20">
        <v>46244</v>
      </c>
      <c r="BF38" s="2"/>
      <c r="BG38" s="3"/>
      <c r="BH38" s="19"/>
      <c r="BI38" s="2"/>
      <c r="BJ38" s="3"/>
      <c r="BK38" s="18"/>
      <c r="BL38" s="2"/>
      <c r="BM38" s="2"/>
      <c r="BN38" s="2"/>
      <c r="BO38" s="2"/>
      <c r="BP38" s="2"/>
      <c r="BQ38" s="3"/>
    </row>
    <row r="39" ht="207.75" customHeight="1" spans="1:69">
      <c r="A39" s="17">
        <v>24</v>
      </c>
      <c r="B39" s="18" t="s">
        <v>374</v>
      </c>
      <c r="C39" s="2"/>
      <c r="D39" s="3"/>
      <c r="E39" s="18" t="s">
        <v>375</v>
      </c>
      <c r="F39" s="2"/>
      <c r="G39" s="2"/>
      <c r="H39" s="2"/>
      <c r="I39" s="3"/>
      <c r="J39" s="18" t="s">
        <v>376</v>
      </c>
      <c r="K39" s="2"/>
      <c r="L39" s="2"/>
      <c r="M39" s="2"/>
      <c r="N39" s="2"/>
      <c r="O39" s="2"/>
      <c r="P39" s="3"/>
      <c r="Q39" s="18" t="s">
        <v>377</v>
      </c>
      <c r="R39" s="2"/>
      <c r="S39" s="2"/>
      <c r="T39" s="2"/>
      <c r="U39" s="2"/>
      <c r="V39" s="2"/>
      <c r="W39" s="3"/>
      <c r="X39" s="18" t="s">
        <v>378</v>
      </c>
      <c r="Y39" s="2"/>
      <c r="Z39" s="2"/>
      <c r="AA39" s="2"/>
      <c r="AB39" s="2"/>
      <c r="AC39" s="2"/>
      <c r="AD39" s="3"/>
      <c r="AE39" s="19" t="s">
        <v>213</v>
      </c>
      <c r="AF39" s="3"/>
      <c r="AG39" s="21" t="s">
        <v>59</v>
      </c>
      <c r="AH39" s="2"/>
      <c r="AI39" s="3"/>
      <c r="AJ39" s="22"/>
      <c r="AK39" s="2"/>
      <c r="AL39" s="3"/>
      <c r="AM39" s="21" t="s">
        <v>267</v>
      </c>
      <c r="AN39" s="2"/>
      <c r="AO39" s="3"/>
      <c r="AP39" s="23">
        <v>46170</v>
      </c>
      <c r="AQ39" s="2"/>
      <c r="AR39" s="3"/>
      <c r="AS39" s="19"/>
      <c r="AT39" s="2"/>
      <c r="AU39" s="3"/>
      <c r="AV39" s="19" t="s">
        <v>59</v>
      </c>
      <c r="AW39" s="2"/>
      <c r="AX39" s="3"/>
      <c r="AY39" s="19"/>
      <c r="AZ39" s="2"/>
      <c r="BA39" s="3"/>
      <c r="BB39" s="19" t="s">
        <v>268</v>
      </c>
      <c r="BC39" s="2"/>
      <c r="BD39" s="3"/>
      <c r="BE39" s="20">
        <v>46244</v>
      </c>
      <c r="BF39" s="2"/>
      <c r="BG39" s="3"/>
      <c r="BH39" s="19"/>
      <c r="BI39" s="2"/>
      <c r="BJ39" s="3"/>
      <c r="BK39" s="18"/>
      <c r="BL39" s="2"/>
      <c r="BM39" s="2"/>
      <c r="BN39" s="2"/>
      <c r="BO39" s="2"/>
      <c r="BP39" s="2"/>
      <c r="BQ39" s="3"/>
    </row>
    <row r="40" ht="223.5" customHeight="1" spans="1:69">
      <c r="A40" s="17">
        <v>25</v>
      </c>
      <c r="B40" s="18" t="s">
        <v>379</v>
      </c>
      <c r="C40" s="2"/>
      <c r="D40" s="3"/>
      <c r="E40" s="18" t="s">
        <v>380</v>
      </c>
      <c r="F40" s="2"/>
      <c r="G40" s="2"/>
      <c r="H40" s="2"/>
      <c r="I40" s="3"/>
      <c r="J40" s="18" t="s">
        <v>298</v>
      </c>
      <c r="K40" s="2"/>
      <c r="L40" s="2"/>
      <c r="M40" s="2"/>
      <c r="N40" s="2"/>
      <c r="O40" s="2"/>
      <c r="P40" s="3"/>
      <c r="Q40" s="18" t="s">
        <v>381</v>
      </c>
      <c r="R40" s="2"/>
      <c r="S40" s="2"/>
      <c r="T40" s="2"/>
      <c r="U40" s="2"/>
      <c r="V40" s="2"/>
      <c r="W40" s="3"/>
      <c r="X40" s="18" t="s">
        <v>368</v>
      </c>
      <c r="Y40" s="2"/>
      <c r="Z40" s="2"/>
      <c r="AA40" s="2"/>
      <c r="AB40" s="2"/>
      <c r="AC40" s="2"/>
      <c r="AD40" s="3"/>
      <c r="AE40" s="19" t="s">
        <v>213</v>
      </c>
      <c r="AF40" s="3"/>
      <c r="AG40" s="21" t="s">
        <v>59</v>
      </c>
      <c r="AH40" s="2"/>
      <c r="AI40" s="3"/>
      <c r="AJ40" s="22"/>
      <c r="AK40" s="2"/>
      <c r="AL40" s="3"/>
      <c r="AM40" s="21" t="s">
        <v>267</v>
      </c>
      <c r="AN40" s="2"/>
      <c r="AO40" s="3"/>
      <c r="AP40" s="23">
        <v>46170</v>
      </c>
      <c r="AQ40" s="2"/>
      <c r="AR40" s="3"/>
      <c r="AS40" s="19"/>
      <c r="AT40" s="2"/>
      <c r="AU40" s="3"/>
      <c r="AV40" s="19" t="s">
        <v>59</v>
      </c>
      <c r="AW40" s="2"/>
      <c r="AX40" s="3"/>
      <c r="AY40" s="19"/>
      <c r="AZ40" s="2"/>
      <c r="BA40" s="3"/>
      <c r="BB40" s="19" t="s">
        <v>268</v>
      </c>
      <c r="BC40" s="2"/>
      <c r="BD40" s="3"/>
      <c r="BE40" s="20">
        <v>46244</v>
      </c>
      <c r="BF40" s="2"/>
      <c r="BG40" s="3"/>
      <c r="BH40" s="19"/>
      <c r="BI40" s="2"/>
      <c r="BJ40" s="3"/>
      <c r="BK40" s="18"/>
      <c r="BL40" s="2"/>
      <c r="BM40" s="2"/>
      <c r="BN40" s="2"/>
      <c r="BO40" s="2"/>
      <c r="BP40" s="2"/>
      <c r="BQ40" s="3"/>
    </row>
    <row r="41" ht="271.5" customHeight="1" spans="1:69">
      <c r="A41" s="17">
        <v>26</v>
      </c>
      <c r="B41" s="18" t="s">
        <v>382</v>
      </c>
      <c r="C41" s="2"/>
      <c r="D41" s="3"/>
      <c r="E41" s="18" t="s">
        <v>383</v>
      </c>
      <c r="F41" s="2"/>
      <c r="G41" s="2"/>
      <c r="H41" s="2"/>
      <c r="I41" s="3"/>
      <c r="J41" s="18" t="s">
        <v>298</v>
      </c>
      <c r="K41" s="2"/>
      <c r="L41" s="2"/>
      <c r="M41" s="2"/>
      <c r="N41" s="2"/>
      <c r="O41" s="2"/>
      <c r="P41" s="3"/>
      <c r="Q41" s="18" t="s">
        <v>384</v>
      </c>
      <c r="R41" s="2"/>
      <c r="S41" s="2"/>
      <c r="T41" s="2"/>
      <c r="U41" s="2"/>
      <c r="V41" s="2"/>
      <c r="W41" s="3"/>
      <c r="X41" s="18" t="s">
        <v>385</v>
      </c>
      <c r="Y41" s="2"/>
      <c r="Z41" s="2"/>
      <c r="AA41" s="2"/>
      <c r="AB41" s="2"/>
      <c r="AC41" s="2"/>
      <c r="AD41" s="3"/>
      <c r="AE41" s="19" t="s">
        <v>213</v>
      </c>
      <c r="AF41" s="3"/>
      <c r="AG41" s="21" t="s">
        <v>59</v>
      </c>
      <c r="AH41" s="2"/>
      <c r="AI41" s="3"/>
      <c r="AJ41" s="22"/>
      <c r="AK41" s="2"/>
      <c r="AL41" s="3"/>
      <c r="AM41" s="21" t="s">
        <v>267</v>
      </c>
      <c r="AN41" s="2"/>
      <c r="AO41" s="3"/>
      <c r="AP41" s="23">
        <v>46170</v>
      </c>
      <c r="AQ41" s="2"/>
      <c r="AR41" s="3"/>
      <c r="AS41" s="19"/>
      <c r="AT41" s="2"/>
      <c r="AU41" s="3"/>
      <c r="AV41" s="19" t="s">
        <v>59</v>
      </c>
      <c r="AW41" s="2"/>
      <c r="AX41" s="3"/>
      <c r="AY41" s="19"/>
      <c r="AZ41" s="2"/>
      <c r="BA41" s="3"/>
      <c r="BB41" s="19" t="s">
        <v>268</v>
      </c>
      <c r="BC41" s="2"/>
      <c r="BD41" s="3"/>
      <c r="BE41" s="20">
        <v>46244</v>
      </c>
      <c r="BF41" s="2"/>
      <c r="BG41" s="3"/>
      <c r="BH41" s="19"/>
      <c r="BI41" s="2"/>
      <c r="BJ41" s="3"/>
      <c r="BK41" s="18"/>
      <c r="BL41" s="2"/>
      <c r="BM41" s="2"/>
      <c r="BN41" s="2"/>
      <c r="BO41" s="2"/>
      <c r="BP41" s="2"/>
      <c r="BQ41" s="3"/>
    </row>
    <row r="42" ht="192" customHeight="1" spans="1:69">
      <c r="A42" s="17">
        <v>27</v>
      </c>
      <c r="B42" s="18" t="s">
        <v>386</v>
      </c>
      <c r="C42" s="2"/>
      <c r="D42" s="3"/>
      <c r="E42" s="18" t="s">
        <v>387</v>
      </c>
      <c r="F42" s="2"/>
      <c r="G42" s="2"/>
      <c r="H42" s="2"/>
      <c r="I42" s="3"/>
      <c r="J42" s="18" t="s">
        <v>298</v>
      </c>
      <c r="K42" s="2"/>
      <c r="L42" s="2"/>
      <c r="M42" s="2"/>
      <c r="N42" s="2"/>
      <c r="O42" s="2"/>
      <c r="P42" s="3"/>
      <c r="Q42" s="18" t="s">
        <v>388</v>
      </c>
      <c r="R42" s="2"/>
      <c r="S42" s="2"/>
      <c r="T42" s="2"/>
      <c r="U42" s="2"/>
      <c r="V42" s="2"/>
      <c r="W42" s="3"/>
      <c r="X42" s="18" t="s">
        <v>389</v>
      </c>
      <c r="Y42" s="2"/>
      <c r="Z42" s="2"/>
      <c r="AA42" s="2"/>
      <c r="AB42" s="2"/>
      <c r="AC42" s="2"/>
      <c r="AD42" s="3"/>
      <c r="AE42" s="19" t="s">
        <v>213</v>
      </c>
      <c r="AF42" s="3"/>
      <c r="AG42" s="21" t="s">
        <v>59</v>
      </c>
      <c r="AH42" s="2"/>
      <c r="AI42" s="3"/>
      <c r="AJ42" s="22"/>
      <c r="AK42" s="2"/>
      <c r="AL42" s="3"/>
      <c r="AM42" s="21" t="s">
        <v>267</v>
      </c>
      <c r="AN42" s="2"/>
      <c r="AO42" s="3"/>
      <c r="AP42" s="23">
        <v>46170</v>
      </c>
      <c r="AQ42" s="2"/>
      <c r="AR42" s="3"/>
      <c r="AS42" s="19"/>
      <c r="AT42" s="2"/>
      <c r="AU42" s="3"/>
      <c r="AV42" s="19" t="s">
        <v>59</v>
      </c>
      <c r="AW42" s="2"/>
      <c r="AX42" s="3"/>
      <c r="AY42" s="19"/>
      <c r="AZ42" s="2"/>
      <c r="BA42" s="3"/>
      <c r="BB42" s="19" t="s">
        <v>268</v>
      </c>
      <c r="BC42" s="2"/>
      <c r="BD42" s="3"/>
      <c r="BE42" s="20">
        <v>46244</v>
      </c>
      <c r="BF42" s="2"/>
      <c r="BG42" s="3"/>
      <c r="BH42" s="19"/>
      <c r="BI42" s="2"/>
      <c r="BJ42" s="3"/>
      <c r="BK42" s="18"/>
      <c r="BL42" s="2"/>
      <c r="BM42" s="2"/>
      <c r="BN42" s="2"/>
      <c r="BO42" s="2"/>
      <c r="BP42" s="2"/>
      <c r="BQ42" s="3"/>
    </row>
    <row r="43" ht="367.5" customHeight="1" spans="1:69">
      <c r="A43" s="17">
        <v>28</v>
      </c>
      <c r="B43" s="18" t="s">
        <v>390</v>
      </c>
      <c r="C43" s="2"/>
      <c r="D43" s="3"/>
      <c r="E43" s="18" t="s">
        <v>391</v>
      </c>
      <c r="F43" s="2"/>
      <c r="G43" s="2"/>
      <c r="H43" s="2"/>
      <c r="I43" s="3"/>
      <c r="J43" s="18" t="s">
        <v>303</v>
      </c>
      <c r="K43" s="2"/>
      <c r="L43" s="2"/>
      <c r="M43" s="2"/>
      <c r="N43" s="2"/>
      <c r="O43" s="2"/>
      <c r="P43" s="3"/>
      <c r="Q43" s="18" t="s">
        <v>392</v>
      </c>
      <c r="R43" s="2"/>
      <c r="S43" s="2"/>
      <c r="T43" s="2"/>
      <c r="U43" s="2"/>
      <c r="V43" s="2"/>
      <c r="W43" s="3"/>
      <c r="X43" s="18" t="s">
        <v>393</v>
      </c>
      <c r="Y43" s="2"/>
      <c r="Z43" s="2"/>
      <c r="AA43" s="2"/>
      <c r="AB43" s="2"/>
      <c r="AC43" s="2"/>
      <c r="AD43" s="3"/>
      <c r="AE43" s="19" t="s">
        <v>266</v>
      </c>
      <c r="AF43" s="3"/>
      <c r="AG43" s="21" t="s">
        <v>59</v>
      </c>
      <c r="AH43" s="2"/>
      <c r="AI43" s="3"/>
      <c r="AJ43" s="22"/>
      <c r="AK43" s="2"/>
      <c r="AL43" s="3"/>
      <c r="AM43" s="21" t="s">
        <v>267</v>
      </c>
      <c r="AN43" s="2"/>
      <c r="AO43" s="3"/>
      <c r="AP43" s="23">
        <v>46170</v>
      </c>
      <c r="AQ43" s="2"/>
      <c r="AR43" s="3"/>
      <c r="AS43" s="19"/>
      <c r="AT43" s="2"/>
      <c r="AU43" s="3"/>
      <c r="AV43" s="19" t="s">
        <v>59</v>
      </c>
      <c r="AW43" s="2"/>
      <c r="AX43" s="3"/>
      <c r="AY43" s="19"/>
      <c r="AZ43" s="2"/>
      <c r="BA43" s="3"/>
      <c r="BB43" s="19" t="s">
        <v>268</v>
      </c>
      <c r="BC43" s="2"/>
      <c r="BD43" s="3"/>
      <c r="BE43" s="20">
        <v>46244</v>
      </c>
      <c r="BF43" s="2"/>
      <c r="BG43" s="3"/>
      <c r="BH43" s="19"/>
      <c r="BI43" s="2"/>
      <c r="BJ43" s="3"/>
      <c r="BK43" s="18"/>
      <c r="BL43" s="2"/>
      <c r="BM43" s="2"/>
      <c r="BN43" s="2"/>
      <c r="BO43" s="2"/>
      <c r="BP43" s="2"/>
      <c r="BQ43" s="3"/>
    </row>
    <row r="44" ht="207.75" customHeight="1" spans="1:69">
      <c r="A44" s="17">
        <v>29</v>
      </c>
      <c r="B44" s="18" t="s">
        <v>394</v>
      </c>
      <c r="C44" s="2"/>
      <c r="D44" s="3"/>
      <c r="E44" s="18" t="s">
        <v>395</v>
      </c>
      <c r="F44" s="2"/>
      <c r="G44" s="2"/>
      <c r="H44" s="2"/>
      <c r="I44" s="3"/>
      <c r="J44" s="18" t="s">
        <v>396</v>
      </c>
      <c r="K44" s="2"/>
      <c r="L44" s="2"/>
      <c r="M44" s="2"/>
      <c r="N44" s="2"/>
      <c r="O44" s="2"/>
      <c r="P44" s="3"/>
      <c r="Q44" s="18" t="s">
        <v>397</v>
      </c>
      <c r="R44" s="2"/>
      <c r="S44" s="2"/>
      <c r="T44" s="2"/>
      <c r="U44" s="2"/>
      <c r="V44" s="2"/>
      <c r="W44" s="3"/>
      <c r="X44" s="18" t="s">
        <v>398</v>
      </c>
      <c r="Y44" s="2"/>
      <c r="Z44" s="2"/>
      <c r="AA44" s="2"/>
      <c r="AB44" s="2"/>
      <c r="AC44" s="2"/>
      <c r="AD44" s="3"/>
      <c r="AE44" s="19" t="s">
        <v>266</v>
      </c>
      <c r="AF44" s="3"/>
      <c r="AG44" s="21" t="s">
        <v>59</v>
      </c>
      <c r="AH44" s="2"/>
      <c r="AI44" s="3"/>
      <c r="AJ44" s="22"/>
      <c r="AK44" s="2"/>
      <c r="AL44" s="3"/>
      <c r="AM44" s="21" t="s">
        <v>267</v>
      </c>
      <c r="AN44" s="2"/>
      <c r="AO44" s="3"/>
      <c r="AP44" s="23">
        <v>46170</v>
      </c>
      <c r="AQ44" s="2"/>
      <c r="AR44" s="3"/>
      <c r="AS44" s="19"/>
      <c r="AT44" s="2"/>
      <c r="AU44" s="3"/>
      <c r="AV44" s="19" t="s">
        <v>59</v>
      </c>
      <c r="AW44" s="2"/>
      <c r="AX44" s="3"/>
      <c r="AY44" s="19"/>
      <c r="AZ44" s="2"/>
      <c r="BA44" s="3"/>
      <c r="BB44" s="19" t="s">
        <v>268</v>
      </c>
      <c r="BC44" s="2"/>
      <c r="BD44" s="3"/>
      <c r="BE44" s="20">
        <v>46244</v>
      </c>
      <c r="BF44" s="2"/>
      <c r="BG44" s="3"/>
      <c r="BH44" s="19"/>
      <c r="BI44" s="2"/>
      <c r="BJ44" s="3"/>
      <c r="BK44" s="18"/>
      <c r="BL44" s="2"/>
      <c r="BM44" s="2"/>
      <c r="BN44" s="2"/>
      <c r="BO44" s="2"/>
      <c r="BP44" s="2"/>
      <c r="BQ44" s="3"/>
    </row>
    <row r="45" ht="223.5" customHeight="1" spans="1:69">
      <c r="A45" s="17">
        <v>30</v>
      </c>
      <c r="B45" s="18" t="s">
        <v>399</v>
      </c>
      <c r="C45" s="2"/>
      <c r="D45" s="3"/>
      <c r="E45" s="18" t="s">
        <v>400</v>
      </c>
      <c r="F45" s="2"/>
      <c r="G45" s="2"/>
      <c r="H45" s="2"/>
      <c r="I45" s="3"/>
      <c r="J45" s="18" t="s">
        <v>298</v>
      </c>
      <c r="K45" s="2"/>
      <c r="L45" s="2"/>
      <c r="M45" s="2"/>
      <c r="N45" s="2"/>
      <c r="O45" s="2"/>
      <c r="P45" s="3"/>
      <c r="Q45" s="18" t="s">
        <v>401</v>
      </c>
      <c r="R45" s="2"/>
      <c r="S45" s="2"/>
      <c r="T45" s="2"/>
      <c r="U45" s="2"/>
      <c r="V45" s="2"/>
      <c r="W45" s="3"/>
      <c r="X45" s="18" t="s">
        <v>402</v>
      </c>
      <c r="Y45" s="2"/>
      <c r="Z45" s="2"/>
      <c r="AA45" s="2"/>
      <c r="AB45" s="2"/>
      <c r="AC45" s="2"/>
      <c r="AD45" s="3"/>
      <c r="AE45" s="19" t="s">
        <v>266</v>
      </c>
      <c r="AF45" s="3"/>
      <c r="AG45" s="21" t="s">
        <v>59</v>
      </c>
      <c r="AH45" s="2"/>
      <c r="AI45" s="3"/>
      <c r="AJ45" s="22"/>
      <c r="AK45" s="2"/>
      <c r="AL45" s="3"/>
      <c r="AM45" s="21" t="s">
        <v>267</v>
      </c>
      <c r="AN45" s="2"/>
      <c r="AO45" s="3"/>
      <c r="AP45" s="23">
        <v>46170</v>
      </c>
      <c r="AQ45" s="2"/>
      <c r="AR45" s="3"/>
      <c r="AS45" s="19"/>
      <c r="AT45" s="2"/>
      <c r="AU45" s="3"/>
      <c r="AV45" s="19" t="s">
        <v>59</v>
      </c>
      <c r="AW45" s="2"/>
      <c r="AX45" s="3"/>
      <c r="AY45" s="19"/>
      <c r="AZ45" s="2"/>
      <c r="BA45" s="3"/>
      <c r="BB45" s="19" t="s">
        <v>268</v>
      </c>
      <c r="BC45" s="2"/>
      <c r="BD45" s="3"/>
      <c r="BE45" s="20">
        <v>46244</v>
      </c>
      <c r="BF45" s="2"/>
      <c r="BG45" s="3"/>
      <c r="BH45" s="19"/>
      <c r="BI45" s="2"/>
      <c r="BJ45" s="3"/>
      <c r="BK45" s="18"/>
      <c r="BL45" s="2"/>
      <c r="BM45" s="2"/>
      <c r="BN45" s="2"/>
      <c r="BO45" s="2"/>
      <c r="BP45" s="2"/>
      <c r="BQ45" s="3"/>
    </row>
    <row r="46" ht="159.75" customHeight="1" spans="1:69">
      <c r="A46" s="17">
        <v>31</v>
      </c>
      <c r="B46" s="18" t="s">
        <v>403</v>
      </c>
      <c r="C46" s="2"/>
      <c r="D46" s="3"/>
      <c r="E46" s="18" t="s">
        <v>404</v>
      </c>
      <c r="F46" s="2"/>
      <c r="G46" s="2"/>
      <c r="H46" s="2"/>
      <c r="I46" s="3"/>
      <c r="J46" s="18" t="s">
        <v>405</v>
      </c>
      <c r="K46" s="2"/>
      <c r="L46" s="2"/>
      <c r="M46" s="2"/>
      <c r="N46" s="2"/>
      <c r="O46" s="2"/>
      <c r="P46" s="3"/>
      <c r="Q46" s="18" t="s">
        <v>406</v>
      </c>
      <c r="R46" s="2"/>
      <c r="S46" s="2"/>
      <c r="T46" s="2"/>
      <c r="U46" s="2"/>
      <c r="V46" s="2"/>
      <c r="W46" s="3"/>
      <c r="X46" s="18" t="s">
        <v>407</v>
      </c>
      <c r="Y46" s="2"/>
      <c r="Z46" s="2"/>
      <c r="AA46" s="2"/>
      <c r="AB46" s="2"/>
      <c r="AC46" s="2"/>
      <c r="AD46" s="3"/>
      <c r="AE46" s="19" t="s">
        <v>213</v>
      </c>
      <c r="AF46" s="3"/>
      <c r="AG46" s="21" t="s">
        <v>59</v>
      </c>
      <c r="AH46" s="2"/>
      <c r="AI46" s="3"/>
      <c r="AJ46" s="22"/>
      <c r="AK46" s="2"/>
      <c r="AL46" s="3"/>
      <c r="AM46" s="21" t="s">
        <v>267</v>
      </c>
      <c r="AN46" s="2"/>
      <c r="AO46" s="3"/>
      <c r="AP46" s="23">
        <v>46170</v>
      </c>
      <c r="AQ46" s="2"/>
      <c r="AR46" s="3"/>
      <c r="AS46" s="19"/>
      <c r="AT46" s="2"/>
      <c r="AU46" s="3"/>
      <c r="AV46" s="19" t="s">
        <v>59</v>
      </c>
      <c r="AW46" s="2"/>
      <c r="AX46" s="3"/>
      <c r="AY46" s="19"/>
      <c r="AZ46" s="2"/>
      <c r="BA46" s="3"/>
      <c r="BB46" s="19" t="s">
        <v>268</v>
      </c>
      <c r="BC46" s="2"/>
      <c r="BD46" s="3"/>
      <c r="BE46" s="20">
        <v>46244</v>
      </c>
      <c r="BF46" s="2"/>
      <c r="BG46" s="3"/>
      <c r="BH46" s="19"/>
      <c r="BI46" s="2"/>
      <c r="BJ46" s="3"/>
      <c r="BK46" s="18"/>
      <c r="BL46" s="2"/>
      <c r="BM46" s="2"/>
      <c r="BN46" s="2"/>
      <c r="BO46" s="2"/>
      <c r="BP46" s="2"/>
      <c r="BQ46" s="3"/>
    </row>
    <row r="47" ht="223.5" customHeight="1" spans="1:69">
      <c r="A47" s="17">
        <v>32</v>
      </c>
      <c r="B47" s="18" t="s">
        <v>408</v>
      </c>
      <c r="C47" s="2"/>
      <c r="D47" s="3"/>
      <c r="E47" s="18" t="s">
        <v>409</v>
      </c>
      <c r="F47" s="2"/>
      <c r="G47" s="2"/>
      <c r="H47" s="2"/>
      <c r="I47" s="3"/>
      <c r="J47" s="18" t="s">
        <v>298</v>
      </c>
      <c r="K47" s="2"/>
      <c r="L47" s="2"/>
      <c r="M47" s="2"/>
      <c r="N47" s="2"/>
      <c r="O47" s="2"/>
      <c r="P47" s="3"/>
      <c r="Q47" s="18" t="s">
        <v>410</v>
      </c>
      <c r="R47" s="2"/>
      <c r="S47" s="2"/>
      <c r="T47" s="2"/>
      <c r="U47" s="2"/>
      <c r="V47" s="2"/>
      <c r="W47" s="3"/>
      <c r="X47" s="18" t="s">
        <v>411</v>
      </c>
      <c r="Y47" s="2"/>
      <c r="Z47" s="2"/>
      <c r="AA47" s="2"/>
      <c r="AB47" s="2"/>
      <c r="AC47" s="2"/>
      <c r="AD47" s="3"/>
      <c r="AE47" s="19" t="s">
        <v>213</v>
      </c>
      <c r="AF47" s="3"/>
      <c r="AG47" s="21" t="s">
        <v>59</v>
      </c>
      <c r="AH47" s="2"/>
      <c r="AI47" s="3"/>
      <c r="AJ47" s="22"/>
      <c r="AK47" s="2"/>
      <c r="AL47" s="3"/>
      <c r="AM47" s="21" t="s">
        <v>267</v>
      </c>
      <c r="AN47" s="2"/>
      <c r="AO47" s="3"/>
      <c r="AP47" s="23">
        <v>46170</v>
      </c>
      <c r="AQ47" s="2"/>
      <c r="AR47" s="3"/>
      <c r="AS47" s="19"/>
      <c r="AT47" s="2"/>
      <c r="AU47" s="3"/>
      <c r="AV47" s="19" t="s">
        <v>59</v>
      </c>
      <c r="AW47" s="2"/>
      <c r="AX47" s="3"/>
      <c r="AY47" s="19"/>
      <c r="AZ47" s="2"/>
      <c r="BA47" s="3"/>
      <c r="BB47" s="19" t="s">
        <v>268</v>
      </c>
      <c r="BC47" s="2"/>
      <c r="BD47" s="3"/>
      <c r="BE47" s="20">
        <v>46244</v>
      </c>
      <c r="BF47" s="2"/>
      <c r="BG47" s="3"/>
      <c r="BH47" s="19"/>
      <c r="BI47" s="2"/>
      <c r="BJ47" s="3"/>
      <c r="BK47" s="18"/>
      <c r="BL47" s="2"/>
      <c r="BM47" s="2"/>
      <c r="BN47" s="2"/>
      <c r="BO47" s="2"/>
      <c r="BP47" s="2"/>
      <c r="BQ47" s="3"/>
    </row>
    <row r="48" ht="240" customHeight="1" spans="1:69">
      <c r="A48" s="17">
        <v>33</v>
      </c>
      <c r="B48" s="18" t="s">
        <v>412</v>
      </c>
      <c r="C48" s="2"/>
      <c r="D48" s="3"/>
      <c r="E48" s="18" t="s">
        <v>413</v>
      </c>
      <c r="F48" s="2"/>
      <c r="G48" s="2"/>
      <c r="H48" s="2"/>
      <c r="I48" s="3"/>
      <c r="J48" s="18" t="s">
        <v>414</v>
      </c>
      <c r="K48" s="2"/>
      <c r="L48" s="2"/>
      <c r="M48" s="2"/>
      <c r="N48" s="2"/>
      <c r="O48" s="2"/>
      <c r="P48" s="3"/>
      <c r="Q48" s="18" t="s">
        <v>415</v>
      </c>
      <c r="R48" s="2"/>
      <c r="S48" s="2"/>
      <c r="T48" s="2"/>
      <c r="U48" s="2"/>
      <c r="V48" s="2"/>
      <c r="W48" s="3"/>
      <c r="X48" s="18" t="s">
        <v>416</v>
      </c>
      <c r="Y48" s="2"/>
      <c r="Z48" s="2"/>
      <c r="AA48" s="2"/>
      <c r="AB48" s="2"/>
      <c r="AC48" s="2"/>
      <c r="AD48" s="3"/>
      <c r="AE48" s="19" t="s">
        <v>209</v>
      </c>
      <c r="AF48" s="3"/>
      <c r="AG48" s="21" t="s">
        <v>59</v>
      </c>
      <c r="AH48" s="2"/>
      <c r="AI48" s="3"/>
      <c r="AJ48" s="22"/>
      <c r="AK48" s="2"/>
      <c r="AL48" s="3"/>
      <c r="AM48" s="21" t="s">
        <v>267</v>
      </c>
      <c r="AN48" s="2"/>
      <c r="AO48" s="3"/>
      <c r="AP48" s="23">
        <v>46170</v>
      </c>
      <c r="AQ48" s="2"/>
      <c r="AR48" s="3"/>
      <c r="AS48" s="19"/>
      <c r="AT48" s="2"/>
      <c r="AU48" s="3"/>
      <c r="AV48" s="19" t="s">
        <v>59</v>
      </c>
      <c r="AW48" s="2"/>
      <c r="AX48" s="3"/>
      <c r="AY48" s="19"/>
      <c r="AZ48" s="2"/>
      <c r="BA48" s="3"/>
      <c r="BB48" s="19" t="s">
        <v>268</v>
      </c>
      <c r="BC48" s="2"/>
      <c r="BD48" s="3"/>
      <c r="BE48" s="20">
        <v>46244</v>
      </c>
      <c r="BF48" s="2"/>
      <c r="BG48" s="3"/>
      <c r="BH48" s="19"/>
      <c r="BI48" s="2"/>
      <c r="BJ48" s="3"/>
      <c r="BK48" s="18"/>
      <c r="BL48" s="2"/>
      <c r="BM48" s="2"/>
      <c r="BN48" s="2"/>
      <c r="BO48" s="2"/>
      <c r="BP48" s="2"/>
      <c r="BQ48" s="3"/>
    </row>
    <row r="49" ht="351.75" customHeight="1" spans="1:69">
      <c r="A49" s="17">
        <v>34</v>
      </c>
      <c r="B49" s="18" t="s">
        <v>417</v>
      </c>
      <c r="C49" s="2"/>
      <c r="D49" s="3"/>
      <c r="E49" s="18" t="s">
        <v>418</v>
      </c>
      <c r="F49" s="2"/>
      <c r="G49" s="2"/>
      <c r="H49" s="2"/>
      <c r="I49" s="3"/>
      <c r="J49" s="18" t="s">
        <v>298</v>
      </c>
      <c r="K49" s="2"/>
      <c r="L49" s="2"/>
      <c r="M49" s="2"/>
      <c r="N49" s="2"/>
      <c r="O49" s="2"/>
      <c r="P49" s="3"/>
      <c r="Q49" s="18" t="s">
        <v>419</v>
      </c>
      <c r="R49" s="2"/>
      <c r="S49" s="2"/>
      <c r="T49" s="2"/>
      <c r="U49" s="2"/>
      <c r="V49" s="2"/>
      <c r="W49" s="3"/>
      <c r="X49" s="18" t="s">
        <v>420</v>
      </c>
      <c r="Y49" s="2"/>
      <c r="Z49" s="2"/>
      <c r="AA49" s="2"/>
      <c r="AB49" s="2"/>
      <c r="AC49" s="2"/>
      <c r="AD49" s="3"/>
      <c r="AE49" s="19" t="s">
        <v>266</v>
      </c>
      <c r="AF49" s="3"/>
      <c r="AG49" s="21" t="s">
        <v>59</v>
      </c>
      <c r="AH49" s="2"/>
      <c r="AI49" s="3"/>
      <c r="AJ49" s="22"/>
      <c r="AK49" s="2"/>
      <c r="AL49" s="3"/>
      <c r="AM49" s="21" t="s">
        <v>267</v>
      </c>
      <c r="AN49" s="2"/>
      <c r="AO49" s="3"/>
      <c r="AP49" s="23">
        <v>46170</v>
      </c>
      <c r="AQ49" s="2"/>
      <c r="AR49" s="3"/>
      <c r="AS49" s="19"/>
      <c r="AT49" s="2"/>
      <c r="AU49" s="3"/>
      <c r="AV49" s="19" t="s">
        <v>59</v>
      </c>
      <c r="AW49" s="2"/>
      <c r="AX49" s="3"/>
      <c r="AY49" s="19"/>
      <c r="AZ49" s="2"/>
      <c r="BA49" s="3"/>
      <c r="BB49" s="19" t="s">
        <v>268</v>
      </c>
      <c r="BC49" s="2"/>
      <c r="BD49" s="3"/>
      <c r="BE49" s="20">
        <v>46244</v>
      </c>
      <c r="BF49" s="2"/>
      <c r="BG49" s="3"/>
      <c r="BH49" s="19"/>
      <c r="BI49" s="2"/>
      <c r="BJ49" s="3"/>
      <c r="BK49" s="18"/>
      <c r="BL49" s="2"/>
      <c r="BM49" s="2"/>
      <c r="BN49" s="2"/>
      <c r="BO49" s="2"/>
      <c r="BP49" s="2"/>
      <c r="BQ49" s="3"/>
    </row>
    <row r="50" ht="22.5" customHeight="1" spans="1:69">
      <c r="A50" s="16" t="s">
        <v>421</v>
      </c>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3"/>
    </row>
    <row r="51" ht="303.75" customHeight="1" spans="1:69">
      <c r="A51" s="17">
        <v>35</v>
      </c>
      <c r="B51" s="18" t="s">
        <v>422</v>
      </c>
      <c r="C51" s="2"/>
      <c r="D51" s="3"/>
      <c r="E51" s="18" t="s">
        <v>423</v>
      </c>
      <c r="F51" s="2"/>
      <c r="G51" s="2"/>
      <c r="H51" s="2"/>
      <c r="I51" s="3"/>
      <c r="J51" s="18" t="s">
        <v>424</v>
      </c>
      <c r="K51" s="2"/>
      <c r="L51" s="2"/>
      <c r="M51" s="2"/>
      <c r="N51" s="2"/>
      <c r="O51" s="2"/>
      <c r="P51" s="3"/>
      <c r="Q51" s="18" t="s">
        <v>425</v>
      </c>
      <c r="R51" s="2"/>
      <c r="S51" s="2"/>
      <c r="T51" s="2"/>
      <c r="U51" s="2"/>
      <c r="V51" s="2"/>
      <c r="W51" s="3"/>
      <c r="X51" s="18" t="s">
        <v>426</v>
      </c>
      <c r="Y51" s="2"/>
      <c r="Z51" s="2"/>
      <c r="AA51" s="2"/>
      <c r="AB51" s="2"/>
      <c r="AC51" s="2"/>
      <c r="AD51" s="3"/>
      <c r="AE51" s="19" t="s">
        <v>266</v>
      </c>
      <c r="AF51" s="3"/>
      <c r="AG51" s="21" t="s">
        <v>59</v>
      </c>
      <c r="AH51" s="2"/>
      <c r="AI51" s="3"/>
      <c r="AJ51" s="22"/>
      <c r="AK51" s="2"/>
      <c r="AL51" s="3"/>
      <c r="AM51" s="21" t="s">
        <v>267</v>
      </c>
      <c r="AN51" s="2"/>
      <c r="AO51" s="3"/>
      <c r="AP51" s="23">
        <v>46170</v>
      </c>
      <c r="AQ51" s="2"/>
      <c r="AR51" s="3"/>
      <c r="AS51" s="19"/>
      <c r="AT51" s="2"/>
      <c r="AU51" s="3"/>
      <c r="AV51" s="19" t="s">
        <v>59</v>
      </c>
      <c r="AW51" s="2"/>
      <c r="AX51" s="3"/>
      <c r="AY51" s="19"/>
      <c r="AZ51" s="2"/>
      <c r="BA51" s="3"/>
      <c r="BB51" s="19" t="s">
        <v>268</v>
      </c>
      <c r="BC51" s="2"/>
      <c r="BD51" s="3"/>
      <c r="BE51" s="20">
        <v>46244</v>
      </c>
      <c r="BF51" s="2"/>
      <c r="BG51" s="3"/>
      <c r="BH51" s="19"/>
      <c r="BI51" s="2"/>
      <c r="BJ51" s="3"/>
      <c r="BK51" s="18"/>
      <c r="BL51" s="2"/>
      <c r="BM51" s="2"/>
      <c r="BN51" s="2"/>
      <c r="BO51" s="2"/>
      <c r="BP51" s="2"/>
      <c r="BQ51" s="3"/>
    </row>
    <row r="52" ht="384" customHeight="1" spans="1:69">
      <c r="A52" s="17">
        <v>36</v>
      </c>
      <c r="B52" s="18" t="s">
        <v>427</v>
      </c>
      <c r="C52" s="2"/>
      <c r="D52" s="3"/>
      <c r="E52" s="18" t="s">
        <v>428</v>
      </c>
      <c r="F52" s="2"/>
      <c r="G52" s="2"/>
      <c r="H52" s="2"/>
      <c r="I52" s="3"/>
      <c r="J52" s="18" t="s">
        <v>429</v>
      </c>
      <c r="K52" s="2"/>
      <c r="L52" s="2"/>
      <c r="M52" s="2"/>
      <c r="N52" s="2"/>
      <c r="O52" s="2"/>
      <c r="P52" s="3"/>
      <c r="Q52" s="18" t="s">
        <v>430</v>
      </c>
      <c r="R52" s="2"/>
      <c r="S52" s="2"/>
      <c r="T52" s="2"/>
      <c r="U52" s="2"/>
      <c r="V52" s="2"/>
      <c r="W52" s="3"/>
      <c r="X52" s="18" t="s">
        <v>431</v>
      </c>
      <c r="Y52" s="2"/>
      <c r="Z52" s="2"/>
      <c r="AA52" s="2"/>
      <c r="AB52" s="2"/>
      <c r="AC52" s="2"/>
      <c r="AD52" s="3"/>
      <c r="AE52" s="19" t="s">
        <v>266</v>
      </c>
      <c r="AF52" s="3"/>
      <c r="AG52" s="21" t="s">
        <v>59</v>
      </c>
      <c r="AH52" s="2"/>
      <c r="AI52" s="3"/>
      <c r="AJ52" s="22"/>
      <c r="AK52" s="2"/>
      <c r="AL52" s="3"/>
      <c r="AM52" s="21" t="s">
        <v>267</v>
      </c>
      <c r="AN52" s="2"/>
      <c r="AO52" s="3"/>
      <c r="AP52" s="23">
        <v>46170</v>
      </c>
      <c r="AQ52" s="2"/>
      <c r="AR52" s="3"/>
      <c r="AS52" s="19"/>
      <c r="AT52" s="2"/>
      <c r="AU52" s="3"/>
      <c r="AV52" s="19" t="s">
        <v>59</v>
      </c>
      <c r="AW52" s="2"/>
      <c r="AX52" s="3"/>
      <c r="AY52" s="19"/>
      <c r="AZ52" s="2"/>
      <c r="BA52" s="3"/>
      <c r="BB52" s="19" t="s">
        <v>268</v>
      </c>
      <c r="BC52" s="2"/>
      <c r="BD52" s="3"/>
      <c r="BE52" s="20">
        <v>46244</v>
      </c>
      <c r="BF52" s="2"/>
      <c r="BG52" s="3"/>
      <c r="BH52" s="19"/>
      <c r="BI52" s="2"/>
      <c r="BJ52" s="3"/>
      <c r="BK52" s="18"/>
      <c r="BL52" s="2"/>
      <c r="BM52" s="2"/>
      <c r="BN52" s="2"/>
      <c r="BO52" s="2"/>
      <c r="BP52" s="2"/>
      <c r="BQ52" s="3"/>
    </row>
    <row r="53" ht="271.5" customHeight="1" spans="1:69">
      <c r="A53" s="17">
        <v>37</v>
      </c>
      <c r="B53" s="18" t="s">
        <v>432</v>
      </c>
      <c r="C53" s="2"/>
      <c r="D53" s="3"/>
      <c r="E53" s="18" t="s">
        <v>433</v>
      </c>
      <c r="F53" s="2"/>
      <c r="G53" s="2"/>
      <c r="H53" s="2"/>
      <c r="I53" s="3"/>
      <c r="J53" s="18" t="s">
        <v>298</v>
      </c>
      <c r="K53" s="2"/>
      <c r="L53" s="2"/>
      <c r="M53" s="2"/>
      <c r="N53" s="2"/>
      <c r="O53" s="2"/>
      <c r="P53" s="3"/>
      <c r="Q53" s="18" t="s">
        <v>434</v>
      </c>
      <c r="R53" s="2"/>
      <c r="S53" s="2"/>
      <c r="T53" s="2"/>
      <c r="U53" s="2"/>
      <c r="V53" s="2"/>
      <c r="W53" s="3"/>
      <c r="X53" s="18" t="s">
        <v>435</v>
      </c>
      <c r="Y53" s="2"/>
      <c r="Z53" s="2"/>
      <c r="AA53" s="2"/>
      <c r="AB53" s="2"/>
      <c r="AC53" s="2"/>
      <c r="AD53" s="3"/>
      <c r="AE53" s="19" t="s">
        <v>266</v>
      </c>
      <c r="AF53" s="3"/>
      <c r="AG53" s="21" t="s">
        <v>59</v>
      </c>
      <c r="AH53" s="2"/>
      <c r="AI53" s="3"/>
      <c r="AJ53" s="22"/>
      <c r="AK53" s="2"/>
      <c r="AL53" s="3"/>
      <c r="AM53" s="21" t="s">
        <v>267</v>
      </c>
      <c r="AN53" s="2"/>
      <c r="AO53" s="3"/>
      <c r="AP53" s="23">
        <v>46170</v>
      </c>
      <c r="AQ53" s="2"/>
      <c r="AR53" s="3"/>
      <c r="AS53" s="19"/>
      <c r="AT53" s="2"/>
      <c r="AU53" s="3"/>
      <c r="AV53" s="19" t="s">
        <v>59</v>
      </c>
      <c r="AW53" s="2"/>
      <c r="AX53" s="3"/>
      <c r="AY53" s="19"/>
      <c r="AZ53" s="2"/>
      <c r="BA53" s="3"/>
      <c r="BB53" s="19" t="s">
        <v>268</v>
      </c>
      <c r="BC53" s="2"/>
      <c r="BD53" s="3"/>
      <c r="BE53" s="20">
        <v>46244</v>
      </c>
      <c r="BF53" s="2"/>
      <c r="BG53" s="3"/>
      <c r="BH53" s="19"/>
      <c r="BI53" s="2"/>
      <c r="BJ53" s="3"/>
      <c r="BK53" s="18"/>
      <c r="BL53" s="2"/>
      <c r="BM53" s="2"/>
      <c r="BN53" s="2"/>
      <c r="BO53" s="2"/>
      <c r="BP53" s="2"/>
      <c r="BQ53" s="3"/>
    </row>
    <row r="54" ht="409.5" customHeight="1" spans="1:69">
      <c r="A54" s="17">
        <v>38</v>
      </c>
      <c r="B54" s="18" t="s">
        <v>436</v>
      </c>
      <c r="C54" s="2"/>
      <c r="D54" s="3"/>
      <c r="E54" s="18" t="s">
        <v>437</v>
      </c>
      <c r="F54" s="2"/>
      <c r="G54" s="2"/>
      <c r="H54" s="2"/>
      <c r="I54" s="3"/>
      <c r="J54" s="18" t="s">
        <v>438</v>
      </c>
      <c r="K54" s="2"/>
      <c r="L54" s="2"/>
      <c r="M54" s="2"/>
      <c r="N54" s="2"/>
      <c r="O54" s="2"/>
      <c r="P54" s="3"/>
      <c r="Q54" s="18" t="s">
        <v>439</v>
      </c>
      <c r="R54" s="2"/>
      <c r="S54" s="2"/>
      <c r="T54" s="2"/>
      <c r="U54" s="2"/>
      <c r="V54" s="2"/>
      <c r="W54" s="3"/>
      <c r="X54" s="18" t="s">
        <v>440</v>
      </c>
      <c r="Y54" s="2"/>
      <c r="Z54" s="2"/>
      <c r="AA54" s="2"/>
      <c r="AB54" s="2"/>
      <c r="AC54" s="2"/>
      <c r="AD54" s="3"/>
      <c r="AE54" s="19" t="s">
        <v>209</v>
      </c>
      <c r="AF54" s="3"/>
      <c r="AG54" s="19" t="s">
        <v>61</v>
      </c>
      <c r="AH54" s="2"/>
      <c r="AI54" s="3"/>
      <c r="AJ54" s="19"/>
      <c r="AK54" s="2"/>
      <c r="AL54" s="3"/>
      <c r="AM54" s="21" t="s">
        <v>267</v>
      </c>
      <c r="AN54" s="2"/>
      <c r="AO54" s="3"/>
      <c r="AP54" s="23">
        <v>46170</v>
      </c>
      <c r="AQ54" s="2"/>
      <c r="AR54" s="3"/>
      <c r="AS54" s="19"/>
      <c r="AT54" s="2"/>
      <c r="AU54" s="3"/>
      <c r="AV54" s="19" t="s">
        <v>59</v>
      </c>
      <c r="AW54" s="2"/>
      <c r="AX54" s="3"/>
      <c r="AY54" s="19"/>
      <c r="AZ54" s="2"/>
      <c r="BA54" s="3"/>
      <c r="BB54" s="19" t="s">
        <v>268</v>
      </c>
      <c r="BC54" s="2"/>
      <c r="BD54" s="3"/>
      <c r="BE54" s="20">
        <v>46244</v>
      </c>
      <c r="BF54" s="2"/>
      <c r="BG54" s="3"/>
      <c r="BH54" s="19"/>
      <c r="BI54" s="2"/>
      <c r="BJ54" s="3"/>
      <c r="BK54" s="18" t="s">
        <v>441</v>
      </c>
      <c r="BL54" s="2"/>
      <c r="BM54" s="2"/>
      <c r="BN54" s="2"/>
      <c r="BO54" s="2"/>
      <c r="BP54" s="2"/>
      <c r="BQ54" s="3"/>
    </row>
    <row r="55" ht="367.5" customHeight="1" spans="1:69">
      <c r="A55" s="17">
        <v>39</v>
      </c>
      <c r="B55" s="18" t="s">
        <v>442</v>
      </c>
      <c r="C55" s="2"/>
      <c r="D55" s="3"/>
      <c r="E55" s="18" t="s">
        <v>443</v>
      </c>
      <c r="F55" s="2"/>
      <c r="G55" s="2"/>
      <c r="H55" s="2"/>
      <c r="I55" s="3"/>
      <c r="J55" s="18" t="s">
        <v>444</v>
      </c>
      <c r="K55" s="2"/>
      <c r="L55" s="2"/>
      <c r="M55" s="2"/>
      <c r="N55" s="2"/>
      <c r="O55" s="2"/>
      <c r="P55" s="3"/>
      <c r="Q55" s="18" t="s">
        <v>445</v>
      </c>
      <c r="R55" s="2"/>
      <c r="S55" s="2"/>
      <c r="T55" s="2"/>
      <c r="U55" s="2"/>
      <c r="V55" s="2"/>
      <c r="W55" s="3"/>
      <c r="X55" s="18" t="s">
        <v>446</v>
      </c>
      <c r="Y55" s="2"/>
      <c r="Z55" s="2"/>
      <c r="AA55" s="2"/>
      <c r="AB55" s="2"/>
      <c r="AC55" s="2"/>
      <c r="AD55" s="3"/>
      <c r="AE55" s="19" t="s">
        <v>266</v>
      </c>
      <c r="AF55" s="3"/>
      <c r="AG55" s="21" t="s">
        <v>59</v>
      </c>
      <c r="AH55" s="2"/>
      <c r="AI55" s="3"/>
      <c r="AJ55" s="22"/>
      <c r="AK55" s="2"/>
      <c r="AL55" s="3"/>
      <c r="AM55" s="21" t="s">
        <v>267</v>
      </c>
      <c r="AN55" s="2"/>
      <c r="AO55" s="3"/>
      <c r="AP55" s="23">
        <v>46170</v>
      </c>
      <c r="AQ55" s="2"/>
      <c r="AR55" s="3"/>
      <c r="AS55" s="19"/>
      <c r="AT55" s="2"/>
      <c r="AU55" s="3"/>
      <c r="AV55" s="19" t="s">
        <v>59</v>
      </c>
      <c r="AW55" s="2"/>
      <c r="AX55" s="3"/>
      <c r="AY55" s="19"/>
      <c r="AZ55" s="2"/>
      <c r="BA55" s="3"/>
      <c r="BB55" s="19" t="s">
        <v>268</v>
      </c>
      <c r="BC55" s="2"/>
      <c r="BD55" s="3"/>
      <c r="BE55" s="20">
        <v>46244</v>
      </c>
      <c r="BF55" s="2"/>
      <c r="BG55" s="3"/>
      <c r="BH55" s="19"/>
      <c r="BI55" s="2"/>
      <c r="BJ55" s="3"/>
      <c r="BK55" s="18"/>
      <c r="BL55" s="2"/>
      <c r="BM55" s="2"/>
      <c r="BN55" s="2"/>
      <c r="BO55" s="2"/>
      <c r="BP55" s="2"/>
      <c r="BQ55" s="3"/>
    </row>
    <row r="56" ht="303.75" customHeight="1" spans="1:69">
      <c r="A56" s="17">
        <v>40</v>
      </c>
      <c r="B56" s="18" t="s">
        <v>447</v>
      </c>
      <c r="C56" s="2"/>
      <c r="D56" s="3"/>
      <c r="E56" s="18" t="s">
        <v>448</v>
      </c>
      <c r="F56" s="2"/>
      <c r="G56" s="2"/>
      <c r="H56" s="2"/>
      <c r="I56" s="3"/>
      <c r="J56" s="18" t="s">
        <v>449</v>
      </c>
      <c r="K56" s="2"/>
      <c r="L56" s="2"/>
      <c r="M56" s="2"/>
      <c r="N56" s="2"/>
      <c r="O56" s="2"/>
      <c r="P56" s="3"/>
      <c r="Q56" s="18" t="s">
        <v>450</v>
      </c>
      <c r="R56" s="2"/>
      <c r="S56" s="2"/>
      <c r="T56" s="2"/>
      <c r="U56" s="2"/>
      <c r="V56" s="2"/>
      <c r="W56" s="3"/>
      <c r="X56" s="18" t="s">
        <v>451</v>
      </c>
      <c r="Y56" s="2"/>
      <c r="Z56" s="2"/>
      <c r="AA56" s="2"/>
      <c r="AB56" s="2"/>
      <c r="AC56" s="2"/>
      <c r="AD56" s="3"/>
      <c r="AE56" s="19" t="s">
        <v>266</v>
      </c>
      <c r="AF56" s="3"/>
      <c r="AG56" s="21" t="s">
        <v>59</v>
      </c>
      <c r="AH56" s="2"/>
      <c r="AI56" s="3"/>
      <c r="AJ56" s="22"/>
      <c r="AK56" s="2"/>
      <c r="AL56" s="3"/>
      <c r="AM56" s="21" t="s">
        <v>267</v>
      </c>
      <c r="AN56" s="2"/>
      <c r="AO56" s="3"/>
      <c r="AP56" s="23">
        <v>46170</v>
      </c>
      <c r="AQ56" s="2"/>
      <c r="AR56" s="3"/>
      <c r="AS56" s="19"/>
      <c r="AT56" s="2"/>
      <c r="AU56" s="3"/>
      <c r="AV56" s="19" t="s">
        <v>59</v>
      </c>
      <c r="AW56" s="2"/>
      <c r="AX56" s="3"/>
      <c r="AY56" s="19"/>
      <c r="AZ56" s="2"/>
      <c r="BA56" s="3"/>
      <c r="BB56" s="19" t="s">
        <v>268</v>
      </c>
      <c r="BC56" s="2"/>
      <c r="BD56" s="3"/>
      <c r="BE56" s="20">
        <v>46244</v>
      </c>
      <c r="BF56" s="2"/>
      <c r="BG56" s="3"/>
      <c r="BH56" s="19"/>
      <c r="BI56" s="2"/>
      <c r="BJ56" s="3"/>
      <c r="BK56" s="18"/>
      <c r="BL56" s="2"/>
      <c r="BM56" s="2"/>
      <c r="BN56" s="2"/>
      <c r="BO56" s="2"/>
      <c r="BP56" s="2"/>
      <c r="BQ56" s="3"/>
    </row>
    <row r="57" ht="367.5" customHeight="1" spans="1:69">
      <c r="A57" s="17">
        <v>41</v>
      </c>
      <c r="B57" s="24" t="s">
        <v>452</v>
      </c>
      <c r="C57" s="2"/>
      <c r="D57" s="3"/>
      <c r="E57" s="24" t="s">
        <v>453</v>
      </c>
      <c r="F57" s="2"/>
      <c r="G57" s="2"/>
      <c r="H57" s="2"/>
      <c r="I57" s="3"/>
      <c r="J57" s="24" t="s">
        <v>454</v>
      </c>
      <c r="K57" s="2"/>
      <c r="L57" s="2"/>
      <c r="M57" s="2"/>
      <c r="N57" s="2"/>
      <c r="O57" s="2"/>
      <c r="P57" s="3"/>
      <c r="Q57" s="24" t="s">
        <v>455</v>
      </c>
      <c r="R57" s="2"/>
      <c r="S57" s="2"/>
      <c r="T57" s="2"/>
      <c r="U57" s="2"/>
      <c r="V57" s="2"/>
      <c r="W57" s="3"/>
      <c r="X57" s="24" t="s">
        <v>456</v>
      </c>
      <c r="Y57" s="2"/>
      <c r="Z57" s="2"/>
      <c r="AA57" s="2"/>
      <c r="AB57" s="2"/>
      <c r="AC57" s="2"/>
      <c r="AD57" s="3"/>
      <c r="AE57" s="25" t="s">
        <v>209</v>
      </c>
      <c r="AF57" s="3"/>
      <c r="AG57" s="25" t="s">
        <v>62</v>
      </c>
      <c r="AH57" s="2"/>
      <c r="AI57" s="3"/>
      <c r="AJ57" s="19"/>
      <c r="AK57" s="2"/>
      <c r="AL57" s="3"/>
      <c r="AM57" s="21" t="s">
        <v>267</v>
      </c>
      <c r="AN57" s="2"/>
      <c r="AO57" s="3"/>
      <c r="AP57" s="23">
        <v>46170</v>
      </c>
      <c r="AQ57" s="2"/>
      <c r="AR57" s="3"/>
      <c r="AS57" s="19"/>
      <c r="AT57" s="2"/>
      <c r="AU57" s="3"/>
      <c r="AV57" s="25" t="s">
        <v>62</v>
      </c>
      <c r="AW57" s="2"/>
      <c r="AX57" s="3"/>
      <c r="AY57" s="19"/>
      <c r="AZ57" s="2"/>
      <c r="BA57" s="3"/>
      <c r="BB57" s="19" t="s">
        <v>268</v>
      </c>
      <c r="BC57" s="2"/>
      <c r="BD57" s="3"/>
      <c r="BE57" s="20">
        <v>46244</v>
      </c>
      <c r="BF57" s="2"/>
      <c r="BG57" s="3"/>
      <c r="BH57" s="19"/>
      <c r="BI57" s="2"/>
      <c r="BJ57" s="3"/>
      <c r="BK57" s="18" t="s">
        <v>457</v>
      </c>
      <c r="BL57" s="2"/>
      <c r="BM57" s="2"/>
      <c r="BN57" s="2"/>
      <c r="BO57" s="2"/>
      <c r="BP57" s="2"/>
      <c r="BQ57" s="3"/>
    </row>
    <row r="58" ht="22.5" customHeight="1" spans="1:69">
      <c r="A58" s="16" t="s">
        <v>458</v>
      </c>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3"/>
    </row>
    <row r="59" ht="223.5" customHeight="1" spans="1:69">
      <c r="A59" s="17">
        <v>42</v>
      </c>
      <c r="B59" s="18" t="s">
        <v>459</v>
      </c>
      <c r="C59" s="2"/>
      <c r="D59" s="3"/>
      <c r="E59" s="18" t="s">
        <v>460</v>
      </c>
      <c r="F59" s="2"/>
      <c r="G59" s="2"/>
      <c r="H59" s="2"/>
      <c r="I59" s="3"/>
      <c r="J59" s="18" t="s">
        <v>461</v>
      </c>
      <c r="K59" s="2"/>
      <c r="L59" s="2"/>
      <c r="M59" s="2"/>
      <c r="N59" s="2"/>
      <c r="O59" s="2"/>
      <c r="P59" s="3"/>
      <c r="Q59" s="18" t="s">
        <v>462</v>
      </c>
      <c r="R59" s="2"/>
      <c r="S59" s="2"/>
      <c r="T59" s="2"/>
      <c r="U59" s="2"/>
      <c r="V59" s="2"/>
      <c r="W59" s="3"/>
      <c r="X59" s="18" t="s">
        <v>463</v>
      </c>
      <c r="Y59" s="2"/>
      <c r="Z59" s="2"/>
      <c r="AA59" s="2"/>
      <c r="AB59" s="2"/>
      <c r="AC59" s="2"/>
      <c r="AD59" s="3"/>
      <c r="AE59" s="19" t="s">
        <v>266</v>
      </c>
      <c r="AF59" s="3"/>
      <c r="AG59" s="21" t="s">
        <v>59</v>
      </c>
      <c r="AH59" s="2"/>
      <c r="AI59" s="3"/>
      <c r="AJ59" s="22"/>
      <c r="AK59" s="2"/>
      <c r="AL59" s="3"/>
      <c r="AM59" s="21" t="s">
        <v>267</v>
      </c>
      <c r="AN59" s="2"/>
      <c r="AO59" s="3"/>
      <c r="AP59" s="23">
        <v>46170</v>
      </c>
      <c r="AQ59" s="2"/>
      <c r="AR59" s="3"/>
      <c r="AS59" s="19"/>
      <c r="AT59" s="2"/>
      <c r="AU59" s="3"/>
      <c r="AV59" s="19" t="s">
        <v>59</v>
      </c>
      <c r="AW59" s="2"/>
      <c r="AX59" s="3"/>
      <c r="AY59" s="19"/>
      <c r="AZ59" s="2"/>
      <c r="BA59" s="3"/>
      <c r="BB59" s="19" t="s">
        <v>268</v>
      </c>
      <c r="BC59" s="2"/>
      <c r="BD59" s="3"/>
      <c r="BE59" s="20">
        <v>46244</v>
      </c>
      <c r="BF59" s="2"/>
      <c r="BG59" s="3"/>
      <c r="BH59" s="19"/>
      <c r="BI59" s="2"/>
      <c r="BJ59" s="3"/>
      <c r="BK59" s="18"/>
      <c r="BL59" s="2"/>
      <c r="BM59" s="2"/>
      <c r="BN59" s="2"/>
      <c r="BO59" s="2"/>
      <c r="BP59" s="2"/>
      <c r="BQ59" s="3"/>
    </row>
    <row r="60" ht="384" customHeight="1" spans="1:69">
      <c r="A60" s="17">
        <v>43</v>
      </c>
      <c r="B60" s="18" t="s">
        <v>464</v>
      </c>
      <c r="C60" s="2"/>
      <c r="D60" s="3"/>
      <c r="E60" s="18" t="s">
        <v>465</v>
      </c>
      <c r="F60" s="2"/>
      <c r="G60" s="2"/>
      <c r="H60" s="2"/>
      <c r="I60" s="3"/>
      <c r="J60" s="18" t="s">
        <v>466</v>
      </c>
      <c r="K60" s="2"/>
      <c r="L60" s="2"/>
      <c r="M60" s="2"/>
      <c r="N60" s="2"/>
      <c r="O60" s="2"/>
      <c r="P60" s="3"/>
      <c r="Q60" s="18" t="s">
        <v>467</v>
      </c>
      <c r="R60" s="2"/>
      <c r="S60" s="2"/>
      <c r="T60" s="2"/>
      <c r="U60" s="2"/>
      <c r="V60" s="2"/>
      <c r="W60" s="3"/>
      <c r="X60" s="18" t="s">
        <v>468</v>
      </c>
      <c r="Y60" s="2"/>
      <c r="Z60" s="2"/>
      <c r="AA60" s="2"/>
      <c r="AB60" s="2"/>
      <c r="AC60" s="2"/>
      <c r="AD60" s="3"/>
      <c r="AE60" s="19" t="s">
        <v>266</v>
      </c>
      <c r="AF60" s="3"/>
      <c r="AG60" s="21" t="s">
        <v>59</v>
      </c>
      <c r="AH60" s="2"/>
      <c r="AI60" s="3"/>
      <c r="AJ60" s="22"/>
      <c r="AK60" s="2"/>
      <c r="AL60" s="3"/>
      <c r="AM60" s="21" t="s">
        <v>267</v>
      </c>
      <c r="AN60" s="2"/>
      <c r="AO60" s="3"/>
      <c r="AP60" s="23">
        <v>46170</v>
      </c>
      <c r="AQ60" s="2"/>
      <c r="AR60" s="3"/>
      <c r="AS60" s="19"/>
      <c r="AT60" s="2"/>
      <c r="AU60" s="3"/>
      <c r="AV60" s="19" t="s">
        <v>59</v>
      </c>
      <c r="AW60" s="2"/>
      <c r="AX60" s="3"/>
      <c r="AY60" s="19"/>
      <c r="AZ60" s="2"/>
      <c r="BA60" s="3"/>
      <c r="BB60" s="19" t="s">
        <v>268</v>
      </c>
      <c r="BC60" s="2"/>
      <c r="BD60" s="3"/>
      <c r="BE60" s="20">
        <v>46244</v>
      </c>
      <c r="BF60" s="2"/>
      <c r="BG60" s="3"/>
      <c r="BH60" s="19"/>
      <c r="BI60" s="2"/>
      <c r="BJ60" s="3"/>
      <c r="BK60" s="18"/>
      <c r="BL60" s="2"/>
      <c r="BM60" s="2"/>
      <c r="BN60" s="2"/>
      <c r="BO60" s="2"/>
      <c r="BP60" s="2"/>
      <c r="BQ60" s="3"/>
    </row>
    <row r="61" ht="351.75" customHeight="1" spans="1:69">
      <c r="A61" s="17">
        <v>44</v>
      </c>
      <c r="B61" s="18" t="s">
        <v>469</v>
      </c>
      <c r="C61" s="2"/>
      <c r="D61" s="3"/>
      <c r="E61" s="18" t="s">
        <v>470</v>
      </c>
      <c r="F61" s="2"/>
      <c r="G61" s="2"/>
      <c r="H61" s="2"/>
      <c r="I61" s="3"/>
      <c r="J61" s="18" t="s">
        <v>471</v>
      </c>
      <c r="K61" s="2"/>
      <c r="L61" s="2"/>
      <c r="M61" s="2"/>
      <c r="N61" s="2"/>
      <c r="O61" s="2"/>
      <c r="P61" s="3"/>
      <c r="Q61" s="18" t="s">
        <v>472</v>
      </c>
      <c r="R61" s="2"/>
      <c r="S61" s="2"/>
      <c r="T61" s="2"/>
      <c r="U61" s="2"/>
      <c r="V61" s="2"/>
      <c r="W61" s="3"/>
      <c r="X61" s="18" t="s">
        <v>473</v>
      </c>
      <c r="Y61" s="2"/>
      <c r="Z61" s="2"/>
      <c r="AA61" s="2"/>
      <c r="AB61" s="2"/>
      <c r="AC61" s="2"/>
      <c r="AD61" s="3"/>
      <c r="AE61" s="19" t="s">
        <v>266</v>
      </c>
      <c r="AF61" s="3"/>
      <c r="AG61" s="21" t="s">
        <v>59</v>
      </c>
      <c r="AH61" s="2"/>
      <c r="AI61" s="3"/>
      <c r="AJ61" s="22"/>
      <c r="AK61" s="2"/>
      <c r="AL61" s="3"/>
      <c r="AM61" s="21" t="s">
        <v>267</v>
      </c>
      <c r="AN61" s="2"/>
      <c r="AO61" s="3"/>
      <c r="AP61" s="23">
        <v>46170</v>
      </c>
      <c r="AQ61" s="2"/>
      <c r="AR61" s="3"/>
      <c r="AS61" s="19"/>
      <c r="AT61" s="2"/>
      <c r="AU61" s="3"/>
      <c r="AV61" s="19" t="s">
        <v>59</v>
      </c>
      <c r="AW61" s="2"/>
      <c r="AX61" s="3"/>
      <c r="AY61" s="19"/>
      <c r="AZ61" s="2"/>
      <c r="BA61" s="3"/>
      <c r="BB61" s="19" t="s">
        <v>268</v>
      </c>
      <c r="BC61" s="2"/>
      <c r="BD61" s="3"/>
      <c r="BE61" s="20">
        <v>46244</v>
      </c>
      <c r="BF61" s="2"/>
      <c r="BG61" s="3"/>
      <c r="BH61" s="19"/>
      <c r="BI61" s="2"/>
      <c r="BJ61" s="3"/>
      <c r="BK61" s="18"/>
      <c r="BL61" s="2"/>
      <c r="BM61" s="2"/>
      <c r="BN61" s="2"/>
      <c r="BO61" s="2"/>
      <c r="BP61" s="2"/>
      <c r="BQ61" s="3"/>
    </row>
    <row r="62" ht="22.5" customHeight="1" spans="1:69">
      <c r="A62" s="16" t="s">
        <v>474</v>
      </c>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3"/>
    </row>
    <row r="63" ht="288" customHeight="1" spans="1:69">
      <c r="A63" s="17">
        <v>45</v>
      </c>
      <c r="B63" s="18" t="s">
        <v>475</v>
      </c>
      <c r="C63" s="2"/>
      <c r="D63" s="3"/>
      <c r="E63" s="18" t="s">
        <v>476</v>
      </c>
      <c r="F63" s="2"/>
      <c r="G63" s="2"/>
      <c r="H63" s="2"/>
      <c r="I63" s="3"/>
      <c r="J63" s="18" t="s">
        <v>298</v>
      </c>
      <c r="K63" s="2"/>
      <c r="L63" s="2"/>
      <c r="M63" s="2"/>
      <c r="N63" s="2"/>
      <c r="O63" s="2"/>
      <c r="P63" s="3"/>
      <c r="Q63" s="18" t="s">
        <v>477</v>
      </c>
      <c r="R63" s="2"/>
      <c r="S63" s="2"/>
      <c r="T63" s="2"/>
      <c r="U63" s="2"/>
      <c r="V63" s="2"/>
      <c r="W63" s="3"/>
      <c r="X63" s="18" t="s">
        <v>478</v>
      </c>
      <c r="Y63" s="2"/>
      <c r="Z63" s="2"/>
      <c r="AA63" s="2"/>
      <c r="AB63" s="2"/>
      <c r="AC63" s="2"/>
      <c r="AD63" s="3"/>
      <c r="AE63" s="19" t="s">
        <v>209</v>
      </c>
      <c r="AF63" s="3"/>
      <c r="AG63" s="21" t="s">
        <v>59</v>
      </c>
      <c r="AH63" s="2"/>
      <c r="AI63" s="3"/>
      <c r="AJ63" s="22"/>
      <c r="AK63" s="2"/>
      <c r="AL63" s="3"/>
      <c r="AM63" s="21" t="s">
        <v>267</v>
      </c>
      <c r="AN63" s="2"/>
      <c r="AO63" s="3"/>
      <c r="AP63" s="23">
        <v>46170</v>
      </c>
      <c r="AQ63" s="2"/>
      <c r="AR63" s="3"/>
      <c r="AS63" s="19"/>
      <c r="AT63" s="2"/>
      <c r="AU63" s="3"/>
      <c r="AV63" s="19" t="s">
        <v>59</v>
      </c>
      <c r="AW63" s="2"/>
      <c r="AX63" s="3"/>
      <c r="AY63" s="19"/>
      <c r="AZ63" s="2"/>
      <c r="BA63" s="3"/>
      <c r="BB63" s="19" t="s">
        <v>268</v>
      </c>
      <c r="BC63" s="2"/>
      <c r="BD63" s="3"/>
      <c r="BE63" s="20">
        <v>46244</v>
      </c>
      <c r="BF63" s="2"/>
      <c r="BG63" s="3"/>
      <c r="BH63" s="19"/>
      <c r="BI63" s="2"/>
      <c r="BJ63" s="3"/>
      <c r="BK63" s="18"/>
      <c r="BL63" s="2"/>
      <c r="BM63" s="2"/>
      <c r="BN63" s="2"/>
      <c r="BO63" s="2"/>
      <c r="BP63" s="2"/>
      <c r="BQ63" s="3"/>
    </row>
    <row r="64" ht="207.75" customHeight="1" spans="1:69">
      <c r="A64" s="17">
        <v>46</v>
      </c>
      <c r="B64" s="18" t="s">
        <v>479</v>
      </c>
      <c r="C64" s="2"/>
      <c r="D64" s="3"/>
      <c r="E64" s="18" t="s">
        <v>480</v>
      </c>
      <c r="F64" s="2"/>
      <c r="G64" s="2"/>
      <c r="H64" s="2"/>
      <c r="I64" s="3"/>
      <c r="J64" s="18" t="s">
        <v>298</v>
      </c>
      <c r="K64" s="2"/>
      <c r="L64" s="2"/>
      <c r="M64" s="2"/>
      <c r="N64" s="2"/>
      <c r="O64" s="2"/>
      <c r="P64" s="3"/>
      <c r="Q64" s="18" t="s">
        <v>481</v>
      </c>
      <c r="R64" s="2"/>
      <c r="S64" s="2"/>
      <c r="T64" s="2"/>
      <c r="U64" s="2"/>
      <c r="V64" s="2"/>
      <c r="W64" s="3"/>
      <c r="X64" s="18" t="s">
        <v>482</v>
      </c>
      <c r="Y64" s="2"/>
      <c r="Z64" s="2"/>
      <c r="AA64" s="2"/>
      <c r="AB64" s="2"/>
      <c r="AC64" s="2"/>
      <c r="AD64" s="3"/>
      <c r="AE64" s="19" t="s">
        <v>209</v>
      </c>
      <c r="AF64" s="3"/>
      <c r="AG64" s="21" t="s">
        <v>59</v>
      </c>
      <c r="AH64" s="2"/>
      <c r="AI64" s="3"/>
      <c r="AJ64" s="22"/>
      <c r="AK64" s="2"/>
      <c r="AL64" s="3"/>
      <c r="AM64" s="21" t="s">
        <v>267</v>
      </c>
      <c r="AN64" s="2"/>
      <c r="AO64" s="3"/>
      <c r="AP64" s="23">
        <v>46170</v>
      </c>
      <c r="AQ64" s="2"/>
      <c r="AR64" s="3"/>
      <c r="AS64" s="19"/>
      <c r="AT64" s="2"/>
      <c r="AU64" s="3"/>
      <c r="AV64" s="19" t="s">
        <v>59</v>
      </c>
      <c r="AW64" s="2"/>
      <c r="AX64" s="3"/>
      <c r="AY64" s="19"/>
      <c r="AZ64" s="2"/>
      <c r="BA64" s="3"/>
      <c r="BB64" s="19" t="s">
        <v>268</v>
      </c>
      <c r="BC64" s="2"/>
      <c r="BD64" s="3"/>
      <c r="BE64" s="20">
        <v>46244</v>
      </c>
      <c r="BF64" s="2"/>
      <c r="BG64" s="3"/>
      <c r="BH64" s="19"/>
      <c r="BI64" s="2"/>
      <c r="BJ64" s="3"/>
      <c r="BK64" s="18"/>
      <c r="BL64" s="2"/>
      <c r="BM64" s="2"/>
      <c r="BN64" s="2"/>
      <c r="BO64" s="2"/>
      <c r="BP64" s="2"/>
      <c r="BQ64" s="3"/>
    </row>
    <row r="65" ht="271.5" customHeight="1" spans="1:69">
      <c r="A65" s="17">
        <v>47</v>
      </c>
      <c r="B65" s="18" t="s">
        <v>483</v>
      </c>
      <c r="C65" s="2"/>
      <c r="D65" s="3"/>
      <c r="E65" s="18" t="s">
        <v>484</v>
      </c>
      <c r="F65" s="2"/>
      <c r="G65" s="2"/>
      <c r="H65" s="2"/>
      <c r="I65" s="3"/>
      <c r="J65" s="18" t="s">
        <v>298</v>
      </c>
      <c r="K65" s="2"/>
      <c r="L65" s="2"/>
      <c r="M65" s="2"/>
      <c r="N65" s="2"/>
      <c r="O65" s="2"/>
      <c r="P65" s="3"/>
      <c r="Q65" s="18" t="s">
        <v>485</v>
      </c>
      <c r="R65" s="2"/>
      <c r="S65" s="2"/>
      <c r="T65" s="2"/>
      <c r="U65" s="2"/>
      <c r="V65" s="2"/>
      <c r="W65" s="3"/>
      <c r="X65" s="18" t="s">
        <v>486</v>
      </c>
      <c r="Y65" s="2"/>
      <c r="Z65" s="2"/>
      <c r="AA65" s="2"/>
      <c r="AB65" s="2"/>
      <c r="AC65" s="2"/>
      <c r="AD65" s="3"/>
      <c r="AE65" s="19" t="s">
        <v>209</v>
      </c>
      <c r="AF65" s="3"/>
      <c r="AG65" s="21" t="s">
        <v>59</v>
      </c>
      <c r="AH65" s="2"/>
      <c r="AI65" s="3"/>
      <c r="AJ65" s="22"/>
      <c r="AK65" s="2"/>
      <c r="AL65" s="3"/>
      <c r="AM65" s="21" t="s">
        <v>267</v>
      </c>
      <c r="AN65" s="2"/>
      <c r="AO65" s="3"/>
      <c r="AP65" s="23">
        <v>46170</v>
      </c>
      <c r="AQ65" s="2"/>
      <c r="AR65" s="3"/>
      <c r="AS65" s="19"/>
      <c r="AT65" s="2"/>
      <c r="AU65" s="3"/>
      <c r="AV65" s="19" t="s">
        <v>59</v>
      </c>
      <c r="AW65" s="2"/>
      <c r="AX65" s="3"/>
      <c r="AY65" s="19"/>
      <c r="AZ65" s="2"/>
      <c r="BA65" s="3"/>
      <c r="BB65" s="19" t="s">
        <v>268</v>
      </c>
      <c r="BC65" s="2"/>
      <c r="BD65" s="3"/>
      <c r="BE65" s="20">
        <v>46244</v>
      </c>
      <c r="BF65" s="2"/>
      <c r="BG65" s="3"/>
      <c r="BH65" s="19"/>
      <c r="BI65" s="2"/>
      <c r="BJ65" s="3"/>
      <c r="BK65" s="18"/>
      <c r="BL65" s="2"/>
      <c r="BM65" s="2"/>
      <c r="BN65" s="2"/>
      <c r="BO65" s="2"/>
      <c r="BP65" s="2"/>
      <c r="BQ65" s="3"/>
    </row>
    <row r="66" ht="255.75" customHeight="1" spans="1:69">
      <c r="A66" s="17">
        <v>48</v>
      </c>
      <c r="B66" s="18" t="s">
        <v>487</v>
      </c>
      <c r="C66" s="2"/>
      <c r="D66" s="3"/>
      <c r="E66" s="18" t="s">
        <v>488</v>
      </c>
      <c r="F66" s="2"/>
      <c r="G66" s="2"/>
      <c r="H66" s="2"/>
      <c r="I66" s="3"/>
      <c r="J66" s="18" t="s">
        <v>298</v>
      </c>
      <c r="K66" s="2"/>
      <c r="L66" s="2"/>
      <c r="M66" s="2"/>
      <c r="N66" s="2"/>
      <c r="O66" s="2"/>
      <c r="P66" s="3"/>
      <c r="Q66" s="18" t="s">
        <v>489</v>
      </c>
      <c r="R66" s="2"/>
      <c r="S66" s="2"/>
      <c r="T66" s="2"/>
      <c r="U66" s="2"/>
      <c r="V66" s="2"/>
      <c r="W66" s="3"/>
      <c r="X66" s="18" t="s">
        <v>490</v>
      </c>
      <c r="Y66" s="2"/>
      <c r="Z66" s="2"/>
      <c r="AA66" s="2"/>
      <c r="AB66" s="2"/>
      <c r="AC66" s="2"/>
      <c r="AD66" s="3"/>
      <c r="AE66" s="19" t="s">
        <v>209</v>
      </c>
      <c r="AF66" s="3"/>
      <c r="AG66" s="21" t="s">
        <v>59</v>
      </c>
      <c r="AH66" s="2"/>
      <c r="AI66" s="3"/>
      <c r="AJ66" s="22"/>
      <c r="AK66" s="2"/>
      <c r="AL66" s="3"/>
      <c r="AM66" s="21" t="s">
        <v>267</v>
      </c>
      <c r="AN66" s="2"/>
      <c r="AO66" s="3"/>
      <c r="AP66" s="23">
        <v>46170</v>
      </c>
      <c r="AQ66" s="2"/>
      <c r="AR66" s="3"/>
      <c r="AS66" s="19"/>
      <c r="AT66" s="2"/>
      <c r="AU66" s="3"/>
      <c r="AV66" s="19" t="s">
        <v>59</v>
      </c>
      <c r="AW66" s="2"/>
      <c r="AX66" s="3"/>
      <c r="AY66" s="19"/>
      <c r="AZ66" s="2"/>
      <c r="BA66" s="3"/>
      <c r="BB66" s="19" t="s">
        <v>268</v>
      </c>
      <c r="BC66" s="2"/>
      <c r="BD66" s="3"/>
      <c r="BE66" s="20">
        <v>46244</v>
      </c>
      <c r="BF66" s="2"/>
      <c r="BG66" s="3"/>
      <c r="BH66" s="19"/>
      <c r="BI66" s="2"/>
      <c r="BJ66" s="3"/>
      <c r="BK66" s="18"/>
      <c r="BL66" s="2"/>
      <c r="BM66" s="2"/>
      <c r="BN66" s="2"/>
      <c r="BO66" s="2"/>
      <c r="BP66" s="2"/>
      <c r="BQ66" s="3"/>
    </row>
    <row r="67" ht="319.5" customHeight="1" spans="1:69">
      <c r="A67" s="17">
        <v>49</v>
      </c>
      <c r="B67" s="18" t="s">
        <v>491</v>
      </c>
      <c r="C67" s="2"/>
      <c r="D67" s="3"/>
      <c r="E67" s="18" t="s">
        <v>492</v>
      </c>
      <c r="F67" s="2"/>
      <c r="G67" s="2"/>
      <c r="H67" s="2"/>
      <c r="I67" s="3"/>
      <c r="J67" s="18" t="s">
        <v>493</v>
      </c>
      <c r="K67" s="2"/>
      <c r="L67" s="2"/>
      <c r="M67" s="2"/>
      <c r="N67" s="2"/>
      <c r="O67" s="2"/>
      <c r="P67" s="3"/>
      <c r="Q67" s="18" t="s">
        <v>494</v>
      </c>
      <c r="R67" s="2"/>
      <c r="S67" s="2"/>
      <c r="T67" s="2"/>
      <c r="U67" s="2"/>
      <c r="V67" s="2"/>
      <c r="W67" s="3"/>
      <c r="X67" s="18" t="s">
        <v>495</v>
      </c>
      <c r="Y67" s="2"/>
      <c r="Z67" s="2"/>
      <c r="AA67" s="2"/>
      <c r="AB67" s="2"/>
      <c r="AC67" s="2"/>
      <c r="AD67" s="3"/>
      <c r="AE67" s="19" t="s">
        <v>209</v>
      </c>
      <c r="AF67" s="3"/>
      <c r="AG67" s="21" t="s">
        <v>61</v>
      </c>
      <c r="AH67" s="2"/>
      <c r="AI67" s="3"/>
      <c r="AJ67" s="22"/>
      <c r="AK67" s="2"/>
      <c r="AL67" s="3"/>
      <c r="AM67" s="21" t="s">
        <v>267</v>
      </c>
      <c r="AN67" s="2"/>
      <c r="AO67" s="3"/>
      <c r="AP67" s="23">
        <v>46170</v>
      </c>
      <c r="AQ67" s="2"/>
      <c r="AR67" s="3"/>
      <c r="AS67" s="19"/>
      <c r="AT67" s="2"/>
      <c r="AU67" s="3"/>
      <c r="AV67" s="19" t="s">
        <v>59</v>
      </c>
      <c r="AW67" s="2"/>
      <c r="AX67" s="3"/>
      <c r="AY67" s="19"/>
      <c r="AZ67" s="2"/>
      <c r="BA67" s="3"/>
      <c r="BB67" s="19" t="s">
        <v>268</v>
      </c>
      <c r="BC67" s="2"/>
      <c r="BD67" s="3"/>
      <c r="BE67" s="20">
        <v>46244</v>
      </c>
      <c r="BF67" s="2"/>
      <c r="BG67" s="3"/>
      <c r="BH67" s="19"/>
      <c r="BI67" s="2"/>
      <c r="BJ67" s="3"/>
      <c r="BK67" s="18"/>
      <c r="BL67" s="2"/>
      <c r="BM67" s="2"/>
      <c r="BN67" s="2"/>
      <c r="BO67" s="2"/>
      <c r="BP67" s="2"/>
      <c r="BQ67" s="3"/>
    </row>
    <row r="68" ht="192" customHeight="1" spans="1:69">
      <c r="A68" s="17">
        <v>50</v>
      </c>
      <c r="B68" s="18" t="s">
        <v>496</v>
      </c>
      <c r="C68" s="2"/>
      <c r="D68" s="3"/>
      <c r="E68" s="18" t="s">
        <v>497</v>
      </c>
      <c r="F68" s="2"/>
      <c r="G68" s="2"/>
      <c r="H68" s="2"/>
      <c r="I68" s="3"/>
      <c r="J68" s="18" t="s">
        <v>498</v>
      </c>
      <c r="K68" s="2"/>
      <c r="L68" s="2"/>
      <c r="M68" s="2"/>
      <c r="N68" s="2"/>
      <c r="O68" s="2"/>
      <c r="P68" s="3"/>
      <c r="Q68" s="18" t="s">
        <v>499</v>
      </c>
      <c r="R68" s="2"/>
      <c r="S68" s="2"/>
      <c r="T68" s="2"/>
      <c r="U68" s="2"/>
      <c r="V68" s="2"/>
      <c r="W68" s="3"/>
      <c r="X68" s="18" t="s">
        <v>500</v>
      </c>
      <c r="Y68" s="2"/>
      <c r="Z68" s="2"/>
      <c r="AA68" s="2"/>
      <c r="AB68" s="2"/>
      <c r="AC68" s="2"/>
      <c r="AD68" s="3"/>
      <c r="AE68" s="19" t="s">
        <v>209</v>
      </c>
      <c r="AF68" s="3"/>
      <c r="AG68" s="21" t="s">
        <v>59</v>
      </c>
      <c r="AH68" s="2"/>
      <c r="AI68" s="3"/>
      <c r="AJ68" s="22"/>
      <c r="AK68" s="2"/>
      <c r="AL68" s="3"/>
      <c r="AM68" s="21" t="s">
        <v>267</v>
      </c>
      <c r="AN68" s="2"/>
      <c r="AO68" s="3"/>
      <c r="AP68" s="23">
        <v>46170</v>
      </c>
      <c r="AQ68" s="2"/>
      <c r="AR68" s="3"/>
      <c r="AS68" s="19"/>
      <c r="AT68" s="2"/>
      <c r="AU68" s="3"/>
      <c r="AV68" s="19" t="s">
        <v>59</v>
      </c>
      <c r="AW68" s="2"/>
      <c r="AX68" s="3"/>
      <c r="AY68" s="19"/>
      <c r="AZ68" s="2"/>
      <c r="BA68" s="3"/>
      <c r="BB68" s="19" t="s">
        <v>268</v>
      </c>
      <c r="BC68" s="2"/>
      <c r="BD68" s="3"/>
      <c r="BE68" s="20">
        <v>46244</v>
      </c>
      <c r="BF68" s="2"/>
      <c r="BG68" s="3"/>
      <c r="BH68" s="19"/>
      <c r="BI68" s="2"/>
      <c r="BJ68" s="3"/>
      <c r="BK68" s="18"/>
      <c r="BL68" s="2"/>
      <c r="BM68" s="2"/>
      <c r="BN68" s="2"/>
      <c r="BO68" s="2"/>
      <c r="BP68" s="2"/>
      <c r="BQ68" s="3"/>
    </row>
    <row r="69" ht="303.75" customHeight="1" spans="1:69">
      <c r="A69" s="17">
        <v>51</v>
      </c>
      <c r="B69" s="18" t="s">
        <v>501</v>
      </c>
      <c r="C69" s="2"/>
      <c r="D69" s="3"/>
      <c r="E69" s="18" t="s">
        <v>502</v>
      </c>
      <c r="F69" s="2"/>
      <c r="G69" s="2"/>
      <c r="H69" s="2"/>
      <c r="I69" s="3"/>
      <c r="J69" s="18" t="s">
        <v>298</v>
      </c>
      <c r="K69" s="2"/>
      <c r="L69" s="2"/>
      <c r="M69" s="2"/>
      <c r="N69" s="2"/>
      <c r="O69" s="2"/>
      <c r="P69" s="3"/>
      <c r="Q69" s="18" t="s">
        <v>503</v>
      </c>
      <c r="R69" s="2"/>
      <c r="S69" s="2"/>
      <c r="T69" s="2"/>
      <c r="U69" s="2"/>
      <c r="V69" s="2"/>
      <c r="W69" s="3"/>
      <c r="X69" s="18" t="s">
        <v>504</v>
      </c>
      <c r="Y69" s="2"/>
      <c r="Z69" s="2"/>
      <c r="AA69" s="2"/>
      <c r="AB69" s="2"/>
      <c r="AC69" s="2"/>
      <c r="AD69" s="3"/>
      <c r="AE69" s="19" t="s">
        <v>209</v>
      </c>
      <c r="AF69" s="3"/>
      <c r="AG69" s="21" t="s">
        <v>59</v>
      </c>
      <c r="AH69" s="2"/>
      <c r="AI69" s="3"/>
      <c r="AJ69" s="22"/>
      <c r="AK69" s="2"/>
      <c r="AL69" s="3"/>
      <c r="AM69" s="21" t="s">
        <v>267</v>
      </c>
      <c r="AN69" s="2"/>
      <c r="AO69" s="3"/>
      <c r="AP69" s="23">
        <v>46170</v>
      </c>
      <c r="AQ69" s="2"/>
      <c r="AR69" s="3"/>
      <c r="AS69" s="19"/>
      <c r="AT69" s="2"/>
      <c r="AU69" s="3"/>
      <c r="AV69" s="19" t="s">
        <v>59</v>
      </c>
      <c r="AW69" s="2"/>
      <c r="AX69" s="3"/>
      <c r="AY69" s="19"/>
      <c r="AZ69" s="2"/>
      <c r="BA69" s="3"/>
      <c r="BB69" s="19" t="s">
        <v>268</v>
      </c>
      <c r="BC69" s="2"/>
      <c r="BD69" s="3"/>
      <c r="BE69" s="20">
        <v>46244</v>
      </c>
      <c r="BF69" s="2"/>
      <c r="BG69" s="3"/>
      <c r="BH69" s="19"/>
      <c r="BI69" s="2"/>
      <c r="BJ69" s="3"/>
      <c r="BK69" s="18"/>
      <c r="BL69" s="2"/>
      <c r="BM69" s="2"/>
      <c r="BN69" s="2"/>
      <c r="BO69" s="2"/>
      <c r="BP69" s="2"/>
      <c r="BQ69" s="3"/>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40">
    <mergeCell ref="A1:E1"/>
    <mergeCell ref="F1:Q1"/>
    <mergeCell ref="R1:V1"/>
    <mergeCell ref="W1:AH1"/>
    <mergeCell ref="A2:E2"/>
    <mergeCell ref="F2:Q2"/>
    <mergeCell ref="R2:V2"/>
    <mergeCell ref="W2:AH2"/>
    <mergeCell ref="A3:E3"/>
    <mergeCell ref="F3:Q3"/>
    <mergeCell ref="R3:V3"/>
    <mergeCell ref="W3:AH3"/>
    <mergeCell ref="A4:E4"/>
    <mergeCell ref="F4:AH4"/>
    <mergeCell ref="A5:S5"/>
    <mergeCell ref="T5:AH5"/>
    <mergeCell ref="A6:G6"/>
    <mergeCell ref="H6:J6"/>
    <mergeCell ref="K6:M6"/>
    <mergeCell ref="N6:P6"/>
    <mergeCell ref="Q6:S6"/>
    <mergeCell ref="T6:V6"/>
    <mergeCell ref="W6:Y6"/>
    <mergeCell ref="Z6:AB6"/>
    <mergeCell ref="AC6:AE6"/>
    <mergeCell ref="AF6:AH6"/>
    <mergeCell ref="A7:G7"/>
    <mergeCell ref="H7:J7"/>
    <mergeCell ref="K7:M7"/>
    <mergeCell ref="N7:P7"/>
    <mergeCell ref="Q7:S7"/>
    <mergeCell ref="T7:V7"/>
    <mergeCell ref="W7:Y7"/>
    <mergeCell ref="Z7:AB7"/>
    <mergeCell ref="AC7:AE7"/>
    <mergeCell ref="AF7:AH7"/>
    <mergeCell ref="A8:G8"/>
    <mergeCell ref="H8:J8"/>
    <mergeCell ref="K8:M8"/>
    <mergeCell ref="N8:P8"/>
    <mergeCell ref="Q8:S8"/>
    <mergeCell ref="T8:V8"/>
    <mergeCell ref="W8:Y8"/>
    <mergeCell ref="Z8:AB8"/>
    <mergeCell ref="AC8:AE8"/>
    <mergeCell ref="AF8:AH8"/>
    <mergeCell ref="AG10:AU10"/>
    <mergeCell ref="AV10:BJ10"/>
    <mergeCell ref="AG11:AI11"/>
    <mergeCell ref="AJ11:AL11"/>
    <mergeCell ref="AM11:AO11"/>
    <mergeCell ref="AP11:AR11"/>
    <mergeCell ref="AS11:AU11"/>
    <mergeCell ref="AV11:AX11"/>
    <mergeCell ref="AY11:BA11"/>
    <mergeCell ref="BB11:BD11"/>
    <mergeCell ref="BE11:BG11"/>
    <mergeCell ref="BH11:BJ11"/>
    <mergeCell ref="A12:BQ12"/>
    <mergeCell ref="B13:D13"/>
    <mergeCell ref="E13:I13"/>
    <mergeCell ref="J13:P13"/>
    <mergeCell ref="Q13:W13"/>
    <mergeCell ref="X13:AD13"/>
    <mergeCell ref="AE13:AF13"/>
    <mergeCell ref="AG13:AI13"/>
    <mergeCell ref="AJ13:AL13"/>
    <mergeCell ref="AM13:AO13"/>
    <mergeCell ref="AP13:AR13"/>
    <mergeCell ref="AS13:AU13"/>
    <mergeCell ref="AV13:AX13"/>
    <mergeCell ref="AY13:BA13"/>
    <mergeCell ref="BB13:BD13"/>
    <mergeCell ref="BE13:BG13"/>
    <mergeCell ref="BH13:BJ13"/>
    <mergeCell ref="BK13:BQ13"/>
    <mergeCell ref="B14:D14"/>
    <mergeCell ref="E14:I14"/>
    <mergeCell ref="J14:P14"/>
    <mergeCell ref="Q14:W14"/>
    <mergeCell ref="X14:AD14"/>
    <mergeCell ref="AE14:AF14"/>
    <mergeCell ref="AG14:AI14"/>
    <mergeCell ref="AJ14:AL14"/>
    <mergeCell ref="AM14:AO14"/>
    <mergeCell ref="AP14:AR14"/>
    <mergeCell ref="AS14:AU14"/>
    <mergeCell ref="AV14:AX14"/>
    <mergeCell ref="AY14:BA14"/>
    <mergeCell ref="BB14:BD14"/>
    <mergeCell ref="BE14:BG14"/>
    <mergeCell ref="BH14:BJ14"/>
    <mergeCell ref="BK14:BQ14"/>
    <mergeCell ref="B15:D15"/>
    <mergeCell ref="E15:I15"/>
    <mergeCell ref="J15:P15"/>
    <mergeCell ref="Q15:W15"/>
    <mergeCell ref="X15:AD15"/>
    <mergeCell ref="AE15:AF15"/>
    <mergeCell ref="AG15:AI15"/>
    <mergeCell ref="AJ15:AL15"/>
    <mergeCell ref="AM15:AO15"/>
    <mergeCell ref="AP15:AR15"/>
    <mergeCell ref="AS15:AU15"/>
    <mergeCell ref="AV15:AX15"/>
    <mergeCell ref="AY15:BA15"/>
    <mergeCell ref="BB15:BD15"/>
    <mergeCell ref="BE15:BG15"/>
    <mergeCell ref="BH15:BJ15"/>
    <mergeCell ref="BK15:BQ15"/>
    <mergeCell ref="B16:D16"/>
    <mergeCell ref="E16:I16"/>
    <mergeCell ref="J16:P16"/>
    <mergeCell ref="Q16:W16"/>
    <mergeCell ref="X16:AD16"/>
    <mergeCell ref="AE16:AF16"/>
    <mergeCell ref="AG16:AI16"/>
    <mergeCell ref="AJ16:AL16"/>
    <mergeCell ref="AM16:AO16"/>
    <mergeCell ref="AP16:AR16"/>
    <mergeCell ref="AS16:AU16"/>
    <mergeCell ref="AV16:AX16"/>
    <mergeCell ref="AY16:BA16"/>
    <mergeCell ref="BB16:BD16"/>
    <mergeCell ref="BE16:BG16"/>
    <mergeCell ref="BH16:BJ16"/>
    <mergeCell ref="BK16:BQ16"/>
    <mergeCell ref="B17:D17"/>
    <mergeCell ref="E17:I17"/>
    <mergeCell ref="J17:P17"/>
    <mergeCell ref="Q17:W17"/>
    <mergeCell ref="X17:AD17"/>
    <mergeCell ref="AE17:AF17"/>
    <mergeCell ref="AG17:AI17"/>
    <mergeCell ref="AJ17:AL17"/>
    <mergeCell ref="AM17:AO17"/>
    <mergeCell ref="AP17:AR17"/>
    <mergeCell ref="AS17:AU17"/>
    <mergeCell ref="AV17:AX17"/>
    <mergeCell ref="AY17:BA17"/>
    <mergeCell ref="BB17:BD17"/>
    <mergeCell ref="BE17:BG17"/>
    <mergeCell ref="BH17:BJ17"/>
    <mergeCell ref="BK17:BQ17"/>
    <mergeCell ref="A18:BQ18"/>
    <mergeCell ref="B19:D19"/>
    <mergeCell ref="E19:I19"/>
    <mergeCell ref="J19:P19"/>
    <mergeCell ref="Q19:W19"/>
    <mergeCell ref="X19:AD19"/>
    <mergeCell ref="AE19:AF19"/>
    <mergeCell ref="AG19:AI19"/>
    <mergeCell ref="AJ19:AL19"/>
    <mergeCell ref="AM19:AO19"/>
    <mergeCell ref="AP19:AR19"/>
    <mergeCell ref="AS19:AU19"/>
    <mergeCell ref="AV19:AX19"/>
    <mergeCell ref="AY19:BA19"/>
    <mergeCell ref="BB19:BD19"/>
    <mergeCell ref="BE19:BG19"/>
    <mergeCell ref="BH19:BJ19"/>
    <mergeCell ref="BK19:BQ19"/>
    <mergeCell ref="B20:D20"/>
    <mergeCell ref="E20:I20"/>
    <mergeCell ref="J20:P20"/>
    <mergeCell ref="Q20:W20"/>
    <mergeCell ref="X20:AD20"/>
    <mergeCell ref="AE20:AF20"/>
    <mergeCell ref="AG20:AI20"/>
    <mergeCell ref="AJ20:AL20"/>
    <mergeCell ref="AM20:AO20"/>
    <mergeCell ref="AP20:AR20"/>
    <mergeCell ref="AS20:AU20"/>
    <mergeCell ref="AV20:AX20"/>
    <mergeCell ref="AY20:BA20"/>
    <mergeCell ref="BB20:BD20"/>
    <mergeCell ref="BE20:BG20"/>
    <mergeCell ref="BH20:BJ20"/>
    <mergeCell ref="BK20:BQ20"/>
    <mergeCell ref="B21:D21"/>
    <mergeCell ref="E21:I21"/>
    <mergeCell ref="J21:P21"/>
    <mergeCell ref="Q21:W21"/>
    <mergeCell ref="X21:AD21"/>
    <mergeCell ref="AE21:AF21"/>
    <mergeCell ref="AG21:AI21"/>
    <mergeCell ref="AJ21:AL21"/>
    <mergeCell ref="AM21:AO21"/>
    <mergeCell ref="AP21:AR21"/>
    <mergeCell ref="AS21:AU21"/>
    <mergeCell ref="AV21:AX21"/>
    <mergeCell ref="AY21:BA21"/>
    <mergeCell ref="BB21:BD21"/>
    <mergeCell ref="BE21:BG21"/>
    <mergeCell ref="BH21:BJ21"/>
    <mergeCell ref="BK21:BQ21"/>
    <mergeCell ref="B22:D22"/>
    <mergeCell ref="E22:I22"/>
    <mergeCell ref="J22:P22"/>
    <mergeCell ref="Q22:W22"/>
    <mergeCell ref="X22:AD22"/>
    <mergeCell ref="AE22:AF22"/>
    <mergeCell ref="AG22:AI22"/>
    <mergeCell ref="AJ22:AL22"/>
    <mergeCell ref="AM22:AO22"/>
    <mergeCell ref="AP22:AR22"/>
    <mergeCell ref="AS22:AU22"/>
    <mergeCell ref="AV22:AX22"/>
    <mergeCell ref="AY22:BA22"/>
    <mergeCell ref="BB22:BD22"/>
    <mergeCell ref="BE22:BG22"/>
    <mergeCell ref="BH22:BJ22"/>
    <mergeCell ref="BK22:BQ22"/>
    <mergeCell ref="B23:D23"/>
    <mergeCell ref="E23:I23"/>
    <mergeCell ref="J23:P23"/>
    <mergeCell ref="Q23:W23"/>
    <mergeCell ref="X23:AD23"/>
    <mergeCell ref="AE23:AF23"/>
    <mergeCell ref="AG23:AI23"/>
    <mergeCell ref="AJ23:AL23"/>
    <mergeCell ref="AM23:AO23"/>
    <mergeCell ref="AP23:AR23"/>
    <mergeCell ref="AS23:AU23"/>
    <mergeCell ref="AV23:AX23"/>
    <mergeCell ref="AY23:BA23"/>
    <mergeCell ref="BB23:BD23"/>
    <mergeCell ref="BE23:BG23"/>
    <mergeCell ref="BH23:BJ23"/>
    <mergeCell ref="BK23:BQ23"/>
    <mergeCell ref="B24:D24"/>
    <mergeCell ref="E24:I24"/>
    <mergeCell ref="J24:P24"/>
    <mergeCell ref="Q24:W24"/>
    <mergeCell ref="X24:AD24"/>
    <mergeCell ref="AE24:AF24"/>
    <mergeCell ref="AG24:AI24"/>
    <mergeCell ref="AJ24:AL24"/>
    <mergeCell ref="AM24:AO24"/>
    <mergeCell ref="AP24:AR24"/>
    <mergeCell ref="AS24:AU24"/>
    <mergeCell ref="AV24:AX24"/>
    <mergeCell ref="AY24:BA24"/>
    <mergeCell ref="BB24:BD24"/>
    <mergeCell ref="BE24:BG24"/>
    <mergeCell ref="BH24:BJ24"/>
    <mergeCell ref="BK24:BQ24"/>
    <mergeCell ref="A25:BQ25"/>
    <mergeCell ref="B26:D26"/>
    <mergeCell ref="E26:I26"/>
    <mergeCell ref="J26:P26"/>
    <mergeCell ref="Q26:W26"/>
    <mergeCell ref="X26:AD26"/>
    <mergeCell ref="AE26:AF26"/>
    <mergeCell ref="AG26:AI26"/>
    <mergeCell ref="AJ26:AL26"/>
    <mergeCell ref="AM26:AO26"/>
    <mergeCell ref="AP26:AR26"/>
    <mergeCell ref="AS26:AU26"/>
    <mergeCell ref="AV26:AX26"/>
    <mergeCell ref="AY26:BA26"/>
    <mergeCell ref="BB26:BD26"/>
    <mergeCell ref="BE26:BG26"/>
    <mergeCell ref="BH26:BJ26"/>
    <mergeCell ref="BK26:BQ26"/>
    <mergeCell ref="B27:D27"/>
    <mergeCell ref="E27:I27"/>
    <mergeCell ref="J27:P27"/>
    <mergeCell ref="Q27:W27"/>
    <mergeCell ref="X27:AD27"/>
    <mergeCell ref="AE27:AF27"/>
    <mergeCell ref="AG27:AI27"/>
    <mergeCell ref="AJ27:AL27"/>
    <mergeCell ref="AM27:AO27"/>
    <mergeCell ref="AP27:AR27"/>
    <mergeCell ref="AS27:AU27"/>
    <mergeCell ref="AV27:AX27"/>
    <mergeCell ref="AY27:BA27"/>
    <mergeCell ref="BB27:BD27"/>
    <mergeCell ref="BE27:BG27"/>
    <mergeCell ref="BH27:BJ27"/>
    <mergeCell ref="BK27:BQ27"/>
    <mergeCell ref="B28:D28"/>
    <mergeCell ref="E28:I28"/>
    <mergeCell ref="J28:P28"/>
    <mergeCell ref="Q28:W28"/>
    <mergeCell ref="X28:AD28"/>
    <mergeCell ref="AE28:AF28"/>
    <mergeCell ref="AG28:AI28"/>
    <mergeCell ref="AJ28:AL28"/>
    <mergeCell ref="AM28:AO28"/>
    <mergeCell ref="AP28:AR28"/>
    <mergeCell ref="AS28:AU28"/>
    <mergeCell ref="AV28:AX28"/>
    <mergeCell ref="AY28:BA28"/>
    <mergeCell ref="BB28:BD28"/>
    <mergeCell ref="BE28:BG28"/>
    <mergeCell ref="BH28:BJ28"/>
    <mergeCell ref="BK28:BQ28"/>
    <mergeCell ref="A29:BQ29"/>
    <mergeCell ref="B30:D30"/>
    <mergeCell ref="E30:I30"/>
    <mergeCell ref="J30:P30"/>
    <mergeCell ref="Q30:W30"/>
    <mergeCell ref="X30:AD30"/>
    <mergeCell ref="AE30:AF30"/>
    <mergeCell ref="AG30:AI30"/>
    <mergeCell ref="AJ30:AL30"/>
    <mergeCell ref="AM30:AO30"/>
    <mergeCell ref="AP30:AR30"/>
    <mergeCell ref="AS30:AU30"/>
    <mergeCell ref="AV30:AX30"/>
    <mergeCell ref="AY30:BA30"/>
    <mergeCell ref="BB30:BD30"/>
    <mergeCell ref="BE30:BG30"/>
    <mergeCell ref="BH30:BJ30"/>
    <mergeCell ref="BK30:BQ30"/>
    <mergeCell ref="B31:D31"/>
    <mergeCell ref="E31:I31"/>
    <mergeCell ref="J31:P31"/>
    <mergeCell ref="Q31:W31"/>
    <mergeCell ref="X31:AD31"/>
    <mergeCell ref="AE31:AF31"/>
    <mergeCell ref="AG31:AI31"/>
    <mergeCell ref="AJ31:AL31"/>
    <mergeCell ref="AM31:AO31"/>
    <mergeCell ref="AP31:AR31"/>
    <mergeCell ref="AS31:AU31"/>
    <mergeCell ref="AV31:AX31"/>
    <mergeCell ref="AY31:BA31"/>
    <mergeCell ref="BB31:BD31"/>
    <mergeCell ref="BE31:BG31"/>
    <mergeCell ref="BH31:BJ31"/>
    <mergeCell ref="BK31:BQ31"/>
    <mergeCell ref="B32:D32"/>
    <mergeCell ref="E32:I32"/>
    <mergeCell ref="J32:P32"/>
    <mergeCell ref="Q32:W32"/>
    <mergeCell ref="X32:AD32"/>
    <mergeCell ref="AE32:AF32"/>
    <mergeCell ref="AG32:AI32"/>
    <mergeCell ref="AJ32:AL32"/>
    <mergeCell ref="AM32:AO32"/>
    <mergeCell ref="AP32:AR32"/>
    <mergeCell ref="AS32:AU32"/>
    <mergeCell ref="AV32:AX32"/>
    <mergeCell ref="AY32:BA32"/>
    <mergeCell ref="BB32:BD32"/>
    <mergeCell ref="BE32:BG32"/>
    <mergeCell ref="BH32:BJ32"/>
    <mergeCell ref="BK32:BQ32"/>
    <mergeCell ref="B33:D33"/>
    <mergeCell ref="E33:I33"/>
    <mergeCell ref="J33:P33"/>
    <mergeCell ref="Q33:W33"/>
    <mergeCell ref="X33:AD33"/>
    <mergeCell ref="AE33:AF33"/>
    <mergeCell ref="AG33:AI33"/>
    <mergeCell ref="AJ33:AL33"/>
    <mergeCell ref="AM33:AO33"/>
    <mergeCell ref="AP33:AR33"/>
    <mergeCell ref="AS33:AU33"/>
    <mergeCell ref="AV33:AX33"/>
    <mergeCell ref="AY33:BA33"/>
    <mergeCell ref="BB33:BD33"/>
    <mergeCell ref="BE33:BG33"/>
    <mergeCell ref="BH33:BJ33"/>
    <mergeCell ref="BK33:BQ33"/>
    <mergeCell ref="B34:D34"/>
    <mergeCell ref="E34:I34"/>
    <mergeCell ref="J34:P34"/>
    <mergeCell ref="Q34:W34"/>
    <mergeCell ref="X34:AD34"/>
    <mergeCell ref="AE34:AF34"/>
    <mergeCell ref="AG34:AI34"/>
    <mergeCell ref="AJ34:AL34"/>
    <mergeCell ref="AM34:AO34"/>
    <mergeCell ref="AP34:AR34"/>
    <mergeCell ref="AS34:AU34"/>
    <mergeCell ref="AV34:AX34"/>
    <mergeCell ref="AY34:BA34"/>
    <mergeCell ref="BB34:BD34"/>
    <mergeCell ref="BE34:BG34"/>
    <mergeCell ref="BH34:BJ34"/>
    <mergeCell ref="BK34:BQ34"/>
    <mergeCell ref="B35:D35"/>
    <mergeCell ref="E35:I35"/>
    <mergeCell ref="J35:P35"/>
    <mergeCell ref="Q35:W35"/>
    <mergeCell ref="X35:AD35"/>
    <mergeCell ref="AE35:AF35"/>
    <mergeCell ref="AG35:AI35"/>
    <mergeCell ref="AJ35:AL35"/>
    <mergeCell ref="AM35:AO35"/>
    <mergeCell ref="AP35:AR35"/>
    <mergeCell ref="AS35:AU35"/>
    <mergeCell ref="AV35:AX35"/>
    <mergeCell ref="AY35:BA35"/>
    <mergeCell ref="BB35:BD35"/>
    <mergeCell ref="BE35:BG35"/>
    <mergeCell ref="BH35:BJ35"/>
    <mergeCell ref="BK35:BQ35"/>
    <mergeCell ref="B36:D36"/>
    <mergeCell ref="E36:I36"/>
    <mergeCell ref="J36:P36"/>
    <mergeCell ref="Q36:W36"/>
    <mergeCell ref="X36:AD36"/>
    <mergeCell ref="AE36:AF36"/>
    <mergeCell ref="AG36:AI36"/>
    <mergeCell ref="AJ36:AL36"/>
    <mergeCell ref="AM36:AO36"/>
    <mergeCell ref="AP36:AR36"/>
    <mergeCell ref="AS36:AU36"/>
    <mergeCell ref="AV36:AX36"/>
    <mergeCell ref="AY36:BA36"/>
    <mergeCell ref="BB36:BD36"/>
    <mergeCell ref="BE36:BG36"/>
    <mergeCell ref="BH36:BJ36"/>
    <mergeCell ref="BK36:BQ36"/>
    <mergeCell ref="B37:D37"/>
    <mergeCell ref="E37:I37"/>
    <mergeCell ref="J37:P37"/>
    <mergeCell ref="Q37:W37"/>
    <mergeCell ref="X37:AD37"/>
    <mergeCell ref="AE37:AF37"/>
    <mergeCell ref="AG37:AI37"/>
    <mergeCell ref="AJ37:AL37"/>
    <mergeCell ref="AM37:AO37"/>
    <mergeCell ref="AP37:AR37"/>
    <mergeCell ref="AS37:AU37"/>
    <mergeCell ref="AV37:AX37"/>
    <mergeCell ref="AY37:BA37"/>
    <mergeCell ref="BB37:BD37"/>
    <mergeCell ref="BE37:BG37"/>
    <mergeCell ref="BH37:BJ37"/>
    <mergeCell ref="BK37:BQ37"/>
    <mergeCell ref="B38:D38"/>
    <mergeCell ref="E38:I38"/>
    <mergeCell ref="J38:P38"/>
    <mergeCell ref="Q38:W38"/>
    <mergeCell ref="X38:AD38"/>
    <mergeCell ref="AE38:AF38"/>
    <mergeCell ref="AG38:AI38"/>
    <mergeCell ref="AJ38:AL38"/>
    <mergeCell ref="AM38:AO38"/>
    <mergeCell ref="AP38:AR38"/>
    <mergeCell ref="AS38:AU38"/>
    <mergeCell ref="AV38:AX38"/>
    <mergeCell ref="AY38:BA38"/>
    <mergeCell ref="BB38:BD38"/>
    <mergeCell ref="BE38:BG38"/>
    <mergeCell ref="BH38:BJ38"/>
    <mergeCell ref="BK38:BQ38"/>
    <mergeCell ref="B39:D39"/>
    <mergeCell ref="E39:I39"/>
    <mergeCell ref="J39:P39"/>
    <mergeCell ref="Q39:W39"/>
    <mergeCell ref="X39:AD39"/>
    <mergeCell ref="AE39:AF39"/>
    <mergeCell ref="AG39:AI39"/>
    <mergeCell ref="AJ39:AL39"/>
    <mergeCell ref="AM39:AO39"/>
    <mergeCell ref="AP39:AR39"/>
    <mergeCell ref="AS39:AU39"/>
    <mergeCell ref="AV39:AX39"/>
    <mergeCell ref="AY39:BA39"/>
    <mergeCell ref="BB39:BD39"/>
    <mergeCell ref="BE39:BG39"/>
    <mergeCell ref="BH39:BJ39"/>
    <mergeCell ref="BK39:BQ39"/>
    <mergeCell ref="B40:D40"/>
    <mergeCell ref="E40:I40"/>
    <mergeCell ref="J40:P40"/>
    <mergeCell ref="Q40:W40"/>
    <mergeCell ref="X40:AD40"/>
    <mergeCell ref="AE40:AF40"/>
    <mergeCell ref="AG40:AI40"/>
    <mergeCell ref="AJ40:AL40"/>
    <mergeCell ref="AM40:AO40"/>
    <mergeCell ref="AP40:AR40"/>
    <mergeCell ref="AS40:AU40"/>
    <mergeCell ref="AV40:AX40"/>
    <mergeCell ref="AY40:BA40"/>
    <mergeCell ref="BB40:BD40"/>
    <mergeCell ref="BE40:BG40"/>
    <mergeCell ref="BH40:BJ40"/>
    <mergeCell ref="BK40:BQ40"/>
    <mergeCell ref="B41:D41"/>
    <mergeCell ref="E41:I41"/>
    <mergeCell ref="J41:P41"/>
    <mergeCell ref="Q41:W41"/>
    <mergeCell ref="X41:AD41"/>
    <mergeCell ref="AE41:AF41"/>
    <mergeCell ref="AG41:AI41"/>
    <mergeCell ref="AJ41:AL41"/>
    <mergeCell ref="AM41:AO41"/>
    <mergeCell ref="AP41:AR41"/>
    <mergeCell ref="AS41:AU41"/>
    <mergeCell ref="AV41:AX41"/>
    <mergeCell ref="AY41:BA41"/>
    <mergeCell ref="BB41:BD41"/>
    <mergeCell ref="BE41:BG41"/>
    <mergeCell ref="BH41:BJ41"/>
    <mergeCell ref="BK41:BQ41"/>
    <mergeCell ref="B42:D42"/>
    <mergeCell ref="E42:I42"/>
    <mergeCell ref="J42:P42"/>
    <mergeCell ref="Q42:W42"/>
    <mergeCell ref="X42:AD42"/>
    <mergeCell ref="AE42:AF42"/>
    <mergeCell ref="AG42:AI42"/>
    <mergeCell ref="AJ42:AL42"/>
    <mergeCell ref="AM42:AO42"/>
    <mergeCell ref="AP42:AR42"/>
    <mergeCell ref="AS42:AU42"/>
    <mergeCell ref="AV42:AX42"/>
    <mergeCell ref="AY42:BA42"/>
    <mergeCell ref="BB42:BD42"/>
    <mergeCell ref="BE42:BG42"/>
    <mergeCell ref="BH42:BJ42"/>
    <mergeCell ref="BK42:BQ42"/>
    <mergeCell ref="B43:D43"/>
    <mergeCell ref="E43:I43"/>
    <mergeCell ref="J43:P43"/>
    <mergeCell ref="Q43:W43"/>
    <mergeCell ref="X43:AD43"/>
    <mergeCell ref="AE43:AF43"/>
    <mergeCell ref="AG43:AI43"/>
    <mergeCell ref="AJ43:AL43"/>
    <mergeCell ref="AM43:AO43"/>
    <mergeCell ref="AP43:AR43"/>
    <mergeCell ref="AS43:AU43"/>
    <mergeCell ref="AV43:AX43"/>
    <mergeCell ref="AY43:BA43"/>
    <mergeCell ref="BB43:BD43"/>
    <mergeCell ref="BE43:BG43"/>
    <mergeCell ref="BH43:BJ43"/>
    <mergeCell ref="BK43:BQ43"/>
    <mergeCell ref="B44:D44"/>
    <mergeCell ref="E44:I44"/>
    <mergeCell ref="J44:P44"/>
    <mergeCell ref="Q44:W44"/>
    <mergeCell ref="X44:AD44"/>
    <mergeCell ref="AE44:AF44"/>
    <mergeCell ref="AG44:AI44"/>
    <mergeCell ref="AJ44:AL44"/>
    <mergeCell ref="AM44:AO44"/>
    <mergeCell ref="AP44:AR44"/>
    <mergeCell ref="AS44:AU44"/>
    <mergeCell ref="AV44:AX44"/>
    <mergeCell ref="AY44:BA44"/>
    <mergeCell ref="BB44:BD44"/>
    <mergeCell ref="BE44:BG44"/>
    <mergeCell ref="BH44:BJ44"/>
    <mergeCell ref="BK44:BQ44"/>
    <mergeCell ref="B45:D45"/>
    <mergeCell ref="E45:I45"/>
    <mergeCell ref="J45:P45"/>
    <mergeCell ref="Q45:W45"/>
    <mergeCell ref="X45:AD45"/>
    <mergeCell ref="AE45:AF45"/>
    <mergeCell ref="AG45:AI45"/>
    <mergeCell ref="AJ45:AL45"/>
    <mergeCell ref="AM45:AO45"/>
    <mergeCell ref="AP45:AR45"/>
    <mergeCell ref="AS45:AU45"/>
    <mergeCell ref="AV45:AX45"/>
    <mergeCell ref="AY45:BA45"/>
    <mergeCell ref="BB45:BD45"/>
    <mergeCell ref="BE45:BG45"/>
    <mergeCell ref="BH45:BJ45"/>
    <mergeCell ref="BK45:BQ45"/>
    <mergeCell ref="B46:D46"/>
    <mergeCell ref="E46:I46"/>
    <mergeCell ref="J46:P46"/>
    <mergeCell ref="Q46:W46"/>
    <mergeCell ref="X46:AD46"/>
    <mergeCell ref="AE46:AF46"/>
    <mergeCell ref="AG46:AI46"/>
    <mergeCell ref="AJ46:AL46"/>
    <mergeCell ref="AM46:AO46"/>
    <mergeCell ref="AP46:AR46"/>
    <mergeCell ref="AS46:AU46"/>
    <mergeCell ref="AV46:AX46"/>
    <mergeCell ref="AY46:BA46"/>
    <mergeCell ref="BB46:BD46"/>
    <mergeCell ref="BE46:BG46"/>
    <mergeCell ref="BH46:BJ46"/>
    <mergeCell ref="BK46:BQ46"/>
    <mergeCell ref="B47:D47"/>
    <mergeCell ref="E47:I47"/>
    <mergeCell ref="J47:P47"/>
    <mergeCell ref="Q47:W47"/>
    <mergeCell ref="X47:AD47"/>
    <mergeCell ref="AE47:AF47"/>
    <mergeCell ref="AG47:AI47"/>
    <mergeCell ref="AJ47:AL47"/>
    <mergeCell ref="AM47:AO47"/>
    <mergeCell ref="AP47:AR47"/>
    <mergeCell ref="AS47:AU47"/>
    <mergeCell ref="AV47:AX47"/>
    <mergeCell ref="AY47:BA47"/>
    <mergeCell ref="BB47:BD47"/>
    <mergeCell ref="BE47:BG47"/>
    <mergeCell ref="BH47:BJ47"/>
    <mergeCell ref="BK47:BQ47"/>
    <mergeCell ref="B48:D48"/>
    <mergeCell ref="E48:I48"/>
    <mergeCell ref="J48:P48"/>
    <mergeCell ref="Q48:W48"/>
    <mergeCell ref="X48:AD48"/>
    <mergeCell ref="AE48:AF48"/>
    <mergeCell ref="AG48:AI48"/>
    <mergeCell ref="AJ48:AL48"/>
    <mergeCell ref="AM48:AO48"/>
    <mergeCell ref="AP48:AR48"/>
    <mergeCell ref="AS48:AU48"/>
    <mergeCell ref="AV48:AX48"/>
    <mergeCell ref="AY48:BA48"/>
    <mergeCell ref="BB48:BD48"/>
    <mergeCell ref="BE48:BG48"/>
    <mergeCell ref="BH48:BJ48"/>
    <mergeCell ref="BK48:BQ48"/>
    <mergeCell ref="B49:D49"/>
    <mergeCell ref="E49:I49"/>
    <mergeCell ref="J49:P49"/>
    <mergeCell ref="Q49:W49"/>
    <mergeCell ref="X49:AD49"/>
    <mergeCell ref="AE49:AF49"/>
    <mergeCell ref="AG49:AI49"/>
    <mergeCell ref="AJ49:AL49"/>
    <mergeCell ref="AM49:AO49"/>
    <mergeCell ref="AP49:AR49"/>
    <mergeCell ref="AS49:AU49"/>
    <mergeCell ref="AV49:AX49"/>
    <mergeCell ref="AY49:BA49"/>
    <mergeCell ref="BB49:BD49"/>
    <mergeCell ref="BE49:BG49"/>
    <mergeCell ref="BH49:BJ49"/>
    <mergeCell ref="BK49:BQ49"/>
    <mergeCell ref="A50:BQ50"/>
    <mergeCell ref="B51:D51"/>
    <mergeCell ref="E51:I51"/>
    <mergeCell ref="J51:P51"/>
    <mergeCell ref="Q51:W51"/>
    <mergeCell ref="X51:AD51"/>
    <mergeCell ref="AE51:AF51"/>
    <mergeCell ref="AG51:AI51"/>
    <mergeCell ref="AJ51:AL51"/>
    <mergeCell ref="AM51:AO51"/>
    <mergeCell ref="AP51:AR51"/>
    <mergeCell ref="AS51:AU51"/>
    <mergeCell ref="AV51:AX51"/>
    <mergeCell ref="AY51:BA51"/>
    <mergeCell ref="BB51:BD51"/>
    <mergeCell ref="BE51:BG51"/>
    <mergeCell ref="BH51:BJ51"/>
    <mergeCell ref="BK51:BQ51"/>
    <mergeCell ref="B52:D52"/>
    <mergeCell ref="E52:I52"/>
    <mergeCell ref="J52:P52"/>
    <mergeCell ref="Q52:W52"/>
    <mergeCell ref="X52:AD52"/>
    <mergeCell ref="AE52:AF52"/>
    <mergeCell ref="AG52:AI52"/>
    <mergeCell ref="AJ52:AL52"/>
    <mergeCell ref="AM52:AO52"/>
    <mergeCell ref="AP52:AR52"/>
    <mergeCell ref="AS52:AU52"/>
    <mergeCell ref="AV52:AX52"/>
    <mergeCell ref="AY52:BA52"/>
    <mergeCell ref="BB52:BD52"/>
    <mergeCell ref="BE52:BG52"/>
    <mergeCell ref="BH52:BJ52"/>
    <mergeCell ref="BK52:BQ52"/>
    <mergeCell ref="B53:D53"/>
    <mergeCell ref="E53:I53"/>
    <mergeCell ref="J53:P53"/>
    <mergeCell ref="Q53:W53"/>
    <mergeCell ref="X53:AD53"/>
    <mergeCell ref="AE53:AF53"/>
    <mergeCell ref="AG53:AI53"/>
    <mergeCell ref="AJ53:AL53"/>
    <mergeCell ref="AM53:AO53"/>
    <mergeCell ref="AP53:AR53"/>
    <mergeCell ref="AS53:AU53"/>
    <mergeCell ref="AV53:AX53"/>
    <mergeCell ref="AY53:BA53"/>
    <mergeCell ref="BB53:BD53"/>
    <mergeCell ref="BE53:BG53"/>
    <mergeCell ref="BH53:BJ53"/>
    <mergeCell ref="BK53:BQ53"/>
    <mergeCell ref="B54:D54"/>
    <mergeCell ref="E54:I54"/>
    <mergeCell ref="J54:P54"/>
    <mergeCell ref="Q54:W54"/>
    <mergeCell ref="X54:AD54"/>
    <mergeCell ref="AE54:AF54"/>
    <mergeCell ref="AG54:AI54"/>
    <mergeCell ref="AJ54:AL54"/>
    <mergeCell ref="AM54:AO54"/>
    <mergeCell ref="AP54:AR54"/>
    <mergeCell ref="AS54:AU54"/>
    <mergeCell ref="AV54:AX54"/>
    <mergeCell ref="AY54:BA54"/>
    <mergeCell ref="BB54:BD54"/>
    <mergeCell ref="BE54:BG54"/>
    <mergeCell ref="BH54:BJ54"/>
    <mergeCell ref="BK54:BQ54"/>
    <mergeCell ref="B55:D55"/>
    <mergeCell ref="E55:I55"/>
    <mergeCell ref="J55:P55"/>
    <mergeCell ref="Q55:W55"/>
    <mergeCell ref="X55:AD55"/>
    <mergeCell ref="AE55:AF55"/>
    <mergeCell ref="AG55:AI55"/>
    <mergeCell ref="AJ55:AL55"/>
    <mergeCell ref="AM55:AO55"/>
    <mergeCell ref="AP55:AR55"/>
    <mergeCell ref="AS55:AU55"/>
    <mergeCell ref="AV55:AX55"/>
    <mergeCell ref="AY55:BA55"/>
    <mergeCell ref="BB55:BD55"/>
    <mergeCell ref="BE55:BG55"/>
    <mergeCell ref="BH55:BJ55"/>
    <mergeCell ref="BK55:BQ55"/>
    <mergeCell ref="B56:D56"/>
    <mergeCell ref="E56:I56"/>
    <mergeCell ref="J56:P56"/>
    <mergeCell ref="Q56:W56"/>
    <mergeCell ref="X56:AD56"/>
    <mergeCell ref="AE56:AF56"/>
    <mergeCell ref="AG56:AI56"/>
    <mergeCell ref="AJ56:AL56"/>
    <mergeCell ref="AM56:AO56"/>
    <mergeCell ref="AP56:AR56"/>
    <mergeCell ref="AS56:AU56"/>
    <mergeCell ref="AV56:AX56"/>
    <mergeCell ref="AY56:BA56"/>
    <mergeCell ref="BB56:BD56"/>
    <mergeCell ref="BE56:BG56"/>
    <mergeCell ref="BH56:BJ56"/>
    <mergeCell ref="BK56:BQ56"/>
    <mergeCell ref="B57:D57"/>
    <mergeCell ref="E57:I57"/>
    <mergeCell ref="J57:P57"/>
    <mergeCell ref="Q57:W57"/>
    <mergeCell ref="X57:AD57"/>
    <mergeCell ref="AE57:AF57"/>
    <mergeCell ref="AG57:AI57"/>
    <mergeCell ref="AJ57:AL57"/>
    <mergeCell ref="AM57:AO57"/>
    <mergeCell ref="AP57:AR57"/>
    <mergeCell ref="AS57:AU57"/>
    <mergeCell ref="AV57:AX57"/>
    <mergeCell ref="AY57:BA57"/>
    <mergeCell ref="BB57:BD57"/>
    <mergeCell ref="BE57:BG57"/>
    <mergeCell ref="BH57:BJ57"/>
    <mergeCell ref="BK57:BQ57"/>
    <mergeCell ref="A58:BQ58"/>
    <mergeCell ref="B59:D59"/>
    <mergeCell ref="E59:I59"/>
    <mergeCell ref="J59:P59"/>
    <mergeCell ref="Q59:W59"/>
    <mergeCell ref="X59:AD59"/>
    <mergeCell ref="AE59:AF59"/>
    <mergeCell ref="AG59:AI59"/>
    <mergeCell ref="AJ59:AL59"/>
    <mergeCell ref="AM59:AO59"/>
    <mergeCell ref="AP59:AR59"/>
    <mergeCell ref="AS59:AU59"/>
    <mergeCell ref="AV59:AX59"/>
    <mergeCell ref="AY59:BA59"/>
    <mergeCell ref="BB59:BD59"/>
    <mergeCell ref="BE59:BG59"/>
    <mergeCell ref="BH59:BJ59"/>
    <mergeCell ref="BK59:BQ59"/>
    <mergeCell ref="B60:D60"/>
    <mergeCell ref="E60:I60"/>
    <mergeCell ref="J60:P60"/>
    <mergeCell ref="Q60:W60"/>
    <mergeCell ref="X60:AD60"/>
    <mergeCell ref="AE60:AF60"/>
    <mergeCell ref="AG60:AI60"/>
    <mergeCell ref="AJ60:AL60"/>
    <mergeCell ref="AM60:AO60"/>
    <mergeCell ref="AP60:AR60"/>
    <mergeCell ref="AS60:AU60"/>
    <mergeCell ref="AV60:AX60"/>
    <mergeCell ref="AY60:BA60"/>
    <mergeCell ref="BB60:BD60"/>
    <mergeCell ref="BE60:BG60"/>
    <mergeCell ref="BH60:BJ60"/>
    <mergeCell ref="BK60:BQ60"/>
    <mergeCell ref="B61:D61"/>
    <mergeCell ref="E61:I61"/>
    <mergeCell ref="J61:P61"/>
    <mergeCell ref="Q61:W61"/>
    <mergeCell ref="X61:AD61"/>
    <mergeCell ref="AE61:AF61"/>
    <mergeCell ref="AG61:AI61"/>
    <mergeCell ref="AJ61:AL61"/>
    <mergeCell ref="AM61:AO61"/>
    <mergeCell ref="AP61:AR61"/>
    <mergeCell ref="AS61:AU61"/>
    <mergeCell ref="AV61:AX61"/>
    <mergeCell ref="AY61:BA61"/>
    <mergeCell ref="BB61:BD61"/>
    <mergeCell ref="BE61:BG61"/>
    <mergeCell ref="BH61:BJ61"/>
    <mergeCell ref="BK61:BQ61"/>
    <mergeCell ref="A62:BQ62"/>
    <mergeCell ref="B63:D63"/>
    <mergeCell ref="E63:I63"/>
    <mergeCell ref="J63:P63"/>
    <mergeCell ref="Q63:W63"/>
    <mergeCell ref="X63:AD63"/>
    <mergeCell ref="AE63:AF63"/>
    <mergeCell ref="AG63:AI63"/>
    <mergeCell ref="AJ63:AL63"/>
    <mergeCell ref="AM63:AO63"/>
    <mergeCell ref="AP63:AR63"/>
    <mergeCell ref="AS63:AU63"/>
    <mergeCell ref="AV63:AX63"/>
    <mergeCell ref="AY63:BA63"/>
    <mergeCell ref="BB63:BD63"/>
    <mergeCell ref="BE63:BG63"/>
    <mergeCell ref="BH63:BJ63"/>
    <mergeCell ref="BK63:BQ63"/>
    <mergeCell ref="B64:D64"/>
    <mergeCell ref="E64:I64"/>
    <mergeCell ref="J64:P64"/>
    <mergeCell ref="Q64:W64"/>
    <mergeCell ref="X64:AD64"/>
    <mergeCell ref="AE64:AF64"/>
    <mergeCell ref="AG64:AI64"/>
    <mergeCell ref="AJ64:AL64"/>
    <mergeCell ref="AM64:AO64"/>
    <mergeCell ref="AP64:AR64"/>
    <mergeCell ref="AS64:AU64"/>
    <mergeCell ref="AV64:AX64"/>
    <mergeCell ref="AY64:BA64"/>
    <mergeCell ref="BB64:BD64"/>
    <mergeCell ref="BE64:BG64"/>
    <mergeCell ref="BH64:BJ64"/>
    <mergeCell ref="BK64:BQ64"/>
    <mergeCell ref="B65:D65"/>
    <mergeCell ref="E65:I65"/>
    <mergeCell ref="J65:P65"/>
    <mergeCell ref="Q65:W65"/>
    <mergeCell ref="X65:AD65"/>
    <mergeCell ref="AE65:AF65"/>
    <mergeCell ref="AG65:AI65"/>
    <mergeCell ref="AJ65:AL65"/>
    <mergeCell ref="AM65:AO65"/>
    <mergeCell ref="AP65:AR65"/>
    <mergeCell ref="AS65:AU65"/>
    <mergeCell ref="AV65:AX65"/>
    <mergeCell ref="AY65:BA65"/>
    <mergeCell ref="BB65:BD65"/>
    <mergeCell ref="BE65:BG65"/>
    <mergeCell ref="BH65:BJ65"/>
    <mergeCell ref="BK65:BQ65"/>
    <mergeCell ref="B66:D66"/>
    <mergeCell ref="E66:I66"/>
    <mergeCell ref="J66:P66"/>
    <mergeCell ref="Q66:W66"/>
    <mergeCell ref="X66:AD66"/>
    <mergeCell ref="AE66:AF66"/>
    <mergeCell ref="AG66:AI66"/>
    <mergeCell ref="AJ66:AL66"/>
    <mergeCell ref="AM66:AO66"/>
    <mergeCell ref="AP66:AR66"/>
    <mergeCell ref="AS66:AU66"/>
    <mergeCell ref="AV66:AX66"/>
    <mergeCell ref="AY66:BA66"/>
    <mergeCell ref="BB66:BD66"/>
    <mergeCell ref="BE66:BG66"/>
    <mergeCell ref="BH66:BJ66"/>
    <mergeCell ref="BK66:BQ66"/>
    <mergeCell ref="B67:D67"/>
    <mergeCell ref="E67:I67"/>
    <mergeCell ref="J67:P67"/>
    <mergeCell ref="Q67:W67"/>
    <mergeCell ref="X67:AD67"/>
    <mergeCell ref="AE67:AF67"/>
    <mergeCell ref="AG67:AI67"/>
    <mergeCell ref="AJ67:AL67"/>
    <mergeCell ref="AM67:AO67"/>
    <mergeCell ref="AP67:AR67"/>
    <mergeCell ref="AS67:AU67"/>
    <mergeCell ref="AV67:AX67"/>
    <mergeCell ref="AY67:BA67"/>
    <mergeCell ref="BB67:BD67"/>
    <mergeCell ref="BE67:BG67"/>
    <mergeCell ref="BH67:BJ67"/>
    <mergeCell ref="BK67:BQ67"/>
    <mergeCell ref="B68:D68"/>
    <mergeCell ref="E68:I68"/>
    <mergeCell ref="J68:P68"/>
    <mergeCell ref="Q68:W68"/>
    <mergeCell ref="X68:AD68"/>
    <mergeCell ref="AE68:AF68"/>
    <mergeCell ref="AG68:AI68"/>
    <mergeCell ref="AJ68:AL68"/>
    <mergeCell ref="AM68:AO68"/>
    <mergeCell ref="AP68:AR68"/>
    <mergeCell ref="AS68:AU68"/>
    <mergeCell ref="AV68:AX68"/>
    <mergeCell ref="AY68:BA68"/>
    <mergeCell ref="BB68:BD68"/>
    <mergeCell ref="BE68:BG68"/>
    <mergeCell ref="BH68:BJ68"/>
    <mergeCell ref="BK68:BQ68"/>
    <mergeCell ref="B69:D69"/>
    <mergeCell ref="E69:I69"/>
    <mergeCell ref="J69:P69"/>
    <mergeCell ref="Q69:W69"/>
    <mergeCell ref="X69:AD69"/>
    <mergeCell ref="AE69:AF69"/>
    <mergeCell ref="AG69:AI69"/>
    <mergeCell ref="AJ69:AL69"/>
    <mergeCell ref="AM69:AO69"/>
    <mergeCell ref="AP69:AR69"/>
    <mergeCell ref="AS69:AU69"/>
    <mergeCell ref="AV69:AX69"/>
    <mergeCell ref="AY69:BA69"/>
    <mergeCell ref="BB69:BD69"/>
    <mergeCell ref="BE69:BG69"/>
    <mergeCell ref="BH69:BJ69"/>
    <mergeCell ref="BK69:BQ69"/>
    <mergeCell ref="A10:A11"/>
    <mergeCell ref="BK10:BQ11"/>
    <mergeCell ref="B10:D11"/>
    <mergeCell ref="E10:I11"/>
    <mergeCell ref="J10:P11"/>
    <mergeCell ref="Q10:W11"/>
    <mergeCell ref="X10:AD11"/>
    <mergeCell ref="AE10:AF11"/>
  </mergeCells>
  <dataValidations count="3">
    <dataValidation type="list" allowBlank="1" sqref="F1">
      <formula1>"単体テスト,結合テスト,システムテスト"</formula1>
    </dataValidation>
    <dataValidation type="list" allowBlank="1" sqref="AV54 AG13:AG17 AG19:AG24 AG26:AG28 AG30:AG49 AG51:AG57 AG59:AG61 AG63:AG69 AV13:AV17 AV19:AV24 AV26:AV28 AV30:AV49 AV51:AV53 AV55:AV57 AV59:AV61 AV63:AV69">
      <formula1>"合格,不合格,未テスト,N/A"</formula1>
    </dataValidation>
    <dataValidation type="list" allowBlank="1" sqref="AE13:AE17 AE19:AE24 AE26:AE28 AE30:AE49 AE51:AE57 AE59:AE61 AE63:AE69">
      <formula1>"N,A,B"</formula1>
    </dataValidation>
  </dataValidations>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6</vt:i4>
      </vt:variant>
    </vt:vector>
  </HeadingPairs>
  <TitlesOfParts>
    <vt:vector size="6" baseType="lpstr">
      <vt:lpstr>表紙</vt:lpstr>
      <vt:lpstr>変更履歴</vt:lpstr>
      <vt:lpstr>概要</vt:lpstr>
      <vt:lpstr>テスト報告書</vt:lpstr>
      <vt:lpstr>テスト観点</vt:lpstr>
      <vt:lpstr>機能</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anh.vuquang</cp:lastModifiedBy>
  <dcterms:created xsi:type="dcterms:W3CDTF">2026-05-21T08:56:00Z</dcterms:created>
  <dcterms:modified xsi:type="dcterms:W3CDTF">2026-08-28T10:19:06Z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922E1573B23946EA8F54EBF2A2381482_12</vt:lpwstr>
  </property>
  <property fmtid="{D5CDD505-2E9C-101B-9397-08002B2CF9AE}" pid="3" name="KSOProductBuildVer">
    <vt:lpwstr>1033-12.1.0.28032</vt:lpwstr>
  </property>
  <property fmtid="{D5CDD505-2E9C-101B-9397-08002B2CF9AE}" pid="4" name="CalculationRule">
    <vt:i4>0</vt:i4>
  </property>
</Properties>
</file>