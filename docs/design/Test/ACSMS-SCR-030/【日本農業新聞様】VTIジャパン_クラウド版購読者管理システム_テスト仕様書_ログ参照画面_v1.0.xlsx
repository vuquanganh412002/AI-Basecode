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<sst xmlns="http://schemas.openxmlformats.org/spreadsheetml/2006/main" count="881" uniqueCount="491">
  <si>
    <t>クラウド版購読者管理システム</t>
  </si>
  <si>
    <t>ログ参照画面</t>
  </si>
  <si>
    <t>版1.0</t>
  </si>
  <si>
    <t>フォーマットコード</t>
  </si>
  <si>
    <t>16-BM/PM/VTI</t>
  </si>
  <si>
    <t>フォーマットバージョン</t>
  </si>
  <si>
    <t>1.0</t>
  </si>
  <si>
    <t>発行日</t>
  </si>
  <si>
    <t>2026/05/22</t>
  </si>
  <si>
    <t>項番</t>
  </si>
  <si>
    <t>バージョン</t>
  </si>
  <si>
    <t>担当者</t>
  </si>
  <si>
    <t>変更内容</t>
  </si>
  <si>
    <t>確認者</t>
  </si>
  <si>
    <t>承認者</t>
  </si>
  <si>
    <t>2026-05-22</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</si>
  <si>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</si>
  <si>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</si>
  <si>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</si>
  <si>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</si>
  <si>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</si>
  <si>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</si>
  <si>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</si>
  <si>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</si>
  <si>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</si>
  <si>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</si>
  <si>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</si>
  <si>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</si>
  <si>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</si>
  <si>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本システムは、JA向けのクラウド型読者管理システムであり、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</si>
  <si>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</si>
  <si>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</si>
  <si>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</si>
  <si>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</si>
  <si>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</si>
  <si>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</si>
  <si>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</si>
  <si>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Tài liệu này mô tả chi tiết test specification cho "Màn hình tham chiếu Log (ACSMS-SCR-030)" được tạo mới trên hệ thống. Tài liệu tham khảo ISTQB và IEEE 829, đảm bảo các tiêu chuẩn chất lượng sau.</t>
  </si>
  <si>
    <t>- Mỗi test case được tạo dựa trên một kịch bản duy nhất (single responsibility).</t>
  </si>
  <si>
    <t>- Mô tả các bước với độ mịn có thể tái hiện được, chỉ rõ test data.</t>
  </si>
  <si>
    <t>- Kỳ vọng kết quả phải đo lường được (nội dung message, kết quả query DB, HTTP status code...).</t>
  </si>
  <si>
    <t>- Đặt mức độ ưu tiên (P0: Release blocker / P1: Cao / P2: Trung bình).</t>
  </si>
  <si>
    <t>3.関連資料</t>
  </si>
  <si>
    <t>No</t>
  </si>
  <si>
    <t>資料コード</t>
  </si>
  <si>
    <t>資料名</t>
  </si>
  <si>
    <t>ACSMS-SCR-030</t>
  </si>
  <si>
    <t>Tài liệu thiết kế Màn hình tham chiếu Log</t>
  </si>
  <si>
    <t>ACSMS-SCR-030-api</t>
  </si>
  <si>
    <t>Tài liệu thiết kế API tham chiếu Log</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</si>
  <si>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</si>
  <si>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</si>
  <si>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</si>
  <si>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</si>
  <si>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</si>
  <si>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</si>
  <si>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</si>
  <si>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</si>
  <si>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</si>
  <si>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</si>
  <si>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</si>
  <si>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</si>
  <si>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</si>
  <si>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</si>
  <si>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</si>
  <si>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</si>
  <si>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</si>
  <si>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</si>
  <si>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</si>
  <si>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</si>
  <si>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</si>
  <si>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</si>
  <si>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</si>
  <si>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</si>
  <si>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</si>
  <si>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</si>
  <si>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</si>
  <si>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</si>
  <si>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</si>
  <si>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</si>
  <si>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</si>
  <si>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</si>
  <si>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</si>
  <si>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</si>
  <si>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</si>
  <si>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</si>
  <si>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</si>
  <si>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</si>
  <si>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</si>
  <si>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</si>
  <si>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</si>
  <si>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</si>
  <si>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</si>
  <si>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</si>
  <si>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</si>
  <si>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</si>
  <si>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</si>
  <si>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</si>
  <si>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</si>
  <si>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</si>
  <si>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</si>
  <si>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</si>
  <si>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</si>
  <si>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</si>
  <si>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</si>
  <si>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</si>
  <si>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</si>
  <si>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</si>
  <si>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</si>
  <si>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</si>
  <si>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</si>
  <si>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</si>
  <si>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</si>
  <si>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</si>
  <si>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</si>
  <si>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</si>
  <si>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</si>
  <si>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</si>
  <si>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</si>
  <si>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</si>
  <si>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</si>
  <si>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</si>
  <si>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</si>
  <si>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</si>
  <si>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</si>
  <si>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</si>
  <si>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</si>
  <si>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</si>
  <si>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</si>
  <si>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</si>
  <si>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</si>
  <si>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</si>
  <si>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</si>
  <si>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</si>
  <si>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</si>
  <si>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</si>
  <si>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</si>
  <si>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</si>
  <si>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</si>
  <si>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</si>
  <si>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</si>
  <si>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</si>
  <si>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</si>
  <si>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</si>
  <si>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</si>
  <si>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</si>
  <si>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</si>
  <si>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</si>
  <si>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</si>
  <si>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</si>
  <si>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</si>
  <si>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</si>
  <si>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</si>
  <si>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</si>
  <si>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</si>
  <si>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</si>
  <si>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</si>
  <si>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</si>
  <si>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</si>
  <si>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</si>
  <si>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</si>
  <si>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</si>
  <si>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</si>
  <si>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</si>
  <si>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</si>
  <si>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</si>
  <si>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</si>
  <si>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</si>
  <si>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</si>
  <si>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</si>
  <si>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</si>
  <si>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</si>
  <si>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</si>
  <si>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</si>
  <si>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</si>
  <si>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</si>
  <si>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</si>
  <si>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</si>
  <si>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</si>
  <si>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</si>
  <si>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</si>
  <si>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</si>
  <si>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</si>
  <si>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</si>
  <si>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</si>
  <si>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</si>
  <si>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</si>
  <si>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</si>
  <si>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</si>
  <si>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</si>
  <si>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</si>
  <si>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</si>
  <si>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</si>
  <si>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</si>
  <si>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</si>
  <si>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</si>
  <si>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</si>
  <si>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</si>
  <si>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</si>
  <si>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</si>
  <si>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</si>
  <si>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</si>
  <si>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</si>
  <si>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</si>
  <si>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</si>
  <si>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</si>
  <si>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</si>
  <si>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</si>
  <si>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</si>
  <si>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</si>
  <si>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</si>
  <si>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</si>
  <si>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</si>
  <si>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</si>
  <si>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</si>
  <si>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</si>
  <si>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</si>
  <si>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</si>
  <si>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</si>
  <si>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</si>
  <si>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</si>
  <si>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</si>
  <si>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</si>
  <si>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</si>
  <si>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</si>
  <si>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</si>
  <si>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</si>
  <si>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</si>
  <si>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</si>
  <si>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</si>
  <si>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</si>
  <si>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</si>
  <si>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</si>
  <si>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</si>
  <si>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</si>
  <si>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</si>
  <si>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</si>
  <si>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</si>
  <si>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</si>
  <si>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</si>
  <si>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</si>
  <si>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</si>
  <si>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ACSMS-SCR-030_ログ参照画面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</si>
  <si>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</si>
  <si>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</si>
  <si>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</si>
  <si>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</si>
  <si>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</si>
  <si>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</si>
  <si>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</si>
  <si>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</si>
  <si>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</si>
  <si>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</si>
  <si>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</si>
  <si>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</si>
  <si>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</si>
  <si>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</si>
  <si>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</si>
  <si>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</si>
  <si>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</si>
  <si>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</si>
  <si>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</si>
  <si>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</si>
  <si>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</si>
  <si>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</si>
  <si>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ACSMS-TC-030-001</t>
  </si>
  <si>
    <t>NICHINO_ADMIN truy cập màn tham chiếu log — xem được log của toàn bộ JA</t>
  </si>
  <si>
    <t>・role: NICHINO_ADMIN
・Sở hữu quyền 「log.view」
・Nhiều JA (ja-001, ja-002, ja-003) đều có data log
・Đã login + đã xác thực MFA</t>
  </si>
  <si>
    <r>
      <rPr>
        <b/>
        <sz val="10"/>
        <color rgb="FF000000"/>
        <rFont val="游ゴシック"/>
        <charset val="134"/>
      </rPr>
      <t xml:space="preserve">ステップ1：
</t>
    </r>
    <r>
      <rPr>
        <sz val="10"/>
        <color rgb="FF000000"/>
        <rFont val="游ゴシック"/>
        <charset val="134"/>
      </rPr>
      <t xml:space="preserve">Click link 「ログ参照」 trên sidebar
</t>
    </r>
    <r>
      <rPr>
        <b/>
        <sz val="10"/>
        <color rgb="FF000000"/>
        <rFont val="游ゴシック"/>
        <charset val="134"/>
      </rPr>
      <t xml:space="preserve">ステップ2：
</t>
    </r>
    <r>
      <rPr>
        <sz val="10"/>
        <color rgb="FF000000"/>
        <rFont val="游ゴシック"/>
        <charset val="134"/>
      </rPr>
      <t xml:space="preserve">Kiểm tra cột `ja_id` trong danh sách log
</t>
    </r>
    <r>
      <rPr>
        <b/>
        <sz val="10"/>
        <color rgb="FF000000"/>
        <rFont val="游ゴシック"/>
        <charset val="134"/>
      </rPr>
      <t xml:space="preserve">ステップ3：
</t>
    </r>
    <r>
      <rPr>
        <sz val="10"/>
        <color rgb="FF000000"/>
        <rFont val="游ゴシック"/>
        <charset val="134"/>
      </rPr>
      <t>Dùng DevTools gọi trực tiếp GET `/api/v1/log`</t>
    </r>
  </si>
  <si>
    <r>
      <rPr>
        <b/>
        <sz val="10"/>
        <color rgb="FF000000"/>
        <rFont val="メイリオ"/>
        <charset val="134"/>
      </rPr>
      <t xml:space="preserve">ステップ1：
</t>
    </r>
    <r>
      <rPr>
        <sz val="10"/>
        <color rgb="FF000000"/>
        <rFont val="メイリオ"/>
        <charset val="134"/>
      </rPr>
      <t xml:space="preserve">Màn `/log` được hiển thị, danh sách log hiển thị theo thứ tự mới nhất, 20 dòng/trang
</t>
    </r>
    <r>
      <rPr>
        <b/>
        <sz val="10"/>
        <color rgb="FF000000"/>
        <rFont val="メイリオ"/>
        <charset val="134"/>
      </rPr>
      <t xml:space="preserve">ステップ2：
</t>
    </r>
    <r>
      <rPr>
        <sz val="10"/>
        <color rgb="FF000000"/>
        <rFont val="メイリオ"/>
        <charset val="134"/>
      </rPr>
      <t xml:space="preserve">Hiển thị xen kẽ log của ja_id = 1 / 2 / 3 (không áp dụng filter DataScope)
</t>
    </r>
    <r>
      <rPr>
        <b/>
        <sz val="10"/>
        <color rgb="FF000000"/>
        <rFont val="メイリオ"/>
        <charset val="134"/>
      </rPr>
      <t xml:space="preserve">ステップ3：
</t>
    </r>
    <r>
      <rPr>
        <sz val="10"/>
        <color rgb="FF000000"/>
        <rFont val="メイリオ"/>
        <charset val="134"/>
      </rPr>
      <t xml:space="preserve">Trả về HTTP 200, Response dạng JSON, bao gồm log của toàn bộ JA
</t>
    </r>
    <r>
      <rPr>
        <b/>
        <sz val="10"/>
        <color rgb="FF000000"/>
        <rFont val="メイリオ"/>
        <charset val="134"/>
      </rPr>
      <t xml:space="preserve">補足：
</t>
    </r>
    <r>
      <rPr>
        <sz val="10"/>
        <color rgb="FF000000"/>
        <rFont val="メイリオ"/>
        <charset val="134"/>
      </rPr>
      <t xml:space="preserve">・NICHINO_ADMIN có thể xem log của toàn bộ JA
</t>
    </r>
    <r>
      <rPr>
        <sz val="10"/>
        <color rgb="FF000000"/>
        <rFont val="メイリオ"/>
        <charset val="134"/>
      </rPr>
      <t>・DataScope không được áp dụng</t>
    </r>
  </si>
  <si>
    <t>N</t>
  </si>
  <si>
    <t>diem.kieuthi</t>
  </si>
  <si>
    <t>Hoa.nguyenhanh</t>
  </si>
  <si>
    <t>ACSMS-TC-030-002</t>
  </si>
  <si>
    <t>NICHINO_STAFF truy cập màn tham chiếu log — xem được log của toàn bộ JA</t>
  </si>
  <si>
    <t>・role: NICHINO_STAFF
・Sở hữu quyền 「log.view」
・Nhiều JA đều có data log</t>
  </si>
  <si>
    <r>
      <rPr>
        <b/>
        <sz val="10"/>
        <color rgb="FF000000"/>
        <rFont val="メイリオ"/>
        <charset val="134"/>
      </rPr>
      <t xml:space="preserve">ステップ1：
</t>
    </r>
    <r>
      <rPr>
        <sz val="10"/>
        <color rgb="FF000000"/>
        <rFont val="メイリオ"/>
        <charset val="134"/>
      </rPr>
      <t xml:space="preserve">Click link 「ログ参照」 trên sidebar
</t>
    </r>
    <r>
      <rPr>
        <b/>
        <sz val="10"/>
        <color rgb="FF000000"/>
        <rFont val="メイリオ"/>
        <charset val="134"/>
      </rPr>
      <t xml:space="preserve">ステップ2：
</t>
    </r>
    <r>
      <rPr>
        <sz val="10"/>
        <color rgb="FF000000"/>
        <rFont val="メイリオ"/>
        <charset val="134"/>
      </rPr>
      <t xml:space="preserve">Kiểm tra cột `ja_id` trong danh sách log
</t>
    </r>
    <r>
      <rPr>
        <b/>
        <sz val="10"/>
        <color rgb="FF000000"/>
        <rFont val="メイリオ"/>
        <charset val="134"/>
      </rPr>
      <t xml:space="preserve">ステップ3：
</t>
    </r>
    <r>
      <rPr>
        <sz val="10"/>
        <color rgb="FF000000"/>
        <rFont val="メイリオ"/>
        <charset val="134"/>
      </rPr>
      <t>Dùng DevTools gọi trực tiếp GET `/api/v1/log`</t>
    </r>
  </si>
  <si>
    <r>
      <rPr>
        <b/>
        <sz val="10"/>
        <color rgb="FF000000"/>
        <rFont val="メイリオ"/>
        <charset val="134"/>
      </rPr>
      <t xml:space="preserve">ステップ1：
</t>
    </r>
    <r>
      <rPr>
        <sz val="10"/>
        <color rgb="FF000000"/>
        <rFont val="メイリオ"/>
        <charset val="134"/>
      </rPr>
      <t xml:space="preserve">Màn `/log` được hiển thị, danh sách log hiển thị theo thứ tự mới nhất, 20 dòng/trang
</t>
    </r>
    <r>
      <rPr>
        <b/>
        <sz val="10"/>
        <color rgb="FF000000"/>
        <rFont val="メイリオ"/>
        <charset val="134"/>
      </rPr>
      <t xml:space="preserve">ステップ2：
</t>
    </r>
    <r>
      <rPr>
        <sz val="10"/>
        <color rgb="FF000000"/>
        <rFont val="メイリオ"/>
        <charset val="134"/>
      </rPr>
      <t xml:space="preserve">Hiển thị xen kẽ log của toàn bộ JA
</t>
    </r>
    <r>
      <rPr>
        <b/>
        <sz val="10"/>
        <color rgb="FF000000"/>
        <rFont val="メイリオ"/>
        <charset val="134"/>
      </rPr>
      <t xml:space="preserve">ステップ3：
</t>
    </r>
    <r>
      <rPr>
        <sz val="10"/>
        <color rgb="FF000000"/>
        <rFont val="メイリオ"/>
        <charset val="134"/>
      </rPr>
      <t xml:space="preserve">Trả về HTTP 200, bao gồm log của toàn bộ JA
</t>
    </r>
    <r>
      <rPr>
        <b/>
        <sz val="10"/>
        <color rgb="FF000000"/>
        <rFont val="メイリオ"/>
        <charset val="134"/>
      </rPr>
      <t xml:space="preserve">補足：
</t>
    </r>
    <r>
      <rPr>
        <sz val="10"/>
        <color rgb="FF000000"/>
        <rFont val="メイリオ"/>
        <charset val="134"/>
      </rPr>
      <t xml:space="preserve">・NICHINO_STAFF có thể xem log của toàn bộ JA
</t>
    </r>
    <r>
      <rPr>
        <sz val="10"/>
        <color rgb="FF000000"/>
        <rFont val="メイリオ"/>
        <charset val="134"/>
      </rPr>
      <t>・Scope tương đương với NICHINO_ADMIN</t>
    </r>
  </si>
  <si>
    <t>ACSMS-TC-030-003</t>
  </si>
  <si>
    <t>CHUOKAI truy cập màn tham chiếu log — chỉ xem được log của chuokai mình</t>
  </si>
  <si>
    <t>・role: CHUOKAI (thuộc chuokai-001, được xử lý như ja_id=1)
・Sở hữu quyền 「log.view」
・Có log tồn tại ở cả JA của chuokai mình (ja-001) và JA chuokai khác (ja-002)</t>
  </si>
  <si>
    <r>
      <rPr>
        <b/>
        <sz val="10"/>
        <color rgb="FF000000"/>
        <rFont val="メイリオ"/>
        <charset val="134"/>
      </rPr>
      <t xml:space="preserve">ステップ1：
</t>
    </r>
    <r>
      <rPr>
        <sz val="10"/>
        <color rgb="FF000000"/>
        <rFont val="メイリオ"/>
        <charset val="134"/>
      </rPr>
      <t xml:space="preserve">Màn `/log` được hiển thị
</t>
    </r>
    <r>
      <rPr>
        <b/>
        <sz val="10"/>
        <color rgb="FF000000"/>
        <rFont val="メイリオ"/>
        <charset val="134"/>
      </rPr>
      <t xml:space="preserve">ステップ2：
</t>
    </r>
    <r>
      <rPr>
        <sz val="10"/>
        <color rgb="FF000000"/>
        <rFont val="メイリオ"/>
        <charset val="134"/>
      </rPr>
      <t xml:space="preserve">Chỉ hiển thị log thuộc ja-001, không hiển thị log của ja-002
</t>
    </r>
    <r>
      <rPr>
        <b/>
        <sz val="10"/>
        <color rgb="FF000000"/>
        <rFont val="メイリオ"/>
        <charset val="134"/>
      </rPr>
      <t xml:space="preserve">ステップ3：
</t>
    </r>
    <r>
      <rPr>
        <sz val="10"/>
        <color rgb="FF000000"/>
        <rFont val="メイリオ"/>
        <charset val="134"/>
      </rPr>
      <t xml:space="preserve">Trả về HTTP 200, mảng `data` trong response chỉ chứa các record có `ja_id = 1`
</t>
    </r>
    <r>
      <rPr>
        <b/>
        <sz val="10"/>
        <color rgb="FF000000"/>
        <rFont val="メイリオ"/>
        <charset val="134"/>
      </rPr>
      <t xml:space="preserve">補足：
</t>
    </r>
    <r>
      <rPr>
        <sz val="10"/>
        <color rgb="FF000000"/>
        <rFont val="メイリオ"/>
        <charset val="134"/>
      </rPr>
      <t xml:space="preserve">・CHUOKAI chỉ tham chiếu được JA thuộc chuokai mình
</t>
    </r>
    <r>
      <rPr>
        <sz val="10"/>
        <color rgb="FF000000"/>
        <rFont val="メイリオ"/>
        <charset val="134"/>
      </rPr>
      <t>・DataScope (`l.ja_id = :user_ja_id`) được áp dụng tự động ở backend</t>
    </r>
  </si>
  <si>
    <t>ACSMS-TC-030-004</t>
  </si>
  <si>
    <t>JA_HONTEN truy cập màn tham chiếu log — chỉ xem được log của JA mình</t>
  </si>
  <si>
    <t>・role: JA_HONTEN (thuộc ja-001)
・Sở hữu quyền 「log.view」
・Có log tồn tại ở JA mình (ja-001) và JA khác (ja-002)
・Cũng có log ở chi nhánh quản lý (branch-001, branch-002) thuộc JA mình</t>
  </si>
  <si>
    <r>
      <rPr>
        <b/>
        <sz val="10"/>
        <color rgb="FF000000"/>
        <rFont val="メイリオ"/>
        <charset val="134"/>
      </rPr>
      <t xml:space="preserve">ステップ1：
</t>
    </r>
    <r>
      <rPr>
        <sz val="10"/>
        <color rgb="FF000000"/>
        <rFont val="メイリオ"/>
        <charset val="134"/>
      </rPr>
      <t xml:space="preserve">Click link 「ログ参照」 trên sidebar
</t>
    </r>
    <r>
      <rPr>
        <b/>
        <sz val="10"/>
        <color rgb="FF000000"/>
        <rFont val="メイリオ"/>
        <charset val="134"/>
      </rPr>
      <t xml:space="preserve">ステップ2：
</t>
    </r>
    <r>
      <rPr>
        <sz val="10"/>
        <color rgb="FF000000"/>
        <rFont val="メイリオ"/>
        <charset val="134"/>
      </rPr>
      <t xml:space="preserve">Kiểm tra cột `ja_id` trong danh sách log
</t>
    </r>
    <r>
      <rPr>
        <b/>
        <sz val="10"/>
        <color rgb="FF000000"/>
        <rFont val="メイリオ"/>
        <charset val="134"/>
      </rPr>
      <t xml:space="preserve">ステップ3：
</t>
    </r>
    <r>
      <rPr>
        <sz val="10"/>
        <color rgb="FF000000"/>
        <rFont val="メイリオ"/>
        <charset val="134"/>
      </rPr>
      <t>Thử lọc tìm kiếm với `account_id` thuộc JA khác (ja-002)</t>
    </r>
  </si>
  <si>
    <r>
      <rPr>
        <b/>
        <sz val="10"/>
        <color rgb="FF000000"/>
        <rFont val="メイリオ"/>
        <charset val="134"/>
      </rPr>
      <t xml:space="preserve">ステップ1：
</t>
    </r>
    <r>
      <rPr>
        <sz val="10"/>
        <color rgb="FF000000"/>
        <rFont val="メイリオ"/>
        <charset val="134"/>
      </rPr>
      <t xml:space="preserve">Màn `/log` được hiển thị
</t>
    </r>
    <r>
      <rPr>
        <b/>
        <sz val="10"/>
        <color rgb="FF000000"/>
        <rFont val="メイリオ"/>
        <charset val="134"/>
      </rPr>
      <t xml:space="preserve">ステップ2：
</t>
    </r>
    <r>
      <rPr>
        <sz val="10"/>
        <color rgb="FF000000"/>
        <rFont val="メイリオ"/>
        <charset val="134"/>
      </rPr>
      <t xml:space="preserve">Chỉ hiển thị log thuộc ja-001, log của các chi nhánh quản lý cấp dưới (branch-001, branch-002) cũng xem được
</t>
    </r>
    <r>
      <rPr>
        <b/>
        <sz val="10"/>
        <color rgb="FF000000"/>
        <rFont val="メイリオ"/>
        <charset val="134"/>
      </rPr>
      <t xml:space="preserve">ステップ3：
</t>
    </r>
    <r>
      <rPr>
        <sz val="10"/>
        <color rgb="FF000000"/>
        <rFont val="メイリオ"/>
        <charset val="134"/>
      </rPr>
      <t xml:space="preserve">Log của ja-002 không hiển thị, kết quả 0 dòng và hiển thị `検索結果はありません。`
</t>
    </r>
    <r>
      <rPr>
        <b/>
        <sz val="10"/>
        <color rgb="FF000000"/>
        <rFont val="メイリオ"/>
        <charset val="134"/>
      </rPr>
      <t xml:space="preserve">補足：
</t>
    </r>
    <r>
      <rPr>
        <sz val="10"/>
        <color rgb="FF000000"/>
        <rFont val="メイリオ"/>
        <charset val="134"/>
      </rPr>
      <t xml:space="preserve">・JA_HONTEN xem được log của JA mình và các chi nhánh quản lý cấp dưới
</t>
    </r>
    <r>
      <rPr>
        <sz val="10"/>
        <color rgb="FF000000"/>
        <rFont val="メイリオ"/>
        <charset val="134"/>
      </rPr>
      <t>・DataScope (`l.ja_id = :user_ja_id`) được áp dụng</t>
    </r>
  </si>
  <si>
    <t>ACSMS-TC-030-005</t>
  </si>
  <si>
    <t>JA_KANRI_SHITEN truy cập màn tham chiếu log — chỉ xem được log của chi nhánh quản lý mình</t>
  </si>
  <si>
    <t>・role: JA_KANRI_SHITEN (thuộc ja-001 / branch-001)
・Có account thuộc chi nhánh quản lý mình (branch-001) và account thuộc chi nhánh quản lý khác (branch-002)</t>
  </si>
  <si>
    <r>
      <rPr>
        <b/>
        <sz val="10"/>
        <color rgb="FF000000"/>
        <rFont val="メイリオ"/>
        <charset val="134"/>
      </rPr>
      <t xml:space="preserve">ステップ1：
</t>
    </r>
    <r>
      <rPr>
        <sz val="10"/>
        <color rgb="FF000000"/>
        <rFont val="メイリオ"/>
        <charset val="134"/>
      </rPr>
      <t xml:space="preserve">Click link 「ログ参照」 trên sidebar
</t>
    </r>
    <r>
      <rPr>
        <b/>
        <sz val="10"/>
        <color rgb="FF000000"/>
        <rFont val="メイリオ"/>
        <charset val="134"/>
      </rPr>
      <t xml:space="preserve">ステップ2：
</t>
    </r>
    <r>
      <rPr>
        <sz val="10"/>
        <color rgb="FF000000"/>
        <rFont val="メイリオ"/>
        <charset val="134"/>
      </rPr>
      <t xml:space="preserve">Kiểm tra account trong danh sách log
</t>
    </r>
    <r>
      <rPr>
        <b/>
        <sz val="10"/>
        <color rgb="FF000000"/>
        <rFont val="メイリオ"/>
        <charset val="134"/>
      </rPr>
      <t xml:space="preserve">ステップ3：
</t>
    </r>
    <r>
      <rPr>
        <sz val="10"/>
        <color rgb="FF000000"/>
        <rFont val="メイリオ"/>
        <charset val="134"/>
      </rPr>
      <t>Thử lọc tìm kiếm với account ID của chi nhánh quản lý khác (branch-002)</t>
    </r>
  </si>
  <si>
    <r>
      <rPr>
        <b/>
        <sz val="10"/>
        <color rgb="FF000000"/>
        <rFont val="メイリオ"/>
        <charset val="134"/>
      </rPr>
      <t xml:space="preserve">ステップ1：
</t>
    </r>
    <r>
      <rPr>
        <sz val="10"/>
        <color rgb="FF000000"/>
        <rFont val="メイリオ"/>
        <charset val="134"/>
      </rPr>
      <t xml:space="preserve">Màn `/log` được hiển thị
</t>
    </r>
    <r>
      <rPr>
        <b/>
        <sz val="10"/>
        <color rgb="FF000000"/>
        <rFont val="メイリオ"/>
        <charset val="134"/>
      </rPr>
      <t xml:space="preserve">ステップ2：
</t>
    </r>
    <r>
      <rPr>
        <sz val="10"/>
        <color rgb="FF000000"/>
        <rFont val="メイリオ"/>
        <charset val="134"/>
      </rPr>
      <t xml:space="preserve">Chỉ hiển thị log của các account thuộc branch-001, log của branch-002 không hiển thị
</t>
    </r>
    <r>
      <rPr>
        <b/>
        <sz val="10"/>
        <color rgb="FF000000"/>
        <rFont val="メイリオ"/>
        <charset val="134"/>
      </rPr>
      <t xml:space="preserve">ステップ3：
</t>
    </r>
    <r>
      <rPr>
        <sz val="10"/>
        <color rgb="FF000000"/>
        <rFont val="メイリオ"/>
        <charset val="134"/>
      </rPr>
      <t xml:space="preserve">Log của branch-002 không hiển thị, kết quả 0 dòng và hiển thị `検索結果はありません。`
</t>
    </r>
    <r>
      <rPr>
        <b/>
        <sz val="10"/>
        <color rgb="FF000000"/>
        <rFont val="メイリオ"/>
        <charset val="134"/>
      </rPr>
      <t xml:space="preserve">補足：
</t>
    </r>
    <r>
      <rPr>
        <sz val="10"/>
        <color rgb="FF000000"/>
        <rFont val="メイリオ"/>
        <charset val="134"/>
      </rPr>
      <t xml:space="preserve">・JA_KANRI_SHITEN chỉ xem được log của các account thuộc chi nhánh quản lý mình
</t>
    </r>
    <r>
      <rPr>
        <sz val="10"/>
        <color rgb="FF000000"/>
        <rFont val="メイリオ"/>
        <charset val="134"/>
      </rPr>
      <t>・DataScope (`a.kanri_shiten_id = :user_kanri_shiten_id`) được áp dụng</t>
    </r>
  </si>
  <si>
    <t>(なし)
---</t>
  </si>
  <si>
    <t>Hiển thị màn hình &amp; Responsive (Layout &amp; Responsive)</t>
  </si>
  <si>
    <t>ACSMS-TC-030-006</t>
  </si>
  <si>
    <t>Layout tổng thể khớp với spec thiết kế</t>
  </si>
  <si>
    <t>・role: NICHINO_ADMIN
・Browser: Chrome (latest), độ phân giải 1920×1080</t>
  </si>
  <si>
    <r>
      <rPr>
        <b/>
        <sz val="10"/>
        <color rgb="FF000000"/>
        <rFont val="メイリオ"/>
        <charset val="134"/>
      </rPr>
      <t xml:space="preserve">ステップ1：
</t>
    </r>
    <r>
      <rPr>
        <sz val="10"/>
        <color rgb="FF000000"/>
        <rFont val="メイリオ"/>
        <charset val="134"/>
      </rPr>
      <t xml:space="preserve">Click link 「ログ参照」 trên sidebar
</t>
    </r>
    <r>
      <rPr>
        <b/>
        <sz val="10"/>
        <color rgb="FF000000"/>
        <rFont val="メイリオ"/>
        <charset val="134"/>
      </rPr>
      <t xml:space="preserve">ステップ2：
</t>
    </r>
    <r>
      <rPr>
        <sz val="10"/>
        <color rgb="FF000000"/>
        <rFont val="メイリオ"/>
        <charset val="134"/>
      </rPr>
      <t xml:space="preserve">So sánh màn hình với spec thiết kế (screen-design.md / index.html) đặt cạnh nhau
</t>
    </r>
    <r>
      <rPr>
        <b/>
        <sz val="10"/>
        <color rgb="FF000000"/>
        <rFont val="メイリオ"/>
        <charset val="134"/>
      </rPr>
      <t xml:space="preserve">ステップ3：
</t>
    </r>
    <r>
      <rPr>
        <sz val="10"/>
        <color rgb="FF000000"/>
        <rFont val="メイリオ"/>
        <charset val="134"/>
      </rPr>
      <t>Kiểm tra bố cục các phần tử trên màn (vùng điều kiện tìm kiếm → vùng danh sách log → phân trang)</t>
    </r>
  </si>
  <si>
    <r>
      <rPr>
        <b/>
        <sz val="10"/>
        <color rgb="FF000000"/>
        <rFont val="メイリオ"/>
        <charset val="134"/>
      </rPr>
      <t xml:space="preserve">ステップ1：
</t>
    </r>
    <r>
      <rPr>
        <sz val="10"/>
        <color rgb="FF000000"/>
        <rFont val="メイリオ"/>
        <charset val="134"/>
      </rPr>
      <t xml:space="preserve">Màn `/log` được hiển thị
</t>
    </r>
    <r>
      <rPr>
        <b/>
        <sz val="10"/>
        <color rgb="FF000000"/>
        <rFont val="メイリオ"/>
        <charset val="134"/>
      </rPr>
      <t xml:space="preserve">ステップ2：
</t>
    </r>
    <r>
      <rPr>
        <sz val="10"/>
        <color rgb="FF000000"/>
        <rFont val="メイリオ"/>
        <charset val="134"/>
      </rPr>
      <t xml:space="preserve">Màu nền, font, font-size, padding, màu button, style table — tất cả khớp với spec thiết kế
</t>
    </r>
    <r>
      <rPr>
        <b/>
        <sz val="10"/>
        <color rgb="FF000000"/>
        <rFont val="メイリオ"/>
        <charset val="134"/>
      </rPr>
      <t xml:space="preserve">ステップ3：
</t>
    </r>
    <r>
      <rPr>
        <sz val="10"/>
        <color rgb="FF000000"/>
        <rFont val="メイリオ"/>
        <charset val="134"/>
      </rPr>
      <t xml:space="preserve">Từ trên xuống dưới được bố trí theo thứ tự: 「Vùng điều kiện tìm kiếm」「Button xuất CSV + table danh sách log」「Phân trang」
</t>
    </r>
    <r>
      <rPr>
        <b/>
        <sz val="10"/>
        <color rgb="FF000000"/>
        <rFont val="メイリオ"/>
        <charset val="134"/>
      </rPr>
      <t xml:space="preserve">補足：
</t>
    </r>
    <r>
      <rPr>
        <sz val="10"/>
        <color rgb="FF000000"/>
        <rFont val="メイリオ"/>
        <charset val="134"/>
      </rPr>
      <t xml:space="preserve">・design tokens (`design-tokens.ts`) được áp dụng (không có màu hardcode)
</t>
    </r>
    <r>
      <rPr>
        <sz val="10"/>
        <color rgb="FF000000"/>
        <rFont val="メイリオ"/>
        <charset val="134"/>
      </rPr>
      <t>・Số dòng log ban đầu hiển thị (tối đa 20 dòng) nằm gọn trong màn</t>
    </r>
  </si>
  <si>
    <t>ACSMS-TC-030-007</t>
  </si>
  <si>
    <t>Hiển thị các phần tử của form tìm kiếm</t>
  </si>
  <si>
    <t>・role: NICHINO_ADMIN
・Sau khi load màn hình</t>
  </si>
  <si>
    <r>
      <rPr>
        <b/>
        <sz val="10"/>
        <color rgb="FF000000"/>
        <rFont val="メイリオ"/>
        <charset val="134"/>
      </rPr>
      <t xml:space="preserve">ステップ1：
</t>
    </r>
    <r>
      <rPr>
        <sz val="10"/>
        <color rgb="FF000000"/>
        <rFont val="メイリオ"/>
        <charset val="134"/>
      </rPr>
      <t xml:space="preserve">Kiểm tra ô nhập khoảng thời gian (ngày giờ bắt đầu)
</t>
    </r>
    <r>
      <rPr>
        <b/>
        <sz val="10"/>
        <color rgb="FF000000"/>
        <rFont val="メイリオ"/>
        <charset val="134"/>
      </rPr>
      <t xml:space="preserve">ステップ2：
</t>
    </r>
    <r>
      <rPr>
        <sz val="10"/>
        <color rgb="FF000000"/>
        <rFont val="メイリオ"/>
        <charset val="134"/>
      </rPr>
      <t xml:space="preserve">Kiểm tra ô nhập khoảng thời gian (ngày giờ kết thúc)
</t>
    </r>
    <r>
      <rPr>
        <b/>
        <sz val="10"/>
        <color rgb="FF000000"/>
        <rFont val="メイリオ"/>
        <charset val="134"/>
      </rPr>
      <t xml:space="preserve">ステップ3：
</t>
    </r>
    <r>
      <rPr>
        <sz val="10"/>
        <color rgb="FF000000"/>
        <rFont val="メイリオ"/>
        <charset val="134"/>
      </rPr>
      <t xml:space="preserve">Mở dropdown loại log
</t>
    </r>
    <r>
      <rPr>
        <b/>
        <sz val="10"/>
        <color rgb="FF000000"/>
        <rFont val="メイリオ"/>
        <charset val="134"/>
      </rPr>
      <t xml:space="preserve">ステップ4：
</t>
    </r>
    <r>
      <rPr>
        <sz val="10"/>
        <color rgb="FF000000"/>
        <rFont val="メイリオ"/>
        <charset val="134"/>
      </rPr>
      <t xml:space="preserve">Mở select box tên user
</t>
    </r>
    <r>
      <rPr>
        <b/>
        <sz val="10"/>
        <color rgb="FF000000"/>
        <rFont val="メイリオ"/>
        <charset val="134"/>
      </rPr>
      <t xml:space="preserve">ステップ5：
</t>
    </r>
    <r>
      <rPr>
        <sz val="10"/>
        <color rgb="FF000000"/>
        <rFont val="メイリオ"/>
        <charset val="134"/>
      </rPr>
      <t>Kiểm tra bố cục button 「検索」「検索クリア」</t>
    </r>
  </si>
  <si>
    <r>
      <rPr>
        <b/>
        <sz val="10"/>
        <color rgb="FF000000"/>
        <rFont val="メイリオ"/>
        <charset val="134"/>
      </rPr>
      <t xml:space="preserve">ステップ1：
</t>
    </r>
    <r>
      <rPr>
        <sz val="10"/>
        <color rgb="FF000000"/>
        <rFont val="メイリオ"/>
        <charset val="134"/>
      </rPr>
      <t xml:space="preserve">Hiển thị ô nhập dạng lịch, placeholder tương đương「YYYY/MM/DD HH:mm:ss」, giá trị ban đầu rỗng
</t>
    </r>
    <r>
      <rPr>
        <b/>
        <sz val="10"/>
        <color rgb="FF000000"/>
        <rFont val="メイリオ"/>
        <charset val="134"/>
      </rPr>
      <t xml:space="preserve">ステップ2：
</t>
    </r>
    <r>
      <rPr>
        <sz val="10"/>
        <color rgb="FF000000"/>
        <rFont val="メイリオ"/>
        <charset val="134"/>
      </rPr>
      <t xml:space="preserve">Hiển thị ô nhập dạng lịch, placeholder tương đương「YYYY/MM/DD HH:mm:ss」, giá trị ban đầu rỗng
</t>
    </r>
    <r>
      <rPr>
        <b/>
        <sz val="10"/>
        <color rgb="FF000000"/>
        <rFont val="メイリオ"/>
        <charset val="134"/>
      </rPr>
      <t xml:space="preserve">ステップ3：
</t>
    </r>
    <r>
      <rPr>
        <sz val="10"/>
        <color rgb="FF000000"/>
        <rFont val="メイリオ"/>
        <charset val="134"/>
      </rPr>
      <t xml:space="preserve">Dropdown hiển thị 5 item「すべて／ユーザー操作ログ／システムログ／エラーログ／ファイルアップロードログ」, giá trị ban đầu là「すべて」
</t>
    </r>
    <r>
      <rPr>
        <b/>
        <sz val="10"/>
        <color rgb="FF000000"/>
        <rFont val="メイリオ"/>
        <charset val="134"/>
      </rPr>
      <t xml:space="preserve">ステップ4：
</t>
    </r>
    <r>
      <rPr>
        <sz val="10"/>
        <color rgb="FF000000"/>
        <rFont val="メイリオ"/>
        <charset val="134"/>
      </rPr>
      <t xml:space="preserve">Select box hiển thị danh sách account (đã áp dụng DataScope), giá trị ban đầu rỗng
</t>
    </r>
    <r>
      <rPr>
        <b/>
        <sz val="10"/>
        <color rgb="FF000000"/>
        <rFont val="メイリオ"/>
        <charset val="134"/>
      </rPr>
      <t xml:space="preserve">ステップ5：
</t>
    </r>
    <r>
      <rPr>
        <sz val="10"/>
        <color rgb="FF000000"/>
        <rFont val="メイリオ"/>
        <charset val="134"/>
      </rPr>
      <t xml:space="preserve">Button「検索」hiển thị dạng button chính (màu xanh), button「検索クリア」hiển thị dạng button phụ
</t>
    </r>
    <r>
      <rPr>
        <b/>
        <sz val="10"/>
        <color rgb="FF000000"/>
        <rFont val="メイリオ"/>
        <charset val="134"/>
      </rPr>
      <t xml:space="preserve">補足：
</t>
    </r>
    <r>
      <rPr>
        <sz val="10"/>
        <color rgb="FF000000"/>
        <rFont val="メイリオ"/>
        <charset val="134"/>
      </rPr>
      <t xml:space="preserve">・Tất cả các phần tử tuân thủ design tokens
</t>
    </r>
    <r>
      <rPr>
        <sz val="10"/>
        <color rgb="FF000000"/>
        <rFont val="メイリオ"/>
        <charset val="134"/>
      </rPr>
      <t>・Select box tên user lấy dữ liệu từ API dùng chung `/api/v1/account/dropdown`</t>
    </r>
  </si>
  <si>
    <t>ACSMS-TC-030-008</t>
  </si>
  <si>
    <t>Hiển thị table danh sách log (cấu trúc cột, badge kết quả)</t>
  </si>
  <si>
    <t>・role: NICHINO_ADMIN
・Trong `t_log` có record của từng result_status (1:thành công, 2:thất bại, 3:cảnh báo)</t>
  </si>
  <si>
    <r>
      <rPr>
        <b/>
        <sz val="10"/>
        <color rgb="FF000000"/>
        <rFont val="メイリオ"/>
        <charset val="134"/>
      </rPr>
      <t xml:space="preserve">ステップ1：
</t>
    </r>
    <r>
      <rPr>
        <sz val="10"/>
        <color rgb="FF000000"/>
        <rFont val="メイリオ"/>
        <charset val="134"/>
      </rPr>
      <t xml:space="preserve">Kiểm tra thứ tự cột của table danh sách log
</t>
    </r>
    <r>
      <rPr>
        <b/>
        <sz val="10"/>
        <color rgb="FF000000"/>
        <rFont val="メイリオ"/>
        <charset val="134"/>
      </rPr>
      <t xml:space="preserve">ステップ2：
</t>
    </r>
    <r>
      <rPr>
        <sz val="10"/>
        <color rgb="FF000000"/>
        <rFont val="メイリオ"/>
        <charset val="134"/>
      </rPr>
      <t xml:space="preserve">Kiểm tra hiển thị badge của cột「結果」
</t>
    </r>
    <r>
      <rPr>
        <b/>
        <sz val="10"/>
        <color rgb="FF000000"/>
        <rFont val="メイリオ"/>
        <charset val="134"/>
      </rPr>
      <t xml:space="preserve">ステップ3：
</t>
    </r>
    <r>
      <rPr>
        <sz val="10"/>
        <color rgb="FF000000"/>
        <rFont val="メイリオ"/>
        <charset val="134"/>
      </rPr>
      <t xml:space="preserve">Kiểm tra format hiển thị của cột「操作」
</t>
    </r>
    <r>
      <rPr>
        <b/>
        <sz val="10"/>
        <color rgb="FF000000"/>
        <rFont val="メイリオ"/>
        <charset val="134"/>
      </rPr>
      <t xml:space="preserve">ステップ4：
</t>
    </r>
    <r>
      <rPr>
        <sz val="10"/>
        <color rgb="FF000000"/>
        <rFont val="メイリオ"/>
        <charset val="134"/>
      </rPr>
      <t>Kiểm tra nội dung hiển thị của cột「詳細」</t>
    </r>
  </si>
  <si>
    <r>
      <rPr>
        <b/>
        <sz val="10"/>
        <color rgb="FF000000"/>
        <rFont val="メイリオ"/>
        <charset val="134"/>
      </rPr>
      <t xml:space="preserve">ステップ1：
</t>
    </r>
    <r>
      <rPr>
        <sz val="10"/>
        <color rgb="FF000000"/>
        <rFont val="メイリオ"/>
        <charset val="134"/>
      </rPr>
      <t xml:space="preserve">Các cột hiển thị theo thứ tự từ trái sang: 「日時 / ユーザーID / 操作 / 結果 / 詳細」
</t>
    </r>
    <r>
      <rPr>
        <b/>
        <sz val="10"/>
        <color rgb="FF000000"/>
        <rFont val="メイリオ"/>
        <charset val="134"/>
      </rPr>
      <t xml:space="preserve">ステップ2：
</t>
    </r>
    <r>
      <rPr>
        <sz val="10"/>
        <color rgb="FF000000"/>
        <rFont val="メイリオ"/>
        <charset val="134"/>
      </rPr>
      <t xml:space="preserve">Record có result_status=1 hiển thị badge màu xanh lá「成功」, result_status=2 hiển thị badge màu đỏ「失敗」, result_status=3 hiển thị badge màu vàng「警告」
</t>
    </r>
    <r>
      <rPr>
        <b/>
        <sz val="10"/>
        <color rgb="FF000000"/>
        <rFont val="メイリオ"/>
        <charset val="134"/>
      </rPr>
      <t xml:space="preserve">ステップ3：
</t>
    </r>
    <r>
      <rPr>
        <sz val="10"/>
        <color rgb="FF000000"/>
        <rFont val="メイリオ"/>
        <charset val="134"/>
      </rPr>
      <t xml:space="preserve">Hiển thị nối chuỗi theo format「{gamen_name} {operation}」 (ví dụ: 「単価マスタ登録画面 (ACSMS-SCR-003) CREATE」)
</t>
    </r>
    <r>
      <rPr>
        <b/>
        <sz val="10"/>
        <color rgb="FF000000"/>
        <rFont val="メイリオ"/>
        <charset val="134"/>
      </rPr>
      <t xml:space="preserve">ステップ4：
</t>
    </r>
    <r>
      <rPr>
        <sz val="10"/>
        <color rgb="FF000000"/>
        <rFont val="メイリオ"/>
        <charset val="134"/>
      </rPr>
      <t xml:space="preserve">JSON của `t_log.after_value` được map trực tiếp và hiển thị
</t>
    </r>
    <r>
      <rPr>
        <b/>
        <sz val="10"/>
        <color rgb="FF000000"/>
        <rFont val="メイリオ"/>
        <charset val="134"/>
      </rPr>
      <t xml:space="preserve">補足：
</t>
    </r>
    <r>
      <rPr>
        <sz val="10"/>
        <color rgb="FF000000"/>
        <rFont val="メイリオ"/>
        <charset val="134"/>
      </rPr>
      <t xml:space="preserve">・Hiển thị theo thứ tự giảm dần từ log mới nhất
</t>
    </r>
    <r>
      <rPr>
        <sz val="10"/>
        <color rgb="FF000000"/>
        <rFont val="メイリオ"/>
        <charset val="134"/>
      </rPr>
      <t>・User ID hiển thị bằng font monospace</t>
    </r>
  </si>
  <si>
    <t>Còn phần type loại 2,3 chưa test
User ID hiển thị font Noto san</t>
  </si>
  <si>
    <t>ACSMS-TC-030-009</t>
  </si>
  <si>
    <t>Hiển thị phân trang</t>
  </si>
  <si>
    <t>・role: NICHINO_ADMIN
・Trong `t_log` có hơn 250 record</t>
  </si>
  <si>
    <r>
      <rPr>
        <b/>
        <sz val="10"/>
        <color rgb="FF000000"/>
        <rFont val="メイリオ"/>
        <charset val="134"/>
      </rPr>
      <t xml:space="preserve">ステップ1：
</t>
    </r>
    <r>
      <rPr>
        <sz val="10"/>
        <color rgb="FF000000"/>
        <rFont val="メイリオ"/>
        <charset val="134"/>
      </rPr>
      <t xml:space="preserve">Kiểm tra control phân trang ở phía dưới màn danh sách log
</t>
    </r>
    <r>
      <rPr>
        <b/>
        <sz val="10"/>
        <color rgb="FF000000"/>
        <rFont val="メイリオ"/>
        <charset val="134"/>
      </rPr>
      <t xml:space="preserve">ステップ2：
</t>
    </r>
    <r>
      <rPr>
        <sz val="10"/>
        <color rgb="FF000000"/>
        <rFont val="メイリオ"/>
        <charset val="134"/>
      </rPr>
      <t xml:space="preserve">Kiểm tra hiển thị tổng số record và tổng số trang
</t>
    </r>
    <r>
      <rPr>
        <b/>
        <sz val="10"/>
        <color rgb="FF000000"/>
        <rFont val="メイリオ"/>
        <charset val="134"/>
      </rPr>
      <t xml:space="preserve">ステップ3：
</t>
    </r>
    <r>
      <rPr>
        <sz val="10"/>
        <color rgb="FF000000"/>
        <rFont val="メイリオ"/>
        <charset val="134"/>
      </rPr>
      <t>Click số trang「2」</t>
    </r>
  </si>
  <si>
    <r>
      <rPr>
        <b/>
        <sz val="10"/>
        <color rgb="FF000000"/>
        <rFont val="メイリオ"/>
        <charset val="134"/>
      </rPr>
      <t xml:space="preserve">ステップ1：
</t>
    </r>
    <r>
      <rPr>
        <sz val="10"/>
        <color rgb="FF000000"/>
        <rFont val="メイリオ"/>
        <charset val="134"/>
      </rPr>
      <t xml:space="preserve">Hiển thị các control「前へ」「次へ」「ページ番号」, mặc định là trang 1 với 20 dòng/trang
</t>
    </r>
    <r>
      <rPr>
        <b/>
        <sz val="10"/>
        <color rgb="FF000000"/>
        <rFont val="メイリオ"/>
        <charset val="134"/>
      </rPr>
      <t xml:space="preserve">ステップ2：
</t>
    </r>
    <r>
      <rPr>
        <sz val="10"/>
        <color rgb="FF000000"/>
        <rFont val="メイリオ"/>
        <charset val="134"/>
      </rPr>
      <t xml:space="preserve">Hiển thị tương đương「全250件 / 13ページ中 1ページ目」 (số thực tế tùy thuộc vào số dòng thực)
</t>
    </r>
    <r>
      <rPr>
        <b/>
        <sz val="10"/>
        <color rgb="FF000000"/>
        <rFont val="メイリオ"/>
        <charset val="134"/>
      </rPr>
      <t xml:space="preserve">ステップ3：
</t>
    </r>
    <r>
      <rPr>
        <sz val="10"/>
        <color rgb="FF000000"/>
        <rFont val="メイリオ"/>
        <charset val="134"/>
      </rPr>
      <t xml:space="preserve">Data của trang 2 được hiển thị, query parameter của URL được cập nhật thành `page=2`
</t>
    </r>
    <r>
      <rPr>
        <b/>
        <sz val="10"/>
        <color rgb="FF000000"/>
        <rFont val="メイリオ"/>
        <charset val="134"/>
      </rPr>
      <t xml:space="preserve">補足：
</t>
    </r>
    <r>
      <rPr>
        <sz val="10"/>
        <color rgb="FF000000"/>
        <rFont val="メイリオ"/>
        <charset val="134"/>
      </rPr>
      <t xml:space="preserve">・Cố định 20 dòng/trang
</t>
    </r>
    <r>
      <rPr>
        <sz val="10"/>
        <color rgb="FF000000"/>
        <rFont val="メイリオ"/>
        <charset val="134"/>
      </rPr>
      <t>・Khi số dòng dữ liệu ≤ 20, phân trang ẩn hoặc control bị disable</t>
    </r>
  </si>
  <si>
    <t>Khi có dưới 20 records vẫn hiển thị phân trang, chỉ khi không có dữ liệu mới không hiển thị phân trang</t>
  </si>
  <si>
    <t>ACSMS-TC-030-010</t>
  </si>
  <si>
    <t>Hoạt động responsive — PC / Tablet / Mobile</t>
  </si>
  <si>
    <t>・role: NICHINO_ADMIN
・Đang hiển thị danh sách log</t>
  </si>
  <si>
    <r>
      <rPr>
        <b/>
        <sz val="10"/>
        <color rgb="FF000000"/>
        <rFont val="メイリオ"/>
        <charset val="134"/>
      </rPr>
      <t xml:space="preserve">ステップ1：
</t>
    </r>
    <r>
      <rPr>
        <sz val="10"/>
        <color rgb="FF000000"/>
        <rFont val="メイリオ"/>
        <charset val="134"/>
      </rPr>
      <t xml:space="preserve">Đặt kích thước window 1920×1080 (PC)
</t>
    </r>
    <r>
      <rPr>
        <b/>
        <sz val="10"/>
        <color rgb="FF000000"/>
        <rFont val="メイリオ"/>
        <charset val="134"/>
      </rPr>
      <t xml:space="preserve">ステップ2：
</t>
    </r>
    <r>
      <rPr>
        <sz val="10"/>
        <color rgb="FF000000"/>
        <rFont val="メイリオ"/>
        <charset val="134"/>
      </rPr>
      <t xml:space="preserve">Đổi sang 768×1024 (tablet)
</t>
    </r>
    <r>
      <rPr>
        <b/>
        <sz val="10"/>
        <color rgb="FF000000"/>
        <rFont val="メイリオ"/>
        <charset val="134"/>
      </rPr>
      <t xml:space="preserve">ステップ3：
</t>
    </r>
    <r>
      <rPr>
        <sz val="10"/>
        <color rgb="FF000000"/>
        <rFont val="メイリオ"/>
        <charset val="134"/>
      </rPr>
      <t>Đổi sang 375×667 (mobile)</t>
    </r>
  </si>
  <si>
    <r>
      <rPr>
        <b/>
        <sz val="10"/>
        <color rgb="FF000000"/>
        <rFont val="メイリオ"/>
        <charset val="134"/>
      </rPr>
      <t xml:space="preserve">ステップ1：
</t>
    </r>
    <r>
      <rPr>
        <sz val="10"/>
        <color rgb="FF000000"/>
        <rFont val="メイリオ"/>
        <charset val="134"/>
      </rPr>
      <t xml:space="preserve">Sidebar cố định, 4 mục điều kiện tìm kiếm hiển thị ngang hàng, table danh sách log hiển thị full chiều rộng
</t>
    </r>
    <r>
      <rPr>
        <b/>
        <sz val="10"/>
        <color rgb="FF000000"/>
        <rFont val="メイリオ"/>
        <charset val="134"/>
      </rPr>
      <t xml:space="preserve">ステップ2：
</t>
    </r>
    <r>
      <rPr>
        <sz val="10"/>
        <color rgb="FF000000"/>
        <rFont val="メイリオ"/>
        <charset val="134"/>
      </rPr>
      <t xml:space="preserve">Sidebar gập lại, điều kiện tìm kiếm hiển thị 2 cột, table có thể scroll ngang
</t>
    </r>
    <r>
      <rPr>
        <b/>
        <sz val="10"/>
        <color rgb="FF000000"/>
        <rFont val="メイリオ"/>
        <charset val="134"/>
      </rPr>
      <t xml:space="preserve">ステップ3：
</t>
    </r>
    <r>
      <rPr>
        <sz val="10"/>
        <color rgb="FF000000"/>
        <rFont val="メイリオ"/>
        <charset val="134"/>
      </rPr>
      <t xml:space="preserve">Sidebar overlay, điều kiện tìm kiếm hiển thị dọc, table có thể scroll ngang, không vỡ layout ngoài việc scroll ngang
</t>
    </r>
    <r>
      <rPr>
        <b/>
        <sz val="10"/>
        <color rgb="FF000000"/>
        <rFont val="メイリオ"/>
        <charset val="134"/>
      </rPr>
      <t xml:space="preserve">補足：
</t>
    </r>
    <r>
      <rPr>
        <sz val="10"/>
        <color rgb="FF000000"/>
        <rFont val="メイリオ"/>
        <charset val="134"/>
      </rPr>
      <t xml:space="preserve">・Cả 3 breakpoint đều không vỡ layout
</t>
    </r>
    <r>
      <rPr>
        <sz val="10"/>
        <color rgb="FF000000"/>
        <rFont val="メイリオ"/>
        <charset val="134"/>
      </rPr>
      <t>・Toàn bộ phần tử đều thao tác được</t>
    </r>
  </si>
  <si>
    <t>ACSMS-TC-030-011</t>
  </si>
  <si>
    <t>Thứ tự Tab và thao tác bàn phím</t>
  </si>
  <si>
    <r>
      <rPr>
        <b/>
        <sz val="10"/>
        <color rgb="FF000000"/>
        <rFont val="メイリオ"/>
        <charset val="134"/>
      </rPr>
      <t xml:space="preserve">ステップ1：
</t>
    </r>
    <r>
      <rPr>
        <sz val="10"/>
        <color rgb="FF000000"/>
        <rFont val="メイリオ"/>
        <charset val="134"/>
      </rPr>
      <t xml:space="preserve">Focus vào ô nhập khoảng thời gian (ngày giờ bắt đầu), nhấn liên tục phím Tab
</t>
    </r>
    <r>
      <rPr>
        <b/>
        <sz val="10"/>
        <color rgb="FF000000"/>
        <rFont val="メイリオ"/>
        <charset val="134"/>
      </rPr>
      <t xml:space="preserve">ステップ2：
</t>
    </r>
    <r>
      <rPr>
        <sz val="10"/>
        <color rgb="FF000000"/>
        <rFont val="メイリオ"/>
        <charset val="134"/>
      </rPr>
      <t xml:space="preserve">Nhấn phím Space hoặc Enter trên dropdown loại log
</t>
    </r>
    <r>
      <rPr>
        <b/>
        <sz val="10"/>
        <color rgb="FF000000"/>
        <rFont val="メイリオ"/>
        <charset val="134"/>
      </rPr>
      <t xml:space="preserve">ステップ3：
</t>
    </r>
    <r>
      <rPr>
        <sz val="10"/>
        <color rgb="FF000000"/>
        <rFont val="メイリオ"/>
        <charset val="134"/>
      </rPr>
      <t>Chuyển focus sang button「検索」, nhấn phím Enter</t>
    </r>
  </si>
  <si>
    <r>
      <rPr>
        <b/>
        <sz val="10"/>
        <color rgb="FF000000"/>
        <rFont val="メイリオ"/>
        <charset val="134"/>
      </rPr>
      <t xml:space="preserve">ステップ1：
</t>
    </r>
    <r>
      <rPr>
        <sz val="10"/>
        <color rgb="FF000000"/>
        <rFont val="メイリオ"/>
        <charset val="134"/>
      </rPr>
      <t xml:space="preserve">Thứ tự Tab chạy theo「期間（開始）→ 期間（終了）→ ログ種別 → ユーザー名 → 検索 → 検索クリア → CSV出力 → ページネーション」
</t>
    </r>
    <r>
      <rPr>
        <b/>
        <sz val="10"/>
        <color rgb="FF000000"/>
        <rFont val="メイリオ"/>
        <charset val="134"/>
      </rPr>
      <t xml:space="preserve">ステップ2：
</t>
    </r>
    <r>
      <rPr>
        <sz val="10"/>
        <color rgb="FF000000"/>
        <rFont val="メイリオ"/>
        <charset val="134"/>
      </rPr>
      <t xml:space="preserve">Dropdown mở ra, di chuyển lựa chọn bằng phím mũi tên, xác nhận bằng Enter
</t>
    </r>
    <r>
      <rPr>
        <b/>
        <sz val="10"/>
        <color rgb="FF000000"/>
        <rFont val="メイリオ"/>
        <charset val="134"/>
      </rPr>
      <t xml:space="preserve">ステップ3：
</t>
    </r>
    <r>
      <rPr>
        <sz val="10"/>
        <color rgb="FF000000"/>
        <rFont val="メイリオ"/>
        <charset val="134"/>
      </rPr>
      <t xml:space="preserve">Tìm kiếm được thực hiện (gọi GET `/api/v1/log`)
</t>
    </r>
    <r>
      <rPr>
        <b/>
        <sz val="10"/>
        <color rgb="FF000000"/>
        <rFont val="メイリオ"/>
        <charset val="134"/>
      </rPr>
      <t xml:space="preserve">補足：
</t>
    </r>
    <r>
      <rPr>
        <sz val="10"/>
        <color rgb="FF000000"/>
        <rFont val="メイリオ"/>
        <charset val="134"/>
      </rPr>
      <t xml:space="preserve">・Toàn bộ các mục đều thao tác được chỉ với bàn phím
</t>
    </r>
    <r>
      <rPr>
        <sz val="10"/>
        <color rgb="FF000000"/>
        <rFont val="メイリオ"/>
        <charset val="134"/>
      </rPr>
      <t>・focus outline hiển thị rõ ràng có thể nhận biết được</t>
    </r>
  </si>
  <si>
    <t>Header &amp; Breadcrumb</t>
  </si>
  <si>
    <t>ACSMS-TC-030-012</t>
  </si>
  <si>
    <t>Hiển thị tiêu đề header</t>
  </si>
  <si>
    <t>・role: NICHINO_ADMIN</t>
  </si>
  <si>
    <r>
      <rPr>
        <b/>
        <sz val="10"/>
        <color rgb="FF000000"/>
        <rFont val="メイリオ"/>
        <charset val="134"/>
      </rPr>
      <t xml:space="preserve">ステップ1：
</t>
    </r>
    <r>
      <rPr>
        <sz val="10"/>
        <color rgb="FF000000"/>
        <rFont val="メイリオ"/>
        <charset val="134"/>
      </rPr>
      <t xml:space="preserve">Mở màn `/log`
</t>
    </r>
    <r>
      <rPr>
        <b/>
        <sz val="10"/>
        <color rgb="FF000000"/>
        <rFont val="メイリオ"/>
        <charset val="134"/>
      </rPr>
      <t xml:space="preserve">ステップ2：
</t>
    </r>
    <r>
      <rPr>
        <sz val="10"/>
        <color rgb="FF000000"/>
        <rFont val="メイリオ"/>
        <charset val="134"/>
      </rPr>
      <t>Kiểm tra title của tab browser và tiêu đề trang ở phía trên màn hình</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</si>
  <si>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Tab browser hiển thị title tương đương「購読者管理システム - ログ参照」, header phía trên màn hiển thị「ログ参照」
</t>
    </r>
    <r>
      <rPr>
        <b/>
        <sz val="10"/>
        <color rgb="FF000000"/>
        <rFont val="メイリオ"/>
        <charset val="134"/>
      </rPr>
      <t xml:space="preserve">補足：
</t>
    </r>
    <r>
      <rPr>
        <sz val="10"/>
        <color rgb="FF000000"/>
        <rFont val="メイリオ"/>
        <charset val="134"/>
      </rPr>
      <t>・Tiêu đề trang được `MainLayout &gt; AppHeader` tự động render từ `route.meta.breadcrumb`</t>
    </r>
  </si>
  <si>
    <t>ACSMS-TC-030-013</t>
  </si>
  <si>
    <t>Hiển thị icon thông báo + menu user</t>
  </si>
  <si>
    <r>
      <rPr>
        <b/>
        <sz val="10"/>
        <color rgb="FF000000"/>
        <rFont val="メイリオ"/>
        <charset val="134"/>
      </rPr>
      <t xml:space="preserve">ステップ1：
</t>
    </r>
    <r>
      <rPr>
        <sz val="10"/>
        <color rgb="FF000000"/>
        <rFont val="メイリオ"/>
        <charset val="134"/>
      </rPr>
      <t xml:space="preserve">Kiểm tra icon thông báo ở góc trên phải header
</t>
    </r>
    <r>
      <rPr>
        <b/>
        <sz val="10"/>
        <color rgb="FF000000"/>
        <rFont val="メイリオ"/>
        <charset val="134"/>
      </rPr>
      <t xml:space="preserve">ステップ2：
</t>
    </r>
    <r>
      <rPr>
        <sz val="10"/>
        <color rgb="FF000000"/>
        <rFont val="メイリオ"/>
        <charset val="134"/>
      </rPr>
      <t xml:space="preserve">Click vào menu user (avatar)
</t>
    </r>
    <r>
      <rPr>
        <b/>
        <sz val="10"/>
        <color rgb="FF000000"/>
        <rFont val="メイリオ"/>
        <charset val="134"/>
      </rPr>
      <t xml:space="preserve">ステップ3：
</t>
    </r>
    <r>
      <rPr>
        <sz val="10"/>
        <color rgb="FF000000"/>
        <rFont val="メイリオ"/>
        <charset val="134"/>
      </rPr>
      <t>Click link「ログアウト」 trong menu user</t>
    </r>
  </si>
  <si>
    <r>
      <rPr>
        <b/>
        <sz val="10"/>
        <color rgb="FF000000"/>
        <rFont val="メイリオ"/>
        <charset val="134"/>
      </rPr>
      <t xml:space="preserve">ステップ1：
</t>
    </r>
    <r>
      <rPr>
        <sz val="10"/>
        <color rgb="FF000000"/>
        <rFont val="メイリオ"/>
        <charset val="134"/>
      </rPr>
      <t xml:space="preserve">Icon thông báo được hiển thị, badge thông báo chưa đọc hiển thị chính xác
</t>
    </r>
    <r>
      <rPr>
        <b/>
        <sz val="10"/>
        <color rgb="FF000000"/>
        <rFont val="メイリオ"/>
        <charset val="134"/>
      </rPr>
      <t xml:space="preserve">ステップ2：
</t>
    </r>
    <r>
      <rPr>
        <sz val="10"/>
        <color rgb="FF000000"/>
        <rFont val="メイリオ"/>
        <charset val="134"/>
      </rPr>
      <t xml:space="preserve">Menu user hiển thị dạng dropdown, hiển thị tên user đăng nhập và role name
</t>
    </r>
    <r>
      <rPr>
        <b/>
        <sz val="10"/>
        <color rgb="FF000000"/>
        <rFont val="メイリオ"/>
        <charset val="134"/>
      </rPr>
      <t xml:space="preserve">ステップ3：
</t>
    </r>
    <r>
      <rPr>
        <sz val="10"/>
        <color rgb="FF000000"/>
        <rFont val="メイリオ"/>
        <charset val="134"/>
      </rPr>
      <t xml:space="preserve">Thực hiện xử lý logout, chuyển sang màn `/login`, session bị hủy
</t>
    </r>
    <r>
      <rPr>
        <b/>
        <sz val="10"/>
        <color rgb="FF000000"/>
        <rFont val="メイリオ"/>
        <charset val="134"/>
      </rPr>
      <t xml:space="preserve">補足：
</t>
    </r>
    <r>
      <rPr>
        <sz val="10"/>
        <color rgb="FF000000"/>
        <rFont val="メイリオ"/>
        <charset val="134"/>
      </rPr>
      <t>・Các phần tử header hiển thị nhất quán vị trí trên toàn bộ màn hình</t>
    </r>
  </si>
  <si>
    <t>ACSMS-TC-030-014</t>
  </si>
  <si>
    <t>Hiển thị breadcrumb</t>
  </si>
  <si>
    <r>
      <rPr>
        <b/>
        <sz val="10"/>
        <color rgb="FF000000"/>
        <rFont val="メイリオ"/>
        <charset val="134"/>
      </rPr>
      <t xml:space="preserve">ステップ1：
</t>
    </r>
    <r>
      <rPr>
        <sz val="10"/>
        <color rgb="FF000000"/>
        <rFont val="メイリオ"/>
        <charset val="134"/>
      </rPr>
      <t xml:space="preserve">Kiểm tra breadcrumb của màn `/log`
</t>
    </r>
    <r>
      <rPr>
        <b/>
        <sz val="10"/>
        <color rgb="FF000000"/>
        <rFont val="メイリオ"/>
        <charset val="134"/>
      </rPr>
      <t xml:space="preserve">ステップ2：
</t>
    </r>
    <r>
      <rPr>
        <sz val="10"/>
        <color rgb="FF000000"/>
        <rFont val="メイリオ"/>
        <charset val="134"/>
      </rPr>
      <t>Click link「ホーム」 trên breadcrumb</t>
    </r>
  </si>
  <si>
    <r>
      <rPr>
        <b/>
        <sz val="10"/>
        <color rgb="FF000000"/>
        <rFont val="メイリオ"/>
        <charset val="134"/>
      </rPr>
      <t xml:space="preserve">ステップ1：
</t>
    </r>
    <r>
      <rPr>
        <sz val="10"/>
        <color rgb="FF000000"/>
        <rFont val="メイリオ"/>
        <charset val="134"/>
      </rPr>
      <t xml:space="preserve">Hiển thị 2 cấp dạng「ホーム &gt; ログ参照」
</t>
    </r>
    <r>
      <rPr>
        <b/>
        <sz val="10"/>
        <color rgb="FF000000"/>
        <rFont val="メイリオ"/>
        <charset val="134"/>
      </rPr>
      <t xml:space="preserve">ステップ2：
</t>
    </r>
    <r>
      <rPr>
        <sz val="10"/>
        <color rgb="FF000000"/>
        <rFont val="メイリオ"/>
        <charset val="134"/>
      </rPr>
      <t xml:space="preserve">Chuyển sang `/dashboard`
</t>
    </r>
    <r>
      <rPr>
        <b/>
        <sz val="10"/>
        <color rgb="FF000000"/>
        <rFont val="メイリオ"/>
        <charset val="134"/>
      </rPr>
      <t xml:space="preserve">補足：
</t>
    </r>
    <r>
      <rPr>
        <sz val="10"/>
        <color rgb="FF000000"/>
        <rFont val="メイリオ"/>
        <charset val="134"/>
      </rPr>
      <t xml:space="preserve">・Breadcrumb được tự động render từ `route.meta.breadcrumb`
</t>
    </r>
    <r>
      <rPr>
        <sz val="10"/>
        <color rgb="FF000000"/>
        <rFont val="メイリオ"/>
        <charset val="134"/>
      </rPr>
      <t>・Mỗi link breadcrumb hoạt động bình thường</t>
    </r>
  </si>
  <si>
    <t>Validation đầu vào — Điều kiện tìm kiếm</t>
  </si>
  <si>
    <t>ACSMS-TC-030-015</t>
  </si>
  <si>
    <t>Khoảng thời gian (ngày giờ bắt đầu) — input tùy chọn (cho phép rỗng)</t>
  </si>
  <si>
    <r>
      <rPr>
        <b/>
        <sz val="10"/>
        <color rgb="FF000000"/>
        <rFont val="メイリオ"/>
        <charset val="134"/>
      </rPr>
      <t xml:space="preserve">ステップ1：
</t>
    </r>
    <r>
      <rPr>
        <sz val="10"/>
        <color rgb="FF000000"/>
        <rFont val="メイリオ"/>
        <charset val="134"/>
      </rPr>
      <t xml:space="preserve">Để trống khoảng thời gian (ngày giờ bắt đầu) và nhấn button「検索」
</t>
    </r>
    <r>
      <rPr>
        <b/>
        <sz val="10"/>
        <color rgb="FF000000"/>
        <rFont val="メイリオ"/>
        <charset val="134"/>
      </rPr>
      <t xml:space="preserve">ステップ2：
</t>
    </r>
    <r>
      <rPr>
        <sz val="10"/>
        <color rgb="FF000000"/>
        <rFont val="メイリオ"/>
        <charset val="134"/>
      </rPr>
      <t>Kiểm tra request GET `/api/v1/log` trên tab Network của DevTools</t>
    </r>
  </si>
  <si>
    <r>
      <rPr>
        <b/>
        <sz val="10"/>
        <color rgb="FF000000"/>
        <rFont val="メイリオ"/>
        <charset val="134"/>
      </rPr>
      <t xml:space="preserve">ステップ1：
</t>
    </r>
    <r>
      <rPr>
        <sz val="10"/>
        <color rgb="FF000000"/>
        <rFont val="メイリオ"/>
        <charset val="134"/>
      </rPr>
      <t xml:space="preserve">Tìm kiếm thành công, Trả về HTTP 200, không hiển thị lỗi required
</t>
    </r>
    <r>
      <rPr>
        <b/>
        <sz val="10"/>
        <color rgb="FF000000"/>
        <rFont val="メイリオ"/>
        <charset val="134"/>
      </rPr>
      <t xml:space="preserve">ステップ2：
</t>
    </r>
    <r>
      <rPr>
        <sz val="10"/>
        <color rgb="FF000000"/>
        <rFont val="メイリオ"/>
        <charset val="134"/>
      </rPr>
      <t xml:space="preserve">Query parameter không bao gồm `date_from`, hoặc gửi dạng chuỗi rỗng, lấy được log toàn bộ kỳ không có filter ngày giờ bắt đầu
</t>
    </r>
    <r>
      <rPr>
        <b/>
        <sz val="10"/>
        <color rgb="FF000000"/>
        <rFont val="メイリオ"/>
        <charset val="134"/>
      </rPr>
      <t xml:space="preserve">補足：
</t>
    </r>
    <r>
      <rPr>
        <sz val="10"/>
        <color rgb="FF000000"/>
        <rFont val="メイリオ"/>
        <charset val="134"/>
      </rPr>
      <t xml:space="preserve">・Khoảng thời gian (ngày giờ bắt đầu) là mục tùy chọn
</t>
    </r>
    <r>
      <rPr>
        <sz val="10"/>
        <color rgb="FF000000"/>
        <rFont val="メイリオ"/>
        <charset val="134"/>
      </rPr>
      <t>・Để trống cũng không phát sinh lỗi validation</t>
    </r>
  </si>
  <si>
    <t>ACSMS-TC-030-016</t>
  </si>
  <si>
    <t>Khoảng thời gian (ngày giờ kết thúc) — input tùy chọn (cho phép rỗng)</t>
  </si>
  <si>
    <r>
      <rPr>
        <b/>
        <sz val="10"/>
        <color rgb="FF000000"/>
        <rFont val="メイリオ"/>
        <charset val="134"/>
      </rPr>
      <t xml:space="preserve">ステップ1：
</t>
    </r>
    <r>
      <rPr>
        <sz val="10"/>
        <color rgb="FF000000"/>
        <rFont val="メイリオ"/>
        <charset val="134"/>
      </rPr>
      <t xml:space="preserve">Để trống khoảng thời gian (ngày giờ kết thúc) và nhấn button「検索」
</t>
    </r>
    <r>
      <rPr>
        <b/>
        <sz val="10"/>
        <color rgb="FF000000"/>
        <rFont val="メイリオ"/>
        <charset val="134"/>
      </rPr>
      <t xml:space="preserve">ステップ2：
</t>
    </r>
    <r>
      <rPr>
        <sz val="10"/>
        <color rgb="FF000000"/>
        <rFont val="メイリオ"/>
        <charset val="134"/>
      </rPr>
      <t>Kiểm tra request GET `/api/v1/log` trên tab Network của DevTools</t>
    </r>
  </si>
  <si>
    <r>
      <rPr>
        <b/>
        <sz val="10"/>
        <color rgb="FF000000"/>
        <rFont val="メイリオ"/>
        <charset val="134"/>
      </rPr>
      <t xml:space="preserve">ステップ1：
</t>
    </r>
    <r>
      <rPr>
        <sz val="10"/>
        <color rgb="FF000000"/>
        <rFont val="メイリオ"/>
        <charset val="134"/>
      </rPr>
      <t xml:space="preserve">Tìm kiếm thành công, Trả về HTTP 200, không hiển thị lỗi required
</t>
    </r>
    <r>
      <rPr>
        <b/>
        <sz val="10"/>
        <color rgb="FF000000"/>
        <rFont val="メイリオ"/>
        <charset val="134"/>
      </rPr>
      <t xml:space="preserve">ステップ2：
</t>
    </r>
    <r>
      <rPr>
        <sz val="10"/>
        <color rgb="FF000000"/>
        <rFont val="メイリオ"/>
        <charset val="134"/>
      </rPr>
      <t xml:space="preserve">Query parameter không bao gồm `date_to`, hoặc gửi dạng chuỗi rỗng, lấy được log toàn bộ kỳ không có filter ngày giờ kết thúc
</t>
    </r>
    <r>
      <rPr>
        <b/>
        <sz val="10"/>
        <color rgb="FF000000"/>
        <rFont val="メイリオ"/>
        <charset val="134"/>
      </rPr>
      <t xml:space="preserve">補足：
</t>
    </r>
    <r>
      <rPr>
        <sz val="10"/>
        <color rgb="FF000000"/>
        <rFont val="メイリオ"/>
        <charset val="134"/>
      </rPr>
      <t xml:space="preserve">・Khoảng thời gian (ngày giờ kết thúc) là mục tùy chọn
</t>
    </r>
    <r>
      <rPr>
        <sz val="10"/>
        <color rgb="FF000000"/>
        <rFont val="メイリオ"/>
        <charset val="134"/>
      </rPr>
      <t>・Để trống cũng không phát sinh lỗi validation</t>
    </r>
  </si>
  <si>
    <t>ACSMS-TC-030-017</t>
  </si>
  <si>
    <t>Check tương quan khoảng thời gian — lỗi khi ngày bắt đầu &gt; ngày kết thúc</t>
  </si>
  <si>
    <r>
      <rPr>
        <b/>
        <sz val="10"/>
        <color rgb="FF000000"/>
        <rFont val="メイリオ"/>
        <charset val="134"/>
      </rPr>
      <t xml:space="preserve">ステップ1：
</t>
    </r>
    <r>
      <rPr>
        <sz val="10"/>
        <color rgb="FF000000"/>
        <rFont val="メイリオ"/>
        <charset val="134"/>
      </rPr>
      <t xml:space="preserve">Nhập「2026/04/17 00:00:00」vào khoảng thời gian (ngày giờ bắt đầu)
</t>
    </r>
    <r>
      <rPr>
        <b/>
        <sz val="10"/>
        <color rgb="FF000000"/>
        <rFont val="メイリオ"/>
        <charset val="134"/>
      </rPr>
      <t xml:space="preserve">ステップ2：
</t>
    </r>
    <r>
      <rPr>
        <sz val="10"/>
        <color rgb="FF000000"/>
        <rFont val="メイリオ"/>
        <charset val="134"/>
      </rPr>
      <t xml:space="preserve">Nhập「2026/04/10 00:00:00」vào khoảng thời gian (ngày giờ kết thúc)
</t>
    </r>
    <r>
      <rPr>
        <b/>
        <sz val="10"/>
        <color rgb="FF000000"/>
        <rFont val="メイリオ"/>
        <charset val="134"/>
      </rPr>
      <t xml:space="preserve">ステップ3：
</t>
    </r>
    <r>
      <rPr>
        <sz val="10"/>
        <color rgb="FF000000"/>
        <rFont val="メイリオ"/>
        <charset val="134"/>
      </rPr>
      <t xml:space="preserve">Nhấn button「検索」
</t>
    </r>
    <r>
      <rPr>
        <b/>
        <sz val="10"/>
        <color rgb="FF000000"/>
        <rFont val="メイリオ"/>
        <charset val="134"/>
      </rPr>
      <t xml:space="preserve">ステップ4：
</t>
    </r>
    <r>
      <rPr>
        <sz val="10"/>
        <color rgb="FF000000"/>
        <rFont val="メイリオ"/>
        <charset val="134"/>
      </rPr>
      <t>Kiểm tra request GET `/api/v1/log` và response trên tab Network của DevTools</t>
    </r>
  </si>
  <si>
    <r>
      <rPr>
        <b/>
        <sz val="10"/>
        <color rgb="FF000000"/>
        <rFont val="メイリオ"/>
        <charset val="134"/>
      </rPr>
      <t xml:space="preserve">ステップ1：
</t>
    </r>
    <r>
      <rPr>
        <sz val="10"/>
        <color rgb="FF000000"/>
        <rFont val="メイリオ"/>
        <charset val="134"/>
      </rPr>
      <t xml:space="preserve">Giá trị được nhập vào ngày giờ bắt đầu
</t>
    </r>
    <r>
      <rPr>
        <b/>
        <sz val="10"/>
        <color rgb="FF000000"/>
        <rFont val="メイリオ"/>
        <charset val="134"/>
      </rPr>
      <t xml:space="preserve">ステップ2：
</t>
    </r>
    <r>
      <rPr>
        <sz val="10"/>
        <color rgb="FF000000"/>
        <rFont val="メイリオ"/>
        <charset val="134"/>
      </rPr>
      <t xml:space="preserve">Giá trị được nhập vào ngày giờ kết thúc
</t>
    </r>
    <r>
      <rPr>
        <b/>
        <sz val="10"/>
        <color rgb="FF000000"/>
        <rFont val="メイリオ"/>
        <charset val="134"/>
      </rPr>
      <t xml:space="preserve">ステップ3：
</t>
    </r>
    <r>
      <rPr>
        <sz val="10"/>
        <color rgb="FF000000"/>
        <rFont val="メイリオ"/>
        <charset val="134"/>
      </rPr>
      <t xml:space="preserve">Hiển thị toast hoặc dưới mục input message lỗi `「開始日」は「終了日」以前の日付を入力してください。`, kết quả tìm kiếm không được cập nhật
</t>
    </r>
    <r>
      <rPr>
        <b/>
        <sz val="10"/>
        <color rgb="FF000000"/>
        <rFont val="メイリオ"/>
        <charset val="134"/>
      </rPr>
      <t xml:space="preserve">ステップ4：
</t>
    </r>
    <r>
      <rPr>
        <sz val="10"/>
        <color rgb="FF000000"/>
        <rFont val="メイリオ"/>
        <charset val="134"/>
      </rPr>
      <t xml:space="preserve">Trường hợp request được gửi sang backend, Trả về HTTP 400 (`error_code: DATE_RANGE_INVALID`, message `「開始日」は「終了日」以前の日付を入力してください。`)
</t>
    </r>
    <r>
      <rPr>
        <b/>
        <sz val="10"/>
        <color rgb="FF000000"/>
        <rFont val="メイリオ"/>
        <charset val="134"/>
      </rPr>
      <t xml:space="preserve">補足：
</t>
    </r>
    <r>
      <rPr>
        <sz val="10"/>
        <color rgb="FF000000"/>
        <rFont val="メイリオ"/>
        <charset val="134"/>
      </rPr>
      <t xml:space="preserve">・Áp dụng verbatim văn bản của message code ACSMS-MSG-030-001
</t>
    </r>
    <r>
      <rPr>
        <sz val="10"/>
        <color rgb="FF000000"/>
        <rFont val="メイリオ"/>
        <charset val="134"/>
      </rPr>
      <t>・Validate trước khi gửi ở phía frontend, kiểm tra lại ở phía backend</t>
    </r>
  </si>
  <si>
    <t>ACSMS-TC-030-018</t>
  </si>
  <si>
    <t>Check độ dài khoảng thời gian — lỗi vượt quá 5 năm</t>
  </si>
  <si>
    <r>
      <rPr>
        <b/>
        <sz val="10"/>
        <color rgb="FF000000"/>
        <rFont val="游ゴシック"/>
        <charset val="134"/>
      </rPr>
      <t xml:space="preserve">ステップ1：
</t>
    </r>
    <r>
      <rPr>
        <sz val="10"/>
        <color rgb="FF000000"/>
        <rFont val="游ゴシック"/>
        <charset val="134"/>
      </rPr>
      <t xml:space="preserve">Nhập「2025/01/01 00:00:00」vào khoảng thời gian (ngày giờ bắt đầu)
</t>
    </r>
    <r>
      <rPr>
        <b/>
        <sz val="10"/>
        <color rgb="FF000000"/>
        <rFont val="游ゴシック"/>
        <charset val="134"/>
      </rPr>
      <t xml:space="preserve">ステップ2：
</t>
    </r>
    <r>
      <rPr>
        <sz val="10"/>
        <color rgb="FF000000"/>
        <rFont val="游ゴシック"/>
        <charset val="134"/>
      </rPr>
      <t xml:space="preserve">Nhập「2031/05/01 00:00:00」vào khoảng thời gian (ngày giờ kết thúc)
</t>
    </r>
    <r>
      <rPr>
        <b/>
        <sz val="10"/>
        <color rgb="FF000000"/>
        <rFont val="游ゴシック"/>
        <charset val="134"/>
      </rPr>
      <t xml:space="preserve">ステップ3：
</t>
    </r>
    <r>
      <rPr>
        <sz val="10"/>
        <color rgb="FF000000"/>
        <rFont val="游ゴシック"/>
        <charset val="134"/>
      </rPr>
      <t xml:space="preserve">Nhấn button「検索」
</t>
    </r>
    <r>
      <rPr>
        <b/>
        <sz val="10"/>
        <color rgb="FF000000"/>
        <rFont val="游ゴシック"/>
        <charset val="134"/>
      </rPr>
      <t xml:space="preserve">ステップ4：
</t>
    </r>
    <r>
      <rPr>
        <sz val="10"/>
        <color rgb="FF000000"/>
        <rFont val="游ゴシック"/>
        <charset val="134"/>
      </rPr>
      <t>Kiểm tra response GET `/api/v1/log` trên tab Network của DevTools</t>
    </r>
  </si>
  <si>
    <r>
      <rPr>
        <b/>
        <sz val="10"/>
        <color rgb="FF000000"/>
        <rFont val="游ゴシック"/>
        <charset val="134"/>
      </rPr>
      <t xml:space="preserve">ステップ1：
</t>
    </r>
    <r>
      <rPr>
        <sz val="10"/>
        <color rgb="FF000000"/>
        <rFont val="游ゴシック"/>
        <charset val="134"/>
      </rPr>
      <t xml:space="preserve">Giá trị được nhập vào ngày giờ bắt đầu
</t>
    </r>
    <r>
      <rPr>
        <b/>
        <sz val="10"/>
        <color rgb="FF000000"/>
        <rFont val="游ゴシック"/>
        <charset val="134"/>
      </rPr>
      <t xml:space="preserve">ステップ2：
</t>
    </r>
    <r>
      <rPr>
        <sz val="10"/>
        <color rgb="FF000000"/>
        <rFont val="游ゴシック"/>
        <charset val="134"/>
      </rPr>
      <t xml:space="preserve">Giá trị được nhập vào ngày giờ kết thúc
</t>
    </r>
    <r>
      <rPr>
        <b/>
        <sz val="10"/>
        <color rgb="FF000000"/>
        <rFont val="游ゴシック"/>
        <charset val="134"/>
      </rPr>
      <t xml:space="preserve">ステップ3：
</t>
    </r>
    <r>
      <rPr>
        <sz val="10"/>
        <color rgb="FF000000"/>
        <rFont val="游ゴシック"/>
        <charset val="134"/>
      </rPr>
      <t xml:space="preserve">Hiển thị toast hoặc dưới mục input message lỗi `検索期間は5年以内で指定してください。`, kết quả tìm kiếm không được cập nhật
</t>
    </r>
    <r>
      <rPr>
        <b/>
        <sz val="10"/>
        <color rgb="FF000000"/>
        <rFont val="游ゴシック"/>
        <charset val="134"/>
      </rPr>
      <t xml:space="preserve">ステップ4：
</t>
    </r>
    <r>
      <rPr>
        <sz val="10"/>
        <color rgb="FF000000"/>
        <rFont val="游ゴシック"/>
        <charset val="134"/>
      </rPr>
      <t xml:space="preserve">Trường hợp request được gửi sang backend, Trả về HTTP 400 (`error_code: DATE_RANGE_TOO_LONG`, message `検索期間は5年以内で指定してください。`)
</t>
    </r>
    <r>
      <rPr>
        <b/>
        <sz val="10"/>
        <color rgb="FF000000"/>
        <rFont val="游ゴシック"/>
        <charset val="134"/>
      </rPr>
      <t xml:space="preserve">補足：
</t>
    </r>
    <r>
      <rPr>
        <sz val="10"/>
        <color rgb="FF000000"/>
        <rFont val="游ゴシック"/>
        <charset val="134"/>
      </rPr>
      <t>・Áp dụng verbatim văn bản của message code ACSMS-MSG-030-002
・Khoảng thời gian có thể tìm kiếm tối đa là 5 năm</t>
    </r>
  </si>
  <si>
    <t>Thời gian lưu đã được nâng lên thành 5 năm</t>
  </si>
  <si>
    <t>ACSMS-TC-030-019</t>
  </si>
  <si>
    <t>Khoảng thời gian đúng 365 ngày (giá trị biên)</t>
  </si>
  <si>
    <r>
      <rPr>
        <b/>
        <sz val="10"/>
        <color rgb="FF000000"/>
        <rFont val="游ゴシック"/>
        <charset val="134"/>
      </rPr>
      <t xml:space="preserve">ステップ1：
</t>
    </r>
    <r>
      <rPr>
        <sz val="10"/>
        <color rgb="FF000000"/>
        <rFont val="游ゴシック"/>
        <charset val="134"/>
      </rPr>
      <t xml:space="preserve">Nhập「2025/05/22 00:00:00」vào khoảng thời gian (ngày giờ bắt đầu)
</t>
    </r>
    <r>
      <rPr>
        <b/>
        <sz val="10"/>
        <color rgb="FF000000"/>
        <rFont val="游ゴシック"/>
        <charset val="134"/>
      </rPr>
      <t xml:space="preserve">ステップ2：
</t>
    </r>
    <r>
      <rPr>
        <sz val="10"/>
        <color rgb="FF000000"/>
        <rFont val="游ゴシック"/>
        <charset val="134"/>
      </rPr>
      <t xml:space="preserve">Nhập「2030/05/22 00:00:00」vào khoảng thời gian (ngày giờ kết thúc) (đúng 5 năm sau)
</t>
    </r>
    <r>
      <rPr>
        <b/>
        <sz val="10"/>
        <color rgb="FF000000"/>
        <rFont val="游ゴシック"/>
        <charset val="134"/>
      </rPr>
      <t xml:space="preserve">ステップ3：
</t>
    </r>
    <r>
      <rPr>
        <sz val="10"/>
        <color rgb="FF000000"/>
        <rFont val="游ゴシック"/>
        <charset val="134"/>
      </rPr>
      <t xml:space="preserve">Nhấn button「検索」
</t>
    </r>
    <r>
      <rPr>
        <b/>
        <sz val="10"/>
        <color rgb="FF000000"/>
        <rFont val="游ゴシック"/>
        <charset val="134"/>
      </rPr>
      <t xml:space="preserve">ステップ4：
</t>
    </r>
    <r>
      <rPr>
        <sz val="10"/>
        <color rgb="FF000000"/>
        <rFont val="游ゴシック"/>
        <charset val="134"/>
      </rPr>
      <t>Đổi khoảng thời gian (ngày giờ kết thúc) thành「2030/05/22 00:00:01」và nhấn button「検索」lại</t>
    </r>
  </si>
  <si>
    <r>
      <rPr>
        <b/>
        <sz val="10"/>
        <color rgb="FF000000"/>
        <rFont val="游ゴシック"/>
        <charset val="134"/>
      </rPr>
      <t xml:space="preserve">ステップ1：
</t>
    </r>
    <r>
      <rPr>
        <sz val="10"/>
        <color rgb="FF000000"/>
        <rFont val="游ゴシック"/>
        <charset val="134"/>
      </rPr>
      <t xml:space="preserve">Giá trị được nhập vào ngày giờ bắt đầu
</t>
    </r>
    <r>
      <rPr>
        <b/>
        <sz val="10"/>
        <color rgb="FF000000"/>
        <rFont val="游ゴシック"/>
        <charset val="134"/>
      </rPr>
      <t xml:space="preserve">ステップ2：
</t>
    </r>
    <r>
      <rPr>
        <sz val="10"/>
        <color rgb="FF000000"/>
        <rFont val="游ゴシック"/>
        <charset val="134"/>
      </rPr>
      <t xml:space="preserve">Giá trị được nhập vào ngày giờ kết thúc
</t>
    </r>
    <r>
      <rPr>
        <b/>
        <sz val="10"/>
        <color rgb="FF000000"/>
        <rFont val="游ゴシック"/>
        <charset val="134"/>
      </rPr>
      <t xml:space="preserve">ステップ3：
</t>
    </r>
    <r>
      <rPr>
        <sz val="10"/>
        <color rgb="FF000000"/>
        <rFont val="游ゴシック"/>
        <charset val="134"/>
      </rPr>
      <t xml:space="preserve">Tìm kiếm thành công, Trả về HTTP 200, không hiển thị lỗi
</t>
    </r>
    <r>
      <rPr>
        <b/>
        <sz val="10"/>
        <color rgb="FF000000"/>
        <rFont val="游ゴシック"/>
        <charset val="134"/>
      </rPr>
      <t xml:space="preserve">ステップ4：
</t>
    </r>
    <r>
      <rPr>
        <sz val="10"/>
        <color rgb="FF000000"/>
        <rFont val="游ゴシック"/>
        <charset val="134"/>
      </rPr>
      <t xml:space="preserve">Do vượt quá 5 năm 1 giây, hiển thị message lỗi `検索期間は5年以内で指定してください。`
</t>
    </r>
    <r>
      <rPr>
        <b/>
        <sz val="10"/>
        <color rgb="FF000000"/>
        <rFont val="游ゴシック"/>
        <charset val="134"/>
      </rPr>
      <t xml:space="preserve">補足：
</t>
    </r>
    <r>
      <rPr>
        <sz val="10"/>
        <color rgb="FF000000"/>
        <rFont val="游ゴシック"/>
        <charset val="134"/>
      </rPr>
      <t>・Giá trị biên: đúng 5 năm OK,  5 năm  + 1 giây NG
・Biên năm nhuận cũng đánh giá theo 5 năm tương tự</t>
    </r>
  </si>
  <si>
    <t>ACSMS-TC-030-020</t>
  </si>
  <si>
    <t>Dropdown loại log — kiểm tra hoạt động toàn bộ lựa chọn</t>
  </si>
  <si>
    <t>・role: NICHINO_ADMIN
・Trong `t_log` có log của mỗi log_type (1~4)</t>
  </si>
  <si>
    <r>
      <rPr>
        <b/>
        <sz val="10"/>
        <color rgb="FF000000"/>
        <rFont val="メイリオ"/>
        <charset val="134"/>
      </rPr>
      <t xml:space="preserve">ステップ1：
</t>
    </r>
    <r>
      <rPr>
        <sz val="10"/>
        <color rgb="FF000000"/>
        <rFont val="メイリオ"/>
        <charset val="134"/>
      </rPr>
      <t xml:space="preserve">Mở dropdown loại log
</t>
    </r>
    <r>
      <rPr>
        <b/>
        <sz val="10"/>
        <color rgb="FF000000"/>
        <rFont val="メイリオ"/>
        <charset val="134"/>
      </rPr>
      <t xml:space="preserve">ステップ2：
</t>
    </r>
    <r>
      <rPr>
        <sz val="10"/>
        <color rgb="FF000000"/>
        <rFont val="メイリオ"/>
        <charset val="134"/>
      </rPr>
      <t xml:space="preserve">Chọn「ユーザー操作ログ」 và nhấn button「検索」
</t>
    </r>
    <r>
      <rPr>
        <b/>
        <sz val="10"/>
        <color rgb="FF000000"/>
        <rFont val="メイリオ"/>
        <charset val="134"/>
      </rPr>
      <t xml:space="preserve">ステップ3：
</t>
    </r>
    <r>
      <rPr>
        <sz val="10"/>
        <color rgb="FF000000"/>
        <rFont val="メイリオ"/>
        <charset val="134"/>
      </rPr>
      <t xml:space="preserve">Chọn「すべて」 và nhấn button「検索」
</t>
    </r>
    <r>
      <rPr>
        <b/>
        <sz val="10"/>
        <color rgb="FF000000"/>
        <rFont val="メイリオ"/>
        <charset val="134"/>
      </rPr>
      <t xml:space="preserve">ステップ4：
</t>
    </r>
    <r>
      <rPr>
        <sz val="10"/>
        <color rgb="FF000000"/>
        <rFont val="メイリオ"/>
        <charset val="134"/>
      </rPr>
      <t>Lần lượt chọn「エラーログ」「ファイルアップロードログ」 và nhấn button「検索」</t>
    </r>
  </si>
  <si>
    <r>
      <rPr>
        <b/>
        <sz val="10"/>
        <color rgb="FF000000"/>
        <rFont val="メイリオ"/>
        <charset val="134"/>
      </rPr>
      <t xml:space="preserve">ステップ1：
</t>
    </r>
    <r>
      <rPr>
        <sz val="10"/>
        <color rgb="FF000000"/>
        <rFont val="メイリオ"/>
        <charset val="134"/>
      </rPr>
      <t xml:space="preserve">Hiển thị 5 item「すべて／ユーザー操作ログ／システムログ／エラーログ／ファイルアップロードログ」
</t>
    </r>
    <r>
      <rPr>
        <b/>
        <sz val="10"/>
        <color rgb="FF000000"/>
        <rFont val="メイリオ"/>
        <charset val="134"/>
      </rPr>
      <t xml:space="preserve">ステップ2：
</t>
    </r>
    <r>
      <rPr>
        <sz val="10"/>
        <color rgb="FF000000"/>
        <rFont val="メイリオ"/>
        <charset val="134"/>
      </rPr>
      <t xml:space="preserve">Chỉ hiển thị record có log_type=1, query parameter bao gồm `log_type=1`
</t>
    </r>
    <r>
      <rPr>
        <b/>
        <sz val="10"/>
        <color rgb="FF000000"/>
        <rFont val="メイリオ"/>
        <charset val="134"/>
      </rPr>
      <t xml:space="preserve">ステップ3：
</t>
    </r>
    <r>
      <rPr>
        <sz val="10"/>
        <color rgb="FF000000"/>
        <rFont val="メイリオ"/>
        <charset val="134"/>
      </rPr>
      <t xml:space="preserve">Hiển thị xen kẽ record của toàn bộ log_type, query parameter không bao gồm `log_type`
</t>
    </r>
    <r>
      <rPr>
        <b/>
        <sz val="10"/>
        <color rgb="FF000000"/>
        <rFont val="メイリオ"/>
        <charset val="134"/>
      </rPr>
      <t xml:space="preserve">ステップ4：
</t>
    </r>
    <r>
      <rPr>
        <sz val="10"/>
        <color rgb="FF000000"/>
        <rFont val="メイリオ"/>
        <charset val="134"/>
      </rPr>
      <t xml:space="preserve">Lần lượt chỉ hiển thị record có log_type=3 / log_type=4
</t>
    </r>
    <r>
      <rPr>
        <b/>
        <sz val="10"/>
        <color rgb="FF000000"/>
        <rFont val="メイリオ"/>
        <charset val="134"/>
      </rPr>
      <t xml:space="preserve">補足：
</t>
    </r>
    <r>
      <rPr>
        <sz val="10"/>
        <color rgb="FF000000"/>
        <rFont val="メイリオ"/>
        <charset val="134"/>
      </rPr>
      <t xml:space="preserve">・Mapping số log_type: 1=user thao tác, 2=hệ thống, 3=lỗi, 4=upload file
</t>
    </r>
    <r>
      <rPr>
        <sz val="10"/>
        <color rgb="FF000000"/>
        <rFont val="メイリオ"/>
        <charset val="134"/>
      </rPr>
      <t>・Khi chọn「すべて」không filter</t>
    </r>
  </si>
  <si>
    <t>ACSMS-TC-030-021</t>
  </si>
  <si>
    <t>Select box tên user — phản ánh DataScope</t>
  </si>
  <si>
    <t>・role: CHUOKAI (thuộc chuokai-001)
・Có account tồn tại ở chuokai mình và chuokai khác</t>
  </si>
  <si>
    <r>
      <rPr>
        <b/>
        <sz val="10"/>
        <color rgb="FF000000"/>
        <rFont val="メイリオ"/>
        <charset val="134"/>
      </rPr>
      <t xml:space="preserve">ステップ1：
</t>
    </r>
    <r>
      <rPr>
        <sz val="10"/>
        <color rgb="FF000000"/>
        <rFont val="メイリオ"/>
        <charset val="134"/>
      </rPr>
      <t xml:space="preserve">Mở select box tên user
</t>
    </r>
    <r>
      <rPr>
        <b/>
        <sz val="10"/>
        <color rgb="FF000000"/>
        <rFont val="メイリオ"/>
        <charset val="134"/>
      </rPr>
      <t xml:space="preserve">ステップ2：
</t>
    </r>
    <r>
      <rPr>
        <sz val="10"/>
        <color rgb="FF000000"/>
        <rFont val="メイリオ"/>
        <charset val="134"/>
      </rPr>
      <t xml:space="preserve">Kiểm tra response GET `/api/v1/account/dropdown` trên tab Network của DevTools
</t>
    </r>
    <r>
      <rPr>
        <b/>
        <sz val="10"/>
        <color rgb="FF000000"/>
        <rFont val="メイリオ"/>
        <charset val="134"/>
      </rPr>
      <t xml:space="preserve">ステップ3：
</t>
    </r>
    <r>
      <rPr>
        <sz val="10"/>
        <color rgb="FF000000"/>
        <rFont val="メイリオ"/>
        <charset val="134"/>
      </rPr>
      <t>Chọn một account thuộc chuokai mình và nhấn button「検索」</t>
    </r>
  </si>
  <si>
    <r>
      <rPr>
        <b/>
        <sz val="10"/>
        <color rgb="FF000000"/>
        <rFont val="メイリオ"/>
        <charset val="134"/>
      </rPr>
      <t xml:space="preserve">ステップ1：
</t>
    </r>
    <r>
      <rPr>
        <sz val="10"/>
        <color rgb="FF000000"/>
        <rFont val="メイリオ"/>
        <charset val="134"/>
      </rPr>
      <t xml:space="preserve">Dropdown chỉ hiển thị account thuộc chuokai mình, account của chuokai khác không hiển thị
</t>
    </r>
    <r>
      <rPr>
        <b/>
        <sz val="10"/>
        <color rgb="FF000000"/>
        <rFont val="メイリオ"/>
        <charset val="134"/>
      </rPr>
      <t xml:space="preserve">ステップ2：
</t>
    </r>
    <r>
      <rPr>
        <sz val="10"/>
        <color rgb="FF000000"/>
        <rFont val="メイリオ"/>
        <charset val="134"/>
      </rPr>
      <t xml:space="preserve">Mảng `data` trong response đã áp dụng DataScope (chỉ chuokai mình)
</t>
    </r>
    <r>
      <rPr>
        <b/>
        <sz val="10"/>
        <color rgb="FF000000"/>
        <rFont val="メイリオ"/>
        <charset val="134"/>
      </rPr>
      <t xml:space="preserve">ステップ3：
</t>
    </r>
    <r>
      <rPr>
        <sz val="10"/>
        <color rgb="FF000000"/>
        <rFont val="メイリオ"/>
        <charset val="134"/>
      </rPr>
      <t xml:space="preserve">Chỉ hiển thị log của account đã chọn, query parameter bao gồm `account_id={giá trị đã chọn}`
</t>
    </r>
    <r>
      <rPr>
        <b/>
        <sz val="10"/>
        <color rgb="FF000000"/>
        <rFont val="メイリオ"/>
        <charset val="134"/>
      </rPr>
      <t xml:space="preserve">補足：
</t>
    </r>
    <r>
      <rPr>
        <sz val="10"/>
        <color rgb="FF000000"/>
        <rFont val="メイリオ"/>
        <charset val="134"/>
      </rPr>
      <t xml:space="preserve">・API dùng chung `/api/v1/account/dropdown` tự động áp dụng DataScope
</t>
    </r>
    <r>
      <rPr>
        <sz val="10"/>
        <color rgb="FF000000"/>
        <rFont val="メイリオ"/>
        <charset val="134"/>
      </rPr>
      <t>・Logic DataScope tương tự cũng được áp dụng cho role JA_HONTEN / JA_KANRI_SHITEN</t>
    </r>
  </si>
  <si>
    <t>ACSMS-TC-030-022</t>
  </si>
  <si>
    <t>Từ chối input format không hợp lệ</t>
  </si>
  <si>
    <r>
      <rPr>
        <b/>
        <sz val="10"/>
        <color rgb="FF000000"/>
        <rFont val="メイリオ"/>
        <charset val="134"/>
      </rPr>
      <t xml:space="preserve">ステップ1：
</t>
    </r>
    <r>
      <rPr>
        <sz val="10"/>
        <color rgb="FF000000"/>
        <rFont val="メイリオ"/>
        <charset val="134"/>
      </rPr>
      <t xml:space="preserve">Thử nhập「abcdef」 (chuỗi ký tự không hợp lệ) vào khoảng thời gian (ngày giờ bắt đầu)
</t>
    </r>
    <r>
      <rPr>
        <b/>
        <sz val="10"/>
        <color rgb="FF000000"/>
        <rFont val="メイリオ"/>
        <charset val="134"/>
      </rPr>
      <t xml:space="preserve">ステップ2：
</t>
    </r>
    <r>
      <rPr>
        <sz val="10"/>
        <color rgb="FF000000"/>
        <rFont val="メイリオ"/>
        <charset val="134"/>
      </rPr>
      <t xml:space="preserve">Thử nhập「2026/13/40 99:99:99」 (ngày không hợp lệ) vào khoảng thời gian (ngày giờ bắt đầu)
</t>
    </r>
    <r>
      <rPr>
        <b/>
        <sz val="10"/>
        <color rgb="FF000000"/>
        <rFont val="メイリオ"/>
        <charset val="134"/>
      </rPr>
      <t xml:space="preserve">ステップ3：
</t>
    </r>
    <r>
      <rPr>
        <sz val="10"/>
        <color rgb="FF000000"/>
        <rFont val="メイリオ"/>
        <charset val="134"/>
      </rPr>
      <t>Dùng DevTools gọi trực tiếp GET `/api/v1/log?date_from=abc`</t>
    </r>
  </si>
  <si>
    <r>
      <rPr>
        <b/>
        <sz val="10"/>
        <color rgb="FF000000"/>
        <rFont val="游ゴシック"/>
        <charset val="134"/>
      </rPr>
      <t xml:space="preserve">ステップ1：
</t>
    </r>
    <r>
      <rPr>
        <sz val="10"/>
        <color rgb="FF000000"/>
        <rFont val="游ゴシック"/>
        <charset val="134"/>
      </rPr>
      <t xml:space="preserve">Ô nhập dạng lịch chặn việc nhập chuỗi không hợp lệ, hoặc bị clear khi rời focus sau khi nhập
</t>
    </r>
    <r>
      <rPr>
        <b/>
        <sz val="10"/>
        <color rgb="FF000000"/>
        <rFont val="游ゴシック"/>
        <charset val="134"/>
      </rPr>
      <t xml:space="preserve">ステップ2：
</t>
    </r>
    <r>
      <rPr>
        <sz val="10"/>
        <color rgb="FF000000"/>
        <rFont val="游ゴシック"/>
        <charset val="134"/>
      </rPr>
      <t xml:space="preserve">Bị từ chối vì là ngày không hợp lệ, ô nhập bị clear hoặc hiển thị lỗi
</t>
    </r>
    <r>
      <rPr>
        <b/>
        <sz val="10"/>
        <color rgb="FF000000"/>
        <rFont val="游ゴシック"/>
        <charset val="134"/>
      </rPr>
      <t xml:space="preserve">ステップ3：
</t>
    </r>
    <r>
      <rPr>
        <sz val="10"/>
        <color rgb="FF000000"/>
        <rFont val="游ゴシック"/>
        <charset val="134"/>
      </rPr>
      <t xml:space="preserve">Trả về HTTP 400 (`error_code: BAD_REQUEST` hoặc `VALIDATION_ERROR`, message `リクエストパラメータが不正です。` hoặc tương đương)
</t>
    </r>
    <r>
      <rPr>
        <b/>
        <sz val="10"/>
        <color rgb="FF000000"/>
        <rFont val="游ゴシック"/>
        <charset val="134"/>
      </rPr>
      <t xml:space="preserve">補足：
</t>
    </r>
    <r>
      <rPr>
        <sz val="10"/>
        <color rgb="FF000000"/>
        <rFont val="游ゴシック"/>
        <charset val="134"/>
      </rPr>
      <t>・Format cố định là `YYYY/MM/DD HH:mm:ss`
・Chọn từ date picker để tránh nhập sai</t>
    </r>
  </si>
  <si>
    <t>(なし)
Không trả về lỗi chỉ tự động set thành 1 ngày hợp lệ bất kì</t>
  </si>
  <si>
    <t>Logic nghiệp vụ — Tìm kiếm log (Function — Search)</t>
  </si>
  <si>
    <t>ACSMS-TC-030-023</t>
  </si>
  <si>
    <t>Hiển thị ban đầu — thứ tự mới nhất + 20 dòng/trang</t>
  </si>
  <si>
    <r>
      <rPr>
        <b/>
        <sz val="10"/>
        <color rgb="FF000000"/>
        <rFont val="メイリオ"/>
        <charset val="134"/>
      </rPr>
      <t xml:space="preserve">ステップ1：
</t>
    </r>
    <r>
      <rPr>
        <sz val="10"/>
        <color rgb="FF000000"/>
        <rFont val="メイリオ"/>
        <charset val="134"/>
      </rPr>
      <t xml:space="preserve">Click link 「ログ参照」 trên sidebar
</t>
    </r>
    <r>
      <rPr>
        <b/>
        <sz val="10"/>
        <color rgb="FF000000"/>
        <rFont val="メイリオ"/>
        <charset val="134"/>
      </rPr>
      <t xml:space="preserve">ステップ2：
</t>
    </r>
    <r>
      <rPr>
        <sz val="10"/>
        <color rgb="FF000000"/>
        <rFont val="メイリオ"/>
        <charset val="134"/>
      </rPr>
      <t xml:space="preserve">Kiểm tra thứ tự hiển thị của danh sách log
</t>
    </r>
    <r>
      <rPr>
        <b/>
        <sz val="10"/>
        <color rgb="FF000000"/>
        <rFont val="メイリオ"/>
        <charset val="134"/>
      </rPr>
      <t xml:space="preserve">ステップ3：
</t>
    </r>
    <r>
      <rPr>
        <sz val="10"/>
        <color rgb="FF000000"/>
        <rFont val="メイリオ"/>
        <charset val="134"/>
      </rPr>
      <t>Kiểm tra số dòng hiển thị trên 1 trang</t>
    </r>
  </si>
  <si>
    <r>
      <rPr>
        <b/>
        <sz val="10"/>
        <color rgb="FF000000"/>
        <rFont val="メイリオ"/>
        <charset val="134"/>
      </rPr>
      <t xml:space="preserve">ステップ1：
</t>
    </r>
    <r>
      <rPr>
        <sz val="10"/>
        <color rgb="FF000000"/>
        <rFont val="メイリオ"/>
        <charset val="134"/>
      </rPr>
      <t xml:space="preserve">Màn `/log` được hiển thị, điều kiện tìm kiếm ở giá trị ban đầu (khoảng thời gian: rỗng, loại log: tất cả, tên user: rỗng)
</t>
    </r>
    <r>
      <rPr>
        <b/>
        <sz val="10"/>
        <color rgb="FF000000"/>
        <rFont val="メイリオ"/>
        <charset val="134"/>
      </rPr>
      <t xml:space="preserve">ステップ2：
</t>
    </r>
    <r>
      <rPr>
        <sz val="10"/>
        <color rgb="FF000000"/>
        <rFont val="メイリオ"/>
        <charset val="134"/>
      </rPr>
      <t xml:space="preserve">Hiển thị theo thứ tự giảm dần log_datetime (thứ tự mới nhất), dòng trên cùng là log mới nhất
</t>
    </r>
    <r>
      <rPr>
        <b/>
        <sz val="10"/>
        <color rgb="FF000000"/>
        <rFont val="メイリオ"/>
        <charset val="134"/>
      </rPr>
      <t xml:space="preserve">ステップ3：
</t>
    </r>
    <r>
      <rPr>
        <sz val="10"/>
        <color rgb="FF000000"/>
        <rFont val="メイリオ"/>
        <charset val="134"/>
      </rPr>
      <t xml:space="preserve">Hiển thị 20 dòng/trang, phân trang hiển thị dạng「1 / 13」 (số thực tế tùy thuộc)
</t>
    </r>
    <r>
      <rPr>
        <b/>
        <sz val="10"/>
        <color rgb="FF000000"/>
        <rFont val="メイリオ"/>
        <charset val="134"/>
      </rPr>
      <t xml:space="preserve">補足：
</t>
    </r>
    <r>
      <rPr>
        <sz val="10"/>
        <color rgb="FF000000"/>
        <rFont val="メイリオ"/>
        <charset val="134"/>
      </rPr>
      <t xml:space="preserve">・DataScope tự động được áp dụng khi hiển thị ban đầu
</t>
    </r>
    <r>
      <rPr>
        <sz val="10"/>
        <color rgb="FF000000"/>
        <rFont val="メイリオ"/>
        <charset val="134"/>
      </rPr>
      <t>・Sort mặc định: log_datetime DESC</t>
    </r>
  </si>
  <si>
    <t>ACSMS-TC-030-024</t>
  </si>
  <si>
    <t>Tìm kiếm — case bình thường (filter với nhiều điều kiện)</t>
  </si>
  <si>
    <t>・role: NICHINO_ADMIN
・Trong khoảng thời gian đối tượng có record của các log_type đa dạng</t>
  </si>
  <si>
    <r>
      <rPr>
        <b/>
        <sz val="10"/>
        <color rgb="FF000000"/>
        <rFont val="メイリオ"/>
        <charset val="134"/>
      </rPr>
      <t xml:space="preserve">ステップ1：
</t>
    </r>
    <r>
      <rPr>
        <sz val="10"/>
        <color rgb="FF000000"/>
        <rFont val="メイリオ"/>
        <charset val="134"/>
      </rPr>
      <t xml:space="preserve">Nhập「2026/04/01 00:00:00」vào khoảng thời gian (ngày giờ bắt đầu), nhập「2026/04/30 23:59:59」vào khoảng thời gian (ngày giờ kết thúc)
</t>
    </r>
    <r>
      <rPr>
        <b/>
        <sz val="10"/>
        <color rgb="FF000000"/>
        <rFont val="メイリオ"/>
        <charset val="134"/>
      </rPr>
      <t xml:space="preserve">ステップ2：
</t>
    </r>
    <r>
      <rPr>
        <sz val="10"/>
        <color rgb="FF000000"/>
        <rFont val="メイリオ"/>
        <charset val="134"/>
      </rPr>
      <t xml:space="preserve">Chọn loại log「ユーザー操作ログ」
</t>
    </r>
    <r>
      <rPr>
        <b/>
        <sz val="10"/>
        <color rgb="FF000000"/>
        <rFont val="メイリオ"/>
        <charset val="134"/>
      </rPr>
      <t xml:space="preserve">ステップ3：
</t>
    </r>
    <r>
      <rPr>
        <sz val="10"/>
        <color rgb="FF000000"/>
        <rFont val="メイリオ"/>
        <charset val="134"/>
      </rPr>
      <t xml:space="preserve">Chọn tên user bất kỳ và nhấn button「検索」
</t>
    </r>
    <r>
      <rPr>
        <b/>
        <sz val="10"/>
        <color rgb="FF000000"/>
        <rFont val="メイリオ"/>
        <charset val="134"/>
      </rPr>
      <t xml:space="preserve">ステップ4：
</t>
    </r>
    <r>
      <rPr>
        <sz val="10"/>
        <color rgb="FF000000"/>
        <rFont val="メイリオ"/>
        <charset val="134"/>
      </rPr>
      <t>Kiểm tra request GET `/api/v1/log` trên tab Network của DevTools</t>
    </r>
  </si>
  <si>
    <r>
      <rPr>
        <b/>
        <sz val="10"/>
        <color rgb="FF000000"/>
        <rFont val="メイリオ"/>
        <charset val="134"/>
      </rPr>
      <t xml:space="preserve">ステップ1：
</t>
    </r>
    <r>
      <rPr>
        <sz val="10"/>
        <color rgb="FF000000"/>
        <rFont val="メイリオ"/>
        <charset val="134"/>
      </rPr>
      <t xml:space="preserve">Khoảng thời gian được nhập
</t>
    </r>
    <r>
      <rPr>
        <b/>
        <sz val="10"/>
        <color rgb="FF000000"/>
        <rFont val="メイリオ"/>
        <charset val="134"/>
      </rPr>
      <t xml:space="preserve">ステップ2：
</t>
    </r>
    <r>
      <rPr>
        <sz val="10"/>
        <color rgb="FF000000"/>
        <rFont val="メイリオ"/>
        <charset val="134"/>
      </rPr>
      <t xml:space="preserve">「ユーザー操作ログ」được chọn trong dropdown
</t>
    </r>
    <r>
      <rPr>
        <b/>
        <sz val="10"/>
        <color rgb="FF000000"/>
        <rFont val="メイリオ"/>
        <charset val="134"/>
      </rPr>
      <t xml:space="preserve">ステップ3：
</t>
    </r>
    <r>
      <rPr>
        <sz val="10"/>
        <color rgb="FF000000"/>
        <rFont val="メイリオ"/>
        <charset val="134"/>
      </rPr>
      <t xml:space="preserve">Trả về HTTP 200, chỉ hiển thị data khớp với điều kiện tìm kiếm, chuyển về trang 1
</t>
    </r>
    <r>
      <rPr>
        <b/>
        <sz val="10"/>
        <color rgb="FF000000"/>
        <rFont val="メイリオ"/>
        <charset val="134"/>
      </rPr>
      <t xml:space="preserve">ステップ4：
</t>
    </r>
    <r>
      <rPr>
        <sz val="10"/>
        <color rgb="FF000000"/>
        <rFont val="メイリオ"/>
        <charset val="134"/>
      </rPr>
      <t xml:space="preserve">Query parameter được gửi theo format `date_from=2026/04/01%2000:00:00&amp;date_to=2026/04/30%2023:59:59&amp;log_type=1&amp;account_id={giá trị}&amp;page=1&amp;per_page=20`
</t>
    </r>
    <r>
      <rPr>
        <b/>
        <sz val="10"/>
        <color rgb="FF000000"/>
        <rFont val="メイリオ"/>
        <charset val="134"/>
      </rPr>
      <t xml:space="preserve">補足：
</t>
    </r>
    <r>
      <rPr>
        <sz val="10"/>
        <color rgb="FF000000"/>
        <rFont val="メイリオ"/>
        <charset val="134"/>
      </rPr>
      <t xml:space="preserve">・Toàn bộ điều kiện được kết hợp bằng AND
</t>
    </r>
    <r>
      <rPr>
        <sz val="10"/>
        <color rgb="FF000000"/>
        <rFont val="メイリオ"/>
        <charset val="134"/>
      </rPr>
      <t>・Số kết quả tìm kiếm hiển thị ở phía trên danh sách</t>
    </r>
  </si>
  <si>
    <t>ACSMS-TC-030-025</t>
  </si>
  <si>
    <t>Hiển thị message khi kết quả tìm kiếm 0 dòng</t>
  </si>
  <si>
    <t>・role: NICHINO_ADMIN
・Trạng thái data có kết quả 0 dòng với điều kiện áp dụng</t>
  </si>
  <si>
    <r>
      <rPr>
        <b/>
        <sz val="10"/>
        <color rgb="FF000000"/>
        <rFont val="メイリオ"/>
        <charset val="134"/>
      </rPr>
      <t xml:space="preserve">ステップ1：
</t>
    </r>
    <r>
      <rPr>
        <sz val="10"/>
        <color rgb="FF000000"/>
        <rFont val="メイリオ"/>
        <charset val="134"/>
      </rPr>
      <t xml:space="preserve">Nhập「2030/01/01 00:00:00」vào khoảng thời gian (ngày giờ bắt đầu), nhập「2030/01/02 00:00:00」vào khoảng thời gian (ngày giờ kết thúc) (ngày tương lai)
</t>
    </r>
    <r>
      <rPr>
        <b/>
        <sz val="10"/>
        <color rgb="FF000000"/>
        <rFont val="メイリオ"/>
        <charset val="134"/>
      </rPr>
      <t xml:space="preserve">ステップ2：
</t>
    </r>
    <r>
      <rPr>
        <sz val="10"/>
        <color rgb="FF000000"/>
        <rFont val="メイリオ"/>
        <charset val="134"/>
      </rPr>
      <t xml:space="preserve">Nhấn button「検索」
</t>
    </r>
    <r>
      <rPr>
        <b/>
        <sz val="10"/>
        <color rgb="FF000000"/>
        <rFont val="メイリオ"/>
        <charset val="134"/>
      </rPr>
      <t xml:space="preserve">ステップ3：
</t>
    </r>
    <r>
      <rPr>
        <sz val="10"/>
        <color rgb="FF000000"/>
        <rFont val="メイリオ"/>
        <charset val="134"/>
      </rPr>
      <t>Kiểm tra hiển thị màn hình</t>
    </r>
  </si>
  <si>
    <r>
      <rPr>
        <b/>
        <sz val="10"/>
        <color rgb="FF000000"/>
        <rFont val="メイリオ"/>
        <charset val="134"/>
      </rPr>
      <t xml:space="preserve">ステップ1：
</t>
    </r>
    <r>
      <rPr>
        <sz val="10"/>
        <color rgb="FF000000"/>
        <rFont val="メイリオ"/>
        <charset val="134"/>
      </rPr>
      <t xml:space="preserve">Khoảng thời gian được nhập
</t>
    </r>
    <r>
      <rPr>
        <b/>
        <sz val="10"/>
        <color rgb="FF000000"/>
        <rFont val="メイリオ"/>
        <charset val="134"/>
      </rPr>
      <t xml:space="preserve">ステップ2：
</t>
    </r>
    <r>
      <rPr>
        <sz val="10"/>
        <color rgb="FF000000"/>
        <rFont val="メイリオ"/>
        <charset val="134"/>
      </rPr>
      <t xml:space="preserve">Trả về HTTP 200, mảng `data` trong response rỗng, `meta.total = 0`
</t>
    </r>
    <r>
      <rPr>
        <b/>
        <sz val="10"/>
        <color rgb="FF000000"/>
        <rFont val="メイリオ"/>
        <charset val="134"/>
      </rPr>
      <t xml:space="preserve">ステップ3：
</t>
    </r>
    <r>
      <rPr>
        <sz val="10"/>
        <color rgb="FF000000"/>
        <rFont val="メイリオ"/>
        <charset val="134"/>
      </rPr>
      <t xml:space="preserve">Hiển thị message `検索結果はありません。`, table danh sách log có hiển thị thể hiện 「Không tồn tại dữ liệu」, phân trang bị ẩn
</t>
    </r>
    <r>
      <rPr>
        <b/>
        <sz val="10"/>
        <color rgb="FF000000"/>
        <rFont val="メイリオ"/>
        <charset val="134"/>
      </rPr>
      <t xml:space="preserve">補足：
</t>
    </r>
    <r>
      <rPr>
        <sz val="10"/>
        <color rgb="FF000000"/>
        <rFont val="メイリオ"/>
        <charset val="134"/>
      </rPr>
      <t xml:space="preserve">・Áp dụng verbatim văn bản của message code ACSMS-MSG-030-003
</t>
    </r>
    <r>
      <rPr>
        <sz val="10"/>
        <color rgb="FF000000"/>
        <rFont val="メイリオ"/>
        <charset val="134"/>
      </rPr>
      <t>・0 dòng không phải lỗi mà là response bình thường</t>
    </r>
  </si>
  <si>
    <t>ACSMS-TC-030-026</t>
  </si>
  <si>
    <t>Xóa điều kiện tìm kiếm — reset toàn bộ điều kiện</t>
  </si>
  <si>
    <t>・role: NICHINO_ADMIN
・Trạng thái sau khi nhập điều kiện tìm kiếm và đã hiển thị danh sách kết quả</t>
  </si>
  <si>
    <r>
      <rPr>
        <b/>
        <sz val="10"/>
        <color rgb="FF000000"/>
        <rFont val="メイリオ"/>
        <charset val="134"/>
      </rPr>
      <t xml:space="preserve">ステップ1：
</t>
    </r>
    <r>
      <rPr>
        <sz val="10"/>
        <color rgb="FF000000"/>
        <rFont val="メイリオ"/>
        <charset val="134"/>
      </rPr>
      <t xml:space="preserve">Tạo trạng thái đã nhập khoảng thời gian, loại log, tên user
</t>
    </r>
    <r>
      <rPr>
        <b/>
        <sz val="10"/>
        <color rgb="FF000000"/>
        <rFont val="メイリオ"/>
        <charset val="134"/>
      </rPr>
      <t xml:space="preserve">ステップ2：
</t>
    </r>
    <r>
      <rPr>
        <sz val="10"/>
        <color rgb="FF000000"/>
        <rFont val="メイリオ"/>
        <charset val="134"/>
      </rPr>
      <t xml:space="preserve">Nhấn button「検索クリア」
</t>
    </r>
    <r>
      <rPr>
        <b/>
        <sz val="10"/>
        <color rgb="FF000000"/>
        <rFont val="メイリオ"/>
        <charset val="134"/>
      </rPr>
      <t xml:space="preserve">ステップ3：
</t>
    </r>
    <r>
      <rPr>
        <sz val="10"/>
        <color rgb="FF000000"/>
        <rFont val="メイリオ"/>
        <charset val="134"/>
      </rPr>
      <t>Kiểm tra trạng thái điều kiện tìm kiếm và danh sách</t>
    </r>
  </si>
  <si>
    <r>
      <rPr>
        <b/>
        <sz val="10"/>
        <color rgb="FF000000"/>
        <rFont val="メイリオ"/>
        <charset val="134"/>
      </rPr>
      <t xml:space="preserve">ステップ1：
</t>
    </r>
    <r>
      <rPr>
        <sz val="10"/>
        <color rgb="FF000000"/>
        <rFont val="メイリオ"/>
        <charset val="134"/>
      </rPr>
      <t xml:space="preserve">Điều kiện tìm kiếm có giá trị được nhập
</t>
    </r>
    <r>
      <rPr>
        <b/>
        <sz val="10"/>
        <color rgb="FF000000"/>
        <rFont val="メイリオ"/>
        <charset val="134"/>
      </rPr>
      <t xml:space="preserve">ステップ2：
</t>
    </r>
    <r>
      <rPr>
        <sz val="10"/>
        <color rgb="FF000000"/>
        <rFont val="メイリオ"/>
        <charset val="134"/>
      </rPr>
      <t xml:space="preserve">Toàn bộ điều kiện tìm kiếm bị clear (khoảng thời gian: rỗng, loại log: 「すべて」, tên user: rỗng)
</t>
    </r>
    <r>
      <rPr>
        <b/>
        <sz val="10"/>
        <color rgb="FF000000"/>
        <rFont val="メイリオ"/>
        <charset val="134"/>
      </rPr>
      <t xml:space="preserve">ステップ3：
</t>
    </r>
    <r>
      <rPr>
        <sz val="10"/>
        <color rgb="FF000000"/>
        <rFont val="メイリオ"/>
        <charset val="134"/>
      </rPr>
      <t xml:space="preserve">Danh sách log mặc định (thứ tự mới nhất, đã áp dụng DataScope) được hiển thị lại, trang quay về trang 1
</t>
    </r>
    <r>
      <rPr>
        <b/>
        <sz val="10"/>
        <color rgb="FF000000"/>
        <rFont val="メイリオ"/>
        <charset val="134"/>
      </rPr>
      <t xml:space="preserve">補足：
</t>
    </r>
    <r>
      <rPr>
        <sz val="10"/>
        <color rgb="FF000000"/>
        <rFont val="メイリオ"/>
        <charset val="134"/>
      </rPr>
      <t xml:space="preserve">・Điều kiện tìm kiếm được khởi tạo
</t>
    </r>
    <r>
      <rPr>
        <sz val="10"/>
        <color rgb="FF000000"/>
        <rFont val="メイリオ"/>
        <charset val="134"/>
      </rPr>
      <t>・Query parameter trên URL được clear</t>
    </r>
  </si>
  <si>
    <t>ACSMS-TC-030-027</t>
  </si>
  <si>
    <t>Phân trang — trang trước, trang sau, trang chỉ định</t>
  </si>
  <si>
    <r>
      <rPr>
        <b/>
        <sz val="10"/>
        <color rgb="FF000000"/>
        <rFont val="メイリオ"/>
        <charset val="134"/>
      </rPr>
      <t xml:space="preserve">ステップ1：
</t>
    </r>
    <r>
      <rPr>
        <sz val="10"/>
        <color rgb="FF000000"/>
        <rFont val="メイリオ"/>
        <charset val="134"/>
      </rPr>
      <t xml:space="preserve">Nhấn button「次へ」
</t>
    </r>
    <r>
      <rPr>
        <b/>
        <sz val="10"/>
        <color rgb="FF000000"/>
        <rFont val="メイリオ"/>
        <charset val="134"/>
      </rPr>
      <t xml:space="preserve">ステップ2：
</t>
    </r>
    <r>
      <rPr>
        <sz val="10"/>
        <color rgb="FF000000"/>
        <rFont val="メイリオ"/>
        <charset val="134"/>
      </rPr>
      <t xml:space="preserve">Click trực tiếp số trang「5」
</t>
    </r>
    <r>
      <rPr>
        <b/>
        <sz val="10"/>
        <color rgb="FF000000"/>
        <rFont val="メイリオ"/>
        <charset val="134"/>
      </rPr>
      <t xml:space="preserve">ステップ3：
</t>
    </r>
    <r>
      <rPr>
        <sz val="10"/>
        <color rgb="FF000000"/>
        <rFont val="メイリオ"/>
        <charset val="134"/>
      </rPr>
      <t xml:space="preserve">Nhấn button「前へ」
</t>
    </r>
    <r>
      <rPr>
        <b/>
        <sz val="10"/>
        <color rgb="FF000000"/>
        <rFont val="メイリオ"/>
        <charset val="134"/>
      </rPr>
      <t xml:space="preserve">ステップ4：
</t>
    </r>
    <r>
      <rPr>
        <sz val="10"/>
        <color rgb="FF000000"/>
        <rFont val="メイリオ"/>
        <charset val="134"/>
      </rPr>
      <t>Di chuyển đến trang cuối và thử nhấn「次へ」</t>
    </r>
  </si>
  <si>
    <r>
      <rPr>
        <b/>
        <sz val="10"/>
        <color rgb="FF000000"/>
        <rFont val="メイリオ"/>
        <charset val="134"/>
      </rPr>
      <t xml:space="preserve">ステップ1：
</t>
    </r>
    <r>
      <rPr>
        <sz val="10"/>
        <color rgb="FF000000"/>
        <rFont val="メイリオ"/>
        <charset val="134"/>
      </rPr>
      <t xml:space="preserve">Data của trang 2 được hiển thị, query parameter được cập nhật thành `page=2`
</t>
    </r>
    <r>
      <rPr>
        <b/>
        <sz val="10"/>
        <color rgb="FF000000"/>
        <rFont val="メイリオ"/>
        <charset val="134"/>
      </rPr>
      <t xml:space="preserve">ステップ2：
</t>
    </r>
    <r>
      <rPr>
        <sz val="10"/>
        <color rgb="FF000000"/>
        <rFont val="メイリオ"/>
        <charset val="134"/>
      </rPr>
      <t xml:space="preserve">Data của trang 5 được hiển thị, query parameter được cập nhật thành `page=5`
</t>
    </r>
    <r>
      <rPr>
        <b/>
        <sz val="10"/>
        <color rgb="FF000000"/>
        <rFont val="メイリオ"/>
        <charset val="134"/>
      </rPr>
      <t xml:space="preserve">ステップ3：
</t>
    </r>
    <r>
      <rPr>
        <sz val="10"/>
        <color rgb="FF000000"/>
        <rFont val="メイリオ"/>
        <charset val="134"/>
      </rPr>
      <t xml:space="preserve">Data của trang 4 được hiển thị
</t>
    </r>
    <r>
      <rPr>
        <b/>
        <sz val="10"/>
        <color rgb="FF000000"/>
        <rFont val="メイリオ"/>
        <charset val="134"/>
      </rPr>
      <t xml:space="preserve">ステップ4：
</t>
    </r>
    <r>
      <rPr>
        <sz val="10"/>
        <color rgb="FF000000"/>
        <rFont val="メイリオ"/>
        <charset val="134"/>
      </rPr>
      <t xml:space="preserve">Button「次へ」hiển thị ở trạng thái disable, không xảy ra chuyển trang
</t>
    </r>
    <r>
      <rPr>
        <b/>
        <sz val="10"/>
        <color rgb="FF000000"/>
        <rFont val="メイリオ"/>
        <charset val="134"/>
      </rPr>
      <t xml:space="preserve">補足：
</t>
    </r>
    <r>
      <rPr>
        <sz val="10"/>
        <color rgb="FF000000"/>
        <rFont val="メイリオ"/>
        <charset val="134"/>
      </rPr>
      <t xml:space="preserve">・Giữ nguyên điều kiện tìm kiếm hiện tại khi chuyển trang
</t>
    </r>
    <r>
      <rPr>
        <sz val="10"/>
        <color rgb="FF000000"/>
        <rFont val="メイリオ"/>
        <charset val="134"/>
      </rPr>
      <t>・「前へ」bị disable ở trang đầu, 「次へ」bị disable ở trang cuối</t>
    </r>
  </si>
  <si>
    <t>ACSMS-TC-030-028</t>
  </si>
  <si>
    <t>Sort — mặc định giảm dần theo ngày giờ + chuyển sort khi click cột</t>
  </si>
  <si>
    <t>・role: NICHINO_ADMIN
・Có nhiều log với log_datetime / log_type / result_status khác nhau</t>
  </si>
  <si>
    <r>
      <rPr>
        <b/>
        <sz val="10"/>
        <color rgb="FF000000"/>
        <rFont val="游ゴシック"/>
        <charset val="134"/>
      </rPr>
      <t xml:space="preserve">ステップ1：
</t>
    </r>
    <r>
      <rPr>
        <sz val="10"/>
        <color rgb="FF000000"/>
        <rFont val="游ゴシック"/>
        <charset val="134"/>
      </rPr>
      <t xml:space="preserve">Kiểm tra thứ tự sort của cột「日時」ở trạng thái hiển thị ban đầu
</t>
    </r>
    <r>
      <rPr>
        <b/>
        <sz val="10"/>
        <color rgb="FF000000"/>
        <rFont val="游ゴシック"/>
        <charset val="134"/>
      </rPr>
      <t xml:space="preserve">ステップ2：
</t>
    </r>
    <r>
      <rPr>
        <sz val="10"/>
        <color rgb="FF000000"/>
        <rFont val="游ゴシック"/>
        <charset val="134"/>
      </rPr>
      <t xml:space="preserve">Click header cột「日時」để chuyển sort
</t>
    </r>
  </si>
  <si>
    <r>
      <rPr>
        <b/>
        <sz val="10"/>
        <color rgb="FF000000"/>
        <rFont val="游ゴシック"/>
        <charset val="134"/>
      </rPr>
      <t xml:space="preserve">ステップ1：
</t>
    </r>
    <r>
      <rPr>
        <sz val="10"/>
        <color rgb="FF000000"/>
        <rFont val="游ゴシック"/>
        <charset val="134"/>
      </rPr>
      <t xml:space="preserve">Hiển thị theo thứ tự giảm dần log_datetime (thứ tự mới nhất), icon sort thể hiện「↓」 (giảm dần)
</t>
    </r>
    <r>
      <rPr>
        <b/>
        <sz val="10"/>
        <color rgb="FF000000"/>
        <rFont val="游ゴシック"/>
        <charset val="134"/>
      </rPr>
      <t xml:space="preserve">ステップ2：
</t>
    </r>
    <r>
      <rPr>
        <sz val="10"/>
        <color rgb="FF000000"/>
        <rFont val="游ゴシック"/>
        <charset val="134"/>
      </rPr>
      <t xml:space="preserve">Chuyển sang thứ tự tăng dần log_datetime (thứ tự cũ), icon sort thể hiện「↑」 (tăng dần), query parameter chuyển thành `sort_by=log_datetime&amp;sort_order=asc`
</t>
    </r>
    <r>
      <rPr>
        <b/>
        <sz val="10"/>
        <color rgb="FF000000"/>
        <rFont val="游ゴシック"/>
        <charset val="134"/>
      </rPr>
      <t xml:space="preserve">補足：
</t>
    </r>
    <r>
      <rPr>
        <sz val="10"/>
        <color rgb="FF000000"/>
        <rFont val="游ゴシック"/>
        <charset val="134"/>
      </rPr>
      <t>・Các cột sort được phép: log_datetime, log_type, result_status
・Sort theo các cột khác bị backend từ chối</t>
    </r>
  </si>
  <si>
    <t>ACSMS-TC-030-029</t>
  </si>
  <si>
    <t>DataScope — CHUOKAI chỉ lấy log của chuokai mình</t>
  </si>
  <si>
    <t>・role: CHUOKAI (thuộc chuokai-001, ja_id=1)
・Có log tồn tại ở JA của chuokai mình (ja-001) và JA của chuokai khác (ja-002)</t>
  </si>
  <si>
    <r>
      <rPr>
        <b/>
        <sz val="10"/>
        <color rgb="FF000000"/>
        <rFont val="メイリオ"/>
        <charset val="134"/>
      </rPr>
      <t xml:space="preserve">ステップ1：
</t>
    </r>
    <r>
      <rPr>
        <sz val="10"/>
        <color rgb="FF000000"/>
        <rFont val="メイリオ"/>
        <charset val="134"/>
      </rPr>
      <t xml:space="preserve">Mở màn danh sách log
</t>
    </r>
    <r>
      <rPr>
        <b/>
        <sz val="10"/>
        <color rgb="FF000000"/>
        <rFont val="メイリオ"/>
        <charset val="134"/>
      </rPr>
      <t xml:space="preserve">ステップ2：
</t>
    </r>
    <r>
      <rPr>
        <sz val="10"/>
        <color rgb="FF000000"/>
        <rFont val="メイリオ"/>
        <charset val="134"/>
      </rPr>
      <t xml:space="preserve">Kiểm tra response JSON của GET `/api/v1/log` trên DevTools
</t>
    </r>
    <r>
      <rPr>
        <b/>
        <sz val="10"/>
        <color rgb="FF000000"/>
        <rFont val="メイリオ"/>
        <charset val="134"/>
      </rPr>
      <t xml:space="preserve">ステップ3：
</t>
    </r>
    <r>
      <rPr>
        <sz val="10"/>
        <color rgb="FF000000"/>
        <rFont val="メイリオ"/>
        <charset val="134"/>
      </rPr>
      <t>Dùng DevTools gọi trực tiếp GET `/api/v1/log?account_id={account_id của chuokai khác}`</t>
    </r>
  </si>
  <si>
    <r>
      <rPr>
        <b/>
        <sz val="10"/>
        <color rgb="FF000000"/>
        <rFont val="メイリオ"/>
        <charset val="134"/>
      </rPr>
      <t xml:space="preserve">ステップ1：
</t>
    </r>
    <r>
      <rPr>
        <sz val="10"/>
        <color rgb="FF000000"/>
        <rFont val="メイリオ"/>
        <charset val="134"/>
      </rPr>
      <t xml:space="preserve">Chỉ hiển thị log có ja_id=1
</t>
    </r>
    <r>
      <rPr>
        <b/>
        <sz val="10"/>
        <color rgb="FF000000"/>
        <rFont val="メイリオ"/>
        <charset val="134"/>
      </rPr>
      <t xml:space="preserve">ステップ2：
</t>
    </r>
    <r>
      <rPr>
        <sz val="10"/>
        <color rgb="FF000000"/>
        <rFont val="メイリオ"/>
        <charset val="134"/>
      </rPr>
      <t xml:space="preserve">Toàn bộ phần tử trong mảng `data` của response đều có `ja_id = 1`, không bao gồm log của ja-002
</t>
    </r>
    <r>
      <rPr>
        <b/>
        <sz val="10"/>
        <color rgb="FF000000"/>
        <rFont val="メイリオ"/>
        <charset val="134"/>
      </rPr>
      <t xml:space="preserve">ステップ3：
</t>
    </r>
    <r>
      <rPr>
        <sz val="10"/>
        <color rgb="FF000000"/>
        <rFont val="メイリオ"/>
        <charset val="134"/>
      </rPr>
      <t xml:space="preserve">Dù filter bằng account_id của chuokai khác, kết quả là 0 dòng (DataScope filter ở phía backend)
</t>
    </r>
    <r>
      <rPr>
        <b/>
        <sz val="10"/>
        <color rgb="FF000000"/>
        <rFont val="メイリオ"/>
        <charset val="134"/>
      </rPr>
      <t xml:space="preserve">補足：
</t>
    </r>
    <r>
      <rPr>
        <sz val="10"/>
        <color rgb="FF000000"/>
        <rFont val="メイリオ"/>
        <charset val="134"/>
      </rPr>
      <t xml:space="preserve">・DataScope (`l.ja_id = :user_ja_id`) được áp dụng tự động ở backend
</t>
    </r>
    <r>
      <rPr>
        <sz val="10"/>
        <color rgb="FF000000"/>
        <rFont val="メイリオ"/>
        <charset val="134"/>
      </rPr>
      <t>・Tính toàn vẹn data được đảm bảo</t>
    </r>
  </si>
  <si>
    <t>ACSMS-TC-030-030</t>
  </si>
  <si>
    <t>DataScope — JA_HONTEN chỉ lấy log của JA mình</t>
  </si>
  <si>
    <t>・role: JA_HONTEN (thuộc ja-001)
・Trong JA mình có các chi nhánh quản lý (branch-001, branch-002)
・JA khác (ja-002) cũng có log tồn tại</t>
  </si>
  <si>
    <r>
      <rPr>
        <b/>
        <sz val="10"/>
        <color rgb="FF000000"/>
        <rFont val="メイリオ"/>
        <charset val="134"/>
      </rPr>
      <t xml:space="preserve">ステップ1：
</t>
    </r>
    <r>
      <rPr>
        <sz val="10"/>
        <color rgb="FF000000"/>
        <rFont val="メイリオ"/>
        <charset val="134"/>
      </rPr>
      <t xml:space="preserve">Mở màn danh sách log
</t>
    </r>
    <r>
      <rPr>
        <b/>
        <sz val="10"/>
        <color rgb="FF000000"/>
        <rFont val="メイリオ"/>
        <charset val="134"/>
      </rPr>
      <t xml:space="preserve">ステップ2：
</t>
    </r>
    <r>
      <rPr>
        <sz val="10"/>
        <color rgb="FF000000"/>
        <rFont val="メイリオ"/>
        <charset val="134"/>
      </rPr>
      <t xml:space="preserve">Kiểm tra account (user ID) của log
</t>
    </r>
    <r>
      <rPr>
        <b/>
        <sz val="10"/>
        <color rgb="FF000000"/>
        <rFont val="メイリオ"/>
        <charset val="134"/>
      </rPr>
      <t xml:space="preserve">ステップ3：
</t>
    </r>
    <r>
      <rPr>
        <sz val="10"/>
        <color rgb="FF000000"/>
        <rFont val="メイリオ"/>
        <charset val="134"/>
      </rPr>
      <t>Dùng DevTools gọi trực tiếp GET `/api/v1/log?account_id={account_id của JA khác}`</t>
    </r>
  </si>
  <si>
    <r>
      <rPr>
        <b/>
        <sz val="10"/>
        <color rgb="FF000000"/>
        <rFont val="メイリオ"/>
        <charset val="134"/>
      </rPr>
      <t xml:space="preserve">ステップ1：
</t>
    </r>
    <r>
      <rPr>
        <sz val="10"/>
        <color rgb="FF000000"/>
        <rFont val="メイリオ"/>
        <charset val="134"/>
      </rPr>
      <t xml:space="preserve">Chỉ hiển thị log có ja_id=1
</t>
    </r>
    <r>
      <rPr>
        <b/>
        <sz val="10"/>
        <color rgb="FF000000"/>
        <rFont val="メイリオ"/>
        <charset val="134"/>
      </rPr>
      <t xml:space="preserve">ステップ2：
</t>
    </r>
    <r>
      <rPr>
        <sz val="10"/>
        <color rgb="FF000000"/>
        <rFont val="メイリオ"/>
        <charset val="134"/>
      </rPr>
      <t xml:space="preserve">Hiển thị log của các account thuộc chi nhánh quản lý (branch-001, branch-002) của JA mình
</t>
    </r>
    <r>
      <rPr>
        <b/>
        <sz val="10"/>
        <color rgb="FF000000"/>
        <rFont val="メイリオ"/>
        <charset val="134"/>
      </rPr>
      <t xml:space="preserve">ステップ3：
</t>
    </r>
    <r>
      <rPr>
        <sz val="10"/>
        <color rgb="FF000000"/>
        <rFont val="メイリオ"/>
        <charset val="134"/>
      </rPr>
      <t xml:space="preserve">Dù filter bằng account_id của JA khác, kết quả là 0 dòng
</t>
    </r>
    <r>
      <rPr>
        <b/>
        <sz val="10"/>
        <color rgb="FF000000"/>
        <rFont val="メイリオ"/>
        <charset val="134"/>
      </rPr>
      <t xml:space="preserve">補足：
</t>
    </r>
    <r>
      <rPr>
        <sz val="10"/>
        <color rgb="FF000000"/>
        <rFont val="メイリオ"/>
        <charset val="134"/>
      </rPr>
      <t xml:space="preserve">・JA_HONTEN xem được log của tất cả chi nhánh quản lý thuộc JA mình
</t>
    </r>
    <r>
      <rPr>
        <sz val="10"/>
        <color rgb="FF000000"/>
        <rFont val="メイリオ"/>
        <charset val="134"/>
      </rPr>
      <t>・DataScope (`l.ja_id = :user_ja_id`) được áp dụng</t>
    </r>
  </si>
  <si>
    <t>ACSMS-TC-030-031</t>
  </si>
  <si>
    <t>DataScope — JA_KANRI_SHITEN chỉ lấy log của chi nhánh quản lý mình</t>
  </si>
  <si>
    <t>・role: JA_KANRI_SHITEN (thuộc ja-001 / branch-001)
・Có account và log tồn tại ở cả branch-001 và branch-002</t>
  </si>
  <si>
    <r>
      <rPr>
        <b/>
        <sz val="10"/>
        <color rgb="FF000000"/>
        <rFont val="メイリオ"/>
        <charset val="134"/>
      </rPr>
      <t xml:space="preserve">ステップ1：
</t>
    </r>
    <r>
      <rPr>
        <sz val="10"/>
        <color rgb="FF000000"/>
        <rFont val="メイリオ"/>
        <charset val="134"/>
      </rPr>
      <t xml:space="preserve">Mở màn danh sách log
</t>
    </r>
    <r>
      <rPr>
        <b/>
        <sz val="10"/>
        <color rgb="FF000000"/>
        <rFont val="メイリオ"/>
        <charset val="134"/>
      </rPr>
      <t xml:space="preserve">ステップ2：
</t>
    </r>
    <r>
      <rPr>
        <sz val="10"/>
        <color rgb="FF000000"/>
        <rFont val="メイリオ"/>
        <charset val="134"/>
      </rPr>
      <t xml:space="preserve">Kiểm tra response JSON của GET `/api/v1/log` trên DevTools
</t>
    </r>
    <r>
      <rPr>
        <b/>
        <sz val="10"/>
        <color rgb="FF000000"/>
        <rFont val="メイリオ"/>
        <charset val="134"/>
      </rPr>
      <t xml:space="preserve">ステップ3：
</t>
    </r>
    <r>
      <rPr>
        <sz val="10"/>
        <color rgb="FF000000"/>
        <rFont val="メイリオ"/>
        <charset val="134"/>
      </rPr>
      <t>Dùng DevTools gọi trực tiếp GET `/api/v1/log?account_id={account_id thuộc branch-002}`</t>
    </r>
  </si>
  <si>
    <r>
      <rPr>
        <b/>
        <sz val="10"/>
        <color rgb="FF000000"/>
        <rFont val="メイリオ"/>
        <charset val="134"/>
      </rPr>
      <t xml:space="preserve">ステップ1：
</t>
    </r>
    <r>
      <rPr>
        <sz val="10"/>
        <color rgb="FF000000"/>
        <rFont val="メイリオ"/>
        <charset val="134"/>
      </rPr>
      <t xml:space="preserve">Chỉ hiển thị log của các account thuộc branch-001
</t>
    </r>
    <r>
      <rPr>
        <b/>
        <sz val="10"/>
        <color rgb="FF000000"/>
        <rFont val="メイリオ"/>
        <charset val="134"/>
      </rPr>
      <t xml:space="preserve">ステップ2：
</t>
    </r>
    <r>
      <rPr>
        <sz val="10"/>
        <color rgb="FF000000"/>
        <rFont val="メイリオ"/>
        <charset val="134"/>
      </rPr>
      <t xml:space="preserve">Toàn bộ account trong mảng `data` của response đều thuộc branch-001
</t>
    </r>
    <r>
      <rPr>
        <b/>
        <sz val="10"/>
        <color rgb="FF000000"/>
        <rFont val="メイリオ"/>
        <charset val="134"/>
      </rPr>
      <t xml:space="preserve">ステップ3：
</t>
    </r>
    <r>
      <rPr>
        <sz val="10"/>
        <color rgb="FF000000"/>
        <rFont val="メイリオ"/>
        <charset val="134"/>
      </rPr>
      <t xml:space="preserve">Dù filter bằng account của branch-002, kết quả là 0 dòng
</t>
    </r>
    <r>
      <rPr>
        <b/>
        <sz val="10"/>
        <color rgb="FF000000"/>
        <rFont val="メイリオ"/>
        <charset val="134"/>
      </rPr>
      <t xml:space="preserve">補足：
</t>
    </r>
    <r>
      <rPr>
        <sz val="10"/>
        <color rgb="FF000000"/>
        <rFont val="メイリオ"/>
        <charset val="134"/>
      </rPr>
      <t xml:space="preserve">・DataScope (`a.kanri_shiten_id = :user_kanri_shiten_id`) được áp dụng tự động ở backend
</t>
    </r>
    <r>
      <rPr>
        <sz val="10"/>
        <color rgb="FF000000"/>
        <rFont val="メイリオ"/>
        <charset val="134"/>
      </rPr>
      <t>・Không thể truy cập log của chi nhánh quản lý khác bằng bất cứ cách nào</t>
    </r>
  </si>
  <si>
    <t>ACSMS-TC-030-032</t>
  </si>
  <si>
    <t>Hiển thị cột kết quả tìm kiếm — badge kết quả + field chi tiết</t>
  </si>
  <si>
    <t>・role: NICHINO_ADMIN
・Trong `t_log` có record của mỗi result_status (1, 2, 3)</t>
  </si>
  <si>
    <r>
      <rPr>
        <b/>
        <sz val="10"/>
        <color rgb="FF000000"/>
        <rFont val="メイリオ"/>
        <charset val="134"/>
      </rPr>
      <t xml:space="preserve">ステップ1：
</t>
    </r>
    <r>
      <rPr>
        <sz val="10"/>
        <color rgb="FF000000"/>
        <rFont val="メイリオ"/>
        <charset val="134"/>
      </rPr>
      <t xml:space="preserve">Mở màn danh sách log
</t>
    </r>
    <r>
      <rPr>
        <b/>
        <sz val="10"/>
        <color rgb="FF000000"/>
        <rFont val="メイリオ"/>
        <charset val="134"/>
      </rPr>
      <t xml:space="preserve">ステップ2：
</t>
    </r>
    <r>
      <rPr>
        <sz val="10"/>
        <color rgb="FF000000"/>
        <rFont val="メイリオ"/>
        <charset val="134"/>
      </rPr>
      <t xml:space="preserve">Kiểm tra cột「結果」「詳細」của record có result_status=1
</t>
    </r>
    <r>
      <rPr>
        <b/>
        <sz val="10"/>
        <color rgb="FF000000"/>
        <rFont val="メイリオ"/>
        <charset val="134"/>
      </rPr>
      <t xml:space="preserve">ステップ3：
</t>
    </r>
    <r>
      <rPr>
        <sz val="10"/>
        <color rgb="FF000000"/>
        <rFont val="メイリオ"/>
        <charset val="134"/>
      </rPr>
      <t xml:space="preserve">Kiểm tra cột「結果」「詳細」của record có result_status=2
</t>
    </r>
    <r>
      <rPr>
        <b/>
        <sz val="10"/>
        <color rgb="FF000000"/>
        <rFont val="メイリオ"/>
        <charset val="134"/>
      </rPr>
      <t xml:space="preserve">ステップ4：
</t>
    </r>
    <r>
      <rPr>
        <sz val="10"/>
        <color rgb="FF000000"/>
        <rFont val="メイリオ"/>
        <charset val="134"/>
      </rPr>
      <t>Kiểm tra cột「結果」「詳細」của record có result_status=3</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</si>
  <si>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Cột「結果」hiển thị badge màu xanh lá「成功」, cột「詳細」hiển thị `after_value` (JSON)
</t>
    </r>
    <r>
      <rPr>
        <b/>
        <sz val="10"/>
        <color rgb="FF000000"/>
        <rFont val="メイリオ"/>
        <charset val="134"/>
      </rPr>
      <t xml:space="preserve">ステップ3：
</t>
    </r>
    <r>
      <rPr>
        <sz val="10"/>
        <color rgb="FF000000"/>
        <rFont val="メイリオ"/>
        <charset val="134"/>
      </rPr>
      <t xml:space="preserve">Cột「結果」hiển thị badge màu đỏ「失敗」, cột「詳細」hiển thị `after_value` (khi lỗi thì rỗng)
</t>
    </r>
    <r>
      <rPr>
        <b/>
        <sz val="10"/>
        <color rgb="FF000000"/>
        <rFont val="メイリオ"/>
        <charset val="134"/>
      </rPr>
      <t xml:space="preserve">ステップ4：
</t>
    </r>
    <r>
      <rPr>
        <sz val="10"/>
        <color rgb="FF000000"/>
        <rFont val="メイリオ"/>
        <charset val="134"/>
      </rPr>
      <t xml:space="preserve">Cột「結果」hiển thị badge màu vàng「警告」
</t>
    </r>
    <r>
      <rPr>
        <b/>
        <sz val="10"/>
        <color rgb="FF000000"/>
        <rFont val="メイリオ"/>
        <charset val="134"/>
      </rPr>
      <t xml:space="preserve">補足：
</t>
    </r>
    <r>
      <rPr>
        <sz val="10"/>
        <color rgb="FF000000"/>
        <rFont val="メイリオ"/>
        <charset val="134"/>
      </rPr>
      <t xml:space="preserve">・Label result_status: 1=成功, 2=失敗, 3=警告
</t>
    </r>
    <r>
      <rPr>
        <sz val="10"/>
        <color rgb="FF000000"/>
        <rFont val="メイリオ"/>
        <charset val="134"/>
      </rPr>
      <t>・Màu sắc sử dụng semantic color của design tokens (success / error / warning)</t>
    </r>
  </si>
  <si>
    <t>(なし)
---
Chưa test dc case status = 3</t>
  </si>
  <si>
    <t>Logic nghiệp vụ — Xuất CSV (Function — Export)</t>
  </si>
  <si>
    <t>ACSMS-TC-030-033</t>
  </si>
  <si>
    <t>Xuất CSV case bình thường (trong 5,000 dòng + UTF-8 BOM)</t>
  </si>
  <si>
    <t>・role: NICHINO_ADMIN
・Trong khoảng thời gian đối tượng có log trong phạm vi 5,000 dòng
・Đã set điều kiện tìm kiếm phù hợp</t>
  </si>
  <si>
    <r>
      <rPr>
        <b/>
        <sz val="10"/>
        <color rgb="FF000000"/>
        <rFont val="メイリオ"/>
        <charset val="134"/>
      </rPr>
      <t xml:space="preserve">ステップ1：
</t>
    </r>
    <r>
      <rPr>
        <sz val="10"/>
        <color rgb="FF000000"/>
        <rFont val="メイリオ"/>
        <charset val="134"/>
      </rPr>
      <t xml:space="preserve">Set điều kiện tìm kiếm và nhấn button「検索」
</t>
    </r>
    <r>
      <rPr>
        <b/>
        <sz val="10"/>
        <color rgb="FF000000"/>
        <rFont val="メイリオ"/>
        <charset val="134"/>
      </rPr>
      <t xml:space="preserve">ステップ2：
</t>
    </r>
    <r>
      <rPr>
        <sz val="10"/>
        <color rgb="FF000000"/>
        <rFont val="メイリオ"/>
        <charset val="134"/>
      </rPr>
      <t xml:space="preserve">Nhấn button「CSV出力」
</t>
    </r>
    <r>
      <rPr>
        <b/>
        <sz val="10"/>
        <color rgb="FF000000"/>
        <rFont val="メイリオ"/>
        <charset val="134"/>
      </rPr>
      <t xml:space="preserve">ステップ3：
</t>
    </r>
    <r>
      <rPr>
        <sz val="10"/>
        <color rgb="FF000000"/>
        <rFont val="メイリオ"/>
        <charset val="134"/>
      </rPr>
      <t xml:space="preserve">Mở file CSV đã download bằng Excel
</t>
    </r>
    <r>
      <rPr>
        <b/>
        <sz val="10"/>
        <color rgb="FF000000"/>
        <rFont val="メイリオ"/>
        <charset val="134"/>
      </rPr>
      <t xml:space="preserve">ステップ4：
</t>
    </r>
    <r>
      <rPr>
        <sz val="10"/>
        <color rgb="FF000000"/>
        <rFont val="メイリオ"/>
        <charset val="134"/>
      </rPr>
      <t>Kiểm tra đầu binary của file CSV</t>
    </r>
  </si>
  <si>
    <r>
      <rPr>
        <b/>
        <sz val="10"/>
        <color rgb="FF000000"/>
        <rFont val="メイリオ"/>
        <charset val="134"/>
      </rPr>
      <t xml:space="preserve">ステップ1：
</t>
    </r>
    <r>
      <rPr>
        <sz val="10"/>
        <color rgb="FF000000"/>
        <rFont val="メイリオ"/>
        <charset val="134"/>
      </rPr>
      <t xml:space="preserve">Kết quả tìm kiếm được hiển thị, số dòng trong phạm vi 5,000 dòng
</t>
    </r>
    <r>
      <rPr>
        <b/>
        <sz val="10"/>
        <color rgb="FF000000"/>
        <rFont val="メイリオ"/>
        <charset val="134"/>
      </rPr>
      <t xml:space="preserve">ステップ2：
</t>
    </r>
    <r>
      <rPr>
        <sz val="10"/>
        <color rgb="FF000000"/>
        <rFont val="メイリオ"/>
        <charset val="134"/>
      </rPr>
      <t xml:space="preserve">Trả về HTTP 200, header `Content-Type: text/csv; charset=utf-8` được gắn vào, file CSV được download, toast `CSVファイルをダウンロードしました。` được hiển thị
</t>
    </r>
    <r>
      <rPr>
        <b/>
        <sz val="10"/>
        <color rgb="FF000000"/>
        <rFont val="メイリオ"/>
        <charset val="134"/>
      </rPr>
      <t xml:space="preserve">ステップ3：
</t>
    </r>
    <r>
      <rPr>
        <sz val="10"/>
        <color rgb="FF000000"/>
        <rFont val="メイリオ"/>
        <charset val="134"/>
      </rPr>
      <t xml:space="preserve">Tiếng Nhật hiển thị đúng không bị lỗi font, toàn bộ record đều được bao gồm
</t>
    </r>
    <r>
      <rPr>
        <b/>
        <sz val="10"/>
        <color rgb="FF000000"/>
        <rFont val="メイリオ"/>
        <charset val="134"/>
      </rPr>
      <t xml:space="preserve">ステップ4：
</t>
    </r>
    <r>
      <rPr>
        <sz val="10"/>
        <color rgb="FF000000"/>
        <rFont val="メイリオ"/>
        <charset val="134"/>
      </rPr>
      <t xml:space="preserve">3 byte đầu của file là UTF-8 BOM (`EF BB BF`)
</t>
    </r>
    <r>
      <rPr>
        <b/>
        <sz val="10"/>
        <color rgb="FF000000"/>
        <rFont val="メイリオ"/>
        <charset val="134"/>
      </rPr>
      <t xml:space="preserve">補足：
</t>
    </r>
    <r>
      <rPr>
        <sz val="10"/>
        <color rgb="FF000000"/>
        <rFont val="メイリオ"/>
        <charset val="134"/>
      </rPr>
      <t xml:space="preserve">・Áp dụng verbatim văn bản của message code ACSMS-MSG-030-004
</t>
    </r>
    <r>
      <rPr>
        <sz val="10"/>
        <color rgb="FF000000"/>
        <rFont val="メイリオ"/>
        <charset val="134"/>
      </rPr>
      <t>・UTF-8 BOM là bắt buộc để tương thích với Excel tiếng Nhật</t>
    </r>
  </si>
  <si>
    <t>ACSMS-TC-030-034</t>
  </si>
  <si>
    <t>Lỗi xuất CSV khi vượt quá 5,000 dòng</t>
  </si>
  <si>
    <t>・role: NICHINO_ADMIN
・Trạng thái có hơn 5,001 dòng log khớp với điều kiện tìm kiếm</t>
  </si>
  <si>
    <r>
      <rPr>
        <b/>
        <strike/>
        <sz val="10"/>
        <color rgb="FF000000"/>
        <rFont val="メイリオ"/>
        <charset val="134"/>
      </rPr>
      <t xml:space="preserve">ステップ1：
</t>
    </r>
    <r>
      <rPr>
        <strike/>
        <sz val="10"/>
        <color rgb="FF000000"/>
        <rFont val="メイリオ"/>
        <charset val="134"/>
      </rPr>
      <t xml:space="preserve">Chỉ định khoảng thời gian rộng (ví dụ: 365 ngày gần nhất), tìm kiếm với loại log「すべて」
</t>
    </r>
    <r>
      <rPr>
        <b/>
        <strike/>
        <sz val="10"/>
        <color rgb="FF000000"/>
        <rFont val="メイリオ"/>
        <charset val="134"/>
      </rPr>
      <t xml:space="preserve">ステップ2：
</t>
    </r>
    <r>
      <rPr>
        <strike/>
        <sz val="10"/>
        <color rgb="FF000000"/>
        <rFont val="メイリオ"/>
        <charset val="134"/>
      </rPr>
      <t xml:space="preserve">Xác nhận số kết quả tìm kiếm vượt quá 5,000 dòng
</t>
    </r>
    <r>
      <rPr>
        <b/>
        <strike/>
        <sz val="10"/>
        <color rgb="FF000000"/>
        <rFont val="メイリオ"/>
        <charset val="134"/>
      </rPr>
      <t xml:space="preserve">ステップ3：
</t>
    </r>
    <r>
      <rPr>
        <strike/>
        <sz val="10"/>
        <color rgb="FF000000"/>
        <rFont val="メイリオ"/>
        <charset val="134"/>
      </rPr>
      <t xml:space="preserve">Nhấn button「CSV出力」
</t>
    </r>
    <r>
      <rPr>
        <b/>
        <strike/>
        <sz val="10"/>
        <color rgb="FF000000"/>
        <rFont val="メイリオ"/>
        <charset val="134"/>
      </rPr>
      <t xml:space="preserve">ステップ4：
</t>
    </r>
    <r>
      <rPr>
        <strike/>
        <sz val="10"/>
        <color rgb="FF000000"/>
        <rFont val="メイリオ"/>
        <charset val="134"/>
      </rPr>
      <t>Kiểm tra response GET `/api/v1/log/export` trên tab Network của DevTools</t>
    </r>
  </si>
  <si>
    <r>
      <rPr>
        <b/>
        <strike/>
        <sz val="10"/>
        <color rgb="FF000000"/>
        <rFont val="游ゴシック"/>
        <charset val="134"/>
      </rPr>
      <t xml:space="preserve">ステップ1：
</t>
    </r>
    <r>
      <rPr>
        <strike/>
        <sz val="10"/>
        <color rgb="FF000000"/>
        <rFont val="游ゴシック"/>
        <charset val="134"/>
      </rPr>
      <t xml:space="preserve">Điều kiện tìm kiếm phạm vi rộng được set
</t>
    </r>
    <r>
      <rPr>
        <b/>
        <strike/>
        <sz val="10"/>
        <color rgb="FF000000"/>
        <rFont val="游ゴシック"/>
        <charset val="134"/>
      </rPr>
      <t xml:space="preserve">ステップ2：
</t>
    </r>
    <r>
      <rPr>
        <strike/>
        <sz val="10"/>
        <color rgb="FF000000"/>
        <rFont val="游ゴシック"/>
        <charset val="134"/>
      </rPr>
      <t xml:space="preserve">Số kết quả tìm kiếm hiển thị ở phía trên danh sách (vượt 5,000 dòng)
</t>
    </r>
    <r>
      <rPr>
        <b/>
        <strike/>
        <sz val="10"/>
        <color rgb="FF000000"/>
        <rFont val="游ゴシック"/>
        <charset val="134"/>
      </rPr>
      <t xml:space="preserve">ステップ3：
</t>
    </r>
    <r>
      <rPr>
        <strike/>
        <sz val="10"/>
        <color rgb="FF000000"/>
        <rFont val="游ゴシック"/>
        <charset val="134"/>
      </rPr>
      <t xml:space="preserve">Hiển thị toast message lỗi `検索結果が5,000件を超えています。条件を絞り込んでください。`, CSV không được download
</t>
    </r>
    <r>
      <rPr>
        <b/>
        <strike/>
        <sz val="10"/>
        <color rgb="FF000000"/>
        <rFont val="游ゴシック"/>
        <charset val="134"/>
      </rPr>
      <t xml:space="preserve">ステップ4：
</t>
    </r>
    <r>
      <rPr>
        <strike/>
        <sz val="10"/>
        <color rgb="FF000000"/>
        <rFont val="游ゴシック"/>
        <charset val="134"/>
      </rPr>
      <t xml:space="preserve">Trả về HTTP 409 (`error_code: EXPORT_LIMIT_EXCEEDED`, message `検索結果が5,000件を超えています。条件を絞り込んでください。`)
</t>
    </r>
    <r>
      <rPr>
        <b/>
        <strike/>
        <sz val="10"/>
        <color rgb="FF000000"/>
        <rFont val="游ゴシック"/>
        <charset val="134"/>
      </rPr>
      <t xml:space="preserve">補足：
</t>
    </r>
    <r>
      <rPr>
        <strike/>
        <sz val="10"/>
        <color rgb="FF000000"/>
        <rFont val="游ゴシック"/>
        <charset val="134"/>
      </rPr>
      <t>・Áp dụng verbatim văn bản của message code ACSMS-MSG-030-005
・Backend kiểm tra giới hạn bằng count query trước khi lấy data</t>
    </r>
  </si>
  <si>
    <t>ACSMS-TC-030-035</t>
  </si>
  <si>
    <t>Format tên file xuất CSV</t>
  </si>
  <si>
    <t>・role: NICHINO_ADMIN
・Trong khoảng thời gian đối tượng có log trong phạm vi 5,000 dòng</t>
  </si>
  <si>
    <r>
      <rPr>
        <b/>
        <sz val="10"/>
        <color rgb="FF000000"/>
        <rFont val="メイリオ"/>
        <charset val="134"/>
      </rPr>
      <t xml:space="preserve">ステップ1：
</t>
    </r>
    <r>
      <rPr>
        <sz val="10"/>
        <color rgb="FF000000"/>
        <rFont val="メイリオ"/>
        <charset val="134"/>
      </rPr>
      <t xml:space="preserve">Nhấn button「CSV出力」
</t>
    </r>
    <r>
      <rPr>
        <b/>
        <sz val="10"/>
        <color rgb="FF000000"/>
        <rFont val="メイリオ"/>
        <charset val="134"/>
      </rPr>
      <t xml:space="preserve">ステップ2：
</t>
    </r>
    <r>
      <rPr>
        <sz val="10"/>
        <color rgb="FF000000"/>
        <rFont val="メイリオ"/>
        <charset val="134"/>
      </rPr>
      <t xml:space="preserve">Kiểm tra tên file đã download
</t>
    </r>
    <r>
      <rPr>
        <b/>
        <sz val="10"/>
        <color rgb="FF000000"/>
        <rFont val="メイリオ"/>
        <charset val="134"/>
      </rPr>
      <t xml:space="preserve">ステップ3：
</t>
    </r>
    <r>
      <rPr>
        <sz val="10"/>
        <color rgb="FF000000"/>
        <rFont val="メイリオ"/>
        <charset val="134"/>
      </rPr>
      <t>Kiểm tra response header `Content-Disposition` trên tab Network của DevTools</t>
    </r>
  </si>
  <si>
    <r>
      <rPr>
        <b/>
        <sz val="10"/>
        <color rgb="FF000000"/>
        <rFont val="メイリオ"/>
        <charset val="134"/>
      </rPr>
      <t xml:space="preserve">ステップ1：
</t>
    </r>
    <r>
      <rPr>
        <sz val="10"/>
        <color rgb="FF000000"/>
        <rFont val="メイリオ"/>
        <charset val="134"/>
      </rPr>
      <t xml:space="preserve">File CSV được download
</t>
    </r>
    <r>
      <rPr>
        <b/>
        <sz val="10"/>
        <color rgb="FF000000"/>
        <rFont val="メイリオ"/>
        <charset val="134"/>
      </rPr>
      <t xml:space="preserve">ステップ2：
</t>
    </r>
    <r>
      <rPr>
        <sz val="10"/>
        <color rgb="FF000000"/>
        <rFont val="メイリオ"/>
        <charset val="134"/>
      </rPr>
      <t xml:space="preserve">Tên file theo format `log_export_YYYYMMDD_HHmmss.csv` (ví dụ: `log_export_20260522_143025.csv`)
</t>
    </r>
    <r>
      <rPr>
        <b/>
        <sz val="10"/>
        <color rgb="FF000000"/>
        <rFont val="メイリオ"/>
        <charset val="134"/>
      </rPr>
      <t xml:space="preserve">ステップ3：
</t>
    </r>
    <r>
      <rPr>
        <sz val="10"/>
        <color rgb="FF000000"/>
        <rFont val="メイリオ"/>
        <charset val="134"/>
      </rPr>
      <t xml:space="preserve">`Content-Disposition: attachment; filename="log_export_YYYYMMDD_HHmmss.csv"` được gắn vào
</t>
    </r>
    <r>
      <rPr>
        <b/>
        <sz val="10"/>
        <color rgb="FF000000"/>
        <rFont val="メイリオ"/>
        <charset val="134"/>
      </rPr>
      <t xml:space="preserve">補足：
</t>
    </r>
    <r>
      <rPr>
        <sz val="10"/>
        <color rgb="FF000000"/>
        <rFont val="メイリオ"/>
        <charset val="134"/>
      </rPr>
      <t xml:space="preserve">・Ngày giờ trong tên file dùng thời điểm hiện tại ở phía server
</t>
    </r>
    <r>
      <rPr>
        <sz val="10"/>
        <color rgb="FF000000"/>
        <rFont val="メイリオ"/>
        <charset val="134"/>
      </rPr>
      <t>・Timezone là JST (Asia/Tokyo)</t>
    </r>
  </si>
  <si>
    <t>ACSMS-TC-030-036</t>
  </si>
  <si>
    <t>Thứ tự cột và xử lý escape khi xuất CSV</t>
  </si>
  <si>
    <t>・role: NICHINO_ADMIN
・Có record log có chứa dấu phẩy, dấu nháy kép, xuống dòng trong「画面名」</t>
  </si>
  <si>
    <r>
      <rPr>
        <b/>
        <sz val="10"/>
        <color rgb="FF000000"/>
        <rFont val="メイリオ"/>
        <charset val="134"/>
      </rPr>
      <t xml:space="preserve">ステップ1：
</t>
    </r>
    <r>
      <rPr>
        <sz val="10"/>
        <color rgb="FF000000"/>
        <rFont val="メイリオ"/>
        <charset val="134"/>
      </rPr>
      <t xml:space="preserve">Nhấn button「CSV出力」
</t>
    </r>
    <r>
      <rPr>
        <b/>
        <sz val="10"/>
        <color rgb="FF000000"/>
        <rFont val="メイリオ"/>
        <charset val="134"/>
      </rPr>
      <t xml:space="preserve">ステップ2：
</t>
    </r>
    <r>
      <rPr>
        <sz val="10"/>
        <color rgb="FF000000"/>
        <rFont val="メイリオ"/>
        <charset val="134"/>
      </rPr>
      <t xml:space="preserve">Mở file CSV đã download bằng text editor
</t>
    </r>
    <r>
      <rPr>
        <b/>
        <sz val="10"/>
        <color rgb="FF000000"/>
        <rFont val="メイリオ"/>
        <charset val="134"/>
      </rPr>
      <t xml:space="preserve">ステップ3：
</t>
    </r>
    <r>
      <rPr>
        <sz val="10"/>
        <color rgb="FF000000"/>
        <rFont val="メイリオ"/>
        <charset val="134"/>
      </rPr>
      <t xml:space="preserve">Kiểm tra thứ tự cột của dòng header
</t>
    </r>
    <r>
      <rPr>
        <b/>
        <sz val="10"/>
        <color rgb="FF000000"/>
        <rFont val="メイリオ"/>
        <charset val="134"/>
      </rPr>
      <t xml:space="preserve">ステップ4：
</t>
    </r>
    <r>
      <rPr>
        <sz val="10"/>
        <color rgb="FF000000"/>
        <rFont val="メイリオ"/>
        <charset val="134"/>
      </rPr>
      <t>Kiểm tra escape của record có chứa ký tự đặc biệt</t>
    </r>
  </si>
  <si>
    <r>
      <rPr>
        <b/>
        <sz val="10"/>
        <color rgb="FF000000"/>
        <rFont val="メイリオ"/>
        <charset val="134"/>
      </rPr>
      <t xml:space="preserve">ステップ1：
</t>
    </r>
    <r>
      <rPr>
        <sz val="10"/>
        <color rgb="FF000000"/>
        <rFont val="メイリオ"/>
        <charset val="134"/>
      </rPr>
      <t xml:space="preserve">File CSV được download
</t>
    </r>
    <r>
      <rPr>
        <b/>
        <sz val="10"/>
        <color rgb="FF000000"/>
        <rFont val="メイリオ"/>
        <charset val="134"/>
      </rPr>
      <t xml:space="preserve">ステップ2：
</t>
    </r>
    <r>
      <rPr>
        <sz val="10"/>
        <color rgb="FF000000"/>
        <rFont val="メイリオ"/>
        <charset val="134"/>
      </rPr>
      <t xml:space="preserve">Có thể xem được nội dung file
</t>
    </r>
    <r>
      <rPr>
        <b/>
        <sz val="10"/>
        <color rgb="FF000000"/>
        <rFont val="メイリオ"/>
        <charset val="134"/>
      </rPr>
      <t xml:space="preserve">ステップ3：
</t>
    </r>
    <r>
      <rPr>
        <sz val="10"/>
        <color rgb="FF000000"/>
        <rFont val="メイリオ"/>
        <charset val="134"/>
      </rPr>
      <t xml:space="preserve">Dòng header theo thứ tự「ログID, ログ種別, 日時, ユーザーID, JA ID, 画面名, 操作内容, 結果, 対象ID, 対象テーブル, IPアドレス」
</t>
    </r>
    <r>
      <rPr>
        <b/>
        <sz val="10"/>
        <color rgb="FF000000"/>
        <rFont val="メイリオ"/>
        <charset val="134"/>
      </rPr>
      <t xml:space="preserve">ステップ4：
</t>
    </r>
    <r>
      <rPr>
        <sz val="10"/>
        <color rgb="FF000000"/>
        <rFont val="メイリオ"/>
        <charset val="134"/>
      </rPr>
      <t xml:space="preserve">Giá trị có chứa dấu phẩy, dấu nháy kép, xuống dòng được bao bởi dấu nháy kép (`"`), dấu nháy kép được escape thành `""`
</t>
    </r>
    <r>
      <rPr>
        <b/>
        <sz val="10"/>
        <color rgb="FF000000"/>
        <rFont val="メイリオ"/>
        <charset val="134"/>
      </rPr>
      <t xml:space="preserve">補足：
</t>
    </r>
    <r>
      <rPr>
        <sz val="10"/>
        <color rgb="FF000000"/>
        <rFont val="メイリオ"/>
        <charset val="134"/>
      </rPr>
      <t xml:space="preserve">・Toàn bộ 11 cột được output đúng theo thứ tự spec
</t>
    </r>
    <r>
      <rPr>
        <sz val="10"/>
        <color rgb="FF000000"/>
        <rFont val="メイリオ"/>
        <charset val="134"/>
      </rPr>
      <t>・Quy tắc escape CSV: tuân thủ RFC 4180</t>
    </r>
  </si>
  <si>
    <t>ACSMS-TC-030-037</t>
  </si>
  <si>
    <t>Ghi log thao tác khi xuất CSV</t>
  </si>
  <si>
    <t>・role: NICHINO_ADMIN
・Trong khoảng thời gian đối tượng có log</t>
  </si>
  <si>
    <r>
      <rPr>
        <b/>
        <sz val="10"/>
        <color rgb="FF000000"/>
        <rFont val="メイリオ"/>
        <charset val="134"/>
      </rPr>
      <t xml:space="preserve">ステップ1：
</t>
    </r>
    <r>
      <rPr>
        <sz val="10"/>
        <color rgb="FF000000"/>
        <rFont val="メイリオ"/>
        <charset val="134"/>
      </rPr>
      <t xml:space="preserve">Set điều kiện tìm kiếm (khoảng thời gian + loại log)
</t>
    </r>
    <r>
      <rPr>
        <b/>
        <sz val="10"/>
        <color rgb="FF000000"/>
        <rFont val="メイリオ"/>
        <charset val="134"/>
      </rPr>
      <t xml:space="preserve">ステップ2：
</t>
    </r>
    <r>
      <rPr>
        <sz val="10"/>
        <color rgb="FF000000"/>
        <rFont val="メイリオ"/>
        <charset val="134"/>
      </rPr>
      <t xml:space="preserve">Nhấn button「CSV出力」
</t>
    </r>
    <r>
      <rPr>
        <b/>
        <sz val="10"/>
        <color rgb="FF000000"/>
        <rFont val="メイリオ"/>
        <charset val="134"/>
      </rPr>
      <t xml:space="preserve">ステップ3：
</t>
    </r>
    <r>
      <rPr>
        <sz val="10"/>
        <color rgb="FF000000"/>
        <rFont val="メイリオ"/>
        <charset val="134"/>
      </rPr>
      <t xml:space="preserve">Sau khi download hoàn tất, kiểm tra table `t_log` trong DB
</t>
    </r>
    <r>
      <rPr>
        <sz val="10"/>
        <color rgb="FF000000"/>
        <rFont val="メイリオ"/>
        <charset val="134"/>
      </rPr>
      <t xml:space="preserve">```sql
</t>
    </r>
    <r>
      <rPr>
        <sz val="10"/>
        <color rgb="FF000000"/>
        <rFont val="メイリオ"/>
        <charset val="134"/>
      </rPr>
      <t xml:space="preserve">SELECT * FROM t_log
</t>
    </r>
    <r>
      <rPr>
        <sz val="10"/>
        <color rgb="FF000000"/>
        <rFont val="メイリオ"/>
        <charset val="134"/>
      </rPr>
      <t xml:space="preserve">WHERE operation = 'EXPORT_CSV'
</t>
    </r>
    <r>
      <rPr>
        <sz val="10"/>
        <color rgb="FF000000"/>
        <rFont val="メイリオ"/>
        <charset val="134"/>
      </rPr>
      <t xml:space="preserve">AND target_table = 't_log'
</t>
    </r>
    <r>
      <rPr>
        <sz val="10"/>
        <color rgb="FF000000"/>
        <rFont val="メイリオ"/>
        <charset val="134"/>
      </rPr>
      <t xml:space="preserve">ORDER BY log_datetime DESC
</t>
    </r>
    <r>
      <rPr>
        <sz val="10"/>
        <color rgb="FF000000"/>
        <rFont val="メイリオ"/>
        <charset val="134"/>
      </rPr>
      <t xml:space="preserve">LIMIT 1;
</t>
    </r>
    <r>
      <rPr>
        <sz val="10"/>
        <color rgb="FF000000"/>
        <rFont val="メイリオ"/>
        <charset val="134"/>
      </rPr>
      <t>```</t>
    </r>
  </si>
  <si>
    <r>
      <rPr>
        <b/>
        <sz val="10"/>
        <color rgb="FF000000"/>
        <rFont val="メイリオ"/>
        <charset val="134"/>
      </rPr>
      <t xml:space="preserve">ステップ1：
</t>
    </r>
    <r>
      <rPr>
        <sz val="10"/>
        <color rgb="FF000000"/>
        <rFont val="メイリオ"/>
        <charset val="134"/>
      </rPr>
      <t xml:space="preserve">Điều kiện tìm kiếm được set
</t>
    </r>
    <r>
      <rPr>
        <b/>
        <sz val="10"/>
        <color rgb="FF000000"/>
        <rFont val="メイリオ"/>
        <charset val="134"/>
      </rPr>
      <t xml:space="preserve">ステップ2：
</t>
    </r>
    <r>
      <rPr>
        <sz val="10"/>
        <color rgb="FF000000"/>
        <rFont val="メイリオ"/>
        <charset val="134"/>
      </rPr>
      <t xml:space="preserve">CSV được download
</t>
    </r>
    <r>
      <rPr>
        <b/>
        <sz val="10"/>
        <color rgb="FF000000"/>
        <rFont val="メイリオ"/>
        <charset val="134"/>
      </rPr>
      <t xml:space="preserve">ステップ3：
</t>
    </r>
    <r>
      <rPr>
        <sz val="10"/>
        <color rgb="FF000000"/>
        <rFont val="メイリオ"/>
        <charset val="134"/>
      </rPr>
      <t xml:space="preserve">Audit log được record 1 dòng, `log_type=1` (user thao tác), `operation='EXPORT_CSV'`, `result_status=1` (thành công), `gamen_name='ログ参照画面 (ACSMS-SCR-030)'`, `account_id` khớp với account test, `after_value` được record dạng JSON với điều kiện export và số dòng (`date_from`, `date_to`, `log_type`, `record_count`)
</t>
    </r>
    <r>
      <rPr>
        <b/>
        <sz val="10"/>
        <color rgb="FF000000"/>
        <rFont val="メイリオ"/>
        <charset val="134"/>
      </rPr>
      <t xml:space="preserve">補足：
</t>
    </r>
    <r>
      <rPr>
        <sz val="10"/>
        <color rgb="FF000000"/>
        <rFont val="メイリオ"/>
        <charset val="134"/>
      </rPr>
      <t xml:space="preserve">・before_value là chuỗi rỗng
</t>
    </r>
    <r>
      <rPr>
        <sz val="10"/>
        <color rgb="FF000000"/>
        <rFont val="メイリオ"/>
        <charset val="134"/>
      </rPr>
      <t>・Audit log là yêu cầu pháp lý, phải được record mỗi lần xuất CSV</t>
    </r>
  </si>
  <si>
    <t>ACSMS-TC-030-038</t>
  </si>
  <si>
    <t>Ghi error log khi xuất CSV thất bại</t>
  </si>
  <si>
    <t>・role: NICHINO_ADMIN
・Môi trường có thể chủ động trigger lỗi kết nối DB</t>
  </si>
  <si>
    <r>
      <rPr>
        <b/>
        <sz val="10"/>
        <color rgb="FF000000"/>
        <rFont val="游ゴシック"/>
        <charset val="134"/>
      </rPr>
      <t xml:space="preserve">ステップ1：
</t>
    </r>
    <r>
      <rPr>
        <sz val="10"/>
        <color rgb="FF000000"/>
        <rFont val="游ゴシック"/>
        <charset val="134"/>
      </rPr>
      <t xml:space="preserve">Gây lỗi kết nối DB hoặc lỗi ghi disk trong khi sinh CSV
</t>
    </r>
    <r>
      <rPr>
        <b/>
        <sz val="10"/>
        <color rgb="FF000000"/>
        <rFont val="游ゴシック"/>
        <charset val="134"/>
      </rPr>
      <t xml:space="preserve">ステップ2：
</t>
    </r>
    <r>
      <rPr>
        <sz val="10"/>
        <color rgb="FF000000"/>
        <rFont val="游ゴシック"/>
        <charset val="134"/>
      </rPr>
      <t xml:space="preserve">Nhấn button「CSV出力」
</t>
    </r>
    <r>
      <rPr>
        <b/>
        <sz val="10"/>
        <color rgb="FF000000"/>
        <rFont val="游ゴシック"/>
        <charset val="134"/>
      </rPr>
      <t xml:space="preserve">ステップ3：
</t>
    </r>
    <r>
      <rPr>
        <sz val="10"/>
        <color rgb="FF000000"/>
        <rFont val="游ゴシック"/>
        <charset val="134"/>
      </rPr>
      <t>Kiểm tra table `t_log` trong DB
```sql
SELECT * FROM t_log
WHERE operation = 'EXPORT_CSV'
AND result_status = 2
ORDER BY log_datetime DESC
LIMIT 1;
```</t>
    </r>
  </si>
  <si>
    <r>
      <rPr>
        <b/>
        <sz val="10"/>
        <color rgb="FF000000"/>
        <rFont val="メイリオ"/>
        <charset val="134"/>
      </rPr>
      <t xml:space="preserve">ステップ1：
</t>
    </r>
    <r>
      <rPr>
        <sz val="10"/>
        <color rgb="FF000000"/>
        <rFont val="メイリオ"/>
        <charset val="134"/>
      </rPr>
      <t xml:space="preserve">Việc inject lỗi hoạt động
</t>
    </r>
    <r>
      <rPr>
        <b/>
        <sz val="10"/>
        <color rgb="FF000000"/>
        <rFont val="メイリオ"/>
        <charset val="134"/>
      </rPr>
      <t xml:space="preserve">ステップ2：
</t>
    </r>
    <r>
      <rPr>
        <sz val="10"/>
        <color rgb="FF000000"/>
        <rFont val="メイリオ"/>
        <charset val="134"/>
      </rPr>
      <t xml:space="preserve">Trả về HTTP 500, hiển thị toast `システムエラーが発生しました。管理者にお問い合わせください。`, CSV không được download
</t>
    </r>
    <r>
      <rPr>
        <b/>
        <sz val="10"/>
        <color rgb="FF000000"/>
        <rFont val="メイリオ"/>
        <charset val="134"/>
      </rPr>
      <t xml:space="preserve">ステップ3：
</t>
    </r>
    <r>
      <rPr>
        <sz val="10"/>
        <color rgb="FF000000"/>
        <rFont val="メイリオ"/>
        <charset val="134"/>
      </rPr>
      <t xml:space="preserve">Error log được record, `log_type=3` (lỗi), `operation='EXPORT_CSV'`, `result_status=2` (thất bại), `error_message` chứa chi tiết lỗi, `stack_trace` chứa stack trace
</t>
    </r>
    <r>
      <rPr>
        <b/>
        <sz val="10"/>
        <color rgb="FF000000"/>
        <rFont val="メイリオ"/>
        <charset val="134"/>
      </rPr>
      <t xml:space="preserve">補足：
</t>
    </r>
    <r>
      <rPr>
        <sz val="10"/>
        <color rgb="FF000000"/>
        <rFont val="メイリオ"/>
        <charset val="134"/>
      </rPr>
      <t xml:space="preserve">・Áp dụng verbatim văn bản của message code ACSMS-MSG-030-006
</t>
    </r>
    <r>
      <rPr>
        <sz val="10"/>
        <color rgb="FF000000"/>
        <rFont val="メイリオ"/>
        <charset val="134"/>
      </rPr>
      <t>・Error log được record riêng ngoài transaction</t>
    </r>
  </si>
  <si>
    <t>Xử lý lỗi chung (Common Error Handling)</t>
  </si>
  <si>
    <t>ACSMS-TC-030-039</t>
  </si>
  <si>
    <t>Lỗi chung UNAUTHORIZED xử lý khi session hết hạn</t>
  </si>
  <si>
    <t>・role: NICHINO_ADMIN
・Đang hiển thị màn tham chiếu log
・Force revoke Redis session bằng admin tool, hoặc đã qua 24h</t>
  </si>
  <si>
    <r>
      <rPr>
        <b/>
        <sz val="10"/>
        <color rgb="FF000000"/>
        <rFont val="游ゴシック"/>
        <charset val="134"/>
      </rPr>
      <t xml:space="preserve">ステップ1：
</t>
    </r>
    <r>
      <rPr>
        <sz val="10"/>
        <color rgb="FF000000"/>
        <rFont val="游ゴシック"/>
        <charset val="134"/>
      </rPr>
      <t xml:space="preserve">Force revoke session
</t>
    </r>
    <r>
      <rPr>
        <b/>
        <sz val="10"/>
        <color rgb="FF000000"/>
        <rFont val="游ゴシック"/>
        <charset val="134"/>
      </rPr>
      <t xml:space="preserve">ステップ2：
</t>
    </r>
    <r>
      <rPr>
        <sz val="10"/>
        <color rgb="FF000000"/>
        <rFont val="游ゴシック"/>
        <charset val="134"/>
      </rPr>
      <t xml:space="preserve">Nhấn button「検索」
</t>
    </r>
    <r>
      <rPr>
        <b/>
        <sz val="10"/>
        <color rgb="FF000000"/>
        <rFont val="游ゴシック"/>
        <charset val="134"/>
      </rPr>
      <t xml:space="preserve">ステップ3：
</t>
    </r>
    <r>
      <rPr>
        <sz val="10"/>
        <color rgb="FF000000"/>
        <rFont val="游ゴシック"/>
        <charset val="134"/>
      </rPr>
      <t xml:space="preserve">Kiểm tra URL sau khi redirect
</t>
    </r>
    <r>
      <rPr>
        <b/>
        <sz val="10"/>
        <color rgb="FF000000"/>
        <rFont val="游ゴシック"/>
        <charset val="134"/>
      </rPr>
      <t xml:space="preserve">ステップ4：
</t>
    </r>
    <r>
      <rPr>
        <sz val="10"/>
        <color rgb="FF000000"/>
        <rFont val="游ゴシック"/>
        <charset val="134"/>
      </rPr>
      <t>Kiểm tra behavior sau khi đăng nhập lại</t>
    </r>
  </si>
  <si>
    <r>
      <rPr>
        <b/>
        <sz val="10"/>
        <color rgb="FF000000"/>
        <rFont val="游ゴシック"/>
        <charset val="134"/>
      </rPr>
      <t xml:space="preserve">ステップ1：
</t>
    </r>
    <r>
      <rPr>
        <sz val="10"/>
        <color rgb="FF000000"/>
        <rFont val="游ゴシック"/>
        <charset val="134"/>
      </rPr>
      <t xml:space="preserve">Session đã bị hết hạn
</t>
    </r>
    <r>
      <rPr>
        <b/>
        <sz val="10"/>
        <color rgb="FF000000"/>
        <rFont val="游ゴシック"/>
        <charset val="134"/>
      </rPr>
      <t xml:space="preserve">ステップ2：
</t>
    </r>
    <r>
      <rPr>
        <sz val="10"/>
        <color rgb="FF000000"/>
        <rFont val="游ゴシック"/>
        <charset val="134"/>
      </rPr>
      <t xml:space="preserve">Trả về HTTP 401 (`error_code: UNAUTHORIZED`, message `セッションが切れました。再度ログインしてください。`), `useAuthStore().user` bị clear
</t>
    </r>
    <r>
      <rPr>
        <b/>
        <sz val="10"/>
        <color rgb="FF000000"/>
        <rFont val="游ゴシック"/>
        <charset val="134"/>
      </rPr>
      <t xml:space="preserve">ステップ3：
</t>
    </r>
    <r>
      <rPr>
        <sz val="10"/>
        <color rgb="FF000000"/>
        <rFont val="游ゴシック"/>
        <charset val="134"/>
      </rPr>
      <t xml:space="preserve">Chuyển sang `/login` kèm query parameter `redirect`, dạng như `/login?redirect=/log`
</t>
    </r>
    <r>
      <rPr>
        <b/>
        <sz val="10"/>
        <color rgb="FF000000"/>
        <rFont val="游ゴシック"/>
        <charset val="134"/>
      </rPr>
      <t xml:space="preserve">ステップ4：
</t>
    </r>
    <r>
      <rPr>
        <sz val="10"/>
        <color rgb="FF000000"/>
        <rFont val="游ゴシック"/>
        <charset val="134"/>
      </rPr>
      <t xml:space="preserve">Sau khi đăng nhập lại thành công, quay về màn `/log`
</t>
    </r>
    <r>
      <rPr>
        <b/>
        <sz val="10"/>
        <color rgb="FF000000"/>
        <rFont val="游ゴシック"/>
        <charset val="134"/>
      </rPr>
      <t xml:space="preserve">補足：
</t>
    </r>
    <r>
      <rPr>
        <sz val="10"/>
        <color rgb="FF000000"/>
        <rFont val="游ゴシック"/>
        <charset val="134"/>
      </rPr>
      <t>・Không hiển thị toast「セッションが切れました…」trên màn login (form login đã thể hiện trạng thái)</t>
    </r>
  </si>
  <si>
    <t>ACSMS-TC-030-040</t>
  </si>
  <si>
    <t>Lỗi chung BAD_REQUEST request parameter không hợp lệ</t>
  </si>
  <si>
    <t>・role: NICHINO_ADMIN
・Đã login</t>
  </si>
  <si>
    <r>
      <rPr>
        <b/>
        <sz val="10"/>
        <color rgb="FF000000"/>
        <rFont val="游ゴシック"/>
        <charset val="134"/>
      </rPr>
      <t xml:space="preserve">ステップ1：
</t>
    </r>
    <r>
      <rPr>
        <sz val="10"/>
        <color rgb="FF000000"/>
        <rFont val="游ゴシック"/>
        <charset val="134"/>
      </rPr>
      <t xml:space="preserve">Dùng DevTools gọi trực tiếp GET `/api/v1/log?per_page=999` (vượt quá tối đa 100)
</t>
    </r>
    <r>
      <rPr>
        <b/>
        <sz val="10"/>
        <color rgb="FF000000"/>
        <rFont val="游ゴシック"/>
        <charset val="134"/>
      </rPr>
      <t xml:space="preserve">ステップ2：
</t>
    </r>
    <r>
      <rPr>
        <sz val="10"/>
        <color rgb="FF000000"/>
        <rFont val="游ゴシック"/>
        <charset val="134"/>
      </rPr>
      <t xml:space="preserve">Dùng DevTools gọi trực tiếp GET `/api/v1/log?sort_by=invalid_column`
</t>
    </r>
    <r>
      <rPr>
        <b/>
        <sz val="10"/>
        <color rgb="FF000000"/>
        <rFont val="游ゴシック"/>
        <charset val="134"/>
      </rPr>
      <t xml:space="preserve">ステップ3：
</t>
    </r>
    <r>
      <rPr>
        <sz val="10"/>
        <color rgb="FF000000"/>
        <rFont val="游ゴシック"/>
        <charset val="134"/>
      </rPr>
      <t>Dùng DevTools gọi trực tiếp GET `/api/v1/log?log_type=99`</t>
    </r>
  </si>
  <si>
    <r>
      <rPr>
        <b/>
        <sz val="10"/>
        <color rgb="FF000000"/>
        <rFont val="游ゴシック"/>
        <charset val="134"/>
      </rPr>
      <t xml:space="preserve">ステップ1：
</t>
    </r>
    <r>
      <rPr>
        <sz val="10"/>
        <color rgb="FF000000"/>
        <rFont val="游ゴシック"/>
        <charset val="134"/>
      </rPr>
      <t xml:space="preserve">Trả về HTTP 400 (`error_code: BAD_REQUEST` hoặc `VALIDATION_ERROR`, message `入力値が不正です。詳細はerrorsフィールドを確認してください。`)
</t>
    </r>
    <r>
      <rPr>
        <b/>
        <sz val="10"/>
        <color rgb="FF000000"/>
        <rFont val="游ゴシック"/>
        <charset val="134"/>
      </rPr>
      <t xml:space="preserve">ステップ2：
</t>
    </r>
    <r>
      <rPr>
        <sz val="10"/>
        <color rgb="FF000000"/>
        <rFont val="游ゴシック"/>
        <charset val="134"/>
      </rPr>
      <t xml:space="preserve">Trả về HTTP 400 (cột sort không được phép)
</t>
    </r>
    <r>
      <rPr>
        <b/>
        <sz val="10"/>
        <color rgb="FF000000"/>
        <rFont val="游ゴシック"/>
        <charset val="134"/>
      </rPr>
      <t xml:space="preserve">ステップ3：
</t>
    </r>
    <r>
      <rPr>
        <sz val="10"/>
        <color rgb="FF000000"/>
        <rFont val="游ゴシック"/>
        <charset val="134"/>
      </rPr>
      <t xml:space="preserve">Trả về HTTP 400 (log_type chỉ cho phép 1~4)
</t>
    </r>
    <r>
      <rPr>
        <b/>
        <sz val="10"/>
        <color rgb="FF000000"/>
        <rFont val="游ゴシック"/>
        <charset val="134"/>
      </rPr>
      <t xml:space="preserve">補足：
</t>
    </r>
    <r>
      <rPr>
        <sz val="10"/>
        <color rgb="FF000000"/>
        <rFont val="游ゴシック"/>
        <charset val="134"/>
      </rPr>
      <t>・Cột được phép: log_datetime, log_type, result_status
・Phạm vi log_type: 1~4
・Phạm vi per_page: 1~100</t>
    </r>
  </si>
  <si>
    <t>ACSMS-TC-030-041</t>
  </si>
  <si>
    <t>Lỗi chung VALIDATION_ERROR lỗi validation gộp</t>
  </si>
  <si>
    <r>
      <rPr>
        <b/>
        <sz val="10"/>
        <color rgb="FF000000"/>
        <rFont val="游ゴシック"/>
        <charset val="134"/>
      </rPr>
      <t xml:space="preserve">ステップ1：
</t>
    </r>
    <r>
      <rPr>
        <sz val="10"/>
        <color rgb="FF000000"/>
        <rFont val="游ゴシック"/>
        <charset val="134"/>
      </rPr>
      <t xml:space="preserve">Dùng DevTools gọi trực tiếp GET `/api/v1/log?date_from=invalid&amp;page=-1&amp;per_page=0`
</t>
    </r>
    <r>
      <rPr>
        <b/>
        <sz val="10"/>
        <color rgb="FF000000"/>
        <rFont val="游ゴシック"/>
        <charset val="134"/>
      </rPr>
      <t xml:space="preserve">ステップ2：
</t>
    </r>
    <r>
      <rPr>
        <sz val="10"/>
        <color rgb="FF000000"/>
        <rFont val="游ゴシック"/>
        <charset val="134"/>
      </rPr>
      <t>Kiểm tra mảng `errors` trong response</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</si>
  <si>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Mảng `errors` chứa nhiều lỗi theo từng mục (lỗi format `date_from`, ngoài phạm vi `page`, ngoài phạm vi `per_page`)
</t>
    </r>
    <r>
      <rPr>
        <b/>
        <sz val="10"/>
        <color rgb="FF000000"/>
        <rFont val="メイリオ"/>
        <charset val="134"/>
      </rPr>
      <t xml:space="preserve">補足：
</t>
    </r>
    <r>
      <rPr>
        <sz val="10"/>
        <color rgb="FF000000"/>
        <rFont val="メイリオ"/>
        <charset val="134"/>
      </rPr>
      <t xml:space="preserve">・Trả về nhiều lỗi mục trong 1 response
</t>
    </r>
    <r>
      <rPr>
        <sz val="10"/>
        <color rgb="FF000000"/>
        <rFont val="メイリオ"/>
        <charset val="134"/>
      </rPr>
      <t>・Phía frontend `useApiForm` map `errors` theo từng mục</t>
    </r>
  </si>
  <si>
    <t>ACSMS-TC-030-042</t>
  </si>
  <si>
    <t>Lỗi chung TOO_MANY_REQUESTS vượt rate limit</t>
  </si>
  <si>
    <r>
      <rPr>
        <b/>
        <sz val="10"/>
        <color rgb="FF000000"/>
        <rFont val="游ゴシック"/>
        <charset val="134"/>
      </rPr>
      <t xml:space="preserve">ステップ1：
</t>
    </r>
    <r>
      <rPr>
        <sz val="10"/>
        <color rgb="FF000000"/>
        <rFont val="游ゴシック"/>
        <charset val="134"/>
      </rPr>
      <t xml:space="preserve">Gửi liên tục 101 lần GET `/api/v1/log` trong 1 phút (vượt giới hạn 100 lần/phút/IP mặc định)
</t>
    </r>
    <r>
      <rPr>
        <b/>
        <sz val="10"/>
        <color rgb="FF000000"/>
        <rFont val="游ゴシック"/>
        <charset val="134"/>
      </rPr>
      <t xml:space="preserve">ステップ2：
</t>
    </r>
    <r>
      <rPr>
        <sz val="10"/>
        <color rgb="FF000000"/>
        <rFont val="游ゴシック"/>
        <charset val="134"/>
      </rPr>
      <t>Kiểm tra response từ lần thứ 101 trở đi</t>
    </r>
  </si>
  <si>
    <r>
      <rPr>
        <b/>
        <sz val="10"/>
        <color rgb="FF000000"/>
        <rFont val="メイリオ"/>
        <charset val="134"/>
      </rPr>
      <t xml:space="preserve">ステップ1：
</t>
    </r>
    <r>
      <rPr>
        <sz val="10"/>
        <color rgb="FF000000"/>
        <rFont val="メイリオ"/>
        <charset val="134"/>
      </rPr>
      <t xml:space="preserve">100 lần đầu tiên Trả về HTTP 200
</t>
    </r>
    <r>
      <rPr>
        <b/>
        <sz val="10"/>
        <color rgb="FF000000"/>
        <rFont val="メイリオ"/>
        <charset val="134"/>
      </rPr>
      <t xml:space="preserve">ステップ2：
</t>
    </r>
    <r>
      <rPr>
        <sz val="10"/>
        <color rgb="FF000000"/>
        <rFont val="メイリオ"/>
        <charset val="134"/>
      </rPr>
      <t xml:space="preserve">Từ lần thứ 101 trở đi Trả về HTTP 429 (`error_code: TOO_MANY_REQUESTS`, message `リクエスト回数が上限を超えました。しばらくしてから再度お試しください。`), toast được hiển thị
</t>
    </r>
    <r>
      <rPr>
        <b/>
        <sz val="10"/>
        <color rgb="FF000000"/>
        <rFont val="メイリオ"/>
        <charset val="134"/>
      </rPr>
      <t xml:space="preserve">補足：
</t>
    </r>
    <r>
      <rPr>
        <sz val="10"/>
        <color rgb="FF000000"/>
        <rFont val="メイリオ"/>
        <charset val="134"/>
      </rPr>
      <t xml:space="preserve">・Decorator `@Throttle` của NestJS (tầng app) đang hoạt động
</t>
    </r>
    <r>
      <rPr>
        <sz val="10"/>
        <color rgb="FF000000"/>
        <rFont val="メイリオ"/>
        <charset val="134"/>
      </rPr>
      <t>・Rate limit AWS WAF (tầng infra) sẽ verify riêng ở môi trường staging</t>
    </r>
  </si>
  <si>
    <t>ACSMS-TC-030-043</t>
  </si>
  <si>
    <t>Lỗi chung INTERNAL_SERVER_ERROR mô phỏng server crash</t>
  </si>
  <si>
    <r>
      <rPr>
        <b/>
        <sz val="10"/>
        <color rgb="FF000000"/>
        <rFont val="メイリオ"/>
        <charset val="134"/>
      </rPr>
      <t xml:space="preserve">ステップ1：
</t>
    </r>
    <r>
      <rPr>
        <sz val="10"/>
        <color rgb="FF000000"/>
        <rFont val="メイリオ"/>
        <charset val="134"/>
      </rPr>
      <t xml:space="preserve">Ngắt kết nối DB hoặc dừng BE process
</t>
    </r>
    <r>
      <rPr>
        <b/>
        <sz val="10"/>
        <color rgb="FF000000"/>
        <rFont val="メイリオ"/>
        <charset val="134"/>
      </rPr>
      <t xml:space="preserve">ステップ2：
</t>
    </r>
    <r>
      <rPr>
        <sz val="10"/>
        <color rgb="FF000000"/>
        <rFont val="メイリオ"/>
        <charset val="134"/>
      </rPr>
      <t xml:space="preserve">Nhấn button「検索」
</t>
    </r>
    <r>
      <rPr>
        <b/>
        <sz val="10"/>
        <color rgb="FF000000"/>
        <rFont val="メイリオ"/>
        <charset val="134"/>
      </rPr>
      <t xml:space="preserve">ステップ3：
</t>
    </r>
    <r>
      <rPr>
        <sz val="10"/>
        <color rgb="FF000000"/>
        <rFont val="メイリオ"/>
        <charset val="134"/>
      </rPr>
      <t>Sau khi DB phục hồi, kiểm tra `t_log`</t>
    </r>
  </si>
  <si>
    <r>
      <rPr>
        <b/>
        <sz val="10"/>
        <color rgb="FF000000"/>
        <rFont val="メイリオ"/>
        <charset val="134"/>
      </rPr>
      <t xml:space="preserve">ステップ1：
</t>
    </r>
    <r>
      <rPr>
        <sz val="10"/>
        <color rgb="FF000000"/>
        <rFont val="メイリオ"/>
        <charset val="134"/>
      </rPr>
      <t xml:space="preserve">Đã chuyển sang trạng thái sự cố
</t>
    </r>
    <r>
      <rPr>
        <b/>
        <sz val="10"/>
        <color rgb="FF000000"/>
        <rFont val="メイリオ"/>
        <charset val="134"/>
      </rPr>
      <t xml:space="preserve">ステップ2：
</t>
    </r>
    <r>
      <rPr>
        <sz val="10"/>
        <color rgb="FF000000"/>
        <rFont val="メイリオ"/>
        <charset val="134"/>
      </rPr>
      <t xml:space="preserve">Trả về HTTP 500 (`error_code: INTERNAL_SERVER_ERROR`, message `システムエラーが発生しました。しばらくしてから再度お試しください。`), toast được hiển thị
</t>
    </r>
    <r>
      <rPr>
        <b/>
        <sz val="10"/>
        <color rgb="FF000000"/>
        <rFont val="メイリオ"/>
        <charset val="134"/>
      </rPr>
      <t xml:space="preserve">ステップ3：
</t>
    </r>
    <r>
      <rPr>
        <sz val="10"/>
        <color rgb="FF000000"/>
        <rFont val="メイリオ"/>
        <charset val="134"/>
      </rPr>
      <t xml:space="preserve">Error log (`log_type=3`, `result_status=2`) được record, `error_message` chứa chi tiết lỗi
</t>
    </r>
    <r>
      <rPr>
        <b/>
        <sz val="10"/>
        <color rgb="FF000000"/>
        <rFont val="メイリオ"/>
        <charset val="134"/>
      </rPr>
      <t xml:space="preserve">補足：
</t>
    </r>
    <r>
      <rPr>
        <sz val="10"/>
        <color rgb="FF000000"/>
        <rFont val="メイリオ"/>
        <charset val="134"/>
      </rPr>
      <t xml:space="preserve">・Stack trace không bị leak ra client
</t>
    </r>
    <r>
      <rPr>
        <sz val="10"/>
        <color rgb="FF000000"/>
        <rFont val="メイリオ"/>
        <charset val="134"/>
      </rPr>
      <t>・Server log có record stack trace chi tiết</t>
    </r>
  </si>
  <si>
    <t>ACSMS-TC-030-044</t>
  </si>
  <si>
    <t>Lỗi chung DATA_SCOPE_VIOLATION truy cập ngoài scope</t>
  </si>
  <si>
    <t>・role: CHUOKAI (thuộc chuokai-001)
・Đã nắm được account_id và log_id tồn tại trong chuokai khác (thuộc chuokai-002)</t>
  </si>
  <si>
    <r>
      <rPr>
        <b/>
        <sz val="10"/>
        <color rgb="FF000000"/>
        <rFont val="游ゴシック"/>
        <charset val="134"/>
      </rPr>
      <t xml:space="preserve">ステップ1：
</t>
    </r>
    <r>
      <rPr>
        <sz val="10"/>
        <color rgb="FF000000"/>
        <rFont val="游ゴシック"/>
        <charset val="134"/>
      </rPr>
      <t xml:space="preserve">Dùng DevTools gọi trực tiếp GET `/api/v1/log?account_id={account_id của chuokai khác}`
</t>
    </r>
    <r>
      <rPr>
        <b/>
        <sz val="10"/>
        <color rgb="FF000000"/>
        <rFont val="游ゴシック"/>
        <charset val="134"/>
      </rPr>
      <t xml:space="preserve">ステップ2：
</t>
    </r>
    <r>
      <rPr>
        <sz val="10"/>
        <color rgb="FF000000"/>
        <rFont val="游ゴシック"/>
        <charset val="134"/>
      </rPr>
      <t>Dùng DevTools gọi trực tiếp GET `/api/v1/log/export?account_id={account_id của chuokai khác}`</t>
    </r>
  </si>
  <si>
    <r>
      <rPr>
        <b/>
        <sz val="10"/>
        <color rgb="FF000000"/>
        <rFont val="メイリオ"/>
        <charset val="134"/>
      </rPr>
      <t xml:space="preserve">ステップ1：
</t>
    </r>
    <r>
      <rPr>
        <sz val="10"/>
        <color rgb="FF000000"/>
        <rFont val="メイリオ"/>
        <charset val="134"/>
      </rPr>
      <t xml:space="preserve">Trả về HTTP 200, mảng `data` rỗng (filter bằng DataScope, trả về 0 dòng theo cách che giấu tồn tại)
</t>
    </r>
    <r>
      <rPr>
        <b/>
        <sz val="10"/>
        <color rgb="FF000000"/>
        <rFont val="メイリオ"/>
        <charset val="134"/>
      </rPr>
      <t xml:space="preserve">ステップ2：
</t>
    </r>
    <r>
      <rPr>
        <sz val="10"/>
        <color rgb="FF000000"/>
        <rFont val="メイリオ"/>
        <charset val="134"/>
      </rPr>
      <t xml:space="preserve">Trả về HTTP 200 hoặc 409, không bao gồm data ngoài scope
</t>
    </r>
    <r>
      <rPr>
        <b/>
        <sz val="10"/>
        <color rgb="FF000000"/>
        <rFont val="メイリオ"/>
        <charset val="134"/>
      </rPr>
      <t xml:space="preserve">補足：
</t>
    </r>
    <r>
      <rPr>
        <sz val="10"/>
        <color rgb="FF000000"/>
        <rFont val="メイリオ"/>
        <charset val="134"/>
      </rPr>
      <t xml:space="preserve">・Truy cập ngoài scope không trả 403 mà trả kết quả rỗng theo thiết kế che giấu tồn tại
</t>
    </r>
    <r>
      <rPr>
        <sz val="10"/>
        <color rgb="FF000000"/>
        <rFont val="メイリオ"/>
        <charset val="134"/>
      </rPr>
      <t xml:space="preserve">・Danh sách lỗi trong api.md định nghĩa `DATA_SCOPE_VIOLATION（403）` nhưng trong implement có khả năng ưu tiên kết quả rỗng theo policy của helper `assertJaScope`
</t>
    </r>
    <r>
      <rPr>
        <sz val="10"/>
        <color rgb="FF000000"/>
        <rFont val="メイリオ"/>
        <charset val="134"/>
      </rPr>
      <t>・Sau khi xác nhận behavior khi test, chốt spec để tránh tranh cãi</t>
    </r>
  </si>
  <si>
    <t>Vi phạm DataScope được xử lý dưới dạng kết quả rỗng theo thiết kế, nhưng cũng có lựa chọn implement trả về 403 rõ ràng. Khi thực hiện test cần xác nhận policy implement.</t>
  </si>
  <si>
    <t>ACSMS-TC-030-045</t>
  </si>
  <si>
    <t>Xử lý khi mất kết nối mạng</t>
  </si>
  <si>
    <t>・role: NICHINO_ADMIN
・Đang hiển thị màn tham chiếu log</t>
  </si>
  <si>
    <r>
      <rPr>
        <b/>
        <sz val="10"/>
        <color rgb="FF000000"/>
        <rFont val="メイリオ"/>
        <charset val="134"/>
      </rPr>
      <t xml:space="preserve">ステップ1：
</t>
    </r>
    <r>
      <rPr>
        <sz val="10"/>
        <color rgb="FF000000"/>
        <rFont val="メイリオ"/>
        <charset val="134"/>
      </rPr>
      <t xml:space="preserve">DevTools → Network → chuyển sang chế độ「Offline」
</t>
    </r>
    <r>
      <rPr>
        <b/>
        <sz val="10"/>
        <color rgb="FF000000"/>
        <rFont val="メイリオ"/>
        <charset val="134"/>
      </rPr>
      <t xml:space="preserve">ステップ2：
</t>
    </r>
    <r>
      <rPr>
        <sz val="10"/>
        <color rgb="FF000000"/>
        <rFont val="メイリオ"/>
        <charset val="134"/>
      </rPr>
      <t xml:space="preserve">Nhấn button「検索」
</t>
    </r>
    <r>
      <rPr>
        <b/>
        <sz val="10"/>
        <color rgb="FF000000"/>
        <rFont val="メイリオ"/>
        <charset val="134"/>
      </rPr>
      <t xml:space="preserve">ステップ3：
</t>
    </r>
    <r>
      <rPr>
        <sz val="10"/>
        <color rgb="FF000000"/>
        <rFont val="メイリオ"/>
        <charset val="134"/>
      </rPr>
      <t xml:space="preserve">DevTools → Network → khôi phục về chế độ online
</t>
    </r>
    <r>
      <rPr>
        <b/>
        <sz val="10"/>
        <color rgb="FF000000"/>
        <rFont val="メイリオ"/>
        <charset val="134"/>
      </rPr>
      <t xml:space="preserve">ステップ4：
</t>
    </r>
    <r>
      <rPr>
        <sz val="10"/>
        <color rgb="FF000000"/>
        <rFont val="メイリオ"/>
        <charset val="134"/>
      </rPr>
      <t>Nhấn lại button「検索」</t>
    </r>
  </si>
  <si>
    <r>
      <rPr>
        <b/>
        <sz val="10"/>
        <color rgb="FF000000"/>
        <rFont val="メイリオ"/>
        <charset val="134"/>
      </rPr>
      <t xml:space="preserve">ステップ1：
</t>
    </r>
    <r>
      <rPr>
        <sz val="10"/>
        <color rgb="FF000000"/>
        <rFont val="メイリオ"/>
        <charset val="134"/>
      </rPr>
      <t xml:space="preserve">Đã chuyển sang chế độ offline
</t>
    </r>
    <r>
      <rPr>
        <b/>
        <sz val="10"/>
        <color rgb="FF000000"/>
        <rFont val="メイリオ"/>
        <charset val="134"/>
      </rPr>
      <t xml:space="preserve">ステップ2：
</t>
    </r>
    <r>
      <rPr>
        <sz val="10"/>
        <color rgb="FF000000"/>
        <rFont val="メイリオ"/>
        <charset val="134"/>
      </rPr>
      <t xml:space="preserve">Toast `ネットワークエラーが発生しました…` được hiển thị, giá trị nhập điều kiện tìm kiếm không bị mất, button quay về trạng thái active
</t>
    </r>
    <r>
      <rPr>
        <b/>
        <sz val="10"/>
        <color rgb="FF000000"/>
        <rFont val="メイリオ"/>
        <charset val="134"/>
      </rPr>
      <t xml:space="preserve">ステップ3：
</t>
    </r>
    <r>
      <rPr>
        <sz val="10"/>
        <color rgb="FF000000"/>
        <rFont val="メイリオ"/>
        <charset val="134"/>
      </rPr>
      <t xml:space="preserve">Đã khôi phục về chế độ online
</t>
    </r>
    <r>
      <rPr>
        <b/>
        <sz val="10"/>
        <color rgb="FF000000"/>
        <rFont val="メイリオ"/>
        <charset val="134"/>
      </rPr>
      <t xml:space="preserve">ステップ4：
</t>
    </r>
    <r>
      <rPr>
        <sz val="10"/>
        <color rgb="FF000000"/>
        <rFont val="メイリオ"/>
        <charset val="134"/>
      </rPr>
      <t xml:space="preserve">Trả về HTTP 200, kết quả tìm kiếm được hiển thị
</t>
    </r>
    <r>
      <rPr>
        <b/>
        <sz val="10"/>
        <color rgb="FF000000"/>
        <rFont val="メイリオ"/>
        <charset val="134"/>
      </rPr>
      <t xml:space="preserve">補足：
</t>
    </r>
    <r>
      <rPr>
        <sz val="10"/>
        <color rgb="FF000000"/>
        <rFont val="メイリオ"/>
        <charset val="134"/>
      </rPr>
      <t xml:space="preserve">・Giá trị nhập điều kiện tìm kiếm không bị mất khi lỗi network (UX retry)
</t>
    </r>
    <r>
      <rPr>
        <sz val="10"/>
        <color rgb="FF000000"/>
        <rFont val="メイリオ"/>
        <charset val="134"/>
      </rPr>
      <t>・Toast sử dụng message lỗi network chung của app</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</si>
</sst>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yyyy/mm/dd"/>
    <numFmt numFmtId="180" formatCode="0.0%"/>
  </numFmts>
  <fonts count="40">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sz val="11"/>
      <color theme="1"/>
      <name val="Calibri"/>
      <charset val="134"/>
    </font>
    <font>
      <strike/>
      <sz val="11"/>
      <color rgb="FF000000"/>
      <name val="游ゴシック"/>
      <charset val="134"/>
    </font>
    <font>
      <strike/>
      <sz val="11"/>
      <color theme="1"/>
      <name val="Arial"/>
      <charset val="134"/>
    </font>
    <font>
      <i/>
      <sz val="11"/>
      <color rgb="FF000000"/>
      <name val="游ゴシック"/>
      <charset val="134"/>
    </font>
    <font>
      <b/>
      <sz val="14"/>
      <color rgb="FF000000"/>
      <name val="游ゴシック"/>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z val="10"/>
      <color rgb="FF000000"/>
      <name val="游ゴシック"/>
      <charset val="134"/>
    </font>
    <font>
      <b/>
      <strike/>
      <sz val="10"/>
      <color rgb="FF000000"/>
      <name val="メイリオ"/>
      <charset val="134"/>
    </font>
    <font>
      <strike/>
      <sz val="10"/>
      <color rgb="FF000000"/>
      <name val="メイリオ"/>
      <charset val="134"/>
    </font>
    <font>
      <b/>
      <strike/>
      <sz val="10"/>
      <color rgb="FF000000"/>
      <name val="游ゴシック"/>
      <charset val="134"/>
    </font>
    <font>
      <strike/>
      <sz val="10"/>
      <color rgb="FF000000"/>
      <name val="游ゴシック"/>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0" borderId="1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1" fillId="0" borderId="0" applyNumberFormat="0" applyFill="0" applyBorder="0" applyAlignment="0" applyProtection="0">
      <alignment vertical="center"/>
    </xf>
    <xf numFmtId="0" fontId="22" fillId="11" borderId="18" applyNumberFormat="0" applyAlignment="0" applyProtection="0">
      <alignment vertical="center"/>
    </xf>
    <xf numFmtId="0" fontId="23" fillId="12" borderId="19" applyNumberFormat="0" applyAlignment="0" applyProtection="0">
      <alignment vertical="center"/>
    </xf>
    <xf numFmtId="0" fontId="24" fillId="12" borderId="18" applyNumberFormat="0" applyAlignment="0" applyProtection="0">
      <alignment vertical="center"/>
    </xf>
    <xf numFmtId="0" fontId="25" fillId="13" borderId="20" applyNumberFormat="0" applyAlignment="0" applyProtection="0">
      <alignment vertical="center"/>
    </xf>
    <xf numFmtId="0" fontId="26" fillId="0" borderId="21" applyNumberFormat="0" applyFill="0" applyAlignment="0" applyProtection="0">
      <alignment vertical="center"/>
    </xf>
    <xf numFmtId="0" fontId="27" fillId="0" borderId="22" applyNumberFormat="0" applyFill="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1" fillId="40" borderId="0" applyNumberFormat="0" applyBorder="0" applyAlignment="0" applyProtection="0">
      <alignment vertical="center"/>
    </xf>
  </cellStyleXfs>
  <cellXfs count="66">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179"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vertical="top"/>
    </xf>
    <xf numFmtId="178" fontId="4" fillId="0" borderId="1" xfId="0" applyNumberFormat="1" applyFont="1" applyBorder="1" applyAlignment="1">
      <alignment horizontal="center" vertical="top" wrapText="1"/>
    </xf>
    <xf numFmtId="0" fontId="6" fillId="0" borderId="12"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7" fillId="0" borderId="1" xfId="0"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8" fillId="0" borderId="1" xfId="0" applyFont="1" applyBorder="1" applyAlignment="1">
      <alignment horizontal="left" vertical="top" wrapText="1"/>
    </xf>
    <xf numFmtId="0" fontId="9"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80" fontId="3" fillId="0" borderId="1" xfId="0" applyNumberFormat="1" applyFont="1" applyBorder="1" applyAlignment="1">
      <alignment horizontal="center" vertical="center" wrapText="1"/>
    </xf>
    <xf numFmtId="180"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0" fontId="5" fillId="0" borderId="13" xfId="0" applyFont="1" applyBorder="1"/>
    <xf numFmtId="0" fontId="5" fillId="0" borderId="14" xfId="0" applyFont="1" applyBorder="1"/>
    <xf numFmtId="0" fontId="10" fillId="0" borderId="13" xfId="0" applyFont="1" applyBorder="1" applyAlignment="1">
      <alignment horizontal="center" vertical="center" wrapText="1"/>
    </xf>
    <xf numFmtId="0" fontId="2" fillId="0" borderId="14" xfId="0" applyFont="1" applyBorder="1"/>
    <xf numFmtId="0" fontId="11" fillId="0" borderId="13" xfId="0" applyFont="1" applyBorder="1" applyAlignment="1">
      <alignment horizontal="center" vertical="center" wrapText="1"/>
    </xf>
    <xf numFmtId="0" fontId="12" fillId="0" borderId="13" xfId="0" applyFont="1" applyBorder="1" applyAlignment="1">
      <alignment horizontal="center" vertical="center" wrapText="1"/>
    </xf>
    <xf numFmtId="0" fontId="13" fillId="9" borderId="1" xfId="0" applyFont="1" applyFill="1" applyBorder="1" applyAlignment="1">
      <alignment horizontal="center" vertical="center" wrapText="1"/>
    </xf>
    <xf numFmtId="49" fontId="13" fillId="9" borderId="1" xfId="0" applyNumberFormat="1" applyFont="1" applyFill="1" applyBorder="1" applyAlignment="1">
      <alignment horizontal="center" vertical="center" wrapText="1"/>
    </xf>
    <xf numFmtId="0" fontId="5" fillId="0" borderId="9" xfId="0" applyFont="1" applyBorder="1"/>
    <xf numFmtId="0" fontId="5" fillId="0" borderId="10" xfId="0" applyFont="1" applyBorder="1"/>
    <xf numFmtId="0" fontId="5"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52"/>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4"/>
    </row>
    <row r="3" ht="12.75" customHeight="1" spans="2:37">
      <c r="B3" s="55"/>
      <c r="AK3" s="56"/>
    </row>
    <row r="4" ht="12.75" customHeight="1" spans="2:37">
      <c r="B4" s="55"/>
      <c r="AK4" s="56"/>
    </row>
    <row r="5" ht="12.75" customHeight="1" spans="2:37">
      <c r="B5" s="55"/>
      <c r="AK5" s="56"/>
    </row>
    <row r="6" ht="12.75" customHeight="1" spans="2:37">
      <c r="B6" s="55"/>
      <c r="AK6" s="56"/>
    </row>
    <row r="7" ht="12.75" customHeight="1" spans="2:37">
      <c r="B7" s="55"/>
      <c r="AK7" s="56"/>
    </row>
    <row r="8" ht="12.75" customHeight="1" spans="2:37">
      <c r="B8" s="55"/>
      <c r="AK8" s="56"/>
    </row>
    <row r="9" ht="12.75" customHeight="1" spans="2:37">
      <c r="B9" s="55"/>
      <c r="AK9" s="56"/>
    </row>
    <row r="10" ht="29.25" customHeight="1" spans="2:37">
      <c r="B10" s="57" t="s">
        <v>0</v>
      </c>
      <c r="AK10" s="58"/>
    </row>
    <row r="11" ht="12.75" customHeight="1" spans="2:37">
      <c r="B11" s="55"/>
      <c r="AK11" s="56"/>
    </row>
    <row r="12" ht="39" customHeight="1" spans="2:37">
      <c r="B12" s="59" t="s">
        <v>1</v>
      </c>
      <c r="AK12" s="58"/>
    </row>
    <row r="13" ht="12.75" customHeight="1" spans="2:37">
      <c r="B13" s="55"/>
      <c r="AK13" s="56"/>
    </row>
    <row r="14" ht="12.75" customHeight="1" spans="2:37">
      <c r="B14" s="55"/>
      <c r="AK14" s="56"/>
    </row>
    <row r="15" ht="12.75" customHeight="1" spans="2:37">
      <c r="B15" s="60" t="s">
        <v>2</v>
      </c>
      <c r="AK15" s="58"/>
    </row>
    <row r="16" ht="12.75" customHeight="1" spans="2:37">
      <c r="B16" s="55"/>
      <c r="AK16" s="56"/>
    </row>
    <row r="17" ht="12.75" customHeight="1" spans="2:37">
      <c r="B17" s="55"/>
      <c r="AK17" s="56"/>
    </row>
    <row r="18" ht="12.75" customHeight="1" spans="2:37">
      <c r="B18" s="55"/>
      <c r="N18" s="61" t="s">
        <v>3</v>
      </c>
      <c r="O18" s="2"/>
      <c r="P18" s="2"/>
      <c r="Q18" s="2"/>
      <c r="R18" s="3"/>
      <c r="S18" s="61" t="s">
        <v>4</v>
      </c>
      <c r="T18" s="2"/>
      <c r="U18" s="2"/>
      <c r="V18" s="2"/>
      <c r="W18" s="3"/>
      <c r="AK18" s="56"/>
    </row>
    <row r="19" ht="12.75" customHeight="1" spans="2:37">
      <c r="B19" s="55"/>
      <c r="N19" s="61" t="s">
        <v>5</v>
      </c>
      <c r="O19" s="2"/>
      <c r="P19" s="2"/>
      <c r="Q19" s="2"/>
      <c r="R19" s="3"/>
      <c r="S19" s="61" t="s">
        <v>6</v>
      </c>
      <c r="T19" s="2"/>
      <c r="U19" s="2"/>
      <c r="V19" s="2"/>
      <c r="W19" s="3"/>
      <c r="AK19" s="56"/>
    </row>
    <row r="20" ht="12.75" customHeight="1" spans="2:37">
      <c r="B20" s="55"/>
      <c r="N20" s="61" t="s">
        <v>7</v>
      </c>
      <c r="O20" s="2"/>
      <c r="P20" s="2"/>
      <c r="Q20" s="2"/>
      <c r="R20" s="3"/>
      <c r="S20" s="62" t="s">
        <v>8</v>
      </c>
      <c r="T20" s="2"/>
      <c r="U20" s="2"/>
      <c r="V20" s="2"/>
      <c r="W20" s="3"/>
      <c r="AK20" s="56"/>
    </row>
    <row r="21" ht="12.75" customHeight="1" spans="2:37">
      <c r="B21" s="55"/>
      <c r="AK21" s="56"/>
    </row>
    <row r="22" ht="12.75" customHeight="1" spans="2:37">
      <c r="B22" s="55"/>
      <c r="AK22" s="56"/>
    </row>
    <row r="23" ht="12.75" customHeight="1" spans="2:37">
      <c r="B23" s="55"/>
      <c r="AK23" s="56"/>
    </row>
    <row r="24" ht="12.75" customHeight="1" spans="2:37">
      <c r="B24" s="55"/>
      <c r="AK24" s="56"/>
    </row>
    <row r="25" ht="12.75" customHeight="1" spans="2:37">
      <c r="B25" s="55"/>
      <c r="AK25" s="56"/>
    </row>
    <row r="26" ht="12.75" customHeight="1" spans="2:37">
      <c r="B26" s="55"/>
      <c r="AK26" s="56"/>
    </row>
    <row r="27" ht="12.75" customHeight="1" spans="2:37">
      <c r="B27" s="55"/>
      <c r="AK27" s="56"/>
    </row>
    <row r="28" ht="12.75" customHeight="1" spans="2:37">
      <c r="B28" s="55"/>
      <c r="AK28" s="56"/>
    </row>
    <row r="29" ht="12.75" customHeight="1" spans="2:37">
      <c r="B29" s="55"/>
      <c r="AK29" s="56"/>
    </row>
    <row r="30" ht="12.75" customHeight="1" spans="2:37">
      <c r="B30" s="55"/>
      <c r="AK30" s="56"/>
    </row>
    <row r="31" ht="12.75" customHeight="1" spans="2:37">
      <c r="B31" s="55"/>
      <c r="AK31" s="56"/>
    </row>
    <row r="32" ht="12.75" customHeight="1" spans="2:37">
      <c r="B32" s="55"/>
      <c r="AK32" s="56"/>
    </row>
    <row r="33" ht="12.75" customHeight="1" spans="2:37">
      <c r="B33" s="55"/>
      <c r="AK33" s="56"/>
    </row>
    <row r="34" ht="12.75" customHeight="1" spans="2:37">
      <c r="B34" s="63"/>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5"/>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51" t="s">
        <v>9</v>
      </c>
      <c r="B1" s="29" t="s">
        <v>7</v>
      </c>
      <c r="C1" s="2"/>
      <c r="D1" s="2"/>
      <c r="E1" s="3"/>
      <c r="F1" s="29" t="s">
        <v>10</v>
      </c>
      <c r="G1" s="2"/>
      <c r="H1" s="3"/>
      <c r="I1" s="29" t="s">
        <v>11</v>
      </c>
      <c r="J1" s="2"/>
      <c r="K1" s="2"/>
      <c r="L1" s="2"/>
      <c r="M1" s="2"/>
      <c r="N1" s="3"/>
      <c r="O1" s="29" t="s">
        <v>12</v>
      </c>
      <c r="P1" s="2"/>
      <c r="Q1" s="2"/>
      <c r="R1" s="2"/>
      <c r="S1" s="2"/>
      <c r="T1" s="2"/>
      <c r="U1" s="2"/>
      <c r="V1" s="3"/>
      <c r="W1" s="29" t="s">
        <v>13</v>
      </c>
      <c r="X1" s="2"/>
      <c r="Y1" s="2"/>
      <c r="Z1" s="2"/>
      <c r="AA1" s="2"/>
      <c r="AB1" s="3"/>
      <c r="AC1" s="29" t="s">
        <v>14</v>
      </c>
      <c r="AD1" s="2"/>
      <c r="AE1" s="2"/>
      <c r="AF1" s="2"/>
      <c r="AG1" s="2"/>
      <c r="AH1" s="3"/>
    </row>
    <row r="2" ht="22.5" customHeight="1" spans="1:34">
      <c r="A2" s="45">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9" t="s">
        <v>19</v>
      </c>
      <c r="B1" s="2"/>
      <c r="C1" s="2"/>
      <c r="D1" s="2"/>
      <c r="E1" s="2"/>
      <c r="F1" s="2"/>
      <c r="G1" s="2"/>
      <c r="H1" s="2"/>
      <c r="I1" s="3"/>
      <c r="J1" s="29" t="s">
        <v>20</v>
      </c>
      <c r="K1" s="2"/>
      <c r="L1" s="2"/>
      <c r="M1" s="2"/>
      <c r="N1" s="2"/>
      <c r="O1" s="2"/>
      <c r="P1" s="3"/>
      <c r="Q1" s="29" t="s">
        <v>21</v>
      </c>
      <c r="R1" s="2"/>
      <c r="S1" s="2"/>
      <c r="T1" s="2"/>
      <c r="U1" s="3"/>
      <c r="V1" s="29" t="s">
        <v>22</v>
      </c>
      <c r="W1" s="2"/>
      <c r="X1" s="2"/>
      <c r="Y1" s="3"/>
      <c r="Z1" s="29" t="s">
        <v>23</v>
      </c>
      <c r="AA1" s="2"/>
      <c r="AB1" s="2"/>
      <c r="AC1" s="3"/>
      <c r="AD1" s="29" t="s">
        <v>24</v>
      </c>
      <c r="AE1" s="2"/>
      <c r="AF1" s="2"/>
      <c r="AG1" s="3"/>
      <c r="AH1" s="29" t="s">
        <v>25</v>
      </c>
      <c r="AI1" s="2"/>
      <c r="AJ1" s="2"/>
      <c r="AK1" s="3"/>
    </row>
    <row r="2" ht="19.5" customHeight="1" spans="1:37">
      <c r="A2" s="30" t="s">
        <v>0</v>
      </c>
      <c r="B2" s="10"/>
      <c r="C2" s="10"/>
      <c r="D2" s="10"/>
      <c r="E2" s="10"/>
      <c r="F2" s="10"/>
      <c r="G2" s="10"/>
      <c r="H2" s="10"/>
      <c r="I2" s="11"/>
      <c r="J2" s="30" t="s">
        <v>26</v>
      </c>
      <c r="K2" s="10"/>
      <c r="L2" s="10"/>
      <c r="M2" s="10"/>
      <c r="N2" s="10"/>
      <c r="O2" s="10"/>
      <c r="P2" s="11"/>
      <c r="Q2" s="30" t="s">
        <v>27</v>
      </c>
      <c r="R2" s="10"/>
      <c r="S2" s="10"/>
      <c r="T2" s="10"/>
      <c r="U2" s="11"/>
      <c r="V2" s="31" t="s">
        <v>8</v>
      </c>
      <c r="W2" s="10"/>
      <c r="X2" s="10"/>
      <c r="Y2" s="11"/>
      <c r="Z2" s="30" t="s">
        <v>16</v>
      </c>
      <c r="AA2" s="10"/>
      <c r="AB2" s="10"/>
      <c r="AC2" s="11"/>
      <c r="AD2" s="31" t="s">
        <v>8</v>
      </c>
      <c r="AE2" s="10"/>
      <c r="AF2" s="10"/>
      <c r="AG2" s="11"/>
      <c r="AH2" s="30"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2" t="s">
        <v>28</v>
      </c>
    </row>
    <row r="6" ht="19.5" customHeight="1" spans="1:37">
      <c r="C6" s="48" t="s">
        <v>29</v>
      </c>
    </row>
    <row r="7" ht="19.5" customHeight="1" spans="1:37">
      <c r="C7" s="48" t="s">
        <v>30</v>
      </c>
    </row>
    <row r="8" ht="19.5" customHeight="1" spans="1:37">
      <c r="C8" s="48" t="s">
        <v>31</v>
      </c>
    </row>
    <row r="9" ht="19.5" customHeight="1" spans="1:37">
      <c r="C9" s="48" t="s">
        <v>32</v>
      </c>
    </row>
    <row r="10" ht="19.5" customHeight="1" spans="1:37">
      <c r="C10" s="48" t="s">
        <v>33</v>
      </c>
    </row>
    <row r="11" ht="19.5" customHeight="1" spans="1:37">
      <c r="C11" s="48" t="s">
        <v>34</v>
      </c>
    </row>
    <row r="12" ht="19.5" customHeight="1" spans="1:37">
      <c r="C12" s="48" t="s">
        <v>35</v>
      </c>
    </row>
    <row r="14" ht="19.5" customHeight="1" spans="1:37">
      <c r="B14" s="32" t="s">
        <v>36</v>
      </c>
    </row>
    <row r="15" ht="19.5" customHeight="1" spans="1:37">
      <c r="C15" s="49" t="s">
        <v>37</v>
      </c>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row>
    <row r="16" ht="19.5" customHeight="1" spans="1:37">
      <c r="C16" s="49" t="s">
        <v>38</v>
      </c>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row>
    <row r="17" ht="19.5" customHeight="1" spans="2:37">
      <c r="C17" s="49" t="s">
        <v>39</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row>
    <row r="18" ht="19.5" customHeight="1" spans="2:37">
      <c r="C18" s="49" t="s">
        <v>40</v>
      </c>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row>
    <row r="19" ht="19.5" customHeight="1" spans="2:37">
      <c r="C19" s="49" t="s">
        <v>41</v>
      </c>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row>
    <row r="21" ht="19.5" customHeight="1" spans="2:37">
      <c r="B21" s="32" t="s">
        <v>42</v>
      </c>
    </row>
    <row r="23" ht="22.5" customHeight="1" spans="2:37">
      <c r="C23" s="51" t="s">
        <v>43</v>
      </c>
      <c r="D23" s="29" t="s">
        <v>44</v>
      </c>
      <c r="E23" s="2"/>
      <c r="F23" s="2"/>
      <c r="G23" s="2"/>
      <c r="H23" s="2"/>
      <c r="I23" s="2"/>
      <c r="J23" s="2"/>
      <c r="K23" s="2"/>
      <c r="L23" s="2"/>
      <c r="M23" s="2"/>
      <c r="N23" s="3"/>
      <c r="O23" s="29" t="s">
        <v>45</v>
      </c>
      <c r="P23" s="2"/>
      <c r="Q23" s="2"/>
      <c r="R23" s="2"/>
      <c r="S23" s="2"/>
      <c r="T23" s="2"/>
      <c r="U23" s="2"/>
      <c r="V23" s="2"/>
      <c r="W23" s="2"/>
      <c r="X23" s="2"/>
      <c r="Y23" s="2"/>
      <c r="Z23" s="2"/>
      <c r="AA23" s="2"/>
      <c r="AB23" s="2"/>
      <c r="AC23" s="2"/>
      <c r="AD23" s="2"/>
      <c r="AE23" s="2"/>
      <c r="AF23" s="2"/>
      <c r="AG23" s="3"/>
    </row>
    <row r="24" ht="22.5" customHeight="1" spans="2:37">
      <c r="C24" s="45">
        <v>1</v>
      </c>
      <c r="D24" s="4" t="s">
        <v>46</v>
      </c>
      <c r="E24" s="2"/>
      <c r="F24" s="2"/>
      <c r="G24" s="2"/>
      <c r="H24" s="2"/>
      <c r="I24" s="2"/>
      <c r="J24" s="2"/>
      <c r="K24" s="2"/>
      <c r="L24" s="2"/>
      <c r="M24" s="2"/>
      <c r="N24" s="3"/>
      <c r="O24" s="4" t="s">
        <v>47</v>
      </c>
      <c r="P24" s="2"/>
      <c r="Q24" s="2"/>
      <c r="R24" s="2"/>
      <c r="S24" s="2"/>
      <c r="T24" s="2"/>
      <c r="U24" s="2"/>
      <c r="V24" s="2"/>
      <c r="W24" s="2"/>
      <c r="X24" s="2"/>
      <c r="Y24" s="2"/>
      <c r="Z24" s="2"/>
      <c r="AA24" s="2"/>
      <c r="AB24" s="2"/>
      <c r="AC24" s="2"/>
      <c r="AD24" s="2"/>
      <c r="AE24" s="2"/>
      <c r="AF24" s="2"/>
      <c r="AG24" s="3"/>
    </row>
    <row r="25" ht="22.5" customHeight="1" spans="2:37">
      <c r="C25" s="45">
        <v>2</v>
      </c>
      <c r="D25" s="4" t="s">
        <v>48</v>
      </c>
      <c r="E25" s="2"/>
      <c r="F25" s="2"/>
      <c r="G25" s="2"/>
      <c r="H25" s="2"/>
      <c r="I25" s="2"/>
      <c r="J25" s="2"/>
      <c r="K25" s="2"/>
      <c r="L25" s="2"/>
      <c r="M25" s="2"/>
      <c r="N25" s="3"/>
      <c r="O25" s="4" t="s">
        <v>49</v>
      </c>
      <c r="P25" s="2"/>
      <c r="Q25" s="2"/>
      <c r="R25" s="2"/>
      <c r="S25" s="2"/>
      <c r="T25" s="2"/>
      <c r="U25" s="2"/>
      <c r="V25" s="2"/>
      <c r="W25" s="2"/>
      <c r="X25" s="2"/>
      <c r="Y25" s="2"/>
      <c r="Z25" s="2"/>
      <c r="AA25" s="2"/>
      <c r="AB25" s="2"/>
      <c r="AC25" s="2"/>
      <c r="AD25" s="2"/>
      <c r="AE25" s="2"/>
      <c r="AF25" s="2"/>
      <c r="AG25" s="3"/>
    </row>
    <row r="26" ht="22.5" customHeight="1" spans="2:37">
      <c r="C26" s="45">
        <v>3</v>
      </c>
      <c r="D26" s="4" t="s">
        <v>50</v>
      </c>
      <c r="E26" s="2"/>
      <c r="F26" s="2"/>
      <c r="G26" s="2"/>
      <c r="H26" s="2"/>
      <c r="I26" s="2"/>
      <c r="J26" s="2"/>
      <c r="K26" s="2"/>
      <c r="L26" s="2"/>
      <c r="M26" s="2"/>
      <c r="N26" s="3"/>
      <c r="O26" s="4" t="s">
        <v>51</v>
      </c>
      <c r="P26" s="2"/>
      <c r="Q26" s="2"/>
      <c r="R26" s="2"/>
      <c r="S26" s="2"/>
      <c r="T26" s="2"/>
      <c r="U26" s="2"/>
      <c r="V26" s="2"/>
      <c r="W26" s="2"/>
      <c r="X26" s="2"/>
      <c r="Y26" s="2"/>
      <c r="Z26" s="2"/>
      <c r="AA26" s="2"/>
      <c r="AB26" s="2"/>
      <c r="AC26" s="2"/>
      <c r="AD26" s="2"/>
      <c r="AE26" s="2"/>
      <c r="AF26" s="2"/>
      <c r="AG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B21:AK21"/>
    <mergeCell ref="D23:N23"/>
    <mergeCell ref="O23:AG23"/>
    <mergeCell ref="D24:N24"/>
    <mergeCell ref="O24:AG24"/>
    <mergeCell ref="D25:N25"/>
    <mergeCell ref="O25:AG25"/>
    <mergeCell ref="D26:N26"/>
    <mergeCell ref="O26:AG26"/>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41" t="s">
        <v>52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53</v>
      </c>
      <c r="B3" s="2"/>
      <c r="C3" s="2"/>
      <c r="D3" s="2"/>
      <c r="E3" s="2"/>
      <c r="F3" s="3"/>
      <c r="G3" s="4" t="s">
        <v>0</v>
      </c>
      <c r="H3" s="2"/>
      <c r="I3" s="2"/>
      <c r="J3" s="2"/>
      <c r="K3" s="2"/>
      <c r="L3" s="2"/>
      <c r="M3" s="2"/>
      <c r="N3" s="2"/>
      <c r="O3" s="3"/>
      <c r="P3" s="16" t="s">
        <v>54</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42" t="s">
        <v>55</v>
      </c>
      <c r="B6" s="43" t="s">
        <v>56</v>
      </c>
      <c r="C6" s="10"/>
      <c r="D6" s="10"/>
      <c r="E6" s="10"/>
      <c r="F6" s="10"/>
      <c r="G6" s="11"/>
      <c r="H6" s="38" t="s">
        <v>57</v>
      </c>
      <c r="I6" s="2"/>
      <c r="J6" s="2"/>
      <c r="K6" s="2"/>
      <c r="L6" s="2"/>
      <c r="M6" s="2"/>
      <c r="N6" s="2"/>
      <c r="O6" s="2"/>
      <c r="P6" s="3"/>
      <c r="Q6" s="43" t="s">
        <v>58</v>
      </c>
      <c r="R6" s="10"/>
      <c r="S6" s="11"/>
      <c r="T6" s="38" t="s">
        <v>59</v>
      </c>
      <c r="U6" s="2"/>
      <c r="V6" s="2"/>
      <c r="W6" s="2"/>
      <c r="X6" s="2"/>
      <c r="Y6" s="2"/>
      <c r="Z6" s="2"/>
      <c r="AA6" s="2"/>
      <c r="AB6" s="2"/>
      <c r="AC6" s="2"/>
      <c r="AD6" s="2"/>
      <c r="AE6" s="2"/>
      <c r="AF6" s="2"/>
      <c r="AG6" s="2"/>
      <c r="AH6" s="3"/>
    </row>
    <row r="7" ht="22.5" customHeight="1" spans="1:34">
      <c r="A7" s="12"/>
      <c r="B7" s="13"/>
      <c r="C7" s="14"/>
      <c r="D7" s="14"/>
      <c r="E7" s="14"/>
      <c r="F7" s="14"/>
      <c r="G7" s="15"/>
      <c r="H7" s="38" t="s">
        <v>60</v>
      </c>
      <c r="I7" s="2"/>
      <c r="J7" s="3"/>
      <c r="K7" s="38" t="s">
        <v>61</v>
      </c>
      <c r="L7" s="2"/>
      <c r="M7" s="3"/>
      <c r="N7" s="38" t="s">
        <v>62</v>
      </c>
      <c r="O7" s="2"/>
      <c r="P7" s="3"/>
      <c r="Q7" s="13"/>
      <c r="R7" s="14"/>
      <c r="S7" s="15"/>
      <c r="T7" s="38" t="s">
        <v>63</v>
      </c>
      <c r="U7" s="2"/>
      <c r="V7" s="3"/>
      <c r="W7" s="38" t="s">
        <v>64</v>
      </c>
      <c r="X7" s="2"/>
      <c r="Y7" s="3"/>
      <c r="Z7" s="38" t="s">
        <v>65</v>
      </c>
      <c r="AA7" s="2"/>
      <c r="AB7" s="3"/>
      <c r="AC7" s="38" t="s">
        <v>66</v>
      </c>
      <c r="AD7" s="2"/>
      <c r="AE7" s="3"/>
      <c r="AF7" s="38" t="s">
        <v>67</v>
      </c>
      <c r="AG7" s="2"/>
      <c r="AH7" s="3"/>
    </row>
    <row r="8" ht="22.5" customHeight="1" spans="1:34">
      <c r="A8" s="44" t="s">
        <v>68</v>
      </c>
    </row>
    <row r="9" ht="22.5" customHeight="1" spans="1:34">
      <c r="A9" s="45">
        <v>1</v>
      </c>
      <c r="B9" s="4" t="s">
        <v>69</v>
      </c>
      <c r="C9" s="2"/>
      <c r="D9" s="2"/>
      <c r="E9" s="2"/>
      <c r="F9" s="2"/>
      <c r="G9" s="3"/>
      <c r="H9" s="6">
        <f ca="1" t="array" ref="H9">INDIRECT("'"&amp;$B9&amp;"'!H7",TRUE)</f>
        <v>32</v>
      </c>
      <c r="I9" s="2"/>
      <c r="J9" s="3"/>
      <c r="K9" s="6">
        <f ca="1" t="array" ref="K9">INDIRECT("'"&amp;$B9&amp;"'!K7",TRUE)</f>
        <v>12</v>
      </c>
      <c r="L9" s="2"/>
      <c r="M9" s="3"/>
      <c r="N9" s="6">
        <f ca="1" t="array" ref="N9">INDIRECT("'"&amp;$B9&amp;"'!N7",TRUE)</f>
        <v>1</v>
      </c>
      <c r="O9" s="2"/>
      <c r="P9" s="3"/>
      <c r="Q9" s="6">
        <f ca="1" t="array" ref="Q9">INDIRECT("'"&amp;$B9&amp;"'!Q7",TRUE)</f>
        <v>45</v>
      </c>
      <c r="R9" s="2"/>
      <c r="S9" s="3"/>
      <c r="T9" s="6">
        <f ca="1" t="array" ref="T9">INDIRECT("'"&amp;$B9&amp;"'!T7",TRUE)</f>
        <v>40</v>
      </c>
      <c r="U9" s="2"/>
      <c r="V9" s="3"/>
      <c r="W9" s="6">
        <f ca="1" t="array" ref="W9">INDIRECT("'"&amp;$B9&amp;"'!W7",TRUE)</f>
        <v>0</v>
      </c>
      <c r="X9" s="2"/>
      <c r="Y9" s="3"/>
      <c r="Z9" s="6">
        <f ca="1" t="array" ref="Z9">INDIRECT("'"&amp;$B9&amp;"'!Z7",TRUE)</f>
        <v>4</v>
      </c>
      <c r="AA9" s="2"/>
      <c r="AB9" s="3"/>
      <c r="AC9" s="6">
        <f ca="1" t="array" ref="AC9">INDIRECT("'"&amp;$B9&amp;"'!AC7",TRUE)</f>
        <v>1</v>
      </c>
      <c r="AD9" s="2"/>
      <c r="AE9" s="3"/>
      <c r="AF9" s="46">
        <f ca="1">IFERROR((T9+W9+AC9)/Q9,0)</f>
        <v>0.911111111111111</v>
      </c>
      <c r="AG9" s="2"/>
      <c r="AH9" s="3"/>
    </row>
    <row r="10" ht="22.5" customHeight="1" spans="1:34">
      <c r="A10" s="45">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6"/>
      <c r="AG10" s="2"/>
      <c r="AH10" s="3"/>
    </row>
    <row r="11" ht="22.5" customHeight="1" spans="1:34">
      <c r="A11" s="45"/>
      <c r="B11" s="38" t="s">
        <v>58</v>
      </c>
      <c r="C11" s="2"/>
      <c r="D11" s="2"/>
      <c r="E11" s="2"/>
      <c r="F11" s="2"/>
      <c r="G11" s="3"/>
      <c r="H11" s="7">
        <f ca="1">SUM(H9:J10)</f>
        <v>32</v>
      </c>
      <c r="I11" s="2"/>
      <c r="J11" s="3"/>
      <c r="K11" s="7">
        <f ca="1">SUM(K9:M10)</f>
        <v>12</v>
      </c>
      <c r="L11" s="2"/>
      <c r="M11" s="3"/>
      <c r="N11" s="7">
        <f ca="1">SUM(N9:P10)</f>
        <v>1</v>
      </c>
      <c r="O11" s="2"/>
      <c r="P11" s="3"/>
      <c r="Q11" s="7">
        <f ca="1">SUM(Q9:S10)</f>
        <v>45</v>
      </c>
      <c r="R11" s="2"/>
      <c r="S11" s="3"/>
      <c r="T11" s="7">
        <f ca="1">SUM(T9:V10)</f>
        <v>40</v>
      </c>
      <c r="U11" s="2"/>
      <c r="V11" s="3"/>
      <c r="W11" s="7">
        <f ca="1">SUM(W9:Y10)</f>
        <v>0</v>
      </c>
      <c r="X11" s="2"/>
      <c r="Y11" s="3"/>
      <c r="Z11" s="7">
        <f ca="1">SUM(Z9:AB10)</f>
        <v>4</v>
      </c>
      <c r="AA11" s="2"/>
      <c r="AB11" s="3"/>
      <c r="AC11" s="7">
        <f ca="1">SUM(AC9:AE10)</f>
        <v>1</v>
      </c>
      <c r="AD11" s="2"/>
      <c r="AE11" s="3"/>
      <c r="AF11" s="47">
        <f ca="1">IFERROR((T11+W11+AC11)/Q11,0)</f>
        <v>0.911111111111111</v>
      </c>
      <c r="AG11" s="2"/>
      <c r="AH11" s="3"/>
    </row>
    <row r="12" ht="22.5" customHeight="1" spans="1:34">
      <c r="A12" s="44" t="s">
        <v>70</v>
      </c>
    </row>
    <row r="13" ht="22.5" customHeight="1" spans="1:34">
      <c r="A13" s="45">
        <v>1</v>
      </c>
      <c r="B13" s="4" t="s">
        <v>69</v>
      </c>
      <c r="C13" s="2"/>
      <c r="D13" s="2"/>
      <c r="E13" s="2"/>
      <c r="F13" s="2"/>
      <c r="G13" s="3"/>
      <c r="H13" s="6">
        <f ca="1" t="array" ref="H13">INDIRECT("'"&amp;$B13&amp;"'!H8",TRUE)</f>
        <v>32</v>
      </c>
      <c r="I13" s="2"/>
      <c r="J13" s="3"/>
      <c r="K13" s="6">
        <f ca="1" t="array" ref="K13">INDIRECT("'"&amp;$B13&amp;"'!K8",TRUE)</f>
        <v>12</v>
      </c>
      <c r="L13" s="2"/>
      <c r="M13" s="3"/>
      <c r="N13" s="6">
        <f ca="1" t="array" ref="N13">INDIRECT("'"&amp;$B13&amp;"'!N8",TRUE)</f>
        <v>1</v>
      </c>
      <c r="O13" s="2"/>
      <c r="P13" s="3"/>
      <c r="Q13" s="6">
        <f ca="1" t="array" ref="Q13">INDIRECT("'"&amp;$B13&amp;"'!Q8",TRUE)</f>
        <v>45</v>
      </c>
      <c r="R13" s="2"/>
      <c r="S13" s="3"/>
      <c r="T13" s="6">
        <f ca="1" t="array" ref="T13">INDIRECT("'"&amp;$B13&amp;"'!T8",TRUE)</f>
        <v>44</v>
      </c>
      <c r="U13" s="2"/>
      <c r="V13" s="3"/>
      <c r="W13" s="6">
        <f ca="1" t="array" ref="W13">INDIRECT("'"&amp;$B13&amp;"'!W8",TRUE)</f>
        <v>0</v>
      </c>
      <c r="X13" s="2"/>
      <c r="Y13" s="3"/>
      <c r="Z13" s="6">
        <f ca="1" t="array" ref="Z13">INDIRECT("'"&amp;$B13&amp;"'!Z8",TRUE)</f>
        <v>0</v>
      </c>
      <c r="AA13" s="2"/>
      <c r="AB13" s="3"/>
      <c r="AC13" s="6">
        <f ca="1" t="array" ref="AC13">INDIRECT("'"&amp;$B13&amp;"'!AC8",TRUE)</f>
        <v>1</v>
      </c>
      <c r="AD13" s="2"/>
      <c r="AE13" s="3"/>
      <c r="AF13" s="46">
        <f ca="1">IFERROR((T13+W13+AC13)/Q13,0)</f>
        <v>1</v>
      </c>
      <c r="AG13" s="2"/>
      <c r="AH13" s="3"/>
    </row>
    <row r="14" ht="22.5" customHeight="1" spans="1:34">
      <c r="A14" s="45">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6"/>
      <c r="AG14" s="2"/>
      <c r="AH14" s="3"/>
    </row>
    <row r="15" ht="22.5" customHeight="1" spans="1:34">
      <c r="A15" s="45"/>
      <c r="B15" s="38" t="s">
        <v>58</v>
      </c>
      <c r="C15" s="2"/>
      <c r="D15" s="2"/>
      <c r="E15" s="2"/>
      <c r="F15" s="2"/>
      <c r="G15" s="3"/>
      <c r="H15" s="7">
        <f ca="1">SUM(H13:J14)</f>
        <v>32</v>
      </c>
      <c r="I15" s="2"/>
      <c r="J15" s="3"/>
      <c r="K15" s="7">
        <f ca="1">SUM(K13:M14)</f>
        <v>12</v>
      </c>
      <c r="L15" s="2"/>
      <c r="M15" s="3"/>
      <c r="N15" s="7">
        <f ca="1">SUM(N13:P14)</f>
        <v>1</v>
      </c>
      <c r="O15" s="2"/>
      <c r="P15" s="3"/>
      <c r="Q15" s="7">
        <f ca="1">SUM(Q13:S14)</f>
        <v>45</v>
      </c>
      <c r="R15" s="2"/>
      <c r="S15" s="3"/>
      <c r="T15" s="7">
        <f ca="1">SUM(T13:V14)</f>
        <v>44</v>
      </c>
      <c r="U15" s="2"/>
      <c r="V15" s="3"/>
      <c r="W15" s="7">
        <f ca="1">SUM(W13:Y14)</f>
        <v>0</v>
      </c>
      <c r="X15" s="2"/>
      <c r="Y15" s="3"/>
      <c r="Z15" s="7">
        <f ca="1">SUM(Z13:AB14)</f>
        <v>0</v>
      </c>
      <c r="AA15" s="2"/>
      <c r="AB15" s="3"/>
      <c r="AC15" s="7">
        <f ca="1">SUM(AC13:AE14)</f>
        <v>1</v>
      </c>
      <c r="AD15" s="2"/>
      <c r="AE15" s="3"/>
      <c r="AF15" s="47">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9" t="s">
        <v>19</v>
      </c>
      <c r="B1" s="2"/>
      <c r="C1" s="2"/>
      <c r="D1" s="2"/>
      <c r="E1" s="2"/>
      <c r="F1" s="2"/>
      <c r="G1" s="2"/>
      <c r="H1" s="2"/>
      <c r="I1" s="3"/>
      <c r="J1" s="29" t="s">
        <v>20</v>
      </c>
      <c r="K1" s="2"/>
      <c r="L1" s="2"/>
      <c r="M1" s="2"/>
      <c r="N1" s="2"/>
      <c r="O1" s="2"/>
      <c r="P1" s="3"/>
      <c r="Q1" s="29" t="s">
        <v>21</v>
      </c>
      <c r="R1" s="2"/>
      <c r="S1" s="2"/>
      <c r="T1" s="2"/>
      <c r="U1" s="3"/>
      <c r="V1" s="29" t="s">
        <v>22</v>
      </c>
      <c r="W1" s="2"/>
      <c r="X1" s="2"/>
      <c r="Y1" s="3"/>
      <c r="Z1" s="29" t="s">
        <v>23</v>
      </c>
      <c r="AA1" s="2"/>
      <c r="AB1" s="2"/>
      <c r="AC1" s="3"/>
      <c r="AD1" s="29" t="s">
        <v>24</v>
      </c>
      <c r="AE1" s="2"/>
      <c r="AF1" s="2"/>
      <c r="AG1" s="3"/>
      <c r="AH1" s="29" t="s">
        <v>25</v>
      </c>
      <c r="AI1" s="2"/>
      <c r="AJ1" s="2"/>
      <c r="AK1" s="3"/>
    </row>
    <row r="2" ht="19.5" customHeight="1" spans="1:37">
      <c r="A2" s="30" t="s">
        <v>0</v>
      </c>
      <c r="B2" s="10"/>
      <c r="C2" s="10"/>
      <c r="D2" s="10"/>
      <c r="E2" s="10"/>
      <c r="F2" s="10"/>
      <c r="G2" s="10"/>
      <c r="H2" s="10"/>
      <c r="I2" s="11"/>
      <c r="J2" s="30" t="s">
        <v>26</v>
      </c>
      <c r="K2" s="10"/>
      <c r="L2" s="10"/>
      <c r="M2" s="10"/>
      <c r="N2" s="10"/>
      <c r="O2" s="10"/>
      <c r="P2" s="11"/>
      <c r="Q2" s="30" t="s">
        <v>71</v>
      </c>
      <c r="R2" s="10"/>
      <c r="S2" s="10"/>
      <c r="T2" s="10"/>
      <c r="U2" s="11"/>
      <c r="V2" s="31" t="s">
        <v>8</v>
      </c>
      <c r="W2" s="10"/>
      <c r="X2" s="10"/>
      <c r="Y2" s="11"/>
      <c r="Z2" s="30" t="s">
        <v>16</v>
      </c>
      <c r="AA2" s="10"/>
      <c r="AB2" s="10"/>
      <c r="AC2" s="11"/>
      <c r="AD2" s="31" t="s">
        <v>8</v>
      </c>
      <c r="AE2" s="10"/>
      <c r="AF2" s="10"/>
      <c r="AG2" s="11"/>
      <c r="AH2" s="30"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2" t="s">
        <v>72</v>
      </c>
    </row>
    <row r="7" ht="28.5" customHeight="1" spans="1:37">
      <c r="B7" s="33" t="s">
        <v>55</v>
      </c>
      <c r="C7" s="1" t="s">
        <v>73</v>
      </c>
      <c r="D7" s="2"/>
      <c r="E7" s="3"/>
      <c r="F7" s="1" t="s">
        <v>74</v>
      </c>
      <c r="G7" s="2"/>
      <c r="H7" s="2"/>
      <c r="I7" s="2"/>
      <c r="J7" s="2"/>
      <c r="K7" s="2"/>
      <c r="L7" s="3"/>
      <c r="M7" s="1" t="s">
        <v>75</v>
      </c>
      <c r="N7" s="2"/>
      <c r="O7" s="2"/>
      <c r="P7" s="2"/>
      <c r="Q7" s="2"/>
      <c r="R7" s="2"/>
      <c r="S7" s="2"/>
      <c r="T7" s="3"/>
      <c r="U7" s="1" t="s">
        <v>76</v>
      </c>
      <c r="V7" s="3"/>
      <c r="W7" s="1" t="s">
        <v>77</v>
      </c>
      <c r="X7" s="2"/>
      <c r="Y7" s="2"/>
      <c r="Z7" s="2"/>
      <c r="AA7" s="2"/>
      <c r="AB7" s="2"/>
      <c r="AC7" s="3"/>
      <c r="AD7" s="1" t="s">
        <v>78</v>
      </c>
      <c r="AE7" s="2"/>
      <c r="AF7" s="3"/>
    </row>
    <row r="8" ht="30" customHeight="1" spans="1:37">
      <c r="B8" s="17">
        <v>1</v>
      </c>
      <c r="C8" s="19" t="s">
        <v>79</v>
      </c>
      <c r="D8" s="2"/>
      <c r="E8" s="3"/>
      <c r="F8" s="18" t="s">
        <v>80</v>
      </c>
      <c r="G8" s="2"/>
      <c r="H8" s="2"/>
      <c r="I8" s="2"/>
      <c r="J8" s="2"/>
      <c r="K8" s="2"/>
      <c r="L8" s="3"/>
      <c r="M8" s="18" t="s">
        <v>81</v>
      </c>
      <c r="N8" s="2"/>
      <c r="O8" s="2"/>
      <c r="P8" s="2"/>
      <c r="Q8" s="2"/>
      <c r="R8" s="2"/>
      <c r="S8" s="2"/>
      <c r="T8" s="3"/>
      <c r="U8" s="34" t="s">
        <v>82</v>
      </c>
      <c r="V8" s="3"/>
      <c r="W8" s="18" t="s">
        <v>83</v>
      </c>
      <c r="X8" s="2"/>
      <c r="Y8" s="2"/>
      <c r="Z8" s="2"/>
      <c r="AA8" s="2"/>
      <c r="AB8" s="2"/>
      <c r="AC8" s="3"/>
      <c r="AD8" s="19">
        <v>265</v>
      </c>
      <c r="AE8" s="2"/>
      <c r="AF8" s="3"/>
    </row>
    <row r="9" ht="30" customHeight="1" spans="1:37">
      <c r="B9" s="17">
        <v>2</v>
      </c>
      <c r="C9" s="19" t="s">
        <v>84</v>
      </c>
      <c r="D9" s="2"/>
      <c r="E9" s="3"/>
      <c r="F9" s="18" t="s">
        <v>80</v>
      </c>
      <c r="G9" s="2"/>
      <c r="H9" s="2"/>
      <c r="I9" s="2"/>
      <c r="J9" s="2"/>
      <c r="K9" s="2"/>
      <c r="L9" s="3"/>
      <c r="M9" s="18" t="s">
        <v>85</v>
      </c>
      <c r="N9" s="2"/>
      <c r="O9" s="2"/>
      <c r="P9" s="2"/>
      <c r="Q9" s="2"/>
      <c r="R9" s="2"/>
      <c r="S9" s="2"/>
      <c r="T9" s="3"/>
      <c r="U9" s="34" t="s">
        <v>82</v>
      </c>
      <c r="V9" s="3"/>
      <c r="W9" s="18" t="s">
        <v>86</v>
      </c>
      <c r="X9" s="2"/>
      <c r="Y9" s="2"/>
      <c r="Z9" s="2"/>
      <c r="AA9" s="2"/>
      <c r="AB9" s="2"/>
      <c r="AC9" s="3"/>
      <c r="AD9" s="19">
        <v>200</v>
      </c>
      <c r="AE9" s="2"/>
      <c r="AF9" s="3"/>
    </row>
    <row r="10" ht="36" customHeight="1" spans="1:37">
      <c r="B10" s="17">
        <v>3</v>
      </c>
      <c r="C10" s="19" t="s">
        <v>87</v>
      </c>
      <c r="D10" s="2"/>
      <c r="E10" s="3"/>
      <c r="F10" s="18" t="s">
        <v>80</v>
      </c>
      <c r="G10" s="2"/>
      <c r="H10" s="2"/>
      <c r="I10" s="2"/>
      <c r="J10" s="2"/>
      <c r="K10" s="2"/>
      <c r="L10" s="3"/>
      <c r="M10" s="18" t="s">
        <v>88</v>
      </c>
      <c r="N10" s="2"/>
      <c r="O10" s="2"/>
      <c r="P10" s="2"/>
      <c r="Q10" s="2"/>
      <c r="R10" s="2"/>
      <c r="S10" s="2"/>
      <c r="T10" s="3"/>
      <c r="U10" s="34" t="s">
        <v>82</v>
      </c>
      <c r="V10" s="3"/>
      <c r="W10" s="18" t="s">
        <v>89</v>
      </c>
      <c r="X10" s="2"/>
      <c r="Y10" s="2"/>
      <c r="Z10" s="2"/>
      <c r="AA10" s="2"/>
      <c r="AB10" s="2"/>
      <c r="AC10" s="3"/>
      <c r="AD10" s="19">
        <v>50</v>
      </c>
      <c r="AE10" s="2"/>
      <c r="AF10" s="3"/>
    </row>
    <row r="11" ht="30" customHeight="1" spans="1:37">
      <c r="B11" s="17">
        <v>4</v>
      </c>
      <c r="C11" s="19" t="s">
        <v>90</v>
      </c>
      <c r="D11" s="2"/>
      <c r="E11" s="3"/>
      <c r="F11" s="18" t="s">
        <v>80</v>
      </c>
      <c r="G11" s="2"/>
      <c r="H11" s="2"/>
      <c r="I11" s="2"/>
      <c r="J11" s="2"/>
      <c r="K11" s="2"/>
      <c r="L11" s="3"/>
      <c r="M11" s="18" t="s">
        <v>91</v>
      </c>
      <c r="N11" s="2"/>
      <c r="O11" s="2"/>
      <c r="P11" s="2"/>
      <c r="Q11" s="2"/>
      <c r="R11" s="2"/>
      <c r="S11" s="2"/>
      <c r="T11" s="3"/>
      <c r="U11" s="34" t="s">
        <v>82</v>
      </c>
      <c r="V11" s="3"/>
      <c r="W11" s="18" t="s">
        <v>83</v>
      </c>
      <c r="X11" s="2"/>
      <c r="Y11" s="2"/>
      <c r="Z11" s="2"/>
      <c r="AA11" s="2"/>
      <c r="AB11" s="2"/>
      <c r="AC11" s="3"/>
      <c r="AD11" s="19">
        <v>75</v>
      </c>
      <c r="AE11" s="2"/>
      <c r="AF11" s="3"/>
    </row>
    <row r="12" ht="30" customHeight="1" spans="1:37">
      <c r="B12" s="17">
        <v>5</v>
      </c>
      <c r="C12" s="19" t="s">
        <v>92</v>
      </c>
      <c r="D12" s="2"/>
      <c r="E12" s="3"/>
      <c r="F12" s="18" t="s">
        <v>80</v>
      </c>
      <c r="G12" s="2"/>
      <c r="H12" s="2"/>
      <c r="I12" s="2"/>
      <c r="J12" s="2"/>
      <c r="K12" s="2"/>
      <c r="L12" s="3"/>
      <c r="M12" s="18" t="s">
        <v>93</v>
      </c>
      <c r="N12" s="2"/>
      <c r="O12" s="2"/>
      <c r="P12" s="2"/>
      <c r="Q12" s="2"/>
      <c r="R12" s="2"/>
      <c r="S12" s="2"/>
      <c r="T12" s="3"/>
      <c r="U12" s="34" t="s">
        <v>82</v>
      </c>
      <c r="V12" s="3"/>
      <c r="W12" s="18" t="s">
        <v>94</v>
      </c>
      <c r="X12" s="2"/>
      <c r="Y12" s="2"/>
      <c r="Z12" s="2"/>
      <c r="AA12" s="2"/>
      <c r="AB12" s="2"/>
      <c r="AC12" s="3"/>
      <c r="AD12" s="19">
        <v>30</v>
      </c>
      <c r="AE12" s="2"/>
      <c r="AF12" s="3"/>
    </row>
    <row r="13" ht="30" customHeight="1" spans="1:37">
      <c r="B13" s="17">
        <v>6</v>
      </c>
      <c r="C13" s="19" t="s">
        <v>95</v>
      </c>
      <c r="D13" s="2"/>
      <c r="E13" s="3"/>
      <c r="F13" s="18" t="s">
        <v>80</v>
      </c>
      <c r="G13" s="2"/>
      <c r="H13" s="2"/>
      <c r="I13" s="2"/>
      <c r="J13" s="2"/>
      <c r="K13" s="2"/>
      <c r="L13" s="3"/>
      <c r="M13" s="18" t="s">
        <v>96</v>
      </c>
      <c r="N13" s="2"/>
      <c r="O13" s="2"/>
      <c r="P13" s="2"/>
      <c r="Q13" s="2"/>
      <c r="R13" s="2"/>
      <c r="S13" s="2"/>
      <c r="T13" s="3"/>
      <c r="U13" s="34" t="s">
        <v>82</v>
      </c>
      <c r="V13" s="3"/>
      <c r="W13" s="18" t="s">
        <v>97</v>
      </c>
      <c r="X13" s="2"/>
      <c r="Y13" s="2"/>
      <c r="Z13" s="2"/>
      <c r="AA13" s="2"/>
      <c r="AB13" s="2"/>
      <c r="AC13" s="3"/>
      <c r="AD13" s="19">
        <v>50</v>
      </c>
      <c r="AE13" s="2"/>
      <c r="AF13" s="3"/>
    </row>
    <row r="14" ht="30" customHeight="1" spans="1:37">
      <c r="B14" s="17">
        <v>7</v>
      </c>
      <c r="C14" s="19" t="s">
        <v>98</v>
      </c>
      <c r="D14" s="2"/>
      <c r="E14" s="3"/>
      <c r="F14" s="18" t="s">
        <v>80</v>
      </c>
      <c r="G14" s="2"/>
      <c r="H14" s="2"/>
      <c r="I14" s="2"/>
      <c r="J14" s="2"/>
      <c r="K14" s="2"/>
      <c r="L14" s="3"/>
      <c r="M14" s="18" t="s">
        <v>99</v>
      </c>
      <c r="N14" s="2"/>
      <c r="O14" s="2"/>
      <c r="P14" s="2"/>
      <c r="Q14" s="2"/>
      <c r="R14" s="2"/>
      <c r="S14" s="2"/>
      <c r="T14" s="3"/>
      <c r="U14" s="34" t="s">
        <v>82</v>
      </c>
      <c r="V14" s="3"/>
      <c r="W14" s="18" t="s">
        <v>94</v>
      </c>
      <c r="X14" s="2"/>
      <c r="Y14" s="2"/>
      <c r="Z14" s="2"/>
      <c r="AA14" s="2"/>
      <c r="AB14" s="2"/>
      <c r="AC14" s="3"/>
      <c r="AD14" s="19">
        <v>10</v>
      </c>
      <c r="AE14" s="2"/>
      <c r="AF14" s="3"/>
    </row>
    <row r="15" ht="30" customHeight="1" spans="1:37">
      <c r="B15" s="17">
        <v>8</v>
      </c>
      <c r="C15" s="19" t="s">
        <v>100</v>
      </c>
      <c r="D15" s="2"/>
      <c r="E15" s="3"/>
      <c r="F15" s="18" t="s">
        <v>80</v>
      </c>
      <c r="G15" s="2"/>
      <c r="H15" s="2"/>
      <c r="I15" s="2"/>
      <c r="J15" s="2"/>
      <c r="K15" s="2"/>
      <c r="L15" s="3"/>
      <c r="M15" s="18" t="s">
        <v>101</v>
      </c>
      <c r="N15" s="2"/>
      <c r="O15" s="2"/>
      <c r="P15" s="2"/>
      <c r="Q15" s="2"/>
      <c r="R15" s="2"/>
      <c r="S15" s="2"/>
      <c r="T15" s="3"/>
      <c r="U15" s="35" t="s">
        <v>102</v>
      </c>
      <c r="V15" s="3"/>
      <c r="W15" s="18" t="s">
        <v>103</v>
      </c>
      <c r="X15" s="2"/>
      <c r="Y15" s="2"/>
      <c r="Z15" s="2"/>
      <c r="AA15" s="2"/>
      <c r="AB15" s="2"/>
      <c r="AC15" s="3"/>
      <c r="AD15" s="19">
        <v>20</v>
      </c>
      <c r="AE15" s="2"/>
      <c r="AF15" s="3"/>
    </row>
    <row r="16" ht="30" customHeight="1" spans="1:37">
      <c r="B16" s="17">
        <v>9</v>
      </c>
      <c r="C16" s="19" t="s">
        <v>104</v>
      </c>
      <c r="D16" s="2"/>
      <c r="E16" s="3"/>
      <c r="F16" s="18" t="s">
        <v>80</v>
      </c>
      <c r="G16" s="2"/>
      <c r="H16" s="2"/>
      <c r="I16" s="2"/>
      <c r="J16" s="2"/>
      <c r="K16" s="2"/>
      <c r="L16" s="3"/>
      <c r="M16" s="18" t="s">
        <v>105</v>
      </c>
      <c r="N16" s="2"/>
      <c r="O16" s="2"/>
      <c r="P16" s="2"/>
      <c r="Q16" s="2"/>
      <c r="R16" s="2"/>
      <c r="S16" s="2"/>
      <c r="T16" s="3"/>
      <c r="U16" s="34" t="s">
        <v>82</v>
      </c>
      <c r="V16" s="3"/>
      <c r="W16" s="18" t="s">
        <v>106</v>
      </c>
      <c r="X16" s="2"/>
      <c r="Y16" s="2"/>
      <c r="Z16" s="2"/>
      <c r="AA16" s="2"/>
      <c r="AB16" s="2"/>
      <c r="AC16" s="3"/>
      <c r="AD16" s="19">
        <v>8</v>
      </c>
      <c r="AE16" s="2"/>
      <c r="AF16" s="3"/>
    </row>
    <row r="17" ht="30" customHeight="1" spans="2:32">
      <c r="B17" s="17">
        <v>10</v>
      </c>
      <c r="C17" s="19" t="s">
        <v>107</v>
      </c>
      <c r="D17" s="2"/>
      <c r="E17" s="3"/>
      <c r="F17" s="18" t="s">
        <v>80</v>
      </c>
      <c r="G17" s="2"/>
      <c r="H17" s="2"/>
      <c r="I17" s="2"/>
      <c r="J17" s="2"/>
      <c r="K17" s="2"/>
      <c r="L17" s="3"/>
      <c r="M17" s="18" t="s">
        <v>108</v>
      </c>
      <c r="N17" s="2"/>
      <c r="O17" s="2"/>
      <c r="P17" s="2"/>
      <c r="Q17" s="2"/>
      <c r="R17" s="2"/>
      <c r="S17" s="2"/>
      <c r="T17" s="3"/>
      <c r="U17" s="34" t="s">
        <v>82</v>
      </c>
      <c r="V17" s="3"/>
      <c r="W17" s="18" t="s">
        <v>109</v>
      </c>
      <c r="X17" s="2"/>
      <c r="Y17" s="2"/>
      <c r="Z17" s="2"/>
      <c r="AA17" s="2"/>
      <c r="AB17" s="2"/>
      <c r="AC17" s="3"/>
      <c r="AD17" s="19">
        <v>30</v>
      </c>
      <c r="AE17" s="2"/>
      <c r="AF17" s="3"/>
    </row>
    <row r="18" ht="30" customHeight="1" spans="2:32">
      <c r="B18" s="17">
        <v>11</v>
      </c>
      <c r="C18" s="19" t="s">
        <v>110</v>
      </c>
      <c r="D18" s="2"/>
      <c r="E18" s="3"/>
      <c r="F18" s="18" t="s">
        <v>111</v>
      </c>
      <c r="G18" s="2"/>
      <c r="H18" s="2"/>
      <c r="I18" s="2"/>
      <c r="J18" s="2"/>
      <c r="K18" s="2"/>
      <c r="L18" s="3"/>
      <c r="M18" s="18" t="s">
        <v>112</v>
      </c>
      <c r="N18" s="2"/>
      <c r="O18" s="2"/>
      <c r="P18" s="2"/>
      <c r="Q18" s="2"/>
      <c r="R18" s="2"/>
      <c r="S18" s="2"/>
      <c r="T18" s="3"/>
      <c r="U18" s="35" t="s">
        <v>102</v>
      </c>
      <c r="V18" s="3"/>
      <c r="W18" s="18" t="s">
        <v>113</v>
      </c>
      <c r="X18" s="2"/>
      <c r="Y18" s="2"/>
      <c r="Z18" s="2"/>
      <c r="AA18" s="2"/>
      <c r="AB18" s="2"/>
      <c r="AC18" s="3"/>
      <c r="AD18" s="19">
        <v>100</v>
      </c>
      <c r="AE18" s="2"/>
      <c r="AF18" s="3"/>
    </row>
    <row r="19" ht="30" customHeight="1" spans="2:32">
      <c r="B19" s="17">
        <v>12</v>
      </c>
      <c r="C19" s="19" t="s">
        <v>114</v>
      </c>
      <c r="D19" s="2"/>
      <c r="E19" s="3"/>
      <c r="F19" s="18" t="s">
        <v>111</v>
      </c>
      <c r="G19" s="2"/>
      <c r="H19" s="2"/>
      <c r="I19" s="2"/>
      <c r="J19" s="2"/>
      <c r="K19" s="2"/>
      <c r="L19" s="3"/>
      <c r="M19" s="18" t="s">
        <v>115</v>
      </c>
      <c r="N19" s="2"/>
      <c r="O19" s="2"/>
      <c r="P19" s="2"/>
      <c r="Q19" s="2"/>
      <c r="R19" s="2"/>
      <c r="S19" s="2"/>
      <c r="T19" s="3"/>
      <c r="U19" s="35" t="s">
        <v>102</v>
      </c>
      <c r="V19" s="3"/>
      <c r="W19" s="18" t="s">
        <v>113</v>
      </c>
      <c r="X19" s="2"/>
      <c r="Y19" s="2"/>
      <c r="Z19" s="2"/>
      <c r="AA19" s="2"/>
      <c r="AB19" s="2"/>
      <c r="AC19" s="3"/>
      <c r="AD19" s="19">
        <v>80</v>
      </c>
      <c r="AE19" s="2"/>
      <c r="AF19" s="3"/>
    </row>
    <row r="20" ht="30" customHeight="1" spans="2:32">
      <c r="B20" s="17">
        <v>13</v>
      </c>
      <c r="C20" s="19" t="s">
        <v>116</v>
      </c>
      <c r="D20" s="2"/>
      <c r="E20" s="3"/>
      <c r="F20" s="18" t="s">
        <v>111</v>
      </c>
      <c r="G20" s="2"/>
      <c r="H20" s="2"/>
      <c r="I20" s="2"/>
      <c r="J20" s="2"/>
      <c r="K20" s="2"/>
      <c r="L20" s="3"/>
      <c r="M20" s="18" t="s">
        <v>117</v>
      </c>
      <c r="N20" s="2"/>
      <c r="O20" s="2"/>
      <c r="P20" s="2"/>
      <c r="Q20" s="2"/>
      <c r="R20" s="2"/>
      <c r="S20" s="2"/>
      <c r="T20" s="3"/>
      <c r="U20" s="35" t="s">
        <v>102</v>
      </c>
      <c r="V20" s="3"/>
      <c r="W20" s="18" t="s">
        <v>97</v>
      </c>
      <c r="X20" s="2"/>
      <c r="Y20" s="2"/>
      <c r="Z20" s="2"/>
      <c r="AA20" s="2"/>
      <c r="AB20" s="2"/>
      <c r="AC20" s="3"/>
      <c r="AD20" s="19">
        <v>60</v>
      </c>
      <c r="AE20" s="2"/>
      <c r="AF20" s="3"/>
    </row>
    <row r="21" ht="30" customHeight="1" spans="2:32">
      <c r="B21" s="17">
        <v>14</v>
      </c>
      <c r="C21" s="19" t="s">
        <v>118</v>
      </c>
      <c r="D21" s="2"/>
      <c r="E21" s="3"/>
      <c r="F21" s="18" t="s">
        <v>111</v>
      </c>
      <c r="G21" s="2"/>
      <c r="H21" s="2"/>
      <c r="I21" s="2"/>
      <c r="J21" s="2"/>
      <c r="K21" s="2"/>
      <c r="L21" s="3"/>
      <c r="M21" s="18" t="s">
        <v>119</v>
      </c>
      <c r="N21" s="2"/>
      <c r="O21" s="2"/>
      <c r="P21" s="2"/>
      <c r="Q21" s="2"/>
      <c r="R21" s="2"/>
      <c r="S21" s="2"/>
      <c r="T21" s="3"/>
      <c r="U21" s="35" t="s">
        <v>102</v>
      </c>
      <c r="V21" s="3"/>
      <c r="W21" s="18" t="s">
        <v>113</v>
      </c>
      <c r="X21" s="2"/>
      <c r="Y21" s="2"/>
      <c r="Z21" s="2"/>
      <c r="AA21" s="2"/>
      <c r="AB21" s="2"/>
      <c r="AC21" s="3"/>
      <c r="AD21" s="19">
        <v>50</v>
      </c>
      <c r="AE21" s="2"/>
      <c r="AF21" s="3"/>
    </row>
    <row r="22" ht="30" customHeight="1" spans="2:32">
      <c r="B22" s="17">
        <v>15</v>
      </c>
      <c r="C22" s="19" t="s">
        <v>120</v>
      </c>
      <c r="D22" s="2"/>
      <c r="E22" s="3"/>
      <c r="F22" s="18" t="s">
        <v>111</v>
      </c>
      <c r="G22" s="2"/>
      <c r="H22" s="2"/>
      <c r="I22" s="2"/>
      <c r="J22" s="2"/>
      <c r="K22" s="2"/>
      <c r="L22" s="3"/>
      <c r="M22" s="18" t="s">
        <v>121</v>
      </c>
      <c r="N22" s="2"/>
      <c r="O22" s="2"/>
      <c r="P22" s="2"/>
      <c r="Q22" s="2"/>
      <c r="R22" s="2"/>
      <c r="S22" s="2"/>
      <c r="T22" s="3"/>
      <c r="U22" s="35" t="s">
        <v>102</v>
      </c>
      <c r="V22" s="3"/>
      <c r="W22" s="18" t="s">
        <v>122</v>
      </c>
      <c r="X22" s="2"/>
      <c r="Y22" s="2"/>
      <c r="Z22" s="2"/>
      <c r="AA22" s="2"/>
      <c r="AB22" s="2"/>
      <c r="AC22" s="3"/>
      <c r="AD22" s="19">
        <v>30</v>
      </c>
      <c r="AE22" s="2"/>
      <c r="AF22" s="3"/>
    </row>
    <row r="23" ht="30" customHeight="1" spans="2:32">
      <c r="B23" s="17">
        <v>16</v>
      </c>
      <c r="C23" s="19" t="s">
        <v>123</v>
      </c>
      <c r="D23" s="2"/>
      <c r="E23" s="3"/>
      <c r="F23" s="18" t="s">
        <v>111</v>
      </c>
      <c r="G23" s="2"/>
      <c r="H23" s="2"/>
      <c r="I23" s="2"/>
      <c r="J23" s="2"/>
      <c r="K23" s="2"/>
      <c r="L23" s="3"/>
      <c r="M23" s="18" t="s">
        <v>124</v>
      </c>
      <c r="N23" s="2"/>
      <c r="O23" s="2"/>
      <c r="P23" s="2"/>
      <c r="Q23" s="2"/>
      <c r="R23" s="2"/>
      <c r="S23" s="2"/>
      <c r="T23" s="3"/>
      <c r="U23" s="34" t="s">
        <v>82</v>
      </c>
      <c r="V23" s="3"/>
      <c r="W23" s="18" t="s">
        <v>125</v>
      </c>
      <c r="X23" s="2"/>
      <c r="Y23" s="2"/>
      <c r="Z23" s="2"/>
      <c r="AA23" s="2"/>
      <c r="AB23" s="2"/>
      <c r="AC23" s="3"/>
      <c r="AD23" s="19">
        <v>15</v>
      </c>
      <c r="AE23" s="2"/>
      <c r="AF23" s="3"/>
    </row>
    <row r="24" ht="36" customHeight="1" spans="2:32">
      <c r="B24" s="17">
        <v>17</v>
      </c>
      <c r="C24" s="19" t="s">
        <v>126</v>
      </c>
      <c r="D24" s="2"/>
      <c r="E24" s="3"/>
      <c r="F24" s="18" t="s">
        <v>111</v>
      </c>
      <c r="G24" s="2"/>
      <c r="H24" s="2"/>
      <c r="I24" s="2"/>
      <c r="J24" s="2"/>
      <c r="K24" s="2"/>
      <c r="L24" s="3"/>
      <c r="M24" s="18" t="s">
        <v>127</v>
      </c>
      <c r="N24" s="2"/>
      <c r="O24" s="2"/>
      <c r="P24" s="2"/>
      <c r="Q24" s="2"/>
      <c r="R24" s="2"/>
      <c r="S24" s="2"/>
      <c r="T24" s="3"/>
      <c r="U24" s="35" t="s">
        <v>102</v>
      </c>
      <c r="V24" s="3"/>
      <c r="W24" s="18" t="s">
        <v>128</v>
      </c>
      <c r="X24" s="2"/>
      <c r="Y24" s="2"/>
      <c r="Z24" s="2"/>
      <c r="AA24" s="2"/>
      <c r="AB24" s="2"/>
      <c r="AC24" s="3"/>
      <c r="AD24" s="19">
        <v>45</v>
      </c>
      <c r="AE24" s="2"/>
      <c r="AF24" s="3"/>
    </row>
    <row r="25" ht="30" customHeight="1" spans="2:32">
      <c r="B25" s="17">
        <v>18</v>
      </c>
      <c r="C25" s="19" t="s">
        <v>129</v>
      </c>
      <c r="D25" s="2"/>
      <c r="E25" s="3"/>
      <c r="F25" s="18" t="s">
        <v>111</v>
      </c>
      <c r="G25" s="2"/>
      <c r="H25" s="2"/>
      <c r="I25" s="2"/>
      <c r="J25" s="2"/>
      <c r="K25" s="2"/>
      <c r="L25" s="3"/>
      <c r="M25" s="18" t="s">
        <v>130</v>
      </c>
      <c r="N25" s="2"/>
      <c r="O25" s="2"/>
      <c r="P25" s="2"/>
      <c r="Q25" s="2"/>
      <c r="R25" s="2"/>
      <c r="S25" s="2"/>
      <c r="T25" s="3"/>
      <c r="U25" s="35" t="s">
        <v>102</v>
      </c>
      <c r="V25" s="3"/>
      <c r="W25" s="18" t="s">
        <v>131</v>
      </c>
      <c r="X25" s="2"/>
      <c r="Y25" s="2"/>
      <c r="Z25" s="2"/>
      <c r="AA25" s="2"/>
      <c r="AB25" s="2"/>
      <c r="AC25" s="3"/>
      <c r="AD25" s="19">
        <v>30</v>
      </c>
      <c r="AE25" s="2"/>
      <c r="AF25" s="3"/>
    </row>
    <row r="26" ht="36" customHeight="1" spans="2:32">
      <c r="B26" s="17">
        <v>19</v>
      </c>
      <c r="C26" s="19" t="s">
        <v>132</v>
      </c>
      <c r="D26" s="2"/>
      <c r="E26" s="3"/>
      <c r="F26" s="18" t="s">
        <v>111</v>
      </c>
      <c r="G26" s="2"/>
      <c r="H26" s="2"/>
      <c r="I26" s="2"/>
      <c r="J26" s="2"/>
      <c r="K26" s="2"/>
      <c r="L26" s="3"/>
      <c r="M26" s="18" t="s">
        <v>133</v>
      </c>
      <c r="N26" s="2"/>
      <c r="O26" s="2"/>
      <c r="P26" s="2"/>
      <c r="Q26" s="2"/>
      <c r="R26" s="2"/>
      <c r="S26" s="2"/>
      <c r="T26" s="3"/>
      <c r="U26" s="35" t="s">
        <v>102</v>
      </c>
      <c r="V26" s="3"/>
      <c r="W26" s="18" t="s">
        <v>134</v>
      </c>
      <c r="X26" s="2"/>
      <c r="Y26" s="2"/>
      <c r="Z26" s="2"/>
      <c r="AA26" s="2"/>
      <c r="AB26" s="2"/>
      <c r="AC26" s="3"/>
      <c r="AD26" s="19">
        <v>25</v>
      </c>
      <c r="AE26" s="2"/>
      <c r="AF26" s="3"/>
    </row>
    <row r="27" ht="30" customHeight="1" spans="2:32">
      <c r="B27" s="17">
        <v>20</v>
      </c>
      <c r="C27" s="19" t="s">
        <v>135</v>
      </c>
      <c r="D27" s="2"/>
      <c r="E27" s="3"/>
      <c r="F27" s="18" t="s">
        <v>136</v>
      </c>
      <c r="G27" s="2"/>
      <c r="H27" s="2"/>
      <c r="I27" s="2"/>
      <c r="J27" s="2"/>
      <c r="K27" s="2"/>
      <c r="L27" s="3"/>
      <c r="M27" s="18" t="s">
        <v>137</v>
      </c>
      <c r="N27" s="2"/>
      <c r="O27" s="2"/>
      <c r="P27" s="2"/>
      <c r="Q27" s="2"/>
      <c r="R27" s="2"/>
      <c r="S27" s="2"/>
      <c r="T27" s="3"/>
      <c r="U27" s="34" t="s">
        <v>82</v>
      </c>
      <c r="V27" s="3"/>
      <c r="W27" s="18" t="s">
        <v>131</v>
      </c>
      <c r="X27" s="2"/>
      <c r="Y27" s="2"/>
      <c r="Z27" s="2"/>
      <c r="AA27" s="2"/>
      <c r="AB27" s="2"/>
      <c r="AC27" s="3"/>
      <c r="AD27" s="19">
        <v>60</v>
      </c>
      <c r="AE27" s="2"/>
      <c r="AF27" s="3"/>
    </row>
    <row r="28" ht="30" customHeight="1" spans="2:32">
      <c r="B28" s="17">
        <v>21</v>
      </c>
      <c r="C28" s="19" t="s">
        <v>138</v>
      </c>
      <c r="D28" s="2"/>
      <c r="E28" s="3"/>
      <c r="F28" s="18" t="s">
        <v>136</v>
      </c>
      <c r="G28" s="2"/>
      <c r="H28" s="2"/>
      <c r="I28" s="2"/>
      <c r="J28" s="2"/>
      <c r="K28" s="2"/>
      <c r="L28" s="3"/>
      <c r="M28" s="18" t="s">
        <v>139</v>
      </c>
      <c r="N28" s="2"/>
      <c r="O28" s="2"/>
      <c r="P28" s="2"/>
      <c r="Q28" s="2"/>
      <c r="R28" s="2"/>
      <c r="S28" s="2"/>
      <c r="T28" s="3"/>
      <c r="U28" s="35" t="s">
        <v>102</v>
      </c>
      <c r="V28" s="3"/>
      <c r="W28" s="18" t="s">
        <v>140</v>
      </c>
      <c r="X28" s="2"/>
      <c r="Y28" s="2"/>
      <c r="Z28" s="2"/>
      <c r="AA28" s="2"/>
      <c r="AB28" s="2"/>
      <c r="AC28" s="3"/>
      <c r="AD28" s="19">
        <v>16</v>
      </c>
      <c r="AE28" s="2"/>
      <c r="AF28" s="3"/>
    </row>
    <row r="29" ht="30" customHeight="1" spans="2:32">
      <c r="B29" s="17">
        <v>22</v>
      </c>
      <c r="C29" s="19" t="s">
        <v>141</v>
      </c>
      <c r="D29" s="2"/>
      <c r="E29" s="3"/>
      <c r="F29" s="18" t="s">
        <v>136</v>
      </c>
      <c r="G29" s="2"/>
      <c r="H29" s="2"/>
      <c r="I29" s="2"/>
      <c r="J29" s="2"/>
      <c r="K29" s="2"/>
      <c r="L29" s="3"/>
      <c r="M29" s="18" t="s">
        <v>142</v>
      </c>
      <c r="N29" s="2"/>
      <c r="O29" s="2"/>
      <c r="P29" s="2"/>
      <c r="Q29" s="2"/>
      <c r="R29" s="2"/>
      <c r="S29" s="2"/>
      <c r="T29" s="3"/>
      <c r="U29" s="34" t="s">
        <v>82</v>
      </c>
      <c r="V29" s="3"/>
      <c r="W29" s="18" t="s">
        <v>143</v>
      </c>
      <c r="X29" s="2"/>
      <c r="Y29" s="2"/>
      <c r="Z29" s="2"/>
      <c r="AA29" s="2"/>
      <c r="AB29" s="2"/>
      <c r="AC29" s="3"/>
      <c r="AD29" s="19">
        <v>18</v>
      </c>
      <c r="AE29" s="2"/>
      <c r="AF29" s="3"/>
    </row>
    <row r="30" ht="30" customHeight="1" spans="2:32">
      <c r="B30" s="17">
        <v>23</v>
      </c>
      <c r="C30" s="19" t="s">
        <v>144</v>
      </c>
      <c r="D30" s="2"/>
      <c r="E30" s="3"/>
      <c r="F30" s="18" t="s">
        <v>136</v>
      </c>
      <c r="G30" s="2"/>
      <c r="H30" s="2"/>
      <c r="I30" s="2"/>
      <c r="J30" s="2"/>
      <c r="K30" s="2"/>
      <c r="L30" s="3"/>
      <c r="M30" s="18" t="s">
        <v>145</v>
      </c>
      <c r="N30" s="2"/>
      <c r="O30" s="2"/>
      <c r="P30" s="2"/>
      <c r="Q30" s="2"/>
      <c r="R30" s="2"/>
      <c r="S30" s="2"/>
      <c r="T30" s="3"/>
      <c r="U30" s="35" t="s">
        <v>102</v>
      </c>
      <c r="V30" s="3"/>
      <c r="W30" s="18" t="s">
        <v>146</v>
      </c>
      <c r="X30" s="2"/>
      <c r="Y30" s="2"/>
      <c r="Z30" s="2"/>
      <c r="AA30" s="2"/>
      <c r="AB30" s="2"/>
      <c r="AC30" s="3"/>
      <c r="AD30" s="19">
        <v>8</v>
      </c>
      <c r="AE30" s="2"/>
      <c r="AF30" s="3"/>
    </row>
    <row r="31" ht="30" customHeight="1" spans="2:32">
      <c r="B31" s="17">
        <v>24</v>
      </c>
      <c r="C31" s="19" t="s">
        <v>147</v>
      </c>
      <c r="D31" s="2"/>
      <c r="E31" s="3"/>
      <c r="F31" s="18" t="s">
        <v>136</v>
      </c>
      <c r="G31" s="2"/>
      <c r="H31" s="2"/>
      <c r="I31" s="2"/>
      <c r="J31" s="2"/>
      <c r="K31" s="2"/>
      <c r="L31" s="3"/>
      <c r="M31" s="18" t="s">
        <v>148</v>
      </c>
      <c r="N31" s="2"/>
      <c r="O31" s="2"/>
      <c r="P31" s="2"/>
      <c r="Q31" s="2"/>
      <c r="R31" s="2"/>
      <c r="S31" s="2"/>
      <c r="T31" s="3"/>
      <c r="U31" s="34" t="s">
        <v>82</v>
      </c>
      <c r="V31" s="3"/>
      <c r="W31" s="18" t="s">
        <v>149</v>
      </c>
      <c r="X31" s="2"/>
      <c r="Y31" s="2"/>
      <c r="Z31" s="2"/>
      <c r="AA31" s="2"/>
      <c r="AB31" s="2"/>
      <c r="AC31" s="3"/>
      <c r="AD31" s="19">
        <v>10</v>
      </c>
      <c r="AE31" s="2"/>
      <c r="AF31" s="3"/>
    </row>
    <row r="32" ht="30" customHeight="1" spans="2:32">
      <c r="B32" s="17">
        <v>25</v>
      </c>
      <c r="C32" s="19" t="s">
        <v>150</v>
      </c>
      <c r="D32" s="2"/>
      <c r="E32" s="3"/>
      <c r="F32" s="18" t="s">
        <v>136</v>
      </c>
      <c r="G32" s="2"/>
      <c r="H32" s="2"/>
      <c r="I32" s="2"/>
      <c r="J32" s="2"/>
      <c r="K32" s="2"/>
      <c r="L32" s="3"/>
      <c r="M32" s="18" t="s">
        <v>151</v>
      </c>
      <c r="N32" s="2"/>
      <c r="O32" s="2"/>
      <c r="P32" s="2"/>
      <c r="Q32" s="2"/>
      <c r="R32" s="2"/>
      <c r="S32" s="2"/>
      <c r="T32" s="3"/>
      <c r="U32" s="35" t="s">
        <v>102</v>
      </c>
      <c r="V32" s="3"/>
      <c r="W32" s="18" t="s">
        <v>152</v>
      </c>
      <c r="X32" s="2"/>
      <c r="Y32" s="2"/>
      <c r="Z32" s="2"/>
      <c r="AA32" s="2"/>
      <c r="AB32" s="2"/>
      <c r="AC32" s="3"/>
      <c r="AD32" s="19">
        <v>30</v>
      </c>
      <c r="AE32" s="2"/>
      <c r="AF32" s="3"/>
    </row>
    <row r="33" ht="30" customHeight="1" spans="2:32">
      <c r="B33" s="17">
        <v>26</v>
      </c>
      <c r="C33" s="19" t="s">
        <v>153</v>
      </c>
      <c r="D33" s="2"/>
      <c r="E33" s="3"/>
      <c r="F33" s="18" t="s">
        <v>136</v>
      </c>
      <c r="G33" s="2"/>
      <c r="H33" s="2"/>
      <c r="I33" s="2"/>
      <c r="J33" s="2"/>
      <c r="K33" s="2"/>
      <c r="L33" s="3"/>
      <c r="M33" s="18" t="s">
        <v>154</v>
      </c>
      <c r="N33" s="2"/>
      <c r="O33" s="2"/>
      <c r="P33" s="2"/>
      <c r="Q33" s="2"/>
      <c r="R33" s="2"/>
      <c r="S33" s="2"/>
      <c r="T33" s="3"/>
      <c r="U33" s="34" t="s">
        <v>82</v>
      </c>
      <c r="V33" s="3"/>
      <c r="W33" s="18" t="s">
        <v>155</v>
      </c>
      <c r="X33" s="2"/>
      <c r="Y33" s="2"/>
      <c r="Z33" s="2"/>
      <c r="AA33" s="2"/>
      <c r="AB33" s="2"/>
      <c r="AC33" s="3"/>
      <c r="AD33" s="19">
        <v>15</v>
      </c>
      <c r="AE33" s="2"/>
      <c r="AF33" s="3"/>
    </row>
    <row r="34" ht="30" customHeight="1" spans="2:32">
      <c r="B34" s="17">
        <v>27</v>
      </c>
      <c r="C34" s="19" t="s">
        <v>156</v>
      </c>
      <c r="D34" s="2"/>
      <c r="E34" s="3"/>
      <c r="F34" s="18" t="s">
        <v>136</v>
      </c>
      <c r="G34" s="2"/>
      <c r="H34" s="2"/>
      <c r="I34" s="2"/>
      <c r="J34" s="2"/>
      <c r="K34" s="2"/>
      <c r="L34" s="3"/>
      <c r="M34" s="18" t="s">
        <v>157</v>
      </c>
      <c r="N34" s="2"/>
      <c r="O34" s="2"/>
      <c r="P34" s="2"/>
      <c r="Q34" s="2"/>
      <c r="R34" s="2"/>
      <c r="S34" s="2"/>
      <c r="T34" s="3"/>
      <c r="U34" s="34" t="s">
        <v>82</v>
      </c>
      <c r="V34" s="3"/>
      <c r="W34" s="18" t="s">
        <v>158</v>
      </c>
      <c r="X34" s="2"/>
      <c r="Y34" s="2"/>
      <c r="Z34" s="2"/>
      <c r="AA34" s="2"/>
      <c r="AB34" s="2"/>
      <c r="AC34" s="3"/>
      <c r="AD34" s="19">
        <v>18</v>
      </c>
      <c r="AE34" s="2"/>
      <c r="AF34" s="3"/>
    </row>
    <row r="35" ht="30" customHeight="1" spans="2:32">
      <c r="B35" s="17">
        <v>28</v>
      </c>
      <c r="C35" s="19" t="s">
        <v>159</v>
      </c>
      <c r="D35" s="2"/>
      <c r="E35" s="3"/>
      <c r="F35" s="18" t="s">
        <v>160</v>
      </c>
      <c r="G35" s="2"/>
      <c r="H35" s="2"/>
      <c r="I35" s="2"/>
      <c r="J35" s="2"/>
      <c r="K35" s="2"/>
      <c r="L35" s="3"/>
      <c r="M35" s="18" t="s">
        <v>161</v>
      </c>
      <c r="N35" s="2"/>
      <c r="O35" s="2"/>
      <c r="P35" s="2"/>
      <c r="Q35" s="2"/>
      <c r="R35" s="2"/>
      <c r="S35" s="2"/>
      <c r="T35" s="3"/>
      <c r="U35" s="34" t="s">
        <v>82</v>
      </c>
      <c r="V35" s="3"/>
      <c r="W35" s="18" t="s">
        <v>162</v>
      </c>
      <c r="X35" s="2"/>
      <c r="Y35" s="2"/>
      <c r="Z35" s="2"/>
      <c r="AA35" s="2"/>
      <c r="AB35" s="2"/>
      <c r="AC35" s="3"/>
      <c r="AD35" s="19">
        <v>25</v>
      </c>
      <c r="AE35" s="2"/>
      <c r="AF35" s="3"/>
    </row>
    <row r="36" ht="30" customHeight="1" spans="2:32">
      <c r="B36" s="17">
        <v>29</v>
      </c>
      <c r="C36" s="19" t="s">
        <v>163</v>
      </c>
      <c r="D36" s="2"/>
      <c r="E36" s="3"/>
      <c r="F36" s="18" t="s">
        <v>160</v>
      </c>
      <c r="G36" s="2"/>
      <c r="H36" s="2"/>
      <c r="I36" s="2"/>
      <c r="J36" s="2"/>
      <c r="K36" s="2"/>
      <c r="L36" s="3"/>
      <c r="M36" s="18" t="s">
        <v>164</v>
      </c>
      <c r="N36" s="2"/>
      <c r="O36" s="2"/>
      <c r="P36" s="2"/>
      <c r="Q36" s="2"/>
      <c r="R36" s="2"/>
      <c r="S36" s="2"/>
      <c r="T36" s="3"/>
      <c r="U36" s="34" t="s">
        <v>82</v>
      </c>
      <c r="V36" s="3"/>
      <c r="W36" s="18" t="s">
        <v>94</v>
      </c>
      <c r="X36" s="2"/>
      <c r="Y36" s="2"/>
      <c r="Z36" s="2"/>
      <c r="AA36" s="2"/>
      <c r="AB36" s="2"/>
      <c r="AC36" s="3"/>
      <c r="AD36" s="19">
        <v>8</v>
      </c>
      <c r="AE36" s="2"/>
      <c r="AF36" s="3"/>
    </row>
    <row r="37" ht="30" customHeight="1" spans="2:32">
      <c r="B37" s="17">
        <v>30</v>
      </c>
      <c r="C37" s="19" t="s">
        <v>165</v>
      </c>
      <c r="D37" s="2"/>
      <c r="E37" s="3"/>
      <c r="F37" s="18" t="s">
        <v>160</v>
      </c>
      <c r="G37" s="2"/>
      <c r="H37" s="2"/>
      <c r="I37" s="2"/>
      <c r="J37" s="2"/>
      <c r="K37" s="2"/>
      <c r="L37" s="3"/>
      <c r="M37" s="18" t="s">
        <v>166</v>
      </c>
      <c r="N37" s="2"/>
      <c r="O37" s="2"/>
      <c r="P37" s="2"/>
      <c r="Q37" s="2"/>
      <c r="R37" s="2"/>
      <c r="S37" s="2"/>
      <c r="T37" s="3"/>
      <c r="U37" s="34" t="s">
        <v>82</v>
      </c>
      <c r="V37" s="3"/>
      <c r="W37" s="18" t="s">
        <v>167</v>
      </c>
      <c r="X37" s="2"/>
      <c r="Y37" s="2"/>
      <c r="Z37" s="2"/>
      <c r="AA37" s="2"/>
      <c r="AB37" s="2"/>
      <c r="AC37" s="3"/>
      <c r="AD37" s="19">
        <v>15</v>
      </c>
      <c r="AE37" s="2"/>
      <c r="AF37" s="3"/>
    </row>
    <row r="38" ht="30" customHeight="1" spans="2:32">
      <c r="B38" s="17">
        <v>31</v>
      </c>
      <c r="C38" s="19" t="s">
        <v>168</v>
      </c>
      <c r="D38" s="2"/>
      <c r="E38" s="3"/>
      <c r="F38" s="18" t="s">
        <v>160</v>
      </c>
      <c r="G38" s="2"/>
      <c r="H38" s="2"/>
      <c r="I38" s="2"/>
      <c r="J38" s="2"/>
      <c r="K38" s="2"/>
      <c r="L38" s="3"/>
      <c r="M38" s="18" t="s">
        <v>169</v>
      </c>
      <c r="N38" s="2"/>
      <c r="O38" s="2"/>
      <c r="P38" s="2"/>
      <c r="Q38" s="2"/>
      <c r="R38" s="2"/>
      <c r="S38" s="2"/>
      <c r="T38" s="3"/>
      <c r="U38" s="34" t="s">
        <v>82</v>
      </c>
      <c r="V38" s="3"/>
      <c r="W38" s="18" t="s">
        <v>94</v>
      </c>
      <c r="X38" s="2"/>
      <c r="Y38" s="2"/>
      <c r="Z38" s="2"/>
      <c r="AA38" s="2"/>
      <c r="AB38" s="2"/>
      <c r="AC38" s="3"/>
      <c r="AD38" s="19">
        <v>40</v>
      </c>
      <c r="AE38" s="2"/>
      <c r="AF38" s="3"/>
    </row>
    <row r="39" ht="30" customHeight="1" spans="2:32">
      <c r="B39" s="17">
        <v>32</v>
      </c>
      <c r="C39" s="19" t="s">
        <v>170</v>
      </c>
      <c r="D39" s="2"/>
      <c r="E39" s="3"/>
      <c r="F39" s="18" t="s">
        <v>160</v>
      </c>
      <c r="G39" s="2"/>
      <c r="H39" s="2"/>
      <c r="I39" s="2"/>
      <c r="J39" s="2"/>
      <c r="K39" s="2"/>
      <c r="L39" s="3"/>
      <c r="M39" s="18" t="s">
        <v>171</v>
      </c>
      <c r="N39" s="2"/>
      <c r="O39" s="2"/>
      <c r="P39" s="2"/>
      <c r="Q39" s="2"/>
      <c r="R39" s="2"/>
      <c r="S39" s="2"/>
      <c r="T39" s="3"/>
      <c r="U39" s="35" t="s">
        <v>102</v>
      </c>
      <c r="V39" s="3"/>
      <c r="W39" s="18" t="s">
        <v>172</v>
      </c>
      <c r="X39" s="2"/>
      <c r="Y39" s="2"/>
      <c r="Z39" s="2"/>
      <c r="AA39" s="2"/>
      <c r="AB39" s="2"/>
      <c r="AC39" s="3"/>
      <c r="AD39" s="19">
        <v>20</v>
      </c>
      <c r="AE39" s="2"/>
      <c r="AF39" s="3"/>
    </row>
    <row r="40" ht="30" customHeight="1" spans="2:32">
      <c r="B40" s="17">
        <v>33</v>
      </c>
      <c r="C40" s="19" t="s">
        <v>173</v>
      </c>
      <c r="D40" s="2"/>
      <c r="E40" s="3"/>
      <c r="F40" s="18" t="s">
        <v>160</v>
      </c>
      <c r="G40" s="2"/>
      <c r="H40" s="2"/>
      <c r="I40" s="2"/>
      <c r="J40" s="2"/>
      <c r="K40" s="2"/>
      <c r="L40" s="3"/>
      <c r="M40" s="18" t="s">
        <v>174</v>
      </c>
      <c r="N40" s="2"/>
      <c r="O40" s="2"/>
      <c r="P40" s="2"/>
      <c r="Q40" s="2"/>
      <c r="R40" s="2"/>
      <c r="S40" s="2"/>
      <c r="T40" s="3"/>
      <c r="U40" s="35" t="s">
        <v>102</v>
      </c>
      <c r="V40" s="3"/>
      <c r="W40" s="18" t="s">
        <v>175</v>
      </c>
      <c r="X40" s="2"/>
      <c r="Y40" s="2"/>
      <c r="Z40" s="2"/>
      <c r="AA40" s="2"/>
      <c r="AB40" s="2"/>
      <c r="AC40" s="3"/>
      <c r="AD40" s="19">
        <v>12</v>
      </c>
      <c r="AE40" s="2"/>
      <c r="AF40" s="3"/>
    </row>
    <row r="41" ht="30" customHeight="1" spans="2:32">
      <c r="B41" s="17">
        <v>34</v>
      </c>
      <c r="C41" s="19" t="s">
        <v>176</v>
      </c>
      <c r="D41" s="2"/>
      <c r="E41" s="3"/>
      <c r="F41" s="18" t="s">
        <v>160</v>
      </c>
      <c r="G41" s="2"/>
      <c r="H41" s="2"/>
      <c r="I41" s="2"/>
      <c r="J41" s="2"/>
      <c r="K41" s="2"/>
      <c r="L41" s="3"/>
      <c r="M41" s="18" t="s">
        <v>177</v>
      </c>
      <c r="N41" s="2"/>
      <c r="O41" s="2"/>
      <c r="P41" s="2"/>
      <c r="Q41" s="2"/>
      <c r="R41" s="2"/>
      <c r="S41" s="2"/>
      <c r="T41" s="3"/>
      <c r="U41" s="34" t="s">
        <v>82</v>
      </c>
      <c r="V41" s="3"/>
      <c r="W41" s="18" t="s">
        <v>178</v>
      </c>
      <c r="X41" s="2"/>
      <c r="Y41" s="2"/>
      <c r="Z41" s="2"/>
      <c r="AA41" s="2"/>
      <c r="AB41" s="2"/>
      <c r="AC41" s="3"/>
      <c r="AD41" s="19">
        <v>15</v>
      </c>
      <c r="AE41" s="2"/>
      <c r="AF41" s="3"/>
    </row>
    <row r="42" ht="30" customHeight="1" spans="2:32">
      <c r="B42" s="17">
        <v>35</v>
      </c>
      <c r="C42" s="19" t="s">
        <v>179</v>
      </c>
      <c r="D42" s="2"/>
      <c r="E42" s="3"/>
      <c r="F42" s="18" t="s">
        <v>160</v>
      </c>
      <c r="G42" s="2"/>
      <c r="H42" s="2"/>
      <c r="I42" s="2"/>
      <c r="J42" s="2"/>
      <c r="K42" s="2"/>
      <c r="L42" s="3"/>
      <c r="M42" s="18" t="s">
        <v>180</v>
      </c>
      <c r="N42" s="2"/>
      <c r="O42" s="2"/>
      <c r="P42" s="2"/>
      <c r="Q42" s="2"/>
      <c r="R42" s="2"/>
      <c r="S42" s="2"/>
      <c r="T42" s="3"/>
      <c r="U42" s="35" t="s">
        <v>102</v>
      </c>
      <c r="V42" s="3"/>
      <c r="W42" s="18" t="s">
        <v>94</v>
      </c>
      <c r="X42" s="2"/>
      <c r="Y42" s="2"/>
      <c r="Z42" s="2"/>
      <c r="AA42" s="2"/>
      <c r="AB42" s="2"/>
      <c r="AC42" s="3"/>
      <c r="AD42" s="19">
        <v>30</v>
      </c>
      <c r="AE42" s="2"/>
      <c r="AF42" s="3"/>
    </row>
    <row r="43" ht="36" customHeight="1" spans="2:32">
      <c r="B43" s="17">
        <v>36</v>
      </c>
      <c r="C43" s="19" t="s">
        <v>181</v>
      </c>
      <c r="D43" s="2"/>
      <c r="E43" s="3"/>
      <c r="F43" s="18" t="s">
        <v>160</v>
      </c>
      <c r="G43" s="2"/>
      <c r="H43" s="2"/>
      <c r="I43" s="2"/>
      <c r="J43" s="2"/>
      <c r="K43" s="2"/>
      <c r="L43" s="3"/>
      <c r="M43" s="18" t="s">
        <v>182</v>
      </c>
      <c r="N43" s="2"/>
      <c r="O43" s="2"/>
      <c r="P43" s="2"/>
      <c r="Q43" s="2"/>
      <c r="R43" s="2"/>
      <c r="S43" s="2"/>
      <c r="T43" s="3"/>
      <c r="U43" s="34" t="s">
        <v>82</v>
      </c>
      <c r="V43" s="3"/>
      <c r="W43" s="18" t="s">
        <v>167</v>
      </c>
      <c r="X43" s="2"/>
      <c r="Y43" s="2"/>
      <c r="Z43" s="2"/>
      <c r="AA43" s="2"/>
      <c r="AB43" s="2"/>
      <c r="AC43" s="3"/>
      <c r="AD43" s="19">
        <v>6</v>
      </c>
      <c r="AE43" s="2"/>
      <c r="AF43" s="3"/>
    </row>
    <row r="44" ht="30" customHeight="1" spans="2:32">
      <c r="B44" s="17">
        <v>37</v>
      </c>
      <c r="C44" s="19" t="s">
        <v>183</v>
      </c>
      <c r="D44" s="2"/>
      <c r="E44" s="3"/>
      <c r="F44" s="18" t="s">
        <v>184</v>
      </c>
      <c r="G44" s="2"/>
      <c r="H44" s="2"/>
      <c r="I44" s="2"/>
      <c r="J44" s="2"/>
      <c r="K44" s="2"/>
      <c r="L44" s="3"/>
      <c r="M44" s="18" t="s">
        <v>185</v>
      </c>
      <c r="N44" s="2"/>
      <c r="O44" s="2"/>
      <c r="P44" s="2"/>
      <c r="Q44" s="2"/>
      <c r="R44" s="2"/>
      <c r="S44" s="2"/>
      <c r="T44" s="3"/>
      <c r="U44" s="36" t="s">
        <v>186</v>
      </c>
      <c r="V44" s="3"/>
      <c r="W44" s="18" t="s">
        <v>187</v>
      </c>
      <c r="X44" s="2"/>
      <c r="Y44" s="2"/>
      <c r="Z44" s="2"/>
      <c r="AA44" s="2"/>
      <c r="AB44" s="2"/>
      <c r="AC44" s="3"/>
      <c r="AD44" s="19">
        <v>60</v>
      </c>
      <c r="AE44" s="2"/>
      <c r="AF44" s="3"/>
    </row>
    <row r="45" ht="36" customHeight="1" spans="2:32">
      <c r="B45" s="17">
        <v>38</v>
      </c>
      <c r="C45" s="19" t="s">
        <v>188</v>
      </c>
      <c r="D45" s="2"/>
      <c r="E45" s="3"/>
      <c r="F45" s="18" t="s">
        <v>184</v>
      </c>
      <c r="G45" s="2"/>
      <c r="H45" s="2"/>
      <c r="I45" s="2"/>
      <c r="J45" s="2"/>
      <c r="K45" s="2"/>
      <c r="L45" s="3"/>
      <c r="M45" s="18" t="s">
        <v>189</v>
      </c>
      <c r="N45" s="2"/>
      <c r="O45" s="2"/>
      <c r="P45" s="2"/>
      <c r="Q45" s="2"/>
      <c r="R45" s="2"/>
      <c r="S45" s="2"/>
      <c r="T45" s="3"/>
      <c r="U45" s="36" t="s">
        <v>186</v>
      </c>
      <c r="V45" s="3"/>
      <c r="W45" s="18" t="s">
        <v>187</v>
      </c>
      <c r="X45" s="2"/>
      <c r="Y45" s="2"/>
      <c r="Z45" s="2"/>
      <c r="AA45" s="2"/>
      <c r="AB45" s="2"/>
      <c r="AC45" s="3"/>
      <c r="AD45" s="19">
        <v>40</v>
      </c>
      <c r="AE45" s="2"/>
      <c r="AF45" s="3"/>
    </row>
    <row r="46" ht="30" customHeight="1" spans="2:32">
      <c r="B46" s="17">
        <v>39</v>
      </c>
      <c r="C46" s="19" t="s">
        <v>190</v>
      </c>
      <c r="D46" s="2"/>
      <c r="E46" s="3"/>
      <c r="F46" s="18" t="s">
        <v>184</v>
      </c>
      <c r="G46" s="2"/>
      <c r="H46" s="2"/>
      <c r="I46" s="2"/>
      <c r="J46" s="2"/>
      <c r="K46" s="2"/>
      <c r="L46" s="3"/>
      <c r="M46" s="18" t="s">
        <v>191</v>
      </c>
      <c r="N46" s="2"/>
      <c r="O46" s="2"/>
      <c r="P46" s="2"/>
      <c r="Q46" s="2"/>
      <c r="R46" s="2"/>
      <c r="S46" s="2"/>
      <c r="T46" s="3"/>
      <c r="U46" s="36" t="s">
        <v>186</v>
      </c>
      <c r="V46" s="3"/>
      <c r="W46" s="18" t="s">
        <v>113</v>
      </c>
      <c r="X46" s="2"/>
      <c r="Y46" s="2"/>
      <c r="Z46" s="2"/>
      <c r="AA46" s="2"/>
      <c r="AB46" s="2"/>
      <c r="AC46" s="3"/>
      <c r="AD46" s="19">
        <v>25</v>
      </c>
      <c r="AE46" s="2"/>
      <c r="AF46" s="3"/>
    </row>
    <row r="47" ht="30" customHeight="1" spans="2:32">
      <c r="B47" s="17">
        <v>40</v>
      </c>
      <c r="C47" s="19" t="s">
        <v>192</v>
      </c>
      <c r="D47" s="2"/>
      <c r="E47" s="3"/>
      <c r="F47" s="18" t="s">
        <v>184</v>
      </c>
      <c r="G47" s="2"/>
      <c r="H47" s="2"/>
      <c r="I47" s="2"/>
      <c r="J47" s="2"/>
      <c r="K47" s="2"/>
      <c r="L47" s="3"/>
      <c r="M47" s="18" t="s">
        <v>193</v>
      </c>
      <c r="N47" s="2"/>
      <c r="O47" s="2"/>
      <c r="P47" s="2"/>
      <c r="Q47" s="2"/>
      <c r="R47" s="2"/>
      <c r="S47" s="2"/>
      <c r="T47" s="3"/>
      <c r="U47" s="36" t="s">
        <v>186</v>
      </c>
      <c r="V47" s="3"/>
      <c r="W47" s="18" t="s">
        <v>94</v>
      </c>
      <c r="X47" s="2"/>
      <c r="Y47" s="2"/>
      <c r="Z47" s="2"/>
      <c r="AA47" s="2"/>
      <c r="AB47" s="2"/>
      <c r="AC47" s="3"/>
      <c r="AD47" s="19">
        <v>5</v>
      </c>
      <c r="AE47" s="2"/>
      <c r="AF47" s="3"/>
    </row>
    <row r="48" ht="30" customHeight="1" spans="2:32">
      <c r="B48" s="17">
        <v>41</v>
      </c>
      <c r="C48" s="19" t="s">
        <v>194</v>
      </c>
      <c r="D48" s="2"/>
      <c r="E48" s="3"/>
      <c r="F48" s="18" t="s">
        <v>184</v>
      </c>
      <c r="G48" s="2"/>
      <c r="H48" s="2"/>
      <c r="I48" s="2"/>
      <c r="J48" s="2"/>
      <c r="K48" s="2"/>
      <c r="L48" s="3"/>
      <c r="M48" s="18" t="s">
        <v>195</v>
      </c>
      <c r="N48" s="2"/>
      <c r="O48" s="2"/>
      <c r="P48" s="2"/>
      <c r="Q48" s="2"/>
      <c r="R48" s="2"/>
      <c r="S48" s="2"/>
      <c r="T48" s="3"/>
      <c r="U48" s="34" t="s">
        <v>82</v>
      </c>
      <c r="V48" s="3"/>
      <c r="W48" s="18" t="s">
        <v>94</v>
      </c>
      <c r="X48" s="2"/>
      <c r="Y48" s="2"/>
      <c r="Z48" s="2"/>
      <c r="AA48" s="2"/>
      <c r="AB48" s="2"/>
      <c r="AC48" s="3"/>
      <c r="AD48" s="19">
        <v>5</v>
      </c>
      <c r="AE48" s="2"/>
      <c r="AF48" s="3"/>
    </row>
    <row r="49" ht="30" customHeight="1" spans="2:37">
      <c r="B49" s="17">
        <v>42</v>
      </c>
      <c r="C49" s="19" t="s">
        <v>196</v>
      </c>
      <c r="D49" s="2"/>
      <c r="E49" s="3"/>
      <c r="F49" s="18" t="s">
        <v>184</v>
      </c>
      <c r="G49" s="2"/>
      <c r="H49" s="2"/>
      <c r="I49" s="2"/>
      <c r="J49" s="2"/>
      <c r="K49" s="2"/>
      <c r="L49" s="3"/>
      <c r="M49" s="18" t="s">
        <v>197</v>
      </c>
      <c r="N49" s="2"/>
      <c r="O49" s="2"/>
      <c r="P49" s="2"/>
      <c r="Q49" s="2"/>
      <c r="R49" s="2"/>
      <c r="S49" s="2"/>
      <c r="T49" s="3"/>
      <c r="U49" s="35" t="s">
        <v>102</v>
      </c>
      <c r="V49" s="3"/>
      <c r="W49" s="18" t="s">
        <v>198</v>
      </c>
      <c r="X49" s="2"/>
      <c r="Y49" s="2"/>
      <c r="Z49" s="2"/>
      <c r="AA49" s="2"/>
      <c r="AB49" s="2"/>
      <c r="AC49" s="3"/>
      <c r="AD49" s="19">
        <v>8</v>
      </c>
      <c r="AE49" s="2"/>
      <c r="AF49" s="3"/>
    </row>
    <row r="50" ht="30" customHeight="1" spans="2:37">
      <c r="B50" s="17">
        <v>43</v>
      </c>
      <c r="C50" s="19" t="s">
        <v>199</v>
      </c>
      <c r="D50" s="2"/>
      <c r="E50" s="3"/>
      <c r="F50" s="18" t="s">
        <v>200</v>
      </c>
      <c r="G50" s="2"/>
      <c r="H50" s="2"/>
      <c r="I50" s="2"/>
      <c r="J50" s="2"/>
      <c r="K50" s="2"/>
      <c r="L50" s="3"/>
      <c r="M50" s="18" t="s">
        <v>201</v>
      </c>
      <c r="N50" s="2"/>
      <c r="O50" s="2"/>
      <c r="P50" s="2"/>
      <c r="Q50" s="2"/>
      <c r="R50" s="2"/>
      <c r="S50" s="2"/>
      <c r="T50" s="3"/>
      <c r="U50" s="35" t="s">
        <v>102</v>
      </c>
      <c r="V50" s="3"/>
      <c r="W50" s="18" t="s">
        <v>202</v>
      </c>
      <c r="X50" s="2"/>
      <c r="Y50" s="2"/>
      <c r="Z50" s="2"/>
      <c r="AA50" s="2"/>
      <c r="AB50" s="2"/>
      <c r="AC50" s="3"/>
      <c r="AD50" s="19">
        <v>12</v>
      </c>
      <c r="AE50" s="2"/>
      <c r="AF50" s="3"/>
    </row>
    <row r="51" ht="30" customHeight="1" spans="2:37">
      <c r="B51" s="17">
        <v>44</v>
      </c>
      <c r="C51" s="19" t="s">
        <v>203</v>
      </c>
      <c r="D51" s="2"/>
      <c r="E51" s="3"/>
      <c r="F51" s="18" t="s">
        <v>200</v>
      </c>
      <c r="G51" s="2"/>
      <c r="H51" s="2"/>
      <c r="I51" s="2"/>
      <c r="J51" s="2"/>
      <c r="K51" s="2"/>
      <c r="L51" s="3"/>
      <c r="M51" s="18" t="s">
        <v>204</v>
      </c>
      <c r="N51" s="2"/>
      <c r="O51" s="2"/>
      <c r="P51" s="2"/>
      <c r="Q51" s="2"/>
      <c r="R51" s="2"/>
      <c r="S51" s="2"/>
      <c r="T51" s="3"/>
      <c r="U51" s="35" t="s">
        <v>102</v>
      </c>
      <c r="V51" s="3"/>
      <c r="W51" s="18" t="s">
        <v>205</v>
      </c>
      <c r="X51" s="2"/>
      <c r="Y51" s="2"/>
      <c r="Z51" s="2"/>
      <c r="AA51" s="2"/>
      <c r="AB51" s="2"/>
      <c r="AC51" s="3"/>
      <c r="AD51" s="19">
        <v>8</v>
      </c>
      <c r="AE51" s="2"/>
      <c r="AF51" s="3"/>
    </row>
    <row r="52" ht="22.5" customHeight="1" spans="2:37">
      <c r="B52" s="37" t="s">
        <v>58</v>
      </c>
      <c r="C52" s="2"/>
      <c r="D52" s="2"/>
      <c r="E52" s="2"/>
      <c r="F52" s="2"/>
      <c r="G52" s="2"/>
      <c r="H52" s="2"/>
      <c r="I52" s="2"/>
      <c r="J52" s="2"/>
      <c r="K52" s="2"/>
      <c r="L52" s="2"/>
      <c r="M52" s="2"/>
      <c r="N52" s="2"/>
      <c r="O52" s="2"/>
      <c r="P52" s="2"/>
      <c r="Q52" s="2"/>
      <c r="R52" s="2"/>
      <c r="S52" s="2"/>
      <c r="T52" s="3"/>
      <c r="U52" s="38"/>
      <c r="V52" s="3"/>
      <c r="W52" s="38"/>
      <c r="X52" s="2"/>
      <c r="Y52" s="2"/>
      <c r="Z52" s="2"/>
      <c r="AA52" s="2"/>
      <c r="AB52" s="2"/>
      <c r="AC52" s="3"/>
      <c r="AD52" s="38">
        <f>SUM(AD8:AD51)</f>
        <v>1682</v>
      </c>
      <c r="AE52" s="2"/>
      <c r="AF52" s="3"/>
    </row>
    <row r="53" ht="15.75" customHeight="1"/>
    <row r="54" ht="19.5" customHeight="1" spans="2:37">
      <c r="B54" s="32" t="s">
        <v>206</v>
      </c>
    </row>
    <row r="55" ht="15.75" customHeight="1"/>
    <row r="56" ht="28.5" customHeight="1" spans="2:37">
      <c r="B56" s="1" t="s">
        <v>207</v>
      </c>
      <c r="C56" s="3"/>
      <c r="D56" s="1" t="s">
        <v>208</v>
      </c>
      <c r="E56" s="2"/>
      <c r="F56" s="3"/>
      <c r="G56" s="1" t="s">
        <v>209</v>
      </c>
      <c r="H56" s="2"/>
      <c r="I56" s="2"/>
      <c r="J56" s="2"/>
      <c r="K56" s="2"/>
      <c r="L56" s="3"/>
      <c r="M56" s="1" t="s">
        <v>210</v>
      </c>
      <c r="N56" s="3"/>
      <c r="O56" s="1" t="s">
        <v>211</v>
      </c>
      <c r="P56" s="2"/>
      <c r="Q56" s="3"/>
      <c r="R56" s="1" t="s">
        <v>212</v>
      </c>
      <c r="S56" s="2"/>
      <c r="T56" s="2"/>
      <c r="U56" s="2"/>
      <c r="V56" s="2"/>
      <c r="W56" s="2"/>
      <c r="X56" s="2"/>
      <c r="Y56" s="2"/>
      <c r="Z56" s="2"/>
      <c r="AA56" s="2"/>
      <c r="AB56" s="2"/>
      <c r="AC56" s="2"/>
      <c r="AD56" s="2"/>
      <c r="AE56" s="2"/>
      <c r="AF56" s="2"/>
      <c r="AG56" s="2"/>
      <c r="AH56" s="2"/>
      <c r="AI56" s="2"/>
      <c r="AJ56" s="2"/>
      <c r="AK56" s="3"/>
    </row>
    <row r="57" ht="36" customHeight="1" spans="2:37">
      <c r="B57" s="39" t="s">
        <v>213</v>
      </c>
      <c r="C57" s="3"/>
      <c r="D57" s="19" t="s">
        <v>214</v>
      </c>
      <c r="E57" s="2"/>
      <c r="F57" s="3"/>
      <c r="G57" s="18" t="s">
        <v>215</v>
      </c>
      <c r="H57" s="2"/>
      <c r="I57" s="2"/>
      <c r="J57" s="2"/>
      <c r="K57" s="2"/>
      <c r="L57" s="3"/>
      <c r="M57" s="19">
        <v>10</v>
      </c>
      <c r="N57" s="3"/>
      <c r="O57" s="19" t="s">
        <v>82</v>
      </c>
      <c r="P57" s="2"/>
      <c r="Q57" s="3"/>
      <c r="R57" s="18" t="s">
        <v>216</v>
      </c>
      <c r="S57" s="2"/>
      <c r="T57" s="2"/>
      <c r="U57" s="2"/>
      <c r="V57" s="2"/>
      <c r="W57" s="2"/>
      <c r="X57" s="2"/>
      <c r="Y57" s="2"/>
      <c r="Z57" s="2"/>
      <c r="AA57" s="2"/>
      <c r="AB57" s="2"/>
      <c r="AC57" s="2"/>
      <c r="AD57" s="2"/>
      <c r="AE57" s="2"/>
      <c r="AF57" s="2"/>
      <c r="AG57" s="2"/>
      <c r="AH57" s="2"/>
      <c r="AI57" s="2"/>
      <c r="AJ57" s="2"/>
      <c r="AK57" s="3"/>
    </row>
    <row r="58" ht="30" customHeight="1" spans="2:37">
      <c r="B58" s="39" t="s">
        <v>217</v>
      </c>
      <c r="C58" s="3"/>
      <c r="D58" s="19" t="s">
        <v>218</v>
      </c>
      <c r="E58" s="2"/>
      <c r="F58" s="3"/>
      <c r="G58" s="18" t="s">
        <v>219</v>
      </c>
      <c r="H58" s="2"/>
      <c r="I58" s="2"/>
      <c r="J58" s="2"/>
      <c r="K58" s="2"/>
      <c r="L58" s="3"/>
      <c r="M58" s="19">
        <v>9</v>
      </c>
      <c r="N58" s="3"/>
      <c r="O58" s="19" t="s">
        <v>102</v>
      </c>
      <c r="P58" s="2"/>
      <c r="Q58" s="3"/>
      <c r="R58" s="18" t="s">
        <v>220</v>
      </c>
      <c r="S58" s="2"/>
      <c r="T58" s="2"/>
      <c r="U58" s="2"/>
      <c r="V58" s="2"/>
      <c r="W58" s="2"/>
      <c r="X58" s="2"/>
      <c r="Y58" s="2"/>
      <c r="Z58" s="2"/>
      <c r="AA58" s="2"/>
      <c r="AB58" s="2"/>
      <c r="AC58" s="2"/>
      <c r="AD58" s="2"/>
      <c r="AE58" s="2"/>
      <c r="AF58" s="2"/>
      <c r="AG58" s="2"/>
      <c r="AH58" s="2"/>
      <c r="AI58" s="2"/>
      <c r="AJ58" s="2"/>
      <c r="AK58" s="3"/>
    </row>
    <row r="59" ht="36" customHeight="1" spans="2:37">
      <c r="B59" s="39" t="s">
        <v>221</v>
      </c>
      <c r="C59" s="3"/>
      <c r="D59" s="19" t="s">
        <v>222</v>
      </c>
      <c r="E59" s="2"/>
      <c r="F59" s="3"/>
      <c r="G59" s="18" t="s">
        <v>223</v>
      </c>
      <c r="H59" s="2"/>
      <c r="I59" s="2"/>
      <c r="J59" s="2"/>
      <c r="K59" s="2"/>
      <c r="L59" s="3"/>
      <c r="M59" s="19">
        <v>8</v>
      </c>
      <c r="N59" s="3"/>
      <c r="O59" s="19" t="s">
        <v>82</v>
      </c>
      <c r="P59" s="2"/>
      <c r="Q59" s="3"/>
      <c r="R59" s="18" t="s">
        <v>224</v>
      </c>
      <c r="S59" s="2"/>
      <c r="T59" s="2"/>
      <c r="U59" s="2"/>
      <c r="V59" s="2"/>
      <c r="W59" s="2"/>
      <c r="X59" s="2"/>
      <c r="Y59" s="2"/>
      <c r="Z59" s="2"/>
      <c r="AA59" s="2"/>
      <c r="AB59" s="2"/>
      <c r="AC59" s="2"/>
      <c r="AD59" s="2"/>
      <c r="AE59" s="2"/>
      <c r="AF59" s="2"/>
      <c r="AG59" s="2"/>
      <c r="AH59" s="2"/>
      <c r="AI59" s="2"/>
      <c r="AJ59" s="2"/>
      <c r="AK59" s="3"/>
    </row>
    <row r="60" ht="36" customHeight="1" spans="2:37">
      <c r="B60" s="39" t="s">
        <v>225</v>
      </c>
      <c r="C60" s="3"/>
      <c r="D60" s="19" t="s">
        <v>226</v>
      </c>
      <c r="E60" s="2"/>
      <c r="F60" s="3"/>
      <c r="G60" s="18" t="s">
        <v>227</v>
      </c>
      <c r="H60" s="2"/>
      <c r="I60" s="2"/>
      <c r="J60" s="2"/>
      <c r="K60" s="2"/>
      <c r="L60" s="3"/>
      <c r="M60" s="19">
        <v>9</v>
      </c>
      <c r="N60" s="3"/>
      <c r="O60" s="19" t="s">
        <v>82</v>
      </c>
      <c r="P60" s="2"/>
      <c r="Q60" s="3"/>
      <c r="R60" s="18" t="s">
        <v>228</v>
      </c>
      <c r="S60" s="2"/>
      <c r="T60" s="2"/>
      <c r="U60" s="2"/>
      <c r="V60" s="2"/>
      <c r="W60" s="2"/>
      <c r="X60" s="2"/>
      <c r="Y60" s="2"/>
      <c r="Z60" s="2"/>
      <c r="AA60" s="2"/>
      <c r="AB60" s="2"/>
      <c r="AC60" s="2"/>
      <c r="AD60" s="2"/>
      <c r="AE60" s="2"/>
      <c r="AF60" s="2"/>
      <c r="AG60" s="2"/>
      <c r="AH60" s="2"/>
      <c r="AI60" s="2"/>
      <c r="AJ60" s="2"/>
      <c r="AK60" s="3"/>
    </row>
    <row r="61" ht="36" customHeight="1" spans="2:37">
      <c r="B61" s="39" t="s">
        <v>229</v>
      </c>
      <c r="C61" s="3"/>
      <c r="D61" s="19" t="s">
        <v>230</v>
      </c>
      <c r="E61" s="2"/>
      <c r="F61" s="3"/>
      <c r="G61" s="18" t="s">
        <v>231</v>
      </c>
      <c r="H61" s="2"/>
      <c r="I61" s="2"/>
      <c r="J61" s="2"/>
      <c r="K61" s="2"/>
      <c r="L61" s="3"/>
      <c r="M61" s="19">
        <v>6</v>
      </c>
      <c r="N61" s="3"/>
      <c r="O61" s="19" t="s">
        <v>232</v>
      </c>
      <c r="P61" s="2"/>
      <c r="Q61" s="3"/>
      <c r="R61" s="18" t="s">
        <v>233</v>
      </c>
      <c r="S61" s="2"/>
      <c r="T61" s="2"/>
      <c r="U61" s="2"/>
      <c r="V61" s="2"/>
      <c r="W61" s="2"/>
      <c r="X61" s="2"/>
      <c r="Y61" s="2"/>
      <c r="Z61" s="2"/>
      <c r="AA61" s="2"/>
      <c r="AB61" s="2"/>
      <c r="AC61" s="2"/>
      <c r="AD61" s="2"/>
      <c r="AE61" s="2"/>
      <c r="AF61" s="2"/>
      <c r="AG61" s="2"/>
      <c r="AH61" s="2"/>
      <c r="AI61" s="2"/>
      <c r="AJ61" s="2"/>
      <c r="AK61" s="3"/>
    </row>
    <row r="62" ht="30" customHeight="1" spans="2:37">
      <c r="B62" s="39" t="s">
        <v>234</v>
      </c>
      <c r="C62" s="3"/>
      <c r="D62" s="19" t="s">
        <v>235</v>
      </c>
      <c r="E62" s="2"/>
      <c r="F62" s="3"/>
      <c r="G62" s="18" t="s">
        <v>236</v>
      </c>
      <c r="H62" s="2"/>
      <c r="I62" s="2"/>
      <c r="J62" s="2"/>
      <c r="K62" s="2"/>
      <c r="L62" s="3"/>
      <c r="M62" s="19">
        <v>2</v>
      </c>
      <c r="N62" s="3"/>
      <c r="O62" s="19" t="s">
        <v>102</v>
      </c>
      <c r="P62" s="2"/>
      <c r="Q62" s="3"/>
      <c r="R62" s="18" t="s">
        <v>237</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40" t="s">
        <v>238</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28" workbookViewId="0">
      <selection activeCell="BB30" sqref="BB30:BD30"/>
    </sheetView>
  </sheetViews>
  <sheetFormatPr defaultColWidth="14.4285714285714" defaultRowHeight="15" customHeight="1"/>
  <cols>
    <col min="1" max="69" width="4" customWidth="1"/>
  </cols>
  <sheetData>
    <row r="1" ht="22.5" customHeight="1" spans="1:69">
      <c r="A1" s="1" t="s">
        <v>239</v>
      </c>
      <c r="B1" s="2"/>
      <c r="C1" s="2"/>
      <c r="D1" s="2"/>
      <c r="E1" s="3"/>
      <c r="F1" s="4" t="s">
        <v>240</v>
      </c>
      <c r="G1" s="2"/>
      <c r="H1" s="2"/>
      <c r="I1" s="2"/>
      <c r="J1" s="2"/>
      <c r="K1" s="2"/>
      <c r="L1" s="2"/>
      <c r="M1" s="2"/>
      <c r="N1" s="2"/>
      <c r="O1" s="2"/>
      <c r="P1" s="2"/>
      <c r="Q1" s="3"/>
      <c r="R1" s="1" t="s">
        <v>241</v>
      </c>
      <c r="S1" s="2"/>
      <c r="T1" s="2"/>
      <c r="U1" s="2"/>
      <c r="V1" s="3"/>
      <c r="W1" s="4" t="s">
        <v>242</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243</v>
      </c>
      <c r="S3" s="2"/>
      <c r="T3" s="2"/>
      <c r="U3" s="2"/>
      <c r="V3" s="3"/>
      <c r="W3" s="5"/>
      <c r="X3" s="2"/>
      <c r="Y3" s="2"/>
      <c r="Z3" s="2"/>
      <c r="AA3" s="2"/>
      <c r="AB3" s="2"/>
      <c r="AC3" s="2"/>
      <c r="AD3" s="2"/>
      <c r="AE3" s="2"/>
      <c r="AF3" s="2"/>
      <c r="AG3" s="2"/>
      <c r="AH3" s="3"/>
    </row>
    <row r="4" ht="22.5" customHeight="1" spans="1:69">
      <c r="A4" s="1" t="s">
        <v>244</v>
      </c>
      <c r="B4" s="2"/>
      <c r="C4" s="2"/>
      <c r="D4" s="2"/>
      <c r="E4" s="3"/>
      <c r="F4" s="4" t="s">
        <v>245</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246</v>
      </c>
      <c r="B5" s="2"/>
      <c r="C5" s="2"/>
      <c r="D5" s="2"/>
      <c r="E5" s="2"/>
      <c r="F5" s="2"/>
      <c r="G5" s="2"/>
      <c r="H5" s="2"/>
      <c r="I5" s="2"/>
      <c r="J5" s="2"/>
      <c r="K5" s="2"/>
      <c r="L5" s="2"/>
      <c r="M5" s="2"/>
      <c r="N5" s="2"/>
      <c r="O5" s="2"/>
      <c r="P5" s="2"/>
      <c r="Q5" s="2"/>
      <c r="R5" s="2"/>
      <c r="S5" s="3"/>
      <c r="T5" s="1" t="s">
        <v>59</v>
      </c>
      <c r="U5" s="2"/>
      <c r="V5" s="2"/>
      <c r="W5" s="2"/>
      <c r="X5" s="2"/>
      <c r="Y5" s="2"/>
      <c r="Z5" s="2"/>
      <c r="AA5" s="2"/>
      <c r="AB5" s="2"/>
      <c r="AC5" s="2"/>
      <c r="AD5" s="2"/>
      <c r="AE5" s="2"/>
      <c r="AF5" s="2"/>
      <c r="AG5" s="2"/>
      <c r="AH5" s="3"/>
    </row>
    <row r="6" ht="22.5" customHeight="1" spans="1:69">
      <c r="A6" s="1" t="s">
        <v>247</v>
      </c>
      <c r="B6" s="2"/>
      <c r="C6" s="2"/>
      <c r="D6" s="2"/>
      <c r="E6" s="2"/>
      <c r="F6" s="2"/>
      <c r="G6" s="3"/>
      <c r="H6" s="1" t="s">
        <v>60</v>
      </c>
      <c r="I6" s="2"/>
      <c r="J6" s="3"/>
      <c r="K6" s="1" t="s">
        <v>61</v>
      </c>
      <c r="L6" s="2"/>
      <c r="M6" s="3"/>
      <c r="N6" s="1" t="s">
        <v>248</v>
      </c>
      <c r="O6" s="2"/>
      <c r="P6" s="3"/>
      <c r="Q6" s="1" t="s">
        <v>58</v>
      </c>
      <c r="R6" s="2"/>
      <c r="S6" s="3"/>
      <c r="T6" s="1" t="s">
        <v>63</v>
      </c>
      <c r="U6" s="2"/>
      <c r="V6" s="3"/>
      <c r="W6" s="1" t="s">
        <v>64</v>
      </c>
      <c r="X6" s="2"/>
      <c r="Y6" s="3"/>
      <c r="Z6" s="1" t="s">
        <v>65</v>
      </c>
      <c r="AA6" s="2"/>
      <c r="AB6" s="3"/>
      <c r="AC6" s="1" t="s">
        <v>66</v>
      </c>
      <c r="AD6" s="2"/>
      <c r="AE6" s="3"/>
      <c r="AF6" s="1" t="s">
        <v>58</v>
      </c>
      <c r="AG6" s="2"/>
      <c r="AH6" s="3"/>
    </row>
    <row r="7" ht="22.5" customHeight="1" spans="1:69">
      <c r="A7" s="1" t="s">
        <v>249</v>
      </c>
      <c r="B7" s="2"/>
      <c r="C7" s="2"/>
      <c r="D7" s="2"/>
      <c r="E7" s="2"/>
      <c r="F7" s="2"/>
      <c r="G7" s="3"/>
      <c r="H7" s="6">
        <f t="shared" ref="H7:H8" si="0">COUNTIF($AE$12:$AF$1049,"N")</f>
        <v>32</v>
      </c>
      <c r="I7" s="2"/>
      <c r="J7" s="3"/>
      <c r="K7" s="6">
        <f t="shared" ref="K7:K8" si="1">COUNTIF($AE$12:$AF$1049,"A")</f>
        <v>12</v>
      </c>
      <c r="L7" s="2"/>
      <c r="M7" s="3"/>
      <c r="N7" s="6">
        <f t="shared" ref="N7:N8" si="2">COUNTIF($AE$12:$AF$1049,"B")</f>
        <v>1</v>
      </c>
      <c r="O7" s="2"/>
      <c r="P7" s="3"/>
      <c r="Q7" s="7">
        <f t="shared" ref="Q7:Q8" si="3">SUM(H7:P7)</f>
        <v>45</v>
      </c>
      <c r="R7" s="2"/>
      <c r="S7" s="3"/>
      <c r="T7" s="6">
        <f>COUNTIF($AG$12:$AI$1049,T$6)</f>
        <v>40</v>
      </c>
      <c r="U7" s="2"/>
      <c r="V7" s="3"/>
      <c r="W7" s="6">
        <f>COUNTIF($AG$12:$AI$1049,W$6)</f>
        <v>0</v>
      </c>
      <c r="X7" s="2"/>
      <c r="Y7" s="3"/>
      <c r="Z7" s="6">
        <f>COUNTIF($AG$12:$AI$1049,Z$6)</f>
        <v>4</v>
      </c>
      <c r="AA7" s="2"/>
      <c r="AB7" s="3"/>
      <c r="AC7" s="6">
        <f>COUNTIF($AG$12:$AI$1049,AC$6)</f>
        <v>1</v>
      </c>
      <c r="AD7" s="2"/>
      <c r="AE7" s="3"/>
      <c r="AF7" s="7">
        <f t="shared" ref="AF7:AF8" si="4">SUM(T7:AE7)</f>
        <v>45</v>
      </c>
      <c r="AG7" s="2"/>
      <c r="AH7" s="3"/>
    </row>
    <row r="8" ht="22.5" customHeight="1" spans="1:69">
      <c r="A8" s="1" t="s">
        <v>250</v>
      </c>
      <c r="B8" s="2"/>
      <c r="C8" s="2"/>
      <c r="D8" s="2"/>
      <c r="E8" s="2"/>
      <c r="F8" s="2"/>
      <c r="G8" s="3"/>
      <c r="H8" s="6">
        <f t="shared" si="0"/>
        <v>32</v>
      </c>
      <c r="I8" s="2"/>
      <c r="J8" s="3"/>
      <c r="K8" s="6">
        <f t="shared" si="1"/>
        <v>12</v>
      </c>
      <c r="L8" s="2"/>
      <c r="M8" s="3"/>
      <c r="N8" s="6">
        <f t="shared" si="2"/>
        <v>1</v>
      </c>
      <c r="O8" s="2"/>
      <c r="P8" s="3"/>
      <c r="Q8" s="7">
        <f t="shared" si="3"/>
        <v>45</v>
      </c>
      <c r="R8" s="2"/>
      <c r="S8" s="3"/>
      <c r="T8" s="6">
        <f>COUNTIF($AV$12:$AX$1049,T$6)</f>
        <v>44</v>
      </c>
      <c r="U8" s="2"/>
      <c r="V8" s="3"/>
      <c r="W8" s="6">
        <f>COUNTIF($AV$12:$AX$1049,W$6)</f>
        <v>0</v>
      </c>
      <c r="X8" s="2"/>
      <c r="Y8" s="3"/>
      <c r="Z8" s="6">
        <f>COUNTIF($AV$12:$AX$1049,Z$6)</f>
        <v>0</v>
      </c>
      <c r="AA8" s="2"/>
      <c r="AB8" s="3"/>
      <c r="AC8" s="6">
        <f>COUNTIF($AV$12:$AX$1049,AC$6)</f>
        <v>1</v>
      </c>
      <c r="AD8" s="2"/>
      <c r="AE8" s="3"/>
      <c r="AF8" s="7">
        <f t="shared" si="4"/>
        <v>45</v>
      </c>
      <c r="AG8" s="2"/>
      <c r="AH8" s="3"/>
    </row>
    <row r="9" ht="12.75" customHeight="1"/>
    <row r="10" ht="36" customHeight="1" spans="1:69">
      <c r="A10" s="8" t="s">
        <v>55</v>
      </c>
      <c r="B10" s="9" t="s">
        <v>251</v>
      </c>
      <c r="C10" s="10"/>
      <c r="D10" s="11"/>
      <c r="E10" s="9" t="s">
        <v>252</v>
      </c>
      <c r="F10" s="10"/>
      <c r="G10" s="10"/>
      <c r="H10" s="10"/>
      <c r="I10" s="11"/>
      <c r="J10" s="9" t="s">
        <v>253</v>
      </c>
      <c r="K10" s="10"/>
      <c r="L10" s="10"/>
      <c r="M10" s="10"/>
      <c r="N10" s="10"/>
      <c r="O10" s="10"/>
      <c r="P10" s="11"/>
      <c r="Q10" s="9" t="s">
        <v>254</v>
      </c>
      <c r="R10" s="10"/>
      <c r="S10" s="10"/>
      <c r="T10" s="10"/>
      <c r="U10" s="10"/>
      <c r="V10" s="10"/>
      <c r="W10" s="11"/>
      <c r="X10" s="9" t="s">
        <v>255</v>
      </c>
      <c r="Y10" s="10"/>
      <c r="Z10" s="10"/>
      <c r="AA10" s="10"/>
      <c r="AB10" s="10"/>
      <c r="AC10" s="10"/>
      <c r="AD10" s="11"/>
      <c r="AE10" s="9" t="s">
        <v>256</v>
      </c>
      <c r="AF10" s="11"/>
      <c r="AG10" s="1" t="s">
        <v>257</v>
      </c>
      <c r="AH10" s="2"/>
      <c r="AI10" s="2"/>
      <c r="AJ10" s="2"/>
      <c r="AK10" s="2"/>
      <c r="AL10" s="2"/>
      <c r="AM10" s="2"/>
      <c r="AN10" s="2"/>
      <c r="AO10" s="2"/>
      <c r="AP10" s="2"/>
      <c r="AQ10" s="2"/>
      <c r="AR10" s="2"/>
      <c r="AS10" s="2"/>
      <c r="AT10" s="2"/>
      <c r="AU10" s="3"/>
      <c r="AV10" s="1" t="s">
        <v>258</v>
      </c>
      <c r="AW10" s="2"/>
      <c r="AX10" s="2"/>
      <c r="AY10" s="2"/>
      <c r="AZ10" s="2"/>
      <c r="BA10" s="2"/>
      <c r="BB10" s="2"/>
      <c r="BC10" s="2"/>
      <c r="BD10" s="2"/>
      <c r="BE10" s="2"/>
      <c r="BF10" s="2"/>
      <c r="BG10" s="2"/>
      <c r="BH10" s="2"/>
      <c r="BI10" s="2"/>
      <c r="BJ10" s="3"/>
      <c r="BK10" s="9" t="s">
        <v>259</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260</v>
      </c>
      <c r="AH11" s="2"/>
      <c r="AI11" s="3"/>
      <c r="AJ11" s="1" t="s">
        <v>261</v>
      </c>
      <c r="AK11" s="2"/>
      <c r="AL11" s="3"/>
      <c r="AM11" s="1" t="s">
        <v>11</v>
      </c>
      <c r="AN11" s="2"/>
      <c r="AO11" s="3"/>
      <c r="AP11" s="1" t="s">
        <v>262</v>
      </c>
      <c r="AQ11" s="2"/>
      <c r="AR11" s="3"/>
      <c r="AS11" s="1" t="s">
        <v>263</v>
      </c>
      <c r="AT11" s="2"/>
      <c r="AU11" s="3"/>
      <c r="AV11" s="1" t="s">
        <v>260</v>
      </c>
      <c r="AW11" s="2"/>
      <c r="AX11" s="3"/>
      <c r="AY11" s="1" t="s">
        <v>261</v>
      </c>
      <c r="AZ11" s="2"/>
      <c r="BA11" s="3"/>
      <c r="BB11" s="1" t="s">
        <v>11</v>
      </c>
      <c r="BC11" s="2"/>
      <c r="BD11" s="3"/>
      <c r="BE11" s="1" t="s">
        <v>262</v>
      </c>
      <c r="BF11" s="2"/>
      <c r="BG11" s="3"/>
      <c r="BH11" s="1" t="s">
        <v>263</v>
      </c>
      <c r="BI11" s="2"/>
      <c r="BJ11" s="3"/>
      <c r="BK11" s="13"/>
      <c r="BL11" s="14"/>
      <c r="BM11" s="14"/>
      <c r="BN11" s="14"/>
      <c r="BO11" s="14"/>
      <c r="BP11" s="14"/>
      <c r="BQ11" s="15"/>
    </row>
    <row r="12" ht="22.5" customHeight="1" spans="1:69">
      <c r="A12" s="16" t="s">
        <v>264</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319.5" customHeight="1" spans="1:69">
      <c r="A13" s="17">
        <v>1</v>
      </c>
      <c r="B13" s="18" t="s">
        <v>265</v>
      </c>
      <c r="C13" s="2"/>
      <c r="D13" s="3"/>
      <c r="E13" s="18" t="s">
        <v>266</v>
      </c>
      <c r="F13" s="2"/>
      <c r="G13" s="2"/>
      <c r="H13" s="2"/>
      <c r="I13" s="3"/>
      <c r="J13" s="18" t="s">
        <v>267</v>
      </c>
      <c r="K13" s="2"/>
      <c r="L13" s="2"/>
      <c r="M13" s="2"/>
      <c r="N13" s="2"/>
      <c r="O13" s="2"/>
      <c r="P13" s="3"/>
      <c r="Q13" s="18" t="s">
        <v>268</v>
      </c>
      <c r="R13" s="2"/>
      <c r="S13" s="2"/>
      <c r="T13" s="2"/>
      <c r="U13" s="2"/>
      <c r="V13" s="2"/>
      <c r="W13" s="3"/>
      <c r="X13" s="18" t="s">
        <v>269</v>
      </c>
      <c r="Y13" s="2"/>
      <c r="Z13" s="2"/>
      <c r="AA13" s="2"/>
      <c r="AB13" s="2"/>
      <c r="AC13" s="2"/>
      <c r="AD13" s="3"/>
      <c r="AE13" s="19" t="s">
        <v>270</v>
      </c>
      <c r="AF13" s="3"/>
      <c r="AG13" s="19" t="s">
        <v>63</v>
      </c>
      <c r="AH13" s="2"/>
      <c r="AI13" s="3"/>
      <c r="AJ13" s="19"/>
      <c r="AK13" s="2"/>
      <c r="AL13" s="3"/>
      <c r="AM13" s="19" t="s">
        <v>271</v>
      </c>
      <c r="AN13" s="2"/>
      <c r="AO13" s="3"/>
      <c r="AP13" s="20">
        <v>46171</v>
      </c>
      <c r="AQ13" s="2"/>
      <c r="AR13" s="3"/>
      <c r="AS13" s="19"/>
      <c r="AT13" s="2"/>
      <c r="AU13" s="3"/>
      <c r="AV13" s="19" t="s">
        <v>63</v>
      </c>
      <c r="AW13" s="2"/>
      <c r="AX13" s="3"/>
      <c r="AY13" s="19"/>
      <c r="AZ13" s="2"/>
      <c r="BA13" s="3"/>
      <c r="BB13" s="19" t="s">
        <v>272</v>
      </c>
      <c r="BC13" s="2"/>
      <c r="BD13" s="3"/>
      <c r="BE13" s="21">
        <v>46237</v>
      </c>
      <c r="BF13" s="2"/>
      <c r="BG13" s="3"/>
      <c r="BH13" s="19"/>
      <c r="BI13" s="2"/>
      <c r="BJ13" s="3"/>
      <c r="BK13" s="18"/>
      <c r="BL13" s="2"/>
      <c r="BM13" s="2"/>
      <c r="BN13" s="2"/>
      <c r="BO13" s="2"/>
      <c r="BP13" s="2"/>
      <c r="BQ13" s="3"/>
    </row>
    <row r="14" ht="288" customHeight="1" spans="1:69">
      <c r="A14" s="17">
        <v>2</v>
      </c>
      <c r="B14" s="18" t="s">
        <v>273</v>
      </c>
      <c r="C14" s="2"/>
      <c r="D14" s="3"/>
      <c r="E14" s="18" t="s">
        <v>274</v>
      </c>
      <c r="F14" s="2"/>
      <c r="G14" s="2"/>
      <c r="H14" s="2"/>
      <c r="I14" s="3"/>
      <c r="J14" s="18" t="s">
        <v>275</v>
      </c>
      <c r="K14" s="2"/>
      <c r="L14" s="2"/>
      <c r="M14" s="2"/>
      <c r="N14" s="2"/>
      <c r="O14" s="2"/>
      <c r="P14" s="3"/>
      <c r="Q14" s="18" t="s">
        <v>276</v>
      </c>
      <c r="R14" s="2"/>
      <c r="S14" s="2"/>
      <c r="T14" s="2"/>
      <c r="U14" s="2"/>
      <c r="V14" s="2"/>
      <c r="W14" s="3"/>
      <c r="X14" s="18" t="s">
        <v>277</v>
      </c>
      <c r="Y14" s="2"/>
      <c r="Z14" s="2"/>
      <c r="AA14" s="2"/>
      <c r="AB14" s="2"/>
      <c r="AC14" s="2"/>
      <c r="AD14" s="3"/>
      <c r="AE14" s="19" t="s">
        <v>270</v>
      </c>
      <c r="AF14" s="3"/>
      <c r="AG14" s="19" t="s">
        <v>63</v>
      </c>
      <c r="AH14" s="2"/>
      <c r="AI14" s="3"/>
      <c r="AJ14" s="19"/>
      <c r="AK14" s="2"/>
      <c r="AL14" s="3"/>
      <c r="AM14" s="19" t="s">
        <v>271</v>
      </c>
      <c r="AN14" s="2"/>
      <c r="AO14" s="3"/>
      <c r="AP14" s="20">
        <v>46171</v>
      </c>
      <c r="AQ14" s="2"/>
      <c r="AR14" s="3"/>
      <c r="AS14" s="19"/>
      <c r="AT14" s="2"/>
      <c r="AU14" s="3"/>
      <c r="AV14" s="19" t="s">
        <v>63</v>
      </c>
      <c r="AW14" s="2"/>
      <c r="AX14" s="3"/>
      <c r="AY14" s="19"/>
      <c r="AZ14" s="2"/>
      <c r="BA14" s="3"/>
      <c r="BB14" s="19" t="s">
        <v>272</v>
      </c>
      <c r="BC14" s="2"/>
      <c r="BD14" s="3"/>
      <c r="BE14" s="21">
        <v>46237</v>
      </c>
      <c r="BF14" s="2"/>
      <c r="BG14" s="3"/>
      <c r="BH14" s="19"/>
      <c r="BI14" s="2"/>
      <c r="BJ14" s="3"/>
      <c r="BK14" s="18"/>
      <c r="BL14" s="2"/>
      <c r="BM14" s="2"/>
      <c r="BN14" s="2"/>
      <c r="BO14" s="2"/>
      <c r="BP14" s="2"/>
      <c r="BQ14" s="3"/>
    </row>
    <row r="15" ht="303.75" customHeight="1" spans="1:69">
      <c r="A15" s="17">
        <v>3</v>
      </c>
      <c r="B15" s="18" t="s">
        <v>278</v>
      </c>
      <c r="C15" s="2"/>
      <c r="D15" s="3"/>
      <c r="E15" s="18" t="s">
        <v>279</v>
      </c>
      <c r="F15" s="2"/>
      <c r="G15" s="2"/>
      <c r="H15" s="2"/>
      <c r="I15" s="3"/>
      <c r="J15" s="18" t="s">
        <v>280</v>
      </c>
      <c r="K15" s="2"/>
      <c r="L15" s="2"/>
      <c r="M15" s="2"/>
      <c r="N15" s="2"/>
      <c r="O15" s="2"/>
      <c r="P15" s="3"/>
      <c r="Q15" s="18" t="s">
        <v>276</v>
      </c>
      <c r="R15" s="2"/>
      <c r="S15" s="2"/>
      <c r="T15" s="2"/>
      <c r="U15" s="2"/>
      <c r="V15" s="2"/>
      <c r="W15" s="3"/>
      <c r="X15" s="18" t="s">
        <v>281</v>
      </c>
      <c r="Y15" s="2"/>
      <c r="Z15" s="2"/>
      <c r="AA15" s="2"/>
      <c r="AB15" s="2"/>
      <c r="AC15" s="2"/>
      <c r="AD15" s="3"/>
      <c r="AE15" s="19" t="s">
        <v>270</v>
      </c>
      <c r="AF15" s="3"/>
      <c r="AG15" s="19" t="s">
        <v>63</v>
      </c>
      <c r="AH15" s="2"/>
      <c r="AI15" s="3"/>
      <c r="AJ15" s="19"/>
      <c r="AK15" s="2"/>
      <c r="AL15" s="3"/>
      <c r="AM15" s="19" t="s">
        <v>271</v>
      </c>
      <c r="AN15" s="2"/>
      <c r="AO15" s="3"/>
      <c r="AP15" s="20">
        <v>46171</v>
      </c>
      <c r="AQ15" s="2"/>
      <c r="AR15" s="3"/>
      <c r="AS15" s="19"/>
      <c r="AT15" s="2"/>
      <c r="AU15" s="3"/>
      <c r="AV15" s="19" t="s">
        <v>63</v>
      </c>
      <c r="AW15" s="2"/>
      <c r="AX15" s="3"/>
      <c r="AY15" s="19"/>
      <c r="AZ15" s="2"/>
      <c r="BA15" s="3"/>
      <c r="BB15" s="19" t="s">
        <v>272</v>
      </c>
      <c r="BC15" s="2"/>
      <c r="BD15" s="3"/>
      <c r="BE15" s="21">
        <v>46237</v>
      </c>
      <c r="BF15" s="2"/>
      <c r="BG15" s="3"/>
      <c r="BH15" s="19"/>
      <c r="BI15" s="2"/>
      <c r="BJ15" s="3"/>
      <c r="BK15" s="18"/>
      <c r="BL15" s="2"/>
      <c r="BM15" s="2"/>
      <c r="BN15" s="2"/>
      <c r="BO15" s="2"/>
      <c r="BP15" s="2"/>
      <c r="BQ15" s="3"/>
    </row>
    <row r="16" ht="319.5" customHeight="1" spans="1:69">
      <c r="A16" s="17">
        <v>4</v>
      </c>
      <c r="B16" s="18" t="s">
        <v>282</v>
      </c>
      <c r="C16" s="2"/>
      <c r="D16" s="3"/>
      <c r="E16" s="18" t="s">
        <v>283</v>
      </c>
      <c r="F16" s="2"/>
      <c r="G16" s="2"/>
      <c r="H16" s="2"/>
      <c r="I16" s="3"/>
      <c r="J16" s="18" t="s">
        <v>284</v>
      </c>
      <c r="K16" s="2"/>
      <c r="L16" s="2"/>
      <c r="M16" s="2"/>
      <c r="N16" s="2"/>
      <c r="O16" s="2"/>
      <c r="P16" s="3"/>
      <c r="Q16" s="18" t="s">
        <v>285</v>
      </c>
      <c r="R16" s="2"/>
      <c r="S16" s="2"/>
      <c r="T16" s="2"/>
      <c r="U16" s="2"/>
      <c r="V16" s="2"/>
      <c r="W16" s="3"/>
      <c r="X16" s="18" t="s">
        <v>286</v>
      </c>
      <c r="Y16" s="2"/>
      <c r="Z16" s="2"/>
      <c r="AA16" s="2"/>
      <c r="AB16" s="2"/>
      <c r="AC16" s="2"/>
      <c r="AD16" s="3"/>
      <c r="AE16" s="19" t="s">
        <v>270</v>
      </c>
      <c r="AF16" s="3"/>
      <c r="AG16" s="22" t="s">
        <v>63</v>
      </c>
      <c r="AH16" s="2"/>
      <c r="AI16" s="3"/>
      <c r="AJ16" s="23"/>
      <c r="AK16" s="2"/>
      <c r="AL16" s="3"/>
      <c r="AM16" s="22" t="s">
        <v>271</v>
      </c>
      <c r="AN16" s="2"/>
      <c r="AO16" s="3"/>
      <c r="AP16" s="24">
        <v>46171</v>
      </c>
      <c r="AQ16" s="2"/>
      <c r="AR16" s="3"/>
      <c r="AS16" s="19"/>
      <c r="AT16" s="2"/>
      <c r="AU16" s="3"/>
      <c r="AV16" s="19" t="s">
        <v>63</v>
      </c>
      <c r="AW16" s="2"/>
      <c r="AX16" s="3"/>
      <c r="AY16" s="19"/>
      <c r="AZ16" s="2"/>
      <c r="BA16" s="3"/>
      <c r="BB16" s="19" t="s">
        <v>272</v>
      </c>
      <c r="BC16" s="2"/>
      <c r="BD16" s="3"/>
      <c r="BE16" s="21">
        <v>46237</v>
      </c>
      <c r="BF16" s="2"/>
      <c r="BG16" s="3"/>
      <c r="BH16" s="19"/>
      <c r="BI16" s="2"/>
      <c r="BJ16" s="3"/>
      <c r="BK16" s="18"/>
      <c r="BL16" s="2"/>
      <c r="BM16" s="2"/>
      <c r="BN16" s="2"/>
      <c r="BO16" s="2"/>
      <c r="BP16" s="2"/>
      <c r="BQ16" s="3"/>
    </row>
    <row r="17" ht="336" customHeight="1" spans="1:69">
      <c r="A17" s="17">
        <v>5</v>
      </c>
      <c r="B17" s="18" t="s">
        <v>287</v>
      </c>
      <c r="C17" s="2"/>
      <c r="D17" s="3"/>
      <c r="E17" s="18" t="s">
        <v>288</v>
      </c>
      <c r="F17" s="2"/>
      <c r="G17" s="2"/>
      <c r="H17" s="2"/>
      <c r="I17" s="3"/>
      <c r="J17" s="18" t="s">
        <v>289</v>
      </c>
      <c r="K17" s="2"/>
      <c r="L17" s="2"/>
      <c r="M17" s="2"/>
      <c r="N17" s="2"/>
      <c r="O17" s="2"/>
      <c r="P17" s="3"/>
      <c r="Q17" s="18" t="s">
        <v>290</v>
      </c>
      <c r="R17" s="2"/>
      <c r="S17" s="2"/>
      <c r="T17" s="2"/>
      <c r="U17" s="2"/>
      <c r="V17" s="2"/>
      <c r="W17" s="3"/>
      <c r="X17" s="18" t="s">
        <v>291</v>
      </c>
      <c r="Y17" s="2"/>
      <c r="Z17" s="2"/>
      <c r="AA17" s="2"/>
      <c r="AB17" s="2"/>
      <c r="AC17" s="2"/>
      <c r="AD17" s="3"/>
      <c r="AE17" s="19" t="s">
        <v>270</v>
      </c>
      <c r="AF17" s="3"/>
      <c r="AG17" s="22" t="s">
        <v>63</v>
      </c>
      <c r="AH17" s="2"/>
      <c r="AI17" s="3"/>
      <c r="AJ17" s="23"/>
      <c r="AK17" s="2"/>
      <c r="AL17" s="3"/>
      <c r="AM17" s="22" t="s">
        <v>271</v>
      </c>
      <c r="AN17" s="2"/>
      <c r="AO17" s="3"/>
      <c r="AP17" s="24">
        <v>46171</v>
      </c>
      <c r="AQ17" s="2"/>
      <c r="AR17" s="3"/>
      <c r="AS17" s="19"/>
      <c r="AT17" s="2"/>
      <c r="AU17" s="3"/>
      <c r="AV17" s="19" t="s">
        <v>63</v>
      </c>
      <c r="AW17" s="2"/>
      <c r="AX17" s="3"/>
      <c r="AY17" s="19"/>
      <c r="AZ17" s="2"/>
      <c r="BA17" s="3"/>
      <c r="BB17" s="19" t="s">
        <v>272</v>
      </c>
      <c r="BC17" s="2"/>
      <c r="BD17" s="3"/>
      <c r="BE17" s="21">
        <v>46237</v>
      </c>
      <c r="BF17" s="2"/>
      <c r="BG17" s="3"/>
      <c r="BH17" s="19"/>
      <c r="BI17" s="2"/>
      <c r="BJ17" s="3"/>
      <c r="BK17" s="18" t="s">
        <v>292</v>
      </c>
      <c r="BL17" s="2"/>
      <c r="BM17" s="2"/>
      <c r="BN17" s="2"/>
      <c r="BO17" s="2"/>
      <c r="BP17" s="2"/>
      <c r="BQ17" s="3"/>
    </row>
    <row r="18" ht="22.5" customHeight="1" spans="1:69">
      <c r="A18" s="16" t="s">
        <v>293</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367.5" customHeight="1" spans="1:69">
      <c r="A19" s="17">
        <v>6</v>
      </c>
      <c r="B19" s="18" t="s">
        <v>294</v>
      </c>
      <c r="C19" s="2"/>
      <c r="D19" s="3"/>
      <c r="E19" s="18" t="s">
        <v>295</v>
      </c>
      <c r="F19" s="2"/>
      <c r="G19" s="2"/>
      <c r="H19" s="2"/>
      <c r="I19" s="3"/>
      <c r="J19" s="18" t="s">
        <v>296</v>
      </c>
      <c r="K19" s="2"/>
      <c r="L19" s="2"/>
      <c r="M19" s="2"/>
      <c r="N19" s="2"/>
      <c r="O19" s="2"/>
      <c r="P19" s="3"/>
      <c r="Q19" s="18" t="s">
        <v>297</v>
      </c>
      <c r="R19" s="2"/>
      <c r="S19" s="2"/>
      <c r="T19" s="2"/>
      <c r="U19" s="2"/>
      <c r="V19" s="2"/>
      <c r="W19" s="3"/>
      <c r="X19" s="18" t="s">
        <v>298</v>
      </c>
      <c r="Y19" s="2"/>
      <c r="Z19" s="2"/>
      <c r="AA19" s="2"/>
      <c r="AB19" s="2"/>
      <c r="AC19" s="2"/>
      <c r="AD19" s="3"/>
      <c r="AE19" s="19" t="s">
        <v>270</v>
      </c>
      <c r="AF19" s="3"/>
      <c r="AG19" s="22" t="s">
        <v>63</v>
      </c>
      <c r="AH19" s="2"/>
      <c r="AI19" s="3"/>
      <c r="AJ19" s="23"/>
      <c r="AK19" s="2"/>
      <c r="AL19" s="3"/>
      <c r="AM19" s="22" t="s">
        <v>271</v>
      </c>
      <c r="AN19" s="2"/>
      <c r="AO19" s="3"/>
      <c r="AP19" s="24">
        <v>46171</v>
      </c>
      <c r="AQ19" s="2"/>
      <c r="AR19" s="3"/>
      <c r="AS19" s="19"/>
      <c r="AT19" s="2"/>
      <c r="AU19" s="3"/>
      <c r="AV19" s="19" t="s">
        <v>63</v>
      </c>
      <c r="AW19" s="2"/>
      <c r="AX19" s="3"/>
      <c r="AY19" s="19"/>
      <c r="AZ19" s="2"/>
      <c r="BA19" s="3"/>
      <c r="BB19" s="19" t="s">
        <v>272</v>
      </c>
      <c r="BC19" s="2"/>
      <c r="BD19" s="3"/>
      <c r="BE19" s="21">
        <v>46237</v>
      </c>
      <c r="BF19" s="2"/>
      <c r="BG19" s="3"/>
      <c r="BH19" s="19"/>
      <c r="BI19" s="2"/>
      <c r="BJ19" s="3"/>
      <c r="BK19" s="18"/>
      <c r="BL19" s="2"/>
      <c r="BM19" s="2"/>
      <c r="BN19" s="2"/>
      <c r="BO19" s="2"/>
      <c r="BP19" s="2"/>
      <c r="BQ19" s="3"/>
    </row>
    <row r="20" ht="409.5" customHeight="1" spans="1:69">
      <c r="A20" s="17">
        <v>7</v>
      </c>
      <c r="B20" s="18" t="s">
        <v>299</v>
      </c>
      <c r="C20" s="2"/>
      <c r="D20" s="3"/>
      <c r="E20" s="18" t="s">
        <v>300</v>
      </c>
      <c r="F20" s="2"/>
      <c r="G20" s="2"/>
      <c r="H20" s="2"/>
      <c r="I20" s="3"/>
      <c r="J20" s="18" t="s">
        <v>301</v>
      </c>
      <c r="K20" s="2"/>
      <c r="L20" s="2"/>
      <c r="M20" s="2"/>
      <c r="N20" s="2"/>
      <c r="O20" s="2"/>
      <c r="P20" s="3"/>
      <c r="Q20" s="18" t="s">
        <v>302</v>
      </c>
      <c r="R20" s="2"/>
      <c r="S20" s="2"/>
      <c r="T20" s="2"/>
      <c r="U20" s="2"/>
      <c r="V20" s="2"/>
      <c r="W20" s="3"/>
      <c r="X20" s="18" t="s">
        <v>303</v>
      </c>
      <c r="Y20" s="2"/>
      <c r="Z20" s="2"/>
      <c r="AA20" s="2"/>
      <c r="AB20" s="2"/>
      <c r="AC20" s="2"/>
      <c r="AD20" s="3"/>
      <c r="AE20" s="19" t="s">
        <v>270</v>
      </c>
      <c r="AF20" s="3"/>
      <c r="AG20" s="22" t="s">
        <v>63</v>
      </c>
      <c r="AH20" s="2"/>
      <c r="AI20" s="3"/>
      <c r="AJ20" s="23"/>
      <c r="AK20" s="2"/>
      <c r="AL20" s="3"/>
      <c r="AM20" s="22" t="s">
        <v>271</v>
      </c>
      <c r="AN20" s="2"/>
      <c r="AO20" s="3"/>
      <c r="AP20" s="24">
        <v>46171</v>
      </c>
      <c r="AQ20" s="2"/>
      <c r="AR20" s="3"/>
      <c r="AS20" s="19"/>
      <c r="AT20" s="2"/>
      <c r="AU20" s="3"/>
      <c r="AV20" s="19" t="s">
        <v>63</v>
      </c>
      <c r="AW20" s="2"/>
      <c r="AX20" s="3"/>
      <c r="AY20" s="19"/>
      <c r="AZ20" s="2"/>
      <c r="BA20" s="3"/>
      <c r="BB20" s="19" t="s">
        <v>272</v>
      </c>
      <c r="BC20" s="2"/>
      <c r="BD20" s="3"/>
      <c r="BE20" s="21">
        <v>46237</v>
      </c>
      <c r="BF20" s="2"/>
      <c r="BG20" s="3"/>
      <c r="BH20" s="19"/>
      <c r="BI20" s="2"/>
      <c r="BJ20" s="3"/>
      <c r="BK20" s="18"/>
      <c r="BL20" s="2"/>
      <c r="BM20" s="2"/>
      <c r="BN20" s="2"/>
      <c r="BO20" s="2"/>
      <c r="BP20" s="2"/>
      <c r="BQ20" s="3"/>
    </row>
    <row r="21" ht="409.5" customHeight="1" spans="1:69">
      <c r="A21" s="17">
        <v>8</v>
      </c>
      <c r="B21" s="18" t="s">
        <v>304</v>
      </c>
      <c r="C21" s="2"/>
      <c r="D21" s="3"/>
      <c r="E21" s="18" t="s">
        <v>305</v>
      </c>
      <c r="F21" s="2"/>
      <c r="G21" s="2"/>
      <c r="H21" s="2"/>
      <c r="I21" s="3"/>
      <c r="J21" s="18" t="s">
        <v>306</v>
      </c>
      <c r="K21" s="2"/>
      <c r="L21" s="2"/>
      <c r="M21" s="2"/>
      <c r="N21" s="2"/>
      <c r="O21" s="2"/>
      <c r="P21" s="3"/>
      <c r="Q21" s="18" t="s">
        <v>307</v>
      </c>
      <c r="R21" s="2"/>
      <c r="S21" s="2"/>
      <c r="T21" s="2"/>
      <c r="U21" s="2"/>
      <c r="V21" s="2"/>
      <c r="W21" s="3"/>
      <c r="X21" s="18" t="s">
        <v>308</v>
      </c>
      <c r="Y21" s="2"/>
      <c r="Z21" s="2"/>
      <c r="AA21" s="2"/>
      <c r="AB21" s="2"/>
      <c r="AC21" s="2"/>
      <c r="AD21" s="3"/>
      <c r="AE21" s="19" t="s">
        <v>270</v>
      </c>
      <c r="AF21" s="3"/>
      <c r="AG21" s="22" t="s">
        <v>65</v>
      </c>
      <c r="AH21" s="2"/>
      <c r="AI21" s="3"/>
      <c r="AJ21" s="23"/>
      <c r="AK21" s="2"/>
      <c r="AL21" s="3"/>
      <c r="AM21" s="22" t="s">
        <v>271</v>
      </c>
      <c r="AN21" s="2"/>
      <c r="AO21" s="3"/>
      <c r="AP21" s="24">
        <v>46171</v>
      </c>
      <c r="AQ21" s="2"/>
      <c r="AR21" s="3"/>
      <c r="AS21" s="19"/>
      <c r="AT21" s="2"/>
      <c r="AU21" s="3"/>
      <c r="AV21" s="19" t="s">
        <v>63</v>
      </c>
      <c r="AW21" s="2"/>
      <c r="AX21" s="3"/>
      <c r="AY21" s="19"/>
      <c r="AZ21" s="2"/>
      <c r="BA21" s="3"/>
      <c r="BB21" s="19" t="s">
        <v>272</v>
      </c>
      <c r="BC21" s="2"/>
      <c r="BD21" s="3"/>
      <c r="BE21" s="21">
        <v>46237</v>
      </c>
      <c r="BF21" s="2"/>
      <c r="BG21" s="3"/>
      <c r="BH21" s="19"/>
      <c r="BI21" s="2"/>
      <c r="BJ21" s="3"/>
      <c r="BK21" s="18" t="s">
        <v>309</v>
      </c>
      <c r="BL21" s="2"/>
      <c r="BM21" s="2"/>
      <c r="BN21" s="2"/>
      <c r="BO21" s="2"/>
      <c r="BP21" s="2"/>
      <c r="BQ21" s="3"/>
    </row>
    <row r="22" ht="351.75" customHeight="1" spans="1:69">
      <c r="A22" s="17">
        <v>9</v>
      </c>
      <c r="B22" s="18" t="s">
        <v>310</v>
      </c>
      <c r="C22" s="2"/>
      <c r="D22" s="3"/>
      <c r="E22" s="18" t="s">
        <v>311</v>
      </c>
      <c r="F22" s="2"/>
      <c r="G22" s="2"/>
      <c r="H22" s="2"/>
      <c r="I22" s="3"/>
      <c r="J22" s="18" t="s">
        <v>312</v>
      </c>
      <c r="K22" s="2"/>
      <c r="L22" s="2"/>
      <c r="M22" s="2"/>
      <c r="N22" s="2"/>
      <c r="O22" s="2"/>
      <c r="P22" s="3"/>
      <c r="Q22" s="18" t="s">
        <v>313</v>
      </c>
      <c r="R22" s="2"/>
      <c r="S22" s="2"/>
      <c r="T22" s="2"/>
      <c r="U22" s="2"/>
      <c r="V22" s="2"/>
      <c r="W22" s="3"/>
      <c r="X22" s="18" t="s">
        <v>314</v>
      </c>
      <c r="Y22" s="2"/>
      <c r="Z22" s="2"/>
      <c r="AA22" s="2"/>
      <c r="AB22" s="2"/>
      <c r="AC22" s="2"/>
      <c r="AD22" s="3"/>
      <c r="AE22" s="19" t="s">
        <v>270</v>
      </c>
      <c r="AF22" s="3"/>
      <c r="AG22" s="22" t="s">
        <v>63</v>
      </c>
      <c r="AH22" s="2"/>
      <c r="AI22" s="3"/>
      <c r="AJ22" s="23"/>
      <c r="AK22" s="2"/>
      <c r="AL22" s="3"/>
      <c r="AM22" s="22" t="s">
        <v>271</v>
      </c>
      <c r="AN22" s="2"/>
      <c r="AO22" s="3"/>
      <c r="AP22" s="24">
        <v>46171</v>
      </c>
      <c r="AQ22" s="2"/>
      <c r="AR22" s="3"/>
      <c r="AS22" s="19"/>
      <c r="AT22" s="2"/>
      <c r="AU22" s="3"/>
      <c r="AV22" s="19" t="s">
        <v>63</v>
      </c>
      <c r="AW22" s="2"/>
      <c r="AX22" s="3"/>
      <c r="AY22" s="19"/>
      <c r="AZ22" s="2"/>
      <c r="BA22" s="3"/>
      <c r="BB22" s="19" t="s">
        <v>272</v>
      </c>
      <c r="BC22" s="2"/>
      <c r="BD22" s="3"/>
      <c r="BE22" s="21">
        <v>46237</v>
      </c>
      <c r="BF22" s="2"/>
      <c r="BG22" s="3"/>
      <c r="BH22" s="19"/>
      <c r="BI22" s="2"/>
      <c r="BJ22" s="3"/>
      <c r="BK22" s="18" t="s">
        <v>315</v>
      </c>
      <c r="BL22" s="2"/>
      <c r="BM22" s="2"/>
      <c r="BN22" s="2"/>
      <c r="BO22" s="2"/>
      <c r="BP22" s="2"/>
      <c r="BQ22" s="3"/>
    </row>
    <row r="23" ht="367.5" customHeight="1" spans="1:69">
      <c r="A23" s="17">
        <v>10</v>
      </c>
      <c r="B23" s="18" t="s">
        <v>316</v>
      </c>
      <c r="C23" s="2"/>
      <c r="D23" s="3"/>
      <c r="E23" s="18" t="s">
        <v>317</v>
      </c>
      <c r="F23" s="2"/>
      <c r="G23" s="2"/>
      <c r="H23" s="2"/>
      <c r="I23" s="3"/>
      <c r="J23" s="18" t="s">
        <v>318</v>
      </c>
      <c r="K23" s="2"/>
      <c r="L23" s="2"/>
      <c r="M23" s="2"/>
      <c r="N23" s="2"/>
      <c r="O23" s="2"/>
      <c r="P23" s="3"/>
      <c r="Q23" s="18" t="s">
        <v>319</v>
      </c>
      <c r="R23" s="2"/>
      <c r="S23" s="2"/>
      <c r="T23" s="2"/>
      <c r="U23" s="2"/>
      <c r="V23" s="2"/>
      <c r="W23" s="3"/>
      <c r="X23" s="18" t="s">
        <v>320</v>
      </c>
      <c r="Y23" s="2"/>
      <c r="Z23" s="2"/>
      <c r="AA23" s="2"/>
      <c r="AB23" s="2"/>
      <c r="AC23" s="2"/>
      <c r="AD23" s="3"/>
      <c r="AE23" s="19" t="s">
        <v>270</v>
      </c>
      <c r="AF23" s="3"/>
      <c r="AG23" s="22" t="s">
        <v>63</v>
      </c>
      <c r="AH23" s="2"/>
      <c r="AI23" s="3"/>
      <c r="AJ23" s="23"/>
      <c r="AK23" s="2"/>
      <c r="AL23" s="3"/>
      <c r="AM23" s="22" t="s">
        <v>271</v>
      </c>
      <c r="AN23" s="2"/>
      <c r="AO23" s="3"/>
      <c r="AP23" s="24">
        <v>46171</v>
      </c>
      <c r="AQ23" s="2"/>
      <c r="AR23" s="3"/>
      <c r="AS23" s="19"/>
      <c r="AT23" s="2"/>
      <c r="AU23" s="3"/>
      <c r="AV23" s="22" t="s">
        <v>63</v>
      </c>
      <c r="AW23" s="2"/>
      <c r="AX23" s="3"/>
      <c r="AY23" s="19"/>
      <c r="AZ23" s="2"/>
      <c r="BA23" s="3"/>
      <c r="BB23" s="19" t="s">
        <v>272</v>
      </c>
      <c r="BC23" s="2"/>
      <c r="BD23" s="3"/>
      <c r="BE23" s="21">
        <v>46237</v>
      </c>
      <c r="BF23" s="2"/>
      <c r="BG23" s="3"/>
      <c r="BH23" s="19"/>
      <c r="BI23" s="2"/>
      <c r="BJ23" s="3"/>
      <c r="BK23" s="18"/>
      <c r="BL23" s="2"/>
      <c r="BM23" s="2"/>
      <c r="BN23" s="2"/>
      <c r="BO23" s="2"/>
      <c r="BP23" s="2"/>
      <c r="BQ23" s="3"/>
    </row>
    <row r="24" ht="336" customHeight="1" spans="1:69">
      <c r="A24" s="17">
        <v>11</v>
      </c>
      <c r="B24" s="18" t="s">
        <v>321</v>
      </c>
      <c r="C24" s="2"/>
      <c r="D24" s="3"/>
      <c r="E24" s="18" t="s">
        <v>322</v>
      </c>
      <c r="F24" s="2"/>
      <c r="G24" s="2"/>
      <c r="H24" s="2"/>
      <c r="I24" s="3"/>
      <c r="J24" s="18" t="s">
        <v>318</v>
      </c>
      <c r="K24" s="2"/>
      <c r="L24" s="2"/>
      <c r="M24" s="2"/>
      <c r="N24" s="2"/>
      <c r="O24" s="2"/>
      <c r="P24" s="3"/>
      <c r="Q24" s="18" t="s">
        <v>323</v>
      </c>
      <c r="R24" s="2"/>
      <c r="S24" s="2"/>
      <c r="T24" s="2"/>
      <c r="U24" s="2"/>
      <c r="V24" s="2"/>
      <c r="W24" s="3"/>
      <c r="X24" s="18" t="s">
        <v>324</v>
      </c>
      <c r="Y24" s="2"/>
      <c r="Z24" s="2"/>
      <c r="AA24" s="2"/>
      <c r="AB24" s="2"/>
      <c r="AC24" s="2"/>
      <c r="AD24" s="3"/>
      <c r="AE24" s="19" t="s">
        <v>270</v>
      </c>
      <c r="AF24" s="3"/>
      <c r="AG24" s="22" t="s">
        <v>63</v>
      </c>
      <c r="AH24" s="2"/>
      <c r="AI24" s="3"/>
      <c r="AJ24" s="23"/>
      <c r="AK24" s="2"/>
      <c r="AL24" s="3"/>
      <c r="AM24" s="22" t="s">
        <v>271</v>
      </c>
      <c r="AN24" s="2"/>
      <c r="AO24" s="3"/>
      <c r="AP24" s="24">
        <v>46171</v>
      </c>
      <c r="AQ24" s="2"/>
      <c r="AR24" s="3"/>
      <c r="AS24" s="19"/>
      <c r="AT24" s="2"/>
      <c r="AU24" s="3"/>
      <c r="AV24" s="22" t="s">
        <v>63</v>
      </c>
      <c r="AW24" s="2"/>
      <c r="AX24" s="3"/>
      <c r="AY24" s="19"/>
      <c r="AZ24" s="2"/>
      <c r="BA24" s="3"/>
      <c r="BB24" s="19" t="s">
        <v>272</v>
      </c>
      <c r="BC24" s="2"/>
      <c r="BD24" s="3"/>
      <c r="BE24" s="21">
        <v>46237</v>
      </c>
      <c r="BF24" s="2"/>
      <c r="BG24" s="3"/>
      <c r="BH24" s="19"/>
      <c r="BI24" s="2"/>
      <c r="BJ24" s="3"/>
      <c r="BK24" s="18" t="s">
        <v>292</v>
      </c>
      <c r="BL24" s="2"/>
      <c r="BM24" s="2"/>
      <c r="BN24" s="2"/>
      <c r="BO24" s="2"/>
      <c r="BP24" s="2"/>
      <c r="BQ24" s="3"/>
    </row>
    <row r="25" ht="22.5" customHeight="1" spans="1:69">
      <c r="A25" s="16" t="s">
        <v>325</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3"/>
    </row>
    <row r="26" ht="240" customHeight="1" spans="1:69">
      <c r="A26" s="17">
        <v>12</v>
      </c>
      <c r="B26" s="18" t="s">
        <v>326</v>
      </c>
      <c r="C26" s="2"/>
      <c r="D26" s="3"/>
      <c r="E26" s="18" t="s">
        <v>327</v>
      </c>
      <c r="F26" s="2"/>
      <c r="G26" s="2"/>
      <c r="H26" s="2"/>
      <c r="I26" s="3"/>
      <c r="J26" s="18" t="s">
        <v>328</v>
      </c>
      <c r="K26" s="2"/>
      <c r="L26" s="2"/>
      <c r="M26" s="2"/>
      <c r="N26" s="2"/>
      <c r="O26" s="2"/>
      <c r="P26" s="3"/>
      <c r="Q26" s="18" t="s">
        <v>329</v>
      </c>
      <c r="R26" s="2"/>
      <c r="S26" s="2"/>
      <c r="T26" s="2"/>
      <c r="U26" s="2"/>
      <c r="V26" s="2"/>
      <c r="W26" s="3"/>
      <c r="X26" s="18" t="s">
        <v>330</v>
      </c>
      <c r="Y26" s="2"/>
      <c r="Z26" s="2"/>
      <c r="AA26" s="2"/>
      <c r="AB26" s="2"/>
      <c r="AC26" s="2"/>
      <c r="AD26" s="3"/>
      <c r="AE26" s="19" t="s">
        <v>270</v>
      </c>
      <c r="AF26" s="3"/>
      <c r="AG26" s="22" t="s">
        <v>63</v>
      </c>
      <c r="AH26" s="2"/>
      <c r="AI26" s="3"/>
      <c r="AJ26" s="23"/>
      <c r="AK26" s="2"/>
      <c r="AL26" s="3"/>
      <c r="AM26" s="22" t="s">
        <v>271</v>
      </c>
      <c r="AN26" s="2"/>
      <c r="AO26" s="3"/>
      <c r="AP26" s="24">
        <v>46171</v>
      </c>
      <c r="AQ26" s="2"/>
      <c r="AR26" s="3"/>
      <c r="AS26" s="19"/>
      <c r="AT26" s="2"/>
      <c r="AU26" s="3"/>
      <c r="AV26" s="19" t="s">
        <v>63</v>
      </c>
      <c r="AW26" s="2"/>
      <c r="AX26" s="3"/>
      <c r="AY26" s="19"/>
      <c r="AZ26" s="2"/>
      <c r="BA26" s="3"/>
      <c r="BB26" s="19" t="s">
        <v>272</v>
      </c>
      <c r="BC26" s="2"/>
      <c r="BD26" s="3"/>
      <c r="BE26" s="21">
        <v>46237</v>
      </c>
      <c r="BF26" s="2"/>
      <c r="BG26" s="3"/>
      <c r="BH26" s="19"/>
      <c r="BI26" s="2"/>
      <c r="BJ26" s="3"/>
      <c r="BK26" s="18"/>
      <c r="BL26" s="2"/>
      <c r="BM26" s="2"/>
      <c r="BN26" s="2"/>
      <c r="BO26" s="2"/>
      <c r="BP26" s="2"/>
      <c r="BQ26" s="3"/>
    </row>
    <row r="27" ht="303.75" customHeight="1" spans="1:69">
      <c r="A27" s="17">
        <v>13</v>
      </c>
      <c r="B27" s="18" t="s">
        <v>331</v>
      </c>
      <c r="C27" s="2"/>
      <c r="D27" s="3"/>
      <c r="E27" s="18" t="s">
        <v>332</v>
      </c>
      <c r="F27" s="2"/>
      <c r="G27" s="2"/>
      <c r="H27" s="2"/>
      <c r="I27" s="3"/>
      <c r="J27" s="18" t="s">
        <v>328</v>
      </c>
      <c r="K27" s="2"/>
      <c r="L27" s="2"/>
      <c r="M27" s="2"/>
      <c r="N27" s="2"/>
      <c r="O27" s="2"/>
      <c r="P27" s="3"/>
      <c r="Q27" s="18" t="s">
        <v>333</v>
      </c>
      <c r="R27" s="2"/>
      <c r="S27" s="2"/>
      <c r="T27" s="2"/>
      <c r="U27" s="2"/>
      <c r="V27" s="2"/>
      <c r="W27" s="3"/>
      <c r="X27" s="18" t="s">
        <v>334</v>
      </c>
      <c r="Y27" s="2"/>
      <c r="Z27" s="2"/>
      <c r="AA27" s="2"/>
      <c r="AB27" s="2"/>
      <c r="AC27" s="2"/>
      <c r="AD27" s="3"/>
      <c r="AE27" s="19" t="s">
        <v>270</v>
      </c>
      <c r="AF27" s="3"/>
      <c r="AG27" s="22" t="s">
        <v>63</v>
      </c>
      <c r="AH27" s="2"/>
      <c r="AI27" s="3"/>
      <c r="AJ27" s="23"/>
      <c r="AK27" s="2"/>
      <c r="AL27" s="3"/>
      <c r="AM27" s="22" t="s">
        <v>271</v>
      </c>
      <c r="AN27" s="2"/>
      <c r="AO27" s="3"/>
      <c r="AP27" s="24">
        <v>46171</v>
      </c>
      <c r="AQ27" s="2"/>
      <c r="AR27" s="3"/>
      <c r="AS27" s="19"/>
      <c r="AT27" s="2"/>
      <c r="AU27" s="3"/>
      <c r="AV27" s="19" t="s">
        <v>63</v>
      </c>
      <c r="AW27" s="2"/>
      <c r="AX27" s="3"/>
      <c r="AY27" s="19"/>
      <c r="AZ27" s="2"/>
      <c r="BA27" s="3"/>
      <c r="BB27" s="19" t="s">
        <v>272</v>
      </c>
      <c r="BC27" s="2"/>
      <c r="BD27" s="3"/>
      <c r="BE27" s="21">
        <v>46237</v>
      </c>
      <c r="BF27" s="2"/>
      <c r="BG27" s="3"/>
      <c r="BH27" s="19"/>
      <c r="BI27" s="2"/>
      <c r="BJ27" s="3"/>
      <c r="BK27" s="18"/>
      <c r="BL27" s="2"/>
      <c r="BM27" s="2"/>
      <c r="BN27" s="2"/>
      <c r="BO27" s="2"/>
      <c r="BP27" s="2"/>
      <c r="BQ27" s="3"/>
    </row>
    <row r="28" ht="207.75" customHeight="1" spans="1:69">
      <c r="A28" s="17">
        <v>14</v>
      </c>
      <c r="B28" s="18" t="s">
        <v>335</v>
      </c>
      <c r="C28" s="2"/>
      <c r="D28" s="3"/>
      <c r="E28" s="18" t="s">
        <v>336</v>
      </c>
      <c r="F28" s="2"/>
      <c r="G28" s="2"/>
      <c r="H28" s="2"/>
      <c r="I28" s="3"/>
      <c r="J28" s="18" t="s">
        <v>328</v>
      </c>
      <c r="K28" s="2"/>
      <c r="L28" s="2"/>
      <c r="M28" s="2"/>
      <c r="N28" s="2"/>
      <c r="O28" s="2"/>
      <c r="P28" s="3"/>
      <c r="Q28" s="18" t="s">
        <v>337</v>
      </c>
      <c r="R28" s="2"/>
      <c r="S28" s="2"/>
      <c r="T28" s="2"/>
      <c r="U28" s="2"/>
      <c r="V28" s="2"/>
      <c r="W28" s="3"/>
      <c r="X28" s="18" t="s">
        <v>338</v>
      </c>
      <c r="Y28" s="2"/>
      <c r="Z28" s="2"/>
      <c r="AA28" s="2"/>
      <c r="AB28" s="2"/>
      <c r="AC28" s="2"/>
      <c r="AD28" s="3"/>
      <c r="AE28" s="19" t="s">
        <v>270</v>
      </c>
      <c r="AF28" s="3"/>
      <c r="AG28" s="22" t="s">
        <v>63</v>
      </c>
      <c r="AH28" s="2"/>
      <c r="AI28" s="3"/>
      <c r="AJ28" s="23"/>
      <c r="AK28" s="2"/>
      <c r="AL28" s="3"/>
      <c r="AM28" s="22" t="s">
        <v>271</v>
      </c>
      <c r="AN28" s="2"/>
      <c r="AO28" s="3"/>
      <c r="AP28" s="24">
        <v>46171</v>
      </c>
      <c r="AQ28" s="2"/>
      <c r="AR28" s="3"/>
      <c r="AS28" s="19"/>
      <c r="AT28" s="2"/>
      <c r="AU28" s="3"/>
      <c r="AV28" s="19" t="s">
        <v>63</v>
      </c>
      <c r="AW28" s="2"/>
      <c r="AX28" s="3"/>
      <c r="AY28" s="19"/>
      <c r="AZ28" s="2"/>
      <c r="BA28" s="3"/>
      <c r="BB28" s="19" t="s">
        <v>272</v>
      </c>
      <c r="BC28" s="2"/>
      <c r="BD28" s="3"/>
      <c r="BE28" s="21">
        <v>46237</v>
      </c>
      <c r="BF28" s="2"/>
      <c r="BG28" s="3"/>
      <c r="BH28" s="19"/>
      <c r="BI28" s="2"/>
      <c r="BJ28" s="3"/>
      <c r="BK28" s="18" t="s">
        <v>292</v>
      </c>
      <c r="BL28" s="2"/>
      <c r="BM28" s="2"/>
      <c r="BN28" s="2"/>
      <c r="BO28" s="2"/>
      <c r="BP28" s="2"/>
      <c r="BQ28" s="3"/>
    </row>
    <row r="29" ht="22.5" customHeight="1" spans="1:69">
      <c r="A29" s="16" t="s">
        <v>339</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3"/>
    </row>
    <row r="30" ht="271.5" customHeight="1" spans="1:69">
      <c r="A30" s="17">
        <v>15</v>
      </c>
      <c r="B30" s="18" t="s">
        <v>340</v>
      </c>
      <c r="C30" s="2"/>
      <c r="D30" s="3"/>
      <c r="E30" s="18" t="s">
        <v>341</v>
      </c>
      <c r="F30" s="2"/>
      <c r="G30" s="2"/>
      <c r="H30" s="2"/>
      <c r="I30" s="3"/>
      <c r="J30" s="18" t="s">
        <v>301</v>
      </c>
      <c r="K30" s="2"/>
      <c r="L30" s="2"/>
      <c r="M30" s="2"/>
      <c r="N30" s="2"/>
      <c r="O30" s="2"/>
      <c r="P30" s="3"/>
      <c r="Q30" s="18" t="s">
        <v>342</v>
      </c>
      <c r="R30" s="2"/>
      <c r="S30" s="2"/>
      <c r="T30" s="2"/>
      <c r="U30" s="2"/>
      <c r="V30" s="2"/>
      <c r="W30" s="3"/>
      <c r="X30" s="18" t="s">
        <v>343</v>
      </c>
      <c r="Y30" s="2"/>
      <c r="Z30" s="2"/>
      <c r="AA30" s="2"/>
      <c r="AB30" s="2"/>
      <c r="AC30" s="2"/>
      <c r="AD30" s="3"/>
      <c r="AE30" s="19" t="s">
        <v>270</v>
      </c>
      <c r="AF30" s="3"/>
      <c r="AG30" s="22" t="s">
        <v>63</v>
      </c>
      <c r="AH30" s="2"/>
      <c r="AI30" s="3"/>
      <c r="AJ30" s="23"/>
      <c r="AK30" s="2"/>
      <c r="AL30" s="3"/>
      <c r="AM30" s="22" t="s">
        <v>271</v>
      </c>
      <c r="AN30" s="2"/>
      <c r="AO30" s="3"/>
      <c r="AP30" s="24">
        <v>46171</v>
      </c>
      <c r="AQ30" s="2"/>
      <c r="AR30" s="3"/>
      <c r="AS30" s="19"/>
      <c r="AT30" s="2"/>
      <c r="AU30" s="3"/>
      <c r="AV30" s="19" t="s">
        <v>63</v>
      </c>
      <c r="AW30" s="2"/>
      <c r="AX30" s="3"/>
      <c r="AY30" s="19"/>
      <c r="AZ30" s="2"/>
      <c r="BA30" s="3"/>
      <c r="BB30" s="19" t="s">
        <v>272</v>
      </c>
      <c r="BC30" s="2"/>
      <c r="BD30" s="3"/>
      <c r="BE30" s="21">
        <v>46237</v>
      </c>
      <c r="BF30" s="2"/>
      <c r="BG30" s="3"/>
      <c r="BH30" s="19"/>
      <c r="BI30" s="2"/>
      <c r="BJ30" s="3"/>
      <c r="BK30" s="18"/>
      <c r="BL30" s="2"/>
      <c r="BM30" s="2"/>
      <c r="BN30" s="2"/>
      <c r="BO30" s="2"/>
      <c r="BP30" s="2"/>
      <c r="BQ30" s="3"/>
    </row>
    <row r="31" ht="271.5" customHeight="1" spans="1:69">
      <c r="A31" s="17">
        <v>16</v>
      </c>
      <c r="B31" s="18" t="s">
        <v>344</v>
      </c>
      <c r="C31" s="2"/>
      <c r="D31" s="3"/>
      <c r="E31" s="18" t="s">
        <v>345</v>
      </c>
      <c r="F31" s="2"/>
      <c r="G31" s="2"/>
      <c r="H31" s="2"/>
      <c r="I31" s="3"/>
      <c r="J31" s="18" t="s">
        <v>301</v>
      </c>
      <c r="K31" s="2"/>
      <c r="L31" s="2"/>
      <c r="M31" s="2"/>
      <c r="N31" s="2"/>
      <c r="O31" s="2"/>
      <c r="P31" s="3"/>
      <c r="Q31" s="18" t="s">
        <v>346</v>
      </c>
      <c r="R31" s="2"/>
      <c r="S31" s="2"/>
      <c r="T31" s="2"/>
      <c r="U31" s="2"/>
      <c r="V31" s="2"/>
      <c r="W31" s="3"/>
      <c r="X31" s="18" t="s">
        <v>347</v>
      </c>
      <c r="Y31" s="2"/>
      <c r="Z31" s="2"/>
      <c r="AA31" s="2"/>
      <c r="AB31" s="2"/>
      <c r="AC31" s="2"/>
      <c r="AD31" s="3"/>
      <c r="AE31" s="19" t="s">
        <v>270</v>
      </c>
      <c r="AF31" s="3"/>
      <c r="AG31" s="22" t="s">
        <v>63</v>
      </c>
      <c r="AH31" s="2"/>
      <c r="AI31" s="3"/>
      <c r="AJ31" s="23"/>
      <c r="AK31" s="2"/>
      <c r="AL31" s="3"/>
      <c r="AM31" s="22" t="s">
        <v>271</v>
      </c>
      <c r="AN31" s="2"/>
      <c r="AO31" s="3"/>
      <c r="AP31" s="24">
        <v>46171</v>
      </c>
      <c r="AQ31" s="2"/>
      <c r="AR31" s="3"/>
      <c r="AS31" s="19"/>
      <c r="AT31" s="2"/>
      <c r="AU31" s="3"/>
      <c r="AV31" s="19" t="s">
        <v>63</v>
      </c>
      <c r="AW31" s="2"/>
      <c r="AX31" s="3"/>
      <c r="AY31" s="19"/>
      <c r="AZ31" s="2"/>
      <c r="BA31" s="3"/>
      <c r="BB31" s="19" t="s">
        <v>272</v>
      </c>
      <c r="BC31" s="2"/>
      <c r="BD31" s="3"/>
      <c r="BE31" s="21">
        <v>46237</v>
      </c>
      <c r="BF31" s="2"/>
      <c r="BG31" s="3"/>
      <c r="BH31" s="19"/>
      <c r="BI31" s="2"/>
      <c r="BJ31" s="3"/>
      <c r="BK31" s="18"/>
      <c r="BL31" s="2"/>
      <c r="BM31" s="2"/>
      <c r="BN31" s="2"/>
      <c r="BO31" s="2"/>
      <c r="BP31" s="2"/>
      <c r="BQ31" s="3"/>
    </row>
    <row r="32" ht="409.5" customHeight="1" spans="1:69">
      <c r="A32" s="17">
        <v>17</v>
      </c>
      <c r="B32" s="18" t="s">
        <v>348</v>
      </c>
      <c r="C32" s="2"/>
      <c r="D32" s="3"/>
      <c r="E32" s="18" t="s">
        <v>349</v>
      </c>
      <c r="F32" s="2"/>
      <c r="G32" s="2"/>
      <c r="H32" s="2"/>
      <c r="I32" s="3"/>
      <c r="J32" s="18" t="s">
        <v>301</v>
      </c>
      <c r="K32" s="2"/>
      <c r="L32" s="2"/>
      <c r="M32" s="2"/>
      <c r="N32" s="2"/>
      <c r="O32" s="2"/>
      <c r="P32" s="3"/>
      <c r="Q32" s="18" t="s">
        <v>350</v>
      </c>
      <c r="R32" s="2"/>
      <c r="S32" s="2"/>
      <c r="T32" s="2"/>
      <c r="U32" s="2"/>
      <c r="V32" s="2"/>
      <c r="W32" s="3"/>
      <c r="X32" s="18" t="s">
        <v>351</v>
      </c>
      <c r="Y32" s="2"/>
      <c r="Z32" s="2"/>
      <c r="AA32" s="2"/>
      <c r="AB32" s="2"/>
      <c r="AC32" s="2"/>
      <c r="AD32" s="3"/>
      <c r="AE32" s="19" t="s">
        <v>213</v>
      </c>
      <c r="AF32" s="3"/>
      <c r="AG32" s="22" t="s">
        <v>63</v>
      </c>
      <c r="AH32" s="2"/>
      <c r="AI32" s="3"/>
      <c r="AJ32" s="23"/>
      <c r="AK32" s="2"/>
      <c r="AL32" s="3"/>
      <c r="AM32" s="22" t="s">
        <v>271</v>
      </c>
      <c r="AN32" s="2"/>
      <c r="AO32" s="3"/>
      <c r="AP32" s="24">
        <v>46171</v>
      </c>
      <c r="AQ32" s="2"/>
      <c r="AR32" s="3"/>
      <c r="AS32" s="19"/>
      <c r="AT32" s="2"/>
      <c r="AU32" s="3"/>
      <c r="AV32" s="19" t="s">
        <v>63</v>
      </c>
      <c r="AW32" s="2"/>
      <c r="AX32" s="3"/>
      <c r="AY32" s="19"/>
      <c r="AZ32" s="2"/>
      <c r="BA32" s="3"/>
      <c r="BB32" s="19" t="s">
        <v>272</v>
      </c>
      <c r="BC32" s="2"/>
      <c r="BD32" s="3"/>
      <c r="BE32" s="21">
        <v>46237</v>
      </c>
      <c r="BF32" s="2"/>
      <c r="BG32" s="3"/>
      <c r="BH32" s="19"/>
      <c r="BI32" s="2"/>
      <c r="BJ32" s="3"/>
      <c r="BK32" s="18"/>
      <c r="BL32" s="2"/>
      <c r="BM32" s="2"/>
      <c r="BN32" s="2"/>
      <c r="BO32" s="2"/>
      <c r="BP32" s="2"/>
      <c r="BQ32" s="3"/>
    </row>
    <row r="33" ht="409.5" customHeight="1" spans="1:69">
      <c r="A33" s="17">
        <v>18</v>
      </c>
      <c r="B33" s="18" t="s">
        <v>352</v>
      </c>
      <c r="C33" s="2"/>
      <c r="D33" s="3"/>
      <c r="E33" s="18" t="s">
        <v>353</v>
      </c>
      <c r="F33" s="2"/>
      <c r="G33" s="2"/>
      <c r="H33" s="2"/>
      <c r="I33" s="3"/>
      <c r="J33" s="18" t="s">
        <v>301</v>
      </c>
      <c r="K33" s="2"/>
      <c r="L33" s="2"/>
      <c r="M33" s="2"/>
      <c r="N33" s="2"/>
      <c r="O33" s="2"/>
      <c r="P33" s="3"/>
      <c r="Q33" s="18" t="s">
        <v>354</v>
      </c>
      <c r="R33" s="2"/>
      <c r="S33" s="2"/>
      <c r="T33" s="2"/>
      <c r="U33" s="2"/>
      <c r="V33" s="2"/>
      <c r="W33" s="3"/>
      <c r="X33" s="18" t="s">
        <v>355</v>
      </c>
      <c r="Y33" s="2"/>
      <c r="Z33" s="2"/>
      <c r="AA33" s="2"/>
      <c r="AB33" s="2"/>
      <c r="AC33" s="2"/>
      <c r="AD33" s="3"/>
      <c r="AE33" s="19" t="s">
        <v>213</v>
      </c>
      <c r="AF33" s="3"/>
      <c r="AG33" s="22" t="s">
        <v>63</v>
      </c>
      <c r="AH33" s="2"/>
      <c r="AI33" s="3"/>
      <c r="AJ33" s="23"/>
      <c r="AK33" s="2"/>
      <c r="AL33" s="3"/>
      <c r="AM33" s="22" t="s">
        <v>271</v>
      </c>
      <c r="AN33" s="2"/>
      <c r="AO33" s="3"/>
      <c r="AP33" s="24">
        <v>46171</v>
      </c>
      <c r="AQ33" s="2"/>
      <c r="AR33" s="3"/>
      <c r="AS33" s="19"/>
      <c r="AT33" s="2"/>
      <c r="AU33" s="3"/>
      <c r="AV33" s="19" t="s">
        <v>63</v>
      </c>
      <c r="AW33" s="2"/>
      <c r="AX33" s="3"/>
      <c r="AY33" s="19"/>
      <c r="AZ33" s="2"/>
      <c r="BA33" s="3"/>
      <c r="BB33" s="19" t="s">
        <v>272</v>
      </c>
      <c r="BC33" s="2"/>
      <c r="BD33" s="3"/>
      <c r="BE33" s="21">
        <v>46237</v>
      </c>
      <c r="BF33" s="2"/>
      <c r="BG33" s="3"/>
      <c r="BH33" s="19"/>
      <c r="BI33" s="2"/>
      <c r="BJ33" s="3"/>
      <c r="BK33" s="18" t="s">
        <v>356</v>
      </c>
      <c r="BL33" s="2"/>
      <c r="BM33" s="2"/>
      <c r="BN33" s="2"/>
      <c r="BO33" s="2"/>
      <c r="BP33" s="2"/>
      <c r="BQ33" s="3"/>
    </row>
    <row r="34" ht="367.5" customHeight="1" spans="1:69">
      <c r="A34" s="17">
        <v>19</v>
      </c>
      <c r="B34" s="18" t="s">
        <v>357</v>
      </c>
      <c r="C34" s="2"/>
      <c r="D34" s="3"/>
      <c r="E34" s="18" t="s">
        <v>358</v>
      </c>
      <c r="F34" s="2"/>
      <c r="G34" s="2"/>
      <c r="H34" s="2"/>
      <c r="I34" s="3"/>
      <c r="J34" s="18" t="s">
        <v>301</v>
      </c>
      <c r="K34" s="2"/>
      <c r="L34" s="2"/>
      <c r="M34" s="2"/>
      <c r="N34" s="2"/>
      <c r="O34" s="2"/>
      <c r="P34" s="3"/>
      <c r="Q34" s="18" t="s">
        <v>359</v>
      </c>
      <c r="R34" s="2"/>
      <c r="S34" s="2"/>
      <c r="T34" s="2"/>
      <c r="U34" s="2"/>
      <c r="V34" s="2"/>
      <c r="W34" s="3"/>
      <c r="X34" s="18" t="s">
        <v>360</v>
      </c>
      <c r="Y34" s="2"/>
      <c r="Z34" s="2"/>
      <c r="AA34" s="2"/>
      <c r="AB34" s="2"/>
      <c r="AC34" s="2"/>
      <c r="AD34" s="3"/>
      <c r="AE34" s="19" t="s">
        <v>217</v>
      </c>
      <c r="AF34" s="3"/>
      <c r="AG34" s="22" t="s">
        <v>63</v>
      </c>
      <c r="AH34" s="2"/>
      <c r="AI34" s="3"/>
      <c r="AJ34" s="23"/>
      <c r="AK34" s="2"/>
      <c r="AL34" s="3"/>
      <c r="AM34" s="22" t="s">
        <v>271</v>
      </c>
      <c r="AN34" s="2"/>
      <c r="AO34" s="3"/>
      <c r="AP34" s="24">
        <v>46171</v>
      </c>
      <c r="AQ34" s="2"/>
      <c r="AR34" s="3"/>
      <c r="AS34" s="19"/>
      <c r="AT34" s="2"/>
      <c r="AU34" s="3"/>
      <c r="AV34" s="19" t="s">
        <v>63</v>
      </c>
      <c r="AW34" s="2"/>
      <c r="AX34" s="3"/>
      <c r="AY34" s="19"/>
      <c r="AZ34" s="2"/>
      <c r="BA34" s="3"/>
      <c r="BB34" s="19" t="s">
        <v>272</v>
      </c>
      <c r="BC34" s="2"/>
      <c r="BD34" s="3"/>
      <c r="BE34" s="21">
        <v>46237</v>
      </c>
      <c r="BF34" s="2"/>
      <c r="BG34" s="3"/>
      <c r="BH34" s="19"/>
      <c r="BI34" s="2"/>
      <c r="BJ34" s="3"/>
      <c r="BK34" s="18"/>
      <c r="BL34" s="2"/>
      <c r="BM34" s="2"/>
      <c r="BN34" s="2"/>
      <c r="BO34" s="2"/>
      <c r="BP34" s="2"/>
      <c r="BQ34" s="3"/>
    </row>
    <row r="35" ht="409.5" customHeight="1" spans="1:69">
      <c r="A35" s="17">
        <v>20</v>
      </c>
      <c r="B35" s="18" t="s">
        <v>361</v>
      </c>
      <c r="C35" s="2"/>
      <c r="D35" s="3"/>
      <c r="E35" s="18" t="s">
        <v>362</v>
      </c>
      <c r="F35" s="2"/>
      <c r="G35" s="2"/>
      <c r="H35" s="2"/>
      <c r="I35" s="3"/>
      <c r="J35" s="18" t="s">
        <v>363</v>
      </c>
      <c r="K35" s="2"/>
      <c r="L35" s="2"/>
      <c r="M35" s="2"/>
      <c r="N35" s="2"/>
      <c r="O35" s="2"/>
      <c r="P35" s="3"/>
      <c r="Q35" s="18" t="s">
        <v>364</v>
      </c>
      <c r="R35" s="2"/>
      <c r="S35" s="2"/>
      <c r="T35" s="2"/>
      <c r="U35" s="2"/>
      <c r="V35" s="2"/>
      <c r="W35" s="3"/>
      <c r="X35" s="18" t="s">
        <v>365</v>
      </c>
      <c r="Y35" s="2"/>
      <c r="Z35" s="2"/>
      <c r="AA35" s="2"/>
      <c r="AB35" s="2"/>
      <c r="AC35" s="2"/>
      <c r="AD35" s="3"/>
      <c r="AE35" s="19" t="s">
        <v>270</v>
      </c>
      <c r="AF35" s="3"/>
      <c r="AG35" s="22" t="s">
        <v>63</v>
      </c>
      <c r="AH35" s="2"/>
      <c r="AI35" s="3"/>
      <c r="AJ35" s="23"/>
      <c r="AK35" s="2"/>
      <c r="AL35" s="3"/>
      <c r="AM35" s="22" t="s">
        <v>271</v>
      </c>
      <c r="AN35" s="2"/>
      <c r="AO35" s="3"/>
      <c r="AP35" s="24">
        <v>46171</v>
      </c>
      <c r="AQ35" s="2"/>
      <c r="AR35" s="3"/>
      <c r="AS35" s="19"/>
      <c r="AT35" s="2"/>
      <c r="AU35" s="3"/>
      <c r="AV35" s="19" t="s">
        <v>63</v>
      </c>
      <c r="AW35" s="2"/>
      <c r="AX35" s="3"/>
      <c r="AY35" s="19"/>
      <c r="AZ35" s="2"/>
      <c r="BA35" s="3"/>
      <c r="BB35" s="19" t="s">
        <v>272</v>
      </c>
      <c r="BC35" s="2"/>
      <c r="BD35" s="3"/>
      <c r="BE35" s="21">
        <v>46237</v>
      </c>
      <c r="BF35" s="2"/>
      <c r="BG35" s="3"/>
      <c r="BH35" s="19"/>
      <c r="BI35" s="2"/>
      <c r="BJ35" s="3"/>
      <c r="BK35" s="18"/>
      <c r="BL35" s="2"/>
      <c r="BM35" s="2"/>
      <c r="BN35" s="2"/>
      <c r="BO35" s="2"/>
      <c r="BP35" s="2"/>
      <c r="BQ35" s="3"/>
    </row>
    <row r="36" ht="384" customHeight="1" spans="1:69">
      <c r="A36" s="17">
        <v>21</v>
      </c>
      <c r="B36" s="18" t="s">
        <v>366</v>
      </c>
      <c r="C36" s="2"/>
      <c r="D36" s="3"/>
      <c r="E36" s="18" t="s">
        <v>367</v>
      </c>
      <c r="F36" s="2"/>
      <c r="G36" s="2"/>
      <c r="H36" s="2"/>
      <c r="I36" s="3"/>
      <c r="J36" s="18" t="s">
        <v>368</v>
      </c>
      <c r="K36" s="2"/>
      <c r="L36" s="2"/>
      <c r="M36" s="2"/>
      <c r="N36" s="2"/>
      <c r="O36" s="2"/>
      <c r="P36" s="3"/>
      <c r="Q36" s="18" t="s">
        <v>369</v>
      </c>
      <c r="R36" s="2"/>
      <c r="S36" s="2"/>
      <c r="T36" s="2"/>
      <c r="U36" s="2"/>
      <c r="V36" s="2"/>
      <c r="W36" s="3"/>
      <c r="X36" s="18" t="s">
        <v>370</v>
      </c>
      <c r="Y36" s="2"/>
      <c r="Z36" s="2"/>
      <c r="AA36" s="2"/>
      <c r="AB36" s="2"/>
      <c r="AC36" s="2"/>
      <c r="AD36" s="3"/>
      <c r="AE36" s="19" t="s">
        <v>270</v>
      </c>
      <c r="AF36" s="3"/>
      <c r="AG36" s="22" t="s">
        <v>63</v>
      </c>
      <c r="AH36" s="2"/>
      <c r="AI36" s="3"/>
      <c r="AJ36" s="23"/>
      <c r="AK36" s="2"/>
      <c r="AL36" s="3"/>
      <c r="AM36" s="22" t="s">
        <v>271</v>
      </c>
      <c r="AN36" s="2"/>
      <c r="AO36" s="3"/>
      <c r="AP36" s="24">
        <v>46171</v>
      </c>
      <c r="AQ36" s="2"/>
      <c r="AR36" s="3"/>
      <c r="AS36" s="19"/>
      <c r="AT36" s="2"/>
      <c r="AU36" s="3"/>
      <c r="AV36" s="19" t="s">
        <v>63</v>
      </c>
      <c r="AW36" s="2"/>
      <c r="AX36" s="3"/>
      <c r="AY36" s="19"/>
      <c r="AZ36" s="2"/>
      <c r="BA36" s="3"/>
      <c r="BB36" s="19" t="s">
        <v>272</v>
      </c>
      <c r="BC36" s="2"/>
      <c r="BD36" s="3"/>
      <c r="BE36" s="21">
        <v>46237</v>
      </c>
      <c r="BF36" s="2"/>
      <c r="BG36" s="3"/>
      <c r="BH36" s="19"/>
      <c r="BI36" s="2"/>
      <c r="BJ36" s="3"/>
      <c r="BK36" s="18"/>
      <c r="BL36" s="2"/>
      <c r="BM36" s="2"/>
      <c r="BN36" s="2"/>
      <c r="BO36" s="2"/>
      <c r="BP36" s="2"/>
      <c r="BQ36" s="3"/>
    </row>
    <row r="37" ht="367.5" customHeight="1" spans="1:69">
      <c r="A37" s="17">
        <v>22</v>
      </c>
      <c r="B37" s="18" t="s">
        <v>371</v>
      </c>
      <c r="C37" s="2"/>
      <c r="D37" s="3"/>
      <c r="E37" s="18" t="s">
        <v>372</v>
      </c>
      <c r="F37" s="2"/>
      <c r="G37" s="2"/>
      <c r="H37" s="2"/>
      <c r="I37" s="3"/>
      <c r="J37" s="18" t="s">
        <v>301</v>
      </c>
      <c r="K37" s="2"/>
      <c r="L37" s="2"/>
      <c r="M37" s="2"/>
      <c r="N37" s="2"/>
      <c r="O37" s="2"/>
      <c r="P37" s="3"/>
      <c r="Q37" s="18" t="s">
        <v>373</v>
      </c>
      <c r="R37" s="2"/>
      <c r="S37" s="2"/>
      <c r="T37" s="2"/>
      <c r="U37" s="2"/>
      <c r="V37" s="2"/>
      <c r="W37" s="3"/>
      <c r="X37" s="18" t="s">
        <v>374</v>
      </c>
      <c r="Y37" s="2"/>
      <c r="Z37" s="2"/>
      <c r="AA37" s="2"/>
      <c r="AB37" s="2"/>
      <c r="AC37" s="2"/>
      <c r="AD37" s="3"/>
      <c r="AE37" s="19" t="s">
        <v>213</v>
      </c>
      <c r="AF37" s="3"/>
      <c r="AG37" s="22" t="s">
        <v>63</v>
      </c>
      <c r="AH37" s="2"/>
      <c r="AI37" s="3"/>
      <c r="AJ37" s="23"/>
      <c r="AK37" s="2"/>
      <c r="AL37" s="3"/>
      <c r="AM37" s="22" t="s">
        <v>271</v>
      </c>
      <c r="AN37" s="2"/>
      <c r="AO37" s="3"/>
      <c r="AP37" s="24">
        <v>46171</v>
      </c>
      <c r="AQ37" s="2"/>
      <c r="AR37" s="3"/>
      <c r="AS37" s="19"/>
      <c r="AT37" s="2"/>
      <c r="AU37" s="3"/>
      <c r="AV37" s="22" t="s">
        <v>63</v>
      </c>
      <c r="AW37" s="2"/>
      <c r="AX37" s="3"/>
      <c r="AY37" s="19"/>
      <c r="AZ37" s="2"/>
      <c r="BA37" s="3"/>
      <c r="BB37" s="19" t="s">
        <v>272</v>
      </c>
      <c r="BC37" s="2"/>
      <c r="BD37" s="3"/>
      <c r="BE37" s="21">
        <v>46237</v>
      </c>
      <c r="BF37" s="2"/>
      <c r="BG37" s="3"/>
      <c r="BH37" s="19"/>
      <c r="BI37" s="2"/>
      <c r="BJ37" s="3"/>
      <c r="BK37" s="18" t="s">
        <v>375</v>
      </c>
      <c r="BL37" s="2"/>
      <c r="BM37" s="2"/>
      <c r="BN37" s="2"/>
      <c r="BO37" s="2"/>
      <c r="BP37" s="2"/>
      <c r="BQ37" s="3"/>
    </row>
    <row r="38" ht="22.5" customHeight="1" spans="1:69">
      <c r="A38" s="16" t="s">
        <v>376</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3"/>
    </row>
    <row r="39" ht="367.5" customHeight="1" spans="1:69">
      <c r="A39" s="17">
        <v>23</v>
      </c>
      <c r="B39" s="18" t="s">
        <v>377</v>
      </c>
      <c r="C39" s="2"/>
      <c r="D39" s="3"/>
      <c r="E39" s="18" t="s">
        <v>378</v>
      </c>
      <c r="F39" s="2"/>
      <c r="G39" s="2"/>
      <c r="H39" s="2"/>
      <c r="I39" s="3"/>
      <c r="J39" s="18" t="s">
        <v>312</v>
      </c>
      <c r="K39" s="2"/>
      <c r="L39" s="2"/>
      <c r="M39" s="2"/>
      <c r="N39" s="2"/>
      <c r="O39" s="2"/>
      <c r="P39" s="3"/>
      <c r="Q39" s="18" t="s">
        <v>379</v>
      </c>
      <c r="R39" s="2"/>
      <c r="S39" s="2"/>
      <c r="T39" s="2"/>
      <c r="U39" s="2"/>
      <c r="V39" s="2"/>
      <c r="W39" s="3"/>
      <c r="X39" s="18" t="s">
        <v>380</v>
      </c>
      <c r="Y39" s="2"/>
      <c r="Z39" s="2"/>
      <c r="AA39" s="2"/>
      <c r="AB39" s="2"/>
      <c r="AC39" s="2"/>
      <c r="AD39" s="3"/>
      <c r="AE39" s="19" t="s">
        <v>270</v>
      </c>
      <c r="AF39" s="3"/>
      <c r="AG39" s="22" t="s">
        <v>63</v>
      </c>
      <c r="AH39" s="2"/>
      <c r="AI39" s="3"/>
      <c r="AJ39" s="23"/>
      <c r="AK39" s="2"/>
      <c r="AL39" s="3"/>
      <c r="AM39" s="22" t="s">
        <v>271</v>
      </c>
      <c r="AN39" s="2"/>
      <c r="AO39" s="3"/>
      <c r="AP39" s="24">
        <v>46171</v>
      </c>
      <c r="AQ39" s="2"/>
      <c r="AR39" s="3"/>
      <c r="AS39" s="19"/>
      <c r="AT39" s="2"/>
      <c r="AU39" s="3"/>
      <c r="AV39" s="19" t="s">
        <v>63</v>
      </c>
      <c r="AW39" s="2"/>
      <c r="AX39" s="3"/>
      <c r="AY39" s="19"/>
      <c r="AZ39" s="2"/>
      <c r="BA39" s="3"/>
      <c r="BB39" s="19" t="s">
        <v>272</v>
      </c>
      <c r="BC39" s="2"/>
      <c r="BD39" s="3"/>
      <c r="BE39" s="21">
        <v>46237</v>
      </c>
      <c r="BF39" s="2"/>
      <c r="BG39" s="3"/>
      <c r="BH39" s="19"/>
      <c r="BI39" s="2"/>
      <c r="BJ39" s="3"/>
      <c r="BK39" s="18"/>
      <c r="BL39" s="2"/>
      <c r="BM39" s="2"/>
      <c r="BN39" s="2"/>
      <c r="BO39" s="2"/>
      <c r="BP39" s="2"/>
      <c r="BQ39" s="3"/>
    </row>
    <row r="40" ht="399.75" customHeight="1" spans="1:69">
      <c r="A40" s="17">
        <v>24</v>
      </c>
      <c r="B40" s="18" t="s">
        <v>381</v>
      </c>
      <c r="C40" s="2"/>
      <c r="D40" s="3"/>
      <c r="E40" s="18" t="s">
        <v>382</v>
      </c>
      <c r="F40" s="2"/>
      <c r="G40" s="2"/>
      <c r="H40" s="2"/>
      <c r="I40" s="3"/>
      <c r="J40" s="18" t="s">
        <v>383</v>
      </c>
      <c r="K40" s="2"/>
      <c r="L40" s="2"/>
      <c r="M40" s="2"/>
      <c r="N40" s="2"/>
      <c r="O40" s="2"/>
      <c r="P40" s="3"/>
      <c r="Q40" s="18" t="s">
        <v>384</v>
      </c>
      <c r="R40" s="2"/>
      <c r="S40" s="2"/>
      <c r="T40" s="2"/>
      <c r="U40" s="2"/>
      <c r="V40" s="2"/>
      <c r="W40" s="3"/>
      <c r="X40" s="18" t="s">
        <v>385</v>
      </c>
      <c r="Y40" s="2"/>
      <c r="Z40" s="2"/>
      <c r="AA40" s="2"/>
      <c r="AB40" s="2"/>
      <c r="AC40" s="2"/>
      <c r="AD40" s="3"/>
      <c r="AE40" s="19" t="s">
        <v>270</v>
      </c>
      <c r="AF40" s="3"/>
      <c r="AG40" s="22" t="s">
        <v>63</v>
      </c>
      <c r="AH40" s="2"/>
      <c r="AI40" s="3"/>
      <c r="AJ40" s="23"/>
      <c r="AK40" s="2"/>
      <c r="AL40" s="3"/>
      <c r="AM40" s="22" t="s">
        <v>271</v>
      </c>
      <c r="AN40" s="2"/>
      <c r="AO40" s="3"/>
      <c r="AP40" s="24">
        <v>46171</v>
      </c>
      <c r="AQ40" s="2"/>
      <c r="AR40" s="3"/>
      <c r="AS40" s="19"/>
      <c r="AT40" s="2"/>
      <c r="AU40" s="3"/>
      <c r="AV40" s="19" t="s">
        <v>63</v>
      </c>
      <c r="AW40" s="2"/>
      <c r="AX40" s="3"/>
      <c r="AY40" s="19"/>
      <c r="AZ40" s="2"/>
      <c r="BA40" s="3"/>
      <c r="BB40" s="19" t="s">
        <v>272</v>
      </c>
      <c r="BC40" s="2"/>
      <c r="BD40" s="3"/>
      <c r="BE40" s="21">
        <v>46237</v>
      </c>
      <c r="BF40" s="2"/>
      <c r="BG40" s="3"/>
      <c r="BH40" s="19"/>
      <c r="BI40" s="2"/>
      <c r="BJ40" s="3"/>
      <c r="BK40" s="18"/>
      <c r="BL40" s="2"/>
      <c r="BM40" s="2"/>
      <c r="BN40" s="2"/>
      <c r="BO40" s="2"/>
      <c r="BP40" s="2"/>
      <c r="BQ40" s="3"/>
    </row>
    <row r="41" ht="336" customHeight="1" spans="1:69">
      <c r="A41" s="17">
        <v>25</v>
      </c>
      <c r="B41" s="18" t="s">
        <v>386</v>
      </c>
      <c r="C41" s="2"/>
      <c r="D41" s="3"/>
      <c r="E41" s="18" t="s">
        <v>387</v>
      </c>
      <c r="F41" s="2"/>
      <c r="G41" s="2"/>
      <c r="H41" s="2"/>
      <c r="I41" s="3"/>
      <c r="J41" s="18" t="s">
        <v>388</v>
      </c>
      <c r="K41" s="2"/>
      <c r="L41" s="2"/>
      <c r="M41" s="2"/>
      <c r="N41" s="2"/>
      <c r="O41" s="2"/>
      <c r="P41" s="3"/>
      <c r="Q41" s="18" t="s">
        <v>389</v>
      </c>
      <c r="R41" s="2"/>
      <c r="S41" s="2"/>
      <c r="T41" s="2"/>
      <c r="U41" s="2"/>
      <c r="V41" s="2"/>
      <c r="W41" s="3"/>
      <c r="X41" s="18" t="s">
        <v>390</v>
      </c>
      <c r="Y41" s="2"/>
      <c r="Z41" s="2"/>
      <c r="AA41" s="2"/>
      <c r="AB41" s="2"/>
      <c r="AC41" s="2"/>
      <c r="AD41" s="3"/>
      <c r="AE41" s="19" t="s">
        <v>270</v>
      </c>
      <c r="AF41" s="3"/>
      <c r="AG41" s="22" t="s">
        <v>63</v>
      </c>
      <c r="AH41" s="2"/>
      <c r="AI41" s="3"/>
      <c r="AJ41" s="23"/>
      <c r="AK41" s="2"/>
      <c r="AL41" s="3"/>
      <c r="AM41" s="22" t="s">
        <v>271</v>
      </c>
      <c r="AN41" s="2"/>
      <c r="AO41" s="3"/>
      <c r="AP41" s="24">
        <v>46171</v>
      </c>
      <c r="AQ41" s="2"/>
      <c r="AR41" s="3"/>
      <c r="AS41" s="19"/>
      <c r="AT41" s="2"/>
      <c r="AU41" s="3"/>
      <c r="AV41" s="19" t="s">
        <v>63</v>
      </c>
      <c r="AW41" s="2"/>
      <c r="AX41" s="3"/>
      <c r="AY41" s="19"/>
      <c r="AZ41" s="2"/>
      <c r="BA41" s="3"/>
      <c r="BB41" s="19" t="s">
        <v>272</v>
      </c>
      <c r="BC41" s="2"/>
      <c r="BD41" s="3"/>
      <c r="BE41" s="21">
        <v>46237</v>
      </c>
      <c r="BF41" s="2"/>
      <c r="BG41" s="3"/>
      <c r="BH41" s="19"/>
      <c r="BI41" s="2"/>
      <c r="BJ41" s="3"/>
      <c r="BK41" s="18"/>
      <c r="BL41" s="2"/>
      <c r="BM41" s="2"/>
      <c r="BN41" s="2"/>
      <c r="BO41" s="2"/>
      <c r="BP41" s="2"/>
      <c r="BQ41" s="3"/>
    </row>
    <row r="42" ht="336" customHeight="1" spans="1:69">
      <c r="A42" s="17">
        <v>26</v>
      </c>
      <c r="B42" s="18" t="s">
        <v>391</v>
      </c>
      <c r="C42" s="2"/>
      <c r="D42" s="3"/>
      <c r="E42" s="18" t="s">
        <v>392</v>
      </c>
      <c r="F42" s="2"/>
      <c r="G42" s="2"/>
      <c r="H42" s="2"/>
      <c r="I42" s="3"/>
      <c r="J42" s="18" t="s">
        <v>393</v>
      </c>
      <c r="K42" s="2"/>
      <c r="L42" s="2"/>
      <c r="M42" s="2"/>
      <c r="N42" s="2"/>
      <c r="O42" s="2"/>
      <c r="P42" s="3"/>
      <c r="Q42" s="18" t="s">
        <v>394</v>
      </c>
      <c r="R42" s="2"/>
      <c r="S42" s="2"/>
      <c r="T42" s="2"/>
      <c r="U42" s="2"/>
      <c r="V42" s="2"/>
      <c r="W42" s="3"/>
      <c r="X42" s="18" t="s">
        <v>395</v>
      </c>
      <c r="Y42" s="2"/>
      <c r="Z42" s="2"/>
      <c r="AA42" s="2"/>
      <c r="AB42" s="2"/>
      <c r="AC42" s="2"/>
      <c r="AD42" s="3"/>
      <c r="AE42" s="19" t="s">
        <v>270</v>
      </c>
      <c r="AF42" s="3"/>
      <c r="AG42" s="22" t="s">
        <v>63</v>
      </c>
      <c r="AH42" s="2"/>
      <c r="AI42" s="3"/>
      <c r="AJ42" s="23"/>
      <c r="AK42" s="2"/>
      <c r="AL42" s="3"/>
      <c r="AM42" s="22" t="s">
        <v>271</v>
      </c>
      <c r="AN42" s="2"/>
      <c r="AO42" s="3"/>
      <c r="AP42" s="24">
        <v>46171</v>
      </c>
      <c r="AQ42" s="2"/>
      <c r="AR42" s="3"/>
      <c r="AS42" s="19"/>
      <c r="AT42" s="2"/>
      <c r="AU42" s="3"/>
      <c r="AV42" s="19" t="s">
        <v>63</v>
      </c>
      <c r="AW42" s="2"/>
      <c r="AX42" s="3"/>
      <c r="AY42" s="19"/>
      <c r="AZ42" s="2"/>
      <c r="BA42" s="3"/>
      <c r="BB42" s="19" t="s">
        <v>272</v>
      </c>
      <c r="BC42" s="2"/>
      <c r="BD42" s="3"/>
      <c r="BE42" s="21">
        <v>46237</v>
      </c>
      <c r="BF42" s="2"/>
      <c r="BG42" s="3"/>
      <c r="BH42" s="19"/>
      <c r="BI42" s="2"/>
      <c r="BJ42" s="3"/>
      <c r="BK42" s="18"/>
      <c r="BL42" s="2"/>
      <c r="BM42" s="2"/>
      <c r="BN42" s="2"/>
      <c r="BO42" s="2"/>
      <c r="BP42" s="2"/>
      <c r="BQ42" s="3"/>
    </row>
    <row r="43" ht="409.5" customHeight="1" spans="1:69">
      <c r="A43" s="17">
        <v>27</v>
      </c>
      <c r="B43" s="18" t="s">
        <v>396</v>
      </c>
      <c r="C43" s="2"/>
      <c r="D43" s="3"/>
      <c r="E43" s="18" t="s">
        <v>397</v>
      </c>
      <c r="F43" s="2"/>
      <c r="G43" s="2"/>
      <c r="H43" s="2"/>
      <c r="I43" s="3"/>
      <c r="J43" s="18" t="s">
        <v>312</v>
      </c>
      <c r="K43" s="2"/>
      <c r="L43" s="2"/>
      <c r="M43" s="2"/>
      <c r="N43" s="2"/>
      <c r="O43" s="2"/>
      <c r="P43" s="3"/>
      <c r="Q43" s="18" t="s">
        <v>398</v>
      </c>
      <c r="R43" s="2"/>
      <c r="S43" s="2"/>
      <c r="T43" s="2"/>
      <c r="U43" s="2"/>
      <c r="V43" s="2"/>
      <c r="W43" s="3"/>
      <c r="X43" s="18" t="s">
        <v>399</v>
      </c>
      <c r="Y43" s="2"/>
      <c r="Z43" s="2"/>
      <c r="AA43" s="2"/>
      <c r="AB43" s="2"/>
      <c r="AC43" s="2"/>
      <c r="AD43" s="3"/>
      <c r="AE43" s="19" t="s">
        <v>270</v>
      </c>
      <c r="AF43" s="3"/>
      <c r="AG43" s="22" t="s">
        <v>63</v>
      </c>
      <c r="AH43" s="2"/>
      <c r="AI43" s="3"/>
      <c r="AJ43" s="23"/>
      <c r="AK43" s="2"/>
      <c r="AL43" s="3"/>
      <c r="AM43" s="22" t="s">
        <v>271</v>
      </c>
      <c r="AN43" s="2"/>
      <c r="AO43" s="3"/>
      <c r="AP43" s="24">
        <v>46171</v>
      </c>
      <c r="AQ43" s="2"/>
      <c r="AR43" s="3"/>
      <c r="AS43" s="19"/>
      <c r="AT43" s="2"/>
      <c r="AU43" s="3"/>
      <c r="AV43" s="19" t="s">
        <v>63</v>
      </c>
      <c r="AW43" s="2"/>
      <c r="AX43" s="3"/>
      <c r="AY43" s="19"/>
      <c r="AZ43" s="2"/>
      <c r="BA43" s="3"/>
      <c r="BB43" s="19" t="s">
        <v>272</v>
      </c>
      <c r="BC43" s="2"/>
      <c r="BD43" s="3"/>
      <c r="BE43" s="21">
        <v>46237</v>
      </c>
      <c r="BF43" s="2"/>
      <c r="BG43" s="3"/>
      <c r="BH43" s="19"/>
      <c r="BI43" s="2"/>
      <c r="BJ43" s="3"/>
      <c r="BK43" s="18"/>
      <c r="BL43" s="2"/>
      <c r="BM43" s="2"/>
      <c r="BN43" s="2"/>
      <c r="BO43" s="2"/>
      <c r="BP43" s="2"/>
      <c r="BQ43" s="3"/>
    </row>
    <row r="44" ht="399.75" customHeight="1" spans="1:69">
      <c r="A44" s="17">
        <v>28</v>
      </c>
      <c r="B44" s="18" t="s">
        <v>400</v>
      </c>
      <c r="C44" s="2"/>
      <c r="D44" s="3"/>
      <c r="E44" s="18" t="s">
        <v>401</v>
      </c>
      <c r="F44" s="2"/>
      <c r="G44" s="2"/>
      <c r="H44" s="2"/>
      <c r="I44" s="3"/>
      <c r="J44" s="18" t="s">
        <v>402</v>
      </c>
      <c r="K44" s="2"/>
      <c r="L44" s="2"/>
      <c r="M44" s="2"/>
      <c r="N44" s="2"/>
      <c r="O44" s="2"/>
      <c r="P44" s="3"/>
      <c r="Q44" s="18" t="s">
        <v>403</v>
      </c>
      <c r="R44" s="2"/>
      <c r="S44" s="2"/>
      <c r="T44" s="2"/>
      <c r="U44" s="2"/>
      <c r="V44" s="2"/>
      <c r="W44" s="3"/>
      <c r="X44" s="18" t="s">
        <v>404</v>
      </c>
      <c r="Y44" s="2"/>
      <c r="Z44" s="2"/>
      <c r="AA44" s="2"/>
      <c r="AB44" s="2"/>
      <c r="AC44" s="2"/>
      <c r="AD44" s="3"/>
      <c r="AE44" s="19" t="s">
        <v>270</v>
      </c>
      <c r="AF44" s="3"/>
      <c r="AG44" s="22" t="s">
        <v>63</v>
      </c>
      <c r="AH44" s="2"/>
      <c r="AI44" s="3"/>
      <c r="AJ44" s="23"/>
      <c r="AK44" s="2"/>
      <c r="AL44" s="3"/>
      <c r="AM44" s="22" t="s">
        <v>271</v>
      </c>
      <c r="AN44" s="2"/>
      <c r="AO44" s="3"/>
      <c r="AP44" s="24">
        <v>46171</v>
      </c>
      <c r="AQ44" s="2"/>
      <c r="AR44" s="3"/>
      <c r="AS44" s="19"/>
      <c r="AT44" s="2"/>
      <c r="AU44" s="3"/>
      <c r="AV44" s="19" t="s">
        <v>63</v>
      </c>
      <c r="AW44" s="2"/>
      <c r="AX44" s="3"/>
      <c r="AY44" s="19"/>
      <c r="AZ44" s="2"/>
      <c r="BA44" s="3"/>
      <c r="BB44" s="19" t="s">
        <v>272</v>
      </c>
      <c r="BC44" s="2"/>
      <c r="BD44" s="3"/>
      <c r="BE44" s="21">
        <v>46237</v>
      </c>
      <c r="BF44" s="2"/>
      <c r="BG44" s="3"/>
      <c r="BH44" s="19"/>
      <c r="BI44" s="2"/>
      <c r="BJ44" s="3"/>
      <c r="BK44" s="18"/>
      <c r="BL44" s="2"/>
      <c r="BM44" s="2"/>
      <c r="BN44" s="2"/>
      <c r="BO44" s="2"/>
      <c r="BP44" s="2"/>
      <c r="BQ44" s="3"/>
    </row>
    <row r="45" ht="336" customHeight="1" spans="1:69">
      <c r="A45" s="17">
        <v>29</v>
      </c>
      <c r="B45" s="18" t="s">
        <v>405</v>
      </c>
      <c r="C45" s="2"/>
      <c r="D45" s="3"/>
      <c r="E45" s="18" t="s">
        <v>406</v>
      </c>
      <c r="F45" s="2"/>
      <c r="G45" s="2"/>
      <c r="H45" s="2"/>
      <c r="I45" s="3"/>
      <c r="J45" s="18" t="s">
        <v>407</v>
      </c>
      <c r="K45" s="2"/>
      <c r="L45" s="2"/>
      <c r="M45" s="2"/>
      <c r="N45" s="2"/>
      <c r="O45" s="2"/>
      <c r="P45" s="3"/>
      <c r="Q45" s="18" t="s">
        <v>408</v>
      </c>
      <c r="R45" s="2"/>
      <c r="S45" s="2"/>
      <c r="T45" s="2"/>
      <c r="U45" s="2"/>
      <c r="V45" s="2"/>
      <c r="W45" s="3"/>
      <c r="X45" s="18" t="s">
        <v>409</v>
      </c>
      <c r="Y45" s="2"/>
      <c r="Z45" s="2"/>
      <c r="AA45" s="2"/>
      <c r="AB45" s="2"/>
      <c r="AC45" s="2"/>
      <c r="AD45" s="3"/>
      <c r="AE45" s="19" t="s">
        <v>270</v>
      </c>
      <c r="AF45" s="3"/>
      <c r="AG45" s="22" t="s">
        <v>63</v>
      </c>
      <c r="AH45" s="2"/>
      <c r="AI45" s="3"/>
      <c r="AJ45" s="23"/>
      <c r="AK45" s="2"/>
      <c r="AL45" s="3"/>
      <c r="AM45" s="22" t="s">
        <v>271</v>
      </c>
      <c r="AN45" s="2"/>
      <c r="AO45" s="3"/>
      <c r="AP45" s="24">
        <v>46171</v>
      </c>
      <c r="AQ45" s="2"/>
      <c r="AR45" s="3"/>
      <c r="AS45" s="19"/>
      <c r="AT45" s="2"/>
      <c r="AU45" s="3"/>
      <c r="AV45" s="19" t="s">
        <v>63</v>
      </c>
      <c r="AW45" s="2"/>
      <c r="AX45" s="3"/>
      <c r="AY45" s="19"/>
      <c r="AZ45" s="2"/>
      <c r="BA45" s="3"/>
      <c r="BB45" s="19" t="s">
        <v>272</v>
      </c>
      <c r="BC45" s="2"/>
      <c r="BD45" s="3"/>
      <c r="BE45" s="21">
        <v>46237</v>
      </c>
      <c r="BF45" s="2"/>
      <c r="BG45" s="3"/>
      <c r="BH45" s="19"/>
      <c r="BI45" s="2"/>
      <c r="BJ45" s="3"/>
      <c r="BK45" s="18"/>
      <c r="BL45" s="2"/>
      <c r="BM45" s="2"/>
      <c r="BN45" s="2"/>
      <c r="BO45" s="2"/>
      <c r="BP45" s="2"/>
      <c r="BQ45" s="3"/>
    </row>
    <row r="46" ht="303.75" customHeight="1" spans="1:69">
      <c r="A46" s="17">
        <v>30</v>
      </c>
      <c r="B46" s="18" t="s">
        <v>410</v>
      </c>
      <c r="C46" s="2"/>
      <c r="D46" s="3"/>
      <c r="E46" s="18" t="s">
        <v>411</v>
      </c>
      <c r="F46" s="2"/>
      <c r="G46" s="2"/>
      <c r="H46" s="2"/>
      <c r="I46" s="3"/>
      <c r="J46" s="18" t="s">
        <v>412</v>
      </c>
      <c r="K46" s="2"/>
      <c r="L46" s="2"/>
      <c r="M46" s="2"/>
      <c r="N46" s="2"/>
      <c r="O46" s="2"/>
      <c r="P46" s="3"/>
      <c r="Q46" s="18" t="s">
        <v>413</v>
      </c>
      <c r="R46" s="2"/>
      <c r="S46" s="2"/>
      <c r="T46" s="2"/>
      <c r="U46" s="2"/>
      <c r="V46" s="2"/>
      <c r="W46" s="3"/>
      <c r="X46" s="18" t="s">
        <v>414</v>
      </c>
      <c r="Y46" s="2"/>
      <c r="Z46" s="2"/>
      <c r="AA46" s="2"/>
      <c r="AB46" s="2"/>
      <c r="AC46" s="2"/>
      <c r="AD46" s="3"/>
      <c r="AE46" s="19" t="s">
        <v>270</v>
      </c>
      <c r="AF46" s="3"/>
      <c r="AG46" s="22" t="s">
        <v>63</v>
      </c>
      <c r="AH46" s="2"/>
      <c r="AI46" s="3"/>
      <c r="AJ46" s="23"/>
      <c r="AK46" s="2"/>
      <c r="AL46" s="3"/>
      <c r="AM46" s="22" t="s">
        <v>271</v>
      </c>
      <c r="AN46" s="2"/>
      <c r="AO46" s="3"/>
      <c r="AP46" s="24">
        <v>46171</v>
      </c>
      <c r="AQ46" s="2"/>
      <c r="AR46" s="3"/>
      <c r="AS46" s="19"/>
      <c r="AT46" s="2"/>
      <c r="AU46" s="3"/>
      <c r="AV46" s="19" t="s">
        <v>63</v>
      </c>
      <c r="AW46" s="2"/>
      <c r="AX46" s="3"/>
      <c r="AY46" s="19"/>
      <c r="AZ46" s="2"/>
      <c r="BA46" s="3"/>
      <c r="BB46" s="19" t="s">
        <v>272</v>
      </c>
      <c r="BC46" s="2"/>
      <c r="BD46" s="3"/>
      <c r="BE46" s="21">
        <v>46237</v>
      </c>
      <c r="BF46" s="2"/>
      <c r="BG46" s="3"/>
      <c r="BH46" s="19"/>
      <c r="BI46" s="2"/>
      <c r="BJ46" s="3"/>
      <c r="BK46" s="18"/>
      <c r="BL46" s="2"/>
      <c r="BM46" s="2"/>
      <c r="BN46" s="2"/>
      <c r="BO46" s="2"/>
      <c r="BP46" s="2"/>
      <c r="BQ46" s="3"/>
    </row>
    <row r="47" ht="336" customHeight="1" spans="1:69">
      <c r="A47" s="17">
        <v>31</v>
      </c>
      <c r="B47" s="18" t="s">
        <v>415</v>
      </c>
      <c r="C47" s="2"/>
      <c r="D47" s="3"/>
      <c r="E47" s="18" t="s">
        <v>416</v>
      </c>
      <c r="F47" s="2"/>
      <c r="G47" s="2"/>
      <c r="H47" s="2"/>
      <c r="I47" s="3"/>
      <c r="J47" s="18" t="s">
        <v>417</v>
      </c>
      <c r="K47" s="2"/>
      <c r="L47" s="2"/>
      <c r="M47" s="2"/>
      <c r="N47" s="2"/>
      <c r="O47" s="2"/>
      <c r="P47" s="3"/>
      <c r="Q47" s="18" t="s">
        <v>418</v>
      </c>
      <c r="R47" s="2"/>
      <c r="S47" s="2"/>
      <c r="T47" s="2"/>
      <c r="U47" s="2"/>
      <c r="V47" s="2"/>
      <c r="W47" s="3"/>
      <c r="X47" s="18" t="s">
        <v>419</v>
      </c>
      <c r="Y47" s="2"/>
      <c r="Z47" s="2"/>
      <c r="AA47" s="2"/>
      <c r="AB47" s="2"/>
      <c r="AC47" s="2"/>
      <c r="AD47" s="3"/>
      <c r="AE47" s="19" t="s">
        <v>270</v>
      </c>
      <c r="AF47" s="3"/>
      <c r="AG47" s="22" t="s">
        <v>63</v>
      </c>
      <c r="AH47" s="2"/>
      <c r="AI47" s="3"/>
      <c r="AJ47" s="23"/>
      <c r="AK47" s="2"/>
      <c r="AL47" s="3"/>
      <c r="AM47" s="22" t="s">
        <v>271</v>
      </c>
      <c r="AN47" s="2"/>
      <c r="AO47" s="3"/>
      <c r="AP47" s="24">
        <v>46171</v>
      </c>
      <c r="AQ47" s="2"/>
      <c r="AR47" s="3"/>
      <c r="AS47" s="19"/>
      <c r="AT47" s="2"/>
      <c r="AU47" s="3"/>
      <c r="AV47" s="19" t="s">
        <v>63</v>
      </c>
      <c r="AW47" s="2"/>
      <c r="AX47" s="3"/>
      <c r="AY47" s="19"/>
      <c r="AZ47" s="2"/>
      <c r="BA47" s="3"/>
      <c r="BB47" s="19" t="s">
        <v>272</v>
      </c>
      <c r="BC47" s="2"/>
      <c r="BD47" s="3"/>
      <c r="BE47" s="21">
        <v>46237</v>
      </c>
      <c r="BF47" s="2"/>
      <c r="BG47" s="3"/>
      <c r="BH47" s="19"/>
      <c r="BI47" s="2"/>
      <c r="BJ47" s="3"/>
      <c r="BK47" s="18"/>
      <c r="BL47" s="2"/>
      <c r="BM47" s="2"/>
      <c r="BN47" s="2"/>
      <c r="BO47" s="2"/>
      <c r="BP47" s="2"/>
      <c r="BQ47" s="3"/>
    </row>
    <row r="48" ht="399.75" customHeight="1" spans="1:69">
      <c r="A48" s="17">
        <v>32</v>
      </c>
      <c r="B48" s="18" t="s">
        <v>420</v>
      </c>
      <c r="C48" s="2"/>
      <c r="D48" s="3"/>
      <c r="E48" s="18" t="s">
        <v>421</v>
      </c>
      <c r="F48" s="2"/>
      <c r="G48" s="2"/>
      <c r="H48" s="2"/>
      <c r="I48" s="3"/>
      <c r="J48" s="18" t="s">
        <v>422</v>
      </c>
      <c r="K48" s="2"/>
      <c r="L48" s="2"/>
      <c r="M48" s="2"/>
      <c r="N48" s="2"/>
      <c r="O48" s="2"/>
      <c r="P48" s="3"/>
      <c r="Q48" s="18" t="s">
        <v>423</v>
      </c>
      <c r="R48" s="2"/>
      <c r="S48" s="2"/>
      <c r="T48" s="2"/>
      <c r="U48" s="2"/>
      <c r="V48" s="2"/>
      <c r="W48" s="3"/>
      <c r="X48" s="18" t="s">
        <v>424</v>
      </c>
      <c r="Y48" s="2"/>
      <c r="Z48" s="2"/>
      <c r="AA48" s="2"/>
      <c r="AB48" s="2"/>
      <c r="AC48" s="2"/>
      <c r="AD48" s="3"/>
      <c r="AE48" s="19" t="s">
        <v>270</v>
      </c>
      <c r="AF48" s="3"/>
      <c r="AG48" s="22" t="s">
        <v>65</v>
      </c>
      <c r="AH48" s="2"/>
      <c r="AI48" s="3"/>
      <c r="AJ48" s="23"/>
      <c r="AK48" s="2"/>
      <c r="AL48" s="3"/>
      <c r="AM48" s="22" t="s">
        <v>271</v>
      </c>
      <c r="AN48" s="2"/>
      <c r="AO48" s="3"/>
      <c r="AP48" s="24">
        <v>46171</v>
      </c>
      <c r="AQ48" s="2"/>
      <c r="AR48" s="3"/>
      <c r="AS48" s="19"/>
      <c r="AT48" s="2"/>
      <c r="AU48" s="3"/>
      <c r="AV48" s="19" t="s">
        <v>63</v>
      </c>
      <c r="AW48" s="2"/>
      <c r="AX48" s="3"/>
      <c r="AY48" s="19"/>
      <c r="AZ48" s="2"/>
      <c r="BA48" s="3"/>
      <c r="BB48" s="19" t="s">
        <v>272</v>
      </c>
      <c r="BC48" s="2"/>
      <c r="BD48" s="3"/>
      <c r="BE48" s="21">
        <v>46237</v>
      </c>
      <c r="BF48" s="2"/>
      <c r="BG48" s="3"/>
      <c r="BH48" s="19"/>
      <c r="BI48" s="2"/>
      <c r="BJ48" s="3"/>
      <c r="BK48" s="18" t="s">
        <v>425</v>
      </c>
      <c r="BL48" s="2"/>
      <c r="BM48" s="2"/>
      <c r="BN48" s="2"/>
      <c r="BO48" s="2"/>
      <c r="BP48" s="2"/>
      <c r="BQ48" s="3"/>
    </row>
    <row r="49" ht="22.5" customHeight="1" spans="1:69">
      <c r="A49" s="16" t="s">
        <v>426</v>
      </c>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3"/>
    </row>
    <row r="50" ht="409.5" customHeight="1" spans="1:69">
      <c r="A50" s="17">
        <v>33</v>
      </c>
      <c r="B50" s="18" t="s">
        <v>427</v>
      </c>
      <c r="C50" s="2"/>
      <c r="D50" s="3"/>
      <c r="E50" s="18" t="s">
        <v>428</v>
      </c>
      <c r="F50" s="2"/>
      <c r="G50" s="2"/>
      <c r="H50" s="2"/>
      <c r="I50" s="3"/>
      <c r="J50" s="18" t="s">
        <v>429</v>
      </c>
      <c r="K50" s="2"/>
      <c r="L50" s="2"/>
      <c r="M50" s="2"/>
      <c r="N50" s="2"/>
      <c r="O50" s="2"/>
      <c r="P50" s="3"/>
      <c r="Q50" s="18" t="s">
        <v>430</v>
      </c>
      <c r="R50" s="2"/>
      <c r="S50" s="2"/>
      <c r="T50" s="2"/>
      <c r="U50" s="2"/>
      <c r="V50" s="2"/>
      <c r="W50" s="3"/>
      <c r="X50" s="18" t="s">
        <v>431</v>
      </c>
      <c r="Y50" s="2"/>
      <c r="Z50" s="2"/>
      <c r="AA50" s="2"/>
      <c r="AB50" s="2"/>
      <c r="AC50" s="2"/>
      <c r="AD50" s="3"/>
      <c r="AE50" s="19" t="s">
        <v>270</v>
      </c>
      <c r="AF50" s="3"/>
      <c r="AG50" s="22" t="s">
        <v>63</v>
      </c>
      <c r="AH50" s="2"/>
      <c r="AI50" s="3"/>
      <c r="AJ50" s="23"/>
      <c r="AK50" s="2"/>
      <c r="AL50" s="3"/>
      <c r="AM50" s="22" t="s">
        <v>271</v>
      </c>
      <c r="AN50" s="2"/>
      <c r="AO50" s="3"/>
      <c r="AP50" s="24">
        <v>46171</v>
      </c>
      <c r="AQ50" s="2"/>
      <c r="AR50" s="3"/>
      <c r="AS50" s="19"/>
      <c r="AT50" s="2"/>
      <c r="AU50" s="3"/>
      <c r="AV50" s="19" t="s">
        <v>63</v>
      </c>
      <c r="AW50" s="2"/>
      <c r="AX50" s="3"/>
      <c r="AY50" s="19"/>
      <c r="AZ50" s="2"/>
      <c r="BA50" s="3"/>
      <c r="BB50" s="19" t="s">
        <v>272</v>
      </c>
      <c r="BC50" s="2"/>
      <c r="BD50" s="3"/>
      <c r="BE50" s="21">
        <v>46237</v>
      </c>
      <c r="BF50" s="2"/>
      <c r="BG50" s="3"/>
      <c r="BH50" s="19"/>
      <c r="BI50" s="2"/>
      <c r="BJ50" s="3"/>
      <c r="BK50" s="18"/>
      <c r="BL50" s="2"/>
      <c r="BM50" s="2"/>
      <c r="BN50" s="2"/>
      <c r="BO50" s="2"/>
      <c r="BP50" s="2"/>
      <c r="BQ50" s="3"/>
    </row>
    <row r="51" ht="409.5" customHeight="1" spans="1:69">
      <c r="A51" s="25">
        <v>34</v>
      </c>
      <c r="B51" s="26" t="s">
        <v>432</v>
      </c>
      <c r="C51" s="2"/>
      <c r="D51" s="3"/>
      <c r="E51" s="26" t="s">
        <v>433</v>
      </c>
      <c r="F51" s="2"/>
      <c r="G51" s="2"/>
      <c r="H51" s="2"/>
      <c r="I51" s="3"/>
      <c r="J51" s="26" t="s">
        <v>434</v>
      </c>
      <c r="K51" s="2"/>
      <c r="L51" s="2"/>
      <c r="M51" s="2"/>
      <c r="N51" s="2"/>
      <c r="O51" s="2"/>
      <c r="P51" s="3"/>
      <c r="Q51" s="26" t="s">
        <v>435</v>
      </c>
      <c r="R51" s="2"/>
      <c r="S51" s="2"/>
      <c r="T51" s="2"/>
      <c r="U51" s="2"/>
      <c r="V51" s="2"/>
      <c r="W51" s="3"/>
      <c r="X51" s="26" t="s">
        <v>436</v>
      </c>
      <c r="Y51" s="2"/>
      <c r="Z51" s="2"/>
      <c r="AA51" s="2"/>
      <c r="AB51" s="2"/>
      <c r="AC51" s="2"/>
      <c r="AD51" s="3"/>
      <c r="AE51" s="27" t="s">
        <v>213</v>
      </c>
      <c r="AF51" s="3"/>
      <c r="AG51" s="28" t="s">
        <v>66</v>
      </c>
      <c r="AH51" s="2"/>
      <c r="AI51" s="3"/>
      <c r="AJ51" s="23"/>
      <c r="AK51" s="2"/>
      <c r="AL51" s="3"/>
      <c r="AM51" s="22"/>
      <c r="AN51" s="2"/>
      <c r="AO51" s="3"/>
      <c r="AP51" s="24"/>
      <c r="AQ51" s="2"/>
      <c r="AR51" s="3"/>
      <c r="AS51" s="19"/>
      <c r="AT51" s="2"/>
      <c r="AU51" s="3"/>
      <c r="AV51" s="28" t="s">
        <v>66</v>
      </c>
      <c r="AW51" s="2"/>
      <c r="AX51" s="3"/>
      <c r="AY51" s="19"/>
      <c r="AZ51" s="2"/>
      <c r="BA51" s="3"/>
      <c r="BB51" s="19" t="s">
        <v>272</v>
      </c>
      <c r="BC51" s="2"/>
      <c r="BD51" s="3"/>
      <c r="BE51" s="21">
        <v>46237</v>
      </c>
      <c r="BF51" s="2"/>
      <c r="BG51" s="3"/>
      <c r="BH51" s="19"/>
      <c r="BI51" s="2"/>
      <c r="BJ51" s="3"/>
      <c r="BK51" s="18"/>
      <c r="BL51" s="2"/>
      <c r="BM51" s="2"/>
      <c r="BN51" s="2"/>
      <c r="BO51" s="2"/>
      <c r="BP51" s="2"/>
      <c r="BQ51" s="3"/>
    </row>
    <row r="52" ht="336" customHeight="1" spans="1:69">
      <c r="A52" s="17">
        <v>35</v>
      </c>
      <c r="B52" s="18" t="s">
        <v>437</v>
      </c>
      <c r="C52" s="2"/>
      <c r="D52" s="3"/>
      <c r="E52" s="18" t="s">
        <v>438</v>
      </c>
      <c r="F52" s="2"/>
      <c r="G52" s="2"/>
      <c r="H52" s="2"/>
      <c r="I52" s="3"/>
      <c r="J52" s="18" t="s">
        <v>439</v>
      </c>
      <c r="K52" s="2"/>
      <c r="L52" s="2"/>
      <c r="M52" s="2"/>
      <c r="N52" s="2"/>
      <c r="O52" s="2"/>
      <c r="P52" s="3"/>
      <c r="Q52" s="18" t="s">
        <v>440</v>
      </c>
      <c r="R52" s="2"/>
      <c r="S52" s="2"/>
      <c r="T52" s="2"/>
      <c r="U52" s="2"/>
      <c r="V52" s="2"/>
      <c r="W52" s="3"/>
      <c r="X52" s="18" t="s">
        <v>441</v>
      </c>
      <c r="Y52" s="2"/>
      <c r="Z52" s="2"/>
      <c r="AA52" s="2"/>
      <c r="AB52" s="2"/>
      <c r="AC52" s="2"/>
      <c r="AD52" s="3"/>
      <c r="AE52" s="19" t="s">
        <v>270</v>
      </c>
      <c r="AF52" s="3"/>
      <c r="AG52" s="22" t="s">
        <v>63</v>
      </c>
      <c r="AH52" s="2"/>
      <c r="AI52" s="3"/>
      <c r="AJ52" s="23"/>
      <c r="AK52" s="2"/>
      <c r="AL52" s="3"/>
      <c r="AM52" s="22" t="s">
        <v>271</v>
      </c>
      <c r="AN52" s="2"/>
      <c r="AO52" s="3"/>
      <c r="AP52" s="24">
        <v>46171</v>
      </c>
      <c r="AQ52" s="2"/>
      <c r="AR52" s="3"/>
      <c r="AS52" s="19"/>
      <c r="AT52" s="2"/>
      <c r="AU52" s="3"/>
      <c r="AV52" s="19" t="s">
        <v>63</v>
      </c>
      <c r="AW52" s="2"/>
      <c r="AX52" s="3"/>
      <c r="AY52" s="19"/>
      <c r="AZ52" s="2"/>
      <c r="BA52" s="3"/>
      <c r="BB52" s="19" t="s">
        <v>272</v>
      </c>
      <c r="BC52" s="2"/>
      <c r="BD52" s="3"/>
      <c r="BE52" s="21">
        <v>46237</v>
      </c>
      <c r="BF52" s="2"/>
      <c r="BG52" s="3"/>
      <c r="BH52" s="19"/>
      <c r="BI52" s="2"/>
      <c r="BJ52" s="3"/>
      <c r="BK52" s="18"/>
      <c r="BL52" s="2"/>
      <c r="BM52" s="2"/>
      <c r="BN52" s="2"/>
      <c r="BO52" s="2"/>
      <c r="BP52" s="2"/>
      <c r="BQ52" s="3"/>
    </row>
    <row r="53" ht="409.5" customHeight="1" spans="1:69">
      <c r="A53" s="17">
        <v>36</v>
      </c>
      <c r="B53" s="18" t="s">
        <v>442</v>
      </c>
      <c r="C53" s="2"/>
      <c r="D53" s="3"/>
      <c r="E53" s="18" t="s">
        <v>443</v>
      </c>
      <c r="F53" s="2"/>
      <c r="G53" s="2"/>
      <c r="H53" s="2"/>
      <c r="I53" s="3"/>
      <c r="J53" s="18" t="s">
        <v>444</v>
      </c>
      <c r="K53" s="2"/>
      <c r="L53" s="2"/>
      <c r="M53" s="2"/>
      <c r="N53" s="2"/>
      <c r="O53" s="2"/>
      <c r="P53" s="3"/>
      <c r="Q53" s="18" t="s">
        <v>445</v>
      </c>
      <c r="R53" s="2"/>
      <c r="S53" s="2"/>
      <c r="T53" s="2"/>
      <c r="U53" s="2"/>
      <c r="V53" s="2"/>
      <c r="W53" s="3"/>
      <c r="X53" s="18" t="s">
        <v>446</v>
      </c>
      <c r="Y53" s="2"/>
      <c r="Z53" s="2"/>
      <c r="AA53" s="2"/>
      <c r="AB53" s="2"/>
      <c r="AC53" s="2"/>
      <c r="AD53" s="3"/>
      <c r="AE53" s="19" t="s">
        <v>270</v>
      </c>
      <c r="AF53" s="3"/>
      <c r="AG53" s="22" t="s">
        <v>63</v>
      </c>
      <c r="AH53" s="2"/>
      <c r="AI53" s="3"/>
      <c r="AJ53" s="23"/>
      <c r="AK53" s="2"/>
      <c r="AL53" s="3"/>
      <c r="AM53" s="22" t="s">
        <v>271</v>
      </c>
      <c r="AN53" s="2"/>
      <c r="AO53" s="3"/>
      <c r="AP53" s="24">
        <v>46171</v>
      </c>
      <c r="AQ53" s="2"/>
      <c r="AR53" s="3"/>
      <c r="AS53" s="19"/>
      <c r="AT53" s="2"/>
      <c r="AU53" s="3"/>
      <c r="AV53" s="19" t="s">
        <v>63</v>
      </c>
      <c r="AW53" s="2"/>
      <c r="AX53" s="3"/>
      <c r="AY53" s="19"/>
      <c r="AZ53" s="2"/>
      <c r="BA53" s="3"/>
      <c r="BB53" s="19" t="s">
        <v>272</v>
      </c>
      <c r="BC53" s="2"/>
      <c r="BD53" s="3"/>
      <c r="BE53" s="21">
        <v>46237</v>
      </c>
      <c r="BF53" s="2"/>
      <c r="BG53" s="3"/>
      <c r="BH53" s="19"/>
      <c r="BI53" s="2"/>
      <c r="BJ53" s="3"/>
      <c r="BK53" s="18"/>
      <c r="BL53" s="2"/>
      <c r="BM53" s="2"/>
      <c r="BN53" s="2"/>
      <c r="BO53" s="2"/>
      <c r="BP53" s="2"/>
      <c r="BQ53" s="3"/>
    </row>
    <row r="54" ht="399.75" customHeight="1" spans="1:69">
      <c r="A54" s="17">
        <v>37</v>
      </c>
      <c r="B54" s="18" t="s">
        <v>447</v>
      </c>
      <c r="C54" s="2"/>
      <c r="D54" s="3"/>
      <c r="E54" s="18" t="s">
        <v>448</v>
      </c>
      <c r="F54" s="2"/>
      <c r="G54" s="2"/>
      <c r="H54" s="2"/>
      <c r="I54" s="3"/>
      <c r="J54" s="18" t="s">
        <v>449</v>
      </c>
      <c r="K54" s="2"/>
      <c r="L54" s="2"/>
      <c r="M54" s="2"/>
      <c r="N54" s="2"/>
      <c r="O54" s="2"/>
      <c r="P54" s="3"/>
      <c r="Q54" s="18" t="s">
        <v>450</v>
      </c>
      <c r="R54" s="2"/>
      <c r="S54" s="2"/>
      <c r="T54" s="2"/>
      <c r="U54" s="2"/>
      <c r="V54" s="2"/>
      <c r="W54" s="3"/>
      <c r="X54" s="18" t="s">
        <v>451</v>
      </c>
      <c r="Y54" s="2"/>
      <c r="Z54" s="2"/>
      <c r="AA54" s="2"/>
      <c r="AB54" s="2"/>
      <c r="AC54" s="2"/>
      <c r="AD54" s="3"/>
      <c r="AE54" s="19" t="s">
        <v>270</v>
      </c>
      <c r="AF54" s="3"/>
      <c r="AG54" s="22" t="s">
        <v>63</v>
      </c>
      <c r="AH54" s="2"/>
      <c r="AI54" s="3"/>
      <c r="AJ54" s="23"/>
      <c r="AK54" s="2"/>
      <c r="AL54" s="3"/>
      <c r="AM54" s="22" t="s">
        <v>271</v>
      </c>
      <c r="AN54" s="2"/>
      <c r="AO54" s="3"/>
      <c r="AP54" s="24">
        <v>46171</v>
      </c>
      <c r="AQ54" s="2"/>
      <c r="AR54" s="3"/>
      <c r="AS54" s="19"/>
      <c r="AT54" s="2"/>
      <c r="AU54" s="3"/>
      <c r="AV54" s="19" t="s">
        <v>63</v>
      </c>
      <c r="AW54" s="2"/>
      <c r="AX54" s="3"/>
      <c r="AY54" s="19"/>
      <c r="AZ54" s="2"/>
      <c r="BA54" s="3"/>
      <c r="BB54" s="19" t="s">
        <v>272</v>
      </c>
      <c r="BC54" s="2"/>
      <c r="BD54" s="3"/>
      <c r="BE54" s="21">
        <v>46237</v>
      </c>
      <c r="BF54" s="2"/>
      <c r="BG54" s="3"/>
      <c r="BH54" s="19"/>
      <c r="BI54" s="2"/>
      <c r="BJ54" s="3"/>
      <c r="BK54" s="18"/>
      <c r="BL54" s="2"/>
      <c r="BM54" s="2"/>
      <c r="BN54" s="2"/>
      <c r="BO54" s="2"/>
      <c r="BP54" s="2"/>
      <c r="BQ54" s="3"/>
    </row>
    <row r="55" ht="384" customHeight="1" spans="1:69">
      <c r="A55" s="17">
        <v>38</v>
      </c>
      <c r="B55" s="18" t="s">
        <v>452</v>
      </c>
      <c r="C55" s="2"/>
      <c r="D55" s="3"/>
      <c r="E55" s="18" t="s">
        <v>453</v>
      </c>
      <c r="F55" s="2"/>
      <c r="G55" s="2"/>
      <c r="H55" s="2"/>
      <c r="I55" s="3"/>
      <c r="J55" s="18" t="s">
        <v>454</v>
      </c>
      <c r="K55" s="2"/>
      <c r="L55" s="2"/>
      <c r="M55" s="2"/>
      <c r="N55" s="2"/>
      <c r="O55" s="2"/>
      <c r="P55" s="3"/>
      <c r="Q55" s="18" t="s">
        <v>455</v>
      </c>
      <c r="R55" s="2"/>
      <c r="S55" s="2"/>
      <c r="T55" s="2"/>
      <c r="U55" s="2"/>
      <c r="V55" s="2"/>
      <c r="W55" s="3"/>
      <c r="X55" s="18" t="s">
        <v>456</v>
      </c>
      <c r="Y55" s="2"/>
      <c r="Z55" s="2"/>
      <c r="AA55" s="2"/>
      <c r="AB55" s="2"/>
      <c r="AC55" s="2"/>
      <c r="AD55" s="3"/>
      <c r="AE55" s="19" t="s">
        <v>213</v>
      </c>
      <c r="AF55" s="3"/>
      <c r="AG55" s="22" t="s">
        <v>65</v>
      </c>
      <c r="AH55" s="2"/>
      <c r="AI55" s="3"/>
      <c r="AJ55" s="23"/>
      <c r="AK55" s="2"/>
      <c r="AL55" s="3"/>
      <c r="AM55" s="22" t="s">
        <v>271</v>
      </c>
      <c r="AN55" s="2"/>
      <c r="AO55" s="3"/>
      <c r="AP55" s="24">
        <v>46171</v>
      </c>
      <c r="AQ55" s="2"/>
      <c r="AR55" s="3"/>
      <c r="AS55" s="19"/>
      <c r="AT55" s="2"/>
      <c r="AU55" s="3"/>
      <c r="AV55" s="19" t="s">
        <v>63</v>
      </c>
      <c r="AW55" s="2"/>
      <c r="AX55" s="3"/>
      <c r="AY55" s="19"/>
      <c r="AZ55" s="2"/>
      <c r="BA55" s="3"/>
      <c r="BB55" s="19" t="s">
        <v>272</v>
      </c>
      <c r="BC55" s="2"/>
      <c r="BD55" s="3"/>
      <c r="BE55" s="21">
        <v>46237</v>
      </c>
      <c r="BF55" s="2"/>
      <c r="BG55" s="3"/>
      <c r="BH55" s="19"/>
      <c r="BI55" s="2"/>
      <c r="BJ55" s="3"/>
      <c r="BK55" s="18" t="s">
        <v>292</v>
      </c>
      <c r="BL55" s="2"/>
      <c r="BM55" s="2"/>
      <c r="BN55" s="2"/>
      <c r="BO55" s="2"/>
      <c r="BP55" s="2"/>
      <c r="BQ55" s="3"/>
    </row>
    <row r="56" ht="22.5" customHeight="1" spans="1:69">
      <c r="A56" s="16" t="s">
        <v>457</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3"/>
    </row>
    <row r="57" ht="384" customHeight="1" spans="1:69">
      <c r="A57" s="17">
        <v>39</v>
      </c>
      <c r="B57" s="18" t="s">
        <v>458</v>
      </c>
      <c r="C57" s="2"/>
      <c r="D57" s="3"/>
      <c r="E57" s="18" t="s">
        <v>459</v>
      </c>
      <c r="F57" s="2"/>
      <c r="G57" s="2"/>
      <c r="H57" s="2"/>
      <c r="I57" s="3"/>
      <c r="J57" s="18" t="s">
        <v>460</v>
      </c>
      <c r="K57" s="2"/>
      <c r="L57" s="2"/>
      <c r="M57" s="2"/>
      <c r="N57" s="2"/>
      <c r="O57" s="2"/>
      <c r="P57" s="3"/>
      <c r="Q57" s="18" t="s">
        <v>461</v>
      </c>
      <c r="R57" s="2"/>
      <c r="S57" s="2"/>
      <c r="T57" s="2"/>
      <c r="U57" s="2"/>
      <c r="V57" s="2"/>
      <c r="W57" s="3"/>
      <c r="X57" s="18" t="s">
        <v>462</v>
      </c>
      <c r="Y57" s="2"/>
      <c r="Z57" s="2"/>
      <c r="AA57" s="2"/>
      <c r="AB57" s="2"/>
      <c r="AC57" s="2"/>
      <c r="AD57" s="3"/>
      <c r="AE57" s="19" t="s">
        <v>213</v>
      </c>
      <c r="AF57" s="3"/>
      <c r="AG57" s="22" t="s">
        <v>63</v>
      </c>
      <c r="AH57" s="2"/>
      <c r="AI57" s="3"/>
      <c r="AJ57" s="23"/>
      <c r="AK57" s="2"/>
      <c r="AL57" s="3"/>
      <c r="AM57" s="22" t="s">
        <v>271</v>
      </c>
      <c r="AN57" s="2"/>
      <c r="AO57" s="3"/>
      <c r="AP57" s="24">
        <v>46171</v>
      </c>
      <c r="AQ57" s="2"/>
      <c r="AR57" s="3"/>
      <c r="AS57" s="19"/>
      <c r="AT57" s="2"/>
      <c r="AU57" s="3"/>
      <c r="AV57" s="19" t="s">
        <v>63</v>
      </c>
      <c r="AW57" s="2"/>
      <c r="AX57" s="3"/>
      <c r="AY57" s="19"/>
      <c r="AZ57" s="2"/>
      <c r="BA57" s="3"/>
      <c r="BB57" s="19" t="s">
        <v>272</v>
      </c>
      <c r="BC57" s="2"/>
      <c r="BD57" s="3"/>
      <c r="BE57" s="21">
        <v>46237</v>
      </c>
      <c r="BF57" s="2"/>
      <c r="BG57" s="3"/>
      <c r="BH57" s="19"/>
      <c r="BI57" s="2"/>
      <c r="BJ57" s="3"/>
      <c r="BK57" s="18"/>
      <c r="BL57" s="2"/>
      <c r="BM57" s="2"/>
      <c r="BN57" s="2"/>
      <c r="BO57" s="2"/>
      <c r="BP57" s="2"/>
      <c r="BQ57" s="3"/>
    </row>
    <row r="58" ht="303.75" customHeight="1" spans="1:69">
      <c r="A58" s="17">
        <v>40</v>
      </c>
      <c r="B58" s="18" t="s">
        <v>463</v>
      </c>
      <c r="C58" s="2"/>
      <c r="D58" s="3"/>
      <c r="E58" s="18" t="s">
        <v>464</v>
      </c>
      <c r="F58" s="2"/>
      <c r="G58" s="2"/>
      <c r="H58" s="2"/>
      <c r="I58" s="3"/>
      <c r="J58" s="18" t="s">
        <v>465</v>
      </c>
      <c r="K58" s="2"/>
      <c r="L58" s="2"/>
      <c r="M58" s="2"/>
      <c r="N58" s="2"/>
      <c r="O58" s="2"/>
      <c r="P58" s="3"/>
      <c r="Q58" s="18" t="s">
        <v>466</v>
      </c>
      <c r="R58" s="2"/>
      <c r="S58" s="2"/>
      <c r="T58" s="2"/>
      <c r="U58" s="2"/>
      <c r="V58" s="2"/>
      <c r="W58" s="3"/>
      <c r="X58" s="18" t="s">
        <v>467</v>
      </c>
      <c r="Y58" s="2"/>
      <c r="Z58" s="2"/>
      <c r="AA58" s="2"/>
      <c r="AB58" s="2"/>
      <c r="AC58" s="2"/>
      <c r="AD58" s="3"/>
      <c r="AE58" s="19" t="s">
        <v>213</v>
      </c>
      <c r="AF58" s="3"/>
      <c r="AG58" s="22" t="s">
        <v>63</v>
      </c>
      <c r="AH58" s="2"/>
      <c r="AI58" s="3"/>
      <c r="AJ58" s="23"/>
      <c r="AK58" s="2"/>
      <c r="AL58" s="3"/>
      <c r="AM58" s="22" t="s">
        <v>271</v>
      </c>
      <c r="AN58" s="2"/>
      <c r="AO58" s="3"/>
      <c r="AP58" s="24">
        <v>46171</v>
      </c>
      <c r="AQ58" s="2"/>
      <c r="AR58" s="3"/>
      <c r="AS58" s="19"/>
      <c r="AT58" s="2"/>
      <c r="AU58" s="3"/>
      <c r="AV58" s="19" t="s">
        <v>63</v>
      </c>
      <c r="AW58" s="2"/>
      <c r="AX58" s="3"/>
      <c r="AY58" s="19"/>
      <c r="AZ58" s="2"/>
      <c r="BA58" s="3"/>
      <c r="BB58" s="19" t="s">
        <v>272</v>
      </c>
      <c r="BC58" s="2"/>
      <c r="BD58" s="3"/>
      <c r="BE58" s="21">
        <v>46237</v>
      </c>
      <c r="BF58" s="2"/>
      <c r="BG58" s="3"/>
      <c r="BH58" s="19"/>
      <c r="BI58" s="2"/>
      <c r="BJ58" s="3"/>
      <c r="BK58" s="18"/>
      <c r="BL58" s="2"/>
      <c r="BM58" s="2"/>
      <c r="BN58" s="2"/>
      <c r="BO58" s="2"/>
      <c r="BP58" s="2"/>
      <c r="BQ58" s="3"/>
    </row>
    <row r="59" ht="303.75" customHeight="1" spans="1:69">
      <c r="A59" s="17">
        <v>41</v>
      </c>
      <c r="B59" s="18" t="s">
        <v>468</v>
      </c>
      <c r="C59" s="2"/>
      <c r="D59" s="3"/>
      <c r="E59" s="18" t="s">
        <v>469</v>
      </c>
      <c r="F59" s="2"/>
      <c r="G59" s="2"/>
      <c r="H59" s="2"/>
      <c r="I59" s="3"/>
      <c r="J59" s="18" t="s">
        <v>465</v>
      </c>
      <c r="K59" s="2"/>
      <c r="L59" s="2"/>
      <c r="M59" s="2"/>
      <c r="N59" s="2"/>
      <c r="O59" s="2"/>
      <c r="P59" s="3"/>
      <c r="Q59" s="18" t="s">
        <v>470</v>
      </c>
      <c r="R59" s="2"/>
      <c r="S59" s="2"/>
      <c r="T59" s="2"/>
      <c r="U59" s="2"/>
      <c r="V59" s="2"/>
      <c r="W59" s="3"/>
      <c r="X59" s="18" t="s">
        <v>471</v>
      </c>
      <c r="Y59" s="2"/>
      <c r="Z59" s="2"/>
      <c r="AA59" s="2"/>
      <c r="AB59" s="2"/>
      <c r="AC59" s="2"/>
      <c r="AD59" s="3"/>
      <c r="AE59" s="19" t="s">
        <v>213</v>
      </c>
      <c r="AF59" s="3"/>
      <c r="AG59" s="22" t="s">
        <v>63</v>
      </c>
      <c r="AH59" s="2"/>
      <c r="AI59" s="3"/>
      <c r="AJ59" s="23"/>
      <c r="AK59" s="2"/>
      <c r="AL59" s="3"/>
      <c r="AM59" s="22" t="s">
        <v>271</v>
      </c>
      <c r="AN59" s="2"/>
      <c r="AO59" s="3"/>
      <c r="AP59" s="24">
        <v>46171</v>
      </c>
      <c r="AQ59" s="2"/>
      <c r="AR59" s="3"/>
      <c r="AS59" s="19"/>
      <c r="AT59" s="2"/>
      <c r="AU59" s="3"/>
      <c r="AV59" s="19" t="s">
        <v>63</v>
      </c>
      <c r="AW59" s="2"/>
      <c r="AX59" s="3"/>
      <c r="AY59" s="19"/>
      <c r="AZ59" s="2"/>
      <c r="BA59" s="3"/>
      <c r="BB59" s="19" t="s">
        <v>272</v>
      </c>
      <c r="BC59" s="2"/>
      <c r="BD59" s="3"/>
      <c r="BE59" s="21">
        <v>46237</v>
      </c>
      <c r="BF59" s="2"/>
      <c r="BG59" s="3"/>
      <c r="BH59" s="19"/>
      <c r="BI59" s="2"/>
      <c r="BJ59" s="3"/>
      <c r="BK59" s="18"/>
      <c r="BL59" s="2"/>
      <c r="BM59" s="2"/>
      <c r="BN59" s="2"/>
      <c r="BO59" s="2"/>
      <c r="BP59" s="2"/>
      <c r="BQ59" s="3"/>
    </row>
    <row r="60" ht="319.5" customHeight="1" spans="1:69">
      <c r="A60" s="17">
        <v>42</v>
      </c>
      <c r="B60" s="18" t="s">
        <v>472</v>
      </c>
      <c r="C60" s="2"/>
      <c r="D60" s="3"/>
      <c r="E60" s="18" t="s">
        <v>473</v>
      </c>
      <c r="F60" s="2"/>
      <c r="G60" s="2"/>
      <c r="H60" s="2"/>
      <c r="I60" s="3"/>
      <c r="J60" s="18" t="s">
        <v>465</v>
      </c>
      <c r="K60" s="2"/>
      <c r="L60" s="2"/>
      <c r="M60" s="2"/>
      <c r="N60" s="2"/>
      <c r="O60" s="2"/>
      <c r="P60" s="3"/>
      <c r="Q60" s="18" t="s">
        <v>474</v>
      </c>
      <c r="R60" s="2"/>
      <c r="S60" s="2"/>
      <c r="T60" s="2"/>
      <c r="U60" s="2"/>
      <c r="V60" s="2"/>
      <c r="W60" s="3"/>
      <c r="X60" s="18" t="s">
        <v>475</v>
      </c>
      <c r="Y60" s="2"/>
      <c r="Z60" s="2"/>
      <c r="AA60" s="2"/>
      <c r="AB60" s="2"/>
      <c r="AC60" s="2"/>
      <c r="AD60" s="3"/>
      <c r="AE60" s="19" t="s">
        <v>213</v>
      </c>
      <c r="AF60" s="3"/>
      <c r="AG60" s="22" t="s">
        <v>63</v>
      </c>
      <c r="AH60" s="2"/>
      <c r="AI60" s="3"/>
      <c r="AJ60" s="23"/>
      <c r="AK60" s="2"/>
      <c r="AL60" s="3"/>
      <c r="AM60" s="22" t="s">
        <v>271</v>
      </c>
      <c r="AN60" s="2"/>
      <c r="AO60" s="3"/>
      <c r="AP60" s="24">
        <v>46171</v>
      </c>
      <c r="AQ60" s="2"/>
      <c r="AR60" s="3"/>
      <c r="AS60" s="19"/>
      <c r="AT60" s="2"/>
      <c r="AU60" s="3"/>
      <c r="AV60" s="19" t="s">
        <v>63</v>
      </c>
      <c r="AW60" s="2"/>
      <c r="AX60" s="3"/>
      <c r="AY60" s="19"/>
      <c r="AZ60" s="2"/>
      <c r="BA60" s="3"/>
      <c r="BB60" s="19" t="s">
        <v>272</v>
      </c>
      <c r="BC60" s="2"/>
      <c r="BD60" s="3"/>
      <c r="BE60" s="21">
        <v>46237</v>
      </c>
      <c r="BF60" s="2"/>
      <c r="BG60" s="3"/>
      <c r="BH60" s="19"/>
      <c r="BI60" s="2"/>
      <c r="BJ60" s="3"/>
      <c r="BK60" s="18"/>
      <c r="BL60" s="2"/>
      <c r="BM60" s="2"/>
      <c r="BN60" s="2"/>
      <c r="BO60" s="2"/>
      <c r="BP60" s="2"/>
      <c r="BQ60" s="3"/>
    </row>
    <row r="61" ht="367.5" customHeight="1" spans="1:69">
      <c r="A61" s="17">
        <v>43</v>
      </c>
      <c r="B61" s="18" t="s">
        <v>476</v>
      </c>
      <c r="C61" s="2"/>
      <c r="D61" s="3"/>
      <c r="E61" s="18" t="s">
        <v>477</v>
      </c>
      <c r="F61" s="2"/>
      <c r="G61" s="2"/>
      <c r="H61" s="2"/>
      <c r="I61" s="3"/>
      <c r="J61" s="18" t="s">
        <v>454</v>
      </c>
      <c r="K61" s="2"/>
      <c r="L61" s="2"/>
      <c r="M61" s="2"/>
      <c r="N61" s="2"/>
      <c r="O61" s="2"/>
      <c r="P61" s="3"/>
      <c r="Q61" s="18" t="s">
        <v>478</v>
      </c>
      <c r="R61" s="2"/>
      <c r="S61" s="2"/>
      <c r="T61" s="2"/>
      <c r="U61" s="2"/>
      <c r="V61" s="2"/>
      <c r="W61" s="3"/>
      <c r="X61" s="18" t="s">
        <v>479</v>
      </c>
      <c r="Y61" s="2"/>
      <c r="Z61" s="2"/>
      <c r="AA61" s="2"/>
      <c r="AB61" s="2"/>
      <c r="AC61" s="2"/>
      <c r="AD61" s="3"/>
      <c r="AE61" s="19" t="s">
        <v>213</v>
      </c>
      <c r="AF61" s="3"/>
      <c r="AG61" s="22" t="s">
        <v>65</v>
      </c>
      <c r="AH61" s="2"/>
      <c r="AI61" s="3"/>
      <c r="AJ61" s="23"/>
      <c r="AK61" s="2"/>
      <c r="AL61" s="3"/>
      <c r="AM61" s="22" t="s">
        <v>271</v>
      </c>
      <c r="AN61" s="2"/>
      <c r="AO61" s="3"/>
      <c r="AP61" s="24">
        <v>46171</v>
      </c>
      <c r="AQ61" s="2"/>
      <c r="AR61" s="3"/>
      <c r="AS61" s="19"/>
      <c r="AT61" s="2"/>
      <c r="AU61" s="3"/>
      <c r="AV61" s="19" t="s">
        <v>63</v>
      </c>
      <c r="AW61" s="2"/>
      <c r="AX61" s="3"/>
      <c r="AY61" s="19"/>
      <c r="AZ61" s="2"/>
      <c r="BA61" s="3"/>
      <c r="BB61" s="19" t="s">
        <v>272</v>
      </c>
      <c r="BC61" s="2"/>
      <c r="BD61" s="3"/>
      <c r="BE61" s="21">
        <v>46237</v>
      </c>
      <c r="BF61" s="2"/>
      <c r="BG61" s="3"/>
      <c r="BH61" s="19"/>
      <c r="BI61" s="2"/>
      <c r="BJ61" s="3"/>
      <c r="BK61" s="18"/>
      <c r="BL61" s="2"/>
      <c r="BM61" s="2"/>
      <c r="BN61" s="2"/>
      <c r="BO61" s="2"/>
      <c r="BP61" s="2"/>
      <c r="BQ61" s="3"/>
    </row>
    <row r="62" ht="384" customHeight="1" spans="1:69">
      <c r="A62" s="17">
        <v>44</v>
      </c>
      <c r="B62" s="18" t="s">
        <v>480</v>
      </c>
      <c r="C62" s="2"/>
      <c r="D62" s="3"/>
      <c r="E62" s="18" t="s">
        <v>481</v>
      </c>
      <c r="F62" s="2"/>
      <c r="G62" s="2"/>
      <c r="H62" s="2"/>
      <c r="I62" s="3"/>
      <c r="J62" s="18" t="s">
        <v>482</v>
      </c>
      <c r="K62" s="2"/>
      <c r="L62" s="2"/>
      <c r="M62" s="2"/>
      <c r="N62" s="2"/>
      <c r="O62" s="2"/>
      <c r="P62" s="3"/>
      <c r="Q62" s="18" t="s">
        <v>483</v>
      </c>
      <c r="R62" s="2"/>
      <c r="S62" s="2"/>
      <c r="T62" s="2"/>
      <c r="U62" s="2"/>
      <c r="V62" s="2"/>
      <c r="W62" s="3"/>
      <c r="X62" s="18" t="s">
        <v>484</v>
      </c>
      <c r="Y62" s="2"/>
      <c r="Z62" s="2"/>
      <c r="AA62" s="2"/>
      <c r="AB62" s="2"/>
      <c r="AC62" s="2"/>
      <c r="AD62" s="3"/>
      <c r="AE62" s="19" t="s">
        <v>213</v>
      </c>
      <c r="AF62" s="3"/>
      <c r="AG62" s="22" t="s">
        <v>63</v>
      </c>
      <c r="AH62" s="2"/>
      <c r="AI62" s="3"/>
      <c r="AJ62" s="23"/>
      <c r="AK62" s="2"/>
      <c r="AL62" s="3"/>
      <c r="AM62" s="22" t="s">
        <v>271</v>
      </c>
      <c r="AN62" s="2"/>
      <c r="AO62" s="3"/>
      <c r="AP62" s="24">
        <v>46171</v>
      </c>
      <c r="AQ62" s="2"/>
      <c r="AR62" s="3"/>
      <c r="AS62" s="19"/>
      <c r="AT62" s="2"/>
      <c r="AU62" s="3"/>
      <c r="AV62" s="19" t="s">
        <v>63</v>
      </c>
      <c r="AW62" s="2"/>
      <c r="AX62" s="3"/>
      <c r="AY62" s="19"/>
      <c r="AZ62" s="2"/>
      <c r="BA62" s="3"/>
      <c r="BB62" s="19" t="s">
        <v>272</v>
      </c>
      <c r="BC62" s="2"/>
      <c r="BD62" s="3"/>
      <c r="BE62" s="21">
        <v>46237</v>
      </c>
      <c r="BF62" s="2"/>
      <c r="BG62" s="3"/>
      <c r="BH62" s="19"/>
      <c r="BI62" s="2"/>
      <c r="BJ62" s="3"/>
      <c r="BK62" s="18" t="s">
        <v>485</v>
      </c>
      <c r="BL62" s="2"/>
      <c r="BM62" s="2"/>
      <c r="BN62" s="2"/>
      <c r="BO62" s="2"/>
      <c r="BP62" s="2"/>
      <c r="BQ62" s="3"/>
    </row>
    <row r="63" ht="399.75" customHeight="1" spans="1:69">
      <c r="A63" s="17">
        <v>45</v>
      </c>
      <c r="B63" s="18" t="s">
        <v>486</v>
      </c>
      <c r="C63" s="2"/>
      <c r="D63" s="3"/>
      <c r="E63" s="18" t="s">
        <v>487</v>
      </c>
      <c r="F63" s="2"/>
      <c r="G63" s="2"/>
      <c r="H63" s="2"/>
      <c r="I63" s="3"/>
      <c r="J63" s="18" t="s">
        <v>488</v>
      </c>
      <c r="K63" s="2"/>
      <c r="L63" s="2"/>
      <c r="M63" s="2"/>
      <c r="N63" s="2"/>
      <c r="O63" s="2"/>
      <c r="P63" s="3"/>
      <c r="Q63" s="18" t="s">
        <v>489</v>
      </c>
      <c r="R63" s="2"/>
      <c r="S63" s="2"/>
      <c r="T63" s="2"/>
      <c r="U63" s="2"/>
      <c r="V63" s="2"/>
      <c r="W63" s="3"/>
      <c r="X63" s="18" t="s">
        <v>490</v>
      </c>
      <c r="Y63" s="2"/>
      <c r="Z63" s="2"/>
      <c r="AA63" s="2"/>
      <c r="AB63" s="2"/>
      <c r="AC63" s="2"/>
      <c r="AD63" s="3"/>
      <c r="AE63" s="19" t="s">
        <v>213</v>
      </c>
      <c r="AF63" s="3"/>
      <c r="AG63" s="22" t="s">
        <v>63</v>
      </c>
      <c r="AH63" s="2"/>
      <c r="AI63" s="3"/>
      <c r="AJ63" s="23"/>
      <c r="AK63" s="2"/>
      <c r="AL63" s="3"/>
      <c r="AM63" s="22" t="s">
        <v>271</v>
      </c>
      <c r="AN63" s="2"/>
      <c r="AO63" s="3"/>
      <c r="AP63" s="24">
        <v>46171</v>
      </c>
      <c r="AQ63" s="2"/>
      <c r="AR63" s="3"/>
      <c r="AS63" s="19"/>
      <c r="AT63" s="2"/>
      <c r="AU63" s="3"/>
      <c r="AV63" s="19" t="s">
        <v>63</v>
      </c>
      <c r="AW63" s="2"/>
      <c r="AX63" s="3"/>
      <c r="AY63" s="19"/>
      <c r="AZ63" s="2"/>
      <c r="BA63" s="3"/>
      <c r="BB63" s="19" t="s">
        <v>272</v>
      </c>
      <c r="BC63" s="2"/>
      <c r="BD63" s="3"/>
      <c r="BE63" s="21">
        <v>46237</v>
      </c>
      <c r="BF63" s="2"/>
      <c r="BG63" s="3"/>
      <c r="BH63" s="19"/>
      <c r="BI63" s="2"/>
      <c r="BJ63" s="3"/>
      <c r="BK63" s="18"/>
      <c r="BL63" s="2"/>
      <c r="BM63" s="2"/>
      <c r="BN63" s="2"/>
      <c r="BO63" s="2"/>
      <c r="BP63" s="2"/>
      <c r="BQ63" s="3"/>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38">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A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A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A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A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A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E13:AE17 AE19:AE24 AE26:AE28 AE30:AE37 AE39:AE48 AE50:AE55 AE57:AE63">
      <formula1>"N,A,B"</formula1>
    </dataValidation>
    <dataValidation type="list" allowBlank="1" sqref="AG13:AG17 AG19:AG24 AG26:AG28 AG30:AG37 AG39:AG48 AG50:AG55 AG57:AG63 AV13:AV17 AV19:AV24 AV26:AV28 AV30:AV37 AV39:AV48 AV50:AV55 AV57:AV63">
      <formula1>"合格,不合格,未テスト,N/A"</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2026-05-22T03:27:00Z</dcterms:created>
  <dcterms:modified xsi:type="dcterms:W3CDTF">2026-08-28T10:35:10Z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784075B17E37452F9A6DD4C8B00F7A53_12</vt:lpwstr>
  </property>
  <property fmtid="{D5CDD505-2E9C-101B-9397-08002B2CF9AE}" pid="3" name="KSOProductBuildVer">
    <vt:lpwstr>1033-12.1.0.28032</vt:lpwstr>
  </property>
  <property fmtid="{D5CDD505-2E9C-101B-9397-08002B2CF9AE}" pid="4" name="CalculationRule">
    <vt:i4>0</vt:i4>
  </property>
</Properties>
</file>