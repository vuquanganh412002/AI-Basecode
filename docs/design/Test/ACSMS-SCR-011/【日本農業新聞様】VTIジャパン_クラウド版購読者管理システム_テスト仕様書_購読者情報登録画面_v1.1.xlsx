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1580" activeTab="5"/>
  </bookViews>
  <sheets>
    <sheet name="表紙" sheetId="1" r:id="rId1"/>
    <sheet name="変更履歴" sheetId="2" r:id="rId2"/>
    <sheet name="概要" sheetId="3" r:id="rId3"/>
    <sheet name="テスト報告書" sheetId="4" r:id="rId4"/>
    <sheet name="テスト観点" sheetId="5" r:id="rId5"/>
    <sheet name="機能"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<sst xmlns="http://schemas.openxmlformats.org/spreadsheetml/2006/main" count="943" uniqueCount="516">
  <si>
    <t>クラウド版購読者管理システム</t>
  </si>
  <si>
    <t>購読者情報登録画面</t>
  </si>
  <si>
    <t>版1.0</t>
  </si>
  <si>
    <t>フォーマットコード</t>
  </si>
  <si>
    <t>16-BM/PM/VTI</t>
  </si>
  <si>
    <t>フォーマットバージョン</t>
  </si>
  <si>
    <t>1.0</t>
  </si>
  <si>
    <t>発行日</t>
  </si>
  <si>
    <t>2026/06/03</t>
  </si>
  <si>
    <t>項番</t>
  </si>
  <si>
    <t>バージョン</t>
  </si>
  <si>
    <t>担当者</t>
  </si>
  <si>
    <t>変更内容</t>
  </si>
  <si>
    <t>確認者</t>
  </si>
  <si>
    <t>承認者</t>
  </si>
  <si>
    <t>2026-06-03</t>
  </si>
  <si>
    <t>Kieu Thi Diem</t>
  </si>
  <si>
    <t>Tạo mới</t>
  </si>
  <si>
    <t>Nguyen Huy Dat</t>
  </si>
  <si>
    <t>2026-08-06</t>
  </si>
  <si>
    <t>1.1</t>
  </si>
  <si>
    <t>Tran Duc Tuyen</t>
  </si>
  <si>
    <t>Đồng bộ với bản tiếng Nhật (bổ sung 7 case còn thiếu): TC-011-015-2 kiểm tra họ tên cho phép Kanji/Hiragana/Katakana/Latin, TC-011-047 luồng chỉnh sửa của bản điện tử thuần, TC-011-048 dropdown cửa hàng liên động theo loại người đọc, TC-011-049 sửa phương thức thanh toán và 4 trường tài khoản trước khi duyệt (#56524), TC-011-050 4 trường phụ thuộc của thuộc tính người đọc, TC-011-051 kiểm tra trùng email xuyên JA (#56568), TC-011-052 vùng nơi giao báo hiển thị với loại kết hợp.</t>
  </si>
  <si>
    <t>システム・アプリケーション名</t>
  </si>
  <si>
    <t>ドキュメント</t>
  </si>
  <si>
    <t>シート名</t>
  </si>
  <si>
    <t>作成日</t>
  </si>
  <si>
    <t>作成者</t>
  </si>
  <si>
    <t>更新日</t>
  </si>
  <si>
    <t>更新者</t>
  </si>
  <si>
    <t>テスト仕様書</t>
  </si>
  <si>
    <t>概要</t>
  </si>
  <si>
    <t>1.システム概要</t>
  </si>
  <si>
    <t>Hệ thống này là hệ thống quản lý độc giả dạng cloud dành cho JA, cung cấp các chức năng</t>
  </si>
  <si>
    <t>quản lý thông tin độc giả, quản lý lịch sử đăng ký, quản lý dữ liệu chuyển khoản tự động.</t>
  </si>
  <si>
    <t>Các chức năng chính gồm: đăng ký・cập nhật・tìm kiếm thông tin độc giả,</t>
  </si>
  <si>
    <t>quản lý lịch sử thay đổi nội dung đăng ký, tạo và quản lý dữ liệu chuyển khoản tự động,</t>
  </si>
  <si>
    <t>chức năng upload・download file, quản lý thông báo hệ thống.</t>
  </si>
  <si>
    <t>Ngoài ra còn hỗ trợ các chức năng bảo mật・kiểm toán như quản lý đăng nhập của user,</t>
  </si>
  <si>
    <t>ghi lại lịch sử đăng nhập, ghi lại log thao tác của user.</t>
  </si>
  <si>
    <t>2.資料目的</t>
  </si>
  <si>
    <t>Tài liệu mô tả chi tiết test specification được tạo mới trên hệ thống cho「購読者情報登録画面（ACSMS-SCR-011）」.</t>
  </si>
  <si>
    <t>Tài liệu này tham khảo ISTQB và IEEE 829, đáp ứng các tiêu chuẩn chất lượng sau.</t>
  </si>
  <si>
    <t>- Mỗi testcase được tạo dựa trên một kịch bản đơn lẻ (trách nhiệm đơn).</t>
  </si>
  <si>
    <t>- Các bước thực hiện được mô tả ở mức có thể tái hiện, nêu rõ test data.</t>
  </si>
  <si>
    <t>- Kết quả mong đợi phải đo lường được (nội dung message, kết quả query DB, HTTP status code, v.v.).</t>
  </si>
  <si>
    <t>3.関連資料</t>
  </si>
  <si>
    <t>No</t>
  </si>
  <si>
    <t>資料コード</t>
  </si>
  <si>
    <t>資料名</t>
  </si>
  <si>
    <t>ACSMS-SCR-011</t>
  </si>
  <si>
    <t>Tài liệu thiết kế màn hình 購読者情報登録画面</t>
  </si>
  <si>
    <t>ACSMS-SCR-011-api</t>
  </si>
  <si>
    <t>Tài liệu thiết kế API 購読者情報登録画面</t>
  </si>
  <si>
    <t>testcase-viewpoints</t>
  </si>
  <si>
    <t>Danh sách quan điểm test dùng chung toàn hệ thống</t>
  </si>
  <si>
    <t>&lt;単体/結合/システム&gt; テスト報告書</t>
  </si>
  <si>
    <t>プロジェクト名</t>
  </si>
  <si>
    <t>プロジェクトマネージャ</t>
  </si>
  <si>
    <t>#</t>
  </si>
  <si>
    <t>機能名</t>
  </si>
  <si>
    <t>テストケース分類</t>
  </si>
  <si>
    <t>合計</t>
  </si>
  <si>
    <t>テスト結果</t>
  </si>
  <si>
    <t>正常</t>
  </si>
  <si>
    <t>異常</t>
  </si>
  <si>
    <t>境界</t>
  </si>
  <si>
    <t>合格</t>
  </si>
  <si>
    <t>不合格</t>
  </si>
  <si>
    <t>未テスト</t>
  </si>
  <si>
    <t>N/A</t>
  </si>
  <si>
    <t>進捗（%）</t>
  </si>
  <si>
    <t>テスト1回目</t>
  </si>
  <si>
    <t>機能</t>
  </si>
  <si>
    <t>テスト2回目</t>
  </si>
  <si>
    <t>テスト観点</t>
  </si>
  <si>
    <t>1. テスト観点一覧</t>
  </si>
  <si>
    <t>観点ID</t>
  </si>
  <si>
    <t>大分類</t>
  </si>
  <si>
    <t>観点名</t>
  </si>
  <si>
    <t>リスク</t>
  </si>
  <si>
    <t>対象画面範囲</t>
  </si>
  <si>
    <t>TC見積</t>
  </si>
  <si>
    <t>VP-A-01</t>
  </si>
  <si>
    <t>A. セキュリティ・権限</t>
  </si>
  <si>
    <t>ロール別権限制御（RBAC gate）</t>
  </si>
  <si>
    <t>高</t>
  </si>
  <si>
    <t>約25保護画面</t>
  </si>
  <si>
    <t>VP-A-02</t>
  </si>
  <si>
    <t>データ範囲（DataScope）</t>
  </si>
  <si>
    <t>約20一覧／詳細画面</t>
  </si>
  <si>
    <t>VP-A-03</t>
  </si>
  <si>
    <t>項目レベル制限（Field-level restriction）</t>
  </si>
  <si>
    <t>5マスタ</t>
  </si>
  <si>
    <t>VP-A-04</t>
  </si>
  <si>
    <t>URL直接アクセス攻撃</t>
  </si>
  <si>
    <t>VP-A-05</t>
  </si>
  <si>
    <t>セッション失効／401 ハンドリング</t>
  </si>
  <si>
    <t>全システム</t>
  </si>
  <si>
    <t>VP-A-06</t>
  </si>
  <si>
    <t>XSS／HTML 描画安全性</t>
  </si>
  <si>
    <t>約20フォーム</t>
  </si>
  <si>
    <t>VP-A-07</t>
  </si>
  <si>
    <t>CSRF／Cookie セキュリティフラグ</t>
  </si>
  <si>
    <t>VP-A-08</t>
  </si>
  <si>
    <t>レート制限・Throttling</t>
  </si>
  <si>
    <t>中</t>
  </si>
  <si>
    <t>全公開API＋認証エンドポイント</t>
  </si>
  <si>
    <t>VP-A-09</t>
  </si>
  <si>
    <t>アカウントロック・解除運用</t>
  </si>
  <si>
    <t>SCR-001／002＋管理機能</t>
  </si>
  <si>
    <t>VP-A-10</t>
  </si>
  <si>
    <t>SQL インジェクション</t>
  </si>
  <si>
    <t>約20フォーム＋検索</t>
  </si>
  <si>
    <t>VP-B-01</t>
  </si>
  <si>
    <t>B. データバリデーション</t>
  </si>
  <si>
    <t>必須項目チェック</t>
  </si>
  <si>
    <t>約25フォーム</t>
  </si>
  <si>
    <t>VP-B-02</t>
  </si>
  <si>
    <t>最小／最大長境界</t>
  </si>
  <si>
    <t>VP-B-03</t>
  </si>
  <si>
    <t>形式正規表現（郵便／電話／コード）</t>
  </si>
  <si>
    <t>VP-B-04</t>
  </si>
  <si>
    <t>半角／全角ハンドリング</t>
  </si>
  <si>
    <t>VP-B-05</t>
  </si>
  <si>
    <t>日付ロジック</t>
  </si>
  <si>
    <t>約10日付付きフォーム</t>
  </si>
  <si>
    <t>VP-B-06</t>
  </si>
  <si>
    <t>通貨／パーセント形式</t>
  </si>
  <si>
    <t>2-3フォーム（単価）</t>
  </si>
  <si>
    <t>VP-B-07</t>
  </si>
  <si>
    <t>マスタコード（m_code）参照</t>
  </si>
  <si>
    <t>約15ドロップダウン付きフォーム</t>
  </si>
  <si>
    <t>VP-B-08</t>
  </si>
  <si>
    <t>キー重複（duplicate code）</t>
  </si>
  <si>
    <t>約10マスタ</t>
  </si>
  <si>
    <t>VP-B-09</t>
  </si>
  <si>
    <t>IME・全角入力・貼付ハンドリング</t>
  </si>
  <si>
    <t>全テキスト入力フォーム＋検索画面</t>
  </si>
  <si>
    <t>VP-C-01</t>
  </si>
  <si>
    <t>C. 業務ロジック</t>
  </si>
  <si>
    <t>CRUD 正常系 + DB 永続化</t>
  </si>
  <si>
    <t>VP-C-02</t>
  </si>
  <si>
    <t>同時編集競合</t>
  </si>
  <si>
    <t>約8編集画面</t>
  </si>
  <si>
    <t>VP-C-03</t>
  </si>
  <si>
    <t>論理削除 + FK 関連</t>
  </si>
  <si>
    <t>約6関連付きマスタ</t>
  </si>
  <si>
    <t>VP-C-04</t>
  </si>
  <si>
    <t>税込／税抜計算</t>
  </si>
  <si>
    <t>単価マスタ</t>
  </si>
  <si>
    <t>VP-C-05</t>
  </si>
  <si>
    <t>購読者種別ルール（読み取り専用）</t>
  </si>
  <si>
    <t>購読者マスタ</t>
  </si>
  <si>
    <t>VP-C-06</t>
  </si>
  <si>
    <t>Excel取込 部分成功</t>
  </si>
  <si>
    <t>2取込画面</t>
  </si>
  <si>
    <t>VP-C-07</t>
  </si>
  <si>
    <t>販売店一括置換</t>
  </si>
  <si>
    <t>一括置換</t>
  </si>
  <si>
    <t>VP-C-08</t>
  </si>
  <si>
    <t>レポート集計の正確性</t>
  </si>
  <si>
    <t>3レポート</t>
  </si>
  <si>
    <t>VP-D-01</t>
  </si>
  <si>
    <t>D. 統合・システム</t>
  </si>
  <si>
    <t>ログイン + MFA フロー</t>
  </si>
  <si>
    <t>SCR-001／002</t>
  </si>
  <si>
    <t>VP-D-02</t>
  </si>
  <si>
    <t>セッションスライディング 24h</t>
  </si>
  <si>
    <t>VP-D-03</t>
  </si>
  <si>
    <t>パスワード再発行フロー</t>
  </si>
  <si>
    <t>SCR-007</t>
  </si>
  <si>
    <t>VP-D-04</t>
  </si>
  <si>
    <t>監査ログの完全性</t>
  </si>
  <si>
    <t>VP-D-05</t>
  </si>
  <si>
    <t>ファイルアップロード S3</t>
  </si>
  <si>
    <t>SCR-022</t>
  </si>
  <si>
    <t>VP-D-06</t>
  </si>
  <si>
    <t>メール通知</t>
  </si>
  <si>
    <t>SCR-001／007／お知らせ</t>
  </si>
  <si>
    <t>VP-D-07</t>
  </si>
  <si>
    <t>外部 CSV 形式準拠</t>
  </si>
  <si>
    <t>SCR-008／009</t>
  </si>
  <si>
    <t>VP-D-08</t>
  </si>
  <si>
    <t>ネットワーク／500／タイムアウト</t>
  </si>
  <si>
    <t>VP-D-09</t>
  </si>
  <si>
    <t>パスワード再発行 旧token無効化＋クールダウン</t>
  </si>
  <si>
    <t>VP-E-01</t>
  </si>
  <si>
    <t>E. 非機能・ユーザビリティ</t>
  </si>
  <si>
    <t>レイアウト／デザイントークン</t>
  </si>
  <si>
    <t>低</t>
  </si>
  <si>
    <t>全画面</t>
  </si>
  <si>
    <t>VP-E-02</t>
  </si>
  <si>
    <t>レスポンシブ（モバイル／タブレット）</t>
  </si>
  <si>
    <t>VP-E-03</t>
  </si>
  <si>
    <t>キーボード操作</t>
  </si>
  <si>
    <t>VP-E-04</t>
  </si>
  <si>
    <t>ブラウザ互換性</t>
  </si>
  <si>
    <t>VP-E-05</t>
  </si>
  <si>
    <t>マルチタブセッション同期</t>
  </si>
  <si>
    <t>VP-E-07</t>
  </si>
  <si>
    <t>未保存変更ガード・ブラウザ離脱</t>
  </si>
  <si>
    <t>全 CRUD 編集フォーム</t>
  </si>
  <si>
    <t>VP-F-01</t>
  </si>
  <si>
    <t>F. 性能</t>
  </si>
  <si>
    <t>性能ベンチマーク</t>
  </si>
  <si>
    <t>全画面パフォーマンス計測対象</t>
  </si>
  <si>
    <t>VP-F-02</t>
  </si>
  <si>
    <t>大量データ表示性能</t>
  </si>
  <si>
    <t>一覧／レポート画面</t>
  </si>
  <si>
    <t>2. 観点ID 命名規約・グループ凡例</t>
  </si>
  <si>
    <t>グループ</t>
  </si>
  <si>
    <t>接頭辞</t>
  </si>
  <si>
    <t>名称</t>
  </si>
  <si>
    <t>観点数</t>
  </si>
  <si>
    <t>リスク傾向</t>
  </si>
  <si>
    <t>代表的なテスト観点</t>
  </si>
  <si>
    <t>A</t>
  </si>
  <si>
    <t>VP-A-NN</t>
  </si>
  <si>
    <t>セキュリティ・権限</t>
  </si>
  <si>
    <t>RBAC、DataScope、項目レベル制限、URL直接攻撃、セッション失効、XSS、CSRF、レート制限、アカウントロック、SQL注入</t>
  </si>
  <si>
    <t>B</t>
  </si>
  <si>
    <t>VP-B-NN</t>
  </si>
  <si>
    <t>データバリデーション</t>
  </si>
  <si>
    <t>必須／長さ／形式／半角全角／日付／通貨／m_code／重複キー／IME・貼付ハンドリング</t>
  </si>
  <si>
    <t>C</t>
  </si>
  <si>
    <t>VP-C-NN</t>
  </si>
  <si>
    <t>業務ロジック</t>
  </si>
  <si>
    <t>CRUD 永続化、同時編集競合、論理削除＋FK、税計算、購読者ルール、Excel 取込、レポート集計</t>
  </si>
  <si>
    <t>D</t>
  </si>
  <si>
    <t>VP-D-NN</t>
  </si>
  <si>
    <t>統合・システム</t>
  </si>
  <si>
    <t>ログイン＋MFA、セッション管理、パスワード再発行、監査ログ、S3、メール、CSV 準拠、ネットワーク／500</t>
  </si>
  <si>
    <t>E</t>
  </si>
  <si>
    <t>VP-E-NN</t>
  </si>
  <si>
    <t>非機能・ユーザビリティ</t>
  </si>
  <si>
    <t>低〜中</t>
  </si>
  <si>
    <t>レイアウト、レスポンシブ、キーボード操作、ブラウザ互換、マルチタブ同期、未保存変更ガード</t>
  </si>
  <si>
    <t>F</t>
  </si>
  <si>
    <t>VP-F-NN</t>
  </si>
  <si>
    <t>性能</t>
  </si>
  <si>
    <t>性能ベンチマーク、大量データ表示性能</t>
  </si>
  <si>
    <t>命名規約：VP-{グループ記号}-{NN} 形式（NN はグループ内の2桁連番）。新規観点は同グループの末尾に追加する（例：VP-A-11）。グループ記号はリスク軸による分類で、JSTQB FL の品質特性区分に準拠する。</t>
  </si>
  <si>
    <t>テストレベル</t>
  </si>
  <si>
    <t>結合テスト</t>
  </si>
  <si>
    <t>機能／モジュール</t>
  </si>
  <si>
    <t>ACSMS-SCR-011_購読者情報登録画面</t>
  </si>
  <si>
    <t>確認日</t>
  </si>
  <si>
    <t>テスト環境</t>
  </si>
  <si>
    <t>Windows 10/11, Chrome, Edge</t>
  </si>
  <si>
    <t>分類</t>
  </si>
  <si>
    <t>回目</t>
  </si>
  <si>
    <t>境界値</t>
  </si>
  <si>
    <t>1回目</t>
  </si>
  <si>
    <t>2回目</t>
  </si>
  <si>
    <t>要件ID</t>
  </si>
  <si>
    <t>説明</t>
  </si>
  <si>
    <t>前提条件</t>
  </si>
  <si>
    <t>ステップ／手順</t>
  </si>
  <si>
    <t>期待結果／アウトプット</t>
  </si>
  <si>
    <t>種類</t>
  </si>
  <si>
    <t>テスト1回目の結果</t>
  </si>
  <si>
    <t>テスト2回目の結果</t>
  </si>
  <si>
    <t>備考</t>
  </si>
  <si>
    <t>結果</t>
  </si>
  <si>
    <t>実績／
アウトプット</t>
  </si>
  <si>
    <t>確認日付
（MM/DD）</t>
  </si>
  <si>
    <t>バグID</t>
  </si>
  <si>
    <t>Kiểm soát quyền truy cập (Access Control)</t>
  </si>
  <si>
    <t>ACSMS-TC-011-001</t>
  </si>
  <si>
    <t>User chưa xác thực truy cập màn hình đăng ký thông tin độc giả bị cấm</t>
  </si>
  <si>
    <t>・Chưa đăng nhập (không có session Cookie, hoặc đã hết hạn)</t>
  </si>
  <si>
    <r>
      <rPr>
        <b/>
        <sz val="10"/>
        <color rgb="FF000000"/>
        <rFont val="メイリオ"/>
        <charset val="134"/>
      </rPr>
      <t xml:space="preserve">ステップ1：
</t>
    </r>
    <r>
      <rPr>
        <sz val="10"/>
        <color rgb="FF000000"/>
        <rFont val="メイリオ"/>
        <charset val="134"/>
      </rPr>
      <t xml:space="preserve">Nhập `/dokusya/create` vào thanh địa chỉ trình duyệt, truy cập trực tiếp
</t>
    </r>
    <r>
      <rPr>
        <b/>
        <sz val="10"/>
        <color rgb="FF000000"/>
        <rFont val="メイリオ"/>
        <charset val="134"/>
      </rPr>
      <t xml:space="preserve">ステップ2：
</t>
    </r>
    <r>
      <rPr>
        <sz val="10"/>
        <color rgb="FF000000"/>
        <rFont val="メイリオ"/>
        <charset val="134"/>
      </rPr>
      <t>Gọi trực tiếp GET `/api/v1/dokusya/1` qua tab Network của DevTools</t>
    </r>
  </si>
  <si>
    <r>
      <rPr>
        <b/>
        <sz val="10"/>
        <color rgb="FF000000"/>
        <rFont val="メイリオ"/>
        <charset val="134"/>
      </rPr>
      <t xml:space="preserve">ステップ1：
</t>
    </r>
    <r>
      <rPr>
        <sz val="10"/>
        <color rgb="FF000000"/>
        <rFont val="メイリオ"/>
        <charset val="134"/>
      </rPr>
      <t xml:space="preserve">Màn hình đăng ký thông tin độc giả không được hiển thị, chuyển về `/login` (query `?redirect=/dokusya/create` được gắn thêm)
</t>
    </r>
    <r>
      <rPr>
        <b/>
        <sz val="10"/>
        <color rgb="FF000000"/>
        <rFont val="メイリオ"/>
        <charset val="134"/>
      </rPr>
      <t xml:space="preserve">ステップ2：
</t>
    </r>
    <r>
      <rPr>
        <sz val="10"/>
        <color rgb="FF000000"/>
        <rFont val="メイリオ"/>
        <charset val="134"/>
      </rPr>
      <t xml:space="preserve">Trả về HTTP 401 (`error_code: UNAUTHORIZED`, message `セッションが切れました。再度ログインしてください。`)
</t>
    </r>
    <r>
      <rPr>
        <b/>
        <sz val="10"/>
        <color rgb="FF000000"/>
        <rFont val="メイリオ"/>
        <charset val="134"/>
      </rPr>
      <t xml:space="preserve">補足：
</t>
    </r>
    <r>
      <rPr>
        <sz val="10"/>
        <color rgb="FF000000"/>
        <rFont val="メイリオ"/>
        <charset val="134"/>
      </rPr>
      <t xml:space="preserve">・Màn hình đăng ký thông tin độc giả là màn hình bắt buộc xác thực, khi chưa xác thực sẽ được router guard phía frontend dẫn về màn hình đăng nhập
</t>
    </r>
    <r>
      <rPr>
        <sz val="10"/>
        <color rgb="FF000000"/>
        <rFont val="メイリオ"/>
        <charset val="134"/>
      </rPr>
      <t>・Phía backend SessionAuthGuard cũng trả về 401</t>
    </r>
  </si>
  <si>
    <t>diem.kieuthi</t>
  </si>
  <si>
    <t>anh.vuquang</t>
  </si>
  <si>
    <t>ACSMS-TC-011-002</t>
  </si>
  <si>
    <t>NICHINO_ADMIN truy cập màn hình đăng ký thông tin độc giả bị cấm</t>
  </si>
  <si>
    <t>・role: NICHINO_ADMIN
・Đã đăng nhập + đã xác thực MFA
・Không có quyền「dokusya.create」「dokusya.view」「dokusya.update」</t>
  </si>
  <si>
    <r>
      <rPr>
        <b/>
        <sz val="10"/>
        <color rgb="FF000000"/>
        <rFont val="メイリオ"/>
        <charset val="134"/>
      </rPr>
      <t xml:space="preserve">ステップ1：
</t>
    </r>
    <r>
      <rPr>
        <sz val="10"/>
        <color rgb="FF000000"/>
        <rFont val="メイリオ"/>
        <charset val="134"/>
      </rPr>
      <t xml:space="preserve">Mở màn hình menu, xác nhận menu quản lý độc giả không hiển thị
</t>
    </r>
    <r>
      <rPr>
        <b/>
        <sz val="10"/>
        <color rgb="FF000000"/>
        <rFont val="メイリオ"/>
        <charset val="134"/>
      </rPr>
      <t xml:space="preserve">ステップ2：
</t>
    </r>
    <r>
      <rPr>
        <sz val="10"/>
        <color rgb="FF000000"/>
        <rFont val="メイリオ"/>
        <charset val="134"/>
      </rPr>
      <t xml:space="preserve">Nhập `/dokusya/create` vào thanh địa chỉ trình duyệt, truy cập trực tiếp
</t>
    </r>
    <r>
      <rPr>
        <b/>
        <sz val="10"/>
        <color rgb="FF000000"/>
        <rFont val="メイリオ"/>
        <charset val="134"/>
      </rPr>
      <t xml:space="preserve">ステップ3：
</t>
    </r>
    <r>
      <rPr>
        <sz val="10"/>
        <color rgb="FF000000"/>
        <rFont val="メイリオ"/>
        <charset val="134"/>
      </rPr>
      <t xml:space="preserve">Gửi POST `/api/v1/dokusya` với request body hợp lệ qua tab Network của DevTools
</t>
    </r>
    <r>
      <rPr>
        <b/>
        <sz val="10"/>
        <color rgb="FF000000"/>
        <rFont val="メイリオ"/>
        <charset val="134"/>
      </rPr>
      <t xml:space="preserve">ステップ4：
</t>
    </r>
    <r>
      <rPr>
        <sz val="10"/>
        <color rgb="FF000000"/>
        <rFont val="メイリオ"/>
        <charset val="134"/>
      </rPr>
      <t xml:space="preserve">Chạy query sau trong DB và xác nhận log
</t>
    </r>
    <r>
      <rPr>
        <sz val="10"/>
        <color rgb="FF000000"/>
        <rFont val="メイリオ"/>
        <charset val="134"/>
      </rPr>
      <t xml:space="preserve">```sql
</t>
    </r>
    <r>
      <rPr>
        <sz val="10"/>
        <color rgb="FF000000"/>
        <rFont val="メイリオ"/>
        <charset val="134"/>
      </rPr>
      <t xml:space="preserve">SELECT * FROM t_log
</t>
    </r>
    <r>
      <rPr>
        <sz val="10"/>
        <color rgb="FF000000"/>
        <rFont val="メイリオ"/>
        <charset val="134"/>
      </rPr>
      <t xml:space="preserve">WHERE result_status = 2
</t>
    </r>
    <r>
      <rPr>
        <sz val="10"/>
        <color rgb="FF000000"/>
        <rFont val="メイリオ"/>
        <charset val="134"/>
      </rPr>
      <t xml:space="preserve">AND target_table = 't_dokusya'
</t>
    </r>
    <r>
      <rPr>
        <sz val="10"/>
        <color rgb="FF000000"/>
        <rFont val="メイリオ"/>
        <charset val="134"/>
      </rPr>
      <t xml:space="preserve">ORDER BY log_datetime DESC
</t>
    </r>
    <r>
      <rPr>
        <sz val="10"/>
        <color rgb="FF000000"/>
        <rFont val="メイリオ"/>
        <charset val="134"/>
      </rPr>
      <t xml:space="preserve">LIMIT 1;
</t>
    </r>
    <r>
      <rPr>
        <sz val="10"/>
        <color rgb="FF000000"/>
        <rFont val="メイリオ"/>
        <charset val="134"/>
      </rPr>
      <t>```</t>
    </r>
  </si>
  <si>
    <r>
      <rPr>
        <b/>
        <sz val="10"/>
        <color rgb="FF000000"/>
        <rFont val="メイリオ"/>
        <charset val="134"/>
      </rPr>
      <t xml:space="preserve">ステップ1：
</t>
    </r>
    <r>
      <rPr>
        <sz val="10"/>
        <color rgb="FF000000"/>
        <rFont val="メイリオ"/>
        <charset val="134"/>
      </rPr>
      <t xml:space="preserve">Menu quản lý độc giả không hiển thị
</t>
    </r>
    <r>
      <rPr>
        <b/>
        <sz val="10"/>
        <color rgb="FF000000"/>
        <rFont val="メイリオ"/>
        <charset val="134"/>
      </rPr>
      <t xml:space="preserve">ステップ2：
</t>
    </r>
    <r>
      <rPr>
        <sz val="10"/>
        <color rgb="FF000000"/>
        <rFont val="メイリオ"/>
        <charset val="134"/>
      </rPr>
      <t xml:space="preserve">Toast `アクセス権がありません。` được hiển thị, và chuyển về `/dashboard`
</t>
    </r>
    <r>
      <rPr>
        <b/>
        <sz val="10"/>
        <color rgb="FF000000"/>
        <rFont val="メイリオ"/>
        <charset val="134"/>
      </rPr>
      <t xml:space="preserve">ステップ3：
</t>
    </r>
    <r>
      <rPr>
        <sz val="10"/>
        <color rgb="FF000000"/>
        <rFont val="メイリオ"/>
        <charset val="134"/>
      </rPr>
      <t xml:space="preserve">Trả về HTTP 403 (`error_code: FORBIDDEN`, message `この画面へのアクセス権限がありません。`)
</t>
    </r>
    <r>
      <rPr>
        <b/>
        <sz val="10"/>
        <color rgb="FF000000"/>
        <rFont val="メイリオ"/>
        <charset val="134"/>
      </rPr>
      <t xml:space="preserve">ステップ4：
</t>
    </r>
    <r>
      <rPr>
        <sz val="10"/>
        <color rgb="FF000000"/>
        <rFont val="メイリオ"/>
        <charset val="134"/>
      </rPr>
      <t xml:space="preserve">・Dữ liệu mới không được đăng ký vào t_dokusya
</t>
    </r>
    <r>
      <rPr>
        <sz val="10"/>
        <color rgb="FF000000"/>
        <rFont val="メイリオ"/>
        <charset val="134"/>
      </rPr>
      <t xml:space="preserve">・User không có quyền không thể access
</t>
    </r>
    <r>
      <rPr>
        <b/>
        <sz val="10"/>
        <color rgb="FF000000"/>
        <rFont val="メイリオ"/>
        <charset val="134"/>
      </rPr>
      <t xml:space="preserve">補足：
</t>
    </r>
    <r>
      <rPr>
        <sz val="10"/>
        <color rgb="FF000000"/>
        <rFont val="メイリオ"/>
        <charset val="134"/>
      </rPr>
      <t xml:space="preserve">・Cả 3 lớp menu phía frontend, router guard phía frontend, API guard phía backend đều kiểm soát truy cập
</t>
    </r>
    <r>
      <rPr>
        <sz val="10"/>
        <color rgb="FF000000"/>
        <rFont val="メイリオ"/>
        <charset val="134"/>
      </rPr>
      <t>・Theo ma trận quyền `account_concept.md`, NICHINO_ADMIN với quản lý độc giả là ×</t>
    </r>
  </si>
  <si>
    <t>ACSMS-TC-011-003</t>
  </si>
  <si>
    <t>NICHINO_STAFF truy cập màn hình đăng ký thông tin độc giả bị cấm</t>
  </si>
  <si>
    <t>・role: NICHINO_STAFF
・Đã đăng nhập + đã xác thực MFA
・Không có quyền「dokusya.create」「dokusya.view」「dokusya.update」</t>
  </si>
  <si>
    <r>
      <rPr>
        <b/>
        <sz val="10"/>
        <color rgb="FF000000"/>
        <rFont val="游ゴシック"/>
        <charset val="134"/>
      </rPr>
      <t xml:space="preserve">ステップ1：
</t>
    </r>
    <r>
      <rPr>
        <sz val="10"/>
        <color rgb="FF000000"/>
        <rFont val="游ゴシック"/>
        <charset val="134"/>
      </rPr>
      <t xml:space="preserve">Nhập `/dokusya/create` vào thanh địa chỉ trình duyệt, truy cập trực tiếp
</t>
    </r>
    <r>
      <rPr>
        <b/>
        <sz val="10"/>
        <color rgb="FF000000"/>
        <rFont val="游ゴシック"/>
        <charset val="134"/>
      </rPr>
      <t xml:space="preserve">ステップ2：
</t>
    </r>
    <r>
      <rPr>
        <sz val="10"/>
        <color rgb="FF000000"/>
        <rFont val="游ゴシック"/>
        <charset val="134"/>
      </rPr>
      <t xml:space="preserve">Gọi trực tiếp GET `/api/v1/dokusya/1` qua tab Network của DevTools
</t>
    </r>
    <r>
      <rPr>
        <b/>
        <sz val="10"/>
        <color rgb="FF000000"/>
        <rFont val="游ゴシック"/>
        <charset val="134"/>
      </rPr>
      <t xml:space="preserve">ステップ3：
</t>
    </r>
    <r>
      <rPr>
        <sz val="10"/>
        <color rgb="FF000000"/>
        <rFont val="游ゴシック"/>
        <charset val="134"/>
      </rPr>
      <t>Gửi POST `/api/v1/dokusya` với request body hợp lệ qua tab Network của DevTools</t>
    </r>
  </si>
  <si>
    <r>
      <rPr>
        <b/>
        <sz val="10"/>
        <color rgb="FF000000"/>
        <rFont val="メイリオ"/>
        <charset val="134"/>
      </rPr>
      <t xml:space="preserve">ステップ1：
</t>
    </r>
    <r>
      <rPr>
        <sz val="10"/>
        <color rgb="FF000000"/>
        <rFont val="メイリオ"/>
        <charset val="134"/>
      </rPr>
      <t xml:space="preserve">Toast `アクセス権がありません。` được hiển thị, và chuyển về `/dashboard`
</t>
    </r>
    <r>
      <rPr>
        <b/>
        <sz val="10"/>
        <color rgb="FF000000"/>
        <rFont val="メイリオ"/>
        <charset val="134"/>
      </rPr>
      <t xml:space="preserve">ステップ2：
</t>
    </r>
    <r>
      <rPr>
        <sz val="10"/>
        <color rgb="FF000000"/>
        <rFont val="メイリオ"/>
        <charset val="134"/>
      </rPr>
      <t xml:space="preserve">Trả về HTTP 403 (`error_code: FORBIDDEN`, message `この画面へのアクセス権限がありません。`)
</t>
    </r>
    <r>
      <rPr>
        <b/>
        <sz val="10"/>
        <color rgb="FF000000"/>
        <rFont val="メイリオ"/>
        <charset val="134"/>
      </rPr>
      <t xml:space="preserve">ステップ3：
</t>
    </r>
    <r>
      <rPr>
        <sz val="10"/>
        <color rgb="FF000000"/>
        <rFont val="メイリオ"/>
        <charset val="134"/>
      </rPr>
      <t xml:space="preserve">Trả về HTTP 403 (`error_code: FORBIDDEN`, message `この画面へのアクセス権限がありません。`)
</t>
    </r>
    <r>
      <rPr>
        <b/>
        <sz val="10"/>
        <color rgb="FF000000"/>
        <rFont val="メイリオ"/>
        <charset val="134"/>
      </rPr>
      <t xml:space="preserve">補足：
</t>
    </r>
    <r>
      <rPr>
        <sz val="10"/>
        <color rgb="FF000000"/>
        <rFont val="メイリオ"/>
        <charset val="134"/>
      </rPr>
      <t xml:space="preserve">・Bản thân NICHINO_STAFF không có `dokusya.create` / `dokusya.view` / `dokusya.update` nên không thể sử dụng trực tiếp màn hình này
</t>
    </r>
    <r>
      <rPr>
        <sz val="10"/>
        <color rgb="FF000000"/>
        <rFont val="メイリオ"/>
        <charset val="134"/>
      </rPr>
      <t>・Khi NICHINO_STAFF nhập thay nhà bán thì thao tác bằng cách mượn account của JA, truy cập trực tiếp màn hình này nằm ngoài phạm vi quyền</t>
    </r>
  </si>
  <si>
    <t>ACSMS-TC-011-004</t>
  </si>
  <si>
    <t>CHUOKAI đăng ký・tham chiếu độc giả (scope tự trung ương hội)</t>
  </si>
  <si>
    <t>・role: CHUOKAI（chuokai-001 所属, ja_id=100）
・Có quyền「dokusya.create」「dokusya.view」「dokusya.update」
・Tồn tại độc giả của JA thuộc trung ương hội mình (ja_id=100)
・Tồn tại độc giả của JA thuộc trung ương hội khác (ja_id=200)</t>
  </si>
  <si>
    <r>
      <rPr>
        <b/>
        <sz val="10"/>
        <color rgb="FF000000"/>
        <rFont val="游ゴシック"/>
        <charset val="134"/>
      </rPr>
      <t xml:space="preserve">ステップ1：
</t>
    </r>
    <r>
      <rPr>
        <sz val="10"/>
        <color rgb="FF000000"/>
        <rFont val="游ゴシック"/>
        <charset val="134"/>
      </rPr>
      <t xml:space="preserve">Sau khi đăng nhập, mở màn hình đăng ký thông tin độc giả (chế độ tạo mới)
</t>
    </r>
    <r>
      <rPr>
        <b/>
        <sz val="10"/>
        <color rgb="FF000000"/>
        <rFont val="游ゴシック"/>
        <charset val="134"/>
      </rPr>
      <t xml:space="preserve">ステップ2：
</t>
    </r>
    <r>
      <rPr>
        <sz val="10"/>
        <color rgb="FF000000"/>
        <rFont val="游ゴシック"/>
        <charset val="134"/>
      </rPr>
      <t xml:space="preserve">Xác nhận các lựa chọn trong dropdown chi nhánh quản lý・nhà bán
</t>
    </r>
    <r>
      <rPr>
        <b/>
        <sz val="10"/>
        <color rgb="FF000000"/>
        <rFont val="游ゴシック"/>
        <charset val="134"/>
      </rPr>
      <t xml:space="preserve">ステップ3：
</t>
    </r>
    <r>
      <rPr>
        <sz val="10"/>
        <color rgb="FF000000"/>
        <rFont val="游ゴシック"/>
        <charset val="134"/>
      </rPr>
      <t xml:space="preserve">Lấy độc giả của JA thuộc trung ương hội mình (ja_id=100) bằng GET `/api/v1/dokusya/{dokusya_id}`
</t>
    </r>
    <r>
      <rPr>
        <b/>
        <sz val="10"/>
        <color rgb="FF000000"/>
        <rFont val="游ゴシック"/>
        <charset val="134"/>
      </rPr>
      <t xml:space="preserve">ステップ4：
</t>
    </r>
    <r>
      <rPr>
        <sz val="10"/>
        <color rgb="FF000000"/>
        <rFont val="游ゴシック"/>
        <charset val="134"/>
      </rPr>
      <t>Gọi GET `/api/v1/dokusya/{他中央会dokusya_id}` với ID độc giả của JA thuộc trung ương hội khác (ja_id=200)</t>
    </r>
  </si>
  <si>
    <r>
      <rPr>
        <b/>
        <sz val="10"/>
        <color rgb="FF000000"/>
        <rFont val="メイリオ"/>
        <charset val="134"/>
      </rPr>
      <t xml:space="preserve">ステップ1：
</t>
    </r>
    <r>
      <rPr>
        <sz val="10"/>
        <color rgb="FF000000"/>
        <rFont val="メイリオ"/>
        <charset val="134"/>
      </rPr>
      <t xml:space="preserve">Màn hình đăng ký thông tin độc giả được hiển thị
</t>
    </r>
    <r>
      <rPr>
        <b/>
        <sz val="10"/>
        <color rgb="FF000000"/>
        <rFont val="メイリオ"/>
        <charset val="134"/>
      </rPr>
      <t xml:space="preserve">ステップ2：
</t>
    </r>
    <r>
      <rPr>
        <sz val="10"/>
        <color rgb="FF000000"/>
        <rFont val="メイリオ"/>
        <charset val="134"/>
      </rPr>
      <t xml:space="preserve">Chỉ chi nhánh quản lý・nhà bán thuộc trung ương hội mình được hiển thị trong lựa chọn
</t>
    </r>
    <r>
      <rPr>
        <b/>
        <sz val="10"/>
        <color rgb="FF000000"/>
        <rFont val="メイリオ"/>
        <charset val="134"/>
      </rPr>
      <t xml:space="preserve">ステップ3：
</t>
    </r>
    <r>
      <rPr>
        <sz val="10"/>
        <color rgb="FF000000"/>
        <rFont val="メイリオ"/>
        <charset val="134"/>
      </rPr>
      <t xml:space="preserve">Trả về HTTP 200 (lấy được dữ liệu độc giả của JA thuộc trung ương hội mình)
</t>
    </r>
    <r>
      <rPr>
        <b/>
        <sz val="10"/>
        <color rgb="FF000000"/>
        <rFont val="メイリオ"/>
        <charset val="134"/>
      </rPr>
      <t xml:space="preserve">ステップ4：
</t>
    </r>
    <r>
      <rPr>
        <sz val="10"/>
        <color rgb="FF000000"/>
        <rFont val="メイリオ"/>
        <charset val="134"/>
      </rPr>
      <t xml:space="preserve">Trả về HTTP 404 (`error_code: NOT_FOUND`, message `指定された購読者が見つかりません。`) (record của trung ương hội khác bị ẩn sự tồn tại)
</t>
    </r>
    <r>
      <rPr>
        <b/>
        <sz val="10"/>
        <color rgb="FF000000"/>
        <rFont val="メイリオ"/>
        <charset val="134"/>
      </rPr>
      <t xml:space="preserve">補足：
</t>
    </r>
    <r>
      <rPr>
        <sz val="10"/>
        <color rgb="FF000000"/>
        <rFont val="メイリオ"/>
        <charset val="134"/>
      </rPr>
      <t xml:space="preserve">・CHUOKAI chỉ có thể tham chiếu・đăng ký trong phạm vi tự trung ương hội (vận hành không tham chiếu trực tiếp thông tin cá nhân độc giả của JA quản lý, nhưng scope trên hệ thống giới hạn ở JA thuộc trung ương hội mình)
</t>
    </r>
    <r>
      <rPr>
        <sz val="10"/>
        <color rgb="FF000000"/>
        <rFont val="メイリオ"/>
        <charset val="134"/>
      </rPr>
      <t>・Vi phạm DataScope (truy cập tham chiếu record của trung ương hội khác) bị ẩn sự tồn tại bằng 404</t>
    </r>
  </si>
  <si>
    <t>N</t>
  </si>
  <si>
    <t>ACSMS-TC-011-005</t>
  </si>
  <si>
    <t>JA_HONTEN đăng ký・tham chiếu độc giả (scope tự JA)</t>
  </si>
  <si>
    <t>・role: JA_HONTEN（ja_id=100 所属）
・Có quyền「dokusya.create」「dokusya.view」「dokusya.update」
・Tồn tại độc giả của JA mình (ja_id=100)
・Tồn tại độc giả của JA khác (ja_id=200)</t>
  </si>
  <si>
    <r>
      <rPr>
        <b/>
        <sz val="10"/>
        <color rgb="FF000000"/>
        <rFont val="メイリオ"/>
        <charset val="134"/>
      </rPr>
      <t xml:space="preserve">ステップ1：
</t>
    </r>
    <r>
      <rPr>
        <sz val="10"/>
        <color rgb="FF000000"/>
        <rFont val="メイリオ"/>
        <charset val="134"/>
      </rPr>
      <t xml:space="preserve">Sau khi đăng nhập, mở màn hình đăng ký thông tin độc giả (chế độ tạo mới)
</t>
    </r>
    <r>
      <rPr>
        <b/>
        <sz val="10"/>
        <color rgb="FF000000"/>
        <rFont val="メイリオ"/>
        <charset val="134"/>
      </rPr>
      <t xml:space="preserve">ステップ2：
</t>
    </r>
    <r>
      <rPr>
        <sz val="10"/>
        <color rgb="FF000000"/>
        <rFont val="メイリオ"/>
        <charset val="134"/>
      </rPr>
      <t xml:space="preserve">Lấy độc giả của JA mình (ja_id=100) bằng GET `/api/v1/dokusya/{dokusya_id}`
</t>
    </r>
    <r>
      <rPr>
        <b/>
        <sz val="10"/>
        <color rgb="FF000000"/>
        <rFont val="メイリオ"/>
        <charset val="134"/>
      </rPr>
      <t xml:space="preserve">ステップ3：
</t>
    </r>
    <r>
      <rPr>
        <sz val="10"/>
        <color rgb="FF000000"/>
        <rFont val="メイリオ"/>
        <charset val="134"/>
      </rPr>
      <t xml:space="preserve">Gọi GET `/api/v1/dokusya/{他JAdokusya_id}` với ID độc giả của JA khác (ja_id=200)
</t>
    </r>
    <r>
      <rPr>
        <b/>
        <sz val="10"/>
        <color rgb="FF000000"/>
        <rFont val="メイリオ"/>
        <charset val="134"/>
      </rPr>
      <t xml:space="preserve">ステップ4：
</t>
    </r>
    <r>
      <rPr>
        <sz val="10"/>
        <color rgb="FF000000"/>
        <rFont val="メイリオ"/>
        <charset val="134"/>
      </rPr>
      <t xml:space="preserve">Chạy query sau trong DB và xác nhận scope của đối tượng lấy
</t>
    </r>
    <r>
      <rPr>
        <sz val="10"/>
        <color rgb="FF000000"/>
        <rFont val="メイリオ"/>
        <charset val="134"/>
      </rPr>
      <t xml:space="preserve">```sql
</t>
    </r>
    <r>
      <rPr>
        <sz val="10"/>
        <color rgb="FF000000"/>
        <rFont val="メイリオ"/>
        <charset val="134"/>
      </rPr>
      <t xml:space="preserve">SELECT dokusya_id, ja_id FROM t_dokusya
</t>
    </r>
    <r>
      <rPr>
        <sz val="10"/>
        <color rgb="FF000000"/>
        <rFont val="メイリオ"/>
        <charset val="134"/>
      </rPr>
      <t xml:space="preserve">WHERE dokusya_id = :dokusya_id
</t>
    </r>
    <r>
      <rPr>
        <sz val="10"/>
        <color rgb="FF000000"/>
        <rFont val="メイリオ"/>
        <charset val="134"/>
      </rPr>
      <t xml:space="preserve">AND deleted_at IS NULL;
</t>
    </r>
    <r>
      <rPr>
        <sz val="10"/>
        <color rgb="FF000000"/>
        <rFont val="メイリオ"/>
        <charset val="134"/>
      </rPr>
      <t>```</t>
    </r>
  </si>
  <si>
    <r>
      <rPr>
        <b/>
        <sz val="10"/>
        <color rgb="FF000000"/>
        <rFont val="メイリオ"/>
        <charset val="134"/>
      </rPr>
      <t xml:space="preserve">ステップ1：
</t>
    </r>
    <r>
      <rPr>
        <sz val="10"/>
        <color rgb="FF000000"/>
        <rFont val="メイリオ"/>
        <charset val="134"/>
      </rPr>
      <t xml:space="preserve">Màn hình đăng ký thông tin độc giả được hiển thị
</t>
    </r>
    <r>
      <rPr>
        <b/>
        <sz val="10"/>
        <color rgb="FF000000"/>
        <rFont val="メイリオ"/>
        <charset val="134"/>
      </rPr>
      <t xml:space="preserve">ステップ2：
</t>
    </r>
    <r>
      <rPr>
        <sz val="10"/>
        <color rgb="FF000000"/>
        <rFont val="メイリオ"/>
        <charset val="134"/>
      </rPr>
      <t xml:space="preserve">Trả về HTTP 200 (lấy được dữ liệu độc giả của JA mình (ja_id=100))
</t>
    </r>
    <r>
      <rPr>
        <b/>
        <sz val="10"/>
        <color rgb="FF000000"/>
        <rFont val="メイリオ"/>
        <charset val="134"/>
      </rPr>
      <t xml:space="preserve">ステップ3：
</t>
    </r>
    <r>
      <rPr>
        <sz val="10"/>
        <color rgb="FF000000"/>
        <rFont val="メイリオ"/>
        <charset val="134"/>
      </rPr>
      <t xml:space="preserve">Trả về HTTP 404 (`error_code: NOT_FOUND`, message `指定された購読者が見つかりません。`) (record của JA khác bị ẩn sự tồn tại)
</t>
    </r>
    <r>
      <rPr>
        <b/>
        <sz val="10"/>
        <color rgb="FF000000"/>
        <rFont val="メイリオ"/>
        <charset val="134"/>
      </rPr>
      <t xml:space="preserve">ステップ4：
</t>
    </r>
    <r>
      <rPr>
        <sz val="10"/>
        <color rgb="FF000000"/>
        <rFont val="メイリオ"/>
        <charset val="134"/>
      </rPr>
      <t xml:space="preserve">`ja_id` của record đối tượng lấy là 100 (JA mình)
</t>
    </r>
    <r>
      <rPr>
        <b/>
        <sz val="10"/>
        <color rgb="FF000000"/>
        <rFont val="メイリオ"/>
        <charset val="134"/>
      </rPr>
      <t xml:space="preserve">補足：
</t>
    </r>
    <r>
      <rPr>
        <sz val="10"/>
        <color rgb="FF000000"/>
        <rFont val="メイリオ"/>
        <charset val="134"/>
      </rPr>
      <t xml:space="preserve">・JA_HONTEN chỉ có thể tham chiếu・đăng ký trong phạm vi tự JA (`ja_id = user.ja_id`)
</t>
    </r>
    <r>
      <rPr>
        <sz val="10"/>
        <color rgb="FF000000"/>
        <rFont val="メイリオ"/>
        <charset val="134"/>
      </rPr>
      <t>・Truy cập tham chiếu record của JA khác (ja_id=200) bị ẩn sự tồn tại bằng 404</t>
    </r>
  </si>
  <si>
    <t>ACSMS-TC-011-006</t>
  </si>
  <si>
    <t>JA_KANRI_SHITEN đăng ký・tham chiếu độc giả (scope tự chi nhánh quản lý)</t>
  </si>
  <si>
    <t>・role: JA_KANRI_SHITEN（ja_id=100 / kanri_shiten_id=10 所属）
・Có quyền「dokusya.create」「dokusya.view」「dokusya.update」
・Tồn tại độc giả của chi nhánh quản lý mình (kanri_shiten_id=10)
・Tồn tại độc giả của chi nhánh quản lý khác (kanri_shiten_id=11, cùng JA)</t>
  </si>
  <si>
    <r>
      <rPr>
        <b/>
        <sz val="10"/>
        <color rgb="FF000000"/>
        <rFont val="メイリオ"/>
        <charset val="134"/>
      </rPr>
      <t xml:space="preserve">ステップ1：
</t>
    </r>
    <r>
      <rPr>
        <sz val="10"/>
        <color rgb="FF000000"/>
        <rFont val="メイリオ"/>
        <charset val="134"/>
      </rPr>
      <t xml:space="preserve">Sau khi đăng nhập, mở màn hình đăng ký thông tin độc giả (chế độ tạo mới)
</t>
    </r>
    <r>
      <rPr>
        <b/>
        <sz val="10"/>
        <color rgb="FF000000"/>
        <rFont val="メイリオ"/>
        <charset val="134"/>
      </rPr>
      <t xml:space="preserve">ステップ2：
</t>
    </r>
    <r>
      <rPr>
        <sz val="10"/>
        <color rgb="FF000000"/>
        <rFont val="メイリオ"/>
        <charset val="134"/>
      </rPr>
      <t xml:space="preserve">Lấy độc giả của chi nhánh quản lý mình (kanri_shiten_id=10) bằng GET `/api/v1/dokusya/{dokusya_id}`
</t>
    </r>
    <r>
      <rPr>
        <b/>
        <sz val="10"/>
        <color rgb="FF000000"/>
        <rFont val="メイリオ"/>
        <charset val="134"/>
      </rPr>
      <t xml:space="preserve">ステップ3：
</t>
    </r>
    <r>
      <rPr>
        <sz val="10"/>
        <color rgb="FF000000"/>
        <rFont val="メイリオ"/>
        <charset val="134"/>
      </rPr>
      <t xml:space="preserve">Gọi GET `/api/v1/dokusya/{他管理支店dokusya_id}` với ID độc giả của chi nhánh quản lý khác (kanri_shiten_id=11)
</t>
    </r>
    <r>
      <rPr>
        <b/>
        <sz val="10"/>
        <color rgb="FF000000"/>
        <rFont val="メイリオ"/>
        <charset val="134"/>
      </rPr>
      <t xml:space="preserve">ステップ4：
</t>
    </r>
    <r>
      <rPr>
        <sz val="10"/>
        <color rgb="FF000000"/>
        <rFont val="メイリオ"/>
        <charset val="134"/>
      </rPr>
      <t xml:space="preserve">Chạy query sau trong DB và xác nhận scope của đối tượng lấy
</t>
    </r>
    <r>
      <rPr>
        <sz val="10"/>
        <color rgb="FF000000"/>
        <rFont val="メイリオ"/>
        <charset val="134"/>
      </rPr>
      <t xml:space="preserve">```sql
</t>
    </r>
    <r>
      <rPr>
        <sz val="10"/>
        <color rgb="FF000000"/>
        <rFont val="メイリオ"/>
        <charset val="134"/>
      </rPr>
      <t xml:space="preserve">SELECT dokusya_id, ja_id, kanri_shiten_id FROM t_dokusya
</t>
    </r>
    <r>
      <rPr>
        <sz val="10"/>
        <color rgb="FF000000"/>
        <rFont val="メイリオ"/>
        <charset val="134"/>
      </rPr>
      <t xml:space="preserve">WHERE dokusya_id = :dokusya_id
</t>
    </r>
    <r>
      <rPr>
        <sz val="10"/>
        <color rgb="FF000000"/>
        <rFont val="メイリオ"/>
        <charset val="134"/>
      </rPr>
      <t xml:space="preserve">AND deleted_at IS NULL;
</t>
    </r>
    <r>
      <rPr>
        <sz val="10"/>
        <color rgb="FF000000"/>
        <rFont val="メイリオ"/>
        <charset val="134"/>
      </rPr>
      <t>```</t>
    </r>
  </si>
  <si>
    <r>
      <rPr>
        <b/>
        <sz val="10"/>
        <color rgb="FF000000"/>
        <rFont val="メイリオ"/>
        <charset val="134"/>
      </rPr>
      <t xml:space="preserve">ステップ1：
</t>
    </r>
    <r>
      <rPr>
        <sz val="10"/>
        <color rgb="FF000000"/>
        <rFont val="メイリオ"/>
        <charset val="134"/>
      </rPr>
      <t xml:space="preserve">Màn hình đăng ký thông tin độc giả được hiển thị
</t>
    </r>
    <r>
      <rPr>
        <b/>
        <sz val="10"/>
        <color rgb="FF000000"/>
        <rFont val="メイリオ"/>
        <charset val="134"/>
      </rPr>
      <t xml:space="preserve">ステップ2：
</t>
    </r>
    <r>
      <rPr>
        <sz val="10"/>
        <color rgb="FF000000"/>
        <rFont val="メイリオ"/>
        <charset val="134"/>
      </rPr>
      <t xml:space="preserve">Trả về HTTP 200 (lấy được dữ liệu độc giả của chi nhánh quản lý mình (kanri_shiten_id=10))
</t>
    </r>
    <r>
      <rPr>
        <b/>
        <sz val="10"/>
        <color rgb="FF000000"/>
        <rFont val="メイリオ"/>
        <charset val="134"/>
      </rPr>
      <t xml:space="preserve">ステップ3：
</t>
    </r>
    <r>
      <rPr>
        <sz val="10"/>
        <color rgb="FF000000"/>
        <rFont val="メイリオ"/>
        <charset val="134"/>
      </rPr>
      <t xml:space="preserve">Trả về HTTP 404 (`error_code: NOT_FOUND`, message `指定された購読者が見つかりません。`) (record của chi nhánh quản lý khác bị ẩn sự tồn tại)
</t>
    </r>
    <r>
      <rPr>
        <b/>
        <sz val="10"/>
        <color rgb="FF000000"/>
        <rFont val="メイリオ"/>
        <charset val="134"/>
      </rPr>
      <t xml:space="preserve">ステップ4：
</t>
    </r>
    <r>
      <rPr>
        <sz val="10"/>
        <color rgb="FF000000"/>
        <rFont val="メイリオ"/>
        <charset val="134"/>
      </rPr>
      <t xml:space="preserve">`ja_id` của record đối tượng lấy là 100 và `kanri_shiten_id` là 10
</t>
    </r>
    <r>
      <rPr>
        <b/>
        <sz val="10"/>
        <color rgb="FF000000"/>
        <rFont val="メイリオ"/>
        <charset val="134"/>
      </rPr>
      <t xml:space="preserve">補足：
</t>
    </r>
    <r>
      <rPr>
        <sz val="10"/>
        <color rgb="FF000000"/>
        <rFont val="メイリオ"/>
        <charset val="134"/>
      </rPr>
      <t xml:space="preserve">・JA_KANRI_SHITEN chỉ có thể tham chiếu・đăng ký trong phạm vi tự JA và tự chi nhánh quản lý (`ja_id = user.ja_id AND kanri_shiten_id = user.kanri_shiten_id`)
</t>
    </r>
    <r>
      <rPr>
        <sz val="10"/>
        <color rgb="FF000000"/>
        <rFont val="メイリオ"/>
        <charset val="134"/>
      </rPr>
      <t>・Truy cập tham chiếu record của chi nhánh quản lý khác (kanri_shiten_id=11) bị ẩn sự tồn tại bằng 404</t>
    </r>
  </si>
  <si>
    <t>(なし)
---</t>
  </si>
  <si>
    <t>Hiển thị màn hình (Layout &amp; Rendering)</t>
  </si>
  <si>
    <t>ACSMS-TC-011-007</t>
  </si>
  <si>
    <t>Layout tổng thể chế độ tạo mới khớp với thiết kế</t>
  </si>
  <si>
    <t>・role: JA_HONTEN（ja_id=100 所属）
・Trình duyệt: Chrome (latest), độ phân giải 1920×1080</t>
  </si>
  <si>
    <r>
      <rPr>
        <b/>
        <sz val="10"/>
        <color rgb="FF000000"/>
        <rFont val="メイリオ"/>
        <charset val="134"/>
      </rPr>
      <t xml:space="preserve">ステップ1：
</t>
    </r>
    <r>
      <rPr>
        <sz val="10"/>
        <color rgb="FF000000"/>
        <rFont val="メイリオ"/>
        <charset val="134"/>
      </rPr>
      <t xml:space="preserve">Sau khi đăng nhập, mở màn hình đăng ký thông tin độc giả (chế độ tạo mới)
</t>
    </r>
    <r>
      <rPr>
        <b/>
        <sz val="10"/>
        <color rgb="FF000000"/>
        <rFont val="メイリオ"/>
        <charset val="134"/>
      </rPr>
      <t xml:space="preserve">ステップ2：
</t>
    </r>
    <r>
      <rPr>
        <sz val="10"/>
        <color rgb="FF000000"/>
        <rFont val="メイリオ"/>
        <charset val="134"/>
      </rPr>
      <t xml:space="preserve">Đặt cạnh nhau tài liệu thiết kế (screen-design.md / index.html) và màn hình để so sánh
</t>
    </r>
    <r>
      <rPr>
        <b/>
        <sz val="10"/>
        <color rgb="FF000000"/>
        <rFont val="メイリオ"/>
        <charset val="134"/>
      </rPr>
      <t xml:space="preserve">ステップ3：
</t>
    </r>
    <r>
      <rPr>
        <sz val="10"/>
        <color rgb="FF000000"/>
        <rFont val="メイリオ"/>
        <charset val="134"/>
      </rPr>
      <t>Xác nhận bố trí từng section (基本情報・管理情報・購読者氏名・購読者情報・配達先情報・販売店郵送区分・支払方法・購読者層分類・購読期間・その他) và hiển thị từng項目</t>
    </r>
  </si>
  <si>
    <r>
      <rPr>
        <b/>
        <sz val="10"/>
        <color rgb="FF000000"/>
        <rFont val="メイリオ"/>
        <charset val="134"/>
      </rPr>
      <t xml:space="preserve">ステップ1：
</t>
    </r>
    <r>
      <rPr>
        <sz val="10"/>
        <color rgb="FF000000"/>
        <rFont val="メイリオ"/>
        <charset val="134"/>
      </rPr>
      <t xml:space="preserve">Màn hình đăng ký thông tin độc giả được hiển thị
</t>
    </r>
    <r>
      <rPr>
        <b/>
        <sz val="10"/>
        <color rgb="FF000000"/>
        <rFont val="メイリオ"/>
        <charset val="134"/>
      </rPr>
      <t xml:space="preserve">ステップ2：
</t>
    </r>
    <r>
      <rPr>
        <sz val="10"/>
        <color rgb="FF000000"/>
        <rFont val="メイリオ"/>
        <charset val="134"/>
      </rPr>
      <t xml:space="preserve">Màu nền, font, cỡ font, padding/margin, màu button, style card đều khớp với thiết kế
</t>
    </r>
    <r>
      <rPr>
        <b/>
        <sz val="10"/>
        <color rgb="FF000000"/>
        <rFont val="メイリオ"/>
        <charset val="134"/>
      </rPr>
      <t xml:space="preserve">ステップ3：
</t>
    </r>
    <r>
      <rPr>
        <sz val="10"/>
        <color rgb="FF000000"/>
        <rFont val="メイリオ"/>
        <charset val="134"/>
      </rPr>
      <t xml:space="preserve">Từng section・từng項目 được bố trí đúng theo thiết kế
</t>
    </r>
    <r>
      <rPr>
        <b/>
        <sz val="10"/>
        <color rgb="FF000000"/>
        <rFont val="メイリオ"/>
        <charset val="134"/>
      </rPr>
      <t xml:space="preserve">補足：
</t>
    </r>
    <r>
      <rPr>
        <sz val="10"/>
        <color rgb="FF000000"/>
        <rFont val="メイリオ"/>
        <charset val="134"/>
      </rPr>
      <t xml:space="preserve">・Ở chế độ tạo mới, 電子版読者種別 (denshi_dokusya_shubetsu)・履歴No (rireki_no)・ID (dokusya_rireki_id) bị ẩn
</t>
    </r>
    <r>
      <rPr>
        <sz val="10"/>
        <color rgb="FF000000"/>
        <rFont val="メイリオ"/>
        <charset val="134"/>
      </rPr>
      <t>・design tokens (`design-tokens.ts`) được áp dụng (không có màu hardcode)</t>
    </r>
  </si>
  <si>
    <t>ACSMS-TC-011-008</t>
  </si>
  <si>
    <t>Hiển thị header・breadcrumb</t>
  </si>
  <si>
    <t>・role: JA_HONTEN（ja_id=100 所属）
・Đã đăng nhập + đã xác thực MFA</t>
  </si>
  <si>
    <r>
      <rPr>
        <b/>
        <sz val="10"/>
        <color rgb="FF000000"/>
        <rFont val="メイリオ"/>
        <charset val="134"/>
      </rPr>
      <t xml:space="preserve">ステップ1：
</t>
    </r>
    <r>
      <rPr>
        <sz val="10"/>
        <color rgb="FF000000"/>
        <rFont val="メイリオ"/>
        <charset val="134"/>
      </rPr>
      <t xml:space="preserve">Xác nhận tiêu đề header phía trên màn hình và danh sách breadcrumb
</t>
    </r>
    <r>
      <rPr>
        <b/>
        <sz val="10"/>
        <color rgb="FF000000"/>
        <rFont val="メイリオ"/>
        <charset val="134"/>
      </rPr>
      <t xml:space="preserve">ステップ2：
</t>
    </r>
    <r>
      <rPr>
        <sz val="10"/>
        <color rgb="FF000000"/>
        <rFont val="メイリオ"/>
        <charset val="134"/>
      </rPr>
      <t>Click node giữa của breadcrumb (購読者明細検索)</t>
    </r>
  </si>
  <si>
    <r>
      <rPr>
        <b/>
        <sz val="10"/>
        <color rgb="FF000000"/>
        <rFont val="メイリオ"/>
        <charset val="134"/>
      </rPr>
      <t xml:space="preserve">ステップ1：
</t>
    </r>
    <r>
      <rPr>
        <sz val="10"/>
        <color rgb="FF000000"/>
        <rFont val="メイリオ"/>
        <charset val="134"/>
      </rPr>
      <t xml:space="preserve">Header hiển thị「購読者情報登録画面」, breadcrumb hiển thị「ホーム &gt; 購読者明細検索 &gt; 購読者情報登録画面」
</t>
    </r>
    <r>
      <rPr>
        <b/>
        <sz val="10"/>
        <color rgb="FF000000"/>
        <rFont val="メイリオ"/>
        <charset val="134"/>
      </rPr>
      <t xml:space="preserve">ステップ2：
</t>
    </r>
    <r>
      <rPr>
        <sz val="10"/>
        <color rgb="FF000000"/>
        <rFont val="メイリオ"/>
        <charset val="134"/>
      </rPr>
      <t xml:space="preserve">Chuyển về màn hình 購読者明細検索
</t>
    </r>
    <r>
      <rPr>
        <b/>
        <sz val="10"/>
        <color rgb="FF000000"/>
        <rFont val="メイリオ"/>
        <charset val="134"/>
      </rPr>
      <t xml:space="preserve">補足：
</t>
    </r>
    <r>
      <rPr>
        <sz val="10"/>
        <color rgb="FF000000"/>
        <rFont val="メイリオ"/>
        <charset val="134"/>
      </rPr>
      <t xml:space="preserve">・Node giữa của breadcrumb (購読者明細検索) là link có thể click
</t>
    </r>
    <r>
      <rPr>
        <sz val="10"/>
        <color rgb="FF000000"/>
        <rFont val="メイリオ"/>
        <charset val="134"/>
      </rPr>
      <t>・Trang hiện tại (購読者情報登録画面) không phải là link</t>
    </r>
  </si>
  <si>
    <t>ACSMS-TC-011-009</t>
  </si>
  <si>
    <t>Chuyển đổi hiển thị vùng nhập địa chỉ giao・tài khoản theo loại độc giả・phương thức thanh toán</t>
  </si>
  <si>
    <t>・role: JA_HONTEN（ja_id=100 所属）
・Đang mở màn hình đăng ký thông tin độc giả (chế độ tạo mới)</t>
  </si>
  <si>
    <r>
      <rPr>
        <b/>
        <sz val="10"/>
        <color rgb="FF000000"/>
        <rFont val="メイリオ"/>
        <charset val="134"/>
      </rPr>
      <t xml:space="preserve">ステップ1：
</t>
    </r>
    <r>
      <rPr>
        <sz val="10"/>
        <color rgb="FF000000"/>
        <rFont val="メイリオ"/>
        <charset val="134"/>
      </rPr>
      <t xml:space="preserve">Chọn「電子版」ở loại độc giả (dokusya_shubetsu)
</t>
    </r>
    <r>
      <rPr>
        <b/>
        <sz val="10"/>
        <color rgb="FF000000"/>
        <rFont val="メイリオ"/>
        <charset val="134"/>
      </rPr>
      <t xml:space="preserve">ステップ2：
</t>
    </r>
    <r>
      <rPr>
        <sz val="10"/>
        <color rgb="FF000000"/>
        <rFont val="メイリオ"/>
        <charset val="134"/>
      </rPr>
      <t xml:space="preserve">Chọn lại「紙版」ở loại độc giả, và chọn「口座引落」ở phương thức thanh toán (shiharai_hoho)
</t>
    </r>
    <r>
      <rPr>
        <b/>
        <sz val="10"/>
        <color rgb="FF000000"/>
        <rFont val="メイリオ"/>
        <charset val="134"/>
      </rPr>
      <t xml:space="preserve">ステップ3：
</t>
    </r>
    <r>
      <rPr>
        <sz val="10"/>
        <color rgb="FF000000"/>
        <rFont val="メイリオ"/>
        <charset val="134"/>
      </rPr>
      <t>Đổi phương thức thanh toán sang「現金集金」</t>
    </r>
  </si>
  <si>
    <r>
      <rPr>
        <b/>
        <sz val="10"/>
        <color rgb="FF000000"/>
        <rFont val="游ゴシック"/>
        <charset val="134"/>
      </rPr>
      <t xml:space="preserve">ステップ1：
</t>
    </r>
    <r>
      <rPr>
        <sz val="10"/>
        <color rgb="FF000000"/>
        <rFont val="游ゴシック"/>
        <charset val="134"/>
      </rPr>
      <t xml:space="preserve">Vùng thông tin địa chỉ giao hiển thị ở trạng thái disable, memail (email) hiển thị là項目 bắt buộc
</t>
    </r>
    <r>
      <rPr>
        <b/>
        <sz val="10"/>
        <color rgb="FF000000"/>
        <rFont val="游ゴシック"/>
        <charset val="134"/>
      </rPr>
      <t xml:space="preserve">ステップ2：
</t>
    </r>
    <r>
      <rPr>
        <sz val="10"/>
        <color rgb="FF000000"/>
        <rFont val="游ゴシック"/>
        <charset val="134"/>
      </rPr>
      <t xml:space="preserve">Vùng thông tin địa chỉ giao hiển thị ở trạng thái active, 引落口座支店 (bank_shiten_id)・引落口座貯金種目 (hikiotoshi_yokin_shubetsu)・引落口座番号 (hikiotoshi_koza_no)・引落口座名義 (hikiotoshi_koza_meigi) hiển thị là項目 bắt buộc
</t>
    </r>
    <r>
      <rPr>
        <b/>
        <sz val="10"/>
        <color rgb="FF000000"/>
        <rFont val="游ゴシック"/>
        <charset val="134"/>
      </rPr>
      <t xml:space="preserve">ステップ3：
</t>
    </r>
    <r>
      <rPr>
        <sz val="10"/>
        <color rgb="FF000000"/>
        <rFont val="游ゴシック"/>
        <charset val="134"/>
      </rPr>
      <t xml:space="preserve">引落口座支店・引落口座貯金種目・引落口座番号・引落口座名義 hiển thị là項目 tùy chọn
</t>
    </r>
    <r>
      <rPr>
        <b/>
        <sz val="10"/>
        <color rgb="FF000000"/>
        <rFont val="游ゴシック"/>
        <charset val="134"/>
      </rPr>
      <t xml:space="preserve">補足：
</t>
    </r>
    <r>
      <rPr>
        <sz val="10"/>
        <color rgb="FF000000"/>
        <rFont val="游ゴシック"/>
        <charset val="134"/>
      </rPr>
      <t>・Khi loại độc giả là「電子版」thì vô hiệu hóa vùng thông tin địa chỉ giao (機能定義 §7.5)
・Chỉ khi phương thức thanh toán=口座引落 (shiharai_hoho=1) thì cụm tài khoản rút mới bắt buộc (機能定義 §10.1)</t>
    </r>
  </si>
  <si>
    <t>ACSMS-TC-011-010</t>
  </si>
  <si>
    <t>Hiển thị cố định số phần đăng ký khi chọn loại thủ tục「解約」</t>
  </si>
  <si>
    <r>
      <rPr>
        <b/>
        <sz val="10"/>
        <color rgb="FF000000"/>
        <rFont val="游ゴシック"/>
        <charset val="134"/>
      </rPr>
      <t xml:space="preserve">ステップ1：
</t>
    </r>
    <r>
      <rPr>
        <sz val="10"/>
        <color rgb="FF000000"/>
        <rFont val="游ゴシック"/>
        <charset val="134"/>
      </rPr>
      <t xml:space="preserve">Chọn「解約」ở loại thủ tục (tetsuzuki_shurui)
</t>
    </r>
    <r>
      <rPr>
        <b/>
        <sz val="10"/>
        <color rgb="FF000000"/>
        <rFont val="游ゴシック"/>
        <charset val="134"/>
      </rPr>
      <t xml:space="preserve">ステップ2：
</t>
    </r>
    <r>
      <rPr>
        <sz val="10"/>
        <color rgb="FF000000"/>
        <rFont val="游ゴシック"/>
        <charset val="134"/>
      </rPr>
      <t xml:space="preserve">Xác nhận hiển thị・khả năng nhập của số phần đăng ký (dokusya_busu) và ngày dừng đăng ký (dokusya_chushi_date)
</t>
    </r>
    <r>
      <rPr>
        <b/>
        <sz val="10"/>
        <color rgb="FF000000"/>
        <rFont val="游ゴシック"/>
        <charset val="134"/>
      </rPr>
      <t xml:space="preserve">ステップ3：
</t>
    </r>
    <r>
      <rPr>
        <sz val="10"/>
        <color rgb="FF000000"/>
        <rFont val="游ゴシック"/>
        <charset val="134"/>
      </rPr>
      <t>Chọn lại「新規」ở loại thủ tục, xác nhận khả năng nhập của số phần đăng ký</t>
    </r>
  </si>
  <si>
    <r>
      <rPr>
        <b/>
        <sz val="10"/>
        <color rgb="FF000000"/>
        <rFont val="メイリオ"/>
        <charset val="134"/>
      </rPr>
      <t xml:space="preserve">ステップ1：
</t>
    </r>
    <r>
      <rPr>
        <sz val="10"/>
        <color rgb="FF000000"/>
        <rFont val="メイリオ"/>
        <charset val="134"/>
      </rPr>
      <t xml:space="preserve">Loại thủ tục được chọn là「解約」
</t>
    </r>
    <r>
      <rPr>
        <b/>
        <sz val="10"/>
        <color rgb="FF000000"/>
        <rFont val="メイリオ"/>
        <charset val="134"/>
      </rPr>
      <t xml:space="preserve">ステップ2：
</t>
    </r>
    <r>
      <rPr>
        <sz val="10"/>
        <color rgb="FF000000"/>
        <rFont val="メイリオ"/>
        <charset val="134"/>
      </rPr>
      <t xml:space="preserve">Số phần đăng ký (dokusya_busu) hiển thị là 0 và read-only, ngày dừng đăng ký (dokusya_chushi_date) hiển thị có thể nhập
</t>
    </r>
    <r>
      <rPr>
        <b/>
        <sz val="10"/>
        <color rgb="FF000000"/>
        <rFont val="メイリオ"/>
        <charset val="134"/>
      </rPr>
      <t xml:space="preserve">ステップ3：
</t>
    </r>
    <r>
      <rPr>
        <sz val="10"/>
        <color rgb="FF000000"/>
        <rFont val="メイリオ"/>
        <charset val="134"/>
      </rPr>
      <t xml:space="preserve">Số phần đăng ký (dokusya_busu) hiển thị có thể nhập
</t>
    </r>
    <r>
      <rPr>
        <b/>
        <sz val="10"/>
        <color rgb="FF000000"/>
        <rFont val="メイリオ"/>
        <charset val="134"/>
      </rPr>
      <t xml:space="preserve">補足：
</t>
    </r>
    <r>
      <rPr>
        <sz val="10"/>
        <color rgb="FF000000"/>
        <rFont val="メイリオ"/>
        <charset val="134"/>
      </rPr>
      <t xml:space="preserve">・Khi loại thủ tục=解約 (tetsuzuki_shurui=0) thì cố định số phần đăng ký là 0 (機能定義 §8.1)
</t>
    </r>
    <r>
      <rPr>
        <sz val="10"/>
        <color rgb="FF000000"/>
        <rFont val="メイリオ"/>
        <charset val="134"/>
      </rPr>
      <t>・Khi đăng ký giải ước thì kaiyaku_flg=TRUE được thiết lập</t>
    </r>
  </si>
  <si>
    <t>Logic hủy độc giả được thực hiện do batch</t>
  </si>
  <si>
    <t>ACSMS-TC-011-011</t>
  </si>
  <si>
    <t>Vô hiệu hóa và clear項目 địa chỉ giao khi check「購読者情報と同じ」</t>
  </si>
  <si>
    <t>・role: JA_HONTEN（ja_id=100 所属）
・Loại độc giả=紙版
・Đã nhập giá trị vào các項目 địa chỉ giao (haitatsu_yubin_no v.v.)</t>
  </si>
  <si>
    <r>
      <rPr>
        <b/>
        <sz val="10"/>
        <color rgb="FF000000"/>
        <rFont val="メイリオ"/>
        <charset val="134"/>
      </rPr>
      <t xml:space="preserve">ステップ1：
</t>
    </r>
    <r>
      <rPr>
        <sz val="10"/>
        <color rgb="FF000000"/>
        <rFont val="メイリオ"/>
        <charset val="134"/>
      </rPr>
      <t xml:space="preserve">Check checkbox「購読者情報と同じ」(haitatsu_same_flg)
</t>
    </r>
    <r>
      <rPr>
        <b/>
        <sz val="10"/>
        <color rgb="FF000000"/>
        <rFont val="メイリオ"/>
        <charset val="134"/>
      </rPr>
      <t xml:space="preserve">ステップ2：
</t>
    </r>
    <r>
      <rPr>
        <sz val="10"/>
        <color rgb="FF000000"/>
        <rFont val="メイリオ"/>
        <charset val="134"/>
      </rPr>
      <t xml:space="preserve">Xác nhận hiển thị・giá trị của 配達先郵便番号 (haitatsu_yubin_no)・配達先都道府県 (haitatsu_todofuken_code)・配達先苗字漢字 (haitatsu_shimei_sei) v.v.
</t>
    </r>
    <r>
      <rPr>
        <b/>
        <sz val="10"/>
        <color rgb="FF000000"/>
        <rFont val="メイリオ"/>
        <charset val="134"/>
      </rPr>
      <t xml:space="preserve">ステップ3：
</t>
    </r>
    <r>
      <rPr>
        <sz val="10"/>
        <color rgb="FF000000"/>
        <rFont val="メイリオ"/>
        <charset val="134"/>
      </rPr>
      <t>Bỏ check, xác nhận trạng thái active của từng項目 địa chỉ giao</t>
    </r>
  </si>
  <si>
    <r>
      <rPr>
        <b/>
        <sz val="10"/>
        <color rgb="FF000000"/>
        <rFont val="游ゴシック"/>
        <charset val="134"/>
      </rPr>
      <t xml:space="preserve">ステップ1：
</t>
    </r>
    <r>
      <rPr>
        <sz val="10"/>
        <color rgb="FF000000"/>
        <rFont val="游ゴシック"/>
        <charset val="134"/>
      </rPr>
      <t xml:space="preserve">「購読者情報と同じ」ở trạng thái đã check
</t>
    </r>
    <r>
      <rPr>
        <b/>
        <sz val="10"/>
        <color rgb="FF000000"/>
        <rFont val="游ゴシック"/>
        <charset val="134"/>
      </rPr>
      <t xml:space="preserve">ステップ2：
</t>
    </r>
    <r>
      <rPr>
        <sz val="10"/>
        <color rgb="FF000000"/>
        <rFont val="游ゴシック"/>
        <charset val="134"/>
      </rPr>
      <t xml:space="preserve">Các項目 địa chỉ giao (haitatsu_yubin_no v.v.) hiển thị ở trạng thái disable, giá trị đã nhập bị clear
</t>
    </r>
    <r>
      <rPr>
        <b/>
        <sz val="10"/>
        <color rgb="FF000000"/>
        <rFont val="游ゴシック"/>
        <charset val="134"/>
      </rPr>
      <t xml:space="preserve">ステップ3：
</t>
    </r>
    <r>
      <rPr>
        <sz val="10"/>
        <color rgb="FF000000"/>
        <rFont val="游ゴシック"/>
        <charset val="134"/>
      </rPr>
      <t xml:space="preserve">Các項目 địa chỉ giao (haitatsu_yubin_no v.v.) hiển thị ở trạng thái active, 配達先郵便番号・都道府県・市町村郡・丁目番地・配達先氏名 (漢字・かな) trở thành項目 bắt buộc
</t>
    </r>
    <r>
      <rPr>
        <b/>
        <sz val="10"/>
        <color rgb="FF000000"/>
        <rFont val="游ゴシック"/>
        <charset val="134"/>
      </rPr>
      <t xml:space="preserve">補足：
</t>
    </r>
    <r>
      <rPr>
        <sz val="10"/>
        <color rgb="FF000000"/>
        <rFont val="游ゴシック"/>
        <charset val="134"/>
      </rPr>
      <t>・Khi check thì vô hiệu hóa các項目 địa chỉ giao và clear dữ liệu đã nhập (機能定義 §9.1)
・Khi không check thì 配達先郵便番号〜丁目番地 và 配達先氏名 (漢字・かな) trở thành bắt buộc (機能定義 §9.2)</t>
    </r>
  </si>
  <si>
    <t>ACSMS-TC-011-012</t>
  </si>
  <si>
    <t>Hiển thị phân loại nông dân khi chọn phân loại tầng độc giả「農業者」</t>
  </si>
  <si>
    <r>
      <rPr>
        <b/>
        <sz val="10"/>
        <color rgb="FF000000"/>
        <rFont val="メイリオ"/>
        <charset val="134"/>
      </rPr>
      <t xml:space="preserve">ステップ1：
</t>
    </r>
    <r>
      <rPr>
        <sz val="10"/>
        <color rgb="FF000000"/>
        <rFont val="メイリオ"/>
        <charset val="134"/>
      </rPr>
      <t xml:space="preserve">Check「農業者」ở phân loại tầng độc giả (dokusyaso_bunrui)
</t>
    </r>
    <r>
      <rPr>
        <b/>
        <sz val="10"/>
        <color rgb="FF000000"/>
        <rFont val="メイリオ"/>
        <charset val="134"/>
      </rPr>
      <t xml:space="preserve">ステップ2：
</t>
    </r>
    <r>
      <rPr>
        <sz val="10"/>
        <color rgb="FF000000"/>
        <rFont val="メイリオ"/>
        <charset val="134"/>
      </rPr>
      <t xml:space="preserve">Xác nhận hiển thị và lựa chọn của phân loại nông dân (nogyosya_bunrui)
</t>
    </r>
    <r>
      <rPr>
        <b/>
        <sz val="10"/>
        <color rgb="FF000000"/>
        <rFont val="メイリオ"/>
        <charset val="134"/>
      </rPr>
      <t xml:space="preserve">ステップ3：
</t>
    </r>
    <r>
      <rPr>
        <sz val="10"/>
        <color rgb="FF000000"/>
        <rFont val="メイリオ"/>
        <charset val="134"/>
      </rPr>
      <t>Bỏ check phân loại tầng độc giả「農業者」, xác nhận hiển thị và giá trị của phân loại nông dân</t>
    </r>
  </si>
  <si>
    <r>
      <rPr>
        <b/>
        <sz val="10"/>
        <color rgb="FF000000"/>
        <rFont val="メイリオ"/>
        <charset val="134"/>
      </rPr>
      <t xml:space="preserve">ステップ1：
</t>
    </r>
    <r>
      <rPr>
        <sz val="10"/>
        <color rgb="FF000000"/>
        <rFont val="メイリオ"/>
        <charset val="134"/>
      </rPr>
      <t xml:space="preserve">Phân loại tầng độc giả「農業者」ở trạng thái đã check
</t>
    </r>
    <r>
      <rPr>
        <b/>
        <sz val="10"/>
        <color rgb="FF000000"/>
        <rFont val="メイリオ"/>
        <charset val="134"/>
      </rPr>
      <t xml:space="preserve">ステップ2：
</t>
    </r>
    <r>
      <rPr>
        <sz val="10"/>
        <color rgb="FF000000"/>
        <rFont val="メイリオ"/>
        <charset val="134"/>
      </rPr>
      <t xml:space="preserve">Phân loại nông dân (nogyosya_bunrui) được hiển thị (水稲／野菜／果樹／畜産／その他)
</t>
    </r>
    <r>
      <rPr>
        <b/>
        <sz val="10"/>
        <color rgb="FF000000"/>
        <rFont val="メイリオ"/>
        <charset val="134"/>
      </rPr>
      <t xml:space="preserve">ステップ3：
</t>
    </r>
    <r>
      <rPr>
        <sz val="10"/>
        <color rgb="FF000000"/>
        <rFont val="メイリオ"/>
        <charset val="134"/>
      </rPr>
      <t xml:space="preserve">Phân loại nông dân (nogyosya_bunrui) bị ẩn, giá trị đã chọn bị clear
</t>
    </r>
    <r>
      <rPr>
        <b/>
        <sz val="10"/>
        <color rgb="FF000000"/>
        <rFont val="メイリオ"/>
        <charset val="134"/>
      </rPr>
      <t xml:space="preserve">補足：
</t>
    </r>
    <r>
      <rPr>
        <sz val="10"/>
        <color rgb="FF000000"/>
        <rFont val="メイリオ"/>
        <charset val="134"/>
      </rPr>
      <t xml:space="preserve">・Khi chọn「農業者」ở phân loại tầng độc giả thì hiển thị phân loại nông dân (機能定義 §11.1)
</t>
    </r>
    <r>
      <rPr>
        <sz val="10"/>
        <color rgb="FF000000"/>
        <rFont val="メイリオ"/>
        <charset val="134"/>
      </rPr>
      <t>・Khi không check hoặc bỏ check「農業者」thì ẩn phân loại nông dân và clear giá trị đã chọn (機能定義 §11.2)</t>
    </r>
  </si>
  <si>
    <t>ACSMS-TC-011-013</t>
  </si>
  <si>
    <t>Chế độ sửa hiển thị項目 read-only (電子版読者種別・履歴No・請求開始月)</t>
  </si>
  <si>
    <t>・role: JA_HONTEN（ja_id=100 所属）
・Tồn tại độc giả có loại độc giả=電子版 và denshi_shonin_status=1 (đã duyệt)
・Giữ dokusya_id của độc giả đối tượng</t>
  </si>
  <si>
    <r>
      <rPr>
        <b/>
        <sz val="10"/>
        <color rgb="FF000000"/>
        <rFont val="メイリオ"/>
        <charset val="134"/>
      </rPr>
      <t xml:space="preserve">ステップ1：
</t>
    </r>
    <r>
      <rPr>
        <sz val="10"/>
        <color rgb="FF000000"/>
        <rFont val="メイリオ"/>
        <charset val="134"/>
      </rPr>
      <t xml:space="preserve">Click dòng độc giả đối tượng từ danh sách màn hình 購読者明細検索, mở màn hình đăng ký thông tin độc giả ở chế độ sửa
</t>
    </r>
    <r>
      <rPr>
        <b/>
        <sz val="10"/>
        <color rgb="FF000000"/>
        <rFont val="メイリオ"/>
        <charset val="134"/>
      </rPr>
      <t xml:space="preserve">ステップ2：
</t>
    </r>
    <r>
      <rPr>
        <sz val="10"/>
        <color rgb="FF000000"/>
        <rFont val="メイリオ"/>
        <charset val="134"/>
      </rPr>
      <t xml:space="preserve">Xác nhận hiển thị・khả năng nhập của 電子版読者種別 (denshi_dokusya_shubetsu)・履歴No (rireki_no)・ID (dokusya_rireki_id)
</t>
    </r>
    <r>
      <rPr>
        <b/>
        <sz val="10"/>
        <color rgb="FF000000"/>
        <rFont val="メイリオ"/>
        <charset val="134"/>
      </rPr>
      <t xml:space="preserve">ステップ3：
</t>
    </r>
    <r>
      <rPr>
        <sz val="10"/>
        <color rgb="FF000000"/>
        <rFont val="メイリオ"/>
        <charset val="134"/>
      </rPr>
      <t>Xác nhận hiển thị・khả năng nhập của 請求開始月 (seikyu_kaishi_month)</t>
    </r>
  </si>
  <si>
    <r>
      <rPr>
        <b/>
        <sz val="10"/>
        <color rgb="FF000000"/>
        <rFont val="メイリオ"/>
        <charset val="134"/>
      </rPr>
      <t xml:space="preserve">ステップ1：
</t>
    </r>
    <r>
      <rPr>
        <sz val="10"/>
        <color rgb="FF000000"/>
        <rFont val="メイリオ"/>
        <charset val="134"/>
      </rPr>
      <t xml:space="preserve">Màn hình đăng ký thông tin độc giả được hiển thị ở chế độ sửa, dữ liệu hiện có được phản ánh vào form
</t>
    </r>
    <r>
      <rPr>
        <b/>
        <sz val="10"/>
        <color rgb="FF000000"/>
        <rFont val="メイリオ"/>
        <charset val="134"/>
      </rPr>
      <t xml:space="preserve">ステップ2：
</t>
    </r>
    <r>
      <rPr>
        <sz val="10"/>
        <color rgb="FF000000"/>
        <rFont val="メイリオ"/>
        <charset val="134"/>
      </rPr>
      <t xml:space="preserve">電子版読者種別 (denshi_dokusya_shubetsu)・履歴No (rireki_no)・ID (dokusya_rireki_id) hiển thị read-only
</t>
    </r>
    <r>
      <rPr>
        <b/>
        <sz val="10"/>
        <color rgb="FF000000"/>
        <rFont val="メイリオ"/>
        <charset val="134"/>
      </rPr>
      <t xml:space="preserve">ステップ3：
</t>
    </r>
    <r>
      <rPr>
        <sz val="10"/>
        <color rgb="FF000000"/>
        <rFont val="メイリオ"/>
        <charset val="134"/>
      </rPr>
      <t xml:space="preserve">Do loại độc giả=電子版 nên 請求開始月 (seikyu_kaishi_month) hiển thị label read-only
</t>
    </r>
    <r>
      <rPr>
        <b/>
        <sz val="10"/>
        <color rgb="FF000000"/>
        <rFont val="メイリオ"/>
        <charset val="134"/>
      </rPr>
      <t xml:space="preserve">補足：
</t>
    </r>
    <r>
      <rPr>
        <sz val="10"/>
        <color rgb="FF000000"/>
        <rFont val="メイリオ"/>
        <charset val="134"/>
      </rPr>
      <t xml:space="preserve">・電子版読者種別・履歴No・ID không thể nhập, chỉ hiển thị là項目 read-only ở chế độ sửa
</t>
    </r>
    <r>
      <rPr>
        <sz val="10"/>
        <color rgb="FF000000"/>
        <rFont val="メイリオ"/>
        <charset val="134"/>
      </rPr>
      <t>・請求開始月 hiển thị read-only khi loại độc giả=電子版 hoặc 併読 (do hệ thống quản lý độc giả bản điện tử quyết định)</t>
    </r>
  </si>
  <si>
    <t>Kiểm tra đầu vào (Input Validation)</t>
  </si>
  <si>
    <t>ACSMS-TC-011-014</t>
  </si>
  <si>
    <t>Cụm họ tên độc giả kiểm tra bắt buộc (để trống + ký tự khoảng trắng)</t>
  </si>
  <si>
    <r>
      <rPr>
        <b/>
        <sz val="10"/>
        <color rgb="FF000000"/>
        <rFont val="メイリオ"/>
        <charset val="134"/>
      </rPr>
      <t xml:space="preserve">ステップ1：
</t>
    </r>
    <r>
      <rPr>
        <sz val="10"/>
        <color rgb="FF000000"/>
        <rFont val="メイリオ"/>
        <charset val="134"/>
      </rPr>
      <t xml:space="preserve">Để trống 購読者氏名_氏 (shimei_sei)・購読者氏名_名 (shimei_mei)・購読者かな_氏 (shimei_kana_sei)・購読者かな_名 (shimei_kana_mei) rồi click button「承認・登録」
</t>
    </r>
    <r>
      <rPr>
        <b/>
        <sz val="10"/>
        <color rgb="FF000000"/>
        <rFont val="メイリオ"/>
        <charset val="134"/>
      </rPr>
      <t xml:space="preserve">ステップ2：
</t>
    </r>
    <r>
      <rPr>
        <sz val="10"/>
        <color rgb="FF000000"/>
        <rFont val="メイリオ"/>
        <charset val="134"/>
      </rPr>
      <t xml:space="preserve">Nhập chỉ ký tự khoảng trắng (`"   "`) vào 購読者氏名_氏 (shimei_sei), click lại button「承認・登録」
</t>
    </r>
    <r>
      <rPr>
        <b/>
        <sz val="10"/>
        <color rgb="FF000000"/>
        <rFont val="メイリオ"/>
        <charset val="134"/>
      </rPr>
      <t xml:space="preserve">ステップ3：
</t>
    </r>
    <r>
      <rPr>
        <sz val="10"/>
        <color rgb="FF000000"/>
        <rFont val="メイリオ"/>
        <charset val="134"/>
      </rPr>
      <t>Nhập 1 ký tự bất kỳ vào từng項目 họ tên, xác nhận hiển thị message</t>
    </r>
  </si>
  <si>
    <r>
      <rPr>
        <b/>
        <sz val="10"/>
        <color rgb="FF000000"/>
        <rFont val="メイリオ"/>
        <charset val="134"/>
      </rPr>
      <t xml:space="preserve">ステップ1：
</t>
    </r>
    <r>
      <rPr>
        <sz val="10"/>
        <color rgb="FF000000"/>
        <rFont val="メイリオ"/>
        <charset val="134"/>
      </rPr>
      <t xml:space="preserve">Lỗi required hiển thị dưới từng項目 họ tên (message `必須項目です。`)
</t>
    </r>
    <r>
      <rPr>
        <b/>
        <sz val="10"/>
        <color rgb="FF000000"/>
        <rFont val="メイリオ"/>
        <charset val="134"/>
      </rPr>
      <t xml:space="preserve">ステップ2：
</t>
    </r>
    <r>
      <rPr>
        <sz val="10"/>
        <color rgb="FF000000"/>
        <rFont val="メイリオ"/>
        <charset val="134"/>
      </rPr>
      <t xml:space="preserve">Lỗi required hiển thị dưới 購読者氏名_氏 (shimei_sei) (chỉ nhập khoảng trắng được xử lý như để trống)
</t>
    </r>
    <r>
      <rPr>
        <b/>
        <sz val="10"/>
        <color rgb="FF000000"/>
        <rFont val="メイリオ"/>
        <charset val="134"/>
      </rPr>
      <t xml:space="preserve">ステップ3：
</t>
    </r>
    <r>
      <rPr>
        <sz val="10"/>
        <color rgb="FF000000"/>
        <rFont val="メイリオ"/>
        <charset val="134"/>
      </rPr>
      <t xml:space="preserve">Lỗi required của từng項目 họ tên biến mất
</t>
    </r>
    <r>
      <rPr>
        <b/>
        <sz val="10"/>
        <color rgb="FF000000"/>
        <rFont val="メイリオ"/>
        <charset val="134"/>
      </rPr>
      <t xml:space="preserve">補足：
</t>
    </r>
    <r>
      <rPr>
        <sz val="10"/>
        <color rgb="FF000000"/>
        <rFont val="メイリオ"/>
        <charset val="134"/>
      </rPr>
      <t xml:space="preserve">・Khi không nhập項目 bắt buộc thì hiển thị message ACSMS-MSG-011-013 `必須項目です。`
</t>
    </r>
    <r>
      <rPr>
        <sz val="10"/>
        <color rgb="FF000000"/>
        <rFont val="メイリオ"/>
        <charset val="134"/>
      </rPr>
      <t>・Nhập chỉ ký tự khoảng trắng được xử lý như để trống sau khi cắt khoảng trắng trước sau</t>
    </r>
  </si>
  <si>
    <t>ACSMS-TC-011-015</t>
  </si>
  <si>
    <t>Kiểm tra hiragana toàn角 của かな độc giả</t>
  </si>
  <si>
    <r>
      <rPr>
        <b/>
        <sz val="10"/>
        <color rgb="FF000000"/>
        <rFont val="メイリオ"/>
        <charset val="134"/>
      </rPr>
      <t xml:space="preserve">ステップ1：
</t>
    </r>
    <r>
      <rPr>
        <sz val="10"/>
        <color rgb="FF000000"/>
        <rFont val="メイリオ"/>
        <charset val="134"/>
      </rPr>
      <t xml:space="preserve">Nhập ký tự latin nửa角「yamada」vào 購読者かな_氏 (shimei_kana_sei), click button「承認・登録」
</t>
    </r>
    <r>
      <rPr>
        <b/>
        <sz val="10"/>
        <color rgb="FF000000"/>
        <rFont val="メイリオ"/>
        <charset val="134"/>
      </rPr>
      <t xml:space="preserve">ステップ2：
</t>
    </r>
    <r>
      <rPr>
        <sz val="10"/>
        <color rgb="FF000000"/>
        <rFont val="メイリオ"/>
        <charset val="134"/>
      </rPr>
      <t xml:space="preserve">Nhập kanji「山田」vào 購読者かな_氏 (shimei_kana_sei), click button「承認・登録」
</t>
    </r>
    <r>
      <rPr>
        <b/>
        <sz val="10"/>
        <color rgb="FF000000"/>
        <rFont val="メイリオ"/>
        <charset val="134"/>
      </rPr>
      <t xml:space="preserve">ステップ3：
</t>
    </r>
    <r>
      <rPr>
        <sz val="10"/>
        <color rgb="FF000000"/>
        <rFont val="メイリオ"/>
        <charset val="134"/>
      </rPr>
      <t>Nhập hiragana toàn角「やまだ」vào 購読者かな_氏 (shimei_kana_sei), click button「承認・登録」</t>
    </r>
  </si>
  <si>
    <r>
      <rPr>
        <b/>
        <sz val="10"/>
        <color rgb="FF000000"/>
        <rFont val="メイリオ"/>
        <charset val="134"/>
      </rPr>
      <t xml:space="preserve">ステップ1：
</t>
    </r>
    <r>
      <rPr>
        <sz val="10"/>
        <color rgb="FF000000"/>
        <rFont val="メイリオ"/>
        <charset val="134"/>
      </rPr>
      <t xml:space="preserve">Hiển thị lỗi format (message `ひらがなで入力してください。`)
</t>
    </r>
    <r>
      <rPr>
        <b/>
        <sz val="10"/>
        <color rgb="FF000000"/>
        <rFont val="メイリオ"/>
        <charset val="134"/>
      </rPr>
      <t xml:space="preserve">ステップ2：
</t>
    </r>
    <r>
      <rPr>
        <sz val="10"/>
        <color rgb="FF000000"/>
        <rFont val="メイリオ"/>
        <charset val="134"/>
      </rPr>
      <t xml:space="preserve">Hiển thị lỗi format (message `ひらがなで入力してください。`)
</t>
    </r>
    <r>
      <rPr>
        <b/>
        <sz val="10"/>
        <color rgb="FF000000"/>
        <rFont val="メイリオ"/>
        <charset val="134"/>
      </rPr>
      <t xml:space="preserve">ステップ3：
</t>
    </r>
    <r>
      <rPr>
        <sz val="10"/>
        <color rgb="FF000000"/>
        <rFont val="メイリオ"/>
        <charset val="134"/>
      </rPr>
      <t xml:space="preserve">Không hiển thị lỗi format (hiragana toàn角 có thể nhập)
</t>
    </r>
    <r>
      <rPr>
        <b/>
        <sz val="10"/>
        <color rgb="FF000000"/>
        <rFont val="メイリオ"/>
        <charset val="134"/>
      </rPr>
      <t xml:space="preserve">補足：
</t>
    </r>
    <r>
      <rPr>
        <sz val="10"/>
        <color rgb="FF000000"/>
        <rFont val="メイリオ"/>
        <charset val="134"/>
      </rPr>
      <t xml:space="preserve">・項目 かな độc giả chỉ cho nhập hiragana toàn角 (đặc tả bản điện tử)
</t>
    </r>
    <r>
      <rPr>
        <sz val="10"/>
        <color rgb="FF000000"/>
        <rFont val="メイリオ"/>
        <charset val="134"/>
      </rPr>
      <t>・Khi format sai thì hiển thị message ACSMS-MSG-011-002 `ひらがなで入力してください。`</t>
    </r>
  </si>
  <si>
    <t>ACSMS-TC-011-015-2</t>
  </si>
  <si>
    <t>Kiểm tra họ tên người đọc cho phép nhập tất cả các kí tự (yêu cầu khách hàng 2026-07)</t>
  </si>
  <si>
    <t>ACSMS-TC-011-016</t>
  </si>
  <si>
    <t>Kiểm tra 7 chữ số mã bưu điện</t>
  </si>
  <si>
    <r>
      <rPr>
        <b/>
        <sz val="10"/>
        <color rgb="FF000000"/>
        <rFont val="メイリオ"/>
        <charset val="134"/>
      </rPr>
      <t xml:space="preserve">ステップ1：
</t>
    </r>
    <r>
      <rPr>
        <sz val="10"/>
        <color rgb="FF000000"/>
        <rFont val="メイリオ"/>
        <charset val="134"/>
      </rPr>
      <t xml:space="preserve">Nhập「123」(dưới 6 chữ số) vào mã bưu điện (yubin_no), click button「承認・登録」
</t>
    </r>
    <r>
      <rPr>
        <b/>
        <sz val="10"/>
        <color rgb="FF000000"/>
        <rFont val="メイリオ"/>
        <charset val="134"/>
      </rPr>
      <t xml:space="preserve">ステップ2：
</t>
    </r>
    <r>
      <rPr>
        <sz val="10"/>
        <color rgb="FF000000"/>
        <rFont val="メイリオ"/>
        <charset val="134"/>
      </rPr>
      <t xml:space="preserve">Nhập「123-4567」(có dấu gạch ngang) vào mã bưu điện (yubin_no), click button「承認・登録」
</t>
    </r>
    <r>
      <rPr>
        <b/>
        <sz val="10"/>
        <color rgb="FF000000"/>
        <rFont val="メイリオ"/>
        <charset val="134"/>
      </rPr>
      <t xml:space="preserve">ステップ3：
</t>
    </r>
    <r>
      <rPr>
        <sz val="10"/>
        <color rgb="FF000000"/>
        <rFont val="メイリオ"/>
        <charset val="134"/>
      </rPr>
      <t>Nhập「1234567」(7 chữ số nửa角) vào mã bưu điện (yubin_no), click button「承認・登録」</t>
    </r>
  </si>
  <si>
    <r>
      <rPr>
        <b/>
        <sz val="10"/>
        <color rgb="FF000000"/>
        <rFont val="メイリオ"/>
        <charset val="134"/>
      </rPr>
      <t xml:space="preserve">ステップ1：
</t>
    </r>
    <r>
      <rPr>
        <sz val="10"/>
        <color rgb="FF000000"/>
        <rFont val="メイリオ"/>
        <charset val="134"/>
      </rPr>
      <t xml:space="preserve">Hiển thị lỗi format (message `郵便番号は7桁で入力してください。`)
</t>
    </r>
    <r>
      <rPr>
        <b/>
        <sz val="10"/>
        <color rgb="FF000000"/>
        <rFont val="メイリオ"/>
        <charset val="134"/>
      </rPr>
      <t xml:space="preserve">ステップ2：
</t>
    </r>
    <r>
      <rPr>
        <sz val="10"/>
        <color rgb="FF000000"/>
        <rFont val="メイリオ"/>
        <charset val="134"/>
      </rPr>
      <t xml:space="preserve">Hiển thị lỗi format (không cho nhập dấu gạch ngang, message `郵便番号は7桁で入力してください。`)
</t>
    </r>
    <r>
      <rPr>
        <b/>
        <sz val="10"/>
        <color rgb="FF000000"/>
        <rFont val="メイリオ"/>
        <charset val="134"/>
      </rPr>
      <t xml:space="preserve">ステップ3：
</t>
    </r>
    <r>
      <rPr>
        <sz val="10"/>
        <color rgb="FF000000"/>
        <rFont val="メイリオ"/>
        <charset val="134"/>
      </rPr>
      <t xml:space="preserve">Không hiển thị lỗi format mã bưu điện (7 chữ số nửa角 có thể nhập)
</t>
    </r>
    <r>
      <rPr>
        <b/>
        <sz val="10"/>
        <color rgb="FF000000"/>
        <rFont val="メイリオ"/>
        <charset val="134"/>
      </rPr>
      <t xml:space="preserve">補足：
</t>
    </r>
    <r>
      <rPr>
        <sz val="10"/>
        <color rgb="FF000000"/>
        <rFont val="メイリオ"/>
        <charset val="134"/>
      </rPr>
      <t xml:space="preserve">・Mã bưu điện cố định 7 chữ số nửa角, không cho nhập dấu gạch ngang
</t>
    </r>
    <r>
      <rPr>
        <sz val="10"/>
        <color rgb="FF000000"/>
        <rFont val="メイリオ"/>
        <charset val="134"/>
      </rPr>
      <t>・Khi số chữ số sai thì hiển thị message ACSMS-MSG-011-004 `郵便番号は7桁で入力してください。`</t>
    </r>
  </si>
  <si>
    <t>ACSMS-TC-011-017</t>
  </si>
  <si>
    <t>Kiểm tra format email</t>
  </si>
  <si>
    <r>
      <rPr>
        <b/>
        <sz val="10"/>
        <color rgb="FF000000"/>
        <rFont val="游ゴシック"/>
        <charset val="134"/>
      </rPr>
      <t xml:space="preserve">ステップ1：
</t>
    </r>
    <r>
      <rPr>
        <sz val="10"/>
        <color rgb="FF000000"/>
        <rFont val="游ゴシック"/>
        <charset val="134"/>
      </rPr>
      <t xml:space="preserve">Nhập「yamada」(không có @) vào email (email), click button「承認・登録」
</t>
    </r>
    <r>
      <rPr>
        <b/>
        <sz val="10"/>
        <color rgb="FF000000"/>
        <rFont val="游ゴシック"/>
        <charset val="134"/>
      </rPr>
      <t xml:space="preserve">ステップ2：
</t>
    </r>
    <r>
      <rPr>
        <sz val="10"/>
        <color rgb="FF000000"/>
        <rFont val="游ゴシック"/>
        <charset val="134"/>
      </rPr>
      <t xml:space="preserve">Nhập「yamada@」(không có domain) vào email (email), click button「承認・登録」
</t>
    </r>
    <r>
      <rPr>
        <b/>
        <sz val="10"/>
        <color rgb="FF000000"/>
        <rFont val="游ゴシック"/>
        <charset val="134"/>
      </rPr>
      <t xml:space="preserve">ステップ3：
</t>
    </r>
    <r>
      <rPr>
        <sz val="10"/>
        <color rgb="FF000000"/>
        <rFont val="游ゴシック"/>
        <charset val="134"/>
      </rPr>
      <t>Nhập「yamada@example.com」(format đúng) vào email (email), click button「承認・登録」</t>
    </r>
  </si>
  <si>
    <r>
      <rPr>
        <b/>
        <sz val="10"/>
        <color rgb="FF000000"/>
        <rFont val="メイリオ"/>
        <charset val="134"/>
      </rPr>
      <t xml:space="preserve">ステップ1：
</t>
    </r>
    <r>
      <rPr>
        <sz val="10"/>
        <color rgb="FF000000"/>
        <rFont val="メイリオ"/>
        <charset val="134"/>
      </rPr>
      <t xml:space="preserve">Hiển thị lỗi format (message `正しいメールアドレスを入力してください。`)
</t>
    </r>
    <r>
      <rPr>
        <b/>
        <sz val="10"/>
        <color rgb="FF000000"/>
        <rFont val="メイリオ"/>
        <charset val="134"/>
      </rPr>
      <t xml:space="preserve">ステップ2：
</t>
    </r>
    <r>
      <rPr>
        <sz val="10"/>
        <color rgb="FF000000"/>
        <rFont val="メイリオ"/>
        <charset val="134"/>
      </rPr>
      <t xml:space="preserve">Hiển thị lỗi format (message `正しいメールアドレスを入力してください。`)
</t>
    </r>
    <r>
      <rPr>
        <b/>
        <sz val="10"/>
        <color rgb="FF000000"/>
        <rFont val="メイリオ"/>
        <charset val="134"/>
      </rPr>
      <t xml:space="preserve">ステップ3：
</t>
    </r>
    <r>
      <rPr>
        <sz val="10"/>
        <color rgb="FF000000"/>
        <rFont val="メイリオ"/>
        <charset val="134"/>
      </rPr>
      <t xml:space="preserve">Không hiển thị lỗi format email
</t>
    </r>
    <r>
      <rPr>
        <b/>
        <sz val="10"/>
        <color rgb="FF000000"/>
        <rFont val="メイリオ"/>
        <charset val="134"/>
      </rPr>
      <t xml:space="preserve">補足：
</t>
    </r>
    <r>
      <rPr>
        <sz val="10"/>
        <color rgb="FF000000"/>
        <rFont val="メイリオ"/>
        <charset val="134"/>
      </rPr>
      <t xml:space="preserve">・Email kiểm tra format theo RFC 5322
</t>
    </r>
    <r>
      <rPr>
        <sz val="10"/>
        <color rgb="FF000000"/>
        <rFont val="メイリオ"/>
        <charset val="134"/>
      </rPr>
      <t xml:space="preserve">・Khi format sai thì hiển thị message ACSMS-MSG-011-005 `正しいメールアドレスを入力してください。`
</t>
    </r>
    <r>
      <rPr>
        <sz val="10"/>
        <color rgb="FF000000"/>
        <rFont val="メイリオ"/>
        <charset val="134"/>
      </rPr>
      <t>・項目 email dùng `type="text"`, không dùng popup tiếng Anh mặc định của trình duyệt</t>
    </r>
  </si>
  <si>
    <t>ACSMS-TC-011-018</t>
  </si>
  <si>
    <t>Email bắt buộc có điều kiện (電子版・併読)</t>
  </si>
  <si>
    <r>
      <rPr>
        <b/>
        <sz val="10"/>
        <color rgb="FF000000"/>
        <rFont val="游ゴシック"/>
        <charset val="134"/>
      </rPr>
      <t xml:space="preserve">ステップ1：
</t>
    </r>
    <r>
      <rPr>
        <sz val="10"/>
        <color rgb="FF000000"/>
        <rFont val="游ゴシック"/>
        <charset val="134"/>
      </rPr>
      <t xml:space="preserve">Chọn「電子版」ở loại độc giả (dokusya_shubetsu), để trống email (email) rồi click button「承認・登録」
</t>
    </r>
    <r>
      <rPr>
        <b/>
        <sz val="10"/>
        <color rgb="FF000000"/>
        <rFont val="游ゴシック"/>
        <charset val="134"/>
      </rPr>
      <t xml:space="preserve">ステップ2：
</t>
    </r>
    <r>
      <rPr>
        <sz val="10"/>
        <color rgb="FF000000"/>
        <rFont val="游ゴシック"/>
        <charset val="134"/>
      </rPr>
      <t>Chọn「紙版」ở loại độc giả, để trống email, nhập các項目 bắt buộc khác rồi click button「承認・登録」</t>
    </r>
  </si>
  <si>
    <r>
      <rPr>
        <b/>
        <sz val="10"/>
        <color rgb="FF000000"/>
        <rFont val="游ゴシック"/>
        <charset val="134"/>
      </rPr>
      <t xml:space="preserve">ステップ1：
</t>
    </r>
    <r>
      <rPr>
        <sz val="10"/>
        <color rgb="FF000000"/>
        <rFont val="游ゴシック"/>
        <charset val="134"/>
      </rPr>
      <t xml:space="preserve">Lỗi required hiển thị dưới email (email) (message `必須項目です。`)
</t>
    </r>
    <r>
      <rPr>
        <b/>
        <sz val="10"/>
        <color rgb="FF000000"/>
        <rFont val="游ゴシック"/>
        <charset val="134"/>
      </rPr>
      <t xml:space="preserve">ステップ2：
</t>
    </r>
    <r>
      <rPr>
        <sz val="10"/>
        <color rgb="FF000000"/>
        <rFont val="游ゴシック"/>
        <charset val="134"/>
      </rPr>
      <t xml:space="preserve">Lỗi required của email (email) không hiển thị (trường hợp 紙版 là tùy chọn)
</t>
    </r>
    <r>
      <rPr>
        <b/>
        <sz val="10"/>
        <color rgb="FF000000"/>
        <rFont val="游ゴシック"/>
        <charset val="134"/>
      </rPr>
      <t xml:space="preserve">補足：
</t>
    </r>
    <r>
      <rPr>
        <sz val="10"/>
        <color rgb="FF000000"/>
        <rFont val="游ゴシック"/>
        <charset val="134"/>
      </rPr>
      <t>・Khi loại độc giả=電子版/併読 thì email bắt buộc (機能定義 §7.1)
・Trường hợp 紙版 thì email là tùy chọn</t>
    </r>
  </si>
  <si>
    <t>ACSMS-TC-011-019</t>
  </si>
  <si>
    <t>Cụm ngân hàng bắt buộc có điều kiện khi 口座引落</t>
  </si>
  <si>
    <t>・role: JA_HONTEN（ja_id=100 所属）
・Loại độc giả=紙版
・Đã chọn「口座引落」ở phương thức thanh toán (shiharai_hoho)</t>
  </si>
  <si>
    <r>
      <rPr>
        <b/>
        <sz val="10"/>
        <color rgb="FF000000"/>
        <rFont val="游ゴシック"/>
        <charset val="134"/>
      </rPr>
      <t xml:space="preserve">ステップ1：
</t>
    </r>
    <r>
      <rPr>
        <sz val="10"/>
        <color rgb="FF000000"/>
        <rFont val="游ゴシック"/>
        <charset val="134"/>
      </rPr>
      <t xml:space="preserve">Để trống 引落口座支店 (bank_shiten_id)・引落口座貯金種目 (hikiotoshi_yokin_shubetsu)・引落口座番号 (hikiotoshi_koza_no)・引落口座名義 (hikiotoshi_koza_meigi) rồi click button「承認・登録」
</t>
    </r>
    <r>
      <rPr>
        <b/>
        <sz val="10"/>
        <color rgb="FF000000"/>
        <rFont val="游ゴシック"/>
        <charset val="134"/>
      </rPr>
      <t xml:space="preserve">ステップ2：
</t>
    </r>
    <r>
      <rPr>
        <sz val="10"/>
        <color rgb="FF000000"/>
        <rFont val="游ゴシック"/>
        <charset val="134"/>
      </rPr>
      <t xml:space="preserve">Đổi phương thức thanh toán sang「現金集金」, để trống 4項目 trên rồi click button「承認・登録」
</t>
    </r>
    <r>
      <rPr>
        <b/>
        <sz val="10"/>
        <color rgb="FF000000"/>
        <rFont val="游ゴシック"/>
        <charset val="134"/>
      </rPr>
      <t xml:space="preserve">ステップ3：
</t>
    </r>
    <r>
      <rPr>
        <sz val="10"/>
        <color rgb="FF000000"/>
        <rFont val="游ゴシック"/>
        <charset val="134"/>
      </rPr>
      <t>Xác nhận lựa chọn của dropdown 引落口座支店</t>
    </r>
  </si>
  <si>
    <r>
      <rPr>
        <b/>
        <sz val="10"/>
        <color rgb="FF000000"/>
        <rFont val="メイリオ"/>
        <charset val="134"/>
      </rPr>
      <t xml:space="preserve">ステップ1：
</t>
    </r>
    <r>
      <rPr>
        <sz val="10"/>
        <color rgb="FF000000"/>
        <rFont val="メイリオ"/>
        <charset val="134"/>
      </rPr>
      <t xml:space="preserve">Lỗi hiển thị dưới 引落口座支店・引落口座貯金種目・引落口座番号・引落口座名義 (message `口座引落の場合、〇〇は必須です。`)
</t>
    </r>
    <r>
      <rPr>
        <b/>
        <sz val="10"/>
        <color rgb="FF000000"/>
        <rFont val="メイリオ"/>
        <charset val="134"/>
      </rPr>
      <t xml:space="preserve">ステップ2：
</t>
    </r>
    <r>
      <rPr>
        <sz val="10"/>
        <color rgb="FF000000"/>
        <rFont val="メイリオ"/>
        <charset val="134"/>
      </rPr>
      <t xml:space="preserve">Lỗi của 4項目 trên không hiển thị (phương thức thanh toán khác 口座引落 là tùy chọn)
</t>
    </r>
    <r>
      <rPr>
        <b/>
        <sz val="10"/>
        <color rgb="FF000000"/>
        <rFont val="メイリオ"/>
        <charset val="134"/>
      </rPr>
      <t xml:space="preserve">ステップ3：
</t>
    </r>
    <r>
      <rPr>
        <sz val="10"/>
        <color rgb="FF000000"/>
        <rFont val="メイリオ"/>
        <charset val="134"/>
      </rPr>
      <t xml:space="preserve">Chỉ chi nhánh có cờ chi nhánh tài chính (kinyu_shiten_flg=TRUE) được hiển thị trong lựa chọn
</t>
    </r>
    <r>
      <rPr>
        <b/>
        <sz val="10"/>
        <color rgb="FF000000"/>
        <rFont val="メイリオ"/>
        <charset val="134"/>
      </rPr>
      <t xml:space="preserve">補足：
</t>
    </r>
    <r>
      <rPr>
        <sz val="10"/>
        <color rgb="FF000000"/>
        <rFont val="メイリオ"/>
        <charset val="134"/>
      </rPr>
      <t xml:space="preserve">・Khi phương thức thanh toán=口座引落 (shiharai_hoho=1) thì cụm tài khoản rút 4項目 bắt buộc (機能定義 §10.1)
</t>
    </r>
    <r>
      <rPr>
        <sz val="10"/>
        <color rgb="FF000000"/>
        <rFont val="メイリオ"/>
        <charset val="134"/>
      </rPr>
      <t xml:space="preserve">・Lỗi bắt buộc 口座引落 hiển thị message ACSMS-MSG-011-006 `口座引落の場合、〇〇は必須です。`
</t>
    </r>
    <r>
      <rPr>
        <sz val="10"/>
        <color rgb="FF000000"/>
        <rFont val="メイリオ"/>
        <charset val="134"/>
      </rPr>
      <t>・Dropdown 引落口座支店 chỉ hiển thị những cái có `m_shiten.kinyu_shiten_flg=TRUE`</t>
    </r>
  </si>
  <si>
    <t>ACSMS-TC-011-020</t>
  </si>
  <si>
    <t>Địa chỉ giao bắt buộc có điều kiện (購読者情報と同じ chưa check)</t>
  </si>
  <si>
    <t>・role: JA_HONTEN（ja_id=100 所属）
・Loại độc giả=紙版
・「購読者情報と同じ」(haitatsu_same_flg) ở trạng thái chưa check</t>
  </si>
  <si>
    <r>
      <rPr>
        <b/>
        <sz val="10"/>
        <color rgb="FF000000"/>
        <rFont val="メイリオ"/>
        <charset val="134"/>
      </rPr>
      <t xml:space="preserve">ステップ1：
</t>
    </r>
    <r>
      <rPr>
        <sz val="10"/>
        <color rgb="FF000000"/>
        <rFont val="メイリオ"/>
        <charset val="134"/>
      </rPr>
      <t xml:space="preserve">Để trống 配達先郵便番号 (haitatsu_yubin_no)・配達先都道府県 (haitatsu_todofuken_code)・配達先市町村郡 (haitatsu_shikuchoson)・配達先丁目番地 (haitatsu_chome_banchi) rồi click button「承認・登録」
</t>
    </r>
    <r>
      <rPr>
        <b/>
        <sz val="10"/>
        <color rgb="FF000000"/>
        <rFont val="メイリオ"/>
        <charset val="134"/>
      </rPr>
      <t xml:space="preserve">ステップ2：
</t>
    </r>
    <r>
      <rPr>
        <sz val="10"/>
        <color rgb="FF000000"/>
        <rFont val="メイリオ"/>
        <charset val="134"/>
      </rPr>
      <t xml:space="preserve">Để trống 配達先苗字漢字 (haitatsu_shimei_sei)・配達先名前漢字 (haitatsu_shimei_mei)・配達先苗字かな (haitatsu_shimei_kana_sei)・配達先名前かな (haitatsu_shimei_kana_mei) rồi click button「承認・登録」
</t>
    </r>
    <r>
      <rPr>
        <b/>
        <sz val="10"/>
        <color rgb="FF000000"/>
        <rFont val="メイリオ"/>
        <charset val="134"/>
      </rPr>
      <t xml:space="preserve">ステップ3：
</t>
    </r>
    <r>
      <rPr>
        <sz val="10"/>
        <color rgb="FF000000"/>
        <rFont val="メイリオ"/>
        <charset val="134"/>
      </rPr>
      <t>Check「購読者情報と同じ」, để trống các項目 địa chỉ giao rồi click button「承認・登録」</t>
    </r>
  </si>
  <si>
    <r>
      <rPr>
        <b/>
        <sz val="10"/>
        <color rgb="FF000000"/>
        <rFont val="メイリオ"/>
        <charset val="134"/>
      </rPr>
      <t xml:space="preserve">ステップ1：
</t>
    </r>
    <r>
      <rPr>
        <sz val="10"/>
        <color rgb="FF000000"/>
        <rFont val="メイリオ"/>
        <charset val="134"/>
      </rPr>
      <t xml:space="preserve">Lỗi required hiển thị dưới 配達先郵便番号・配達先都道府県・配達先市町村郡・配達先丁目番地 (message `必須項目です。`)
</t>
    </r>
    <r>
      <rPr>
        <b/>
        <sz val="10"/>
        <color rgb="FF000000"/>
        <rFont val="メイリオ"/>
        <charset val="134"/>
      </rPr>
      <t xml:space="preserve">ステップ2：
</t>
    </r>
    <r>
      <rPr>
        <sz val="10"/>
        <color rgb="FF000000"/>
        <rFont val="メイリオ"/>
        <charset val="134"/>
      </rPr>
      <t xml:space="preserve">Lỗi required hiển thị dưới 配達先苗字漢字・配達先名前漢字・配達先苗字かな・配達先名前かな (message `必須項目です。`)
</t>
    </r>
    <r>
      <rPr>
        <b/>
        <sz val="10"/>
        <color rgb="FF000000"/>
        <rFont val="メイリオ"/>
        <charset val="134"/>
      </rPr>
      <t xml:space="preserve">ステップ3：
</t>
    </r>
    <r>
      <rPr>
        <sz val="10"/>
        <color rgb="FF000000"/>
        <rFont val="メイリオ"/>
        <charset val="134"/>
      </rPr>
      <t xml:space="preserve">Lỗi required của các項目 địa chỉ giao không hiển thị (khi check thì copy từ thông tin độc giả nên bỏ qua bắt buộc)
</t>
    </r>
    <r>
      <rPr>
        <b/>
        <sz val="10"/>
        <color rgb="FF000000"/>
        <rFont val="メイリオ"/>
        <charset val="134"/>
      </rPr>
      <t xml:space="preserve">補足：
</t>
    </r>
    <r>
      <rPr>
        <sz val="10"/>
        <color rgb="FF000000"/>
        <rFont val="メイリオ"/>
        <charset val="134"/>
      </rPr>
      <t xml:space="preserve">・Khi「購読者情報と同じ」chưa check thì 配達先郵便番号〜丁目番地 và 配達先氏名 (漢字・かな) bắt buộc (機能定義 §9.2)
</t>
    </r>
    <r>
      <rPr>
        <sz val="10"/>
        <color rgb="FF000000"/>
        <rFont val="メイリオ"/>
        <charset val="134"/>
      </rPr>
      <t>・Khi check thì copy từ thông tin độc giả lúc lưu DB (機能定義 §9.1)</t>
    </r>
  </si>
  <si>
    <t>ACSMS-TC-011-021</t>
  </si>
  <si>
    <t>Kiểm tra số ký tự tối đa 備考・kiểm tra ngày tương lai 読者情報変更適用日</t>
  </si>
  <si>
    <t>・role: JA_HONTEN（ja_id=100 所属）
・Đang mở màn hình đăng ký thông tin độc giả (chế độ tạo mới)
・Hôm nay: 2026-06-03</t>
  </si>
  <si>
    <r>
      <rPr>
        <b/>
        <sz val="10"/>
        <color rgb="FF000000"/>
        <rFont val="游ゴシック"/>
        <charset val="134"/>
      </rPr>
      <t xml:space="preserve">ステップ1：
</t>
    </r>
    <r>
      <rPr>
        <sz val="10"/>
        <color rgb="FF000000"/>
        <rFont val="游ゴシック"/>
        <charset val="134"/>
      </rPr>
      <t xml:space="preserve">Nhập 501 ký tự vào 備考 (biko), click button「承認・登録」
</t>
    </r>
    <r>
      <rPr>
        <b/>
        <sz val="10"/>
        <color rgb="FF000000"/>
        <rFont val="游ゴシック"/>
        <charset val="134"/>
      </rPr>
      <t xml:space="preserve">ステップ2：
</t>
    </r>
    <r>
      <rPr>
        <sz val="10"/>
        <color rgb="FF000000"/>
        <rFont val="游ゴシック"/>
        <charset val="134"/>
      </rPr>
      <t xml:space="preserve">Nhập 500 ký tự vào 備考 (biko), click button「承認・登録」
</t>
    </r>
    <r>
      <rPr>
        <b/>
        <sz val="10"/>
        <color rgb="FF000000"/>
        <rFont val="游ゴシック"/>
        <charset val="134"/>
      </rPr>
      <t xml:space="preserve">ステップ3：
</t>
    </r>
    <r>
      <rPr>
        <sz val="10"/>
        <color rgb="FF000000"/>
        <rFont val="游ゴシック"/>
        <charset val="134"/>
      </rPr>
      <t>Nhập ngày quá khứ (2026-06-02) vào 読者情報変更適用日 (joho_henko_tekiyo_date), click button「承認・登録」</t>
    </r>
  </si>
  <si>
    <r>
      <rPr>
        <b/>
        <sz val="10"/>
        <color rgb="FF000000"/>
        <rFont val="游ゴシック"/>
        <charset val="134"/>
      </rPr>
      <t xml:space="preserve">ステップ1：
</t>
    </r>
    <r>
      <rPr>
        <sz val="10"/>
        <color rgb="FF000000"/>
        <rFont val="游ゴシック"/>
        <charset val="134"/>
      </rPr>
      <t xml:space="preserve">Chỉ có thể nhập tối đa 500 ký tự
</t>
    </r>
    <r>
      <rPr>
        <b/>
        <sz val="10"/>
        <color rgb="FF000000"/>
        <rFont val="游ゴシック"/>
        <charset val="134"/>
      </rPr>
      <t xml:space="preserve">ステップ2：
</t>
    </r>
    <r>
      <rPr>
        <sz val="10"/>
        <color rgb="FF000000"/>
        <rFont val="游ゴシック"/>
        <charset val="134"/>
      </rPr>
      <t xml:space="preserve">Lỗi vượt quá số ký tự của 備考 không hiển thị (có thể đăng ký trong 500 ký tự)
</t>
    </r>
    <r>
      <rPr>
        <b/>
        <sz val="10"/>
        <color rgb="FF000000"/>
        <rFont val="游ゴシック"/>
        <charset val="134"/>
      </rPr>
      <t xml:space="preserve">ステップ3：
</t>
    </r>
    <r>
      <rPr>
        <sz val="10"/>
        <color rgb="FF000000"/>
        <rFont val="游ゴシック"/>
        <charset val="134"/>
      </rPr>
      <t xml:space="preserve">Lỗi hiển thị dưới 読者情報変更適用日 (chỉ cho nhập ngày tương lai)
</t>
    </r>
    <r>
      <rPr>
        <b/>
        <sz val="10"/>
        <color rgb="FF000000"/>
        <rFont val="游ゴシック"/>
        <charset val="134"/>
      </rPr>
      <t xml:space="preserve">補足：
</t>
    </r>
    <r>
      <rPr>
        <sz val="10"/>
        <color rgb="FF000000"/>
        <rFont val="游ゴシック"/>
        <charset val="134"/>
      </rPr>
      <t>・Không thể chọn ngày joho của quá khứ</t>
    </r>
  </si>
  <si>
    <t>ACSMS-TC-011-022</t>
  </si>
  <si>
    <t>Phân loại nông dân bắt buộc có điều kiện (tầng độc giả=農業者)</t>
  </si>
  <si>
    <r>
      <rPr>
        <b/>
        <sz val="10"/>
        <color rgb="FF000000"/>
        <rFont val="游ゴシック"/>
        <charset val="134"/>
      </rPr>
      <t xml:space="preserve">ステップ1：
</t>
    </r>
    <r>
      <rPr>
        <sz val="10"/>
        <color rgb="FF000000"/>
        <rFont val="游ゴシック"/>
        <charset val="134"/>
      </rPr>
      <t xml:space="preserve">Check「農業者」ở phân loại tầng độc giả (dokusyaso_bunrui), để trống phân loại nông dân (nogyosya_bunrui) rồi click button「承認・登録」
</t>
    </r>
    <r>
      <rPr>
        <b/>
        <sz val="10"/>
        <color rgb="FF000000"/>
        <rFont val="游ゴシック"/>
        <charset val="134"/>
      </rPr>
      <t xml:space="preserve">ステップ2：
</t>
    </r>
    <r>
      <rPr>
        <sz val="10"/>
        <color rgb="FF000000"/>
        <rFont val="游ゴシック"/>
        <charset val="134"/>
      </rPr>
      <t xml:space="preserve">Chọn「水稲」ở phân loại nông dân (nogyosya_bunrui), click button「承認・登録」
</t>
    </r>
    <r>
      <rPr>
        <b/>
        <sz val="10"/>
        <color rgb="FF000000"/>
        <rFont val="游ゴシック"/>
        <charset val="134"/>
      </rPr>
      <t xml:space="preserve">ステップ3：
</t>
    </r>
    <r>
      <rPr>
        <sz val="10"/>
        <color rgb="FF000000"/>
        <rFont val="游ゴシック"/>
        <charset val="134"/>
      </rPr>
      <t>Bỏ check「農業者」ở phân loại tầng độc giả, để trống phân loại nông dân rồi click button「承認・登録」</t>
    </r>
  </si>
  <si>
    <r>
      <rPr>
        <b/>
        <sz val="10"/>
        <color rgb="FF000000"/>
        <rFont val="メイリオ"/>
        <charset val="134"/>
      </rPr>
      <t xml:space="preserve">ステップ1：
</t>
    </r>
    <r>
      <rPr>
        <sz val="10"/>
        <color rgb="FF000000"/>
        <rFont val="メイリオ"/>
        <charset val="134"/>
      </rPr>
      <t xml:space="preserve">Lỗi required hiển thị dưới phân loại nông dân (nogyosya_bunrui) (message `必須項目です。`)
</t>
    </r>
    <r>
      <rPr>
        <b/>
        <sz val="10"/>
        <color rgb="FF000000"/>
        <rFont val="メイリオ"/>
        <charset val="134"/>
      </rPr>
      <t xml:space="preserve">ステップ2：
</t>
    </r>
    <r>
      <rPr>
        <sz val="10"/>
        <color rgb="FF000000"/>
        <rFont val="メイリオ"/>
        <charset val="134"/>
      </rPr>
      <t xml:space="preserve">Lỗi required của phân loại nông dân không hiển thị
</t>
    </r>
    <r>
      <rPr>
        <b/>
        <sz val="10"/>
        <color rgb="FF000000"/>
        <rFont val="メイリオ"/>
        <charset val="134"/>
      </rPr>
      <t xml:space="preserve">ステップ3：
</t>
    </r>
    <r>
      <rPr>
        <sz val="10"/>
        <color rgb="FF000000"/>
        <rFont val="メイリオ"/>
        <charset val="134"/>
      </rPr>
      <t xml:space="preserve">Lỗi required của phân loại nông dân không hiển thị (khi không chọn nông dân là tùy chọn)
</t>
    </r>
    <r>
      <rPr>
        <b/>
        <sz val="10"/>
        <color rgb="FF000000"/>
        <rFont val="メイリオ"/>
        <charset val="134"/>
      </rPr>
      <t xml:space="preserve">補足：
</t>
    </r>
    <r>
      <rPr>
        <sz val="10"/>
        <color rgb="FF000000"/>
        <rFont val="メイリオ"/>
        <charset val="134"/>
      </rPr>
      <t xml:space="preserve">・Khi chọn「農業者」ở phân loại tầng độc giả thì phân loại nông dân (nogyosya_bunrui) bắt buộc (đặc tả request parameter của API)
</t>
    </r>
    <r>
      <rPr>
        <sz val="10"/>
        <color rgb="FF000000"/>
        <rFont val="メイリオ"/>
        <charset val="134"/>
      </rPr>
      <t>・Khi không chọn nông dân thì phân loại nông dân là tùy chọn</t>
    </r>
  </si>
  <si>
    <t>Logic nghiệp vụ đăng ký (Function — Create)</t>
  </si>
  <si>
    <t>ACSMS-TC-011-023</t>
  </si>
  <si>
    <t>Đăng ký mới normal (lưu DB + tạo lịch sử + audit log)</t>
  </si>
  <si>
    <t>・role: JA_HONTEN（ja_id=100 所属）
・Đã nhập giá trị hợp lệ cho tất cả項目 bắt buộc (loại độc giả=紙版, loại thủ tục=新規, phương thức thanh toán=口座引落)</t>
  </si>
  <si>
    <t>ステップ1：
Nhập tất cả項目 bắt buộc, click button「承認・登録」
Xác nhận chuyển màn hình và message
ステップ2：
Chạy query sau trong DB, xác nhận record bản thể・lịch sử
```sql
SELECT dokusya_id, rireki_no, tetsuzuki_shurui, dokusya_busu
FROM t_dokusya
WHERE dokusya_id = :new_dokusya_id;
SELECT rireki_no, saishin_data_flg, shinki_flg, kaiyaku_flg, zougen_hokoku_flg
FROM t_dokusya_rireki
WHERE dokusya_id = :new_dokusya_id;
```
ステップ3：
Chạy query sau trong DB, xác nhận audit log
```sql
SELECT operation, result_status, target_table, ja_id
FROM t_log
WHERE target_table = 't_dokusya' AND target_id = :new_dokusya_id
ORDER BY log_datetime DESC
LIMIT 1;
```</t>
  </si>
  <si>
    <r>
      <rPr>
        <b/>
        <sz val="10"/>
        <color rgb="FF000000"/>
        <rFont val="游ゴシック"/>
        <charset val="134"/>
      </rPr>
      <t xml:space="preserve">ステップ1：
</t>
    </r>
    <r>
      <rPr>
        <sz val="10"/>
        <color rgb="FF000000"/>
        <rFont val="游ゴシック"/>
        <charset val="134"/>
      </rPr>
      <t xml:space="preserve">Trả về HTTP 201, message đăng ký thành công `登録しました。`（ACSMS-MSG-011-011）được hiển thị, chuyển về màn hình 購読者明細検索
</t>
    </r>
    <r>
      <rPr>
        <b/>
        <sz val="10"/>
        <color rgb="FF000000"/>
        <rFont val="游ゴシック"/>
        <charset val="134"/>
      </rPr>
      <t xml:space="preserve">ステップ3：
</t>
    </r>
    <r>
      <rPr>
        <sz val="10"/>
        <color rgb="FF000000"/>
        <rFont val="游ゴシック"/>
        <charset val="134"/>
      </rPr>
      <t xml:space="preserve">Record mới được đăng ký vào t_dokusya, record lịch sử (rireki_no=1, saishin_data_flg=true, shinki_flg=true, kaiyaku_flg=false, zougen_hokoku_flg=true) được đăng ký vào t_dokusya_rireki
</t>
    </r>
    <r>
      <rPr>
        <b/>
        <sz val="10"/>
        <color rgb="FF000000"/>
        <rFont val="游ゴシック"/>
        <charset val="134"/>
      </rPr>
      <t xml:space="preserve">ステップ4：
</t>
    </r>
    <r>
      <rPr>
        <sz val="10"/>
        <color rgb="FF000000"/>
        <rFont val="游ゴシック"/>
        <charset val="134"/>
      </rPr>
      <t xml:space="preserve">Record với operation=`CREATE`, result_status=1, target_table=`t_dokusya`, ja_id=100 được ghi vào t_log
</t>
    </r>
    <r>
      <rPr>
        <b/>
        <sz val="10"/>
        <color rgb="FF000000"/>
        <rFont val="游ゴシック"/>
        <charset val="134"/>
      </rPr>
      <t xml:space="preserve">補足：
</t>
    </r>
    <r>
      <rPr>
        <sz val="10"/>
        <color rgb="FF000000"/>
        <rFont val="游ゴシック"/>
        <charset val="134"/>
      </rPr>
      <t>・Tạo t_dokusya + t_dokusya_rireki trong 1 transaction (機能定義 §2.6)
・Khi phương thức thanh toán=口座引落 thì逆引き `m_shiten.jastem_toriatsukai_tenpo_code` / `jastem_tenpo_name` từ bank_shiten_id, lưu phi chuẩn hóa vào `t_dokusya.bank_branch_code` / `bank_branch_name`
・Đăng ký (ghi nghiệp vụ) và audit log được thực hiện trong một transaction duy nhất</t>
    </r>
  </si>
  <si>
    <t>ACSMS-TC-011-024</t>
  </si>
  <si>
    <t>Đăng ký mới — cố định số phần đăng ký 0 khi loại thủ tục「解約」</t>
  </si>
  <si>
    <t>・role: JA_HONTEN（ja_id=100 所属）
・Chọn loại thủ tục (tetsuzuki_shurui)=解約</t>
  </si>
  <si>
    <r>
      <rPr>
        <b/>
        <sz val="10"/>
        <color rgb="FF000000"/>
        <rFont val="游ゴシック"/>
        <charset val="134"/>
      </rPr>
      <t xml:space="preserve">ステップ1：
</t>
    </r>
    <r>
      <rPr>
        <sz val="10"/>
        <color rgb="FF000000"/>
        <rFont val="游ゴシック"/>
        <charset val="134"/>
      </rPr>
      <t xml:space="preserve">Chọn「解約」ở loại thủ tục, ở trạng thái đã nhập「5」vào số phần đăng ký (dokusya_busu) rồi click button「承認・登録」
</t>
    </r>
    <r>
      <rPr>
        <b/>
        <sz val="10"/>
        <color rgb="FF000000"/>
        <rFont val="游ゴシック"/>
        <charset val="134"/>
      </rPr>
      <t xml:space="preserve">ステップ2：
</t>
    </r>
    <r>
      <rPr>
        <sz val="10"/>
        <color rgb="FF000000"/>
        <rFont val="游ゴシック"/>
        <charset val="134"/>
      </rPr>
      <t>Chạy query sau trong DB, xác nhận số phần đăng ký và cờ giải ước
```sql
SELECT dokusya_busu FROM t_dokusya WHERE dokusya_id = :new_dokusya_id;
SELECT kaiyaku_flg, shinki_flg
FROM t_dokusya_rireki
WHERE dokusya_id = :new_dokusya_id AND saishin_data_flg = TRUE;
```</t>
    </r>
  </si>
  <si>
    <r>
      <rPr>
        <b/>
        <sz val="10"/>
        <color rgb="FF000000"/>
        <rFont val="メイリオ"/>
        <charset val="134"/>
      </rPr>
      <t xml:space="preserve">ステップ1：
</t>
    </r>
    <r>
      <rPr>
        <sz val="10"/>
        <color rgb="FF000000"/>
        <rFont val="メイリオ"/>
        <charset val="134"/>
      </rPr>
      <t xml:space="preserve">Xử lý đăng ký được thực hiện, message đăng ký thành công `登録しました。` được hiển thị
</t>
    </r>
    <r>
      <rPr>
        <b/>
        <sz val="10"/>
        <color rgb="FF000000"/>
        <rFont val="メイリオ"/>
        <charset val="134"/>
      </rPr>
      <t xml:space="preserve">ステップ2：
</t>
    </r>
    <r>
      <rPr>
        <sz val="10"/>
        <color rgb="FF000000"/>
        <rFont val="メイリオ"/>
        <charset val="134"/>
      </rPr>
      <t xml:space="preserve">dokusya_busu của t_dokusya được lưu là 0, kaiyaku_flg của t_dokusya_rireki là TRUE, shinki_flg là FALSE
</t>
    </r>
    <r>
      <rPr>
        <b/>
        <sz val="10"/>
        <color rgb="FF000000"/>
        <rFont val="メイリオ"/>
        <charset val="134"/>
      </rPr>
      <t xml:space="preserve">補足：
</t>
    </r>
    <r>
      <rPr>
        <sz val="10"/>
        <color rgb="FF000000"/>
        <rFont val="メイリオ"/>
        <charset val="134"/>
      </rPr>
      <t xml:space="preserve">・Khi đăng ký giải ước thì đặt số phần đăng ký là 0, kaiyaku_flg=TRUE (機能定義 §8.1)
</t>
    </r>
    <r>
      <rPr>
        <sz val="10"/>
        <color rgb="FF000000"/>
        <rFont val="メイリオ"/>
        <charset val="134"/>
      </rPr>
      <t>・Để chống tính phí hai lần, số phần đăng ký bị ép buộc về 0 khi giải ước</t>
    </r>
  </si>
  <si>
    <t>Thay đổi logic, nghiệp vụ này sẽ do batch thực hiện</t>
  </si>
  <si>
    <t>ACSMS-TC-011-025</t>
  </si>
  <si>
    <t>Đăng ký mới — lưu copy khi địa chỉ giao「購読者情報と同じ」</t>
  </si>
  <si>
    <t>・role: JA_HONTEN（ja_id=100 所属）
・Loại độc giả=紙版
・Check「購読者情報と同じ」(haitatsu_same_flg)</t>
  </si>
  <si>
    <r>
      <rPr>
        <b/>
        <sz val="10"/>
        <color rgb="FF000000"/>
        <rFont val="游ゴシック"/>
        <charset val="134"/>
      </rPr>
      <t xml:space="preserve">ステップ1：
</t>
    </r>
    <r>
      <rPr>
        <sz val="10"/>
        <color rgb="FF000000"/>
        <rFont val="游ゴシック"/>
        <charset val="134"/>
      </rPr>
      <t xml:space="preserve">Nhập họ tên độc giả・địa chỉ v.v., check「購読者情報と同じ」rồi click button「承認・登録」
</t>
    </r>
    <r>
      <rPr>
        <b/>
        <sz val="10"/>
        <color rgb="FF000000"/>
        <rFont val="游ゴシック"/>
        <charset val="134"/>
      </rPr>
      <t xml:space="preserve">ステップ2：
</t>
    </r>
    <r>
      <rPr>
        <sz val="10"/>
        <color rgb="FF000000"/>
        <rFont val="游ゴシック"/>
        <charset val="134"/>
      </rPr>
      <t>Chạy query sau trong DB, xác nhận thông tin địa chỉ giao
```sql
SELECT haitatsu_same_flg, haitatsu_yubin_no, haitatsu_shimei_sei
FROM t_dokusya WHERE dokusya_id = :new_dokusya_id;
```</t>
    </r>
  </si>
  <si>
    <r>
      <rPr>
        <b/>
        <sz val="10"/>
        <color rgb="FF000000"/>
        <rFont val="游ゴシック"/>
        <charset val="134"/>
      </rPr>
      <t xml:space="preserve">ステップ1：
</t>
    </r>
    <r>
      <rPr>
        <sz val="10"/>
        <color rgb="FF000000"/>
        <rFont val="游ゴシック"/>
        <charset val="134"/>
      </rPr>
      <t xml:space="preserve">Xử lý đăng ký được thực hiện, message đăng ký thành công `登録しました。` được hiển thị
</t>
    </r>
    <r>
      <rPr>
        <b/>
        <sz val="10"/>
        <color rgb="FF000000"/>
        <rFont val="游ゴシック"/>
        <charset val="134"/>
      </rPr>
      <t xml:space="preserve">ステップ2：
</t>
    </r>
    <r>
      <rPr>
        <sz val="10"/>
        <color rgb="FF000000"/>
        <rFont val="游ゴシック"/>
        <charset val="134"/>
      </rPr>
      <t xml:space="preserve">haitatsu_same_flg được lưu là true, các項目 địa chỉ giao (haitatsu_yubin_no・haitatsu_shimei_sei v.v.) có giá trị null
</t>
    </r>
    <r>
      <rPr>
        <b/>
        <sz val="10"/>
        <color rgb="FF000000"/>
        <rFont val="游ゴシック"/>
        <charset val="134"/>
      </rPr>
      <t xml:space="preserve">補足：
</t>
    </r>
    <r>
      <rPr>
        <sz val="10"/>
        <color rgb="FF000000"/>
        <rFont val="游ゴシック"/>
        <charset val="134"/>
      </rPr>
      <t>・Khi check「購読者情報と同じ」thì copy từ thông tin độc giả lúc lưu DB (機能定義 §9.1)</t>
    </r>
  </si>
  <si>
    <t>ACSMS-TC-011-026</t>
  </si>
  <si>
    <t>Đăng ký mới — validation tích hợp khi tất cả項目 chưa nhập</t>
  </si>
  <si>
    <r>
      <rPr>
        <b/>
        <sz val="10"/>
        <color rgb="FF000000"/>
        <rFont val="メイリオ"/>
        <charset val="134"/>
      </rPr>
      <t xml:space="preserve">ステップ1：
</t>
    </r>
    <r>
      <rPr>
        <sz val="10"/>
        <color rgb="FF000000"/>
        <rFont val="メイリオ"/>
        <charset val="134"/>
      </rPr>
      <t xml:space="preserve">Để trống tất cả項目 rồi click button「承認・登録」
</t>
    </r>
    <r>
      <rPr>
        <b/>
        <sz val="10"/>
        <color rgb="FF000000"/>
        <rFont val="メイリオ"/>
        <charset val="134"/>
      </rPr>
      <t xml:space="preserve">ステップ2：
</t>
    </r>
    <r>
      <rPr>
        <sz val="10"/>
        <color rgb="FF000000"/>
        <rFont val="メイリオ"/>
        <charset val="134"/>
      </rPr>
      <t>Xác nhận response của POST `/api/v1/dokusya` qua tab Network của DevTools</t>
    </r>
  </si>
  <si>
    <r>
      <rPr>
        <b/>
        <sz val="10"/>
        <color rgb="FF000000"/>
        <rFont val="メイリオ"/>
        <charset val="134"/>
      </rPr>
      <t xml:space="preserve">ステップ1：
</t>
    </r>
    <r>
      <rPr>
        <sz val="10"/>
        <color rgb="FF000000"/>
        <rFont val="メイリオ"/>
        <charset val="134"/>
      </rPr>
      <t xml:space="preserve">Lỗi required `必須項目です。` hiển thị dưới từng項目 bắt buộc, xử lý đăng ký không được thực hiện
</t>
    </r>
    <r>
      <rPr>
        <b/>
        <sz val="10"/>
        <color rgb="FF000000"/>
        <rFont val="メイリオ"/>
        <charset val="134"/>
      </rPr>
      <t xml:space="preserve">ステップ2：
</t>
    </r>
    <r>
      <rPr>
        <sz val="10"/>
        <color rgb="FF000000"/>
        <rFont val="メイリオ"/>
        <charset val="134"/>
      </rPr>
      <t xml:space="preserve">Trả về HTTP 400 (`error_code: VALIDATION_ERROR`, message `入力値が不正です。詳細はerrorsフィールドを確認してください。`, mảng `errors` chứa message từng項目 như shimei_sei・yubin_no)
</t>
    </r>
    <r>
      <rPr>
        <b/>
        <sz val="10"/>
        <color rgb="FF000000"/>
        <rFont val="メイリオ"/>
        <charset val="134"/>
      </rPr>
      <t xml:space="preserve">補足：
</t>
    </r>
    <r>
      <rPr>
        <sz val="10"/>
        <color rgb="FF000000"/>
        <rFont val="メイリオ"/>
        <charset val="134"/>
      </rPr>
      <t xml:space="preserve">・Sau khi kiểm tra dữ liệu phía client (bắt buộc・format・tương quan), phía server cũng validation lại (機能定義 §2.1, §2.5)
</t>
    </r>
    <r>
      <rPr>
        <sz val="10"/>
        <color rgb="FF000000"/>
        <rFont val="メイリオ"/>
        <charset val="134"/>
      </rPr>
      <t>・Lỗi validation được trả về theo từng項目 trong mảng `errors`</t>
    </r>
  </si>
  <si>
    <t>ACSMS-TC-011-027</t>
  </si>
  <si>
    <t>Đăng ký mới — hủy bằng button quay lại</t>
  </si>
  <si>
    <t>・role: JA_HONTEN（ja_id=100 所属）
・Đã nhập một số項目 ở màn hình đăng ký thông tin độc giả (chế độ tạo mới)</t>
  </si>
  <si>
    <r>
      <rPr>
        <b/>
        <sz val="10"/>
        <color rgb="FF000000"/>
        <rFont val="游ゴシック"/>
        <charset val="134"/>
      </rPr>
      <t xml:space="preserve">ステップ1：
</t>
    </r>
    <r>
      <rPr>
        <sz val="10"/>
        <color rgb="FF000000"/>
        <rFont val="游ゴシック"/>
        <charset val="134"/>
      </rPr>
      <t xml:space="preserve">Click button「前の画面に戻る」
</t>
    </r>
    <r>
      <rPr>
        <b/>
        <sz val="10"/>
        <color rgb="FF000000"/>
        <rFont val="游ゴシック"/>
        <charset val="134"/>
      </rPr>
      <t xml:space="preserve">ステップ2：
</t>
    </r>
    <r>
      <rPr>
        <sz val="10"/>
        <color rgb="FF000000"/>
        <rFont val="游ゴシック"/>
        <charset val="134"/>
      </rPr>
      <t>Xác nhận màn hình đích đến và việc lưu dữ liệu đã nhập</t>
    </r>
  </si>
  <si>
    <r>
      <rPr>
        <b/>
        <sz val="10"/>
        <color rgb="FF000000"/>
        <rFont val="メイリオ"/>
        <charset val="134"/>
      </rPr>
      <t xml:space="preserve">ステップ1：
</t>
    </r>
    <r>
      <rPr>
        <sz val="10"/>
        <color rgb="FF000000"/>
        <rFont val="メイリオ"/>
        <charset val="134"/>
      </rPr>
      <t xml:space="preserve">Chuyển về màn hình 購読者明細検索
</t>
    </r>
    <r>
      <rPr>
        <b/>
        <sz val="10"/>
        <color rgb="FF000000"/>
        <rFont val="メイリオ"/>
        <charset val="134"/>
      </rPr>
      <t xml:space="preserve">ステップ2：
</t>
    </r>
    <r>
      <rPr>
        <sz val="10"/>
        <color rgb="FF000000"/>
        <rFont val="メイリオ"/>
        <charset val="134"/>
      </rPr>
      <t xml:space="preserve">Dữ liệu đã nhập không được lưu (dữ liệu mới không được đăng ký vào t_dokusya)
</t>
    </r>
    <r>
      <rPr>
        <b/>
        <sz val="10"/>
        <color rgb="FF000000"/>
        <rFont val="メイリオ"/>
        <charset val="134"/>
      </rPr>
      <t xml:space="preserve">補足：
</t>
    </r>
    <r>
      <rPr>
        <sz val="10"/>
        <color rgb="FF000000"/>
        <rFont val="メイリオ"/>
        <charset val="134"/>
      </rPr>
      <t xml:space="preserve">・Click button「前の画面に戻る」thì chuyển về màn hình 購読者明細検索 (機能定義 §16)
</t>
    </r>
    <r>
      <rPr>
        <sz val="10"/>
        <color rgb="FF000000"/>
        <rFont val="メイリオ"/>
        <charset val="134"/>
      </rPr>
      <t>・Dữ liệu đã nhập vào form không được lưu</t>
    </r>
  </si>
  <si>
    <t>Logic nghiệp vụ cập nhật (Sửa・Duyệt・Từ chối)</t>
  </si>
  <si>
    <t>ACSMS-TC-011-028</t>
  </si>
  <si>
    <t>Chế độ sửa load form (phản ánh dữ liệu hiện có)</t>
  </si>
  <si>
    <t>・role: JA_HONTEN（ja_id=100 所属）
・Tồn tại độc giả có loại độc giả=紙版 (dokusya_id=100)</t>
  </si>
  <si>
    <r>
      <rPr>
        <b/>
        <sz val="10"/>
        <color rgb="FF000000"/>
        <rFont val="メイリオ"/>
        <charset val="134"/>
      </rPr>
      <t xml:space="preserve">ステップ1：
</t>
    </r>
    <r>
      <rPr>
        <sz val="10"/>
        <color rgb="FF000000"/>
        <rFont val="メイリオ"/>
        <charset val="134"/>
      </rPr>
      <t xml:space="preserve">Click dòng độc giả đối tượng từ danh sách màn hình 購読者明細検索, mở màn hình đăng ký thông tin độc giả ở chế độ sửa
</t>
    </r>
    <r>
      <rPr>
        <b/>
        <sz val="10"/>
        <color rgb="FF000000"/>
        <rFont val="メイリオ"/>
        <charset val="134"/>
      </rPr>
      <t xml:space="preserve">ステップ2：
</t>
    </r>
    <r>
      <rPr>
        <sz val="10"/>
        <color rgb="FF000000"/>
        <rFont val="メイリオ"/>
        <charset val="134"/>
      </rPr>
      <t xml:space="preserve">Xác nhận response của GET `/api/v1/dokusya/100` qua tab Network của DevTools
</t>
    </r>
    <r>
      <rPr>
        <b/>
        <sz val="10"/>
        <color rgb="FF000000"/>
        <rFont val="メイリオ"/>
        <charset val="134"/>
      </rPr>
      <t xml:space="preserve">ステップ3：
</t>
    </r>
    <r>
      <rPr>
        <sz val="10"/>
        <color rgb="FF000000"/>
        <rFont val="メイリオ"/>
        <charset val="134"/>
      </rPr>
      <t>Xác nhận giá trị từng項目 form và hiển thị của 購読者ID (dokusya_id)・履歴No (rireki_no)</t>
    </r>
  </si>
  <si>
    <r>
      <rPr>
        <b/>
        <sz val="10"/>
        <color rgb="FF000000"/>
        <rFont val="メイリオ"/>
        <charset val="134"/>
      </rPr>
      <t xml:space="preserve">ステップ1：
</t>
    </r>
    <r>
      <rPr>
        <sz val="10"/>
        <color rgb="FF000000"/>
        <rFont val="メイリオ"/>
        <charset val="134"/>
      </rPr>
      <t xml:space="preserve">Màn hình đăng ký thông tin độc giả được hiển thị ở chế độ sửa
</t>
    </r>
    <r>
      <rPr>
        <b/>
        <sz val="10"/>
        <color rgb="FF000000"/>
        <rFont val="メイリオ"/>
        <charset val="134"/>
      </rPr>
      <t xml:space="preserve">ステップ2：
</t>
    </r>
    <r>
      <rPr>
        <sz val="10"/>
        <color rgb="FF000000"/>
        <rFont val="メイリオ"/>
        <charset val="134"/>
      </rPr>
      <t xml:space="preserve">Trả về HTTP 200 (tất cả項目 của độc giả đối tượng được chứa trong `data`, bank_shiten_id được trả về để re-hydration dropdown)
</t>
    </r>
    <r>
      <rPr>
        <b/>
        <sz val="10"/>
        <color rgb="FF000000"/>
        <rFont val="メイリオ"/>
        <charset val="134"/>
      </rPr>
      <t xml:space="preserve">ステップ3：
</t>
    </r>
    <r>
      <rPr>
        <sz val="10"/>
        <color rgb="FF000000"/>
        <rFont val="メイリオ"/>
        <charset val="134"/>
      </rPr>
      <t xml:space="preserve">Dữ liệu hiện có được phản ánh vào từng項目 form, 購読者ID (dokusya_id) hiển thị không thể thay đổi
</t>
    </r>
    <r>
      <rPr>
        <b/>
        <sz val="10"/>
        <color rgb="FF000000"/>
        <rFont val="メイリオ"/>
        <charset val="134"/>
      </rPr>
      <t xml:space="preserve">補足：
</t>
    </r>
    <r>
      <rPr>
        <sz val="10"/>
        <color rgb="FF000000"/>
        <rFont val="メイリオ"/>
        <charset val="134"/>
      </rPr>
      <t xml:space="preserve">・Ở chế độ sửa thì lấy dữ liệu độc giả bằng ID và phản ánh vào form (機能定義 §15.1)
</t>
    </r>
    <r>
      <rPr>
        <sz val="10"/>
        <color rgb="FF000000"/>
        <rFont val="メイリオ"/>
        <charset val="134"/>
      </rPr>
      <t xml:space="preserve">・購読者ID không thể thay đổi
</t>
    </r>
    <r>
      <rPr>
        <sz val="10"/>
        <color rgb="FF000000"/>
        <rFont val="メイリオ"/>
        <charset val="134"/>
      </rPr>
      <t>・Khi lấy dữ liệu thất bại thì hiển thị ACSMS-MSG-011-016 `購読者ID #{id} が見つかりません。`</t>
    </r>
  </si>
  <si>
    <t>ACSMS-TC-011-029</t>
  </si>
  <si>
    <t>Cập nhật normal (phương thức追記 lịch sử + audit log)</t>
  </si>
  <si>
    <t>・role: JA_HONTEN（ja_id=100 所属）
・Tồn tại độc giả có loại độc giả=紙版 (dokusya_id=100, rireki_no hiện tại=1)</t>
  </si>
  <si>
    <r>
      <rPr>
        <b/>
        <sz val="10"/>
        <color rgb="FF000000"/>
        <rFont val="メイリオ"/>
        <charset val="134"/>
      </rPr>
      <t xml:space="preserve">ステップ1：
</t>
    </r>
    <r>
      <rPr>
        <sz val="10"/>
        <color rgb="FF000000"/>
        <rFont val="メイリオ"/>
        <charset val="134"/>
      </rPr>
      <t xml:space="preserve">Mở màn hình đăng ký thông tin độc giả ở chế độ sửa, đổi số phần đăng ký (dokusya_busu) từ 1 sang 2 rồi click button「承認・登録」
</t>
    </r>
    <r>
      <rPr>
        <b/>
        <sz val="10"/>
        <color rgb="FF000000"/>
        <rFont val="メイリオ"/>
        <charset val="134"/>
      </rPr>
      <t xml:space="preserve">ステップ2：
</t>
    </r>
    <r>
      <rPr>
        <sz val="10"/>
        <color rgb="FF000000"/>
        <rFont val="メイリオ"/>
        <charset val="134"/>
      </rPr>
      <t xml:space="preserve">Xác nhận chuyển màn hình và message
</t>
    </r>
    <r>
      <rPr>
        <b/>
        <sz val="10"/>
        <color rgb="FF000000"/>
        <rFont val="メイリオ"/>
        <charset val="134"/>
      </rPr>
      <t xml:space="preserve">ステップ3：
</t>
    </r>
    <r>
      <rPr>
        <sz val="10"/>
        <color rgb="FF000000"/>
        <rFont val="メイリオ"/>
        <charset val="134"/>
      </rPr>
      <t xml:space="preserve">Chạy query sau trong DB, xác nhận record bản thể・lịch sử
</t>
    </r>
    <r>
      <rPr>
        <sz val="10"/>
        <color rgb="FF000000"/>
        <rFont val="メイリオ"/>
        <charset val="134"/>
      </rPr>
      <t xml:space="preserve">```sql
</t>
    </r>
    <r>
      <rPr>
        <sz val="10"/>
        <color rgb="FF000000"/>
        <rFont val="メイリオ"/>
        <charset val="134"/>
      </rPr>
      <t xml:space="preserve">SELECT rireki_no, dokusya_busu FROM t_dokusya WHERE dokusya_id = 100;
</t>
    </r>
    <r>
      <rPr>
        <sz val="10"/>
        <color rgb="FF000000"/>
        <rFont val="メイリオ"/>
        <charset val="134"/>
      </rPr>
      <t xml:space="preserve">SELECT rireki_no, saishin_data_flg, zougen_hokoku_flg
</t>
    </r>
    <r>
      <rPr>
        <sz val="10"/>
        <color rgb="FF000000"/>
        <rFont val="メイリオ"/>
        <charset val="134"/>
      </rPr>
      <t xml:space="preserve">FROM t_dokusya_rireki
</t>
    </r>
    <r>
      <rPr>
        <sz val="10"/>
        <color rgb="FF000000"/>
        <rFont val="メイリオ"/>
        <charset val="134"/>
      </rPr>
      <t xml:space="preserve">WHERE dokusya_id = 100
</t>
    </r>
    <r>
      <rPr>
        <sz val="10"/>
        <color rgb="FF000000"/>
        <rFont val="メイリオ"/>
        <charset val="134"/>
      </rPr>
      <t xml:space="preserve">ORDER BY rireki_no DESC;
</t>
    </r>
    <r>
      <rPr>
        <sz val="10"/>
        <color rgb="FF000000"/>
        <rFont val="メイリオ"/>
        <charset val="134"/>
      </rPr>
      <t xml:space="preserve">```
</t>
    </r>
    <r>
      <rPr>
        <b/>
        <sz val="10"/>
        <color rgb="FF000000"/>
        <rFont val="メイリオ"/>
        <charset val="134"/>
      </rPr>
      <t xml:space="preserve">ステップ4：
</t>
    </r>
    <r>
      <rPr>
        <sz val="10"/>
        <color rgb="FF000000"/>
        <rFont val="メイリオ"/>
        <charset val="134"/>
      </rPr>
      <t xml:space="preserve">Chạy query sau trong DB, xác nhận audit log
</t>
    </r>
    <r>
      <rPr>
        <sz val="10"/>
        <color rgb="FF000000"/>
        <rFont val="メイリオ"/>
        <charset val="134"/>
      </rPr>
      <t xml:space="preserve">```sql
</t>
    </r>
    <r>
      <rPr>
        <sz val="10"/>
        <color rgb="FF000000"/>
        <rFont val="メイリオ"/>
        <charset val="134"/>
      </rPr>
      <t xml:space="preserve">SELECT operation, result_status, before_value, after_value
</t>
    </r>
    <r>
      <rPr>
        <sz val="10"/>
        <color rgb="FF000000"/>
        <rFont val="メイリオ"/>
        <charset val="134"/>
      </rPr>
      <t xml:space="preserve">FROM t_log
</t>
    </r>
    <r>
      <rPr>
        <sz val="10"/>
        <color rgb="FF000000"/>
        <rFont val="メイリオ"/>
        <charset val="134"/>
      </rPr>
      <t xml:space="preserve">WHERE target_table = 't_dokusya' AND target_id = 100
</t>
    </r>
    <r>
      <rPr>
        <sz val="10"/>
        <color rgb="FF000000"/>
        <rFont val="メイリオ"/>
        <charset val="134"/>
      </rPr>
      <t xml:space="preserve">ORDER BY log_datetime DESC
</t>
    </r>
    <r>
      <rPr>
        <sz val="10"/>
        <color rgb="FF000000"/>
        <rFont val="メイリオ"/>
        <charset val="134"/>
      </rPr>
      <t xml:space="preserve">LIMIT 1;
</t>
    </r>
    <r>
      <rPr>
        <sz val="10"/>
        <color rgb="FF000000"/>
        <rFont val="メイリオ"/>
        <charset val="134"/>
      </rPr>
      <t>```</t>
    </r>
  </si>
  <si>
    <r>
      <rPr>
        <b/>
        <sz val="10"/>
        <color rgb="FF000000"/>
        <rFont val="游ゴシック"/>
        <charset val="134"/>
      </rPr>
      <t xml:space="preserve">ステップ1：
</t>
    </r>
    <r>
      <rPr>
        <sz val="10"/>
        <color rgb="FF000000"/>
        <rFont val="游ゴシック"/>
        <charset val="134"/>
      </rPr>
      <t xml:space="preserve">Xử lý cập nhật được thực hiện
</t>
    </r>
    <r>
      <rPr>
        <b/>
        <sz val="10"/>
        <color rgb="FF000000"/>
        <rFont val="游ゴシック"/>
        <charset val="134"/>
      </rPr>
      <t xml:space="preserve">ステップ2：
</t>
    </r>
    <r>
      <rPr>
        <sz val="10"/>
        <color rgb="FF000000"/>
        <rFont val="游ゴシック"/>
        <charset val="134"/>
      </rPr>
      <t xml:space="preserve">Trả về HTTP 200, message update thành công `更新しました。`（ACSMS-MSG-011-015）được hiển thị, quay về màn hình 購読者明細検索
</t>
    </r>
    <r>
      <rPr>
        <b/>
        <sz val="10"/>
        <color rgb="FF000000"/>
        <rFont val="游ゴシック"/>
        <charset val="134"/>
      </rPr>
      <t xml:space="preserve">ステップ3：
</t>
    </r>
    <r>
      <rPr>
        <sz val="10"/>
        <color rgb="FF000000"/>
        <rFont val="游ゴシック"/>
        <charset val="134"/>
      </rPr>
      <t xml:space="preserve">rireki_no của t_dokusya được update thành 2 và dokusya_busu thành 2, lịch sử mới (rireki_no=2, zougen_hokoku_flg=true) được追記 vào t_dokusya_rireki của lịch sử cũ (rireki_no=1) được update thành false
</t>
    </r>
    <r>
      <rPr>
        <b/>
        <sz val="10"/>
        <color rgb="FF000000"/>
        <rFont val="游ゴシック"/>
        <charset val="134"/>
      </rPr>
      <t xml:space="preserve">ステップ4：
</t>
    </r>
    <r>
      <rPr>
        <sz val="10"/>
        <color rgb="FF000000"/>
        <rFont val="游ゴシック"/>
        <charset val="134"/>
      </rPr>
      <t xml:space="preserve">Record với operation=`UPDATE`, result_status=1 được ghi vào t_log, before_value lưu dữ liệu trước update, after_value lưu dữ liệu sau update
</t>
    </r>
    <r>
      <rPr>
        <b/>
        <sz val="10"/>
        <color rgb="FF000000"/>
        <rFont val="游ゴシック"/>
        <charset val="134"/>
      </rPr>
      <t xml:space="preserve">補足：
</t>
    </r>
    <r>
      <rPr>
        <sz val="10"/>
        <color rgb="FF000000"/>
        <rFont val="游ゴシック"/>
        <charset val="134"/>
      </rPr>
      <t>・Cập nhật không phải update vật lý record hiện có mà là追記 record với số lịch sử mới (機能定義 §15.3)
・Update cờ dữ liệu mới nhất của lịch sử cũ thành false, cờ dữ liệu mới nhất của lịch sử mới thành true
・Cập nhật (ghi nghiệp vụ) và audit log được thực hiện trong một transaction duy nhất</t>
    </r>
  </si>
  <si>
    <t>ACSMS-TC-011-030</t>
  </si>
  <si>
    <t>Kiểm soát read-only của độc giả 純電子版 (thanh toán thẻ tín dụng)・併読</t>
  </si>
  <si>
    <t>・role: JA_HONTEN（ja_id=100 所属）
・Tồn tại độc giả loại độc giả=電子版 (thanh toán thẻ tín dụng) (dokusya_id=300)</t>
  </si>
  <si>
    <r>
      <rPr>
        <b/>
        <sz val="10"/>
        <color rgb="FF000000"/>
        <rFont val="メイリオ"/>
        <charset val="134"/>
      </rPr>
      <t xml:space="preserve">ステップ1：
</t>
    </r>
    <r>
      <rPr>
        <sz val="10"/>
        <color rgb="FF000000"/>
        <rFont val="メイリオ"/>
        <charset val="134"/>
      </rPr>
      <t xml:space="preserve">Click dòng độc giả 電子版 thanh toán thẻ tín dụng từ danh sách màn hình 購読者明細検索, mở màn hình ở chế độ sửa
</t>
    </r>
    <r>
      <rPr>
        <b/>
        <sz val="10"/>
        <color rgb="FF000000"/>
        <rFont val="メイリオ"/>
        <charset val="134"/>
      </rPr>
      <t xml:space="preserve">ステップ2：
</t>
    </r>
    <r>
      <rPr>
        <sz val="10"/>
        <color rgb="FF000000"/>
        <rFont val="メイリオ"/>
        <charset val="134"/>
      </rPr>
      <t xml:space="preserve">Xác nhận khả năng nhập của từng項目 form
</t>
    </r>
    <r>
      <rPr>
        <b/>
        <sz val="10"/>
        <color rgb="FF000000"/>
        <rFont val="メイリオ"/>
        <charset val="134"/>
      </rPr>
      <t xml:space="preserve">ステップ3：
</t>
    </r>
    <r>
      <rPr>
        <sz val="10"/>
        <color rgb="FF000000"/>
        <rFont val="メイリオ"/>
        <charset val="134"/>
      </rPr>
      <t>Gửi trực tiếp PUT `/api/v1/dokusya/300` kèm nội dung sửa qua tab Network của DevTools</t>
    </r>
  </si>
  <si>
    <r>
      <rPr>
        <b/>
        <sz val="10"/>
        <color rgb="FF000000"/>
        <rFont val="游ゴシック"/>
        <charset val="134"/>
      </rPr>
      <t xml:space="preserve">ステップ1：
</t>
    </r>
    <r>
      <rPr>
        <sz val="10"/>
        <color rgb="FF000000"/>
        <rFont val="游ゴシック"/>
        <charset val="134"/>
      </rPr>
      <t xml:space="preserve">Màn hình đăng ký thông tin độc giả được hiển thị ở chế độ tham chiếu trong chế độ sửa
</t>
    </r>
    <r>
      <rPr>
        <b/>
        <sz val="10"/>
        <color rgb="FF000000"/>
        <rFont val="游ゴシック"/>
        <charset val="134"/>
      </rPr>
      <t xml:space="preserve">ステップ2：
</t>
    </r>
    <r>
      <rPr>
        <sz val="10"/>
        <color rgb="FF000000"/>
        <rFont val="游ゴシック"/>
        <charset val="134"/>
      </rPr>
      <t xml:space="preserve">購読開始日 (dokusya_kaishi_date)・購読中止日 (dokusya_chushi_date) v.v. hiển thị read-only (dữ liệu liên kết từ hệ thống quản lý độc giả bản điện tử)
</t>
    </r>
    <r>
      <rPr>
        <b/>
        <sz val="10"/>
        <color rgb="FF000000"/>
        <rFont val="游ゴシック"/>
        <charset val="134"/>
      </rPr>
      <t xml:space="preserve">ステップ3：
</t>
    </r>
    <r>
      <rPr>
        <sz val="10"/>
        <color rgb="FF000000"/>
        <rFont val="游ゴシック"/>
        <charset val="134"/>
      </rPr>
      <t xml:space="preserve">Phía backend từ chối việc sửa độc giả 電子版 thanh toán thẻ tín dụng (không thể sửa theo quy tắc nghiệp vụ)
</t>
    </r>
    <r>
      <rPr>
        <b/>
        <sz val="10"/>
        <color rgb="FF000000"/>
        <rFont val="游ゴシック"/>
        <charset val="134"/>
      </rPr>
      <t xml:space="preserve">補足：
</t>
    </r>
    <r>
      <rPr>
        <sz val="10"/>
        <color rgb="FF000000"/>
        <rFont val="游ゴシック"/>
        <charset val="134"/>
      </rPr>
      <t>・Độc giả 電子版 thuần túy (thanh toán thẻ tín dụng) do quản lý độc giả được chủ đạo phía hệ thống Web bên ngoài nên màn hình này chỉ tham chiếu (read-only) (機能定義 §15.1)
・Độc giả 電子版 thanh toán thẻ tín dụng・併読 không thể sửa・xóa (quy tắc nghiệp vụ, 機能定義 §1.2)</t>
    </r>
  </si>
  <si>
    <t>ACSMS-TC-011-031</t>
  </si>
  <si>
    <t>Xung đột sửa đồng thời (optimistic lock)</t>
  </si>
  <si>
    <t>・role: JA_HONTEN（ja_id=100 所属）
・Đang mở độc giả (dokusya_id=100) ở chế độ sửa trên 2 tab trình duyệt</t>
  </si>
  <si>
    <r>
      <rPr>
        <b/>
        <sz val="10"/>
        <color rgb="FF000000"/>
        <rFont val="游ゴシック"/>
        <charset val="134"/>
      </rPr>
      <t xml:space="preserve">ステップ1：
</t>
    </r>
    <r>
      <rPr>
        <sz val="10"/>
        <color rgb="FF000000"/>
        <rFont val="游ゴシック"/>
        <charset val="134"/>
      </rPr>
      <t xml:space="preserve">Ở tab A đổi số phần đăng ký (dokusya_busu) rồi click button「承認・登録」(update thành công)
</t>
    </r>
    <r>
      <rPr>
        <b/>
        <sz val="10"/>
        <color rgb="FF000000"/>
        <rFont val="游ゴシック"/>
        <charset val="134"/>
      </rPr>
      <t xml:space="preserve">ステップ2：
</t>
    </r>
    <r>
      <rPr>
        <sz val="10"/>
        <color rgb="FF000000"/>
        <rFont val="游ゴシック"/>
        <charset val="134"/>
      </rPr>
      <t xml:space="preserve">Ở tab B (giữ dữ liệu trước khi tab A update) đổi 市町村郡 (shikuchoson) rồi click button「承認・登録」
</t>
    </r>
    <r>
      <rPr>
        <b/>
        <sz val="10"/>
        <color rgb="FF000000"/>
        <rFont val="游ゴシック"/>
        <charset val="134"/>
      </rPr>
      <t xml:space="preserve">ステップ3：
</t>
    </r>
    <r>
      <rPr>
        <sz val="10"/>
        <color rgb="FF000000"/>
        <rFont val="游ゴシック"/>
        <charset val="134"/>
      </rPr>
      <t>Chạy query sau trong DB, xác nhận nội dung lịch sử mới nhất
```sql
SELECT rireki_no, dokusya_busu, shikuchoson
FROM t_dokusya_rireki
WHERE dokusya_id = 100 AND saishin_data_flg = TRUE;
```</t>
    </r>
  </si>
  <si>
    <r>
      <rPr>
        <b/>
        <sz val="10"/>
        <color rgb="FF000000"/>
        <rFont val="游ゴシック"/>
        <charset val="134"/>
      </rPr>
      <t xml:space="preserve">ステップ1：
</t>
    </r>
    <r>
      <rPr>
        <sz val="10"/>
        <color rgb="FF000000"/>
        <rFont val="游ゴシック"/>
        <charset val="134"/>
      </rPr>
      <t xml:space="preserve">Xử lý update của tab A được thực hiện, message update thành công `更新しました。` được hiển thị
</t>
    </r>
    <r>
      <rPr>
        <b/>
        <sz val="10"/>
        <color rgb="FF000000"/>
        <rFont val="游ゴシック"/>
        <charset val="134"/>
      </rPr>
      <t xml:space="preserve">ステップ2：
</t>
    </r>
    <r>
      <rPr>
        <sz val="10"/>
        <color rgb="FF000000"/>
        <rFont val="游ゴシック"/>
        <charset val="134"/>
      </rPr>
      <t xml:space="preserve">Update thành công
</t>
    </r>
    <r>
      <rPr>
        <b/>
        <sz val="10"/>
        <color rgb="FF000000"/>
        <rFont val="游ゴシック"/>
        <charset val="134"/>
      </rPr>
      <t xml:space="preserve">ステップ3：
</t>
    </r>
    <r>
      <rPr>
        <sz val="10"/>
        <color rgb="FF000000"/>
        <rFont val="游ゴシック"/>
        <charset val="134"/>
      </rPr>
      <t xml:space="preserve">Đảm bảo tính toàn vẹn dữ liệu, có 2 dữ liệu mới được taọ thành công ở bảng lịch sử độc giả
</t>
    </r>
  </si>
  <si>
    <t>Message chuyên dụng khi xung đột optimistic lock chưa được định nghĩa trong thiết kế, TC này chỉ kiểm chứng HTTP code và tính toàn vẹn dữ liệu (message chờ xác nhận thiết kế).</t>
  </si>
  <si>
    <t>ACSMS-TC-011-032</t>
  </si>
  <si>
    <t>Duyệt bản điện tử normal (denshi_shonin_status 0→1)</t>
  </si>
  <si>
    <t>・role: JA_HONTEN（ja_id=100 所属, có cờ xử lý bản điện tử）
・Tồn tại độc giả loại độc giả=電子版 và denshi_shonin_status=0 (chờ duyệt) (dokusya_id=200, rireki_no hiện tại=1)</t>
  </si>
  <si>
    <r>
      <rPr>
        <b/>
        <sz val="10"/>
        <color rgb="FF000000"/>
        <rFont val="メイリオ"/>
        <charset val="134"/>
      </rPr>
      <t xml:space="preserve">ステップ1：
</t>
    </r>
    <r>
      <rPr>
        <sz val="10"/>
        <color rgb="FF000000"/>
        <rFont val="メイリオ"/>
        <charset val="134"/>
      </rPr>
      <t xml:space="preserve">Mở độc giả chờ duyệt ở chế độ sửa, click button「承認・登録」
</t>
    </r>
    <r>
      <rPr>
        <b/>
        <sz val="10"/>
        <color rgb="FF000000"/>
        <rFont val="メイリオ"/>
        <charset val="134"/>
      </rPr>
      <t xml:space="preserve">ステップ2：
</t>
    </r>
    <r>
      <rPr>
        <sz val="10"/>
        <color rgb="FF000000"/>
        <rFont val="メイリオ"/>
        <charset val="134"/>
      </rPr>
      <t xml:space="preserve">Xác nhận chuyển màn hình và message
</t>
    </r>
    <r>
      <rPr>
        <b/>
        <sz val="10"/>
        <color rgb="FF000000"/>
        <rFont val="メイリオ"/>
        <charset val="134"/>
      </rPr>
      <t xml:space="preserve">ステップ3：
</t>
    </r>
    <r>
      <rPr>
        <sz val="10"/>
        <color rgb="FF000000"/>
        <rFont val="メイリオ"/>
        <charset val="134"/>
      </rPr>
      <t xml:space="preserve">Chạy query sau trong DB, xác nhận status và lịch sử
</t>
    </r>
    <r>
      <rPr>
        <sz val="10"/>
        <color rgb="FF000000"/>
        <rFont val="メイリオ"/>
        <charset val="134"/>
      </rPr>
      <t xml:space="preserve">```sql
</t>
    </r>
    <r>
      <rPr>
        <sz val="10"/>
        <color rgb="FF000000"/>
        <rFont val="メイリオ"/>
        <charset val="134"/>
      </rPr>
      <t xml:space="preserve">SELECT denshi_shonin_status, rireki_no FROM t_dokusya WHERE dokusya_id = 200;
</t>
    </r>
    <r>
      <rPr>
        <sz val="10"/>
        <color rgb="FF000000"/>
        <rFont val="メイリオ"/>
        <charset val="134"/>
      </rPr>
      <t xml:space="preserve">SELECT rireki_no, denshi_shonin_status, saishin_data_flg
</t>
    </r>
    <r>
      <rPr>
        <sz val="10"/>
        <color rgb="FF000000"/>
        <rFont val="メイリオ"/>
        <charset val="134"/>
      </rPr>
      <t xml:space="preserve">FROM t_dokusya_rireki
</t>
    </r>
    <r>
      <rPr>
        <sz val="10"/>
        <color rgb="FF000000"/>
        <rFont val="メイリオ"/>
        <charset val="134"/>
      </rPr>
      <t xml:space="preserve">WHERE dokusya_id = 200
</t>
    </r>
    <r>
      <rPr>
        <sz val="10"/>
        <color rgb="FF000000"/>
        <rFont val="メイリオ"/>
        <charset val="134"/>
      </rPr>
      <t xml:space="preserve">ORDER BY rireki_no DESC;
</t>
    </r>
    <r>
      <rPr>
        <sz val="10"/>
        <color rgb="FF000000"/>
        <rFont val="メイリオ"/>
        <charset val="134"/>
      </rPr>
      <t>```</t>
    </r>
  </si>
  <si>
    <r>
      <rPr>
        <b/>
        <sz val="10"/>
        <color rgb="FF000000"/>
        <rFont val="メイリオ"/>
        <charset val="134"/>
      </rPr>
      <t xml:space="preserve">ステップ1：
</t>
    </r>
    <r>
      <rPr>
        <sz val="10"/>
        <color rgb="FF000000"/>
        <rFont val="メイリオ"/>
        <charset val="134"/>
      </rPr>
      <t xml:space="preserve">Xử lý duyệt được thực hiện
</t>
    </r>
    <r>
      <rPr>
        <b/>
        <sz val="10"/>
        <color rgb="FF000000"/>
        <rFont val="メイリオ"/>
        <charset val="134"/>
      </rPr>
      <t xml:space="preserve">ステップ2：
</t>
    </r>
    <r>
      <rPr>
        <sz val="10"/>
        <color rgb="FF000000"/>
        <rFont val="メイリオ"/>
        <charset val="134"/>
      </rPr>
      <t xml:space="preserve">Trả về HTTP 200 (`data.denshi_shonin_status = 1`), message `承認しました。` được hiển thị
</t>
    </r>
    <r>
      <rPr>
        <b/>
        <sz val="10"/>
        <color rgb="FF000000"/>
        <rFont val="メイリオ"/>
        <charset val="134"/>
      </rPr>
      <t xml:space="preserve">ステップ3：
</t>
    </r>
    <r>
      <rPr>
        <sz val="10"/>
        <color rgb="FF000000"/>
        <rFont val="メイリオ"/>
        <charset val="134"/>
      </rPr>
      <t xml:space="preserve">denshi_shonin_status của t_dokusya được update thành 1, lịch sử mới (denshi_shonin_status=1, saishin_data_flg=true) được追記 vào t_dokusya_rireki
</t>
    </r>
    <r>
      <rPr>
        <b/>
        <sz val="10"/>
        <color rgb="FF000000"/>
        <rFont val="メイリオ"/>
        <charset val="134"/>
      </rPr>
      <t xml:space="preserve">補足：
</t>
    </r>
    <r>
      <rPr>
        <sz val="10"/>
        <color rgb="FF000000"/>
        <rFont val="メイリオ"/>
        <charset val="134"/>
      </rPr>
      <t xml:space="preserve">・Click button「承認」thì API đặt denshi_shonin_status=1 (đã duyệt) và tạo record lịch sử mới (機能定義 §3.3)
</t>
    </r>
    <r>
      <rPr>
        <sz val="10"/>
        <color rgb="FF000000"/>
        <rFont val="メイリオ"/>
        <charset val="134"/>
      </rPr>
      <t xml:space="preserve">・Gọi PUT `/api/v1/dokusya/{dokusya_id}/approve`
</t>
    </r>
    <r>
      <rPr>
        <sz val="10"/>
        <color rgb="FF000000"/>
        <rFont val="メイリオ"/>
        <charset val="134"/>
      </rPr>
      <t>・Duyệt (ghi nghiệp vụ) và audit log được thực hiện trong một transaction duy nhất</t>
    </r>
  </si>
  <si>
    <t>ACSMS-TC-011-033</t>
  </si>
  <si>
    <t>Từ chối bản điện tử normal (xác nhận từ chối + denshi_shonin_status 0→2)</t>
  </si>
  <si>
    <t>・role: JA_HONTEN（ja_id=100 所属, có cờ xử lý bản điện tử）
・Tồn tại độc giả loại độc giả=電子版 và denshi_shonin_status=0 (chờ duyệt) (dokusya_id=201)</t>
  </si>
  <si>
    <r>
      <rPr>
        <b/>
        <sz val="10"/>
        <color rgb="FF000000"/>
        <rFont val="メイリオ"/>
        <charset val="134"/>
      </rPr>
      <t xml:space="preserve">ステップ1：
</t>
    </r>
    <r>
      <rPr>
        <sz val="10"/>
        <color rgb="FF000000"/>
        <rFont val="メイリオ"/>
        <charset val="134"/>
      </rPr>
      <t xml:space="preserve">Mở độc giả chờ duyệt ở chế độ sửa, xác nhận hiển thị của button「承認しない」
</t>
    </r>
    <r>
      <rPr>
        <b/>
        <sz val="10"/>
        <color rgb="FF000000"/>
        <rFont val="メイリオ"/>
        <charset val="134"/>
      </rPr>
      <t xml:space="preserve">ステップ2：
</t>
    </r>
    <r>
      <rPr>
        <sz val="10"/>
        <color rgb="FF000000"/>
        <rFont val="メイリオ"/>
        <charset val="134"/>
      </rPr>
      <t xml:space="preserve">Click button「承認しない」, click「はい」ở dialog xác nhận từ chối
</t>
    </r>
    <r>
      <rPr>
        <b/>
        <sz val="10"/>
        <color rgb="FF000000"/>
        <rFont val="メイリオ"/>
        <charset val="134"/>
      </rPr>
      <t xml:space="preserve">ステップ3：
</t>
    </r>
    <r>
      <rPr>
        <sz val="10"/>
        <color rgb="FF000000"/>
        <rFont val="メイリオ"/>
        <charset val="134"/>
      </rPr>
      <t xml:space="preserve">Xác nhận chuyển màn hình và message
</t>
    </r>
    <r>
      <rPr>
        <b/>
        <sz val="10"/>
        <color rgb="FF000000"/>
        <rFont val="メイリオ"/>
        <charset val="134"/>
      </rPr>
      <t xml:space="preserve">ステップ4：
</t>
    </r>
    <r>
      <rPr>
        <sz val="10"/>
        <color rgb="FF000000"/>
        <rFont val="メイリオ"/>
        <charset val="134"/>
      </rPr>
      <t xml:space="preserve">Chạy query sau trong DB, xác nhận status và lịch sử
</t>
    </r>
    <r>
      <rPr>
        <sz val="10"/>
        <color rgb="FF000000"/>
        <rFont val="メイリオ"/>
        <charset val="134"/>
      </rPr>
      <t xml:space="preserve">```sql
</t>
    </r>
    <r>
      <rPr>
        <sz val="10"/>
        <color rgb="FF000000"/>
        <rFont val="メイリオ"/>
        <charset val="134"/>
      </rPr>
      <t xml:space="preserve">SELECT denshi_shonin_status FROM t_dokusya WHERE dokusya_id = 201;
</t>
    </r>
    <r>
      <rPr>
        <sz val="10"/>
        <color rgb="FF000000"/>
        <rFont val="メイリオ"/>
        <charset val="134"/>
      </rPr>
      <t xml:space="preserve">SELECT denshi_shonin_status
</t>
    </r>
    <r>
      <rPr>
        <sz val="10"/>
        <color rgb="FF000000"/>
        <rFont val="メイリオ"/>
        <charset val="134"/>
      </rPr>
      <t xml:space="preserve">FROM t_dokusya_rireki
</t>
    </r>
    <r>
      <rPr>
        <sz val="10"/>
        <color rgb="FF000000"/>
        <rFont val="メイリオ"/>
        <charset val="134"/>
      </rPr>
      <t xml:space="preserve">WHERE dokusya_id = 201 AND saishin_data_flg = TRUE;
</t>
    </r>
    <r>
      <rPr>
        <sz val="10"/>
        <color rgb="FF000000"/>
        <rFont val="メイリオ"/>
        <charset val="134"/>
      </rPr>
      <t>```</t>
    </r>
  </si>
  <si>
    <r>
      <rPr>
        <b/>
        <sz val="10"/>
        <color rgb="FF000000"/>
        <rFont val="游ゴシック"/>
        <charset val="134"/>
      </rPr>
      <t xml:space="preserve">ステップ1：
</t>
    </r>
    <r>
      <rPr>
        <sz val="10"/>
        <color rgb="FF000000"/>
        <rFont val="游ゴシック"/>
        <charset val="134"/>
      </rPr>
      <t xml:space="preserve">Do denshi_shonin_status=0 (chờ duyệt) nên button「承認しない」được hiển thị
</t>
    </r>
    <r>
      <rPr>
        <b/>
        <sz val="10"/>
        <color rgb="FF000000"/>
        <rFont val="游ゴシック"/>
        <charset val="134"/>
      </rPr>
      <t xml:space="preserve">ステップ2：
</t>
    </r>
    <r>
      <rPr>
        <sz val="10"/>
        <color rgb="FF000000"/>
        <rFont val="游ゴシック"/>
        <charset val="134"/>
      </rPr>
      <t xml:space="preserve">Dialog xác nhận từ chối được hiển thị (message `電子版読者の登録を否認します。よろしいですか？`), click「はい」thì xử lý từ chối được thực hiện
</t>
    </r>
    <r>
      <rPr>
        <b/>
        <sz val="10"/>
        <color rgb="FF000000"/>
        <rFont val="游ゴシック"/>
        <charset val="134"/>
      </rPr>
      <t xml:space="preserve">ステップ3：
</t>
    </r>
    <r>
      <rPr>
        <sz val="10"/>
        <color rgb="FF000000"/>
        <rFont val="游ゴシック"/>
        <charset val="134"/>
      </rPr>
      <t xml:space="preserve">Trả về HTTP 200 (`data.denshi_shonin_status = 2`), message `否認しました。` được hiển thị, chuyển về màn hình 購読者明細検索
</t>
    </r>
    <r>
      <rPr>
        <b/>
        <sz val="10"/>
        <color rgb="FF000000"/>
        <rFont val="游ゴシック"/>
        <charset val="134"/>
      </rPr>
      <t xml:space="preserve">ステップ4：
</t>
    </r>
    <r>
      <rPr>
        <sz val="10"/>
        <color rgb="FF000000"/>
        <rFont val="游ゴシック"/>
        <charset val="134"/>
      </rPr>
      <t xml:space="preserve">denshi_shonin_status của t_dokusya được update thành 2, lịch sử mới nhất của t_dokusya_rireki ghi denshi_shonin_status=2
</t>
    </r>
    <r>
      <rPr>
        <b/>
        <sz val="10"/>
        <color rgb="FF000000"/>
        <rFont val="游ゴシック"/>
        <charset val="134"/>
      </rPr>
      <t xml:space="preserve">補足：
</t>
    </r>
    <r>
      <rPr>
        <sz val="10"/>
        <color rgb="FF000000"/>
        <rFont val="游ゴシック"/>
        <charset val="134"/>
      </rPr>
      <t>・Chỉ khi denshi_shonin_status=0 mới hiển thị button「承認しない」(機能定義 §4.1)
・Click「承認しない」thì gọi PUT `/api/v1/dokusya/{dokusya_id}/reject` và đặt denshi_shonin_status=2 (機能定義 §4.3)</t>
    </r>
  </si>
  <si>
    <t>ACSMS-TC-011-034</t>
  </si>
  <si>
    <t>Ngắt xử lý khi click「いいえ」ở dialog xác nhận từ chối</t>
  </si>
  <si>
    <t>・role: JA_HONTEN（ja_id=100 所属, có cờ xử lý bản điện tử）
・Tồn tại độc giả denshi_shonin_status=0 (chờ duyệt) (dokusya_id=202)</t>
  </si>
  <si>
    <r>
      <rPr>
        <b/>
        <sz val="10"/>
        <color rgb="FF000000"/>
        <rFont val="游ゴシック"/>
        <charset val="134"/>
      </rPr>
      <t xml:space="preserve">ステップ1：
</t>
    </r>
    <r>
      <rPr>
        <sz val="10"/>
        <color rgb="FF000000"/>
        <rFont val="游ゴシック"/>
        <charset val="134"/>
      </rPr>
      <t xml:space="preserve">Mở độc giả chờ duyệt ở chế độ sửa, click button「承認しない」
</t>
    </r>
    <r>
      <rPr>
        <b/>
        <sz val="10"/>
        <color rgb="FF000000"/>
        <rFont val="游ゴシック"/>
        <charset val="134"/>
      </rPr>
      <t xml:space="preserve">ステップ2：
</t>
    </r>
    <r>
      <rPr>
        <sz val="10"/>
        <color rgb="FF000000"/>
        <rFont val="游ゴシック"/>
        <charset val="134"/>
      </rPr>
      <t xml:space="preserve">Click「いいえ」ở dialog xác nhận từ chối
</t>
    </r>
    <r>
      <rPr>
        <b/>
        <sz val="10"/>
        <color rgb="FF000000"/>
        <rFont val="游ゴシック"/>
        <charset val="134"/>
      </rPr>
      <t xml:space="preserve">ステップ3：
</t>
    </r>
    <r>
      <rPr>
        <sz val="10"/>
        <color rgb="FF000000"/>
        <rFont val="游ゴシック"/>
        <charset val="134"/>
      </rPr>
      <t>Chạy query sau trong DB, xác nhận status
```sql
SELECT denshi_shonin_status FROM t_dokusya WHERE dokusya_id = 202;
```</t>
    </r>
  </si>
  <si>
    <r>
      <rPr>
        <b/>
        <sz val="10"/>
        <color rgb="FF000000"/>
        <rFont val="メイリオ"/>
        <charset val="134"/>
      </rPr>
      <t xml:space="preserve">ステップ1：
</t>
    </r>
    <r>
      <rPr>
        <sz val="10"/>
        <color rgb="FF000000"/>
        <rFont val="メイリオ"/>
        <charset val="134"/>
      </rPr>
      <t xml:space="preserve">Dialog xác nhận từ chối được hiển thị
</t>
    </r>
    <r>
      <rPr>
        <b/>
        <sz val="10"/>
        <color rgb="FF000000"/>
        <rFont val="メイリオ"/>
        <charset val="134"/>
      </rPr>
      <t xml:space="preserve">ステップ2：
</t>
    </r>
    <r>
      <rPr>
        <sz val="10"/>
        <color rgb="FF000000"/>
        <rFont val="メイリオ"/>
        <charset val="134"/>
      </rPr>
      <t xml:space="preserve">Xử lý từ chối không được thực hiện, màn hình hiện tại được giữ nguyên
</t>
    </r>
    <r>
      <rPr>
        <b/>
        <sz val="10"/>
        <color rgb="FF000000"/>
        <rFont val="メイリオ"/>
        <charset val="134"/>
      </rPr>
      <t xml:space="preserve">ステップ3：
</t>
    </r>
    <r>
      <rPr>
        <sz val="10"/>
        <color rgb="FF000000"/>
        <rFont val="メイリオ"/>
        <charset val="134"/>
      </rPr>
      <t xml:space="preserve">denshi_shonin_status của t_dokusya giữ nguyên 0 (chờ duyệt) không bị thay đổi
</t>
    </r>
    <r>
      <rPr>
        <b/>
        <sz val="10"/>
        <color rgb="FF000000"/>
        <rFont val="メイリオ"/>
        <charset val="134"/>
      </rPr>
      <t xml:space="preserve">補足：
</t>
    </r>
    <r>
      <rPr>
        <sz val="10"/>
        <color rgb="FF000000"/>
        <rFont val="メイリオ"/>
        <charset val="134"/>
      </rPr>
      <t>・Khi click「いいえ」ở dialog xác nhận từ chối thì không làm gì và giữ nguyên màn hình hiện tại (機能定義 §4.4)</t>
    </r>
  </si>
  <si>
    <t>Không dùng dialog xác nhận.</t>
  </si>
  <si>
    <t>ACSMS-TC-011-035</t>
  </si>
  <si>
    <t>Lấy・hiển thị danh sách lịch sử thay đổi</t>
  </si>
  <si>
    <t>・role: JA_HONTEN（ja_id=100 所属）
・Tồn tại từ 2 lịch sử trở lên (rireki_no=1, 2) ở độc giả (dokusya_id=100)</t>
  </si>
  <si>
    <r>
      <rPr>
        <b/>
        <sz val="10"/>
        <color rgb="FF000000"/>
        <rFont val="メイリオ"/>
        <charset val="134"/>
      </rPr>
      <t xml:space="preserve">ステップ1：
</t>
    </r>
    <r>
      <rPr>
        <sz val="10"/>
        <color rgb="FF000000"/>
        <rFont val="メイリオ"/>
        <charset val="134"/>
      </rPr>
      <t xml:space="preserve">Mở màn hình đăng ký thông tin độc giả ở chế độ sửa, click button「履歴表示」
</t>
    </r>
    <r>
      <rPr>
        <b/>
        <sz val="10"/>
        <color rgb="FF000000"/>
        <rFont val="メイリオ"/>
        <charset val="134"/>
      </rPr>
      <t xml:space="preserve">ステップ2：
</t>
    </r>
    <r>
      <rPr>
        <sz val="10"/>
        <color rgb="FF000000"/>
        <rFont val="メイリオ"/>
        <charset val="134"/>
      </rPr>
      <t xml:space="preserve">Xác nhận response của GET `/api/v1/dokusya/100/history` qua tab Network của DevTools
</t>
    </r>
    <r>
      <rPr>
        <b/>
        <sz val="10"/>
        <color rgb="FF000000"/>
        <rFont val="メイリオ"/>
        <charset val="134"/>
      </rPr>
      <t xml:space="preserve">ステップ3：
</t>
    </r>
    <r>
      <rPr>
        <sz val="10"/>
        <color rgb="FF000000"/>
        <rFont val="メイリオ"/>
        <charset val="134"/>
      </rPr>
      <t>Xác nhận thứ tự sắp xếp danh sách lịch sử và項目 từng dòng (rireki_no・tetsuzuki_shurui・saishin_data_flg)</t>
    </r>
  </si>
  <si>
    <r>
      <rPr>
        <b/>
        <sz val="10"/>
        <color rgb="FF000000"/>
        <rFont val="メイリオ"/>
        <charset val="134"/>
      </rPr>
      <t xml:space="preserve">ステップ1：
</t>
    </r>
    <r>
      <rPr>
        <sz val="10"/>
        <color rgb="FF000000"/>
        <rFont val="メイリオ"/>
        <charset val="134"/>
      </rPr>
      <t xml:space="preserve">Màn hình thông tin lịch sử độc giả (danh sách lịch sử thay đổi) được hiển thị
</t>
    </r>
    <r>
      <rPr>
        <b/>
        <sz val="10"/>
        <color rgb="FF000000"/>
        <rFont val="メイリオ"/>
        <charset val="134"/>
      </rPr>
      <t xml:space="preserve">ステップ2：
</t>
    </r>
    <r>
      <rPr>
        <sz val="10"/>
        <color rgb="FF000000"/>
        <rFont val="メイリオ"/>
        <charset val="134"/>
      </rPr>
      <t xml:space="preserve">Trả về HTTP 200 (mảng `data` chứa record lịch sử)
</t>
    </r>
    <r>
      <rPr>
        <b/>
        <sz val="10"/>
        <color rgb="FF000000"/>
        <rFont val="メイリオ"/>
        <charset val="134"/>
      </rPr>
      <t xml:space="preserve">ステップ3：
</t>
    </r>
    <r>
      <rPr>
        <sz val="10"/>
        <color rgb="FF000000"/>
        <rFont val="メイリオ"/>
        <charset val="134"/>
      </rPr>
      <t xml:space="preserve">Danh sách lịch sử hiển thị theo thứ tự giảm dần của rireki_no, từng dòng hiển thị loại thủ tục (label m_code của tetsuzuki_shurui)・cờ dữ liệu mới nhất (saishin_data_flg)
</t>
    </r>
    <r>
      <rPr>
        <b/>
        <sz val="10"/>
        <color rgb="FF000000"/>
        <rFont val="メイリオ"/>
        <charset val="134"/>
      </rPr>
      <t xml:space="preserve">補足：
</t>
    </r>
    <r>
      <rPr>
        <sz val="10"/>
        <color rgb="FF000000"/>
        <rFont val="メイリオ"/>
        <charset val="134"/>
      </rPr>
      <t xml:space="preserve">・Click button「履歴表示」thì chuyển về màn hình thông tin lịch sử độc giả (ACSMS-SCR-013) (機能定義 §5.1)
</t>
    </r>
    <r>
      <rPr>
        <sz val="10"/>
        <color rgb="FF000000"/>
        <rFont val="メイリオ"/>
        <charset val="134"/>
      </rPr>
      <t xml:space="preserve">・Danh sách lịch sử được lấy theo thứ tự giảm dần rireki_no
</t>
    </r>
    <r>
      <rPr>
        <sz val="10"/>
        <color rgb="FF000000"/>
        <rFont val="メイリオ"/>
        <charset val="134"/>
      </rPr>
      <t>・Giá trị tetsuzuki_shurui được mapping sang label (m_code.code_category='TETSUZUKI_SHURUI')</t>
    </r>
  </si>
  <si>
    <t>Xử lý lỗi dùng chung (Common Error Handling)</t>
  </si>
  <si>
    <t>ACSMS-TC-011-036</t>
  </si>
  <si>
    <t>Lỗi dùng chung — UNAUTHORIZED — xử lý khi session hết hạn</t>
  </si>
  <si>
    <t>・role: JA_HONTEN（ja_id=100 所属）
・Đang hiển thị màn hình đăng ký thông tin độc giả
・Đã quá 24 giờ từ thao tác cuối, Redis session TTL đã hết hạn</t>
  </si>
  <si>
    <r>
      <rPr>
        <b/>
        <sz val="10"/>
        <color rgb="FF000000"/>
        <rFont val="メイリオ"/>
        <charset val="134"/>
      </rPr>
      <t xml:space="preserve">ステップ1：
</t>
    </r>
    <r>
      <rPr>
        <sz val="10"/>
        <color rgb="FF000000"/>
        <rFont val="メイリオ"/>
        <charset val="134"/>
      </rPr>
      <t xml:space="preserve">Click button「承認・登録」ở màn hình đăng ký thông tin độc giả, gửi request POST `/api/v1/dokusya`
</t>
    </r>
    <r>
      <rPr>
        <b/>
        <sz val="10"/>
        <color rgb="FF000000"/>
        <rFont val="メイリオ"/>
        <charset val="134"/>
      </rPr>
      <t xml:space="preserve">ステップ2：
</t>
    </r>
    <r>
      <rPr>
        <sz val="10"/>
        <color rgb="FF000000"/>
        <rFont val="メイリオ"/>
        <charset val="134"/>
      </rPr>
      <t>Xác nhận nội dung response và chuyển màn hình</t>
    </r>
  </si>
  <si>
    <r>
      <rPr>
        <b/>
        <sz val="10"/>
        <color rgb="FF000000"/>
        <rFont val="メイリオ"/>
        <charset val="134"/>
      </rPr>
      <t xml:space="preserve">ステップ1：
</t>
    </r>
    <r>
      <rPr>
        <sz val="10"/>
        <color rgb="FF000000"/>
        <rFont val="メイリオ"/>
        <charset val="134"/>
      </rPr>
      <t xml:space="preserve">Trả về HTTP 401 (`error_code: UNAUTHORIZED`, message `セッションが切れました。再度ログインしてください。`)
</t>
    </r>
    <r>
      <rPr>
        <b/>
        <sz val="10"/>
        <color rgb="FF000000"/>
        <rFont val="メイリオ"/>
        <charset val="134"/>
      </rPr>
      <t xml:space="preserve">ステップ2：
</t>
    </r>
    <r>
      <rPr>
        <sz val="10"/>
        <color rgb="FF000000"/>
        <rFont val="メイリオ"/>
        <charset val="134"/>
      </rPr>
      <t xml:space="preserve">Phía frontend state user của Pinia auth store được clear, tự động chuyển về `/login?redirect=...`
</t>
    </r>
    <r>
      <rPr>
        <b/>
        <sz val="10"/>
        <color rgb="FF000000"/>
        <rFont val="メイリオ"/>
        <charset val="134"/>
      </rPr>
      <t xml:space="preserve">補足：
</t>
    </r>
    <r>
      <rPr>
        <sz val="10"/>
        <color rgb="FF000000"/>
        <rFont val="メイリオ"/>
        <charset val="134"/>
      </rPr>
      <t>・Khi session hết hạn thì SessionAuthGuard phía backend trả về 401, axios interceptor phía frontend dẫn đồng nhất về màn hình đăng nhập</t>
    </r>
  </si>
  <si>
    <t>ACSMS-TC-011-037</t>
  </si>
  <si>
    <t>Lỗi dùng chung — FORBIDDEN — gọi trực tiếp API đăng ký khi không có quyền</t>
  </si>
  <si>
    <t>・role: NICHINO_ADMIN
・Không có quyền「dokusya.create」</t>
  </si>
  <si>
    <r>
      <rPr>
        <b/>
        <sz val="10"/>
        <color rgb="FF000000"/>
        <rFont val="メイリオ"/>
        <charset val="134"/>
      </rPr>
      <t xml:space="preserve">ステップ1：
</t>
    </r>
    <r>
      <rPr>
        <sz val="10"/>
        <color rgb="FF000000"/>
        <rFont val="メイリオ"/>
        <charset val="134"/>
      </rPr>
      <t xml:space="preserve">Từ Console của DevTools chạy `fetch('/api/v1/dokusya', { method: 'POST', credentials: 'include', headers: { 'Content-Type': 'application/json' }, body: '{}' })`
</t>
    </r>
    <r>
      <rPr>
        <b/>
        <sz val="10"/>
        <color rgb="FF000000"/>
        <rFont val="メイリオ"/>
        <charset val="134"/>
      </rPr>
      <t xml:space="preserve">ステップ2：
</t>
    </r>
    <r>
      <rPr>
        <sz val="10"/>
        <color rgb="FF000000"/>
        <rFont val="メイリオ"/>
        <charset val="134"/>
      </rPr>
      <t>Xác nhận HTTP status và error_code của response</t>
    </r>
  </si>
  <si>
    <r>
      <rPr>
        <b/>
        <sz val="10"/>
        <color rgb="FF000000"/>
        <rFont val="メイリオ"/>
        <charset val="134"/>
      </rPr>
      <t xml:space="preserve">ステップ1：
</t>
    </r>
    <r>
      <rPr>
        <sz val="10"/>
        <color rgb="FF000000"/>
        <rFont val="メイリオ"/>
        <charset val="134"/>
      </rPr>
      <t xml:space="preserve">Request bị từ chối ở kiểm tra quyền phía backend
</t>
    </r>
    <r>
      <rPr>
        <b/>
        <sz val="10"/>
        <color rgb="FF000000"/>
        <rFont val="メイリオ"/>
        <charset val="134"/>
      </rPr>
      <t xml:space="preserve">ステップ2：
</t>
    </r>
    <r>
      <rPr>
        <sz val="10"/>
        <color rgb="FF000000"/>
        <rFont val="メイリオ"/>
        <charset val="134"/>
      </rPr>
      <t xml:space="preserve">Trả về HTTP 403 (`error_code: FORBIDDEN`, message `この画面へのアクセス権限がありません。`)
</t>
    </r>
    <r>
      <rPr>
        <b/>
        <sz val="10"/>
        <color rgb="FF000000"/>
        <rFont val="メイリオ"/>
        <charset val="134"/>
      </rPr>
      <t xml:space="preserve">補足：
</t>
    </r>
    <r>
      <rPr>
        <sz val="10"/>
        <color rgb="FF000000"/>
        <rFont val="メイリオ"/>
        <charset val="134"/>
      </rPr>
      <t>・Role không có quyền `dokusya.create` dù gọi trực tiếp API đăng ký thì phía backend cũng trả về 403</t>
    </r>
  </si>
  <si>
    <t>ACSMS-TC-011-038</t>
  </si>
  <si>
    <t>Lỗi dùng chung — DATA_SCOPE_VIOLATION — thử đăng ký với scope JA khác</t>
  </si>
  <si>
    <t>・role: JA_HONTEN（ja_id=100 所属）
・Giữ管理支店ID・販売店ID thuộc JA khác (ja_id=200)</t>
  </si>
  <si>
    <r>
      <rPr>
        <b/>
        <sz val="10"/>
        <color rgb="FF000000"/>
        <rFont val="游ゴシック"/>
        <charset val="134"/>
      </rPr>
      <t xml:space="preserve">ステップ1：
</t>
    </r>
    <r>
      <rPr>
        <sz val="10"/>
        <color rgb="FF000000"/>
        <rFont val="游ゴシック"/>
        <charset val="134"/>
      </rPr>
      <t xml:space="preserve">Từ Console của DevTools chạy POST `/api/v1/dokusya`, chỉ định kanri_shiten_id・hanbaiten_id thuộc JA khác (ja_id=200) trong request body để gửi
</t>
    </r>
    <r>
      <rPr>
        <b/>
        <sz val="10"/>
        <color rgb="FF000000"/>
        <rFont val="游ゴシック"/>
        <charset val="134"/>
      </rPr>
      <t xml:space="preserve">ステップ2：
</t>
    </r>
    <r>
      <rPr>
        <sz val="10"/>
        <color rgb="FF000000"/>
        <rFont val="游ゴシック"/>
        <charset val="134"/>
      </rPr>
      <t>Xác nhận HTTP status và error_code của response</t>
    </r>
  </si>
  <si>
    <r>
      <rPr>
        <b/>
        <sz val="10"/>
        <color rgb="FF000000"/>
        <rFont val="メイリオ"/>
        <charset val="134"/>
      </rPr>
      <t xml:space="preserve">ステップ1：
</t>
    </r>
    <r>
      <rPr>
        <sz val="10"/>
        <color rgb="FF000000"/>
        <rFont val="メイリオ"/>
        <charset val="134"/>
      </rPr>
      <t xml:space="preserve">Request bị từ chối ở kiểm tra DataScope phía backend
</t>
    </r>
    <r>
      <rPr>
        <b/>
        <sz val="10"/>
        <color rgb="FF000000"/>
        <rFont val="メイリオ"/>
        <charset val="134"/>
      </rPr>
      <t xml:space="preserve">ステップ2：
</t>
    </r>
    <r>
      <rPr>
        <sz val="10"/>
        <color rgb="FF000000"/>
        <rFont val="メイリオ"/>
        <charset val="134"/>
      </rPr>
      <t xml:space="preserve">Trả về HTTP 403 (`error_code: DATA_SCOPE_VIOLATION`, message `このデータへのアクセス権限がありません。`)
</t>
    </r>
    <r>
      <rPr>
        <b/>
        <sz val="10"/>
        <color rgb="FF000000"/>
        <rFont val="メイリオ"/>
        <charset val="134"/>
      </rPr>
      <t xml:space="preserve">補足：
</t>
    </r>
    <r>
      <rPr>
        <sz val="10"/>
        <color rgb="FF000000"/>
        <rFont val="メイリオ"/>
        <charset val="134"/>
      </rPr>
      <t xml:space="preserve">・ja_id khi đăng ký được tự động thiết lập phía server, ja_id trong request body không được tin tưởng
</t>
    </r>
    <r>
      <rPr>
        <sz val="10"/>
        <color rgb="FF000000"/>
        <rFont val="メイリオ"/>
        <charset val="134"/>
      </rPr>
      <t xml:space="preserve">・Đăng ký chỉ định tham chiếu FK (管理支店・販売店) thuộc JA khác bị từ chối bằng DATA_SCOPE_VIOLATION (403)
</t>
    </r>
    <r>
      <rPr>
        <sz val="10"/>
        <color rgb="FF000000"/>
        <rFont val="メイリオ"/>
        <charset val="134"/>
      </rPr>
      <t>・Vi phạm DataScope của hệ tham chiếu (lấy chi tiết・lịch sử) bị ẩn sự tồn tại bằng 404, nhưng hệ đăng ký・cập nhật minh thị từ chối truy cập bằng 403</t>
    </r>
  </si>
  <si>
    <t>ACSMS-TC-011-039</t>
  </si>
  <si>
    <t>Lỗi dùng chung — VALIDATION_ERROR — gửi tích hợp giá trị không hợp lệ</t>
  </si>
  <si>
    <t>・role: JA_HONTEN（ja_id=100 所属）
・Đang mở tab Network của DevTools</t>
  </si>
  <si>
    <r>
      <rPr>
        <b/>
        <sz val="10"/>
        <color rgb="FF000000"/>
        <rFont val="メイリオ"/>
        <charset val="134"/>
      </rPr>
      <t xml:space="preserve">ステップ1：
</t>
    </r>
    <r>
      <rPr>
        <sz val="10"/>
        <color rgb="FF000000"/>
        <rFont val="メイリオ"/>
        <charset val="134"/>
      </rPr>
      <t xml:space="preserve">Từ Console của DevTools chạy POST `/api/v1/dokusya`, gửi shimei_sei rỗng・yubin_no là「123」(số chữ số sai)
</t>
    </r>
    <r>
      <rPr>
        <b/>
        <sz val="10"/>
        <color rgb="FF000000"/>
        <rFont val="メイリオ"/>
        <charset val="134"/>
      </rPr>
      <t xml:space="preserve">ステップ2：
</t>
    </r>
    <r>
      <rPr>
        <sz val="10"/>
        <color rgb="FF000000"/>
        <rFont val="メイリオ"/>
        <charset val="134"/>
      </rPr>
      <t>Xác nhận HTTP status・error_code・mảng errors của response</t>
    </r>
  </si>
  <si>
    <r>
      <rPr>
        <b/>
        <sz val="10"/>
        <color rgb="FF000000"/>
        <rFont val="メイリオ"/>
        <charset val="134"/>
      </rPr>
      <t xml:space="preserve">ステップ1：
</t>
    </r>
    <r>
      <rPr>
        <sz val="10"/>
        <color rgb="FF000000"/>
        <rFont val="メイリオ"/>
        <charset val="134"/>
      </rPr>
      <t xml:space="preserve">Request bị từ chối ở validation phía backend
</t>
    </r>
    <r>
      <rPr>
        <b/>
        <sz val="10"/>
        <color rgb="FF000000"/>
        <rFont val="メイリオ"/>
        <charset val="134"/>
      </rPr>
      <t xml:space="preserve">ステップ2：
</t>
    </r>
    <r>
      <rPr>
        <sz val="10"/>
        <color rgb="FF000000"/>
        <rFont val="メイリオ"/>
        <charset val="134"/>
      </rPr>
      <t xml:space="preserve">Trả về HTTP 400 (`error_code: VALIDATION_ERROR`, message `入力値が不正です。詳細はerrorsフィールドを確認してください。`, mảng `errors` chứa message từng項目 của shimei_sei・yubin_no)
</t>
    </r>
    <r>
      <rPr>
        <b/>
        <sz val="10"/>
        <color rgb="FF000000"/>
        <rFont val="メイリオ"/>
        <charset val="134"/>
      </rPr>
      <t xml:space="preserve">補足：
</t>
    </r>
    <r>
      <rPr>
        <sz val="10"/>
        <color rgb="FF000000"/>
        <rFont val="メイリオ"/>
        <charset val="134"/>
      </rPr>
      <t xml:space="preserve">・Lỗi validation được trả về theo dạng mảng `errors` (field + message)
</t>
    </r>
    <r>
      <rPr>
        <sz val="10"/>
        <color rgb="FF000000"/>
        <rFont val="メイリオ"/>
        <charset val="134"/>
      </rPr>
      <t>・Message từng項目 được hiển thị dưới từng項目 phía frontend</t>
    </r>
  </si>
  <si>
    <t>ACSMS-TC-011-040</t>
  </si>
  <si>
    <t>Lỗi dùng chung — NOT_FOUND — lấy độc giả đã xóa／không tồn tại</t>
  </si>
  <si>
    <t>・role: JA_HONTEN（ja_id=100 所属）
・ID độc giả không tồn tại (dokusya_id=999999)</t>
  </si>
  <si>
    <r>
      <rPr>
        <b/>
        <sz val="10"/>
        <color rgb="FF000000"/>
        <rFont val="游ゴシック"/>
        <charset val="134"/>
      </rPr>
      <t xml:space="preserve">ステップ1：
</t>
    </r>
    <r>
      <rPr>
        <sz val="10"/>
        <color rgb="FF000000"/>
        <rFont val="游ゴシック"/>
        <charset val="134"/>
      </rPr>
      <t xml:space="preserve">Nhập `/dokusya/999999` vào thanh địa chỉ trình duyệt, truy cập trực tiếp ở chế độ sửa
</t>
    </r>
    <r>
      <rPr>
        <b/>
        <sz val="10"/>
        <color rgb="FF000000"/>
        <rFont val="游ゴシック"/>
        <charset val="134"/>
      </rPr>
      <t xml:space="preserve">ステップ2：
</t>
    </r>
    <r>
      <rPr>
        <sz val="10"/>
        <color rgb="FF000000"/>
        <rFont val="游ゴシック"/>
        <charset val="134"/>
      </rPr>
      <t xml:space="preserve">Xác nhận response của GET `/api/v1/dokusya/999999` qua tab Network của DevTools
</t>
    </r>
    <r>
      <rPr>
        <b/>
        <sz val="10"/>
        <color rgb="FF000000"/>
        <rFont val="游ゴシック"/>
        <charset val="134"/>
      </rPr>
      <t xml:space="preserve">ステップ3：
</t>
    </r>
    <r>
      <rPr>
        <sz val="10"/>
        <color rgb="FF000000"/>
        <rFont val="游ゴシック"/>
        <charset val="134"/>
      </rPr>
      <t>Xác nhận hiển thị message phía màn hình</t>
    </r>
  </si>
  <si>
    <r>
      <rPr>
        <b/>
        <sz val="10"/>
        <color rgb="FF000000"/>
        <rFont val="メイリオ"/>
        <charset val="134"/>
      </rPr>
      <t xml:space="preserve">ステップ1：
</t>
    </r>
    <r>
      <rPr>
        <sz val="10"/>
        <color rgb="FF000000"/>
        <rFont val="メイリオ"/>
        <charset val="134"/>
      </rPr>
      <t xml:space="preserve">Màn hình đăng ký thông tin độc giả ở chế độ sửa được mở
</t>
    </r>
    <r>
      <rPr>
        <b/>
        <sz val="10"/>
        <color rgb="FF000000"/>
        <rFont val="メイリオ"/>
        <charset val="134"/>
      </rPr>
      <t xml:space="preserve">ステップ2：
</t>
    </r>
    <r>
      <rPr>
        <sz val="10"/>
        <color rgb="FF000000"/>
        <rFont val="メイリオ"/>
        <charset val="134"/>
      </rPr>
      <t xml:space="preserve">Trả về HTTP 404 (`error_code: NOT_FOUND`, message `指定された購読者が見つかりません。`)
</t>
    </r>
    <r>
      <rPr>
        <b/>
        <sz val="10"/>
        <color rgb="FF000000"/>
        <rFont val="メイリオ"/>
        <charset val="134"/>
      </rPr>
      <t xml:space="preserve">ステップ3：
</t>
    </r>
    <r>
      <rPr>
        <sz val="10"/>
        <color rgb="FF000000"/>
        <rFont val="メイリオ"/>
        <charset val="134"/>
      </rPr>
      <t xml:space="preserve">Message lấy dữ liệu thất bại ACSMS-MSG-011-016 `購読者ID #{id} が見つかりません。` được hiển thị
</t>
    </r>
    <r>
      <rPr>
        <b/>
        <sz val="10"/>
        <color rgb="FF000000"/>
        <rFont val="メイリオ"/>
        <charset val="134"/>
      </rPr>
      <t xml:space="preserve">補足：
</t>
    </r>
    <r>
      <rPr>
        <sz val="10"/>
        <color rgb="FF000000"/>
        <rFont val="メイリオ"/>
        <charset val="134"/>
      </rPr>
      <t xml:space="preserve">・Lấy ID độc giả không tồn tại trả về 404 (NOT_FOUND)
</t>
    </r>
    <r>
      <rPr>
        <sz val="10"/>
        <color rgb="FF000000"/>
        <rFont val="メイリオ"/>
        <charset val="134"/>
      </rPr>
      <t>・Khi lấy dữ liệu thất bại thì phía frontend hiển thị ACSMS-MSG-011-016</t>
    </r>
  </si>
  <si>
    <t>ACSMS-TC-011-041</t>
  </si>
  <si>
    <t>Lỗi dùng chung — DUPLICATE_EMAIL — trùng địa chỉ email</t>
  </si>
  <si>
    <t>・role: JA_HONTEN（ja_id=100 所属）
・Trong JA mình đã tồn tại độc giả có email=`existing@example.com`</t>
  </si>
  <si>
    <r>
      <rPr>
        <b/>
        <sz val="10"/>
        <color rgb="FF000000"/>
        <rFont val="メイリオ"/>
        <charset val="134"/>
      </rPr>
      <t xml:space="preserve">ステップ1：
</t>
    </r>
    <r>
      <rPr>
        <sz val="10"/>
        <color rgb="FF000000"/>
        <rFont val="メイリオ"/>
        <charset val="134"/>
      </rPr>
      <t xml:space="preserve">Chọn loại độc giả=電子版 ở chế độ tạo mới, nhập `existing@example.com` vào email (email), nhập tất cả項目 bắt buộc rồi click button「承認・登録」
</t>
    </r>
    <r>
      <rPr>
        <b/>
        <sz val="10"/>
        <color rgb="FF000000"/>
        <rFont val="メイリオ"/>
        <charset val="134"/>
      </rPr>
      <t xml:space="preserve">ステップ2：
</t>
    </r>
    <r>
      <rPr>
        <sz val="10"/>
        <color rgb="FF000000"/>
        <rFont val="メイリオ"/>
        <charset val="134"/>
      </rPr>
      <t xml:space="preserve">Xác nhận HTTP status và error_code của response
</t>
    </r>
    <r>
      <rPr>
        <b/>
        <sz val="10"/>
        <color rgb="FF000000"/>
        <rFont val="メイリオ"/>
        <charset val="134"/>
      </rPr>
      <t xml:space="preserve">ステップ3：
</t>
    </r>
    <r>
      <rPr>
        <sz val="10"/>
        <color rgb="FF000000"/>
        <rFont val="メイリオ"/>
        <charset val="134"/>
      </rPr>
      <t>Xác nhận hiển thị message phía màn hình</t>
    </r>
  </si>
  <si>
    <r>
      <rPr>
        <b/>
        <sz val="10"/>
        <color rgb="FF000000"/>
        <rFont val="メイリオ"/>
        <charset val="134"/>
      </rPr>
      <t xml:space="preserve">ステップ1：
</t>
    </r>
    <r>
      <rPr>
        <sz val="10"/>
        <color rgb="FF000000"/>
        <rFont val="メイリオ"/>
        <charset val="134"/>
      </rPr>
      <t xml:space="preserve">Xử lý đăng ký bị từ chối
</t>
    </r>
    <r>
      <rPr>
        <b/>
        <sz val="10"/>
        <color rgb="FF000000"/>
        <rFont val="メイリオ"/>
        <charset val="134"/>
      </rPr>
      <t xml:space="preserve">ステップ2：
</t>
    </r>
    <r>
      <rPr>
        <sz val="10"/>
        <color rgb="FF000000"/>
        <rFont val="メイリオ"/>
        <charset val="134"/>
      </rPr>
      <t xml:space="preserve">Trả về HTTP 400 (`error_code: DUPLICATE_EMAIL`, message `このメールアドレスは既に登録されています。`)
</t>
    </r>
    <r>
      <rPr>
        <b/>
        <sz val="10"/>
        <color rgb="FF000000"/>
        <rFont val="メイリオ"/>
        <charset val="134"/>
      </rPr>
      <t xml:space="preserve">ステップ3：
</t>
    </r>
    <r>
      <rPr>
        <sz val="10"/>
        <color rgb="FF000000"/>
        <rFont val="メイリオ"/>
        <charset val="134"/>
      </rPr>
      <t xml:space="preserve">Message `このメールアドレスは既に登録されています。`（ACSMS-MSG-011-009）được hiển thị, dữ liệu trùng không được đăng ký
</t>
    </r>
    <r>
      <rPr>
        <b/>
        <sz val="10"/>
        <color rgb="FF000000"/>
        <rFont val="メイリオ"/>
        <charset val="134"/>
      </rPr>
      <t xml:space="preserve">補足：
</t>
    </r>
    <r>
      <rPr>
        <sz val="10"/>
        <color rgb="FF000000"/>
        <rFont val="メイリオ"/>
        <charset val="134"/>
      </rPr>
      <t xml:space="preserve">・Khi email được nhập thì kiểm tra trùng trong JA mình (`ja_id = :ja_id`, loại trừ chuỗi rỗng) (機能定義 §2.5)
</t>
    </r>
    <r>
      <rPr>
        <sz val="10"/>
        <color rgb="FF000000"/>
        <rFont val="メイリオ"/>
        <charset val="134"/>
      </rPr>
      <t>・Khi trùng thì trả về DUPLICATE_EMAIL (400)</t>
    </r>
  </si>
  <si>
    <t>ACSMS-TC-011-042</t>
  </si>
  <si>
    <t>Lỗi dùng chung — INVALID_STATUS — thử duyệt độc giả không phải chờ duyệt</t>
  </si>
  <si>
    <t>・role: JA_HONTEN（ja_id=100 所属, có cờ xử lý bản điện tử）
・Tồn tại độc giả denshi_shonin_status=1 (đã duyệt) (dokusya_id=210)</t>
  </si>
  <si>
    <r>
      <rPr>
        <b/>
        <sz val="10"/>
        <color rgb="FF000000"/>
        <rFont val="游ゴシック"/>
        <charset val="134"/>
      </rPr>
      <t xml:space="preserve">ステップ1：
</t>
    </r>
    <r>
      <rPr>
        <sz val="10"/>
        <color rgb="FF000000"/>
        <rFont val="游ゴシック"/>
        <charset val="134"/>
      </rPr>
      <t xml:space="preserve">Từ Console của DevTools chạy PUT `/api/v1/dokusya/210/approve`
</t>
    </r>
    <r>
      <rPr>
        <b/>
        <sz val="10"/>
        <color rgb="FF000000"/>
        <rFont val="游ゴシック"/>
        <charset val="134"/>
      </rPr>
      <t xml:space="preserve">ステップ2：
</t>
    </r>
    <r>
      <rPr>
        <sz val="10"/>
        <color rgb="FF000000"/>
        <rFont val="游ゴシック"/>
        <charset val="134"/>
      </rPr>
      <t xml:space="preserve">Xác nhận HTTP status và error_code của response
</t>
    </r>
    <r>
      <rPr>
        <b/>
        <sz val="10"/>
        <color rgb="FF000000"/>
        <rFont val="游ゴシック"/>
        <charset val="134"/>
      </rPr>
      <t xml:space="preserve">ステップ3：
</t>
    </r>
    <r>
      <rPr>
        <sz val="10"/>
        <color rgb="FF000000"/>
        <rFont val="游ゴシック"/>
        <charset val="134"/>
      </rPr>
      <t>Từ Console của DevTools chạy PUT `/api/v1/dokusya/210/reject`, xác nhận response</t>
    </r>
  </si>
  <si>
    <r>
      <rPr>
        <b/>
        <sz val="10"/>
        <color rgb="FF000000"/>
        <rFont val="游ゴシック"/>
        <charset val="134"/>
      </rPr>
      <t xml:space="preserve">ステップ1：
</t>
    </r>
    <r>
      <rPr>
        <sz val="10"/>
        <color rgb="FF000000"/>
        <rFont val="游ゴシック"/>
        <charset val="134"/>
      </rPr>
      <t xml:space="preserve">Xử lý duyệt bị từ chối
</t>
    </r>
    <r>
      <rPr>
        <b/>
        <sz val="10"/>
        <color rgb="FF000000"/>
        <rFont val="游ゴシック"/>
        <charset val="134"/>
      </rPr>
      <t xml:space="preserve">ステップ2：
</t>
    </r>
    <r>
      <rPr>
        <sz val="10"/>
        <color rgb="FF000000"/>
        <rFont val="游ゴシック"/>
        <charset val="134"/>
      </rPr>
      <t xml:space="preserve">Trả về HTTP 400 (`error_code: INVALID_STATUS`, message `承認待ちの読者ではありません。`)
</t>
    </r>
    <r>
      <rPr>
        <b/>
        <sz val="10"/>
        <color rgb="FF000000"/>
        <rFont val="游ゴシック"/>
        <charset val="134"/>
      </rPr>
      <t xml:space="preserve">ステップ3：
</t>
    </r>
    <r>
      <rPr>
        <sz val="10"/>
        <color rgb="FF000000"/>
        <rFont val="游ゴシック"/>
        <charset val="134"/>
      </rPr>
      <t xml:space="preserve">Trả về HTTP 400 (`error_code: INVALID_STATUS`, message `承認待ちの読者ではありません。`)
</t>
    </r>
    <r>
      <rPr>
        <b/>
        <sz val="10"/>
        <color rgb="FF000000"/>
        <rFont val="游ゴシック"/>
        <charset val="134"/>
      </rPr>
      <t xml:space="preserve">補足：
</t>
    </r>
    <r>
      <rPr>
        <sz val="10"/>
        <color rgb="FF000000"/>
        <rFont val="游ゴシック"/>
        <charset val="134"/>
      </rPr>
      <t>・Khi denshi_shonin_status khác 0 thì API duyệt・từ chối trả về INVALID_STATUS (400) (機能定義 §3.1, §4.1)</t>
    </r>
  </si>
  <si>
    <t>ACSMS-TC-011-043</t>
  </si>
  <si>
    <t>Lỗi dùng chung — BAD_REQUEST — request parameter không hợp lệ</t>
  </si>
  <si>
    <r>
      <rPr>
        <b/>
        <sz val="10"/>
        <color rgb="FF000000"/>
        <rFont val="メイリオ"/>
        <charset val="134"/>
      </rPr>
      <t xml:space="preserve">ステップ1：
</t>
    </r>
    <r>
      <rPr>
        <sz val="10"/>
        <color rgb="FF000000"/>
        <rFont val="メイリオ"/>
        <charset val="134"/>
      </rPr>
      <t xml:space="preserve">Từ Console của DevTools chạy `fetch('/api/v1/dokusya/abc', { credentials: 'include' })` (chỉ định dokusya_id là phi số)
</t>
    </r>
    <r>
      <rPr>
        <b/>
        <sz val="10"/>
        <color rgb="FF000000"/>
        <rFont val="メイリオ"/>
        <charset val="134"/>
      </rPr>
      <t xml:space="preserve">ステップ2：
</t>
    </r>
    <r>
      <rPr>
        <sz val="10"/>
        <color rgb="FF000000"/>
        <rFont val="メイリオ"/>
        <charset val="134"/>
      </rPr>
      <t>Xác nhận HTTP status và error_code của response</t>
    </r>
  </si>
  <si>
    <r>
      <rPr>
        <b/>
        <sz val="10"/>
        <color rgb="FF000000"/>
        <rFont val="メイリオ"/>
        <charset val="134"/>
      </rPr>
      <t xml:space="preserve">ステップ1：
</t>
    </r>
    <r>
      <rPr>
        <sz val="10"/>
        <color rgb="FF000000"/>
        <rFont val="メイリオ"/>
        <charset val="134"/>
      </rPr>
      <t xml:space="preserve">Request bị từ chối ở validation phía backend
</t>
    </r>
    <r>
      <rPr>
        <b/>
        <sz val="10"/>
        <color rgb="FF000000"/>
        <rFont val="メイリオ"/>
        <charset val="134"/>
      </rPr>
      <t xml:space="preserve">ステップ2：
</t>
    </r>
    <r>
      <rPr>
        <sz val="10"/>
        <color rgb="FF000000"/>
        <rFont val="メイリオ"/>
        <charset val="134"/>
      </rPr>
      <t xml:space="preserve">Trả về HTTP 400 (`error_code: BAD_REQUEST`, message `リクエストパラメータが不正です。`)
</t>
    </r>
    <r>
      <rPr>
        <b/>
        <sz val="10"/>
        <color rgb="FF000000"/>
        <rFont val="メイリオ"/>
        <charset val="134"/>
      </rPr>
      <t xml:space="preserve">補足：
</t>
    </r>
    <r>
      <rPr>
        <sz val="10"/>
        <color rgb="FF000000"/>
        <rFont val="メイリオ"/>
        <charset val="134"/>
      </rPr>
      <t>・dokusya_id path parameter được kiểm tra kiểu số, khi giá trị không hợp lệ thì được map sang BAD_REQUEST</t>
    </r>
  </si>
  <si>
    <t>ACSMS-TC-011-044</t>
  </si>
  <si>
    <t>Lỗi dùng chung — TOO_MANY_REQUESTS — vượt giới hạn rate</t>
  </si>
  <si>
    <t>・role: JA_HONTEN（ja_id=100 所属）
・Dùng script test gửi GET `/api/v1/dokusya/1` vượt giới hạn trong 1 phút</t>
  </si>
  <si>
    <r>
      <rPr>
        <b/>
        <sz val="10"/>
        <color rgb="FF000000"/>
        <rFont val="メイリオ"/>
        <charset val="134"/>
      </rPr>
      <t xml:space="preserve">ステップ1：
</t>
    </r>
    <r>
      <rPr>
        <sz val="10"/>
        <color rgb="FF000000"/>
        <rFont val="メイリオ"/>
        <charset val="134"/>
      </rPr>
      <t xml:space="preserve">Khởi động script, gửi request tần suất cao tới API lấy độc giả
</t>
    </r>
    <r>
      <rPr>
        <b/>
        <sz val="10"/>
        <color rgb="FF000000"/>
        <rFont val="メイリオ"/>
        <charset val="134"/>
      </rPr>
      <t xml:space="preserve">ステップ2：
</t>
    </r>
    <r>
      <rPr>
        <sz val="10"/>
        <color rgb="FF000000"/>
        <rFont val="メイリオ"/>
        <charset val="134"/>
      </rPr>
      <t xml:space="preserve">Xác nhận HTTP status và error_code của response
</t>
    </r>
    <r>
      <rPr>
        <b/>
        <sz val="10"/>
        <color rgb="FF000000"/>
        <rFont val="メイリオ"/>
        <charset val="134"/>
      </rPr>
      <t xml:space="preserve">ステップ3：
</t>
    </r>
    <r>
      <rPr>
        <sz val="10"/>
        <color rgb="FF000000"/>
        <rFont val="メイリオ"/>
        <charset val="134"/>
      </rPr>
      <t>Xác nhận hiển thị toast phía màn hình</t>
    </r>
  </si>
  <si>
    <r>
      <rPr>
        <b/>
        <sz val="10"/>
        <color rgb="FF000000"/>
        <rFont val="メイリオ"/>
        <charset val="134"/>
      </rPr>
      <t xml:space="preserve">ステップ1：
</t>
    </r>
    <r>
      <rPr>
        <sz val="10"/>
        <color rgb="FF000000"/>
        <rFont val="メイリオ"/>
        <charset val="134"/>
      </rPr>
      <t xml:space="preserve">Đến số lượng giới hạn thì phản hồi bình thường, sau đó trả về 429
</t>
    </r>
    <r>
      <rPr>
        <b/>
        <sz val="10"/>
        <color rgb="FF000000"/>
        <rFont val="メイリオ"/>
        <charset val="134"/>
      </rPr>
      <t xml:space="preserve">ステップ2：
</t>
    </r>
    <r>
      <rPr>
        <sz val="10"/>
        <color rgb="FF000000"/>
        <rFont val="メイリオ"/>
        <charset val="134"/>
      </rPr>
      <t xml:space="preserve">Trả về HTTP 429 (`error_code: TOO_MANY_REQUESTS`, message `リクエスト回数が上限を超えました。しばらくしてから再度お試しください。`)
</t>
    </r>
    <r>
      <rPr>
        <b/>
        <sz val="10"/>
        <color rgb="FF000000"/>
        <rFont val="メイリオ"/>
        <charset val="134"/>
      </rPr>
      <t xml:space="preserve">ステップ3：
</t>
    </r>
    <r>
      <rPr>
        <sz val="10"/>
        <color rgb="FF000000"/>
        <rFont val="メイリオ"/>
        <charset val="134"/>
      </rPr>
      <t xml:space="preserve">Toast `リクエスト回数が上限を超えました。しばらくしてから再度お試しください。` được hiển thị
</t>
    </r>
    <r>
      <rPr>
        <b/>
        <sz val="10"/>
        <color rgb="FF000000"/>
        <rFont val="メイリオ"/>
        <charset val="134"/>
      </rPr>
      <t xml:space="preserve">補足：
</t>
    </r>
    <r>
      <rPr>
        <sz val="10"/>
        <color rgb="FF000000"/>
        <rFont val="メイリオ"/>
        <charset val="134"/>
      </rPr>
      <t xml:space="preserve">・NestJS @Throttle decorator + AWS WAF rate limit block ở cả 2 lớp hạ tầng／ứng dụng
</t>
    </r>
    <r>
      <rPr>
        <sz val="10"/>
        <color rgb="FF000000"/>
        <rFont val="メイリオ"/>
        <charset val="134"/>
      </rPr>
      <t>・Tuân thủ quan điểm VP-A-08「レート制限・Throttling」(testcase-viewpoints.md v1.1)</t>
    </r>
  </si>
  <si>
    <t>ACSMS-TC-011-045</t>
  </si>
  <si>
    <t>Lỗi dùng chung — INTERNAL_SERVER_ERROR — lỗi server</t>
  </si>
  <si>
    <t>・role: JA_HONTEN（ja_id=100 所属）
・Trạng thái có thể giả lập sự cố server như lỗi kết nối DB</t>
  </si>
  <si>
    <r>
      <rPr>
        <b/>
        <sz val="10"/>
        <color rgb="FF000000"/>
        <rFont val="メイリオ"/>
        <charset val="134"/>
      </rPr>
      <t xml:space="preserve">ステップ1：
</t>
    </r>
    <r>
      <rPr>
        <sz val="10"/>
        <color rgb="FF000000"/>
        <rFont val="メイリオ"/>
        <charset val="134"/>
      </rPr>
      <t xml:space="preserve">Ở trạng thái giả lập sự cố server (lỗi kết nối DB v.v.) click button「承認・登録」
</t>
    </r>
    <r>
      <rPr>
        <b/>
        <sz val="10"/>
        <color rgb="FF000000"/>
        <rFont val="メイリオ"/>
        <charset val="134"/>
      </rPr>
      <t xml:space="preserve">ステップ2：
</t>
    </r>
    <r>
      <rPr>
        <sz val="10"/>
        <color rgb="FF000000"/>
        <rFont val="メイリオ"/>
        <charset val="134"/>
      </rPr>
      <t xml:space="preserve">Xác nhận HTTP status và error_code của response POST `/api/v1/dokusya`
</t>
    </r>
    <r>
      <rPr>
        <b/>
        <sz val="10"/>
        <color rgb="FF000000"/>
        <rFont val="メイリオ"/>
        <charset val="134"/>
      </rPr>
      <t xml:space="preserve">ステップ3：
</t>
    </r>
    <r>
      <rPr>
        <sz val="10"/>
        <color rgb="FF000000"/>
        <rFont val="メイリオ"/>
        <charset val="134"/>
      </rPr>
      <t>Xác nhận hiển thị message phía màn hình và việc ghi error log</t>
    </r>
  </si>
  <si>
    <r>
      <rPr>
        <b/>
        <sz val="10"/>
        <color rgb="FF000000"/>
        <rFont val="メイリオ"/>
        <charset val="134"/>
      </rPr>
      <t xml:space="preserve">ステップ1：
</t>
    </r>
    <r>
      <rPr>
        <sz val="10"/>
        <color rgb="FF000000"/>
        <rFont val="メイリオ"/>
        <charset val="134"/>
      </rPr>
      <t xml:space="preserve">Xử lý đăng ký thất bại
</t>
    </r>
    <r>
      <rPr>
        <b/>
        <sz val="10"/>
        <color rgb="FF000000"/>
        <rFont val="メイリオ"/>
        <charset val="134"/>
      </rPr>
      <t xml:space="preserve">ステップ2：
</t>
    </r>
    <r>
      <rPr>
        <sz val="10"/>
        <color rgb="FF000000"/>
        <rFont val="メイリオ"/>
        <charset val="134"/>
      </rPr>
      <t xml:space="preserve">Trả về HTTP 500 (`error_code: INTERNAL_SERVER_ERROR`, message `システムエラーが発生しました。しばらくしてから再度お試しください。`)
</t>
    </r>
    <r>
      <rPr>
        <b/>
        <sz val="10"/>
        <color rgb="FF000000"/>
        <rFont val="メイリオ"/>
        <charset val="134"/>
      </rPr>
      <t xml:space="preserve">ステップ3：
</t>
    </r>
    <r>
      <rPr>
        <sz val="10"/>
        <color rgb="FF000000"/>
        <rFont val="メイリオ"/>
        <charset val="134"/>
      </rPr>
      <t xml:space="preserve">Message `システムエラーが発生しました。しばらくしてから再度お試しください。`（ACSMS-MSG-011-012）được hiển thị, error log (log_type=3, result_status=2) được ghi vào t_log, stack trace không hiển thị cho người dùng
</t>
    </r>
    <r>
      <rPr>
        <b/>
        <sz val="10"/>
        <color rgb="FF000000"/>
        <rFont val="メイリオ"/>
        <charset val="134"/>
      </rPr>
      <t xml:space="preserve">補足：
</t>
    </r>
    <r>
      <rPr>
        <sz val="10"/>
        <color rgb="FF000000"/>
        <rFont val="メイリオ"/>
        <charset val="134"/>
      </rPr>
      <t xml:space="preserve">・Sự cố server như lỗi kết nối DB được map sang INTERNAL_SERVER_ERROR
</t>
    </r>
    <r>
      <rPr>
        <sz val="10"/>
        <color rgb="FF000000"/>
        <rFont val="メイリオ"/>
        <charset val="134"/>
      </rPr>
      <t>・Khi phát sinh lỗi thì ghi error log (log_type=3) ngoài transaction (ghi nghiệp vụ được rollback)</t>
    </r>
  </si>
  <si>
    <t>ACSMS-TC-011-046</t>
  </si>
  <si>
    <t>Lỗi dùng chung — xử lý khi mất kết nối mạng</t>
  </si>
  <si>
    <r>
      <rPr>
        <b/>
        <sz val="10"/>
        <color rgb="FF000000"/>
        <rFont val="メイリオ"/>
        <charset val="134"/>
      </rPr>
      <t xml:space="preserve">ステップ1：
</t>
    </r>
    <r>
      <rPr>
        <sz val="10"/>
        <color rgb="FF000000"/>
        <rFont val="メイリオ"/>
        <charset val="134"/>
      </rPr>
      <t xml:space="preserve">Thiết lập ngắt mạng (offline) ở tab Network của DevTools
</t>
    </r>
    <r>
      <rPr>
        <b/>
        <sz val="10"/>
        <color rgb="FF000000"/>
        <rFont val="メイリオ"/>
        <charset val="134"/>
      </rPr>
      <t xml:space="preserve">ステップ2：
</t>
    </r>
    <r>
      <rPr>
        <sz val="10"/>
        <color rgb="FF000000"/>
        <rFont val="メイリオ"/>
        <charset val="134"/>
      </rPr>
      <t xml:space="preserve">Click button「承認・登録」, gửi POST `/api/v1/dokusya`
</t>
    </r>
    <r>
      <rPr>
        <b/>
        <sz val="10"/>
        <color rgb="FF000000"/>
        <rFont val="メイリオ"/>
        <charset val="134"/>
      </rPr>
      <t xml:space="preserve">ステップ3：
</t>
    </r>
    <r>
      <rPr>
        <sz val="10"/>
        <color rgb="FF000000"/>
        <rFont val="メイリオ"/>
        <charset val="134"/>
      </rPr>
      <t>Xác nhận hiển thị toast phía màn hình</t>
    </r>
  </si>
  <si>
    <r>
      <rPr>
        <b/>
        <sz val="10"/>
        <color rgb="FF000000"/>
        <rFont val="メイリオ"/>
        <charset val="134"/>
      </rPr>
      <t xml:space="preserve">ステップ1：
</t>
    </r>
    <r>
      <rPr>
        <sz val="10"/>
        <color rgb="FF000000"/>
        <rFont val="メイリオ"/>
        <charset val="134"/>
      </rPr>
      <t xml:space="preserve">Trở thành trạng thái ngắt mạng
</t>
    </r>
    <r>
      <rPr>
        <b/>
        <sz val="10"/>
        <color rgb="FF000000"/>
        <rFont val="メイリオ"/>
        <charset val="134"/>
      </rPr>
      <t xml:space="preserve">ステップ2：
</t>
    </r>
    <r>
      <rPr>
        <sz val="10"/>
        <color rgb="FF000000"/>
        <rFont val="メイリオ"/>
        <charset val="134"/>
      </rPr>
      <t xml:space="preserve">API request trở thành lỗi mạng
</t>
    </r>
    <r>
      <rPr>
        <b/>
        <sz val="10"/>
        <color rgb="FF000000"/>
        <rFont val="メイリオ"/>
        <charset val="134"/>
      </rPr>
      <t xml:space="preserve">ステップ3：
</t>
    </r>
    <r>
      <rPr>
        <sz val="10"/>
        <color rgb="FF000000"/>
        <rFont val="メイリオ"/>
        <charset val="134"/>
      </rPr>
      <t xml:space="preserve">Toast `ネットワークエラーが発生しました。しばらくしてから再度お試しください。` được hiển thị, nội dung đã nhập được giữ lại
</t>
    </r>
    <r>
      <rPr>
        <b/>
        <sz val="10"/>
        <color rgb="FF000000"/>
        <rFont val="メイリオ"/>
        <charset val="134"/>
      </rPr>
      <t xml:space="preserve">補足：
</t>
    </r>
    <r>
      <rPr>
        <sz val="10"/>
        <color rgb="FF000000"/>
        <rFont val="メイリオ"/>
        <charset val="134"/>
      </rPr>
      <t xml:space="preserve">・Khi mất kết nối mạng thì axios interceptor phía frontend hiển thị toast lỗi mạng
</t>
    </r>
    <r>
      <rPr>
        <sz val="10"/>
        <color rgb="FF000000"/>
        <rFont val="メイリオ"/>
        <charset val="134"/>
      </rPr>
      <t>・Không phát sinh lỗi ngoài dự kiến, nội dung đã nhập không bị mất</t>
    </r>
  </si>
  <si>
    <t>Văn bản toast lỗi mạng tuân theo hiện thực của axios interceptor phía frontend.
---</t>
  </si>
  <si>
    <t>ACSMS-TC-011-047</t>
  </si>
  <si>
    <t>Luồng chỉnh sửa của bản điện tử thuần (mở ở chế độ xem, "Thay đổi hẹn trước" bị vô hiệu)</t>
  </si>
  <si>
    <t>ACSMS-TC-011-048</t>
  </si>
  <si>
    <t>Dropdown cửa hàng liên động theo loại người đọc (lọc cửa hàng dummy)</t>
  </si>
  <si>
    <t>ACSMS-TC-011-049</t>
  </si>
  <si>
    <t>Sửa phương thức thanh toán và 4 trường tài khoản rút tiền trước khi duyệt/từ chối (#56524)</t>
  </si>
  <si>
    <t>ACSMS-TC-011-050</t>
  </si>
  <si>
    <t>4 trường phụ thuộc của thuộc tính người đọc (kiêm cán bộ JA / liên quan nông nghiệp / nội dung khác)</t>
  </si>
  <si>
    <t>ACSMS-TC-011-051</t>
  </si>
  <si>
    <t>Kiểm tra trùng email của bản điện tử phải xuyên JA (#56568)</t>
  </si>
  <si>
    <t>ACSMS-TC-011-052</t>
  </si>
  <si>
    <t>Vùng thông tin nơi giao báo phải hiển thị với loại kết hợp (yêu cầu khách hàng 2026-08)</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</si>
</sst>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dd/mm/yyyy"/>
    <numFmt numFmtId="179" formatCode="0.0%"/>
  </numFmts>
  <fonts count="34">
    <font>
      <sz val="11"/>
      <color theme="1"/>
      <name val="Calibri"/>
      <charset val="134"/>
      <scheme val="minor"/>
    </font>
    <font>
      <b/>
      <sz val="11"/>
      <color rgb="FF000000"/>
      <name val="游ゴシック"/>
      <charset val="134"/>
    </font>
    <font>
      <sz val="11"/>
      <name val="Calibri"/>
      <charset val="134"/>
      <scheme val="minor"/>
    </font>
    <font>
      <sz val="11"/>
      <color rgb="FF000000"/>
      <name val="游ゴシック"/>
      <charset val="134"/>
    </font>
    <font>
      <sz val="11"/>
      <color theme="1"/>
      <name val="Arial"/>
      <charset val="134"/>
    </font>
    <font>
      <i/>
      <sz val="11"/>
      <color rgb="FF000000"/>
      <name val="游ゴシック"/>
      <charset val="134"/>
    </font>
    <font>
      <b/>
      <sz val="14"/>
      <color rgb="FF000000"/>
      <name val="游ゴシック"/>
      <charset val="134"/>
    </font>
    <font>
      <sz val="11"/>
      <color theme="1"/>
      <name val="Calibri"/>
      <charset val="134"/>
    </font>
    <font>
      <sz val="26"/>
      <color rgb="FF1F3864"/>
      <name val="游ゴシック"/>
      <charset val="134"/>
    </font>
    <font>
      <sz val="24"/>
      <color rgb="FF1F3864"/>
      <name val="游ゴシック"/>
      <charset val="134"/>
    </font>
    <font>
      <sz val="15"/>
      <color theme="1"/>
      <name val="游ゴシック"/>
      <charset val="134"/>
    </font>
    <font>
      <sz val="10"/>
      <color rgb="FF000000"/>
      <name val="游ゴシック"/>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0"/>
      <color rgb="FF000000"/>
      <name val="メイリオ"/>
      <charset val="134"/>
    </font>
    <font>
      <sz val="10"/>
      <color rgb="FF000000"/>
      <name val="メイリオ"/>
      <charset val="134"/>
    </font>
    <font>
      <b/>
      <sz val="10"/>
      <color rgb="FF000000"/>
      <name val="游ゴシック"/>
      <charset val="134"/>
    </font>
  </fonts>
  <fills count="41">
    <fill>
      <patternFill patternType="none"/>
    </fill>
    <fill>
      <patternFill patternType="gray125"/>
    </fill>
    <fill>
      <patternFill patternType="solid">
        <fgColor rgb="FFDEEAF6"/>
        <bgColor rgb="FFDEEAF6"/>
      </patternFill>
    </fill>
    <fill>
      <patternFill patternType="solid">
        <fgColor rgb="FFBDD6EE"/>
        <bgColor rgb="FFBDD6EE"/>
      </patternFill>
    </fill>
    <fill>
      <patternFill patternType="solid">
        <fgColor rgb="FFB4C6E7"/>
        <bgColor rgb="FFB4C6E7"/>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
      <patternFill patternType="solid">
        <fgColor rgb="FFFFFF99"/>
        <bgColor rgb="FFFFFF99"/>
      </patternFill>
    </fill>
    <fill>
      <patternFill patternType="solid">
        <fgColor rgb="FFD9E2F3"/>
        <bgColor rgb="FFD9E2F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10" borderId="15"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16" applyNumberFormat="0" applyFill="0" applyAlignment="0" applyProtection="0">
      <alignment vertical="center"/>
    </xf>
    <xf numFmtId="0" fontId="18" fillId="0" borderId="16" applyNumberFormat="0" applyFill="0" applyAlignment="0" applyProtection="0">
      <alignment vertical="center"/>
    </xf>
    <xf numFmtId="0" fontId="19" fillId="0" borderId="17" applyNumberFormat="0" applyFill="0" applyAlignment="0" applyProtection="0">
      <alignment vertical="center"/>
    </xf>
    <xf numFmtId="0" fontId="19" fillId="0" borderId="0" applyNumberFormat="0" applyFill="0" applyBorder="0" applyAlignment="0" applyProtection="0">
      <alignment vertical="center"/>
    </xf>
    <xf numFmtId="0" fontId="20" fillId="11" borderId="18" applyNumberFormat="0" applyAlignment="0" applyProtection="0">
      <alignment vertical="center"/>
    </xf>
    <xf numFmtId="0" fontId="21" fillId="12" borderId="19" applyNumberFormat="0" applyAlignment="0" applyProtection="0">
      <alignment vertical="center"/>
    </xf>
    <xf numFmtId="0" fontId="22" fillId="12" borderId="18" applyNumberFormat="0" applyAlignment="0" applyProtection="0">
      <alignment vertical="center"/>
    </xf>
    <xf numFmtId="0" fontId="23" fillId="13" borderId="20" applyNumberFormat="0" applyAlignment="0" applyProtection="0">
      <alignment vertical="center"/>
    </xf>
    <xf numFmtId="0" fontId="24" fillId="0" borderId="21" applyNumberFormat="0" applyFill="0" applyAlignment="0" applyProtection="0">
      <alignment vertical="center"/>
    </xf>
    <xf numFmtId="0" fontId="25" fillId="0" borderId="22" applyNumberFormat="0" applyFill="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9"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30" fillId="34" borderId="0" applyNumberFormat="0" applyBorder="0" applyAlignment="0" applyProtection="0">
      <alignment vertical="center"/>
    </xf>
    <xf numFmtId="0" fontId="30" fillId="35" borderId="0" applyNumberFormat="0" applyBorder="0" applyAlignment="0" applyProtection="0">
      <alignment vertical="center"/>
    </xf>
    <xf numFmtId="0" fontId="29" fillId="36" borderId="0" applyNumberFormat="0" applyBorder="0" applyAlignment="0" applyProtection="0">
      <alignment vertical="center"/>
    </xf>
    <xf numFmtId="0" fontId="29" fillId="37" borderId="0" applyNumberFormat="0" applyBorder="0" applyAlignment="0" applyProtection="0">
      <alignment vertical="center"/>
    </xf>
    <xf numFmtId="0" fontId="30" fillId="38" borderId="0" applyNumberFormat="0" applyBorder="0" applyAlignment="0" applyProtection="0">
      <alignment vertical="center"/>
    </xf>
    <xf numFmtId="0" fontId="30" fillId="39" borderId="0" applyNumberFormat="0" applyBorder="0" applyAlignment="0" applyProtection="0">
      <alignment vertical="center"/>
    </xf>
    <xf numFmtId="0" fontId="29" fillId="40" borderId="0" applyNumberFormat="0" applyBorder="0" applyAlignment="0" applyProtection="0">
      <alignment vertical="center"/>
    </xf>
  </cellStyleXfs>
  <cellXfs count="59">
    <xf numFmtId="0" fontId="0" fillId="0" borderId="0" xfId="0" applyFont="1" applyAlignment="1"/>
    <xf numFmtId="0" fontId="1" fillId="2"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3" fillId="0" borderId="1" xfId="0" applyFont="1" applyBorder="1" applyAlignment="1">
      <alignment horizontal="left"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0" fontId="2" fillId="0" borderId="10" xfId="0" applyFont="1" applyBorder="1"/>
    <xf numFmtId="0" fontId="2" fillId="0" borderId="11" xfId="0" applyFont="1" applyBorder="1"/>
    <xf numFmtId="0" fontId="1" fillId="3" borderId="1" xfId="0" applyFont="1" applyFill="1" applyBorder="1" applyAlignment="1">
      <alignment horizontal="left" vertical="center" wrapText="1"/>
    </xf>
    <xf numFmtId="0" fontId="3" fillId="0" borderId="12" xfId="0" applyFont="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0" fontId="4" fillId="0" borderId="1" xfId="0" applyFont="1" applyBorder="1" applyAlignment="1">
      <alignment horizontal="center" vertical="top" wrapText="1"/>
    </xf>
    <xf numFmtId="178" fontId="4" fillId="0" borderId="1" xfId="0" applyNumberFormat="1" applyFont="1" applyBorder="1" applyAlignment="1">
      <alignment horizontal="center" vertical="top" wrapText="1"/>
    </xf>
    <xf numFmtId="0" fontId="1" fillId="4" borderId="1" xfId="0" applyFont="1" applyFill="1" applyBorder="1" applyAlignment="1">
      <alignment horizontal="center" vertical="center" wrapText="1"/>
    </xf>
    <xf numFmtId="0" fontId="3" fillId="0" borderId="5" xfId="0" applyFont="1" applyBorder="1" applyAlignment="1">
      <alignment horizontal="center" vertical="center" wrapText="1"/>
    </xf>
    <xf numFmtId="49" fontId="3" fillId="0" borderId="5" xfId="0" applyNumberFormat="1" applyFont="1" applyBorder="1" applyAlignment="1">
      <alignment horizontal="center" vertical="center" wrapText="1"/>
    </xf>
    <xf numFmtId="0" fontId="1" fillId="0" borderId="0" xfId="0" applyFont="1" applyAlignment="1">
      <alignment horizontal="left" vertical="center" wrapText="1"/>
    </xf>
    <xf numFmtId="0" fontId="1" fillId="2" borderId="12" xfId="0" applyFont="1" applyFill="1" applyBorder="1" applyAlignment="1">
      <alignment horizontal="center" vertical="center" wrapText="1"/>
    </xf>
    <xf numFmtId="0" fontId="1" fillId="5" borderId="1" xfId="0" applyFont="1" applyFill="1" applyBorder="1" applyAlignment="1">
      <alignment horizontal="center" vertical="top" wrapText="1"/>
    </xf>
    <xf numFmtId="0" fontId="1" fillId="6" borderId="1" xfId="0" applyFont="1" applyFill="1" applyBorder="1" applyAlignment="1">
      <alignment horizontal="center" vertical="top" wrapText="1"/>
    </xf>
    <xf numFmtId="0" fontId="1" fillId="7" borderId="1" xfId="0" applyFont="1" applyFill="1" applyBorder="1" applyAlignment="1">
      <alignment horizontal="center" vertical="top" wrapText="1"/>
    </xf>
    <xf numFmtId="0" fontId="1" fillId="3" borderId="1" xfId="0" applyFont="1" applyFill="1" applyBorder="1" applyAlignment="1">
      <alignment horizontal="right" vertical="center" wrapText="1"/>
    </xf>
    <xf numFmtId="0" fontId="1" fillId="3" borderId="1" xfId="0" applyFont="1" applyFill="1" applyBorder="1" applyAlignment="1">
      <alignment horizontal="center" vertical="center" wrapText="1"/>
    </xf>
    <xf numFmtId="0" fontId="1" fillId="0" borderId="1" xfId="0" applyFont="1" applyBorder="1" applyAlignment="1">
      <alignment horizontal="center" vertical="top" wrapText="1"/>
    </xf>
    <xf numFmtId="0" fontId="5" fillId="0" borderId="1" xfId="0" applyFont="1" applyBorder="1" applyAlignment="1">
      <alignment horizontal="left" vertical="top" wrapText="1"/>
    </xf>
    <xf numFmtId="0" fontId="6" fillId="4" borderId="1"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2" borderId="12" xfId="0" applyFont="1" applyFill="1" applyBorder="1" applyAlignment="1">
      <alignment horizontal="left" vertical="center" wrapText="1"/>
    </xf>
    <xf numFmtId="0" fontId="3" fillId="0" borderId="12" xfId="0" applyFont="1" applyBorder="1" applyAlignment="1">
      <alignment horizontal="center" vertical="center" wrapText="1"/>
    </xf>
    <xf numFmtId="179" fontId="3" fillId="0" borderId="1" xfId="0" applyNumberFormat="1" applyFont="1" applyBorder="1" applyAlignment="1">
      <alignment horizontal="center" vertical="center" wrapText="1"/>
    </xf>
    <xf numFmtId="179" fontId="1" fillId="0" borderId="1" xfId="0" applyNumberFormat="1" applyFont="1" applyBorder="1" applyAlignment="1">
      <alignment horizontal="center" vertical="center" wrapText="1"/>
    </xf>
    <xf numFmtId="0" fontId="3" fillId="0" borderId="0" xfId="0" applyFont="1" applyAlignment="1">
      <alignment horizontal="left" vertical="center" wrapText="1"/>
    </xf>
    <xf numFmtId="0" fontId="1" fillId="8" borderId="0" xfId="0" applyFont="1" applyFill="1" applyBorder="1" applyAlignment="1">
      <alignment horizontal="left" vertical="center" wrapText="1"/>
    </xf>
    <xf numFmtId="0" fontId="2" fillId="0" borderId="0" xfId="0" applyFont="1" applyBorder="1"/>
    <xf numFmtId="0" fontId="1" fillId="4" borderId="12" xfId="0" applyFont="1" applyFill="1" applyBorder="1" applyAlignment="1">
      <alignment horizontal="center" vertical="center" wrapText="1"/>
    </xf>
    <xf numFmtId="0" fontId="7" fillId="0" borderId="5" xfId="0" applyFont="1" applyBorder="1"/>
    <xf numFmtId="0" fontId="7" fillId="0" borderId="6" xfId="0" applyFont="1" applyBorder="1"/>
    <xf numFmtId="0" fontId="7" fillId="0" borderId="7" xfId="0" applyFont="1" applyBorder="1"/>
    <xf numFmtId="0" fontId="7" fillId="0" borderId="13" xfId="0" applyFont="1" applyBorder="1"/>
    <xf numFmtId="0" fontId="7" fillId="0" borderId="14" xfId="0" applyFont="1" applyBorder="1"/>
    <xf numFmtId="0" fontId="8" fillId="0" borderId="13" xfId="0" applyFont="1" applyBorder="1" applyAlignment="1">
      <alignment horizontal="center" vertical="center" wrapText="1"/>
    </xf>
    <xf numFmtId="0" fontId="2" fillId="0" borderId="14" xfId="0" applyFont="1" applyBorder="1"/>
    <xf numFmtId="0" fontId="9" fillId="0" borderId="13" xfId="0" applyFont="1" applyBorder="1" applyAlignment="1">
      <alignment horizontal="center" vertical="center" wrapText="1"/>
    </xf>
    <xf numFmtId="0" fontId="10" fillId="0" borderId="13" xfId="0" applyFont="1" applyBorder="1" applyAlignment="1">
      <alignment horizontal="center" vertical="center" wrapText="1"/>
    </xf>
    <xf numFmtId="0" fontId="11" fillId="9" borderId="1" xfId="0" applyFont="1" applyFill="1" applyBorder="1" applyAlignment="1">
      <alignment horizontal="center" vertical="center" wrapText="1"/>
    </xf>
    <xf numFmtId="49" fontId="11" fillId="9" borderId="1" xfId="0" applyNumberFormat="1" applyFont="1" applyFill="1" applyBorder="1" applyAlignment="1">
      <alignment horizontal="center" vertical="center" wrapText="1"/>
    </xf>
    <xf numFmtId="0" fontId="7" fillId="0" borderId="9" xfId="0" applyFont="1" applyBorder="1"/>
    <xf numFmtId="0" fontId="7" fillId="0" borderId="10" xfId="0" applyFont="1" applyBorder="1"/>
    <xf numFmtId="0" fontId="7" fillId="0" borderId="11" xfId="0" applyFont="1" applyBorder="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15</xdr:col>
      <xdr:colOff>0</xdr:colOff>
      <xdr:row>2</xdr:row>
      <xdr:rowOff>0</xdr:rowOff>
    </xdr:from>
    <xdr:ext cx="1333500" cy="514350"/>
    <xdr:pic>
      <xdr:nvPicPr>
        <xdr:cNvPr id="2" name="image1.png" descr="Picture"/>
        <xdr:cNvPicPr preferRelativeResize="0"/>
      </xdr:nvPicPr>
      <xdr:blipFill>
        <a:blip r:embed="rId1" cstate="print"/>
        <a:stretch>
          <a:fillRect/>
        </a:stretch>
      </xdr:blipFill>
      <xdr:spPr>
        <a:xfrm>
          <a:off x="3314700" y="409575"/>
          <a:ext cx="1333500" cy="5143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K1000"/>
  <sheetViews>
    <sheetView showGridLines="0" topLeftCell="A25" workbookViewId="0">
      <selection activeCell="A1" sqref="A1"/>
    </sheetView>
  </sheetViews>
  <sheetFormatPr defaultColWidth="14.4285714285714" defaultRowHeight="15" customHeight="1"/>
  <cols>
    <col min="1" max="1" width="3.71428571428571" customWidth="1"/>
    <col min="2" max="37" width="3.28571428571429" customWidth="1"/>
  </cols>
  <sheetData>
    <row r="1" ht="19.5" customHeight="1"/>
    <row r="2" ht="12.75" customHeight="1" spans="2:37">
      <c r="B2" s="45"/>
      <c r="C2" s="46"/>
      <c r="D2" s="46"/>
      <c r="E2" s="46"/>
      <c r="F2" s="46"/>
      <c r="G2" s="46"/>
      <c r="H2" s="46"/>
      <c r="I2" s="46"/>
      <c r="J2" s="46"/>
      <c r="K2" s="46"/>
      <c r="L2" s="46"/>
      <c r="M2" s="46"/>
      <c r="N2" s="46"/>
      <c r="O2" s="46"/>
      <c r="P2" s="46"/>
      <c r="Q2" s="46"/>
      <c r="R2" s="46"/>
      <c r="S2" s="46"/>
      <c r="T2" s="46"/>
      <c r="U2" s="46"/>
      <c r="V2" s="46"/>
      <c r="W2" s="46"/>
      <c r="X2" s="46"/>
      <c r="Y2" s="46"/>
      <c r="Z2" s="46"/>
      <c r="AA2" s="46"/>
      <c r="AB2" s="46"/>
      <c r="AC2" s="46"/>
      <c r="AD2" s="46"/>
      <c r="AE2" s="46"/>
      <c r="AF2" s="46"/>
      <c r="AG2" s="46"/>
      <c r="AH2" s="46"/>
      <c r="AI2" s="46"/>
      <c r="AJ2" s="46"/>
      <c r="AK2" s="47"/>
    </row>
    <row r="3" ht="12.75" customHeight="1" spans="2:37">
      <c r="B3" s="48"/>
      <c r="AK3" s="49"/>
    </row>
    <row r="4" ht="12.75" customHeight="1" spans="2:37">
      <c r="B4" s="48"/>
      <c r="AK4" s="49"/>
    </row>
    <row r="5" ht="12.75" customHeight="1" spans="2:37">
      <c r="B5" s="48"/>
      <c r="AK5" s="49"/>
    </row>
    <row r="6" ht="12.75" customHeight="1" spans="2:37">
      <c r="B6" s="48"/>
      <c r="AK6" s="49"/>
    </row>
    <row r="7" ht="12.75" customHeight="1" spans="2:37">
      <c r="B7" s="48"/>
      <c r="AK7" s="49"/>
    </row>
    <row r="8" ht="12.75" customHeight="1" spans="2:37">
      <c r="B8" s="48"/>
      <c r="AK8" s="49"/>
    </row>
    <row r="9" ht="12.75" customHeight="1" spans="2:37">
      <c r="B9" s="48"/>
      <c r="AK9" s="49"/>
    </row>
    <row r="10" ht="29.25" customHeight="1" spans="2:37">
      <c r="B10" s="50" t="s">
        <v>0</v>
      </c>
      <c r="AK10" s="51"/>
    </row>
    <row r="11" ht="12.75" customHeight="1" spans="2:37">
      <c r="B11" s="48"/>
      <c r="AK11" s="49"/>
    </row>
    <row r="12" ht="39" customHeight="1" spans="2:37">
      <c r="B12" s="52" t="s">
        <v>1</v>
      </c>
      <c r="AK12" s="51"/>
    </row>
    <row r="13" ht="12.75" customHeight="1" spans="2:37">
      <c r="B13" s="48"/>
      <c r="AK13" s="49"/>
    </row>
    <row r="14" ht="12.75" customHeight="1" spans="2:37">
      <c r="B14" s="48"/>
      <c r="AK14" s="49"/>
    </row>
    <row r="15" ht="12.75" customHeight="1" spans="2:37">
      <c r="B15" s="53" t="s">
        <v>2</v>
      </c>
      <c r="AK15" s="51"/>
    </row>
    <row r="16" ht="12.75" customHeight="1" spans="2:37">
      <c r="B16" s="48"/>
      <c r="AK16" s="49"/>
    </row>
    <row r="17" ht="12.75" customHeight="1" spans="2:37">
      <c r="B17" s="48"/>
      <c r="AK17" s="49"/>
    </row>
    <row r="18" ht="12.75" customHeight="1" spans="2:37">
      <c r="B18" s="48"/>
      <c r="N18" s="54" t="s">
        <v>3</v>
      </c>
      <c r="O18" s="2"/>
      <c r="P18" s="2"/>
      <c r="Q18" s="2"/>
      <c r="R18" s="3"/>
      <c r="S18" s="54" t="s">
        <v>4</v>
      </c>
      <c r="T18" s="2"/>
      <c r="U18" s="2"/>
      <c r="V18" s="2"/>
      <c r="W18" s="3"/>
      <c r="AK18" s="49"/>
    </row>
    <row r="19" ht="12.75" customHeight="1" spans="2:37">
      <c r="B19" s="48"/>
      <c r="N19" s="54" t="s">
        <v>5</v>
      </c>
      <c r="O19" s="2"/>
      <c r="P19" s="2"/>
      <c r="Q19" s="2"/>
      <c r="R19" s="3"/>
      <c r="S19" s="54" t="s">
        <v>6</v>
      </c>
      <c r="T19" s="2"/>
      <c r="U19" s="2"/>
      <c r="V19" s="2"/>
      <c r="W19" s="3"/>
      <c r="AK19" s="49"/>
    </row>
    <row r="20" ht="12.75" customHeight="1" spans="2:37">
      <c r="B20" s="48"/>
      <c r="N20" s="54" t="s">
        <v>7</v>
      </c>
      <c r="O20" s="2"/>
      <c r="P20" s="2"/>
      <c r="Q20" s="2"/>
      <c r="R20" s="3"/>
      <c r="S20" s="55" t="s">
        <v>8</v>
      </c>
      <c r="T20" s="2"/>
      <c r="U20" s="2"/>
      <c r="V20" s="2"/>
      <c r="W20" s="3"/>
      <c r="AK20" s="49"/>
    </row>
    <row r="21" ht="12.75" customHeight="1" spans="2:37">
      <c r="B21" s="48"/>
      <c r="AK21" s="49"/>
    </row>
    <row r="22" ht="12.75" customHeight="1" spans="2:37">
      <c r="B22" s="48"/>
      <c r="AK22" s="49"/>
    </row>
    <row r="23" ht="12.75" customHeight="1" spans="2:37">
      <c r="B23" s="48"/>
      <c r="AK23" s="49"/>
    </row>
    <row r="24" ht="12.75" customHeight="1" spans="2:37">
      <c r="B24" s="48"/>
      <c r="AK24" s="49"/>
    </row>
    <row r="25" ht="12.75" customHeight="1" spans="2:37">
      <c r="B25" s="48"/>
      <c r="AK25" s="49"/>
    </row>
    <row r="26" ht="12.75" customHeight="1" spans="2:37">
      <c r="B26" s="48"/>
      <c r="AK26" s="49"/>
    </row>
    <row r="27" ht="12.75" customHeight="1" spans="2:37">
      <c r="B27" s="48"/>
      <c r="AK27" s="49"/>
    </row>
    <row r="28" ht="12.75" customHeight="1" spans="2:37">
      <c r="B28" s="48"/>
      <c r="AK28" s="49"/>
    </row>
    <row r="29" ht="12.75" customHeight="1" spans="2:37">
      <c r="B29" s="48"/>
      <c r="AK29" s="49"/>
    </row>
    <row r="30" ht="12.75" customHeight="1" spans="2:37">
      <c r="B30" s="48"/>
      <c r="AK30" s="49"/>
    </row>
    <row r="31" ht="12.75" customHeight="1" spans="2:37">
      <c r="B31" s="48"/>
      <c r="AK31" s="49"/>
    </row>
    <row r="32" ht="12.75" customHeight="1" spans="2:37">
      <c r="B32" s="48"/>
      <c r="AK32" s="49"/>
    </row>
    <row r="33" ht="12.75" customHeight="1" spans="2:37">
      <c r="B33" s="48"/>
      <c r="AK33" s="49"/>
    </row>
    <row r="34" ht="12.75" customHeight="1" spans="2:37">
      <c r="B34" s="56"/>
      <c r="C34" s="57"/>
      <c r="D34" s="57"/>
      <c r="E34" s="57"/>
      <c r="F34" s="57"/>
      <c r="G34" s="57"/>
      <c r="H34" s="57"/>
      <c r="I34" s="57"/>
      <c r="J34" s="57"/>
      <c r="K34" s="57"/>
      <c r="L34" s="57"/>
      <c r="M34" s="57"/>
      <c r="N34" s="57"/>
      <c r="O34" s="57"/>
      <c r="P34" s="57"/>
      <c r="Q34" s="57"/>
      <c r="R34" s="57"/>
      <c r="S34" s="57"/>
      <c r="T34" s="57"/>
      <c r="U34" s="57"/>
      <c r="V34" s="57"/>
      <c r="W34" s="57"/>
      <c r="X34" s="57"/>
      <c r="Y34" s="57"/>
      <c r="Z34" s="57"/>
      <c r="AA34" s="57"/>
      <c r="AB34" s="57"/>
      <c r="AC34" s="57"/>
      <c r="AD34" s="57"/>
      <c r="AE34" s="57"/>
      <c r="AF34" s="57"/>
      <c r="AG34" s="57"/>
      <c r="AH34" s="57"/>
      <c r="AI34" s="57"/>
      <c r="AJ34" s="57"/>
      <c r="AK34" s="58"/>
    </row>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B10:AK10"/>
    <mergeCell ref="B12:AK12"/>
    <mergeCell ref="B15:AK15"/>
    <mergeCell ref="N18:R18"/>
    <mergeCell ref="S18:W18"/>
    <mergeCell ref="N19:R19"/>
    <mergeCell ref="S19:W19"/>
    <mergeCell ref="N20:R20"/>
    <mergeCell ref="S20:W20"/>
  </mergeCells>
  <pageMargins left="0.75" right="0.75" top="1" bottom="1" header="0" footer="0"/>
  <pageSetup paperSize="1" orientation="landscape"/>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1000"/>
  <sheetViews>
    <sheetView showGridLines="0" workbookViewId="0">
      <selection activeCell="A1" sqref="A1"/>
    </sheetView>
  </sheetViews>
  <sheetFormatPr defaultColWidth="14.4285714285714" defaultRowHeight="15" customHeight="1"/>
  <cols>
    <col min="1" max="1" width="8" customWidth="1"/>
    <col min="2" max="34" width="3.28571428571429" customWidth="1"/>
  </cols>
  <sheetData>
    <row r="1" ht="22.5" customHeight="1" spans="1:34">
      <c r="A1" s="44" t="s">
        <v>9</v>
      </c>
      <c r="B1" s="22" t="s">
        <v>7</v>
      </c>
      <c r="C1" s="2"/>
      <c r="D1" s="2"/>
      <c r="E1" s="3"/>
      <c r="F1" s="22" t="s">
        <v>10</v>
      </c>
      <c r="G1" s="2"/>
      <c r="H1" s="3"/>
      <c r="I1" s="22" t="s">
        <v>11</v>
      </c>
      <c r="J1" s="2"/>
      <c r="K1" s="2"/>
      <c r="L1" s="2"/>
      <c r="M1" s="2"/>
      <c r="N1" s="3"/>
      <c r="O1" s="22" t="s">
        <v>12</v>
      </c>
      <c r="P1" s="2"/>
      <c r="Q1" s="2"/>
      <c r="R1" s="2"/>
      <c r="S1" s="2"/>
      <c r="T1" s="2"/>
      <c r="U1" s="2"/>
      <c r="V1" s="3"/>
      <c r="W1" s="22" t="s">
        <v>13</v>
      </c>
      <c r="X1" s="2"/>
      <c r="Y1" s="2"/>
      <c r="Z1" s="2"/>
      <c r="AA1" s="2"/>
      <c r="AB1" s="3"/>
      <c r="AC1" s="22" t="s">
        <v>14</v>
      </c>
      <c r="AD1" s="2"/>
      <c r="AE1" s="2"/>
      <c r="AF1" s="2"/>
      <c r="AG1" s="2"/>
      <c r="AH1" s="3"/>
    </row>
    <row r="2" ht="22.5" customHeight="1" spans="1:34">
      <c r="A2" s="38">
        <v>1</v>
      </c>
      <c r="B2" s="6" t="s">
        <v>15</v>
      </c>
      <c r="C2" s="2"/>
      <c r="D2" s="2"/>
      <c r="E2" s="3"/>
      <c r="F2" s="6" t="s">
        <v>6</v>
      </c>
      <c r="G2" s="2"/>
      <c r="H2" s="3"/>
      <c r="I2" s="6" t="s">
        <v>16</v>
      </c>
      <c r="J2" s="2"/>
      <c r="K2" s="2"/>
      <c r="L2" s="2"/>
      <c r="M2" s="2"/>
      <c r="N2" s="3"/>
      <c r="O2" s="4" t="s">
        <v>17</v>
      </c>
      <c r="P2" s="2"/>
      <c r="Q2" s="2"/>
      <c r="R2" s="2"/>
      <c r="S2" s="2"/>
      <c r="T2" s="2"/>
      <c r="U2" s="2"/>
      <c r="V2" s="3"/>
      <c r="W2" s="6" t="s">
        <v>18</v>
      </c>
      <c r="X2" s="2"/>
      <c r="Y2" s="2"/>
      <c r="Z2" s="2"/>
      <c r="AA2" s="2"/>
      <c r="AB2" s="3"/>
      <c r="AC2" s="6"/>
      <c r="AD2" s="2"/>
      <c r="AE2" s="2"/>
      <c r="AF2" s="2"/>
      <c r="AG2" s="2"/>
      <c r="AH2" s="3"/>
    </row>
    <row r="3" ht="22.5" customHeight="1" spans="1:34">
      <c r="A3" s="38">
        <v>2</v>
      </c>
      <c r="B3" s="6" t="s">
        <v>19</v>
      </c>
      <c r="C3" s="2"/>
      <c r="D3" s="2"/>
      <c r="E3" s="3"/>
      <c r="F3" s="6" t="s">
        <v>20</v>
      </c>
      <c r="G3" s="2"/>
      <c r="H3" s="3"/>
      <c r="I3" s="6" t="s">
        <v>21</v>
      </c>
      <c r="J3" s="2"/>
      <c r="K3" s="2"/>
      <c r="L3" s="2"/>
      <c r="M3" s="2"/>
      <c r="N3" s="3"/>
      <c r="O3" s="4" t="s">
        <v>22</v>
      </c>
      <c r="P3" s="2"/>
      <c r="Q3" s="2"/>
      <c r="R3" s="2"/>
      <c r="S3" s="2"/>
      <c r="T3" s="2"/>
      <c r="U3" s="2"/>
      <c r="V3" s="3"/>
      <c r="W3" s="6"/>
      <c r="X3" s="2"/>
      <c r="Y3" s="2"/>
      <c r="Z3" s="2"/>
      <c r="AA3" s="2"/>
      <c r="AB3" s="3"/>
      <c r="AC3" s="6"/>
      <c r="AD3" s="2"/>
      <c r="AE3" s="2"/>
      <c r="AF3" s="2"/>
      <c r="AG3" s="2"/>
      <c r="AH3"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B1:E1"/>
    <mergeCell ref="F1:H1"/>
    <mergeCell ref="I1:N1"/>
    <mergeCell ref="O1:V1"/>
    <mergeCell ref="W1:AB1"/>
    <mergeCell ref="AC1:AH1"/>
    <mergeCell ref="B2:E2"/>
    <mergeCell ref="F2:H2"/>
    <mergeCell ref="I2:N2"/>
    <mergeCell ref="O2:V2"/>
    <mergeCell ref="W2:AB2"/>
    <mergeCell ref="AC2:AH2"/>
    <mergeCell ref="B3:E3"/>
    <mergeCell ref="F3:H3"/>
    <mergeCell ref="I3:N3"/>
    <mergeCell ref="O3:V3"/>
    <mergeCell ref="W3:AB3"/>
    <mergeCell ref="AC3:AH3"/>
  </mergeCells>
  <pageMargins left="0.75" right="0.75" top="1" bottom="1" header="0" footer="0"/>
  <pageSetup paperSize="1"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000"/>
  <sheetViews>
    <sheetView showGridLines="0" workbookViewId="0">
      <selection activeCell="A1" sqref="A1:I1"/>
    </sheetView>
  </sheetViews>
  <sheetFormatPr defaultColWidth="14.4285714285714" defaultRowHeight="15" customHeight="1"/>
  <cols>
    <col min="1" max="37" width="4.28571428571429" customWidth="1"/>
  </cols>
  <sheetData>
    <row r="1" ht="19.5" customHeight="1" spans="1:37">
      <c r="A1" s="22" t="s">
        <v>23</v>
      </c>
      <c r="B1" s="2"/>
      <c r="C1" s="2"/>
      <c r="D1" s="2"/>
      <c r="E1" s="2"/>
      <c r="F1" s="2"/>
      <c r="G1" s="2"/>
      <c r="H1" s="2"/>
      <c r="I1" s="3"/>
      <c r="J1" s="22" t="s">
        <v>24</v>
      </c>
      <c r="K1" s="2"/>
      <c r="L1" s="2"/>
      <c r="M1" s="2"/>
      <c r="N1" s="2"/>
      <c r="O1" s="2"/>
      <c r="P1" s="3"/>
      <c r="Q1" s="22" t="s">
        <v>25</v>
      </c>
      <c r="R1" s="2"/>
      <c r="S1" s="2"/>
      <c r="T1" s="2"/>
      <c r="U1" s="3"/>
      <c r="V1" s="22" t="s">
        <v>26</v>
      </c>
      <c r="W1" s="2"/>
      <c r="X1" s="2"/>
      <c r="Y1" s="3"/>
      <c r="Z1" s="22" t="s">
        <v>27</v>
      </c>
      <c r="AA1" s="2"/>
      <c r="AB1" s="2"/>
      <c r="AC1" s="3"/>
      <c r="AD1" s="22" t="s">
        <v>28</v>
      </c>
      <c r="AE1" s="2"/>
      <c r="AF1" s="2"/>
      <c r="AG1" s="3"/>
      <c r="AH1" s="22" t="s">
        <v>29</v>
      </c>
      <c r="AI1" s="2"/>
      <c r="AJ1" s="2"/>
      <c r="AK1" s="3"/>
    </row>
    <row r="2" ht="19.5" customHeight="1" spans="1:37">
      <c r="A2" s="23" t="s">
        <v>0</v>
      </c>
      <c r="B2" s="10"/>
      <c r="C2" s="10"/>
      <c r="D2" s="10"/>
      <c r="E2" s="10"/>
      <c r="F2" s="10"/>
      <c r="G2" s="10"/>
      <c r="H2" s="10"/>
      <c r="I2" s="11"/>
      <c r="J2" s="23" t="s">
        <v>30</v>
      </c>
      <c r="K2" s="10"/>
      <c r="L2" s="10"/>
      <c r="M2" s="10"/>
      <c r="N2" s="10"/>
      <c r="O2" s="10"/>
      <c r="P2" s="11"/>
      <c r="Q2" s="23" t="s">
        <v>31</v>
      </c>
      <c r="R2" s="10"/>
      <c r="S2" s="10"/>
      <c r="T2" s="10"/>
      <c r="U2" s="11"/>
      <c r="V2" s="24" t="s">
        <v>8</v>
      </c>
      <c r="W2" s="10"/>
      <c r="X2" s="10"/>
      <c r="Y2" s="11"/>
      <c r="Z2" s="23" t="s">
        <v>16</v>
      </c>
      <c r="AA2" s="10"/>
      <c r="AB2" s="10"/>
      <c r="AC2" s="11"/>
      <c r="AD2" s="24" t="s">
        <v>8</v>
      </c>
      <c r="AE2" s="10"/>
      <c r="AF2" s="10"/>
      <c r="AG2" s="11"/>
      <c r="AH2" s="23" t="s">
        <v>16</v>
      </c>
      <c r="AI2" s="10"/>
      <c r="AJ2" s="10"/>
      <c r="AK2" s="11"/>
    </row>
    <row r="3" ht="19.5" customHeight="1" spans="1:37">
      <c r="A3" s="13"/>
      <c r="B3" s="14"/>
      <c r="C3" s="14"/>
      <c r="D3" s="14"/>
      <c r="E3" s="14"/>
      <c r="F3" s="14"/>
      <c r="G3" s="14"/>
      <c r="H3" s="14"/>
      <c r="I3" s="15"/>
      <c r="J3" s="13"/>
      <c r="K3" s="14"/>
      <c r="L3" s="14"/>
      <c r="M3" s="14"/>
      <c r="N3" s="14"/>
      <c r="O3" s="14"/>
      <c r="P3" s="15"/>
      <c r="Q3" s="13"/>
      <c r="R3" s="14"/>
      <c r="S3" s="14"/>
      <c r="T3" s="14"/>
      <c r="U3" s="15"/>
      <c r="V3" s="13"/>
      <c r="W3" s="14"/>
      <c r="X3" s="14"/>
      <c r="Y3" s="15"/>
      <c r="Z3" s="13"/>
      <c r="AA3" s="14"/>
      <c r="AB3" s="14"/>
      <c r="AC3" s="15"/>
      <c r="AD3" s="13"/>
      <c r="AE3" s="14"/>
      <c r="AF3" s="14"/>
      <c r="AG3" s="15"/>
      <c r="AH3" s="13"/>
      <c r="AI3" s="14"/>
      <c r="AJ3" s="14"/>
      <c r="AK3" s="15"/>
    </row>
    <row r="5" ht="19.5" customHeight="1" spans="1:37">
      <c r="B5" s="25" t="s">
        <v>32</v>
      </c>
    </row>
    <row r="6" ht="19.5" customHeight="1" spans="1:37">
      <c r="C6" s="41" t="s">
        <v>33</v>
      </c>
    </row>
    <row r="7" ht="19.5" customHeight="1" spans="1:37">
      <c r="C7" s="41" t="s">
        <v>34</v>
      </c>
    </row>
    <row r="8" ht="19.5" customHeight="1" spans="1:37">
      <c r="C8" s="41" t="s">
        <v>35</v>
      </c>
    </row>
    <row r="9" ht="19.5" customHeight="1" spans="1:37">
      <c r="C9" s="41" t="s">
        <v>36</v>
      </c>
    </row>
    <row r="10" ht="19.5" customHeight="1" spans="1:37">
      <c r="C10" s="41" t="s">
        <v>37</v>
      </c>
    </row>
    <row r="11" ht="19.5" customHeight="1" spans="1:37">
      <c r="C11" s="41" t="s">
        <v>38</v>
      </c>
    </row>
    <row r="12" ht="19.5" customHeight="1" spans="1:37">
      <c r="C12" s="41" t="s">
        <v>39</v>
      </c>
    </row>
    <row r="14" ht="19.5" customHeight="1" spans="1:37">
      <c r="B14" s="25" t="s">
        <v>40</v>
      </c>
    </row>
    <row r="15" ht="19.5" customHeight="1" spans="1:37">
      <c r="C15" s="42" t="s">
        <v>41</v>
      </c>
      <c r="D15" s="43"/>
      <c r="E15" s="43"/>
      <c r="F15" s="43"/>
      <c r="G15" s="43"/>
      <c r="H15" s="43"/>
      <c r="I15" s="43"/>
      <c r="J15" s="43"/>
      <c r="K15" s="43"/>
      <c r="L15" s="43"/>
      <c r="M15" s="43"/>
      <c r="N15" s="43"/>
      <c r="O15" s="43"/>
      <c r="P15" s="43"/>
      <c r="Q15" s="43"/>
      <c r="R15" s="43"/>
      <c r="S15" s="43"/>
      <c r="T15" s="43"/>
      <c r="U15" s="43"/>
      <c r="V15" s="43"/>
      <c r="W15" s="43"/>
      <c r="X15" s="43"/>
      <c r="Y15" s="43"/>
      <c r="Z15" s="43"/>
      <c r="AA15" s="43"/>
      <c r="AB15" s="43"/>
      <c r="AC15" s="43"/>
      <c r="AD15" s="43"/>
      <c r="AE15" s="43"/>
      <c r="AF15" s="43"/>
      <c r="AG15" s="43"/>
      <c r="AH15" s="43"/>
      <c r="AI15" s="43"/>
      <c r="AJ15" s="43"/>
      <c r="AK15" s="43"/>
    </row>
    <row r="16" ht="19.5" customHeight="1" spans="1:37">
      <c r="C16" s="42" t="s">
        <v>42</v>
      </c>
      <c r="D16" s="43"/>
      <c r="E16" s="43"/>
      <c r="F16" s="43"/>
      <c r="G16" s="43"/>
      <c r="H16" s="43"/>
      <c r="I16" s="43"/>
      <c r="J16" s="43"/>
      <c r="K16" s="43"/>
      <c r="L16" s="43"/>
      <c r="M16" s="43"/>
      <c r="N16" s="43"/>
      <c r="O16" s="43"/>
      <c r="P16" s="43"/>
      <c r="Q16" s="43"/>
      <c r="R16" s="43"/>
      <c r="S16" s="43"/>
      <c r="T16" s="43"/>
      <c r="U16" s="43"/>
      <c r="V16" s="43"/>
      <c r="W16" s="43"/>
      <c r="X16" s="43"/>
      <c r="Y16" s="43"/>
      <c r="Z16" s="43"/>
      <c r="AA16" s="43"/>
      <c r="AB16" s="43"/>
      <c r="AC16" s="43"/>
      <c r="AD16" s="43"/>
      <c r="AE16" s="43"/>
      <c r="AF16" s="43"/>
      <c r="AG16" s="43"/>
      <c r="AH16" s="43"/>
      <c r="AI16" s="43"/>
      <c r="AJ16" s="43"/>
      <c r="AK16" s="43"/>
    </row>
    <row r="17" ht="19.5" customHeight="1" spans="2:37">
      <c r="C17" s="42" t="s">
        <v>43</v>
      </c>
      <c r="D17" s="43"/>
      <c r="E17" s="43"/>
      <c r="F17" s="43"/>
      <c r="G17" s="43"/>
      <c r="H17" s="43"/>
      <c r="I17" s="43"/>
      <c r="J17" s="43"/>
      <c r="K17" s="43"/>
      <c r="L17" s="43"/>
      <c r="M17" s="43"/>
      <c r="N17" s="43"/>
      <c r="O17" s="43"/>
      <c r="P17" s="43"/>
      <c r="Q17" s="43"/>
      <c r="R17" s="43"/>
      <c r="S17" s="43"/>
      <c r="T17" s="43"/>
      <c r="U17" s="43"/>
      <c r="V17" s="43"/>
      <c r="W17" s="43"/>
      <c r="X17" s="43"/>
      <c r="Y17" s="43"/>
      <c r="Z17" s="43"/>
      <c r="AA17" s="43"/>
      <c r="AB17" s="43"/>
      <c r="AC17" s="43"/>
      <c r="AD17" s="43"/>
      <c r="AE17" s="43"/>
      <c r="AF17" s="43"/>
      <c r="AG17" s="43"/>
      <c r="AH17" s="43"/>
      <c r="AI17" s="43"/>
      <c r="AJ17" s="43"/>
      <c r="AK17" s="43"/>
    </row>
    <row r="18" ht="19.5" customHeight="1" spans="2:37">
      <c r="C18" s="42" t="s">
        <v>44</v>
      </c>
      <c r="D18" s="43"/>
      <c r="E18" s="43"/>
      <c r="F18" s="43"/>
      <c r="G18" s="43"/>
      <c r="H18" s="43"/>
      <c r="I18" s="43"/>
      <c r="J18" s="43"/>
      <c r="K18" s="43"/>
      <c r="L18" s="43"/>
      <c r="M18" s="43"/>
      <c r="N18" s="43"/>
      <c r="O18" s="43"/>
      <c r="P18" s="43"/>
      <c r="Q18" s="43"/>
      <c r="R18" s="43"/>
      <c r="S18" s="43"/>
      <c r="T18" s="43"/>
      <c r="U18" s="43"/>
      <c r="V18" s="43"/>
      <c r="W18" s="43"/>
      <c r="X18" s="43"/>
      <c r="Y18" s="43"/>
      <c r="Z18" s="43"/>
      <c r="AA18" s="43"/>
      <c r="AB18" s="43"/>
      <c r="AC18" s="43"/>
      <c r="AD18" s="43"/>
      <c r="AE18" s="43"/>
      <c r="AF18" s="43"/>
      <c r="AG18" s="43"/>
      <c r="AH18" s="43"/>
      <c r="AI18" s="43"/>
      <c r="AJ18" s="43"/>
      <c r="AK18" s="43"/>
    </row>
    <row r="19" ht="19.5" customHeight="1" spans="2:37">
      <c r="C19" s="42" t="s">
        <v>45</v>
      </c>
      <c r="D19" s="43"/>
      <c r="E19" s="43"/>
      <c r="F19" s="43"/>
      <c r="G19" s="43"/>
      <c r="H19" s="43"/>
      <c r="I19" s="43"/>
      <c r="J19" s="43"/>
      <c r="K19" s="43"/>
      <c r="L19" s="43"/>
      <c r="M19" s="43"/>
      <c r="N19" s="43"/>
      <c r="O19" s="43"/>
      <c r="P19" s="43"/>
      <c r="Q19" s="43"/>
      <c r="R19" s="43"/>
      <c r="S19" s="43"/>
      <c r="T19" s="43"/>
      <c r="U19" s="43"/>
      <c r="V19" s="43"/>
      <c r="W19" s="43"/>
      <c r="X19" s="43"/>
      <c r="Y19" s="43"/>
      <c r="Z19" s="43"/>
      <c r="AA19" s="43"/>
      <c r="AB19" s="43"/>
      <c r="AC19" s="43"/>
      <c r="AD19" s="43"/>
      <c r="AE19" s="43"/>
      <c r="AF19" s="43"/>
      <c r="AG19" s="43"/>
      <c r="AH19" s="43"/>
      <c r="AI19" s="43"/>
      <c r="AJ19" s="43"/>
      <c r="AK19" s="43"/>
    </row>
    <row r="21" ht="19.5" customHeight="1" spans="2:37">
      <c r="B21" s="25" t="s">
        <v>46</v>
      </c>
    </row>
    <row r="23" ht="22.5" customHeight="1" spans="2:37">
      <c r="C23" s="44" t="s">
        <v>47</v>
      </c>
      <c r="D23" s="22" t="s">
        <v>48</v>
      </c>
      <c r="E23" s="2"/>
      <c r="F23" s="2"/>
      <c r="G23" s="2"/>
      <c r="H23" s="2"/>
      <c r="I23" s="2"/>
      <c r="J23" s="2"/>
      <c r="K23" s="2"/>
      <c r="L23" s="2"/>
      <c r="M23" s="2"/>
      <c r="N23" s="3"/>
      <c r="O23" s="22" t="s">
        <v>49</v>
      </c>
      <c r="P23" s="2"/>
      <c r="Q23" s="2"/>
      <c r="R23" s="2"/>
      <c r="S23" s="2"/>
      <c r="T23" s="2"/>
      <c r="U23" s="2"/>
      <c r="V23" s="2"/>
      <c r="W23" s="2"/>
      <c r="X23" s="2"/>
      <c r="Y23" s="2"/>
      <c r="Z23" s="2"/>
      <c r="AA23" s="2"/>
      <c r="AB23" s="2"/>
      <c r="AC23" s="2"/>
      <c r="AD23" s="2"/>
      <c r="AE23" s="2"/>
      <c r="AF23" s="2"/>
      <c r="AG23" s="3"/>
    </row>
    <row r="24" ht="22.5" customHeight="1" spans="2:37">
      <c r="C24" s="38">
        <v>1</v>
      </c>
      <c r="D24" s="4" t="s">
        <v>50</v>
      </c>
      <c r="E24" s="2"/>
      <c r="F24" s="2"/>
      <c r="G24" s="2"/>
      <c r="H24" s="2"/>
      <c r="I24" s="2"/>
      <c r="J24" s="2"/>
      <c r="K24" s="2"/>
      <c r="L24" s="2"/>
      <c r="M24" s="2"/>
      <c r="N24" s="3"/>
      <c r="O24" s="4" t="s">
        <v>51</v>
      </c>
      <c r="P24" s="2"/>
      <c r="Q24" s="2"/>
      <c r="R24" s="2"/>
      <c r="S24" s="2"/>
      <c r="T24" s="2"/>
      <c r="U24" s="2"/>
      <c r="V24" s="2"/>
      <c r="W24" s="2"/>
      <c r="X24" s="2"/>
      <c r="Y24" s="2"/>
      <c r="Z24" s="2"/>
      <c r="AA24" s="2"/>
      <c r="AB24" s="2"/>
      <c r="AC24" s="2"/>
      <c r="AD24" s="2"/>
      <c r="AE24" s="2"/>
      <c r="AF24" s="2"/>
      <c r="AG24" s="3"/>
    </row>
    <row r="25" ht="22.5" customHeight="1" spans="2:37">
      <c r="C25" s="38">
        <v>2</v>
      </c>
      <c r="D25" s="4" t="s">
        <v>52</v>
      </c>
      <c r="E25" s="2"/>
      <c r="F25" s="2"/>
      <c r="G25" s="2"/>
      <c r="H25" s="2"/>
      <c r="I25" s="2"/>
      <c r="J25" s="2"/>
      <c r="K25" s="2"/>
      <c r="L25" s="2"/>
      <c r="M25" s="2"/>
      <c r="N25" s="3"/>
      <c r="O25" s="4" t="s">
        <v>53</v>
      </c>
      <c r="P25" s="2"/>
      <c r="Q25" s="2"/>
      <c r="R25" s="2"/>
      <c r="S25" s="2"/>
      <c r="T25" s="2"/>
      <c r="U25" s="2"/>
      <c r="V25" s="2"/>
      <c r="W25" s="2"/>
      <c r="X25" s="2"/>
      <c r="Y25" s="2"/>
      <c r="Z25" s="2"/>
      <c r="AA25" s="2"/>
      <c r="AB25" s="2"/>
      <c r="AC25" s="2"/>
      <c r="AD25" s="2"/>
      <c r="AE25" s="2"/>
      <c r="AF25" s="2"/>
      <c r="AG25" s="3"/>
    </row>
    <row r="26" ht="22.5" customHeight="1" spans="2:37">
      <c r="C26" s="38">
        <v>3</v>
      </c>
      <c r="D26" s="4" t="s">
        <v>54</v>
      </c>
      <c r="E26" s="2"/>
      <c r="F26" s="2"/>
      <c r="G26" s="2"/>
      <c r="H26" s="2"/>
      <c r="I26" s="2"/>
      <c r="J26" s="2"/>
      <c r="K26" s="2"/>
      <c r="L26" s="2"/>
      <c r="M26" s="2"/>
      <c r="N26" s="3"/>
      <c r="O26" s="4" t="s">
        <v>55</v>
      </c>
      <c r="P26" s="2"/>
      <c r="Q26" s="2"/>
      <c r="R26" s="2"/>
      <c r="S26" s="2"/>
      <c r="T26" s="2"/>
      <c r="U26" s="2"/>
      <c r="V26" s="2"/>
      <c r="W26" s="2"/>
      <c r="X26" s="2"/>
      <c r="Y26" s="2"/>
      <c r="Z26" s="2"/>
      <c r="AA26" s="2"/>
      <c r="AB26" s="2"/>
      <c r="AC26" s="2"/>
      <c r="AD26" s="2"/>
      <c r="AE26" s="2"/>
      <c r="AF26" s="2"/>
      <c r="AG26" s="3"/>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7">
    <mergeCell ref="A1:I1"/>
    <mergeCell ref="J1:P1"/>
    <mergeCell ref="Q1:U1"/>
    <mergeCell ref="V1:Y1"/>
    <mergeCell ref="Z1:AC1"/>
    <mergeCell ref="AD1:AG1"/>
    <mergeCell ref="AH1:AK1"/>
    <mergeCell ref="B5:AK5"/>
    <mergeCell ref="C6:AK6"/>
    <mergeCell ref="C7:AK7"/>
    <mergeCell ref="C8:AK8"/>
    <mergeCell ref="C9:AK9"/>
    <mergeCell ref="C10:AK10"/>
    <mergeCell ref="C11:AK11"/>
    <mergeCell ref="C12:AK12"/>
    <mergeCell ref="B14:AK14"/>
    <mergeCell ref="C15:AK15"/>
    <mergeCell ref="C16:AK16"/>
    <mergeCell ref="C17:AK17"/>
    <mergeCell ref="C18:AK18"/>
    <mergeCell ref="C19:AK19"/>
    <mergeCell ref="B21:AK21"/>
    <mergeCell ref="D23:N23"/>
    <mergeCell ref="O23:AG23"/>
    <mergeCell ref="D24:N24"/>
    <mergeCell ref="O24:AG24"/>
    <mergeCell ref="D25:N25"/>
    <mergeCell ref="O25:AG25"/>
    <mergeCell ref="D26:N26"/>
    <mergeCell ref="O26:AG26"/>
    <mergeCell ref="A2:I3"/>
    <mergeCell ref="J2:P3"/>
    <mergeCell ref="Q2:U3"/>
    <mergeCell ref="V2:Y3"/>
    <mergeCell ref="Z2:AC3"/>
    <mergeCell ref="AD2:AG3"/>
    <mergeCell ref="AH2:AK3"/>
  </mergeCells>
  <pageMargins left="0.75" right="0.75" top="1" bottom="1" header="0" footer="0"/>
  <pageSetup paperSize="1"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1000"/>
  <sheetViews>
    <sheetView showGridLines="0" workbookViewId="0">
      <selection activeCell="A1" sqref="A1:AH1"/>
    </sheetView>
  </sheetViews>
  <sheetFormatPr defaultColWidth="14.4285714285714" defaultRowHeight="15" customHeight="1"/>
  <cols>
    <col min="1" max="1" width="13" customWidth="1"/>
    <col min="2" max="34" width="5" customWidth="1"/>
  </cols>
  <sheetData>
    <row r="1" ht="28.5" customHeight="1" spans="1:34">
      <c r="A1" s="34" t="s">
        <v>56</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3"/>
    </row>
    <row r="3" ht="22.5" customHeight="1" spans="1:34">
      <c r="A3" s="16" t="s">
        <v>57</v>
      </c>
      <c r="B3" s="2"/>
      <c r="C3" s="2"/>
      <c r="D3" s="2"/>
      <c r="E3" s="2"/>
      <c r="F3" s="3"/>
      <c r="G3" s="4" t="s">
        <v>0</v>
      </c>
      <c r="H3" s="2"/>
      <c r="I3" s="2"/>
      <c r="J3" s="2"/>
      <c r="K3" s="2"/>
      <c r="L3" s="2"/>
      <c r="M3" s="2"/>
      <c r="N3" s="2"/>
      <c r="O3" s="3"/>
      <c r="P3" s="16" t="s">
        <v>58</v>
      </c>
      <c r="Q3" s="2"/>
      <c r="R3" s="2"/>
      <c r="S3" s="2"/>
      <c r="T3" s="2"/>
      <c r="U3" s="2"/>
      <c r="V3" s="2"/>
      <c r="W3" s="3"/>
      <c r="X3" s="4" t="s">
        <v>18</v>
      </c>
      <c r="Y3" s="2"/>
      <c r="Z3" s="2"/>
      <c r="AA3" s="2"/>
      <c r="AB3" s="2"/>
      <c r="AC3" s="2"/>
      <c r="AD3" s="2"/>
      <c r="AE3" s="2"/>
      <c r="AF3" s="2"/>
      <c r="AG3" s="2"/>
      <c r="AH3" s="3"/>
    </row>
    <row r="4" ht="22.5" customHeight="1" spans="1:34">
      <c r="A4" s="16" t="s">
        <v>11</v>
      </c>
      <c r="B4" s="2"/>
      <c r="C4" s="2"/>
      <c r="D4" s="2"/>
      <c r="E4" s="2"/>
      <c r="F4" s="3"/>
      <c r="G4" s="4" t="s">
        <v>16</v>
      </c>
      <c r="H4" s="2"/>
      <c r="I4" s="2"/>
      <c r="J4" s="2"/>
      <c r="K4" s="2"/>
      <c r="L4" s="2"/>
      <c r="M4" s="2"/>
      <c r="N4" s="2"/>
      <c r="O4" s="3"/>
      <c r="P4" s="16" t="s">
        <v>26</v>
      </c>
      <c r="Q4" s="2"/>
      <c r="R4" s="2"/>
      <c r="S4" s="2"/>
      <c r="T4" s="2"/>
      <c r="U4" s="2"/>
      <c r="V4" s="2"/>
      <c r="W4" s="3"/>
      <c r="X4" s="5" t="s">
        <v>8</v>
      </c>
      <c r="Y4" s="2"/>
      <c r="Z4" s="2"/>
      <c r="AA4" s="2"/>
      <c r="AB4" s="2"/>
      <c r="AC4" s="2"/>
      <c r="AD4" s="2"/>
      <c r="AE4" s="2"/>
      <c r="AF4" s="2"/>
      <c r="AG4" s="2"/>
      <c r="AH4" s="3"/>
    </row>
    <row r="6" ht="22.5" customHeight="1" spans="1:34">
      <c r="A6" s="35" t="s">
        <v>59</v>
      </c>
      <c r="B6" s="36" t="s">
        <v>60</v>
      </c>
      <c r="C6" s="10"/>
      <c r="D6" s="10"/>
      <c r="E6" s="10"/>
      <c r="F6" s="10"/>
      <c r="G6" s="11"/>
      <c r="H6" s="31" t="s">
        <v>61</v>
      </c>
      <c r="I6" s="2"/>
      <c r="J6" s="2"/>
      <c r="K6" s="2"/>
      <c r="L6" s="2"/>
      <c r="M6" s="2"/>
      <c r="N6" s="2"/>
      <c r="O6" s="2"/>
      <c r="P6" s="3"/>
      <c r="Q6" s="36" t="s">
        <v>62</v>
      </c>
      <c r="R6" s="10"/>
      <c r="S6" s="11"/>
      <c r="T6" s="31" t="s">
        <v>63</v>
      </c>
      <c r="U6" s="2"/>
      <c r="V6" s="2"/>
      <c r="W6" s="2"/>
      <c r="X6" s="2"/>
      <c r="Y6" s="2"/>
      <c r="Z6" s="2"/>
      <c r="AA6" s="2"/>
      <c r="AB6" s="2"/>
      <c r="AC6" s="2"/>
      <c r="AD6" s="2"/>
      <c r="AE6" s="2"/>
      <c r="AF6" s="2"/>
      <c r="AG6" s="2"/>
      <c r="AH6" s="3"/>
    </row>
    <row r="7" ht="22.5" customHeight="1" spans="1:34">
      <c r="A7" s="12"/>
      <c r="B7" s="13"/>
      <c r="C7" s="14"/>
      <c r="D7" s="14"/>
      <c r="E7" s="14"/>
      <c r="F7" s="14"/>
      <c r="G7" s="15"/>
      <c r="H7" s="31" t="s">
        <v>64</v>
      </c>
      <c r="I7" s="2"/>
      <c r="J7" s="3"/>
      <c r="K7" s="31" t="s">
        <v>65</v>
      </c>
      <c r="L7" s="2"/>
      <c r="M7" s="3"/>
      <c r="N7" s="31" t="s">
        <v>66</v>
      </c>
      <c r="O7" s="2"/>
      <c r="P7" s="3"/>
      <c r="Q7" s="13"/>
      <c r="R7" s="14"/>
      <c r="S7" s="15"/>
      <c r="T7" s="31" t="s">
        <v>67</v>
      </c>
      <c r="U7" s="2"/>
      <c r="V7" s="3"/>
      <c r="W7" s="31" t="s">
        <v>68</v>
      </c>
      <c r="X7" s="2"/>
      <c r="Y7" s="3"/>
      <c r="Z7" s="31" t="s">
        <v>69</v>
      </c>
      <c r="AA7" s="2"/>
      <c r="AB7" s="3"/>
      <c r="AC7" s="31" t="s">
        <v>70</v>
      </c>
      <c r="AD7" s="2"/>
      <c r="AE7" s="3"/>
      <c r="AF7" s="31" t="s">
        <v>71</v>
      </c>
      <c r="AG7" s="2"/>
      <c r="AH7" s="3"/>
    </row>
    <row r="8" ht="22.5" customHeight="1" spans="1:34">
      <c r="A8" s="37" t="s">
        <v>72</v>
      </c>
    </row>
    <row r="9" ht="22.5" customHeight="1" spans="1:34">
      <c r="A9" s="38">
        <v>1</v>
      </c>
      <c r="B9" s="4" t="s">
        <v>73</v>
      </c>
      <c r="C9" s="2"/>
      <c r="D9" s="2"/>
      <c r="E9" s="2"/>
      <c r="F9" s="2"/>
      <c r="G9" s="3"/>
      <c r="H9" s="6">
        <f ca="1" t="array" ref="H9">INDIRECT("'"&amp;$B9&amp;"'!H7",TRUE)</f>
        <v>25</v>
      </c>
      <c r="I9" s="2"/>
      <c r="J9" s="3"/>
      <c r="K9" s="6">
        <f ca="1" t="array" ref="K9">INDIRECT("'"&amp;$B9&amp;"'!K7",TRUE)</f>
        <v>27</v>
      </c>
      <c r="L9" s="2"/>
      <c r="M9" s="3"/>
      <c r="N9" s="6">
        <f ca="1" t="array" ref="N9">INDIRECT("'"&amp;$B9&amp;"'!N7",TRUE)</f>
        <v>0</v>
      </c>
      <c r="O9" s="2"/>
      <c r="P9" s="3"/>
      <c r="Q9" s="6">
        <f ca="1" t="array" ref="Q9">INDIRECT("'"&amp;$B9&amp;"'!Q7",TRUE)</f>
        <v>52</v>
      </c>
      <c r="R9" s="2"/>
      <c r="S9" s="3"/>
      <c r="T9" s="6">
        <f ca="1" t="array" ref="T9">INDIRECT("'"&amp;$B9&amp;"'!T7",TRUE)</f>
        <v>41</v>
      </c>
      <c r="U9" s="2"/>
      <c r="V9" s="3"/>
      <c r="W9" s="6">
        <f ca="1" t="array" ref="W9">INDIRECT("'"&amp;$B9&amp;"'!W7",TRUE)</f>
        <v>0</v>
      </c>
      <c r="X9" s="2"/>
      <c r="Y9" s="3"/>
      <c r="Z9" s="6">
        <f ca="1" t="array" ref="Z9">INDIRECT("'"&amp;$B9&amp;"'!Z7",TRUE)</f>
        <v>0</v>
      </c>
      <c r="AA9" s="2"/>
      <c r="AB9" s="3"/>
      <c r="AC9" s="6">
        <f ca="1" t="array" ref="AC9">INDIRECT("'"&amp;$B9&amp;"'!AC7",TRUE)</f>
        <v>12</v>
      </c>
      <c r="AD9" s="2"/>
      <c r="AE9" s="3"/>
      <c r="AF9" s="39">
        <f ca="1">IFERROR((T9+W9+AC9)/Q9,0)</f>
        <v>1.01923076923077</v>
      </c>
      <c r="AG9" s="2"/>
      <c r="AH9" s="3"/>
    </row>
    <row r="10" ht="22.5" customHeight="1" spans="1:34">
      <c r="A10" s="38">
        <v>2</v>
      </c>
      <c r="B10" s="4"/>
      <c r="C10" s="2"/>
      <c r="D10" s="2"/>
      <c r="E10" s="2"/>
      <c r="F10" s="2"/>
      <c r="G10" s="3"/>
      <c r="H10" s="6"/>
      <c r="I10" s="2"/>
      <c r="J10" s="3"/>
      <c r="K10" s="6"/>
      <c r="L10" s="2"/>
      <c r="M10" s="3"/>
      <c r="N10" s="6"/>
      <c r="O10" s="2"/>
      <c r="P10" s="3"/>
      <c r="Q10" s="6"/>
      <c r="R10" s="2"/>
      <c r="S10" s="3"/>
      <c r="T10" s="6"/>
      <c r="U10" s="2"/>
      <c r="V10" s="3"/>
      <c r="W10" s="6"/>
      <c r="X10" s="2"/>
      <c r="Y10" s="3"/>
      <c r="Z10" s="6"/>
      <c r="AA10" s="2"/>
      <c r="AB10" s="3"/>
      <c r="AC10" s="6"/>
      <c r="AD10" s="2"/>
      <c r="AE10" s="3"/>
      <c r="AF10" s="39"/>
      <c r="AG10" s="2"/>
      <c r="AH10" s="3"/>
    </row>
    <row r="11" ht="22.5" customHeight="1" spans="1:34">
      <c r="A11" s="38"/>
      <c r="B11" s="31" t="s">
        <v>62</v>
      </c>
      <c r="C11" s="2"/>
      <c r="D11" s="2"/>
      <c r="E11" s="2"/>
      <c r="F11" s="2"/>
      <c r="G11" s="3"/>
      <c r="H11" s="7">
        <f ca="1">SUM(H9:J10)</f>
        <v>25</v>
      </c>
      <c r="I11" s="2"/>
      <c r="J11" s="3"/>
      <c r="K11" s="7">
        <f ca="1">SUM(K9:M10)</f>
        <v>27</v>
      </c>
      <c r="L11" s="2"/>
      <c r="M11" s="3"/>
      <c r="N11" s="7">
        <f ca="1">SUM(N9:P10)</f>
        <v>0</v>
      </c>
      <c r="O11" s="2"/>
      <c r="P11" s="3"/>
      <c r="Q11" s="7">
        <f ca="1">SUM(Q9:S10)</f>
        <v>52</v>
      </c>
      <c r="R11" s="2"/>
      <c r="S11" s="3"/>
      <c r="T11" s="7">
        <f ca="1">SUM(T9:V10)</f>
        <v>41</v>
      </c>
      <c r="U11" s="2"/>
      <c r="V11" s="3"/>
      <c r="W11" s="7">
        <f ca="1">SUM(W9:Y10)</f>
        <v>0</v>
      </c>
      <c r="X11" s="2"/>
      <c r="Y11" s="3"/>
      <c r="Z11" s="7">
        <f ca="1">SUM(Z9:AB10)</f>
        <v>0</v>
      </c>
      <c r="AA11" s="2"/>
      <c r="AB11" s="3"/>
      <c r="AC11" s="7">
        <f ca="1">SUM(AC9:AE10)</f>
        <v>12</v>
      </c>
      <c r="AD11" s="2"/>
      <c r="AE11" s="3"/>
      <c r="AF11" s="40">
        <f ca="1">IFERROR((T11+W11+AC11)/Q11,0)</f>
        <v>1.01923076923077</v>
      </c>
      <c r="AG11" s="2"/>
      <c r="AH11" s="3"/>
    </row>
    <row r="12" ht="22.5" customHeight="1" spans="1:34">
      <c r="A12" s="37" t="s">
        <v>74</v>
      </c>
    </row>
    <row r="13" ht="22.5" customHeight="1" spans="1:34">
      <c r="A13" s="38">
        <v>1</v>
      </c>
      <c r="B13" s="4" t="s">
        <v>73</v>
      </c>
      <c r="C13" s="2"/>
      <c r="D13" s="2"/>
      <c r="E13" s="2"/>
      <c r="F13" s="2"/>
      <c r="G13" s="3"/>
      <c r="H13" s="6">
        <f ca="1" t="array" ref="H13">INDIRECT("'"&amp;$B13&amp;"'!H8",TRUE)</f>
        <v>25</v>
      </c>
      <c r="I13" s="2"/>
      <c r="J13" s="3"/>
      <c r="K13" s="6">
        <f ca="1" t="array" ref="K13">INDIRECT("'"&amp;$B13&amp;"'!K8",TRUE)</f>
        <v>27</v>
      </c>
      <c r="L13" s="2"/>
      <c r="M13" s="3"/>
      <c r="N13" s="6">
        <f ca="1" t="array" ref="N13">INDIRECT("'"&amp;$B13&amp;"'!N8",TRUE)</f>
        <v>0</v>
      </c>
      <c r="O13" s="2"/>
      <c r="P13" s="3"/>
      <c r="Q13" s="6">
        <f ca="1" t="array" ref="Q13">INDIRECT("'"&amp;$B13&amp;"'!Q8",TRUE)</f>
        <v>52</v>
      </c>
      <c r="R13" s="2"/>
      <c r="S13" s="3"/>
      <c r="T13" s="6">
        <f ca="1" t="array" ref="T13">INDIRECT("'"&amp;$B13&amp;"'!T8",TRUE)</f>
        <v>50</v>
      </c>
      <c r="U13" s="2"/>
      <c r="V13" s="3"/>
      <c r="W13" s="6">
        <f ca="1" t="array" ref="W13">INDIRECT("'"&amp;$B13&amp;"'!W8",TRUE)</f>
        <v>0</v>
      </c>
      <c r="X13" s="2"/>
      <c r="Y13" s="3"/>
      <c r="Z13" s="6">
        <f ca="1" t="array" ref="Z13">INDIRECT("'"&amp;$B13&amp;"'!Z8",TRUE)</f>
        <v>0</v>
      </c>
      <c r="AA13" s="2"/>
      <c r="AB13" s="3"/>
      <c r="AC13" s="6">
        <f ca="1" t="array" ref="AC13">INDIRECT("'"&amp;$B13&amp;"'!AC8",TRUE)</f>
        <v>3</v>
      </c>
      <c r="AD13" s="2"/>
      <c r="AE13" s="3"/>
      <c r="AF13" s="39">
        <f ca="1">IFERROR((T13+W13+AC13)/Q13,0)</f>
        <v>1.01923076923077</v>
      </c>
      <c r="AG13" s="2"/>
      <c r="AH13" s="3"/>
    </row>
    <row r="14" ht="22.5" customHeight="1" spans="1:34">
      <c r="A14" s="38">
        <v>2</v>
      </c>
      <c r="B14" s="4"/>
      <c r="C14" s="2"/>
      <c r="D14" s="2"/>
      <c r="E14" s="2"/>
      <c r="F14" s="2"/>
      <c r="G14" s="3"/>
      <c r="H14" s="6"/>
      <c r="I14" s="2"/>
      <c r="J14" s="3"/>
      <c r="K14" s="6"/>
      <c r="L14" s="2"/>
      <c r="M14" s="3"/>
      <c r="N14" s="6"/>
      <c r="O14" s="2"/>
      <c r="P14" s="3"/>
      <c r="Q14" s="6"/>
      <c r="R14" s="2"/>
      <c r="S14" s="3"/>
      <c r="T14" s="6"/>
      <c r="U14" s="2"/>
      <c r="V14" s="3"/>
      <c r="W14" s="6"/>
      <c r="X14" s="2"/>
      <c r="Y14" s="3"/>
      <c r="Z14" s="6"/>
      <c r="AA14" s="2"/>
      <c r="AB14" s="3"/>
      <c r="AC14" s="6"/>
      <c r="AD14" s="2"/>
      <c r="AE14" s="3"/>
      <c r="AF14" s="39"/>
      <c r="AG14" s="2"/>
      <c r="AH14" s="3"/>
    </row>
    <row r="15" ht="22.5" customHeight="1" spans="1:34">
      <c r="A15" s="38"/>
      <c r="B15" s="31" t="s">
        <v>62</v>
      </c>
      <c r="C15" s="2"/>
      <c r="D15" s="2"/>
      <c r="E15" s="2"/>
      <c r="F15" s="2"/>
      <c r="G15" s="3"/>
      <c r="H15" s="7">
        <f ca="1">SUM(H13:J14)</f>
        <v>25</v>
      </c>
      <c r="I15" s="2"/>
      <c r="J15" s="3"/>
      <c r="K15" s="7">
        <f ca="1">SUM(K13:M14)</f>
        <v>27</v>
      </c>
      <c r="L15" s="2"/>
      <c r="M15" s="3"/>
      <c r="N15" s="7">
        <f ca="1">SUM(N13:P14)</f>
        <v>0</v>
      </c>
      <c r="O15" s="2"/>
      <c r="P15" s="3"/>
      <c r="Q15" s="7">
        <f ca="1">SUM(Q13:S14)</f>
        <v>52</v>
      </c>
      <c r="R15" s="2"/>
      <c r="S15" s="3"/>
      <c r="T15" s="7">
        <f ca="1">SUM(T13:V14)</f>
        <v>50</v>
      </c>
      <c r="U15" s="2"/>
      <c r="V15" s="3"/>
      <c r="W15" s="7">
        <f ca="1">SUM(W13:Y14)</f>
        <v>0</v>
      </c>
      <c r="X15" s="2"/>
      <c r="Y15" s="3"/>
      <c r="Z15" s="7">
        <f ca="1">SUM(Z13:AB14)</f>
        <v>0</v>
      </c>
      <c r="AA15" s="2"/>
      <c r="AB15" s="3"/>
      <c r="AC15" s="7">
        <f ca="1">SUM(AC13:AE14)</f>
        <v>3</v>
      </c>
      <c r="AD15" s="2"/>
      <c r="AE15" s="3"/>
      <c r="AF15" s="40">
        <f ca="1">IFERROR((T15+W15+AC15)/Q15,0)</f>
        <v>1.01923076923077</v>
      </c>
      <c r="AG15" s="2"/>
      <c r="AH15"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A1:AH1"/>
    <mergeCell ref="A3:F3"/>
    <mergeCell ref="G3:O3"/>
    <mergeCell ref="P3:W3"/>
    <mergeCell ref="X3:AH3"/>
    <mergeCell ref="A4:F4"/>
    <mergeCell ref="G4:O4"/>
    <mergeCell ref="P4:W4"/>
    <mergeCell ref="X4:AH4"/>
    <mergeCell ref="H6:P6"/>
    <mergeCell ref="T6:AH6"/>
    <mergeCell ref="H7:J7"/>
    <mergeCell ref="K7:M7"/>
    <mergeCell ref="N7:P7"/>
    <mergeCell ref="T7:V7"/>
    <mergeCell ref="W7:Y7"/>
    <mergeCell ref="Z7:AB7"/>
    <mergeCell ref="AC7:AE7"/>
    <mergeCell ref="AF7:AH7"/>
    <mergeCell ref="B9:G9"/>
    <mergeCell ref="H9:J9"/>
    <mergeCell ref="K9:M9"/>
    <mergeCell ref="N9:P9"/>
    <mergeCell ref="Q9:S9"/>
    <mergeCell ref="T9:V9"/>
    <mergeCell ref="W9:Y9"/>
    <mergeCell ref="Z9:AB9"/>
    <mergeCell ref="AC9:AE9"/>
    <mergeCell ref="AF9:AH9"/>
    <mergeCell ref="B10:G10"/>
    <mergeCell ref="H10:J10"/>
    <mergeCell ref="K10:M10"/>
    <mergeCell ref="N10:P10"/>
    <mergeCell ref="Q10:S10"/>
    <mergeCell ref="T10:V10"/>
    <mergeCell ref="W10:Y10"/>
    <mergeCell ref="Z10:AB10"/>
    <mergeCell ref="AC10:AE10"/>
    <mergeCell ref="AF10:AH10"/>
    <mergeCell ref="B11:G11"/>
    <mergeCell ref="H11:J11"/>
    <mergeCell ref="K11:M11"/>
    <mergeCell ref="N11:P11"/>
    <mergeCell ref="Q11:S11"/>
    <mergeCell ref="T11:V11"/>
    <mergeCell ref="W11:Y11"/>
    <mergeCell ref="Z11:AB11"/>
    <mergeCell ref="AC11:AE11"/>
    <mergeCell ref="AF11:AH11"/>
    <mergeCell ref="B13:G13"/>
    <mergeCell ref="H13:J13"/>
    <mergeCell ref="K13:M13"/>
    <mergeCell ref="N13:P13"/>
    <mergeCell ref="Q13:S13"/>
    <mergeCell ref="T13:V13"/>
    <mergeCell ref="W13:Y13"/>
    <mergeCell ref="Z13:AB13"/>
    <mergeCell ref="AC13:AE13"/>
    <mergeCell ref="AF13:AH13"/>
    <mergeCell ref="B14:G14"/>
    <mergeCell ref="H14:J14"/>
    <mergeCell ref="K14:M14"/>
    <mergeCell ref="N14:P14"/>
    <mergeCell ref="Q14:S14"/>
    <mergeCell ref="T14:V14"/>
    <mergeCell ref="W14:Y14"/>
    <mergeCell ref="Z14:AB14"/>
    <mergeCell ref="AC14:AE14"/>
    <mergeCell ref="AF14:AH14"/>
    <mergeCell ref="B15:G15"/>
    <mergeCell ref="H15:J15"/>
    <mergeCell ref="K15:M15"/>
    <mergeCell ref="N15:P15"/>
    <mergeCell ref="Q15:S15"/>
    <mergeCell ref="T15:V15"/>
    <mergeCell ref="W15:Y15"/>
    <mergeCell ref="Z15:AB15"/>
    <mergeCell ref="AC15:AE15"/>
    <mergeCell ref="AF15:AH15"/>
    <mergeCell ref="A6:A7"/>
    <mergeCell ref="B6:G7"/>
    <mergeCell ref="Q6:S7"/>
  </mergeCells>
  <pageMargins left="0.75" right="0.75" top="1" bottom="1" header="0" footer="0"/>
  <pageSetup paperSize="1"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000"/>
  <sheetViews>
    <sheetView showGridLines="0" workbookViewId="0">
      <selection activeCell="A1" sqref="A1:I1"/>
    </sheetView>
  </sheetViews>
  <sheetFormatPr defaultColWidth="14.4285714285714" defaultRowHeight="15" customHeight="1"/>
  <cols>
    <col min="1" max="37" width="4.28571428571429" customWidth="1"/>
  </cols>
  <sheetData>
    <row r="1" ht="19.5" customHeight="1" spans="1:37">
      <c r="A1" s="22" t="s">
        <v>23</v>
      </c>
      <c r="B1" s="2"/>
      <c r="C1" s="2"/>
      <c r="D1" s="2"/>
      <c r="E1" s="2"/>
      <c r="F1" s="2"/>
      <c r="G1" s="2"/>
      <c r="H1" s="2"/>
      <c r="I1" s="3"/>
      <c r="J1" s="22" t="s">
        <v>24</v>
      </c>
      <c r="K1" s="2"/>
      <c r="L1" s="2"/>
      <c r="M1" s="2"/>
      <c r="N1" s="2"/>
      <c r="O1" s="2"/>
      <c r="P1" s="3"/>
      <c r="Q1" s="22" t="s">
        <v>25</v>
      </c>
      <c r="R1" s="2"/>
      <c r="S1" s="2"/>
      <c r="T1" s="2"/>
      <c r="U1" s="3"/>
      <c r="V1" s="22" t="s">
        <v>26</v>
      </c>
      <c r="W1" s="2"/>
      <c r="X1" s="2"/>
      <c r="Y1" s="3"/>
      <c r="Z1" s="22" t="s">
        <v>27</v>
      </c>
      <c r="AA1" s="2"/>
      <c r="AB1" s="2"/>
      <c r="AC1" s="3"/>
      <c r="AD1" s="22" t="s">
        <v>28</v>
      </c>
      <c r="AE1" s="2"/>
      <c r="AF1" s="2"/>
      <c r="AG1" s="3"/>
      <c r="AH1" s="22" t="s">
        <v>29</v>
      </c>
      <c r="AI1" s="2"/>
      <c r="AJ1" s="2"/>
      <c r="AK1" s="3"/>
    </row>
    <row r="2" ht="19.5" customHeight="1" spans="1:37">
      <c r="A2" s="23" t="s">
        <v>0</v>
      </c>
      <c r="B2" s="10"/>
      <c r="C2" s="10"/>
      <c r="D2" s="10"/>
      <c r="E2" s="10"/>
      <c r="F2" s="10"/>
      <c r="G2" s="10"/>
      <c r="H2" s="10"/>
      <c r="I2" s="11"/>
      <c r="J2" s="23" t="s">
        <v>30</v>
      </c>
      <c r="K2" s="10"/>
      <c r="L2" s="10"/>
      <c r="M2" s="10"/>
      <c r="N2" s="10"/>
      <c r="O2" s="10"/>
      <c r="P2" s="11"/>
      <c r="Q2" s="23" t="s">
        <v>75</v>
      </c>
      <c r="R2" s="10"/>
      <c r="S2" s="10"/>
      <c r="T2" s="10"/>
      <c r="U2" s="11"/>
      <c r="V2" s="24" t="s">
        <v>8</v>
      </c>
      <c r="W2" s="10"/>
      <c r="X2" s="10"/>
      <c r="Y2" s="11"/>
      <c r="Z2" s="23" t="s">
        <v>16</v>
      </c>
      <c r="AA2" s="10"/>
      <c r="AB2" s="10"/>
      <c r="AC2" s="11"/>
      <c r="AD2" s="24" t="s">
        <v>8</v>
      </c>
      <c r="AE2" s="10"/>
      <c r="AF2" s="10"/>
      <c r="AG2" s="11"/>
      <c r="AH2" s="23" t="s">
        <v>16</v>
      </c>
      <c r="AI2" s="10"/>
      <c r="AJ2" s="10"/>
      <c r="AK2" s="11"/>
    </row>
    <row r="3" ht="19.5" customHeight="1" spans="1:37">
      <c r="A3" s="13"/>
      <c r="B3" s="14"/>
      <c r="C3" s="14"/>
      <c r="D3" s="14"/>
      <c r="E3" s="14"/>
      <c r="F3" s="14"/>
      <c r="G3" s="14"/>
      <c r="H3" s="14"/>
      <c r="I3" s="15"/>
      <c r="J3" s="13"/>
      <c r="K3" s="14"/>
      <c r="L3" s="14"/>
      <c r="M3" s="14"/>
      <c r="N3" s="14"/>
      <c r="O3" s="14"/>
      <c r="P3" s="15"/>
      <c r="Q3" s="13"/>
      <c r="R3" s="14"/>
      <c r="S3" s="14"/>
      <c r="T3" s="14"/>
      <c r="U3" s="15"/>
      <c r="V3" s="13"/>
      <c r="W3" s="14"/>
      <c r="X3" s="14"/>
      <c r="Y3" s="15"/>
      <c r="Z3" s="13"/>
      <c r="AA3" s="14"/>
      <c r="AB3" s="14"/>
      <c r="AC3" s="15"/>
      <c r="AD3" s="13"/>
      <c r="AE3" s="14"/>
      <c r="AF3" s="14"/>
      <c r="AG3" s="15"/>
      <c r="AH3" s="13"/>
      <c r="AI3" s="14"/>
      <c r="AJ3" s="14"/>
      <c r="AK3" s="15"/>
    </row>
    <row r="5" ht="19.5" customHeight="1" spans="1:37">
      <c r="B5" s="25" t="s">
        <v>76</v>
      </c>
    </row>
    <row r="7" ht="28.5" customHeight="1" spans="1:37">
      <c r="B7" s="26" t="s">
        <v>59</v>
      </c>
      <c r="C7" s="1" t="s">
        <v>77</v>
      </c>
      <c r="D7" s="2"/>
      <c r="E7" s="3"/>
      <c r="F7" s="1" t="s">
        <v>78</v>
      </c>
      <c r="G7" s="2"/>
      <c r="H7" s="2"/>
      <c r="I7" s="2"/>
      <c r="J7" s="2"/>
      <c r="K7" s="2"/>
      <c r="L7" s="3"/>
      <c r="M7" s="1" t="s">
        <v>79</v>
      </c>
      <c r="N7" s="2"/>
      <c r="O7" s="2"/>
      <c r="P7" s="2"/>
      <c r="Q7" s="2"/>
      <c r="R7" s="2"/>
      <c r="S7" s="2"/>
      <c r="T7" s="3"/>
      <c r="U7" s="1" t="s">
        <v>80</v>
      </c>
      <c r="V7" s="3"/>
      <c r="W7" s="1" t="s">
        <v>81</v>
      </c>
      <c r="X7" s="2"/>
      <c r="Y7" s="2"/>
      <c r="Z7" s="2"/>
      <c r="AA7" s="2"/>
      <c r="AB7" s="2"/>
      <c r="AC7" s="3"/>
      <c r="AD7" s="1" t="s">
        <v>82</v>
      </c>
      <c r="AE7" s="2"/>
      <c r="AF7" s="3"/>
    </row>
    <row r="8" ht="30" customHeight="1" spans="1:37">
      <c r="B8" s="17">
        <v>1</v>
      </c>
      <c r="C8" s="19" t="s">
        <v>83</v>
      </c>
      <c r="D8" s="2"/>
      <c r="E8" s="3"/>
      <c r="F8" s="18" t="s">
        <v>84</v>
      </c>
      <c r="G8" s="2"/>
      <c r="H8" s="2"/>
      <c r="I8" s="2"/>
      <c r="J8" s="2"/>
      <c r="K8" s="2"/>
      <c r="L8" s="3"/>
      <c r="M8" s="18" t="s">
        <v>85</v>
      </c>
      <c r="N8" s="2"/>
      <c r="O8" s="2"/>
      <c r="P8" s="2"/>
      <c r="Q8" s="2"/>
      <c r="R8" s="2"/>
      <c r="S8" s="2"/>
      <c r="T8" s="3"/>
      <c r="U8" s="27" t="s">
        <v>86</v>
      </c>
      <c r="V8" s="3"/>
      <c r="W8" s="18" t="s">
        <v>87</v>
      </c>
      <c r="X8" s="2"/>
      <c r="Y8" s="2"/>
      <c r="Z8" s="2"/>
      <c r="AA8" s="2"/>
      <c r="AB8" s="2"/>
      <c r="AC8" s="3"/>
      <c r="AD8" s="19">
        <v>265</v>
      </c>
      <c r="AE8" s="2"/>
      <c r="AF8" s="3"/>
    </row>
    <row r="9" ht="30" customHeight="1" spans="1:37">
      <c r="B9" s="17">
        <v>2</v>
      </c>
      <c r="C9" s="19" t="s">
        <v>88</v>
      </c>
      <c r="D9" s="2"/>
      <c r="E9" s="3"/>
      <c r="F9" s="18" t="s">
        <v>84</v>
      </c>
      <c r="G9" s="2"/>
      <c r="H9" s="2"/>
      <c r="I9" s="2"/>
      <c r="J9" s="2"/>
      <c r="K9" s="2"/>
      <c r="L9" s="3"/>
      <c r="M9" s="18" t="s">
        <v>89</v>
      </c>
      <c r="N9" s="2"/>
      <c r="O9" s="2"/>
      <c r="P9" s="2"/>
      <c r="Q9" s="2"/>
      <c r="R9" s="2"/>
      <c r="S9" s="2"/>
      <c r="T9" s="3"/>
      <c r="U9" s="27" t="s">
        <v>86</v>
      </c>
      <c r="V9" s="3"/>
      <c r="W9" s="18" t="s">
        <v>90</v>
      </c>
      <c r="X9" s="2"/>
      <c r="Y9" s="2"/>
      <c r="Z9" s="2"/>
      <c r="AA9" s="2"/>
      <c r="AB9" s="2"/>
      <c r="AC9" s="3"/>
      <c r="AD9" s="19">
        <v>200</v>
      </c>
      <c r="AE9" s="2"/>
      <c r="AF9" s="3"/>
    </row>
    <row r="10" ht="36" customHeight="1" spans="1:37">
      <c r="B10" s="17">
        <v>3</v>
      </c>
      <c r="C10" s="19" t="s">
        <v>91</v>
      </c>
      <c r="D10" s="2"/>
      <c r="E10" s="3"/>
      <c r="F10" s="18" t="s">
        <v>84</v>
      </c>
      <c r="G10" s="2"/>
      <c r="H10" s="2"/>
      <c r="I10" s="2"/>
      <c r="J10" s="2"/>
      <c r="K10" s="2"/>
      <c r="L10" s="3"/>
      <c r="M10" s="18" t="s">
        <v>92</v>
      </c>
      <c r="N10" s="2"/>
      <c r="O10" s="2"/>
      <c r="P10" s="2"/>
      <c r="Q10" s="2"/>
      <c r="R10" s="2"/>
      <c r="S10" s="2"/>
      <c r="T10" s="3"/>
      <c r="U10" s="27" t="s">
        <v>86</v>
      </c>
      <c r="V10" s="3"/>
      <c r="W10" s="18" t="s">
        <v>93</v>
      </c>
      <c r="X10" s="2"/>
      <c r="Y10" s="2"/>
      <c r="Z10" s="2"/>
      <c r="AA10" s="2"/>
      <c r="AB10" s="2"/>
      <c r="AC10" s="3"/>
      <c r="AD10" s="19">
        <v>50</v>
      </c>
      <c r="AE10" s="2"/>
      <c r="AF10" s="3"/>
    </row>
    <row r="11" ht="30" customHeight="1" spans="1:37">
      <c r="B11" s="17">
        <v>4</v>
      </c>
      <c r="C11" s="19" t="s">
        <v>94</v>
      </c>
      <c r="D11" s="2"/>
      <c r="E11" s="3"/>
      <c r="F11" s="18" t="s">
        <v>84</v>
      </c>
      <c r="G11" s="2"/>
      <c r="H11" s="2"/>
      <c r="I11" s="2"/>
      <c r="J11" s="2"/>
      <c r="K11" s="2"/>
      <c r="L11" s="3"/>
      <c r="M11" s="18" t="s">
        <v>95</v>
      </c>
      <c r="N11" s="2"/>
      <c r="O11" s="2"/>
      <c r="P11" s="2"/>
      <c r="Q11" s="2"/>
      <c r="R11" s="2"/>
      <c r="S11" s="2"/>
      <c r="T11" s="3"/>
      <c r="U11" s="27" t="s">
        <v>86</v>
      </c>
      <c r="V11" s="3"/>
      <c r="W11" s="18" t="s">
        <v>87</v>
      </c>
      <c r="X11" s="2"/>
      <c r="Y11" s="2"/>
      <c r="Z11" s="2"/>
      <c r="AA11" s="2"/>
      <c r="AB11" s="2"/>
      <c r="AC11" s="3"/>
      <c r="AD11" s="19">
        <v>75</v>
      </c>
      <c r="AE11" s="2"/>
      <c r="AF11" s="3"/>
    </row>
    <row r="12" ht="30" customHeight="1" spans="1:37">
      <c r="B12" s="17">
        <v>5</v>
      </c>
      <c r="C12" s="19" t="s">
        <v>96</v>
      </c>
      <c r="D12" s="2"/>
      <c r="E12" s="3"/>
      <c r="F12" s="18" t="s">
        <v>84</v>
      </c>
      <c r="G12" s="2"/>
      <c r="H12" s="2"/>
      <c r="I12" s="2"/>
      <c r="J12" s="2"/>
      <c r="K12" s="2"/>
      <c r="L12" s="3"/>
      <c r="M12" s="18" t="s">
        <v>97</v>
      </c>
      <c r="N12" s="2"/>
      <c r="O12" s="2"/>
      <c r="P12" s="2"/>
      <c r="Q12" s="2"/>
      <c r="R12" s="2"/>
      <c r="S12" s="2"/>
      <c r="T12" s="3"/>
      <c r="U12" s="27" t="s">
        <v>86</v>
      </c>
      <c r="V12" s="3"/>
      <c r="W12" s="18" t="s">
        <v>98</v>
      </c>
      <c r="X12" s="2"/>
      <c r="Y12" s="2"/>
      <c r="Z12" s="2"/>
      <c r="AA12" s="2"/>
      <c r="AB12" s="2"/>
      <c r="AC12" s="3"/>
      <c r="AD12" s="19">
        <v>30</v>
      </c>
      <c r="AE12" s="2"/>
      <c r="AF12" s="3"/>
    </row>
    <row r="13" ht="30" customHeight="1" spans="1:37">
      <c r="B13" s="17">
        <v>6</v>
      </c>
      <c r="C13" s="19" t="s">
        <v>99</v>
      </c>
      <c r="D13" s="2"/>
      <c r="E13" s="3"/>
      <c r="F13" s="18" t="s">
        <v>84</v>
      </c>
      <c r="G13" s="2"/>
      <c r="H13" s="2"/>
      <c r="I13" s="2"/>
      <c r="J13" s="2"/>
      <c r="K13" s="2"/>
      <c r="L13" s="3"/>
      <c r="M13" s="18" t="s">
        <v>100</v>
      </c>
      <c r="N13" s="2"/>
      <c r="O13" s="2"/>
      <c r="P13" s="2"/>
      <c r="Q13" s="2"/>
      <c r="R13" s="2"/>
      <c r="S13" s="2"/>
      <c r="T13" s="3"/>
      <c r="U13" s="27" t="s">
        <v>86</v>
      </c>
      <c r="V13" s="3"/>
      <c r="W13" s="18" t="s">
        <v>101</v>
      </c>
      <c r="X13" s="2"/>
      <c r="Y13" s="2"/>
      <c r="Z13" s="2"/>
      <c r="AA13" s="2"/>
      <c r="AB13" s="2"/>
      <c r="AC13" s="3"/>
      <c r="AD13" s="19">
        <v>50</v>
      </c>
      <c r="AE13" s="2"/>
      <c r="AF13" s="3"/>
    </row>
    <row r="14" ht="30" customHeight="1" spans="1:37">
      <c r="B14" s="17">
        <v>7</v>
      </c>
      <c r="C14" s="19" t="s">
        <v>102</v>
      </c>
      <c r="D14" s="2"/>
      <c r="E14" s="3"/>
      <c r="F14" s="18" t="s">
        <v>84</v>
      </c>
      <c r="G14" s="2"/>
      <c r="H14" s="2"/>
      <c r="I14" s="2"/>
      <c r="J14" s="2"/>
      <c r="K14" s="2"/>
      <c r="L14" s="3"/>
      <c r="M14" s="18" t="s">
        <v>103</v>
      </c>
      <c r="N14" s="2"/>
      <c r="O14" s="2"/>
      <c r="P14" s="2"/>
      <c r="Q14" s="2"/>
      <c r="R14" s="2"/>
      <c r="S14" s="2"/>
      <c r="T14" s="3"/>
      <c r="U14" s="27" t="s">
        <v>86</v>
      </c>
      <c r="V14" s="3"/>
      <c r="W14" s="18" t="s">
        <v>98</v>
      </c>
      <c r="X14" s="2"/>
      <c r="Y14" s="2"/>
      <c r="Z14" s="2"/>
      <c r="AA14" s="2"/>
      <c r="AB14" s="2"/>
      <c r="AC14" s="3"/>
      <c r="AD14" s="19">
        <v>10</v>
      </c>
      <c r="AE14" s="2"/>
      <c r="AF14" s="3"/>
    </row>
    <row r="15" ht="30" customHeight="1" spans="1:37">
      <c r="B15" s="17">
        <v>8</v>
      </c>
      <c r="C15" s="19" t="s">
        <v>104</v>
      </c>
      <c r="D15" s="2"/>
      <c r="E15" s="3"/>
      <c r="F15" s="18" t="s">
        <v>84</v>
      </c>
      <c r="G15" s="2"/>
      <c r="H15" s="2"/>
      <c r="I15" s="2"/>
      <c r="J15" s="2"/>
      <c r="K15" s="2"/>
      <c r="L15" s="3"/>
      <c r="M15" s="18" t="s">
        <v>105</v>
      </c>
      <c r="N15" s="2"/>
      <c r="O15" s="2"/>
      <c r="P15" s="2"/>
      <c r="Q15" s="2"/>
      <c r="R15" s="2"/>
      <c r="S15" s="2"/>
      <c r="T15" s="3"/>
      <c r="U15" s="28" t="s">
        <v>106</v>
      </c>
      <c r="V15" s="3"/>
      <c r="W15" s="18" t="s">
        <v>107</v>
      </c>
      <c r="X15" s="2"/>
      <c r="Y15" s="2"/>
      <c r="Z15" s="2"/>
      <c r="AA15" s="2"/>
      <c r="AB15" s="2"/>
      <c r="AC15" s="3"/>
      <c r="AD15" s="19">
        <v>20</v>
      </c>
      <c r="AE15" s="2"/>
      <c r="AF15" s="3"/>
    </row>
    <row r="16" ht="30" customHeight="1" spans="1:37">
      <c r="B16" s="17">
        <v>9</v>
      </c>
      <c r="C16" s="19" t="s">
        <v>108</v>
      </c>
      <c r="D16" s="2"/>
      <c r="E16" s="3"/>
      <c r="F16" s="18" t="s">
        <v>84</v>
      </c>
      <c r="G16" s="2"/>
      <c r="H16" s="2"/>
      <c r="I16" s="2"/>
      <c r="J16" s="2"/>
      <c r="K16" s="2"/>
      <c r="L16" s="3"/>
      <c r="M16" s="18" t="s">
        <v>109</v>
      </c>
      <c r="N16" s="2"/>
      <c r="O16" s="2"/>
      <c r="P16" s="2"/>
      <c r="Q16" s="2"/>
      <c r="R16" s="2"/>
      <c r="S16" s="2"/>
      <c r="T16" s="3"/>
      <c r="U16" s="27" t="s">
        <v>86</v>
      </c>
      <c r="V16" s="3"/>
      <c r="W16" s="18" t="s">
        <v>110</v>
      </c>
      <c r="X16" s="2"/>
      <c r="Y16" s="2"/>
      <c r="Z16" s="2"/>
      <c r="AA16" s="2"/>
      <c r="AB16" s="2"/>
      <c r="AC16" s="3"/>
      <c r="AD16" s="19">
        <v>8</v>
      </c>
      <c r="AE16" s="2"/>
      <c r="AF16" s="3"/>
    </row>
    <row r="17" ht="30" customHeight="1" spans="2:32">
      <c r="B17" s="17">
        <v>10</v>
      </c>
      <c r="C17" s="19" t="s">
        <v>111</v>
      </c>
      <c r="D17" s="2"/>
      <c r="E17" s="3"/>
      <c r="F17" s="18" t="s">
        <v>84</v>
      </c>
      <c r="G17" s="2"/>
      <c r="H17" s="2"/>
      <c r="I17" s="2"/>
      <c r="J17" s="2"/>
      <c r="K17" s="2"/>
      <c r="L17" s="3"/>
      <c r="M17" s="18" t="s">
        <v>112</v>
      </c>
      <c r="N17" s="2"/>
      <c r="O17" s="2"/>
      <c r="P17" s="2"/>
      <c r="Q17" s="2"/>
      <c r="R17" s="2"/>
      <c r="S17" s="2"/>
      <c r="T17" s="3"/>
      <c r="U17" s="27" t="s">
        <v>86</v>
      </c>
      <c r="V17" s="3"/>
      <c r="W17" s="18" t="s">
        <v>113</v>
      </c>
      <c r="X17" s="2"/>
      <c r="Y17" s="2"/>
      <c r="Z17" s="2"/>
      <c r="AA17" s="2"/>
      <c r="AB17" s="2"/>
      <c r="AC17" s="3"/>
      <c r="AD17" s="19">
        <v>30</v>
      </c>
      <c r="AE17" s="2"/>
      <c r="AF17" s="3"/>
    </row>
    <row r="18" ht="30" customHeight="1" spans="2:32">
      <c r="B18" s="17">
        <v>11</v>
      </c>
      <c r="C18" s="19" t="s">
        <v>114</v>
      </c>
      <c r="D18" s="2"/>
      <c r="E18" s="3"/>
      <c r="F18" s="18" t="s">
        <v>115</v>
      </c>
      <c r="G18" s="2"/>
      <c r="H18" s="2"/>
      <c r="I18" s="2"/>
      <c r="J18" s="2"/>
      <c r="K18" s="2"/>
      <c r="L18" s="3"/>
      <c r="M18" s="18" t="s">
        <v>116</v>
      </c>
      <c r="N18" s="2"/>
      <c r="O18" s="2"/>
      <c r="P18" s="2"/>
      <c r="Q18" s="2"/>
      <c r="R18" s="2"/>
      <c r="S18" s="2"/>
      <c r="T18" s="3"/>
      <c r="U18" s="28" t="s">
        <v>106</v>
      </c>
      <c r="V18" s="3"/>
      <c r="W18" s="18" t="s">
        <v>117</v>
      </c>
      <c r="X18" s="2"/>
      <c r="Y18" s="2"/>
      <c r="Z18" s="2"/>
      <c r="AA18" s="2"/>
      <c r="AB18" s="2"/>
      <c r="AC18" s="3"/>
      <c r="AD18" s="19">
        <v>100</v>
      </c>
      <c r="AE18" s="2"/>
      <c r="AF18" s="3"/>
    </row>
    <row r="19" ht="30" customHeight="1" spans="2:32">
      <c r="B19" s="17">
        <v>12</v>
      </c>
      <c r="C19" s="19" t="s">
        <v>118</v>
      </c>
      <c r="D19" s="2"/>
      <c r="E19" s="3"/>
      <c r="F19" s="18" t="s">
        <v>115</v>
      </c>
      <c r="G19" s="2"/>
      <c r="H19" s="2"/>
      <c r="I19" s="2"/>
      <c r="J19" s="2"/>
      <c r="K19" s="2"/>
      <c r="L19" s="3"/>
      <c r="M19" s="18" t="s">
        <v>119</v>
      </c>
      <c r="N19" s="2"/>
      <c r="O19" s="2"/>
      <c r="P19" s="2"/>
      <c r="Q19" s="2"/>
      <c r="R19" s="2"/>
      <c r="S19" s="2"/>
      <c r="T19" s="3"/>
      <c r="U19" s="28" t="s">
        <v>106</v>
      </c>
      <c r="V19" s="3"/>
      <c r="W19" s="18" t="s">
        <v>117</v>
      </c>
      <c r="X19" s="2"/>
      <c r="Y19" s="2"/>
      <c r="Z19" s="2"/>
      <c r="AA19" s="2"/>
      <c r="AB19" s="2"/>
      <c r="AC19" s="3"/>
      <c r="AD19" s="19">
        <v>80</v>
      </c>
      <c r="AE19" s="2"/>
      <c r="AF19" s="3"/>
    </row>
    <row r="20" ht="30" customHeight="1" spans="2:32">
      <c r="B20" s="17">
        <v>13</v>
      </c>
      <c r="C20" s="19" t="s">
        <v>120</v>
      </c>
      <c r="D20" s="2"/>
      <c r="E20" s="3"/>
      <c r="F20" s="18" t="s">
        <v>115</v>
      </c>
      <c r="G20" s="2"/>
      <c r="H20" s="2"/>
      <c r="I20" s="2"/>
      <c r="J20" s="2"/>
      <c r="K20" s="2"/>
      <c r="L20" s="3"/>
      <c r="M20" s="18" t="s">
        <v>121</v>
      </c>
      <c r="N20" s="2"/>
      <c r="O20" s="2"/>
      <c r="P20" s="2"/>
      <c r="Q20" s="2"/>
      <c r="R20" s="2"/>
      <c r="S20" s="2"/>
      <c r="T20" s="3"/>
      <c r="U20" s="28" t="s">
        <v>106</v>
      </c>
      <c r="V20" s="3"/>
      <c r="W20" s="18" t="s">
        <v>101</v>
      </c>
      <c r="X20" s="2"/>
      <c r="Y20" s="2"/>
      <c r="Z20" s="2"/>
      <c r="AA20" s="2"/>
      <c r="AB20" s="2"/>
      <c r="AC20" s="3"/>
      <c r="AD20" s="19">
        <v>60</v>
      </c>
      <c r="AE20" s="2"/>
      <c r="AF20" s="3"/>
    </row>
    <row r="21" ht="30" customHeight="1" spans="2:32">
      <c r="B21" s="17">
        <v>14</v>
      </c>
      <c r="C21" s="19" t="s">
        <v>122</v>
      </c>
      <c r="D21" s="2"/>
      <c r="E21" s="3"/>
      <c r="F21" s="18" t="s">
        <v>115</v>
      </c>
      <c r="G21" s="2"/>
      <c r="H21" s="2"/>
      <c r="I21" s="2"/>
      <c r="J21" s="2"/>
      <c r="K21" s="2"/>
      <c r="L21" s="3"/>
      <c r="M21" s="18" t="s">
        <v>123</v>
      </c>
      <c r="N21" s="2"/>
      <c r="O21" s="2"/>
      <c r="P21" s="2"/>
      <c r="Q21" s="2"/>
      <c r="R21" s="2"/>
      <c r="S21" s="2"/>
      <c r="T21" s="3"/>
      <c r="U21" s="28" t="s">
        <v>106</v>
      </c>
      <c r="V21" s="3"/>
      <c r="W21" s="18" t="s">
        <v>117</v>
      </c>
      <c r="X21" s="2"/>
      <c r="Y21" s="2"/>
      <c r="Z21" s="2"/>
      <c r="AA21" s="2"/>
      <c r="AB21" s="2"/>
      <c r="AC21" s="3"/>
      <c r="AD21" s="19">
        <v>50</v>
      </c>
      <c r="AE21" s="2"/>
      <c r="AF21" s="3"/>
    </row>
    <row r="22" ht="30" customHeight="1" spans="2:32">
      <c r="B22" s="17">
        <v>15</v>
      </c>
      <c r="C22" s="19" t="s">
        <v>124</v>
      </c>
      <c r="D22" s="2"/>
      <c r="E22" s="3"/>
      <c r="F22" s="18" t="s">
        <v>115</v>
      </c>
      <c r="G22" s="2"/>
      <c r="H22" s="2"/>
      <c r="I22" s="2"/>
      <c r="J22" s="2"/>
      <c r="K22" s="2"/>
      <c r="L22" s="3"/>
      <c r="M22" s="18" t="s">
        <v>125</v>
      </c>
      <c r="N22" s="2"/>
      <c r="O22" s="2"/>
      <c r="P22" s="2"/>
      <c r="Q22" s="2"/>
      <c r="R22" s="2"/>
      <c r="S22" s="2"/>
      <c r="T22" s="3"/>
      <c r="U22" s="28" t="s">
        <v>106</v>
      </c>
      <c r="V22" s="3"/>
      <c r="W22" s="18" t="s">
        <v>126</v>
      </c>
      <c r="X22" s="2"/>
      <c r="Y22" s="2"/>
      <c r="Z22" s="2"/>
      <c r="AA22" s="2"/>
      <c r="AB22" s="2"/>
      <c r="AC22" s="3"/>
      <c r="AD22" s="19">
        <v>30</v>
      </c>
      <c r="AE22" s="2"/>
      <c r="AF22" s="3"/>
    </row>
    <row r="23" ht="30" customHeight="1" spans="2:32">
      <c r="B23" s="17">
        <v>16</v>
      </c>
      <c r="C23" s="19" t="s">
        <v>127</v>
      </c>
      <c r="D23" s="2"/>
      <c r="E23" s="3"/>
      <c r="F23" s="18" t="s">
        <v>115</v>
      </c>
      <c r="G23" s="2"/>
      <c r="H23" s="2"/>
      <c r="I23" s="2"/>
      <c r="J23" s="2"/>
      <c r="K23" s="2"/>
      <c r="L23" s="3"/>
      <c r="M23" s="18" t="s">
        <v>128</v>
      </c>
      <c r="N23" s="2"/>
      <c r="O23" s="2"/>
      <c r="P23" s="2"/>
      <c r="Q23" s="2"/>
      <c r="R23" s="2"/>
      <c r="S23" s="2"/>
      <c r="T23" s="3"/>
      <c r="U23" s="27" t="s">
        <v>86</v>
      </c>
      <c r="V23" s="3"/>
      <c r="W23" s="18" t="s">
        <v>129</v>
      </c>
      <c r="X23" s="2"/>
      <c r="Y23" s="2"/>
      <c r="Z23" s="2"/>
      <c r="AA23" s="2"/>
      <c r="AB23" s="2"/>
      <c r="AC23" s="3"/>
      <c r="AD23" s="19">
        <v>15</v>
      </c>
      <c r="AE23" s="2"/>
      <c r="AF23" s="3"/>
    </row>
    <row r="24" ht="36" customHeight="1" spans="2:32">
      <c r="B24" s="17">
        <v>17</v>
      </c>
      <c r="C24" s="19" t="s">
        <v>130</v>
      </c>
      <c r="D24" s="2"/>
      <c r="E24" s="3"/>
      <c r="F24" s="18" t="s">
        <v>115</v>
      </c>
      <c r="G24" s="2"/>
      <c r="H24" s="2"/>
      <c r="I24" s="2"/>
      <c r="J24" s="2"/>
      <c r="K24" s="2"/>
      <c r="L24" s="3"/>
      <c r="M24" s="18" t="s">
        <v>131</v>
      </c>
      <c r="N24" s="2"/>
      <c r="O24" s="2"/>
      <c r="P24" s="2"/>
      <c r="Q24" s="2"/>
      <c r="R24" s="2"/>
      <c r="S24" s="2"/>
      <c r="T24" s="3"/>
      <c r="U24" s="28" t="s">
        <v>106</v>
      </c>
      <c r="V24" s="3"/>
      <c r="W24" s="18" t="s">
        <v>132</v>
      </c>
      <c r="X24" s="2"/>
      <c r="Y24" s="2"/>
      <c r="Z24" s="2"/>
      <c r="AA24" s="2"/>
      <c r="AB24" s="2"/>
      <c r="AC24" s="3"/>
      <c r="AD24" s="19">
        <v>45</v>
      </c>
      <c r="AE24" s="2"/>
      <c r="AF24" s="3"/>
    </row>
    <row r="25" ht="30" customHeight="1" spans="2:32">
      <c r="B25" s="17">
        <v>18</v>
      </c>
      <c r="C25" s="19" t="s">
        <v>133</v>
      </c>
      <c r="D25" s="2"/>
      <c r="E25" s="3"/>
      <c r="F25" s="18" t="s">
        <v>115</v>
      </c>
      <c r="G25" s="2"/>
      <c r="H25" s="2"/>
      <c r="I25" s="2"/>
      <c r="J25" s="2"/>
      <c r="K25" s="2"/>
      <c r="L25" s="3"/>
      <c r="M25" s="18" t="s">
        <v>134</v>
      </c>
      <c r="N25" s="2"/>
      <c r="O25" s="2"/>
      <c r="P25" s="2"/>
      <c r="Q25" s="2"/>
      <c r="R25" s="2"/>
      <c r="S25" s="2"/>
      <c r="T25" s="3"/>
      <c r="U25" s="28" t="s">
        <v>106</v>
      </c>
      <c r="V25" s="3"/>
      <c r="W25" s="18" t="s">
        <v>135</v>
      </c>
      <c r="X25" s="2"/>
      <c r="Y25" s="2"/>
      <c r="Z25" s="2"/>
      <c r="AA25" s="2"/>
      <c r="AB25" s="2"/>
      <c r="AC25" s="3"/>
      <c r="AD25" s="19">
        <v>30</v>
      </c>
      <c r="AE25" s="2"/>
      <c r="AF25" s="3"/>
    </row>
    <row r="26" ht="36" customHeight="1" spans="2:32">
      <c r="B26" s="17">
        <v>19</v>
      </c>
      <c r="C26" s="19" t="s">
        <v>136</v>
      </c>
      <c r="D26" s="2"/>
      <c r="E26" s="3"/>
      <c r="F26" s="18" t="s">
        <v>115</v>
      </c>
      <c r="G26" s="2"/>
      <c r="H26" s="2"/>
      <c r="I26" s="2"/>
      <c r="J26" s="2"/>
      <c r="K26" s="2"/>
      <c r="L26" s="3"/>
      <c r="M26" s="18" t="s">
        <v>137</v>
      </c>
      <c r="N26" s="2"/>
      <c r="O26" s="2"/>
      <c r="P26" s="2"/>
      <c r="Q26" s="2"/>
      <c r="R26" s="2"/>
      <c r="S26" s="2"/>
      <c r="T26" s="3"/>
      <c r="U26" s="28" t="s">
        <v>106</v>
      </c>
      <c r="V26" s="3"/>
      <c r="W26" s="18" t="s">
        <v>138</v>
      </c>
      <c r="X26" s="2"/>
      <c r="Y26" s="2"/>
      <c r="Z26" s="2"/>
      <c r="AA26" s="2"/>
      <c r="AB26" s="2"/>
      <c r="AC26" s="3"/>
      <c r="AD26" s="19">
        <v>25</v>
      </c>
      <c r="AE26" s="2"/>
      <c r="AF26" s="3"/>
    </row>
    <row r="27" ht="30" customHeight="1" spans="2:32">
      <c r="B27" s="17">
        <v>20</v>
      </c>
      <c r="C27" s="19" t="s">
        <v>139</v>
      </c>
      <c r="D27" s="2"/>
      <c r="E27" s="3"/>
      <c r="F27" s="18" t="s">
        <v>140</v>
      </c>
      <c r="G27" s="2"/>
      <c r="H27" s="2"/>
      <c r="I27" s="2"/>
      <c r="J27" s="2"/>
      <c r="K27" s="2"/>
      <c r="L27" s="3"/>
      <c r="M27" s="18" t="s">
        <v>141</v>
      </c>
      <c r="N27" s="2"/>
      <c r="O27" s="2"/>
      <c r="P27" s="2"/>
      <c r="Q27" s="2"/>
      <c r="R27" s="2"/>
      <c r="S27" s="2"/>
      <c r="T27" s="3"/>
      <c r="U27" s="27" t="s">
        <v>86</v>
      </c>
      <c r="V27" s="3"/>
      <c r="W27" s="18" t="s">
        <v>135</v>
      </c>
      <c r="X27" s="2"/>
      <c r="Y27" s="2"/>
      <c r="Z27" s="2"/>
      <c r="AA27" s="2"/>
      <c r="AB27" s="2"/>
      <c r="AC27" s="3"/>
      <c r="AD27" s="19">
        <v>60</v>
      </c>
      <c r="AE27" s="2"/>
      <c r="AF27" s="3"/>
    </row>
    <row r="28" ht="30" customHeight="1" spans="2:32">
      <c r="B28" s="17">
        <v>21</v>
      </c>
      <c r="C28" s="19" t="s">
        <v>142</v>
      </c>
      <c r="D28" s="2"/>
      <c r="E28" s="3"/>
      <c r="F28" s="18" t="s">
        <v>140</v>
      </c>
      <c r="G28" s="2"/>
      <c r="H28" s="2"/>
      <c r="I28" s="2"/>
      <c r="J28" s="2"/>
      <c r="K28" s="2"/>
      <c r="L28" s="3"/>
      <c r="M28" s="18" t="s">
        <v>143</v>
      </c>
      <c r="N28" s="2"/>
      <c r="O28" s="2"/>
      <c r="P28" s="2"/>
      <c r="Q28" s="2"/>
      <c r="R28" s="2"/>
      <c r="S28" s="2"/>
      <c r="T28" s="3"/>
      <c r="U28" s="28" t="s">
        <v>106</v>
      </c>
      <c r="V28" s="3"/>
      <c r="W28" s="18" t="s">
        <v>144</v>
      </c>
      <c r="X28" s="2"/>
      <c r="Y28" s="2"/>
      <c r="Z28" s="2"/>
      <c r="AA28" s="2"/>
      <c r="AB28" s="2"/>
      <c r="AC28" s="3"/>
      <c r="AD28" s="19">
        <v>16</v>
      </c>
      <c r="AE28" s="2"/>
      <c r="AF28" s="3"/>
    </row>
    <row r="29" ht="30" customHeight="1" spans="2:32">
      <c r="B29" s="17">
        <v>22</v>
      </c>
      <c r="C29" s="19" t="s">
        <v>145</v>
      </c>
      <c r="D29" s="2"/>
      <c r="E29" s="3"/>
      <c r="F29" s="18" t="s">
        <v>140</v>
      </c>
      <c r="G29" s="2"/>
      <c r="H29" s="2"/>
      <c r="I29" s="2"/>
      <c r="J29" s="2"/>
      <c r="K29" s="2"/>
      <c r="L29" s="3"/>
      <c r="M29" s="18" t="s">
        <v>146</v>
      </c>
      <c r="N29" s="2"/>
      <c r="O29" s="2"/>
      <c r="P29" s="2"/>
      <c r="Q29" s="2"/>
      <c r="R29" s="2"/>
      <c r="S29" s="2"/>
      <c r="T29" s="3"/>
      <c r="U29" s="27" t="s">
        <v>86</v>
      </c>
      <c r="V29" s="3"/>
      <c r="W29" s="18" t="s">
        <v>147</v>
      </c>
      <c r="X29" s="2"/>
      <c r="Y29" s="2"/>
      <c r="Z29" s="2"/>
      <c r="AA29" s="2"/>
      <c r="AB29" s="2"/>
      <c r="AC29" s="3"/>
      <c r="AD29" s="19">
        <v>18</v>
      </c>
      <c r="AE29" s="2"/>
      <c r="AF29" s="3"/>
    </row>
    <row r="30" ht="30" customHeight="1" spans="2:32">
      <c r="B30" s="17">
        <v>23</v>
      </c>
      <c r="C30" s="19" t="s">
        <v>148</v>
      </c>
      <c r="D30" s="2"/>
      <c r="E30" s="3"/>
      <c r="F30" s="18" t="s">
        <v>140</v>
      </c>
      <c r="G30" s="2"/>
      <c r="H30" s="2"/>
      <c r="I30" s="2"/>
      <c r="J30" s="2"/>
      <c r="K30" s="2"/>
      <c r="L30" s="3"/>
      <c r="M30" s="18" t="s">
        <v>149</v>
      </c>
      <c r="N30" s="2"/>
      <c r="O30" s="2"/>
      <c r="P30" s="2"/>
      <c r="Q30" s="2"/>
      <c r="R30" s="2"/>
      <c r="S30" s="2"/>
      <c r="T30" s="3"/>
      <c r="U30" s="28" t="s">
        <v>106</v>
      </c>
      <c r="V30" s="3"/>
      <c r="W30" s="18" t="s">
        <v>150</v>
      </c>
      <c r="X30" s="2"/>
      <c r="Y30" s="2"/>
      <c r="Z30" s="2"/>
      <c r="AA30" s="2"/>
      <c r="AB30" s="2"/>
      <c r="AC30" s="3"/>
      <c r="AD30" s="19">
        <v>8</v>
      </c>
      <c r="AE30" s="2"/>
      <c r="AF30" s="3"/>
    </row>
    <row r="31" ht="30" customHeight="1" spans="2:32">
      <c r="B31" s="17">
        <v>24</v>
      </c>
      <c r="C31" s="19" t="s">
        <v>151</v>
      </c>
      <c r="D31" s="2"/>
      <c r="E31" s="3"/>
      <c r="F31" s="18" t="s">
        <v>140</v>
      </c>
      <c r="G31" s="2"/>
      <c r="H31" s="2"/>
      <c r="I31" s="2"/>
      <c r="J31" s="2"/>
      <c r="K31" s="2"/>
      <c r="L31" s="3"/>
      <c r="M31" s="18" t="s">
        <v>152</v>
      </c>
      <c r="N31" s="2"/>
      <c r="O31" s="2"/>
      <c r="P31" s="2"/>
      <c r="Q31" s="2"/>
      <c r="R31" s="2"/>
      <c r="S31" s="2"/>
      <c r="T31" s="3"/>
      <c r="U31" s="27" t="s">
        <v>86</v>
      </c>
      <c r="V31" s="3"/>
      <c r="W31" s="18" t="s">
        <v>153</v>
      </c>
      <c r="X31" s="2"/>
      <c r="Y31" s="2"/>
      <c r="Z31" s="2"/>
      <c r="AA31" s="2"/>
      <c r="AB31" s="2"/>
      <c r="AC31" s="3"/>
      <c r="AD31" s="19">
        <v>10</v>
      </c>
      <c r="AE31" s="2"/>
      <c r="AF31" s="3"/>
    </row>
    <row r="32" ht="30" customHeight="1" spans="2:32">
      <c r="B32" s="17">
        <v>25</v>
      </c>
      <c r="C32" s="19" t="s">
        <v>154</v>
      </c>
      <c r="D32" s="2"/>
      <c r="E32" s="3"/>
      <c r="F32" s="18" t="s">
        <v>140</v>
      </c>
      <c r="G32" s="2"/>
      <c r="H32" s="2"/>
      <c r="I32" s="2"/>
      <c r="J32" s="2"/>
      <c r="K32" s="2"/>
      <c r="L32" s="3"/>
      <c r="M32" s="18" t="s">
        <v>155</v>
      </c>
      <c r="N32" s="2"/>
      <c r="O32" s="2"/>
      <c r="P32" s="2"/>
      <c r="Q32" s="2"/>
      <c r="R32" s="2"/>
      <c r="S32" s="2"/>
      <c r="T32" s="3"/>
      <c r="U32" s="28" t="s">
        <v>106</v>
      </c>
      <c r="V32" s="3"/>
      <c r="W32" s="18" t="s">
        <v>156</v>
      </c>
      <c r="X32" s="2"/>
      <c r="Y32" s="2"/>
      <c r="Z32" s="2"/>
      <c r="AA32" s="2"/>
      <c r="AB32" s="2"/>
      <c r="AC32" s="3"/>
      <c r="AD32" s="19">
        <v>30</v>
      </c>
      <c r="AE32" s="2"/>
      <c r="AF32" s="3"/>
    </row>
    <row r="33" ht="30" customHeight="1" spans="2:32">
      <c r="B33" s="17">
        <v>26</v>
      </c>
      <c r="C33" s="19" t="s">
        <v>157</v>
      </c>
      <c r="D33" s="2"/>
      <c r="E33" s="3"/>
      <c r="F33" s="18" t="s">
        <v>140</v>
      </c>
      <c r="G33" s="2"/>
      <c r="H33" s="2"/>
      <c r="I33" s="2"/>
      <c r="J33" s="2"/>
      <c r="K33" s="2"/>
      <c r="L33" s="3"/>
      <c r="M33" s="18" t="s">
        <v>158</v>
      </c>
      <c r="N33" s="2"/>
      <c r="O33" s="2"/>
      <c r="P33" s="2"/>
      <c r="Q33" s="2"/>
      <c r="R33" s="2"/>
      <c r="S33" s="2"/>
      <c r="T33" s="3"/>
      <c r="U33" s="27" t="s">
        <v>86</v>
      </c>
      <c r="V33" s="3"/>
      <c r="W33" s="18" t="s">
        <v>159</v>
      </c>
      <c r="X33" s="2"/>
      <c r="Y33" s="2"/>
      <c r="Z33" s="2"/>
      <c r="AA33" s="2"/>
      <c r="AB33" s="2"/>
      <c r="AC33" s="3"/>
      <c r="AD33" s="19">
        <v>15</v>
      </c>
      <c r="AE33" s="2"/>
      <c r="AF33" s="3"/>
    </row>
    <row r="34" ht="30" customHeight="1" spans="2:32">
      <c r="B34" s="17">
        <v>27</v>
      </c>
      <c r="C34" s="19" t="s">
        <v>160</v>
      </c>
      <c r="D34" s="2"/>
      <c r="E34" s="3"/>
      <c r="F34" s="18" t="s">
        <v>140</v>
      </c>
      <c r="G34" s="2"/>
      <c r="H34" s="2"/>
      <c r="I34" s="2"/>
      <c r="J34" s="2"/>
      <c r="K34" s="2"/>
      <c r="L34" s="3"/>
      <c r="M34" s="18" t="s">
        <v>161</v>
      </c>
      <c r="N34" s="2"/>
      <c r="O34" s="2"/>
      <c r="P34" s="2"/>
      <c r="Q34" s="2"/>
      <c r="R34" s="2"/>
      <c r="S34" s="2"/>
      <c r="T34" s="3"/>
      <c r="U34" s="27" t="s">
        <v>86</v>
      </c>
      <c r="V34" s="3"/>
      <c r="W34" s="18" t="s">
        <v>162</v>
      </c>
      <c r="X34" s="2"/>
      <c r="Y34" s="2"/>
      <c r="Z34" s="2"/>
      <c r="AA34" s="2"/>
      <c r="AB34" s="2"/>
      <c r="AC34" s="3"/>
      <c r="AD34" s="19">
        <v>18</v>
      </c>
      <c r="AE34" s="2"/>
      <c r="AF34" s="3"/>
    </row>
    <row r="35" ht="30" customHeight="1" spans="2:32">
      <c r="B35" s="17">
        <v>28</v>
      </c>
      <c r="C35" s="19" t="s">
        <v>163</v>
      </c>
      <c r="D35" s="2"/>
      <c r="E35" s="3"/>
      <c r="F35" s="18" t="s">
        <v>164</v>
      </c>
      <c r="G35" s="2"/>
      <c r="H35" s="2"/>
      <c r="I35" s="2"/>
      <c r="J35" s="2"/>
      <c r="K35" s="2"/>
      <c r="L35" s="3"/>
      <c r="M35" s="18" t="s">
        <v>165</v>
      </c>
      <c r="N35" s="2"/>
      <c r="O35" s="2"/>
      <c r="P35" s="2"/>
      <c r="Q35" s="2"/>
      <c r="R35" s="2"/>
      <c r="S35" s="2"/>
      <c r="T35" s="3"/>
      <c r="U35" s="27" t="s">
        <v>86</v>
      </c>
      <c r="V35" s="3"/>
      <c r="W35" s="18" t="s">
        <v>166</v>
      </c>
      <c r="X35" s="2"/>
      <c r="Y35" s="2"/>
      <c r="Z35" s="2"/>
      <c r="AA35" s="2"/>
      <c r="AB35" s="2"/>
      <c r="AC35" s="3"/>
      <c r="AD35" s="19">
        <v>25</v>
      </c>
      <c r="AE35" s="2"/>
      <c r="AF35" s="3"/>
    </row>
    <row r="36" ht="30" customHeight="1" spans="2:32">
      <c r="B36" s="17">
        <v>29</v>
      </c>
      <c r="C36" s="19" t="s">
        <v>167</v>
      </c>
      <c r="D36" s="2"/>
      <c r="E36" s="3"/>
      <c r="F36" s="18" t="s">
        <v>164</v>
      </c>
      <c r="G36" s="2"/>
      <c r="H36" s="2"/>
      <c r="I36" s="2"/>
      <c r="J36" s="2"/>
      <c r="K36" s="2"/>
      <c r="L36" s="3"/>
      <c r="M36" s="18" t="s">
        <v>168</v>
      </c>
      <c r="N36" s="2"/>
      <c r="O36" s="2"/>
      <c r="P36" s="2"/>
      <c r="Q36" s="2"/>
      <c r="R36" s="2"/>
      <c r="S36" s="2"/>
      <c r="T36" s="3"/>
      <c r="U36" s="27" t="s">
        <v>86</v>
      </c>
      <c r="V36" s="3"/>
      <c r="W36" s="18" t="s">
        <v>98</v>
      </c>
      <c r="X36" s="2"/>
      <c r="Y36" s="2"/>
      <c r="Z36" s="2"/>
      <c r="AA36" s="2"/>
      <c r="AB36" s="2"/>
      <c r="AC36" s="3"/>
      <c r="AD36" s="19">
        <v>8</v>
      </c>
      <c r="AE36" s="2"/>
      <c r="AF36" s="3"/>
    </row>
    <row r="37" ht="30" customHeight="1" spans="2:32">
      <c r="B37" s="17">
        <v>30</v>
      </c>
      <c r="C37" s="19" t="s">
        <v>169</v>
      </c>
      <c r="D37" s="2"/>
      <c r="E37" s="3"/>
      <c r="F37" s="18" t="s">
        <v>164</v>
      </c>
      <c r="G37" s="2"/>
      <c r="H37" s="2"/>
      <c r="I37" s="2"/>
      <c r="J37" s="2"/>
      <c r="K37" s="2"/>
      <c r="L37" s="3"/>
      <c r="M37" s="18" t="s">
        <v>170</v>
      </c>
      <c r="N37" s="2"/>
      <c r="O37" s="2"/>
      <c r="P37" s="2"/>
      <c r="Q37" s="2"/>
      <c r="R37" s="2"/>
      <c r="S37" s="2"/>
      <c r="T37" s="3"/>
      <c r="U37" s="27" t="s">
        <v>86</v>
      </c>
      <c r="V37" s="3"/>
      <c r="W37" s="18" t="s">
        <v>171</v>
      </c>
      <c r="X37" s="2"/>
      <c r="Y37" s="2"/>
      <c r="Z37" s="2"/>
      <c r="AA37" s="2"/>
      <c r="AB37" s="2"/>
      <c r="AC37" s="3"/>
      <c r="AD37" s="19">
        <v>15</v>
      </c>
      <c r="AE37" s="2"/>
      <c r="AF37" s="3"/>
    </row>
    <row r="38" ht="30" customHeight="1" spans="2:32">
      <c r="B38" s="17">
        <v>31</v>
      </c>
      <c r="C38" s="19" t="s">
        <v>172</v>
      </c>
      <c r="D38" s="2"/>
      <c r="E38" s="3"/>
      <c r="F38" s="18" t="s">
        <v>164</v>
      </c>
      <c r="G38" s="2"/>
      <c r="H38" s="2"/>
      <c r="I38" s="2"/>
      <c r="J38" s="2"/>
      <c r="K38" s="2"/>
      <c r="L38" s="3"/>
      <c r="M38" s="18" t="s">
        <v>173</v>
      </c>
      <c r="N38" s="2"/>
      <c r="O38" s="2"/>
      <c r="P38" s="2"/>
      <c r="Q38" s="2"/>
      <c r="R38" s="2"/>
      <c r="S38" s="2"/>
      <c r="T38" s="3"/>
      <c r="U38" s="27" t="s">
        <v>86</v>
      </c>
      <c r="V38" s="3"/>
      <c r="W38" s="18" t="s">
        <v>98</v>
      </c>
      <c r="X38" s="2"/>
      <c r="Y38" s="2"/>
      <c r="Z38" s="2"/>
      <c r="AA38" s="2"/>
      <c r="AB38" s="2"/>
      <c r="AC38" s="3"/>
      <c r="AD38" s="19">
        <v>40</v>
      </c>
      <c r="AE38" s="2"/>
      <c r="AF38" s="3"/>
    </row>
    <row r="39" ht="30" customHeight="1" spans="2:32">
      <c r="B39" s="17">
        <v>32</v>
      </c>
      <c r="C39" s="19" t="s">
        <v>174</v>
      </c>
      <c r="D39" s="2"/>
      <c r="E39" s="3"/>
      <c r="F39" s="18" t="s">
        <v>164</v>
      </c>
      <c r="G39" s="2"/>
      <c r="H39" s="2"/>
      <c r="I39" s="2"/>
      <c r="J39" s="2"/>
      <c r="K39" s="2"/>
      <c r="L39" s="3"/>
      <c r="M39" s="18" t="s">
        <v>175</v>
      </c>
      <c r="N39" s="2"/>
      <c r="O39" s="2"/>
      <c r="P39" s="2"/>
      <c r="Q39" s="2"/>
      <c r="R39" s="2"/>
      <c r="S39" s="2"/>
      <c r="T39" s="3"/>
      <c r="U39" s="28" t="s">
        <v>106</v>
      </c>
      <c r="V39" s="3"/>
      <c r="W39" s="18" t="s">
        <v>176</v>
      </c>
      <c r="X39" s="2"/>
      <c r="Y39" s="2"/>
      <c r="Z39" s="2"/>
      <c r="AA39" s="2"/>
      <c r="AB39" s="2"/>
      <c r="AC39" s="3"/>
      <c r="AD39" s="19">
        <v>20</v>
      </c>
      <c r="AE39" s="2"/>
      <c r="AF39" s="3"/>
    </row>
    <row r="40" ht="30" customHeight="1" spans="2:32">
      <c r="B40" s="17">
        <v>33</v>
      </c>
      <c r="C40" s="19" t="s">
        <v>177</v>
      </c>
      <c r="D40" s="2"/>
      <c r="E40" s="3"/>
      <c r="F40" s="18" t="s">
        <v>164</v>
      </c>
      <c r="G40" s="2"/>
      <c r="H40" s="2"/>
      <c r="I40" s="2"/>
      <c r="J40" s="2"/>
      <c r="K40" s="2"/>
      <c r="L40" s="3"/>
      <c r="M40" s="18" t="s">
        <v>178</v>
      </c>
      <c r="N40" s="2"/>
      <c r="O40" s="2"/>
      <c r="P40" s="2"/>
      <c r="Q40" s="2"/>
      <c r="R40" s="2"/>
      <c r="S40" s="2"/>
      <c r="T40" s="3"/>
      <c r="U40" s="28" t="s">
        <v>106</v>
      </c>
      <c r="V40" s="3"/>
      <c r="W40" s="18" t="s">
        <v>179</v>
      </c>
      <c r="X40" s="2"/>
      <c r="Y40" s="2"/>
      <c r="Z40" s="2"/>
      <c r="AA40" s="2"/>
      <c r="AB40" s="2"/>
      <c r="AC40" s="3"/>
      <c r="AD40" s="19">
        <v>12</v>
      </c>
      <c r="AE40" s="2"/>
      <c r="AF40" s="3"/>
    </row>
    <row r="41" ht="30" customHeight="1" spans="2:32">
      <c r="B41" s="17">
        <v>34</v>
      </c>
      <c r="C41" s="19" t="s">
        <v>180</v>
      </c>
      <c r="D41" s="2"/>
      <c r="E41" s="3"/>
      <c r="F41" s="18" t="s">
        <v>164</v>
      </c>
      <c r="G41" s="2"/>
      <c r="H41" s="2"/>
      <c r="I41" s="2"/>
      <c r="J41" s="2"/>
      <c r="K41" s="2"/>
      <c r="L41" s="3"/>
      <c r="M41" s="18" t="s">
        <v>181</v>
      </c>
      <c r="N41" s="2"/>
      <c r="O41" s="2"/>
      <c r="P41" s="2"/>
      <c r="Q41" s="2"/>
      <c r="R41" s="2"/>
      <c r="S41" s="2"/>
      <c r="T41" s="3"/>
      <c r="U41" s="27" t="s">
        <v>86</v>
      </c>
      <c r="V41" s="3"/>
      <c r="W41" s="18" t="s">
        <v>182</v>
      </c>
      <c r="X41" s="2"/>
      <c r="Y41" s="2"/>
      <c r="Z41" s="2"/>
      <c r="AA41" s="2"/>
      <c r="AB41" s="2"/>
      <c r="AC41" s="3"/>
      <c r="AD41" s="19">
        <v>15</v>
      </c>
      <c r="AE41" s="2"/>
      <c r="AF41" s="3"/>
    </row>
    <row r="42" ht="30" customHeight="1" spans="2:32">
      <c r="B42" s="17">
        <v>35</v>
      </c>
      <c r="C42" s="19" t="s">
        <v>183</v>
      </c>
      <c r="D42" s="2"/>
      <c r="E42" s="3"/>
      <c r="F42" s="18" t="s">
        <v>164</v>
      </c>
      <c r="G42" s="2"/>
      <c r="H42" s="2"/>
      <c r="I42" s="2"/>
      <c r="J42" s="2"/>
      <c r="K42" s="2"/>
      <c r="L42" s="3"/>
      <c r="M42" s="18" t="s">
        <v>184</v>
      </c>
      <c r="N42" s="2"/>
      <c r="O42" s="2"/>
      <c r="P42" s="2"/>
      <c r="Q42" s="2"/>
      <c r="R42" s="2"/>
      <c r="S42" s="2"/>
      <c r="T42" s="3"/>
      <c r="U42" s="28" t="s">
        <v>106</v>
      </c>
      <c r="V42" s="3"/>
      <c r="W42" s="18" t="s">
        <v>98</v>
      </c>
      <c r="X42" s="2"/>
      <c r="Y42" s="2"/>
      <c r="Z42" s="2"/>
      <c r="AA42" s="2"/>
      <c r="AB42" s="2"/>
      <c r="AC42" s="3"/>
      <c r="AD42" s="19">
        <v>30</v>
      </c>
      <c r="AE42" s="2"/>
      <c r="AF42" s="3"/>
    </row>
    <row r="43" ht="36" customHeight="1" spans="2:32">
      <c r="B43" s="17">
        <v>36</v>
      </c>
      <c r="C43" s="19" t="s">
        <v>185</v>
      </c>
      <c r="D43" s="2"/>
      <c r="E43" s="3"/>
      <c r="F43" s="18" t="s">
        <v>164</v>
      </c>
      <c r="G43" s="2"/>
      <c r="H43" s="2"/>
      <c r="I43" s="2"/>
      <c r="J43" s="2"/>
      <c r="K43" s="2"/>
      <c r="L43" s="3"/>
      <c r="M43" s="18" t="s">
        <v>186</v>
      </c>
      <c r="N43" s="2"/>
      <c r="O43" s="2"/>
      <c r="P43" s="2"/>
      <c r="Q43" s="2"/>
      <c r="R43" s="2"/>
      <c r="S43" s="2"/>
      <c r="T43" s="3"/>
      <c r="U43" s="27" t="s">
        <v>86</v>
      </c>
      <c r="V43" s="3"/>
      <c r="W43" s="18" t="s">
        <v>171</v>
      </c>
      <c r="X43" s="2"/>
      <c r="Y43" s="2"/>
      <c r="Z43" s="2"/>
      <c r="AA43" s="2"/>
      <c r="AB43" s="2"/>
      <c r="AC43" s="3"/>
      <c r="AD43" s="19">
        <v>6</v>
      </c>
      <c r="AE43" s="2"/>
      <c r="AF43" s="3"/>
    </row>
    <row r="44" ht="30" customHeight="1" spans="2:32">
      <c r="B44" s="17">
        <v>37</v>
      </c>
      <c r="C44" s="19" t="s">
        <v>187</v>
      </c>
      <c r="D44" s="2"/>
      <c r="E44" s="3"/>
      <c r="F44" s="18" t="s">
        <v>188</v>
      </c>
      <c r="G44" s="2"/>
      <c r="H44" s="2"/>
      <c r="I44" s="2"/>
      <c r="J44" s="2"/>
      <c r="K44" s="2"/>
      <c r="L44" s="3"/>
      <c r="M44" s="18" t="s">
        <v>189</v>
      </c>
      <c r="N44" s="2"/>
      <c r="O44" s="2"/>
      <c r="P44" s="2"/>
      <c r="Q44" s="2"/>
      <c r="R44" s="2"/>
      <c r="S44" s="2"/>
      <c r="T44" s="3"/>
      <c r="U44" s="29" t="s">
        <v>190</v>
      </c>
      <c r="V44" s="3"/>
      <c r="W44" s="18" t="s">
        <v>191</v>
      </c>
      <c r="X44" s="2"/>
      <c r="Y44" s="2"/>
      <c r="Z44" s="2"/>
      <c r="AA44" s="2"/>
      <c r="AB44" s="2"/>
      <c r="AC44" s="3"/>
      <c r="AD44" s="19">
        <v>60</v>
      </c>
      <c r="AE44" s="2"/>
      <c r="AF44" s="3"/>
    </row>
    <row r="45" ht="36" customHeight="1" spans="2:32">
      <c r="B45" s="17">
        <v>38</v>
      </c>
      <c r="C45" s="19" t="s">
        <v>192</v>
      </c>
      <c r="D45" s="2"/>
      <c r="E45" s="3"/>
      <c r="F45" s="18" t="s">
        <v>188</v>
      </c>
      <c r="G45" s="2"/>
      <c r="H45" s="2"/>
      <c r="I45" s="2"/>
      <c r="J45" s="2"/>
      <c r="K45" s="2"/>
      <c r="L45" s="3"/>
      <c r="M45" s="18" t="s">
        <v>193</v>
      </c>
      <c r="N45" s="2"/>
      <c r="O45" s="2"/>
      <c r="P45" s="2"/>
      <c r="Q45" s="2"/>
      <c r="R45" s="2"/>
      <c r="S45" s="2"/>
      <c r="T45" s="3"/>
      <c r="U45" s="29" t="s">
        <v>190</v>
      </c>
      <c r="V45" s="3"/>
      <c r="W45" s="18" t="s">
        <v>191</v>
      </c>
      <c r="X45" s="2"/>
      <c r="Y45" s="2"/>
      <c r="Z45" s="2"/>
      <c r="AA45" s="2"/>
      <c r="AB45" s="2"/>
      <c r="AC45" s="3"/>
      <c r="AD45" s="19">
        <v>40</v>
      </c>
      <c r="AE45" s="2"/>
      <c r="AF45" s="3"/>
    </row>
    <row r="46" ht="30" customHeight="1" spans="2:32">
      <c r="B46" s="17">
        <v>39</v>
      </c>
      <c r="C46" s="19" t="s">
        <v>194</v>
      </c>
      <c r="D46" s="2"/>
      <c r="E46" s="3"/>
      <c r="F46" s="18" t="s">
        <v>188</v>
      </c>
      <c r="G46" s="2"/>
      <c r="H46" s="2"/>
      <c r="I46" s="2"/>
      <c r="J46" s="2"/>
      <c r="K46" s="2"/>
      <c r="L46" s="3"/>
      <c r="M46" s="18" t="s">
        <v>195</v>
      </c>
      <c r="N46" s="2"/>
      <c r="O46" s="2"/>
      <c r="P46" s="2"/>
      <c r="Q46" s="2"/>
      <c r="R46" s="2"/>
      <c r="S46" s="2"/>
      <c r="T46" s="3"/>
      <c r="U46" s="29" t="s">
        <v>190</v>
      </c>
      <c r="V46" s="3"/>
      <c r="W46" s="18" t="s">
        <v>117</v>
      </c>
      <c r="X46" s="2"/>
      <c r="Y46" s="2"/>
      <c r="Z46" s="2"/>
      <c r="AA46" s="2"/>
      <c r="AB46" s="2"/>
      <c r="AC46" s="3"/>
      <c r="AD46" s="19">
        <v>25</v>
      </c>
      <c r="AE46" s="2"/>
      <c r="AF46" s="3"/>
    </row>
    <row r="47" ht="30" customHeight="1" spans="2:32">
      <c r="B47" s="17">
        <v>40</v>
      </c>
      <c r="C47" s="19" t="s">
        <v>196</v>
      </c>
      <c r="D47" s="2"/>
      <c r="E47" s="3"/>
      <c r="F47" s="18" t="s">
        <v>188</v>
      </c>
      <c r="G47" s="2"/>
      <c r="H47" s="2"/>
      <c r="I47" s="2"/>
      <c r="J47" s="2"/>
      <c r="K47" s="2"/>
      <c r="L47" s="3"/>
      <c r="M47" s="18" t="s">
        <v>197</v>
      </c>
      <c r="N47" s="2"/>
      <c r="O47" s="2"/>
      <c r="P47" s="2"/>
      <c r="Q47" s="2"/>
      <c r="R47" s="2"/>
      <c r="S47" s="2"/>
      <c r="T47" s="3"/>
      <c r="U47" s="29" t="s">
        <v>190</v>
      </c>
      <c r="V47" s="3"/>
      <c r="W47" s="18" t="s">
        <v>98</v>
      </c>
      <c r="X47" s="2"/>
      <c r="Y47" s="2"/>
      <c r="Z47" s="2"/>
      <c r="AA47" s="2"/>
      <c r="AB47" s="2"/>
      <c r="AC47" s="3"/>
      <c r="AD47" s="19">
        <v>5</v>
      </c>
      <c r="AE47" s="2"/>
      <c r="AF47" s="3"/>
    </row>
    <row r="48" ht="30" customHeight="1" spans="2:32">
      <c r="B48" s="17">
        <v>41</v>
      </c>
      <c r="C48" s="19" t="s">
        <v>198</v>
      </c>
      <c r="D48" s="2"/>
      <c r="E48" s="3"/>
      <c r="F48" s="18" t="s">
        <v>188</v>
      </c>
      <c r="G48" s="2"/>
      <c r="H48" s="2"/>
      <c r="I48" s="2"/>
      <c r="J48" s="2"/>
      <c r="K48" s="2"/>
      <c r="L48" s="3"/>
      <c r="M48" s="18" t="s">
        <v>199</v>
      </c>
      <c r="N48" s="2"/>
      <c r="O48" s="2"/>
      <c r="P48" s="2"/>
      <c r="Q48" s="2"/>
      <c r="R48" s="2"/>
      <c r="S48" s="2"/>
      <c r="T48" s="3"/>
      <c r="U48" s="27" t="s">
        <v>86</v>
      </c>
      <c r="V48" s="3"/>
      <c r="W48" s="18" t="s">
        <v>98</v>
      </c>
      <c r="X48" s="2"/>
      <c r="Y48" s="2"/>
      <c r="Z48" s="2"/>
      <c r="AA48" s="2"/>
      <c r="AB48" s="2"/>
      <c r="AC48" s="3"/>
      <c r="AD48" s="19">
        <v>5</v>
      </c>
      <c r="AE48" s="2"/>
      <c r="AF48" s="3"/>
    </row>
    <row r="49" ht="30" customHeight="1" spans="2:37">
      <c r="B49" s="17">
        <v>42</v>
      </c>
      <c r="C49" s="19" t="s">
        <v>200</v>
      </c>
      <c r="D49" s="2"/>
      <c r="E49" s="3"/>
      <c r="F49" s="18" t="s">
        <v>188</v>
      </c>
      <c r="G49" s="2"/>
      <c r="H49" s="2"/>
      <c r="I49" s="2"/>
      <c r="J49" s="2"/>
      <c r="K49" s="2"/>
      <c r="L49" s="3"/>
      <c r="M49" s="18" t="s">
        <v>201</v>
      </c>
      <c r="N49" s="2"/>
      <c r="O49" s="2"/>
      <c r="P49" s="2"/>
      <c r="Q49" s="2"/>
      <c r="R49" s="2"/>
      <c r="S49" s="2"/>
      <c r="T49" s="3"/>
      <c r="U49" s="28" t="s">
        <v>106</v>
      </c>
      <c r="V49" s="3"/>
      <c r="W49" s="18" t="s">
        <v>202</v>
      </c>
      <c r="X49" s="2"/>
      <c r="Y49" s="2"/>
      <c r="Z49" s="2"/>
      <c r="AA49" s="2"/>
      <c r="AB49" s="2"/>
      <c r="AC49" s="3"/>
      <c r="AD49" s="19">
        <v>8</v>
      </c>
      <c r="AE49" s="2"/>
      <c r="AF49" s="3"/>
    </row>
    <row r="50" ht="30" customHeight="1" spans="2:37">
      <c r="B50" s="17">
        <v>43</v>
      </c>
      <c r="C50" s="19" t="s">
        <v>203</v>
      </c>
      <c r="D50" s="2"/>
      <c r="E50" s="3"/>
      <c r="F50" s="18" t="s">
        <v>204</v>
      </c>
      <c r="G50" s="2"/>
      <c r="H50" s="2"/>
      <c r="I50" s="2"/>
      <c r="J50" s="2"/>
      <c r="K50" s="2"/>
      <c r="L50" s="3"/>
      <c r="M50" s="18" t="s">
        <v>205</v>
      </c>
      <c r="N50" s="2"/>
      <c r="O50" s="2"/>
      <c r="P50" s="2"/>
      <c r="Q50" s="2"/>
      <c r="R50" s="2"/>
      <c r="S50" s="2"/>
      <c r="T50" s="3"/>
      <c r="U50" s="28" t="s">
        <v>106</v>
      </c>
      <c r="V50" s="3"/>
      <c r="W50" s="18" t="s">
        <v>206</v>
      </c>
      <c r="X50" s="2"/>
      <c r="Y50" s="2"/>
      <c r="Z50" s="2"/>
      <c r="AA50" s="2"/>
      <c r="AB50" s="2"/>
      <c r="AC50" s="3"/>
      <c r="AD50" s="19">
        <v>12</v>
      </c>
      <c r="AE50" s="2"/>
      <c r="AF50" s="3"/>
    </row>
    <row r="51" ht="30" customHeight="1" spans="2:37">
      <c r="B51" s="17">
        <v>44</v>
      </c>
      <c r="C51" s="19" t="s">
        <v>207</v>
      </c>
      <c r="D51" s="2"/>
      <c r="E51" s="3"/>
      <c r="F51" s="18" t="s">
        <v>204</v>
      </c>
      <c r="G51" s="2"/>
      <c r="H51" s="2"/>
      <c r="I51" s="2"/>
      <c r="J51" s="2"/>
      <c r="K51" s="2"/>
      <c r="L51" s="3"/>
      <c r="M51" s="18" t="s">
        <v>208</v>
      </c>
      <c r="N51" s="2"/>
      <c r="O51" s="2"/>
      <c r="P51" s="2"/>
      <c r="Q51" s="2"/>
      <c r="R51" s="2"/>
      <c r="S51" s="2"/>
      <c r="T51" s="3"/>
      <c r="U51" s="28" t="s">
        <v>106</v>
      </c>
      <c r="V51" s="3"/>
      <c r="W51" s="18" t="s">
        <v>209</v>
      </c>
      <c r="X51" s="2"/>
      <c r="Y51" s="2"/>
      <c r="Z51" s="2"/>
      <c r="AA51" s="2"/>
      <c r="AB51" s="2"/>
      <c r="AC51" s="3"/>
      <c r="AD51" s="19">
        <v>8</v>
      </c>
      <c r="AE51" s="2"/>
      <c r="AF51" s="3"/>
    </row>
    <row r="52" ht="22.5" customHeight="1" spans="2:37">
      <c r="B52" s="30" t="s">
        <v>62</v>
      </c>
      <c r="C52" s="2"/>
      <c r="D52" s="2"/>
      <c r="E52" s="2"/>
      <c r="F52" s="2"/>
      <c r="G52" s="2"/>
      <c r="H52" s="2"/>
      <c r="I52" s="2"/>
      <c r="J52" s="2"/>
      <c r="K52" s="2"/>
      <c r="L52" s="2"/>
      <c r="M52" s="2"/>
      <c r="N52" s="2"/>
      <c r="O52" s="2"/>
      <c r="P52" s="2"/>
      <c r="Q52" s="2"/>
      <c r="R52" s="2"/>
      <c r="S52" s="2"/>
      <c r="T52" s="3"/>
      <c r="U52" s="31"/>
      <c r="V52" s="3"/>
      <c r="W52" s="31"/>
      <c r="X52" s="2"/>
      <c r="Y52" s="2"/>
      <c r="Z52" s="2"/>
      <c r="AA52" s="2"/>
      <c r="AB52" s="2"/>
      <c r="AC52" s="3"/>
      <c r="AD52" s="31">
        <f>SUM(AD8:AD51)</f>
        <v>1682</v>
      </c>
      <c r="AE52" s="2"/>
      <c r="AF52" s="3"/>
    </row>
    <row r="53" ht="15.75" customHeight="1"/>
    <row r="54" ht="19.5" customHeight="1" spans="2:37">
      <c r="B54" s="25" t="s">
        <v>210</v>
      </c>
    </row>
    <row r="55" ht="15.75" customHeight="1"/>
    <row r="56" ht="28.5" customHeight="1" spans="2:37">
      <c r="B56" s="1" t="s">
        <v>211</v>
      </c>
      <c r="C56" s="3"/>
      <c r="D56" s="1" t="s">
        <v>212</v>
      </c>
      <c r="E56" s="2"/>
      <c r="F56" s="3"/>
      <c r="G56" s="1" t="s">
        <v>213</v>
      </c>
      <c r="H56" s="2"/>
      <c r="I56" s="2"/>
      <c r="J56" s="2"/>
      <c r="K56" s="2"/>
      <c r="L56" s="3"/>
      <c r="M56" s="1" t="s">
        <v>214</v>
      </c>
      <c r="N56" s="3"/>
      <c r="O56" s="1" t="s">
        <v>215</v>
      </c>
      <c r="P56" s="2"/>
      <c r="Q56" s="3"/>
      <c r="R56" s="1" t="s">
        <v>216</v>
      </c>
      <c r="S56" s="2"/>
      <c r="T56" s="2"/>
      <c r="U56" s="2"/>
      <c r="V56" s="2"/>
      <c r="W56" s="2"/>
      <c r="X56" s="2"/>
      <c r="Y56" s="2"/>
      <c r="Z56" s="2"/>
      <c r="AA56" s="2"/>
      <c r="AB56" s="2"/>
      <c r="AC56" s="2"/>
      <c r="AD56" s="2"/>
      <c r="AE56" s="2"/>
      <c r="AF56" s="2"/>
      <c r="AG56" s="2"/>
      <c r="AH56" s="2"/>
      <c r="AI56" s="2"/>
      <c r="AJ56" s="2"/>
      <c r="AK56" s="3"/>
    </row>
    <row r="57" ht="36" customHeight="1" spans="2:37">
      <c r="B57" s="32" t="s">
        <v>217</v>
      </c>
      <c r="C57" s="3"/>
      <c r="D57" s="19" t="s">
        <v>218</v>
      </c>
      <c r="E57" s="2"/>
      <c r="F57" s="3"/>
      <c r="G57" s="18" t="s">
        <v>219</v>
      </c>
      <c r="H57" s="2"/>
      <c r="I57" s="2"/>
      <c r="J57" s="2"/>
      <c r="K57" s="2"/>
      <c r="L57" s="3"/>
      <c r="M57" s="19">
        <v>10</v>
      </c>
      <c r="N57" s="3"/>
      <c r="O57" s="19" t="s">
        <v>86</v>
      </c>
      <c r="P57" s="2"/>
      <c r="Q57" s="3"/>
      <c r="R57" s="18" t="s">
        <v>220</v>
      </c>
      <c r="S57" s="2"/>
      <c r="T57" s="2"/>
      <c r="U57" s="2"/>
      <c r="V57" s="2"/>
      <c r="W57" s="2"/>
      <c r="X57" s="2"/>
      <c r="Y57" s="2"/>
      <c r="Z57" s="2"/>
      <c r="AA57" s="2"/>
      <c r="AB57" s="2"/>
      <c r="AC57" s="2"/>
      <c r="AD57" s="2"/>
      <c r="AE57" s="2"/>
      <c r="AF57" s="2"/>
      <c r="AG57" s="2"/>
      <c r="AH57" s="2"/>
      <c r="AI57" s="2"/>
      <c r="AJ57" s="2"/>
      <c r="AK57" s="3"/>
    </row>
    <row r="58" ht="30" customHeight="1" spans="2:37">
      <c r="B58" s="32" t="s">
        <v>221</v>
      </c>
      <c r="C58" s="3"/>
      <c r="D58" s="19" t="s">
        <v>222</v>
      </c>
      <c r="E58" s="2"/>
      <c r="F58" s="3"/>
      <c r="G58" s="18" t="s">
        <v>223</v>
      </c>
      <c r="H58" s="2"/>
      <c r="I58" s="2"/>
      <c r="J58" s="2"/>
      <c r="K58" s="2"/>
      <c r="L58" s="3"/>
      <c r="M58" s="19">
        <v>9</v>
      </c>
      <c r="N58" s="3"/>
      <c r="O58" s="19" t="s">
        <v>106</v>
      </c>
      <c r="P58" s="2"/>
      <c r="Q58" s="3"/>
      <c r="R58" s="18" t="s">
        <v>224</v>
      </c>
      <c r="S58" s="2"/>
      <c r="T58" s="2"/>
      <c r="U58" s="2"/>
      <c r="V58" s="2"/>
      <c r="W58" s="2"/>
      <c r="X58" s="2"/>
      <c r="Y58" s="2"/>
      <c r="Z58" s="2"/>
      <c r="AA58" s="2"/>
      <c r="AB58" s="2"/>
      <c r="AC58" s="2"/>
      <c r="AD58" s="2"/>
      <c r="AE58" s="2"/>
      <c r="AF58" s="2"/>
      <c r="AG58" s="2"/>
      <c r="AH58" s="2"/>
      <c r="AI58" s="2"/>
      <c r="AJ58" s="2"/>
      <c r="AK58" s="3"/>
    </row>
    <row r="59" ht="36" customHeight="1" spans="2:37">
      <c r="B59" s="32" t="s">
        <v>225</v>
      </c>
      <c r="C59" s="3"/>
      <c r="D59" s="19" t="s">
        <v>226</v>
      </c>
      <c r="E59" s="2"/>
      <c r="F59" s="3"/>
      <c r="G59" s="18" t="s">
        <v>227</v>
      </c>
      <c r="H59" s="2"/>
      <c r="I59" s="2"/>
      <c r="J59" s="2"/>
      <c r="K59" s="2"/>
      <c r="L59" s="3"/>
      <c r="M59" s="19">
        <v>8</v>
      </c>
      <c r="N59" s="3"/>
      <c r="O59" s="19" t="s">
        <v>86</v>
      </c>
      <c r="P59" s="2"/>
      <c r="Q59" s="3"/>
      <c r="R59" s="18" t="s">
        <v>228</v>
      </c>
      <c r="S59" s="2"/>
      <c r="T59" s="2"/>
      <c r="U59" s="2"/>
      <c r="V59" s="2"/>
      <c r="W59" s="2"/>
      <c r="X59" s="2"/>
      <c r="Y59" s="2"/>
      <c r="Z59" s="2"/>
      <c r="AA59" s="2"/>
      <c r="AB59" s="2"/>
      <c r="AC59" s="2"/>
      <c r="AD59" s="2"/>
      <c r="AE59" s="2"/>
      <c r="AF59" s="2"/>
      <c r="AG59" s="2"/>
      <c r="AH59" s="2"/>
      <c r="AI59" s="2"/>
      <c r="AJ59" s="2"/>
      <c r="AK59" s="3"/>
    </row>
    <row r="60" ht="36" customHeight="1" spans="2:37">
      <c r="B60" s="32" t="s">
        <v>229</v>
      </c>
      <c r="C60" s="3"/>
      <c r="D60" s="19" t="s">
        <v>230</v>
      </c>
      <c r="E60" s="2"/>
      <c r="F60" s="3"/>
      <c r="G60" s="18" t="s">
        <v>231</v>
      </c>
      <c r="H60" s="2"/>
      <c r="I60" s="2"/>
      <c r="J60" s="2"/>
      <c r="K60" s="2"/>
      <c r="L60" s="3"/>
      <c r="M60" s="19">
        <v>9</v>
      </c>
      <c r="N60" s="3"/>
      <c r="O60" s="19" t="s">
        <v>86</v>
      </c>
      <c r="P60" s="2"/>
      <c r="Q60" s="3"/>
      <c r="R60" s="18" t="s">
        <v>232</v>
      </c>
      <c r="S60" s="2"/>
      <c r="T60" s="2"/>
      <c r="U60" s="2"/>
      <c r="V60" s="2"/>
      <c r="W60" s="2"/>
      <c r="X60" s="2"/>
      <c r="Y60" s="2"/>
      <c r="Z60" s="2"/>
      <c r="AA60" s="2"/>
      <c r="AB60" s="2"/>
      <c r="AC60" s="2"/>
      <c r="AD60" s="2"/>
      <c r="AE60" s="2"/>
      <c r="AF60" s="2"/>
      <c r="AG60" s="2"/>
      <c r="AH60" s="2"/>
      <c r="AI60" s="2"/>
      <c r="AJ60" s="2"/>
      <c r="AK60" s="3"/>
    </row>
    <row r="61" ht="36" customHeight="1" spans="2:37">
      <c r="B61" s="32" t="s">
        <v>233</v>
      </c>
      <c r="C61" s="3"/>
      <c r="D61" s="19" t="s">
        <v>234</v>
      </c>
      <c r="E61" s="2"/>
      <c r="F61" s="3"/>
      <c r="G61" s="18" t="s">
        <v>235</v>
      </c>
      <c r="H61" s="2"/>
      <c r="I61" s="2"/>
      <c r="J61" s="2"/>
      <c r="K61" s="2"/>
      <c r="L61" s="3"/>
      <c r="M61" s="19">
        <v>6</v>
      </c>
      <c r="N61" s="3"/>
      <c r="O61" s="19" t="s">
        <v>236</v>
      </c>
      <c r="P61" s="2"/>
      <c r="Q61" s="3"/>
      <c r="R61" s="18" t="s">
        <v>237</v>
      </c>
      <c r="S61" s="2"/>
      <c r="T61" s="2"/>
      <c r="U61" s="2"/>
      <c r="V61" s="2"/>
      <c r="W61" s="2"/>
      <c r="X61" s="2"/>
      <c r="Y61" s="2"/>
      <c r="Z61" s="2"/>
      <c r="AA61" s="2"/>
      <c r="AB61" s="2"/>
      <c r="AC61" s="2"/>
      <c r="AD61" s="2"/>
      <c r="AE61" s="2"/>
      <c r="AF61" s="2"/>
      <c r="AG61" s="2"/>
      <c r="AH61" s="2"/>
      <c r="AI61" s="2"/>
      <c r="AJ61" s="2"/>
      <c r="AK61" s="3"/>
    </row>
    <row r="62" ht="30" customHeight="1" spans="2:37">
      <c r="B62" s="32" t="s">
        <v>238</v>
      </c>
      <c r="C62" s="3"/>
      <c r="D62" s="19" t="s">
        <v>239</v>
      </c>
      <c r="E62" s="2"/>
      <c r="F62" s="3"/>
      <c r="G62" s="18" t="s">
        <v>240</v>
      </c>
      <c r="H62" s="2"/>
      <c r="I62" s="2"/>
      <c r="J62" s="2"/>
      <c r="K62" s="2"/>
      <c r="L62" s="3"/>
      <c r="M62" s="19">
        <v>2</v>
      </c>
      <c r="N62" s="3"/>
      <c r="O62" s="19" t="s">
        <v>106</v>
      </c>
      <c r="P62" s="2"/>
      <c r="Q62" s="3"/>
      <c r="R62" s="18" t="s">
        <v>241</v>
      </c>
      <c r="S62" s="2"/>
      <c r="T62" s="2"/>
      <c r="U62" s="2"/>
      <c r="V62" s="2"/>
      <c r="W62" s="2"/>
      <c r="X62" s="2"/>
      <c r="Y62" s="2"/>
      <c r="Z62" s="2"/>
      <c r="AA62" s="2"/>
      <c r="AB62" s="2"/>
      <c r="AC62" s="2"/>
      <c r="AD62" s="2"/>
      <c r="AE62" s="2"/>
      <c r="AF62" s="2"/>
      <c r="AG62" s="2"/>
      <c r="AH62" s="2"/>
      <c r="AI62" s="2"/>
      <c r="AJ62" s="2"/>
      <c r="AK62" s="3"/>
    </row>
    <row r="63" ht="15.75" customHeight="1"/>
    <row r="64" ht="30" customHeight="1" spans="2:37">
      <c r="B64" s="33" t="s">
        <v>242</v>
      </c>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3"/>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3">
    <mergeCell ref="A1:I1"/>
    <mergeCell ref="J1:P1"/>
    <mergeCell ref="Q1:U1"/>
    <mergeCell ref="V1:Y1"/>
    <mergeCell ref="Z1:AC1"/>
    <mergeCell ref="AD1:AG1"/>
    <mergeCell ref="AH1:AK1"/>
    <mergeCell ref="B5:AK5"/>
    <mergeCell ref="C7:E7"/>
    <mergeCell ref="F7:L7"/>
    <mergeCell ref="M7:T7"/>
    <mergeCell ref="U7:V7"/>
    <mergeCell ref="W7:AC7"/>
    <mergeCell ref="AD7:AF7"/>
    <mergeCell ref="C8:E8"/>
    <mergeCell ref="F8:L8"/>
    <mergeCell ref="M8:T8"/>
    <mergeCell ref="U8:V8"/>
    <mergeCell ref="W8:AC8"/>
    <mergeCell ref="AD8:AF8"/>
    <mergeCell ref="C9:E9"/>
    <mergeCell ref="F9:L9"/>
    <mergeCell ref="M9:T9"/>
    <mergeCell ref="U9:V9"/>
    <mergeCell ref="W9:AC9"/>
    <mergeCell ref="AD9:AF9"/>
    <mergeCell ref="C10:E10"/>
    <mergeCell ref="F10:L10"/>
    <mergeCell ref="M10:T10"/>
    <mergeCell ref="U10:V10"/>
    <mergeCell ref="W10:AC10"/>
    <mergeCell ref="AD10:AF10"/>
    <mergeCell ref="C11:E11"/>
    <mergeCell ref="F11:L11"/>
    <mergeCell ref="M11:T11"/>
    <mergeCell ref="U11:V11"/>
    <mergeCell ref="W11:AC11"/>
    <mergeCell ref="AD11:AF11"/>
    <mergeCell ref="C12:E12"/>
    <mergeCell ref="F12:L12"/>
    <mergeCell ref="M12:T12"/>
    <mergeCell ref="U12:V12"/>
    <mergeCell ref="W12:AC12"/>
    <mergeCell ref="AD12:AF12"/>
    <mergeCell ref="C13:E13"/>
    <mergeCell ref="F13:L13"/>
    <mergeCell ref="M13:T13"/>
    <mergeCell ref="U13:V13"/>
    <mergeCell ref="W13:AC13"/>
    <mergeCell ref="AD13:AF13"/>
    <mergeCell ref="C14:E14"/>
    <mergeCell ref="F14:L14"/>
    <mergeCell ref="M14:T14"/>
    <mergeCell ref="U14:V14"/>
    <mergeCell ref="W14:AC14"/>
    <mergeCell ref="AD14:AF14"/>
    <mergeCell ref="C15:E15"/>
    <mergeCell ref="F15:L15"/>
    <mergeCell ref="M15:T15"/>
    <mergeCell ref="U15:V15"/>
    <mergeCell ref="W15:AC15"/>
    <mergeCell ref="AD15:AF15"/>
    <mergeCell ref="C16:E16"/>
    <mergeCell ref="F16:L16"/>
    <mergeCell ref="M16:T16"/>
    <mergeCell ref="U16:V16"/>
    <mergeCell ref="W16:AC16"/>
    <mergeCell ref="AD16:AF16"/>
    <mergeCell ref="C17:E17"/>
    <mergeCell ref="F17:L17"/>
    <mergeCell ref="M17:T17"/>
    <mergeCell ref="U17:V17"/>
    <mergeCell ref="W17:AC17"/>
    <mergeCell ref="AD17:AF17"/>
    <mergeCell ref="C18:E18"/>
    <mergeCell ref="F18:L18"/>
    <mergeCell ref="M18:T18"/>
    <mergeCell ref="U18:V18"/>
    <mergeCell ref="W18:AC18"/>
    <mergeCell ref="AD18:AF18"/>
    <mergeCell ref="C19:E19"/>
    <mergeCell ref="F19:L19"/>
    <mergeCell ref="M19:T19"/>
    <mergeCell ref="U19:V19"/>
    <mergeCell ref="W19:AC19"/>
    <mergeCell ref="AD19:AF19"/>
    <mergeCell ref="C20:E20"/>
    <mergeCell ref="F20:L20"/>
    <mergeCell ref="M20:T20"/>
    <mergeCell ref="U20:V20"/>
    <mergeCell ref="W20:AC20"/>
    <mergeCell ref="AD20:AF20"/>
    <mergeCell ref="C21:E21"/>
    <mergeCell ref="F21:L21"/>
    <mergeCell ref="M21:T21"/>
    <mergeCell ref="U21:V21"/>
    <mergeCell ref="W21:AC21"/>
    <mergeCell ref="AD21:AF21"/>
    <mergeCell ref="C22:E22"/>
    <mergeCell ref="F22:L22"/>
    <mergeCell ref="M22:T22"/>
    <mergeCell ref="U22:V22"/>
    <mergeCell ref="W22:AC22"/>
    <mergeCell ref="AD22:AF22"/>
    <mergeCell ref="C23:E23"/>
    <mergeCell ref="F23:L23"/>
    <mergeCell ref="M23:T23"/>
    <mergeCell ref="U23:V23"/>
    <mergeCell ref="W23:AC23"/>
    <mergeCell ref="AD23:AF23"/>
    <mergeCell ref="C24:E24"/>
    <mergeCell ref="F24:L24"/>
    <mergeCell ref="M24:T24"/>
    <mergeCell ref="U24:V24"/>
    <mergeCell ref="W24:AC24"/>
    <mergeCell ref="AD24:AF24"/>
    <mergeCell ref="C25:E25"/>
    <mergeCell ref="F25:L25"/>
    <mergeCell ref="M25:T25"/>
    <mergeCell ref="U25:V25"/>
    <mergeCell ref="W25:AC25"/>
    <mergeCell ref="AD25:AF25"/>
    <mergeCell ref="C26:E26"/>
    <mergeCell ref="F26:L26"/>
    <mergeCell ref="M26:T26"/>
    <mergeCell ref="U26:V26"/>
    <mergeCell ref="W26:AC26"/>
    <mergeCell ref="AD26:AF26"/>
    <mergeCell ref="C27:E27"/>
    <mergeCell ref="F27:L27"/>
    <mergeCell ref="M27:T27"/>
    <mergeCell ref="U27:V27"/>
    <mergeCell ref="W27:AC27"/>
    <mergeCell ref="AD27:AF27"/>
    <mergeCell ref="C28:E28"/>
    <mergeCell ref="F28:L28"/>
    <mergeCell ref="M28:T28"/>
    <mergeCell ref="U28:V28"/>
    <mergeCell ref="W28:AC28"/>
    <mergeCell ref="AD28:AF28"/>
    <mergeCell ref="C29:E29"/>
    <mergeCell ref="F29:L29"/>
    <mergeCell ref="M29:T29"/>
    <mergeCell ref="U29:V29"/>
    <mergeCell ref="W29:AC29"/>
    <mergeCell ref="AD29:AF29"/>
    <mergeCell ref="C30:E30"/>
    <mergeCell ref="F30:L30"/>
    <mergeCell ref="M30:T30"/>
    <mergeCell ref="U30:V30"/>
    <mergeCell ref="W30:AC30"/>
    <mergeCell ref="AD30:AF30"/>
    <mergeCell ref="C31:E31"/>
    <mergeCell ref="F31:L31"/>
    <mergeCell ref="M31:T31"/>
    <mergeCell ref="U31:V31"/>
    <mergeCell ref="W31:AC31"/>
    <mergeCell ref="AD31:AF31"/>
    <mergeCell ref="C32:E32"/>
    <mergeCell ref="F32:L32"/>
    <mergeCell ref="M32:T32"/>
    <mergeCell ref="U32:V32"/>
    <mergeCell ref="W32:AC32"/>
    <mergeCell ref="AD32:AF32"/>
    <mergeCell ref="C33:E33"/>
    <mergeCell ref="F33:L33"/>
    <mergeCell ref="M33:T33"/>
    <mergeCell ref="U33:V33"/>
    <mergeCell ref="W33:AC33"/>
    <mergeCell ref="AD33:AF33"/>
    <mergeCell ref="C34:E34"/>
    <mergeCell ref="F34:L34"/>
    <mergeCell ref="M34:T34"/>
    <mergeCell ref="U34:V34"/>
    <mergeCell ref="W34:AC34"/>
    <mergeCell ref="AD34:AF34"/>
    <mergeCell ref="C35:E35"/>
    <mergeCell ref="F35:L35"/>
    <mergeCell ref="M35:T35"/>
    <mergeCell ref="U35:V35"/>
    <mergeCell ref="W35:AC35"/>
    <mergeCell ref="AD35:AF35"/>
    <mergeCell ref="C36:E36"/>
    <mergeCell ref="F36:L36"/>
    <mergeCell ref="M36:T36"/>
    <mergeCell ref="U36:V36"/>
    <mergeCell ref="W36:AC36"/>
    <mergeCell ref="AD36:AF36"/>
    <mergeCell ref="C37:E37"/>
    <mergeCell ref="F37:L37"/>
    <mergeCell ref="M37:T37"/>
    <mergeCell ref="U37:V37"/>
    <mergeCell ref="W37:AC37"/>
    <mergeCell ref="AD37:AF37"/>
    <mergeCell ref="C38:E38"/>
    <mergeCell ref="F38:L38"/>
    <mergeCell ref="M38:T38"/>
    <mergeCell ref="U38:V38"/>
    <mergeCell ref="W38:AC38"/>
    <mergeCell ref="AD38:AF38"/>
    <mergeCell ref="C39:E39"/>
    <mergeCell ref="F39:L39"/>
    <mergeCell ref="M39:T39"/>
    <mergeCell ref="U39:V39"/>
    <mergeCell ref="W39:AC39"/>
    <mergeCell ref="AD39:AF39"/>
    <mergeCell ref="C40:E40"/>
    <mergeCell ref="F40:L40"/>
    <mergeCell ref="M40:T40"/>
    <mergeCell ref="U40:V40"/>
    <mergeCell ref="W40:AC40"/>
    <mergeCell ref="AD40:AF40"/>
    <mergeCell ref="C41:E41"/>
    <mergeCell ref="F41:L41"/>
    <mergeCell ref="M41:T41"/>
    <mergeCell ref="U41:V41"/>
    <mergeCell ref="W41:AC41"/>
    <mergeCell ref="AD41:AF41"/>
    <mergeCell ref="C42:E42"/>
    <mergeCell ref="F42:L42"/>
    <mergeCell ref="M42:T42"/>
    <mergeCell ref="U42:V42"/>
    <mergeCell ref="W42:AC42"/>
    <mergeCell ref="AD42:AF42"/>
    <mergeCell ref="C43:E43"/>
    <mergeCell ref="F43:L43"/>
    <mergeCell ref="M43:T43"/>
    <mergeCell ref="U43:V43"/>
    <mergeCell ref="W43:AC43"/>
    <mergeCell ref="AD43:AF43"/>
    <mergeCell ref="C44:E44"/>
    <mergeCell ref="F44:L44"/>
    <mergeCell ref="M44:T44"/>
    <mergeCell ref="U44:V44"/>
    <mergeCell ref="W44:AC44"/>
    <mergeCell ref="AD44:AF44"/>
    <mergeCell ref="C45:E45"/>
    <mergeCell ref="F45:L45"/>
    <mergeCell ref="M45:T45"/>
    <mergeCell ref="U45:V45"/>
    <mergeCell ref="W45:AC45"/>
    <mergeCell ref="AD45:AF45"/>
    <mergeCell ref="C46:E46"/>
    <mergeCell ref="F46:L46"/>
    <mergeCell ref="M46:T46"/>
    <mergeCell ref="U46:V46"/>
    <mergeCell ref="W46:AC46"/>
    <mergeCell ref="AD46:AF46"/>
    <mergeCell ref="C47:E47"/>
    <mergeCell ref="F47:L47"/>
    <mergeCell ref="M47:T47"/>
    <mergeCell ref="U47:V47"/>
    <mergeCell ref="W47:AC47"/>
    <mergeCell ref="AD47:AF47"/>
    <mergeCell ref="C48:E48"/>
    <mergeCell ref="F48:L48"/>
    <mergeCell ref="M48:T48"/>
    <mergeCell ref="U48:V48"/>
    <mergeCell ref="W48:AC48"/>
    <mergeCell ref="AD48:AF48"/>
    <mergeCell ref="C49:E49"/>
    <mergeCell ref="F49:L49"/>
    <mergeCell ref="M49:T49"/>
    <mergeCell ref="U49:V49"/>
    <mergeCell ref="W49:AC49"/>
    <mergeCell ref="AD49:AF49"/>
    <mergeCell ref="C50:E50"/>
    <mergeCell ref="F50:L50"/>
    <mergeCell ref="M50:T50"/>
    <mergeCell ref="U50:V50"/>
    <mergeCell ref="W50:AC50"/>
    <mergeCell ref="AD50:AF50"/>
    <mergeCell ref="C51:E51"/>
    <mergeCell ref="F51:L51"/>
    <mergeCell ref="M51:T51"/>
    <mergeCell ref="U51:V51"/>
    <mergeCell ref="W51:AC51"/>
    <mergeCell ref="AD51:AF51"/>
    <mergeCell ref="B52:T52"/>
    <mergeCell ref="U52:V52"/>
    <mergeCell ref="W52:AC52"/>
    <mergeCell ref="AD52:AF52"/>
    <mergeCell ref="B54:AK54"/>
    <mergeCell ref="B56:C56"/>
    <mergeCell ref="D56:F56"/>
    <mergeCell ref="G56:L56"/>
    <mergeCell ref="M56:N56"/>
    <mergeCell ref="O56:Q56"/>
    <mergeCell ref="R56:AK56"/>
    <mergeCell ref="B57:C57"/>
    <mergeCell ref="D57:F57"/>
    <mergeCell ref="G57:L57"/>
    <mergeCell ref="M57:N57"/>
    <mergeCell ref="O57:Q57"/>
    <mergeCell ref="R57:AK57"/>
    <mergeCell ref="B58:C58"/>
    <mergeCell ref="D58:F58"/>
    <mergeCell ref="G58:L58"/>
    <mergeCell ref="M58:N58"/>
    <mergeCell ref="O58:Q58"/>
    <mergeCell ref="R58:AK58"/>
    <mergeCell ref="B59:C59"/>
    <mergeCell ref="D59:F59"/>
    <mergeCell ref="G59:L59"/>
    <mergeCell ref="M59:N59"/>
    <mergeCell ref="O59:Q59"/>
    <mergeCell ref="R59:AK59"/>
    <mergeCell ref="B60:C60"/>
    <mergeCell ref="D60:F60"/>
    <mergeCell ref="G60:L60"/>
    <mergeCell ref="M60:N60"/>
    <mergeCell ref="O60:Q60"/>
    <mergeCell ref="R60:AK60"/>
    <mergeCell ref="B61:C61"/>
    <mergeCell ref="D61:F61"/>
    <mergeCell ref="G61:L61"/>
    <mergeCell ref="M61:N61"/>
    <mergeCell ref="O61:Q61"/>
    <mergeCell ref="R61:AK61"/>
    <mergeCell ref="B62:C62"/>
    <mergeCell ref="D62:F62"/>
    <mergeCell ref="G62:L62"/>
    <mergeCell ref="M62:N62"/>
    <mergeCell ref="O62:Q62"/>
    <mergeCell ref="R62:AK62"/>
    <mergeCell ref="B64:AK64"/>
    <mergeCell ref="J2:P3"/>
    <mergeCell ref="Q2:U3"/>
    <mergeCell ref="V2:Y3"/>
    <mergeCell ref="Z2:AC3"/>
    <mergeCell ref="AD2:AG3"/>
    <mergeCell ref="AH2:AK3"/>
    <mergeCell ref="A2:I3"/>
  </mergeCells>
  <pageMargins left="0.75" right="0.75" top="1" bottom="1" header="0" footer="0"/>
  <pageSetup paperSize="1"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Q1000"/>
  <sheetViews>
    <sheetView showGridLines="0" tabSelected="1" topLeftCell="A40" workbookViewId="0">
      <selection activeCell="AV41" sqref="AV41:AX41"/>
    </sheetView>
  </sheetViews>
  <sheetFormatPr defaultColWidth="14.4285714285714" defaultRowHeight="15" customHeight="1"/>
  <cols>
    <col min="1" max="69" width="4" customWidth="1"/>
  </cols>
  <sheetData>
    <row r="1" ht="22.5" customHeight="1" spans="1:69">
      <c r="A1" s="1" t="s">
        <v>243</v>
      </c>
      <c r="B1" s="2"/>
      <c r="C1" s="2"/>
      <c r="D1" s="2"/>
      <c r="E1" s="3"/>
      <c r="F1" s="4" t="s">
        <v>244</v>
      </c>
      <c r="G1" s="2"/>
      <c r="H1" s="2"/>
      <c r="I1" s="2"/>
      <c r="J1" s="2"/>
      <c r="K1" s="2"/>
      <c r="L1" s="2"/>
      <c r="M1" s="2"/>
      <c r="N1" s="2"/>
      <c r="O1" s="2"/>
      <c r="P1" s="2"/>
      <c r="Q1" s="3"/>
      <c r="R1" s="1" t="s">
        <v>245</v>
      </c>
      <c r="S1" s="2"/>
      <c r="T1" s="2"/>
      <c r="U1" s="2"/>
      <c r="V1" s="3"/>
      <c r="W1" s="4" t="s">
        <v>246</v>
      </c>
      <c r="X1" s="2"/>
      <c r="Y1" s="2"/>
      <c r="Z1" s="2"/>
      <c r="AA1" s="2"/>
      <c r="AB1" s="2"/>
      <c r="AC1" s="2"/>
      <c r="AD1" s="2"/>
      <c r="AE1" s="2"/>
      <c r="AF1" s="2"/>
      <c r="AG1" s="2"/>
      <c r="AH1" s="3"/>
    </row>
    <row r="2" ht="22.5" customHeight="1" spans="1:69">
      <c r="A2" s="1" t="s">
        <v>27</v>
      </c>
      <c r="B2" s="2"/>
      <c r="C2" s="2"/>
      <c r="D2" s="2"/>
      <c r="E2" s="3"/>
      <c r="F2" s="4" t="s">
        <v>16</v>
      </c>
      <c r="G2" s="2"/>
      <c r="H2" s="2"/>
      <c r="I2" s="2"/>
      <c r="J2" s="2"/>
      <c r="K2" s="2"/>
      <c r="L2" s="2"/>
      <c r="M2" s="2"/>
      <c r="N2" s="2"/>
      <c r="O2" s="2"/>
      <c r="P2" s="2"/>
      <c r="Q2" s="3"/>
      <c r="R2" s="1" t="s">
        <v>26</v>
      </c>
      <c r="S2" s="2"/>
      <c r="T2" s="2"/>
      <c r="U2" s="2"/>
      <c r="V2" s="3"/>
      <c r="W2" s="5" t="s">
        <v>8</v>
      </c>
      <c r="X2" s="2"/>
      <c r="Y2" s="2"/>
      <c r="Z2" s="2"/>
      <c r="AA2" s="2"/>
      <c r="AB2" s="2"/>
      <c r="AC2" s="2"/>
      <c r="AD2" s="2"/>
      <c r="AE2" s="2"/>
      <c r="AF2" s="2"/>
      <c r="AG2" s="2"/>
      <c r="AH2" s="3"/>
    </row>
    <row r="3" ht="22.5" customHeight="1" spans="1:69">
      <c r="A3" s="1" t="s">
        <v>13</v>
      </c>
      <c r="B3" s="2"/>
      <c r="C3" s="2"/>
      <c r="D3" s="2"/>
      <c r="E3" s="3"/>
      <c r="F3" s="4" t="s">
        <v>18</v>
      </c>
      <c r="G3" s="2"/>
      <c r="H3" s="2"/>
      <c r="I3" s="2"/>
      <c r="J3" s="2"/>
      <c r="K3" s="2"/>
      <c r="L3" s="2"/>
      <c r="M3" s="2"/>
      <c r="N3" s="2"/>
      <c r="O3" s="2"/>
      <c r="P3" s="2"/>
      <c r="Q3" s="3"/>
      <c r="R3" s="1" t="s">
        <v>247</v>
      </c>
      <c r="S3" s="2"/>
      <c r="T3" s="2"/>
      <c r="U3" s="2"/>
      <c r="V3" s="3"/>
      <c r="W3" s="5"/>
      <c r="X3" s="2"/>
      <c r="Y3" s="2"/>
      <c r="Z3" s="2"/>
      <c r="AA3" s="2"/>
      <c r="AB3" s="2"/>
      <c r="AC3" s="2"/>
      <c r="AD3" s="2"/>
      <c r="AE3" s="2"/>
      <c r="AF3" s="2"/>
      <c r="AG3" s="2"/>
      <c r="AH3" s="3"/>
    </row>
    <row r="4" ht="22.5" customHeight="1" spans="1:69">
      <c r="A4" s="1" t="s">
        <v>248</v>
      </c>
      <c r="B4" s="2"/>
      <c r="C4" s="2"/>
      <c r="D4" s="2"/>
      <c r="E4" s="3"/>
      <c r="F4" s="4" t="s">
        <v>249</v>
      </c>
      <c r="G4" s="2"/>
      <c r="H4" s="2"/>
      <c r="I4" s="2"/>
      <c r="J4" s="2"/>
      <c r="K4" s="2"/>
      <c r="L4" s="2"/>
      <c r="M4" s="2"/>
      <c r="N4" s="2"/>
      <c r="O4" s="2"/>
      <c r="P4" s="2"/>
      <c r="Q4" s="2"/>
      <c r="R4" s="2"/>
      <c r="S4" s="2"/>
      <c r="T4" s="2"/>
      <c r="U4" s="2"/>
      <c r="V4" s="2"/>
      <c r="W4" s="2"/>
      <c r="X4" s="2"/>
      <c r="Y4" s="2"/>
      <c r="Z4" s="2"/>
      <c r="AA4" s="2"/>
      <c r="AB4" s="2"/>
      <c r="AC4" s="2"/>
      <c r="AD4" s="2"/>
      <c r="AE4" s="2"/>
      <c r="AF4" s="2"/>
      <c r="AG4" s="2"/>
      <c r="AH4" s="3"/>
    </row>
    <row r="5" ht="22.5" customHeight="1" spans="1:69">
      <c r="A5" s="1" t="s">
        <v>250</v>
      </c>
      <c r="B5" s="2"/>
      <c r="C5" s="2"/>
      <c r="D5" s="2"/>
      <c r="E5" s="2"/>
      <c r="F5" s="2"/>
      <c r="G5" s="2"/>
      <c r="H5" s="2"/>
      <c r="I5" s="2"/>
      <c r="J5" s="2"/>
      <c r="K5" s="2"/>
      <c r="L5" s="2"/>
      <c r="M5" s="2"/>
      <c r="N5" s="2"/>
      <c r="O5" s="2"/>
      <c r="P5" s="2"/>
      <c r="Q5" s="2"/>
      <c r="R5" s="2"/>
      <c r="S5" s="3"/>
      <c r="T5" s="1" t="s">
        <v>63</v>
      </c>
      <c r="U5" s="2"/>
      <c r="V5" s="2"/>
      <c r="W5" s="2"/>
      <c r="X5" s="2"/>
      <c r="Y5" s="2"/>
      <c r="Z5" s="2"/>
      <c r="AA5" s="2"/>
      <c r="AB5" s="2"/>
      <c r="AC5" s="2"/>
      <c r="AD5" s="2"/>
      <c r="AE5" s="2"/>
      <c r="AF5" s="2"/>
      <c r="AG5" s="2"/>
      <c r="AH5" s="3"/>
    </row>
    <row r="6" ht="22.5" customHeight="1" spans="1:69">
      <c r="A6" s="1" t="s">
        <v>251</v>
      </c>
      <c r="B6" s="2"/>
      <c r="C6" s="2"/>
      <c r="D6" s="2"/>
      <c r="E6" s="2"/>
      <c r="F6" s="2"/>
      <c r="G6" s="3"/>
      <c r="H6" s="1" t="s">
        <v>64</v>
      </c>
      <c r="I6" s="2"/>
      <c r="J6" s="3"/>
      <c r="K6" s="1" t="s">
        <v>65</v>
      </c>
      <c r="L6" s="2"/>
      <c r="M6" s="3"/>
      <c r="N6" s="1" t="s">
        <v>252</v>
      </c>
      <c r="O6" s="2"/>
      <c r="P6" s="3"/>
      <c r="Q6" s="1" t="s">
        <v>62</v>
      </c>
      <c r="R6" s="2"/>
      <c r="S6" s="3"/>
      <c r="T6" s="1" t="s">
        <v>67</v>
      </c>
      <c r="U6" s="2"/>
      <c r="V6" s="3"/>
      <c r="W6" s="1" t="s">
        <v>68</v>
      </c>
      <c r="X6" s="2"/>
      <c r="Y6" s="3"/>
      <c r="Z6" s="1" t="s">
        <v>69</v>
      </c>
      <c r="AA6" s="2"/>
      <c r="AB6" s="3"/>
      <c r="AC6" s="1" t="s">
        <v>70</v>
      </c>
      <c r="AD6" s="2"/>
      <c r="AE6" s="3"/>
      <c r="AF6" s="1" t="s">
        <v>62</v>
      </c>
      <c r="AG6" s="2"/>
      <c r="AH6" s="3"/>
    </row>
    <row r="7" ht="22.5" customHeight="1" spans="1:69">
      <c r="A7" s="1" t="s">
        <v>253</v>
      </c>
      <c r="B7" s="2"/>
      <c r="C7" s="2"/>
      <c r="D7" s="2"/>
      <c r="E7" s="2"/>
      <c r="F7" s="2"/>
      <c r="G7" s="3"/>
      <c r="H7" s="6">
        <f t="shared" ref="H7:H8" si="0">COUNTIF($AE$12:$AF$1049,"N")</f>
        <v>25</v>
      </c>
      <c r="I7" s="2"/>
      <c r="J7" s="3"/>
      <c r="K7" s="6">
        <f t="shared" ref="K7:K8" si="1">COUNTIF($AE$12:$AF$1049,"A")</f>
        <v>27</v>
      </c>
      <c r="L7" s="2"/>
      <c r="M7" s="3"/>
      <c r="N7" s="6">
        <f t="shared" ref="N7:N8" si="2">COUNTIF($AE$12:$AF$1049,"B")</f>
        <v>0</v>
      </c>
      <c r="O7" s="2"/>
      <c r="P7" s="3"/>
      <c r="Q7" s="7">
        <f t="shared" ref="Q7:Q8" si="3">SUM(H7:P7)</f>
        <v>52</v>
      </c>
      <c r="R7" s="2"/>
      <c r="S7" s="3"/>
      <c r="T7" s="6">
        <f>COUNTIF($AG$12:$AI$1049,T$6)</f>
        <v>41</v>
      </c>
      <c r="U7" s="2"/>
      <c r="V7" s="3"/>
      <c r="W7" s="6">
        <f>COUNTIF($AG$12:$AI$1049,W$6)</f>
        <v>0</v>
      </c>
      <c r="X7" s="2"/>
      <c r="Y7" s="3"/>
      <c r="Z7" s="6">
        <f>COUNTIF($AG$12:$AI$1049,Z$6)</f>
        <v>0</v>
      </c>
      <c r="AA7" s="2"/>
      <c r="AB7" s="3"/>
      <c r="AC7" s="6">
        <f>COUNTIF($AG$12:$AI$1049,AC$6)</f>
        <v>12</v>
      </c>
      <c r="AD7" s="2"/>
      <c r="AE7" s="3"/>
      <c r="AF7" s="7">
        <f t="shared" ref="AF7:AF8" si="4">SUM(T7:AE7)</f>
        <v>53</v>
      </c>
      <c r="AG7" s="2"/>
      <c r="AH7" s="3"/>
    </row>
    <row r="8" ht="22.5" customHeight="1" spans="1:69">
      <c r="A8" s="1" t="s">
        <v>254</v>
      </c>
      <c r="B8" s="2"/>
      <c r="C8" s="2"/>
      <c r="D8" s="2"/>
      <c r="E8" s="2"/>
      <c r="F8" s="2"/>
      <c r="G8" s="3"/>
      <c r="H8" s="6">
        <f t="shared" si="0"/>
        <v>25</v>
      </c>
      <c r="I8" s="2"/>
      <c r="J8" s="3"/>
      <c r="K8" s="6">
        <f t="shared" si="1"/>
        <v>27</v>
      </c>
      <c r="L8" s="2"/>
      <c r="M8" s="3"/>
      <c r="N8" s="6">
        <f t="shared" si="2"/>
        <v>0</v>
      </c>
      <c r="O8" s="2"/>
      <c r="P8" s="3"/>
      <c r="Q8" s="7">
        <f t="shared" si="3"/>
        <v>52</v>
      </c>
      <c r="R8" s="2"/>
      <c r="S8" s="3"/>
      <c r="T8" s="6">
        <f>COUNTIF($AV$12:$AX$1049,T$6)</f>
        <v>50</v>
      </c>
      <c r="U8" s="2"/>
      <c r="V8" s="3"/>
      <c r="W8" s="6">
        <f>COUNTIF($AV$12:$AX$1049,W$6)</f>
        <v>0</v>
      </c>
      <c r="X8" s="2"/>
      <c r="Y8" s="3"/>
      <c r="Z8" s="6">
        <f>COUNTIF($AV$12:$AX$1049,Z$6)</f>
        <v>0</v>
      </c>
      <c r="AA8" s="2"/>
      <c r="AB8" s="3"/>
      <c r="AC8" s="6">
        <f>COUNTIF($AV$12:$AX$1049,AC$6)</f>
        <v>3</v>
      </c>
      <c r="AD8" s="2"/>
      <c r="AE8" s="3"/>
      <c r="AF8" s="7">
        <f t="shared" si="4"/>
        <v>53</v>
      </c>
      <c r="AG8" s="2"/>
      <c r="AH8" s="3"/>
    </row>
    <row r="9" ht="12.75" customHeight="1"/>
    <row r="10" ht="36" customHeight="1" spans="1:69">
      <c r="A10" s="8" t="s">
        <v>59</v>
      </c>
      <c r="B10" s="9" t="s">
        <v>255</v>
      </c>
      <c r="C10" s="10"/>
      <c r="D10" s="11"/>
      <c r="E10" s="9" t="s">
        <v>256</v>
      </c>
      <c r="F10" s="10"/>
      <c r="G10" s="10"/>
      <c r="H10" s="10"/>
      <c r="I10" s="11"/>
      <c r="J10" s="9" t="s">
        <v>257</v>
      </c>
      <c r="K10" s="10"/>
      <c r="L10" s="10"/>
      <c r="M10" s="10"/>
      <c r="N10" s="10"/>
      <c r="O10" s="10"/>
      <c r="P10" s="11"/>
      <c r="Q10" s="9" t="s">
        <v>258</v>
      </c>
      <c r="R10" s="10"/>
      <c r="S10" s="10"/>
      <c r="T10" s="10"/>
      <c r="U10" s="10"/>
      <c r="V10" s="10"/>
      <c r="W10" s="11"/>
      <c r="X10" s="9" t="s">
        <v>259</v>
      </c>
      <c r="Y10" s="10"/>
      <c r="Z10" s="10"/>
      <c r="AA10" s="10"/>
      <c r="AB10" s="10"/>
      <c r="AC10" s="10"/>
      <c r="AD10" s="11"/>
      <c r="AE10" s="9" t="s">
        <v>260</v>
      </c>
      <c r="AF10" s="11"/>
      <c r="AG10" s="1" t="s">
        <v>261</v>
      </c>
      <c r="AH10" s="2"/>
      <c r="AI10" s="2"/>
      <c r="AJ10" s="2"/>
      <c r="AK10" s="2"/>
      <c r="AL10" s="2"/>
      <c r="AM10" s="2"/>
      <c r="AN10" s="2"/>
      <c r="AO10" s="2"/>
      <c r="AP10" s="2"/>
      <c r="AQ10" s="2"/>
      <c r="AR10" s="2"/>
      <c r="AS10" s="2"/>
      <c r="AT10" s="2"/>
      <c r="AU10" s="3"/>
      <c r="AV10" s="1" t="s">
        <v>262</v>
      </c>
      <c r="AW10" s="2"/>
      <c r="AX10" s="2"/>
      <c r="AY10" s="2"/>
      <c r="AZ10" s="2"/>
      <c r="BA10" s="2"/>
      <c r="BB10" s="2"/>
      <c r="BC10" s="2"/>
      <c r="BD10" s="2"/>
      <c r="BE10" s="2"/>
      <c r="BF10" s="2"/>
      <c r="BG10" s="2"/>
      <c r="BH10" s="2"/>
      <c r="BI10" s="2"/>
      <c r="BJ10" s="3"/>
      <c r="BK10" s="9" t="s">
        <v>263</v>
      </c>
      <c r="BL10" s="10"/>
      <c r="BM10" s="10"/>
      <c r="BN10" s="10"/>
      <c r="BO10" s="10"/>
      <c r="BP10" s="10"/>
      <c r="BQ10" s="11"/>
    </row>
    <row r="11" ht="36" customHeight="1" spans="1:69">
      <c r="A11" s="12"/>
      <c r="B11" s="13"/>
      <c r="C11" s="14"/>
      <c r="D11" s="15"/>
      <c r="E11" s="13"/>
      <c r="F11" s="14"/>
      <c r="G11" s="14"/>
      <c r="H11" s="14"/>
      <c r="I11" s="15"/>
      <c r="J11" s="13"/>
      <c r="K11" s="14"/>
      <c r="L11" s="14"/>
      <c r="M11" s="14"/>
      <c r="N11" s="14"/>
      <c r="O11" s="14"/>
      <c r="P11" s="15"/>
      <c r="Q11" s="13"/>
      <c r="R11" s="14"/>
      <c r="S11" s="14"/>
      <c r="T11" s="14"/>
      <c r="U11" s="14"/>
      <c r="V11" s="14"/>
      <c r="W11" s="15"/>
      <c r="X11" s="13"/>
      <c r="Y11" s="14"/>
      <c r="Z11" s="14"/>
      <c r="AA11" s="14"/>
      <c r="AB11" s="14"/>
      <c r="AC11" s="14"/>
      <c r="AD11" s="15"/>
      <c r="AE11" s="13"/>
      <c r="AF11" s="15"/>
      <c r="AG11" s="1" t="s">
        <v>264</v>
      </c>
      <c r="AH11" s="2"/>
      <c r="AI11" s="3"/>
      <c r="AJ11" s="1" t="s">
        <v>265</v>
      </c>
      <c r="AK11" s="2"/>
      <c r="AL11" s="3"/>
      <c r="AM11" s="1" t="s">
        <v>11</v>
      </c>
      <c r="AN11" s="2"/>
      <c r="AO11" s="3"/>
      <c r="AP11" s="1" t="s">
        <v>266</v>
      </c>
      <c r="AQ11" s="2"/>
      <c r="AR11" s="3"/>
      <c r="AS11" s="1" t="s">
        <v>267</v>
      </c>
      <c r="AT11" s="2"/>
      <c r="AU11" s="3"/>
      <c r="AV11" s="1" t="s">
        <v>264</v>
      </c>
      <c r="AW11" s="2"/>
      <c r="AX11" s="3"/>
      <c r="AY11" s="1" t="s">
        <v>265</v>
      </c>
      <c r="AZ11" s="2"/>
      <c r="BA11" s="3"/>
      <c r="BB11" s="1" t="s">
        <v>11</v>
      </c>
      <c r="BC11" s="2"/>
      <c r="BD11" s="3"/>
      <c r="BE11" s="1" t="s">
        <v>266</v>
      </c>
      <c r="BF11" s="2"/>
      <c r="BG11" s="3"/>
      <c r="BH11" s="1" t="s">
        <v>267</v>
      </c>
      <c r="BI11" s="2"/>
      <c r="BJ11" s="3"/>
      <c r="BK11" s="13"/>
      <c r="BL11" s="14"/>
      <c r="BM11" s="14"/>
      <c r="BN11" s="14"/>
      <c r="BO11" s="14"/>
      <c r="BP11" s="14"/>
      <c r="BQ11" s="15"/>
    </row>
    <row r="12" ht="22.5" customHeight="1" spans="1:69">
      <c r="A12" s="16" t="s">
        <v>268</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3"/>
    </row>
    <row r="13" ht="351.75" customHeight="1" spans="1:69">
      <c r="A13" s="17">
        <v>1</v>
      </c>
      <c r="B13" s="18" t="s">
        <v>269</v>
      </c>
      <c r="C13" s="2"/>
      <c r="D13" s="3"/>
      <c r="E13" s="18" t="s">
        <v>270</v>
      </c>
      <c r="F13" s="2"/>
      <c r="G13" s="2"/>
      <c r="H13" s="2"/>
      <c r="I13" s="3"/>
      <c r="J13" s="18" t="s">
        <v>271</v>
      </c>
      <c r="K13" s="2"/>
      <c r="L13" s="2"/>
      <c r="M13" s="2"/>
      <c r="N13" s="2"/>
      <c r="O13" s="2"/>
      <c r="P13" s="3"/>
      <c r="Q13" s="18" t="s">
        <v>272</v>
      </c>
      <c r="R13" s="2"/>
      <c r="S13" s="2"/>
      <c r="T13" s="2"/>
      <c r="U13" s="2"/>
      <c r="V13" s="2"/>
      <c r="W13" s="3"/>
      <c r="X13" s="18" t="s">
        <v>273</v>
      </c>
      <c r="Y13" s="2"/>
      <c r="Z13" s="2"/>
      <c r="AA13" s="2"/>
      <c r="AB13" s="2"/>
      <c r="AC13" s="2"/>
      <c r="AD13" s="3"/>
      <c r="AE13" s="19" t="s">
        <v>217</v>
      </c>
      <c r="AF13" s="3"/>
      <c r="AG13" s="20" t="s">
        <v>67</v>
      </c>
      <c r="AH13" s="2"/>
      <c r="AI13" s="3"/>
      <c r="AJ13" s="19"/>
      <c r="AK13" s="2"/>
      <c r="AL13" s="3"/>
      <c r="AM13" s="20" t="s">
        <v>274</v>
      </c>
      <c r="AN13" s="2"/>
      <c r="AO13" s="3"/>
      <c r="AP13" s="21">
        <v>46192</v>
      </c>
      <c r="AQ13" s="2"/>
      <c r="AR13" s="3"/>
      <c r="AS13" s="19"/>
      <c r="AT13" s="2"/>
      <c r="AU13" s="3"/>
      <c r="AV13" s="19" t="s">
        <v>67</v>
      </c>
      <c r="AW13" s="2"/>
      <c r="AX13" s="3"/>
      <c r="AY13" s="19"/>
      <c r="AZ13" s="2"/>
      <c r="BA13" s="3"/>
      <c r="BB13" s="19" t="s">
        <v>275</v>
      </c>
      <c r="BC13" s="2"/>
      <c r="BD13" s="3"/>
      <c r="BE13" s="21">
        <v>46245</v>
      </c>
      <c r="BF13" s="2"/>
      <c r="BG13" s="3"/>
      <c r="BH13" s="19"/>
      <c r="BI13" s="2"/>
      <c r="BJ13" s="3"/>
      <c r="BK13" s="18"/>
      <c r="BL13" s="2"/>
      <c r="BM13" s="2"/>
      <c r="BN13" s="2"/>
      <c r="BO13" s="2"/>
      <c r="BP13" s="2"/>
      <c r="BQ13" s="3"/>
    </row>
    <row r="14" ht="409.5" customHeight="1" spans="1:69">
      <c r="A14" s="17">
        <v>2</v>
      </c>
      <c r="B14" s="18" t="s">
        <v>276</v>
      </c>
      <c r="C14" s="2"/>
      <c r="D14" s="3"/>
      <c r="E14" s="18" t="s">
        <v>277</v>
      </c>
      <c r="F14" s="2"/>
      <c r="G14" s="2"/>
      <c r="H14" s="2"/>
      <c r="I14" s="3"/>
      <c r="J14" s="18" t="s">
        <v>278</v>
      </c>
      <c r="K14" s="2"/>
      <c r="L14" s="2"/>
      <c r="M14" s="2"/>
      <c r="N14" s="2"/>
      <c r="O14" s="2"/>
      <c r="P14" s="3"/>
      <c r="Q14" s="18" t="s">
        <v>279</v>
      </c>
      <c r="R14" s="2"/>
      <c r="S14" s="2"/>
      <c r="T14" s="2"/>
      <c r="U14" s="2"/>
      <c r="V14" s="2"/>
      <c r="W14" s="3"/>
      <c r="X14" s="18" t="s">
        <v>280</v>
      </c>
      <c r="Y14" s="2"/>
      <c r="Z14" s="2"/>
      <c r="AA14" s="2"/>
      <c r="AB14" s="2"/>
      <c r="AC14" s="2"/>
      <c r="AD14" s="3"/>
      <c r="AE14" s="19" t="s">
        <v>217</v>
      </c>
      <c r="AF14" s="3"/>
      <c r="AG14" s="20" t="s">
        <v>67</v>
      </c>
      <c r="AH14" s="2"/>
      <c r="AI14" s="3"/>
      <c r="AJ14" s="19"/>
      <c r="AK14" s="2"/>
      <c r="AL14" s="3"/>
      <c r="AM14" s="20" t="s">
        <v>274</v>
      </c>
      <c r="AN14" s="2"/>
      <c r="AO14" s="3"/>
      <c r="AP14" s="21">
        <v>46192</v>
      </c>
      <c r="AQ14" s="2"/>
      <c r="AR14" s="3"/>
      <c r="AS14" s="19"/>
      <c r="AT14" s="2"/>
      <c r="AU14" s="3"/>
      <c r="AV14" s="19" t="s">
        <v>67</v>
      </c>
      <c r="AW14" s="2"/>
      <c r="AX14" s="3"/>
      <c r="AY14" s="19"/>
      <c r="AZ14" s="2"/>
      <c r="BA14" s="3"/>
      <c r="BB14" s="19" t="s">
        <v>275</v>
      </c>
      <c r="BC14" s="2"/>
      <c r="BD14" s="3"/>
      <c r="BE14" s="21">
        <v>46245</v>
      </c>
      <c r="BF14" s="2"/>
      <c r="BG14" s="3"/>
      <c r="BH14" s="19"/>
      <c r="BI14" s="2"/>
      <c r="BJ14" s="3"/>
      <c r="BK14" s="18"/>
      <c r="BL14" s="2"/>
      <c r="BM14" s="2"/>
      <c r="BN14" s="2"/>
      <c r="BO14" s="2"/>
      <c r="BP14" s="2"/>
      <c r="BQ14" s="3"/>
    </row>
    <row r="15" ht="409.5" customHeight="1" spans="1:69">
      <c r="A15" s="17">
        <v>3</v>
      </c>
      <c r="B15" s="18" t="s">
        <v>281</v>
      </c>
      <c r="C15" s="2"/>
      <c r="D15" s="3"/>
      <c r="E15" s="18" t="s">
        <v>282</v>
      </c>
      <c r="F15" s="2"/>
      <c r="G15" s="2"/>
      <c r="H15" s="2"/>
      <c r="I15" s="3"/>
      <c r="J15" s="18" t="s">
        <v>283</v>
      </c>
      <c r="K15" s="2"/>
      <c r="L15" s="2"/>
      <c r="M15" s="2"/>
      <c r="N15" s="2"/>
      <c r="O15" s="2"/>
      <c r="P15" s="3"/>
      <c r="Q15" s="18" t="s">
        <v>284</v>
      </c>
      <c r="R15" s="2"/>
      <c r="S15" s="2"/>
      <c r="T15" s="2"/>
      <c r="U15" s="2"/>
      <c r="V15" s="2"/>
      <c r="W15" s="3"/>
      <c r="X15" s="18" t="s">
        <v>285</v>
      </c>
      <c r="Y15" s="2"/>
      <c r="Z15" s="2"/>
      <c r="AA15" s="2"/>
      <c r="AB15" s="2"/>
      <c r="AC15" s="2"/>
      <c r="AD15" s="3"/>
      <c r="AE15" s="19" t="s">
        <v>217</v>
      </c>
      <c r="AF15" s="3"/>
      <c r="AG15" s="20" t="s">
        <v>67</v>
      </c>
      <c r="AH15" s="2"/>
      <c r="AI15" s="3"/>
      <c r="AJ15" s="19"/>
      <c r="AK15" s="2"/>
      <c r="AL15" s="3"/>
      <c r="AM15" s="20" t="s">
        <v>274</v>
      </c>
      <c r="AN15" s="2"/>
      <c r="AO15" s="3"/>
      <c r="AP15" s="21">
        <v>46192</v>
      </c>
      <c r="AQ15" s="2"/>
      <c r="AR15" s="3"/>
      <c r="AS15" s="19"/>
      <c r="AT15" s="2"/>
      <c r="AU15" s="3"/>
      <c r="AV15" s="19" t="s">
        <v>67</v>
      </c>
      <c r="AW15" s="2"/>
      <c r="AX15" s="3"/>
      <c r="AY15" s="19"/>
      <c r="AZ15" s="2"/>
      <c r="BA15" s="3"/>
      <c r="BB15" s="19" t="s">
        <v>275</v>
      </c>
      <c r="BC15" s="2"/>
      <c r="BD15" s="3"/>
      <c r="BE15" s="21">
        <v>46245</v>
      </c>
      <c r="BF15" s="2"/>
      <c r="BG15" s="3"/>
      <c r="BH15" s="19"/>
      <c r="BI15" s="2"/>
      <c r="BJ15" s="3"/>
      <c r="BK15" s="18"/>
      <c r="BL15" s="2"/>
      <c r="BM15" s="2"/>
      <c r="BN15" s="2"/>
      <c r="BO15" s="2"/>
      <c r="BP15" s="2"/>
      <c r="BQ15" s="3"/>
    </row>
    <row r="16" ht="409.5" customHeight="1" spans="1:69">
      <c r="A16" s="17">
        <v>4</v>
      </c>
      <c r="B16" s="18" t="s">
        <v>286</v>
      </c>
      <c r="C16" s="2"/>
      <c r="D16" s="3"/>
      <c r="E16" s="18" t="s">
        <v>287</v>
      </c>
      <c r="F16" s="2"/>
      <c r="G16" s="2"/>
      <c r="H16" s="2"/>
      <c r="I16" s="3"/>
      <c r="J16" s="18" t="s">
        <v>288</v>
      </c>
      <c r="K16" s="2"/>
      <c r="L16" s="2"/>
      <c r="M16" s="2"/>
      <c r="N16" s="2"/>
      <c r="O16" s="2"/>
      <c r="P16" s="3"/>
      <c r="Q16" s="18" t="s">
        <v>289</v>
      </c>
      <c r="R16" s="2"/>
      <c r="S16" s="2"/>
      <c r="T16" s="2"/>
      <c r="U16" s="2"/>
      <c r="V16" s="2"/>
      <c r="W16" s="3"/>
      <c r="X16" s="18" t="s">
        <v>290</v>
      </c>
      <c r="Y16" s="2"/>
      <c r="Z16" s="2"/>
      <c r="AA16" s="2"/>
      <c r="AB16" s="2"/>
      <c r="AC16" s="2"/>
      <c r="AD16" s="3"/>
      <c r="AE16" s="19" t="s">
        <v>291</v>
      </c>
      <c r="AF16" s="3"/>
      <c r="AG16" s="20" t="s">
        <v>67</v>
      </c>
      <c r="AH16" s="2"/>
      <c r="AI16" s="3"/>
      <c r="AJ16" s="19"/>
      <c r="AK16" s="2"/>
      <c r="AL16" s="3"/>
      <c r="AM16" s="20" t="s">
        <v>274</v>
      </c>
      <c r="AN16" s="2"/>
      <c r="AO16" s="3"/>
      <c r="AP16" s="21">
        <v>46192</v>
      </c>
      <c r="AQ16" s="2"/>
      <c r="AR16" s="3"/>
      <c r="AS16" s="19"/>
      <c r="AT16" s="2"/>
      <c r="AU16" s="3"/>
      <c r="AV16" s="19" t="s">
        <v>67</v>
      </c>
      <c r="AW16" s="2"/>
      <c r="AX16" s="3"/>
      <c r="AY16" s="19"/>
      <c r="AZ16" s="2"/>
      <c r="BA16" s="3"/>
      <c r="BB16" s="19" t="s">
        <v>275</v>
      </c>
      <c r="BC16" s="2"/>
      <c r="BD16" s="3"/>
      <c r="BE16" s="21">
        <v>46245</v>
      </c>
      <c r="BF16" s="2"/>
      <c r="BG16" s="3"/>
      <c r="BH16" s="19"/>
      <c r="BI16" s="2"/>
      <c r="BJ16" s="3"/>
      <c r="BK16" s="18"/>
      <c r="BL16" s="2"/>
      <c r="BM16" s="2"/>
      <c r="BN16" s="2"/>
      <c r="BO16" s="2"/>
      <c r="BP16" s="2"/>
      <c r="BQ16" s="3"/>
    </row>
    <row r="17" ht="409.5" customHeight="1" spans="1:69">
      <c r="A17" s="17">
        <v>5</v>
      </c>
      <c r="B17" s="18" t="s">
        <v>292</v>
      </c>
      <c r="C17" s="2"/>
      <c r="D17" s="3"/>
      <c r="E17" s="18" t="s">
        <v>293</v>
      </c>
      <c r="F17" s="2"/>
      <c r="G17" s="2"/>
      <c r="H17" s="2"/>
      <c r="I17" s="3"/>
      <c r="J17" s="18" t="s">
        <v>294</v>
      </c>
      <c r="K17" s="2"/>
      <c r="L17" s="2"/>
      <c r="M17" s="2"/>
      <c r="N17" s="2"/>
      <c r="O17" s="2"/>
      <c r="P17" s="3"/>
      <c r="Q17" s="18" t="s">
        <v>295</v>
      </c>
      <c r="R17" s="2"/>
      <c r="S17" s="2"/>
      <c r="T17" s="2"/>
      <c r="U17" s="2"/>
      <c r="V17" s="2"/>
      <c r="W17" s="3"/>
      <c r="X17" s="18" t="s">
        <v>296</v>
      </c>
      <c r="Y17" s="2"/>
      <c r="Z17" s="2"/>
      <c r="AA17" s="2"/>
      <c r="AB17" s="2"/>
      <c r="AC17" s="2"/>
      <c r="AD17" s="3"/>
      <c r="AE17" s="19" t="s">
        <v>291</v>
      </c>
      <c r="AF17" s="3"/>
      <c r="AG17" s="20" t="s">
        <v>67</v>
      </c>
      <c r="AH17" s="2"/>
      <c r="AI17" s="3"/>
      <c r="AJ17" s="19"/>
      <c r="AK17" s="2"/>
      <c r="AL17" s="3"/>
      <c r="AM17" s="20" t="s">
        <v>274</v>
      </c>
      <c r="AN17" s="2"/>
      <c r="AO17" s="3"/>
      <c r="AP17" s="21">
        <v>46192</v>
      </c>
      <c r="AQ17" s="2"/>
      <c r="AR17" s="3"/>
      <c r="AS17" s="19"/>
      <c r="AT17" s="2"/>
      <c r="AU17" s="3"/>
      <c r="AV17" s="19" t="s">
        <v>67</v>
      </c>
      <c r="AW17" s="2"/>
      <c r="AX17" s="3"/>
      <c r="AY17" s="19"/>
      <c r="AZ17" s="2"/>
      <c r="BA17" s="3"/>
      <c r="BB17" s="19" t="s">
        <v>275</v>
      </c>
      <c r="BC17" s="2"/>
      <c r="BD17" s="3"/>
      <c r="BE17" s="21">
        <v>46245</v>
      </c>
      <c r="BF17" s="2"/>
      <c r="BG17" s="3"/>
      <c r="BH17" s="19"/>
      <c r="BI17" s="2"/>
      <c r="BJ17" s="3"/>
      <c r="BK17" s="18"/>
      <c r="BL17" s="2"/>
      <c r="BM17" s="2"/>
      <c r="BN17" s="2"/>
      <c r="BO17" s="2"/>
      <c r="BP17" s="2"/>
      <c r="BQ17" s="3"/>
    </row>
    <row r="18" ht="409.5" customHeight="1" spans="1:69">
      <c r="A18" s="17">
        <v>6</v>
      </c>
      <c r="B18" s="18" t="s">
        <v>297</v>
      </c>
      <c r="C18" s="2"/>
      <c r="D18" s="3"/>
      <c r="E18" s="18" t="s">
        <v>298</v>
      </c>
      <c r="F18" s="2"/>
      <c r="G18" s="2"/>
      <c r="H18" s="2"/>
      <c r="I18" s="3"/>
      <c r="J18" s="18" t="s">
        <v>299</v>
      </c>
      <c r="K18" s="2"/>
      <c r="L18" s="2"/>
      <c r="M18" s="2"/>
      <c r="N18" s="2"/>
      <c r="O18" s="2"/>
      <c r="P18" s="3"/>
      <c r="Q18" s="18" t="s">
        <v>300</v>
      </c>
      <c r="R18" s="2"/>
      <c r="S18" s="2"/>
      <c r="T18" s="2"/>
      <c r="U18" s="2"/>
      <c r="V18" s="2"/>
      <c r="W18" s="3"/>
      <c r="X18" s="18" t="s">
        <v>301</v>
      </c>
      <c r="Y18" s="2"/>
      <c r="Z18" s="2"/>
      <c r="AA18" s="2"/>
      <c r="AB18" s="2"/>
      <c r="AC18" s="2"/>
      <c r="AD18" s="3"/>
      <c r="AE18" s="19" t="s">
        <v>291</v>
      </c>
      <c r="AF18" s="3"/>
      <c r="AG18" s="20" t="s">
        <v>67</v>
      </c>
      <c r="AH18" s="2"/>
      <c r="AI18" s="3"/>
      <c r="AJ18" s="19"/>
      <c r="AK18" s="2"/>
      <c r="AL18" s="3"/>
      <c r="AM18" s="20" t="s">
        <v>274</v>
      </c>
      <c r="AN18" s="2"/>
      <c r="AO18" s="3"/>
      <c r="AP18" s="21">
        <v>46192</v>
      </c>
      <c r="AQ18" s="2"/>
      <c r="AR18" s="3"/>
      <c r="AS18" s="19"/>
      <c r="AT18" s="2"/>
      <c r="AU18" s="3"/>
      <c r="AV18" s="19" t="s">
        <v>67</v>
      </c>
      <c r="AW18" s="2"/>
      <c r="AX18" s="3"/>
      <c r="AY18" s="19"/>
      <c r="AZ18" s="2"/>
      <c r="BA18" s="3"/>
      <c r="BB18" s="19" t="s">
        <v>275</v>
      </c>
      <c r="BC18" s="2"/>
      <c r="BD18" s="3"/>
      <c r="BE18" s="21">
        <v>46245</v>
      </c>
      <c r="BF18" s="2"/>
      <c r="BG18" s="3"/>
      <c r="BH18" s="19"/>
      <c r="BI18" s="2"/>
      <c r="BJ18" s="3"/>
      <c r="BK18" s="18" t="s">
        <v>302</v>
      </c>
      <c r="BL18" s="2"/>
      <c r="BM18" s="2"/>
      <c r="BN18" s="2"/>
      <c r="BO18" s="2"/>
      <c r="BP18" s="2"/>
      <c r="BQ18" s="3"/>
    </row>
    <row r="19" ht="22.5" customHeight="1" spans="1:69">
      <c r="A19" s="16" t="s">
        <v>303</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3"/>
    </row>
    <row r="20" ht="336" customHeight="1" spans="1:69">
      <c r="A20" s="17">
        <v>7</v>
      </c>
      <c r="B20" s="18" t="s">
        <v>304</v>
      </c>
      <c r="C20" s="2"/>
      <c r="D20" s="3"/>
      <c r="E20" s="18" t="s">
        <v>305</v>
      </c>
      <c r="F20" s="2"/>
      <c r="G20" s="2"/>
      <c r="H20" s="2"/>
      <c r="I20" s="3"/>
      <c r="J20" s="18" t="s">
        <v>306</v>
      </c>
      <c r="K20" s="2"/>
      <c r="L20" s="2"/>
      <c r="M20" s="2"/>
      <c r="N20" s="2"/>
      <c r="O20" s="2"/>
      <c r="P20" s="3"/>
      <c r="Q20" s="18" t="s">
        <v>307</v>
      </c>
      <c r="R20" s="2"/>
      <c r="S20" s="2"/>
      <c r="T20" s="2"/>
      <c r="U20" s="2"/>
      <c r="V20" s="2"/>
      <c r="W20" s="3"/>
      <c r="X20" s="18" t="s">
        <v>308</v>
      </c>
      <c r="Y20" s="2"/>
      <c r="Z20" s="2"/>
      <c r="AA20" s="2"/>
      <c r="AB20" s="2"/>
      <c r="AC20" s="2"/>
      <c r="AD20" s="3"/>
      <c r="AE20" s="19" t="s">
        <v>291</v>
      </c>
      <c r="AF20" s="3"/>
      <c r="AG20" s="20" t="s">
        <v>67</v>
      </c>
      <c r="AH20" s="2"/>
      <c r="AI20" s="3"/>
      <c r="AJ20" s="19"/>
      <c r="AK20" s="2"/>
      <c r="AL20" s="3"/>
      <c r="AM20" s="20" t="s">
        <v>274</v>
      </c>
      <c r="AN20" s="2"/>
      <c r="AO20" s="3"/>
      <c r="AP20" s="21">
        <v>46192</v>
      </c>
      <c r="AQ20" s="2"/>
      <c r="AR20" s="3"/>
      <c r="AS20" s="19"/>
      <c r="AT20" s="2"/>
      <c r="AU20" s="3"/>
      <c r="AV20" s="19" t="s">
        <v>67</v>
      </c>
      <c r="AW20" s="2"/>
      <c r="AX20" s="3"/>
      <c r="AY20" s="19"/>
      <c r="AZ20" s="2"/>
      <c r="BA20" s="3"/>
      <c r="BB20" s="19" t="s">
        <v>275</v>
      </c>
      <c r="BC20" s="2"/>
      <c r="BD20" s="3"/>
      <c r="BE20" s="21">
        <v>46245</v>
      </c>
      <c r="BF20" s="2"/>
      <c r="BG20" s="3"/>
      <c r="BH20" s="19"/>
      <c r="BI20" s="2"/>
      <c r="BJ20" s="3"/>
      <c r="BK20" s="18"/>
      <c r="BL20" s="2"/>
      <c r="BM20" s="2"/>
      <c r="BN20" s="2"/>
      <c r="BO20" s="2"/>
      <c r="BP20" s="2"/>
      <c r="BQ20" s="3"/>
    </row>
    <row r="21" ht="255.75" customHeight="1" spans="1:69">
      <c r="A21" s="17">
        <v>8</v>
      </c>
      <c r="B21" s="18" t="s">
        <v>309</v>
      </c>
      <c r="C21" s="2"/>
      <c r="D21" s="3"/>
      <c r="E21" s="18" t="s">
        <v>310</v>
      </c>
      <c r="F21" s="2"/>
      <c r="G21" s="2"/>
      <c r="H21" s="2"/>
      <c r="I21" s="3"/>
      <c r="J21" s="18" t="s">
        <v>311</v>
      </c>
      <c r="K21" s="2"/>
      <c r="L21" s="2"/>
      <c r="M21" s="2"/>
      <c r="N21" s="2"/>
      <c r="O21" s="2"/>
      <c r="P21" s="3"/>
      <c r="Q21" s="18" t="s">
        <v>312</v>
      </c>
      <c r="R21" s="2"/>
      <c r="S21" s="2"/>
      <c r="T21" s="2"/>
      <c r="U21" s="2"/>
      <c r="V21" s="2"/>
      <c r="W21" s="3"/>
      <c r="X21" s="18" t="s">
        <v>313</v>
      </c>
      <c r="Y21" s="2"/>
      <c r="Z21" s="2"/>
      <c r="AA21" s="2"/>
      <c r="AB21" s="2"/>
      <c r="AC21" s="2"/>
      <c r="AD21" s="3"/>
      <c r="AE21" s="19" t="s">
        <v>291</v>
      </c>
      <c r="AF21" s="3"/>
      <c r="AG21" s="20" t="s">
        <v>67</v>
      </c>
      <c r="AH21" s="2"/>
      <c r="AI21" s="3"/>
      <c r="AJ21" s="19"/>
      <c r="AK21" s="2"/>
      <c r="AL21" s="3"/>
      <c r="AM21" s="20" t="s">
        <v>274</v>
      </c>
      <c r="AN21" s="2"/>
      <c r="AO21" s="3"/>
      <c r="AP21" s="21">
        <v>46192</v>
      </c>
      <c r="AQ21" s="2"/>
      <c r="AR21" s="3"/>
      <c r="AS21" s="19"/>
      <c r="AT21" s="2"/>
      <c r="AU21" s="3"/>
      <c r="AV21" s="19" t="s">
        <v>67</v>
      </c>
      <c r="AW21" s="2"/>
      <c r="AX21" s="3"/>
      <c r="AY21" s="19"/>
      <c r="AZ21" s="2"/>
      <c r="BA21" s="3"/>
      <c r="BB21" s="19" t="s">
        <v>275</v>
      </c>
      <c r="BC21" s="2"/>
      <c r="BD21" s="3"/>
      <c r="BE21" s="21">
        <v>46245</v>
      </c>
      <c r="BF21" s="2"/>
      <c r="BG21" s="3"/>
      <c r="BH21" s="19"/>
      <c r="BI21" s="2"/>
      <c r="BJ21" s="3"/>
      <c r="BK21" s="18"/>
      <c r="BL21" s="2"/>
      <c r="BM21" s="2"/>
      <c r="BN21" s="2"/>
      <c r="BO21" s="2"/>
      <c r="BP21" s="2"/>
      <c r="BQ21" s="3"/>
    </row>
    <row r="22" ht="409.5" customHeight="1" spans="1:69">
      <c r="A22" s="17">
        <v>9</v>
      </c>
      <c r="B22" s="18" t="s">
        <v>314</v>
      </c>
      <c r="C22" s="2"/>
      <c r="D22" s="3"/>
      <c r="E22" s="18" t="s">
        <v>315</v>
      </c>
      <c r="F22" s="2"/>
      <c r="G22" s="2"/>
      <c r="H22" s="2"/>
      <c r="I22" s="3"/>
      <c r="J22" s="18" t="s">
        <v>316</v>
      </c>
      <c r="K22" s="2"/>
      <c r="L22" s="2"/>
      <c r="M22" s="2"/>
      <c r="N22" s="2"/>
      <c r="O22" s="2"/>
      <c r="P22" s="3"/>
      <c r="Q22" s="18" t="s">
        <v>317</v>
      </c>
      <c r="R22" s="2"/>
      <c r="S22" s="2"/>
      <c r="T22" s="2"/>
      <c r="U22" s="2"/>
      <c r="V22" s="2"/>
      <c r="W22" s="3"/>
      <c r="X22" s="18" t="s">
        <v>318</v>
      </c>
      <c r="Y22" s="2"/>
      <c r="Z22" s="2"/>
      <c r="AA22" s="2"/>
      <c r="AB22" s="2"/>
      <c r="AC22" s="2"/>
      <c r="AD22" s="3"/>
      <c r="AE22" s="19" t="s">
        <v>291</v>
      </c>
      <c r="AF22" s="3"/>
      <c r="AG22" s="20" t="s">
        <v>67</v>
      </c>
      <c r="AH22" s="2"/>
      <c r="AI22" s="3"/>
      <c r="AJ22" s="19"/>
      <c r="AK22" s="2"/>
      <c r="AL22" s="3"/>
      <c r="AM22" s="20" t="s">
        <v>274</v>
      </c>
      <c r="AN22" s="2"/>
      <c r="AO22" s="3"/>
      <c r="AP22" s="21">
        <v>46192</v>
      </c>
      <c r="AQ22" s="2"/>
      <c r="AR22" s="3"/>
      <c r="AS22" s="19"/>
      <c r="AT22" s="2"/>
      <c r="AU22" s="3"/>
      <c r="AV22" s="19" t="s">
        <v>67</v>
      </c>
      <c r="AW22" s="2"/>
      <c r="AX22" s="3"/>
      <c r="AY22" s="19"/>
      <c r="AZ22" s="2"/>
      <c r="BA22" s="3"/>
      <c r="BB22" s="19" t="s">
        <v>275</v>
      </c>
      <c r="BC22" s="2"/>
      <c r="BD22" s="3"/>
      <c r="BE22" s="21">
        <v>46245</v>
      </c>
      <c r="BF22" s="2"/>
      <c r="BG22" s="3"/>
      <c r="BH22" s="19"/>
      <c r="BI22" s="2"/>
      <c r="BJ22" s="3"/>
      <c r="BK22" s="18"/>
      <c r="BL22" s="2"/>
      <c r="BM22" s="2"/>
      <c r="BN22" s="2"/>
      <c r="BO22" s="2"/>
      <c r="BP22" s="2"/>
      <c r="BQ22" s="3"/>
    </row>
    <row r="23" ht="367.5" customHeight="1" spans="1:69">
      <c r="A23" s="17">
        <v>10</v>
      </c>
      <c r="B23" s="18" t="s">
        <v>319</v>
      </c>
      <c r="C23" s="2"/>
      <c r="D23" s="3"/>
      <c r="E23" s="18" t="s">
        <v>320</v>
      </c>
      <c r="F23" s="2"/>
      <c r="G23" s="2"/>
      <c r="H23" s="2"/>
      <c r="I23" s="3"/>
      <c r="J23" s="18" t="s">
        <v>316</v>
      </c>
      <c r="K23" s="2"/>
      <c r="L23" s="2"/>
      <c r="M23" s="2"/>
      <c r="N23" s="2"/>
      <c r="O23" s="2"/>
      <c r="P23" s="3"/>
      <c r="Q23" s="18" t="s">
        <v>321</v>
      </c>
      <c r="R23" s="2"/>
      <c r="S23" s="2"/>
      <c r="T23" s="2"/>
      <c r="U23" s="2"/>
      <c r="V23" s="2"/>
      <c r="W23" s="3"/>
      <c r="X23" s="18" t="s">
        <v>322</v>
      </c>
      <c r="Y23" s="2"/>
      <c r="Z23" s="2"/>
      <c r="AA23" s="2"/>
      <c r="AB23" s="2"/>
      <c r="AC23" s="2"/>
      <c r="AD23" s="3"/>
      <c r="AE23" s="19" t="s">
        <v>217</v>
      </c>
      <c r="AF23" s="3"/>
      <c r="AG23" s="19" t="s">
        <v>70</v>
      </c>
      <c r="AH23" s="2"/>
      <c r="AI23" s="3"/>
      <c r="AJ23" s="19"/>
      <c r="AK23" s="2"/>
      <c r="AL23" s="3"/>
      <c r="AM23" s="20" t="s">
        <v>274</v>
      </c>
      <c r="AN23" s="2"/>
      <c r="AO23" s="3"/>
      <c r="AP23" s="21">
        <v>46192</v>
      </c>
      <c r="AQ23" s="2"/>
      <c r="AR23" s="3"/>
      <c r="AS23" s="19"/>
      <c r="AT23" s="2"/>
      <c r="AU23" s="3"/>
      <c r="AV23" s="19" t="s">
        <v>70</v>
      </c>
      <c r="AW23" s="2"/>
      <c r="AX23" s="3"/>
      <c r="AY23" s="19"/>
      <c r="AZ23" s="2"/>
      <c r="BA23" s="3"/>
      <c r="BB23" s="19" t="s">
        <v>275</v>
      </c>
      <c r="BC23" s="2"/>
      <c r="BD23" s="3"/>
      <c r="BE23" s="21">
        <v>46245</v>
      </c>
      <c r="BF23" s="2"/>
      <c r="BG23" s="3"/>
      <c r="BH23" s="19"/>
      <c r="BI23" s="2"/>
      <c r="BJ23" s="3"/>
      <c r="BK23" s="18" t="s">
        <v>323</v>
      </c>
      <c r="BL23" s="2"/>
      <c r="BM23" s="2"/>
      <c r="BN23" s="2"/>
      <c r="BO23" s="2"/>
      <c r="BP23" s="2"/>
      <c r="BQ23" s="3"/>
    </row>
    <row r="24" ht="409.5" customHeight="1" spans="1:69">
      <c r="A24" s="17">
        <v>11</v>
      </c>
      <c r="B24" s="18" t="s">
        <v>324</v>
      </c>
      <c r="C24" s="2"/>
      <c r="D24" s="3"/>
      <c r="E24" s="18" t="s">
        <v>325</v>
      </c>
      <c r="F24" s="2"/>
      <c r="G24" s="2"/>
      <c r="H24" s="2"/>
      <c r="I24" s="3"/>
      <c r="J24" s="18" t="s">
        <v>326</v>
      </c>
      <c r="K24" s="2"/>
      <c r="L24" s="2"/>
      <c r="M24" s="2"/>
      <c r="N24" s="2"/>
      <c r="O24" s="2"/>
      <c r="P24" s="3"/>
      <c r="Q24" s="18" t="s">
        <v>327</v>
      </c>
      <c r="R24" s="2"/>
      <c r="S24" s="2"/>
      <c r="T24" s="2"/>
      <c r="U24" s="2"/>
      <c r="V24" s="2"/>
      <c r="W24" s="3"/>
      <c r="X24" s="18" t="s">
        <v>328</v>
      </c>
      <c r="Y24" s="2"/>
      <c r="Z24" s="2"/>
      <c r="AA24" s="2"/>
      <c r="AB24" s="2"/>
      <c r="AC24" s="2"/>
      <c r="AD24" s="3"/>
      <c r="AE24" s="19" t="s">
        <v>291</v>
      </c>
      <c r="AF24" s="3"/>
      <c r="AG24" s="20" t="s">
        <v>67</v>
      </c>
      <c r="AH24" s="2"/>
      <c r="AI24" s="3"/>
      <c r="AJ24" s="19"/>
      <c r="AK24" s="2"/>
      <c r="AL24" s="3"/>
      <c r="AM24" s="20" t="s">
        <v>274</v>
      </c>
      <c r="AN24" s="2"/>
      <c r="AO24" s="3"/>
      <c r="AP24" s="21">
        <v>46192</v>
      </c>
      <c r="AQ24" s="2"/>
      <c r="AR24" s="3"/>
      <c r="AS24" s="19"/>
      <c r="AT24" s="2"/>
      <c r="AU24" s="3"/>
      <c r="AV24" s="19" t="s">
        <v>67</v>
      </c>
      <c r="AW24" s="2"/>
      <c r="AX24" s="3"/>
      <c r="AY24" s="19"/>
      <c r="AZ24" s="2"/>
      <c r="BA24" s="3"/>
      <c r="BB24" s="19" t="s">
        <v>275</v>
      </c>
      <c r="BC24" s="2"/>
      <c r="BD24" s="3"/>
      <c r="BE24" s="21">
        <v>46245</v>
      </c>
      <c r="BF24" s="2"/>
      <c r="BG24" s="3"/>
      <c r="BH24" s="19"/>
      <c r="BI24" s="2"/>
      <c r="BJ24" s="3"/>
      <c r="BK24" s="18"/>
      <c r="BL24" s="2"/>
      <c r="BM24" s="2"/>
      <c r="BN24" s="2"/>
      <c r="BO24" s="2"/>
      <c r="BP24" s="2"/>
      <c r="BQ24" s="3"/>
    </row>
    <row r="25" ht="367.5" customHeight="1" spans="1:69">
      <c r="A25" s="17">
        <v>12</v>
      </c>
      <c r="B25" s="18" t="s">
        <v>329</v>
      </c>
      <c r="C25" s="2"/>
      <c r="D25" s="3"/>
      <c r="E25" s="18" t="s">
        <v>330</v>
      </c>
      <c r="F25" s="2"/>
      <c r="G25" s="2"/>
      <c r="H25" s="2"/>
      <c r="I25" s="3"/>
      <c r="J25" s="18" t="s">
        <v>316</v>
      </c>
      <c r="K25" s="2"/>
      <c r="L25" s="2"/>
      <c r="M25" s="2"/>
      <c r="N25" s="2"/>
      <c r="O25" s="2"/>
      <c r="P25" s="3"/>
      <c r="Q25" s="18" t="s">
        <v>331</v>
      </c>
      <c r="R25" s="2"/>
      <c r="S25" s="2"/>
      <c r="T25" s="2"/>
      <c r="U25" s="2"/>
      <c r="V25" s="2"/>
      <c r="W25" s="3"/>
      <c r="X25" s="18" t="s">
        <v>332</v>
      </c>
      <c r="Y25" s="2"/>
      <c r="Z25" s="2"/>
      <c r="AA25" s="2"/>
      <c r="AB25" s="2"/>
      <c r="AC25" s="2"/>
      <c r="AD25" s="3"/>
      <c r="AE25" s="19" t="s">
        <v>291</v>
      </c>
      <c r="AF25" s="3"/>
      <c r="AG25" s="20" t="s">
        <v>67</v>
      </c>
      <c r="AH25" s="2"/>
      <c r="AI25" s="3"/>
      <c r="AJ25" s="19"/>
      <c r="AK25" s="2"/>
      <c r="AL25" s="3"/>
      <c r="AM25" s="20" t="s">
        <v>274</v>
      </c>
      <c r="AN25" s="2"/>
      <c r="AO25" s="3"/>
      <c r="AP25" s="21">
        <v>46192</v>
      </c>
      <c r="AQ25" s="2"/>
      <c r="AR25" s="3"/>
      <c r="AS25" s="19"/>
      <c r="AT25" s="2"/>
      <c r="AU25" s="3"/>
      <c r="AV25" s="19" t="s">
        <v>67</v>
      </c>
      <c r="AW25" s="2"/>
      <c r="AX25" s="3"/>
      <c r="AY25" s="19"/>
      <c r="AZ25" s="2"/>
      <c r="BA25" s="3"/>
      <c r="BB25" s="19" t="s">
        <v>275</v>
      </c>
      <c r="BC25" s="2"/>
      <c r="BD25" s="3"/>
      <c r="BE25" s="21">
        <v>46245</v>
      </c>
      <c r="BF25" s="2"/>
      <c r="BG25" s="3"/>
      <c r="BH25" s="19"/>
      <c r="BI25" s="2"/>
      <c r="BJ25" s="3"/>
      <c r="BK25" s="18"/>
      <c r="BL25" s="2"/>
      <c r="BM25" s="2"/>
      <c r="BN25" s="2"/>
      <c r="BO25" s="2"/>
      <c r="BP25" s="2"/>
      <c r="BQ25" s="3"/>
    </row>
    <row r="26" ht="409.5" customHeight="1" spans="1:69">
      <c r="A26" s="17">
        <v>13</v>
      </c>
      <c r="B26" s="18" t="s">
        <v>333</v>
      </c>
      <c r="C26" s="2"/>
      <c r="D26" s="3"/>
      <c r="E26" s="18" t="s">
        <v>334</v>
      </c>
      <c r="F26" s="2"/>
      <c r="G26" s="2"/>
      <c r="H26" s="2"/>
      <c r="I26" s="3"/>
      <c r="J26" s="18" t="s">
        <v>335</v>
      </c>
      <c r="K26" s="2"/>
      <c r="L26" s="2"/>
      <c r="M26" s="2"/>
      <c r="N26" s="2"/>
      <c r="O26" s="2"/>
      <c r="P26" s="3"/>
      <c r="Q26" s="18" t="s">
        <v>336</v>
      </c>
      <c r="R26" s="2"/>
      <c r="S26" s="2"/>
      <c r="T26" s="2"/>
      <c r="U26" s="2"/>
      <c r="V26" s="2"/>
      <c r="W26" s="3"/>
      <c r="X26" s="18" t="s">
        <v>337</v>
      </c>
      <c r="Y26" s="2"/>
      <c r="Z26" s="2"/>
      <c r="AA26" s="2"/>
      <c r="AB26" s="2"/>
      <c r="AC26" s="2"/>
      <c r="AD26" s="3"/>
      <c r="AE26" s="19" t="s">
        <v>291</v>
      </c>
      <c r="AF26" s="3"/>
      <c r="AG26" s="20" t="s">
        <v>67</v>
      </c>
      <c r="AH26" s="2"/>
      <c r="AI26" s="3"/>
      <c r="AJ26" s="19"/>
      <c r="AK26" s="2"/>
      <c r="AL26" s="3"/>
      <c r="AM26" s="20" t="s">
        <v>274</v>
      </c>
      <c r="AN26" s="2"/>
      <c r="AO26" s="3"/>
      <c r="AP26" s="21">
        <v>46192</v>
      </c>
      <c r="AQ26" s="2"/>
      <c r="AR26" s="3"/>
      <c r="AS26" s="19"/>
      <c r="AT26" s="2"/>
      <c r="AU26" s="3"/>
      <c r="AV26" s="19" t="s">
        <v>67</v>
      </c>
      <c r="AW26" s="2"/>
      <c r="AX26" s="3"/>
      <c r="AY26" s="19"/>
      <c r="AZ26" s="2"/>
      <c r="BA26" s="3"/>
      <c r="BB26" s="19" t="s">
        <v>275</v>
      </c>
      <c r="BC26" s="2"/>
      <c r="BD26" s="3"/>
      <c r="BE26" s="21">
        <v>46245</v>
      </c>
      <c r="BF26" s="2"/>
      <c r="BG26" s="3"/>
      <c r="BH26" s="19"/>
      <c r="BI26" s="2"/>
      <c r="BJ26" s="3"/>
      <c r="BK26" s="18" t="s">
        <v>302</v>
      </c>
      <c r="BL26" s="2"/>
      <c r="BM26" s="2"/>
      <c r="BN26" s="2"/>
      <c r="BO26" s="2"/>
      <c r="BP26" s="2"/>
      <c r="BQ26" s="3"/>
    </row>
    <row r="27" ht="22.5" customHeight="1" spans="1:69">
      <c r="A27" s="16" t="s">
        <v>338</v>
      </c>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3"/>
    </row>
    <row r="28" ht="384" customHeight="1" spans="1:69">
      <c r="A28" s="17">
        <v>14</v>
      </c>
      <c r="B28" s="18" t="s">
        <v>339</v>
      </c>
      <c r="C28" s="2"/>
      <c r="D28" s="3"/>
      <c r="E28" s="18" t="s">
        <v>340</v>
      </c>
      <c r="F28" s="2"/>
      <c r="G28" s="2"/>
      <c r="H28" s="2"/>
      <c r="I28" s="3"/>
      <c r="J28" s="18" t="s">
        <v>316</v>
      </c>
      <c r="K28" s="2"/>
      <c r="L28" s="2"/>
      <c r="M28" s="2"/>
      <c r="N28" s="2"/>
      <c r="O28" s="2"/>
      <c r="P28" s="3"/>
      <c r="Q28" s="18" t="s">
        <v>341</v>
      </c>
      <c r="R28" s="2"/>
      <c r="S28" s="2"/>
      <c r="T28" s="2"/>
      <c r="U28" s="2"/>
      <c r="V28" s="2"/>
      <c r="W28" s="3"/>
      <c r="X28" s="18" t="s">
        <v>342</v>
      </c>
      <c r="Y28" s="2"/>
      <c r="Z28" s="2"/>
      <c r="AA28" s="2"/>
      <c r="AB28" s="2"/>
      <c r="AC28" s="2"/>
      <c r="AD28" s="3"/>
      <c r="AE28" s="19" t="s">
        <v>217</v>
      </c>
      <c r="AF28" s="3"/>
      <c r="AG28" s="20" t="s">
        <v>67</v>
      </c>
      <c r="AH28" s="2"/>
      <c r="AI28" s="3"/>
      <c r="AJ28" s="19"/>
      <c r="AK28" s="2"/>
      <c r="AL28" s="3"/>
      <c r="AM28" s="20" t="s">
        <v>274</v>
      </c>
      <c r="AN28" s="2"/>
      <c r="AO28" s="3"/>
      <c r="AP28" s="21">
        <v>46192</v>
      </c>
      <c r="AQ28" s="2"/>
      <c r="AR28" s="3"/>
      <c r="AS28" s="19"/>
      <c r="AT28" s="2"/>
      <c r="AU28" s="3"/>
      <c r="AV28" s="19" t="s">
        <v>67</v>
      </c>
      <c r="AW28" s="2"/>
      <c r="AX28" s="3"/>
      <c r="AY28" s="19"/>
      <c r="AZ28" s="2"/>
      <c r="BA28" s="3"/>
      <c r="BB28" s="19" t="s">
        <v>275</v>
      </c>
      <c r="BC28" s="2"/>
      <c r="BD28" s="3"/>
      <c r="BE28" s="21">
        <v>46245</v>
      </c>
      <c r="BF28" s="2"/>
      <c r="BG28" s="3"/>
      <c r="BH28" s="19"/>
      <c r="BI28" s="2"/>
      <c r="BJ28" s="3"/>
      <c r="BK28" s="18"/>
      <c r="BL28" s="2"/>
      <c r="BM28" s="2"/>
      <c r="BN28" s="2"/>
      <c r="BO28" s="2"/>
      <c r="BP28" s="2"/>
      <c r="BQ28" s="3"/>
    </row>
    <row r="29" ht="351.75" customHeight="1" spans="1:69">
      <c r="A29" s="17">
        <v>15</v>
      </c>
      <c r="B29" s="18" t="s">
        <v>343</v>
      </c>
      <c r="C29" s="2"/>
      <c r="D29" s="3"/>
      <c r="E29" s="18" t="s">
        <v>344</v>
      </c>
      <c r="F29" s="2"/>
      <c r="G29" s="2"/>
      <c r="H29" s="2"/>
      <c r="I29" s="3"/>
      <c r="J29" s="18" t="s">
        <v>316</v>
      </c>
      <c r="K29" s="2"/>
      <c r="L29" s="2"/>
      <c r="M29" s="2"/>
      <c r="N29" s="2"/>
      <c r="O29" s="2"/>
      <c r="P29" s="3"/>
      <c r="Q29" s="18" t="s">
        <v>345</v>
      </c>
      <c r="R29" s="2"/>
      <c r="S29" s="2"/>
      <c r="T29" s="2"/>
      <c r="U29" s="2"/>
      <c r="V29" s="2"/>
      <c r="W29" s="3"/>
      <c r="X29" s="18" t="s">
        <v>346</v>
      </c>
      <c r="Y29" s="2"/>
      <c r="Z29" s="2"/>
      <c r="AA29" s="2"/>
      <c r="AB29" s="2"/>
      <c r="AC29" s="2"/>
      <c r="AD29" s="3"/>
      <c r="AE29" s="19" t="s">
        <v>217</v>
      </c>
      <c r="AF29" s="3"/>
      <c r="AG29" s="20" t="s">
        <v>67</v>
      </c>
      <c r="AH29" s="2"/>
      <c r="AI29" s="3"/>
      <c r="AJ29" s="19"/>
      <c r="AK29" s="2"/>
      <c r="AL29" s="3"/>
      <c r="AM29" s="20" t="s">
        <v>274</v>
      </c>
      <c r="AN29" s="2"/>
      <c r="AO29" s="3"/>
      <c r="AP29" s="21">
        <v>46192</v>
      </c>
      <c r="AQ29" s="2"/>
      <c r="AR29" s="3"/>
      <c r="AS29" s="19"/>
      <c r="AT29" s="2"/>
      <c r="AU29" s="3"/>
      <c r="AV29" s="19" t="s">
        <v>67</v>
      </c>
      <c r="AW29" s="2"/>
      <c r="AX29" s="3"/>
      <c r="AY29" s="19"/>
      <c r="AZ29" s="2"/>
      <c r="BA29" s="3"/>
      <c r="BB29" s="19" t="s">
        <v>275</v>
      </c>
      <c r="BC29" s="2"/>
      <c r="BD29" s="3"/>
      <c r="BE29" s="21">
        <v>46245</v>
      </c>
      <c r="BF29" s="2"/>
      <c r="BG29" s="3"/>
      <c r="BH29" s="19"/>
      <c r="BI29" s="2"/>
      <c r="BJ29" s="3"/>
      <c r="BK29" s="18"/>
      <c r="BL29" s="2"/>
      <c r="BM29" s="2"/>
      <c r="BN29" s="2"/>
      <c r="BO29" s="2"/>
      <c r="BP29" s="2"/>
      <c r="BQ29" s="3"/>
    </row>
    <row r="30" ht="121.5" customHeight="1" spans="1:69">
      <c r="A30" s="17">
        <v>16</v>
      </c>
      <c r="B30" s="18" t="s">
        <v>347</v>
      </c>
      <c r="C30" s="2"/>
      <c r="D30" s="3"/>
      <c r="E30" s="18" t="s">
        <v>348</v>
      </c>
      <c r="F30" s="2"/>
      <c r="G30" s="2"/>
      <c r="H30" s="2"/>
      <c r="I30" s="3"/>
      <c r="J30" s="18"/>
      <c r="K30" s="2"/>
      <c r="L30" s="2"/>
      <c r="M30" s="2"/>
      <c r="N30" s="2"/>
      <c r="O30" s="2"/>
      <c r="P30" s="3"/>
      <c r="Q30" s="18"/>
      <c r="R30" s="2"/>
      <c r="S30" s="2"/>
      <c r="T30" s="2"/>
      <c r="U30" s="2"/>
      <c r="V30" s="2"/>
      <c r="W30" s="3"/>
      <c r="X30" s="18"/>
      <c r="Y30" s="2"/>
      <c r="Z30" s="2"/>
      <c r="AA30" s="2"/>
      <c r="AB30" s="2"/>
      <c r="AC30" s="2"/>
      <c r="AD30" s="3"/>
      <c r="AE30" s="19"/>
      <c r="AF30" s="3"/>
      <c r="AG30" s="20" t="s">
        <v>67</v>
      </c>
      <c r="AH30" s="2"/>
      <c r="AI30" s="3"/>
      <c r="AJ30" s="19"/>
      <c r="AK30" s="2"/>
      <c r="AL30" s="3"/>
      <c r="AM30" s="20" t="s">
        <v>274</v>
      </c>
      <c r="AN30" s="2"/>
      <c r="AO30" s="3"/>
      <c r="AP30" s="21">
        <v>46192</v>
      </c>
      <c r="AQ30" s="2"/>
      <c r="AR30" s="3"/>
      <c r="AS30" s="19"/>
      <c r="AT30" s="2"/>
      <c r="AU30" s="3"/>
      <c r="AV30" s="19" t="s">
        <v>67</v>
      </c>
      <c r="AW30" s="2"/>
      <c r="AX30" s="3"/>
      <c r="AY30" s="19"/>
      <c r="AZ30" s="2"/>
      <c r="BA30" s="3"/>
      <c r="BB30" s="19" t="s">
        <v>275</v>
      </c>
      <c r="BC30" s="2"/>
      <c r="BD30" s="3"/>
      <c r="BE30" s="21">
        <v>46245</v>
      </c>
      <c r="BF30" s="2"/>
      <c r="BG30" s="3"/>
      <c r="BH30" s="19"/>
      <c r="BI30" s="2"/>
      <c r="BJ30" s="3"/>
      <c r="BK30" s="18"/>
      <c r="BL30" s="2"/>
      <c r="BM30" s="2"/>
      <c r="BN30" s="2"/>
      <c r="BO30" s="2"/>
      <c r="BP30" s="2"/>
      <c r="BQ30" s="3"/>
    </row>
    <row r="31" ht="384" customHeight="1" spans="1:69">
      <c r="A31" s="17">
        <v>17</v>
      </c>
      <c r="B31" s="18" t="s">
        <v>349</v>
      </c>
      <c r="C31" s="2"/>
      <c r="D31" s="3"/>
      <c r="E31" s="18" t="s">
        <v>350</v>
      </c>
      <c r="F31" s="2"/>
      <c r="G31" s="2"/>
      <c r="H31" s="2"/>
      <c r="I31" s="3"/>
      <c r="J31" s="18" t="s">
        <v>316</v>
      </c>
      <c r="K31" s="2"/>
      <c r="L31" s="2"/>
      <c r="M31" s="2"/>
      <c r="N31" s="2"/>
      <c r="O31" s="2"/>
      <c r="P31" s="3"/>
      <c r="Q31" s="18" t="s">
        <v>351</v>
      </c>
      <c r="R31" s="2"/>
      <c r="S31" s="2"/>
      <c r="T31" s="2"/>
      <c r="U31" s="2"/>
      <c r="V31" s="2"/>
      <c r="W31" s="3"/>
      <c r="X31" s="18" t="s">
        <v>352</v>
      </c>
      <c r="Y31" s="2"/>
      <c r="Z31" s="2"/>
      <c r="AA31" s="2"/>
      <c r="AB31" s="2"/>
      <c r="AC31" s="2"/>
      <c r="AD31" s="3"/>
      <c r="AE31" s="19" t="s">
        <v>217</v>
      </c>
      <c r="AF31" s="3"/>
      <c r="AG31" s="20" t="s">
        <v>67</v>
      </c>
      <c r="AH31" s="2"/>
      <c r="AI31" s="3"/>
      <c r="AJ31" s="19"/>
      <c r="AK31" s="2"/>
      <c r="AL31" s="3"/>
      <c r="AM31" s="20" t="s">
        <v>274</v>
      </c>
      <c r="AN31" s="2"/>
      <c r="AO31" s="3"/>
      <c r="AP31" s="21">
        <v>46192</v>
      </c>
      <c r="AQ31" s="2"/>
      <c r="AR31" s="3"/>
      <c r="AS31" s="19"/>
      <c r="AT31" s="2"/>
      <c r="AU31" s="3"/>
      <c r="AV31" s="19" t="s">
        <v>67</v>
      </c>
      <c r="AW31" s="2"/>
      <c r="AX31" s="3"/>
      <c r="AY31" s="19"/>
      <c r="AZ31" s="2"/>
      <c r="BA31" s="3"/>
      <c r="BB31" s="19" t="s">
        <v>275</v>
      </c>
      <c r="BC31" s="2"/>
      <c r="BD31" s="3"/>
      <c r="BE31" s="21">
        <v>46245</v>
      </c>
      <c r="BF31" s="2"/>
      <c r="BG31" s="3"/>
      <c r="BH31" s="19"/>
      <c r="BI31" s="2"/>
      <c r="BJ31" s="3"/>
      <c r="BK31" s="18"/>
      <c r="BL31" s="2"/>
      <c r="BM31" s="2"/>
      <c r="BN31" s="2"/>
      <c r="BO31" s="2"/>
      <c r="BP31" s="2"/>
      <c r="BQ31" s="3"/>
    </row>
    <row r="32" ht="384" customHeight="1" spans="1:69">
      <c r="A32" s="17">
        <v>18</v>
      </c>
      <c r="B32" s="18" t="s">
        <v>353</v>
      </c>
      <c r="C32" s="2"/>
      <c r="D32" s="3"/>
      <c r="E32" s="18" t="s">
        <v>354</v>
      </c>
      <c r="F32" s="2"/>
      <c r="G32" s="2"/>
      <c r="H32" s="2"/>
      <c r="I32" s="3"/>
      <c r="J32" s="18" t="s">
        <v>316</v>
      </c>
      <c r="K32" s="2"/>
      <c r="L32" s="2"/>
      <c r="M32" s="2"/>
      <c r="N32" s="2"/>
      <c r="O32" s="2"/>
      <c r="P32" s="3"/>
      <c r="Q32" s="18" t="s">
        <v>355</v>
      </c>
      <c r="R32" s="2"/>
      <c r="S32" s="2"/>
      <c r="T32" s="2"/>
      <c r="U32" s="2"/>
      <c r="V32" s="2"/>
      <c r="W32" s="3"/>
      <c r="X32" s="18" t="s">
        <v>356</v>
      </c>
      <c r="Y32" s="2"/>
      <c r="Z32" s="2"/>
      <c r="AA32" s="2"/>
      <c r="AB32" s="2"/>
      <c r="AC32" s="2"/>
      <c r="AD32" s="3"/>
      <c r="AE32" s="19" t="s">
        <v>217</v>
      </c>
      <c r="AF32" s="3"/>
      <c r="AG32" s="20" t="s">
        <v>67</v>
      </c>
      <c r="AH32" s="2"/>
      <c r="AI32" s="3"/>
      <c r="AJ32" s="19"/>
      <c r="AK32" s="2"/>
      <c r="AL32" s="3"/>
      <c r="AM32" s="20" t="s">
        <v>274</v>
      </c>
      <c r="AN32" s="2"/>
      <c r="AO32" s="3"/>
      <c r="AP32" s="21">
        <v>46192</v>
      </c>
      <c r="AQ32" s="2"/>
      <c r="AR32" s="3"/>
      <c r="AS32" s="19"/>
      <c r="AT32" s="2"/>
      <c r="AU32" s="3"/>
      <c r="AV32" s="19" t="s">
        <v>67</v>
      </c>
      <c r="AW32" s="2"/>
      <c r="AX32" s="3"/>
      <c r="AY32" s="19"/>
      <c r="AZ32" s="2"/>
      <c r="BA32" s="3"/>
      <c r="BB32" s="19" t="s">
        <v>275</v>
      </c>
      <c r="BC32" s="2"/>
      <c r="BD32" s="3"/>
      <c r="BE32" s="21">
        <v>46245</v>
      </c>
      <c r="BF32" s="2"/>
      <c r="BG32" s="3"/>
      <c r="BH32" s="19"/>
      <c r="BI32" s="2"/>
      <c r="BJ32" s="3"/>
      <c r="BK32" s="18"/>
      <c r="BL32" s="2"/>
      <c r="BM32" s="2"/>
      <c r="BN32" s="2"/>
      <c r="BO32" s="2"/>
      <c r="BP32" s="2"/>
      <c r="BQ32" s="3"/>
    </row>
    <row r="33" ht="336" customHeight="1" spans="1:69">
      <c r="A33" s="17">
        <v>19</v>
      </c>
      <c r="B33" s="18" t="s">
        <v>357</v>
      </c>
      <c r="C33" s="2"/>
      <c r="D33" s="3"/>
      <c r="E33" s="18" t="s">
        <v>358</v>
      </c>
      <c r="F33" s="2"/>
      <c r="G33" s="2"/>
      <c r="H33" s="2"/>
      <c r="I33" s="3"/>
      <c r="J33" s="18" t="s">
        <v>316</v>
      </c>
      <c r="K33" s="2"/>
      <c r="L33" s="2"/>
      <c r="M33" s="2"/>
      <c r="N33" s="2"/>
      <c r="O33" s="2"/>
      <c r="P33" s="3"/>
      <c r="Q33" s="18" t="s">
        <v>359</v>
      </c>
      <c r="R33" s="2"/>
      <c r="S33" s="2"/>
      <c r="T33" s="2"/>
      <c r="U33" s="2"/>
      <c r="V33" s="2"/>
      <c r="W33" s="3"/>
      <c r="X33" s="18" t="s">
        <v>360</v>
      </c>
      <c r="Y33" s="2"/>
      <c r="Z33" s="2"/>
      <c r="AA33" s="2"/>
      <c r="AB33" s="2"/>
      <c r="AC33" s="2"/>
      <c r="AD33" s="3"/>
      <c r="AE33" s="19" t="s">
        <v>217</v>
      </c>
      <c r="AF33" s="3"/>
      <c r="AG33" s="20" t="s">
        <v>67</v>
      </c>
      <c r="AH33" s="2"/>
      <c r="AI33" s="3"/>
      <c r="AJ33" s="19"/>
      <c r="AK33" s="2"/>
      <c r="AL33" s="3"/>
      <c r="AM33" s="20" t="s">
        <v>274</v>
      </c>
      <c r="AN33" s="2"/>
      <c r="AO33" s="3"/>
      <c r="AP33" s="21">
        <v>46192</v>
      </c>
      <c r="AQ33" s="2"/>
      <c r="AR33" s="3"/>
      <c r="AS33" s="19"/>
      <c r="AT33" s="2"/>
      <c r="AU33" s="3"/>
      <c r="AV33" s="19" t="s">
        <v>67</v>
      </c>
      <c r="AW33" s="2"/>
      <c r="AX33" s="3"/>
      <c r="AY33" s="19"/>
      <c r="AZ33" s="2"/>
      <c r="BA33" s="3"/>
      <c r="BB33" s="19" t="s">
        <v>275</v>
      </c>
      <c r="BC33" s="2"/>
      <c r="BD33" s="3"/>
      <c r="BE33" s="21">
        <v>46245</v>
      </c>
      <c r="BF33" s="2"/>
      <c r="BG33" s="3"/>
      <c r="BH33" s="19"/>
      <c r="BI33" s="2"/>
      <c r="BJ33" s="3"/>
      <c r="BK33" s="18"/>
      <c r="BL33" s="2"/>
      <c r="BM33" s="2"/>
      <c r="BN33" s="2"/>
      <c r="BO33" s="2"/>
      <c r="BP33" s="2"/>
      <c r="BQ33" s="3"/>
    </row>
    <row r="34" ht="409.5" customHeight="1" spans="1:69">
      <c r="A34" s="17">
        <v>20</v>
      </c>
      <c r="B34" s="18" t="s">
        <v>361</v>
      </c>
      <c r="C34" s="2"/>
      <c r="D34" s="3"/>
      <c r="E34" s="18" t="s">
        <v>362</v>
      </c>
      <c r="F34" s="2"/>
      <c r="G34" s="2"/>
      <c r="H34" s="2"/>
      <c r="I34" s="3"/>
      <c r="J34" s="18" t="s">
        <v>363</v>
      </c>
      <c r="K34" s="2"/>
      <c r="L34" s="2"/>
      <c r="M34" s="2"/>
      <c r="N34" s="2"/>
      <c r="O34" s="2"/>
      <c r="P34" s="3"/>
      <c r="Q34" s="18" t="s">
        <v>364</v>
      </c>
      <c r="R34" s="2"/>
      <c r="S34" s="2"/>
      <c r="T34" s="2"/>
      <c r="U34" s="2"/>
      <c r="V34" s="2"/>
      <c r="W34" s="3"/>
      <c r="X34" s="18" t="s">
        <v>365</v>
      </c>
      <c r="Y34" s="2"/>
      <c r="Z34" s="2"/>
      <c r="AA34" s="2"/>
      <c r="AB34" s="2"/>
      <c r="AC34" s="2"/>
      <c r="AD34" s="3"/>
      <c r="AE34" s="19" t="s">
        <v>217</v>
      </c>
      <c r="AF34" s="3"/>
      <c r="AG34" s="20" t="s">
        <v>67</v>
      </c>
      <c r="AH34" s="2"/>
      <c r="AI34" s="3"/>
      <c r="AJ34" s="19"/>
      <c r="AK34" s="2"/>
      <c r="AL34" s="3"/>
      <c r="AM34" s="20" t="s">
        <v>274</v>
      </c>
      <c r="AN34" s="2"/>
      <c r="AO34" s="3"/>
      <c r="AP34" s="21">
        <v>46192</v>
      </c>
      <c r="AQ34" s="2"/>
      <c r="AR34" s="3"/>
      <c r="AS34" s="19"/>
      <c r="AT34" s="2"/>
      <c r="AU34" s="3"/>
      <c r="AV34" s="19" t="s">
        <v>67</v>
      </c>
      <c r="AW34" s="2"/>
      <c r="AX34" s="3"/>
      <c r="AY34" s="19"/>
      <c r="AZ34" s="2"/>
      <c r="BA34" s="3"/>
      <c r="BB34" s="19" t="s">
        <v>275</v>
      </c>
      <c r="BC34" s="2"/>
      <c r="BD34" s="3"/>
      <c r="BE34" s="21">
        <v>46245</v>
      </c>
      <c r="BF34" s="2"/>
      <c r="BG34" s="3"/>
      <c r="BH34" s="19"/>
      <c r="BI34" s="2"/>
      <c r="BJ34" s="3"/>
      <c r="BK34" s="18"/>
      <c r="BL34" s="2"/>
      <c r="BM34" s="2"/>
      <c r="BN34" s="2"/>
      <c r="BO34" s="2"/>
      <c r="BP34" s="2"/>
      <c r="BQ34" s="3"/>
    </row>
    <row r="35" ht="409.5" customHeight="1" spans="1:69">
      <c r="A35" s="17">
        <v>21</v>
      </c>
      <c r="B35" s="18" t="s">
        <v>366</v>
      </c>
      <c r="C35" s="2"/>
      <c r="D35" s="3"/>
      <c r="E35" s="18" t="s">
        <v>367</v>
      </c>
      <c r="F35" s="2"/>
      <c r="G35" s="2"/>
      <c r="H35" s="2"/>
      <c r="I35" s="3"/>
      <c r="J35" s="18" t="s">
        <v>368</v>
      </c>
      <c r="K35" s="2"/>
      <c r="L35" s="2"/>
      <c r="M35" s="2"/>
      <c r="N35" s="2"/>
      <c r="O35" s="2"/>
      <c r="P35" s="3"/>
      <c r="Q35" s="18" t="s">
        <v>369</v>
      </c>
      <c r="R35" s="2"/>
      <c r="S35" s="2"/>
      <c r="T35" s="2"/>
      <c r="U35" s="2"/>
      <c r="V35" s="2"/>
      <c r="W35" s="3"/>
      <c r="X35" s="18" t="s">
        <v>370</v>
      </c>
      <c r="Y35" s="2"/>
      <c r="Z35" s="2"/>
      <c r="AA35" s="2"/>
      <c r="AB35" s="2"/>
      <c r="AC35" s="2"/>
      <c r="AD35" s="3"/>
      <c r="AE35" s="19" t="s">
        <v>217</v>
      </c>
      <c r="AF35" s="3"/>
      <c r="AG35" s="20" t="s">
        <v>67</v>
      </c>
      <c r="AH35" s="2"/>
      <c r="AI35" s="3"/>
      <c r="AJ35" s="19"/>
      <c r="AK35" s="2"/>
      <c r="AL35" s="3"/>
      <c r="AM35" s="20" t="s">
        <v>274</v>
      </c>
      <c r="AN35" s="2"/>
      <c r="AO35" s="3"/>
      <c r="AP35" s="21">
        <v>46192</v>
      </c>
      <c r="AQ35" s="2"/>
      <c r="AR35" s="3"/>
      <c r="AS35" s="19"/>
      <c r="AT35" s="2"/>
      <c r="AU35" s="3"/>
      <c r="AV35" s="19" t="s">
        <v>67</v>
      </c>
      <c r="AW35" s="2"/>
      <c r="AX35" s="3"/>
      <c r="AY35" s="19"/>
      <c r="AZ35" s="2"/>
      <c r="BA35" s="3"/>
      <c r="BB35" s="19" t="s">
        <v>275</v>
      </c>
      <c r="BC35" s="2"/>
      <c r="BD35" s="3"/>
      <c r="BE35" s="21">
        <v>46245</v>
      </c>
      <c r="BF35" s="2"/>
      <c r="BG35" s="3"/>
      <c r="BH35" s="19"/>
      <c r="BI35" s="2"/>
      <c r="BJ35" s="3"/>
      <c r="BK35" s="18"/>
      <c r="BL35" s="2"/>
      <c r="BM35" s="2"/>
      <c r="BN35" s="2"/>
      <c r="BO35" s="2"/>
      <c r="BP35" s="2"/>
      <c r="BQ35" s="3"/>
    </row>
    <row r="36" ht="384" customHeight="1" spans="1:69">
      <c r="A36" s="17">
        <v>22</v>
      </c>
      <c r="B36" s="18" t="s">
        <v>371</v>
      </c>
      <c r="C36" s="2"/>
      <c r="D36" s="3"/>
      <c r="E36" s="18" t="s">
        <v>372</v>
      </c>
      <c r="F36" s="2"/>
      <c r="G36" s="2"/>
      <c r="H36" s="2"/>
      <c r="I36" s="3"/>
      <c r="J36" s="18" t="s">
        <v>373</v>
      </c>
      <c r="K36" s="2"/>
      <c r="L36" s="2"/>
      <c r="M36" s="2"/>
      <c r="N36" s="2"/>
      <c r="O36" s="2"/>
      <c r="P36" s="3"/>
      <c r="Q36" s="18" t="s">
        <v>374</v>
      </c>
      <c r="R36" s="2"/>
      <c r="S36" s="2"/>
      <c r="T36" s="2"/>
      <c r="U36" s="2"/>
      <c r="V36" s="2"/>
      <c r="W36" s="3"/>
      <c r="X36" s="18" t="s">
        <v>375</v>
      </c>
      <c r="Y36" s="2"/>
      <c r="Z36" s="2"/>
      <c r="AA36" s="2"/>
      <c r="AB36" s="2"/>
      <c r="AC36" s="2"/>
      <c r="AD36" s="3"/>
      <c r="AE36" s="19" t="s">
        <v>217</v>
      </c>
      <c r="AF36" s="3"/>
      <c r="AG36" s="20" t="s">
        <v>67</v>
      </c>
      <c r="AH36" s="2"/>
      <c r="AI36" s="3"/>
      <c r="AJ36" s="19"/>
      <c r="AK36" s="2"/>
      <c r="AL36" s="3"/>
      <c r="AM36" s="20" t="s">
        <v>274</v>
      </c>
      <c r="AN36" s="2"/>
      <c r="AO36" s="3"/>
      <c r="AP36" s="21">
        <v>46192</v>
      </c>
      <c r="AQ36" s="2"/>
      <c r="AR36" s="3"/>
      <c r="AS36" s="19"/>
      <c r="AT36" s="2"/>
      <c r="AU36" s="3"/>
      <c r="AV36" s="20" t="s">
        <v>67</v>
      </c>
      <c r="AW36" s="2"/>
      <c r="AX36" s="3"/>
      <c r="AY36" s="19"/>
      <c r="AZ36" s="2"/>
      <c r="BA36" s="3"/>
      <c r="BB36" s="19" t="s">
        <v>275</v>
      </c>
      <c r="BC36" s="2"/>
      <c r="BD36" s="3"/>
      <c r="BE36" s="21">
        <v>46245</v>
      </c>
      <c r="BF36" s="2"/>
      <c r="BG36" s="3"/>
      <c r="BH36" s="19"/>
      <c r="BI36" s="2"/>
      <c r="BJ36" s="3"/>
      <c r="BK36" s="18"/>
      <c r="BL36" s="2"/>
      <c r="BM36" s="2"/>
      <c r="BN36" s="2"/>
      <c r="BO36" s="2"/>
      <c r="BP36" s="2"/>
      <c r="BQ36" s="3"/>
    </row>
    <row r="37" ht="399.75" customHeight="1" spans="1:69">
      <c r="A37" s="17">
        <v>23</v>
      </c>
      <c r="B37" s="18" t="s">
        <v>376</v>
      </c>
      <c r="C37" s="2"/>
      <c r="D37" s="3"/>
      <c r="E37" s="18" t="s">
        <v>377</v>
      </c>
      <c r="F37" s="2"/>
      <c r="G37" s="2"/>
      <c r="H37" s="2"/>
      <c r="I37" s="3"/>
      <c r="J37" s="18" t="s">
        <v>316</v>
      </c>
      <c r="K37" s="2"/>
      <c r="L37" s="2"/>
      <c r="M37" s="2"/>
      <c r="N37" s="2"/>
      <c r="O37" s="2"/>
      <c r="P37" s="3"/>
      <c r="Q37" s="18" t="s">
        <v>378</v>
      </c>
      <c r="R37" s="2"/>
      <c r="S37" s="2"/>
      <c r="T37" s="2"/>
      <c r="U37" s="2"/>
      <c r="V37" s="2"/>
      <c r="W37" s="3"/>
      <c r="X37" s="18" t="s">
        <v>379</v>
      </c>
      <c r="Y37" s="2"/>
      <c r="Z37" s="2"/>
      <c r="AA37" s="2"/>
      <c r="AB37" s="2"/>
      <c r="AC37" s="2"/>
      <c r="AD37" s="3"/>
      <c r="AE37" s="19" t="s">
        <v>217</v>
      </c>
      <c r="AF37" s="3"/>
      <c r="AG37" s="19" t="s">
        <v>70</v>
      </c>
      <c r="AH37" s="2"/>
      <c r="AI37" s="3"/>
      <c r="AJ37" s="19"/>
      <c r="AK37" s="2"/>
      <c r="AL37" s="3"/>
      <c r="AM37" s="20" t="s">
        <v>274</v>
      </c>
      <c r="AN37" s="2"/>
      <c r="AO37" s="3"/>
      <c r="AP37" s="21">
        <v>46192</v>
      </c>
      <c r="AQ37" s="2"/>
      <c r="AR37" s="3"/>
      <c r="AS37" s="19"/>
      <c r="AT37" s="2"/>
      <c r="AU37" s="3"/>
      <c r="AV37" s="19" t="s">
        <v>67</v>
      </c>
      <c r="AW37" s="2"/>
      <c r="AX37" s="3"/>
      <c r="AY37" s="19"/>
      <c r="AZ37" s="2"/>
      <c r="BA37" s="3"/>
      <c r="BB37" s="19" t="s">
        <v>275</v>
      </c>
      <c r="BC37" s="2"/>
      <c r="BD37" s="3"/>
      <c r="BE37" s="21">
        <v>46245</v>
      </c>
      <c r="BF37" s="2"/>
      <c r="BG37" s="3"/>
      <c r="BH37" s="19"/>
      <c r="BI37" s="2"/>
      <c r="BJ37" s="3"/>
      <c r="BK37" s="18" t="s">
        <v>302</v>
      </c>
      <c r="BL37" s="2"/>
      <c r="BM37" s="2"/>
      <c r="BN37" s="2"/>
      <c r="BO37" s="2"/>
      <c r="BP37" s="2"/>
      <c r="BQ37" s="3"/>
    </row>
    <row r="38" ht="22.5" customHeight="1" spans="1:69">
      <c r="A38" s="16" t="s">
        <v>380</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3"/>
    </row>
    <row r="39" ht="409.5" customHeight="1" spans="1:69">
      <c r="A39" s="17">
        <v>24</v>
      </c>
      <c r="B39" s="18" t="s">
        <v>381</v>
      </c>
      <c r="C39" s="2"/>
      <c r="D39" s="3"/>
      <c r="E39" s="18" t="s">
        <v>382</v>
      </c>
      <c r="F39" s="2"/>
      <c r="G39" s="2"/>
      <c r="H39" s="2"/>
      <c r="I39" s="3"/>
      <c r="J39" s="18" t="s">
        <v>383</v>
      </c>
      <c r="K39" s="2"/>
      <c r="L39" s="2"/>
      <c r="M39" s="2"/>
      <c r="N39" s="2"/>
      <c r="O39" s="2"/>
      <c r="P39" s="3"/>
      <c r="Q39" s="18" t="s">
        <v>384</v>
      </c>
      <c r="R39" s="2"/>
      <c r="S39" s="2"/>
      <c r="T39" s="2"/>
      <c r="U39" s="2"/>
      <c r="V39" s="2"/>
      <c r="W39" s="3"/>
      <c r="X39" s="18" t="s">
        <v>385</v>
      </c>
      <c r="Y39" s="2"/>
      <c r="Z39" s="2"/>
      <c r="AA39" s="2"/>
      <c r="AB39" s="2"/>
      <c r="AC39" s="2"/>
      <c r="AD39" s="3"/>
      <c r="AE39" s="19" t="s">
        <v>291</v>
      </c>
      <c r="AF39" s="3"/>
      <c r="AG39" s="20" t="s">
        <v>67</v>
      </c>
      <c r="AH39" s="2"/>
      <c r="AI39" s="3"/>
      <c r="AJ39" s="19"/>
      <c r="AK39" s="2"/>
      <c r="AL39" s="3"/>
      <c r="AM39" s="20" t="s">
        <v>274</v>
      </c>
      <c r="AN39" s="2"/>
      <c r="AO39" s="3"/>
      <c r="AP39" s="21">
        <v>46192</v>
      </c>
      <c r="AQ39" s="2"/>
      <c r="AR39" s="3"/>
      <c r="AS39" s="19"/>
      <c r="AT39" s="2"/>
      <c r="AU39" s="3"/>
      <c r="AV39" s="19" t="s">
        <v>67</v>
      </c>
      <c r="AW39" s="2"/>
      <c r="AX39" s="3"/>
      <c r="AY39" s="19"/>
      <c r="AZ39" s="2"/>
      <c r="BA39" s="3"/>
      <c r="BB39" s="19" t="s">
        <v>275</v>
      </c>
      <c r="BC39" s="2"/>
      <c r="BD39" s="3"/>
      <c r="BE39" s="21">
        <v>46245</v>
      </c>
      <c r="BF39" s="2"/>
      <c r="BG39" s="3"/>
      <c r="BH39" s="19"/>
      <c r="BI39" s="2"/>
      <c r="BJ39" s="3"/>
      <c r="BK39" s="18"/>
      <c r="BL39" s="2"/>
      <c r="BM39" s="2"/>
      <c r="BN39" s="2"/>
      <c r="BO39" s="2"/>
      <c r="BP39" s="2"/>
      <c r="BQ39" s="3"/>
    </row>
    <row r="40" ht="367.5" customHeight="1" spans="1:69">
      <c r="A40" s="17">
        <v>25</v>
      </c>
      <c r="B40" s="18" t="s">
        <v>386</v>
      </c>
      <c r="C40" s="2"/>
      <c r="D40" s="3"/>
      <c r="E40" s="18" t="s">
        <v>387</v>
      </c>
      <c r="F40" s="2"/>
      <c r="G40" s="2"/>
      <c r="H40" s="2"/>
      <c r="I40" s="3"/>
      <c r="J40" s="18" t="s">
        <v>388</v>
      </c>
      <c r="K40" s="2"/>
      <c r="L40" s="2"/>
      <c r="M40" s="2"/>
      <c r="N40" s="2"/>
      <c r="O40" s="2"/>
      <c r="P40" s="3"/>
      <c r="Q40" s="18" t="s">
        <v>389</v>
      </c>
      <c r="R40" s="2"/>
      <c r="S40" s="2"/>
      <c r="T40" s="2"/>
      <c r="U40" s="2"/>
      <c r="V40" s="2"/>
      <c r="W40" s="3"/>
      <c r="X40" s="18" t="s">
        <v>390</v>
      </c>
      <c r="Y40" s="2"/>
      <c r="Z40" s="2"/>
      <c r="AA40" s="2"/>
      <c r="AB40" s="2"/>
      <c r="AC40" s="2"/>
      <c r="AD40" s="3"/>
      <c r="AE40" s="19" t="s">
        <v>291</v>
      </c>
      <c r="AF40" s="3"/>
      <c r="AG40" s="20" t="s">
        <v>67</v>
      </c>
      <c r="AH40" s="2"/>
      <c r="AI40" s="3"/>
      <c r="AJ40" s="19"/>
      <c r="AK40" s="2"/>
      <c r="AL40" s="3"/>
      <c r="AM40" s="20" t="s">
        <v>274</v>
      </c>
      <c r="AN40" s="2"/>
      <c r="AO40" s="3"/>
      <c r="AP40" s="21">
        <v>46192</v>
      </c>
      <c r="AQ40" s="2"/>
      <c r="AR40" s="3"/>
      <c r="AS40" s="19"/>
      <c r="AT40" s="2"/>
      <c r="AU40" s="3"/>
      <c r="AV40" s="19" t="s">
        <v>70</v>
      </c>
      <c r="AW40" s="2"/>
      <c r="AX40" s="3"/>
      <c r="AY40" s="19"/>
      <c r="AZ40" s="2"/>
      <c r="BA40" s="3"/>
      <c r="BB40" s="19" t="s">
        <v>275</v>
      </c>
      <c r="BC40" s="2"/>
      <c r="BD40" s="3"/>
      <c r="BE40" s="21">
        <v>46245</v>
      </c>
      <c r="BF40" s="2"/>
      <c r="BG40" s="3"/>
      <c r="BH40" s="19"/>
      <c r="BI40" s="2"/>
      <c r="BJ40" s="3"/>
      <c r="BK40" s="18" t="s">
        <v>391</v>
      </c>
      <c r="BL40" s="2"/>
      <c r="BM40" s="2"/>
      <c r="BN40" s="2"/>
      <c r="BO40" s="2"/>
      <c r="BP40" s="2"/>
      <c r="BQ40" s="3"/>
    </row>
    <row r="41" ht="303.75" customHeight="1" spans="1:69">
      <c r="A41" s="17">
        <v>26</v>
      </c>
      <c r="B41" s="18" t="s">
        <v>392</v>
      </c>
      <c r="C41" s="2"/>
      <c r="D41" s="3"/>
      <c r="E41" s="18" t="s">
        <v>393</v>
      </c>
      <c r="F41" s="2"/>
      <c r="G41" s="2"/>
      <c r="H41" s="2"/>
      <c r="I41" s="3"/>
      <c r="J41" s="18" t="s">
        <v>394</v>
      </c>
      <c r="K41" s="2"/>
      <c r="L41" s="2"/>
      <c r="M41" s="2"/>
      <c r="N41" s="2"/>
      <c r="O41" s="2"/>
      <c r="P41" s="3"/>
      <c r="Q41" s="18" t="s">
        <v>395</v>
      </c>
      <c r="R41" s="2"/>
      <c r="S41" s="2"/>
      <c r="T41" s="2"/>
      <c r="U41" s="2"/>
      <c r="V41" s="2"/>
      <c r="W41" s="3"/>
      <c r="X41" s="18" t="s">
        <v>396</v>
      </c>
      <c r="Y41" s="2"/>
      <c r="Z41" s="2"/>
      <c r="AA41" s="2"/>
      <c r="AB41" s="2"/>
      <c r="AC41" s="2"/>
      <c r="AD41" s="3"/>
      <c r="AE41" s="19" t="s">
        <v>291</v>
      </c>
      <c r="AF41" s="3"/>
      <c r="AG41" s="20" t="s">
        <v>67</v>
      </c>
      <c r="AH41" s="2"/>
      <c r="AI41" s="3"/>
      <c r="AJ41" s="19"/>
      <c r="AK41" s="2"/>
      <c r="AL41" s="3"/>
      <c r="AM41" s="20" t="s">
        <v>274</v>
      </c>
      <c r="AN41" s="2"/>
      <c r="AO41" s="3"/>
      <c r="AP41" s="21">
        <v>46192</v>
      </c>
      <c r="AQ41" s="2"/>
      <c r="AR41" s="3"/>
      <c r="AS41" s="19"/>
      <c r="AT41" s="2"/>
      <c r="AU41" s="3"/>
      <c r="AV41" s="20" t="s">
        <v>67</v>
      </c>
      <c r="AW41" s="2"/>
      <c r="AX41" s="3"/>
      <c r="AY41" s="19"/>
      <c r="AZ41" s="2"/>
      <c r="BA41" s="3"/>
      <c r="BB41" s="19" t="s">
        <v>275</v>
      </c>
      <c r="BC41" s="2"/>
      <c r="BD41" s="3"/>
      <c r="BE41" s="21">
        <v>46245</v>
      </c>
      <c r="BF41" s="2"/>
      <c r="BG41" s="3"/>
      <c r="BH41" s="19"/>
      <c r="BI41" s="2"/>
      <c r="BJ41" s="3"/>
      <c r="BK41" s="18"/>
      <c r="BL41" s="2"/>
      <c r="BM41" s="2"/>
      <c r="BN41" s="2"/>
      <c r="BO41" s="2"/>
      <c r="BP41" s="2"/>
      <c r="BQ41" s="3"/>
    </row>
    <row r="42" ht="384" customHeight="1" spans="1:69">
      <c r="A42" s="17">
        <v>27</v>
      </c>
      <c r="B42" s="18" t="s">
        <v>397</v>
      </c>
      <c r="C42" s="2"/>
      <c r="D42" s="3"/>
      <c r="E42" s="18" t="s">
        <v>398</v>
      </c>
      <c r="F42" s="2"/>
      <c r="G42" s="2"/>
      <c r="H42" s="2"/>
      <c r="I42" s="3"/>
      <c r="J42" s="18" t="s">
        <v>316</v>
      </c>
      <c r="K42" s="2"/>
      <c r="L42" s="2"/>
      <c r="M42" s="2"/>
      <c r="N42" s="2"/>
      <c r="O42" s="2"/>
      <c r="P42" s="3"/>
      <c r="Q42" s="18" t="s">
        <v>399</v>
      </c>
      <c r="R42" s="2"/>
      <c r="S42" s="2"/>
      <c r="T42" s="2"/>
      <c r="U42" s="2"/>
      <c r="V42" s="2"/>
      <c r="W42" s="3"/>
      <c r="X42" s="18" t="s">
        <v>400</v>
      </c>
      <c r="Y42" s="2"/>
      <c r="Z42" s="2"/>
      <c r="AA42" s="2"/>
      <c r="AB42" s="2"/>
      <c r="AC42" s="2"/>
      <c r="AD42" s="3"/>
      <c r="AE42" s="19" t="s">
        <v>217</v>
      </c>
      <c r="AF42" s="3"/>
      <c r="AG42" s="20" t="s">
        <v>67</v>
      </c>
      <c r="AH42" s="2"/>
      <c r="AI42" s="3"/>
      <c r="AJ42" s="19"/>
      <c r="AK42" s="2"/>
      <c r="AL42" s="3"/>
      <c r="AM42" s="20" t="s">
        <v>274</v>
      </c>
      <c r="AN42" s="2"/>
      <c r="AO42" s="3"/>
      <c r="AP42" s="21">
        <v>46192</v>
      </c>
      <c r="AQ42" s="2"/>
      <c r="AR42" s="3"/>
      <c r="AS42" s="19"/>
      <c r="AT42" s="2"/>
      <c r="AU42" s="3"/>
      <c r="AV42" s="19" t="s">
        <v>67</v>
      </c>
      <c r="AW42" s="2"/>
      <c r="AX42" s="3"/>
      <c r="AY42" s="19"/>
      <c r="AZ42" s="2"/>
      <c r="BA42" s="3"/>
      <c r="BB42" s="19" t="s">
        <v>275</v>
      </c>
      <c r="BC42" s="2"/>
      <c r="BD42" s="3"/>
      <c r="BE42" s="21">
        <v>46245</v>
      </c>
      <c r="BF42" s="2"/>
      <c r="BG42" s="3"/>
      <c r="BH42" s="19"/>
      <c r="BI42" s="2"/>
      <c r="BJ42" s="3"/>
      <c r="BK42" s="18"/>
      <c r="BL42" s="2"/>
      <c r="BM42" s="2"/>
      <c r="BN42" s="2"/>
      <c r="BO42" s="2"/>
      <c r="BP42" s="2"/>
      <c r="BQ42" s="3"/>
    </row>
    <row r="43" ht="240" customHeight="1" spans="1:69">
      <c r="A43" s="17">
        <v>28</v>
      </c>
      <c r="B43" s="18" t="s">
        <v>401</v>
      </c>
      <c r="C43" s="2"/>
      <c r="D43" s="3"/>
      <c r="E43" s="18" t="s">
        <v>402</v>
      </c>
      <c r="F43" s="2"/>
      <c r="G43" s="2"/>
      <c r="H43" s="2"/>
      <c r="I43" s="3"/>
      <c r="J43" s="18" t="s">
        <v>403</v>
      </c>
      <c r="K43" s="2"/>
      <c r="L43" s="2"/>
      <c r="M43" s="2"/>
      <c r="N43" s="2"/>
      <c r="O43" s="2"/>
      <c r="P43" s="3"/>
      <c r="Q43" s="18" t="s">
        <v>404</v>
      </c>
      <c r="R43" s="2"/>
      <c r="S43" s="2"/>
      <c r="T43" s="2"/>
      <c r="U43" s="2"/>
      <c r="V43" s="2"/>
      <c r="W43" s="3"/>
      <c r="X43" s="18" t="s">
        <v>405</v>
      </c>
      <c r="Y43" s="2"/>
      <c r="Z43" s="2"/>
      <c r="AA43" s="2"/>
      <c r="AB43" s="2"/>
      <c r="AC43" s="2"/>
      <c r="AD43" s="3"/>
      <c r="AE43" s="19" t="s">
        <v>291</v>
      </c>
      <c r="AF43" s="3"/>
      <c r="AG43" s="20" t="s">
        <v>67</v>
      </c>
      <c r="AH43" s="2"/>
      <c r="AI43" s="3"/>
      <c r="AJ43" s="19"/>
      <c r="AK43" s="2"/>
      <c r="AL43" s="3"/>
      <c r="AM43" s="20" t="s">
        <v>274</v>
      </c>
      <c r="AN43" s="2"/>
      <c r="AO43" s="3"/>
      <c r="AP43" s="21">
        <v>46192</v>
      </c>
      <c r="AQ43" s="2"/>
      <c r="AR43" s="3"/>
      <c r="AS43" s="19"/>
      <c r="AT43" s="2"/>
      <c r="AU43" s="3"/>
      <c r="AV43" s="19" t="s">
        <v>67</v>
      </c>
      <c r="AW43" s="2"/>
      <c r="AX43" s="3"/>
      <c r="AY43" s="19"/>
      <c r="AZ43" s="2"/>
      <c r="BA43" s="3"/>
      <c r="BB43" s="19" t="s">
        <v>275</v>
      </c>
      <c r="BC43" s="2"/>
      <c r="BD43" s="3"/>
      <c r="BE43" s="21">
        <v>46245</v>
      </c>
      <c r="BF43" s="2"/>
      <c r="BG43" s="3"/>
      <c r="BH43" s="19"/>
      <c r="BI43" s="2"/>
      <c r="BJ43" s="3"/>
      <c r="BK43" s="18" t="s">
        <v>302</v>
      </c>
      <c r="BL43" s="2"/>
      <c r="BM43" s="2"/>
      <c r="BN43" s="2"/>
      <c r="BO43" s="2"/>
      <c r="BP43" s="2"/>
      <c r="BQ43" s="3"/>
    </row>
    <row r="44" ht="22.5" customHeight="1" spans="1:69">
      <c r="A44" s="16" t="s">
        <v>406</v>
      </c>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3"/>
    </row>
    <row r="45" ht="409.5" customHeight="1" spans="1:69">
      <c r="A45" s="17">
        <v>29</v>
      </c>
      <c r="B45" s="18" t="s">
        <v>407</v>
      </c>
      <c r="C45" s="2"/>
      <c r="D45" s="3"/>
      <c r="E45" s="18" t="s">
        <v>408</v>
      </c>
      <c r="F45" s="2"/>
      <c r="G45" s="2"/>
      <c r="H45" s="2"/>
      <c r="I45" s="3"/>
      <c r="J45" s="18" t="s">
        <v>409</v>
      </c>
      <c r="K45" s="2"/>
      <c r="L45" s="2"/>
      <c r="M45" s="2"/>
      <c r="N45" s="2"/>
      <c r="O45" s="2"/>
      <c r="P45" s="3"/>
      <c r="Q45" s="18" t="s">
        <v>410</v>
      </c>
      <c r="R45" s="2"/>
      <c r="S45" s="2"/>
      <c r="T45" s="2"/>
      <c r="U45" s="2"/>
      <c r="V45" s="2"/>
      <c r="W45" s="3"/>
      <c r="X45" s="18" t="s">
        <v>411</v>
      </c>
      <c r="Y45" s="2"/>
      <c r="Z45" s="2"/>
      <c r="AA45" s="2"/>
      <c r="AB45" s="2"/>
      <c r="AC45" s="2"/>
      <c r="AD45" s="3"/>
      <c r="AE45" s="19" t="s">
        <v>291</v>
      </c>
      <c r="AF45" s="3"/>
      <c r="AG45" s="20" t="s">
        <v>67</v>
      </c>
      <c r="AH45" s="2"/>
      <c r="AI45" s="3"/>
      <c r="AJ45" s="19"/>
      <c r="AK45" s="2"/>
      <c r="AL45" s="3"/>
      <c r="AM45" s="20" t="s">
        <v>274</v>
      </c>
      <c r="AN45" s="2"/>
      <c r="AO45" s="3"/>
      <c r="AP45" s="21">
        <v>46192</v>
      </c>
      <c r="AQ45" s="2"/>
      <c r="AR45" s="3"/>
      <c r="AS45" s="19"/>
      <c r="AT45" s="2"/>
      <c r="AU45" s="3"/>
      <c r="AV45" s="19" t="s">
        <v>67</v>
      </c>
      <c r="AW45" s="2"/>
      <c r="AX45" s="3"/>
      <c r="AY45" s="19"/>
      <c r="AZ45" s="2"/>
      <c r="BA45" s="3"/>
      <c r="BB45" s="19" t="s">
        <v>275</v>
      </c>
      <c r="BC45" s="2"/>
      <c r="BD45" s="3"/>
      <c r="BE45" s="21">
        <v>46245</v>
      </c>
      <c r="BF45" s="2"/>
      <c r="BG45" s="3"/>
      <c r="BH45" s="19"/>
      <c r="BI45" s="2"/>
      <c r="BJ45" s="3"/>
      <c r="BK45" s="18"/>
      <c r="BL45" s="2"/>
      <c r="BM45" s="2"/>
      <c r="BN45" s="2"/>
      <c r="BO45" s="2"/>
      <c r="BP45" s="2"/>
      <c r="BQ45" s="3"/>
    </row>
    <row r="46" ht="18.75" spans="1:69">
      <c r="A46" s="17">
        <v>30</v>
      </c>
      <c r="B46" s="18" t="s">
        <v>412</v>
      </c>
      <c r="C46" s="2"/>
      <c r="D46" s="3"/>
      <c r="E46" s="18" t="s">
        <v>413</v>
      </c>
      <c r="F46" s="2"/>
      <c r="G46" s="2"/>
      <c r="H46" s="2"/>
      <c r="I46" s="3"/>
      <c r="J46" s="18" t="s">
        <v>414</v>
      </c>
      <c r="K46" s="2"/>
      <c r="L46" s="2"/>
      <c r="M46" s="2"/>
      <c r="N46" s="2"/>
      <c r="O46" s="2"/>
      <c r="P46" s="3"/>
      <c r="Q46" s="18" t="s">
        <v>415</v>
      </c>
      <c r="R46" s="2"/>
      <c r="S46" s="2"/>
      <c r="T46" s="2"/>
      <c r="U46" s="2"/>
      <c r="V46" s="2"/>
      <c r="W46" s="3"/>
      <c r="X46" s="18" t="s">
        <v>416</v>
      </c>
      <c r="Y46" s="2"/>
      <c r="Z46" s="2"/>
      <c r="AA46" s="2"/>
      <c r="AB46" s="2"/>
      <c r="AC46" s="2"/>
      <c r="AD46" s="3"/>
      <c r="AE46" s="19" t="s">
        <v>291</v>
      </c>
      <c r="AF46" s="3"/>
      <c r="AG46" s="20" t="s">
        <v>67</v>
      </c>
      <c r="AH46" s="2"/>
      <c r="AI46" s="3"/>
      <c r="AJ46" s="19"/>
      <c r="AK46" s="2"/>
      <c r="AL46" s="3"/>
      <c r="AM46" s="20" t="s">
        <v>274</v>
      </c>
      <c r="AN46" s="2"/>
      <c r="AO46" s="3"/>
      <c r="AP46" s="21">
        <v>46192</v>
      </c>
      <c r="AQ46" s="2"/>
      <c r="AR46" s="3"/>
      <c r="AS46" s="19"/>
      <c r="AT46" s="2"/>
      <c r="AU46" s="3"/>
      <c r="AV46" s="19" t="s">
        <v>67</v>
      </c>
      <c r="AW46" s="2"/>
      <c r="AX46" s="3"/>
      <c r="AY46" s="19"/>
      <c r="AZ46" s="2"/>
      <c r="BA46" s="3"/>
      <c r="BB46" s="19" t="s">
        <v>275</v>
      </c>
      <c r="BC46" s="2"/>
      <c r="BD46" s="3"/>
      <c r="BE46" s="21">
        <v>46245</v>
      </c>
      <c r="BF46" s="2"/>
      <c r="BG46" s="3"/>
      <c r="BH46" s="19"/>
      <c r="BI46" s="2"/>
      <c r="BJ46" s="3"/>
      <c r="BK46" s="18"/>
      <c r="BL46" s="2"/>
      <c r="BM46" s="2"/>
      <c r="BN46" s="2"/>
      <c r="BO46" s="2"/>
      <c r="BP46" s="2"/>
      <c r="BQ46" s="3"/>
    </row>
    <row r="47" ht="409.5" customHeight="1" spans="1:69">
      <c r="A47" s="17">
        <v>31</v>
      </c>
      <c r="B47" s="18" t="s">
        <v>417</v>
      </c>
      <c r="C47" s="2"/>
      <c r="D47" s="3"/>
      <c r="E47" s="18" t="s">
        <v>418</v>
      </c>
      <c r="F47" s="2"/>
      <c r="G47" s="2"/>
      <c r="H47" s="2"/>
      <c r="I47" s="3"/>
      <c r="J47" s="18" t="s">
        <v>419</v>
      </c>
      <c r="K47" s="2"/>
      <c r="L47" s="2"/>
      <c r="M47" s="2"/>
      <c r="N47" s="2"/>
      <c r="O47" s="2"/>
      <c r="P47" s="3"/>
      <c r="Q47" s="18" t="s">
        <v>420</v>
      </c>
      <c r="R47" s="2"/>
      <c r="S47" s="2"/>
      <c r="T47" s="2"/>
      <c r="U47" s="2"/>
      <c r="V47" s="2"/>
      <c r="W47" s="3"/>
      <c r="X47" s="18" t="s">
        <v>421</v>
      </c>
      <c r="Y47" s="2"/>
      <c r="Z47" s="2"/>
      <c r="AA47" s="2"/>
      <c r="AB47" s="2"/>
      <c r="AC47" s="2"/>
      <c r="AD47" s="3"/>
      <c r="AE47" s="19" t="s">
        <v>217</v>
      </c>
      <c r="AF47" s="3"/>
      <c r="AG47" s="20" t="s">
        <v>67</v>
      </c>
      <c r="AH47" s="2"/>
      <c r="AI47" s="3"/>
      <c r="AJ47" s="19"/>
      <c r="AK47" s="2"/>
      <c r="AL47" s="3"/>
      <c r="AM47" s="20" t="s">
        <v>274</v>
      </c>
      <c r="AN47" s="2"/>
      <c r="AO47" s="3"/>
      <c r="AP47" s="21">
        <v>46192</v>
      </c>
      <c r="AQ47" s="2"/>
      <c r="AR47" s="3"/>
      <c r="AS47" s="19"/>
      <c r="AT47" s="2"/>
      <c r="AU47" s="3"/>
      <c r="AV47" s="19" t="s">
        <v>67</v>
      </c>
      <c r="AW47" s="2"/>
      <c r="AX47" s="3"/>
      <c r="AY47" s="19"/>
      <c r="AZ47" s="2"/>
      <c r="BA47" s="3"/>
      <c r="BB47" s="19" t="s">
        <v>275</v>
      </c>
      <c r="BC47" s="2"/>
      <c r="BD47" s="3"/>
      <c r="BE47" s="21">
        <v>46245</v>
      </c>
      <c r="BF47" s="2"/>
      <c r="BG47" s="3"/>
      <c r="BH47" s="19"/>
      <c r="BI47" s="2"/>
      <c r="BJ47" s="3"/>
      <c r="BK47" s="18"/>
      <c r="BL47" s="2"/>
      <c r="BM47" s="2"/>
      <c r="BN47" s="2"/>
      <c r="BO47" s="2"/>
      <c r="BP47" s="2"/>
      <c r="BQ47" s="3"/>
    </row>
    <row r="48" ht="409.5" customHeight="1" spans="1:69">
      <c r="A48" s="17">
        <v>32</v>
      </c>
      <c r="B48" s="18" t="s">
        <v>422</v>
      </c>
      <c r="C48" s="2"/>
      <c r="D48" s="3"/>
      <c r="E48" s="18" t="s">
        <v>423</v>
      </c>
      <c r="F48" s="2"/>
      <c r="G48" s="2"/>
      <c r="H48" s="2"/>
      <c r="I48" s="3"/>
      <c r="J48" s="18" t="s">
        <v>424</v>
      </c>
      <c r="K48" s="2"/>
      <c r="L48" s="2"/>
      <c r="M48" s="2"/>
      <c r="N48" s="2"/>
      <c r="O48" s="2"/>
      <c r="P48" s="3"/>
      <c r="Q48" s="18" t="s">
        <v>425</v>
      </c>
      <c r="R48" s="2"/>
      <c r="S48" s="2"/>
      <c r="T48" s="2"/>
      <c r="U48" s="2"/>
      <c r="V48" s="2"/>
      <c r="W48" s="3"/>
      <c r="X48" s="18" t="s">
        <v>426</v>
      </c>
      <c r="Y48" s="2"/>
      <c r="Z48" s="2"/>
      <c r="AA48" s="2"/>
      <c r="AB48" s="2"/>
      <c r="AC48" s="2"/>
      <c r="AD48" s="3"/>
      <c r="AE48" s="19" t="s">
        <v>217</v>
      </c>
      <c r="AF48" s="3"/>
      <c r="AG48" s="20" t="s">
        <v>70</v>
      </c>
      <c r="AH48" s="2"/>
      <c r="AI48" s="3"/>
      <c r="AJ48" s="19"/>
      <c r="AK48" s="2"/>
      <c r="AL48" s="3"/>
      <c r="AM48" s="20" t="s">
        <v>274</v>
      </c>
      <c r="AN48" s="2"/>
      <c r="AO48" s="3"/>
      <c r="AP48" s="21">
        <v>46192</v>
      </c>
      <c r="AQ48" s="2"/>
      <c r="AR48" s="3"/>
      <c r="AS48" s="19"/>
      <c r="AT48" s="2"/>
      <c r="AU48" s="3"/>
      <c r="AV48" s="19" t="s">
        <v>67</v>
      </c>
      <c r="AW48" s="2"/>
      <c r="AX48" s="3"/>
      <c r="AY48" s="19"/>
      <c r="AZ48" s="2"/>
      <c r="BA48" s="3"/>
      <c r="BB48" s="19" t="s">
        <v>275</v>
      </c>
      <c r="BC48" s="2"/>
      <c r="BD48" s="3"/>
      <c r="BE48" s="21">
        <v>46245</v>
      </c>
      <c r="BF48" s="2"/>
      <c r="BG48" s="3"/>
      <c r="BH48" s="19"/>
      <c r="BI48" s="2"/>
      <c r="BJ48" s="3"/>
      <c r="BK48" s="18" t="s">
        <v>427</v>
      </c>
      <c r="BL48" s="2"/>
      <c r="BM48" s="2"/>
      <c r="BN48" s="2"/>
      <c r="BO48" s="2"/>
      <c r="BP48" s="2"/>
      <c r="BQ48" s="3"/>
    </row>
    <row r="49" ht="409.5" customHeight="1" spans="1:69">
      <c r="A49" s="17">
        <v>33</v>
      </c>
      <c r="B49" s="18" t="s">
        <v>428</v>
      </c>
      <c r="C49" s="2"/>
      <c r="D49" s="3"/>
      <c r="E49" s="18" t="s">
        <v>429</v>
      </c>
      <c r="F49" s="2"/>
      <c r="G49" s="2"/>
      <c r="H49" s="2"/>
      <c r="I49" s="3"/>
      <c r="J49" s="18" t="s">
        <v>430</v>
      </c>
      <c r="K49" s="2"/>
      <c r="L49" s="2"/>
      <c r="M49" s="2"/>
      <c r="N49" s="2"/>
      <c r="O49" s="2"/>
      <c r="P49" s="3"/>
      <c r="Q49" s="18" t="s">
        <v>431</v>
      </c>
      <c r="R49" s="2"/>
      <c r="S49" s="2"/>
      <c r="T49" s="2"/>
      <c r="U49" s="2"/>
      <c r="V49" s="2"/>
      <c r="W49" s="3"/>
      <c r="X49" s="18" t="s">
        <v>432</v>
      </c>
      <c r="Y49" s="2"/>
      <c r="Z49" s="2"/>
      <c r="AA49" s="2"/>
      <c r="AB49" s="2"/>
      <c r="AC49" s="2"/>
      <c r="AD49" s="3"/>
      <c r="AE49" s="19" t="s">
        <v>291</v>
      </c>
      <c r="AF49" s="3"/>
      <c r="AG49" s="20" t="s">
        <v>67</v>
      </c>
      <c r="AH49" s="2"/>
      <c r="AI49" s="3"/>
      <c r="AJ49" s="19"/>
      <c r="AK49" s="2"/>
      <c r="AL49" s="3"/>
      <c r="AM49" s="20" t="s">
        <v>274</v>
      </c>
      <c r="AN49" s="2"/>
      <c r="AO49" s="3"/>
      <c r="AP49" s="21">
        <v>46192</v>
      </c>
      <c r="AQ49" s="2"/>
      <c r="AR49" s="3"/>
      <c r="AS49" s="19"/>
      <c r="AT49" s="2"/>
      <c r="AU49" s="3"/>
      <c r="AV49" s="19" t="s">
        <v>67</v>
      </c>
      <c r="AW49" s="2"/>
      <c r="AX49" s="3"/>
      <c r="AY49" s="19"/>
      <c r="AZ49" s="2"/>
      <c r="BA49" s="3"/>
      <c r="BB49" s="19" t="s">
        <v>275</v>
      </c>
      <c r="BC49" s="2"/>
      <c r="BD49" s="3"/>
      <c r="BE49" s="21">
        <v>46245</v>
      </c>
      <c r="BF49" s="2"/>
      <c r="BG49" s="3"/>
      <c r="BH49" s="19"/>
      <c r="BI49" s="2"/>
      <c r="BJ49" s="3"/>
      <c r="BK49" s="18"/>
      <c r="BL49" s="2"/>
      <c r="BM49" s="2"/>
      <c r="BN49" s="2"/>
      <c r="BO49" s="2"/>
      <c r="BP49" s="2"/>
      <c r="BQ49" s="3"/>
    </row>
    <row r="50" ht="409.5" customHeight="1" spans="1:69">
      <c r="A50" s="17">
        <v>34</v>
      </c>
      <c r="B50" s="18" t="s">
        <v>433</v>
      </c>
      <c r="C50" s="2"/>
      <c r="D50" s="3"/>
      <c r="E50" s="18" t="s">
        <v>434</v>
      </c>
      <c r="F50" s="2"/>
      <c r="G50" s="2"/>
      <c r="H50" s="2"/>
      <c r="I50" s="3"/>
      <c r="J50" s="18" t="s">
        <v>435</v>
      </c>
      <c r="K50" s="2"/>
      <c r="L50" s="2"/>
      <c r="M50" s="2"/>
      <c r="N50" s="2"/>
      <c r="O50" s="2"/>
      <c r="P50" s="3"/>
      <c r="Q50" s="18" t="s">
        <v>436</v>
      </c>
      <c r="R50" s="2"/>
      <c r="S50" s="2"/>
      <c r="T50" s="2"/>
      <c r="U50" s="2"/>
      <c r="V50" s="2"/>
      <c r="W50" s="3"/>
      <c r="X50" s="18" t="s">
        <v>437</v>
      </c>
      <c r="Y50" s="2"/>
      <c r="Z50" s="2"/>
      <c r="AA50" s="2"/>
      <c r="AB50" s="2"/>
      <c r="AC50" s="2"/>
      <c r="AD50" s="3"/>
      <c r="AE50" s="19" t="s">
        <v>291</v>
      </c>
      <c r="AF50" s="3"/>
      <c r="AG50" s="19" t="s">
        <v>70</v>
      </c>
      <c r="AH50" s="2"/>
      <c r="AI50" s="3"/>
      <c r="AJ50" s="19"/>
      <c r="AK50" s="2"/>
      <c r="AL50" s="3"/>
      <c r="AM50" s="20" t="s">
        <v>274</v>
      </c>
      <c r="AN50" s="2"/>
      <c r="AO50" s="3"/>
      <c r="AP50" s="21">
        <v>46192</v>
      </c>
      <c r="AQ50" s="2"/>
      <c r="AR50" s="3"/>
      <c r="AS50" s="19"/>
      <c r="AT50" s="2"/>
      <c r="AU50" s="3"/>
      <c r="AV50" s="19" t="s">
        <v>67</v>
      </c>
      <c r="AW50" s="2"/>
      <c r="AX50" s="3"/>
      <c r="AY50" s="19"/>
      <c r="AZ50" s="2"/>
      <c r="BA50" s="3"/>
      <c r="BB50" s="19" t="s">
        <v>275</v>
      </c>
      <c r="BC50" s="2"/>
      <c r="BD50" s="3"/>
      <c r="BE50" s="21">
        <v>46245</v>
      </c>
      <c r="BF50" s="2"/>
      <c r="BG50" s="3"/>
      <c r="BH50" s="19"/>
      <c r="BI50" s="2"/>
      <c r="BJ50" s="3"/>
      <c r="BK50" s="18"/>
      <c r="BL50" s="2"/>
      <c r="BM50" s="2"/>
      <c r="BN50" s="2"/>
      <c r="BO50" s="2"/>
      <c r="BP50" s="2"/>
      <c r="BQ50" s="3"/>
    </row>
    <row r="51" ht="303.75" customHeight="1" spans="1:69">
      <c r="A51" s="17">
        <v>35</v>
      </c>
      <c r="B51" s="18" t="s">
        <v>438</v>
      </c>
      <c r="C51" s="2"/>
      <c r="D51" s="3"/>
      <c r="E51" s="18" t="s">
        <v>439</v>
      </c>
      <c r="F51" s="2"/>
      <c r="G51" s="2"/>
      <c r="H51" s="2"/>
      <c r="I51" s="3"/>
      <c r="J51" s="18" t="s">
        <v>440</v>
      </c>
      <c r="K51" s="2"/>
      <c r="L51" s="2"/>
      <c r="M51" s="2"/>
      <c r="N51" s="2"/>
      <c r="O51" s="2"/>
      <c r="P51" s="3"/>
      <c r="Q51" s="18" t="s">
        <v>441</v>
      </c>
      <c r="R51" s="2"/>
      <c r="S51" s="2"/>
      <c r="T51" s="2"/>
      <c r="U51" s="2"/>
      <c r="V51" s="2"/>
      <c r="W51" s="3"/>
      <c r="X51" s="18" t="s">
        <v>442</v>
      </c>
      <c r="Y51" s="2"/>
      <c r="Z51" s="2"/>
      <c r="AA51" s="2"/>
      <c r="AB51" s="2"/>
      <c r="AC51" s="2"/>
      <c r="AD51" s="3"/>
      <c r="AE51" s="19" t="s">
        <v>291</v>
      </c>
      <c r="AF51" s="3"/>
      <c r="AG51" s="19" t="s">
        <v>70</v>
      </c>
      <c r="AH51" s="2"/>
      <c r="AI51" s="3"/>
      <c r="AJ51" s="19"/>
      <c r="AK51" s="2"/>
      <c r="AL51" s="3"/>
      <c r="AM51" s="20" t="s">
        <v>274</v>
      </c>
      <c r="AN51" s="2"/>
      <c r="AO51" s="3"/>
      <c r="AP51" s="21">
        <v>46192</v>
      </c>
      <c r="AQ51" s="2"/>
      <c r="AR51" s="3"/>
      <c r="AS51" s="19"/>
      <c r="AT51" s="2"/>
      <c r="AU51" s="3"/>
      <c r="AV51" s="19" t="s">
        <v>70</v>
      </c>
      <c r="AW51" s="2"/>
      <c r="AX51" s="3"/>
      <c r="AY51" s="19"/>
      <c r="AZ51" s="2"/>
      <c r="BA51" s="3"/>
      <c r="BB51" s="19" t="s">
        <v>275</v>
      </c>
      <c r="BC51" s="2"/>
      <c r="BD51" s="3"/>
      <c r="BE51" s="21">
        <v>46245</v>
      </c>
      <c r="BF51" s="2"/>
      <c r="BG51" s="3"/>
      <c r="BH51" s="19"/>
      <c r="BI51" s="2"/>
      <c r="BJ51" s="3"/>
      <c r="BK51" s="18" t="s">
        <v>443</v>
      </c>
      <c r="BL51" s="2"/>
      <c r="BM51" s="2"/>
      <c r="BN51" s="2"/>
      <c r="BO51" s="2"/>
      <c r="BP51" s="2"/>
      <c r="BQ51" s="3"/>
    </row>
    <row r="52" ht="409.5" customHeight="1" spans="1:69">
      <c r="A52" s="17">
        <v>36</v>
      </c>
      <c r="B52" s="18" t="s">
        <v>444</v>
      </c>
      <c r="C52" s="2"/>
      <c r="D52" s="3"/>
      <c r="E52" s="18" t="s">
        <v>445</v>
      </c>
      <c r="F52" s="2"/>
      <c r="G52" s="2"/>
      <c r="H52" s="2"/>
      <c r="I52" s="3"/>
      <c r="J52" s="18" t="s">
        <v>446</v>
      </c>
      <c r="K52" s="2"/>
      <c r="L52" s="2"/>
      <c r="M52" s="2"/>
      <c r="N52" s="2"/>
      <c r="O52" s="2"/>
      <c r="P52" s="3"/>
      <c r="Q52" s="18" t="s">
        <v>447</v>
      </c>
      <c r="R52" s="2"/>
      <c r="S52" s="2"/>
      <c r="T52" s="2"/>
      <c r="U52" s="2"/>
      <c r="V52" s="2"/>
      <c r="W52" s="3"/>
      <c r="X52" s="18" t="s">
        <v>448</v>
      </c>
      <c r="Y52" s="2"/>
      <c r="Z52" s="2"/>
      <c r="AA52" s="2"/>
      <c r="AB52" s="2"/>
      <c r="AC52" s="2"/>
      <c r="AD52" s="3"/>
      <c r="AE52" s="19" t="s">
        <v>291</v>
      </c>
      <c r="AF52" s="3"/>
      <c r="AG52" s="19" t="s">
        <v>67</v>
      </c>
      <c r="AH52" s="2"/>
      <c r="AI52" s="3"/>
      <c r="AJ52" s="19"/>
      <c r="AK52" s="2"/>
      <c r="AL52" s="3"/>
      <c r="AM52" s="20" t="s">
        <v>274</v>
      </c>
      <c r="AN52" s="2"/>
      <c r="AO52" s="3"/>
      <c r="AP52" s="21">
        <v>46192</v>
      </c>
      <c r="AQ52" s="2"/>
      <c r="AR52" s="3"/>
      <c r="AS52" s="19"/>
      <c r="AT52" s="2"/>
      <c r="AU52" s="3"/>
      <c r="AV52" s="19" t="s">
        <v>67</v>
      </c>
      <c r="AW52" s="2"/>
      <c r="AX52" s="3"/>
      <c r="AY52" s="19"/>
      <c r="AZ52" s="2"/>
      <c r="BA52" s="3"/>
      <c r="BB52" s="19" t="s">
        <v>275</v>
      </c>
      <c r="BC52" s="2"/>
      <c r="BD52" s="3"/>
      <c r="BE52" s="21">
        <v>46245</v>
      </c>
      <c r="BF52" s="2"/>
      <c r="BG52" s="3"/>
      <c r="BH52" s="19"/>
      <c r="BI52" s="2"/>
      <c r="BJ52" s="3"/>
      <c r="BK52" s="18" t="s">
        <v>302</v>
      </c>
      <c r="BL52" s="2"/>
      <c r="BM52" s="2"/>
      <c r="BN52" s="2"/>
      <c r="BO52" s="2"/>
      <c r="BP52" s="2"/>
      <c r="BQ52" s="3"/>
    </row>
    <row r="53" ht="22.5" customHeight="1" spans="1:69">
      <c r="A53" s="16" t="s">
        <v>449</v>
      </c>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3"/>
    </row>
    <row r="54" ht="288" customHeight="1" spans="1:69">
      <c r="A54" s="17">
        <v>37</v>
      </c>
      <c r="B54" s="18" t="s">
        <v>450</v>
      </c>
      <c r="C54" s="2"/>
      <c r="D54" s="3"/>
      <c r="E54" s="18" t="s">
        <v>451</v>
      </c>
      <c r="F54" s="2"/>
      <c r="G54" s="2"/>
      <c r="H54" s="2"/>
      <c r="I54" s="3"/>
      <c r="J54" s="18" t="s">
        <v>452</v>
      </c>
      <c r="K54" s="2"/>
      <c r="L54" s="2"/>
      <c r="M54" s="2"/>
      <c r="N54" s="2"/>
      <c r="O54" s="2"/>
      <c r="P54" s="3"/>
      <c r="Q54" s="18" t="s">
        <v>453</v>
      </c>
      <c r="R54" s="2"/>
      <c r="S54" s="2"/>
      <c r="T54" s="2"/>
      <c r="U54" s="2"/>
      <c r="V54" s="2"/>
      <c r="W54" s="3"/>
      <c r="X54" s="18" t="s">
        <v>454</v>
      </c>
      <c r="Y54" s="2"/>
      <c r="Z54" s="2"/>
      <c r="AA54" s="2"/>
      <c r="AB54" s="2"/>
      <c r="AC54" s="2"/>
      <c r="AD54" s="3"/>
      <c r="AE54" s="19" t="s">
        <v>217</v>
      </c>
      <c r="AF54" s="3"/>
      <c r="AG54" s="20" t="s">
        <v>67</v>
      </c>
      <c r="AH54" s="2"/>
      <c r="AI54" s="3"/>
      <c r="AJ54" s="19"/>
      <c r="AK54" s="2"/>
      <c r="AL54" s="3"/>
      <c r="AM54" s="20" t="s">
        <v>274</v>
      </c>
      <c r="AN54" s="2"/>
      <c r="AO54" s="3"/>
      <c r="AP54" s="21">
        <v>46192</v>
      </c>
      <c r="AQ54" s="2"/>
      <c r="AR54" s="3"/>
      <c r="AS54" s="19"/>
      <c r="AT54" s="2"/>
      <c r="AU54" s="3"/>
      <c r="AV54" s="19" t="s">
        <v>67</v>
      </c>
      <c r="AW54" s="2"/>
      <c r="AX54" s="3"/>
      <c r="AY54" s="19"/>
      <c r="AZ54" s="2"/>
      <c r="BA54" s="3"/>
      <c r="BB54" s="19" t="s">
        <v>275</v>
      </c>
      <c r="BC54" s="2"/>
      <c r="BD54" s="3"/>
      <c r="BE54" s="21">
        <v>46245</v>
      </c>
      <c r="BF54" s="2"/>
      <c r="BG54" s="3"/>
      <c r="BH54" s="19"/>
      <c r="BI54" s="2"/>
      <c r="BJ54" s="3"/>
      <c r="BK54" s="18"/>
      <c r="BL54" s="2"/>
      <c r="BM54" s="2"/>
      <c r="BN54" s="2"/>
      <c r="BO54" s="2"/>
      <c r="BP54" s="2"/>
      <c r="BQ54" s="3"/>
    </row>
    <row r="55" ht="240" customHeight="1" spans="1:69">
      <c r="A55" s="17">
        <v>38</v>
      </c>
      <c r="B55" s="18" t="s">
        <v>455</v>
      </c>
      <c r="C55" s="2"/>
      <c r="D55" s="3"/>
      <c r="E55" s="18" t="s">
        <v>456</v>
      </c>
      <c r="F55" s="2"/>
      <c r="G55" s="2"/>
      <c r="H55" s="2"/>
      <c r="I55" s="3"/>
      <c r="J55" s="18" t="s">
        <v>457</v>
      </c>
      <c r="K55" s="2"/>
      <c r="L55" s="2"/>
      <c r="M55" s="2"/>
      <c r="N55" s="2"/>
      <c r="O55" s="2"/>
      <c r="P55" s="3"/>
      <c r="Q55" s="18" t="s">
        <v>458</v>
      </c>
      <c r="R55" s="2"/>
      <c r="S55" s="2"/>
      <c r="T55" s="2"/>
      <c r="U55" s="2"/>
      <c r="V55" s="2"/>
      <c r="W55" s="3"/>
      <c r="X55" s="18" t="s">
        <v>459</v>
      </c>
      <c r="Y55" s="2"/>
      <c r="Z55" s="2"/>
      <c r="AA55" s="2"/>
      <c r="AB55" s="2"/>
      <c r="AC55" s="2"/>
      <c r="AD55" s="3"/>
      <c r="AE55" s="19" t="s">
        <v>217</v>
      </c>
      <c r="AF55" s="3"/>
      <c r="AG55" s="20" t="s">
        <v>67</v>
      </c>
      <c r="AH55" s="2"/>
      <c r="AI55" s="3"/>
      <c r="AJ55" s="19"/>
      <c r="AK55" s="2"/>
      <c r="AL55" s="3"/>
      <c r="AM55" s="20" t="s">
        <v>274</v>
      </c>
      <c r="AN55" s="2"/>
      <c r="AO55" s="3"/>
      <c r="AP55" s="21">
        <v>46192</v>
      </c>
      <c r="AQ55" s="2"/>
      <c r="AR55" s="3"/>
      <c r="AS55" s="19"/>
      <c r="AT55" s="2"/>
      <c r="AU55" s="3"/>
      <c r="AV55" s="19" t="s">
        <v>67</v>
      </c>
      <c r="AW55" s="2"/>
      <c r="AX55" s="3"/>
      <c r="AY55" s="19"/>
      <c r="AZ55" s="2"/>
      <c r="BA55" s="3"/>
      <c r="BB55" s="19" t="s">
        <v>275</v>
      </c>
      <c r="BC55" s="2"/>
      <c r="BD55" s="3"/>
      <c r="BE55" s="21">
        <v>46245</v>
      </c>
      <c r="BF55" s="2"/>
      <c r="BG55" s="3"/>
      <c r="BH55" s="19"/>
      <c r="BI55" s="2"/>
      <c r="BJ55" s="3"/>
      <c r="BK55" s="18"/>
      <c r="BL55" s="2"/>
      <c r="BM55" s="2"/>
      <c r="BN55" s="2"/>
      <c r="BO55" s="2"/>
      <c r="BP55" s="2"/>
      <c r="BQ55" s="3"/>
    </row>
    <row r="56" ht="399.75" customHeight="1" spans="1:69">
      <c r="A56" s="17">
        <v>39</v>
      </c>
      <c r="B56" s="18" t="s">
        <v>460</v>
      </c>
      <c r="C56" s="2"/>
      <c r="D56" s="3"/>
      <c r="E56" s="18" t="s">
        <v>461</v>
      </c>
      <c r="F56" s="2"/>
      <c r="G56" s="2"/>
      <c r="H56" s="2"/>
      <c r="I56" s="3"/>
      <c r="J56" s="18" t="s">
        <v>462</v>
      </c>
      <c r="K56" s="2"/>
      <c r="L56" s="2"/>
      <c r="M56" s="2"/>
      <c r="N56" s="2"/>
      <c r="O56" s="2"/>
      <c r="P56" s="3"/>
      <c r="Q56" s="18" t="s">
        <v>463</v>
      </c>
      <c r="R56" s="2"/>
      <c r="S56" s="2"/>
      <c r="T56" s="2"/>
      <c r="U56" s="2"/>
      <c r="V56" s="2"/>
      <c r="W56" s="3"/>
      <c r="X56" s="18" t="s">
        <v>464</v>
      </c>
      <c r="Y56" s="2"/>
      <c r="Z56" s="2"/>
      <c r="AA56" s="2"/>
      <c r="AB56" s="2"/>
      <c r="AC56" s="2"/>
      <c r="AD56" s="3"/>
      <c r="AE56" s="19" t="s">
        <v>217</v>
      </c>
      <c r="AF56" s="3"/>
      <c r="AG56" s="20" t="s">
        <v>67</v>
      </c>
      <c r="AH56" s="2"/>
      <c r="AI56" s="3"/>
      <c r="AJ56" s="19"/>
      <c r="AK56" s="2"/>
      <c r="AL56" s="3"/>
      <c r="AM56" s="20" t="s">
        <v>274</v>
      </c>
      <c r="AN56" s="2"/>
      <c r="AO56" s="3"/>
      <c r="AP56" s="21">
        <v>46192</v>
      </c>
      <c r="AQ56" s="2"/>
      <c r="AR56" s="3"/>
      <c r="AS56" s="19"/>
      <c r="AT56" s="2"/>
      <c r="AU56" s="3"/>
      <c r="AV56" s="19" t="s">
        <v>67</v>
      </c>
      <c r="AW56" s="2"/>
      <c r="AX56" s="3"/>
      <c r="AY56" s="19"/>
      <c r="AZ56" s="2"/>
      <c r="BA56" s="3"/>
      <c r="BB56" s="19" t="s">
        <v>275</v>
      </c>
      <c r="BC56" s="2"/>
      <c r="BD56" s="3"/>
      <c r="BE56" s="21">
        <v>46245</v>
      </c>
      <c r="BF56" s="2"/>
      <c r="BG56" s="3"/>
      <c r="BH56" s="19"/>
      <c r="BI56" s="2"/>
      <c r="BJ56" s="3"/>
      <c r="BK56" s="18"/>
      <c r="BL56" s="2"/>
      <c r="BM56" s="2"/>
      <c r="BN56" s="2"/>
      <c r="BO56" s="2"/>
      <c r="BP56" s="2"/>
      <c r="BQ56" s="3"/>
    </row>
    <row r="57" ht="319.5" customHeight="1" spans="1:69">
      <c r="A57" s="17">
        <v>40</v>
      </c>
      <c r="B57" s="18" t="s">
        <v>465</v>
      </c>
      <c r="C57" s="2"/>
      <c r="D57" s="3"/>
      <c r="E57" s="18" t="s">
        <v>466</v>
      </c>
      <c r="F57" s="2"/>
      <c r="G57" s="2"/>
      <c r="H57" s="2"/>
      <c r="I57" s="3"/>
      <c r="J57" s="18" t="s">
        <v>467</v>
      </c>
      <c r="K57" s="2"/>
      <c r="L57" s="2"/>
      <c r="M57" s="2"/>
      <c r="N57" s="2"/>
      <c r="O57" s="2"/>
      <c r="P57" s="3"/>
      <c r="Q57" s="18" t="s">
        <v>468</v>
      </c>
      <c r="R57" s="2"/>
      <c r="S57" s="2"/>
      <c r="T57" s="2"/>
      <c r="U57" s="2"/>
      <c r="V57" s="2"/>
      <c r="W57" s="3"/>
      <c r="X57" s="18" t="s">
        <v>469</v>
      </c>
      <c r="Y57" s="2"/>
      <c r="Z57" s="2"/>
      <c r="AA57" s="2"/>
      <c r="AB57" s="2"/>
      <c r="AC57" s="2"/>
      <c r="AD57" s="3"/>
      <c r="AE57" s="19" t="s">
        <v>217</v>
      </c>
      <c r="AF57" s="3"/>
      <c r="AG57" s="20" t="s">
        <v>67</v>
      </c>
      <c r="AH57" s="2"/>
      <c r="AI57" s="3"/>
      <c r="AJ57" s="19"/>
      <c r="AK57" s="2"/>
      <c r="AL57" s="3"/>
      <c r="AM57" s="20" t="s">
        <v>274</v>
      </c>
      <c r="AN57" s="2"/>
      <c r="AO57" s="3"/>
      <c r="AP57" s="21">
        <v>46192</v>
      </c>
      <c r="AQ57" s="2"/>
      <c r="AR57" s="3"/>
      <c r="AS57" s="19"/>
      <c r="AT57" s="2"/>
      <c r="AU57" s="3"/>
      <c r="AV57" s="19" t="s">
        <v>67</v>
      </c>
      <c r="AW57" s="2"/>
      <c r="AX57" s="3"/>
      <c r="AY57" s="19"/>
      <c r="AZ57" s="2"/>
      <c r="BA57" s="3"/>
      <c r="BB57" s="19" t="s">
        <v>275</v>
      </c>
      <c r="BC57" s="2"/>
      <c r="BD57" s="3"/>
      <c r="BE57" s="21">
        <v>46245</v>
      </c>
      <c r="BF57" s="2"/>
      <c r="BG57" s="3"/>
      <c r="BH57" s="19"/>
      <c r="BI57" s="2"/>
      <c r="BJ57" s="3"/>
      <c r="BK57" s="18"/>
      <c r="BL57" s="2"/>
      <c r="BM57" s="2"/>
      <c r="BN57" s="2"/>
      <c r="BO57" s="2"/>
      <c r="BP57" s="2"/>
      <c r="BQ57" s="3"/>
    </row>
    <row r="58" ht="351.75" customHeight="1" spans="1:69">
      <c r="A58" s="17">
        <v>41</v>
      </c>
      <c r="B58" s="18" t="s">
        <v>470</v>
      </c>
      <c r="C58" s="2"/>
      <c r="D58" s="3"/>
      <c r="E58" s="18" t="s">
        <v>471</v>
      </c>
      <c r="F58" s="2"/>
      <c r="G58" s="2"/>
      <c r="H58" s="2"/>
      <c r="I58" s="3"/>
      <c r="J58" s="18" t="s">
        <v>472</v>
      </c>
      <c r="K58" s="2"/>
      <c r="L58" s="2"/>
      <c r="M58" s="2"/>
      <c r="N58" s="2"/>
      <c r="O58" s="2"/>
      <c r="P58" s="3"/>
      <c r="Q58" s="18" t="s">
        <v>473</v>
      </c>
      <c r="R58" s="2"/>
      <c r="S58" s="2"/>
      <c r="T58" s="2"/>
      <c r="U58" s="2"/>
      <c r="V58" s="2"/>
      <c r="W58" s="3"/>
      <c r="X58" s="18" t="s">
        <v>474</v>
      </c>
      <c r="Y58" s="2"/>
      <c r="Z58" s="2"/>
      <c r="AA58" s="2"/>
      <c r="AB58" s="2"/>
      <c r="AC58" s="2"/>
      <c r="AD58" s="3"/>
      <c r="AE58" s="19" t="s">
        <v>217</v>
      </c>
      <c r="AF58" s="3"/>
      <c r="AG58" s="20" t="s">
        <v>67</v>
      </c>
      <c r="AH58" s="2"/>
      <c r="AI58" s="3"/>
      <c r="AJ58" s="19"/>
      <c r="AK58" s="2"/>
      <c r="AL58" s="3"/>
      <c r="AM58" s="20" t="s">
        <v>274</v>
      </c>
      <c r="AN58" s="2"/>
      <c r="AO58" s="3"/>
      <c r="AP58" s="21">
        <v>46192</v>
      </c>
      <c r="AQ58" s="2"/>
      <c r="AR58" s="3"/>
      <c r="AS58" s="19"/>
      <c r="AT58" s="2"/>
      <c r="AU58" s="3"/>
      <c r="AV58" s="19" t="s">
        <v>67</v>
      </c>
      <c r="AW58" s="2"/>
      <c r="AX58" s="3"/>
      <c r="AY58" s="19"/>
      <c r="AZ58" s="2"/>
      <c r="BA58" s="3"/>
      <c r="BB58" s="19" t="s">
        <v>275</v>
      </c>
      <c r="BC58" s="2"/>
      <c r="BD58" s="3"/>
      <c r="BE58" s="21">
        <v>46245</v>
      </c>
      <c r="BF58" s="2"/>
      <c r="BG58" s="3"/>
      <c r="BH58" s="19"/>
      <c r="BI58" s="2"/>
      <c r="BJ58" s="3"/>
      <c r="BK58" s="18"/>
      <c r="BL58" s="2"/>
      <c r="BM58" s="2"/>
      <c r="BN58" s="2"/>
      <c r="BO58" s="2"/>
      <c r="BP58" s="2"/>
      <c r="BQ58" s="3"/>
    </row>
    <row r="59" ht="367.5" customHeight="1" spans="1:69">
      <c r="A59" s="17">
        <v>42</v>
      </c>
      <c r="B59" s="18" t="s">
        <v>475</v>
      </c>
      <c r="C59" s="2"/>
      <c r="D59" s="3"/>
      <c r="E59" s="18" t="s">
        <v>476</v>
      </c>
      <c r="F59" s="2"/>
      <c r="G59" s="2"/>
      <c r="H59" s="2"/>
      <c r="I59" s="3"/>
      <c r="J59" s="18" t="s">
        <v>477</v>
      </c>
      <c r="K59" s="2"/>
      <c r="L59" s="2"/>
      <c r="M59" s="2"/>
      <c r="N59" s="2"/>
      <c r="O59" s="2"/>
      <c r="P59" s="3"/>
      <c r="Q59" s="18" t="s">
        <v>478</v>
      </c>
      <c r="R59" s="2"/>
      <c r="S59" s="2"/>
      <c r="T59" s="2"/>
      <c r="U59" s="2"/>
      <c r="V59" s="2"/>
      <c r="W59" s="3"/>
      <c r="X59" s="18" t="s">
        <v>479</v>
      </c>
      <c r="Y59" s="2"/>
      <c r="Z59" s="2"/>
      <c r="AA59" s="2"/>
      <c r="AB59" s="2"/>
      <c r="AC59" s="2"/>
      <c r="AD59" s="3"/>
      <c r="AE59" s="19" t="s">
        <v>217</v>
      </c>
      <c r="AF59" s="3"/>
      <c r="AG59" s="20" t="s">
        <v>67</v>
      </c>
      <c r="AH59" s="2"/>
      <c r="AI59" s="3"/>
      <c r="AJ59" s="19"/>
      <c r="AK59" s="2"/>
      <c r="AL59" s="3"/>
      <c r="AM59" s="20" t="s">
        <v>274</v>
      </c>
      <c r="AN59" s="2"/>
      <c r="AO59" s="3"/>
      <c r="AP59" s="21">
        <v>46192</v>
      </c>
      <c r="AQ59" s="2"/>
      <c r="AR59" s="3"/>
      <c r="AS59" s="19"/>
      <c r="AT59" s="2"/>
      <c r="AU59" s="3"/>
      <c r="AV59" s="19" t="s">
        <v>67</v>
      </c>
      <c r="AW59" s="2"/>
      <c r="AX59" s="3"/>
      <c r="AY59" s="19"/>
      <c r="AZ59" s="2"/>
      <c r="BA59" s="3"/>
      <c r="BB59" s="19" t="s">
        <v>275</v>
      </c>
      <c r="BC59" s="2"/>
      <c r="BD59" s="3"/>
      <c r="BE59" s="21">
        <v>46245</v>
      </c>
      <c r="BF59" s="2"/>
      <c r="BG59" s="3"/>
      <c r="BH59" s="19"/>
      <c r="BI59" s="2"/>
      <c r="BJ59" s="3"/>
      <c r="BK59" s="18"/>
      <c r="BL59" s="2"/>
      <c r="BM59" s="2"/>
      <c r="BN59" s="2"/>
      <c r="BO59" s="2"/>
      <c r="BP59" s="2"/>
      <c r="BQ59" s="3"/>
    </row>
    <row r="60" ht="319.5" customHeight="1" spans="1:69">
      <c r="A60" s="17">
        <v>43</v>
      </c>
      <c r="B60" s="18" t="s">
        <v>480</v>
      </c>
      <c r="C60" s="2"/>
      <c r="D60" s="3"/>
      <c r="E60" s="18" t="s">
        <v>481</v>
      </c>
      <c r="F60" s="2"/>
      <c r="G60" s="2"/>
      <c r="H60" s="2"/>
      <c r="I60" s="3"/>
      <c r="J60" s="18" t="s">
        <v>482</v>
      </c>
      <c r="K60" s="2"/>
      <c r="L60" s="2"/>
      <c r="M60" s="2"/>
      <c r="N60" s="2"/>
      <c r="O60" s="2"/>
      <c r="P60" s="3"/>
      <c r="Q60" s="18" t="s">
        <v>483</v>
      </c>
      <c r="R60" s="2"/>
      <c r="S60" s="2"/>
      <c r="T60" s="2"/>
      <c r="U60" s="2"/>
      <c r="V60" s="2"/>
      <c r="W60" s="3"/>
      <c r="X60" s="18" t="s">
        <v>484</v>
      </c>
      <c r="Y60" s="2"/>
      <c r="Z60" s="2"/>
      <c r="AA60" s="2"/>
      <c r="AB60" s="2"/>
      <c r="AC60" s="2"/>
      <c r="AD60" s="3"/>
      <c r="AE60" s="19" t="s">
        <v>217</v>
      </c>
      <c r="AF60" s="3"/>
      <c r="AG60" s="19" t="s">
        <v>70</v>
      </c>
      <c r="AH60" s="2"/>
      <c r="AI60" s="3"/>
      <c r="AJ60" s="19"/>
      <c r="AK60" s="2"/>
      <c r="AL60" s="3"/>
      <c r="AM60" s="20" t="s">
        <v>274</v>
      </c>
      <c r="AN60" s="2"/>
      <c r="AO60" s="3"/>
      <c r="AP60" s="21">
        <v>46192</v>
      </c>
      <c r="AQ60" s="2"/>
      <c r="AR60" s="3"/>
      <c r="AS60" s="19"/>
      <c r="AT60" s="2"/>
      <c r="AU60" s="3"/>
      <c r="AV60" s="19" t="s">
        <v>67</v>
      </c>
      <c r="AW60" s="2"/>
      <c r="AX60" s="3"/>
      <c r="AY60" s="19"/>
      <c r="AZ60" s="2"/>
      <c r="BA60" s="3"/>
      <c r="BB60" s="19" t="s">
        <v>275</v>
      </c>
      <c r="BC60" s="2"/>
      <c r="BD60" s="3"/>
      <c r="BE60" s="21">
        <v>46245</v>
      </c>
      <c r="BF60" s="2"/>
      <c r="BG60" s="3"/>
      <c r="BH60" s="19"/>
      <c r="BI60" s="2"/>
      <c r="BJ60" s="3"/>
      <c r="BK60" s="18"/>
      <c r="BL60" s="2"/>
      <c r="BM60" s="2"/>
      <c r="BN60" s="2"/>
      <c r="BO60" s="2"/>
      <c r="BP60" s="2"/>
      <c r="BQ60" s="3"/>
    </row>
    <row r="61" ht="240" customHeight="1" spans="1:69">
      <c r="A61" s="17">
        <v>44</v>
      </c>
      <c r="B61" s="18" t="s">
        <v>485</v>
      </c>
      <c r="C61" s="2"/>
      <c r="D61" s="3"/>
      <c r="E61" s="18" t="s">
        <v>486</v>
      </c>
      <c r="F61" s="2"/>
      <c r="G61" s="2"/>
      <c r="H61" s="2"/>
      <c r="I61" s="3"/>
      <c r="J61" s="18" t="s">
        <v>467</v>
      </c>
      <c r="K61" s="2"/>
      <c r="L61" s="2"/>
      <c r="M61" s="2"/>
      <c r="N61" s="2"/>
      <c r="O61" s="2"/>
      <c r="P61" s="3"/>
      <c r="Q61" s="18" t="s">
        <v>487</v>
      </c>
      <c r="R61" s="2"/>
      <c r="S61" s="2"/>
      <c r="T61" s="2"/>
      <c r="U61" s="2"/>
      <c r="V61" s="2"/>
      <c r="W61" s="3"/>
      <c r="X61" s="18" t="s">
        <v>488</v>
      </c>
      <c r="Y61" s="2"/>
      <c r="Z61" s="2"/>
      <c r="AA61" s="2"/>
      <c r="AB61" s="2"/>
      <c r="AC61" s="2"/>
      <c r="AD61" s="3"/>
      <c r="AE61" s="19" t="s">
        <v>217</v>
      </c>
      <c r="AF61" s="3"/>
      <c r="AG61" s="19" t="s">
        <v>67</v>
      </c>
      <c r="AH61" s="2"/>
      <c r="AI61" s="3"/>
      <c r="AJ61" s="19"/>
      <c r="AK61" s="2"/>
      <c r="AL61" s="3"/>
      <c r="AM61" s="20" t="s">
        <v>274</v>
      </c>
      <c r="AN61" s="2"/>
      <c r="AO61" s="3"/>
      <c r="AP61" s="21">
        <v>46192</v>
      </c>
      <c r="AQ61" s="2"/>
      <c r="AR61" s="3"/>
      <c r="AS61" s="19"/>
      <c r="AT61" s="2"/>
      <c r="AU61" s="3"/>
      <c r="AV61" s="19" t="s">
        <v>67</v>
      </c>
      <c r="AW61" s="2"/>
      <c r="AX61" s="3"/>
      <c r="AY61" s="19"/>
      <c r="AZ61" s="2"/>
      <c r="BA61" s="3"/>
      <c r="BB61" s="19" t="s">
        <v>275</v>
      </c>
      <c r="BC61" s="2"/>
      <c r="BD61" s="3"/>
      <c r="BE61" s="21">
        <v>46245</v>
      </c>
      <c r="BF61" s="2"/>
      <c r="BG61" s="3"/>
      <c r="BH61" s="19"/>
      <c r="BI61" s="2"/>
      <c r="BJ61" s="3"/>
      <c r="BK61" s="18"/>
      <c r="BL61" s="2"/>
      <c r="BM61" s="2"/>
      <c r="BN61" s="2"/>
      <c r="BO61" s="2"/>
      <c r="BP61" s="2"/>
      <c r="BQ61" s="3"/>
    </row>
    <row r="62" ht="399.75" customHeight="1" spans="1:69">
      <c r="A62" s="17">
        <v>45</v>
      </c>
      <c r="B62" s="18" t="s">
        <v>489</v>
      </c>
      <c r="C62" s="2"/>
      <c r="D62" s="3"/>
      <c r="E62" s="18" t="s">
        <v>490</v>
      </c>
      <c r="F62" s="2"/>
      <c r="G62" s="2"/>
      <c r="H62" s="2"/>
      <c r="I62" s="3"/>
      <c r="J62" s="18" t="s">
        <v>491</v>
      </c>
      <c r="K62" s="2"/>
      <c r="L62" s="2"/>
      <c r="M62" s="2"/>
      <c r="N62" s="2"/>
      <c r="O62" s="2"/>
      <c r="P62" s="3"/>
      <c r="Q62" s="18" t="s">
        <v>492</v>
      </c>
      <c r="R62" s="2"/>
      <c r="S62" s="2"/>
      <c r="T62" s="2"/>
      <c r="U62" s="2"/>
      <c r="V62" s="2"/>
      <c r="W62" s="3"/>
      <c r="X62" s="18" t="s">
        <v>493</v>
      </c>
      <c r="Y62" s="2"/>
      <c r="Z62" s="2"/>
      <c r="AA62" s="2"/>
      <c r="AB62" s="2"/>
      <c r="AC62" s="2"/>
      <c r="AD62" s="3"/>
      <c r="AE62" s="19" t="s">
        <v>217</v>
      </c>
      <c r="AF62" s="3"/>
      <c r="AG62" s="19" t="s">
        <v>67</v>
      </c>
      <c r="AH62" s="2"/>
      <c r="AI62" s="3"/>
      <c r="AJ62" s="19"/>
      <c r="AK62" s="2"/>
      <c r="AL62" s="3"/>
      <c r="AM62" s="20" t="s">
        <v>274</v>
      </c>
      <c r="AN62" s="2"/>
      <c r="AO62" s="3"/>
      <c r="AP62" s="21">
        <v>46192</v>
      </c>
      <c r="AQ62" s="2"/>
      <c r="AR62" s="3"/>
      <c r="AS62" s="19"/>
      <c r="AT62" s="2"/>
      <c r="AU62" s="3"/>
      <c r="AV62" s="19" t="s">
        <v>67</v>
      </c>
      <c r="AW62" s="2"/>
      <c r="AX62" s="3"/>
      <c r="AY62" s="19"/>
      <c r="AZ62" s="2"/>
      <c r="BA62" s="3"/>
      <c r="BB62" s="19" t="s">
        <v>275</v>
      </c>
      <c r="BC62" s="2"/>
      <c r="BD62" s="3"/>
      <c r="BE62" s="21">
        <v>46245</v>
      </c>
      <c r="BF62" s="2"/>
      <c r="BG62" s="3"/>
      <c r="BH62" s="19"/>
      <c r="BI62" s="2"/>
      <c r="BJ62" s="3"/>
      <c r="BK62" s="18"/>
      <c r="BL62" s="2"/>
      <c r="BM62" s="2"/>
      <c r="BN62" s="2"/>
      <c r="BO62" s="2"/>
      <c r="BP62" s="2"/>
      <c r="BQ62" s="3"/>
    </row>
    <row r="63" ht="409.5" customHeight="1" spans="1:69">
      <c r="A63" s="17">
        <v>46</v>
      </c>
      <c r="B63" s="18" t="s">
        <v>494</v>
      </c>
      <c r="C63" s="2"/>
      <c r="D63" s="3"/>
      <c r="E63" s="18" t="s">
        <v>495</v>
      </c>
      <c r="F63" s="2"/>
      <c r="G63" s="2"/>
      <c r="H63" s="2"/>
      <c r="I63" s="3"/>
      <c r="J63" s="18" t="s">
        <v>496</v>
      </c>
      <c r="K63" s="2"/>
      <c r="L63" s="2"/>
      <c r="M63" s="2"/>
      <c r="N63" s="2"/>
      <c r="O63" s="2"/>
      <c r="P63" s="3"/>
      <c r="Q63" s="18" t="s">
        <v>497</v>
      </c>
      <c r="R63" s="2"/>
      <c r="S63" s="2"/>
      <c r="T63" s="2"/>
      <c r="U63" s="2"/>
      <c r="V63" s="2"/>
      <c r="W63" s="3"/>
      <c r="X63" s="18" t="s">
        <v>498</v>
      </c>
      <c r="Y63" s="2"/>
      <c r="Z63" s="2"/>
      <c r="AA63" s="2"/>
      <c r="AB63" s="2"/>
      <c r="AC63" s="2"/>
      <c r="AD63" s="3"/>
      <c r="AE63" s="19" t="s">
        <v>217</v>
      </c>
      <c r="AF63" s="3"/>
      <c r="AG63" s="19" t="s">
        <v>67</v>
      </c>
      <c r="AH63" s="2"/>
      <c r="AI63" s="3"/>
      <c r="AJ63" s="19"/>
      <c r="AK63" s="2"/>
      <c r="AL63" s="3"/>
      <c r="AM63" s="20" t="s">
        <v>274</v>
      </c>
      <c r="AN63" s="2"/>
      <c r="AO63" s="3"/>
      <c r="AP63" s="21">
        <v>46192</v>
      </c>
      <c r="AQ63" s="2"/>
      <c r="AR63" s="3"/>
      <c r="AS63" s="19"/>
      <c r="AT63" s="2"/>
      <c r="AU63" s="3"/>
      <c r="AV63" s="19" t="s">
        <v>67</v>
      </c>
      <c r="AW63" s="2"/>
      <c r="AX63" s="3"/>
      <c r="AY63" s="19"/>
      <c r="AZ63" s="2"/>
      <c r="BA63" s="3"/>
      <c r="BB63" s="19" t="s">
        <v>275</v>
      </c>
      <c r="BC63" s="2"/>
      <c r="BD63" s="3"/>
      <c r="BE63" s="21">
        <v>46245</v>
      </c>
      <c r="BF63" s="2"/>
      <c r="BG63" s="3"/>
      <c r="BH63" s="19"/>
      <c r="BI63" s="2"/>
      <c r="BJ63" s="3"/>
      <c r="BK63" s="18"/>
      <c r="BL63" s="2"/>
      <c r="BM63" s="2"/>
      <c r="BN63" s="2"/>
      <c r="BO63" s="2"/>
      <c r="BP63" s="2"/>
      <c r="BQ63" s="3"/>
    </row>
    <row r="64" ht="351.75" customHeight="1" spans="1:69">
      <c r="A64" s="17">
        <v>47</v>
      </c>
      <c r="B64" s="18" t="s">
        <v>499</v>
      </c>
      <c r="C64" s="2"/>
      <c r="D64" s="3"/>
      <c r="E64" s="18" t="s">
        <v>500</v>
      </c>
      <c r="F64" s="2"/>
      <c r="G64" s="2"/>
      <c r="H64" s="2"/>
      <c r="I64" s="3"/>
      <c r="J64" s="18" t="s">
        <v>467</v>
      </c>
      <c r="K64" s="2"/>
      <c r="L64" s="2"/>
      <c r="M64" s="2"/>
      <c r="N64" s="2"/>
      <c r="O64" s="2"/>
      <c r="P64" s="3"/>
      <c r="Q64" s="18" t="s">
        <v>501</v>
      </c>
      <c r="R64" s="2"/>
      <c r="S64" s="2"/>
      <c r="T64" s="2"/>
      <c r="U64" s="2"/>
      <c r="V64" s="2"/>
      <c r="W64" s="3"/>
      <c r="X64" s="18" t="s">
        <v>502</v>
      </c>
      <c r="Y64" s="2"/>
      <c r="Z64" s="2"/>
      <c r="AA64" s="2"/>
      <c r="AB64" s="2"/>
      <c r="AC64" s="2"/>
      <c r="AD64" s="3"/>
      <c r="AE64" s="19" t="s">
        <v>217</v>
      </c>
      <c r="AF64" s="3"/>
      <c r="AG64" s="19" t="s">
        <v>67</v>
      </c>
      <c r="AH64" s="2"/>
      <c r="AI64" s="3"/>
      <c r="AJ64" s="19"/>
      <c r="AK64" s="2"/>
      <c r="AL64" s="3"/>
      <c r="AM64" s="20" t="s">
        <v>274</v>
      </c>
      <c r="AN64" s="2"/>
      <c r="AO64" s="3"/>
      <c r="AP64" s="21">
        <v>46192</v>
      </c>
      <c r="AQ64" s="2"/>
      <c r="AR64" s="3"/>
      <c r="AS64" s="19"/>
      <c r="AT64" s="2"/>
      <c r="AU64" s="3"/>
      <c r="AV64" s="19" t="s">
        <v>67</v>
      </c>
      <c r="AW64" s="2"/>
      <c r="AX64" s="3"/>
      <c r="AY64" s="19"/>
      <c r="AZ64" s="2"/>
      <c r="BA64" s="3"/>
      <c r="BB64" s="19" t="s">
        <v>275</v>
      </c>
      <c r="BC64" s="2"/>
      <c r="BD64" s="3"/>
      <c r="BE64" s="21">
        <v>46245</v>
      </c>
      <c r="BF64" s="2"/>
      <c r="BG64" s="3"/>
      <c r="BH64" s="19"/>
      <c r="BI64" s="2"/>
      <c r="BJ64" s="3"/>
      <c r="BK64" s="18" t="s">
        <v>503</v>
      </c>
      <c r="BL64" s="2"/>
      <c r="BM64" s="2"/>
      <c r="BN64" s="2"/>
      <c r="BO64" s="2"/>
      <c r="BP64" s="2"/>
      <c r="BQ64" s="3"/>
    </row>
    <row r="65" ht="79.5" customHeight="1" spans="1:69">
      <c r="A65" s="17">
        <v>48</v>
      </c>
      <c r="B65" s="18" t="s">
        <v>504</v>
      </c>
      <c r="C65" s="2"/>
      <c r="D65" s="3"/>
      <c r="E65" s="18" t="s">
        <v>505</v>
      </c>
      <c r="F65" s="2"/>
      <c r="G65" s="2"/>
      <c r="H65" s="2"/>
      <c r="I65" s="3"/>
      <c r="J65" s="18"/>
      <c r="K65" s="2"/>
      <c r="L65" s="2"/>
      <c r="M65" s="2"/>
      <c r="N65" s="2"/>
      <c r="O65" s="2"/>
      <c r="P65" s="3"/>
      <c r="Q65" s="18"/>
      <c r="R65" s="2"/>
      <c r="S65" s="2"/>
      <c r="T65" s="2"/>
      <c r="U65" s="2"/>
      <c r="V65" s="2"/>
      <c r="W65" s="3"/>
      <c r="X65" s="18"/>
      <c r="Y65" s="2"/>
      <c r="Z65" s="2"/>
      <c r="AA65" s="2"/>
      <c r="AB65" s="2"/>
      <c r="AC65" s="2"/>
      <c r="AD65" s="3"/>
      <c r="AE65" s="19" t="s">
        <v>291</v>
      </c>
      <c r="AF65" s="3"/>
      <c r="AG65" s="19" t="s">
        <v>70</v>
      </c>
      <c r="AH65" s="2"/>
      <c r="AI65" s="3"/>
      <c r="AJ65" s="19"/>
      <c r="AK65" s="2"/>
      <c r="AL65" s="3"/>
      <c r="AM65" s="20" t="s">
        <v>274</v>
      </c>
      <c r="AN65" s="2"/>
      <c r="AO65" s="3"/>
      <c r="AP65" s="21">
        <v>46192</v>
      </c>
      <c r="AQ65" s="2"/>
      <c r="AR65" s="3"/>
      <c r="AS65" s="19"/>
      <c r="AT65" s="2"/>
      <c r="AU65" s="3"/>
      <c r="AV65" s="19" t="s">
        <v>67</v>
      </c>
      <c r="AW65" s="2"/>
      <c r="AX65" s="3"/>
      <c r="AY65" s="19"/>
      <c r="AZ65" s="2"/>
      <c r="BA65" s="3"/>
      <c r="BB65" s="19" t="s">
        <v>275</v>
      </c>
      <c r="BC65" s="2"/>
      <c r="BD65" s="3"/>
      <c r="BE65" s="21">
        <v>46245</v>
      </c>
      <c r="BF65" s="2"/>
      <c r="BG65" s="3"/>
      <c r="BH65" s="19"/>
      <c r="BI65" s="2"/>
      <c r="BJ65" s="3"/>
      <c r="BK65" s="18"/>
      <c r="BL65" s="2"/>
      <c r="BM65" s="2"/>
      <c r="BN65" s="2"/>
      <c r="BO65" s="2"/>
      <c r="BP65" s="2"/>
      <c r="BQ65" s="3"/>
    </row>
    <row r="66" ht="63.75" customHeight="1" spans="1:69">
      <c r="A66" s="17">
        <v>49</v>
      </c>
      <c r="B66" s="18" t="s">
        <v>506</v>
      </c>
      <c r="C66" s="2"/>
      <c r="D66" s="3"/>
      <c r="E66" s="18" t="s">
        <v>507</v>
      </c>
      <c r="F66" s="2"/>
      <c r="G66" s="2"/>
      <c r="H66" s="2"/>
      <c r="I66" s="3"/>
      <c r="J66" s="18"/>
      <c r="K66" s="2"/>
      <c r="L66" s="2"/>
      <c r="M66" s="2"/>
      <c r="N66" s="2"/>
      <c r="O66" s="2"/>
      <c r="P66" s="3"/>
      <c r="Q66" s="18"/>
      <c r="R66" s="2"/>
      <c r="S66" s="2"/>
      <c r="T66" s="2"/>
      <c r="U66" s="2"/>
      <c r="V66" s="2"/>
      <c r="W66" s="3"/>
      <c r="X66" s="18"/>
      <c r="Y66" s="2"/>
      <c r="Z66" s="2"/>
      <c r="AA66" s="2"/>
      <c r="AB66" s="2"/>
      <c r="AC66" s="2"/>
      <c r="AD66" s="3"/>
      <c r="AE66" s="19" t="s">
        <v>291</v>
      </c>
      <c r="AF66" s="3"/>
      <c r="AG66" s="19" t="s">
        <v>70</v>
      </c>
      <c r="AH66" s="2"/>
      <c r="AI66" s="3"/>
      <c r="AJ66" s="19"/>
      <c r="AK66" s="2"/>
      <c r="AL66" s="3"/>
      <c r="AM66" s="20" t="s">
        <v>274</v>
      </c>
      <c r="AN66" s="2"/>
      <c r="AO66" s="3"/>
      <c r="AP66" s="21">
        <v>46192</v>
      </c>
      <c r="AQ66" s="2"/>
      <c r="AR66" s="3"/>
      <c r="AS66" s="19"/>
      <c r="AT66" s="2"/>
      <c r="AU66" s="3"/>
      <c r="AV66" s="19" t="s">
        <v>67</v>
      </c>
      <c r="AW66" s="2"/>
      <c r="AX66" s="3"/>
      <c r="AY66" s="19"/>
      <c r="AZ66" s="2"/>
      <c r="BA66" s="3"/>
      <c r="BB66" s="19" t="s">
        <v>275</v>
      </c>
      <c r="BC66" s="2"/>
      <c r="BD66" s="3"/>
      <c r="BE66" s="21">
        <v>46245</v>
      </c>
      <c r="BF66" s="2"/>
      <c r="BG66" s="3"/>
      <c r="BH66" s="19"/>
      <c r="BI66" s="2"/>
      <c r="BJ66" s="3"/>
      <c r="BK66" s="18"/>
      <c r="BL66" s="2"/>
      <c r="BM66" s="2"/>
      <c r="BN66" s="2"/>
      <c r="BO66" s="2"/>
      <c r="BP66" s="2"/>
      <c r="BQ66" s="3"/>
    </row>
    <row r="67" ht="79.5" customHeight="1" spans="1:69">
      <c r="A67" s="17">
        <v>50</v>
      </c>
      <c r="B67" s="18" t="s">
        <v>508</v>
      </c>
      <c r="C67" s="2"/>
      <c r="D67" s="3"/>
      <c r="E67" s="18" t="s">
        <v>509</v>
      </c>
      <c r="F67" s="2"/>
      <c r="G67" s="2"/>
      <c r="H67" s="2"/>
      <c r="I67" s="3"/>
      <c r="J67" s="18"/>
      <c r="K67" s="2"/>
      <c r="L67" s="2"/>
      <c r="M67" s="2"/>
      <c r="N67" s="2"/>
      <c r="O67" s="2"/>
      <c r="P67" s="3"/>
      <c r="Q67" s="18"/>
      <c r="R67" s="2"/>
      <c r="S67" s="2"/>
      <c r="T67" s="2"/>
      <c r="U67" s="2"/>
      <c r="V67" s="2"/>
      <c r="W67" s="3"/>
      <c r="X67" s="18"/>
      <c r="Y67" s="2"/>
      <c r="Z67" s="2"/>
      <c r="AA67" s="2"/>
      <c r="AB67" s="2"/>
      <c r="AC67" s="2"/>
      <c r="AD67" s="3"/>
      <c r="AE67" s="19" t="s">
        <v>291</v>
      </c>
      <c r="AF67" s="3"/>
      <c r="AG67" s="19" t="s">
        <v>70</v>
      </c>
      <c r="AH67" s="2"/>
      <c r="AI67" s="3"/>
      <c r="AJ67" s="19"/>
      <c r="AK67" s="2"/>
      <c r="AL67" s="3"/>
      <c r="AM67" s="20" t="s">
        <v>274</v>
      </c>
      <c r="AN67" s="2"/>
      <c r="AO67" s="3"/>
      <c r="AP67" s="21">
        <v>46192</v>
      </c>
      <c r="AQ67" s="2"/>
      <c r="AR67" s="3"/>
      <c r="AS67" s="19"/>
      <c r="AT67" s="2"/>
      <c r="AU67" s="3"/>
      <c r="AV67" s="19" t="s">
        <v>67</v>
      </c>
      <c r="AW67" s="2"/>
      <c r="AX67" s="3"/>
      <c r="AY67" s="19"/>
      <c r="AZ67" s="2"/>
      <c r="BA67" s="3"/>
      <c r="BB67" s="19" t="s">
        <v>275</v>
      </c>
      <c r="BC67" s="2"/>
      <c r="BD67" s="3"/>
      <c r="BE67" s="21">
        <v>46245</v>
      </c>
      <c r="BF67" s="2"/>
      <c r="BG67" s="3"/>
      <c r="BH67" s="19"/>
      <c r="BI67" s="2"/>
      <c r="BJ67" s="3"/>
      <c r="BK67" s="18"/>
      <c r="BL67" s="2"/>
      <c r="BM67" s="2"/>
      <c r="BN67" s="2"/>
      <c r="BO67" s="2"/>
      <c r="BP67" s="2"/>
      <c r="BQ67" s="3"/>
    </row>
    <row r="68" ht="79.5" customHeight="1" spans="1:69">
      <c r="A68" s="17">
        <v>51</v>
      </c>
      <c r="B68" s="18" t="s">
        <v>510</v>
      </c>
      <c r="C68" s="2"/>
      <c r="D68" s="3"/>
      <c r="E68" s="18" t="s">
        <v>511</v>
      </c>
      <c r="F68" s="2"/>
      <c r="G68" s="2"/>
      <c r="H68" s="2"/>
      <c r="I68" s="3"/>
      <c r="J68" s="18"/>
      <c r="K68" s="2"/>
      <c r="L68" s="2"/>
      <c r="M68" s="2"/>
      <c r="N68" s="2"/>
      <c r="O68" s="2"/>
      <c r="P68" s="3"/>
      <c r="Q68" s="18"/>
      <c r="R68" s="2"/>
      <c r="S68" s="2"/>
      <c r="T68" s="2"/>
      <c r="U68" s="2"/>
      <c r="V68" s="2"/>
      <c r="W68" s="3"/>
      <c r="X68" s="18"/>
      <c r="Y68" s="2"/>
      <c r="Z68" s="2"/>
      <c r="AA68" s="2"/>
      <c r="AB68" s="2"/>
      <c r="AC68" s="2"/>
      <c r="AD68" s="3"/>
      <c r="AE68" s="19" t="s">
        <v>291</v>
      </c>
      <c r="AF68" s="3"/>
      <c r="AG68" s="19" t="s">
        <v>70</v>
      </c>
      <c r="AH68" s="2"/>
      <c r="AI68" s="3"/>
      <c r="AJ68" s="19"/>
      <c r="AK68" s="2"/>
      <c r="AL68" s="3"/>
      <c r="AM68" s="20" t="s">
        <v>274</v>
      </c>
      <c r="AN68" s="2"/>
      <c r="AO68" s="3"/>
      <c r="AP68" s="21">
        <v>46192</v>
      </c>
      <c r="AQ68" s="2"/>
      <c r="AR68" s="3"/>
      <c r="AS68" s="19"/>
      <c r="AT68" s="2"/>
      <c r="AU68" s="3"/>
      <c r="AV68" s="19" t="s">
        <v>67</v>
      </c>
      <c r="AW68" s="2"/>
      <c r="AX68" s="3"/>
      <c r="AY68" s="19"/>
      <c r="AZ68" s="2"/>
      <c r="BA68" s="3"/>
      <c r="BB68" s="19" t="s">
        <v>275</v>
      </c>
      <c r="BC68" s="2"/>
      <c r="BD68" s="3"/>
      <c r="BE68" s="21">
        <v>46245</v>
      </c>
      <c r="BF68" s="2"/>
      <c r="BG68" s="3"/>
      <c r="BH68" s="19"/>
      <c r="BI68" s="2"/>
      <c r="BJ68" s="3"/>
      <c r="BK68" s="18"/>
      <c r="BL68" s="2"/>
      <c r="BM68" s="2"/>
      <c r="BN68" s="2"/>
      <c r="BO68" s="2"/>
      <c r="BP68" s="2"/>
      <c r="BQ68" s="3"/>
    </row>
    <row r="69" ht="48" customHeight="1" spans="1:69">
      <c r="A69" s="17">
        <v>52</v>
      </c>
      <c r="B69" s="18" t="s">
        <v>512</v>
      </c>
      <c r="C69" s="2"/>
      <c r="D69" s="3"/>
      <c r="E69" s="18" t="s">
        <v>513</v>
      </c>
      <c r="F69" s="2"/>
      <c r="G69" s="2"/>
      <c r="H69" s="2"/>
      <c r="I69" s="3"/>
      <c r="J69" s="18"/>
      <c r="K69" s="2"/>
      <c r="L69" s="2"/>
      <c r="M69" s="2"/>
      <c r="N69" s="2"/>
      <c r="O69" s="2"/>
      <c r="P69" s="3"/>
      <c r="Q69" s="18"/>
      <c r="R69" s="2"/>
      <c r="S69" s="2"/>
      <c r="T69" s="2"/>
      <c r="U69" s="2"/>
      <c r="V69" s="2"/>
      <c r="W69" s="3"/>
      <c r="X69" s="18"/>
      <c r="Y69" s="2"/>
      <c r="Z69" s="2"/>
      <c r="AA69" s="2"/>
      <c r="AB69" s="2"/>
      <c r="AC69" s="2"/>
      <c r="AD69" s="3"/>
      <c r="AE69" s="19" t="s">
        <v>291</v>
      </c>
      <c r="AF69" s="3"/>
      <c r="AG69" s="19" t="s">
        <v>70</v>
      </c>
      <c r="AH69" s="2"/>
      <c r="AI69" s="3"/>
      <c r="AJ69" s="19"/>
      <c r="AK69" s="2"/>
      <c r="AL69" s="3"/>
      <c r="AM69" s="20" t="s">
        <v>274</v>
      </c>
      <c r="AN69" s="2"/>
      <c r="AO69" s="3"/>
      <c r="AP69" s="21">
        <v>46192</v>
      </c>
      <c r="AQ69" s="2"/>
      <c r="AR69" s="3"/>
      <c r="AS69" s="19"/>
      <c r="AT69" s="2"/>
      <c r="AU69" s="3"/>
      <c r="AV69" s="19" t="s">
        <v>67</v>
      </c>
      <c r="AW69" s="2"/>
      <c r="AX69" s="3"/>
      <c r="AY69" s="19"/>
      <c r="AZ69" s="2"/>
      <c r="BA69" s="3"/>
      <c r="BB69" s="19" t="s">
        <v>275</v>
      </c>
      <c r="BC69" s="2"/>
      <c r="BD69" s="3"/>
      <c r="BE69" s="21">
        <v>46245</v>
      </c>
      <c r="BF69" s="2"/>
      <c r="BG69" s="3"/>
      <c r="BH69" s="19"/>
      <c r="BI69" s="2"/>
      <c r="BJ69" s="3"/>
      <c r="BK69" s="18"/>
      <c r="BL69" s="2"/>
      <c r="BM69" s="2"/>
      <c r="BN69" s="2"/>
      <c r="BO69" s="2"/>
      <c r="BP69" s="2"/>
      <c r="BQ69" s="3"/>
    </row>
    <row r="70" ht="79.5" customHeight="1" spans="1:69">
      <c r="A70" s="17">
        <v>53</v>
      </c>
      <c r="B70" s="18" t="s">
        <v>514</v>
      </c>
      <c r="C70" s="2"/>
      <c r="D70" s="3"/>
      <c r="E70" s="18" t="s">
        <v>515</v>
      </c>
      <c r="F70" s="2"/>
      <c r="G70" s="2"/>
      <c r="H70" s="2"/>
      <c r="I70" s="3"/>
      <c r="J70" s="18"/>
      <c r="K70" s="2"/>
      <c r="L70" s="2"/>
      <c r="M70" s="2"/>
      <c r="N70" s="2"/>
      <c r="O70" s="2"/>
      <c r="P70" s="3"/>
      <c r="Q70" s="18"/>
      <c r="R70" s="2"/>
      <c r="S70" s="2"/>
      <c r="T70" s="2"/>
      <c r="U70" s="2"/>
      <c r="V70" s="2"/>
      <c r="W70" s="3"/>
      <c r="X70" s="18"/>
      <c r="Y70" s="2"/>
      <c r="Z70" s="2"/>
      <c r="AA70" s="2"/>
      <c r="AB70" s="2"/>
      <c r="AC70" s="2"/>
      <c r="AD70" s="3"/>
      <c r="AE70" s="19" t="s">
        <v>291</v>
      </c>
      <c r="AF70" s="3"/>
      <c r="AG70" s="19" t="s">
        <v>70</v>
      </c>
      <c r="AH70" s="2"/>
      <c r="AI70" s="3"/>
      <c r="AJ70" s="19"/>
      <c r="AK70" s="2"/>
      <c r="AL70" s="3"/>
      <c r="AM70" s="20" t="s">
        <v>274</v>
      </c>
      <c r="AN70" s="2"/>
      <c r="AO70" s="3"/>
      <c r="AP70" s="21">
        <v>46192</v>
      </c>
      <c r="AQ70" s="2"/>
      <c r="AR70" s="3"/>
      <c r="AS70" s="19"/>
      <c r="AT70" s="2"/>
      <c r="AU70" s="3"/>
      <c r="AV70" s="19" t="s">
        <v>67</v>
      </c>
      <c r="AW70" s="2"/>
      <c r="AX70" s="3"/>
      <c r="AY70" s="19"/>
      <c r="AZ70" s="2"/>
      <c r="BA70" s="3"/>
      <c r="BB70" s="19" t="s">
        <v>275</v>
      </c>
      <c r="BC70" s="2"/>
      <c r="BD70" s="3"/>
      <c r="BE70" s="21">
        <v>46245</v>
      </c>
      <c r="BF70" s="2"/>
      <c r="BG70" s="3"/>
      <c r="BH70" s="19"/>
      <c r="BI70" s="2"/>
      <c r="BJ70" s="3"/>
      <c r="BK70" s="18"/>
      <c r="BL70" s="2"/>
      <c r="BM70" s="2"/>
      <c r="BN70" s="2"/>
      <c r="BO70" s="2"/>
      <c r="BP70" s="2"/>
      <c r="BQ70" s="3"/>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73">
    <mergeCell ref="A1:E1"/>
    <mergeCell ref="F1:Q1"/>
    <mergeCell ref="R1:V1"/>
    <mergeCell ref="W1:AH1"/>
    <mergeCell ref="A2:E2"/>
    <mergeCell ref="F2:Q2"/>
    <mergeCell ref="R2:V2"/>
    <mergeCell ref="W2:AH2"/>
    <mergeCell ref="A3:E3"/>
    <mergeCell ref="F3:Q3"/>
    <mergeCell ref="R3:V3"/>
    <mergeCell ref="W3:AH3"/>
    <mergeCell ref="A4:E4"/>
    <mergeCell ref="F4:AH4"/>
    <mergeCell ref="A5:S5"/>
    <mergeCell ref="T5:AH5"/>
    <mergeCell ref="A6:G6"/>
    <mergeCell ref="H6:J6"/>
    <mergeCell ref="K6:M6"/>
    <mergeCell ref="N6:P6"/>
    <mergeCell ref="Q6:S6"/>
    <mergeCell ref="T6:V6"/>
    <mergeCell ref="W6:Y6"/>
    <mergeCell ref="Z6:AB6"/>
    <mergeCell ref="AC6:AE6"/>
    <mergeCell ref="AF6:AH6"/>
    <mergeCell ref="A7:G7"/>
    <mergeCell ref="H7:J7"/>
    <mergeCell ref="K7:M7"/>
    <mergeCell ref="N7:P7"/>
    <mergeCell ref="Q7:S7"/>
    <mergeCell ref="T7:V7"/>
    <mergeCell ref="W7:Y7"/>
    <mergeCell ref="Z7:AB7"/>
    <mergeCell ref="AC7:AE7"/>
    <mergeCell ref="AF7:AH7"/>
    <mergeCell ref="A8:G8"/>
    <mergeCell ref="H8:J8"/>
    <mergeCell ref="K8:M8"/>
    <mergeCell ref="N8:P8"/>
    <mergeCell ref="Q8:S8"/>
    <mergeCell ref="T8:V8"/>
    <mergeCell ref="W8:Y8"/>
    <mergeCell ref="Z8:AB8"/>
    <mergeCell ref="AC8:AE8"/>
    <mergeCell ref="AF8:AH8"/>
    <mergeCell ref="AG10:AU10"/>
    <mergeCell ref="AV10:BJ10"/>
    <mergeCell ref="AG11:AI11"/>
    <mergeCell ref="AJ11:AL11"/>
    <mergeCell ref="AM11:AO11"/>
    <mergeCell ref="AP11:AR11"/>
    <mergeCell ref="AS11:AU11"/>
    <mergeCell ref="AV11:AX11"/>
    <mergeCell ref="AY11:BA11"/>
    <mergeCell ref="BB11:BD11"/>
    <mergeCell ref="BE11:BG11"/>
    <mergeCell ref="BH11:BJ11"/>
    <mergeCell ref="A12:BQ12"/>
    <mergeCell ref="B13:D13"/>
    <mergeCell ref="E13:I13"/>
    <mergeCell ref="J13:P13"/>
    <mergeCell ref="Q13:W13"/>
    <mergeCell ref="X13:AD13"/>
    <mergeCell ref="AE13:AF13"/>
    <mergeCell ref="AG13:AI13"/>
    <mergeCell ref="AJ13:AL13"/>
    <mergeCell ref="AM13:AO13"/>
    <mergeCell ref="AP13:AR13"/>
    <mergeCell ref="AS13:AU13"/>
    <mergeCell ref="AV13:AX13"/>
    <mergeCell ref="AY13:BA13"/>
    <mergeCell ref="BB13:BD13"/>
    <mergeCell ref="BE13:BG13"/>
    <mergeCell ref="BH13:BJ13"/>
    <mergeCell ref="BK13:BQ13"/>
    <mergeCell ref="B14:D14"/>
    <mergeCell ref="E14:I14"/>
    <mergeCell ref="J14:P14"/>
    <mergeCell ref="Q14:W14"/>
    <mergeCell ref="X14:AD14"/>
    <mergeCell ref="AE14:AF14"/>
    <mergeCell ref="AG14:AI14"/>
    <mergeCell ref="AJ14:AL14"/>
    <mergeCell ref="AM14:AO14"/>
    <mergeCell ref="AP14:AR14"/>
    <mergeCell ref="AS14:AU14"/>
    <mergeCell ref="AV14:AX14"/>
    <mergeCell ref="AY14:BA14"/>
    <mergeCell ref="BB14:BD14"/>
    <mergeCell ref="BE14:BG14"/>
    <mergeCell ref="BH14:BJ14"/>
    <mergeCell ref="BK14:BQ14"/>
    <mergeCell ref="B15:D15"/>
    <mergeCell ref="E15:I15"/>
    <mergeCell ref="J15:P15"/>
    <mergeCell ref="Q15:W15"/>
    <mergeCell ref="X15:AD15"/>
    <mergeCell ref="AE15:AF15"/>
    <mergeCell ref="AG15:AI15"/>
    <mergeCell ref="AJ15:AL15"/>
    <mergeCell ref="AM15:AO15"/>
    <mergeCell ref="AP15:AR15"/>
    <mergeCell ref="AS15:AU15"/>
    <mergeCell ref="AV15:AX15"/>
    <mergeCell ref="AY15:BA15"/>
    <mergeCell ref="BB15:BD15"/>
    <mergeCell ref="BE15:BG15"/>
    <mergeCell ref="BH15:BJ15"/>
    <mergeCell ref="BK15:BQ15"/>
    <mergeCell ref="B16:D16"/>
    <mergeCell ref="E16:I16"/>
    <mergeCell ref="J16:P16"/>
    <mergeCell ref="Q16:W16"/>
    <mergeCell ref="X16:AD16"/>
    <mergeCell ref="AE16:AF16"/>
    <mergeCell ref="AG16:AI16"/>
    <mergeCell ref="AJ16:AL16"/>
    <mergeCell ref="AM16:AO16"/>
    <mergeCell ref="AP16:AR16"/>
    <mergeCell ref="AS16:AU16"/>
    <mergeCell ref="AV16:AX16"/>
    <mergeCell ref="AY16:BA16"/>
    <mergeCell ref="BB16:BD16"/>
    <mergeCell ref="BE16:BG16"/>
    <mergeCell ref="BH16:BJ16"/>
    <mergeCell ref="BK16:BQ16"/>
    <mergeCell ref="B17:D17"/>
    <mergeCell ref="E17:I17"/>
    <mergeCell ref="J17:P17"/>
    <mergeCell ref="Q17:W17"/>
    <mergeCell ref="X17:AD17"/>
    <mergeCell ref="AE17:AF17"/>
    <mergeCell ref="AG17:AI17"/>
    <mergeCell ref="AJ17:AL17"/>
    <mergeCell ref="AM17:AO17"/>
    <mergeCell ref="AP17:AR17"/>
    <mergeCell ref="AS17:AU17"/>
    <mergeCell ref="AV17:AX17"/>
    <mergeCell ref="AY17:BA17"/>
    <mergeCell ref="BB17:BD17"/>
    <mergeCell ref="BE17:BG17"/>
    <mergeCell ref="BH17:BJ17"/>
    <mergeCell ref="BK17:BQ17"/>
    <mergeCell ref="B18:D18"/>
    <mergeCell ref="E18:I18"/>
    <mergeCell ref="J18:P18"/>
    <mergeCell ref="Q18:W18"/>
    <mergeCell ref="X18:AD18"/>
    <mergeCell ref="AE18:AF18"/>
    <mergeCell ref="AG18:AI18"/>
    <mergeCell ref="AJ18:AL18"/>
    <mergeCell ref="AM18:AO18"/>
    <mergeCell ref="AP18:AR18"/>
    <mergeCell ref="AS18:AU18"/>
    <mergeCell ref="AV18:AX18"/>
    <mergeCell ref="AY18:BA18"/>
    <mergeCell ref="BB18:BD18"/>
    <mergeCell ref="BE18:BG18"/>
    <mergeCell ref="BH18:BJ18"/>
    <mergeCell ref="BK18:BQ18"/>
    <mergeCell ref="A19:BQ19"/>
    <mergeCell ref="B20:D20"/>
    <mergeCell ref="E20:I20"/>
    <mergeCell ref="J20:P20"/>
    <mergeCell ref="Q20:W20"/>
    <mergeCell ref="X20:AD20"/>
    <mergeCell ref="AE20:AF20"/>
    <mergeCell ref="AG20:AI20"/>
    <mergeCell ref="AJ20:AL20"/>
    <mergeCell ref="AM20:AO20"/>
    <mergeCell ref="AP20:AR20"/>
    <mergeCell ref="AS20:AU20"/>
    <mergeCell ref="AV20:AX20"/>
    <mergeCell ref="AY20:BA20"/>
    <mergeCell ref="BB20:BD20"/>
    <mergeCell ref="BE20:BG20"/>
    <mergeCell ref="BH20:BJ20"/>
    <mergeCell ref="BK20:BQ20"/>
    <mergeCell ref="B21:D21"/>
    <mergeCell ref="E21:I21"/>
    <mergeCell ref="J21:P21"/>
    <mergeCell ref="Q21:W21"/>
    <mergeCell ref="X21:AD21"/>
    <mergeCell ref="AE21:AF21"/>
    <mergeCell ref="AG21:AI21"/>
    <mergeCell ref="AJ21:AL21"/>
    <mergeCell ref="AM21:AO21"/>
    <mergeCell ref="AP21:AR21"/>
    <mergeCell ref="AS21:AU21"/>
    <mergeCell ref="AV21:AX21"/>
    <mergeCell ref="AY21:BA21"/>
    <mergeCell ref="BB21:BD21"/>
    <mergeCell ref="BE21:BG21"/>
    <mergeCell ref="BH21:BJ21"/>
    <mergeCell ref="BK21:BQ21"/>
    <mergeCell ref="B22:D22"/>
    <mergeCell ref="E22:I22"/>
    <mergeCell ref="J22:P22"/>
    <mergeCell ref="Q22:W22"/>
    <mergeCell ref="X22:AD22"/>
    <mergeCell ref="AE22:AF22"/>
    <mergeCell ref="AG22:AI22"/>
    <mergeCell ref="AJ22:AL22"/>
    <mergeCell ref="AM22:AO22"/>
    <mergeCell ref="AP22:AR22"/>
    <mergeCell ref="AS22:AU22"/>
    <mergeCell ref="AV22:AX22"/>
    <mergeCell ref="AY22:BA22"/>
    <mergeCell ref="BB22:BD22"/>
    <mergeCell ref="BE22:BG22"/>
    <mergeCell ref="BH22:BJ22"/>
    <mergeCell ref="BK22:BQ22"/>
    <mergeCell ref="B23:D23"/>
    <mergeCell ref="E23:I23"/>
    <mergeCell ref="J23:P23"/>
    <mergeCell ref="Q23:W23"/>
    <mergeCell ref="X23:AD23"/>
    <mergeCell ref="AE23:AF23"/>
    <mergeCell ref="AG23:AI23"/>
    <mergeCell ref="AJ23:AL23"/>
    <mergeCell ref="AM23:AO23"/>
    <mergeCell ref="AP23:AR23"/>
    <mergeCell ref="AS23:AU23"/>
    <mergeCell ref="AV23:AX23"/>
    <mergeCell ref="AY23:BA23"/>
    <mergeCell ref="BB23:BD23"/>
    <mergeCell ref="BE23:BG23"/>
    <mergeCell ref="BH23:BJ23"/>
    <mergeCell ref="BK23:BQ23"/>
    <mergeCell ref="B24:D24"/>
    <mergeCell ref="E24:I24"/>
    <mergeCell ref="J24:P24"/>
    <mergeCell ref="Q24:W24"/>
    <mergeCell ref="X24:AD24"/>
    <mergeCell ref="AE24:AF24"/>
    <mergeCell ref="AG24:AI24"/>
    <mergeCell ref="AJ24:AL24"/>
    <mergeCell ref="AM24:AO24"/>
    <mergeCell ref="AP24:AR24"/>
    <mergeCell ref="AS24:AU24"/>
    <mergeCell ref="AV24:AX24"/>
    <mergeCell ref="AY24:BA24"/>
    <mergeCell ref="BB24:BD24"/>
    <mergeCell ref="BE24:BG24"/>
    <mergeCell ref="BH24:BJ24"/>
    <mergeCell ref="BK24:BQ24"/>
    <mergeCell ref="B25:D25"/>
    <mergeCell ref="E25:I25"/>
    <mergeCell ref="J25:P25"/>
    <mergeCell ref="Q25:W25"/>
    <mergeCell ref="X25:AD25"/>
    <mergeCell ref="AE25:AF25"/>
    <mergeCell ref="AG25:AI25"/>
    <mergeCell ref="AJ25:AL25"/>
    <mergeCell ref="AM25:AO25"/>
    <mergeCell ref="AP25:AR25"/>
    <mergeCell ref="AS25:AU25"/>
    <mergeCell ref="AV25:AX25"/>
    <mergeCell ref="AY25:BA25"/>
    <mergeCell ref="BB25:BD25"/>
    <mergeCell ref="BE25:BG25"/>
    <mergeCell ref="BH25:BJ25"/>
    <mergeCell ref="BK25:BQ25"/>
    <mergeCell ref="B26:D26"/>
    <mergeCell ref="E26:I26"/>
    <mergeCell ref="J26:P26"/>
    <mergeCell ref="Q26:W26"/>
    <mergeCell ref="X26:AD26"/>
    <mergeCell ref="AE26:AF26"/>
    <mergeCell ref="AG26:AI26"/>
    <mergeCell ref="AJ26:AL26"/>
    <mergeCell ref="AM26:AO26"/>
    <mergeCell ref="AP26:AR26"/>
    <mergeCell ref="AS26:AU26"/>
    <mergeCell ref="AV26:AX26"/>
    <mergeCell ref="AY26:BA26"/>
    <mergeCell ref="BB26:BD26"/>
    <mergeCell ref="BE26:BG26"/>
    <mergeCell ref="BH26:BJ26"/>
    <mergeCell ref="BK26:BQ26"/>
    <mergeCell ref="A27:BQ27"/>
    <mergeCell ref="B28:D28"/>
    <mergeCell ref="E28:I28"/>
    <mergeCell ref="J28:P28"/>
    <mergeCell ref="Q28:W28"/>
    <mergeCell ref="X28:AD28"/>
    <mergeCell ref="AE28:AF28"/>
    <mergeCell ref="AG28:AI28"/>
    <mergeCell ref="AJ28:AL28"/>
    <mergeCell ref="AM28:AO28"/>
    <mergeCell ref="AP28:AR28"/>
    <mergeCell ref="AS28:AU28"/>
    <mergeCell ref="AV28:AX28"/>
    <mergeCell ref="AY28:BA28"/>
    <mergeCell ref="BB28:BD28"/>
    <mergeCell ref="BE28:BG28"/>
    <mergeCell ref="BH28:BJ28"/>
    <mergeCell ref="BK28:BQ28"/>
    <mergeCell ref="B29:D29"/>
    <mergeCell ref="E29:I29"/>
    <mergeCell ref="J29:P29"/>
    <mergeCell ref="Q29:W29"/>
    <mergeCell ref="X29:AD29"/>
    <mergeCell ref="AE29:AF29"/>
    <mergeCell ref="AG29:AI29"/>
    <mergeCell ref="AJ29:AL29"/>
    <mergeCell ref="AM29:AO29"/>
    <mergeCell ref="AP29:AR29"/>
    <mergeCell ref="AS29:AU29"/>
    <mergeCell ref="AV29:AX29"/>
    <mergeCell ref="AY29:BA29"/>
    <mergeCell ref="BB29:BD29"/>
    <mergeCell ref="BE29:BG29"/>
    <mergeCell ref="BH29:BJ29"/>
    <mergeCell ref="BK29:BQ29"/>
    <mergeCell ref="B30:D30"/>
    <mergeCell ref="E30:I30"/>
    <mergeCell ref="J30:P30"/>
    <mergeCell ref="Q30:W30"/>
    <mergeCell ref="X30:AD30"/>
    <mergeCell ref="AE30:AF30"/>
    <mergeCell ref="AG30:AI30"/>
    <mergeCell ref="AJ30:AL30"/>
    <mergeCell ref="AM30:AO30"/>
    <mergeCell ref="AP30:AR30"/>
    <mergeCell ref="AS30:AU30"/>
    <mergeCell ref="AV30:AX30"/>
    <mergeCell ref="AY30:BA30"/>
    <mergeCell ref="BB30:BD30"/>
    <mergeCell ref="BE30:BG30"/>
    <mergeCell ref="BH30:BJ30"/>
    <mergeCell ref="BK30:BQ30"/>
    <mergeCell ref="B31:D31"/>
    <mergeCell ref="E31:I31"/>
    <mergeCell ref="J31:P31"/>
    <mergeCell ref="Q31:W31"/>
    <mergeCell ref="X31:AD31"/>
    <mergeCell ref="AE31:AF31"/>
    <mergeCell ref="AG31:AI31"/>
    <mergeCell ref="AJ31:AL31"/>
    <mergeCell ref="AM31:AO31"/>
    <mergeCell ref="AP31:AR31"/>
    <mergeCell ref="AS31:AU31"/>
    <mergeCell ref="AV31:AX31"/>
    <mergeCell ref="AY31:BA31"/>
    <mergeCell ref="BB31:BD31"/>
    <mergeCell ref="BE31:BG31"/>
    <mergeCell ref="BH31:BJ31"/>
    <mergeCell ref="BK31:BQ31"/>
    <mergeCell ref="B32:D32"/>
    <mergeCell ref="E32:I32"/>
    <mergeCell ref="J32:P32"/>
    <mergeCell ref="Q32:W32"/>
    <mergeCell ref="X32:AD32"/>
    <mergeCell ref="AE32:AF32"/>
    <mergeCell ref="AG32:AI32"/>
    <mergeCell ref="AJ32:AL32"/>
    <mergeCell ref="AM32:AO32"/>
    <mergeCell ref="AP32:AR32"/>
    <mergeCell ref="AS32:AU32"/>
    <mergeCell ref="AV32:AX32"/>
    <mergeCell ref="AY32:BA32"/>
    <mergeCell ref="BB32:BD32"/>
    <mergeCell ref="BE32:BG32"/>
    <mergeCell ref="BH32:BJ32"/>
    <mergeCell ref="BK32:BQ32"/>
    <mergeCell ref="B33:D33"/>
    <mergeCell ref="E33:I33"/>
    <mergeCell ref="J33:P33"/>
    <mergeCell ref="Q33:W33"/>
    <mergeCell ref="X33:AD33"/>
    <mergeCell ref="AE33:AF33"/>
    <mergeCell ref="AG33:AI33"/>
    <mergeCell ref="AJ33:AL33"/>
    <mergeCell ref="AM33:AO33"/>
    <mergeCell ref="AP33:AR33"/>
    <mergeCell ref="AS33:AU33"/>
    <mergeCell ref="AV33:AX33"/>
    <mergeCell ref="AY33:BA33"/>
    <mergeCell ref="BB33:BD33"/>
    <mergeCell ref="BE33:BG33"/>
    <mergeCell ref="BH33:BJ33"/>
    <mergeCell ref="BK33:BQ33"/>
    <mergeCell ref="B34:D34"/>
    <mergeCell ref="E34:I34"/>
    <mergeCell ref="J34:P34"/>
    <mergeCell ref="Q34:W34"/>
    <mergeCell ref="X34:AD34"/>
    <mergeCell ref="AE34:AF34"/>
    <mergeCell ref="AG34:AI34"/>
    <mergeCell ref="AJ34:AL34"/>
    <mergeCell ref="AM34:AO34"/>
    <mergeCell ref="AP34:AR34"/>
    <mergeCell ref="AS34:AU34"/>
    <mergeCell ref="AV34:AX34"/>
    <mergeCell ref="AY34:BA34"/>
    <mergeCell ref="BB34:BD34"/>
    <mergeCell ref="BE34:BG34"/>
    <mergeCell ref="BH34:BJ34"/>
    <mergeCell ref="BK34:BQ34"/>
    <mergeCell ref="B35:D35"/>
    <mergeCell ref="E35:I35"/>
    <mergeCell ref="J35:P35"/>
    <mergeCell ref="Q35:W35"/>
    <mergeCell ref="X35:AD35"/>
    <mergeCell ref="AE35:AF35"/>
    <mergeCell ref="AG35:AI35"/>
    <mergeCell ref="AJ35:AL35"/>
    <mergeCell ref="AM35:AO35"/>
    <mergeCell ref="AP35:AR35"/>
    <mergeCell ref="AS35:AU35"/>
    <mergeCell ref="AV35:AX35"/>
    <mergeCell ref="AY35:BA35"/>
    <mergeCell ref="BB35:BD35"/>
    <mergeCell ref="BE35:BG35"/>
    <mergeCell ref="BH35:BJ35"/>
    <mergeCell ref="BK35:BQ35"/>
    <mergeCell ref="B36:D36"/>
    <mergeCell ref="E36:I36"/>
    <mergeCell ref="J36:P36"/>
    <mergeCell ref="Q36:W36"/>
    <mergeCell ref="X36:AD36"/>
    <mergeCell ref="AE36:AF36"/>
    <mergeCell ref="AG36:AI36"/>
    <mergeCell ref="AJ36:AL36"/>
    <mergeCell ref="AM36:AO36"/>
    <mergeCell ref="AP36:AR36"/>
    <mergeCell ref="AS36:AU36"/>
    <mergeCell ref="AV36:AX36"/>
    <mergeCell ref="AY36:BA36"/>
    <mergeCell ref="BB36:BD36"/>
    <mergeCell ref="BE36:BG36"/>
    <mergeCell ref="BH36:BJ36"/>
    <mergeCell ref="BK36:BQ36"/>
    <mergeCell ref="B37:D37"/>
    <mergeCell ref="E37:I37"/>
    <mergeCell ref="J37:P37"/>
    <mergeCell ref="Q37:W37"/>
    <mergeCell ref="X37:AD37"/>
    <mergeCell ref="AE37:AF37"/>
    <mergeCell ref="AG37:AI37"/>
    <mergeCell ref="AJ37:AL37"/>
    <mergeCell ref="AM37:AO37"/>
    <mergeCell ref="AP37:AR37"/>
    <mergeCell ref="AS37:AU37"/>
    <mergeCell ref="AV37:AX37"/>
    <mergeCell ref="AY37:BA37"/>
    <mergeCell ref="BB37:BD37"/>
    <mergeCell ref="BE37:BG37"/>
    <mergeCell ref="BH37:BJ37"/>
    <mergeCell ref="BK37:BQ37"/>
    <mergeCell ref="A38:BQ38"/>
    <mergeCell ref="B39:D39"/>
    <mergeCell ref="E39:I39"/>
    <mergeCell ref="J39:P39"/>
    <mergeCell ref="Q39:W39"/>
    <mergeCell ref="X39:AD39"/>
    <mergeCell ref="AE39:AF39"/>
    <mergeCell ref="AG39:AI39"/>
    <mergeCell ref="AJ39:AL39"/>
    <mergeCell ref="AM39:AO39"/>
    <mergeCell ref="AP39:AR39"/>
    <mergeCell ref="AS39:AU39"/>
    <mergeCell ref="AV39:AX39"/>
    <mergeCell ref="AY39:BA39"/>
    <mergeCell ref="BB39:BD39"/>
    <mergeCell ref="BE39:BG39"/>
    <mergeCell ref="BH39:BJ39"/>
    <mergeCell ref="BK39:BQ39"/>
    <mergeCell ref="B40:D40"/>
    <mergeCell ref="E40:I40"/>
    <mergeCell ref="J40:P40"/>
    <mergeCell ref="Q40:W40"/>
    <mergeCell ref="X40:AD40"/>
    <mergeCell ref="AE40:AF40"/>
    <mergeCell ref="AG40:AI40"/>
    <mergeCell ref="AJ40:AL40"/>
    <mergeCell ref="AM40:AO40"/>
    <mergeCell ref="AP40:AR40"/>
    <mergeCell ref="AS40:AU40"/>
    <mergeCell ref="AV40:AX40"/>
    <mergeCell ref="AY40:BA40"/>
    <mergeCell ref="BB40:BD40"/>
    <mergeCell ref="BE40:BG40"/>
    <mergeCell ref="BH40:BJ40"/>
    <mergeCell ref="BK40:BQ40"/>
    <mergeCell ref="B41:D41"/>
    <mergeCell ref="E41:I41"/>
    <mergeCell ref="J41:P41"/>
    <mergeCell ref="Q41:W41"/>
    <mergeCell ref="X41:AD41"/>
    <mergeCell ref="AE41:AF41"/>
    <mergeCell ref="AG41:AI41"/>
    <mergeCell ref="AJ41:AL41"/>
    <mergeCell ref="AM41:AO41"/>
    <mergeCell ref="AP41:AR41"/>
    <mergeCell ref="AS41:AU41"/>
    <mergeCell ref="AV41:AX41"/>
    <mergeCell ref="AY41:BA41"/>
    <mergeCell ref="BB41:BD41"/>
    <mergeCell ref="BE41:BG41"/>
    <mergeCell ref="BH41:BJ41"/>
    <mergeCell ref="BK41:BQ41"/>
    <mergeCell ref="B42:D42"/>
    <mergeCell ref="E42:I42"/>
    <mergeCell ref="J42:P42"/>
    <mergeCell ref="Q42:W42"/>
    <mergeCell ref="X42:AD42"/>
    <mergeCell ref="AE42:AF42"/>
    <mergeCell ref="AG42:AI42"/>
    <mergeCell ref="AJ42:AL42"/>
    <mergeCell ref="AM42:AO42"/>
    <mergeCell ref="AP42:AR42"/>
    <mergeCell ref="AS42:AU42"/>
    <mergeCell ref="AV42:AX42"/>
    <mergeCell ref="AY42:BA42"/>
    <mergeCell ref="BB42:BD42"/>
    <mergeCell ref="BE42:BG42"/>
    <mergeCell ref="BH42:BJ42"/>
    <mergeCell ref="BK42:BQ42"/>
    <mergeCell ref="B43:D43"/>
    <mergeCell ref="E43:I43"/>
    <mergeCell ref="J43:P43"/>
    <mergeCell ref="Q43:W43"/>
    <mergeCell ref="X43:AD43"/>
    <mergeCell ref="AE43:AF43"/>
    <mergeCell ref="AG43:AI43"/>
    <mergeCell ref="AJ43:AL43"/>
    <mergeCell ref="AM43:AO43"/>
    <mergeCell ref="AP43:AR43"/>
    <mergeCell ref="AS43:AU43"/>
    <mergeCell ref="AV43:AX43"/>
    <mergeCell ref="AY43:BA43"/>
    <mergeCell ref="BB43:BD43"/>
    <mergeCell ref="BE43:BG43"/>
    <mergeCell ref="BH43:BJ43"/>
    <mergeCell ref="BK43:BQ43"/>
    <mergeCell ref="A44:BQ44"/>
    <mergeCell ref="B45:D45"/>
    <mergeCell ref="E45:I45"/>
    <mergeCell ref="J45:P45"/>
    <mergeCell ref="Q45:W45"/>
    <mergeCell ref="X45:AD45"/>
    <mergeCell ref="AE45:AF45"/>
    <mergeCell ref="AG45:AI45"/>
    <mergeCell ref="AJ45:AL45"/>
    <mergeCell ref="AM45:AO45"/>
    <mergeCell ref="AP45:AR45"/>
    <mergeCell ref="AS45:AU45"/>
    <mergeCell ref="AV45:AX45"/>
    <mergeCell ref="AY45:BA45"/>
    <mergeCell ref="BB45:BD45"/>
    <mergeCell ref="BE45:BG45"/>
    <mergeCell ref="BH45:BJ45"/>
    <mergeCell ref="BK45:BQ45"/>
    <mergeCell ref="B46:D46"/>
    <mergeCell ref="E46:I46"/>
    <mergeCell ref="J46:P46"/>
    <mergeCell ref="Q46:W46"/>
    <mergeCell ref="X46:AD46"/>
    <mergeCell ref="AE46:AF46"/>
    <mergeCell ref="AG46:AI46"/>
    <mergeCell ref="AJ46:AL46"/>
    <mergeCell ref="AM46:AO46"/>
    <mergeCell ref="AP46:AR46"/>
    <mergeCell ref="AS46:AU46"/>
    <mergeCell ref="AV46:AX46"/>
    <mergeCell ref="AY46:BA46"/>
    <mergeCell ref="BB46:BD46"/>
    <mergeCell ref="BE46:BG46"/>
    <mergeCell ref="BH46:BJ46"/>
    <mergeCell ref="BK46:BQ46"/>
    <mergeCell ref="B47:D47"/>
    <mergeCell ref="E47:I47"/>
    <mergeCell ref="J47:P47"/>
    <mergeCell ref="Q47:W47"/>
    <mergeCell ref="X47:AD47"/>
    <mergeCell ref="AE47:AF47"/>
    <mergeCell ref="AG47:AI47"/>
    <mergeCell ref="AJ47:AL47"/>
    <mergeCell ref="AM47:AO47"/>
    <mergeCell ref="AP47:AR47"/>
    <mergeCell ref="AS47:AU47"/>
    <mergeCell ref="AV47:AX47"/>
    <mergeCell ref="AY47:BA47"/>
    <mergeCell ref="BB47:BD47"/>
    <mergeCell ref="BE47:BG47"/>
    <mergeCell ref="BH47:BJ47"/>
    <mergeCell ref="BK47:BQ47"/>
    <mergeCell ref="B48:D48"/>
    <mergeCell ref="E48:I48"/>
    <mergeCell ref="J48:P48"/>
    <mergeCell ref="Q48:W48"/>
    <mergeCell ref="X48:AD48"/>
    <mergeCell ref="AE48:AF48"/>
    <mergeCell ref="AG48:AI48"/>
    <mergeCell ref="AJ48:AL48"/>
    <mergeCell ref="AM48:AO48"/>
    <mergeCell ref="AP48:AR48"/>
    <mergeCell ref="AS48:AU48"/>
    <mergeCell ref="AV48:AX48"/>
    <mergeCell ref="AY48:BA48"/>
    <mergeCell ref="BB48:BD48"/>
    <mergeCell ref="BE48:BG48"/>
    <mergeCell ref="BH48:BJ48"/>
    <mergeCell ref="BK48:BQ48"/>
    <mergeCell ref="B49:D49"/>
    <mergeCell ref="E49:I49"/>
    <mergeCell ref="J49:P49"/>
    <mergeCell ref="Q49:W49"/>
    <mergeCell ref="X49:AD49"/>
    <mergeCell ref="AE49:AF49"/>
    <mergeCell ref="AG49:AI49"/>
    <mergeCell ref="AJ49:AL49"/>
    <mergeCell ref="AM49:AO49"/>
    <mergeCell ref="AP49:AR49"/>
    <mergeCell ref="AS49:AU49"/>
    <mergeCell ref="AV49:AX49"/>
    <mergeCell ref="AY49:BA49"/>
    <mergeCell ref="BB49:BD49"/>
    <mergeCell ref="BE49:BG49"/>
    <mergeCell ref="BH49:BJ49"/>
    <mergeCell ref="BK49:BQ49"/>
    <mergeCell ref="B50:D50"/>
    <mergeCell ref="E50:I50"/>
    <mergeCell ref="J50:P50"/>
    <mergeCell ref="Q50:W50"/>
    <mergeCell ref="X50:AD50"/>
    <mergeCell ref="AE50:AF50"/>
    <mergeCell ref="AG50:AI50"/>
    <mergeCell ref="AJ50:AL50"/>
    <mergeCell ref="AM50:AO50"/>
    <mergeCell ref="AP50:AR50"/>
    <mergeCell ref="AS50:AU50"/>
    <mergeCell ref="AV50:AX50"/>
    <mergeCell ref="AY50:BA50"/>
    <mergeCell ref="BB50:BD50"/>
    <mergeCell ref="BE50:BG50"/>
    <mergeCell ref="BH50:BJ50"/>
    <mergeCell ref="BK50:BQ50"/>
    <mergeCell ref="B51:D51"/>
    <mergeCell ref="E51:I51"/>
    <mergeCell ref="J51:P51"/>
    <mergeCell ref="Q51:W51"/>
    <mergeCell ref="X51:AD51"/>
    <mergeCell ref="AE51:AF51"/>
    <mergeCell ref="AG51:AI51"/>
    <mergeCell ref="AJ51:AL51"/>
    <mergeCell ref="AM51:AO51"/>
    <mergeCell ref="AP51:AR51"/>
    <mergeCell ref="AS51:AU51"/>
    <mergeCell ref="AV51:AX51"/>
    <mergeCell ref="AY51:BA51"/>
    <mergeCell ref="BB51:BD51"/>
    <mergeCell ref="BE51:BG51"/>
    <mergeCell ref="BH51:BJ51"/>
    <mergeCell ref="BK51:BQ51"/>
    <mergeCell ref="B52:D52"/>
    <mergeCell ref="E52:I52"/>
    <mergeCell ref="J52:P52"/>
    <mergeCell ref="Q52:W52"/>
    <mergeCell ref="X52:AD52"/>
    <mergeCell ref="AE52:AF52"/>
    <mergeCell ref="AG52:AI52"/>
    <mergeCell ref="AJ52:AL52"/>
    <mergeCell ref="AM52:AO52"/>
    <mergeCell ref="AP52:AR52"/>
    <mergeCell ref="AS52:AU52"/>
    <mergeCell ref="AV52:AX52"/>
    <mergeCell ref="AY52:BA52"/>
    <mergeCell ref="BB52:BD52"/>
    <mergeCell ref="BE52:BG52"/>
    <mergeCell ref="BH52:BJ52"/>
    <mergeCell ref="BK52:BQ52"/>
    <mergeCell ref="A53:BQ53"/>
    <mergeCell ref="B54:D54"/>
    <mergeCell ref="E54:I54"/>
    <mergeCell ref="J54:P54"/>
    <mergeCell ref="Q54:W54"/>
    <mergeCell ref="X54:AD54"/>
    <mergeCell ref="AE54:AF54"/>
    <mergeCell ref="AG54:AI54"/>
    <mergeCell ref="AJ54:AL54"/>
    <mergeCell ref="AM54:AO54"/>
    <mergeCell ref="AP54:AR54"/>
    <mergeCell ref="AS54:AU54"/>
    <mergeCell ref="AV54:AX54"/>
    <mergeCell ref="AY54:BA54"/>
    <mergeCell ref="BB54:BD54"/>
    <mergeCell ref="BE54:BG54"/>
    <mergeCell ref="BH54:BJ54"/>
    <mergeCell ref="BK54:BQ54"/>
    <mergeCell ref="B55:D55"/>
    <mergeCell ref="E55:I55"/>
    <mergeCell ref="J55:P55"/>
    <mergeCell ref="Q55:W55"/>
    <mergeCell ref="X55:AD55"/>
    <mergeCell ref="AE55:AF55"/>
    <mergeCell ref="AG55:AI55"/>
    <mergeCell ref="AJ55:AL55"/>
    <mergeCell ref="AM55:AO55"/>
    <mergeCell ref="AP55:AR55"/>
    <mergeCell ref="AS55:AU55"/>
    <mergeCell ref="AV55:AX55"/>
    <mergeCell ref="AY55:BA55"/>
    <mergeCell ref="BB55:BD55"/>
    <mergeCell ref="BE55:BG55"/>
    <mergeCell ref="BH55:BJ55"/>
    <mergeCell ref="BK55:BQ55"/>
    <mergeCell ref="B56:D56"/>
    <mergeCell ref="E56:I56"/>
    <mergeCell ref="J56:P56"/>
    <mergeCell ref="Q56:W56"/>
    <mergeCell ref="X56:AD56"/>
    <mergeCell ref="AE56:AF56"/>
    <mergeCell ref="AG56:AI56"/>
    <mergeCell ref="AJ56:AL56"/>
    <mergeCell ref="AM56:AO56"/>
    <mergeCell ref="AP56:AR56"/>
    <mergeCell ref="AS56:AU56"/>
    <mergeCell ref="AV56:AX56"/>
    <mergeCell ref="AY56:BA56"/>
    <mergeCell ref="BB56:BD56"/>
    <mergeCell ref="BE56:BG56"/>
    <mergeCell ref="BH56:BJ56"/>
    <mergeCell ref="BK56:BQ56"/>
    <mergeCell ref="B57:D57"/>
    <mergeCell ref="E57:I57"/>
    <mergeCell ref="J57:P57"/>
    <mergeCell ref="Q57:W57"/>
    <mergeCell ref="X57:AD57"/>
    <mergeCell ref="AE57:AF57"/>
    <mergeCell ref="AG57:AI57"/>
    <mergeCell ref="AJ57:AL57"/>
    <mergeCell ref="AM57:AO57"/>
    <mergeCell ref="AP57:AR57"/>
    <mergeCell ref="AS57:AU57"/>
    <mergeCell ref="AV57:AX57"/>
    <mergeCell ref="AY57:BA57"/>
    <mergeCell ref="BB57:BD57"/>
    <mergeCell ref="BE57:BG57"/>
    <mergeCell ref="BH57:BJ57"/>
    <mergeCell ref="BK57:BQ57"/>
    <mergeCell ref="B58:D58"/>
    <mergeCell ref="E58:I58"/>
    <mergeCell ref="J58:P58"/>
    <mergeCell ref="Q58:W58"/>
    <mergeCell ref="X58:AD58"/>
    <mergeCell ref="AE58:AF58"/>
    <mergeCell ref="AG58:AI58"/>
    <mergeCell ref="AJ58:AL58"/>
    <mergeCell ref="AM58:AO58"/>
    <mergeCell ref="AP58:AR58"/>
    <mergeCell ref="AS58:AU58"/>
    <mergeCell ref="AV58:AX58"/>
    <mergeCell ref="AY58:BA58"/>
    <mergeCell ref="BB58:BD58"/>
    <mergeCell ref="BE58:BG58"/>
    <mergeCell ref="BH58:BJ58"/>
    <mergeCell ref="BK58:BQ58"/>
    <mergeCell ref="B59:D59"/>
    <mergeCell ref="E59:I59"/>
    <mergeCell ref="J59:P59"/>
    <mergeCell ref="Q59:W59"/>
    <mergeCell ref="X59:AD59"/>
    <mergeCell ref="AE59:AF59"/>
    <mergeCell ref="AG59:AI59"/>
    <mergeCell ref="AJ59:AL59"/>
    <mergeCell ref="AM59:AO59"/>
    <mergeCell ref="AP59:AR59"/>
    <mergeCell ref="AS59:AU59"/>
    <mergeCell ref="AV59:AX59"/>
    <mergeCell ref="AY59:BA59"/>
    <mergeCell ref="BB59:BD59"/>
    <mergeCell ref="BE59:BG59"/>
    <mergeCell ref="BH59:BJ59"/>
    <mergeCell ref="BK59:BQ59"/>
    <mergeCell ref="B60:D60"/>
    <mergeCell ref="E60:I60"/>
    <mergeCell ref="J60:P60"/>
    <mergeCell ref="Q60:W60"/>
    <mergeCell ref="X60:AD60"/>
    <mergeCell ref="AE60:AF60"/>
    <mergeCell ref="AG60:AI60"/>
    <mergeCell ref="AJ60:AL60"/>
    <mergeCell ref="AM60:AO60"/>
    <mergeCell ref="AP60:AR60"/>
    <mergeCell ref="AS60:AU60"/>
    <mergeCell ref="AV60:AX60"/>
    <mergeCell ref="AY60:BA60"/>
    <mergeCell ref="BB60:BD60"/>
    <mergeCell ref="BE60:BG60"/>
    <mergeCell ref="BH60:BJ60"/>
    <mergeCell ref="BK60:BQ60"/>
    <mergeCell ref="B61:D61"/>
    <mergeCell ref="E61:I61"/>
    <mergeCell ref="J61:P61"/>
    <mergeCell ref="Q61:W61"/>
    <mergeCell ref="X61:AD61"/>
    <mergeCell ref="AE61:AF61"/>
    <mergeCell ref="AG61:AI61"/>
    <mergeCell ref="AJ61:AL61"/>
    <mergeCell ref="AM61:AO61"/>
    <mergeCell ref="AP61:AR61"/>
    <mergeCell ref="AS61:AU61"/>
    <mergeCell ref="AV61:AX61"/>
    <mergeCell ref="AY61:BA61"/>
    <mergeCell ref="BB61:BD61"/>
    <mergeCell ref="BE61:BG61"/>
    <mergeCell ref="BH61:BJ61"/>
    <mergeCell ref="BK61:BQ61"/>
    <mergeCell ref="B62:D62"/>
    <mergeCell ref="E62:I62"/>
    <mergeCell ref="J62:P62"/>
    <mergeCell ref="Q62:W62"/>
    <mergeCell ref="X62:AD62"/>
    <mergeCell ref="AE62:AF62"/>
    <mergeCell ref="AG62:AI62"/>
    <mergeCell ref="AJ62:AL62"/>
    <mergeCell ref="AM62:AO62"/>
    <mergeCell ref="AP62:AR62"/>
    <mergeCell ref="AS62:AU62"/>
    <mergeCell ref="AV62:AX62"/>
    <mergeCell ref="AY62:BA62"/>
    <mergeCell ref="BB62:BD62"/>
    <mergeCell ref="BE62:BG62"/>
    <mergeCell ref="BH62:BJ62"/>
    <mergeCell ref="BK62:BQ62"/>
    <mergeCell ref="B63:D63"/>
    <mergeCell ref="E63:I63"/>
    <mergeCell ref="J63:P63"/>
    <mergeCell ref="Q63:W63"/>
    <mergeCell ref="X63:AD63"/>
    <mergeCell ref="AE63:AF63"/>
    <mergeCell ref="AG63:AI63"/>
    <mergeCell ref="AJ63:AL63"/>
    <mergeCell ref="AM63:AO63"/>
    <mergeCell ref="AP63:AR63"/>
    <mergeCell ref="AS63:AU63"/>
    <mergeCell ref="AV63:AX63"/>
    <mergeCell ref="AY63:BA63"/>
    <mergeCell ref="BB63:BD63"/>
    <mergeCell ref="BE63:BG63"/>
    <mergeCell ref="BH63:BJ63"/>
    <mergeCell ref="BK63:BQ63"/>
    <mergeCell ref="B64:D64"/>
    <mergeCell ref="E64:I64"/>
    <mergeCell ref="J64:P64"/>
    <mergeCell ref="Q64:W64"/>
    <mergeCell ref="X64:AD64"/>
    <mergeCell ref="AE64:AF64"/>
    <mergeCell ref="AG64:AI64"/>
    <mergeCell ref="AJ64:AL64"/>
    <mergeCell ref="AM64:AO64"/>
    <mergeCell ref="AP64:AR64"/>
    <mergeCell ref="AS64:AU64"/>
    <mergeCell ref="AV64:AX64"/>
    <mergeCell ref="AY64:BA64"/>
    <mergeCell ref="BB64:BD64"/>
    <mergeCell ref="BE64:BG64"/>
    <mergeCell ref="BH64:BJ64"/>
    <mergeCell ref="BK64:BQ64"/>
    <mergeCell ref="B65:D65"/>
    <mergeCell ref="E65:I65"/>
    <mergeCell ref="J65:P65"/>
    <mergeCell ref="Q65:W65"/>
    <mergeCell ref="X65:AD65"/>
    <mergeCell ref="AE65:AF65"/>
    <mergeCell ref="AG65:AI65"/>
    <mergeCell ref="AJ65:AL65"/>
    <mergeCell ref="AM65:AO65"/>
    <mergeCell ref="AP65:AR65"/>
    <mergeCell ref="AS65:AU65"/>
    <mergeCell ref="AV65:AX65"/>
    <mergeCell ref="AY65:BA65"/>
    <mergeCell ref="BB65:BD65"/>
    <mergeCell ref="BE65:BG65"/>
    <mergeCell ref="BH65:BJ65"/>
    <mergeCell ref="BK65:BQ65"/>
    <mergeCell ref="B66:D66"/>
    <mergeCell ref="E66:I66"/>
    <mergeCell ref="J66:P66"/>
    <mergeCell ref="Q66:W66"/>
    <mergeCell ref="X66:AD66"/>
    <mergeCell ref="AE66:AF66"/>
    <mergeCell ref="AG66:AI66"/>
    <mergeCell ref="AJ66:AL66"/>
    <mergeCell ref="AM66:AO66"/>
    <mergeCell ref="AP66:AR66"/>
    <mergeCell ref="AS66:AU66"/>
    <mergeCell ref="AV66:AX66"/>
    <mergeCell ref="AY66:BA66"/>
    <mergeCell ref="BB66:BD66"/>
    <mergeCell ref="BE66:BG66"/>
    <mergeCell ref="BH66:BJ66"/>
    <mergeCell ref="BK66:BQ66"/>
    <mergeCell ref="B67:D67"/>
    <mergeCell ref="E67:I67"/>
    <mergeCell ref="J67:P67"/>
    <mergeCell ref="Q67:W67"/>
    <mergeCell ref="X67:AD67"/>
    <mergeCell ref="AE67:AF67"/>
    <mergeCell ref="AG67:AI67"/>
    <mergeCell ref="AJ67:AL67"/>
    <mergeCell ref="AM67:AO67"/>
    <mergeCell ref="AP67:AR67"/>
    <mergeCell ref="AS67:AU67"/>
    <mergeCell ref="AV67:AX67"/>
    <mergeCell ref="AY67:BA67"/>
    <mergeCell ref="BB67:BD67"/>
    <mergeCell ref="BE67:BG67"/>
    <mergeCell ref="BH67:BJ67"/>
    <mergeCell ref="BK67:BQ67"/>
    <mergeCell ref="B68:D68"/>
    <mergeCell ref="E68:I68"/>
    <mergeCell ref="J68:P68"/>
    <mergeCell ref="Q68:W68"/>
    <mergeCell ref="X68:AD68"/>
    <mergeCell ref="AE68:AF68"/>
    <mergeCell ref="AG68:AI68"/>
    <mergeCell ref="AJ68:AL68"/>
    <mergeCell ref="AM68:AO68"/>
    <mergeCell ref="AP68:AR68"/>
    <mergeCell ref="AS68:AU68"/>
    <mergeCell ref="AV68:AX68"/>
    <mergeCell ref="AY68:BA68"/>
    <mergeCell ref="BB68:BD68"/>
    <mergeCell ref="BE68:BG68"/>
    <mergeCell ref="BH68:BJ68"/>
    <mergeCell ref="BK68:BQ68"/>
    <mergeCell ref="B69:D69"/>
    <mergeCell ref="E69:I69"/>
    <mergeCell ref="J69:P69"/>
    <mergeCell ref="Q69:W69"/>
    <mergeCell ref="X69:AD69"/>
    <mergeCell ref="AE69:AF69"/>
    <mergeCell ref="AG69:AI69"/>
    <mergeCell ref="AJ69:AL69"/>
    <mergeCell ref="AM69:AO69"/>
    <mergeCell ref="AP69:AR69"/>
    <mergeCell ref="AS69:AU69"/>
    <mergeCell ref="AV69:AX69"/>
    <mergeCell ref="AY69:BA69"/>
    <mergeCell ref="BB69:BD69"/>
    <mergeCell ref="BE69:BG69"/>
    <mergeCell ref="BH69:BJ69"/>
    <mergeCell ref="BK69:BQ69"/>
    <mergeCell ref="B70:D70"/>
    <mergeCell ref="E70:I70"/>
    <mergeCell ref="J70:P70"/>
    <mergeCell ref="Q70:W70"/>
    <mergeCell ref="X70:AD70"/>
    <mergeCell ref="AE70:AF70"/>
    <mergeCell ref="AG70:AI70"/>
    <mergeCell ref="AJ70:AL70"/>
    <mergeCell ref="AM70:AO70"/>
    <mergeCell ref="AP70:AR70"/>
    <mergeCell ref="AS70:AU70"/>
    <mergeCell ref="AV70:AX70"/>
    <mergeCell ref="AY70:BA70"/>
    <mergeCell ref="BB70:BD70"/>
    <mergeCell ref="BE70:BG70"/>
    <mergeCell ref="BH70:BJ70"/>
    <mergeCell ref="BK70:BQ70"/>
    <mergeCell ref="A10:A11"/>
    <mergeCell ref="BK10:BQ11"/>
    <mergeCell ref="B10:D11"/>
    <mergeCell ref="E10:I11"/>
    <mergeCell ref="J10:P11"/>
    <mergeCell ref="Q10:W11"/>
    <mergeCell ref="X10:AD11"/>
    <mergeCell ref="AE10:AF11"/>
  </mergeCells>
  <dataValidations count="3">
    <dataValidation type="list" allowBlank="1" sqref="F1">
      <formula1>"単体テスト,結合テスト,システムテスト"</formula1>
    </dataValidation>
    <dataValidation type="list" allowBlank="1" sqref="AV36 AV37 AV41 AG13:AG18 AG20:AG26 AG28:AG37 AG39:AG43 AG45:AG52 AG54:AG70 AV13:AV18 AV20:AV26 AV28:AV35 AV39:AV40 AV42:AV43 AV45:AV52 AV54:AV70">
      <formula1>"合格,不合格,未テスト,N/A"</formula1>
    </dataValidation>
    <dataValidation type="list" allowBlank="1" sqref="AE13:AE18 AE20:AE26 AE28:AE37 AE39:AE43 AE45:AE52 AE54:AE70">
      <formula1>"N,A,B"</formula1>
    </dataValidation>
  </dataValidations>
  <pageMargins left="0.75" right="0.75" top="1" bottom="1"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6</vt:i4>
      </vt:variant>
    </vt:vector>
  </HeadingPairs>
  <TitlesOfParts>
    <vt:vector size="6" baseType="lpstr">
      <vt:lpstr>表紙</vt:lpstr>
      <vt:lpstr>変更履歴</vt:lpstr>
      <vt:lpstr>概要</vt:lpstr>
      <vt:lpstr>テスト報告書</vt:lpstr>
      <vt:lpstr>テスト観点</vt:lpstr>
      <vt:lpstr>機能</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anh.vuquang</cp:lastModifiedBy>
  <dcterms:created xsi:type="dcterms:W3CDTF">2026-08-06T07:39:00Z</dcterms:created>
  <dcterms:modified xsi:type="dcterms:W3CDTF">2026-08-28T10:04:01Z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89CA10C90D624419B759430F5D44A240_12</vt:lpwstr>
  </property>
  <property fmtid="{D5CDD505-2E9C-101B-9397-08002B2CF9AE}" pid="3" name="KSOProductBuildVer">
    <vt:lpwstr>1033-12.1.0.28032</vt:lpwstr>
  </property>
  <property fmtid="{D5CDD505-2E9C-101B-9397-08002B2CF9AE}" pid="4" name="CalculationRule">
    <vt:i4>0</vt:i4>
  </property>
</Properties>
</file>