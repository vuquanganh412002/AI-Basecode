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0Zmr9u7KHIAN2zgVsk7Uu+ACch4+ND9tnP88WHAlzOY="/>
    </ext>
  </extLst>
</workbook>
</file>

<file path=xl/sharedStrings.xml><?xml version="1.0" encoding="utf-8"?>
<sst xmlns="http://schemas.openxmlformats.org/spreadsheetml/2006/main" count="897" uniqueCount="491">
  <si>
    <t>項番</t>
  </si>
  <si>
    <t>システム・アプリケーション名</t>
  </si>
  <si>
    <t>発行日</t>
  </si>
  <si>
    <t>&lt;単体/結合/システム&gt; テスト報告書</t>
  </si>
  <si>
    <t>ドキュメント</t>
  </si>
  <si>
    <t>バージョン</t>
  </si>
  <si>
    <t>シート名</t>
  </si>
  <si>
    <t>担当者</t>
  </si>
  <si>
    <t>変更内容</t>
  </si>
  <si>
    <t>作成日</t>
  </si>
  <si>
    <t>作成者</t>
  </si>
  <si>
    <t>更新日</t>
  </si>
  <si>
    <t>プロジェクト名</t>
  </si>
  <si>
    <t>確認者</t>
  </si>
  <si>
    <t>更新者</t>
  </si>
  <si>
    <t>承認者</t>
  </si>
  <si>
    <t>クラウド版購読者管理システム</t>
  </si>
  <si>
    <t>テスト仕様書</t>
  </si>
  <si>
    <t>プロジェクトマネージャ</t>
  </si>
  <si>
    <t>概要</t>
  </si>
  <si>
    <t>Nguyen Huy Dat</t>
  </si>
  <si>
    <t>2026/06/17</t>
  </si>
  <si>
    <t>Kieu Thi Diem</t>
  </si>
  <si>
    <t>1.0</t>
  </si>
  <si>
    <t>Tạo bản đầu tiên</t>
  </si>
  <si>
    <t>#</t>
  </si>
  <si>
    <t>1.システム概要</t>
  </si>
  <si>
    <t>機能名</t>
  </si>
  <si>
    <t>Hệ thống này là hệ thống quản lý độc giả dạng cloud dành cho JA, cung cấp các chức năng như quản lý thông tin người đăng ký, quản lý lịch sử đăng ký, quản lý dữ liệu chuyển khoản tài khoản.</t>
  </si>
  <si>
    <t>増減連絡票（販売店）出力画面</t>
  </si>
  <si>
    <t>テストケース分類</t>
  </si>
  <si>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</si>
  <si>
    <t>Ngoài ra, hệ thống còn hỗ trợ các chức năng bảo mật・kiểm toán như quản lý đăng nhập của người dùng, ghi lịch sử đăng nhập, ghi log thao tác của người dùng.</t>
  </si>
  <si>
    <t>合計</t>
  </si>
  <si>
    <t>2.資料目的</t>
  </si>
  <si>
    <t>テスト結果</t>
  </si>
  <si>
    <t>2026/08/06</t>
  </si>
  <si>
    <t>Đây là tài liệu mô tả chi tiết bản đặc tả kiểm thử được tạo mới trên hệ thống tại「Màn hình xuất Phiếu liên lạc tăng giảm (Cửa hàng bán) (ACSMS-SCR-028)」.</t>
  </si>
  <si>
    <t>1.1</t>
  </si>
  <si>
    <t>版1.0</t>
  </si>
  <si>
    <t>Tran Duc Tuyen</t>
  </si>
  <si>
    <t>正常</t>
  </si>
  <si>
    <t>Đồng bộ với bản tiếng Nhật: tạo カテゴリ6 và bổ sung 7 ca. 041〜044・047 vốn đã có ở bản tiếng Nhật nhưng chưa được dịch (cộng dồn nhiều lịch sử cùng ngày, hủy đăng ký vào giảm bản, đổi cửa hàng bán, người đọc mới không vào phần đổi địa chỉ, phân trang theo đơn vị người đọc). 048＝giới hạn đối tượng tổng hợp chỉ bản giấy (#56408): điều kiện cũ "bản điện tử chỉ tổng hợp khi đã duyệt" đã bị bỏ vì nằm gọn trong giới hạn này. 049＝loại cửa hàng bán dummy khỏi lựa chọn (#56597・`dummy=exclude`), kèm xác nhận cửa hàng đã ngừng kinh doanh cũng không xuất hiện</t>
  </si>
  <si>
    <t>異常</t>
  </si>
  <si>
    <t>フォーマットコード</t>
  </si>
  <si>
    <t>3.関連資料</t>
  </si>
  <si>
    <t>境界</t>
  </si>
  <si>
    <t>No</t>
  </si>
  <si>
    <t>合格</t>
  </si>
  <si>
    <t>16-BM/PM/VTI</t>
  </si>
  <si>
    <t>資料コード</t>
  </si>
  <si>
    <t>不合格</t>
  </si>
  <si>
    <t>資料名</t>
  </si>
  <si>
    <t>未テスト</t>
  </si>
  <si>
    <t>フォーマットバージョン</t>
  </si>
  <si>
    <t>N/A</t>
  </si>
  <si>
    <t>進捗（%）</t>
  </si>
  <si>
    <t>ACSMS-SCR-028</t>
  </si>
  <si>
    <t>テスト1回目</t>
  </si>
  <si>
    <t>増減連絡票（販売店）出力画面 設計書</t>
  </si>
  <si>
    <t>機能</t>
  </si>
  <si>
    <t>増減連絡票（販売店）出力画面 API設計書</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</si>
  <si>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</si>
  <si>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</si>
  <si>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</si>
  <si>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</si>
  <si>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</si>
  <si>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</si>
  <si>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</si>
  <si>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</si>
  <si>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</si>
  <si>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</si>
  <si>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</si>
  <si>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</si>
  <si>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</si>
  <si>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</si>
  <si>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</si>
  <si>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</si>
  <si>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</si>
  <si>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</si>
  <si>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</si>
  <si>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</si>
  <si>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</si>
  <si>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</si>
  <si>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</si>
  <si>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</si>
  <si>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</si>
  <si>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</si>
  <si>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</si>
  <si>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</si>
  <si>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</si>
  <si>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</si>
  <si>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テストレベル</t>
  </si>
  <si>
    <t>結合テスト</t>
  </si>
  <si>
    <t>VP-A-08</t>
  </si>
  <si>
    <t>機能／モジュール</t>
  </si>
  <si>
    <t>レート制限・Throttling</t>
  </si>
  <si>
    <t>ACSMS-SCR-028_増減連絡票（販売店）出力画面</t>
  </si>
  <si>
    <t>中</t>
  </si>
  <si>
    <t>全公開API＋認証エンドポイント</t>
  </si>
  <si>
    <t>VP-A-09</t>
  </si>
  <si>
    <t>アカウントロック・解除運用</t>
  </si>
  <si>
    <t>SCR-001／002＋管理機能</t>
  </si>
  <si>
    <t>VP-A-10</t>
  </si>
  <si>
    <t>確認日</t>
  </si>
  <si>
    <t>SQL インジェクション</t>
  </si>
  <si>
    <t>テスト環境</t>
  </si>
  <si>
    <t>約20フォーム＋検索</t>
  </si>
  <si>
    <t>Windows 10/11, Chrome, Edge</t>
  </si>
  <si>
    <t>VP-B-01</t>
  </si>
  <si>
    <t>B. データバリデーション</t>
  </si>
  <si>
    <t>必須項目チェック</t>
  </si>
  <si>
    <t>分類</t>
  </si>
  <si>
    <t>約25フォーム</t>
  </si>
  <si>
    <t>VP-B-02</t>
  </si>
  <si>
    <t>回目</t>
  </si>
  <si>
    <t>最小／最大長境界</t>
  </si>
  <si>
    <t>境界値</t>
  </si>
  <si>
    <t>VP-B-03</t>
  </si>
  <si>
    <t>形式正規表現（郵便／電話／コード）</t>
  </si>
  <si>
    <t>1回目</t>
  </si>
  <si>
    <t>VP-B-04</t>
  </si>
  <si>
    <t>半角／全角ハンドリング</t>
  </si>
  <si>
    <t>VP-B-05</t>
  </si>
  <si>
    <t>日付ロジック</t>
  </si>
  <si>
    <t>約10日付付きフォーム</t>
  </si>
  <si>
    <t>VP-B-06</t>
  </si>
  <si>
    <t>通貨／パーセント形式</t>
  </si>
  <si>
    <t>2-3フォーム（単価）</t>
  </si>
  <si>
    <t>2回目</t>
  </si>
  <si>
    <t>VP-B-07</t>
  </si>
  <si>
    <t>マスタコード（m_code）参照</t>
  </si>
  <si>
    <t>約15ドロップダウン付きフォーム</t>
  </si>
  <si>
    <t>VP-B-08</t>
  </si>
  <si>
    <t>キー重複（duplicate code）</t>
  </si>
  <si>
    <t>約10マスタ</t>
  </si>
  <si>
    <t>VP-B-09</t>
  </si>
  <si>
    <t>IME・全角入力・貼付ハンドリング</t>
  </si>
  <si>
    <t>要件ID</t>
  </si>
  <si>
    <t>全テキスト入力フォーム＋検索画面</t>
  </si>
  <si>
    <t>説明</t>
  </si>
  <si>
    <t>前提条件</t>
  </si>
  <si>
    <t>VP-C-01</t>
  </si>
  <si>
    <t>ステップ／手順</t>
  </si>
  <si>
    <t>C. 業務ロジック</t>
  </si>
  <si>
    <t>期待結果／アウトプット</t>
  </si>
  <si>
    <t>CRUD 正常系 + DB 永続化</t>
  </si>
  <si>
    <t>種類</t>
  </si>
  <si>
    <t>テスト1回目の結果</t>
  </si>
  <si>
    <t>テスト2回目の結果</t>
  </si>
  <si>
    <t>VP-C-02</t>
  </si>
  <si>
    <t>備考</t>
  </si>
  <si>
    <t>同時編集競合</t>
  </si>
  <si>
    <t>約8編集画面</t>
  </si>
  <si>
    <t>結果</t>
  </si>
  <si>
    <t>実績／
アウトプット</t>
  </si>
  <si>
    <t>VP-C-03</t>
  </si>
  <si>
    <t>確認日付
（MM/DD）</t>
  </si>
  <si>
    <t>バグID</t>
  </si>
  <si>
    <t>論理削除 + FK 関連</t>
  </si>
  <si>
    <t>約6関連付きマスタ</t>
  </si>
  <si>
    <t>VP-C-04</t>
  </si>
  <si>
    <t>カテゴリ1: Kiểm soát quyền truy cập (Access Control)</t>
  </si>
  <si>
    <t>税込／税抜計算</t>
  </si>
  <si>
    <t>単価マスタ</t>
  </si>
  <si>
    <t>ACSMS-TC-028-001</t>
  </si>
  <si>
    <t>VP-C-05</t>
  </si>
  <si>
    <t>Cấm truy cập màn hình (NICHINO_ADMIN)</t>
  </si>
  <si>
    <t>・Đã đăng nhập bằng NICHINO_ADMIN (đã xác thực 2 bước)
・Không có quyền「report.export_zougen_hanbaiten」</t>
  </si>
  <si>
    <t>購読者種別ルール（読み取り専用）</t>
  </si>
  <si>
    <r>
      <rPr>
        <rFont val="メイリオ"/>
        <b/>
        <color rgb="FF000000"/>
        <sz val="10.0"/>
      </rPr>
      <t xml:space="preserve">ステップ1：
</t>
    </r>
    <r>
      <rPr>
        <rFont val="メイリオ"/>
        <color rgb="FF000000"/>
        <sz val="10.0"/>
      </rPr>
      <t xml:space="preserve">Mở dashboard, xác nhận mục「増減連絡票（販売店）出力」không hiển thị ở sidebar
</t>
    </r>
    <r>
      <rPr>
        <rFont val="メイリオ"/>
        <b/>
        <color rgb="FF000000"/>
        <sz val="10.0"/>
      </rPr>
      <t xml:space="preserve">ステップ2：
</t>
    </r>
    <r>
      <rPr>
        <rFont val="メイリオ"/>
        <color rgb="FF000000"/>
        <sz val="10.0"/>
      </rPr>
      <t xml:space="preserve">Nhập「/report/zougen-hanbaiten」vào thanh địa chỉ của trình duyệt và truy cập trực tiếp
</t>
    </r>
    <r>
      <rPr>
        <rFont val="メイリオ"/>
        <b/>
        <color rgb="FF000000"/>
        <sz val="10.0"/>
      </rPr>
      <t xml:space="preserve">ステップ3：
</t>
    </r>
    <r>
      <rPr>
        <rFont val="メイリオ"/>
        <color rgb="FF000000"/>
        <sz val="10.0"/>
      </rPr>
      <t>Tại tab Network của DevTools, gửi GET「/api/v1/report/zougen-hanbaiten/preview」với request parameter hợp lệ</t>
    </r>
  </si>
  <si>
    <t>購読者マスタ</t>
  </si>
  <si>
    <r>
      <rPr>
        <rFont val="メイリオ"/>
        <b/>
        <color rgb="FF000000"/>
        <sz val="10.0"/>
      </rPr>
      <t xml:space="preserve">ステップ1：
</t>
    </r>
    <r>
      <rPr>
        <rFont val="メイリオ"/>
        <color rgb="FF000000"/>
        <sz val="10.0"/>
      </rPr>
      <t xml:space="preserve">Mục「増減連絡票（販売店）出力」không hiển thị ở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・Khi route guard của màn hình này chặn NICHINO_ADMIN / NICHINO_STAFF, hiển thị message「この機能はJAアカウントのみ使用できます。」(ACSMS-MSG-028-001)
</t>
    </r>
    <r>
      <rPr>
        <rFont val="メイリオ"/>
        <color rgb="FF000000"/>
        <sz val="10.0"/>
      </rPr>
      <t>・Việc truy cập được kiểm soát ở cả 3 lớp: menu FE, router guard FE, API guard BE</t>
    </r>
  </si>
  <si>
    <t>VP-C-06</t>
  </si>
  <si>
    <t>A</t>
  </si>
  <si>
    <t>Excel取込 部分成功</t>
  </si>
  <si>
    <t>anh.vuquang</t>
  </si>
  <si>
    <t>2取込画面</t>
  </si>
  <si>
    <t>VP-C-07</t>
  </si>
  <si>
    <t>販売店一括置換</t>
  </si>
  <si>
    <t>一括置換</t>
  </si>
  <si>
    <t>VP-C-08</t>
  </si>
  <si>
    <t>ACSMS-TC-028-002</t>
  </si>
  <si>
    <t>Cấm truy cập màn hình (NICHINO_STAFF)</t>
  </si>
  <si>
    <t>・Đã đăng nhập bằng NICHINO_STAFF (đã xác thực 2 bước)
・Không có quyền「report.export_zougen_hanbaiten」</t>
  </si>
  <si>
    <t>レポート集計の正確性</t>
  </si>
  <si>
    <t>3レポート</t>
  </si>
  <si>
    <r>
      <rPr>
        <rFont val="メイリオ"/>
        <b/>
        <color rgb="FF000000"/>
        <sz val="10.0"/>
      </rPr>
      <t xml:space="preserve">ステップ1：
</t>
    </r>
    <r>
      <rPr>
        <rFont val="メイリオ"/>
        <color rgb="FF000000"/>
        <sz val="10.0"/>
      </rPr>
      <t xml:space="preserve">Mở dashboard, xác nhận mục「増減連絡票（販売店）出力」không hiển thị ở sidebar
</t>
    </r>
    <r>
      <rPr>
        <rFont val="メイリオ"/>
        <b/>
        <color rgb="FF000000"/>
        <sz val="10.0"/>
      </rPr>
      <t xml:space="preserve">ステップ2：
</t>
    </r>
    <r>
      <rPr>
        <rFont val="メイリオ"/>
        <color rgb="FF000000"/>
        <sz val="10.0"/>
      </rPr>
      <t xml:space="preserve">Nhập「/report/zougen-hanbaiten」vào thanh địa chỉ của trình duyệt và truy cập trực tiếp
</t>
    </r>
    <r>
      <rPr>
        <rFont val="メイリオ"/>
        <b/>
        <color rgb="FF000000"/>
        <sz val="10.0"/>
      </rPr>
      <t xml:space="preserve">ステップ3：
</t>
    </r>
    <r>
      <rPr>
        <rFont val="メイリオ"/>
        <color rgb="FF000000"/>
        <sz val="10.0"/>
      </rPr>
      <t>Tại tab Network của DevTools, gửi POST「/api/v1/report/zougen-hanbaiten/export」với request body hợp lệ</t>
    </r>
  </si>
  <si>
    <t>VP-D-01</t>
  </si>
  <si>
    <r>
      <rPr>
        <rFont val="メイリオ"/>
        <b/>
        <color rgb="FF000000"/>
        <sz val="10.0"/>
      </rPr>
      <t xml:space="preserve">ステップ1：
</t>
    </r>
    <r>
      <rPr>
        <rFont val="メイリオ"/>
        <color rgb="FF000000"/>
        <sz val="10.0"/>
      </rPr>
      <t xml:space="preserve">Mục「増減連絡票（販売店）出力」không hiển thị ở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・Khi route guard của màn hình này chặn NICHINO_ADMIN / NICHINO_STAFF, hiển thị message「この機能はJAアカウントのみ使用できます。」(ACSMS-MSG-028-001)</t>
    </r>
  </si>
  <si>
    <t>D. 統合・システム</t>
  </si>
  <si>
    <t>ログイン + MFA フロー</t>
  </si>
  <si>
    <t>SCR-001／002</t>
  </si>
  <si>
    <t>VP-D-02</t>
  </si>
  <si>
    <t>セッションスライディング 24h</t>
  </si>
  <si>
    <t>ACSMS-TC-028-003</t>
  </si>
  <si>
    <t>Cho phép truy cập màn hình (CHUOKAI)</t>
  </si>
  <si>
    <t>VP-D-03</t>
  </si>
  <si>
    <t>・Đã đăng nhập bằng CHUOKAI (đã xác thực 2 bước)
・Có giữ quyền「report.export_zougen_hanbaiten」</t>
  </si>
  <si>
    <t>パスワード再発行フロー</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</si>
  <si>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</si>
  <si>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Chuyển sang「/report/zougen-hanbaiten」và màn hình điều kiện xuất được hiển thị</t>
    </r>
  </si>
  <si>
    <t>SCR-007</t>
  </si>
  <si>
    <t>N</t>
  </si>
  <si>
    <t>VP-D-04</t>
  </si>
  <si>
    <t>監査ログの完全性</t>
  </si>
  <si>
    <t>VP-D-05</t>
  </si>
  <si>
    <t>ACSMS-TC-028-004</t>
  </si>
  <si>
    <t>ファイルアップロード S3</t>
  </si>
  <si>
    <t>Cho phép truy cập màn hình (JA_HONTEN)</t>
  </si>
  <si>
    <t>・Đã đăng nhập bằng JA_HONTEN (đã xác thực 2 bước)
・Có giữ quyền「report.export_zougen_hanbaiten」</t>
  </si>
  <si>
    <t>SCR-022</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</si>
  <si>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</si>
  <si>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Chuyển sang「/report/zougen-hanbaiten」và màn hình điều kiện xuất được hiển thị</t>
    </r>
  </si>
  <si>
    <t>VP-D-06</t>
  </si>
  <si>
    <t>メール通知</t>
  </si>
  <si>
    <t>SCR-001／007／お知らせ</t>
  </si>
  <si>
    <t>VP-D-07</t>
  </si>
  <si>
    <t>外部 CSV 形式準拠</t>
  </si>
  <si>
    <t>SCR-008／009</t>
  </si>
  <si>
    <t>ACSMS-TC-028-005</t>
  </si>
  <si>
    <t>Cho phép truy cập màn hình (JA_KANRI_SHITEN)</t>
  </si>
  <si>
    <t>VP-D-08</t>
  </si>
  <si>
    <t>・Đã đăng nhập bằng JA_KANRI_SHITEN (đã xác thực 2 bước)
・Có giữ quyền「report.export_zougen_hanbaiten」</t>
  </si>
  <si>
    <r>
      <rPr>
        <rFont val="メイリオ"/>
        <b/>
        <color rgb="FF000000"/>
        <sz val="10.0"/>
      </rPr>
      <t xml:space="preserve">ステップ1：
</t>
    </r>
    <r>
      <rPr>
        <rFont val="メイリオ"/>
        <color rgb="FF000000"/>
        <sz val="10.0"/>
      </rPr>
      <t xml:space="preserve">Mở dashboard, xác nhận mục「増減連絡票（販売店）出力」hiển thị ở sidebar
</t>
    </r>
    <r>
      <rPr>
        <rFont val="メイリオ"/>
        <b/>
        <color rgb="FF000000"/>
        <sz val="10.0"/>
      </rPr>
      <t xml:space="preserve">ステップ2：
</t>
    </r>
    <r>
      <rPr>
        <rFont val="メイリオ"/>
        <color rgb="FF000000"/>
        <sz val="10.0"/>
      </rPr>
      <t>Click mục「増減連絡票（販売店）出力」</t>
    </r>
  </si>
  <si>
    <t>ネットワーク／500／タイムアウト</t>
  </si>
  <si>
    <r>
      <rPr>
        <rFont val="メイリオ"/>
        <b/>
        <color rgb="FF000000"/>
        <sz val="10.0"/>
      </rPr>
      <t xml:space="preserve">ステップ1：
</t>
    </r>
    <r>
      <rPr>
        <rFont val="メイリオ"/>
        <color rgb="FF000000"/>
        <sz val="10.0"/>
      </rPr>
      <t xml:space="preserve">Mục「増減連絡票（販売店）出力」được hiển thị ở sidebar
</t>
    </r>
    <r>
      <rPr>
        <rFont val="メイリオ"/>
        <b/>
        <color rgb="FF000000"/>
        <sz val="10.0"/>
      </rPr>
      <t xml:space="preserve">ステップ2：
</t>
    </r>
    <r>
      <rPr>
        <rFont val="メイリオ"/>
        <color rgb="FF000000"/>
        <sz val="10.0"/>
      </rPr>
      <t xml:space="preserve">Chuyển sang「/report/zougen-hanbaiten」và màn hình điều kiện xuất được hiển thị
</t>
    </r>
    <r>
      <rPr>
        <rFont val="メイリオ"/>
        <b/>
        <color rgb="FF000000"/>
        <sz val="10.0"/>
      </rPr>
      <t xml:space="preserve">補足：
</t>
    </r>
    <r>
      <rPr>
        <rFont val="メイリオ"/>
        <color rgb="FF000000"/>
        <sz val="10.0"/>
      </rPr>
      <t>・Đối tượng trích xuất được giới hạn chỉ trong dữ liệu thuộc chi nhánh quản lý của mình (DataScope `kanri_shiten_id = user.kanri_shiten_id`)</t>
    </r>
  </si>
  <si>
    <t>VP-D-09</t>
  </si>
  <si>
    <t>パスワード再発行 旧token無効化＋クールダウン</t>
  </si>
  <si>
    <t>VP-E-01</t>
  </si>
  <si>
    <t>E. 非機能・ユーザビリティ</t>
  </si>
  <si>
    <t>レイアウト／デザイントークン</t>
  </si>
  <si>
    <t>低</t>
  </si>
  <si>
    <t>ACSMS-TC-028-006</t>
  </si>
  <si>
    <t>Chỉ định cửa hàng bán ngoài scope (CHUOKAI)</t>
  </si>
  <si>
    <t>全画面</t>
  </si>
  <si>
    <t>・Đã đăng nhập bằng CHUOKAI (ja_id=1)
・Tồn tại ID cửa hàng bán (ví dụ: 99) thuộc JA khác (ja_id=2)</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</si>
  <si>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Tại tab Network của DevTools, gửi GET「/api/v1/report/zougen-hanbaiten/preview」kèm theo `hanbaiten_id=99` thuộc JA khác</t>
    </r>
  </si>
  <si>
    <t>VP-E-02</t>
  </si>
  <si>
    <r>
      <rPr>
        <rFont val="メイリオ"/>
        <b/>
        <color rgb="FF000000"/>
        <sz val="10.0"/>
      </rPr>
      <t xml:space="preserve">ステップ1：
</t>
    </r>
    <r>
      <rPr>
        <rFont val="メイリオ"/>
        <color rgb="FF000000"/>
        <sz val="10.0"/>
      </rPr>
      <t xml:space="preserve">Có thể nhập ngày áp dụng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</si>
  <si>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レスポンシブ（モバイル／タブレット）</t>
  </si>
  <si>
    <t>VP-E-03</t>
  </si>
  <si>
    <t>キーボード操作</t>
  </si>
  <si>
    <t>VP-E-04</t>
  </si>
  <si>
    <t>ACSMS-TC-028-007</t>
  </si>
  <si>
    <t>Chỉ định chi nhánh quản lý ngoài scope (JA_KANRI_SHITEN)</t>
  </si>
  <si>
    <t>ブラウザ互換性</t>
  </si>
  <si>
    <t>・Đã đăng nhập bằng JA_KANRI_SHITEN (kanri_shiten_id=10)
・Tồn tại ID chi nhánh quản lý khác (ví dụ: 20) thuộc JA của mình</t>
  </si>
  <si>
    <r>
      <rPr>
        <rFont val="游ゴシック"/>
        <b/>
        <color rgb="FF000000"/>
        <sz val="10.0"/>
      </rPr>
      <t xml:space="preserve">ステップ1：
</t>
    </r>
    <r>
      <rPr>
        <rFont val="游ゴシック"/>
        <color rgb="FF000000"/>
        <sz val="10.0"/>
      </rPr>
      <t xml:space="preserve">Nhập ngày áp dụng
</t>
    </r>
    <r>
      <rPr>
        <rFont val="游ゴシック"/>
        <b/>
        <color rgb="FF000000"/>
        <sz val="10.0"/>
      </rPr>
      <t xml:space="preserve">ステップ2：
</t>
    </r>
    <r>
      <rPr>
        <rFont val="游ゴシック"/>
        <color rgb="FF000000"/>
        <sz val="10.0"/>
      </rPr>
      <t>Tại tab Network của DevTools, gửi GET「/api/v1/report/zougen-hanbaiten/preview」kèm theo `kanri_shiten_id=20` không phải chi nhánh quản lý của mình</t>
    </r>
  </si>
  <si>
    <t>VP-E-05</t>
  </si>
  <si>
    <r>
      <rPr>
        <rFont val="メイリオ"/>
        <b/>
        <color rgb="FF000000"/>
        <sz val="10.0"/>
      </rPr>
      <t xml:space="preserve">ステップ1：
</t>
    </r>
    <r>
      <rPr>
        <rFont val="メイリオ"/>
        <color rgb="FF000000"/>
        <sz val="10.0"/>
      </rPr>
      <t xml:space="preserve">Có thể nhập ngày áp dụng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</si>
  <si>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マルチタブセッション同期</t>
  </si>
  <si>
    <t>VP-E-07</t>
  </si>
  <si>
    <t>未保存変更ガード・ブラウザ離脱</t>
  </si>
  <si>
    <t>全 CRUD 編集フォーム</t>
  </si>
  <si>
    <t>ACSMS-TC-028-008</t>
  </si>
  <si>
    <t>Truy cập trực tiếp URL (role không có quyền)</t>
  </si>
  <si>
    <t>VP-F-01</t>
  </si>
  <si>
    <t>F. 性能</t>
  </si>
  <si>
    <t>・Đã đăng nhập bằng NICHINO_ADMIN (không có quyền「report.export_zougen_hanbaiten」)</t>
  </si>
  <si>
    <t>性能ベンチマーク</t>
  </si>
  <si>
    <r>
      <rPr>
        <rFont val="メイリオ"/>
        <b/>
        <color rgb="FF000000"/>
        <sz val="10.0"/>
      </rPr>
      <t xml:space="preserve">ステップ1：
</t>
    </r>
    <r>
      <rPr>
        <rFont val="メイリオ"/>
        <color rgb="FF000000"/>
        <sz val="10.0"/>
      </rPr>
      <t xml:space="preserve">Nhập trực tiếp「/report/zougen-hanbaiten」vào thanh địa chỉ và truy cập
</t>
    </r>
    <r>
      <rPr>
        <rFont val="メイリオ"/>
        <b/>
        <color rgb="FF000000"/>
        <sz val="10.0"/>
      </rPr>
      <t xml:space="preserve">ステップ2：
</t>
    </r>
    <r>
      <rPr>
        <rFont val="メイリオ"/>
        <color rgb="FF000000"/>
        <sz val="10.0"/>
      </rPr>
      <t>Tải lại trang bằng phím F5 của trình duyệt</t>
    </r>
  </si>
  <si>
    <r>
      <rPr>
        <rFont val="メイリオ"/>
        <b/>
        <color rgb="FF000000"/>
        <sz val="10.0"/>
      </rPr>
      <t xml:space="preserve">ステップ1：
</t>
    </r>
    <r>
      <rPr>
        <rFont val="メイリオ"/>
        <color rgb="FF000000"/>
        <sz val="10.0"/>
      </rPr>
      <t xml:space="preserve">Hiển thị toast「アクセス権がありません。」và chuyển sang「/dashboard」
</t>
    </r>
    <r>
      <rPr>
        <rFont val="メイリオ"/>
        <b/>
        <color rgb="FF000000"/>
        <sz val="10.0"/>
      </rPr>
      <t xml:space="preserve">ステップ2：
</t>
    </r>
    <r>
      <rPr>
        <rFont val="メイリオ"/>
        <color rgb="FF000000"/>
        <sz val="10.0"/>
      </rPr>
      <t>Sau khi tải lại, màn hình vẫn không hiển thị và chuyển sang「/dashboard」</t>
    </r>
  </si>
  <si>
    <t>全画面パフォーマンス計測対象</t>
  </si>
  <si>
    <t>VP-F-02</t>
  </si>
  <si>
    <t>大量データ表示性能</t>
  </si>
  <si>
    <t>一覧／レポート画面</t>
  </si>
  <si>
    <t>(なし)
---</t>
  </si>
  <si>
    <t>カテゴリ2: Hiển thị màn hình (Layout / Rendering)</t>
  </si>
  <si>
    <t>2. 観点ID 命名規約・グループ凡例</t>
  </si>
  <si>
    <t>グループ</t>
  </si>
  <si>
    <t>接頭辞</t>
  </si>
  <si>
    <t>ACSMS-TC-028-009</t>
  </si>
  <si>
    <t>名称</t>
  </si>
  <si>
    <t>Hiển thị tiêu đề màn hình・breadcrumb</t>
  </si>
  <si>
    <t>・Đã đăng nhập bằng CHUOKAI</t>
  </si>
  <si>
    <t>観点数</t>
  </si>
  <si>
    <t>リスク傾向</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</si>
  <si>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tiêu đề và breadcrumb ở phần trên màn hình</t>
    </r>
  </si>
  <si>
    <t>代表的なテスト観点</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</si>
  <si>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hình「増減連絡票（販売店）出力」được hiển thị, và breadcrumb hiển thị「ホーム &gt; 増減連絡票（販売店）出力」</t>
    </r>
  </si>
  <si>
    <t>VP-A-NN</t>
  </si>
  <si>
    <t>セキュリティ・権限</t>
  </si>
  <si>
    <t>RBAC、DataScope、項目レベル制限、URL直接攻撃、セッション失効、XSS、CSRF、レート制限、アカウントロック、SQL注入</t>
  </si>
  <si>
    <t>ACSMS-TC-028-010</t>
  </si>
  <si>
    <t>Hiển thị ban đầu (chưa chọn điều kiện xuất・preview trống)</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</si>
  <si>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trạng thái ban đầu của form điều kiện xuất và vùng preview</t>
    </r>
  </si>
  <si>
    <t>B</t>
  </si>
  <si>
    <t>VP-B-NN</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</si>
  <si>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・Ngày áp dụng được hiển thị ở trạng thái chưa chọn
</t>
    </r>
    <r>
      <rPr>
        <rFont val="メイリオ"/>
        <color rgb="FF000000"/>
        <sz val="10.0"/>
      </rPr>
      <t xml:space="preserve">・Cửa hàng bán・chi nhánh quản lý được hiển thị ở trạng thái chưa chọn
</t>
    </r>
    <r>
      <rPr>
        <rFont val="メイリオ"/>
        <color rgb="FF000000"/>
        <sz val="10.0"/>
      </rPr>
      <t>・Dữ liệu không tồn tại ở vùng preview</t>
    </r>
  </si>
  <si>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</si>
  <si>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</si>
  <si>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</si>
  <si>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</si>
  <si>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</si>
  <si>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</si>
  <si>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ACSMS-TC-028-011</t>
  </si>
  <si>
    <t>D</t>
  </si>
  <si>
    <t>Hiển thị checkbox cửa hàng bán (loại trừ cửa hàng đã đóng)</t>
  </si>
  <si>
    <t>VP-D-NN</t>
  </si>
  <si>
    <t>統合・システム</t>
  </si>
  <si>
    <t>・Đã đăng nhập bằng CHUOKAI
・Tồn tại cửa hàng bán đã đóng (haiten_flg=true) và cửa hàng bán dummy bản điện tử</t>
  </si>
  <si>
    <r>
      <rPr>
        <rFont val="メイリオ"/>
        <b/>
        <color rgb="FF000000"/>
        <sz val="10.0"/>
      </rPr>
      <t xml:space="preserve">ステップ1：
</t>
    </r>
    <r>
      <rPr>
        <rFont val="メイリオ"/>
        <color rgb="FF000000"/>
        <sz val="10.0"/>
      </rPr>
      <t>Xác nhận danh sách checkbox cửa hàng bán</t>
    </r>
  </si>
  <si>
    <t>ログイン＋MFA、セッション管理、パスワード再発行、監査ログ、S3、メール、CSV 準拠、ネットワーク／500</t>
  </si>
  <si>
    <r>
      <rPr>
        <rFont val="メイリオ"/>
        <b/>
        <color rgb="FF000000"/>
        <sz val="10.0"/>
      </rPr>
      <t xml:space="preserve">ステップ1：
</t>
    </r>
    <r>
      <rPr>
        <rFont val="メイリオ"/>
        <color rgb="FF000000"/>
        <sz val="10.0"/>
      </rPr>
      <t xml:space="preserve">・Chỉ các cửa hàng bán hợp lệ thuộc JA của mình được hiển thị
</t>
    </r>
    <r>
      <rPr>
        <rFont val="メイリオ"/>
        <color rgb="FF000000"/>
        <sz val="10.0"/>
      </rPr>
      <t xml:space="preserve">・Cửa hàng đã đóng (haiten_flg=true) và cửa hàng bán dummy bản điện tử không hiển thị
</t>
    </r>
    <r>
      <rPr>
        <rFont val="メイリオ"/>
        <color rgb="FF000000"/>
        <sz val="10.0"/>
      </rPr>
      <t>・Có thể chọn nhiều</t>
    </r>
  </si>
  <si>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</si>
  <si>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</si>
  <si>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</si>
  <si>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</si>
  <si>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</si>
  <si>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</si>
  <si>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</si>
  <si>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</si>
  <si>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</si>
  <si>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ACSMS-TC-028-012</t>
  </si>
  <si>
    <t>Hiển thị checkbox chi nhánh quản lý (DataScope)</t>
  </si>
  <si>
    <t>命名規約：VP-{グループ記号}-{NN} 形式（NN はグループ内の2桁連番）。新規観点は同グループの末尾に追加する（例：VP-A-11）。グループ記号はリスク軸による分類で、JSTQB FL の品質特性区分に準拠する。</t>
  </si>
  <si>
    <t>・Đã đăng nhập bằng JA_KANRI_SHITEN</t>
  </si>
  <si>
    <r>
      <rPr>
        <rFont val="メイリオ"/>
        <b/>
        <color rgb="FF000000"/>
        <sz val="10.0"/>
      </rPr>
      <t xml:space="preserve">ステップ1：
</t>
    </r>
    <r>
      <rPr>
        <rFont val="メイリオ"/>
        <color rgb="FF000000"/>
        <sz val="10.0"/>
      </rPr>
      <t>Xác nhận danh sách checkbox chi nhánh quản lý</t>
    </r>
  </si>
  <si>
    <r>
      <rPr>
        <rFont val="メイリオ"/>
        <b/>
        <color rgb="FF000000"/>
        <sz val="10.0"/>
      </rPr>
      <t xml:space="preserve">ステップ1：
</t>
    </r>
    <r>
      <rPr>
        <rFont val="メイリオ"/>
        <color rgb="FF000000"/>
        <sz val="10.0"/>
      </rPr>
      <t xml:space="preserve">・Chỉ chi nhánh quản lý của mình được hiển thị (DataScope tự động áp dụng)
</t>
    </r>
    <r>
      <rPr>
        <rFont val="メイリオ"/>
        <color rgb="FF000000"/>
        <sz val="10.0"/>
      </rPr>
      <t>・Có thể chọn nhiều</t>
    </r>
  </si>
  <si>
    <t xml:space="preserve">合格		</t>
  </si>
  <si>
    <t>ACSMS-TC-028-013</t>
  </si>
  <si>
    <t>Hiển thị button preview・tạo phiếu điện tử</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</si>
  <si>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Xác nhận hiển thị・trạng thái active của button「レポートプレビュー」「電子帳票作成」</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</si>
  <si>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Button「レポートプレビュー」「電子帳票作成」hiển thị ở trạng thái active</t>
    </r>
  </si>
  <si>
    <t>ACSMS-TC-028-014</t>
  </si>
  <si>
    <t>Hiển thị 3 bảng preview</t>
  </si>
  <si>
    <t>・Đã đăng nhập bằng CHUOKAI
・Tồn tại dữ liệu đối tượng 増部・減部・住所変更 ở ngày áp dụng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</si>
  <si>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3 bảng ở vùng preview</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</si>
  <si>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・3 bảng「増部」「減部」「住所変更」được hiển thị
</t>
    </r>
    <r>
      <rPr>
        <rFont val="メイリオ"/>
        <color rgb="FF000000"/>
        <sz val="10.0"/>
      </rPr>
      <t>・Các cột số phần・địa chỉ・họ tên・tên độc giả nơi giao・số điện thoại・ghi chú được hiển thị ở mỗi bảng</t>
    </r>
  </si>
  <si>
    <t>ACSMS-TC-028-015</t>
  </si>
  <si>
    <t>Thao tác bàn phím</t>
  </si>
  <si>
    <r>
      <rPr>
        <rFont val="メイリオ"/>
        <b/>
        <color rgb="FF000000"/>
        <sz val="10.0"/>
      </rPr>
      <t xml:space="preserve">ステップ1：
</t>
    </r>
    <r>
      <rPr>
        <rFont val="メイリオ"/>
        <color rgb="FF000000"/>
        <sz val="10.0"/>
      </rPr>
      <t xml:space="preserve">Mở「/report/zougen-hanbaiten」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button</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</si>
  <si>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ngày áp dụng → cửa hàng bán → chi nhánh quản lý → button
</t>
    </r>
    <r>
      <rPr>
        <rFont val="メイリオ"/>
        <color rgb="FF000000"/>
        <sz val="10.0"/>
      </rPr>
      <t>・Không vỡ layout</t>
    </r>
  </si>
  <si>
    <t>カテゴリ3: Kiểm tra đầu vào (Input Validation)</t>
  </si>
  <si>
    <t>ACSMS-TC-028-016</t>
  </si>
  <si>
    <t>Kiểm tra bắt buộc ngày áp dụng (preview)</t>
  </si>
  <si>
    <r>
      <rPr>
        <rFont val="メイリオ"/>
        <b/>
        <color rgb="FF000000"/>
        <sz val="10.0"/>
      </rPr>
      <t xml:space="preserve">ステップ1：
</t>
    </r>
    <r>
      <rPr>
        <rFont val="メイリオ"/>
        <color rgb="FF000000"/>
        <sz val="10.0"/>
      </rPr>
      <t>Click button「レポートプレビュー」khi vẫn để trống ngày áp dụng</t>
    </r>
  </si>
  <si>
    <r>
      <rPr>
        <rFont val="メイリオ"/>
        <b/>
        <color rgb="FF000000"/>
        <sz val="10.0"/>
      </rPr>
      <t xml:space="preserve">ステップ1：
</t>
    </r>
    <r>
      <rPr>
        <rFont val="メイリオ"/>
        <color rgb="FF000000"/>
        <sz val="10.0"/>
      </rPr>
      <t>Hiển thị message「必須項目です。」dưới mục ngày áp dụng (ACSMS-MSG-028-004), và xử lý preview không được thực hiện</t>
    </r>
  </si>
  <si>
    <t>ACSMS-TC-028-017</t>
  </si>
  <si>
    <t>Kiểm tra bắt buộc ngày áp dụng (tạo phiếu điện tử)</t>
  </si>
  <si>
    <r>
      <rPr>
        <rFont val="メイリオ"/>
        <b/>
        <color rgb="FF000000"/>
        <sz val="10.0"/>
      </rPr>
      <t xml:space="preserve">ステップ1：
</t>
    </r>
    <r>
      <rPr>
        <rFont val="メイリオ"/>
        <color rgb="FF000000"/>
        <sz val="10.0"/>
      </rPr>
      <t>Click button「電子帳票作成」khi vẫn để trống ngày áp dụng</t>
    </r>
  </si>
  <si>
    <r>
      <rPr>
        <rFont val="メイリオ"/>
        <b/>
        <color rgb="FF000000"/>
        <sz val="10.0"/>
      </rPr>
      <t xml:space="preserve">ステップ1：
</t>
    </r>
    <r>
      <rPr>
        <rFont val="メイリオ"/>
        <color rgb="FF000000"/>
        <sz val="10.0"/>
      </rPr>
      <t xml:space="preserve">・Hiển thị message「必須項目です。」dưới mục ngày áp dụng (ACSMS-MSG-028-004)
</t>
    </r>
    <r>
      <rPr>
        <rFont val="メイリオ"/>
        <color rgb="FF000000"/>
        <sz val="10.0"/>
      </rPr>
      <t>・Xử lý tạo PDF không được thực hiện</t>
    </r>
  </si>
  <si>
    <t>ACSMS-TC-028-018</t>
  </si>
  <si>
    <t>Chọn ngày của ngày áp dụng</t>
  </si>
  <si>
    <r>
      <rPr>
        <rFont val="メイリオ"/>
        <b/>
        <color rgb="FF000000"/>
        <sz val="10.0"/>
      </rPr>
      <t xml:space="preserve">ステップ1：
</t>
    </r>
    <r>
      <rPr>
        <rFont val="メイリオ"/>
        <color rgb="FF000000"/>
        <sz val="10.0"/>
      </rPr>
      <t xml:space="preserve">Mở calendar của ngày áp dụng và chọn một ngày bất kỳ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</si>
  <si>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Calendar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</si>
  <si>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ACSMS-TC-028-019</t>
  </si>
  <si>
    <t>Ngày áp dụng chưa nhập (API trực tiếp)</t>
  </si>
  <si>
    <r>
      <rPr>
        <rFont val="メイリオ"/>
        <b/>
        <color rgb="FF000000"/>
        <sz val="10.0"/>
      </rPr>
      <t xml:space="preserve">ステップ1：
</t>
    </r>
    <r>
      <rPr>
        <rFont val="メイリオ"/>
        <color rgb="FF000000"/>
        <sz val="10.0"/>
      </rPr>
      <t>Tại tab Network của DevTools, gửi GET「/api/v1/report/zougen-hanbaiten/preview」không có tekiyo_date</t>
    </r>
  </si>
  <si>
    <r>
      <rPr>
        <rFont val="メイリオ"/>
        <b/>
        <color rgb="FF000000"/>
        <sz val="10.0"/>
      </rPr>
      <t xml:space="preserve">ステップ1：
</t>
    </r>
    <r>
      <rPr>
        <rFont val="メイリオ"/>
        <color rgb="FF000000"/>
        <sz val="10.0"/>
      </rPr>
      <t>Trả về HTTP 400 (`error_code: VALIDATION_ERROR`, trong `errors` có chứa `{ field: 'tekiyo_date', message: '必須項目です。' }`)</t>
    </r>
  </si>
  <si>
    <t>カテゴリ4: Logic nghiệp vụ (Business Logic)</t>
  </si>
  <si>
    <t>ACSMS-TC-028-020</t>
  </si>
  <si>
    <t>Preview luồng bình thường</t>
  </si>
  <si>
    <t>・Đã đăng nhập bằng CHUOKAI
・Tồn tại dữ liệu đối tượng báo cáo tăng giảm (zougen_hokoku_flg=true) ở ngày áp dụng</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</si>
  <si>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</si>
  <si>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 (dữ liệu phiếu được hiển thị theo từng tổ hợp cửa hàng bán＋chi nhánh quản lý)</t>
    </r>
  </si>
  <si>
    <t>ACSMS-TC-028-021</t>
  </si>
  <si>
    <t>Phân loại phân khu tăng phần (増部)</t>
  </si>
  <si>
    <t>・Đã đăng nhập bằng CHUOKAI
・Tồn tại người đăng ký có số phần đăng ký tăng so với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</si>
  <si>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増部</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</si>
  <si>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`dokusya_busu &gt; zenkai_dokusya_busu` được hiển thị ở bảng 増部
</t>
    </r>
    <r>
      <rPr>
        <rFont val="メイリオ"/>
        <color rgb="FF000000"/>
        <sz val="10.0"/>
      </rPr>
      <t>・Số phần được hiển thị theo định dạng「số phần đăng ký lần trước → số phần đăng ký」</t>
    </r>
  </si>
  <si>
    <t>ACSMS-TC-028-022</t>
  </si>
  <si>
    <t>Phân loại phân khu giảm phần (減部)</t>
  </si>
  <si>
    <t>・Đã đăng nhập bằng CHUOKAI
・Tồn tại người đăng ký có số phần đăng ký giảm so với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</si>
  <si>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減部</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</si>
  <si>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`dokusya_busu &lt; zenkai_dokusya_busu` được hiển thị ở bảng 減部
</t>
    </r>
    <r>
      <rPr>
        <rFont val="メイリオ"/>
        <color rgb="FF000000"/>
        <sz val="10.0"/>
      </rPr>
      <t>・Số phần được hiển thị theo định dạng「số phần đăng ký lần trước → số phần đăng ký」</t>
    </r>
  </si>
  <si>
    <t>ACSMS-TC-028-023</t>
  </si>
  <si>
    <t>Phân loại phân khu thay đổi địa chỉ (住所変更)</t>
  </si>
  <si>
    <t>・Đã đăng nhập bằng CHUOKAI
・Tồn tại người đăng ký có địa chỉ nơi giao lần trước và địa chỉ nơi giao hiện tại khác nhau</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</si>
  <si>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nội dung bảng 住所変更</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</si>
  <si>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・Record có địa chỉ nơi giao lần trước và địa chỉ nơi giao hiện tại khác nhau được hiển thị ở bảng 住所変更
</t>
    </r>
    <r>
      <rPr>
        <rFont val="メイリオ"/>
        <color rgb="FF000000"/>
        <sz val="10.0"/>
      </rPr>
      <t>・Mỗi người đăng ký được hiển thị thành 2 dòng「変更前」「変更後」(変更前＝địa chỉ lần trước, 変更後＝địa chỉ hiện tại)</t>
    </r>
  </si>
  <si>
    <t>ACSMS-TC-028-024</t>
  </si>
  <si>
    <t>Group hóa theo cửa hàng bán＋chi nhánh quản lý</t>
  </si>
  <si>
    <t>・Đã đăng nhập bằng CHUOKAI
・Tồn tại dữ liệu đối tượng cho nhiều tổ hợp cửa hàng bán・chi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</si>
  <si>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thứ tự xuất của phiếu</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</si>
  <si>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・Dữ liệu phiếu được group hóa theo từng tổ hợp ID cửa hàng bán＋ID chi nhánh quản lý
</t>
    </r>
    <r>
      <rPr>
        <rFont val="メイリオ"/>
        <color rgb="FF000000"/>
        <sz val="10.0"/>
      </rPr>
      <t>・Được hiển thị theo thứ tự tăng dần của mã cửa hàng bán</t>
    </r>
  </si>
  <si>
    <t>ACSMS-TC-028-025</t>
  </si>
  <si>
    <t>Trích xuất theo cờ báo cáo tăng giảm＋khớp ngày áp dụng</t>
  </si>
  <si>
    <t>・Đã đăng nhập bằng CHUOKAI
・Tồn tại lịch sử khớp với ngày áp dụng, và lịch sử ngoài đối tượng báo cáo tăng giảm (zougen_hokoku_flg=false)</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</si>
  <si>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</si>
  <si>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・Chỉ record có `joho_henko_tekiyo_date = ngày áp dụng` và `zougen_hokoku_flg = true` được trích xuất
</t>
    </r>
    <r>
      <rPr>
        <rFont val="メイリオ"/>
        <color rgb="FF000000"/>
        <sz val="10.0"/>
      </rPr>
      <t>・Record không khớp ngày áp dụng, hoặc ngoài đối tượng báo cáo tăng giảm không hiển thị</t>
    </r>
  </si>
  <si>
    <t>ACSMS-TC-028-026</t>
  </si>
  <si>
    <t>Loại trừ cửa hàng đã đóng</t>
  </si>
  <si>
    <t>・Đã đăng nhập bằng CHUOKAI
・Tồn tại lịch sử gắn với cửa hàng đã đóng (haiten_flg=true)</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</si>
  <si>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</si>
  <si>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Record gắn với cửa hàng đã đóng (haiten_flg=true) không được trích xuất</t>
    </r>
  </si>
  <si>
    <t>ACSMS-TC-028-027</t>
  </si>
  <si>
    <t>Filter cửa hàng bán</t>
  </si>
  <si>
    <t>・Đã đăng nhập bằng CHUOKAI
・Tồn tại dữ liệu đối tượng ở nhiều cửa hàng bán</t>
  </si>
  <si>
    <r>
      <rPr>
        <rFont val="メイリオ"/>
        <b/>
        <color rgb="FF000000"/>
        <sz val="10.0"/>
      </rPr>
      <t xml:space="preserve">ステップ1：
</t>
    </r>
    <r>
      <rPr>
        <rFont val="メイリオ"/>
        <color rgb="FF000000"/>
        <sz val="10.0"/>
      </rPr>
      <t>Chọn ngày áp dụng và cửa hàng bán cụ thể, thực hiện「レポートプレビュー」</t>
    </r>
  </si>
  <si>
    <r>
      <rPr>
        <rFont val="メイリオ"/>
        <b/>
        <color rgb="FF000000"/>
        <sz val="10.0"/>
      </rPr>
      <t xml:space="preserve">ステップ1：
</t>
    </r>
    <r>
      <rPr>
        <rFont val="メイリオ"/>
        <color rgb="FF000000"/>
        <sz val="10.0"/>
      </rPr>
      <t>Chỉ record gắn với cửa hàng bán đã chọn được trích xuất</t>
    </r>
  </si>
  <si>
    <t>ACSMS-TC-028-028</t>
  </si>
  <si>
    <t>Filter chi nhánh quản lý</t>
  </si>
  <si>
    <t>・Đã đăng nhập bằng CHUOKAI
・Tồn tại dữ liệu đối tượng ở nhiều chi nhánh quản lý</t>
  </si>
  <si>
    <r>
      <rPr>
        <rFont val="メイリオ"/>
        <b/>
        <color rgb="FF000000"/>
        <sz val="10.0"/>
      </rPr>
      <t xml:space="preserve">ステップ1：
</t>
    </r>
    <r>
      <rPr>
        <rFont val="メイリオ"/>
        <color rgb="FF000000"/>
        <sz val="10.0"/>
      </rPr>
      <t>Chọn ngày áp dụng và chi nhánh quản lý cụ thể, thực hiện「レポートプレビュー」</t>
    </r>
  </si>
  <si>
    <r>
      <rPr>
        <rFont val="メイリオ"/>
        <b/>
        <color rgb="FF000000"/>
        <sz val="10.0"/>
      </rPr>
      <t xml:space="preserve">ステップ1：
</t>
    </r>
    <r>
      <rPr>
        <rFont val="メイリオ"/>
        <color rgb="FF000000"/>
        <sz val="10.0"/>
      </rPr>
      <t>Chỉ record gắn với chi nhánh quản lý đã chọn được trích xuất</t>
    </r>
  </si>
  <si>
    <t>ACSMS-TC-028-029</t>
  </si>
  <si>
    <t>Đối tượng 0 bản (preview)</t>
  </si>
  <si>
    <t>・Đã đăng nhập bằng CHUOKAI
・Không tồn tại dữ liệu đối tượng với điều kiện đã chỉ định</t>
  </si>
  <si>
    <r>
      <rPr>
        <rFont val="メイリオ"/>
        <b/>
        <color rgb="FF000000"/>
        <sz val="10.0"/>
      </rPr>
      <t xml:space="preserve">ステップ1：
</t>
    </r>
    <r>
      <rPr>
        <rFont val="メイリオ"/>
        <color rgb="FF000000"/>
        <sz val="10.0"/>
      </rPr>
      <t>Thực hiện「レポートプレビュー」với ngày áp dụng・điều kiện không có đối tượng</t>
    </r>
  </si>
  <si>
    <r>
      <rPr>
        <rFont val="メイリオ"/>
        <b/>
        <color rgb="FF000000"/>
        <sz val="10.0"/>
      </rPr>
      <t xml:space="preserve">ステップ1：
</t>
    </r>
    <r>
      <rPr>
        <rFont val="メイリオ"/>
        <color rgb="FF000000"/>
        <sz val="10.0"/>
      </rPr>
      <t xml:space="preserve">・Trả về HTTP 200 (`reports:[]`)
</t>
    </r>
    <r>
      <rPr>
        <rFont val="メイリオ"/>
        <color rgb="FF000000"/>
        <sz val="10.0"/>
      </rPr>
      <t>・Hiển thị message「対象のデータが存在しません。」(ACSMS-MSG-028-002, không phải toast)</t>
    </r>
  </si>
  <si>
    <t>ACSMS-TC-028-030</t>
  </si>
  <si>
    <t>Xuất phiếu điện tử (PDF) luồng bình thường・nội dung</t>
  </si>
  <si>
    <t>・Đã đăng nhập bằng CHUOKAI
・Tồn tại dữ liệu đối tượng ở ngày áp dụng</t>
  </si>
  <si>
    <r>
      <rPr>
        <rFont val="メイリオ"/>
        <b/>
        <color rgb="FF000000"/>
        <sz val="10.0"/>
      </rPr>
      <t xml:space="preserve">ステップ1：
</t>
    </r>
    <r>
      <rPr>
        <rFont val="メイリオ"/>
        <color rgb="FF000000"/>
        <sz val="10.0"/>
      </rPr>
      <t xml:space="preserve">Chọn ngày áp dụng・cửa hàng bán・chi nhánh quản lý và thực hiện「電子帳票作成」
</t>
    </r>
    <r>
      <rPr>
        <rFont val="メイリオ"/>
        <b/>
        <color rgb="FF000000"/>
        <sz val="10.0"/>
      </rPr>
      <t xml:space="preserve">ステップ2：
</t>
    </r>
    <r>
      <rPr>
        <rFont val="メイリオ"/>
        <color rgb="FF000000"/>
        <sz val="10.0"/>
      </rPr>
      <t>Mở PDF đã download và xác nhận nội dung</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</si>
  <si>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PDF được download (tên file `増減連絡票_販売店_{YYYY年MM月DD日}.pdf`)
</t>
    </r>
    <r>
      <rPr>
        <rFont val="メイリオ"/>
        <b/>
        <color rgb="FF000000"/>
        <sz val="10.0"/>
      </rPr>
      <t xml:space="preserve">ステップ2：
</t>
    </r>
    <r>
      <rPr>
        <rFont val="メイリオ"/>
        <color rgb="FF000000"/>
        <sz val="10.0"/>
      </rPr>
      <t xml:space="preserve">・Xuất 1 trang theo từng tổ hợp cửa hàng bán＋chi nhánh quản lý, được ngắt trang theo thứ tự tăng dần của mã cửa hàng bán
</t>
    </r>
    <r>
      <rPr>
        <rFont val="メイリオ"/>
        <color rgb="FF000000"/>
        <sz val="10.0"/>
      </rPr>
      <t xml:space="preserve">・Tên cửa hàng bán・tên chi nhánh quản lý・TEL/FAX của chi nhánh quản lý・số trang được hiển thị ở header
</t>
    </r>
    <r>
      <rPr>
        <rFont val="メイリオ"/>
        <color rgb="FF000000"/>
        <sz val="10.0"/>
      </rPr>
      <t>・3 bảng 増部／減部／住所変更 được hiển thị</t>
    </r>
  </si>
  <si>
    <t>ACSMS-TC-028-031</t>
  </si>
  <si>
    <t>Ghi lịch sử download・log thao tác</t>
  </si>
  <si>
    <r>
      <rPr>
        <rFont val="メイリオ"/>
        <b/>
        <color rgb="FF000000"/>
        <sz val="10.0"/>
      </rPr>
      <t xml:space="preserve">ステップ1：
</t>
    </r>
    <r>
      <rPr>
        <rFont val="メイリオ"/>
        <color rgb="FF000000"/>
        <sz val="10.0"/>
      </rPr>
      <t xml:space="preserve">Thực hiện「電子帳票作成」
</t>
    </r>
    <r>
      <rPr>
        <rFont val="メイリオ"/>
        <b/>
        <color rgb="FF000000"/>
        <sz val="10.0"/>
      </rPr>
      <t xml:space="preserve">ステップ2：
</t>
    </r>
    <r>
      <rPr>
        <rFont val="メイリオ"/>
        <color rgb="FF000000"/>
        <sz val="10.0"/>
      </rPr>
      <t xml:space="preserve">Thực hiện query sau ở DB, xác nhận lịch sử download và log thao tác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LIMIT 1;
</t>
    </r>
    <r>
      <rPr>
        <rFont val="メイリオ"/>
        <color rgb="FF000000"/>
        <sz val="10.0"/>
      </rPr>
      <t xml:space="preserve">SELECT log_type, operation, result_status, target_table
</t>
    </r>
    <r>
      <rPr>
        <rFont val="メイリオ"/>
        <color rgb="FF000000"/>
        <sz val="10.0"/>
      </rPr>
      <t xml:space="preserve">FROM t_log
</t>
    </r>
    <r>
      <rPr>
        <rFont val="メイリオ"/>
        <color rgb="FF000000"/>
        <sz val="10.0"/>
      </rPr>
      <t xml:space="preserve">WHERE ja_id = 1 AND gamen_name = '増減連絡票（販売店）出力画面 (ACSMS-SCR-028)'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</si>
  <si>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PDF được download
</t>
    </r>
    <r>
      <rPr>
        <rFont val="メイリオ"/>
        <b/>
        <color rgb="FF000000"/>
        <sz val="10.0"/>
      </rPr>
      <t xml:space="preserve">ステップ2：
</t>
    </r>
    <r>
      <rPr>
        <rFont val="メイリオ"/>
        <color rgb="FF000000"/>
        <sz val="10.0"/>
      </rPr>
      <t xml:space="preserve">・t_file_download được đăng ký 1 bản (download_type=3, file_name là tên file PDF, record_count là số bản đối tượng, target_month là năm tháng của ngày áp dụng)
</t>
    </r>
    <r>
      <rPr>
        <rFont val="メイリオ"/>
        <color rgb="FF000000"/>
        <sz val="10.0"/>
      </rPr>
      <t>・Audit log được ghi 1 bản ở t_log (log_type=1, operation=`EXPORT_PDF`, result_status=1, target_table=`t_file_download`)</t>
    </r>
  </si>
  <si>
    <t>ACSMS-TC-028-032</t>
  </si>
  <si>
    <t>Rollback transaction</t>
  </si>
  <si>
    <t>・Đã đăng nhập bằng CHUOKAI
・Đã chuẩn bị để phát sinh lỗi DB khi đăng ký lịch sử download</t>
  </si>
  <si>
    <r>
      <rPr>
        <rFont val="メイリオ"/>
        <b/>
        <color rgb="FF000000"/>
        <sz val="10.0"/>
      </rPr>
      <t xml:space="preserve">ステップ1：
</t>
    </r>
    <r>
      <rPr>
        <rFont val="メイリオ"/>
        <color rgb="FF000000"/>
        <sz val="10.0"/>
      </rPr>
      <t xml:space="preserve">Thực hiện「電子帳票作成」(inject lỗi giữa chừng khi đăng ký DB)
</t>
    </r>
    <r>
      <rPr>
        <rFont val="メイリオ"/>
        <b/>
        <color rgb="FF000000"/>
        <sz val="10.0"/>
      </rPr>
      <t xml:space="preserve">ステップ2：
</t>
    </r>
    <r>
      <rPr>
        <rFont val="メイリオ"/>
        <color rgb="FF000000"/>
        <sz val="10.0"/>
      </rPr>
      <t>Xác nhận trạng thái t_file_download・t_log ở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</si>
  <si>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 (log_type=1) đều không được đăng ký (được rollback)
</t>
    </r>
    <r>
      <rPr>
        <rFont val="メイリオ"/>
        <color rgb="FF000000"/>
        <sz val="10.0"/>
      </rPr>
      <t>・Error log được ghi 1 bản ở t_log (log_type=3, result_status=2)</t>
    </r>
  </si>
  <si>
    <t>ACSMS-TC-028-033</t>
  </si>
  <si>
    <t>Đối tượng 0 bản (tạo phiếu điện tử)</t>
  </si>
  <si>
    <r>
      <rPr>
        <rFont val="メイリオ"/>
        <b/>
        <color rgb="FF000000"/>
        <sz val="10.0"/>
      </rPr>
      <t xml:space="preserve">ステップ1：
</t>
    </r>
    <r>
      <rPr>
        <rFont val="メイリオ"/>
        <color rgb="FF000000"/>
        <sz val="10.0"/>
      </rPr>
      <t xml:space="preserve">Thực hiện「電子帳票作成」với ngày áp dụng・điều kiện không có đối tượng
</t>
    </r>
    <r>
      <rPr>
        <rFont val="メイリオ"/>
        <b/>
        <color rgb="FF000000"/>
        <sz val="10.0"/>
      </rPr>
      <t xml:space="preserve">ステップ2：
</t>
    </r>
    <r>
      <rPr>
        <rFont val="メイリオ"/>
        <color rgb="FF000000"/>
        <sz val="10.0"/>
      </rPr>
      <t>Xác nhận số bản đăng ký của t_file_download ở DB</t>
    </r>
  </si>
  <si>
    <r>
      <rPr>
        <rFont val="メイリオ"/>
        <b/>
        <color rgb="FF000000"/>
        <sz val="10.0"/>
      </rPr>
      <t xml:space="preserve">ステップ1：
</t>
    </r>
    <r>
      <rPr>
        <rFont val="メイリオ"/>
        <color rgb="FF000000"/>
        <sz val="10.0"/>
      </rPr>
      <t xml:space="preserve">・Trả về HTTP 200 (`{ data: { reports: [] } }` của `application/json`)
</t>
    </r>
    <r>
      <rPr>
        <rFont val="メイリオ"/>
        <color rgb="FF000000"/>
        <sz val="10.0"/>
      </rPr>
      <t xml:space="preserve">・File PDF không được download
</t>
    </r>
    <r>
      <rPr>
        <rFont val="メイリオ"/>
        <color rgb="FF000000"/>
        <sz val="10.0"/>
      </rPr>
      <t xml:space="preserve">・Hiển thị message「対象のデータが存在しません。」(ACSMS-MSG-028-002)
</t>
    </r>
    <r>
      <rPr>
        <rFont val="メイリオ"/>
        <b/>
        <color rgb="FF000000"/>
        <sz val="10.0"/>
      </rPr>
      <t xml:space="preserve">ステップ2：
</t>
    </r>
    <r>
      <rPr>
        <rFont val="メイリオ"/>
        <color rgb="FF000000"/>
        <sz val="10.0"/>
      </rPr>
      <t>Record không được đăng ký ở t_file_download</t>
    </r>
  </si>
  <si>
    <t>カテゴリ5: Xử lý lỗi chung (Common Error Handling)</t>
  </si>
  <si>
    <t>ACSMS-TC-028-034</t>
  </si>
  <si>
    <t>Request parameter không hợp lệ (BAD_REQUEST)</t>
  </si>
  <si>
    <r>
      <rPr>
        <rFont val="メイリオ"/>
        <b/>
        <color rgb="FF000000"/>
        <sz val="10.0"/>
      </rPr>
      <t xml:space="preserve">ステップ1：
</t>
    </r>
    <r>
      <rPr>
        <rFont val="メイリオ"/>
        <color rgb="FF000000"/>
        <sz val="10.0"/>
      </rPr>
      <t>Tại tab Network của DevTools, gửi GET「/api/v1/report/zougen-hanbaiten/preview?tekiyo_date=2026-05-01&amp;hanbaiten_id=abc」(chuỗi ký tự ở mục số)</t>
    </r>
  </si>
  <si>
    <r>
      <rPr>
        <rFont val="メイリオ"/>
        <b/>
        <color rgb="FF000000"/>
        <sz val="10.0"/>
      </rPr>
      <t xml:space="preserve">ステップ1：
</t>
    </r>
    <r>
      <rPr>
        <rFont val="メイリオ"/>
        <color rgb="FF000000"/>
        <sz val="10.0"/>
      </rPr>
      <t>Trả về HTTP 400 (`error_code: BAD_REQUEST`, message `リクエストパラメータが不正です。` hoặc `error_code: VALIDATION_ERROR`)</t>
    </r>
  </si>
  <si>
    <t>ACSMS-TC-028-035</t>
  </si>
  <si>
    <t>Hết session (UNAUTHORIZED)</t>
  </si>
  <si>
    <t>・Đã đăng nhập bằng CHUOKAI
・Đã chuẩn bị để cưỡng chế làm hết hiệu lực session bằng công cụ quản lý</t>
  </si>
  <si>
    <r>
      <rPr>
        <rFont val="メイリオ"/>
        <b/>
        <color rgb="FF000000"/>
        <sz val="10.0"/>
      </rPr>
      <t xml:space="preserve">ステップ1：
</t>
    </r>
    <r>
      <rPr>
        <rFont val="メイリオ"/>
        <color rgb="FF000000"/>
        <sz val="10.0"/>
      </rPr>
      <t xml:space="preserve">Cưỡng chế làm hết hiệu lực session khi đang mở màn hình xuất Phiếu liên lạc tăng giảm (Cửa hàng bán)
</t>
    </r>
    <r>
      <rPr>
        <rFont val="メイリオ"/>
        <b/>
        <color rgb="FF000000"/>
        <sz val="10.0"/>
      </rPr>
      <t xml:space="preserve">ステップ2：
</t>
    </r>
    <r>
      <rPr>
        <rFont val="メイリオ"/>
        <color rgb="FF000000"/>
        <sz val="10.0"/>
      </rPr>
      <t>Click button「レポートプレビュー」</t>
    </r>
  </si>
  <si>
    <r>
      <rPr>
        <rFont val="メイリオ"/>
        <b/>
        <color rgb="FF000000"/>
        <sz val="10.0"/>
      </rPr>
      <t xml:space="preserve">ステップ1：
</t>
    </r>
    <r>
      <rPr>
        <rFont val="メイリオ"/>
        <color rgb="FF000000"/>
        <sz val="10.0"/>
      </rPr>
      <t xml:space="preserve">Màn hình đang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sang「/login」(query được gắn thêm `redirect`)</t>
    </r>
  </si>
  <si>
    <t>ACSMS-TC-028-036</t>
  </si>
  <si>
    <t>Hình dạng response lỗi validation (VALIDATION_ERROR)</t>
  </si>
  <si>
    <r>
      <rPr>
        <rFont val="メイリオ"/>
        <b/>
        <color rgb="FF000000"/>
        <sz val="10.0"/>
      </rPr>
      <t xml:space="preserve">ステップ1：
</t>
    </r>
    <r>
      <rPr>
        <rFont val="メイリオ"/>
        <color rgb="FF000000"/>
        <sz val="10.0"/>
      </rPr>
      <t>Tại tab Network của DevTools, gửi POST「/api/v1/report/zougen-hanbaiten/export」với request body thiếu tekiyo_date</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</si>
  <si>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có chứa mảng `errors`, mỗi phần tử có hình dạng `{ field, message }`</t>
    </r>
  </si>
  <si>
    <t>ACSMS-TC-028-037</t>
  </si>
  <si>
    <t>Vượt giới hạn rate (TOO_MANY_REQUESTS)</t>
  </si>
  <si>
    <r>
      <rPr>
        <rFont val="メイリオ"/>
        <b/>
        <color rgb="FF000000"/>
        <sz val="10.0"/>
      </rPr>
      <t xml:space="preserve">ステップ1：
</t>
    </r>
    <r>
      <rPr>
        <rFont val="メイリオ"/>
        <color rgb="FF000000"/>
        <sz val="10.0"/>
      </rPr>
      <t xml:space="preserve">Gửi liên tục request tương đương preview hoặc tạo phiếu điện tử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</si>
  <si>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</si>
  <si>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ACSMS-TC-028-038</t>
  </si>
  <si>
    <t>Lỗi hệ thống (INTERNAL_SERVER_ERROR)</t>
  </si>
  <si>
    <t>・Đã đăng nhập bằng CHUOKAI
・Đã chuẩn bị để phát sinh exception phía server</t>
  </si>
  <si>
    <r>
      <rPr>
        <rFont val="メイリオ"/>
        <b/>
        <color rgb="FF000000"/>
        <sz val="10.0"/>
      </rPr>
      <t xml:space="preserve">ステップ1：
</t>
    </r>
    <r>
      <rPr>
        <rFont val="メイリオ"/>
        <color rgb="FF000000"/>
        <sz val="10.0"/>
      </rPr>
      <t>Thực hiện「レポートプレビュー」trong trạng thái đã phát sinh lỗi kết nối DB v.v.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</si>
  <si>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・Hiển thị message「システムエラーが発生しました。しばらくしてから再度お試しください。」(ACSMS-MSG-028-003)</t>
    </r>
  </si>
  <si>
    <t>ACSMS-TC-028-039</t>
  </si>
  <si>
    <t>Ngắt kết nối mạng</t>
  </si>
  <si>
    <r>
      <rPr>
        <rFont val="メイリオ"/>
        <b/>
        <color rgb="FF000000"/>
        <sz val="10.0"/>
      </rPr>
      <t xml:space="preserve">ステップ1：
</t>
    </r>
    <r>
      <rPr>
        <rFont val="メイリオ"/>
        <color rgb="FF000000"/>
        <sz val="10.0"/>
      </rPr>
      <t xml:space="preserve">Chọn「Offline」tại tab Network của DevTools và ngắt kết nối mạng
</t>
    </r>
    <r>
      <rPr>
        <rFont val="メイリオ"/>
        <b/>
        <color rgb="FF000000"/>
        <sz val="10.0"/>
      </rPr>
      <t xml:space="preserve">ステップ2：
</t>
    </r>
    <r>
      <rPr>
        <rFont val="メイリオ"/>
        <color rgb="FF000000"/>
        <sz val="10.0"/>
      </rPr>
      <t>Click button「レポートプレビュー」</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</si>
  <si>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bị terminate bất thường</t>
    </r>
  </si>
  <si>
    <t>ACSMS-TC-028-040</t>
  </si>
  <si>
    <t>An toàn với đầu vào SQL injection</t>
  </si>
  <si>
    <r>
      <rPr>
        <rFont val="メイリオ"/>
        <b/>
        <color rgb="FF000000"/>
        <sz val="10.0"/>
      </rPr>
      <t xml:space="preserve">ステップ1：
</t>
    </r>
    <r>
      <rPr>
        <rFont val="メイリオ"/>
        <color rgb="FF000000"/>
        <sz val="10.0"/>
      </rPr>
      <t xml:space="preserve">Tại tab Network của DevTools, chỉ định tekiyo_date của GET「/api/v1/report/zougen-hanbaiten/preview」là `2026-05-01'; DROP TABLE t_dokusya_rireki; --` và gửi
</t>
    </r>
    <r>
      <rPr>
        <rFont val="メイリオ"/>
        <b/>
        <color rgb="FF000000"/>
        <sz val="10.0"/>
      </rPr>
      <t xml:space="preserve">ステップ2：
</t>
    </r>
    <r>
      <rPr>
        <rFont val="メイリオ"/>
        <color rgb="FF000000"/>
        <sz val="10.0"/>
      </rPr>
      <t>Xác nhận bảng t_dokusya_rireki tồn tại ở DB</t>
    </r>
  </si>
  <si>
    <r>
      <rPr>
        <rFont val="メイリオ"/>
        <b/>
        <color rgb="FF000000"/>
        <sz val="10.0"/>
      </rPr>
      <t xml:space="preserve">ステップ1：
</t>
    </r>
    <r>
      <rPr>
        <rFont val="メイリオ"/>
        <color rgb="FF000000"/>
        <sz val="10.0"/>
      </rPr>
      <t xml:space="preserve">・Giá trị đầu vào được xử lý như literal bởi parameterized query, không được thực thi như SQL
</t>
    </r>
    <r>
      <rPr>
        <rFont val="メイリオ"/>
        <color rgb="FF000000"/>
        <sz val="10.0"/>
      </rPr>
      <t xml:space="preserve">・Trả về HTTP 400 (`error_code: VALIDATION_ERROR` hoặc `BAD_REQUEST`)
</t>
    </r>
    <r>
      <rPr>
        <rFont val="メイリオ"/>
        <b/>
        <color rgb="FF000000"/>
        <sz val="10.0"/>
      </rPr>
      <t xml:space="preserve">ステップ2：
</t>
    </r>
    <r>
      <rPr>
        <rFont val="メイリオ"/>
        <color rgb="FF000000"/>
        <sz val="10.0"/>
      </rPr>
      <t>Bảng t_dokusya_rireki không bị xóa và vẫn tồn tại</t>
    </r>
  </si>
  <si>
    <t>カテゴリ6: Đối tượng tổng hợp・Lựa chọn cửa hàng bán (Scope / Hanbaiten Options)</t>
  </si>
  <si>
    <t>ACSMS-TC-028-041</t>
  </si>
  <si>
    <t>Cộng dồn nhiều lịch sử trong cùng ngày (1→3→5 thành 1→5)</t>
  </si>
  <si>
    <t>・Đã đăng nhập bằng CHUOKAI
・Tồn tại lịch sử cùng một người đọc đổi số bản nhiều lần trong cùng ngày áp dụng theo 1→3→5 (từ 2 bản ghi trở lên trong cùng ngày)</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</si>
  <si>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người đọc tương ứng trong bảng tăng bản</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</si>
  <si>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・Người đọc tương ứng hiển thị bằng **1 dòng chứ không phải 2 dòng** (cộng dồn trong ngày)
</t>
    </r>
    <r>
      <rPr>
        <rFont val="メイリオ"/>
        <color rgb="FF000000"/>
        <sz val="10.0"/>
      </rPr>
      <t>・Số bản hiển thị là **「1 → 5」** (số bản trước đó lúc đầu ngày → số bản hiện tại lúc cuối ngày)</t>
    </r>
  </si>
  <si>
    <t>(không có)</t>
  </si>
  <si>
    <t>ACSMS-TC-028-042</t>
  </si>
  <si>
    <t>Hủy đăng ký (…→0) được phản ánh vào giảm bản</t>
  </si>
  <si>
    <t>・Đã đăng nhập bằng CHUOKAI
・Tồn tại người đọc đã hủy đăng ký (số bản đọc 2→0) vào ngày áp dụng đó</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</si>
  <si>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nội dung của bảng giảm bản</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</si>
  <si>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・Người đọc đã hủy đăng ký hiển thị trong bảng giảm bản
</t>
    </r>
    <r>
      <rPr>
        <rFont val="メイリオ"/>
        <color rgb="FF000000"/>
        <sz val="10.0"/>
      </rPr>
      <t>・Số bản hiển thị là **「2 → 0」**</t>
    </r>
  </si>
  <si>
    <t>ACSMS-TC-028-043</t>
  </si>
  <si>
    <t>Đổi cửa hàng bán (giảm ở cửa hàng cũ / tăng ở cửa hàng mới)</t>
  </si>
  <si>
    <t>・Đã đăng nhập bằng CHUOKAI
・Tồn tại người đọc đã đổi cửa hàng bán từ A→B vào ngày áp dụng đó (số bản không đổi 1→1)</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</si>
  <si>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báo biểu của cửa hàng cũ A và cửa hàng mới B</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</si>
  <si>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・Người đọc tương ứng hiển thị ở phần **giảm bản** của cửa hàng cũ A (số bản「1 → 0」)
</t>
    </r>
    <r>
      <rPr>
        <rFont val="メイリオ"/>
        <color rgb="FF000000"/>
        <sz val="10.0"/>
      </rPr>
      <t>・Người đọc tương ứng hiển thị ở phần **tăng bản** của cửa hàng mới B (số bản「0 → 1」)</t>
    </r>
  </si>
  <si>
    <t>Do chi nhánh quản lý của cửa hàng bán cũ không được lưu trong lịch sử, tạm thời dùng chi nhánh quản lý của bản ghi cuối cùng trong ngày.</t>
  </si>
  <si>
    <t>ACSMS-TC-028-044</t>
  </si>
  <si>
    <t>Người đọc mới không đưa vào phần thay đổi địa chỉ</t>
  </si>
  <si>
    <t>・Đã đăng nhập bằng CHUOKAI
・Tồn tại người đọc bắt đầu đăng ký mới vào ngày áp dụng đó (lịch sử đầu tiên・địa chỉ lần trước trống)</t>
  </si>
  <si>
    <r>
      <rPr>
        <rFont val="メイリオ"/>
        <b/>
        <color rgb="FF000000"/>
        <sz val="10.0"/>
      </rPr>
      <t xml:space="preserve">ステップ1：
</t>
    </r>
    <r>
      <rPr>
        <rFont val="メイリオ"/>
        <color rgb="FF000000"/>
        <sz val="10.0"/>
      </rPr>
      <t xml:space="preserve">Nhập ngày áp dụng đó rồi thực thi「レポートプレビュー」
</t>
    </r>
    <r>
      <rPr>
        <rFont val="メイリオ"/>
        <b/>
        <color rgb="FF000000"/>
        <sz val="10.0"/>
      </rPr>
      <t xml:space="preserve">ステップ2：
</t>
    </r>
    <r>
      <rPr>
        <rFont val="メイリオ"/>
        <color rgb="FF000000"/>
        <sz val="10.0"/>
      </rPr>
      <t>Kiểm tra bảng tăng bản và bảng thay đổi địa chỉ</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</si>
  <si>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・Người đọc mới hiển thị ở phần **tăng bản** (「0 → 1」)
</t>
    </r>
    <r>
      <rPr>
        <rFont val="メイリオ"/>
        <color rgb="FF000000"/>
        <sz val="10.0"/>
      </rPr>
      <t>・Người đọc mới **không hiển thị trong bảng thay đổi địa chỉ** (vì địa chỉ lần trước trống)</t>
    </r>
  </si>
  <si>
    <t>ACSMS-TC-028-047</t>
  </si>
  <si>
    <t>Phân trang (SQL OFFSET/LIMIT・theo đơn vị người đọc・API riêng)</t>
  </si>
  <si>
    <t>・Đã đăng nhập bằng CHUOKAI
・Tồn tại từ 16 người đọc thuộc đối tượng tăng giảm trở lên vào ngày áp dụng đó</t>
  </si>
  <si>
    <r>
      <rPr>
        <rFont val="メイリオ"/>
        <b/>
        <color rgb="FF000000"/>
        <sz val="10.0"/>
      </rPr>
      <t xml:space="preserve">ステップ1：
</t>
    </r>
    <r>
      <rPr>
        <rFont val="メイリオ"/>
        <color rgb="FF000000"/>
        <sz val="10.0"/>
      </rPr>
      <t xml:space="preserve">Nhập ngày áp dụng rồi thực thi「レポートプレビュー」
</t>
    </r>
    <r>
      <rPr>
        <rFont val="メイリオ"/>
        <b/>
        <color rgb="FF000000"/>
        <sz val="10.0"/>
      </rPr>
      <t xml:space="preserve">ステップ2：
</t>
    </r>
    <r>
      <rPr>
        <rFont val="メイリオ"/>
        <color rgb="FF000000"/>
        <sz val="10.0"/>
      </rPr>
      <t>Chuyển sang trang 2 bằng pager ở dưới phần preview</t>
    </r>
  </si>
  <si>
    <r>
      <rPr>
        <rFont val="メイリオ"/>
        <b/>
        <color rgb="FF000000"/>
        <sz val="10.0"/>
      </rPr>
      <t xml:space="preserve">ステップ1：
</t>
    </r>
    <r>
      <rPr>
        <rFont val="メイリオ"/>
        <color rgb="FF000000"/>
        <sz val="10.0"/>
      </rPr>
      <t xml:space="preserve">・Trang 1 hiển thị tối đa **15 người đọc** (≒15 bản ghi. Phần lớn là 1 bản ghi/người đọc. Do đổi cửa hàng bán＝2 / đổi số bản＋địa chỉ＝2 nên không chính xác đúng 15 dòng)
</t>
    </r>
    <r>
      <rPr>
        <rFont val="メイリオ"/>
        <color rgb="FF000000"/>
        <sz val="10.0"/>
      </rPr>
      <t xml:space="preserve">・Pager (tổng N bản ghi ＝ số người đọc thuộc đối tượng・trang 1/M) được hiển thị
</t>
    </r>
    <r>
      <rPr>
        <rFont val="メイリオ"/>
        <color rgb="FF000000"/>
        <sz val="10.0"/>
      </rPr>
      <t xml:space="preserve">・「ページ数」ở header báo biểu là `1/M`
</t>
    </r>
    <r>
      <rPr>
        <rFont val="メイリオ"/>
        <color rgb="FF000000"/>
        <sz val="10.0"/>
      </rPr>
      <t xml:space="preserve">・BE chỉ load chi tiết của số người đọc trong 1 trang bằng `COUNT(DISTINCT dokusya_id)` ＋ OFFSET/LIMIT trên `dokusya_id` (không load toàn bộ)
</t>
    </r>
    <r>
      <rPr>
        <rFont val="メイリオ"/>
        <b/>
        <color rgb="FF000000"/>
        <sz val="10.0"/>
      </rPr>
      <t xml:space="preserve">ステップ2：
</t>
    </r>
    <r>
      <rPr>
        <rFont val="メイリオ"/>
        <color rgb="FF000000"/>
        <sz val="10.0"/>
      </rPr>
      <t xml:space="preserve">・Lấy lại trang 2 bằng API riêng và hiển thị những người đọc còn lại (trình duyệt chỉ vẽ 1 trang)
</t>
    </r>
    <r>
      <rPr>
        <rFont val="メイリオ"/>
        <color rgb="FF000000"/>
        <sz val="10.0"/>
      </rPr>
      <t>・「ページ数」được cập nhật thành `2/M`</t>
    </r>
  </si>
  <si>
    <t>Việc xuất báo biểu điện tử (PDF) không phân trang mà xuất toàn bộ vào 1 file PDF.</t>
  </si>
  <si>
    <t>ACSMS-TC-028-048</t>
  </si>
  <si>
    <t>Giới hạn đối tượng tổng hợp chỉ bản giấy (#56408)</t>
  </si>
  <si>
    <t>・role: JA_HONTEN (có quyền `report.export_zougen_hanbaiten`)
・Lấy ngày áp dụng là 2026/09/01, chuẩn bị người đọc có lịch sử thuộc đối tượng báo cáo tăng giảm (`zougen_hokoku_flg = true`) trong cùng ngày như sau (tất cả đều thuộc cửa hàng bán A có thật)
・(a) Bản giấy (dokusya_shubetsu=1) tăng từ 1 → 3 bản, 1 người
・(b) Kết hợp (3) có thay đổi số bản, 1 người
・(c) Bản điện tử (2)・đã duyệt (denshi_shonin_status=1) 1 người
・(d) Bản điện tử (2)・chưa duyệt 1 người</t>
  </si>
  <si>
    <r>
      <rPr>
        <rFont val="メイリオ"/>
        <b/>
        <color rgb="FF000000"/>
        <sz val="10.0"/>
      </rPr>
      <t xml:space="preserve">ステップ1：
</t>
    </r>
    <r>
      <rPr>
        <rFont val="メイリオ"/>
        <color rgb="FF000000"/>
        <sz val="10.0"/>
      </rPr>
      <t xml:space="preserve">Hiển thị preview với ngày áp dụng 2026/09/01 và kiểm tra người đọc thuộc đối tượng
</t>
    </r>
    <r>
      <rPr>
        <rFont val="メイリオ"/>
        <b/>
        <color rgb="FF000000"/>
        <sz val="10.0"/>
      </rPr>
      <t xml:space="preserve">ステップ2：
</t>
    </r>
    <r>
      <rPr>
        <rFont val="メイリオ"/>
        <color rgb="FF000000"/>
        <sz val="10.0"/>
      </rPr>
      <t xml:space="preserve">Xuất PDF và kiểm tra số bản tăng・số bản giảm của cửa hàng bán A
</t>
    </r>
    <r>
      <rPr>
        <rFont val="メイリオ"/>
        <b/>
        <color rgb="FF000000"/>
        <sz val="10.0"/>
      </rPr>
      <t xml:space="preserve">ステップ3：
</t>
    </r>
    <r>
      <rPr>
        <rFont val="メイリオ"/>
        <color rgb="FF000000"/>
        <sz val="10.0"/>
      </rPr>
      <t xml:space="preserve">Kiểm tra người đọc (b) kết hợp có nằm trong bản xuất không
</t>
    </r>
    <r>
      <rPr>
        <rFont val="メイリオ"/>
        <b/>
        <color rgb="FF000000"/>
        <sz val="10.0"/>
      </rPr>
      <t xml:space="preserve">ステップ4：
</t>
    </r>
    <r>
      <rPr>
        <rFont val="メイリオ"/>
        <color rgb="FF000000"/>
        <sz val="10.0"/>
      </rPr>
      <t xml:space="preserve">Kiểm tra người đọc (c) bản điện tử・đã duyệt có nằm trong bản xuất không
</t>
    </r>
    <r>
      <rPr>
        <rFont val="メイリオ"/>
        <b/>
        <color rgb="FF000000"/>
        <sz val="10.0"/>
      </rPr>
      <t xml:space="preserve">ステップ5：
</t>
    </r>
    <r>
      <rPr>
        <rFont val="メイリオ"/>
        <color rgb="FF000000"/>
        <sz val="10.0"/>
      </rPr>
      <t>Xuất ở trạng thái chỉ giữ lại (a) và xóa các trường hợp còn lại, xác nhận số lượng khớp</t>
    </r>
  </si>
  <si>
    <r>
      <rPr>
        <rFont val="メイリオ"/>
        <b/>
        <color rgb="FF000000"/>
        <sz val="10.0"/>
      </rPr>
      <t xml:space="preserve">ステップ1：
</t>
    </r>
    <r>
      <rPr>
        <rFont val="メイリオ"/>
        <color rgb="FF000000"/>
        <sz val="10.0"/>
      </rPr>
      <t xml:space="preserve">**Chỉ (a) bản giấy 1 người** thuộc đối tượng
</t>
    </r>
    <r>
      <rPr>
        <rFont val="メイリオ"/>
        <b/>
        <color rgb="FF000000"/>
        <sz val="10.0"/>
      </rPr>
      <t xml:space="preserve">ステップ2：
</t>
    </r>
    <r>
      <rPr>
        <rFont val="メイリオ"/>
        <color rgb="FF000000"/>
        <sz val="10.0"/>
      </rPr>
      <t xml:space="preserve">Số bản tăng của cửa hàng bán A chỉ gồm phần tăng của (a) (+2 bản)
</t>
    </r>
    <r>
      <rPr>
        <rFont val="メイリオ"/>
        <b/>
        <color rgb="FF000000"/>
        <sz val="10.0"/>
      </rPr>
      <t xml:space="preserve">ステップ3：
</t>
    </r>
    <r>
      <rPr>
        <rFont val="メイリオ"/>
        <color rgb="FF000000"/>
        <sz val="10.0"/>
      </rPr>
      <t xml:space="preserve">**Không nằm trong bản xuất**. Kết hợp không có biến động tương ứng với mục đích của báo biểu này là "truyền đạt tăng giảm số bản giao báo tới cửa hàng bán"
</t>
    </r>
    <r>
      <rPr>
        <rFont val="メイリオ"/>
        <b/>
        <color rgb="FF000000"/>
        <sz val="10.0"/>
      </rPr>
      <t xml:space="preserve">ステップ4：
</t>
    </r>
    <r>
      <rPr>
        <rFont val="メイリオ"/>
        <color rgb="FF000000"/>
        <sz val="10.0"/>
      </rPr>
      <t xml:space="preserve">**Không nằm trong bản xuất**. Trước đây có điều kiện "bản điện tử chỉ tổng hợp khi đã duyệt", nhưng điều kiện đó đã bị bỏ vì nằm gọn trong giới hạn chỉ bản giấy (yêu cầu khách hàng 2026-08 / #56408)
</t>
    </r>
    <r>
      <rPr>
        <rFont val="メイリオ"/>
        <b/>
        <color rgb="FF000000"/>
        <sz val="10.0"/>
      </rPr>
      <t xml:space="preserve">ステップ5：
</t>
    </r>
    <r>
      <rPr>
        <rFont val="メイリオ"/>
        <color rgb="FF000000"/>
        <sz val="10.0"/>
      </rPr>
      <t xml:space="preserve">Nội dung xuất ra không thay đổi
</t>
    </r>
    <r>
      <rPr>
        <rFont val="メイリオ"/>
        <b/>
        <color rgb="FF000000"/>
        <sz val="10.0"/>
      </rPr>
      <t xml:space="preserve">補足：
</t>
    </r>
    <r>
      <rPr>
        <rFont val="メイリオ"/>
        <color rgb="FF000000"/>
        <sz val="10.0"/>
      </rPr>
      <t xml:space="preserve">・Báo biểu này truyền đạt tăng giảm số bản giao báo tới cửa hàng bán, mà bản điện tử・kết hợp không có khái niệm giao báo (bản điện tử đơn thuần thì gắn với cửa hàng dummy)
</t>
    </r>
    <r>
      <rPr>
        <rFont val="メイリオ"/>
        <color rgb="FF000000"/>
        <sz val="10.0"/>
      </rPr>
      <t xml:space="preserve">・Thông báo tăng giảm (SCR-029) cũng giới hạn chỉ bản giấy, nhưng điều kiện do từng màn tự giữ (không dùng chung nên nếu chỉ sửa một bên sẽ lệch nhau)
</t>
    </r>
    <r>
      <rPr>
        <rFont val="メイリオ"/>
        <color rgb="FF000000"/>
        <sz val="10.0"/>
      </rPr>
      <t>・Danh sách người đọc (SCR-026) có đối tượng khác nhau theo loại báo biểu (theo chi nhánh quản lý thì kết hợp・bản điện tử cũng thuộc đối tượng). Không được dùng lại nguyên điều kiện của màn hình này</t>
    </r>
  </si>
  <si>
    <t>ACSMS-TC-028-049</t>
  </si>
  <si>
    <t>Loại cửa hàng bán dummy của bản điện tử khỏi lựa chọn (#56597)</t>
  </si>
  <si>
    <t>・role: JA_HONTEN (có quyền `report.export_zougen_hanbaiten`)
・JA của mình có cửa hàng bán dummy của bản điện tử (`hanbaiten_code = 9999999999`) và có người đọc bản điện tử gắn vào
・Tồn tại từ 2 cửa hàng bán có thật trở lên
・Chuẩn bị thêm 1 cửa hàng bán có cờ ngừng kinh doanh (`haiten_flg = true`)</t>
  </si>
  <si>
    <r>
      <rPr>
        <rFont val="メイリオ"/>
        <b/>
        <color rgb="FF000000"/>
        <sz val="10.0"/>
      </rPr>
      <t xml:space="preserve">ステップ1：
</t>
    </r>
    <r>
      <rPr>
        <rFont val="メイリオ"/>
        <color rgb="FF000000"/>
        <sz val="10.0"/>
      </rPr>
      <t xml:space="preserve">Mở dropdown「販売店」trong điều kiện xuất và kiểm tra các lựa chọn
</t>
    </r>
    <r>
      <rPr>
        <rFont val="メイリオ"/>
        <b/>
        <color rgb="FF000000"/>
        <sz val="10.0"/>
      </rPr>
      <t xml:space="preserve">ステップ2：
</t>
    </r>
    <r>
      <rPr>
        <rFont val="メイリオ"/>
        <color rgb="FF000000"/>
        <sz val="10.0"/>
      </rPr>
      <t xml:space="preserve">Kiểm tra tham số request của `GET /api/v1/hanbaiten/dropdown`
</t>
    </r>
    <r>
      <rPr>
        <rFont val="メイリオ"/>
        <b/>
        <color rgb="FF000000"/>
        <sz val="10.0"/>
      </rPr>
      <t xml:space="preserve">ステップ3：
</t>
    </r>
    <r>
      <rPr>
        <rFont val="メイリオ"/>
        <color rgb="FF000000"/>
        <sz val="10.0"/>
      </rPr>
      <t xml:space="preserve">Kiểm tra cửa hàng bán đã ngừng kinh doanh có xuất hiện trong lựa chọn không
</t>
    </r>
    <r>
      <rPr>
        <rFont val="メイリオ"/>
        <b/>
        <color rgb="FF000000"/>
        <sz val="10.0"/>
      </rPr>
      <t xml:space="preserve">ステップ4：
</t>
    </r>
    <r>
      <rPr>
        <rFont val="メイリオ"/>
        <color rgb="FF000000"/>
        <sz val="10.0"/>
      </rPr>
      <t>Từ DevTools chỉ định trực tiếp `hanbaiten_id` của cửa hàng dummy và gọi API xuất</t>
    </r>
  </si>
  <si>
    <r>
      <rPr>
        <rFont val="メイリオ"/>
        <b/>
        <color rgb="FF000000"/>
        <sz val="10.0"/>
      </rPr>
      <t xml:space="preserve">ステップ1：
</t>
    </r>
    <r>
      <rPr>
        <rFont val="メイリオ"/>
        <color rgb="FF000000"/>
        <sz val="10.0"/>
      </rPr>
      <t xml:space="preserve">Chỉ các cửa hàng bán có thật và chưa ngừng kinh doanh hiển thị trong lựa chọn, **cửa hàng dummy (9999999999) không xuất hiện**
</t>
    </r>
    <r>
      <rPr>
        <rFont val="メイリオ"/>
        <b/>
        <color rgb="FF000000"/>
        <sz val="10.0"/>
      </rPr>
      <t xml:space="preserve">ステップ2：
</t>
    </r>
    <r>
      <rPr>
        <rFont val="メイリオ"/>
        <color rgb="FF000000"/>
        <sz val="10.0"/>
      </rPr>
      <t xml:space="preserve">Có chỉ định `dummy=exclude`
</t>
    </r>
    <r>
      <rPr>
        <rFont val="メイリオ"/>
        <b/>
        <color rgb="FF000000"/>
        <sz val="10.0"/>
      </rPr>
      <t xml:space="preserve">ステップ3：
</t>
    </r>
    <r>
      <rPr>
        <rFont val="メイリオ"/>
        <color rgb="FF000000"/>
        <sz val="10.0"/>
      </rPr>
      <t xml:space="preserve">Cửa hàng bán đã ngừng kinh doanh cũng không xuất hiện trong lựa chọn (phía SQL tổng hợp cũng loại bằng `h.haiten_flg = false`)
</t>
    </r>
    <r>
      <rPr>
        <rFont val="メイリオ"/>
        <b/>
        <color rgb="FF000000"/>
        <sz val="10.0"/>
      </rPr>
      <t xml:space="preserve">ステップ4：
</t>
    </r>
    <r>
      <rPr>
        <rFont val="メイリオ"/>
        <color rgb="FF000000"/>
        <sz val="10.0"/>
      </rPr>
      <t xml:space="preserve">Kết quả là 0 bản ghi. Đối tượng tổng hợp của báo biểu này chỉ là bản giấy, mà gắn với dummy chỉ có người đọc bản điện tử, nên dù chọn được cũng chắc chắn ra 0
</t>
    </r>
    <r>
      <rPr>
        <rFont val="メイリオ"/>
        <b/>
        <color rgb="FF000000"/>
        <sz val="10.0"/>
      </rPr>
      <t xml:space="preserve">補足：
</t>
    </r>
    <r>
      <rPr>
        <rFont val="メイリオ"/>
        <color rgb="FF000000"/>
        <sz val="10.0"/>
      </rPr>
      <t xml:space="preserve">・Cửa hàng bán dummy của bản điện tử là "nơi hứng để gắn người đọc bản điện tử", không phải cửa hàng bán có thật (tồn tại vì `t_dokusya.hanbaiten_id` là NOT NULL)
</t>
    </r>
    <r>
      <rPr>
        <rFont val="メイリオ"/>
        <color rgb="FF000000"/>
        <sz val="10.0"/>
      </rPr>
      <t>・Việc loại trừ tương tự cũng áp dụng cho danh sách người đọc theo cửa hàng bán (SCR-026) (xem ACSMS-TC-026-044)</t>
    </r>
  </si>
  <si>
    <t>(không có)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</si>
</sst>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sz val="11.0"/>
      <color theme="1"/>
      <name val="Calibri"/>
    </font>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FFFF99"/>
        <bgColor rgb="FFFFFF99"/>
      </patternFill>
    </fill>
    <fill>
      <patternFill patternType="solid">
        <fgColor rgb="FFD9E2F3"/>
        <bgColor rgb="FFD9E2F3"/>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3" numFmtId="0" xfId="0" applyBorder="1" applyFont="1"/>
    <xf borderId="5" fillId="0" fontId="2" numFmtId="0" xfId="0" applyBorder="1" applyFont="1"/>
    <xf borderId="6" fillId="0" fontId="3" numFmtId="0" xfId="0" applyBorder="1" applyFont="1"/>
    <xf borderId="2" fillId="2" fontId="4" numFmtId="0" xfId="0" applyAlignment="1" applyBorder="1" applyFont="1">
      <alignment horizontal="center" shrinkToFit="0" vertical="center" wrapText="1"/>
    </xf>
    <xf borderId="2" fillId="3" fontId="1" numFmtId="0" xfId="0" applyAlignment="1" applyBorder="1" applyFill="1" applyFont="1">
      <alignment horizontal="left" shrinkToFit="0" vertical="center" wrapText="1"/>
    </xf>
    <xf borderId="3" fillId="0" fontId="5" numFmtId="0" xfId="0" applyAlignment="1" applyBorder="1" applyFont="1">
      <alignment horizontal="center" shrinkToFit="0" vertical="center" wrapText="1"/>
    </xf>
    <xf borderId="5" fillId="0" fontId="3" numFmtId="0" xfId="0" applyBorder="1" applyFont="1"/>
    <xf borderId="2" fillId="0" fontId="5" numFmtId="0" xfId="0" applyAlignment="1" applyBorder="1" applyFont="1">
      <alignment horizontal="left" shrinkToFit="0" vertical="center" wrapText="1"/>
    </xf>
    <xf borderId="7" fillId="0" fontId="2" numFmtId="0" xfId="0" applyBorder="1" applyFont="1"/>
    <xf borderId="7" fillId="0" fontId="3" numFmtId="0" xfId="0" applyBorder="1" applyFont="1"/>
    <xf borderId="8" fillId="0" fontId="2" numFmtId="0" xfId="0" applyBorder="1" applyFont="1"/>
    <xf borderId="9" fillId="0" fontId="2" numFmtId="0" xfId="0" applyBorder="1" applyFont="1"/>
    <xf borderId="1" fillId="0" fontId="5" numFmtId="0" xfId="0" applyAlignment="1" applyBorder="1" applyFont="1">
      <alignment horizontal="center" shrinkToFit="0" vertical="center" wrapText="1"/>
    </xf>
    <xf borderId="3" fillId="0" fontId="5" numFmtId="49" xfId="0" applyAlignment="1" applyBorder="1" applyFont="1" applyNumberFormat="1">
      <alignment horizontal="center" shrinkToFit="0" vertical="center" wrapText="1"/>
    </xf>
    <xf borderId="2" fillId="0" fontId="5" numFmtId="0" xfId="0" applyAlignment="1" applyBorder="1" applyFont="1">
      <alignment horizontal="center" shrinkToFit="0" vertical="center" wrapText="1"/>
    </xf>
    <xf borderId="10" fillId="0" fontId="3" numFmtId="0" xfId="0" applyBorder="1" applyFont="1"/>
    <xf borderId="11" fillId="0" fontId="3" numFmtId="0" xfId="0" applyBorder="1" applyFont="1"/>
    <xf borderId="12" fillId="0" fontId="3" numFmtId="0" xfId="0" applyBorder="1" applyFont="1"/>
    <xf borderId="2" fillId="0" fontId="5" numFmtId="49" xfId="0" applyAlignment="1" applyBorder="1" applyFont="1" applyNumberFormat="1">
      <alignment horizontal="left" shrinkToFit="0" vertical="center" wrapText="1"/>
    </xf>
    <xf borderId="8" fillId="0" fontId="6" numFmtId="0" xfId="0" applyAlignment="1" applyBorder="1" applyFont="1">
      <alignment horizontal="center" shrinkToFit="0" vertical="center" wrapText="1"/>
    </xf>
    <xf borderId="9" fillId="0" fontId="3" numFmtId="0" xfId="0" applyBorder="1" applyFont="1"/>
    <xf borderId="13" fillId="3" fontId="1" numFmtId="0" xfId="0" applyAlignment="1" applyBorder="1" applyFont="1">
      <alignment horizontal="center" shrinkToFit="0" vertical="center" wrapText="1"/>
    </xf>
    <xf borderId="0" fillId="0" fontId="1" numFmtId="0" xfId="0" applyAlignment="1" applyFont="1">
      <alignment horizontal="left" shrinkToFit="0" vertical="center" wrapText="1"/>
    </xf>
    <xf borderId="3" fillId="3" fontId="1" numFmtId="0" xfId="0" applyAlignment="1" applyBorder="1" applyFont="1">
      <alignment horizontal="center" shrinkToFit="0" vertical="center" wrapText="1"/>
    </xf>
    <xf borderId="0" fillId="0" fontId="5" numFmtId="0" xfId="0" applyAlignment="1" applyFont="1">
      <alignment horizontal="left" shrinkToFit="0" vertical="center" wrapText="1"/>
    </xf>
    <xf borderId="8" fillId="0" fontId="7"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14" fillId="4" fontId="1" numFmtId="0" xfId="0" applyAlignment="1" applyBorder="1" applyFill="1" applyFont="1">
      <alignment horizontal="left" shrinkToFit="0" vertical="center" wrapText="1"/>
    </xf>
    <xf borderId="8" fillId="0" fontId="8" numFmtId="0" xfId="0" applyAlignment="1" applyBorder="1" applyFont="1">
      <alignment horizontal="center" shrinkToFit="0" vertical="center" wrapText="1"/>
    </xf>
    <xf borderId="15" fillId="0" fontId="3" numFmtId="0" xfId="0" applyBorder="1" applyFont="1"/>
    <xf borderId="16" fillId="0" fontId="3" numFmtId="0" xfId="0" applyBorder="1" applyFont="1"/>
    <xf borderId="17" fillId="0" fontId="3" numFmtId="0" xfId="0" applyBorder="1" applyFont="1"/>
    <xf borderId="2" fillId="5" fontId="9" numFmtId="0" xfId="0" applyAlignment="1" applyBorder="1" applyFill="1" applyFont="1">
      <alignment horizontal="center" shrinkToFit="0" vertical="center" wrapText="1"/>
    </xf>
    <xf borderId="1" fillId="6" fontId="1" numFmtId="0" xfId="0" applyAlignment="1" applyBorder="1" applyFill="1" applyFont="1">
      <alignment horizontal="left" shrinkToFit="0" vertical="center" wrapText="1"/>
    </xf>
    <xf borderId="2" fillId="5" fontId="9" numFmtId="49" xfId="0" applyAlignment="1" applyBorder="1" applyFont="1" applyNumberFormat="1">
      <alignment horizontal="center" shrinkToFit="0" vertical="center" wrapText="1"/>
    </xf>
    <xf borderId="10" fillId="0" fontId="2" numFmtId="0" xfId="0" applyBorder="1" applyFont="1"/>
    <xf borderId="11" fillId="0" fontId="2" numFmtId="0" xfId="0" applyBorder="1" applyFont="1"/>
    <xf borderId="12" fillId="0" fontId="2" numFmtId="0" xfId="0" applyBorder="1" applyFont="1"/>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3" fillId="6"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2" fillId="0" fontId="5" numFmtId="0" xfId="0" applyAlignment="1" applyBorder="1" applyFont="1">
      <alignment horizontal="center" readingOrder="0" shrinkToFit="0" vertical="top" wrapText="1"/>
    </xf>
    <xf borderId="2" fillId="0" fontId="10" numFmtId="0" xfId="0" applyAlignment="1" applyBorder="1" applyFont="1">
      <alignment horizontal="center" shrinkToFit="0" vertical="top" wrapText="1"/>
    </xf>
    <xf borderId="2" fillId="0" fontId="10" numFmtId="165" xfId="0" applyAlignment="1" applyBorder="1" applyFont="1" applyNumberFormat="1">
      <alignment horizontal="center" readingOrder="0" shrinkToFit="0" vertical="top" wrapText="1"/>
    </xf>
    <xf borderId="2" fillId="9" fontId="1" numFmtId="0" xfId="0" applyAlignment="1" applyBorder="1" applyFill="1" applyFont="1">
      <alignment horizontal="center" shrinkToFit="0" vertical="top" wrapText="1"/>
    </xf>
    <xf borderId="2" fillId="0" fontId="5" numFmtId="0" xfId="0" applyAlignment="1" applyBorder="1" applyFont="1">
      <alignment horizontal="left" readingOrder="0"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0" numFmtId="165" xfId="0" applyAlignment="1" applyBorder="1" applyFont="1" applyNumberFormat="1">
      <alignment horizontal="center" shrinkToFit="0" vertical="top" wrapText="1"/>
    </xf>
    <xf borderId="2"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3"/>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12"/>
    </row>
    <row r="3" ht="12.75" customHeight="1">
      <c r="B3" s="14"/>
      <c r="AK3" s="15"/>
    </row>
    <row r="4" ht="12.75" customHeight="1">
      <c r="B4" s="14"/>
      <c r="AK4" s="15"/>
    </row>
    <row r="5" ht="12.75" customHeight="1">
      <c r="B5" s="14"/>
      <c r="AK5" s="15"/>
    </row>
    <row r="6" ht="12.75" customHeight="1">
      <c r="B6" s="14"/>
      <c r="AK6" s="15"/>
    </row>
    <row r="7" ht="12.75" customHeight="1">
      <c r="B7" s="14"/>
      <c r="AK7" s="15"/>
    </row>
    <row r="8" ht="12.75" customHeight="1">
      <c r="B8" s="14"/>
      <c r="AK8" s="15"/>
    </row>
    <row r="9" ht="12.75" customHeight="1">
      <c r="B9" s="14"/>
      <c r="AK9" s="15"/>
    </row>
    <row r="10" ht="29.25" customHeight="1">
      <c r="B10" s="23" t="s">
        <v>16</v>
      </c>
      <c r="AK10" s="24"/>
    </row>
    <row r="11" ht="12.75" customHeight="1">
      <c r="B11" s="14"/>
      <c r="AK11" s="15"/>
    </row>
    <row r="12" ht="39.0" customHeight="1">
      <c r="B12" s="29" t="s">
        <v>29</v>
      </c>
      <c r="AK12" s="24"/>
    </row>
    <row r="13" ht="12.75" customHeight="1">
      <c r="B13" s="14"/>
      <c r="AK13" s="15"/>
    </row>
    <row r="14" ht="12.75" customHeight="1">
      <c r="B14" s="14"/>
      <c r="AK14" s="15"/>
    </row>
    <row r="15" ht="12.75" customHeight="1">
      <c r="B15" s="32" t="s">
        <v>39</v>
      </c>
      <c r="AK15" s="24"/>
    </row>
    <row r="16" ht="12.75" customHeight="1">
      <c r="B16" s="14"/>
      <c r="AK16" s="15"/>
    </row>
    <row r="17" ht="12.75" customHeight="1">
      <c r="B17" s="14"/>
      <c r="AK17" s="15"/>
    </row>
    <row r="18" ht="12.75" customHeight="1">
      <c r="B18" s="14"/>
      <c r="N18" s="36" t="s">
        <v>44</v>
      </c>
      <c r="O18" s="4"/>
      <c r="P18" s="4"/>
      <c r="Q18" s="4"/>
      <c r="R18" s="6"/>
      <c r="S18" s="36" t="s">
        <v>49</v>
      </c>
      <c r="T18" s="4"/>
      <c r="U18" s="4"/>
      <c r="V18" s="4"/>
      <c r="W18" s="6"/>
      <c r="AK18" s="15"/>
    </row>
    <row r="19" ht="12.75" customHeight="1">
      <c r="B19" s="14"/>
      <c r="N19" s="36" t="s">
        <v>54</v>
      </c>
      <c r="O19" s="4"/>
      <c r="P19" s="4"/>
      <c r="Q19" s="4"/>
      <c r="R19" s="6"/>
      <c r="S19" s="36" t="s">
        <v>23</v>
      </c>
      <c r="T19" s="4"/>
      <c r="U19" s="4"/>
      <c r="V19" s="4"/>
      <c r="W19" s="6"/>
      <c r="AK19" s="15"/>
    </row>
    <row r="20" ht="12.75" customHeight="1">
      <c r="B20" s="14"/>
      <c r="N20" s="36" t="s">
        <v>2</v>
      </c>
      <c r="O20" s="4"/>
      <c r="P20" s="4"/>
      <c r="Q20" s="4"/>
      <c r="R20" s="6"/>
      <c r="S20" s="38" t="s">
        <v>21</v>
      </c>
      <c r="T20" s="4"/>
      <c r="U20" s="4"/>
      <c r="V20" s="4"/>
      <c r="W20" s="6"/>
      <c r="AK20" s="15"/>
    </row>
    <row r="21" ht="12.75" customHeight="1">
      <c r="B21" s="14"/>
      <c r="AK21" s="15"/>
    </row>
    <row r="22" ht="12.75" customHeight="1">
      <c r="B22" s="14"/>
      <c r="AK22" s="15"/>
    </row>
    <row r="23" ht="12.75" customHeight="1">
      <c r="B23" s="14"/>
      <c r="AK23" s="15"/>
    </row>
    <row r="24" ht="12.75" customHeight="1">
      <c r="B24" s="14"/>
      <c r="AK24" s="15"/>
    </row>
    <row r="25" ht="12.75" customHeight="1">
      <c r="B25" s="14"/>
      <c r="AK25" s="15"/>
    </row>
    <row r="26" ht="12.75" customHeight="1">
      <c r="B26" s="14"/>
      <c r="AK26" s="15"/>
    </row>
    <row r="27" ht="12.75" customHeight="1">
      <c r="B27" s="14"/>
      <c r="AK27" s="15"/>
    </row>
    <row r="28" ht="12.75" customHeight="1">
      <c r="B28" s="14"/>
      <c r="AK28" s="15"/>
    </row>
    <row r="29" ht="12.75" customHeight="1">
      <c r="B29" s="14"/>
      <c r="AK29" s="15"/>
    </row>
    <row r="30" ht="12.75" customHeight="1">
      <c r="B30" s="14"/>
      <c r="AK30" s="15"/>
    </row>
    <row r="31" ht="12.75" customHeight="1">
      <c r="B31" s="14"/>
      <c r="AK31" s="15"/>
    </row>
    <row r="32" ht="12.75" customHeight="1">
      <c r="B32" s="14"/>
      <c r="AK32" s="15"/>
    </row>
    <row r="33" ht="12.75" customHeight="1">
      <c r="B33" s="14"/>
      <c r="AK33" s="15"/>
    </row>
    <row r="34" ht="12.75" customHeight="1">
      <c r="B34" s="3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2" t="s">
        <v>2</v>
      </c>
      <c r="C1" s="4"/>
      <c r="D1" s="4"/>
      <c r="E1" s="6"/>
      <c r="F1" s="2" t="s">
        <v>5</v>
      </c>
      <c r="G1" s="4"/>
      <c r="H1" s="6"/>
      <c r="I1" s="2" t="s">
        <v>7</v>
      </c>
      <c r="J1" s="4"/>
      <c r="K1" s="4"/>
      <c r="L1" s="4"/>
      <c r="M1" s="4"/>
      <c r="N1" s="6"/>
      <c r="O1" s="2" t="s">
        <v>8</v>
      </c>
      <c r="P1" s="4"/>
      <c r="Q1" s="4"/>
      <c r="R1" s="4"/>
      <c r="S1" s="4"/>
      <c r="T1" s="4"/>
      <c r="U1" s="4"/>
      <c r="V1" s="6"/>
      <c r="W1" s="2" t="s">
        <v>13</v>
      </c>
      <c r="X1" s="4"/>
      <c r="Y1" s="4"/>
      <c r="Z1" s="4"/>
      <c r="AA1" s="4"/>
      <c r="AB1" s="6"/>
      <c r="AC1" s="2" t="s">
        <v>15</v>
      </c>
      <c r="AD1" s="4"/>
      <c r="AE1" s="4"/>
      <c r="AF1" s="4"/>
      <c r="AG1" s="4"/>
      <c r="AH1" s="6"/>
    </row>
    <row r="2" ht="22.5" customHeight="1">
      <c r="A2" s="16"/>
      <c r="B2" s="18" t="s">
        <v>21</v>
      </c>
      <c r="C2" s="4"/>
      <c r="D2" s="4"/>
      <c r="E2" s="6"/>
      <c r="F2" s="18" t="s">
        <v>23</v>
      </c>
      <c r="G2" s="4"/>
      <c r="H2" s="6"/>
      <c r="I2" s="18" t="s">
        <v>22</v>
      </c>
      <c r="J2" s="4"/>
      <c r="K2" s="4"/>
      <c r="L2" s="4"/>
      <c r="M2" s="4"/>
      <c r="N2" s="6"/>
      <c r="O2" s="11" t="s">
        <v>24</v>
      </c>
      <c r="P2" s="4"/>
      <c r="Q2" s="4"/>
      <c r="R2" s="4"/>
      <c r="S2" s="4"/>
      <c r="T2" s="4"/>
      <c r="U2" s="4"/>
      <c r="V2" s="6"/>
      <c r="W2" s="18" t="s">
        <v>20</v>
      </c>
      <c r="X2" s="4"/>
      <c r="Y2" s="4"/>
      <c r="Z2" s="4"/>
      <c r="AA2" s="4"/>
      <c r="AB2" s="6"/>
      <c r="AC2" s="18" t="s">
        <v>20</v>
      </c>
      <c r="AD2" s="4"/>
      <c r="AE2" s="4"/>
      <c r="AF2" s="4"/>
      <c r="AG2" s="4"/>
      <c r="AH2" s="6"/>
    </row>
    <row r="3" ht="22.5" customHeight="1">
      <c r="A3" s="16"/>
      <c r="B3" s="18" t="s">
        <v>36</v>
      </c>
      <c r="C3" s="4"/>
      <c r="D3" s="4"/>
      <c r="E3" s="6"/>
      <c r="F3" s="18" t="s">
        <v>38</v>
      </c>
      <c r="G3" s="4"/>
      <c r="H3" s="6"/>
      <c r="I3" s="18" t="s">
        <v>40</v>
      </c>
      <c r="J3" s="4"/>
      <c r="K3" s="4"/>
      <c r="L3" s="4"/>
      <c r="M3" s="4"/>
      <c r="N3" s="6"/>
      <c r="O3" s="11" t="s">
        <v>42</v>
      </c>
      <c r="P3" s="4"/>
      <c r="Q3" s="4"/>
      <c r="R3" s="4"/>
      <c r="S3" s="4"/>
      <c r="T3" s="4"/>
      <c r="U3" s="4"/>
      <c r="V3" s="6"/>
      <c r="W3" s="18"/>
      <c r="X3" s="4"/>
      <c r="Y3" s="4"/>
      <c r="Z3" s="4"/>
      <c r="AA3" s="4"/>
      <c r="AB3" s="6"/>
      <c r="AC3" s="18"/>
      <c r="AD3" s="4"/>
      <c r="AE3" s="4"/>
      <c r="AF3" s="4"/>
      <c r="AG3" s="4"/>
      <c r="AH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4"/>
      <c r="C1" s="4"/>
      <c r="D1" s="4"/>
      <c r="E1" s="4"/>
      <c r="F1" s="4"/>
      <c r="G1" s="4"/>
      <c r="H1" s="4"/>
      <c r="I1" s="6"/>
      <c r="J1" s="2" t="s">
        <v>4</v>
      </c>
      <c r="K1" s="4"/>
      <c r="L1" s="4"/>
      <c r="M1" s="4"/>
      <c r="N1" s="4"/>
      <c r="O1" s="4"/>
      <c r="P1" s="6"/>
      <c r="Q1" s="2" t="s">
        <v>6</v>
      </c>
      <c r="R1" s="4"/>
      <c r="S1" s="4"/>
      <c r="T1" s="4"/>
      <c r="U1" s="6"/>
      <c r="V1" s="2" t="s">
        <v>9</v>
      </c>
      <c r="W1" s="4"/>
      <c r="X1" s="4"/>
      <c r="Y1" s="6"/>
      <c r="Z1" s="2" t="s">
        <v>10</v>
      </c>
      <c r="AA1" s="4"/>
      <c r="AB1" s="4"/>
      <c r="AC1" s="6"/>
      <c r="AD1" s="2" t="s">
        <v>11</v>
      </c>
      <c r="AE1" s="4"/>
      <c r="AF1" s="4"/>
      <c r="AG1" s="6"/>
      <c r="AH1" s="2" t="s">
        <v>14</v>
      </c>
      <c r="AI1" s="4"/>
      <c r="AJ1" s="4"/>
      <c r="AK1" s="6"/>
    </row>
    <row r="2" ht="19.5" customHeight="1">
      <c r="A2" s="9" t="s">
        <v>16</v>
      </c>
      <c r="B2" s="10"/>
      <c r="C2" s="10"/>
      <c r="D2" s="10"/>
      <c r="E2" s="10"/>
      <c r="F2" s="10"/>
      <c r="G2" s="10"/>
      <c r="H2" s="10"/>
      <c r="I2" s="13"/>
      <c r="J2" s="9" t="s">
        <v>17</v>
      </c>
      <c r="K2" s="10"/>
      <c r="L2" s="10"/>
      <c r="M2" s="10"/>
      <c r="N2" s="10"/>
      <c r="O2" s="10"/>
      <c r="P2" s="13"/>
      <c r="Q2" s="9" t="s">
        <v>19</v>
      </c>
      <c r="R2" s="10"/>
      <c r="S2" s="10"/>
      <c r="T2" s="10"/>
      <c r="U2" s="13"/>
      <c r="V2" s="17" t="s">
        <v>21</v>
      </c>
      <c r="W2" s="10"/>
      <c r="X2" s="10"/>
      <c r="Y2" s="13"/>
      <c r="Z2" s="9" t="s">
        <v>22</v>
      </c>
      <c r="AA2" s="10"/>
      <c r="AB2" s="10"/>
      <c r="AC2" s="13"/>
      <c r="AD2" s="17" t="s">
        <v>21</v>
      </c>
      <c r="AE2" s="10"/>
      <c r="AF2" s="10"/>
      <c r="AG2" s="13"/>
      <c r="AH2" s="9" t="s">
        <v>22</v>
      </c>
      <c r="AI2" s="10"/>
      <c r="AJ2" s="10"/>
      <c r="AK2" s="13"/>
    </row>
    <row r="3" ht="19.5" customHeight="1">
      <c r="A3" s="19"/>
      <c r="B3" s="20"/>
      <c r="C3" s="20"/>
      <c r="D3" s="20"/>
      <c r="E3" s="20"/>
      <c r="F3" s="20"/>
      <c r="G3" s="20"/>
      <c r="H3" s="20"/>
      <c r="I3" s="21"/>
      <c r="J3" s="19"/>
      <c r="K3" s="20"/>
      <c r="L3" s="20"/>
      <c r="M3" s="20"/>
      <c r="N3" s="20"/>
      <c r="O3" s="20"/>
      <c r="P3" s="21"/>
      <c r="Q3" s="19"/>
      <c r="R3" s="20"/>
      <c r="S3" s="20"/>
      <c r="T3" s="20"/>
      <c r="U3" s="21"/>
      <c r="V3" s="19"/>
      <c r="W3" s="20"/>
      <c r="X3" s="20"/>
      <c r="Y3" s="21"/>
      <c r="Z3" s="19"/>
      <c r="AA3" s="20"/>
      <c r="AB3" s="20"/>
      <c r="AC3" s="21"/>
      <c r="AD3" s="19"/>
      <c r="AE3" s="20"/>
      <c r="AF3" s="20"/>
      <c r="AG3" s="21"/>
      <c r="AH3" s="19"/>
      <c r="AI3" s="20"/>
      <c r="AJ3" s="20"/>
      <c r="AK3" s="21"/>
    </row>
    <row r="4" ht="15.0" customHeight="1"/>
    <row r="5" ht="19.5" customHeight="1">
      <c r="B5" s="26" t="s">
        <v>26</v>
      </c>
    </row>
    <row r="6" ht="19.5" customHeight="1">
      <c r="C6" s="28" t="s">
        <v>28</v>
      </c>
    </row>
    <row r="7" ht="19.5" customHeight="1">
      <c r="C7" s="28" t="s">
        <v>31</v>
      </c>
    </row>
    <row r="8" ht="19.5" customHeight="1">
      <c r="C8" s="28" t="s">
        <v>32</v>
      </c>
    </row>
    <row r="9" ht="15.0" customHeight="1"/>
    <row r="10" ht="19.5" customHeight="1">
      <c r="B10" s="26" t="s">
        <v>34</v>
      </c>
    </row>
    <row r="11" ht="19.5" customHeight="1">
      <c r="C11" s="31" t="s">
        <v>37</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5"/>
    </row>
    <row r="12" ht="15.0" customHeight="1"/>
    <row r="13" ht="19.5" customHeight="1">
      <c r="B13" s="26" t="s">
        <v>45</v>
      </c>
    </row>
    <row r="14" ht="15.0" customHeight="1"/>
    <row r="15" ht="22.5" customHeight="1">
      <c r="C15" s="1" t="s">
        <v>47</v>
      </c>
      <c r="D15" s="2" t="s">
        <v>50</v>
      </c>
      <c r="E15" s="4"/>
      <c r="F15" s="4"/>
      <c r="G15" s="4"/>
      <c r="H15" s="4"/>
      <c r="I15" s="4"/>
      <c r="J15" s="4"/>
      <c r="K15" s="4"/>
      <c r="L15" s="4"/>
      <c r="M15" s="4"/>
      <c r="N15" s="6"/>
      <c r="O15" s="2" t="s">
        <v>52</v>
      </c>
      <c r="P15" s="4"/>
      <c r="Q15" s="4"/>
      <c r="R15" s="4"/>
      <c r="S15" s="4"/>
      <c r="T15" s="4"/>
      <c r="U15" s="4"/>
      <c r="V15" s="4"/>
      <c r="W15" s="4"/>
      <c r="X15" s="4"/>
      <c r="Y15" s="4"/>
      <c r="Z15" s="4"/>
      <c r="AA15" s="4"/>
      <c r="AB15" s="4"/>
      <c r="AC15" s="4"/>
      <c r="AD15" s="4"/>
      <c r="AE15" s="4"/>
      <c r="AF15" s="4"/>
      <c r="AG15" s="6"/>
    </row>
    <row r="16" ht="22.5" customHeight="1">
      <c r="C16" s="16">
        <v>1.0</v>
      </c>
      <c r="D16" s="11" t="s">
        <v>57</v>
      </c>
      <c r="E16" s="4"/>
      <c r="F16" s="4"/>
      <c r="G16" s="4"/>
      <c r="H16" s="4"/>
      <c r="I16" s="4"/>
      <c r="J16" s="4"/>
      <c r="K16" s="4"/>
      <c r="L16" s="4"/>
      <c r="M16" s="4"/>
      <c r="N16" s="6"/>
      <c r="O16" s="11" t="s">
        <v>59</v>
      </c>
      <c r="P16" s="4"/>
      <c r="Q16" s="4"/>
      <c r="R16" s="4"/>
      <c r="S16" s="4"/>
      <c r="T16" s="4"/>
      <c r="U16" s="4"/>
      <c r="V16" s="4"/>
      <c r="W16" s="4"/>
      <c r="X16" s="4"/>
      <c r="Y16" s="4"/>
      <c r="Z16" s="4"/>
      <c r="AA16" s="4"/>
      <c r="AB16" s="4"/>
      <c r="AC16" s="4"/>
      <c r="AD16" s="4"/>
      <c r="AE16" s="4"/>
      <c r="AF16" s="4"/>
      <c r="AG16" s="6"/>
    </row>
    <row r="17" ht="22.5" customHeight="1">
      <c r="C17" s="16">
        <v>2.0</v>
      </c>
      <c r="D17" s="11" t="s">
        <v>57</v>
      </c>
      <c r="E17" s="4"/>
      <c r="F17" s="4"/>
      <c r="G17" s="4"/>
      <c r="H17" s="4"/>
      <c r="I17" s="4"/>
      <c r="J17" s="4"/>
      <c r="K17" s="4"/>
      <c r="L17" s="4"/>
      <c r="M17" s="4"/>
      <c r="N17" s="6"/>
      <c r="O17" s="11" t="s">
        <v>61</v>
      </c>
      <c r="P17" s="4"/>
      <c r="Q17" s="4"/>
      <c r="R17" s="4"/>
      <c r="S17" s="4"/>
      <c r="T17" s="4"/>
      <c r="U17" s="4"/>
      <c r="V17" s="4"/>
      <c r="W17" s="4"/>
      <c r="X17" s="4"/>
      <c r="Y17" s="4"/>
      <c r="Z17" s="4"/>
      <c r="AA17" s="4"/>
      <c r="AB17" s="4"/>
      <c r="AC17" s="4"/>
      <c r="AD17" s="4"/>
      <c r="AE17" s="4"/>
      <c r="AF17" s="4"/>
      <c r="AG1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6"/>
    </row>
    <row r="3" ht="22.5" customHeight="1">
      <c r="A3" s="8" t="s">
        <v>12</v>
      </c>
      <c r="B3" s="4"/>
      <c r="C3" s="4"/>
      <c r="D3" s="4"/>
      <c r="E3" s="4"/>
      <c r="F3" s="6"/>
      <c r="G3" s="11" t="s">
        <v>16</v>
      </c>
      <c r="H3" s="4"/>
      <c r="I3" s="4"/>
      <c r="J3" s="4"/>
      <c r="K3" s="4"/>
      <c r="L3" s="4"/>
      <c r="M3" s="4"/>
      <c r="N3" s="4"/>
      <c r="O3" s="6"/>
      <c r="P3" s="8" t="s">
        <v>18</v>
      </c>
      <c r="Q3" s="4"/>
      <c r="R3" s="4"/>
      <c r="S3" s="4"/>
      <c r="T3" s="4"/>
      <c r="U3" s="4"/>
      <c r="V3" s="4"/>
      <c r="W3" s="6"/>
      <c r="X3" s="11" t="s">
        <v>20</v>
      </c>
      <c r="Y3" s="4"/>
      <c r="Z3" s="4"/>
      <c r="AA3" s="4"/>
      <c r="AB3" s="4"/>
      <c r="AC3" s="4"/>
      <c r="AD3" s="4"/>
      <c r="AE3" s="4"/>
      <c r="AF3" s="4"/>
      <c r="AG3" s="4"/>
      <c r="AH3" s="6"/>
    </row>
    <row r="4" ht="22.5" customHeight="1">
      <c r="A4" s="8" t="s">
        <v>7</v>
      </c>
      <c r="B4" s="4"/>
      <c r="C4" s="4"/>
      <c r="D4" s="4"/>
      <c r="E4" s="4"/>
      <c r="F4" s="6"/>
      <c r="G4" s="11" t="s">
        <v>22</v>
      </c>
      <c r="H4" s="4"/>
      <c r="I4" s="4"/>
      <c r="J4" s="4"/>
      <c r="K4" s="4"/>
      <c r="L4" s="4"/>
      <c r="M4" s="4"/>
      <c r="N4" s="4"/>
      <c r="O4" s="6"/>
      <c r="P4" s="8" t="s">
        <v>9</v>
      </c>
      <c r="Q4" s="4"/>
      <c r="R4" s="4"/>
      <c r="S4" s="4"/>
      <c r="T4" s="4"/>
      <c r="U4" s="4"/>
      <c r="V4" s="4"/>
      <c r="W4" s="6"/>
      <c r="X4" s="22" t="s">
        <v>21</v>
      </c>
      <c r="Y4" s="4"/>
      <c r="Z4" s="4"/>
      <c r="AA4" s="4"/>
      <c r="AB4" s="4"/>
      <c r="AC4" s="4"/>
      <c r="AD4" s="4"/>
      <c r="AE4" s="4"/>
      <c r="AF4" s="4"/>
      <c r="AG4" s="4"/>
      <c r="AH4" s="6"/>
    </row>
    <row r="6" ht="22.5" customHeight="1">
      <c r="A6" s="25" t="s">
        <v>25</v>
      </c>
      <c r="B6" s="27" t="s">
        <v>27</v>
      </c>
      <c r="C6" s="10"/>
      <c r="D6" s="10"/>
      <c r="E6" s="10"/>
      <c r="F6" s="10"/>
      <c r="G6" s="13"/>
      <c r="H6" s="30" t="s">
        <v>30</v>
      </c>
      <c r="I6" s="4"/>
      <c r="J6" s="4"/>
      <c r="K6" s="4"/>
      <c r="L6" s="4"/>
      <c r="M6" s="4"/>
      <c r="N6" s="4"/>
      <c r="O6" s="4"/>
      <c r="P6" s="6"/>
      <c r="Q6" s="27" t="s">
        <v>33</v>
      </c>
      <c r="R6" s="10"/>
      <c r="S6" s="13"/>
      <c r="T6" s="30" t="s">
        <v>35</v>
      </c>
      <c r="U6" s="4"/>
      <c r="V6" s="4"/>
      <c r="W6" s="4"/>
      <c r="X6" s="4"/>
      <c r="Y6" s="4"/>
      <c r="Z6" s="4"/>
      <c r="AA6" s="4"/>
      <c r="AB6" s="4"/>
      <c r="AC6" s="4"/>
      <c r="AD6" s="4"/>
      <c r="AE6" s="4"/>
      <c r="AF6" s="4"/>
      <c r="AG6" s="4"/>
      <c r="AH6" s="6"/>
    </row>
    <row r="7" ht="22.5" customHeight="1">
      <c r="A7" s="34"/>
      <c r="B7" s="19"/>
      <c r="C7" s="20"/>
      <c r="D7" s="20"/>
      <c r="E7" s="20"/>
      <c r="F7" s="20"/>
      <c r="G7" s="21"/>
      <c r="H7" s="30" t="s">
        <v>41</v>
      </c>
      <c r="I7" s="4"/>
      <c r="J7" s="6"/>
      <c r="K7" s="30" t="s">
        <v>43</v>
      </c>
      <c r="L7" s="4"/>
      <c r="M7" s="6"/>
      <c r="N7" s="30" t="s">
        <v>46</v>
      </c>
      <c r="O7" s="4"/>
      <c r="P7" s="6"/>
      <c r="Q7" s="19"/>
      <c r="R7" s="20"/>
      <c r="S7" s="21"/>
      <c r="T7" s="30" t="s">
        <v>48</v>
      </c>
      <c r="U7" s="4"/>
      <c r="V7" s="6"/>
      <c r="W7" s="30" t="s">
        <v>51</v>
      </c>
      <c r="X7" s="4"/>
      <c r="Y7" s="6"/>
      <c r="Z7" s="30" t="s">
        <v>53</v>
      </c>
      <c r="AA7" s="4"/>
      <c r="AB7" s="6"/>
      <c r="AC7" s="30" t="s">
        <v>55</v>
      </c>
      <c r="AD7" s="4"/>
      <c r="AE7" s="6"/>
      <c r="AF7" s="30" t="s">
        <v>56</v>
      </c>
      <c r="AG7" s="4"/>
      <c r="AH7" s="6"/>
    </row>
    <row r="8" ht="22.5" customHeight="1">
      <c r="A8" s="37" t="s">
        <v>58</v>
      </c>
    </row>
    <row r="9" ht="22.5" customHeight="1">
      <c r="A9" s="16">
        <v>1.0</v>
      </c>
      <c r="B9" s="11" t="s">
        <v>60</v>
      </c>
      <c r="C9" s="4"/>
      <c r="D9" s="4"/>
      <c r="E9" s="4"/>
      <c r="F9" s="4"/>
      <c r="G9" s="6"/>
      <c r="H9" s="18">
        <f t="array" ref="H9">INDIRECT("'"&amp;$B9&amp;"'!H7",TRUE)</f>
        <v>29</v>
      </c>
      <c r="I9" s="4"/>
      <c r="J9" s="6"/>
      <c r="K9" s="18">
        <f t="array" ref="K9">INDIRECT("'"&amp;$B9&amp;"'!K7",TRUE)</f>
        <v>18</v>
      </c>
      <c r="L9" s="4"/>
      <c r="M9" s="6"/>
      <c r="N9" s="18">
        <f t="array" ref="N9">INDIRECT("'"&amp;$B9&amp;"'!N7",TRUE)</f>
        <v>0</v>
      </c>
      <c r="O9" s="4"/>
      <c r="P9" s="6"/>
      <c r="Q9" s="18">
        <f t="array" ref="Q9">INDIRECT("'"&amp;$B9&amp;"'!Q7",TRUE)</f>
        <v>47</v>
      </c>
      <c r="R9" s="4"/>
      <c r="S9" s="6"/>
      <c r="T9" s="18">
        <f t="array" ref="T9">INDIRECT("'"&amp;$B9&amp;"'!T7",TRUE)</f>
        <v>42</v>
      </c>
      <c r="U9" s="4"/>
      <c r="V9" s="6"/>
      <c r="W9" s="18">
        <f t="array" ref="W9">INDIRECT("'"&amp;$B9&amp;"'!W7",TRUE)</f>
        <v>0</v>
      </c>
      <c r="X9" s="4"/>
      <c r="Y9" s="6"/>
      <c r="Z9" s="18">
        <f t="array" ref="Z9">INDIRECT("'"&amp;$B9&amp;"'!Z7",TRUE)</f>
        <v>0</v>
      </c>
      <c r="AA9" s="4"/>
      <c r="AB9" s="6"/>
      <c r="AC9" s="18">
        <f t="array" ref="AC9">INDIRECT("'"&amp;$B9&amp;"'!AC7",TRUE)</f>
        <v>1</v>
      </c>
      <c r="AD9" s="4"/>
      <c r="AE9" s="6"/>
      <c r="AF9" s="42">
        <f>IFERROR((T9+W9+AC9)/Q9,0)</f>
        <v>0.914893617</v>
      </c>
      <c r="AG9" s="4"/>
      <c r="AH9" s="6"/>
    </row>
    <row r="10" ht="22.5" customHeight="1">
      <c r="A10" s="16">
        <v>2.0</v>
      </c>
      <c r="B10" s="11"/>
      <c r="C10" s="4"/>
      <c r="D10" s="4"/>
      <c r="E10" s="4"/>
      <c r="F10" s="4"/>
      <c r="G10" s="6"/>
      <c r="H10" s="18"/>
      <c r="I10" s="4"/>
      <c r="J10" s="6"/>
      <c r="K10" s="18"/>
      <c r="L10" s="4"/>
      <c r="M10" s="6"/>
      <c r="N10" s="18"/>
      <c r="O10" s="4"/>
      <c r="P10" s="6"/>
      <c r="Q10" s="18"/>
      <c r="R10" s="4"/>
      <c r="S10" s="6"/>
      <c r="T10" s="18"/>
      <c r="U10" s="4"/>
      <c r="V10" s="6"/>
      <c r="W10" s="18"/>
      <c r="X10" s="4"/>
      <c r="Y10" s="6"/>
      <c r="Z10" s="18"/>
      <c r="AA10" s="4"/>
      <c r="AB10" s="6"/>
      <c r="AC10" s="18"/>
      <c r="AD10" s="4"/>
      <c r="AE10" s="6"/>
      <c r="AF10" s="42"/>
      <c r="AG10" s="4"/>
      <c r="AH10" s="6"/>
    </row>
    <row r="11" ht="22.5" customHeight="1">
      <c r="A11" s="16"/>
      <c r="B11" s="30" t="s">
        <v>33</v>
      </c>
      <c r="C11" s="4"/>
      <c r="D11" s="4"/>
      <c r="E11" s="4"/>
      <c r="F11" s="4"/>
      <c r="G11" s="6"/>
      <c r="H11" s="43">
        <f>SUM(H9:J10)</f>
        <v>29</v>
      </c>
      <c r="I11" s="4"/>
      <c r="J11" s="6"/>
      <c r="K11" s="43">
        <f>SUM(K9:M10)</f>
        <v>18</v>
      </c>
      <c r="L11" s="4"/>
      <c r="M11" s="6"/>
      <c r="N11" s="43">
        <f>SUM(N9:P10)</f>
        <v>0</v>
      </c>
      <c r="O11" s="4"/>
      <c r="P11" s="6"/>
      <c r="Q11" s="43">
        <f>SUM(Q9:S10)</f>
        <v>47</v>
      </c>
      <c r="R11" s="4"/>
      <c r="S11" s="6"/>
      <c r="T11" s="43">
        <f>SUM(T9:V10)</f>
        <v>42</v>
      </c>
      <c r="U11" s="4"/>
      <c r="V11" s="6"/>
      <c r="W11" s="43">
        <f>SUM(W9:Y10)</f>
        <v>0</v>
      </c>
      <c r="X11" s="4"/>
      <c r="Y11" s="6"/>
      <c r="Z11" s="43">
        <f>SUM(Z9:AB10)</f>
        <v>0</v>
      </c>
      <c r="AA11" s="4"/>
      <c r="AB11" s="6"/>
      <c r="AC11" s="43">
        <f>SUM(AC9:AE10)</f>
        <v>1</v>
      </c>
      <c r="AD11" s="4"/>
      <c r="AE11" s="6"/>
      <c r="AF11" s="44">
        <f>IFERROR((T11+W11+AC11)/Q11,0)</f>
        <v>0.914893617</v>
      </c>
      <c r="AG11" s="4"/>
      <c r="AH11" s="6"/>
    </row>
    <row r="12" ht="22.5" customHeight="1">
      <c r="A12" s="37" t="s">
        <v>62</v>
      </c>
    </row>
    <row r="13" ht="22.5" customHeight="1">
      <c r="A13" s="16">
        <v>1.0</v>
      </c>
      <c r="B13" s="11" t="s">
        <v>60</v>
      </c>
      <c r="C13" s="4"/>
      <c r="D13" s="4"/>
      <c r="E13" s="4"/>
      <c r="F13" s="4"/>
      <c r="G13" s="6"/>
      <c r="H13" s="18">
        <f t="array" ref="H13">INDIRECT("'"&amp;$B13&amp;"'!H8",TRUE)</f>
        <v>29</v>
      </c>
      <c r="I13" s="4"/>
      <c r="J13" s="6"/>
      <c r="K13" s="18">
        <f t="array" ref="K13">INDIRECT("'"&amp;$B13&amp;"'!K8",TRUE)</f>
        <v>18</v>
      </c>
      <c r="L13" s="4"/>
      <c r="M13" s="6"/>
      <c r="N13" s="18">
        <f t="array" ref="N13">INDIRECT("'"&amp;$B13&amp;"'!N8",TRUE)</f>
        <v>0</v>
      </c>
      <c r="O13" s="4"/>
      <c r="P13" s="6"/>
      <c r="Q13" s="18">
        <f t="array" ref="Q13">INDIRECT("'"&amp;$B13&amp;"'!Q8",TRUE)</f>
        <v>47</v>
      </c>
      <c r="R13" s="4"/>
      <c r="S13" s="6"/>
      <c r="T13" s="18">
        <f t="array" ref="T13">INDIRECT("'"&amp;$B13&amp;"'!T8",TRUE)</f>
        <v>43</v>
      </c>
      <c r="U13" s="4"/>
      <c r="V13" s="6"/>
      <c r="W13" s="18">
        <f t="array" ref="W13">INDIRECT("'"&amp;$B13&amp;"'!W8",TRUE)</f>
        <v>0</v>
      </c>
      <c r="X13" s="4"/>
      <c r="Y13" s="6"/>
      <c r="Z13" s="18">
        <f t="array" ref="Z13">INDIRECT("'"&amp;$B13&amp;"'!Z8",TRUE)</f>
        <v>0</v>
      </c>
      <c r="AA13" s="4"/>
      <c r="AB13" s="6"/>
      <c r="AC13" s="18">
        <f t="array" ref="AC13">INDIRECT("'"&amp;$B13&amp;"'!AC8",TRUE)</f>
        <v>1</v>
      </c>
      <c r="AD13" s="4"/>
      <c r="AE13" s="6"/>
      <c r="AF13" s="42">
        <f>IFERROR((T13+W13+AC13)/Q13,0)</f>
        <v>0.9361702128</v>
      </c>
      <c r="AG13" s="4"/>
      <c r="AH13" s="6"/>
    </row>
    <row r="14" ht="22.5" customHeight="1">
      <c r="A14" s="16">
        <v>2.0</v>
      </c>
      <c r="B14" s="11"/>
      <c r="C14" s="4"/>
      <c r="D14" s="4"/>
      <c r="E14" s="4"/>
      <c r="F14" s="4"/>
      <c r="G14" s="6"/>
      <c r="H14" s="18"/>
      <c r="I14" s="4"/>
      <c r="J14" s="6"/>
      <c r="K14" s="18"/>
      <c r="L14" s="4"/>
      <c r="M14" s="6"/>
      <c r="N14" s="18"/>
      <c r="O14" s="4"/>
      <c r="P14" s="6"/>
      <c r="Q14" s="18"/>
      <c r="R14" s="4"/>
      <c r="S14" s="6"/>
      <c r="T14" s="18"/>
      <c r="U14" s="4"/>
      <c r="V14" s="6"/>
      <c r="W14" s="18"/>
      <c r="X14" s="4"/>
      <c r="Y14" s="6"/>
      <c r="Z14" s="18"/>
      <c r="AA14" s="4"/>
      <c r="AB14" s="6"/>
      <c r="AC14" s="18"/>
      <c r="AD14" s="4"/>
      <c r="AE14" s="6"/>
      <c r="AF14" s="42"/>
      <c r="AG14" s="4"/>
      <c r="AH14" s="6"/>
    </row>
    <row r="15" ht="22.5" customHeight="1">
      <c r="A15" s="16"/>
      <c r="B15" s="30" t="s">
        <v>33</v>
      </c>
      <c r="C15" s="4"/>
      <c r="D15" s="4"/>
      <c r="E15" s="4"/>
      <c r="F15" s="4"/>
      <c r="G15" s="6"/>
      <c r="H15" s="43">
        <f>SUM(H13:J14)</f>
        <v>29</v>
      </c>
      <c r="I15" s="4"/>
      <c r="J15" s="6"/>
      <c r="K15" s="43">
        <f>SUM(K13:M14)</f>
        <v>18</v>
      </c>
      <c r="L15" s="4"/>
      <c r="M15" s="6"/>
      <c r="N15" s="43">
        <f>SUM(N13:P14)</f>
        <v>0</v>
      </c>
      <c r="O15" s="4"/>
      <c r="P15" s="6"/>
      <c r="Q15" s="43">
        <f>SUM(Q13:S14)</f>
        <v>47</v>
      </c>
      <c r="R15" s="4"/>
      <c r="S15" s="6"/>
      <c r="T15" s="43">
        <f>SUM(T13:V14)</f>
        <v>43</v>
      </c>
      <c r="U15" s="4"/>
      <c r="V15" s="6"/>
      <c r="W15" s="43">
        <f>SUM(W13:Y14)</f>
        <v>0</v>
      </c>
      <c r="X15" s="4"/>
      <c r="Y15" s="6"/>
      <c r="Z15" s="43">
        <f>SUM(Z13:AB14)</f>
        <v>0</v>
      </c>
      <c r="AA15" s="4"/>
      <c r="AB15" s="6"/>
      <c r="AC15" s="43">
        <f>SUM(AC13:AE14)</f>
        <v>1</v>
      </c>
      <c r="AD15" s="4"/>
      <c r="AE15" s="6"/>
      <c r="AF15" s="44">
        <f>IFERROR((T15+W15+AC15)/Q15,0)</f>
        <v>0.9361702128</v>
      </c>
      <c r="AG15" s="4"/>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4"/>
      <c r="C1" s="4"/>
      <c r="D1" s="4"/>
      <c r="E1" s="4"/>
      <c r="F1" s="4"/>
      <c r="G1" s="4"/>
      <c r="H1" s="4"/>
      <c r="I1" s="6"/>
      <c r="J1" s="2" t="s">
        <v>4</v>
      </c>
      <c r="K1" s="4"/>
      <c r="L1" s="4"/>
      <c r="M1" s="4"/>
      <c r="N1" s="4"/>
      <c r="O1" s="4"/>
      <c r="P1" s="6"/>
      <c r="Q1" s="2" t="s">
        <v>6</v>
      </c>
      <c r="R1" s="4"/>
      <c r="S1" s="4"/>
      <c r="T1" s="4"/>
      <c r="U1" s="6"/>
      <c r="V1" s="2" t="s">
        <v>9</v>
      </c>
      <c r="W1" s="4"/>
      <c r="X1" s="4"/>
      <c r="Y1" s="6"/>
      <c r="Z1" s="2" t="s">
        <v>10</v>
      </c>
      <c r="AA1" s="4"/>
      <c r="AB1" s="4"/>
      <c r="AC1" s="6"/>
      <c r="AD1" s="2" t="s">
        <v>11</v>
      </c>
      <c r="AE1" s="4"/>
      <c r="AF1" s="4"/>
      <c r="AG1" s="6"/>
      <c r="AH1" s="2" t="s">
        <v>14</v>
      </c>
      <c r="AI1" s="4"/>
      <c r="AJ1" s="4"/>
      <c r="AK1" s="6"/>
    </row>
    <row r="2" ht="19.5" customHeight="1">
      <c r="A2" s="9" t="s">
        <v>16</v>
      </c>
      <c r="B2" s="10"/>
      <c r="C2" s="10"/>
      <c r="D2" s="10"/>
      <c r="E2" s="10"/>
      <c r="F2" s="10"/>
      <c r="G2" s="10"/>
      <c r="H2" s="10"/>
      <c r="I2" s="13"/>
      <c r="J2" s="9" t="s">
        <v>17</v>
      </c>
      <c r="K2" s="10"/>
      <c r="L2" s="10"/>
      <c r="M2" s="10"/>
      <c r="N2" s="10"/>
      <c r="O2" s="10"/>
      <c r="P2" s="13"/>
      <c r="Q2" s="9" t="s">
        <v>63</v>
      </c>
      <c r="R2" s="10"/>
      <c r="S2" s="10"/>
      <c r="T2" s="10"/>
      <c r="U2" s="13"/>
      <c r="V2" s="17" t="s">
        <v>21</v>
      </c>
      <c r="W2" s="10"/>
      <c r="X2" s="10"/>
      <c r="Y2" s="13"/>
      <c r="Z2" s="9" t="s">
        <v>22</v>
      </c>
      <c r="AA2" s="10"/>
      <c r="AB2" s="10"/>
      <c r="AC2" s="13"/>
      <c r="AD2" s="17" t="s">
        <v>21</v>
      </c>
      <c r="AE2" s="10"/>
      <c r="AF2" s="10"/>
      <c r="AG2" s="13"/>
      <c r="AH2" s="9" t="s">
        <v>22</v>
      </c>
      <c r="AI2" s="10"/>
      <c r="AJ2" s="10"/>
      <c r="AK2" s="13"/>
    </row>
    <row r="3" ht="19.5" customHeight="1">
      <c r="A3" s="19"/>
      <c r="B3" s="20"/>
      <c r="C3" s="20"/>
      <c r="D3" s="20"/>
      <c r="E3" s="20"/>
      <c r="F3" s="20"/>
      <c r="G3" s="20"/>
      <c r="H3" s="20"/>
      <c r="I3" s="21"/>
      <c r="J3" s="19"/>
      <c r="K3" s="20"/>
      <c r="L3" s="20"/>
      <c r="M3" s="20"/>
      <c r="N3" s="20"/>
      <c r="O3" s="20"/>
      <c r="P3" s="21"/>
      <c r="Q3" s="19"/>
      <c r="R3" s="20"/>
      <c r="S3" s="20"/>
      <c r="T3" s="20"/>
      <c r="U3" s="21"/>
      <c r="V3" s="19"/>
      <c r="W3" s="20"/>
      <c r="X3" s="20"/>
      <c r="Y3" s="21"/>
      <c r="Z3" s="19"/>
      <c r="AA3" s="20"/>
      <c r="AB3" s="20"/>
      <c r="AC3" s="21"/>
      <c r="AD3" s="19"/>
      <c r="AE3" s="20"/>
      <c r="AF3" s="20"/>
      <c r="AG3" s="21"/>
      <c r="AH3" s="19"/>
      <c r="AI3" s="20"/>
      <c r="AJ3" s="20"/>
      <c r="AK3" s="21"/>
    </row>
    <row r="5" ht="19.5" customHeight="1">
      <c r="B5" s="26" t="s">
        <v>64</v>
      </c>
    </row>
    <row r="7" ht="28.5" customHeight="1">
      <c r="B7" s="45" t="s">
        <v>25</v>
      </c>
      <c r="C7" s="46" t="s">
        <v>65</v>
      </c>
      <c r="D7" s="4"/>
      <c r="E7" s="6"/>
      <c r="F7" s="46" t="s">
        <v>66</v>
      </c>
      <c r="G7" s="4"/>
      <c r="H7" s="4"/>
      <c r="I7" s="4"/>
      <c r="J7" s="4"/>
      <c r="K7" s="4"/>
      <c r="L7" s="6"/>
      <c r="M7" s="46" t="s">
        <v>67</v>
      </c>
      <c r="N7" s="4"/>
      <c r="O7" s="4"/>
      <c r="P7" s="4"/>
      <c r="Q7" s="4"/>
      <c r="R7" s="4"/>
      <c r="S7" s="4"/>
      <c r="T7" s="6"/>
      <c r="U7" s="46" t="s">
        <v>68</v>
      </c>
      <c r="V7" s="6"/>
      <c r="W7" s="46" t="s">
        <v>69</v>
      </c>
      <c r="X7" s="4"/>
      <c r="Y7" s="4"/>
      <c r="Z7" s="4"/>
      <c r="AA7" s="4"/>
      <c r="AB7" s="4"/>
      <c r="AC7" s="6"/>
      <c r="AD7" s="46" t="s">
        <v>70</v>
      </c>
      <c r="AE7" s="4"/>
      <c r="AF7" s="6"/>
    </row>
    <row r="8" ht="30.0" customHeight="1">
      <c r="B8" s="47">
        <v>1.0</v>
      </c>
      <c r="C8" s="48" t="s">
        <v>71</v>
      </c>
      <c r="D8" s="4"/>
      <c r="E8" s="6"/>
      <c r="F8" s="49" t="s">
        <v>72</v>
      </c>
      <c r="G8" s="4"/>
      <c r="H8" s="4"/>
      <c r="I8" s="4"/>
      <c r="J8" s="4"/>
      <c r="K8" s="4"/>
      <c r="L8" s="6"/>
      <c r="M8" s="49" t="s">
        <v>73</v>
      </c>
      <c r="N8" s="4"/>
      <c r="O8" s="4"/>
      <c r="P8" s="4"/>
      <c r="Q8" s="4"/>
      <c r="R8" s="4"/>
      <c r="S8" s="4"/>
      <c r="T8" s="6"/>
      <c r="U8" s="50" t="s">
        <v>74</v>
      </c>
      <c r="V8" s="6"/>
      <c r="W8" s="49" t="s">
        <v>75</v>
      </c>
      <c r="X8" s="4"/>
      <c r="Y8" s="4"/>
      <c r="Z8" s="4"/>
      <c r="AA8" s="4"/>
      <c r="AB8" s="4"/>
      <c r="AC8" s="6"/>
      <c r="AD8" s="48">
        <v>265.0</v>
      </c>
      <c r="AE8" s="4"/>
      <c r="AF8" s="6"/>
    </row>
    <row r="9" ht="30.0" customHeight="1">
      <c r="B9" s="47">
        <v>2.0</v>
      </c>
      <c r="C9" s="48" t="s">
        <v>76</v>
      </c>
      <c r="D9" s="4"/>
      <c r="E9" s="6"/>
      <c r="F9" s="49" t="s">
        <v>72</v>
      </c>
      <c r="G9" s="4"/>
      <c r="H9" s="4"/>
      <c r="I9" s="4"/>
      <c r="J9" s="4"/>
      <c r="K9" s="4"/>
      <c r="L9" s="6"/>
      <c r="M9" s="49" t="s">
        <v>77</v>
      </c>
      <c r="N9" s="4"/>
      <c r="O9" s="4"/>
      <c r="P9" s="4"/>
      <c r="Q9" s="4"/>
      <c r="R9" s="4"/>
      <c r="S9" s="4"/>
      <c r="T9" s="6"/>
      <c r="U9" s="50" t="s">
        <v>74</v>
      </c>
      <c r="V9" s="6"/>
      <c r="W9" s="49" t="s">
        <v>78</v>
      </c>
      <c r="X9" s="4"/>
      <c r="Y9" s="4"/>
      <c r="Z9" s="4"/>
      <c r="AA9" s="4"/>
      <c r="AB9" s="4"/>
      <c r="AC9" s="6"/>
      <c r="AD9" s="48">
        <v>200.0</v>
      </c>
      <c r="AE9" s="4"/>
      <c r="AF9" s="6"/>
    </row>
    <row r="10" ht="36.0" customHeight="1">
      <c r="B10" s="47">
        <v>3.0</v>
      </c>
      <c r="C10" s="48" t="s">
        <v>79</v>
      </c>
      <c r="D10" s="4"/>
      <c r="E10" s="6"/>
      <c r="F10" s="49" t="s">
        <v>72</v>
      </c>
      <c r="G10" s="4"/>
      <c r="H10" s="4"/>
      <c r="I10" s="4"/>
      <c r="J10" s="4"/>
      <c r="K10" s="4"/>
      <c r="L10" s="6"/>
      <c r="M10" s="49" t="s">
        <v>80</v>
      </c>
      <c r="N10" s="4"/>
      <c r="O10" s="4"/>
      <c r="P10" s="4"/>
      <c r="Q10" s="4"/>
      <c r="R10" s="4"/>
      <c r="S10" s="4"/>
      <c r="T10" s="6"/>
      <c r="U10" s="50" t="s">
        <v>74</v>
      </c>
      <c r="V10" s="6"/>
      <c r="W10" s="49" t="s">
        <v>81</v>
      </c>
      <c r="X10" s="4"/>
      <c r="Y10" s="4"/>
      <c r="Z10" s="4"/>
      <c r="AA10" s="4"/>
      <c r="AB10" s="4"/>
      <c r="AC10" s="6"/>
      <c r="AD10" s="48">
        <v>50.0</v>
      </c>
      <c r="AE10" s="4"/>
      <c r="AF10" s="6"/>
    </row>
    <row r="11" ht="30.0" customHeight="1">
      <c r="B11" s="47">
        <v>4.0</v>
      </c>
      <c r="C11" s="48" t="s">
        <v>82</v>
      </c>
      <c r="D11" s="4"/>
      <c r="E11" s="6"/>
      <c r="F11" s="49" t="s">
        <v>72</v>
      </c>
      <c r="G11" s="4"/>
      <c r="H11" s="4"/>
      <c r="I11" s="4"/>
      <c r="J11" s="4"/>
      <c r="K11" s="4"/>
      <c r="L11" s="6"/>
      <c r="M11" s="49" t="s">
        <v>83</v>
      </c>
      <c r="N11" s="4"/>
      <c r="O11" s="4"/>
      <c r="P11" s="4"/>
      <c r="Q11" s="4"/>
      <c r="R11" s="4"/>
      <c r="S11" s="4"/>
      <c r="T11" s="6"/>
      <c r="U11" s="50" t="s">
        <v>74</v>
      </c>
      <c r="V11" s="6"/>
      <c r="W11" s="49" t="s">
        <v>75</v>
      </c>
      <c r="X11" s="4"/>
      <c r="Y11" s="4"/>
      <c r="Z11" s="4"/>
      <c r="AA11" s="4"/>
      <c r="AB11" s="4"/>
      <c r="AC11" s="6"/>
      <c r="AD11" s="48">
        <v>75.0</v>
      </c>
      <c r="AE11" s="4"/>
      <c r="AF11" s="6"/>
    </row>
    <row r="12" ht="30.0" customHeight="1">
      <c r="B12" s="47">
        <v>5.0</v>
      </c>
      <c r="C12" s="48" t="s">
        <v>84</v>
      </c>
      <c r="D12" s="4"/>
      <c r="E12" s="6"/>
      <c r="F12" s="49" t="s">
        <v>72</v>
      </c>
      <c r="G12" s="4"/>
      <c r="H12" s="4"/>
      <c r="I12" s="4"/>
      <c r="J12" s="4"/>
      <c r="K12" s="4"/>
      <c r="L12" s="6"/>
      <c r="M12" s="49" t="s">
        <v>85</v>
      </c>
      <c r="N12" s="4"/>
      <c r="O12" s="4"/>
      <c r="P12" s="4"/>
      <c r="Q12" s="4"/>
      <c r="R12" s="4"/>
      <c r="S12" s="4"/>
      <c r="T12" s="6"/>
      <c r="U12" s="50" t="s">
        <v>74</v>
      </c>
      <c r="V12" s="6"/>
      <c r="W12" s="49" t="s">
        <v>86</v>
      </c>
      <c r="X12" s="4"/>
      <c r="Y12" s="4"/>
      <c r="Z12" s="4"/>
      <c r="AA12" s="4"/>
      <c r="AB12" s="4"/>
      <c r="AC12" s="6"/>
      <c r="AD12" s="48">
        <v>30.0</v>
      </c>
      <c r="AE12" s="4"/>
      <c r="AF12" s="6"/>
    </row>
    <row r="13" ht="30.0" customHeight="1">
      <c r="B13" s="47">
        <v>6.0</v>
      </c>
      <c r="C13" s="48" t="s">
        <v>87</v>
      </c>
      <c r="D13" s="4"/>
      <c r="E13" s="6"/>
      <c r="F13" s="49" t="s">
        <v>72</v>
      </c>
      <c r="G13" s="4"/>
      <c r="H13" s="4"/>
      <c r="I13" s="4"/>
      <c r="J13" s="4"/>
      <c r="K13" s="4"/>
      <c r="L13" s="6"/>
      <c r="M13" s="49" t="s">
        <v>88</v>
      </c>
      <c r="N13" s="4"/>
      <c r="O13" s="4"/>
      <c r="P13" s="4"/>
      <c r="Q13" s="4"/>
      <c r="R13" s="4"/>
      <c r="S13" s="4"/>
      <c r="T13" s="6"/>
      <c r="U13" s="50" t="s">
        <v>74</v>
      </c>
      <c r="V13" s="6"/>
      <c r="W13" s="49" t="s">
        <v>89</v>
      </c>
      <c r="X13" s="4"/>
      <c r="Y13" s="4"/>
      <c r="Z13" s="4"/>
      <c r="AA13" s="4"/>
      <c r="AB13" s="4"/>
      <c r="AC13" s="6"/>
      <c r="AD13" s="48">
        <v>50.0</v>
      </c>
      <c r="AE13" s="4"/>
      <c r="AF13" s="6"/>
    </row>
    <row r="14" ht="30.0" customHeight="1">
      <c r="B14" s="47">
        <v>7.0</v>
      </c>
      <c r="C14" s="48" t="s">
        <v>90</v>
      </c>
      <c r="D14" s="4"/>
      <c r="E14" s="6"/>
      <c r="F14" s="49" t="s">
        <v>72</v>
      </c>
      <c r="G14" s="4"/>
      <c r="H14" s="4"/>
      <c r="I14" s="4"/>
      <c r="J14" s="4"/>
      <c r="K14" s="4"/>
      <c r="L14" s="6"/>
      <c r="M14" s="49" t="s">
        <v>91</v>
      </c>
      <c r="N14" s="4"/>
      <c r="O14" s="4"/>
      <c r="P14" s="4"/>
      <c r="Q14" s="4"/>
      <c r="R14" s="4"/>
      <c r="S14" s="4"/>
      <c r="T14" s="6"/>
      <c r="U14" s="50" t="s">
        <v>74</v>
      </c>
      <c r="V14" s="6"/>
      <c r="W14" s="49" t="s">
        <v>86</v>
      </c>
      <c r="X14" s="4"/>
      <c r="Y14" s="4"/>
      <c r="Z14" s="4"/>
      <c r="AA14" s="4"/>
      <c r="AB14" s="4"/>
      <c r="AC14" s="6"/>
      <c r="AD14" s="48">
        <v>10.0</v>
      </c>
      <c r="AE14" s="4"/>
      <c r="AF14" s="6"/>
    </row>
    <row r="15" ht="30.0" customHeight="1">
      <c r="B15" s="47">
        <v>8.0</v>
      </c>
      <c r="C15" s="48" t="s">
        <v>94</v>
      </c>
      <c r="D15" s="4"/>
      <c r="E15" s="6"/>
      <c r="F15" s="49" t="s">
        <v>72</v>
      </c>
      <c r="G15" s="4"/>
      <c r="H15" s="4"/>
      <c r="I15" s="4"/>
      <c r="J15" s="4"/>
      <c r="K15" s="4"/>
      <c r="L15" s="6"/>
      <c r="M15" s="49" t="s">
        <v>96</v>
      </c>
      <c r="N15" s="4"/>
      <c r="O15" s="4"/>
      <c r="P15" s="4"/>
      <c r="Q15" s="4"/>
      <c r="R15" s="4"/>
      <c r="S15" s="4"/>
      <c r="T15" s="6"/>
      <c r="U15" s="51" t="s">
        <v>98</v>
      </c>
      <c r="V15" s="6"/>
      <c r="W15" s="49" t="s">
        <v>99</v>
      </c>
      <c r="X15" s="4"/>
      <c r="Y15" s="4"/>
      <c r="Z15" s="4"/>
      <c r="AA15" s="4"/>
      <c r="AB15" s="4"/>
      <c r="AC15" s="6"/>
      <c r="AD15" s="48">
        <v>20.0</v>
      </c>
      <c r="AE15" s="4"/>
      <c r="AF15" s="6"/>
    </row>
    <row r="16" ht="30.0" customHeight="1">
      <c r="B16" s="47">
        <v>9.0</v>
      </c>
      <c r="C16" s="48" t="s">
        <v>100</v>
      </c>
      <c r="D16" s="4"/>
      <c r="E16" s="6"/>
      <c r="F16" s="49" t="s">
        <v>72</v>
      </c>
      <c r="G16" s="4"/>
      <c r="H16" s="4"/>
      <c r="I16" s="4"/>
      <c r="J16" s="4"/>
      <c r="K16" s="4"/>
      <c r="L16" s="6"/>
      <c r="M16" s="49" t="s">
        <v>101</v>
      </c>
      <c r="N16" s="4"/>
      <c r="O16" s="4"/>
      <c r="P16" s="4"/>
      <c r="Q16" s="4"/>
      <c r="R16" s="4"/>
      <c r="S16" s="4"/>
      <c r="T16" s="6"/>
      <c r="U16" s="50" t="s">
        <v>74</v>
      </c>
      <c r="V16" s="6"/>
      <c r="W16" s="49" t="s">
        <v>102</v>
      </c>
      <c r="X16" s="4"/>
      <c r="Y16" s="4"/>
      <c r="Z16" s="4"/>
      <c r="AA16" s="4"/>
      <c r="AB16" s="4"/>
      <c r="AC16" s="6"/>
      <c r="AD16" s="48">
        <v>8.0</v>
      </c>
      <c r="AE16" s="4"/>
      <c r="AF16" s="6"/>
    </row>
    <row r="17" ht="30.0" customHeight="1">
      <c r="B17" s="47">
        <v>10.0</v>
      </c>
      <c r="C17" s="48" t="s">
        <v>103</v>
      </c>
      <c r="D17" s="4"/>
      <c r="E17" s="6"/>
      <c r="F17" s="49" t="s">
        <v>72</v>
      </c>
      <c r="G17" s="4"/>
      <c r="H17" s="4"/>
      <c r="I17" s="4"/>
      <c r="J17" s="4"/>
      <c r="K17" s="4"/>
      <c r="L17" s="6"/>
      <c r="M17" s="49" t="s">
        <v>105</v>
      </c>
      <c r="N17" s="4"/>
      <c r="O17" s="4"/>
      <c r="P17" s="4"/>
      <c r="Q17" s="4"/>
      <c r="R17" s="4"/>
      <c r="S17" s="4"/>
      <c r="T17" s="6"/>
      <c r="U17" s="50" t="s">
        <v>74</v>
      </c>
      <c r="V17" s="6"/>
      <c r="W17" s="49" t="s">
        <v>107</v>
      </c>
      <c r="X17" s="4"/>
      <c r="Y17" s="4"/>
      <c r="Z17" s="4"/>
      <c r="AA17" s="4"/>
      <c r="AB17" s="4"/>
      <c r="AC17" s="6"/>
      <c r="AD17" s="48">
        <v>30.0</v>
      </c>
      <c r="AE17" s="4"/>
      <c r="AF17" s="6"/>
    </row>
    <row r="18" ht="30.0" customHeight="1">
      <c r="B18" s="47">
        <v>11.0</v>
      </c>
      <c r="C18" s="48" t="s">
        <v>109</v>
      </c>
      <c r="D18" s="4"/>
      <c r="E18" s="6"/>
      <c r="F18" s="49" t="s">
        <v>110</v>
      </c>
      <c r="G18" s="4"/>
      <c r="H18" s="4"/>
      <c r="I18" s="4"/>
      <c r="J18" s="4"/>
      <c r="K18" s="4"/>
      <c r="L18" s="6"/>
      <c r="M18" s="49" t="s">
        <v>111</v>
      </c>
      <c r="N18" s="4"/>
      <c r="O18" s="4"/>
      <c r="P18" s="4"/>
      <c r="Q18" s="4"/>
      <c r="R18" s="4"/>
      <c r="S18" s="4"/>
      <c r="T18" s="6"/>
      <c r="U18" s="51" t="s">
        <v>98</v>
      </c>
      <c r="V18" s="6"/>
      <c r="W18" s="49" t="s">
        <v>113</v>
      </c>
      <c r="X18" s="4"/>
      <c r="Y18" s="4"/>
      <c r="Z18" s="4"/>
      <c r="AA18" s="4"/>
      <c r="AB18" s="4"/>
      <c r="AC18" s="6"/>
      <c r="AD18" s="48">
        <v>100.0</v>
      </c>
      <c r="AE18" s="4"/>
      <c r="AF18" s="6"/>
    </row>
    <row r="19" ht="30.0" customHeight="1">
      <c r="B19" s="47">
        <v>12.0</v>
      </c>
      <c r="C19" s="48" t="s">
        <v>114</v>
      </c>
      <c r="D19" s="4"/>
      <c r="E19" s="6"/>
      <c r="F19" s="49" t="s">
        <v>110</v>
      </c>
      <c r="G19" s="4"/>
      <c r="H19" s="4"/>
      <c r="I19" s="4"/>
      <c r="J19" s="4"/>
      <c r="K19" s="4"/>
      <c r="L19" s="6"/>
      <c r="M19" s="49" t="s">
        <v>116</v>
      </c>
      <c r="N19" s="4"/>
      <c r="O19" s="4"/>
      <c r="P19" s="4"/>
      <c r="Q19" s="4"/>
      <c r="R19" s="4"/>
      <c r="S19" s="4"/>
      <c r="T19" s="6"/>
      <c r="U19" s="51" t="s">
        <v>98</v>
      </c>
      <c r="V19" s="6"/>
      <c r="W19" s="49" t="s">
        <v>113</v>
      </c>
      <c r="X19" s="4"/>
      <c r="Y19" s="4"/>
      <c r="Z19" s="4"/>
      <c r="AA19" s="4"/>
      <c r="AB19" s="4"/>
      <c r="AC19" s="6"/>
      <c r="AD19" s="48">
        <v>80.0</v>
      </c>
      <c r="AE19" s="4"/>
      <c r="AF19" s="6"/>
    </row>
    <row r="20" ht="30.0" customHeight="1">
      <c r="B20" s="47">
        <v>13.0</v>
      </c>
      <c r="C20" s="48" t="s">
        <v>118</v>
      </c>
      <c r="D20" s="4"/>
      <c r="E20" s="6"/>
      <c r="F20" s="49" t="s">
        <v>110</v>
      </c>
      <c r="G20" s="4"/>
      <c r="H20" s="4"/>
      <c r="I20" s="4"/>
      <c r="J20" s="4"/>
      <c r="K20" s="4"/>
      <c r="L20" s="6"/>
      <c r="M20" s="49" t="s">
        <v>119</v>
      </c>
      <c r="N20" s="4"/>
      <c r="O20" s="4"/>
      <c r="P20" s="4"/>
      <c r="Q20" s="4"/>
      <c r="R20" s="4"/>
      <c r="S20" s="4"/>
      <c r="T20" s="6"/>
      <c r="U20" s="51" t="s">
        <v>98</v>
      </c>
      <c r="V20" s="6"/>
      <c r="W20" s="49" t="s">
        <v>89</v>
      </c>
      <c r="X20" s="4"/>
      <c r="Y20" s="4"/>
      <c r="Z20" s="4"/>
      <c r="AA20" s="4"/>
      <c r="AB20" s="4"/>
      <c r="AC20" s="6"/>
      <c r="AD20" s="48">
        <v>60.0</v>
      </c>
      <c r="AE20" s="4"/>
      <c r="AF20" s="6"/>
    </row>
    <row r="21" ht="30.0" customHeight="1">
      <c r="B21" s="47">
        <v>14.0</v>
      </c>
      <c r="C21" s="48" t="s">
        <v>121</v>
      </c>
      <c r="D21" s="4"/>
      <c r="E21" s="6"/>
      <c r="F21" s="49" t="s">
        <v>110</v>
      </c>
      <c r="G21" s="4"/>
      <c r="H21" s="4"/>
      <c r="I21" s="4"/>
      <c r="J21" s="4"/>
      <c r="K21" s="4"/>
      <c r="L21" s="6"/>
      <c r="M21" s="49" t="s">
        <v>122</v>
      </c>
      <c r="N21" s="4"/>
      <c r="O21" s="4"/>
      <c r="P21" s="4"/>
      <c r="Q21" s="4"/>
      <c r="R21" s="4"/>
      <c r="S21" s="4"/>
      <c r="T21" s="6"/>
      <c r="U21" s="51" t="s">
        <v>98</v>
      </c>
      <c r="V21" s="6"/>
      <c r="W21" s="49" t="s">
        <v>113</v>
      </c>
      <c r="X21" s="4"/>
      <c r="Y21" s="4"/>
      <c r="Z21" s="4"/>
      <c r="AA21" s="4"/>
      <c r="AB21" s="4"/>
      <c r="AC21" s="6"/>
      <c r="AD21" s="48">
        <v>50.0</v>
      </c>
      <c r="AE21" s="4"/>
      <c r="AF21" s="6"/>
    </row>
    <row r="22" ht="30.0" customHeight="1">
      <c r="B22" s="47">
        <v>15.0</v>
      </c>
      <c r="C22" s="48" t="s">
        <v>123</v>
      </c>
      <c r="D22" s="4"/>
      <c r="E22" s="6"/>
      <c r="F22" s="49" t="s">
        <v>110</v>
      </c>
      <c r="G22" s="4"/>
      <c r="H22" s="4"/>
      <c r="I22" s="4"/>
      <c r="J22" s="4"/>
      <c r="K22" s="4"/>
      <c r="L22" s="6"/>
      <c r="M22" s="49" t="s">
        <v>124</v>
      </c>
      <c r="N22" s="4"/>
      <c r="O22" s="4"/>
      <c r="P22" s="4"/>
      <c r="Q22" s="4"/>
      <c r="R22" s="4"/>
      <c r="S22" s="4"/>
      <c r="T22" s="6"/>
      <c r="U22" s="51" t="s">
        <v>98</v>
      </c>
      <c r="V22" s="6"/>
      <c r="W22" s="49" t="s">
        <v>125</v>
      </c>
      <c r="X22" s="4"/>
      <c r="Y22" s="4"/>
      <c r="Z22" s="4"/>
      <c r="AA22" s="4"/>
      <c r="AB22" s="4"/>
      <c r="AC22" s="6"/>
      <c r="AD22" s="48">
        <v>30.0</v>
      </c>
      <c r="AE22" s="4"/>
      <c r="AF22" s="6"/>
    </row>
    <row r="23" ht="30.0" customHeight="1">
      <c r="B23" s="47">
        <v>16.0</v>
      </c>
      <c r="C23" s="48" t="s">
        <v>126</v>
      </c>
      <c r="D23" s="4"/>
      <c r="E23" s="6"/>
      <c r="F23" s="49" t="s">
        <v>110</v>
      </c>
      <c r="G23" s="4"/>
      <c r="H23" s="4"/>
      <c r="I23" s="4"/>
      <c r="J23" s="4"/>
      <c r="K23" s="4"/>
      <c r="L23" s="6"/>
      <c r="M23" s="49" t="s">
        <v>127</v>
      </c>
      <c r="N23" s="4"/>
      <c r="O23" s="4"/>
      <c r="P23" s="4"/>
      <c r="Q23" s="4"/>
      <c r="R23" s="4"/>
      <c r="S23" s="4"/>
      <c r="T23" s="6"/>
      <c r="U23" s="50" t="s">
        <v>74</v>
      </c>
      <c r="V23" s="6"/>
      <c r="W23" s="49" t="s">
        <v>128</v>
      </c>
      <c r="X23" s="4"/>
      <c r="Y23" s="4"/>
      <c r="Z23" s="4"/>
      <c r="AA23" s="4"/>
      <c r="AB23" s="4"/>
      <c r="AC23" s="6"/>
      <c r="AD23" s="48">
        <v>15.0</v>
      </c>
      <c r="AE23" s="4"/>
      <c r="AF23" s="6"/>
    </row>
    <row r="24" ht="36.0" customHeight="1">
      <c r="B24" s="47">
        <v>17.0</v>
      </c>
      <c r="C24" s="48" t="s">
        <v>130</v>
      </c>
      <c r="D24" s="4"/>
      <c r="E24" s="6"/>
      <c r="F24" s="49" t="s">
        <v>110</v>
      </c>
      <c r="G24" s="4"/>
      <c r="H24" s="4"/>
      <c r="I24" s="4"/>
      <c r="J24" s="4"/>
      <c r="K24" s="4"/>
      <c r="L24" s="6"/>
      <c r="M24" s="49" t="s">
        <v>131</v>
      </c>
      <c r="N24" s="4"/>
      <c r="O24" s="4"/>
      <c r="P24" s="4"/>
      <c r="Q24" s="4"/>
      <c r="R24" s="4"/>
      <c r="S24" s="4"/>
      <c r="T24" s="6"/>
      <c r="U24" s="51" t="s">
        <v>98</v>
      </c>
      <c r="V24" s="6"/>
      <c r="W24" s="49" t="s">
        <v>132</v>
      </c>
      <c r="X24" s="4"/>
      <c r="Y24" s="4"/>
      <c r="Z24" s="4"/>
      <c r="AA24" s="4"/>
      <c r="AB24" s="4"/>
      <c r="AC24" s="6"/>
      <c r="AD24" s="48">
        <v>45.0</v>
      </c>
      <c r="AE24" s="4"/>
      <c r="AF24" s="6"/>
    </row>
    <row r="25" ht="30.0" customHeight="1">
      <c r="B25" s="47">
        <v>18.0</v>
      </c>
      <c r="C25" s="48" t="s">
        <v>133</v>
      </c>
      <c r="D25" s="4"/>
      <c r="E25" s="6"/>
      <c r="F25" s="49" t="s">
        <v>110</v>
      </c>
      <c r="G25" s="4"/>
      <c r="H25" s="4"/>
      <c r="I25" s="4"/>
      <c r="J25" s="4"/>
      <c r="K25" s="4"/>
      <c r="L25" s="6"/>
      <c r="M25" s="49" t="s">
        <v>134</v>
      </c>
      <c r="N25" s="4"/>
      <c r="O25" s="4"/>
      <c r="P25" s="4"/>
      <c r="Q25" s="4"/>
      <c r="R25" s="4"/>
      <c r="S25" s="4"/>
      <c r="T25" s="6"/>
      <c r="U25" s="51" t="s">
        <v>98</v>
      </c>
      <c r="V25" s="6"/>
      <c r="W25" s="49" t="s">
        <v>135</v>
      </c>
      <c r="X25" s="4"/>
      <c r="Y25" s="4"/>
      <c r="Z25" s="4"/>
      <c r="AA25" s="4"/>
      <c r="AB25" s="4"/>
      <c r="AC25" s="6"/>
      <c r="AD25" s="48">
        <v>30.0</v>
      </c>
      <c r="AE25" s="4"/>
      <c r="AF25" s="6"/>
    </row>
    <row r="26" ht="36.0" customHeight="1">
      <c r="B26" s="47">
        <v>19.0</v>
      </c>
      <c r="C26" s="48" t="s">
        <v>136</v>
      </c>
      <c r="D26" s="4"/>
      <c r="E26" s="6"/>
      <c r="F26" s="49" t="s">
        <v>110</v>
      </c>
      <c r="G26" s="4"/>
      <c r="H26" s="4"/>
      <c r="I26" s="4"/>
      <c r="J26" s="4"/>
      <c r="K26" s="4"/>
      <c r="L26" s="6"/>
      <c r="M26" s="49" t="s">
        <v>137</v>
      </c>
      <c r="N26" s="4"/>
      <c r="O26" s="4"/>
      <c r="P26" s="4"/>
      <c r="Q26" s="4"/>
      <c r="R26" s="4"/>
      <c r="S26" s="4"/>
      <c r="T26" s="6"/>
      <c r="U26" s="51" t="s">
        <v>98</v>
      </c>
      <c r="V26" s="6"/>
      <c r="W26" s="49" t="s">
        <v>139</v>
      </c>
      <c r="X26" s="4"/>
      <c r="Y26" s="4"/>
      <c r="Z26" s="4"/>
      <c r="AA26" s="4"/>
      <c r="AB26" s="4"/>
      <c r="AC26" s="6"/>
      <c r="AD26" s="48">
        <v>25.0</v>
      </c>
      <c r="AE26" s="4"/>
      <c r="AF26" s="6"/>
    </row>
    <row r="27" ht="30.0" customHeight="1">
      <c r="B27" s="47">
        <v>20.0</v>
      </c>
      <c r="C27" s="48" t="s">
        <v>142</v>
      </c>
      <c r="D27" s="4"/>
      <c r="E27" s="6"/>
      <c r="F27" s="49" t="s">
        <v>144</v>
      </c>
      <c r="G27" s="4"/>
      <c r="H27" s="4"/>
      <c r="I27" s="4"/>
      <c r="J27" s="4"/>
      <c r="K27" s="4"/>
      <c r="L27" s="6"/>
      <c r="M27" s="49" t="s">
        <v>146</v>
      </c>
      <c r="N27" s="4"/>
      <c r="O27" s="4"/>
      <c r="P27" s="4"/>
      <c r="Q27" s="4"/>
      <c r="R27" s="4"/>
      <c r="S27" s="4"/>
      <c r="T27" s="6"/>
      <c r="U27" s="50" t="s">
        <v>74</v>
      </c>
      <c r="V27" s="6"/>
      <c r="W27" s="49" t="s">
        <v>135</v>
      </c>
      <c r="X27" s="4"/>
      <c r="Y27" s="4"/>
      <c r="Z27" s="4"/>
      <c r="AA27" s="4"/>
      <c r="AB27" s="4"/>
      <c r="AC27" s="6"/>
      <c r="AD27" s="48">
        <v>60.0</v>
      </c>
      <c r="AE27" s="4"/>
      <c r="AF27" s="6"/>
    </row>
    <row r="28" ht="30.0" customHeight="1">
      <c r="B28" s="47">
        <v>21.0</v>
      </c>
      <c r="C28" s="48" t="s">
        <v>150</v>
      </c>
      <c r="D28" s="4"/>
      <c r="E28" s="6"/>
      <c r="F28" s="49" t="s">
        <v>144</v>
      </c>
      <c r="G28" s="4"/>
      <c r="H28" s="4"/>
      <c r="I28" s="4"/>
      <c r="J28" s="4"/>
      <c r="K28" s="4"/>
      <c r="L28" s="6"/>
      <c r="M28" s="49" t="s">
        <v>152</v>
      </c>
      <c r="N28" s="4"/>
      <c r="O28" s="4"/>
      <c r="P28" s="4"/>
      <c r="Q28" s="4"/>
      <c r="R28" s="4"/>
      <c r="S28" s="4"/>
      <c r="T28" s="6"/>
      <c r="U28" s="51" t="s">
        <v>98</v>
      </c>
      <c r="V28" s="6"/>
      <c r="W28" s="49" t="s">
        <v>153</v>
      </c>
      <c r="X28" s="4"/>
      <c r="Y28" s="4"/>
      <c r="Z28" s="4"/>
      <c r="AA28" s="4"/>
      <c r="AB28" s="4"/>
      <c r="AC28" s="6"/>
      <c r="AD28" s="48">
        <v>16.0</v>
      </c>
      <c r="AE28" s="4"/>
      <c r="AF28" s="6"/>
    </row>
    <row r="29" ht="30.0" customHeight="1">
      <c r="B29" s="47">
        <v>22.0</v>
      </c>
      <c r="C29" s="48" t="s">
        <v>156</v>
      </c>
      <c r="D29" s="4"/>
      <c r="E29" s="6"/>
      <c r="F29" s="49" t="s">
        <v>144</v>
      </c>
      <c r="G29" s="4"/>
      <c r="H29" s="4"/>
      <c r="I29" s="4"/>
      <c r="J29" s="4"/>
      <c r="K29" s="4"/>
      <c r="L29" s="6"/>
      <c r="M29" s="49" t="s">
        <v>159</v>
      </c>
      <c r="N29" s="4"/>
      <c r="O29" s="4"/>
      <c r="P29" s="4"/>
      <c r="Q29" s="4"/>
      <c r="R29" s="4"/>
      <c r="S29" s="4"/>
      <c r="T29" s="6"/>
      <c r="U29" s="50" t="s">
        <v>74</v>
      </c>
      <c r="V29" s="6"/>
      <c r="W29" s="49" t="s">
        <v>160</v>
      </c>
      <c r="X29" s="4"/>
      <c r="Y29" s="4"/>
      <c r="Z29" s="4"/>
      <c r="AA29" s="4"/>
      <c r="AB29" s="4"/>
      <c r="AC29" s="6"/>
      <c r="AD29" s="48">
        <v>18.0</v>
      </c>
      <c r="AE29" s="4"/>
      <c r="AF29" s="6"/>
    </row>
    <row r="30" ht="30.0" customHeight="1">
      <c r="B30" s="47">
        <v>23.0</v>
      </c>
      <c r="C30" s="48" t="s">
        <v>161</v>
      </c>
      <c r="D30" s="4"/>
      <c r="E30" s="6"/>
      <c r="F30" s="49" t="s">
        <v>144</v>
      </c>
      <c r="G30" s="4"/>
      <c r="H30" s="4"/>
      <c r="I30" s="4"/>
      <c r="J30" s="4"/>
      <c r="K30" s="4"/>
      <c r="L30" s="6"/>
      <c r="M30" s="49" t="s">
        <v>163</v>
      </c>
      <c r="N30" s="4"/>
      <c r="O30" s="4"/>
      <c r="P30" s="4"/>
      <c r="Q30" s="4"/>
      <c r="R30" s="4"/>
      <c r="S30" s="4"/>
      <c r="T30" s="6"/>
      <c r="U30" s="51" t="s">
        <v>98</v>
      </c>
      <c r="V30" s="6"/>
      <c r="W30" s="49" t="s">
        <v>164</v>
      </c>
      <c r="X30" s="4"/>
      <c r="Y30" s="4"/>
      <c r="Z30" s="4"/>
      <c r="AA30" s="4"/>
      <c r="AB30" s="4"/>
      <c r="AC30" s="6"/>
      <c r="AD30" s="48">
        <v>8.0</v>
      </c>
      <c r="AE30" s="4"/>
      <c r="AF30" s="6"/>
    </row>
    <row r="31" ht="30.0" customHeight="1">
      <c r="B31" s="47">
        <v>24.0</v>
      </c>
      <c r="C31" s="48" t="s">
        <v>166</v>
      </c>
      <c r="D31" s="4"/>
      <c r="E31" s="6"/>
      <c r="F31" s="49" t="s">
        <v>144</v>
      </c>
      <c r="G31" s="4"/>
      <c r="H31" s="4"/>
      <c r="I31" s="4"/>
      <c r="J31" s="4"/>
      <c r="K31" s="4"/>
      <c r="L31" s="6"/>
      <c r="M31" s="49" t="s">
        <v>169</v>
      </c>
      <c r="N31" s="4"/>
      <c r="O31" s="4"/>
      <c r="P31" s="4"/>
      <c r="Q31" s="4"/>
      <c r="R31" s="4"/>
      <c r="S31" s="4"/>
      <c r="T31" s="6"/>
      <c r="U31" s="50" t="s">
        <v>74</v>
      </c>
      <c r="V31" s="6"/>
      <c r="W31" s="49" t="s">
        <v>171</v>
      </c>
      <c r="X31" s="4"/>
      <c r="Y31" s="4"/>
      <c r="Z31" s="4"/>
      <c r="AA31" s="4"/>
      <c r="AB31" s="4"/>
      <c r="AC31" s="6"/>
      <c r="AD31" s="48">
        <v>10.0</v>
      </c>
      <c r="AE31" s="4"/>
      <c r="AF31" s="6"/>
    </row>
    <row r="32" ht="30.0" customHeight="1">
      <c r="B32" s="47">
        <v>25.0</v>
      </c>
      <c r="C32" s="48" t="s">
        <v>173</v>
      </c>
      <c r="D32" s="4"/>
      <c r="E32" s="6"/>
      <c r="F32" s="49" t="s">
        <v>144</v>
      </c>
      <c r="G32" s="4"/>
      <c r="H32" s="4"/>
      <c r="I32" s="4"/>
      <c r="J32" s="4"/>
      <c r="K32" s="4"/>
      <c r="L32" s="6"/>
      <c r="M32" s="49" t="s">
        <v>175</v>
      </c>
      <c r="N32" s="4"/>
      <c r="O32" s="4"/>
      <c r="P32" s="4"/>
      <c r="Q32" s="4"/>
      <c r="R32" s="4"/>
      <c r="S32" s="4"/>
      <c r="T32" s="6"/>
      <c r="U32" s="51" t="s">
        <v>98</v>
      </c>
      <c r="V32" s="6"/>
      <c r="W32" s="49" t="s">
        <v>177</v>
      </c>
      <c r="X32" s="4"/>
      <c r="Y32" s="4"/>
      <c r="Z32" s="4"/>
      <c r="AA32" s="4"/>
      <c r="AB32" s="4"/>
      <c r="AC32" s="6"/>
      <c r="AD32" s="48">
        <v>30.0</v>
      </c>
      <c r="AE32" s="4"/>
      <c r="AF32" s="6"/>
    </row>
    <row r="33" ht="30.0" customHeight="1">
      <c r="B33" s="47">
        <v>26.0</v>
      </c>
      <c r="C33" s="48" t="s">
        <v>178</v>
      </c>
      <c r="D33" s="4"/>
      <c r="E33" s="6"/>
      <c r="F33" s="49" t="s">
        <v>144</v>
      </c>
      <c r="G33" s="4"/>
      <c r="H33" s="4"/>
      <c r="I33" s="4"/>
      <c r="J33" s="4"/>
      <c r="K33" s="4"/>
      <c r="L33" s="6"/>
      <c r="M33" s="49" t="s">
        <v>179</v>
      </c>
      <c r="N33" s="4"/>
      <c r="O33" s="4"/>
      <c r="P33" s="4"/>
      <c r="Q33" s="4"/>
      <c r="R33" s="4"/>
      <c r="S33" s="4"/>
      <c r="T33" s="6"/>
      <c r="U33" s="50" t="s">
        <v>74</v>
      </c>
      <c r="V33" s="6"/>
      <c r="W33" s="49" t="s">
        <v>180</v>
      </c>
      <c r="X33" s="4"/>
      <c r="Y33" s="4"/>
      <c r="Z33" s="4"/>
      <c r="AA33" s="4"/>
      <c r="AB33" s="4"/>
      <c r="AC33" s="6"/>
      <c r="AD33" s="48">
        <v>15.0</v>
      </c>
      <c r="AE33" s="4"/>
      <c r="AF33" s="6"/>
    </row>
    <row r="34" ht="30.0" customHeight="1">
      <c r="B34" s="47">
        <v>27.0</v>
      </c>
      <c r="C34" s="48" t="s">
        <v>181</v>
      </c>
      <c r="D34" s="4"/>
      <c r="E34" s="6"/>
      <c r="F34" s="49" t="s">
        <v>144</v>
      </c>
      <c r="G34" s="4"/>
      <c r="H34" s="4"/>
      <c r="I34" s="4"/>
      <c r="J34" s="4"/>
      <c r="K34" s="4"/>
      <c r="L34" s="6"/>
      <c r="M34" s="49" t="s">
        <v>185</v>
      </c>
      <c r="N34" s="4"/>
      <c r="O34" s="4"/>
      <c r="P34" s="4"/>
      <c r="Q34" s="4"/>
      <c r="R34" s="4"/>
      <c r="S34" s="4"/>
      <c r="T34" s="6"/>
      <c r="U34" s="50" t="s">
        <v>74</v>
      </c>
      <c r="V34" s="6"/>
      <c r="W34" s="49" t="s">
        <v>186</v>
      </c>
      <c r="X34" s="4"/>
      <c r="Y34" s="4"/>
      <c r="Z34" s="4"/>
      <c r="AA34" s="4"/>
      <c r="AB34" s="4"/>
      <c r="AC34" s="6"/>
      <c r="AD34" s="48">
        <v>18.0</v>
      </c>
      <c r="AE34" s="4"/>
      <c r="AF34" s="6"/>
    </row>
    <row r="35" ht="30.0" customHeight="1">
      <c r="B35" s="47">
        <v>28.0</v>
      </c>
      <c r="C35" s="48" t="s">
        <v>188</v>
      </c>
      <c r="D35" s="4"/>
      <c r="E35" s="6"/>
      <c r="F35" s="49" t="s">
        <v>190</v>
      </c>
      <c r="G35" s="4"/>
      <c r="H35" s="4"/>
      <c r="I35" s="4"/>
      <c r="J35" s="4"/>
      <c r="K35" s="4"/>
      <c r="L35" s="6"/>
      <c r="M35" s="49" t="s">
        <v>191</v>
      </c>
      <c r="N35" s="4"/>
      <c r="O35" s="4"/>
      <c r="P35" s="4"/>
      <c r="Q35" s="4"/>
      <c r="R35" s="4"/>
      <c r="S35" s="4"/>
      <c r="T35" s="6"/>
      <c r="U35" s="50" t="s">
        <v>74</v>
      </c>
      <c r="V35" s="6"/>
      <c r="W35" s="49" t="s">
        <v>192</v>
      </c>
      <c r="X35" s="4"/>
      <c r="Y35" s="4"/>
      <c r="Z35" s="4"/>
      <c r="AA35" s="4"/>
      <c r="AB35" s="4"/>
      <c r="AC35" s="6"/>
      <c r="AD35" s="48">
        <v>25.0</v>
      </c>
      <c r="AE35" s="4"/>
      <c r="AF35" s="6"/>
    </row>
    <row r="36" ht="30.0" customHeight="1">
      <c r="B36" s="47">
        <v>29.0</v>
      </c>
      <c r="C36" s="48" t="s">
        <v>193</v>
      </c>
      <c r="D36" s="4"/>
      <c r="E36" s="6"/>
      <c r="F36" s="49" t="s">
        <v>190</v>
      </c>
      <c r="G36" s="4"/>
      <c r="H36" s="4"/>
      <c r="I36" s="4"/>
      <c r="J36" s="4"/>
      <c r="K36" s="4"/>
      <c r="L36" s="6"/>
      <c r="M36" s="49" t="s">
        <v>194</v>
      </c>
      <c r="N36" s="4"/>
      <c r="O36" s="4"/>
      <c r="P36" s="4"/>
      <c r="Q36" s="4"/>
      <c r="R36" s="4"/>
      <c r="S36" s="4"/>
      <c r="T36" s="6"/>
      <c r="U36" s="50" t="s">
        <v>74</v>
      </c>
      <c r="V36" s="6"/>
      <c r="W36" s="49" t="s">
        <v>86</v>
      </c>
      <c r="X36" s="4"/>
      <c r="Y36" s="4"/>
      <c r="Z36" s="4"/>
      <c r="AA36" s="4"/>
      <c r="AB36" s="4"/>
      <c r="AC36" s="6"/>
      <c r="AD36" s="48">
        <v>8.0</v>
      </c>
      <c r="AE36" s="4"/>
      <c r="AF36" s="6"/>
    </row>
    <row r="37" ht="30.0" customHeight="1">
      <c r="B37" s="47">
        <v>30.0</v>
      </c>
      <c r="C37" s="48" t="s">
        <v>197</v>
      </c>
      <c r="D37" s="4"/>
      <c r="E37" s="6"/>
      <c r="F37" s="49" t="s">
        <v>190</v>
      </c>
      <c r="G37" s="4"/>
      <c r="H37" s="4"/>
      <c r="I37" s="4"/>
      <c r="J37" s="4"/>
      <c r="K37" s="4"/>
      <c r="L37" s="6"/>
      <c r="M37" s="49" t="s">
        <v>199</v>
      </c>
      <c r="N37" s="4"/>
      <c r="O37" s="4"/>
      <c r="P37" s="4"/>
      <c r="Q37" s="4"/>
      <c r="R37" s="4"/>
      <c r="S37" s="4"/>
      <c r="T37" s="6"/>
      <c r="U37" s="50" t="s">
        <v>74</v>
      </c>
      <c r="V37" s="6"/>
      <c r="W37" s="49" t="s">
        <v>202</v>
      </c>
      <c r="X37" s="4"/>
      <c r="Y37" s="4"/>
      <c r="Z37" s="4"/>
      <c r="AA37" s="4"/>
      <c r="AB37" s="4"/>
      <c r="AC37" s="6"/>
      <c r="AD37" s="48">
        <v>15.0</v>
      </c>
      <c r="AE37" s="4"/>
      <c r="AF37" s="6"/>
    </row>
    <row r="38" ht="30.0" customHeight="1">
      <c r="B38" s="47">
        <v>31.0</v>
      </c>
      <c r="C38" s="48" t="s">
        <v>204</v>
      </c>
      <c r="D38" s="4"/>
      <c r="E38" s="6"/>
      <c r="F38" s="49" t="s">
        <v>190</v>
      </c>
      <c r="G38" s="4"/>
      <c r="H38" s="4"/>
      <c r="I38" s="4"/>
      <c r="J38" s="4"/>
      <c r="K38" s="4"/>
      <c r="L38" s="6"/>
      <c r="M38" s="49" t="s">
        <v>205</v>
      </c>
      <c r="N38" s="4"/>
      <c r="O38" s="4"/>
      <c r="P38" s="4"/>
      <c r="Q38" s="4"/>
      <c r="R38" s="4"/>
      <c r="S38" s="4"/>
      <c r="T38" s="6"/>
      <c r="U38" s="50" t="s">
        <v>74</v>
      </c>
      <c r="V38" s="6"/>
      <c r="W38" s="49" t="s">
        <v>86</v>
      </c>
      <c r="X38" s="4"/>
      <c r="Y38" s="4"/>
      <c r="Z38" s="4"/>
      <c r="AA38" s="4"/>
      <c r="AB38" s="4"/>
      <c r="AC38" s="6"/>
      <c r="AD38" s="48">
        <v>40.0</v>
      </c>
      <c r="AE38" s="4"/>
      <c r="AF38" s="6"/>
    </row>
    <row r="39" ht="30.0" customHeight="1">
      <c r="B39" s="47">
        <v>32.0</v>
      </c>
      <c r="C39" s="48" t="s">
        <v>206</v>
      </c>
      <c r="D39" s="4"/>
      <c r="E39" s="6"/>
      <c r="F39" s="49" t="s">
        <v>190</v>
      </c>
      <c r="G39" s="4"/>
      <c r="H39" s="4"/>
      <c r="I39" s="4"/>
      <c r="J39" s="4"/>
      <c r="K39" s="4"/>
      <c r="L39" s="6"/>
      <c r="M39" s="49" t="s">
        <v>208</v>
      </c>
      <c r="N39" s="4"/>
      <c r="O39" s="4"/>
      <c r="P39" s="4"/>
      <c r="Q39" s="4"/>
      <c r="R39" s="4"/>
      <c r="S39" s="4"/>
      <c r="T39" s="6"/>
      <c r="U39" s="51" t="s">
        <v>98</v>
      </c>
      <c r="V39" s="6"/>
      <c r="W39" s="49" t="s">
        <v>211</v>
      </c>
      <c r="X39" s="4"/>
      <c r="Y39" s="4"/>
      <c r="Z39" s="4"/>
      <c r="AA39" s="4"/>
      <c r="AB39" s="4"/>
      <c r="AC39" s="6"/>
      <c r="AD39" s="48">
        <v>20.0</v>
      </c>
      <c r="AE39" s="4"/>
      <c r="AF39" s="6"/>
    </row>
    <row r="40" ht="30.0" customHeight="1">
      <c r="B40" s="47">
        <v>33.0</v>
      </c>
      <c r="C40" s="48" t="s">
        <v>214</v>
      </c>
      <c r="D40" s="4"/>
      <c r="E40" s="6"/>
      <c r="F40" s="49" t="s">
        <v>190</v>
      </c>
      <c r="G40" s="4"/>
      <c r="H40" s="4"/>
      <c r="I40" s="4"/>
      <c r="J40" s="4"/>
      <c r="K40" s="4"/>
      <c r="L40" s="6"/>
      <c r="M40" s="49" t="s">
        <v>215</v>
      </c>
      <c r="N40" s="4"/>
      <c r="O40" s="4"/>
      <c r="P40" s="4"/>
      <c r="Q40" s="4"/>
      <c r="R40" s="4"/>
      <c r="S40" s="4"/>
      <c r="T40" s="6"/>
      <c r="U40" s="51" t="s">
        <v>98</v>
      </c>
      <c r="V40" s="6"/>
      <c r="W40" s="49" t="s">
        <v>216</v>
      </c>
      <c r="X40" s="4"/>
      <c r="Y40" s="4"/>
      <c r="Z40" s="4"/>
      <c r="AA40" s="4"/>
      <c r="AB40" s="4"/>
      <c r="AC40" s="6"/>
      <c r="AD40" s="48">
        <v>12.0</v>
      </c>
      <c r="AE40" s="4"/>
      <c r="AF40" s="6"/>
    </row>
    <row r="41" ht="30.0" customHeight="1">
      <c r="B41" s="47">
        <v>34.0</v>
      </c>
      <c r="C41" s="48" t="s">
        <v>217</v>
      </c>
      <c r="D41" s="4"/>
      <c r="E41" s="6"/>
      <c r="F41" s="49" t="s">
        <v>190</v>
      </c>
      <c r="G41" s="4"/>
      <c r="H41" s="4"/>
      <c r="I41" s="4"/>
      <c r="J41" s="4"/>
      <c r="K41" s="4"/>
      <c r="L41" s="6"/>
      <c r="M41" s="49" t="s">
        <v>218</v>
      </c>
      <c r="N41" s="4"/>
      <c r="O41" s="4"/>
      <c r="P41" s="4"/>
      <c r="Q41" s="4"/>
      <c r="R41" s="4"/>
      <c r="S41" s="4"/>
      <c r="T41" s="6"/>
      <c r="U41" s="50" t="s">
        <v>74</v>
      </c>
      <c r="V41" s="6"/>
      <c r="W41" s="49" t="s">
        <v>219</v>
      </c>
      <c r="X41" s="4"/>
      <c r="Y41" s="4"/>
      <c r="Z41" s="4"/>
      <c r="AA41" s="4"/>
      <c r="AB41" s="4"/>
      <c r="AC41" s="6"/>
      <c r="AD41" s="48">
        <v>15.0</v>
      </c>
      <c r="AE41" s="4"/>
      <c r="AF41" s="6"/>
    </row>
    <row r="42" ht="30.0" customHeight="1">
      <c r="B42" s="47">
        <v>35.0</v>
      </c>
      <c r="C42" s="48" t="s">
        <v>222</v>
      </c>
      <c r="D42" s="4"/>
      <c r="E42" s="6"/>
      <c r="F42" s="49" t="s">
        <v>190</v>
      </c>
      <c r="G42" s="4"/>
      <c r="H42" s="4"/>
      <c r="I42" s="4"/>
      <c r="J42" s="4"/>
      <c r="K42" s="4"/>
      <c r="L42" s="6"/>
      <c r="M42" s="49" t="s">
        <v>225</v>
      </c>
      <c r="N42" s="4"/>
      <c r="O42" s="4"/>
      <c r="P42" s="4"/>
      <c r="Q42" s="4"/>
      <c r="R42" s="4"/>
      <c r="S42" s="4"/>
      <c r="T42" s="6"/>
      <c r="U42" s="51" t="s">
        <v>98</v>
      </c>
      <c r="V42" s="6"/>
      <c r="W42" s="49" t="s">
        <v>86</v>
      </c>
      <c r="X42" s="4"/>
      <c r="Y42" s="4"/>
      <c r="Z42" s="4"/>
      <c r="AA42" s="4"/>
      <c r="AB42" s="4"/>
      <c r="AC42" s="6"/>
      <c r="AD42" s="48">
        <v>30.0</v>
      </c>
      <c r="AE42" s="4"/>
      <c r="AF42" s="6"/>
    </row>
    <row r="43" ht="36.0" customHeight="1">
      <c r="B43" s="47">
        <v>36.0</v>
      </c>
      <c r="C43" s="48" t="s">
        <v>227</v>
      </c>
      <c r="D43" s="4"/>
      <c r="E43" s="6"/>
      <c r="F43" s="49" t="s">
        <v>190</v>
      </c>
      <c r="G43" s="4"/>
      <c r="H43" s="4"/>
      <c r="I43" s="4"/>
      <c r="J43" s="4"/>
      <c r="K43" s="4"/>
      <c r="L43" s="6"/>
      <c r="M43" s="49" t="s">
        <v>228</v>
      </c>
      <c r="N43" s="4"/>
      <c r="O43" s="4"/>
      <c r="P43" s="4"/>
      <c r="Q43" s="4"/>
      <c r="R43" s="4"/>
      <c r="S43" s="4"/>
      <c r="T43" s="6"/>
      <c r="U43" s="50" t="s">
        <v>74</v>
      </c>
      <c r="V43" s="6"/>
      <c r="W43" s="49" t="s">
        <v>202</v>
      </c>
      <c r="X43" s="4"/>
      <c r="Y43" s="4"/>
      <c r="Z43" s="4"/>
      <c r="AA43" s="4"/>
      <c r="AB43" s="4"/>
      <c r="AC43" s="6"/>
      <c r="AD43" s="48">
        <v>6.0</v>
      </c>
      <c r="AE43" s="4"/>
      <c r="AF43" s="6"/>
    </row>
    <row r="44" ht="30.0" customHeight="1">
      <c r="B44" s="47">
        <v>37.0</v>
      </c>
      <c r="C44" s="48" t="s">
        <v>229</v>
      </c>
      <c r="D44" s="4"/>
      <c r="E44" s="6"/>
      <c r="F44" s="49" t="s">
        <v>230</v>
      </c>
      <c r="G44" s="4"/>
      <c r="H44" s="4"/>
      <c r="I44" s="4"/>
      <c r="J44" s="4"/>
      <c r="K44" s="4"/>
      <c r="L44" s="6"/>
      <c r="M44" s="49" t="s">
        <v>231</v>
      </c>
      <c r="N44" s="4"/>
      <c r="O44" s="4"/>
      <c r="P44" s="4"/>
      <c r="Q44" s="4"/>
      <c r="R44" s="4"/>
      <c r="S44" s="4"/>
      <c r="T44" s="6"/>
      <c r="U44" s="57" t="s">
        <v>232</v>
      </c>
      <c r="V44" s="6"/>
      <c r="W44" s="49" t="s">
        <v>235</v>
      </c>
      <c r="X44" s="4"/>
      <c r="Y44" s="4"/>
      <c r="Z44" s="4"/>
      <c r="AA44" s="4"/>
      <c r="AB44" s="4"/>
      <c r="AC44" s="6"/>
      <c r="AD44" s="48">
        <v>60.0</v>
      </c>
      <c r="AE44" s="4"/>
      <c r="AF44" s="6"/>
    </row>
    <row r="45" ht="36.0" customHeight="1">
      <c r="B45" s="47">
        <v>38.0</v>
      </c>
      <c r="C45" s="48" t="s">
        <v>238</v>
      </c>
      <c r="D45" s="4"/>
      <c r="E45" s="6"/>
      <c r="F45" s="49" t="s">
        <v>230</v>
      </c>
      <c r="G45" s="4"/>
      <c r="H45" s="4"/>
      <c r="I45" s="4"/>
      <c r="J45" s="4"/>
      <c r="K45" s="4"/>
      <c r="L45" s="6"/>
      <c r="M45" s="49" t="s">
        <v>240</v>
      </c>
      <c r="N45" s="4"/>
      <c r="O45" s="4"/>
      <c r="P45" s="4"/>
      <c r="Q45" s="4"/>
      <c r="R45" s="4"/>
      <c r="S45" s="4"/>
      <c r="T45" s="6"/>
      <c r="U45" s="57" t="s">
        <v>232</v>
      </c>
      <c r="V45" s="6"/>
      <c r="W45" s="49" t="s">
        <v>235</v>
      </c>
      <c r="X45" s="4"/>
      <c r="Y45" s="4"/>
      <c r="Z45" s="4"/>
      <c r="AA45" s="4"/>
      <c r="AB45" s="4"/>
      <c r="AC45" s="6"/>
      <c r="AD45" s="48">
        <v>40.0</v>
      </c>
      <c r="AE45" s="4"/>
      <c r="AF45" s="6"/>
    </row>
    <row r="46" ht="30.0" customHeight="1">
      <c r="B46" s="47">
        <v>39.0</v>
      </c>
      <c r="C46" s="48" t="s">
        <v>241</v>
      </c>
      <c r="D46" s="4"/>
      <c r="E46" s="6"/>
      <c r="F46" s="49" t="s">
        <v>230</v>
      </c>
      <c r="G46" s="4"/>
      <c r="H46" s="4"/>
      <c r="I46" s="4"/>
      <c r="J46" s="4"/>
      <c r="K46" s="4"/>
      <c r="L46" s="6"/>
      <c r="M46" s="49" t="s">
        <v>242</v>
      </c>
      <c r="N46" s="4"/>
      <c r="O46" s="4"/>
      <c r="P46" s="4"/>
      <c r="Q46" s="4"/>
      <c r="R46" s="4"/>
      <c r="S46" s="4"/>
      <c r="T46" s="6"/>
      <c r="U46" s="57" t="s">
        <v>232</v>
      </c>
      <c r="V46" s="6"/>
      <c r="W46" s="49" t="s">
        <v>113</v>
      </c>
      <c r="X46" s="4"/>
      <c r="Y46" s="4"/>
      <c r="Z46" s="4"/>
      <c r="AA46" s="4"/>
      <c r="AB46" s="4"/>
      <c r="AC46" s="6"/>
      <c r="AD46" s="48">
        <v>25.0</v>
      </c>
      <c r="AE46" s="4"/>
      <c r="AF46" s="6"/>
    </row>
    <row r="47" ht="30.0" customHeight="1">
      <c r="B47" s="47">
        <v>40.0</v>
      </c>
      <c r="C47" s="48" t="s">
        <v>243</v>
      </c>
      <c r="D47" s="4"/>
      <c r="E47" s="6"/>
      <c r="F47" s="49" t="s">
        <v>230</v>
      </c>
      <c r="G47" s="4"/>
      <c r="H47" s="4"/>
      <c r="I47" s="4"/>
      <c r="J47" s="4"/>
      <c r="K47" s="4"/>
      <c r="L47" s="6"/>
      <c r="M47" s="49" t="s">
        <v>246</v>
      </c>
      <c r="N47" s="4"/>
      <c r="O47" s="4"/>
      <c r="P47" s="4"/>
      <c r="Q47" s="4"/>
      <c r="R47" s="4"/>
      <c r="S47" s="4"/>
      <c r="T47" s="6"/>
      <c r="U47" s="57" t="s">
        <v>232</v>
      </c>
      <c r="V47" s="6"/>
      <c r="W47" s="49" t="s">
        <v>86</v>
      </c>
      <c r="X47" s="4"/>
      <c r="Y47" s="4"/>
      <c r="Z47" s="4"/>
      <c r="AA47" s="4"/>
      <c r="AB47" s="4"/>
      <c r="AC47" s="6"/>
      <c r="AD47" s="48">
        <v>5.0</v>
      </c>
      <c r="AE47" s="4"/>
      <c r="AF47" s="6"/>
    </row>
    <row r="48" ht="30.0" customHeight="1">
      <c r="B48" s="47">
        <v>41.0</v>
      </c>
      <c r="C48" s="48" t="s">
        <v>249</v>
      </c>
      <c r="D48" s="4"/>
      <c r="E48" s="6"/>
      <c r="F48" s="49" t="s">
        <v>230</v>
      </c>
      <c r="G48" s="4"/>
      <c r="H48" s="4"/>
      <c r="I48" s="4"/>
      <c r="J48" s="4"/>
      <c r="K48" s="4"/>
      <c r="L48" s="6"/>
      <c r="M48" s="49" t="s">
        <v>251</v>
      </c>
      <c r="N48" s="4"/>
      <c r="O48" s="4"/>
      <c r="P48" s="4"/>
      <c r="Q48" s="4"/>
      <c r="R48" s="4"/>
      <c r="S48" s="4"/>
      <c r="T48" s="6"/>
      <c r="U48" s="50" t="s">
        <v>74</v>
      </c>
      <c r="V48" s="6"/>
      <c r="W48" s="49" t="s">
        <v>86</v>
      </c>
      <c r="X48" s="4"/>
      <c r="Y48" s="4"/>
      <c r="Z48" s="4"/>
      <c r="AA48" s="4"/>
      <c r="AB48" s="4"/>
      <c r="AC48" s="6"/>
      <c r="AD48" s="48">
        <v>5.0</v>
      </c>
      <c r="AE48" s="4"/>
      <c r="AF48" s="6"/>
    </row>
    <row r="49" ht="30.0" customHeight="1">
      <c r="B49" s="47">
        <v>42.0</v>
      </c>
      <c r="C49" s="48" t="s">
        <v>252</v>
      </c>
      <c r="D49" s="4"/>
      <c r="E49" s="6"/>
      <c r="F49" s="49" t="s">
        <v>230</v>
      </c>
      <c r="G49" s="4"/>
      <c r="H49" s="4"/>
      <c r="I49" s="4"/>
      <c r="J49" s="4"/>
      <c r="K49" s="4"/>
      <c r="L49" s="6"/>
      <c r="M49" s="49" t="s">
        <v>253</v>
      </c>
      <c r="N49" s="4"/>
      <c r="O49" s="4"/>
      <c r="P49" s="4"/>
      <c r="Q49" s="4"/>
      <c r="R49" s="4"/>
      <c r="S49" s="4"/>
      <c r="T49" s="6"/>
      <c r="U49" s="51" t="s">
        <v>98</v>
      </c>
      <c r="V49" s="6"/>
      <c r="W49" s="49" t="s">
        <v>254</v>
      </c>
      <c r="X49" s="4"/>
      <c r="Y49" s="4"/>
      <c r="Z49" s="4"/>
      <c r="AA49" s="4"/>
      <c r="AB49" s="4"/>
      <c r="AC49" s="6"/>
      <c r="AD49" s="48">
        <v>8.0</v>
      </c>
      <c r="AE49" s="4"/>
      <c r="AF49" s="6"/>
    </row>
    <row r="50" ht="30.0" customHeight="1">
      <c r="B50" s="47">
        <v>43.0</v>
      </c>
      <c r="C50" s="48" t="s">
        <v>257</v>
      </c>
      <c r="D50" s="4"/>
      <c r="E50" s="6"/>
      <c r="F50" s="49" t="s">
        <v>258</v>
      </c>
      <c r="G50" s="4"/>
      <c r="H50" s="4"/>
      <c r="I50" s="4"/>
      <c r="J50" s="4"/>
      <c r="K50" s="4"/>
      <c r="L50" s="6"/>
      <c r="M50" s="49" t="s">
        <v>260</v>
      </c>
      <c r="N50" s="4"/>
      <c r="O50" s="4"/>
      <c r="P50" s="4"/>
      <c r="Q50" s="4"/>
      <c r="R50" s="4"/>
      <c r="S50" s="4"/>
      <c r="T50" s="6"/>
      <c r="U50" s="51" t="s">
        <v>98</v>
      </c>
      <c r="V50" s="6"/>
      <c r="W50" s="49" t="s">
        <v>263</v>
      </c>
      <c r="X50" s="4"/>
      <c r="Y50" s="4"/>
      <c r="Z50" s="4"/>
      <c r="AA50" s="4"/>
      <c r="AB50" s="4"/>
      <c r="AC50" s="6"/>
      <c r="AD50" s="48">
        <v>12.0</v>
      </c>
      <c r="AE50" s="4"/>
      <c r="AF50" s="6"/>
    </row>
    <row r="51" ht="30.0" customHeight="1">
      <c r="B51" s="47">
        <v>44.0</v>
      </c>
      <c r="C51" s="48" t="s">
        <v>264</v>
      </c>
      <c r="D51" s="4"/>
      <c r="E51" s="6"/>
      <c r="F51" s="49" t="s">
        <v>258</v>
      </c>
      <c r="G51" s="4"/>
      <c r="H51" s="4"/>
      <c r="I51" s="4"/>
      <c r="J51" s="4"/>
      <c r="K51" s="4"/>
      <c r="L51" s="6"/>
      <c r="M51" s="49" t="s">
        <v>265</v>
      </c>
      <c r="N51" s="4"/>
      <c r="O51" s="4"/>
      <c r="P51" s="4"/>
      <c r="Q51" s="4"/>
      <c r="R51" s="4"/>
      <c r="S51" s="4"/>
      <c r="T51" s="6"/>
      <c r="U51" s="51" t="s">
        <v>98</v>
      </c>
      <c r="V51" s="6"/>
      <c r="W51" s="49" t="s">
        <v>266</v>
      </c>
      <c r="X51" s="4"/>
      <c r="Y51" s="4"/>
      <c r="Z51" s="4"/>
      <c r="AA51" s="4"/>
      <c r="AB51" s="4"/>
      <c r="AC51" s="6"/>
      <c r="AD51" s="48">
        <v>8.0</v>
      </c>
      <c r="AE51" s="4"/>
      <c r="AF51" s="6"/>
    </row>
    <row r="52" ht="22.5" customHeight="1">
      <c r="B52" s="59" t="s">
        <v>33</v>
      </c>
      <c r="C52" s="4"/>
      <c r="D52" s="4"/>
      <c r="E52" s="4"/>
      <c r="F52" s="4"/>
      <c r="G52" s="4"/>
      <c r="H52" s="4"/>
      <c r="I52" s="4"/>
      <c r="J52" s="4"/>
      <c r="K52" s="4"/>
      <c r="L52" s="4"/>
      <c r="M52" s="4"/>
      <c r="N52" s="4"/>
      <c r="O52" s="4"/>
      <c r="P52" s="4"/>
      <c r="Q52" s="4"/>
      <c r="R52" s="4"/>
      <c r="S52" s="4"/>
      <c r="T52" s="6"/>
      <c r="U52" s="30"/>
      <c r="V52" s="6"/>
      <c r="W52" s="30"/>
      <c r="X52" s="4"/>
      <c r="Y52" s="4"/>
      <c r="Z52" s="4"/>
      <c r="AA52" s="4"/>
      <c r="AB52" s="4"/>
      <c r="AC52" s="6"/>
      <c r="AD52" s="30">
        <f>SUM(AD8:AD51)</f>
        <v>1682</v>
      </c>
      <c r="AE52" s="4"/>
      <c r="AF52" s="6"/>
    </row>
    <row r="53" ht="15.75" customHeight="1"/>
    <row r="54" ht="19.5" customHeight="1">
      <c r="B54" s="26" t="s">
        <v>269</v>
      </c>
    </row>
    <row r="55" ht="15.75" customHeight="1"/>
    <row r="56" ht="28.5" customHeight="1">
      <c r="B56" s="46" t="s">
        <v>270</v>
      </c>
      <c r="C56" s="6"/>
      <c r="D56" s="46" t="s">
        <v>271</v>
      </c>
      <c r="E56" s="4"/>
      <c r="F56" s="6"/>
      <c r="G56" s="46" t="s">
        <v>273</v>
      </c>
      <c r="H56" s="4"/>
      <c r="I56" s="4"/>
      <c r="J56" s="4"/>
      <c r="K56" s="4"/>
      <c r="L56" s="6"/>
      <c r="M56" s="46" t="s">
        <v>276</v>
      </c>
      <c r="N56" s="6"/>
      <c r="O56" s="46" t="s">
        <v>277</v>
      </c>
      <c r="P56" s="4"/>
      <c r="Q56" s="6"/>
      <c r="R56" s="46" t="s">
        <v>279</v>
      </c>
      <c r="S56" s="4"/>
      <c r="T56" s="4"/>
      <c r="U56" s="4"/>
      <c r="V56" s="4"/>
      <c r="W56" s="4"/>
      <c r="X56" s="4"/>
      <c r="Y56" s="4"/>
      <c r="Z56" s="4"/>
      <c r="AA56" s="4"/>
      <c r="AB56" s="4"/>
      <c r="AC56" s="4"/>
      <c r="AD56" s="4"/>
      <c r="AE56" s="4"/>
      <c r="AF56" s="4"/>
      <c r="AG56" s="4"/>
      <c r="AH56" s="4"/>
      <c r="AI56" s="4"/>
      <c r="AJ56" s="4"/>
      <c r="AK56" s="6"/>
    </row>
    <row r="57" ht="36.0" customHeight="1">
      <c r="B57" s="60" t="s">
        <v>174</v>
      </c>
      <c r="C57" s="6"/>
      <c r="D57" s="48" t="s">
        <v>281</v>
      </c>
      <c r="E57" s="4"/>
      <c r="F57" s="6"/>
      <c r="G57" s="49" t="s">
        <v>282</v>
      </c>
      <c r="H57" s="4"/>
      <c r="I57" s="4"/>
      <c r="J57" s="4"/>
      <c r="K57" s="4"/>
      <c r="L57" s="6"/>
      <c r="M57" s="48">
        <v>10.0</v>
      </c>
      <c r="N57" s="6"/>
      <c r="O57" s="48" t="s">
        <v>74</v>
      </c>
      <c r="P57" s="4"/>
      <c r="Q57" s="6"/>
      <c r="R57" s="49" t="s">
        <v>283</v>
      </c>
      <c r="S57" s="4"/>
      <c r="T57" s="4"/>
      <c r="U57" s="4"/>
      <c r="V57" s="4"/>
      <c r="W57" s="4"/>
      <c r="X57" s="4"/>
      <c r="Y57" s="4"/>
      <c r="Z57" s="4"/>
      <c r="AA57" s="4"/>
      <c r="AB57" s="4"/>
      <c r="AC57" s="4"/>
      <c r="AD57" s="4"/>
      <c r="AE57" s="4"/>
      <c r="AF57" s="4"/>
      <c r="AG57" s="4"/>
      <c r="AH57" s="4"/>
      <c r="AI57" s="4"/>
      <c r="AJ57" s="4"/>
      <c r="AK57" s="6"/>
    </row>
    <row r="58" ht="30.0" customHeight="1">
      <c r="B58" s="60" t="s">
        <v>287</v>
      </c>
      <c r="C58" s="6"/>
      <c r="D58" s="48" t="s">
        <v>288</v>
      </c>
      <c r="E58" s="4"/>
      <c r="F58" s="6"/>
      <c r="G58" s="49" t="s">
        <v>290</v>
      </c>
      <c r="H58" s="4"/>
      <c r="I58" s="4"/>
      <c r="J58" s="4"/>
      <c r="K58" s="4"/>
      <c r="L58" s="6"/>
      <c r="M58" s="48">
        <v>9.0</v>
      </c>
      <c r="N58" s="6"/>
      <c r="O58" s="48" t="s">
        <v>98</v>
      </c>
      <c r="P58" s="4"/>
      <c r="Q58" s="6"/>
      <c r="R58" s="49" t="s">
        <v>291</v>
      </c>
      <c r="S58" s="4"/>
      <c r="T58" s="4"/>
      <c r="U58" s="4"/>
      <c r="V58" s="4"/>
      <c r="W58" s="4"/>
      <c r="X58" s="4"/>
      <c r="Y58" s="4"/>
      <c r="Z58" s="4"/>
      <c r="AA58" s="4"/>
      <c r="AB58" s="4"/>
      <c r="AC58" s="4"/>
      <c r="AD58" s="4"/>
      <c r="AE58" s="4"/>
      <c r="AF58" s="4"/>
      <c r="AG58" s="4"/>
      <c r="AH58" s="4"/>
      <c r="AI58" s="4"/>
      <c r="AJ58" s="4"/>
      <c r="AK58" s="6"/>
    </row>
    <row r="59" ht="36.0" customHeight="1">
      <c r="B59" s="60" t="s">
        <v>292</v>
      </c>
      <c r="C59" s="6"/>
      <c r="D59" s="48" t="s">
        <v>293</v>
      </c>
      <c r="E59" s="4"/>
      <c r="F59" s="6"/>
      <c r="G59" s="49" t="s">
        <v>294</v>
      </c>
      <c r="H59" s="4"/>
      <c r="I59" s="4"/>
      <c r="J59" s="4"/>
      <c r="K59" s="4"/>
      <c r="L59" s="6"/>
      <c r="M59" s="48">
        <v>8.0</v>
      </c>
      <c r="N59" s="6"/>
      <c r="O59" s="48" t="s">
        <v>74</v>
      </c>
      <c r="P59" s="4"/>
      <c r="Q59" s="6"/>
      <c r="R59" s="49" t="s">
        <v>295</v>
      </c>
      <c r="S59" s="4"/>
      <c r="T59" s="4"/>
      <c r="U59" s="4"/>
      <c r="V59" s="4"/>
      <c r="W59" s="4"/>
      <c r="X59" s="4"/>
      <c r="Y59" s="4"/>
      <c r="Z59" s="4"/>
      <c r="AA59" s="4"/>
      <c r="AB59" s="4"/>
      <c r="AC59" s="4"/>
      <c r="AD59" s="4"/>
      <c r="AE59" s="4"/>
      <c r="AF59" s="4"/>
      <c r="AG59" s="4"/>
      <c r="AH59" s="4"/>
      <c r="AI59" s="4"/>
      <c r="AJ59" s="4"/>
      <c r="AK59" s="6"/>
    </row>
    <row r="60" ht="36.0" customHeight="1">
      <c r="B60" s="60" t="s">
        <v>297</v>
      </c>
      <c r="C60" s="6"/>
      <c r="D60" s="48" t="s">
        <v>299</v>
      </c>
      <c r="E60" s="4"/>
      <c r="F60" s="6"/>
      <c r="G60" s="49" t="s">
        <v>300</v>
      </c>
      <c r="H60" s="4"/>
      <c r="I60" s="4"/>
      <c r="J60" s="4"/>
      <c r="K60" s="4"/>
      <c r="L60" s="6"/>
      <c r="M60" s="48">
        <v>9.0</v>
      </c>
      <c r="N60" s="6"/>
      <c r="O60" s="48" t="s">
        <v>74</v>
      </c>
      <c r="P60" s="4"/>
      <c r="Q60" s="6"/>
      <c r="R60" s="49" t="s">
        <v>303</v>
      </c>
      <c r="S60" s="4"/>
      <c r="T60" s="4"/>
      <c r="U60" s="4"/>
      <c r="V60" s="4"/>
      <c r="W60" s="4"/>
      <c r="X60" s="4"/>
      <c r="Y60" s="4"/>
      <c r="Z60" s="4"/>
      <c r="AA60" s="4"/>
      <c r="AB60" s="4"/>
      <c r="AC60" s="4"/>
      <c r="AD60" s="4"/>
      <c r="AE60" s="4"/>
      <c r="AF60" s="4"/>
      <c r="AG60" s="4"/>
      <c r="AH60" s="4"/>
      <c r="AI60" s="4"/>
      <c r="AJ60" s="4"/>
      <c r="AK60" s="6"/>
    </row>
    <row r="61" ht="36.0" customHeight="1">
      <c r="B61" s="60" t="s">
        <v>305</v>
      </c>
      <c r="C61" s="6"/>
      <c r="D61" s="48" t="s">
        <v>306</v>
      </c>
      <c r="E61" s="4"/>
      <c r="F61" s="6"/>
      <c r="G61" s="49" t="s">
        <v>307</v>
      </c>
      <c r="H61" s="4"/>
      <c r="I61" s="4"/>
      <c r="J61" s="4"/>
      <c r="K61" s="4"/>
      <c r="L61" s="6"/>
      <c r="M61" s="48">
        <v>6.0</v>
      </c>
      <c r="N61" s="6"/>
      <c r="O61" s="48" t="s">
        <v>308</v>
      </c>
      <c r="P61" s="4"/>
      <c r="Q61" s="6"/>
      <c r="R61" s="49" t="s">
        <v>309</v>
      </c>
      <c r="S61" s="4"/>
      <c r="T61" s="4"/>
      <c r="U61" s="4"/>
      <c r="V61" s="4"/>
      <c r="W61" s="4"/>
      <c r="X61" s="4"/>
      <c r="Y61" s="4"/>
      <c r="Z61" s="4"/>
      <c r="AA61" s="4"/>
      <c r="AB61" s="4"/>
      <c r="AC61" s="4"/>
      <c r="AD61" s="4"/>
      <c r="AE61" s="4"/>
      <c r="AF61" s="4"/>
      <c r="AG61" s="4"/>
      <c r="AH61" s="4"/>
      <c r="AI61" s="4"/>
      <c r="AJ61" s="4"/>
      <c r="AK61" s="6"/>
    </row>
    <row r="62" ht="30.0" customHeight="1">
      <c r="B62" s="60" t="s">
        <v>310</v>
      </c>
      <c r="C62" s="6"/>
      <c r="D62" s="48" t="s">
        <v>311</v>
      </c>
      <c r="E62" s="4"/>
      <c r="F62" s="6"/>
      <c r="G62" s="49" t="s">
        <v>312</v>
      </c>
      <c r="H62" s="4"/>
      <c r="I62" s="4"/>
      <c r="J62" s="4"/>
      <c r="K62" s="4"/>
      <c r="L62" s="6"/>
      <c r="M62" s="48">
        <v>2.0</v>
      </c>
      <c r="N62" s="6"/>
      <c r="O62" s="48" t="s">
        <v>98</v>
      </c>
      <c r="P62" s="4"/>
      <c r="Q62" s="6"/>
      <c r="R62" s="49" t="s">
        <v>313</v>
      </c>
      <c r="S62" s="4"/>
      <c r="T62" s="4"/>
      <c r="U62" s="4"/>
      <c r="V62" s="4"/>
      <c r="W62" s="4"/>
      <c r="X62" s="4"/>
      <c r="Y62" s="4"/>
      <c r="Z62" s="4"/>
      <c r="AA62" s="4"/>
      <c r="AB62" s="4"/>
      <c r="AC62" s="4"/>
      <c r="AD62" s="4"/>
      <c r="AE62" s="4"/>
      <c r="AF62" s="4"/>
      <c r="AG62" s="4"/>
      <c r="AH62" s="4"/>
      <c r="AI62" s="4"/>
      <c r="AJ62" s="4"/>
      <c r="AK62" s="6"/>
    </row>
    <row r="63" ht="15.75" customHeight="1"/>
    <row r="64" ht="30.0" customHeight="1">
      <c r="B64" s="62" t="s">
        <v>316</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92</v>
      </c>
      <c r="B1" s="4"/>
      <c r="C1" s="4"/>
      <c r="D1" s="4"/>
      <c r="E1" s="6"/>
      <c r="F1" s="11" t="s">
        <v>93</v>
      </c>
      <c r="G1" s="4"/>
      <c r="H1" s="4"/>
      <c r="I1" s="4"/>
      <c r="J1" s="4"/>
      <c r="K1" s="4"/>
      <c r="L1" s="4"/>
      <c r="M1" s="4"/>
      <c r="N1" s="4"/>
      <c r="O1" s="4"/>
      <c r="P1" s="4"/>
      <c r="Q1" s="6"/>
      <c r="R1" s="46" t="s">
        <v>95</v>
      </c>
      <c r="S1" s="4"/>
      <c r="T1" s="4"/>
      <c r="U1" s="4"/>
      <c r="V1" s="6"/>
      <c r="W1" s="11" t="s">
        <v>97</v>
      </c>
      <c r="X1" s="4"/>
      <c r="Y1" s="4"/>
      <c r="Z1" s="4"/>
      <c r="AA1" s="4"/>
      <c r="AB1" s="4"/>
      <c r="AC1" s="4"/>
      <c r="AD1" s="4"/>
      <c r="AE1" s="4"/>
      <c r="AF1" s="4"/>
      <c r="AG1" s="4"/>
      <c r="AH1" s="6"/>
    </row>
    <row r="2" ht="22.5" customHeight="1">
      <c r="A2" s="46" t="s">
        <v>10</v>
      </c>
      <c r="B2" s="4"/>
      <c r="C2" s="4"/>
      <c r="D2" s="4"/>
      <c r="E2" s="6"/>
      <c r="F2" s="11" t="s">
        <v>22</v>
      </c>
      <c r="G2" s="4"/>
      <c r="H2" s="4"/>
      <c r="I2" s="4"/>
      <c r="J2" s="4"/>
      <c r="K2" s="4"/>
      <c r="L2" s="4"/>
      <c r="M2" s="4"/>
      <c r="N2" s="4"/>
      <c r="O2" s="4"/>
      <c r="P2" s="4"/>
      <c r="Q2" s="6"/>
      <c r="R2" s="46" t="s">
        <v>9</v>
      </c>
      <c r="S2" s="4"/>
      <c r="T2" s="4"/>
      <c r="U2" s="4"/>
      <c r="V2" s="6"/>
      <c r="W2" s="22" t="s">
        <v>21</v>
      </c>
      <c r="X2" s="4"/>
      <c r="Y2" s="4"/>
      <c r="Z2" s="4"/>
      <c r="AA2" s="4"/>
      <c r="AB2" s="4"/>
      <c r="AC2" s="4"/>
      <c r="AD2" s="4"/>
      <c r="AE2" s="4"/>
      <c r="AF2" s="4"/>
      <c r="AG2" s="4"/>
      <c r="AH2" s="6"/>
    </row>
    <row r="3" ht="22.5" customHeight="1">
      <c r="A3" s="46" t="s">
        <v>13</v>
      </c>
      <c r="B3" s="4"/>
      <c r="C3" s="4"/>
      <c r="D3" s="4"/>
      <c r="E3" s="6"/>
      <c r="F3" s="11" t="s">
        <v>20</v>
      </c>
      <c r="G3" s="4"/>
      <c r="H3" s="4"/>
      <c r="I3" s="4"/>
      <c r="J3" s="4"/>
      <c r="K3" s="4"/>
      <c r="L3" s="4"/>
      <c r="M3" s="4"/>
      <c r="N3" s="4"/>
      <c r="O3" s="4"/>
      <c r="P3" s="4"/>
      <c r="Q3" s="6"/>
      <c r="R3" s="46" t="s">
        <v>104</v>
      </c>
      <c r="S3" s="4"/>
      <c r="T3" s="4"/>
      <c r="U3" s="4"/>
      <c r="V3" s="6"/>
      <c r="W3" s="22"/>
      <c r="X3" s="4"/>
      <c r="Y3" s="4"/>
      <c r="Z3" s="4"/>
      <c r="AA3" s="4"/>
      <c r="AB3" s="4"/>
      <c r="AC3" s="4"/>
      <c r="AD3" s="4"/>
      <c r="AE3" s="4"/>
      <c r="AF3" s="4"/>
      <c r="AG3" s="4"/>
      <c r="AH3" s="6"/>
    </row>
    <row r="4" ht="22.5" customHeight="1">
      <c r="A4" s="46" t="s">
        <v>106</v>
      </c>
      <c r="B4" s="4"/>
      <c r="C4" s="4"/>
      <c r="D4" s="4"/>
      <c r="E4" s="6"/>
      <c r="F4" s="11" t="s">
        <v>108</v>
      </c>
      <c r="G4" s="4"/>
      <c r="H4" s="4"/>
      <c r="I4" s="4"/>
      <c r="J4" s="4"/>
      <c r="K4" s="4"/>
      <c r="L4" s="4"/>
      <c r="M4" s="4"/>
      <c r="N4" s="4"/>
      <c r="O4" s="4"/>
      <c r="P4" s="4"/>
      <c r="Q4" s="4"/>
      <c r="R4" s="4"/>
      <c r="S4" s="4"/>
      <c r="T4" s="4"/>
      <c r="U4" s="4"/>
      <c r="V4" s="4"/>
      <c r="W4" s="4"/>
      <c r="X4" s="4"/>
      <c r="Y4" s="4"/>
      <c r="Z4" s="4"/>
      <c r="AA4" s="4"/>
      <c r="AB4" s="4"/>
      <c r="AC4" s="4"/>
      <c r="AD4" s="4"/>
      <c r="AE4" s="4"/>
      <c r="AF4" s="4"/>
      <c r="AG4" s="4"/>
      <c r="AH4" s="6"/>
    </row>
    <row r="5" ht="22.5" customHeight="1">
      <c r="A5" s="46" t="s">
        <v>112</v>
      </c>
      <c r="B5" s="4"/>
      <c r="C5" s="4"/>
      <c r="D5" s="4"/>
      <c r="E5" s="4"/>
      <c r="F5" s="4"/>
      <c r="G5" s="4"/>
      <c r="H5" s="4"/>
      <c r="I5" s="4"/>
      <c r="J5" s="4"/>
      <c r="K5" s="4"/>
      <c r="L5" s="4"/>
      <c r="M5" s="4"/>
      <c r="N5" s="4"/>
      <c r="O5" s="4"/>
      <c r="P5" s="4"/>
      <c r="Q5" s="4"/>
      <c r="R5" s="4"/>
      <c r="S5" s="6"/>
      <c r="T5" s="46" t="s">
        <v>35</v>
      </c>
      <c r="U5" s="4"/>
      <c r="V5" s="4"/>
      <c r="W5" s="4"/>
      <c r="X5" s="4"/>
      <c r="Y5" s="4"/>
      <c r="Z5" s="4"/>
      <c r="AA5" s="4"/>
      <c r="AB5" s="4"/>
      <c r="AC5" s="4"/>
      <c r="AD5" s="4"/>
      <c r="AE5" s="4"/>
      <c r="AF5" s="4"/>
      <c r="AG5" s="4"/>
      <c r="AH5" s="6"/>
    </row>
    <row r="6" ht="22.5" customHeight="1">
      <c r="A6" s="46" t="s">
        <v>115</v>
      </c>
      <c r="B6" s="4"/>
      <c r="C6" s="4"/>
      <c r="D6" s="4"/>
      <c r="E6" s="4"/>
      <c r="F6" s="4"/>
      <c r="G6" s="6"/>
      <c r="H6" s="46" t="s">
        <v>41</v>
      </c>
      <c r="I6" s="4"/>
      <c r="J6" s="6"/>
      <c r="K6" s="46" t="s">
        <v>43</v>
      </c>
      <c r="L6" s="4"/>
      <c r="M6" s="6"/>
      <c r="N6" s="46" t="s">
        <v>117</v>
      </c>
      <c r="O6" s="4"/>
      <c r="P6" s="6"/>
      <c r="Q6" s="46" t="s">
        <v>33</v>
      </c>
      <c r="R6" s="4"/>
      <c r="S6" s="6"/>
      <c r="T6" s="46" t="s">
        <v>48</v>
      </c>
      <c r="U6" s="4"/>
      <c r="V6" s="6"/>
      <c r="W6" s="46" t="s">
        <v>51</v>
      </c>
      <c r="X6" s="4"/>
      <c r="Y6" s="6"/>
      <c r="Z6" s="46" t="s">
        <v>53</v>
      </c>
      <c r="AA6" s="4"/>
      <c r="AB6" s="6"/>
      <c r="AC6" s="46" t="s">
        <v>55</v>
      </c>
      <c r="AD6" s="4"/>
      <c r="AE6" s="6"/>
      <c r="AF6" s="46" t="s">
        <v>33</v>
      </c>
      <c r="AG6" s="4"/>
      <c r="AH6" s="6"/>
    </row>
    <row r="7" ht="22.5" customHeight="1">
      <c r="A7" s="46" t="s">
        <v>120</v>
      </c>
      <c r="B7" s="4"/>
      <c r="C7" s="4"/>
      <c r="D7" s="4"/>
      <c r="E7" s="4"/>
      <c r="F7" s="4"/>
      <c r="G7" s="6"/>
      <c r="H7" s="18">
        <f t="shared" ref="H7:H8" si="1">COUNTIF($AE$12:$AF$1049,"N")</f>
        <v>29</v>
      </c>
      <c r="I7" s="4"/>
      <c r="J7" s="6"/>
      <c r="K7" s="18">
        <f t="shared" ref="K7:K8" si="2">COUNTIF($AE$12:$AF$1049,"A")</f>
        <v>18</v>
      </c>
      <c r="L7" s="4"/>
      <c r="M7" s="6"/>
      <c r="N7" s="18">
        <f t="shared" ref="N7:N8" si="3">COUNTIF($AE$12:$AF$1049,"B")</f>
        <v>0</v>
      </c>
      <c r="O7" s="4"/>
      <c r="P7" s="6"/>
      <c r="Q7" s="43">
        <f t="shared" ref="Q7:Q8" si="4">SUM(H7:P7)</f>
        <v>47</v>
      </c>
      <c r="R7" s="4"/>
      <c r="S7" s="6"/>
      <c r="T7" s="18">
        <f>COUNTIF($AG$12:$AI$1049,T$6)</f>
        <v>42</v>
      </c>
      <c r="U7" s="4"/>
      <c r="V7" s="6"/>
      <c r="W7" s="18">
        <f>COUNTIF($AG$12:$AI$1049,W$6)</f>
        <v>0</v>
      </c>
      <c r="X7" s="4"/>
      <c r="Y7" s="6"/>
      <c r="Z7" s="18">
        <f>COUNTIF($AG$12:$AI$1049,Z$6)</f>
        <v>0</v>
      </c>
      <c r="AA7" s="4"/>
      <c r="AB7" s="6"/>
      <c r="AC7" s="18">
        <f>COUNTIF($AG$12:$AI$1049,AC$6)</f>
        <v>1</v>
      </c>
      <c r="AD7" s="4"/>
      <c r="AE7" s="6"/>
      <c r="AF7" s="43">
        <f t="shared" ref="AF7:AF8" si="5">SUM(T7:AE7)</f>
        <v>43</v>
      </c>
      <c r="AG7" s="4"/>
      <c r="AH7" s="6"/>
    </row>
    <row r="8" ht="22.5" customHeight="1">
      <c r="A8" s="46" t="s">
        <v>129</v>
      </c>
      <c r="B8" s="4"/>
      <c r="C8" s="4"/>
      <c r="D8" s="4"/>
      <c r="E8" s="4"/>
      <c r="F8" s="4"/>
      <c r="G8" s="6"/>
      <c r="H8" s="18">
        <f t="shared" si="1"/>
        <v>29</v>
      </c>
      <c r="I8" s="4"/>
      <c r="J8" s="6"/>
      <c r="K8" s="18">
        <f t="shared" si="2"/>
        <v>18</v>
      </c>
      <c r="L8" s="4"/>
      <c r="M8" s="6"/>
      <c r="N8" s="18">
        <f t="shared" si="3"/>
        <v>0</v>
      </c>
      <c r="O8" s="4"/>
      <c r="P8" s="6"/>
      <c r="Q8" s="43">
        <f t="shared" si="4"/>
        <v>47</v>
      </c>
      <c r="R8" s="4"/>
      <c r="S8" s="6"/>
      <c r="T8" s="18">
        <f>COUNTIF($AV$12:$AX$1049,T$6)</f>
        <v>43</v>
      </c>
      <c r="U8" s="4"/>
      <c r="V8" s="6"/>
      <c r="W8" s="18">
        <f>COUNTIF($AV$12:$AX$1049,W$6)</f>
        <v>0</v>
      </c>
      <c r="X8" s="4"/>
      <c r="Y8" s="6"/>
      <c r="Z8" s="18">
        <f>COUNTIF($AV$12:$AX$1049,Z$6)</f>
        <v>0</v>
      </c>
      <c r="AA8" s="4"/>
      <c r="AB8" s="6"/>
      <c r="AC8" s="18">
        <f>COUNTIF($AV$12:$AX$1049,AC$6)</f>
        <v>1</v>
      </c>
      <c r="AD8" s="4"/>
      <c r="AE8" s="6"/>
      <c r="AF8" s="43">
        <f t="shared" si="5"/>
        <v>44</v>
      </c>
      <c r="AG8" s="4"/>
      <c r="AH8" s="6"/>
    </row>
    <row r="9" ht="12.75" customHeight="1"/>
    <row r="10" ht="36.0" customHeight="1">
      <c r="A10" s="52" t="s">
        <v>25</v>
      </c>
      <c r="B10" s="53" t="s">
        <v>138</v>
      </c>
      <c r="C10" s="10"/>
      <c r="D10" s="13"/>
      <c r="E10" s="53" t="s">
        <v>140</v>
      </c>
      <c r="F10" s="10"/>
      <c r="G10" s="10"/>
      <c r="H10" s="10"/>
      <c r="I10" s="13"/>
      <c r="J10" s="53" t="s">
        <v>141</v>
      </c>
      <c r="K10" s="10"/>
      <c r="L10" s="10"/>
      <c r="M10" s="10"/>
      <c r="N10" s="10"/>
      <c r="O10" s="10"/>
      <c r="P10" s="13"/>
      <c r="Q10" s="53" t="s">
        <v>143</v>
      </c>
      <c r="R10" s="10"/>
      <c r="S10" s="10"/>
      <c r="T10" s="10"/>
      <c r="U10" s="10"/>
      <c r="V10" s="10"/>
      <c r="W10" s="13"/>
      <c r="X10" s="53" t="s">
        <v>145</v>
      </c>
      <c r="Y10" s="10"/>
      <c r="Z10" s="10"/>
      <c r="AA10" s="10"/>
      <c r="AB10" s="10"/>
      <c r="AC10" s="10"/>
      <c r="AD10" s="13"/>
      <c r="AE10" s="53" t="s">
        <v>147</v>
      </c>
      <c r="AF10" s="13"/>
      <c r="AG10" s="46" t="s">
        <v>148</v>
      </c>
      <c r="AH10" s="4"/>
      <c r="AI10" s="4"/>
      <c r="AJ10" s="4"/>
      <c r="AK10" s="4"/>
      <c r="AL10" s="4"/>
      <c r="AM10" s="4"/>
      <c r="AN10" s="4"/>
      <c r="AO10" s="4"/>
      <c r="AP10" s="4"/>
      <c r="AQ10" s="4"/>
      <c r="AR10" s="4"/>
      <c r="AS10" s="4"/>
      <c r="AT10" s="4"/>
      <c r="AU10" s="6"/>
      <c r="AV10" s="46" t="s">
        <v>149</v>
      </c>
      <c r="AW10" s="4"/>
      <c r="AX10" s="4"/>
      <c r="AY10" s="4"/>
      <c r="AZ10" s="4"/>
      <c r="BA10" s="4"/>
      <c r="BB10" s="4"/>
      <c r="BC10" s="4"/>
      <c r="BD10" s="4"/>
      <c r="BE10" s="4"/>
      <c r="BF10" s="4"/>
      <c r="BG10" s="4"/>
      <c r="BH10" s="4"/>
      <c r="BI10" s="4"/>
      <c r="BJ10" s="6"/>
      <c r="BK10" s="53" t="s">
        <v>151</v>
      </c>
      <c r="BL10" s="10"/>
      <c r="BM10" s="10"/>
      <c r="BN10" s="10"/>
      <c r="BO10" s="10"/>
      <c r="BP10" s="10"/>
      <c r="BQ10" s="13"/>
    </row>
    <row r="11" ht="36.0" customHeight="1">
      <c r="A11" s="34"/>
      <c r="B11" s="19"/>
      <c r="C11" s="20"/>
      <c r="D11" s="21"/>
      <c r="E11" s="19"/>
      <c r="F11" s="20"/>
      <c r="G11" s="20"/>
      <c r="H11" s="20"/>
      <c r="I11" s="21"/>
      <c r="J11" s="19"/>
      <c r="K11" s="20"/>
      <c r="L11" s="20"/>
      <c r="M11" s="20"/>
      <c r="N11" s="20"/>
      <c r="O11" s="20"/>
      <c r="P11" s="21"/>
      <c r="Q11" s="19"/>
      <c r="R11" s="20"/>
      <c r="S11" s="20"/>
      <c r="T11" s="20"/>
      <c r="U11" s="20"/>
      <c r="V11" s="20"/>
      <c r="W11" s="21"/>
      <c r="X11" s="19"/>
      <c r="Y11" s="20"/>
      <c r="Z11" s="20"/>
      <c r="AA11" s="20"/>
      <c r="AB11" s="20"/>
      <c r="AC11" s="20"/>
      <c r="AD11" s="21"/>
      <c r="AE11" s="19"/>
      <c r="AF11" s="21"/>
      <c r="AG11" s="46" t="s">
        <v>154</v>
      </c>
      <c r="AH11" s="4"/>
      <c r="AI11" s="6"/>
      <c r="AJ11" s="46" t="s">
        <v>155</v>
      </c>
      <c r="AK11" s="4"/>
      <c r="AL11" s="6"/>
      <c r="AM11" s="46" t="s">
        <v>7</v>
      </c>
      <c r="AN11" s="4"/>
      <c r="AO11" s="6"/>
      <c r="AP11" s="46" t="s">
        <v>157</v>
      </c>
      <c r="AQ11" s="4"/>
      <c r="AR11" s="6"/>
      <c r="AS11" s="46" t="s">
        <v>158</v>
      </c>
      <c r="AT11" s="4"/>
      <c r="AU11" s="6"/>
      <c r="AV11" s="46" t="s">
        <v>154</v>
      </c>
      <c r="AW11" s="4"/>
      <c r="AX11" s="6"/>
      <c r="AY11" s="46" t="s">
        <v>155</v>
      </c>
      <c r="AZ11" s="4"/>
      <c r="BA11" s="6"/>
      <c r="BB11" s="46" t="s">
        <v>7</v>
      </c>
      <c r="BC11" s="4"/>
      <c r="BD11" s="6"/>
      <c r="BE11" s="46" t="s">
        <v>157</v>
      </c>
      <c r="BF11" s="4"/>
      <c r="BG11" s="6"/>
      <c r="BH11" s="46" t="s">
        <v>158</v>
      </c>
      <c r="BI11" s="4"/>
      <c r="BJ11" s="6"/>
      <c r="BK11" s="19"/>
      <c r="BL11" s="20"/>
      <c r="BM11" s="20"/>
      <c r="BN11" s="20"/>
      <c r="BO11" s="20"/>
      <c r="BP11" s="20"/>
      <c r="BQ11" s="21"/>
    </row>
    <row r="12" ht="22.5" customHeight="1">
      <c r="A12" s="8" t="s">
        <v>162</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6"/>
    </row>
    <row r="13" ht="399.75" customHeight="1">
      <c r="A13" s="47">
        <v>1.0</v>
      </c>
      <c r="B13" s="49" t="s">
        <v>165</v>
      </c>
      <c r="C13" s="4"/>
      <c r="D13" s="6"/>
      <c r="E13" s="49" t="s">
        <v>167</v>
      </c>
      <c r="F13" s="4"/>
      <c r="G13" s="4"/>
      <c r="H13" s="4"/>
      <c r="I13" s="6"/>
      <c r="J13" s="49" t="s">
        <v>168</v>
      </c>
      <c r="K13" s="4"/>
      <c r="L13" s="4"/>
      <c r="M13" s="4"/>
      <c r="N13" s="4"/>
      <c r="O13" s="4"/>
      <c r="P13" s="6"/>
      <c r="Q13" s="49" t="s">
        <v>170</v>
      </c>
      <c r="R13" s="4"/>
      <c r="S13" s="4"/>
      <c r="T13" s="4"/>
      <c r="U13" s="4"/>
      <c r="V13" s="4"/>
      <c r="W13" s="6"/>
      <c r="X13" s="49" t="s">
        <v>172</v>
      </c>
      <c r="Y13" s="4"/>
      <c r="Z13" s="4"/>
      <c r="AA13" s="4"/>
      <c r="AB13" s="4"/>
      <c r="AC13" s="4"/>
      <c r="AD13" s="6"/>
      <c r="AE13" s="48" t="s">
        <v>174</v>
      </c>
      <c r="AF13" s="6"/>
      <c r="AG13" s="54" t="s">
        <v>48</v>
      </c>
      <c r="AH13" s="4"/>
      <c r="AI13" s="6"/>
      <c r="AJ13" s="48"/>
      <c r="AK13" s="4"/>
      <c r="AL13" s="6"/>
      <c r="AM13" s="55" t="s">
        <v>176</v>
      </c>
      <c r="AN13" s="4"/>
      <c r="AO13" s="6"/>
      <c r="AP13" s="56">
        <v>46220.0</v>
      </c>
      <c r="AQ13" s="4"/>
      <c r="AR13" s="6"/>
      <c r="AS13" s="48"/>
      <c r="AT13" s="4"/>
      <c r="AU13" s="6"/>
      <c r="AV13" s="54" t="s">
        <v>48</v>
      </c>
      <c r="AW13" s="4"/>
      <c r="AX13" s="6"/>
      <c r="AY13" s="48"/>
      <c r="AZ13" s="4"/>
      <c r="BA13" s="6"/>
      <c r="BB13" s="55" t="s">
        <v>176</v>
      </c>
      <c r="BC13" s="4"/>
      <c r="BD13" s="6"/>
      <c r="BE13" s="56">
        <v>46242.0</v>
      </c>
      <c r="BF13" s="4"/>
      <c r="BG13" s="6"/>
      <c r="BH13" s="48"/>
      <c r="BI13" s="4"/>
      <c r="BJ13" s="6"/>
      <c r="BK13" s="49"/>
      <c r="BL13" s="4"/>
      <c r="BM13" s="4"/>
      <c r="BN13" s="4"/>
      <c r="BO13" s="4"/>
      <c r="BP13" s="4"/>
      <c r="BQ13" s="6"/>
    </row>
    <row r="14" ht="351.75" customHeight="1">
      <c r="A14" s="47">
        <v>2.0</v>
      </c>
      <c r="B14" s="49" t="s">
        <v>182</v>
      </c>
      <c r="C14" s="4"/>
      <c r="D14" s="6"/>
      <c r="E14" s="49" t="s">
        <v>183</v>
      </c>
      <c r="F14" s="4"/>
      <c r="G14" s="4"/>
      <c r="H14" s="4"/>
      <c r="I14" s="6"/>
      <c r="J14" s="49" t="s">
        <v>184</v>
      </c>
      <c r="K14" s="4"/>
      <c r="L14" s="4"/>
      <c r="M14" s="4"/>
      <c r="N14" s="4"/>
      <c r="O14" s="4"/>
      <c r="P14" s="6"/>
      <c r="Q14" s="49" t="s">
        <v>187</v>
      </c>
      <c r="R14" s="4"/>
      <c r="S14" s="4"/>
      <c r="T14" s="4"/>
      <c r="U14" s="4"/>
      <c r="V14" s="4"/>
      <c r="W14" s="6"/>
      <c r="X14" s="49" t="s">
        <v>189</v>
      </c>
      <c r="Y14" s="4"/>
      <c r="Z14" s="4"/>
      <c r="AA14" s="4"/>
      <c r="AB14" s="4"/>
      <c r="AC14" s="4"/>
      <c r="AD14" s="6"/>
      <c r="AE14" s="48" t="s">
        <v>174</v>
      </c>
      <c r="AF14" s="6"/>
      <c r="AG14" s="54" t="s">
        <v>48</v>
      </c>
      <c r="AH14" s="4"/>
      <c r="AI14" s="6"/>
      <c r="AJ14" s="48"/>
      <c r="AK14" s="4"/>
      <c r="AL14" s="6"/>
      <c r="AM14" s="55" t="s">
        <v>176</v>
      </c>
      <c r="AN14" s="4"/>
      <c r="AO14" s="6"/>
      <c r="AP14" s="56">
        <v>46220.0</v>
      </c>
      <c r="AQ14" s="4"/>
      <c r="AR14" s="6"/>
      <c r="AS14" s="48"/>
      <c r="AT14" s="4"/>
      <c r="AU14" s="6"/>
      <c r="AV14" s="55" t="s">
        <v>48</v>
      </c>
      <c r="AW14" s="4"/>
      <c r="AX14" s="6"/>
      <c r="AY14" s="48"/>
      <c r="AZ14" s="4"/>
      <c r="BA14" s="6"/>
      <c r="BB14" s="55" t="s">
        <v>176</v>
      </c>
      <c r="BC14" s="4"/>
      <c r="BD14" s="6"/>
      <c r="BE14" s="56">
        <v>46242.0</v>
      </c>
      <c r="BF14" s="4"/>
      <c r="BG14" s="6"/>
      <c r="BH14" s="48"/>
      <c r="BI14" s="4"/>
      <c r="BJ14" s="6"/>
      <c r="BK14" s="49"/>
      <c r="BL14" s="4"/>
      <c r="BM14" s="4"/>
      <c r="BN14" s="4"/>
      <c r="BO14" s="4"/>
      <c r="BP14" s="4"/>
      <c r="BQ14" s="6"/>
    </row>
    <row r="15" ht="127.5" customHeight="1">
      <c r="A15" s="47">
        <v>3.0</v>
      </c>
      <c r="B15" s="49" t="s">
        <v>195</v>
      </c>
      <c r="C15" s="4"/>
      <c r="D15" s="6"/>
      <c r="E15" s="49" t="s">
        <v>196</v>
      </c>
      <c r="F15" s="4"/>
      <c r="G15" s="4"/>
      <c r="H15" s="4"/>
      <c r="I15" s="6"/>
      <c r="J15" s="49" t="s">
        <v>198</v>
      </c>
      <c r="K15" s="4"/>
      <c r="L15" s="4"/>
      <c r="M15" s="4"/>
      <c r="N15" s="4"/>
      <c r="O15" s="4"/>
      <c r="P15" s="6"/>
      <c r="Q15" s="49" t="s">
        <v>200</v>
      </c>
      <c r="R15" s="4"/>
      <c r="S15" s="4"/>
      <c r="T15" s="4"/>
      <c r="U15" s="4"/>
      <c r="V15" s="4"/>
      <c r="W15" s="6"/>
      <c r="X15" s="49" t="s">
        <v>201</v>
      </c>
      <c r="Y15" s="4"/>
      <c r="Z15" s="4"/>
      <c r="AA15" s="4"/>
      <c r="AB15" s="4"/>
      <c r="AC15" s="4"/>
      <c r="AD15" s="6"/>
      <c r="AE15" s="48" t="s">
        <v>203</v>
      </c>
      <c r="AF15" s="6"/>
      <c r="AG15" s="55" t="s">
        <v>48</v>
      </c>
      <c r="AH15" s="4"/>
      <c r="AI15" s="6"/>
      <c r="AJ15" s="48"/>
      <c r="AK15" s="4"/>
      <c r="AL15" s="6"/>
      <c r="AM15" s="55" t="s">
        <v>176</v>
      </c>
      <c r="AN15" s="4"/>
      <c r="AO15" s="6"/>
      <c r="AP15" s="56">
        <v>46220.0</v>
      </c>
      <c r="AQ15" s="4"/>
      <c r="AR15" s="6"/>
      <c r="AS15" s="48"/>
      <c r="AT15" s="4"/>
      <c r="AU15" s="6"/>
      <c r="AV15" s="55" t="s">
        <v>48</v>
      </c>
      <c r="AW15" s="4"/>
      <c r="AX15" s="6"/>
      <c r="AY15" s="48"/>
      <c r="AZ15" s="4"/>
      <c r="BA15" s="6"/>
      <c r="BB15" s="55" t="s">
        <v>176</v>
      </c>
      <c r="BC15" s="4"/>
      <c r="BD15" s="6"/>
      <c r="BE15" s="56">
        <v>46242.0</v>
      </c>
      <c r="BF15" s="4"/>
      <c r="BG15" s="6"/>
      <c r="BH15" s="48"/>
      <c r="BI15" s="4"/>
      <c r="BJ15" s="6"/>
      <c r="BK15" s="49"/>
      <c r="BL15" s="4"/>
      <c r="BM15" s="4"/>
      <c r="BN15" s="4"/>
      <c r="BO15" s="4"/>
      <c r="BP15" s="4"/>
      <c r="BQ15" s="6"/>
    </row>
    <row r="16" ht="127.5" customHeight="1">
      <c r="A16" s="47">
        <v>4.0</v>
      </c>
      <c r="B16" s="49" t="s">
        <v>207</v>
      </c>
      <c r="C16" s="4"/>
      <c r="D16" s="6"/>
      <c r="E16" s="49" t="s">
        <v>209</v>
      </c>
      <c r="F16" s="4"/>
      <c r="G16" s="4"/>
      <c r="H16" s="4"/>
      <c r="I16" s="6"/>
      <c r="J16" s="49" t="s">
        <v>210</v>
      </c>
      <c r="K16" s="4"/>
      <c r="L16" s="4"/>
      <c r="M16" s="4"/>
      <c r="N16" s="4"/>
      <c r="O16" s="4"/>
      <c r="P16" s="6"/>
      <c r="Q16" s="49" t="s">
        <v>212</v>
      </c>
      <c r="R16" s="4"/>
      <c r="S16" s="4"/>
      <c r="T16" s="4"/>
      <c r="U16" s="4"/>
      <c r="V16" s="4"/>
      <c r="W16" s="6"/>
      <c r="X16" s="49" t="s">
        <v>213</v>
      </c>
      <c r="Y16" s="4"/>
      <c r="Z16" s="4"/>
      <c r="AA16" s="4"/>
      <c r="AB16" s="4"/>
      <c r="AC16" s="4"/>
      <c r="AD16" s="6"/>
      <c r="AE16" s="48" t="s">
        <v>203</v>
      </c>
      <c r="AF16" s="6"/>
      <c r="AG16" s="55" t="s">
        <v>48</v>
      </c>
      <c r="AH16" s="4"/>
      <c r="AI16" s="6"/>
      <c r="AJ16" s="48"/>
      <c r="AK16" s="4"/>
      <c r="AL16" s="6"/>
      <c r="AM16" s="55" t="s">
        <v>176</v>
      </c>
      <c r="AN16" s="4"/>
      <c r="AO16" s="6"/>
      <c r="AP16" s="56">
        <v>46220.0</v>
      </c>
      <c r="AQ16" s="4"/>
      <c r="AR16" s="6"/>
      <c r="AS16" s="48"/>
      <c r="AT16" s="4"/>
      <c r="AU16" s="6"/>
      <c r="AV16" s="55" t="s">
        <v>48</v>
      </c>
      <c r="AW16" s="4"/>
      <c r="AX16" s="6"/>
      <c r="AY16" s="48"/>
      <c r="AZ16" s="4"/>
      <c r="BA16" s="6"/>
      <c r="BB16" s="55" t="s">
        <v>176</v>
      </c>
      <c r="BC16" s="4"/>
      <c r="BD16" s="6"/>
      <c r="BE16" s="56">
        <v>46242.0</v>
      </c>
      <c r="BF16" s="4"/>
      <c r="BG16" s="6"/>
      <c r="BH16" s="48"/>
      <c r="BI16" s="4"/>
      <c r="BJ16" s="6"/>
      <c r="BK16" s="49"/>
      <c r="BL16" s="4"/>
      <c r="BM16" s="4"/>
      <c r="BN16" s="4"/>
      <c r="BO16" s="4"/>
      <c r="BP16" s="4"/>
      <c r="BQ16" s="6"/>
    </row>
    <row r="17" ht="240.0" customHeight="1">
      <c r="A17" s="47">
        <v>5.0</v>
      </c>
      <c r="B17" s="49" t="s">
        <v>220</v>
      </c>
      <c r="C17" s="4"/>
      <c r="D17" s="6"/>
      <c r="E17" s="49" t="s">
        <v>221</v>
      </c>
      <c r="F17" s="4"/>
      <c r="G17" s="4"/>
      <c r="H17" s="4"/>
      <c r="I17" s="6"/>
      <c r="J17" s="49" t="s">
        <v>223</v>
      </c>
      <c r="K17" s="4"/>
      <c r="L17" s="4"/>
      <c r="M17" s="4"/>
      <c r="N17" s="4"/>
      <c r="O17" s="4"/>
      <c r="P17" s="6"/>
      <c r="Q17" s="49" t="s">
        <v>224</v>
      </c>
      <c r="R17" s="4"/>
      <c r="S17" s="4"/>
      <c r="T17" s="4"/>
      <c r="U17" s="4"/>
      <c r="V17" s="4"/>
      <c r="W17" s="6"/>
      <c r="X17" s="49" t="s">
        <v>226</v>
      </c>
      <c r="Y17" s="4"/>
      <c r="Z17" s="4"/>
      <c r="AA17" s="4"/>
      <c r="AB17" s="4"/>
      <c r="AC17" s="4"/>
      <c r="AD17" s="6"/>
      <c r="AE17" s="48" t="s">
        <v>203</v>
      </c>
      <c r="AF17" s="6"/>
      <c r="AG17" s="55" t="s">
        <v>48</v>
      </c>
      <c r="AH17" s="4"/>
      <c r="AI17" s="6"/>
      <c r="AJ17" s="48"/>
      <c r="AK17" s="4"/>
      <c r="AL17" s="6"/>
      <c r="AM17" s="55" t="s">
        <v>176</v>
      </c>
      <c r="AN17" s="4"/>
      <c r="AO17" s="6"/>
      <c r="AP17" s="56">
        <v>46220.0</v>
      </c>
      <c r="AQ17" s="4"/>
      <c r="AR17" s="6"/>
      <c r="AS17" s="48"/>
      <c r="AT17" s="4"/>
      <c r="AU17" s="6"/>
      <c r="AV17" s="55" t="s">
        <v>48</v>
      </c>
      <c r="AW17" s="4"/>
      <c r="AX17" s="6"/>
      <c r="AY17" s="48"/>
      <c r="AZ17" s="4"/>
      <c r="BA17" s="6"/>
      <c r="BB17" s="55" t="s">
        <v>176</v>
      </c>
      <c r="BC17" s="4"/>
      <c r="BD17" s="6"/>
      <c r="BE17" s="56">
        <v>46242.0</v>
      </c>
      <c r="BF17" s="4"/>
      <c r="BG17" s="6"/>
      <c r="BH17" s="48"/>
      <c r="BI17" s="4"/>
      <c r="BJ17" s="6"/>
      <c r="BK17" s="49"/>
      <c r="BL17" s="4"/>
      <c r="BM17" s="4"/>
      <c r="BN17" s="4"/>
      <c r="BO17" s="4"/>
      <c r="BP17" s="4"/>
      <c r="BQ17" s="6"/>
    </row>
    <row r="18" ht="144.0" customHeight="1">
      <c r="A18" s="47">
        <v>6.0</v>
      </c>
      <c r="B18" s="49" t="s">
        <v>233</v>
      </c>
      <c r="C18" s="4"/>
      <c r="D18" s="6"/>
      <c r="E18" s="49" t="s">
        <v>234</v>
      </c>
      <c r="F18" s="4"/>
      <c r="G18" s="4"/>
      <c r="H18" s="4"/>
      <c r="I18" s="6"/>
      <c r="J18" s="49" t="s">
        <v>236</v>
      </c>
      <c r="K18" s="4"/>
      <c r="L18" s="4"/>
      <c r="M18" s="4"/>
      <c r="N18" s="4"/>
      <c r="O18" s="4"/>
      <c r="P18" s="6"/>
      <c r="Q18" s="49" t="s">
        <v>237</v>
      </c>
      <c r="R18" s="4"/>
      <c r="S18" s="4"/>
      <c r="T18" s="4"/>
      <c r="U18" s="4"/>
      <c r="V18" s="4"/>
      <c r="W18" s="6"/>
      <c r="X18" s="49" t="s">
        <v>239</v>
      </c>
      <c r="Y18" s="4"/>
      <c r="Z18" s="4"/>
      <c r="AA18" s="4"/>
      <c r="AB18" s="4"/>
      <c r="AC18" s="4"/>
      <c r="AD18" s="6"/>
      <c r="AE18" s="48" t="s">
        <v>174</v>
      </c>
      <c r="AF18" s="6"/>
      <c r="AG18" s="55" t="s">
        <v>48</v>
      </c>
      <c r="AH18" s="4"/>
      <c r="AI18" s="6"/>
      <c r="AJ18" s="48"/>
      <c r="AK18" s="4"/>
      <c r="AL18" s="6"/>
      <c r="AM18" s="55" t="s">
        <v>176</v>
      </c>
      <c r="AN18" s="4"/>
      <c r="AO18" s="6"/>
      <c r="AP18" s="56">
        <v>46220.0</v>
      </c>
      <c r="AQ18" s="4"/>
      <c r="AR18" s="6"/>
      <c r="AS18" s="48"/>
      <c r="AT18" s="4"/>
      <c r="AU18" s="6"/>
      <c r="AV18" s="55" t="s">
        <v>48</v>
      </c>
      <c r="AW18" s="4"/>
      <c r="AX18" s="6"/>
      <c r="AY18" s="48"/>
      <c r="AZ18" s="4"/>
      <c r="BA18" s="6"/>
      <c r="BB18" s="55" t="s">
        <v>176</v>
      </c>
      <c r="BC18" s="4"/>
      <c r="BD18" s="6"/>
      <c r="BE18" s="56">
        <v>46242.0</v>
      </c>
      <c r="BF18" s="4"/>
      <c r="BG18" s="6"/>
      <c r="BH18" s="48"/>
      <c r="BI18" s="4"/>
      <c r="BJ18" s="6"/>
      <c r="BK18" s="49"/>
      <c r="BL18" s="4"/>
      <c r="BM18" s="4"/>
      <c r="BN18" s="4"/>
      <c r="BO18" s="4"/>
      <c r="BP18" s="4"/>
      <c r="BQ18" s="6"/>
    </row>
    <row r="19" ht="159.75" customHeight="1">
      <c r="A19" s="47">
        <v>7.0</v>
      </c>
      <c r="B19" s="49" t="s">
        <v>244</v>
      </c>
      <c r="C19" s="4"/>
      <c r="D19" s="6"/>
      <c r="E19" s="49" t="s">
        <v>245</v>
      </c>
      <c r="F19" s="4"/>
      <c r="G19" s="4"/>
      <c r="H19" s="4"/>
      <c r="I19" s="6"/>
      <c r="J19" s="49" t="s">
        <v>247</v>
      </c>
      <c r="K19" s="4"/>
      <c r="L19" s="4"/>
      <c r="M19" s="4"/>
      <c r="N19" s="4"/>
      <c r="O19" s="4"/>
      <c r="P19" s="6"/>
      <c r="Q19" s="58" t="s">
        <v>248</v>
      </c>
      <c r="R19" s="4"/>
      <c r="S19" s="4"/>
      <c r="T19" s="4"/>
      <c r="U19" s="4"/>
      <c r="V19" s="4"/>
      <c r="W19" s="6"/>
      <c r="X19" s="49" t="s">
        <v>250</v>
      </c>
      <c r="Y19" s="4"/>
      <c r="Z19" s="4"/>
      <c r="AA19" s="4"/>
      <c r="AB19" s="4"/>
      <c r="AC19" s="4"/>
      <c r="AD19" s="6"/>
      <c r="AE19" s="48" t="s">
        <v>174</v>
      </c>
      <c r="AF19" s="6"/>
      <c r="AG19" s="55" t="s">
        <v>48</v>
      </c>
      <c r="AH19" s="4"/>
      <c r="AI19" s="6"/>
      <c r="AJ19" s="48"/>
      <c r="AK19" s="4"/>
      <c r="AL19" s="6"/>
      <c r="AM19" s="55" t="s">
        <v>176</v>
      </c>
      <c r="AN19" s="4"/>
      <c r="AO19" s="6"/>
      <c r="AP19" s="56">
        <v>46220.0</v>
      </c>
      <c r="AQ19" s="4"/>
      <c r="AR19" s="6"/>
      <c r="AS19" s="48"/>
      <c r="AT19" s="4"/>
      <c r="AU19" s="6"/>
      <c r="AV19" s="55" t="s">
        <v>48</v>
      </c>
      <c r="AW19" s="4"/>
      <c r="AX19" s="6"/>
      <c r="AY19" s="48"/>
      <c r="AZ19" s="4"/>
      <c r="BA19" s="6"/>
      <c r="BB19" s="55" t="s">
        <v>176</v>
      </c>
      <c r="BC19" s="4"/>
      <c r="BD19" s="6"/>
      <c r="BE19" s="56">
        <v>46242.0</v>
      </c>
      <c r="BF19" s="4"/>
      <c r="BG19" s="6"/>
      <c r="BH19" s="48"/>
      <c r="BI19" s="4"/>
      <c r="BJ19" s="6"/>
      <c r="BK19" s="49"/>
      <c r="BL19" s="4"/>
      <c r="BM19" s="4"/>
      <c r="BN19" s="4"/>
      <c r="BO19" s="4"/>
      <c r="BP19" s="4"/>
      <c r="BQ19" s="6"/>
    </row>
    <row r="20" ht="144.0" customHeight="1">
      <c r="A20" s="47">
        <v>8.0</v>
      </c>
      <c r="B20" s="49" t="s">
        <v>255</v>
      </c>
      <c r="C20" s="4"/>
      <c r="D20" s="6"/>
      <c r="E20" s="49" t="s">
        <v>256</v>
      </c>
      <c r="F20" s="4"/>
      <c r="G20" s="4"/>
      <c r="H20" s="4"/>
      <c r="I20" s="6"/>
      <c r="J20" s="49" t="s">
        <v>259</v>
      </c>
      <c r="K20" s="4"/>
      <c r="L20" s="4"/>
      <c r="M20" s="4"/>
      <c r="N20" s="4"/>
      <c r="O20" s="4"/>
      <c r="P20" s="6"/>
      <c r="Q20" s="49" t="s">
        <v>261</v>
      </c>
      <c r="R20" s="4"/>
      <c r="S20" s="4"/>
      <c r="T20" s="4"/>
      <c r="U20" s="4"/>
      <c r="V20" s="4"/>
      <c r="W20" s="6"/>
      <c r="X20" s="49" t="s">
        <v>262</v>
      </c>
      <c r="Y20" s="4"/>
      <c r="Z20" s="4"/>
      <c r="AA20" s="4"/>
      <c r="AB20" s="4"/>
      <c r="AC20" s="4"/>
      <c r="AD20" s="6"/>
      <c r="AE20" s="48" t="s">
        <v>174</v>
      </c>
      <c r="AF20" s="6"/>
      <c r="AG20" s="55" t="s">
        <v>48</v>
      </c>
      <c r="AH20" s="4"/>
      <c r="AI20" s="6"/>
      <c r="AJ20" s="48"/>
      <c r="AK20" s="4"/>
      <c r="AL20" s="6"/>
      <c r="AM20" s="55" t="s">
        <v>176</v>
      </c>
      <c r="AN20" s="4"/>
      <c r="AO20" s="6"/>
      <c r="AP20" s="56">
        <v>46220.0</v>
      </c>
      <c r="AQ20" s="4"/>
      <c r="AR20" s="6"/>
      <c r="AS20" s="48"/>
      <c r="AT20" s="4"/>
      <c r="AU20" s="6"/>
      <c r="AV20" s="55" t="s">
        <v>48</v>
      </c>
      <c r="AW20" s="4"/>
      <c r="AX20" s="6"/>
      <c r="AY20" s="48"/>
      <c r="AZ20" s="4"/>
      <c r="BA20" s="6"/>
      <c r="BB20" s="55" t="s">
        <v>176</v>
      </c>
      <c r="BC20" s="4"/>
      <c r="BD20" s="6"/>
      <c r="BE20" s="56">
        <v>46242.0</v>
      </c>
      <c r="BF20" s="4"/>
      <c r="BG20" s="6"/>
      <c r="BH20" s="48"/>
      <c r="BI20" s="4"/>
      <c r="BJ20" s="6"/>
      <c r="BK20" s="49" t="s">
        <v>267</v>
      </c>
      <c r="BL20" s="4"/>
      <c r="BM20" s="4"/>
      <c r="BN20" s="4"/>
      <c r="BO20" s="4"/>
      <c r="BP20" s="4"/>
      <c r="BQ20" s="6"/>
    </row>
    <row r="21" ht="22.5" customHeight="1">
      <c r="A21" s="8" t="s">
        <v>268</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6"/>
    </row>
    <row r="22" ht="144.0" customHeight="1">
      <c r="A22" s="47">
        <v>9.0</v>
      </c>
      <c r="B22" s="49" t="s">
        <v>272</v>
      </c>
      <c r="C22" s="4"/>
      <c r="D22" s="6"/>
      <c r="E22" s="49" t="s">
        <v>274</v>
      </c>
      <c r="F22" s="4"/>
      <c r="G22" s="4"/>
      <c r="H22" s="4"/>
      <c r="I22" s="6"/>
      <c r="J22" s="49" t="s">
        <v>275</v>
      </c>
      <c r="K22" s="4"/>
      <c r="L22" s="4"/>
      <c r="M22" s="4"/>
      <c r="N22" s="4"/>
      <c r="O22" s="4"/>
      <c r="P22" s="6"/>
      <c r="Q22" s="49" t="s">
        <v>278</v>
      </c>
      <c r="R22" s="4"/>
      <c r="S22" s="4"/>
      <c r="T22" s="4"/>
      <c r="U22" s="4"/>
      <c r="V22" s="4"/>
      <c r="W22" s="6"/>
      <c r="X22" s="49" t="s">
        <v>280</v>
      </c>
      <c r="Y22" s="4"/>
      <c r="Z22" s="4"/>
      <c r="AA22" s="4"/>
      <c r="AB22" s="4"/>
      <c r="AC22" s="4"/>
      <c r="AD22" s="6"/>
      <c r="AE22" s="48" t="s">
        <v>203</v>
      </c>
      <c r="AF22" s="6"/>
      <c r="AG22" s="55" t="s">
        <v>48</v>
      </c>
      <c r="AH22" s="4"/>
      <c r="AI22" s="6"/>
      <c r="AJ22" s="48"/>
      <c r="AK22" s="4"/>
      <c r="AL22" s="6"/>
      <c r="AM22" s="55" t="s">
        <v>176</v>
      </c>
      <c r="AN22" s="4"/>
      <c r="AO22" s="6"/>
      <c r="AP22" s="61">
        <v>46220.0</v>
      </c>
      <c r="AQ22" s="4"/>
      <c r="AR22" s="6"/>
      <c r="AS22" s="48"/>
      <c r="AT22" s="4"/>
      <c r="AU22" s="6"/>
      <c r="AV22" s="55" t="s">
        <v>48</v>
      </c>
      <c r="AW22" s="4"/>
      <c r="AX22" s="6"/>
      <c r="AY22" s="48"/>
      <c r="AZ22" s="4"/>
      <c r="BA22" s="6"/>
      <c r="BB22" s="55" t="s">
        <v>176</v>
      </c>
      <c r="BC22" s="4"/>
      <c r="BD22" s="6"/>
      <c r="BE22" s="56">
        <v>46242.0</v>
      </c>
      <c r="BF22" s="4"/>
      <c r="BG22" s="6"/>
      <c r="BH22" s="48"/>
      <c r="BI22" s="4"/>
      <c r="BJ22" s="6"/>
      <c r="BK22" s="49"/>
      <c r="BL22" s="4"/>
      <c r="BM22" s="4"/>
      <c r="BN22" s="4"/>
      <c r="BO22" s="4"/>
      <c r="BP22" s="4"/>
      <c r="BQ22" s="6"/>
    </row>
    <row r="23" ht="175.5" customHeight="1">
      <c r="A23" s="47">
        <v>10.0</v>
      </c>
      <c r="B23" s="49" t="s">
        <v>284</v>
      </c>
      <c r="C23" s="4"/>
      <c r="D23" s="6"/>
      <c r="E23" s="49" t="s">
        <v>285</v>
      </c>
      <c r="F23" s="4"/>
      <c r="G23" s="4"/>
      <c r="H23" s="4"/>
      <c r="I23" s="6"/>
      <c r="J23" s="49" t="s">
        <v>275</v>
      </c>
      <c r="K23" s="4"/>
      <c r="L23" s="4"/>
      <c r="M23" s="4"/>
      <c r="N23" s="4"/>
      <c r="O23" s="4"/>
      <c r="P23" s="6"/>
      <c r="Q23" s="49" t="s">
        <v>286</v>
      </c>
      <c r="R23" s="4"/>
      <c r="S23" s="4"/>
      <c r="T23" s="4"/>
      <c r="U23" s="4"/>
      <c r="V23" s="4"/>
      <c r="W23" s="6"/>
      <c r="X23" s="49" t="s">
        <v>289</v>
      </c>
      <c r="Y23" s="4"/>
      <c r="Z23" s="4"/>
      <c r="AA23" s="4"/>
      <c r="AB23" s="4"/>
      <c r="AC23" s="4"/>
      <c r="AD23" s="6"/>
      <c r="AE23" s="48" t="s">
        <v>203</v>
      </c>
      <c r="AF23" s="6"/>
      <c r="AG23" s="55" t="s">
        <v>48</v>
      </c>
      <c r="AH23" s="4"/>
      <c r="AI23" s="6"/>
      <c r="AJ23" s="48"/>
      <c r="AK23" s="4"/>
      <c r="AL23" s="6"/>
      <c r="AM23" s="55" t="s">
        <v>176</v>
      </c>
      <c r="AN23" s="4"/>
      <c r="AO23" s="6"/>
      <c r="AP23" s="61">
        <v>46220.0</v>
      </c>
      <c r="AQ23" s="4"/>
      <c r="AR23" s="6"/>
      <c r="AS23" s="48"/>
      <c r="AT23" s="4"/>
      <c r="AU23" s="6"/>
      <c r="AV23" s="55" t="s">
        <v>48</v>
      </c>
      <c r="AW23" s="4"/>
      <c r="AX23" s="6"/>
      <c r="AY23" s="48"/>
      <c r="AZ23" s="4"/>
      <c r="BA23" s="6"/>
      <c r="BB23" s="55" t="s">
        <v>176</v>
      </c>
      <c r="BC23" s="4"/>
      <c r="BD23" s="6"/>
      <c r="BE23" s="56">
        <v>46242.0</v>
      </c>
      <c r="BF23" s="4"/>
      <c r="BG23" s="6"/>
      <c r="BH23" s="48"/>
      <c r="BI23" s="4"/>
      <c r="BJ23" s="6"/>
      <c r="BK23" s="49"/>
      <c r="BL23" s="4"/>
      <c r="BM23" s="4"/>
      <c r="BN23" s="4"/>
      <c r="BO23" s="4"/>
      <c r="BP23" s="4"/>
      <c r="BQ23" s="6"/>
    </row>
    <row r="24" ht="144.0" customHeight="1">
      <c r="A24" s="47">
        <v>11.0</v>
      </c>
      <c r="B24" s="49" t="s">
        <v>296</v>
      </c>
      <c r="C24" s="4"/>
      <c r="D24" s="6"/>
      <c r="E24" s="49" t="s">
        <v>298</v>
      </c>
      <c r="F24" s="4"/>
      <c r="G24" s="4"/>
      <c r="H24" s="4"/>
      <c r="I24" s="6"/>
      <c r="J24" s="49" t="s">
        <v>301</v>
      </c>
      <c r="K24" s="4"/>
      <c r="L24" s="4"/>
      <c r="M24" s="4"/>
      <c r="N24" s="4"/>
      <c r="O24" s="4"/>
      <c r="P24" s="6"/>
      <c r="Q24" s="49" t="s">
        <v>302</v>
      </c>
      <c r="R24" s="4"/>
      <c r="S24" s="4"/>
      <c r="T24" s="4"/>
      <c r="U24" s="4"/>
      <c r="V24" s="4"/>
      <c r="W24" s="6"/>
      <c r="X24" s="49" t="s">
        <v>304</v>
      </c>
      <c r="Y24" s="4"/>
      <c r="Z24" s="4"/>
      <c r="AA24" s="4"/>
      <c r="AB24" s="4"/>
      <c r="AC24" s="4"/>
      <c r="AD24" s="6"/>
      <c r="AE24" s="48" t="s">
        <v>203</v>
      </c>
      <c r="AF24" s="6"/>
      <c r="AG24" s="55" t="s">
        <v>48</v>
      </c>
      <c r="AH24" s="4"/>
      <c r="AI24" s="6"/>
      <c r="AJ24" s="48"/>
      <c r="AK24" s="4"/>
      <c r="AL24" s="6"/>
      <c r="AM24" s="55" t="s">
        <v>176</v>
      </c>
      <c r="AN24" s="4"/>
      <c r="AO24" s="6"/>
      <c r="AP24" s="61">
        <v>46220.0</v>
      </c>
      <c r="AQ24" s="4"/>
      <c r="AR24" s="6"/>
      <c r="AS24" s="48"/>
      <c r="AT24" s="4"/>
      <c r="AU24" s="6"/>
      <c r="AV24" s="55" t="s">
        <v>48</v>
      </c>
      <c r="AW24" s="4"/>
      <c r="AX24" s="6"/>
      <c r="AY24" s="48"/>
      <c r="AZ24" s="4"/>
      <c r="BA24" s="6"/>
      <c r="BB24" s="55" t="s">
        <v>176</v>
      </c>
      <c r="BC24" s="4"/>
      <c r="BD24" s="6"/>
      <c r="BE24" s="56">
        <v>46242.0</v>
      </c>
      <c r="BF24" s="4"/>
      <c r="BG24" s="6"/>
      <c r="BH24" s="48"/>
      <c r="BI24" s="4"/>
      <c r="BJ24" s="6"/>
      <c r="BK24" s="49"/>
      <c r="BL24" s="4"/>
      <c r="BM24" s="4"/>
      <c r="BN24" s="4"/>
      <c r="BO24" s="4"/>
      <c r="BP24" s="4"/>
      <c r="BQ24" s="6"/>
    </row>
    <row r="25" ht="79.5" customHeight="1">
      <c r="A25" s="47">
        <v>12.0</v>
      </c>
      <c r="B25" s="49" t="s">
        <v>314</v>
      </c>
      <c r="C25" s="4"/>
      <c r="D25" s="6"/>
      <c r="E25" s="49" t="s">
        <v>315</v>
      </c>
      <c r="F25" s="4"/>
      <c r="G25" s="4"/>
      <c r="H25" s="4"/>
      <c r="I25" s="6"/>
      <c r="J25" s="49" t="s">
        <v>317</v>
      </c>
      <c r="K25" s="4"/>
      <c r="L25" s="4"/>
      <c r="M25" s="4"/>
      <c r="N25" s="4"/>
      <c r="O25" s="4"/>
      <c r="P25" s="6"/>
      <c r="Q25" s="49" t="s">
        <v>318</v>
      </c>
      <c r="R25" s="4"/>
      <c r="S25" s="4"/>
      <c r="T25" s="4"/>
      <c r="U25" s="4"/>
      <c r="V25" s="4"/>
      <c r="W25" s="6"/>
      <c r="X25" s="49" t="s">
        <v>319</v>
      </c>
      <c r="Y25" s="4"/>
      <c r="Z25" s="4"/>
      <c r="AA25" s="4"/>
      <c r="AB25" s="4"/>
      <c r="AC25" s="4"/>
      <c r="AD25" s="6"/>
      <c r="AE25" s="48" t="s">
        <v>203</v>
      </c>
      <c r="AF25" s="6"/>
      <c r="AG25" s="54" t="s">
        <v>320</v>
      </c>
      <c r="AH25" s="4"/>
      <c r="AI25" s="6"/>
      <c r="AJ25" s="48"/>
      <c r="AK25" s="4"/>
      <c r="AL25" s="6"/>
      <c r="AM25" s="55" t="s">
        <v>176</v>
      </c>
      <c r="AN25" s="4"/>
      <c r="AO25" s="6"/>
      <c r="AP25" s="61">
        <v>46220.0</v>
      </c>
      <c r="AQ25" s="4"/>
      <c r="AR25" s="6"/>
      <c r="AS25" s="48"/>
      <c r="AT25" s="4"/>
      <c r="AU25" s="6"/>
      <c r="AV25" s="55" t="s">
        <v>48</v>
      </c>
      <c r="AW25" s="4"/>
      <c r="AX25" s="6"/>
      <c r="AY25" s="48"/>
      <c r="AZ25" s="4"/>
      <c r="BA25" s="6"/>
      <c r="BB25" s="55" t="s">
        <v>176</v>
      </c>
      <c r="BC25" s="4"/>
      <c r="BD25" s="6"/>
      <c r="BE25" s="56">
        <v>46242.0</v>
      </c>
      <c r="BF25" s="4"/>
      <c r="BG25" s="6"/>
      <c r="BH25" s="48"/>
      <c r="BI25" s="4"/>
      <c r="BJ25" s="6"/>
      <c r="BK25" s="49"/>
      <c r="BL25" s="4"/>
      <c r="BM25" s="4"/>
      <c r="BN25" s="4"/>
      <c r="BO25" s="4"/>
      <c r="BP25" s="4"/>
      <c r="BQ25" s="6"/>
    </row>
    <row r="26" ht="144.0" customHeight="1">
      <c r="A26" s="47">
        <v>13.0</v>
      </c>
      <c r="B26" s="49" t="s">
        <v>321</v>
      </c>
      <c r="C26" s="4"/>
      <c r="D26" s="6"/>
      <c r="E26" s="49" t="s">
        <v>322</v>
      </c>
      <c r="F26" s="4"/>
      <c r="G26" s="4"/>
      <c r="H26" s="4"/>
      <c r="I26" s="6"/>
      <c r="J26" s="49" t="s">
        <v>275</v>
      </c>
      <c r="K26" s="4"/>
      <c r="L26" s="4"/>
      <c r="M26" s="4"/>
      <c r="N26" s="4"/>
      <c r="O26" s="4"/>
      <c r="P26" s="6"/>
      <c r="Q26" s="49" t="s">
        <v>323</v>
      </c>
      <c r="R26" s="4"/>
      <c r="S26" s="4"/>
      <c r="T26" s="4"/>
      <c r="U26" s="4"/>
      <c r="V26" s="4"/>
      <c r="W26" s="6"/>
      <c r="X26" s="49" t="s">
        <v>324</v>
      </c>
      <c r="Y26" s="4"/>
      <c r="Z26" s="4"/>
      <c r="AA26" s="4"/>
      <c r="AB26" s="4"/>
      <c r="AC26" s="4"/>
      <c r="AD26" s="6"/>
      <c r="AE26" s="48" t="s">
        <v>203</v>
      </c>
      <c r="AF26" s="6"/>
      <c r="AG26" s="54" t="s">
        <v>320</v>
      </c>
      <c r="AH26" s="4"/>
      <c r="AI26" s="6"/>
      <c r="AJ26" s="48"/>
      <c r="AK26" s="4"/>
      <c r="AL26" s="6"/>
      <c r="AM26" s="55" t="s">
        <v>176</v>
      </c>
      <c r="AN26" s="4"/>
      <c r="AO26" s="6"/>
      <c r="AP26" s="61">
        <v>46220.0</v>
      </c>
      <c r="AQ26" s="4"/>
      <c r="AR26" s="6"/>
      <c r="AS26" s="48"/>
      <c r="AT26" s="4"/>
      <c r="AU26" s="6"/>
      <c r="AV26" s="54" t="s">
        <v>320</v>
      </c>
      <c r="AW26" s="4"/>
      <c r="AX26" s="6"/>
      <c r="AY26" s="48"/>
      <c r="AZ26" s="4"/>
      <c r="BA26" s="6"/>
      <c r="BB26" s="55" t="s">
        <v>176</v>
      </c>
      <c r="BC26" s="4"/>
      <c r="BD26" s="6"/>
      <c r="BE26" s="56">
        <v>46242.0</v>
      </c>
      <c r="BF26" s="4"/>
      <c r="BG26" s="6"/>
      <c r="BH26" s="48"/>
      <c r="BI26" s="4"/>
      <c r="BJ26" s="6"/>
      <c r="BK26" s="49"/>
      <c r="BL26" s="4"/>
      <c r="BM26" s="4"/>
      <c r="BN26" s="4"/>
      <c r="BO26" s="4"/>
      <c r="BP26" s="4"/>
      <c r="BQ26" s="6"/>
    </row>
    <row r="27" ht="159.75" customHeight="1">
      <c r="A27" s="47">
        <v>14.0</v>
      </c>
      <c r="B27" s="49" t="s">
        <v>325</v>
      </c>
      <c r="C27" s="4"/>
      <c r="D27" s="6"/>
      <c r="E27" s="49" t="s">
        <v>326</v>
      </c>
      <c r="F27" s="4"/>
      <c r="G27" s="4"/>
      <c r="H27" s="4"/>
      <c r="I27" s="6"/>
      <c r="J27" s="49" t="s">
        <v>327</v>
      </c>
      <c r="K27" s="4"/>
      <c r="L27" s="4"/>
      <c r="M27" s="4"/>
      <c r="N27" s="4"/>
      <c r="O27" s="4"/>
      <c r="P27" s="6"/>
      <c r="Q27" s="49" t="s">
        <v>328</v>
      </c>
      <c r="R27" s="4"/>
      <c r="S27" s="4"/>
      <c r="T27" s="4"/>
      <c r="U27" s="4"/>
      <c r="V27" s="4"/>
      <c r="W27" s="6"/>
      <c r="X27" s="49" t="s">
        <v>329</v>
      </c>
      <c r="Y27" s="4"/>
      <c r="Z27" s="4"/>
      <c r="AA27" s="4"/>
      <c r="AB27" s="4"/>
      <c r="AC27" s="4"/>
      <c r="AD27" s="6"/>
      <c r="AE27" s="48" t="s">
        <v>203</v>
      </c>
      <c r="AF27" s="6"/>
      <c r="AG27" s="54" t="s">
        <v>320</v>
      </c>
      <c r="AH27" s="4"/>
      <c r="AI27" s="6"/>
      <c r="AJ27" s="48"/>
      <c r="AK27" s="4"/>
      <c r="AL27" s="6"/>
      <c r="AM27" s="55" t="s">
        <v>176</v>
      </c>
      <c r="AN27" s="4"/>
      <c r="AO27" s="6"/>
      <c r="AP27" s="61">
        <v>46220.0</v>
      </c>
      <c r="AQ27" s="4"/>
      <c r="AR27" s="6"/>
      <c r="AS27" s="48"/>
      <c r="AT27" s="4"/>
      <c r="AU27" s="6"/>
      <c r="AV27" s="54" t="s">
        <v>320</v>
      </c>
      <c r="AW27" s="4"/>
      <c r="AX27" s="6"/>
      <c r="AY27" s="48"/>
      <c r="AZ27" s="4"/>
      <c r="BA27" s="6"/>
      <c r="BB27" s="55" t="s">
        <v>176</v>
      </c>
      <c r="BC27" s="4"/>
      <c r="BD27" s="6"/>
      <c r="BE27" s="56">
        <v>46242.0</v>
      </c>
      <c r="BF27" s="4"/>
      <c r="BG27" s="6"/>
      <c r="BH27" s="48"/>
      <c r="BI27" s="4"/>
      <c r="BJ27" s="6"/>
      <c r="BK27" s="49"/>
      <c r="BL27" s="4"/>
      <c r="BM27" s="4"/>
      <c r="BN27" s="4"/>
      <c r="BO27" s="4"/>
      <c r="BP27" s="4"/>
      <c r="BQ27" s="6"/>
    </row>
    <row r="28" ht="144.0" customHeight="1">
      <c r="A28" s="47">
        <v>15.0</v>
      </c>
      <c r="B28" s="49" t="s">
        <v>330</v>
      </c>
      <c r="C28" s="4"/>
      <c r="D28" s="6"/>
      <c r="E28" s="49" t="s">
        <v>331</v>
      </c>
      <c r="F28" s="4"/>
      <c r="G28" s="4"/>
      <c r="H28" s="4"/>
      <c r="I28" s="6"/>
      <c r="J28" s="49" t="s">
        <v>275</v>
      </c>
      <c r="K28" s="4"/>
      <c r="L28" s="4"/>
      <c r="M28" s="4"/>
      <c r="N28" s="4"/>
      <c r="O28" s="4"/>
      <c r="P28" s="6"/>
      <c r="Q28" s="49" t="s">
        <v>332</v>
      </c>
      <c r="R28" s="4"/>
      <c r="S28" s="4"/>
      <c r="T28" s="4"/>
      <c r="U28" s="4"/>
      <c r="V28" s="4"/>
      <c r="W28" s="6"/>
      <c r="X28" s="49" t="s">
        <v>333</v>
      </c>
      <c r="Y28" s="4"/>
      <c r="Z28" s="4"/>
      <c r="AA28" s="4"/>
      <c r="AB28" s="4"/>
      <c r="AC28" s="4"/>
      <c r="AD28" s="6"/>
      <c r="AE28" s="48" t="s">
        <v>203</v>
      </c>
      <c r="AF28" s="6"/>
      <c r="AG28" s="54" t="s">
        <v>320</v>
      </c>
      <c r="AH28" s="4"/>
      <c r="AI28" s="6"/>
      <c r="AJ28" s="48"/>
      <c r="AK28" s="4"/>
      <c r="AL28" s="6"/>
      <c r="AM28" s="55" t="s">
        <v>176</v>
      </c>
      <c r="AN28" s="4"/>
      <c r="AO28" s="6"/>
      <c r="AP28" s="61">
        <v>46220.0</v>
      </c>
      <c r="AQ28" s="4"/>
      <c r="AR28" s="6"/>
      <c r="AS28" s="48"/>
      <c r="AT28" s="4"/>
      <c r="AU28" s="6"/>
      <c r="AV28" s="54" t="s">
        <v>320</v>
      </c>
      <c r="AW28" s="4"/>
      <c r="AX28" s="6"/>
      <c r="AY28" s="48"/>
      <c r="AZ28" s="4"/>
      <c r="BA28" s="6"/>
      <c r="BB28" s="55" t="s">
        <v>176</v>
      </c>
      <c r="BC28" s="4"/>
      <c r="BD28" s="6"/>
      <c r="BE28" s="56">
        <v>46242.0</v>
      </c>
      <c r="BF28" s="4"/>
      <c r="BG28" s="6"/>
      <c r="BH28" s="48"/>
      <c r="BI28" s="4"/>
      <c r="BJ28" s="6"/>
      <c r="BK28" s="49" t="s">
        <v>267</v>
      </c>
      <c r="BL28" s="4"/>
      <c r="BM28" s="4"/>
      <c r="BN28" s="4"/>
      <c r="BO28" s="4"/>
      <c r="BP28" s="4"/>
      <c r="BQ28" s="6"/>
    </row>
    <row r="29" ht="22.5" customHeight="1">
      <c r="A29" s="8" t="s">
        <v>334</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6"/>
    </row>
    <row r="30" ht="96.0" customHeight="1">
      <c r="A30" s="47">
        <v>16.0</v>
      </c>
      <c r="B30" s="49" t="s">
        <v>335</v>
      </c>
      <c r="C30" s="4"/>
      <c r="D30" s="6"/>
      <c r="E30" s="49" t="s">
        <v>336</v>
      </c>
      <c r="F30" s="4"/>
      <c r="G30" s="4"/>
      <c r="H30" s="4"/>
      <c r="I30" s="6"/>
      <c r="J30" s="49" t="s">
        <v>275</v>
      </c>
      <c r="K30" s="4"/>
      <c r="L30" s="4"/>
      <c r="M30" s="4"/>
      <c r="N30" s="4"/>
      <c r="O30" s="4"/>
      <c r="P30" s="6"/>
      <c r="Q30" s="49" t="s">
        <v>337</v>
      </c>
      <c r="R30" s="4"/>
      <c r="S30" s="4"/>
      <c r="T30" s="4"/>
      <c r="U30" s="4"/>
      <c r="V30" s="4"/>
      <c r="W30" s="6"/>
      <c r="X30" s="49" t="s">
        <v>338</v>
      </c>
      <c r="Y30" s="4"/>
      <c r="Z30" s="4"/>
      <c r="AA30" s="4"/>
      <c r="AB30" s="4"/>
      <c r="AC30" s="4"/>
      <c r="AD30" s="6"/>
      <c r="AE30" s="48" t="s">
        <v>174</v>
      </c>
      <c r="AF30" s="6"/>
      <c r="AG30" s="54" t="s">
        <v>48</v>
      </c>
      <c r="AH30" s="4"/>
      <c r="AI30" s="6"/>
      <c r="AJ30" s="48"/>
      <c r="AK30" s="4"/>
      <c r="AL30" s="6"/>
      <c r="AM30" s="55" t="s">
        <v>176</v>
      </c>
      <c r="AN30" s="4"/>
      <c r="AO30" s="6"/>
      <c r="AP30" s="61">
        <v>46220.0</v>
      </c>
      <c r="AQ30" s="4"/>
      <c r="AR30" s="6"/>
      <c r="AS30" s="48"/>
      <c r="AT30" s="4"/>
      <c r="AU30" s="6"/>
      <c r="AV30" s="54" t="s">
        <v>48</v>
      </c>
      <c r="AW30" s="4"/>
      <c r="AX30" s="6"/>
      <c r="AY30" s="48"/>
      <c r="AZ30" s="4"/>
      <c r="BA30" s="6"/>
      <c r="BB30" s="55" t="s">
        <v>176</v>
      </c>
      <c r="BC30" s="4"/>
      <c r="BD30" s="6"/>
      <c r="BE30" s="56">
        <v>46242.0</v>
      </c>
      <c r="BF30" s="4"/>
      <c r="BG30" s="6"/>
      <c r="BH30" s="48"/>
      <c r="BI30" s="4"/>
      <c r="BJ30" s="6"/>
      <c r="BK30" s="49"/>
      <c r="BL30" s="4"/>
      <c r="BM30" s="4"/>
      <c r="BN30" s="4"/>
      <c r="BO30" s="4"/>
      <c r="BP30" s="4"/>
      <c r="BQ30" s="6"/>
    </row>
    <row r="31" ht="96.0" customHeight="1">
      <c r="A31" s="47">
        <v>17.0</v>
      </c>
      <c r="B31" s="49" t="s">
        <v>339</v>
      </c>
      <c r="C31" s="4"/>
      <c r="D31" s="6"/>
      <c r="E31" s="49" t="s">
        <v>340</v>
      </c>
      <c r="F31" s="4"/>
      <c r="G31" s="4"/>
      <c r="H31" s="4"/>
      <c r="I31" s="6"/>
      <c r="J31" s="49" t="s">
        <v>275</v>
      </c>
      <c r="K31" s="4"/>
      <c r="L31" s="4"/>
      <c r="M31" s="4"/>
      <c r="N31" s="4"/>
      <c r="O31" s="4"/>
      <c r="P31" s="6"/>
      <c r="Q31" s="49" t="s">
        <v>341</v>
      </c>
      <c r="R31" s="4"/>
      <c r="S31" s="4"/>
      <c r="T31" s="4"/>
      <c r="U31" s="4"/>
      <c r="V31" s="4"/>
      <c r="W31" s="6"/>
      <c r="X31" s="49" t="s">
        <v>342</v>
      </c>
      <c r="Y31" s="4"/>
      <c r="Z31" s="4"/>
      <c r="AA31" s="4"/>
      <c r="AB31" s="4"/>
      <c r="AC31" s="4"/>
      <c r="AD31" s="6"/>
      <c r="AE31" s="48" t="s">
        <v>174</v>
      </c>
      <c r="AF31" s="6"/>
      <c r="AG31" s="54" t="s">
        <v>55</v>
      </c>
      <c r="AH31" s="4"/>
      <c r="AI31" s="6"/>
      <c r="AJ31" s="48"/>
      <c r="AK31" s="4"/>
      <c r="AL31" s="6"/>
      <c r="AM31" s="55" t="s">
        <v>176</v>
      </c>
      <c r="AN31" s="4"/>
      <c r="AO31" s="6"/>
      <c r="AP31" s="61">
        <v>46220.0</v>
      </c>
      <c r="AQ31" s="4"/>
      <c r="AR31" s="6"/>
      <c r="AS31" s="48"/>
      <c r="AT31" s="4"/>
      <c r="AU31" s="6"/>
      <c r="AV31" s="54" t="s">
        <v>55</v>
      </c>
      <c r="AW31" s="4"/>
      <c r="AX31" s="6"/>
      <c r="AY31" s="48"/>
      <c r="AZ31" s="4"/>
      <c r="BA31" s="6"/>
      <c r="BB31" s="55" t="s">
        <v>176</v>
      </c>
      <c r="BC31" s="4"/>
      <c r="BD31" s="6"/>
      <c r="BE31" s="56">
        <v>46242.0</v>
      </c>
      <c r="BF31" s="4"/>
      <c r="BG31" s="6"/>
      <c r="BH31" s="48"/>
      <c r="BI31" s="4"/>
      <c r="BJ31" s="6"/>
      <c r="BK31" s="49"/>
      <c r="BL31" s="4"/>
      <c r="BM31" s="4"/>
      <c r="BN31" s="4"/>
      <c r="BO31" s="4"/>
      <c r="BP31" s="4"/>
      <c r="BQ31" s="6"/>
    </row>
    <row r="32" ht="127.5" customHeight="1">
      <c r="A32" s="47">
        <v>18.0</v>
      </c>
      <c r="B32" s="49" t="s">
        <v>343</v>
      </c>
      <c r="C32" s="4"/>
      <c r="D32" s="6"/>
      <c r="E32" s="49" t="s">
        <v>344</v>
      </c>
      <c r="F32" s="4"/>
      <c r="G32" s="4"/>
      <c r="H32" s="4"/>
      <c r="I32" s="6"/>
      <c r="J32" s="49" t="s">
        <v>275</v>
      </c>
      <c r="K32" s="4"/>
      <c r="L32" s="4"/>
      <c r="M32" s="4"/>
      <c r="N32" s="4"/>
      <c r="O32" s="4"/>
      <c r="P32" s="6"/>
      <c r="Q32" s="49" t="s">
        <v>345</v>
      </c>
      <c r="R32" s="4"/>
      <c r="S32" s="4"/>
      <c r="T32" s="4"/>
      <c r="U32" s="4"/>
      <c r="V32" s="4"/>
      <c r="W32" s="6"/>
      <c r="X32" s="49" t="s">
        <v>346</v>
      </c>
      <c r="Y32" s="4"/>
      <c r="Z32" s="4"/>
      <c r="AA32" s="4"/>
      <c r="AB32" s="4"/>
      <c r="AC32" s="4"/>
      <c r="AD32" s="6"/>
      <c r="AE32" s="48" t="s">
        <v>203</v>
      </c>
      <c r="AF32" s="6"/>
      <c r="AG32" s="54" t="s">
        <v>48</v>
      </c>
      <c r="AH32" s="4"/>
      <c r="AI32" s="6"/>
      <c r="AJ32" s="48"/>
      <c r="AK32" s="4"/>
      <c r="AL32" s="6"/>
      <c r="AM32" s="55" t="s">
        <v>176</v>
      </c>
      <c r="AN32" s="4"/>
      <c r="AO32" s="6"/>
      <c r="AP32" s="61">
        <v>46220.0</v>
      </c>
      <c r="AQ32" s="4"/>
      <c r="AR32" s="6"/>
      <c r="AS32" s="48"/>
      <c r="AT32" s="4"/>
      <c r="AU32" s="6"/>
      <c r="AV32" s="54" t="s">
        <v>48</v>
      </c>
      <c r="AW32" s="4"/>
      <c r="AX32" s="6"/>
      <c r="AY32" s="48"/>
      <c r="AZ32" s="4"/>
      <c r="BA32" s="6"/>
      <c r="BB32" s="55" t="s">
        <v>176</v>
      </c>
      <c r="BC32" s="4"/>
      <c r="BD32" s="6"/>
      <c r="BE32" s="56">
        <v>46242.0</v>
      </c>
      <c r="BF32" s="4"/>
      <c r="BG32" s="6"/>
      <c r="BH32" s="48"/>
      <c r="BI32" s="4"/>
      <c r="BJ32" s="6"/>
      <c r="BK32" s="49"/>
      <c r="BL32" s="4"/>
      <c r="BM32" s="4"/>
      <c r="BN32" s="4"/>
      <c r="BO32" s="4"/>
      <c r="BP32" s="4"/>
      <c r="BQ32" s="6"/>
    </row>
    <row r="33" ht="96.0" customHeight="1">
      <c r="A33" s="47">
        <v>19.0</v>
      </c>
      <c r="B33" s="49" t="s">
        <v>347</v>
      </c>
      <c r="C33" s="4"/>
      <c r="D33" s="6"/>
      <c r="E33" s="49" t="s">
        <v>348</v>
      </c>
      <c r="F33" s="4"/>
      <c r="G33" s="4"/>
      <c r="H33" s="4"/>
      <c r="I33" s="6"/>
      <c r="J33" s="49" t="s">
        <v>275</v>
      </c>
      <c r="K33" s="4"/>
      <c r="L33" s="4"/>
      <c r="M33" s="4"/>
      <c r="N33" s="4"/>
      <c r="O33" s="4"/>
      <c r="P33" s="6"/>
      <c r="Q33" s="49" t="s">
        <v>349</v>
      </c>
      <c r="R33" s="4"/>
      <c r="S33" s="4"/>
      <c r="T33" s="4"/>
      <c r="U33" s="4"/>
      <c r="V33" s="4"/>
      <c r="W33" s="6"/>
      <c r="X33" s="49" t="s">
        <v>350</v>
      </c>
      <c r="Y33" s="4"/>
      <c r="Z33" s="4"/>
      <c r="AA33" s="4"/>
      <c r="AB33" s="4"/>
      <c r="AC33" s="4"/>
      <c r="AD33" s="6"/>
      <c r="AE33" s="48" t="s">
        <v>174</v>
      </c>
      <c r="AF33" s="6"/>
      <c r="AG33" s="54" t="s">
        <v>48</v>
      </c>
      <c r="AH33" s="4"/>
      <c r="AI33" s="6"/>
      <c r="AJ33" s="48"/>
      <c r="AK33" s="4"/>
      <c r="AL33" s="6"/>
      <c r="AM33" s="55" t="s">
        <v>176</v>
      </c>
      <c r="AN33" s="4"/>
      <c r="AO33" s="6"/>
      <c r="AP33" s="61">
        <v>46220.0</v>
      </c>
      <c r="AQ33" s="4"/>
      <c r="AR33" s="6"/>
      <c r="AS33" s="48"/>
      <c r="AT33" s="4"/>
      <c r="AU33" s="6"/>
      <c r="AV33" s="54" t="s">
        <v>48</v>
      </c>
      <c r="AW33" s="4"/>
      <c r="AX33" s="6"/>
      <c r="AY33" s="48"/>
      <c r="AZ33" s="4"/>
      <c r="BA33" s="6"/>
      <c r="BB33" s="55" t="s">
        <v>176</v>
      </c>
      <c r="BC33" s="4"/>
      <c r="BD33" s="6"/>
      <c r="BE33" s="56">
        <v>46242.0</v>
      </c>
      <c r="BF33" s="4"/>
      <c r="BG33" s="6"/>
      <c r="BH33" s="48"/>
      <c r="BI33" s="4"/>
      <c r="BJ33" s="6"/>
      <c r="BK33" s="49" t="s">
        <v>267</v>
      </c>
      <c r="BL33" s="4"/>
      <c r="BM33" s="4"/>
      <c r="BN33" s="4"/>
      <c r="BO33" s="4"/>
      <c r="BP33" s="4"/>
      <c r="BQ33" s="6"/>
    </row>
    <row r="34" ht="22.5" customHeight="1">
      <c r="A34" s="8" t="s">
        <v>351</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6"/>
    </row>
    <row r="35" ht="96.0" customHeight="1">
      <c r="A35" s="47">
        <v>20.0</v>
      </c>
      <c r="B35" s="49" t="s">
        <v>352</v>
      </c>
      <c r="C35" s="4"/>
      <c r="D35" s="6"/>
      <c r="E35" s="49" t="s">
        <v>353</v>
      </c>
      <c r="F35" s="4"/>
      <c r="G35" s="4"/>
      <c r="H35" s="4"/>
      <c r="I35" s="6"/>
      <c r="J35" s="49" t="s">
        <v>354</v>
      </c>
      <c r="K35" s="4"/>
      <c r="L35" s="4"/>
      <c r="M35" s="4"/>
      <c r="N35" s="4"/>
      <c r="O35" s="4"/>
      <c r="P35" s="6"/>
      <c r="Q35" s="49" t="s">
        <v>355</v>
      </c>
      <c r="R35" s="4"/>
      <c r="S35" s="4"/>
      <c r="T35" s="4"/>
      <c r="U35" s="4"/>
      <c r="V35" s="4"/>
      <c r="W35" s="6"/>
      <c r="X35" s="49" t="s">
        <v>356</v>
      </c>
      <c r="Y35" s="4"/>
      <c r="Z35" s="4"/>
      <c r="AA35" s="4"/>
      <c r="AB35" s="4"/>
      <c r="AC35" s="4"/>
      <c r="AD35" s="6"/>
      <c r="AE35" s="48" t="s">
        <v>203</v>
      </c>
      <c r="AF35" s="6"/>
      <c r="AG35" s="54" t="s">
        <v>48</v>
      </c>
      <c r="AH35" s="4"/>
      <c r="AI35" s="6"/>
      <c r="AJ35" s="48"/>
      <c r="AK35" s="4"/>
      <c r="AL35" s="6"/>
      <c r="AM35" s="55" t="s">
        <v>176</v>
      </c>
      <c r="AN35" s="4"/>
      <c r="AO35" s="6"/>
      <c r="AP35" s="61">
        <v>46220.0</v>
      </c>
      <c r="AQ35" s="4"/>
      <c r="AR35" s="6"/>
      <c r="AS35" s="48"/>
      <c r="AT35" s="4"/>
      <c r="AU35" s="6"/>
      <c r="AV35" s="54" t="s">
        <v>48</v>
      </c>
      <c r="AW35" s="4"/>
      <c r="AX35" s="6"/>
      <c r="AY35" s="48"/>
      <c r="AZ35" s="4"/>
      <c r="BA35" s="6"/>
      <c r="BB35" s="55" t="s">
        <v>176</v>
      </c>
      <c r="BC35" s="4"/>
      <c r="BD35" s="6"/>
      <c r="BE35" s="56">
        <v>46242.0</v>
      </c>
      <c r="BF35" s="4"/>
      <c r="BG35" s="6"/>
      <c r="BH35" s="48"/>
      <c r="BI35" s="4"/>
      <c r="BJ35" s="6"/>
      <c r="BK35" s="49"/>
      <c r="BL35" s="4"/>
      <c r="BM35" s="4"/>
      <c r="BN35" s="4"/>
      <c r="BO35" s="4"/>
      <c r="BP35" s="4"/>
      <c r="BQ35" s="6"/>
    </row>
    <row r="36" ht="175.5" customHeight="1">
      <c r="A36" s="47">
        <v>21.0</v>
      </c>
      <c r="B36" s="49" t="s">
        <v>357</v>
      </c>
      <c r="C36" s="4"/>
      <c r="D36" s="6"/>
      <c r="E36" s="49" t="s">
        <v>358</v>
      </c>
      <c r="F36" s="4"/>
      <c r="G36" s="4"/>
      <c r="H36" s="4"/>
      <c r="I36" s="6"/>
      <c r="J36" s="49" t="s">
        <v>359</v>
      </c>
      <c r="K36" s="4"/>
      <c r="L36" s="4"/>
      <c r="M36" s="4"/>
      <c r="N36" s="4"/>
      <c r="O36" s="4"/>
      <c r="P36" s="6"/>
      <c r="Q36" s="49" t="s">
        <v>360</v>
      </c>
      <c r="R36" s="4"/>
      <c r="S36" s="4"/>
      <c r="T36" s="4"/>
      <c r="U36" s="4"/>
      <c r="V36" s="4"/>
      <c r="W36" s="6"/>
      <c r="X36" s="49" t="s">
        <v>361</v>
      </c>
      <c r="Y36" s="4"/>
      <c r="Z36" s="4"/>
      <c r="AA36" s="4"/>
      <c r="AB36" s="4"/>
      <c r="AC36" s="4"/>
      <c r="AD36" s="6"/>
      <c r="AE36" s="48" t="s">
        <v>203</v>
      </c>
      <c r="AF36" s="6"/>
      <c r="AG36" s="54" t="s">
        <v>48</v>
      </c>
      <c r="AH36" s="4"/>
      <c r="AI36" s="6"/>
      <c r="AJ36" s="48"/>
      <c r="AK36" s="4"/>
      <c r="AL36" s="6"/>
      <c r="AM36" s="55" t="s">
        <v>176</v>
      </c>
      <c r="AN36" s="4"/>
      <c r="AO36" s="6"/>
      <c r="AP36" s="61">
        <v>46220.0</v>
      </c>
      <c r="AQ36" s="4"/>
      <c r="AR36" s="6"/>
      <c r="AS36" s="48"/>
      <c r="AT36" s="4"/>
      <c r="AU36" s="6"/>
      <c r="AV36" s="54" t="s">
        <v>48</v>
      </c>
      <c r="AW36" s="4"/>
      <c r="AX36" s="6"/>
      <c r="AY36" s="48"/>
      <c r="AZ36" s="4"/>
      <c r="BA36" s="6"/>
      <c r="BB36" s="55" t="s">
        <v>176</v>
      </c>
      <c r="BC36" s="4"/>
      <c r="BD36" s="6"/>
      <c r="BE36" s="56">
        <v>46242.0</v>
      </c>
      <c r="BF36" s="4"/>
      <c r="BG36" s="6"/>
      <c r="BH36" s="48"/>
      <c r="BI36" s="4"/>
      <c r="BJ36" s="6"/>
      <c r="BK36" s="49"/>
      <c r="BL36" s="4"/>
      <c r="BM36" s="4"/>
      <c r="BN36" s="4"/>
      <c r="BO36" s="4"/>
      <c r="BP36" s="4"/>
      <c r="BQ36" s="6"/>
    </row>
    <row r="37" ht="175.5" customHeight="1">
      <c r="A37" s="47">
        <v>22.0</v>
      </c>
      <c r="B37" s="49" t="s">
        <v>362</v>
      </c>
      <c r="C37" s="4"/>
      <c r="D37" s="6"/>
      <c r="E37" s="49" t="s">
        <v>363</v>
      </c>
      <c r="F37" s="4"/>
      <c r="G37" s="4"/>
      <c r="H37" s="4"/>
      <c r="I37" s="6"/>
      <c r="J37" s="49" t="s">
        <v>364</v>
      </c>
      <c r="K37" s="4"/>
      <c r="L37" s="4"/>
      <c r="M37" s="4"/>
      <c r="N37" s="4"/>
      <c r="O37" s="4"/>
      <c r="P37" s="6"/>
      <c r="Q37" s="49" t="s">
        <v>365</v>
      </c>
      <c r="R37" s="4"/>
      <c r="S37" s="4"/>
      <c r="T37" s="4"/>
      <c r="U37" s="4"/>
      <c r="V37" s="4"/>
      <c r="W37" s="6"/>
      <c r="X37" s="49" t="s">
        <v>366</v>
      </c>
      <c r="Y37" s="4"/>
      <c r="Z37" s="4"/>
      <c r="AA37" s="4"/>
      <c r="AB37" s="4"/>
      <c r="AC37" s="4"/>
      <c r="AD37" s="6"/>
      <c r="AE37" s="48" t="s">
        <v>203</v>
      </c>
      <c r="AF37" s="6"/>
      <c r="AG37" s="54" t="s">
        <v>48</v>
      </c>
      <c r="AH37" s="4"/>
      <c r="AI37" s="6"/>
      <c r="AJ37" s="48"/>
      <c r="AK37" s="4"/>
      <c r="AL37" s="6"/>
      <c r="AM37" s="55" t="s">
        <v>176</v>
      </c>
      <c r="AN37" s="4"/>
      <c r="AO37" s="6"/>
      <c r="AP37" s="61">
        <v>46220.0</v>
      </c>
      <c r="AQ37" s="4"/>
      <c r="AR37" s="6"/>
      <c r="AS37" s="48"/>
      <c r="AT37" s="4"/>
      <c r="AU37" s="6"/>
      <c r="AV37" s="54" t="s">
        <v>48</v>
      </c>
      <c r="AW37" s="4"/>
      <c r="AX37" s="6"/>
      <c r="AY37" s="48"/>
      <c r="AZ37" s="4"/>
      <c r="BA37" s="6"/>
      <c r="BB37" s="55" t="s">
        <v>176</v>
      </c>
      <c r="BC37" s="4"/>
      <c r="BD37" s="6"/>
      <c r="BE37" s="56">
        <v>46242.0</v>
      </c>
      <c r="BF37" s="4"/>
      <c r="BG37" s="6"/>
      <c r="BH37" s="48"/>
      <c r="BI37" s="4"/>
      <c r="BJ37" s="6"/>
      <c r="BK37" s="49"/>
      <c r="BL37" s="4"/>
      <c r="BM37" s="4"/>
      <c r="BN37" s="4"/>
      <c r="BO37" s="4"/>
      <c r="BP37" s="4"/>
      <c r="BQ37" s="6"/>
    </row>
    <row r="38" ht="207.75" customHeight="1">
      <c r="A38" s="47">
        <v>23.0</v>
      </c>
      <c r="B38" s="49" t="s">
        <v>367</v>
      </c>
      <c r="C38" s="4"/>
      <c r="D38" s="6"/>
      <c r="E38" s="49" t="s">
        <v>368</v>
      </c>
      <c r="F38" s="4"/>
      <c r="G38" s="4"/>
      <c r="H38" s="4"/>
      <c r="I38" s="6"/>
      <c r="J38" s="49" t="s">
        <v>369</v>
      </c>
      <c r="K38" s="4"/>
      <c r="L38" s="4"/>
      <c r="M38" s="4"/>
      <c r="N38" s="4"/>
      <c r="O38" s="4"/>
      <c r="P38" s="6"/>
      <c r="Q38" s="49" t="s">
        <v>370</v>
      </c>
      <c r="R38" s="4"/>
      <c r="S38" s="4"/>
      <c r="T38" s="4"/>
      <c r="U38" s="4"/>
      <c r="V38" s="4"/>
      <c r="W38" s="6"/>
      <c r="X38" s="49" t="s">
        <v>371</v>
      </c>
      <c r="Y38" s="4"/>
      <c r="Z38" s="4"/>
      <c r="AA38" s="4"/>
      <c r="AB38" s="4"/>
      <c r="AC38" s="4"/>
      <c r="AD38" s="6"/>
      <c r="AE38" s="48" t="s">
        <v>203</v>
      </c>
      <c r="AF38" s="6"/>
      <c r="AG38" s="54" t="s">
        <v>48</v>
      </c>
      <c r="AH38" s="4"/>
      <c r="AI38" s="6"/>
      <c r="AJ38" s="48"/>
      <c r="AK38" s="4"/>
      <c r="AL38" s="6"/>
      <c r="AM38" s="55" t="s">
        <v>176</v>
      </c>
      <c r="AN38" s="4"/>
      <c r="AO38" s="6"/>
      <c r="AP38" s="61">
        <v>46220.0</v>
      </c>
      <c r="AQ38" s="4"/>
      <c r="AR38" s="6"/>
      <c r="AS38" s="48"/>
      <c r="AT38" s="4"/>
      <c r="AU38" s="6"/>
      <c r="AV38" s="54" t="s">
        <v>48</v>
      </c>
      <c r="AW38" s="4"/>
      <c r="AX38" s="6"/>
      <c r="AY38" s="48"/>
      <c r="AZ38" s="4"/>
      <c r="BA38" s="6"/>
      <c r="BB38" s="55" t="s">
        <v>176</v>
      </c>
      <c r="BC38" s="4"/>
      <c r="BD38" s="6"/>
      <c r="BE38" s="56">
        <v>46242.0</v>
      </c>
      <c r="BF38" s="4"/>
      <c r="BG38" s="6"/>
      <c r="BH38" s="48"/>
      <c r="BI38" s="4"/>
      <c r="BJ38" s="6"/>
      <c r="BK38" s="49"/>
      <c r="BL38" s="4"/>
      <c r="BM38" s="4"/>
      <c r="BN38" s="4"/>
      <c r="BO38" s="4"/>
      <c r="BP38" s="4"/>
      <c r="BQ38" s="6"/>
    </row>
    <row r="39" ht="159.75" customHeight="1">
      <c r="A39" s="47">
        <v>24.0</v>
      </c>
      <c r="B39" s="49" t="s">
        <v>372</v>
      </c>
      <c r="C39" s="4"/>
      <c r="D39" s="6"/>
      <c r="E39" s="49" t="s">
        <v>373</v>
      </c>
      <c r="F39" s="4"/>
      <c r="G39" s="4"/>
      <c r="H39" s="4"/>
      <c r="I39" s="6"/>
      <c r="J39" s="49" t="s">
        <v>374</v>
      </c>
      <c r="K39" s="4"/>
      <c r="L39" s="4"/>
      <c r="M39" s="4"/>
      <c r="N39" s="4"/>
      <c r="O39" s="4"/>
      <c r="P39" s="6"/>
      <c r="Q39" s="49" t="s">
        <v>375</v>
      </c>
      <c r="R39" s="4"/>
      <c r="S39" s="4"/>
      <c r="T39" s="4"/>
      <c r="U39" s="4"/>
      <c r="V39" s="4"/>
      <c r="W39" s="6"/>
      <c r="X39" s="49" t="s">
        <v>376</v>
      </c>
      <c r="Y39" s="4"/>
      <c r="Z39" s="4"/>
      <c r="AA39" s="4"/>
      <c r="AB39" s="4"/>
      <c r="AC39" s="4"/>
      <c r="AD39" s="6"/>
      <c r="AE39" s="48" t="s">
        <v>203</v>
      </c>
      <c r="AF39" s="6"/>
      <c r="AG39" s="54" t="s">
        <v>48</v>
      </c>
      <c r="AH39" s="4"/>
      <c r="AI39" s="6"/>
      <c r="AJ39" s="48"/>
      <c r="AK39" s="4"/>
      <c r="AL39" s="6"/>
      <c r="AM39" s="55" t="s">
        <v>176</v>
      </c>
      <c r="AN39" s="4"/>
      <c r="AO39" s="6"/>
      <c r="AP39" s="61">
        <v>46220.0</v>
      </c>
      <c r="AQ39" s="4"/>
      <c r="AR39" s="6"/>
      <c r="AS39" s="48"/>
      <c r="AT39" s="4"/>
      <c r="AU39" s="6"/>
      <c r="AV39" s="54" t="s">
        <v>48</v>
      </c>
      <c r="AW39" s="4"/>
      <c r="AX39" s="6"/>
      <c r="AY39" s="48"/>
      <c r="AZ39" s="4"/>
      <c r="BA39" s="6"/>
      <c r="BB39" s="55" t="s">
        <v>176</v>
      </c>
      <c r="BC39" s="4"/>
      <c r="BD39" s="6"/>
      <c r="BE39" s="56">
        <v>46242.0</v>
      </c>
      <c r="BF39" s="4"/>
      <c r="BG39" s="6"/>
      <c r="BH39" s="48"/>
      <c r="BI39" s="4"/>
      <c r="BJ39" s="6"/>
      <c r="BK39" s="49"/>
      <c r="BL39" s="4"/>
      <c r="BM39" s="4"/>
      <c r="BN39" s="4"/>
      <c r="BO39" s="4"/>
      <c r="BP39" s="4"/>
      <c r="BQ39" s="6"/>
    </row>
    <row r="40" ht="144.0" customHeight="1">
      <c r="A40" s="47">
        <v>25.0</v>
      </c>
      <c r="B40" s="49" t="s">
        <v>377</v>
      </c>
      <c r="C40" s="4"/>
      <c r="D40" s="6"/>
      <c r="E40" s="49" t="s">
        <v>378</v>
      </c>
      <c r="F40" s="4"/>
      <c r="G40" s="4"/>
      <c r="H40" s="4"/>
      <c r="I40" s="6"/>
      <c r="J40" s="49" t="s">
        <v>379</v>
      </c>
      <c r="K40" s="4"/>
      <c r="L40" s="4"/>
      <c r="M40" s="4"/>
      <c r="N40" s="4"/>
      <c r="O40" s="4"/>
      <c r="P40" s="6"/>
      <c r="Q40" s="49" t="s">
        <v>380</v>
      </c>
      <c r="R40" s="4"/>
      <c r="S40" s="4"/>
      <c r="T40" s="4"/>
      <c r="U40" s="4"/>
      <c r="V40" s="4"/>
      <c r="W40" s="6"/>
      <c r="X40" s="49" t="s">
        <v>381</v>
      </c>
      <c r="Y40" s="4"/>
      <c r="Z40" s="4"/>
      <c r="AA40" s="4"/>
      <c r="AB40" s="4"/>
      <c r="AC40" s="4"/>
      <c r="AD40" s="6"/>
      <c r="AE40" s="48" t="s">
        <v>203</v>
      </c>
      <c r="AF40" s="6"/>
      <c r="AG40" s="54" t="s">
        <v>48</v>
      </c>
      <c r="AH40" s="4"/>
      <c r="AI40" s="6"/>
      <c r="AJ40" s="48"/>
      <c r="AK40" s="4"/>
      <c r="AL40" s="6"/>
      <c r="AM40" s="55" t="s">
        <v>176</v>
      </c>
      <c r="AN40" s="4"/>
      <c r="AO40" s="6"/>
      <c r="AP40" s="61">
        <v>46220.0</v>
      </c>
      <c r="AQ40" s="4"/>
      <c r="AR40" s="6"/>
      <c r="AS40" s="48"/>
      <c r="AT40" s="4"/>
      <c r="AU40" s="6"/>
      <c r="AV40" s="54" t="s">
        <v>48</v>
      </c>
      <c r="AW40" s="4"/>
      <c r="AX40" s="6"/>
      <c r="AY40" s="48"/>
      <c r="AZ40" s="4"/>
      <c r="BA40" s="6"/>
      <c r="BB40" s="55" t="s">
        <v>176</v>
      </c>
      <c r="BC40" s="4"/>
      <c r="BD40" s="6"/>
      <c r="BE40" s="56">
        <v>46242.0</v>
      </c>
      <c r="BF40" s="4"/>
      <c r="BG40" s="6"/>
      <c r="BH40" s="48"/>
      <c r="BI40" s="4"/>
      <c r="BJ40" s="6"/>
      <c r="BK40" s="49"/>
      <c r="BL40" s="4"/>
      <c r="BM40" s="4"/>
      <c r="BN40" s="4"/>
      <c r="BO40" s="4"/>
      <c r="BP40" s="4"/>
      <c r="BQ40" s="6"/>
    </row>
    <row r="41">
      <c r="A41" s="47">
        <v>26.0</v>
      </c>
      <c r="B41" s="49" t="s">
        <v>382</v>
      </c>
      <c r="C41" s="4"/>
      <c r="D41" s="6"/>
      <c r="E41" s="49" t="s">
        <v>383</v>
      </c>
      <c r="F41" s="4"/>
      <c r="G41" s="4"/>
      <c r="H41" s="4"/>
      <c r="I41" s="6"/>
      <c r="J41" s="49" t="s">
        <v>384</v>
      </c>
      <c r="K41" s="4"/>
      <c r="L41" s="4"/>
      <c r="M41" s="4"/>
      <c r="N41" s="4"/>
      <c r="O41" s="4"/>
      <c r="P41" s="6"/>
      <c r="Q41" s="49" t="s">
        <v>385</v>
      </c>
      <c r="R41" s="4"/>
      <c r="S41" s="4"/>
      <c r="T41" s="4"/>
      <c r="U41" s="4"/>
      <c r="V41" s="4"/>
      <c r="W41" s="6"/>
      <c r="X41" s="49" t="s">
        <v>386</v>
      </c>
      <c r="Y41" s="4"/>
      <c r="Z41" s="4"/>
      <c r="AA41" s="4"/>
      <c r="AB41" s="4"/>
      <c r="AC41" s="4"/>
      <c r="AD41" s="6"/>
      <c r="AE41" s="48" t="s">
        <v>203</v>
      </c>
      <c r="AF41" s="6"/>
      <c r="AG41" s="54" t="s">
        <v>48</v>
      </c>
      <c r="AH41" s="4"/>
      <c r="AI41" s="6"/>
      <c r="AJ41" s="48"/>
      <c r="AK41" s="4"/>
      <c r="AL41" s="6"/>
      <c r="AM41" s="55" t="s">
        <v>176</v>
      </c>
      <c r="AN41" s="4"/>
      <c r="AO41" s="6"/>
      <c r="AP41" s="61">
        <v>46220.0</v>
      </c>
      <c r="AQ41" s="4"/>
      <c r="AR41" s="6"/>
      <c r="AS41" s="48"/>
      <c r="AT41" s="4"/>
      <c r="AU41" s="6"/>
      <c r="AV41" s="54" t="s">
        <v>48</v>
      </c>
      <c r="AW41" s="4"/>
      <c r="AX41" s="6"/>
      <c r="AY41" s="48"/>
      <c r="AZ41" s="4"/>
      <c r="BA41" s="6"/>
      <c r="BB41" s="55" t="s">
        <v>176</v>
      </c>
      <c r="BC41" s="4"/>
      <c r="BD41" s="6"/>
      <c r="BE41" s="56">
        <v>46242.0</v>
      </c>
      <c r="BF41" s="4"/>
      <c r="BG41" s="6"/>
      <c r="BH41" s="48"/>
      <c r="BI41" s="4"/>
      <c r="BJ41" s="6"/>
      <c r="BK41" s="49"/>
      <c r="BL41" s="4"/>
      <c r="BM41" s="4"/>
      <c r="BN41" s="4"/>
      <c r="BO41" s="4"/>
      <c r="BP41" s="4"/>
      <c r="BQ41" s="6"/>
    </row>
    <row r="42" ht="63.75" customHeight="1">
      <c r="A42" s="47">
        <v>27.0</v>
      </c>
      <c r="B42" s="49" t="s">
        <v>387</v>
      </c>
      <c r="C42" s="4"/>
      <c r="D42" s="6"/>
      <c r="E42" s="49" t="s">
        <v>388</v>
      </c>
      <c r="F42" s="4"/>
      <c r="G42" s="4"/>
      <c r="H42" s="4"/>
      <c r="I42" s="6"/>
      <c r="J42" s="49" t="s">
        <v>389</v>
      </c>
      <c r="K42" s="4"/>
      <c r="L42" s="4"/>
      <c r="M42" s="4"/>
      <c r="N42" s="4"/>
      <c r="O42" s="4"/>
      <c r="P42" s="6"/>
      <c r="Q42" s="49" t="s">
        <v>390</v>
      </c>
      <c r="R42" s="4"/>
      <c r="S42" s="4"/>
      <c r="T42" s="4"/>
      <c r="U42" s="4"/>
      <c r="V42" s="4"/>
      <c r="W42" s="6"/>
      <c r="X42" s="49" t="s">
        <v>391</v>
      </c>
      <c r="Y42" s="4"/>
      <c r="Z42" s="4"/>
      <c r="AA42" s="4"/>
      <c r="AB42" s="4"/>
      <c r="AC42" s="4"/>
      <c r="AD42" s="6"/>
      <c r="AE42" s="48" t="s">
        <v>203</v>
      </c>
      <c r="AF42" s="6"/>
      <c r="AG42" s="54" t="s">
        <v>48</v>
      </c>
      <c r="AH42" s="4"/>
      <c r="AI42" s="6"/>
      <c r="AJ42" s="48"/>
      <c r="AK42" s="4"/>
      <c r="AL42" s="6"/>
      <c r="AM42" s="55" t="s">
        <v>176</v>
      </c>
      <c r="AN42" s="4"/>
      <c r="AO42" s="6"/>
      <c r="AP42" s="61">
        <v>46220.0</v>
      </c>
      <c r="AQ42" s="4"/>
      <c r="AR42" s="6"/>
      <c r="AS42" s="48"/>
      <c r="AT42" s="4"/>
      <c r="AU42" s="6"/>
      <c r="AV42" s="54" t="s">
        <v>48</v>
      </c>
      <c r="AW42" s="4"/>
      <c r="AX42" s="6"/>
      <c r="AY42" s="48"/>
      <c r="AZ42" s="4"/>
      <c r="BA42" s="6"/>
      <c r="BB42" s="55" t="s">
        <v>176</v>
      </c>
      <c r="BC42" s="4"/>
      <c r="BD42" s="6"/>
      <c r="BE42" s="56">
        <v>46242.0</v>
      </c>
      <c r="BF42" s="4"/>
      <c r="BG42" s="6"/>
      <c r="BH42" s="48"/>
      <c r="BI42" s="4"/>
      <c r="BJ42" s="6"/>
      <c r="BK42" s="49"/>
      <c r="BL42" s="4"/>
      <c r="BM42" s="4"/>
      <c r="BN42" s="4"/>
      <c r="BO42" s="4"/>
      <c r="BP42" s="4"/>
      <c r="BQ42" s="6"/>
    </row>
    <row r="43" ht="63.75" customHeight="1">
      <c r="A43" s="47">
        <v>28.0</v>
      </c>
      <c r="B43" s="49" t="s">
        <v>392</v>
      </c>
      <c r="C43" s="4"/>
      <c r="D43" s="6"/>
      <c r="E43" s="49" t="s">
        <v>393</v>
      </c>
      <c r="F43" s="4"/>
      <c r="G43" s="4"/>
      <c r="H43" s="4"/>
      <c r="I43" s="6"/>
      <c r="J43" s="49" t="s">
        <v>394</v>
      </c>
      <c r="K43" s="4"/>
      <c r="L43" s="4"/>
      <c r="M43" s="4"/>
      <c r="N43" s="4"/>
      <c r="O43" s="4"/>
      <c r="P43" s="6"/>
      <c r="Q43" s="49" t="s">
        <v>395</v>
      </c>
      <c r="R43" s="4"/>
      <c r="S43" s="4"/>
      <c r="T43" s="4"/>
      <c r="U43" s="4"/>
      <c r="V43" s="4"/>
      <c r="W43" s="6"/>
      <c r="X43" s="49" t="s">
        <v>396</v>
      </c>
      <c r="Y43" s="4"/>
      <c r="Z43" s="4"/>
      <c r="AA43" s="4"/>
      <c r="AB43" s="4"/>
      <c r="AC43" s="4"/>
      <c r="AD43" s="6"/>
      <c r="AE43" s="48" t="s">
        <v>203</v>
      </c>
      <c r="AF43" s="6"/>
      <c r="AG43" s="54" t="s">
        <v>48</v>
      </c>
      <c r="AH43" s="4"/>
      <c r="AI43" s="6"/>
      <c r="AJ43" s="48"/>
      <c r="AK43" s="4"/>
      <c r="AL43" s="6"/>
      <c r="AM43" s="55" t="s">
        <v>176</v>
      </c>
      <c r="AN43" s="4"/>
      <c r="AO43" s="6"/>
      <c r="AP43" s="61">
        <v>46220.0</v>
      </c>
      <c r="AQ43" s="4"/>
      <c r="AR43" s="6"/>
      <c r="AS43" s="48"/>
      <c r="AT43" s="4"/>
      <c r="AU43" s="6"/>
      <c r="AV43" s="54" t="s">
        <v>48</v>
      </c>
      <c r="AW43" s="4"/>
      <c r="AX43" s="6"/>
      <c r="AY43" s="48"/>
      <c r="AZ43" s="4"/>
      <c r="BA43" s="6"/>
      <c r="BB43" s="55" t="s">
        <v>176</v>
      </c>
      <c r="BC43" s="4"/>
      <c r="BD43" s="6"/>
      <c r="BE43" s="56">
        <v>46242.0</v>
      </c>
      <c r="BF43" s="4"/>
      <c r="BG43" s="6"/>
      <c r="BH43" s="48"/>
      <c r="BI43" s="4"/>
      <c r="BJ43" s="6"/>
      <c r="BK43" s="49"/>
      <c r="BL43" s="4"/>
      <c r="BM43" s="4"/>
      <c r="BN43" s="4"/>
      <c r="BO43" s="4"/>
      <c r="BP43" s="4"/>
      <c r="BQ43" s="6"/>
    </row>
    <row r="44" ht="111.75" customHeight="1">
      <c r="A44" s="47">
        <v>29.0</v>
      </c>
      <c r="B44" s="49" t="s">
        <v>397</v>
      </c>
      <c r="C44" s="4"/>
      <c r="D44" s="6"/>
      <c r="E44" s="49" t="s">
        <v>398</v>
      </c>
      <c r="F44" s="4"/>
      <c r="G44" s="4"/>
      <c r="H44" s="4"/>
      <c r="I44" s="6"/>
      <c r="J44" s="49" t="s">
        <v>399</v>
      </c>
      <c r="K44" s="4"/>
      <c r="L44" s="4"/>
      <c r="M44" s="4"/>
      <c r="N44" s="4"/>
      <c r="O44" s="4"/>
      <c r="P44" s="6"/>
      <c r="Q44" s="49" t="s">
        <v>400</v>
      </c>
      <c r="R44" s="4"/>
      <c r="S44" s="4"/>
      <c r="T44" s="4"/>
      <c r="U44" s="4"/>
      <c r="V44" s="4"/>
      <c r="W44" s="6"/>
      <c r="X44" s="49" t="s">
        <v>401</v>
      </c>
      <c r="Y44" s="4"/>
      <c r="Z44" s="4"/>
      <c r="AA44" s="4"/>
      <c r="AB44" s="4"/>
      <c r="AC44" s="4"/>
      <c r="AD44" s="6"/>
      <c r="AE44" s="48" t="s">
        <v>174</v>
      </c>
      <c r="AF44" s="6"/>
      <c r="AG44" s="54" t="s">
        <v>48</v>
      </c>
      <c r="AH44" s="4"/>
      <c r="AI44" s="6"/>
      <c r="AJ44" s="48"/>
      <c r="AK44" s="4"/>
      <c r="AL44" s="6"/>
      <c r="AM44" s="55" t="s">
        <v>176</v>
      </c>
      <c r="AN44" s="4"/>
      <c r="AO44" s="6"/>
      <c r="AP44" s="61">
        <v>46220.0</v>
      </c>
      <c r="AQ44" s="4"/>
      <c r="AR44" s="6"/>
      <c r="AS44" s="48"/>
      <c r="AT44" s="4"/>
      <c r="AU44" s="6"/>
      <c r="AV44" s="54" t="s">
        <v>48</v>
      </c>
      <c r="AW44" s="4"/>
      <c r="AX44" s="6"/>
      <c r="AY44" s="48"/>
      <c r="AZ44" s="4"/>
      <c r="BA44" s="6"/>
      <c r="BB44" s="55" t="s">
        <v>176</v>
      </c>
      <c r="BC44" s="4"/>
      <c r="BD44" s="6"/>
      <c r="BE44" s="56">
        <v>46242.0</v>
      </c>
      <c r="BF44" s="4"/>
      <c r="BG44" s="6"/>
      <c r="BH44" s="48"/>
      <c r="BI44" s="4"/>
      <c r="BJ44" s="6"/>
      <c r="BK44" s="49"/>
      <c r="BL44" s="4"/>
      <c r="BM44" s="4"/>
      <c r="BN44" s="4"/>
      <c r="BO44" s="4"/>
      <c r="BP44" s="4"/>
      <c r="BQ44" s="6"/>
    </row>
    <row r="45" ht="288.0" customHeight="1">
      <c r="A45" s="47">
        <v>30.0</v>
      </c>
      <c r="B45" s="49" t="s">
        <v>402</v>
      </c>
      <c r="C45" s="4"/>
      <c r="D45" s="6"/>
      <c r="E45" s="49" t="s">
        <v>403</v>
      </c>
      <c r="F45" s="4"/>
      <c r="G45" s="4"/>
      <c r="H45" s="4"/>
      <c r="I45" s="6"/>
      <c r="J45" s="49" t="s">
        <v>404</v>
      </c>
      <c r="K45" s="4"/>
      <c r="L45" s="4"/>
      <c r="M45" s="4"/>
      <c r="N45" s="4"/>
      <c r="O45" s="4"/>
      <c r="P45" s="6"/>
      <c r="Q45" s="49" t="s">
        <v>405</v>
      </c>
      <c r="R45" s="4"/>
      <c r="S45" s="4"/>
      <c r="T45" s="4"/>
      <c r="U45" s="4"/>
      <c r="V45" s="4"/>
      <c r="W45" s="6"/>
      <c r="X45" s="49" t="s">
        <v>406</v>
      </c>
      <c r="Y45" s="4"/>
      <c r="Z45" s="4"/>
      <c r="AA45" s="4"/>
      <c r="AB45" s="4"/>
      <c r="AC45" s="4"/>
      <c r="AD45" s="6"/>
      <c r="AE45" s="48" t="s">
        <v>203</v>
      </c>
      <c r="AF45" s="6"/>
      <c r="AG45" s="54" t="s">
        <v>48</v>
      </c>
      <c r="AH45" s="4"/>
      <c r="AI45" s="6"/>
      <c r="AJ45" s="48"/>
      <c r="AK45" s="4"/>
      <c r="AL45" s="6"/>
      <c r="AM45" s="55" t="s">
        <v>176</v>
      </c>
      <c r="AN45" s="4"/>
      <c r="AO45" s="6"/>
      <c r="AP45" s="61">
        <v>46220.0</v>
      </c>
      <c r="AQ45" s="4"/>
      <c r="AR45" s="6"/>
      <c r="AS45" s="48"/>
      <c r="AT45" s="4"/>
      <c r="AU45" s="6"/>
      <c r="AV45" s="54" t="s">
        <v>48</v>
      </c>
      <c r="AW45" s="4"/>
      <c r="AX45" s="6"/>
      <c r="AY45" s="48"/>
      <c r="AZ45" s="4"/>
      <c r="BA45" s="6"/>
      <c r="BB45" s="55" t="s">
        <v>176</v>
      </c>
      <c r="BC45" s="4"/>
      <c r="BD45" s="6"/>
      <c r="BE45" s="56">
        <v>46242.0</v>
      </c>
      <c r="BF45" s="4"/>
      <c r="BG45" s="6"/>
      <c r="BH45" s="48"/>
      <c r="BI45" s="4"/>
      <c r="BJ45" s="6"/>
      <c r="BK45" s="49"/>
      <c r="BL45" s="4"/>
      <c r="BM45" s="4"/>
      <c r="BN45" s="4"/>
      <c r="BO45" s="4"/>
      <c r="BP45" s="4"/>
      <c r="BQ45" s="6"/>
    </row>
    <row r="46" ht="415.5" customHeight="1">
      <c r="A46" s="47">
        <v>31.0</v>
      </c>
      <c r="B46" s="49" t="s">
        <v>407</v>
      </c>
      <c r="C46" s="4"/>
      <c r="D46" s="6"/>
      <c r="E46" s="49" t="s">
        <v>408</v>
      </c>
      <c r="F46" s="4"/>
      <c r="G46" s="4"/>
      <c r="H46" s="4"/>
      <c r="I46" s="6"/>
      <c r="J46" s="49" t="s">
        <v>275</v>
      </c>
      <c r="K46" s="4"/>
      <c r="L46" s="4"/>
      <c r="M46" s="4"/>
      <c r="N46" s="4"/>
      <c r="O46" s="4"/>
      <c r="P46" s="6"/>
      <c r="Q46" s="49" t="s">
        <v>409</v>
      </c>
      <c r="R46" s="4"/>
      <c r="S46" s="4"/>
      <c r="T46" s="4"/>
      <c r="U46" s="4"/>
      <c r="V46" s="4"/>
      <c r="W46" s="6"/>
      <c r="X46" s="49" t="s">
        <v>410</v>
      </c>
      <c r="Y46" s="4"/>
      <c r="Z46" s="4"/>
      <c r="AA46" s="4"/>
      <c r="AB46" s="4"/>
      <c r="AC46" s="4"/>
      <c r="AD46" s="6"/>
      <c r="AE46" s="48" t="s">
        <v>203</v>
      </c>
      <c r="AF46" s="6"/>
      <c r="AG46" s="54" t="s">
        <v>48</v>
      </c>
      <c r="AH46" s="4"/>
      <c r="AI46" s="6"/>
      <c r="AJ46" s="48"/>
      <c r="AK46" s="4"/>
      <c r="AL46" s="6"/>
      <c r="AM46" s="55" t="s">
        <v>176</v>
      </c>
      <c r="AN46" s="4"/>
      <c r="AO46" s="6"/>
      <c r="AP46" s="61">
        <v>46220.0</v>
      </c>
      <c r="AQ46" s="4"/>
      <c r="AR46" s="6"/>
      <c r="AS46" s="48"/>
      <c r="AT46" s="4"/>
      <c r="AU46" s="6"/>
      <c r="AV46" s="54" t="s">
        <v>48</v>
      </c>
      <c r="AW46" s="4"/>
      <c r="AX46" s="6"/>
      <c r="AY46" s="48"/>
      <c r="AZ46" s="4"/>
      <c r="BA46" s="6"/>
      <c r="BB46" s="55" t="s">
        <v>176</v>
      </c>
      <c r="BC46" s="4"/>
      <c r="BD46" s="6"/>
      <c r="BE46" s="56">
        <v>46242.0</v>
      </c>
      <c r="BF46" s="4"/>
      <c r="BG46" s="6"/>
      <c r="BH46" s="48"/>
      <c r="BI46" s="4"/>
      <c r="BJ46" s="6"/>
      <c r="BK46" s="49"/>
      <c r="BL46" s="4"/>
      <c r="BM46" s="4"/>
      <c r="BN46" s="4"/>
      <c r="BO46" s="4"/>
      <c r="BP46" s="4"/>
      <c r="BQ46" s="6"/>
    </row>
    <row r="47" ht="223.5" customHeight="1">
      <c r="A47" s="47">
        <v>32.0</v>
      </c>
      <c r="B47" s="49" t="s">
        <v>411</v>
      </c>
      <c r="C47" s="4"/>
      <c r="D47" s="6"/>
      <c r="E47" s="49" t="s">
        <v>412</v>
      </c>
      <c r="F47" s="4"/>
      <c r="G47" s="4"/>
      <c r="H47" s="4"/>
      <c r="I47" s="6"/>
      <c r="J47" s="49" t="s">
        <v>413</v>
      </c>
      <c r="K47" s="4"/>
      <c r="L47" s="4"/>
      <c r="M47" s="4"/>
      <c r="N47" s="4"/>
      <c r="O47" s="4"/>
      <c r="P47" s="6"/>
      <c r="Q47" s="49" t="s">
        <v>414</v>
      </c>
      <c r="R47" s="4"/>
      <c r="S47" s="4"/>
      <c r="T47" s="4"/>
      <c r="U47" s="4"/>
      <c r="V47" s="4"/>
      <c r="W47" s="6"/>
      <c r="X47" s="49" t="s">
        <v>415</v>
      </c>
      <c r="Y47" s="4"/>
      <c r="Z47" s="4"/>
      <c r="AA47" s="4"/>
      <c r="AB47" s="4"/>
      <c r="AC47" s="4"/>
      <c r="AD47" s="6"/>
      <c r="AE47" s="48" t="s">
        <v>174</v>
      </c>
      <c r="AF47" s="6"/>
      <c r="AG47" s="54" t="s">
        <v>48</v>
      </c>
      <c r="AH47" s="4"/>
      <c r="AI47" s="6"/>
      <c r="AJ47" s="48"/>
      <c r="AK47" s="4"/>
      <c r="AL47" s="6"/>
      <c r="AM47" s="55" t="s">
        <v>176</v>
      </c>
      <c r="AN47" s="4"/>
      <c r="AO47" s="6"/>
      <c r="AP47" s="61">
        <v>46220.0</v>
      </c>
      <c r="AQ47" s="4"/>
      <c r="AR47" s="6"/>
      <c r="AS47" s="48"/>
      <c r="AT47" s="4"/>
      <c r="AU47" s="6"/>
      <c r="AV47" s="54" t="s">
        <v>48</v>
      </c>
      <c r="AW47" s="4"/>
      <c r="AX47" s="6"/>
      <c r="AY47" s="48"/>
      <c r="AZ47" s="4"/>
      <c r="BA47" s="6"/>
      <c r="BB47" s="55" t="s">
        <v>176</v>
      </c>
      <c r="BC47" s="4"/>
      <c r="BD47" s="6"/>
      <c r="BE47" s="56">
        <v>46242.0</v>
      </c>
      <c r="BF47" s="4"/>
      <c r="BG47" s="6"/>
      <c r="BH47" s="48"/>
      <c r="BI47" s="4"/>
      <c r="BJ47" s="6"/>
      <c r="BK47" s="49"/>
      <c r="BL47" s="4"/>
      <c r="BM47" s="4"/>
      <c r="BN47" s="4"/>
      <c r="BO47" s="4"/>
      <c r="BP47" s="4"/>
      <c r="BQ47" s="6"/>
    </row>
    <row r="48" ht="207.75" customHeight="1">
      <c r="A48" s="47">
        <v>33.0</v>
      </c>
      <c r="B48" s="49" t="s">
        <v>416</v>
      </c>
      <c r="C48" s="4"/>
      <c r="D48" s="6"/>
      <c r="E48" s="49" t="s">
        <v>417</v>
      </c>
      <c r="F48" s="4"/>
      <c r="G48" s="4"/>
      <c r="H48" s="4"/>
      <c r="I48" s="6"/>
      <c r="J48" s="49" t="s">
        <v>399</v>
      </c>
      <c r="K48" s="4"/>
      <c r="L48" s="4"/>
      <c r="M48" s="4"/>
      <c r="N48" s="4"/>
      <c r="O48" s="4"/>
      <c r="P48" s="6"/>
      <c r="Q48" s="49" t="s">
        <v>418</v>
      </c>
      <c r="R48" s="4"/>
      <c r="S48" s="4"/>
      <c r="T48" s="4"/>
      <c r="U48" s="4"/>
      <c r="V48" s="4"/>
      <c r="W48" s="6"/>
      <c r="X48" s="49" t="s">
        <v>419</v>
      </c>
      <c r="Y48" s="4"/>
      <c r="Z48" s="4"/>
      <c r="AA48" s="4"/>
      <c r="AB48" s="4"/>
      <c r="AC48" s="4"/>
      <c r="AD48" s="6"/>
      <c r="AE48" s="48" t="s">
        <v>174</v>
      </c>
      <c r="AF48" s="6"/>
      <c r="AG48" s="54" t="s">
        <v>48</v>
      </c>
      <c r="AH48" s="4"/>
      <c r="AI48" s="6"/>
      <c r="AJ48" s="48"/>
      <c r="AK48" s="4"/>
      <c r="AL48" s="6"/>
      <c r="AM48" s="55" t="s">
        <v>176</v>
      </c>
      <c r="AN48" s="4"/>
      <c r="AO48" s="6"/>
      <c r="AP48" s="61">
        <v>46220.0</v>
      </c>
      <c r="AQ48" s="4"/>
      <c r="AR48" s="6"/>
      <c r="AS48" s="48"/>
      <c r="AT48" s="4"/>
      <c r="AU48" s="6"/>
      <c r="AV48" s="54" t="s">
        <v>48</v>
      </c>
      <c r="AW48" s="4"/>
      <c r="AX48" s="6"/>
      <c r="AY48" s="48"/>
      <c r="AZ48" s="4"/>
      <c r="BA48" s="6"/>
      <c r="BB48" s="55" t="s">
        <v>176</v>
      </c>
      <c r="BC48" s="4"/>
      <c r="BD48" s="6"/>
      <c r="BE48" s="56">
        <v>46242.0</v>
      </c>
      <c r="BF48" s="4"/>
      <c r="BG48" s="6"/>
      <c r="BH48" s="48"/>
      <c r="BI48" s="4"/>
      <c r="BJ48" s="6"/>
      <c r="BK48" s="49" t="s">
        <v>267</v>
      </c>
      <c r="BL48" s="4"/>
      <c r="BM48" s="4"/>
      <c r="BN48" s="4"/>
      <c r="BO48" s="4"/>
      <c r="BP48" s="4"/>
      <c r="BQ48" s="6"/>
    </row>
    <row r="49" ht="22.5" customHeight="1">
      <c r="A49" s="8" t="s">
        <v>420</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6"/>
    </row>
    <row r="50" ht="111.75" customHeight="1">
      <c r="A50" s="47">
        <v>34.0</v>
      </c>
      <c r="B50" s="49" t="s">
        <v>421</v>
      </c>
      <c r="C50" s="4"/>
      <c r="D50" s="6"/>
      <c r="E50" s="49" t="s">
        <v>422</v>
      </c>
      <c r="F50" s="4"/>
      <c r="G50" s="4"/>
      <c r="H50" s="4"/>
      <c r="I50" s="6"/>
      <c r="J50" s="49" t="s">
        <v>275</v>
      </c>
      <c r="K50" s="4"/>
      <c r="L50" s="4"/>
      <c r="M50" s="4"/>
      <c r="N50" s="4"/>
      <c r="O50" s="4"/>
      <c r="P50" s="6"/>
      <c r="Q50" s="49" t="s">
        <v>423</v>
      </c>
      <c r="R50" s="4"/>
      <c r="S50" s="4"/>
      <c r="T50" s="4"/>
      <c r="U50" s="4"/>
      <c r="V50" s="4"/>
      <c r="W50" s="6"/>
      <c r="X50" s="49" t="s">
        <v>424</v>
      </c>
      <c r="Y50" s="4"/>
      <c r="Z50" s="4"/>
      <c r="AA50" s="4"/>
      <c r="AB50" s="4"/>
      <c r="AC50" s="4"/>
      <c r="AD50" s="6"/>
      <c r="AE50" s="48" t="s">
        <v>174</v>
      </c>
      <c r="AF50" s="6"/>
      <c r="AG50" s="54" t="s">
        <v>48</v>
      </c>
      <c r="AH50" s="4"/>
      <c r="AI50" s="6"/>
      <c r="AJ50" s="48"/>
      <c r="AK50" s="4"/>
      <c r="AL50" s="6"/>
      <c r="AM50" s="55" t="s">
        <v>176</v>
      </c>
      <c r="AN50" s="4"/>
      <c r="AO50" s="6"/>
      <c r="AP50" s="61">
        <v>46220.0</v>
      </c>
      <c r="AQ50" s="4"/>
      <c r="AR50" s="6"/>
      <c r="AS50" s="48"/>
      <c r="AT50" s="4"/>
      <c r="AU50" s="6"/>
      <c r="AV50" s="54" t="s">
        <v>48</v>
      </c>
      <c r="AW50" s="4"/>
      <c r="AX50" s="6"/>
      <c r="AY50" s="48"/>
      <c r="AZ50" s="4"/>
      <c r="BA50" s="6"/>
      <c r="BB50" s="55" t="s">
        <v>176</v>
      </c>
      <c r="BC50" s="4"/>
      <c r="BD50" s="6"/>
      <c r="BE50" s="56">
        <v>46242.0</v>
      </c>
      <c r="BF50" s="4"/>
      <c r="BG50" s="6"/>
      <c r="BH50" s="48"/>
      <c r="BI50" s="4"/>
      <c r="BJ50" s="6"/>
      <c r="BK50" s="49"/>
      <c r="BL50" s="4"/>
      <c r="BM50" s="4"/>
      <c r="BN50" s="4"/>
      <c r="BO50" s="4"/>
      <c r="BP50" s="4"/>
      <c r="BQ50" s="6"/>
    </row>
    <row r="51" ht="175.5" customHeight="1">
      <c r="A51" s="47">
        <v>35.0</v>
      </c>
      <c r="B51" s="49" t="s">
        <v>425</v>
      </c>
      <c r="C51" s="4"/>
      <c r="D51" s="6"/>
      <c r="E51" s="49" t="s">
        <v>426</v>
      </c>
      <c r="F51" s="4"/>
      <c r="G51" s="4"/>
      <c r="H51" s="4"/>
      <c r="I51" s="6"/>
      <c r="J51" s="49" t="s">
        <v>427</v>
      </c>
      <c r="K51" s="4"/>
      <c r="L51" s="4"/>
      <c r="M51" s="4"/>
      <c r="N51" s="4"/>
      <c r="O51" s="4"/>
      <c r="P51" s="6"/>
      <c r="Q51" s="49" t="s">
        <v>428</v>
      </c>
      <c r="R51" s="4"/>
      <c r="S51" s="4"/>
      <c r="T51" s="4"/>
      <c r="U51" s="4"/>
      <c r="V51" s="4"/>
      <c r="W51" s="6"/>
      <c r="X51" s="49" t="s">
        <v>429</v>
      </c>
      <c r="Y51" s="4"/>
      <c r="Z51" s="4"/>
      <c r="AA51" s="4"/>
      <c r="AB51" s="4"/>
      <c r="AC51" s="4"/>
      <c r="AD51" s="6"/>
      <c r="AE51" s="48" t="s">
        <v>174</v>
      </c>
      <c r="AF51" s="6"/>
      <c r="AG51" s="54" t="s">
        <v>48</v>
      </c>
      <c r="AH51" s="4"/>
      <c r="AI51" s="6"/>
      <c r="AJ51" s="48"/>
      <c r="AK51" s="4"/>
      <c r="AL51" s="6"/>
      <c r="AM51" s="55" t="s">
        <v>176</v>
      </c>
      <c r="AN51" s="4"/>
      <c r="AO51" s="6"/>
      <c r="AP51" s="61">
        <v>46220.0</v>
      </c>
      <c r="AQ51" s="4"/>
      <c r="AR51" s="6"/>
      <c r="AS51" s="48"/>
      <c r="AT51" s="4"/>
      <c r="AU51" s="6"/>
      <c r="AV51" s="54" t="s">
        <v>48</v>
      </c>
      <c r="AW51" s="4"/>
      <c r="AX51" s="6"/>
      <c r="AY51" s="48"/>
      <c r="AZ51" s="4"/>
      <c r="BA51" s="6"/>
      <c r="BB51" s="55" t="s">
        <v>176</v>
      </c>
      <c r="BC51" s="4"/>
      <c r="BD51" s="6"/>
      <c r="BE51" s="56">
        <v>46242.0</v>
      </c>
      <c r="BF51" s="4"/>
      <c r="BG51" s="6"/>
      <c r="BH51" s="48"/>
      <c r="BI51" s="4"/>
      <c r="BJ51" s="6"/>
      <c r="BK51" s="49"/>
      <c r="BL51" s="4"/>
      <c r="BM51" s="4"/>
      <c r="BN51" s="4"/>
      <c r="BO51" s="4"/>
      <c r="BP51" s="4"/>
      <c r="BQ51" s="6"/>
    </row>
    <row r="52" ht="144.0" customHeight="1">
      <c r="A52" s="47">
        <v>36.0</v>
      </c>
      <c r="B52" s="49" t="s">
        <v>430</v>
      </c>
      <c r="C52" s="4"/>
      <c r="D52" s="6"/>
      <c r="E52" s="49" t="s">
        <v>431</v>
      </c>
      <c r="F52" s="4"/>
      <c r="G52" s="4"/>
      <c r="H52" s="4"/>
      <c r="I52" s="6"/>
      <c r="J52" s="49" t="s">
        <v>275</v>
      </c>
      <c r="K52" s="4"/>
      <c r="L52" s="4"/>
      <c r="M52" s="4"/>
      <c r="N52" s="4"/>
      <c r="O52" s="4"/>
      <c r="P52" s="6"/>
      <c r="Q52" s="49" t="s">
        <v>432</v>
      </c>
      <c r="R52" s="4"/>
      <c r="S52" s="4"/>
      <c r="T52" s="4"/>
      <c r="U52" s="4"/>
      <c r="V52" s="4"/>
      <c r="W52" s="6"/>
      <c r="X52" s="49" t="s">
        <v>433</v>
      </c>
      <c r="Y52" s="4"/>
      <c r="Z52" s="4"/>
      <c r="AA52" s="4"/>
      <c r="AB52" s="4"/>
      <c r="AC52" s="4"/>
      <c r="AD52" s="6"/>
      <c r="AE52" s="48" t="s">
        <v>174</v>
      </c>
      <c r="AF52" s="6"/>
      <c r="AG52" s="54" t="s">
        <v>48</v>
      </c>
      <c r="AH52" s="4"/>
      <c r="AI52" s="6"/>
      <c r="AJ52" s="48"/>
      <c r="AK52" s="4"/>
      <c r="AL52" s="6"/>
      <c r="AM52" s="55" t="s">
        <v>176</v>
      </c>
      <c r="AN52" s="4"/>
      <c r="AO52" s="6"/>
      <c r="AP52" s="61">
        <v>46220.0</v>
      </c>
      <c r="AQ52" s="4"/>
      <c r="AR52" s="6"/>
      <c r="AS52" s="48"/>
      <c r="AT52" s="4"/>
      <c r="AU52" s="6"/>
      <c r="AV52" s="54" t="s">
        <v>48</v>
      </c>
      <c r="AW52" s="4"/>
      <c r="AX52" s="6"/>
      <c r="AY52" s="48"/>
      <c r="AZ52" s="4"/>
      <c r="BA52" s="6"/>
      <c r="BB52" s="55" t="s">
        <v>176</v>
      </c>
      <c r="BC52" s="4"/>
      <c r="BD52" s="6"/>
      <c r="BE52" s="56">
        <v>46242.0</v>
      </c>
      <c r="BF52" s="4"/>
      <c r="BG52" s="6"/>
      <c r="BH52" s="48"/>
      <c r="BI52" s="4"/>
      <c r="BJ52" s="6"/>
      <c r="BK52" s="49"/>
      <c r="BL52" s="4"/>
      <c r="BM52" s="4"/>
      <c r="BN52" s="4"/>
      <c r="BO52" s="4"/>
      <c r="BP52" s="4"/>
      <c r="BQ52" s="6"/>
    </row>
    <row r="53" ht="159.75" customHeight="1">
      <c r="A53" s="47">
        <v>37.0</v>
      </c>
      <c r="B53" s="49" t="s">
        <v>434</v>
      </c>
      <c r="C53" s="4"/>
      <c r="D53" s="6"/>
      <c r="E53" s="49" t="s">
        <v>435</v>
      </c>
      <c r="F53" s="4"/>
      <c r="G53" s="4"/>
      <c r="H53" s="4"/>
      <c r="I53" s="6"/>
      <c r="J53" s="49" t="s">
        <v>275</v>
      </c>
      <c r="K53" s="4"/>
      <c r="L53" s="4"/>
      <c r="M53" s="4"/>
      <c r="N53" s="4"/>
      <c r="O53" s="4"/>
      <c r="P53" s="6"/>
      <c r="Q53" s="49" t="s">
        <v>436</v>
      </c>
      <c r="R53" s="4"/>
      <c r="S53" s="4"/>
      <c r="T53" s="4"/>
      <c r="U53" s="4"/>
      <c r="V53" s="4"/>
      <c r="W53" s="6"/>
      <c r="X53" s="49" t="s">
        <v>437</v>
      </c>
      <c r="Y53" s="4"/>
      <c r="Z53" s="4"/>
      <c r="AA53" s="4"/>
      <c r="AB53" s="4"/>
      <c r="AC53" s="4"/>
      <c r="AD53" s="6"/>
      <c r="AE53" s="48" t="s">
        <v>174</v>
      </c>
      <c r="AF53" s="6"/>
      <c r="AG53" s="54" t="s">
        <v>48</v>
      </c>
      <c r="AH53" s="4"/>
      <c r="AI53" s="6"/>
      <c r="AJ53" s="48"/>
      <c r="AK53" s="4"/>
      <c r="AL53" s="6"/>
      <c r="AM53" s="55" t="s">
        <v>176</v>
      </c>
      <c r="AN53" s="4"/>
      <c r="AO53" s="6"/>
      <c r="AP53" s="61">
        <v>46220.0</v>
      </c>
      <c r="AQ53" s="4"/>
      <c r="AR53" s="6"/>
      <c r="AS53" s="48"/>
      <c r="AT53" s="4"/>
      <c r="AU53" s="6"/>
      <c r="AV53" s="54" t="s">
        <v>48</v>
      </c>
      <c r="AW53" s="4"/>
      <c r="AX53" s="6"/>
      <c r="AY53" s="48"/>
      <c r="AZ53" s="4"/>
      <c r="BA53" s="6"/>
      <c r="BB53" s="55" t="s">
        <v>176</v>
      </c>
      <c r="BC53" s="4"/>
      <c r="BD53" s="6"/>
      <c r="BE53" s="56">
        <v>46242.0</v>
      </c>
      <c r="BF53" s="4"/>
      <c r="BG53" s="6"/>
      <c r="BH53" s="48"/>
      <c r="BI53" s="4"/>
      <c r="BJ53" s="6"/>
      <c r="BK53" s="49"/>
      <c r="BL53" s="4"/>
      <c r="BM53" s="4"/>
      <c r="BN53" s="4"/>
      <c r="BO53" s="4"/>
      <c r="BP53" s="4"/>
      <c r="BQ53" s="6"/>
    </row>
    <row r="54" ht="159.75" customHeight="1">
      <c r="A54" s="47">
        <v>38.0</v>
      </c>
      <c r="B54" s="49" t="s">
        <v>438</v>
      </c>
      <c r="C54" s="4"/>
      <c r="D54" s="6"/>
      <c r="E54" s="49" t="s">
        <v>439</v>
      </c>
      <c r="F54" s="4"/>
      <c r="G54" s="4"/>
      <c r="H54" s="4"/>
      <c r="I54" s="6"/>
      <c r="J54" s="49" t="s">
        <v>440</v>
      </c>
      <c r="K54" s="4"/>
      <c r="L54" s="4"/>
      <c r="M54" s="4"/>
      <c r="N54" s="4"/>
      <c r="O54" s="4"/>
      <c r="P54" s="6"/>
      <c r="Q54" s="49" t="s">
        <v>441</v>
      </c>
      <c r="R54" s="4"/>
      <c r="S54" s="4"/>
      <c r="T54" s="4"/>
      <c r="U54" s="4"/>
      <c r="V54" s="4"/>
      <c r="W54" s="6"/>
      <c r="X54" s="49" t="s">
        <v>442</v>
      </c>
      <c r="Y54" s="4"/>
      <c r="Z54" s="4"/>
      <c r="AA54" s="4"/>
      <c r="AB54" s="4"/>
      <c r="AC54" s="4"/>
      <c r="AD54" s="6"/>
      <c r="AE54" s="48" t="s">
        <v>174</v>
      </c>
      <c r="AF54" s="6"/>
      <c r="AG54" s="54" t="s">
        <v>48</v>
      </c>
      <c r="AH54" s="4"/>
      <c r="AI54" s="6"/>
      <c r="AJ54" s="48"/>
      <c r="AK54" s="4"/>
      <c r="AL54" s="6"/>
      <c r="AM54" s="55" t="s">
        <v>176</v>
      </c>
      <c r="AN54" s="4"/>
      <c r="AO54" s="6"/>
      <c r="AP54" s="61">
        <v>46220.0</v>
      </c>
      <c r="AQ54" s="4"/>
      <c r="AR54" s="6"/>
      <c r="AS54" s="48"/>
      <c r="AT54" s="4"/>
      <c r="AU54" s="6"/>
      <c r="AV54" s="54" t="s">
        <v>48</v>
      </c>
      <c r="AW54" s="4"/>
      <c r="AX54" s="6"/>
      <c r="AY54" s="48"/>
      <c r="AZ54" s="4"/>
      <c r="BA54" s="6"/>
      <c r="BB54" s="55" t="s">
        <v>176</v>
      </c>
      <c r="BC54" s="4"/>
      <c r="BD54" s="6"/>
      <c r="BE54" s="56">
        <v>46242.0</v>
      </c>
      <c r="BF54" s="4"/>
      <c r="BG54" s="6"/>
      <c r="BH54" s="48"/>
      <c r="BI54" s="4"/>
      <c r="BJ54" s="6"/>
      <c r="BK54" s="49"/>
      <c r="BL54" s="4"/>
      <c r="BM54" s="4"/>
      <c r="BN54" s="4"/>
      <c r="BO54" s="4"/>
      <c r="BP54" s="4"/>
      <c r="BQ54" s="6"/>
    </row>
    <row r="55" ht="127.5" customHeight="1">
      <c r="A55" s="47">
        <v>39.0</v>
      </c>
      <c r="B55" s="49" t="s">
        <v>443</v>
      </c>
      <c r="C55" s="4"/>
      <c r="D55" s="6"/>
      <c r="E55" s="49" t="s">
        <v>444</v>
      </c>
      <c r="F55" s="4"/>
      <c r="G55" s="4"/>
      <c r="H55" s="4"/>
      <c r="I55" s="6"/>
      <c r="J55" s="49" t="s">
        <v>275</v>
      </c>
      <c r="K55" s="4"/>
      <c r="L55" s="4"/>
      <c r="M55" s="4"/>
      <c r="N55" s="4"/>
      <c r="O55" s="4"/>
      <c r="P55" s="6"/>
      <c r="Q55" s="49" t="s">
        <v>445</v>
      </c>
      <c r="R55" s="4"/>
      <c r="S55" s="4"/>
      <c r="T55" s="4"/>
      <c r="U55" s="4"/>
      <c r="V55" s="4"/>
      <c r="W55" s="6"/>
      <c r="X55" s="49" t="s">
        <v>446</v>
      </c>
      <c r="Y55" s="4"/>
      <c r="Z55" s="4"/>
      <c r="AA55" s="4"/>
      <c r="AB55" s="4"/>
      <c r="AC55" s="4"/>
      <c r="AD55" s="6"/>
      <c r="AE55" s="48" t="s">
        <v>174</v>
      </c>
      <c r="AF55" s="6"/>
      <c r="AG55" s="54" t="s">
        <v>48</v>
      </c>
      <c r="AH55" s="4"/>
      <c r="AI55" s="6"/>
      <c r="AJ55" s="48"/>
      <c r="AK55" s="4"/>
      <c r="AL55" s="6"/>
      <c r="AM55" s="55" t="s">
        <v>176</v>
      </c>
      <c r="AN55" s="4"/>
      <c r="AO55" s="6"/>
      <c r="AP55" s="61">
        <v>46220.0</v>
      </c>
      <c r="AQ55" s="4"/>
      <c r="AR55" s="6"/>
      <c r="AS55" s="48"/>
      <c r="AT55" s="4"/>
      <c r="AU55" s="6"/>
      <c r="AV55" s="54" t="s">
        <v>48</v>
      </c>
      <c r="AW55" s="4"/>
      <c r="AX55" s="6"/>
      <c r="AY55" s="48"/>
      <c r="AZ55" s="4"/>
      <c r="BA55" s="6"/>
      <c r="BB55" s="55" t="s">
        <v>176</v>
      </c>
      <c r="BC55" s="4"/>
      <c r="BD55" s="6"/>
      <c r="BE55" s="56">
        <v>46242.0</v>
      </c>
      <c r="BF55" s="4"/>
      <c r="BG55" s="6"/>
      <c r="BH55" s="48"/>
      <c r="BI55" s="4"/>
      <c r="BJ55" s="6"/>
      <c r="BK55" s="49"/>
      <c r="BL55" s="4"/>
      <c r="BM55" s="4"/>
      <c r="BN55" s="4"/>
      <c r="BO55" s="4"/>
      <c r="BP55" s="4"/>
      <c r="BQ55" s="6"/>
    </row>
    <row r="56" ht="192.0" customHeight="1">
      <c r="A56" s="47">
        <v>40.0</v>
      </c>
      <c r="B56" s="49" t="s">
        <v>447</v>
      </c>
      <c r="C56" s="4"/>
      <c r="D56" s="6"/>
      <c r="E56" s="49" t="s">
        <v>448</v>
      </c>
      <c r="F56" s="4"/>
      <c r="G56" s="4"/>
      <c r="H56" s="4"/>
      <c r="I56" s="6"/>
      <c r="J56" s="49" t="s">
        <v>275</v>
      </c>
      <c r="K56" s="4"/>
      <c r="L56" s="4"/>
      <c r="M56" s="4"/>
      <c r="N56" s="4"/>
      <c r="O56" s="4"/>
      <c r="P56" s="6"/>
      <c r="Q56" s="49" t="s">
        <v>449</v>
      </c>
      <c r="R56" s="4"/>
      <c r="S56" s="4"/>
      <c r="T56" s="4"/>
      <c r="U56" s="4"/>
      <c r="V56" s="4"/>
      <c r="W56" s="6"/>
      <c r="X56" s="49" t="s">
        <v>450</v>
      </c>
      <c r="Y56" s="4"/>
      <c r="Z56" s="4"/>
      <c r="AA56" s="4"/>
      <c r="AB56" s="4"/>
      <c r="AC56" s="4"/>
      <c r="AD56" s="6"/>
      <c r="AE56" s="48" t="s">
        <v>174</v>
      </c>
      <c r="AF56" s="6"/>
      <c r="AG56" s="54" t="s">
        <v>48</v>
      </c>
      <c r="AH56" s="4"/>
      <c r="AI56" s="6"/>
      <c r="AJ56" s="48"/>
      <c r="AK56" s="4"/>
      <c r="AL56" s="6"/>
      <c r="AM56" s="55" t="s">
        <v>176</v>
      </c>
      <c r="AN56" s="4"/>
      <c r="AO56" s="6"/>
      <c r="AP56" s="61">
        <v>46220.0</v>
      </c>
      <c r="AQ56" s="4"/>
      <c r="AR56" s="6"/>
      <c r="AS56" s="48"/>
      <c r="AT56" s="4"/>
      <c r="AU56" s="6"/>
      <c r="AV56" s="54" t="s">
        <v>48</v>
      </c>
      <c r="AW56" s="4"/>
      <c r="AX56" s="6"/>
      <c r="AY56" s="48"/>
      <c r="AZ56" s="4"/>
      <c r="BA56" s="6"/>
      <c r="BB56" s="55" t="s">
        <v>176</v>
      </c>
      <c r="BC56" s="4"/>
      <c r="BD56" s="6"/>
      <c r="BE56" s="56">
        <v>46242.0</v>
      </c>
      <c r="BF56" s="4"/>
      <c r="BG56" s="6"/>
      <c r="BH56" s="48"/>
      <c r="BI56" s="4"/>
      <c r="BJ56" s="6"/>
      <c r="BK56" s="49"/>
      <c r="BL56" s="4"/>
      <c r="BM56" s="4"/>
      <c r="BN56" s="4"/>
      <c r="BO56" s="4"/>
      <c r="BP56" s="4"/>
      <c r="BQ56" s="6"/>
    </row>
    <row r="57" ht="22.5" customHeight="1">
      <c r="A57" s="8" t="s">
        <v>451</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6"/>
    </row>
    <row r="58" ht="192.0" customHeight="1">
      <c r="A58" s="47">
        <v>41.0</v>
      </c>
      <c r="B58" s="49" t="s">
        <v>452</v>
      </c>
      <c r="C58" s="4"/>
      <c r="D58" s="6"/>
      <c r="E58" s="49" t="s">
        <v>453</v>
      </c>
      <c r="F58" s="4"/>
      <c r="G58" s="4"/>
      <c r="H58" s="4"/>
      <c r="I58" s="6"/>
      <c r="J58" s="49" t="s">
        <v>454</v>
      </c>
      <c r="K58" s="4"/>
      <c r="L58" s="4"/>
      <c r="M58" s="4"/>
      <c r="N58" s="4"/>
      <c r="O58" s="4"/>
      <c r="P58" s="6"/>
      <c r="Q58" s="49" t="s">
        <v>455</v>
      </c>
      <c r="R58" s="4"/>
      <c r="S58" s="4"/>
      <c r="T58" s="4"/>
      <c r="U58" s="4"/>
      <c r="V58" s="4"/>
      <c r="W58" s="6"/>
      <c r="X58" s="49" t="s">
        <v>456</v>
      </c>
      <c r="Y58" s="4"/>
      <c r="Z58" s="4"/>
      <c r="AA58" s="4"/>
      <c r="AB58" s="4"/>
      <c r="AC58" s="4"/>
      <c r="AD58" s="6"/>
      <c r="AE58" s="48" t="s">
        <v>203</v>
      </c>
      <c r="AF58" s="6"/>
      <c r="AG58" s="54" t="s">
        <v>48</v>
      </c>
      <c r="AH58" s="4"/>
      <c r="AI58" s="6"/>
      <c r="AJ58" s="48"/>
      <c r="AK58" s="4"/>
      <c r="AL58" s="6"/>
      <c r="AM58" s="55" t="s">
        <v>176</v>
      </c>
      <c r="AN58" s="4"/>
      <c r="AO58" s="6"/>
      <c r="AP58" s="61">
        <v>46220.0</v>
      </c>
      <c r="AQ58" s="4"/>
      <c r="AR58" s="6"/>
      <c r="AS58" s="48"/>
      <c r="AT58" s="4"/>
      <c r="AU58" s="6"/>
      <c r="AV58" s="54" t="s">
        <v>48</v>
      </c>
      <c r="AW58" s="4"/>
      <c r="AX58" s="6"/>
      <c r="AY58" s="48"/>
      <c r="AZ58" s="4"/>
      <c r="BA58" s="6"/>
      <c r="BB58" s="55" t="s">
        <v>176</v>
      </c>
      <c r="BC58" s="4"/>
      <c r="BD58" s="6"/>
      <c r="BE58" s="56">
        <v>46242.0</v>
      </c>
      <c r="BF58" s="4"/>
      <c r="BG58" s="6"/>
      <c r="BH58" s="48"/>
      <c r="BI58" s="4"/>
      <c r="BJ58" s="6"/>
      <c r="BK58" s="49" t="s">
        <v>457</v>
      </c>
      <c r="BL58" s="4"/>
      <c r="BM58" s="4"/>
      <c r="BN58" s="4"/>
      <c r="BO58" s="4"/>
      <c r="BP58" s="4"/>
      <c r="BQ58" s="6"/>
    </row>
    <row r="59" ht="127.5" customHeight="1">
      <c r="A59" s="47">
        <v>42.0</v>
      </c>
      <c r="B59" s="49" t="s">
        <v>458</v>
      </c>
      <c r="C59" s="4"/>
      <c r="D59" s="6"/>
      <c r="E59" s="49" t="s">
        <v>459</v>
      </c>
      <c r="F59" s="4"/>
      <c r="G59" s="4"/>
      <c r="H59" s="4"/>
      <c r="I59" s="6"/>
      <c r="J59" s="49" t="s">
        <v>460</v>
      </c>
      <c r="K59" s="4"/>
      <c r="L59" s="4"/>
      <c r="M59" s="4"/>
      <c r="N59" s="4"/>
      <c r="O59" s="4"/>
      <c r="P59" s="6"/>
      <c r="Q59" s="49" t="s">
        <v>461</v>
      </c>
      <c r="R59" s="4"/>
      <c r="S59" s="4"/>
      <c r="T59" s="4"/>
      <c r="U59" s="4"/>
      <c r="V59" s="4"/>
      <c r="W59" s="6"/>
      <c r="X59" s="49" t="s">
        <v>462</v>
      </c>
      <c r="Y59" s="4"/>
      <c r="Z59" s="4"/>
      <c r="AA59" s="4"/>
      <c r="AB59" s="4"/>
      <c r="AC59" s="4"/>
      <c r="AD59" s="6"/>
      <c r="AE59" s="48" t="s">
        <v>203</v>
      </c>
      <c r="AF59" s="6"/>
      <c r="AG59" s="54" t="s">
        <v>48</v>
      </c>
      <c r="AH59" s="4"/>
      <c r="AI59" s="6"/>
      <c r="AJ59" s="48"/>
      <c r="AK59" s="4"/>
      <c r="AL59" s="6"/>
      <c r="AM59" s="55" t="s">
        <v>176</v>
      </c>
      <c r="AN59" s="4"/>
      <c r="AO59" s="6"/>
      <c r="AP59" s="61">
        <v>46220.0</v>
      </c>
      <c r="AQ59" s="4"/>
      <c r="AR59" s="6"/>
      <c r="AS59" s="48"/>
      <c r="AT59" s="4"/>
      <c r="AU59" s="6"/>
      <c r="AV59" s="54" t="s">
        <v>48</v>
      </c>
      <c r="AW59" s="4"/>
      <c r="AX59" s="6"/>
      <c r="AY59" s="48"/>
      <c r="AZ59" s="4"/>
      <c r="BA59" s="6"/>
      <c r="BB59" s="55" t="s">
        <v>176</v>
      </c>
      <c r="BC59" s="4"/>
      <c r="BD59" s="6"/>
      <c r="BE59" s="56">
        <v>46242.0</v>
      </c>
      <c r="BF59" s="4"/>
      <c r="BG59" s="6"/>
      <c r="BH59" s="48"/>
      <c r="BI59" s="4"/>
      <c r="BJ59" s="6"/>
      <c r="BK59" s="49" t="s">
        <v>457</v>
      </c>
      <c r="BL59" s="4"/>
      <c r="BM59" s="4"/>
      <c r="BN59" s="4"/>
      <c r="BO59" s="4"/>
      <c r="BP59" s="4"/>
      <c r="BQ59" s="6"/>
    </row>
    <row r="60" ht="192.0" customHeight="1">
      <c r="A60" s="47">
        <v>43.0</v>
      </c>
      <c r="B60" s="49" t="s">
        <v>463</v>
      </c>
      <c r="C60" s="4"/>
      <c r="D60" s="6"/>
      <c r="E60" s="49" t="s">
        <v>464</v>
      </c>
      <c r="F60" s="4"/>
      <c r="G60" s="4"/>
      <c r="H60" s="4"/>
      <c r="I60" s="6"/>
      <c r="J60" s="49" t="s">
        <v>465</v>
      </c>
      <c r="K60" s="4"/>
      <c r="L60" s="4"/>
      <c r="M60" s="4"/>
      <c r="N60" s="4"/>
      <c r="O60" s="4"/>
      <c r="P60" s="6"/>
      <c r="Q60" s="49" t="s">
        <v>466</v>
      </c>
      <c r="R60" s="4"/>
      <c r="S60" s="4"/>
      <c r="T60" s="4"/>
      <c r="U60" s="4"/>
      <c r="V60" s="4"/>
      <c r="W60" s="6"/>
      <c r="X60" s="49" t="s">
        <v>467</v>
      </c>
      <c r="Y60" s="4"/>
      <c r="Z60" s="4"/>
      <c r="AA60" s="4"/>
      <c r="AB60" s="4"/>
      <c r="AC60" s="4"/>
      <c r="AD60" s="6"/>
      <c r="AE60" s="48" t="s">
        <v>203</v>
      </c>
      <c r="AF60" s="6"/>
      <c r="AG60" s="54" t="s">
        <v>48</v>
      </c>
      <c r="AH60" s="4"/>
      <c r="AI60" s="6"/>
      <c r="AJ60" s="48"/>
      <c r="AK60" s="4"/>
      <c r="AL60" s="6"/>
      <c r="AM60" s="55" t="s">
        <v>176</v>
      </c>
      <c r="AN60" s="4"/>
      <c r="AO60" s="6"/>
      <c r="AP60" s="61">
        <v>46220.0</v>
      </c>
      <c r="AQ60" s="4"/>
      <c r="AR60" s="6"/>
      <c r="AS60" s="48"/>
      <c r="AT60" s="4"/>
      <c r="AU60" s="6"/>
      <c r="AV60" s="54" t="s">
        <v>48</v>
      </c>
      <c r="AW60" s="4"/>
      <c r="AX60" s="6"/>
      <c r="AY60" s="48"/>
      <c r="AZ60" s="4"/>
      <c r="BA60" s="6"/>
      <c r="BB60" s="55" t="s">
        <v>176</v>
      </c>
      <c r="BC60" s="4"/>
      <c r="BD60" s="6"/>
      <c r="BE60" s="56">
        <v>46242.0</v>
      </c>
      <c r="BF60" s="4"/>
      <c r="BG60" s="6"/>
      <c r="BH60" s="48"/>
      <c r="BI60" s="4"/>
      <c r="BJ60" s="6"/>
      <c r="BK60" s="49" t="s">
        <v>468</v>
      </c>
      <c r="BL60" s="4"/>
      <c r="BM60" s="4"/>
      <c r="BN60" s="4"/>
      <c r="BO60" s="4"/>
      <c r="BP60" s="4"/>
      <c r="BQ60" s="6"/>
    </row>
    <row r="61" ht="159.75" customHeight="1">
      <c r="A61" s="47">
        <v>44.0</v>
      </c>
      <c r="B61" s="49" t="s">
        <v>469</v>
      </c>
      <c r="C61" s="4"/>
      <c r="D61" s="6"/>
      <c r="E61" s="49" t="s">
        <v>470</v>
      </c>
      <c r="F61" s="4"/>
      <c r="G61" s="4"/>
      <c r="H61" s="4"/>
      <c r="I61" s="6"/>
      <c r="J61" s="49" t="s">
        <v>471</v>
      </c>
      <c r="K61" s="4"/>
      <c r="L61" s="4"/>
      <c r="M61" s="4"/>
      <c r="N61" s="4"/>
      <c r="O61" s="4"/>
      <c r="P61" s="6"/>
      <c r="Q61" s="49" t="s">
        <v>472</v>
      </c>
      <c r="R61" s="4"/>
      <c r="S61" s="4"/>
      <c r="T61" s="4"/>
      <c r="U61" s="4"/>
      <c r="V61" s="4"/>
      <c r="W61" s="6"/>
      <c r="X61" s="49" t="s">
        <v>473</v>
      </c>
      <c r="Y61" s="4"/>
      <c r="Z61" s="4"/>
      <c r="AA61" s="4"/>
      <c r="AB61" s="4"/>
      <c r="AC61" s="4"/>
      <c r="AD61" s="6"/>
      <c r="AE61" s="48" t="s">
        <v>203</v>
      </c>
      <c r="AF61" s="6"/>
      <c r="AG61" s="54" t="s">
        <v>48</v>
      </c>
      <c r="AH61" s="4"/>
      <c r="AI61" s="6"/>
      <c r="AJ61" s="48"/>
      <c r="AK61" s="4"/>
      <c r="AL61" s="6"/>
      <c r="AM61" s="55" t="s">
        <v>176</v>
      </c>
      <c r="AN61" s="4"/>
      <c r="AO61" s="6"/>
      <c r="AP61" s="61">
        <v>46220.0</v>
      </c>
      <c r="AQ61" s="4"/>
      <c r="AR61" s="6"/>
      <c r="AS61" s="48"/>
      <c r="AT61" s="4"/>
      <c r="AU61" s="6"/>
      <c r="AV61" s="54" t="s">
        <v>48</v>
      </c>
      <c r="AW61" s="4"/>
      <c r="AX61" s="6"/>
      <c r="AY61" s="48"/>
      <c r="AZ61" s="4"/>
      <c r="BA61" s="6"/>
      <c r="BB61" s="55" t="s">
        <v>176</v>
      </c>
      <c r="BC61" s="4"/>
      <c r="BD61" s="6"/>
      <c r="BE61" s="56">
        <v>46242.0</v>
      </c>
      <c r="BF61" s="4"/>
      <c r="BG61" s="6"/>
      <c r="BH61" s="48"/>
      <c r="BI61" s="4"/>
      <c r="BJ61" s="6"/>
      <c r="BK61" s="49" t="s">
        <v>457</v>
      </c>
      <c r="BL61" s="4"/>
      <c r="BM61" s="4"/>
      <c r="BN61" s="4"/>
      <c r="BO61" s="4"/>
      <c r="BP61" s="4"/>
      <c r="BQ61" s="6"/>
    </row>
    <row r="62" ht="432.0" customHeight="1">
      <c r="A62" s="47">
        <v>45.0</v>
      </c>
      <c r="B62" s="49" t="s">
        <v>474</v>
      </c>
      <c r="C62" s="4"/>
      <c r="D62" s="6"/>
      <c r="E62" s="49" t="s">
        <v>475</v>
      </c>
      <c r="F62" s="4"/>
      <c r="G62" s="4"/>
      <c r="H62" s="4"/>
      <c r="I62" s="6"/>
      <c r="J62" s="49" t="s">
        <v>476</v>
      </c>
      <c r="K62" s="4"/>
      <c r="L62" s="4"/>
      <c r="M62" s="4"/>
      <c r="N62" s="4"/>
      <c r="O62" s="4"/>
      <c r="P62" s="6"/>
      <c r="Q62" s="49" t="s">
        <v>477</v>
      </c>
      <c r="R62" s="4"/>
      <c r="S62" s="4"/>
      <c r="T62" s="4"/>
      <c r="U62" s="4"/>
      <c r="V62" s="4"/>
      <c r="W62" s="6"/>
      <c r="X62" s="49" t="s">
        <v>478</v>
      </c>
      <c r="Y62" s="4"/>
      <c r="Z62" s="4"/>
      <c r="AA62" s="4"/>
      <c r="AB62" s="4"/>
      <c r="AC62" s="4"/>
      <c r="AD62" s="6"/>
      <c r="AE62" s="48" t="s">
        <v>203</v>
      </c>
      <c r="AF62" s="6"/>
      <c r="AG62" s="54" t="s">
        <v>48</v>
      </c>
      <c r="AH62" s="4"/>
      <c r="AI62" s="6"/>
      <c r="AJ62" s="48"/>
      <c r="AK62" s="4"/>
      <c r="AL62" s="6"/>
      <c r="AM62" s="55" t="s">
        <v>176</v>
      </c>
      <c r="AN62" s="4"/>
      <c r="AO62" s="6"/>
      <c r="AP62" s="61">
        <v>46220.0</v>
      </c>
      <c r="AQ62" s="4"/>
      <c r="AR62" s="6"/>
      <c r="AS62" s="48"/>
      <c r="AT62" s="4"/>
      <c r="AU62" s="6"/>
      <c r="AV62" s="54" t="s">
        <v>48</v>
      </c>
      <c r="AW62" s="4"/>
      <c r="AX62" s="6"/>
      <c r="AY62" s="48"/>
      <c r="AZ62" s="4"/>
      <c r="BA62" s="6"/>
      <c r="BB62" s="55" t="s">
        <v>176</v>
      </c>
      <c r="BC62" s="4"/>
      <c r="BD62" s="6"/>
      <c r="BE62" s="56">
        <v>46242.0</v>
      </c>
      <c r="BF62" s="4"/>
      <c r="BG62" s="6"/>
      <c r="BH62" s="48"/>
      <c r="BI62" s="4"/>
      <c r="BJ62" s="6"/>
      <c r="BK62" s="49" t="s">
        <v>479</v>
      </c>
      <c r="BL62" s="4"/>
      <c r="BM62" s="4"/>
      <c r="BN62" s="4"/>
      <c r="BO62" s="4"/>
      <c r="BP62" s="4"/>
      <c r="BQ62" s="6"/>
    </row>
    <row r="63" ht="450.0" customHeight="1">
      <c r="A63" s="47">
        <v>46.0</v>
      </c>
      <c r="B63" s="49" t="s">
        <v>480</v>
      </c>
      <c r="C63" s="4"/>
      <c r="D63" s="6"/>
      <c r="E63" s="49" t="s">
        <v>481</v>
      </c>
      <c r="F63" s="4"/>
      <c r="G63" s="4"/>
      <c r="H63" s="4"/>
      <c r="I63" s="6"/>
      <c r="J63" s="49" t="s">
        <v>482</v>
      </c>
      <c r="K63" s="4"/>
      <c r="L63" s="4"/>
      <c r="M63" s="4"/>
      <c r="N63" s="4"/>
      <c r="O63" s="4"/>
      <c r="P63" s="6"/>
      <c r="Q63" s="49" t="s">
        <v>483</v>
      </c>
      <c r="R63" s="4"/>
      <c r="S63" s="4"/>
      <c r="T63" s="4"/>
      <c r="U63" s="4"/>
      <c r="V63" s="4"/>
      <c r="W63" s="6"/>
      <c r="X63" s="49" t="s">
        <v>484</v>
      </c>
      <c r="Y63" s="4"/>
      <c r="Z63" s="4"/>
      <c r="AA63" s="4"/>
      <c r="AB63" s="4"/>
      <c r="AC63" s="4"/>
      <c r="AD63" s="6"/>
      <c r="AE63" s="48" t="s">
        <v>203</v>
      </c>
      <c r="AF63" s="6"/>
      <c r="AG63" s="54" t="s">
        <v>48</v>
      </c>
      <c r="AH63" s="4"/>
      <c r="AI63" s="6"/>
      <c r="AJ63" s="48"/>
      <c r="AK63" s="4"/>
      <c r="AL63" s="6"/>
      <c r="AM63" s="55" t="s">
        <v>176</v>
      </c>
      <c r="AN63" s="4"/>
      <c r="AO63" s="6"/>
      <c r="AP63" s="61">
        <v>46220.0</v>
      </c>
      <c r="AQ63" s="4"/>
      <c r="AR63" s="6"/>
      <c r="AS63" s="48"/>
      <c r="AT63" s="4"/>
      <c r="AU63" s="6"/>
      <c r="AV63" s="54" t="s">
        <v>48</v>
      </c>
      <c r="AW63" s="4"/>
      <c r="AX63" s="6"/>
      <c r="AY63" s="48"/>
      <c r="AZ63" s="4"/>
      <c r="BA63" s="6"/>
      <c r="BB63" s="55" t="s">
        <v>176</v>
      </c>
      <c r="BC63" s="4"/>
      <c r="BD63" s="6"/>
      <c r="BE63" s="56">
        <v>46242.0</v>
      </c>
      <c r="BF63" s="4"/>
      <c r="BG63" s="6"/>
      <c r="BH63" s="48"/>
      <c r="BI63" s="4"/>
      <c r="BJ63" s="6"/>
      <c r="BK63" s="49" t="s">
        <v>457</v>
      </c>
      <c r="BL63" s="4"/>
      <c r="BM63" s="4"/>
      <c r="BN63" s="4"/>
      <c r="BO63" s="4"/>
      <c r="BP63" s="4"/>
      <c r="BQ63" s="6"/>
    </row>
    <row r="64" ht="450.0" customHeight="1">
      <c r="A64" s="47">
        <v>47.0</v>
      </c>
      <c r="B64" s="49" t="s">
        <v>485</v>
      </c>
      <c r="C64" s="4"/>
      <c r="D64" s="6"/>
      <c r="E64" s="49" t="s">
        <v>486</v>
      </c>
      <c r="F64" s="4"/>
      <c r="G64" s="4"/>
      <c r="H64" s="4"/>
      <c r="I64" s="6"/>
      <c r="J64" s="49" t="s">
        <v>487</v>
      </c>
      <c r="K64" s="4"/>
      <c r="L64" s="4"/>
      <c r="M64" s="4"/>
      <c r="N64" s="4"/>
      <c r="O64" s="4"/>
      <c r="P64" s="6"/>
      <c r="Q64" s="49" t="s">
        <v>488</v>
      </c>
      <c r="R64" s="4"/>
      <c r="S64" s="4"/>
      <c r="T64" s="4"/>
      <c r="U64" s="4"/>
      <c r="V64" s="4"/>
      <c r="W64" s="6"/>
      <c r="X64" s="49" t="s">
        <v>489</v>
      </c>
      <c r="Y64" s="4"/>
      <c r="Z64" s="4"/>
      <c r="AA64" s="4"/>
      <c r="AB64" s="4"/>
      <c r="AC64" s="4"/>
      <c r="AD64" s="6"/>
      <c r="AE64" s="48" t="s">
        <v>203</v>
      </c>
      <c r="AF64" s="6"/>
      <c r="AG64" s="54" t="s">
        <v>48</v>
      </c>
      <c r="AH64" s="4"/>
      <c r="AI64" s="6"/>
      <c r="AJ64" s="48"/>
      <c r="AK64" s="4"/>
      <c r="AL64" s="6"/>
      <c r="AM64" s="55" t="s">
        <v>176</v>
      </c>
      <c r="AN64" s="4"/>
      <c r="AO64" s="6"/>
      <c r="AP64" s="61">
        <v>46220.0</v>
      </c>
      <c r="AQ64" s="4"/>
      <c r="AR64" s="6"/>
      <c r="AS64" s="48"/>
      <c r="AT64" s="4"/>
      <c r="AU64" s="6"/>
      <c r="AV64" s="54" t="s">
        <v>48</v>
      </c>
      <c r="AW64" s="4"/>
      <c r="AX64" s="6"/>
      <c r="AY64" s="48"/>
      <c r="AZ64" s="4"/>
      <c r="BA64" s="6"/>
      <c r="BB64" s="55" t="s">
        <v>176</v>
      </c>
      <c r="BC64" s="4"/>
      <c r="BD64" s="6"/>
      <c r="BE64" s="56">
        <v>46242.0</v>
      </c>
      <c r="BF64" s="4"/>
      <c r="BG64" s="6"/>
      <c r="BH64" s="48"/>
      <c r="BI64" s="4"/>
      <c r="BJ64" s="6"/>
      <c r="BK64" s="49" t="s">
        <v>490</v>
      </c>
      <c r="BL64" s="4"/>
      <c r="BM64" s="4"/>
      <c r="BN64" s="4"/>
      <c r="BO64" s="4"/>
      <c r="BP64" s="4"/>
      <c r="BQ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1">
    <mergeCell ref="AG58:AI58"/>
    <mergeCell ref="AJ58:AL58"/>
    <mergeCell ref="AS58:AU58"/>
    <mergeCell ref="AV58:AX58"/>
    <mergeCell ref="AY58:BA58"/>
    <mergeCell ref="AM58:AO58"/>
    <mergeCell ref="AP58:AR58"/>
    <mergeCell ref="BB58:BD58"/>
    <mergeCell ref="BE58:BG58"/>
    <mergeCell ref="BH55:BJ55"/>
    <mergeCell ref="BK55:BQ55"/>
    <mergeCell ref="BE55:BG55"/>
    <mergeCell ref="AJ55:AL55"/>
    <mergeCell ref="AS55:AU55"/>
    <mergeCell ref="AV55:AX55"/>
    <mergeCell ref="AY55:BA55"/>
    <mergeCell ref="AM55:AO55"/>
    <mergeCell ref="BB55:BD55"/>
    <mergeCell ref="AP55:AR55"/>
    <mergeCell ref="B55:D55"/>
    <mergeCell ref="E55:I55"/>
    <mergeCell ref="J55:P55"/>
    <mergeCell ref="Q55:W55"/>
    <mergeCell ref="X55:AD55"/>
    <mergeCell ref="AE55:AF55"/>
    <mergeCell ref="AG55:AI55"/>
    <mergeCell ref="BH56:BJ56"/>
    <mergeCell ref="BK56:BQ56"/>
    <mergeCell ref="BH58:BJ58"/>
    <mergeCell ref="BK58:BQ58"/>
    <mergeCell ref="BE56:BG56"/>
    <mergeCell ref="AJ56:AL56"/>
    <mergeCell ref="AS56:AU56"/>
    <mergeCell ref="AV56:AX56"/>
    <mergeCell ref="AY56:BA56"/>
    <mergeCell ref="AM56:AO56"/>
    <mergeCell ref="BB56:BD56"/>
    <mergeCell ref="AP56:AR56"/>
    <mergeCell ref="E56:I56"/>
    <mergeCell ref="J56:P56"/>
    <mergeCell ref="Q56:W56"/>
    <mergeCell ref="X56:AD56"/>
    <mergeCell ref="AE56:AF56"/>
    <mergeCell ref="AG56:AI56"/>
    <mergeCell ref="A57:BQ57"/>
    <mergeCell ref="B56:D56"/>
    <mergeCell ref="B58:D58"/>
    <mergeCell ref="E58:I58"/>
    <mergeCell ref="J58:P58"/>
    <mergeCell ref="Q58:W58"/>
    <mergeCell ref="X58:AD58"/>
    <mergeCell ref="AE58:AF58"/>
    <mergeCell ref="BE62:BG62"/>
    <mergeCell ref="BE63:BG63"/>
    <mergeCell ref="BB59:BD59"/>
    <mergeCell ref="BB60:BD60"/>
    <mergeCell ref="BB61:BD61"/>
    <mergeCell ref="BB62:BD62"/>
    <mergeCell ref="BB63:BD63"/>
    <mergeCell ref="BB64:BD64"/>
    <mergeCell ref="BE59:BG59"/>
    <mergeCell ref="BE64:BG64"/>
    <mergeCell ref="AM60:AO60"/>
    <mergeCell ref="AM61:AO61"/>
    <mergeCell ref="AM62:AO62"/>
    <mergeCell ref="AM63:AO63"/>
    <mergeCell ref="AP60:AR60"/>
    <mergeCell ref="AP61:AR61"/>
    <mergeCell ref="AP62:AR62"/>
    <mergeCell ref="AP63:AR63"/>
    <mergeCell ref="AJ64:AL64"/>
    <mergeCell ref="AS64:AU64"/>
    <mergeCell ref="AV64:AX64"/>
    <mergeCell ref="AY64:BA64"/>
    <mergeCell ref="AM59:AO59"/>
    <mergeCell ref="AM64:AO64"/>
    <mergeCell ref="AP59:AR59"/>
    <mergeCell ref="AP64:AR64"/>
    <mergeCell ref="BH64:BJ64"/>
    <mergeCell ref="BE60:BG60"/>
    <mergeCell ref="BE61:BG61"/>
    <mergeCell ref="AJ41:AL41"/>
    <mergeCell ref="AS41:AU41"/>
    <mergeCell ref="AV41:AX41"/>
    <mergeCell ref="AY41:BA41"/>
    <mergeCell ref="AM41:AO41"/>
    <mergeCell ref="BB41:BD41"/>
    <mergeCell ref="AP41:AR41"/>
    <mergeCell ref="BH41:BJ41"/>
    <mergeCell ref="BE41:BG41"/>
    <mergeCell ref="BH39:BJ39"/>
    <mergeCell ref="BK39:BQ39"/>
    <mergeCell ref="BE39:BG39"/>
    <mergeCell ref="AJ39:AL39"/>
    <mergeCell ref="AS39:AU39"/>
    <mergeCell ref="AV39:AX39"/>
    <mergeCell ref="AY39:BA39"/>
    <mergeCell ref="AM39:AO39"/>
    <mergeCell ref="BB39:BD39"/>
    <mergeCell ref="AP39:AR39"/>
    <mergeCell ref="B39:D39"/>
    <mergeCell ref="E39:I39"/>
    <mergeCell ref="J39:P39"/>
    <mergeCell ref="Q39:W39"/>
    <mergeCell ref="X39:AD39"/>
    <mergeCell ref="AE39:AF39"/>
    <mergeCell ref="AG39:AI39"/>
    <mergeCell ref="BH40:BJ40"/>
    <mergeCell ref="BK40:BQ40"/>
    <mergeCell ref="BK41:BQ41"/>
    <mergeCell ref="BE40:BG40"/>
    <mergeCell ref="AJ40:AL40"/>
    <mergeCell ref="AS40:AU40"/>
    <mergeCell ref="AV40:AX40"/>
    <mergeCell ref="AY40:BA40"/>
    <mergeCell ref="AM40:AO40"/>
    <mergeCell ref="BB40:BD40"/>
    <mergeCell ref="AP40:AR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AJ44:AL44"/>
    <mergeCell ref="AS44:AU44"/>
    <mergeCell ref="AV44:AX44"/>
    <mergeCell ref="AY44:BA44"/>
    <mergeCell ref="AM44:AO44"/>
    <mergeCell ref="BB44:BD44"/>
    <mergeCell ref="AP44:AR44"/>
    <mergeCell ref="BH44:BJ44"/>
    <mergeCell ref="BE44:BG44"/>
    <mergeCell ref="BH42:BJ42"/>
    <mergeCell ref="BK42:BQ42"/>
    <mergeCell ref="BE42:BG42"/>
    <mergeCell ref="AJ42:AL42"/>
    <mergeCell ref="AS42:AU42"/>
    <mergeCell ref="AV42:AX42"/>
    <mergeCell ref="AY42:BA42"/>
    <mergeCell ref="AM42:AO42"/>
    <mergeCell ref="BB42:BD42"/>
    <mergeCell ref="AP42:AR42"/>
    <mergeCell ref="B42:D42"/>
    <mergeCell ref="E42:I42"/>
    <mergeCell ref="J42:P42"/>
    <mergeCell ref="Q42:W42"/>
    <mergeCell ref="X42:AD42"/>
    <mergeCell ref="AE42:AF42"/>
    <mergeCell ref="AG42:AI42"/>
    <mergeCell ref="BH43:BJ43"/>
    <mergeCell ref="BK43:BQ43"/>
    <mergeCell ref="BK44:BQ44"/>
    <mergeCell ref="BE43:BG43"/>
    <mergeCell ref="AJ43:AL43"/>
    <mergeCell ref="AS43:AU43"/>
    <mergeCell ref="AV43:AX43"/>
    <mergeCell ref="AY43:BA43"/>
    <mergeCell ref="AM43:AO43"/>
    <mergeCell ref="BB43:BD43"/>
    <mergeCell ref="AP43:AR43"/>
    <mergeCell ref="B43:D43"/>
    <mergeCell ref="E43:I43"/>
    <mergeCell ref="J43:P43"/>
    <mergeCell ref="Q43:W43"/>
    <mergeCell ref="X43:AD43"/>
    <mergeCell ref="AE43:AF43"/>
    <mergeCell ref="AG43:AI43"/>
    <mergeCell ref="B44:D44"/>
    <mergeCell ref="E44:I44"/>
    <mergeCell ref="J44:P44"/>
    <mergeCell ref="Q44:W44"/>
    <mergeCell ref="X44:AD44"/>
    <mergeCell ref="AE44:AF44"/>
    <mergeCell ref="AG44:AI44"/>
    <mergeCell ref="AJ47:AL47"/>
    <mergeCell ref="AS47:AU47"/>
    <mergeCell ref="AV47:AX47"/>
    <mergeCell ref="AY47:BA47"/>
    <mergeCell ref="AM47:AO47"/>
    <mergeCell ref="BB47:BD47"/>
    <mergeCell ref="AP47:AR47"/>
    <mergeCell ref="AP48:AR48"/>
    <mergeCell ref="AP51:AR51"/>
    <mergeCell ref="AP52:AR52"/>
    <mergeCell ref="AP53:AR53"/>
    <mergeCell ref="AP54:AR54"/>
    <mergeCell ref="AM48:AO48"/>
    <mergeCell ref="AM50:AO50"/>
    <mergeCell ref="AM51:AO51"/>
    <mergeCell ref="AM52:AO52"/>
    <mergeCell ref="AM53:AO53"/>
    <mergeCell ref="AM54:AO54"/>
    <mergeCell ref="AP50:AR50"/>
    <mergeCell ref="BE47:BG47"/>
    <mergeCell ref="BE48:BG48"/>
    <mergeCell ref="BE50:BG50"/>
    <mergeCell ref="BE51:BG51"/>
    <mergeCell ref="BE52:BG52"/>
    <mergeCell ref="BE53:BG53"/>
    <mergeCell ref="BH47:BJ47"/>
    <mergeCell ref="BB48:BD48"/>
    <mergeCell ref="BB50:BD50"/>
    <mergeCell ref="BB51:BD51"/>
    <mergeCell ref="BB52:BD52"/>
    <mergeCell ref="BB53:BD53"/>
    <mergeCell ref="BB54:BD54"/>
    <mergeCell ref="BE54:BG54"/>
    <mergeCell ref="BH45:BJ45"/>
    <mergeCell ref="BK45:BQ45"/>
    <mergeCell ref="BE45:BG45"/>
    <mergeCell ref="AJ45:AL45"/>
    <mergeCell ref="AS45:AU45"/>
    <mergeCell ref="AV45:AX45"/>
    <mergeCell ref="AY45:BA45"/>
    <mergeCell ref="AM45:AO45"/>
    <mergeCell ref="BB45:BD45"/>
    <mergeCell ref="AP45:AR45"/>
    <mergeCell ref="B45:D45"/>
    <mergeCell ref="E45:I45"/>
    <mergeCell ref="J45:P45"/>
    <mergeCell ref="Q45:W45"/>
    <mergeCell ref="X45:AD45"/>
    <mergeCell ref="AE45:AF45"/>
    <mergeCell ref="AG45:AI45"/>
    <mergeCell ref="BH46:BJ46"/>
    <mergeCell ref="BK46:BQ46"/>
    <mergeCell ref="BK47:BQ47"/>
    <mergeCell ref="BE46:BG46"/>
    <mergeCell ref="AJ46:AL46"/>
    <mergeCell ref="AS46:AU46"/>
    <mergeCell ref="AV46:AX46"/>
    <mergeCell ref="AY46:BA46"/>
    <mergeCell ref="AM46:AO46"/>
    <mergeCell ref="BB46:BD46"/>
    <mergeCell ref="AP46:AR46"/>
    <mergeCell ref="B46:D46"/>
    <mergeCell ref="E46:I46"/>
    <mergeCell ref="J46:P46"/>
    <mergeCell ref="Q46:W46"/>
    <mergeCell ref="X46:AD46"/>
    <mergeCell ref="AE46:AF46"/>
    <mergeCell ref="AG46:AI46"/>
    <mergeCell ref="B47:D47"/>
    <mergeCell ref="E47:I47"/>
    <mergeCell ref="J47:P47"/>
    <mergeCell ref="Q47:W47"/>
    <mergeCell ref="X47:AD47"/>
    <mergeCell ref="AE47:AF47"/>
    <mergeCell ref="AG47:AI47"/>
    <mergeCell ref="BH62:BJ62"/>
    <mergeCell ref="BK62:BQ62"/>
    <mergeCell ref="AJ62:AL62"/>
    <mergeCell ref="AS62:AU62"/>
    <mergeCell ref="AV62:AX62"/>
    <mergeCell ref="AY62:BA62"/>
    <mergeCell ref="B62:D62"/>
    <mergeCell ref="E62:I62"/>
    <mergeCell ref="J62:P62"/>
    <mergeCell ref="Q62:W62"/>
    <mergeCell ref="X62:AD62"/>
    <mergeCell ref="AE62:AF62"/>
    <mergeCell ref="AG62:AI62"/>
    <mergeCell ref="BH63:BJ63"/>
    <mergeCell ref="BK63:BQ63"/>
    <mergeCell ref="BK64:BQ64"/>
    <mergeCell ref="AJ63:AL63"/>
    <mergeCell ref="AS63:AU63"/>
    <mergeCell ref="AV63:AX63"/>
    <mergeCell ref="AY63:BA63"/>
    <mergeCell ref="B63:D63"/>
    <mergeCell ref="E63:I63"/>
    <mergeCell ref="J63:P63"/>
    <mergeCell ref="Q63:W63"/>
    <mergeCell ref="X63:AD63"/>
    <mergeCell ref="AE63:AF63"/>
    <mergeCell ref="AG63:AI63"/>
    <mergeCell ref="B64:D64"/>
    <mergeCell ref="E64:I64"/>
    <mergeCell ref="J64:P64"/>
    <mergeCell ref="Q64:W64"/>
    <mergeCell ref="X64:AD64"/>
    <mergeCell ref="AE64:AF64"/>
    <mergeCell ref="AG64:AI64"/>
    <mergeCell ref="AG22:AI22"/>
    <mergeCell ref="AJ22:AL22"/>
    <mergeCell ref="AS22:AU22"/>
    <mergeCell ref="AV22:AX22"/>
    <mergeCell ref="AY22:BA22"/>
    <mergeCell ref="AM22:AO22"/>
    <mergeCell ref="AP22:AR22"/>
    <mergeCell ref="BB22:BD22"/>
    <mergeCell ref="BE22:BG22"/>
    <mergeCell ref="BH19:BJ19"/>
    <mergeCell ref="BK19:BQ19"/>
    <mergeCell ref="BE19:BG19"/>
    <mergeCell ref="AJ19:AL19"/>
    <mergeCell ref="AS19:AU19"/>
    <mergeCell ref="AY19:BA19"/>
    <mergeCell ref="AM19:AO19"/>
    <mergeCell ref="BB19:BD19"/>
    <mergeCell ref="AP19:AR19"/>
    <mergeCell ref="AV19:AX19"/>
    <mergeCell ref="B19:D19"/>
    <mergeCell ref="E19:I19"/>
    <mergeCell ref="J19:P19"/>
    <mergeCell ref="Q19:W19"/>
    <mergeCell ref="X19:AD19"/>
    <mergeCell ref="AE19:AF19"/>
    <mergeCell ref="AG19:AI19"/>
    <mergeCell ref="BH20:BJ20"/>
    <mergeCell ref="BK20:BQ20"/>
    <mergeCell ref="BH22:BJ22"/>
    <mergeCell ref="BK22:BQ22"/>
    <mergeCell ref="BE20:BG20"/>
    <mergeCell ref="AJ20:AL20"/>
    <mergeCell ref="AS20:AU20"/>
    <mergeCell ref="AY20:BA20"/>
    <mergeCell ref="AM20:AO20"/>
    <mergeCell ref="BB20:BD20"/>
    <mergeCell ref="AP20:AR20"/>
    <mergeCell ref="AV20:AX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AJ25:AL25"/>
    <mergeCell ref="AS25:AU25"/>
    <mergeCell ref="AV25:AX25"/>
    <mergeCell ref="AY25:BA25"/>
    <mergeCell ref="AM25:AO25"/>
    <mergeCell ref="BB25:BD25"/>
    <mergeCell ref="AP25:AR25"/>
    <mergeCell ref="BH25:BJ25"/>
    <mergeCell ref="BE25:BG25"/>
    <mergeCell ref="BH23:BJ23"/>
    <mergeCell ref="BK23:BQ23"/>
    <mergeCell ref="BE23:BG23"/>
    <mergeCell ref="AJ23:AL23"/>
    <mergeCell ref="AS23:AU23"/>
    <mergeCell ref="AV23:AX23"/>
    <mergeCell ref="AY23:BA23"/>
    <mergeCell ref="AM23:AO23"/>
    <mergeCell ref="BB23:BD23"/>
    <mergeCell ref="AP23:AR23"/>
    <mergeCell ref="B23:D23"/>
    <mergeCell ref="E23:I23"/>
    <mergeCell ref="J23:P23"/>
    <mergeCell ref="Q23:W23"/>
    <mergeCell ref="X23:AD23"/>
    <mergeCell ref="AE23:AF23"/>
    <mergeCell ref="AG23:AI23"/>
    <mergeCell ref="BH24:BJ24"/>
    <mergeCell ref="BK24:BQ24"/>
    <mergeCell ref="BK25:BQ25"/>
    <mergeCell ref="BE24:BG24"/>
    <mergeCell ref="AJ24:AL24"/>
    <mergeCell ref="AS24:AU24"/>
    <mergeCell ref="AV24:AX24"/>
    <mergeCell ref="AY24:BA24"/>
    <mergeCell ref="AM24:AO24"/>
    <mergeCell ref="BB24:BD24"/>
    <mergeCell ref="AP24:AR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AJ15:AL15"/>
    <mergeCell ref="AS15:AU15"/>
    <mergeCell ref="AY15:BA15"/>
    <mergeCell ref="AM15:AO15"/>
    <mergeCell ref="BB15:BD15"/>
    <mergeCell ref="AP15:AR15"/>
    <mergeCell ref="AV15:AX15"/>
    <mergeCell ref="BH15:BJ15"/>
    <mergeCell ref="BE15:BG15"/>
    <mergeCell ref="BH13:BJ13"/>
    <mergeCell ref="BK13:BQ13"/>
    <mergeCell ref="BE13:BG13"/>
    <mergeCell ref="AJ13:AL13"/>
    <mergeCell ref="AS13:AU13"/>
    <mergeCell ref="AV13:AX13"/>
    <mergeCell ref="AY13:BA13"/>
    <mergeCell ref="AM13:AO13"/>
    <mergeCell ref="BB13:BD13"/>
    <mergeCell ref="AP13:AR13"/>
    <mergeCell ref="B13:D13"/>
    <mergeCell ref="E13:I13"/>
    <mergeCell ref="J13:P13"/>
    <mergeCell ref="Q13:W13"/>
    <mergeCell ref="X13:AD13"/>
    <mergeCell ref="AE13:AF13"/>
    <mergeCell ref="AG13:AI13"/>
    <mergeCell ref="BH14:BJ14"/>
    <mergeCell ref="BK14:BQ14"/>
    <mergeCell ref="BK15:BQ15"/>
    <mergeCell ref="BE14:BG14"/>
    <mergeCell ref="AJ14:AL14"/>
    <mergeCell ref="AS14:AU14"/>
    <mergeCell ref="AY14:BA14"/>
    <mergeCell ref="AM14:AO14"/>
    <mergeCell ref="BB14:BD14"/>
    <mergeCell ref="AP14:AR14"/>
    <mergeCell ref="AV14:AX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AJ18:AL18"/>
    <mergeCell ref="AS18:AU18"/>
    <mergeCell ref="AY18:BA18"/>
    <mergeCell ref="AM18:AO18"/>
    <mergeCell ref="BB18:BD18"/>
    <mergeCell ref="AP18:AR18"/>
    <mergeCell ref="AV18:AX18"/>
    <mergeCell ref="BH18:BJ18"/>
    <mergeCell ref="BE18:BG18"/>
    <mergeCell ref="BH16:BJ16"/>
    <mergeCell ref="BK16:BQ16"/>
    <mergeCell ref="BE16:BG16"/>
    <mergeCell ref="AJ16:AL16"/>
    <mergeCell ref="AS16:AU16"/>
    <mergeCell ref="AY16:BA16"/>
    <mergeCell ref="AM16:AO16"/>
    <mergeCell ref="BB16:BD16"/>
    <mergeCell ref="AP16:AR16"/>
    <mergeCell ref="AV16:AX16"/>
    <mergeCell ref="B16:D16"/>
    <mergeCell ref="E16:I16"/>
    <mergeCell ref="J16:P16"/>
    <mergeCell ref="Q16:W16"/>
    <mergeCell ref="X16:AD16"/>
    <mergeCell ref="AE16:AF16"/>
    <mergeCell ref="AG16:AI16"/>
    <mergeCell ref="BH17:BJ17"/>
    <mergeCell ref="BK17:BQ17"/>
    <mergeCell ref="BK18:BQ18"/>
    <mergeCell ref="BE17:BG17"/>
    <mergeCell ref="AJ17:AL17"/>
    <mergeCell ref="AS17:AU17"/>
    <mergeCell ref="AY17:BA17"/>
    <mergeCell ref="AM17:AO17"/>
    <mergeCell ref="BB17:BD17"/>
    <mergeCell ref="AP17:AR17"/>
    <mergeCell ref="AV17:AX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AM27:AO27"/>
    <mergeCell ref="AM28:AO28"/>
    <mergeCell ref="BB27:BD27"/>
    <mergeCell ref="BB28:BD28"/>
    <mergeCell ref="AP27:AR27"/>
    <mergeCell ref="AP28:AR28"/>
    <mergeCell ref="BH28:BJ28"/>
    <mergeCell ref="BE26:BG26"/>
    <mergeCell ref="BE27:BG27"/>
    <mergeCell ref="BE28:BG28"/>
    <mergeCell ref="AJ28:AL28"/>
    <mergeCell ref="AS28:AU28"/>
    <mergeCell ref="AV28:AX28"/>
    <mergeCell ref="AY28:BA28"/>
    <mergeCell ref="AM26:AO26"/>
    <mergeCell ref="BB26:BD26"/>
    <mergeCell ref="AP26:AR26"/>
    <mergeCell ref="E28:I28"/>
    <mergeCell ref="J28:P28"/>
    <mergeCell ref="Q28:W28"/>
    <mergeCell ref="X28:AD28"/>
    <mergeCell ref="AE28:AF28"/>
    <mergeCell ref="AG28:AI28"/>
    <mergeCell ref="A29:BQ29"/>
    <mergeCell ref="B28:D28"/>
    <mergeCell ref="B30:D30"/>
    <mergeCell ref="E30:I30"/>
    <mergeCell ref="J30:P30"/>
    <mergeCell ref="Q30:W30"/>
    <mergeCell ref="X30:AD30"/>
    <mergeCell ref="AE30:AF30"/>
    <mergeCell ref="BH30:BJ30"/>
    <mergeCell ref="BK30:BQ30"/>
    <mergeCell ref="AS30:AU30"/>
    <mergeCell ref="AV30:AX30"/>
    <mergeCell ref="AY30:BA30"/>
    <mergeCell ref="AM30:AO30"/>
    <mergeCell ref="BB30:BD30"/>
    <mergeCell ref="AP30:AR30"/>
    <mergeCell ref="BE30:BG30"/>
    <mergeCell ref="BH26:BJ26"/>
    <mergeCell ref="BK26:BQ26"/>
    <mergeCell ref="AJ26:AL26"/>
    <mergeCell ref="AS26:AU26"/>
    <mergeCell ref="AV26:AX26"/>
    <mergeCell ref="AY26:BA26"/>
    <mergeCell ref="B26:D26"/>
    <mergeCell ref="E26:I26"/>
    <mergeCell ref="J26:P26"/>
    <mergeCell ref="Q26:W26"/>
    <mergeCell ref="X26:AD26"/>
    <mergeCell ref="AE26:AF26"/>
    <mergeCell ref="AG26:AI26"/>
    <mergeCell ref="BH27:BJ27"/>
    <mergeCell ref="BK27:BQ27"/>
    <mergeCell ref="BK28:BQ28"/>
    <mergeCell ref="AJ27:AL27"/>
    <mergeCell ref="AS27:AU27"/>
    <mergeCell ref="AV27:AX27"/>
    <mergeCell ref="AY27:BA27"/>
    <mergeCell ref="B27:D27"/>
    <mergeCell ref="E27:I27"/>
    <mergeCell ref="J27:P27"/>
    <mergeCell ref="Q27:W27"/>
    <mergeCell ref="X27:AD27"/>
    <mergeCell ref="AE27:AF27"/>
    <mergeCell ref="AG27:AI27"/>
    <mergeCell ref="BH31:BJ31"/>
    <mergeCell ref="BK31:BQ31"/>
    <mergeCell ref="BE31:BG31"/>
    <mergeCell ref="AJ31:AL31"/>
    <mergeCell ref="AS31:AU31"/>
    <mergeCell ref="AV31:AX31"/>
    <mergeCell ref="AY31:BA31"/>
    <mergeCell ref="AM31:AO31"/>
    <mergeCell ref="BB31:BD31"/>
    <mergeCell ref="AP31:AR31"/>
    <mergeCell ref="AJ33:AL33"/>
    <mergeCell ref="AS33:AU33"/>
    <mergeCell ref="AV33:AX33"/>
    <mergeCell ref="AY33:BA33"/>
    <mergeCell ref="AM33:AO33"/>
    <mergeCell ref="BB33:BD33"/>
    <mergeCell ref="AP33:AR33"/>
    <mergeCell ref="E33:I33"/>
    <mergeCell ref="J33:P33"/>
    <mergeCell ref="Q33:W33"/>
    <mergeCell ref="X33:AD33"/>
    <mergeCell ref="AE33:AF33"/>
    <mergeCell ref="AG33:AI33"/>
    <mergeCell ref="A34:BQ34"/>
    <mergeCell ref="BE33:BG33"/>
    <mergeCell ref="AG35:AI35"/>
    <mergeCell ref="AJ35:AL35"/>
    <mergeCell ref="AS35:AU35"/>
    <mergeCell ref="AV35:AX35"/>
    <mergeCell ref="AY35:BA35"/>
    <mergeCell ref="AM35:AO35"/>
    <mergeCell ref="AP35:AR35"/>
    <mergeCell ref="BB35:BD35"/>
    <mergeCell ref="BE35:BG35"/>
    <mergeCell ref="AE31:AF31"/>
    <mergeCell ref="AG31:AI31"/>
    <mergeCell ref="AG30:AI30"/>
    <mergeCell ref="AJ30:AL30"/>
    <mergeCell ref="B31:D31"/>
    <mergeCell ref="E31:I31"/>
    <mergeCell ref="J31:P31"/>
    <mergeCell ref="Q31:W31"/>
    <mergeCell ref="X31:AD31"/>
    <mergeCell ref="BH32:BJ32"/>
    <mergeCell ref="BK32:BQ32"/>
    <mergeCell ref="BE32:BG32"/>
    <mergeCell ref="AJ32:AL32"/>
    <mergeCell ref="AS32:AU32"/>
    <mergeCell ref="AV32:AX32"/>
    <mergeCell ref="AY32:BA32"/>
    <mergeCell ref="AM32:AO32"/>
    <mergeCell ref="BB32:BD32"/>
    <mergeCell ref="AP32:AR32"/>
    <mergeCell ref="B32:D32"/>
    <mergeCell ref="E32:I32"/>
    <mergeCell ref="J32:P32"/>
    <mergeCell ref="Q32:W32"/>
    <mergeCell ref="X32:AD32"/>
    <mergeCell ref="AE32:AF32"/>
    <mergeCell ref="AG32:AI32"/>
    <mergeCell ref="BH33:BJ33"/>
    <mergeCell ref="BK33:BQ33"/>
    <mergeCell ref="BH35:BJ35"/>
    <mergeCell ref="BK35:BQ35"/>
    <mergeCell ref="B33:D33"/>
    <mergeCell ref="B35:D35"/>
    <mergeCell ref="E35:I35"/>
    <mergeCell ref="J35:P35"/>
    <mergeCell ref="Q35:W35"/>
    <mergeCell ref="X35:AD35"/>
    <mergeCell ref="AE35:AF35"/>
    <mergeCell ref="AJ38:AL38"/>
    <mergeCell ref="AS38:AU38"/>
    <mergeCell ref="AV38:AX38"/>
    <mergeCell ref="AY38:BA38"/>
    <mergeCell ref="AM38:AO38"/>
    <mergeCell ref="BB38:BD38"/>
    <mergeCell ref="AP38:AR38"/>
    <mergeCell ref="BH38:BJ38"/>
    <mergeCell ref="BE38:BG38"/>
    <mergeCell ref="BH36:BJ36"/>
    <mergeCell ref="BK36:BQ36"/>
    <mergeCell ref="BE36:BG36"/>
    <mergeCell ref="AJ36:AL36"/>
    <mergeCell ref="AS36:AU36"/>
    <mergeCell ref="AV36:AX36"/>
    <mergeCell ref="AY36:BA36"/>
    <mergeCell ref="AM36:AO36"/>
    <mergeCell ref="BB36:BD36"/>
    <mergeCell ref="AP36:AR36"/>
    <mergeCell ref="B36:D36"/>
    <mergeCell ref="E36:I36"/>
    <mergeCell ref="J36:P36"/>
    <mergeCell ref="Q36:W36"/>
    <mergeCell ref="X36:AD36"/>
    <mergeCell ref="AE36:AF36"/>
    <mergeCell ref="AG36:AI36"/>
    <mergeCell ref="BH37:BJ37"/>
    <mergeCell ref="BK37:BQ37"/>
    <mergeCell ref="BK38:BQ38"/>
    <mergeCell ref="BE37:BG37"/>
    <mergeCell ref="AJ37:AL37"/>
    <mergeCell ref="AS37:AU37"/>
    <mergeCell ref="AV37:AX37"/>
    <mergeCell ref="AY37:BA37"/>
    <mergeCell ref="AM37:AO37"/>
    <mergeCell ref="BB37:BD37"/>
    <mergeCell ref="AP37:AR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AJ51:AL51"/>
    <mergeCell ref="AS51:AU51"/>
    <mergeCell ref="AV51:AX51"/>
    <mergeCell ref="AY51:BA51"/>
    <mergeCell ref="BH51:BJ51"/>
    <mergeCell ref="BH48:BJ48"/>
    <mergeCell ref="BK48:BQ48"/>
    <mergeCell ref="AJ48:AL48"/>
    <mergeCell ref="AS48:AU48"/>
    <mergeCell ref="AV48:AX48"/>
    <mergeCell ref="AY48:BA48"/>
    <mergeCell ref="E48:I48"/>
    <mergeCell ref="J48:P48"/>
    <mergeCell ref="Q48:W48"/>
    <mergeCell ref="X48:AD48"/>
    <mergeCell ref="AE48:AF48"/>
    <mergeCell ref="AG48:AI48"/>
    <mergeCell ref="A49:BQ49"/>
    <mergeCell ref="BH50:BJ50"/>
    <mergeCell ref="BK50:BQ50"/>
    <mergeCell ref="BK51:BQ51"/>
    <mergeCell ref="AG50:AI50"/>
    <mergeCell ref="AJ50:AL50"/>
    <mergeCell ref="AS50:AU50"/>
    <mergeCell ref="AV50:AX50"/>
    <mergeCell ref="AY50:BA50"/>
    <mergeCell ref="B48:D48"/>
    <mergeCell ref="B50:D50"/>
    <mergeCell ref="E50:I50"/>
    <mergeCell ref="J50:P50"/>
    <mergeCell ref="Q50:W50"/>
    <mergeCell ref="X50:AD50"/>
    <mergeCell ref="AE50:AF50"/>
    <mergeCell ref="B51:D51"/>
    <mergeCell ref="E51:I51"/>
    <mergeCell ref="J51:P51"/>
    <mergeCell ref="Q51:W51"/>
    <mergeCell ref="X51:AD51"/>
    <mergeCell ref="AE51:AF51"/>
    <mergeCell ref="AG51:AI51"/>
    <mergeCell ref="AJ54:AL54"/>
    <mergeCell ref="AS54:AU54"/>
    <mergeCell ref="AV54:AX54"/>
    <mergeCell ref="AY54:BA54"/>
    <mergeCell ref="BH54:BJ54"/>
    <mergeCell ref="BH52:BJ52"/>
    <mergeCell ref="BK52:BQ52"/>
    <mergeCell ref="AJ52:AL52"/>
    <mergeCell ref="AS52:AU52"/>
    <mergeCell ref="AV52:AX52"/>
    <mergeCell ref="AY52:BA52"/>
    <mergeCell ref="B52:D52"/>
    <mergeCell ref="E52:I52"/>
    <mergeCell ref="J52:P52"/>
    <mergeCell ref="Q52:W52"/>
    <mergeCell ref="X52:AD52"/>
    <mergeCell ref="AE52:AF52"/>
    <mergeCell ref="AG52:AI52"/>
    <mergeCell ref="BH53:BJ53"/>
    <mergeCell ref="BK53:BQ53"/>
    <mergeCell ref="BK54:BQ54"/>
    <mergeCell ref="AJ53:AL53"/>
    <mergeCell ref="AS53:AU53"/>
    <mergeCell ref="AV53:AX53"/>
    <mergeCell ref="AY53:BA53"/>
    <mergeCell ref="B53:D53"/>
    <mergeCell ref="E53:I53"/>
    <mergeCell ref="J53:P53"/>
    <mergeCell ref="Q53:W53"/>
    <mergeCell ref="X53:AD53"/>
    <mergeCell ref="AE53:AF53"/>
    <mergeCell ref="AG53:AI53"/>
    <mergeCell ref="B54:D54"/>
    <mergeCell ref="E54:I54"/>
    <mergeCell ref="J54:P54"/>
    <mergeCell ref="Q54:W54"/>
    <mergeCell ref="X54:AD54"/>
    <mergeCell ref="AE54:AF54"/>
    <mergeCell ref="AG54:AI54"/>
    <mergeCell ref="AJ61:AL61"/>
    <mergeCell ref="AS61:AU61"/>
    <mergeCell ref="AV61:AX61"/>
    <mergeCell ref="AY61:BA61"/>
    <mergeCell ref="BH61:BJ61"/>
    <mergeCell ref="BH59:BJ59"/>
    <mergeCell ref="BK59:BQ59"/>
    <mergeCell ref="AJ59:AL59"/>
    <mergeCell ref="AS59:AU59"/>
    <mergeCell ref="AV59:AX59"/>
    <mergeCell ref="AY59:BA59"/>
    <mergeCell ref="B59:D59"/>
    <mergeCell ref="E59:I59"/>
    <mergeCell ref="J59:P59"/>
    <mergeCell ref="Q59:W59"/>
    <mergeCell ref="X59:AD59"/>
    <mergeCell ref="AE59:AF59"/>
    <mergeCell ref="AG59:AI59"/>
    <mergeCell ref="BH60:BJ60"/>
    <mergeCell ref="BK60:BQ60"/>
    <mergeCell ref="BK61:BQ61"/>
    <mergeCell ref="AJ60:AL60"/>
    <mergeCell ref="AS60:AU60"/>
    <mergeCell ref="AV60:AX60"/>
    <mergeCell ref="AY60:BA60"/>
    <mergeCell ref="B60:D60"/>
    <mergeCell ref="E60:I60"/>
    <mergeCell ref="J60:P60"/>
    <mergeCell ref="Q60:W60"/>
    <mergeCell ref="X60:AD60"/>
    <mergeCell ref="AE60:AF60"/>
    <mergeCell ref="AG60:AI60"/>
    <mergeCell ref="B61:D61"/>
    <mergeCell ref="E61:I61"/>
    <mergeCell ref="J61:P61"/>
    <mergeCell ref="Q61:W61"/>
    <mergeCell ref="X61:AD61"/>
    <mergeCell ref="AE61:AF61"/>
    <mergeCell ref="AG61:AI61"/>
  </mergeCells>
  <dataValidations>
    <dataValidation type="list" allowBlank="1" sqref="F1">
      <formula1>"単体テスト,結合テスト,システムテスト"</formula1>
    </dataValidation>
    <dataValidation type="list" allowBlank="1" sqref="AG13:AG20 AV13:AV20 AG22:AG28 AV22:AV28 AG30:AG33 AV30:AV33 AG35:AG48 AV35:AV48 AG50:AG56 AV50:AV56 AG58:AG64 AV58:AV64">
      <formula1>"合格,不合格,未テスト,N/A"</formula1>
    </dataValidation>
    <dataValidation type="list" allowBlank="1" sqref="AE13:AE20 AE22:AE28 AE30:AE33 AE35:AE48 AE50:AE56 AE58:AE64">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2026-08-06T10:12:26Z</dcterms:created>
  <dc:creator>openpyxl</dc:creator>
</cp:coreProperties>
</file>