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概要" sheetId="3" r:id="rId6"/>
    <sheet state="visible" name="テスト報告書" sheetId="4" r:id="rId7"/>
    <sheet state="visible" name="テスト観点" sheetId="5" r:id="rId8"/>
    <sheet state="visible" name="機能" sheetId="6" r:id="rId9"/>
  </sheets>
  <definedNames/>
  <calcPr/>
  <extLst>
    <ext uri="GoogleSheetsCustomDataVersion2">
      <go:sheetsCustomData xmlns:go="http://customooxmlschemas.google.com/" r:id="rId10" roundtripDataChecksum="zyczcvU5olaY3P+K6Jr/c0jdp6gqV4awJFzYosRwYEY="/>
    </ext>
  </extLst>
</workbook>
</file>

<file path=xl/sharedStrings.xml><?xml version="1.0" encoding="utf-8"?>
<sst xmlns="http://schemas.openxmlformats.org/spreadsheetml/2006/main" count="662" uniqueCount="441">
  <si>
    <t>クラウド版購読者管理システム</t>
  </si>
  <si>
    <t>配達手数料支払情報出力画面</t>
  </si>
  <si>
    <t>版1.0</t>
  </si>
  <si>
    <t>フォーマットコード</t>
  </si>
  <si>
    <t>16-BM/PM/VTI</t>
  </si>
  <si>
    <t>フォーマットバージョン</t>
  </si>
  <si>
    <t>1.0</t>
  </si>
  <si>
    <t>発行日</t>
  </si>
  <si>
    <t>2026/06/17</t>
  </si>
  <si>
    <t>項番</t>
  </si>
  <si>
    <t>バージョン</t>
  </si>
  <si>
    <t>担当者</t>
  </si>
  <si>
    <t>変更内容</t>
  </si>
  <si>
    <t>確認者</t>
  </si>
  <si>
    <t>承認者</t>
  </si>
  <si>
    <t>Kieu Thi Diem</t>
  </si>
  <si>
    <t>Tạo bản đầu tiên</t>
  </si>
  <si>
    <t>Nguyen Huy Dat</t>
  </si>
  <si>
    <t>システム・アプリケーション名</t>
  </si>
  <si>
    <t>ドキュメント</t>
  </si>
  <si>
    <t>シート名</t>
  </si>
  <si>
    <t>作成日</t>
  </si>
  <si>
    <t>作成者</t>
  </si>
  <si>
    <t>更新日</t>
  </si>
  <si>
    <t>更新者</t>
  </si>
  <si>
    <t>テスト仕様書</t>
  </si>
  <si>
    <t>概要</t>
  </si>
  <si>
    <t>1.システム概要</t>
  </si>
  <si>
    <t>Hệ thống này là hệ thống quản lý độc giả dạng cloud dành cho JA, cung cấp các chức năng như quản lý thông tin người đăng ký, quản lý lịch sử đăng ký, quản lý dữ liệu chuyển khoản tài khoản.</t>
  </si>
  <si>
    <t>Các chức năng chính bao gồm đăng ký・cập nhật・tìm kiếm thông tin người đăng ký, quản lý lịch sử thay đổi nội dung đăng ký, tạo và quản lý dữ liệu chuyển khoản tài khoản, chức năng upload・download file, quản lý thông báo hệ thống.</t>
  </si>
  <si>
    <t>Ngoài ra, hệ thống còn hỗ trợ các chức năng bảo mật・kiểm toán như quản lý đăng nhập của người dùng, ghi lại lịch sử đăng nhập, ghi lại log thao tác của người dùng.</t>
  </si>
  <si>
    <t>2.資料目的</t>
  </si>
  <si>
    <t>Đây là tài liệu mô tả chi tiết bản đặc tả kiểm thử được tạo mới trên hệ thống tại「Màn hình xuất thông tin thanh toán phí giao hàng（ACSMS-SCR-021）」.</t>
  </si>
  <si>
    <t>3.関連資料</t>
  </si>
  <si>
    <t>No</t>
  </si>
  <si>
    <t>資料コード</t>
  </si>
  <si>
    <t>資料名</t>
  </si>
  <si>
    <t>ACSMS-SCR-021</t>
  </si>
  <si>
    <t>配達手数料支払情報出力画面 設計書</t>
  </si>
  <si>
    <t>配達手数料支払情報出力画面 API設計書</t>
  </si>
  <si>
    <t>&lt;単体/結合/システム&gt; テスト報告書</t>
  </si>
  <si>
    <t>プロジェクト名</t>
  </si>
  <si>
    <t>プロジェクトマネージャ</t>
  </si>
  <si>
    <t>#</t>
  </si>
  <si>
    <t>機能名</t>
  </si>
  <si>
    <t>テストケース分類</t>
  </si>
  <si>
    <t>合計</t>
  </si>
  <si>
    <t>テスト結果</t>
  </si>
  <si>
    <t>正常</t>
  </si>
  <si>
    <t>異常</t>
  </si>
  <si>
    <t>境界</t>
  </si>
  <si>
    <t>合格</t>
  </si>
  <si>
    <t>不合格</t>
  </si>
  <si>
    <t>未テスト</t>
  </si>
  <si>
    <t>N/A</t>
  </si>
  <si>
    <t>進捗（%）</t>
  </si>
  <si>
    <t>テスト1回目</t>
  </si>
  <si>
    <t>機能</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</si>
  <si>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</si>
  <si>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</si>
  <si>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</si>
  <si>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</si>
  <si>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</si>
  <si>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</si>
  <si>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</si>
  <si>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</si>
  <si>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</si>
  <si>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</si>
  <si>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</si>
  <si>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</si>
  <si>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</si>
  <si>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</si>
  <si>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</si>
  <si>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</si>
  <si>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</si>
  <si>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</si>
  <si>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</si>
  <si>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</si>
  <si>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</si>
  <si>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</si>
  <si>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</si>
  <si>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セッション失効／401 ハンドリング</t>
  </si>
  <si>
    <t>全システム</t>
  </si>
  <si>
    <t>VP-A-06</t>
  </si>
  <si>
    <t>XSS／HTML 描画安全性</t>
  </si>
  <si>
    <t>約20フォーム</t>
  </si>
  <si>
    <t>VP-A-07</t>
  </si>
  <si>
    <t>CSRF／Cookie セキュリティフラグ</t>
  </si>
  <si>
    <t>VP-A-08</t>
  </si>
  <si>
    <t>レート制限・Throttling</t>
  </si>
  <si>
    <t>中</t>
  </si>
  <si>
    <t>全公開API＋認証エンドポイント</t>
  </si>
  <si>
    <t>VP-A-09</t>
  </si>
  <si>
    <t>アカウントロック・解除運用</t>
  </si>
  <si>
    <t>SCR-001／002＋管理機能</t>
  </si>
  <si>
    <t>VP-A-10</t>
  </si>
  <si>
    <t>SQL インジェクション</t>
  </si>
  <si>
    <t>約20フォーム＋検索</t>
  </si>
  <si>
    <t>VP-B-01</t>
  </si>
  <si>
    <t>B. データバリデーション</t>
  </si>
  <si>
    <t>必須項目チェック</t>
  </si>
  <si>
    <t>約25フォーム</t>
  </si>
  <si>
    <t>VP-B-02</t>
  </si>
  <si>
    <t>最小／最大長境界</t>
  </si>
  <si>
    <t>VP-B-03</t>
  </si>
  <si>
    <t>形式正規表現（郵便／電話／コード）</t>
  </si>
  <si>
    <t>VP-B-04</t>
  </si>
  <si>
    <t>半角／全角ハンドリング</t>
  </si>
  <si>
    <t>VP-B-05</t>
  </si>
  <si>
    <t>日付ロジック</t>
  </si>
  <si>
    <t>約10日付付きフォーム</t>
  </si>
  <si>
    <t>VP-B-06</t>
  </si>
  <si>
    <t>通貨／パーセント形式</t>
  </si>
  <si>
    <t>2-3フォーム（単価）</t>
  </si>
  <si>
    <t>VP-B-07</t>
  </si>
  <si>
    <t>マスタコード（m_code）参照</t>
  </si>
  <si>
    <t>約15ドロップダウン付きフォーム</t>
  </si>
  <si>
    <t>VP-B-08</t>
  </si>
  <si>
    <t>キー重複（duplicate code）</t>
  </si>
  <si>
    <t>約10マスタ</t>
  </si>
  <si>
    <t>VP-B-09</t>
  </si>
  <si>
    <t>IME・全角入力・貼付ハンドリング</t>
  </si>
  <si>
    <t>全テキスト入力フォーム＋検索画面</t>
  </si>
  <si>
    <t>VP-C-01</t>
  </si>
  <si>
    <t>C. 業務ロジック</t>
  </si>
  <si>
    <t>CRUD 正常系 + DB 永続化</t>
  </si>
  <si>
    <t>VP-C-02</t>
  </si>
  <si>
    <t>同時編集競合</t>
  </si>
  <si>
    <t>約8編集画面</t>
  </si>
  <si>
    <t>VP-C-03</t>
  </si>
  <si>
    <t>論理削除 + FK 関連</t>
  </si>
  <si>
    <t>約6関連付きマスタ</t>
  </si>
  <si>
    <t>VP-C-04</t>
  </si>
  <si>
    <t>税込／税抜計算</t>
  </si>
  <si>
    <t>単価マスタ</t>
  </si>
  <si>
    <t>VP-C-05</t>
  </si>
  <si>
    <t>購読者種別ルール（読み取り専用）</t>
  </si>
  <si>
    <t>購読者マスタ</t>
  </si>
  <si>
    <t>VP-C-06</t>
  </si>
  <si>
    <t>Excel取込 部分成功</t>
  </si>
  <si>
    <t>2取込画面</t>
  </si>
  <si>
    <t>VP-C-07</t>
  </si>
  <si>
    <t>販売店一括置換</t>
  </si>
  <si>
    <t>一括置換</t>
  </si>
  <si>
    <t>VP-C-08</t>
  </si>
  <si>
    <t>レポート集計の正確性</t>
  </si>
  <si>
    <t>3レポート</t>
  </si>
  <si>
    <t>VP-D-01</t>
  </si>
  <si>
    <t>D. 統合・システム</t>
  </si>
  <si>
    <t>ログイン + MFA フロー</t>
  </si>
  <si>
    <t>SCR-001／002</t>
  </si>
  <si>
    <t>VP-D-02</t>
  </si>
  <si>
    <t>セッションスライディング 24h</t>
  </si>
  <si>
    <t>VP-D-03</t>
  </si>
  <si>
    <t>パスワード再発行フロー</t>
  </si>
  <si>
    <t>SCR-007</t>
  </si>
  <si>
    <t>VP-D-04</t>
  </si>
  <si>
    <t>監査ログの完全性</t>
  </si>
  <si>
    <t>VP-D-05</t>
  </si>
  <si>
    <t>ファイルアップロード S3</t>
  </si>
  <si>
    <t>SCR-022</t>
  </si>
  <si>
    <t>VP-D-06</t>
  </si>
  <si>
    <t>メール通知</t>
  </si>
  <si>
    <t>SCR-001／007／お知らせ</t>
  </si>
  <si>
    <t>VP-D-07</t>
  </si>
  <si>
    <t>外部 CSV 形式準拠</t>
  </si>
  <si>
    <t>SCR-008／009</t>
  </si>
  <si>
    <t>VP-D-08</t>
  </si>
  <si>
    <t>ネットワーク／500／タイムアウト</t>
  </si>
  <si>
    <t>VP-D-09</t>
  </si>
  <si>
    <t>パスワード再発行 旧token無効化＋クールダウン</t>
  </si>
  <si>
    <t>VP-E-01</t>
  </si>
  <si>
    <t>E. 非機能・ユーザビリティ</t>
  </si>
  <si>
    <t>レイアウト／デザイントークン</t>
  </si>
  <si>
    <t>低</t>
  </si>
  <si>
    <t>全画面</t>
  </si>
  <si>
    <t>VP-E-02</t>
  </si>
  <si>
    <t>レスポンシブ（モバイル／タブレット）</t>
  </si>
  <si>
    <t>VP-E-03</t>
  </si>
  <si>
    <t>キーボード操作</t>
  </si>
  <si>
    <t>VP-E-04</t>
  </si>
  <si>
    <t>ブラウザ互換性</t>
  </si>
  <si>
    <t>VP-E-05</t>
  </si>
  <si>
    <t>マルチタブセッション同期</t>
  </si>
  <si>
    <t>VP-E-07</t>
  </si>
  <si>
    <t>未保存変更ガード・ブラウザ離脱</t>
  </si>
  <si>
    <t>全 CRUD 編集フォーム</t>
  </si>
  <si>
    <t>VP-F-01</t>
  </si>
  <si>
    <t>F. 性能</t>
  </si>
  <si>
    <t>性能ベンチマーク</t>
  </si>
  <si>
    <t>全画面パフォーマンス計測対象</t>
  </si>
  <si>
    <t>VP-F-02</t>
  </si>
  <si>
    <t>大量データ表示性能</t>
  </si>
  <si>
    <t>一覧／レポート画面</t>
  </si>
  <si>
    <t>2. 観点ID 命名規約・グループ凡例</t>
  </si>
  <si>
    <t>グループ</t>
  </si>
  <si>
    <t>接頭辞</t>
  </si>
  <si>
    <t>名称</t>
  </si>
  <si>
    <t>観点数</t>
  </si>
  <si>
    <t>リスク傾向</t>
  </si>
  <si>
    <t>代表的なテスト観点</t>
  </si>
  <si>
    <t>A</t>
  </si>
  <si>
    <t>VP-A-NN</t>
  </si>
  <si>
    <t>セキュリティ・権限</t>
  </si>
  <si>
    <t>RBAC、DataScope、項目レベル制限、URL直接攻撃、セッション失効、XSS、CSRF、レート制限、アカウントロック、SQL注入</t>
  </si>
  <si>
    <t>B</t>
  </si>
  <si>
    <t>VP-B-NN</t>
  </si>
  <si>
    <t>データバリデーション</t>
  </si>
  <si>
    <t>必須／長さ／形式／半角全角／日付／通貨／m_code／重複キー／IME・貼付ハンドリング</t>
  </si>
  <si>
    <t>C</t>
  </si>
  <si>
    <t>VP-C-NN</t>
  </si>
  <si>
    <t>業務ロジック</t>
  </si>
  <si>
    <t>CRUD 永続化、同時編集競合、論理削除＋FK、税計算、購読者ルール、Excel 取込、レポート集計</t>
  </si>
  <si>
    <t>D</t>
  </si>
  <si>
    <t>VP-D-NN</t>
  </si>
  <si>
    <t>統合・システム</t>
  </si>
  <si>
    <t>ログイン＋MFA、セッション管理、パスワード再発行、監査ログ、S3、メール、CSV 準拠、ネットワーク／500</t>
  </si>
  <si>
    <t>E</t>
  </si>
  <si>
    <t>VP-E-NN</t>
  </si>
  <si>
    <t>非機能・ユーザビリティ</t>
  </si>
  <si>
    <t>低〜中</t>
  </si>
  <si>
    <t>レイアウト、レスポンシブ、キーボード操作、ブラウザ互換、マルチタブ同期、未保存変更ガード</t>
  </si>
  <si>
    <t>F</t>
  </si>
  <si>
    <t>VP-F-NN</t>
  </si>
  <si>
    <t>性能</t>
  </si>
  <si>
    <t>性能ベンチマーク、大量データ表示性能</t>
  </si>
  <si>
    <t>命名規約：VP-{グループ記号}-{NN} 形式（NN はグループ内の2桁連番）。新規観点は同グループの末尾に追加する（例：VP-A-11）。グループ記号はリスク軸による分類で、JSTQB FL の品質特性区分に準拠する。</t>
  </si>
  <si>
    <t>テストレベル</t>
  </si>
  <si>
    <t>結合テスト</t>
  </si>
  <si>
    <t>機能／モジュール</t>
  </si>
  <si>
    <t>ACSMS-SCR-021_配達手数料支払情報出力画面</t>
  </si>
  <si>
    <t>確認日</t>
  </si>
  <si>
    <t>テスト環境</t>
  </si>
  <si>
    <t>Windows 10/11, Chrome, Edge</t>
  </si>
  <si>
    <t>分類</t>
  </si>
  <si>
    <t>回目</t>
  </si>
  <si>
    <t>境界値</t>
  </si>
  <si>
    <t>1回目</t>
  </si>
  <si>
    <t>2回目</t>
  </si>
  <si>
    <t>要件ID</t>
  </si>
  <si>
    <t>説明</t>
  </si>
  <si>
    <t>前提条件</t>
  </si>
  <si>
    <t>ステップ／手順</t>
  </si>
  <si>
    <t>期待結果／アウトプット</t>
  </si>
  <si>
    <t>種類</t>
  </si>
  <si>
    <t>テスト1回目の結果</t>
  </si>
  <si>
    <t>テスト2回目の結果</t>
  </si>
  <si>
    <t>備考</t>
  </si>
  <si>
    <t>結果</t>
  </si>
  <si>
    <t>実績／
アウトプット</t>
  </si>
  <si>
    <t>確認日付
（MM/DD）</t>
  </si>
  <si>
    <t>バグID</t>
  </si>
  <si>
    <t>カテゴリ1: Kiểm soát quyền truy cập (Access Control)</t>
  </si>
  <si>
    <t>ACSMS-TC-021-001</t>
  </si>
  <si>
    <t>Cấm truy cập màn hình（NICHINO_ADMIN）</t>
  </si>
  <si>
    <t>・Đã đăng nhập bằng NICHINO_ADMIN（đã xác thực 2 bước）
・Không có quyền「haitatsuryo.export」</t>
  </si>
  <si>
    <r>
      <rPr>
        <rFont val="メイリオ"/>
        <b/>
        <color rgb="FF000000"/>
        <sz val="10.0"/>
      </rPr>
      <t xml:space="preserve">ステップ1：
</t>
    </r>
    <r>
      <rPr>
        <rFont val="メイリオ"/>
        <color rgb="FF000000"/>
        <sz val="10.0"/>
      </rPr>
      <t xml:space="preserve">Mở dashboard, xác nhận mục「配達手数料支払情報出力」không hiển thị trong sidebar
</t>
    </r>
    <r>
      <rPr>
        <rFont val="メイリオ"/>
        <b/>
        <color rgb="FF000000"/>
        <sz val="10.0"/>
      </rPr>
      <t xml:space="preserve">ステップ2：
</t>
    </r>
    <r>
      <rPr>
        <rFont val="メイリオ"/>
        <color rgb="FF000000"/>
        <sz val="10.0"/>
      </rPr>
      <t xml:space="preserve">Nhập「/haitatsuryo」vào thanh địa chỉ trình duyệt và truy cập trực tiếp
</t>
    </r>
    <r>
      <rPr>
        <rFont val="メイリオ"/>
        <b/>
        <color rgb="FF000000"/>
        <sz val="10.0"/>
      </rPr>
      <t xml:space="preserve">ステップ3：
</t>
    </r>
    <r>
      <rPr>
        <rFont val="メイリオ"/>
        <color rgb="FF000000"/>
        <sz val="10.0"/>
      </rPr>
      <t>Gửi GET「/api/v1/haitatsuryo/preview」với request parameter hợp lệ qua tab Network của DevTools</t>
    </r>
  </si>
  <si>
    <r>
      <rPr>
        <rFont val="メイリオ"/>
        <b/>
        <color rgb="FF000000"/>
        <sz val="10.0"/>
      </rPr>
      <t xml:space="preserve">ステップ1：
</t>
    </r>
    <r>
      <rPr>
        <rFont val="メイリオ"/>
        <color rgb="FF000000"/>
        <sz val="10.0"/>
      </rPr>
      <t xml:space="preserve">Mục「配達手数料支払情報出力」không hiển thị trong sidebar
</t>
    </r>
    <r>
      <rPr>
        <rFont val="メイリオ"/>
        <b/>
        <color rgb="FF000000"/>
        <sz val="10.0"/>
      </rPr>
      <t xml:space="preserve">ステップ2：
</t>
    </r>
    <r>
      <rPr>
        <rFont val="メイリオ"/>
        <color rgb="FF000000"/>
        <sz val="10.0"/>
      </rPr>
      <t xml:space="preserve">Hiển thị toast「アクセス権がありません。」và chuyển sang「/dashboard」
</t>
    </r>
    <r>
      <rPr>
        <rFont val="メイリオ"/>
        <b/>
        <color rgb="FF000000"/>
        <sz val="10.0"/>
      </rPr>
      <t xml:space="preserve">ステップ3：
</t>
    </r>
    <r>
      <rPr>
        <rFont val="メイリオ"/>
        <color rgb="FF000000"/>
        <sz val="10.0"/>
      </rPr>
      <t xml:space="preserve">Trả về HTTP 403（`error_code: FORBIDDEN`, message `この画面へのアクセス権限がありません。`）
</t>
    </r>
    <r>
      <rPr>
        <rFont val="メイリオ"/>
        <b/>
        <color rgb="FF000000"/>
        <sz val="10.0"/>
      </rPr>
      <t xml:space="preserve">補足：
</t>
    </r>
    <r>
      <rPr>
        <rFont val="メイリオ"/>
        <color rgb="FF000000"/>
        <sz val="10.0"/>
      </rPr>
      <t>・Truy cập được kiểm soát ở cả 3 lớp: menu FE, router guard FE, API guard BE</t>
    </r>
  </si>
  <si>
    <t>ACSMS-TC-021-002</t>
  </si>
  <si>
    <t>Cấm truy cập màn hình（NICHINO_STAFF）</t>
  </si>
  <si>
    <t>・Đã đăng nhập bằng NICHINO_STAFF（đã xác thực 2 bước）
・Không có quyền「haitatsuryo.export」</t>
  </si>
  <si>
    <r>
      <rPr>
        <rFont val="メイリオ"/>
        <b/>
        <color rgb="FF000000"/>
        <sz val="10.0"/>
      </rPr>
      <t xml:space="preserve">ステップ1：
</t>
    </r>
    <r>
      <rPr>
        <rFont val="メイリオ"/>
        <color rgb="FF000000"/>
        <sz val="10.0"/>
      </rPr>
      <t xml:space="preserve">Mở dashboard, xác nhận mục「配達手数料支払情報出力」không hiển thị trong sidebar
</t>
    </r>
    <r>
      <rPr>
        <rFont val="メイリオ"/>
        <b/>
        <color rgb="FF000000"/>
        <sz val="10.0"/>
      </rPr>
      <t xml:space="preserve">ステップ2：
</t>
    </r>
    <r>
      <rPr>
        <rFont val="メイリオ"/>
        <color rgb="FF000000"/>
        <sz val="10.0"/>
      </rPr>
      <t xml:space="preserve">Nhập「/haitatsuryo」vào thanh địa chỉ trình duyệt và truy cập trực tiếp
</t>
    </r>
    <r>
      <rPr>
        <rFont val="メイリオ"/>
        <b/>
        <color rgb="FF000000"/>
        <sz val="10.0"/>
      </rPr>
      <t xml:space="preserve">ステップ3：
</t>
    </r>
    <r>
      <rPr>
        <rFont val="メイリオ"/>
        <color rgb="FF000000"/>
        <sz val="10.0"/>
      </rPr>
      <t>Gửi POST「/api/v1/haitatsuryo/export」với request body hợp lệ qua tab Network của DevTools</t>
    </r>
  </si>
  <si>
    <r>
      <rPr>
        <rFont val="メイリオ"/>
        <b/>
        <color rgb="FF000000"/>
        <sz val="10.0"/>
      </rPr>
      <t xml:space="preserve">ステップ1：
</t>
    </r>
    <r>
      <rPr>
        <rFont val="メイリオ"/>
        <color rgb="FF000000"/>
        <sz val="10.0"/>
      </rPr>
      <t xml:space="preserve">Mục「配達手数料支払情報出力」không hiển thị trong sidebar
</t>
    </r>
    <r>
      <rPr>
        <rFont val="メイリオ"/>
        <b/>
        <color rgb="FF000000"/>
        <sz val="10.0"/>
      </rPr>
      <t xml:space="preserve">ステップ2：
</t>
    </r>
    <r>
      <rPr>
        <rFont val="メイリオ"/>
        <color rgb="FF000000"/>
        <sz val="10.0"/>
      </rPr>
      <t xml:space="preserve">Hiển thị toast「アクセス権がありません。」và chuyển sang「/dashboard」
</t>
    </r>
    <r>
      <rPr>
        <rFont val="メイリオ"/>
        <b/>
        <color rgb="FF000000"/>
        <sz val="10.0"/>
      </rPr>
      <t xml:space="preserve">ステップ3：
</t>
    </r>
    <r>
      <rPr>
        <rFont val="メイリオ"/>
        <color rgb="FF000000"/>
        <sz val="10.0"/>
      </rPr>
      <t>Trả về HTTP 403（`error_code: FORBIDDEN`, message `この画面へのアクセス権限がありません。`）</t>
    </r>
  </si>
  <si>
    <t>ACSMS-TC-021-003</t>
  </si>
  <si>
    <t>Cho phép truy cập màn hình（CHUOKAI）</t>
  </si>
  <si>
    <t>・Đã đăng nhập bằng CHUOKAI（đã xác thực 2 bước）
・Có quyền「haitatsuryo.export」</t>
  </si>
  <si>
    <r>
      <rPr>
        <rFont val="メイリオ"/>
        <b/>
        <color rgb="FF000000"/>
        <sz val="10.0"/>
      </rPr>
      <t xml:space="preserve">ステップ1：
</t>
    </r>
    <r>
      <rPr>
        <rFont val="メイリオ"/>
        <color rgb="FF000000"/>
        <sz val="10.0"/>
      </rPr>
      <t xml:space="preserve">Mở dashboard, xác nhận mục「配達手数料支払情報出力」được hiển thị trong sidebar
</t>
    </r>
    <r>
      <rPr>
        <rFont val="メイリオ"/>
        <b/>
        <color rgb="FF000000"/>
        <sz val="10.0"/>
      </rPr>
      <t xml:space="preserve">ステップ2：
</t>
    </r>
    <r>
      <rPr>
        <rFont val="メイリオ"/>
        <color rgb="FF000000"/>
        <sz val="10.0"/>
      </rPr>
      <t>Click mục「配達手数料支払情報出力」</t>
    </r>
  </si>
  <si>
    <r>
      <rPr>
        <rFont val="メイリオ"/>
        <b/>
        <color rgb="FF000000"/>
        <sz val="10.0"/>
      </rPr>
      <t xml:space="preserve">ステップ1：
</t>
    </r>
    <r>
      <rPr>
        <rFont val="メイリオ"/>
        <color rgb="FF000000"/>
        <sz val="10.0"/>
      </rPr>
      <t xml:space="preserve">Mục「配達手数料支払情報出力」được hiển thị trong sidebar
</t>
    </r>
    <r>
      <rPr>
        <rFont val="メイリオ"/>
        <b/>
        <color rgb="FF000000"/>
        <sz val="10.0"/>
      </rPr>
      <t xml:space="preserve">ステップ2：
</t>
    </r>
    <r>
      <rPr>
        <rFont val="メイリオ"/>
        <color rgb="FF000000"/>
        <sz val="10.0"/>
      </rPr>
      <t>Chuyển sang「/haitatsuryo」và màn hình thiết lập xuất được hiển thị</t>
    </r>
  </si>
  <si>
    <t>N</t>
  </si>
  <si>
    <t>ACSMS-TC-021-004</t>
  </si>
  <si>
    <t>Cho phép truy cập màn hình（JA_HONTEN）</t>
  </si>
  <si>
    <t>・Đã đăng nhập bằng JA_HONTEN（đã xác thực 2 bước）
・Có quyền「haitatsuryo.export」</t>
  </si>
  <si>
    <r>
      <rPr>
        <rFont val="メイリオ"/>
        <b/>
        <color rgb="FF000000"/>
        <sz val="10.0"/>
      </rPr>
      <t xml:space="preserve">ステップ1：
</t>
    </r>
    <r>
      <rPr>
        <rFont val="メイリオ"/>
        <color rgb="FF000000"/>
        <sz val="10.0"/>
      </rPr>
      <t xml:space="preserve">Mở dashboard, xác nhận mục「配達手数料支払情報出力」được hiển thị trong sidebar
</t>
    </r>
    <r>
      <rPr>
        <rFont val="メイリオ"/>
        <b/>
        <color rgb="FF000000"/>
        <sz val="10.0"/>
      </rPr>
      <t xml:space="preserve">ステップ2：
</t>
    </r>
    <r>
      <rPr>
        <rFont val="メイリオ"/>
        <color rgb="FF000000"/>
        <sz val="10.0"/>
      </rPr>
      <t>Click mục「配達手数料支払情報出力」</t>
    </r>
  </si>
  <si>
    <r>
      <rPr>
        <rFont val="メイリオ"/>
        <b/>
        <color rgb="FF000000"/>
        <sz val="10.0"/>
      </rPr>
      <t xml:space="preserve">ステップ1：
</t>
    </r>
    <r>
      <rPr>
        <rFont val="メイリオ"/>
        <color rgb="FF000000"/>
        <sz val="10.0"/>
      </rPr>
      <t xml:space="preserve">Mục「配達手数料支払情報出力」được hiển thị trong sidebar
</t>
    </r>
    <r>
      <rPr>
        <rFont val="メイリオ"/>
        <b/>
        <color rgb="FF000000"/>
        <sz val="10.0"/>
      </rPr>
      <t xml:space="preserve">ステップ2：
</t>
    </r>
    <r>
      <rPr>
        <rFont val="メイリオ"/>
        <color rgb="FF000000"/>
        <sz val="10.0"/>
      </rPr>
      <t>Chuyển sang「/haitatsuryo」và màn hình thiết lập xuất được hiển thị</t>
    </r>
  </si>
  <si>
    <t>ACSMS-TC-021-005</t>
  </si>
  <si>
    <t>Cho phép truy cập màn hình（JA_KANRI_SHITEN）</t>
  </si>
  <si>
    <t>・Đã đăng nhập bằng JA_KANRI_SHITEN（đã xác thực 2 bước）
・Có quyền「haitatsuryo.export」</t>
  </si>
  <si>
    <r>
      <rPr>
        <rFont val="メイリオ"/>
        <b/>
        <color rgb="FF000000"/>
        <sz val="10.0"/>
      </rPr>
      <t xml:space="preserve">ステップ1：
</t>
    </r>
    <r>
      <rPr>
        <rFont val="メイリオ"/>
        <color rgb="FF000000"/>
        <sz val="10.0"/>
      </rPr>
      <t xml:space="preserve">Mở dashboard, xác nhận mục「配達手数料支払情報出力」được hiển thị trong sidebar
</t>
    </r>
    <r>
      <rPr>
        <rFont val="メイリオ"/>
        <b/>
        <color rgb="FF000000"/>
        <sz val="10.0"/>
      </rPr>
      <t xml:space="preserve">ステップ2：
</t>
    </r>
    <r>
      <rPr>
        <rFont val="メイリオ"/>
        <color rgb="FF000000"/>
        <sz val="10.0"/>
      </rPr>
      <t>Click mục「配達手数料支払情報出力」</t>
    </r>
  </si>
  <si>
    <r>
      <rPr>
        <rFont val="メイリオ"/>
        <b/>
        <color rgb="FF000000"/>
        <sz val="10.0"/>
      </rPr>
      <t xml:space="preserve">ステップ1：
</t>
    </r>
    <r>
      <rPr>
        <rFont val="メイリオ"/>
        <color rgb="FF000000"/>
        <sz val="10.0"/>
      </rPr>
      <t xml:space="preserve">Mục「配達手数料支払情報出力」được hiển thị trong sidebar
</t>
    </r>
    <r>
      <rPr>
        <rFont val="メイリオ"/>
        <b/>
        <color rgb="FF000000"/>
        <sz val="10.0"/>
      </rPr>
      <t xml:space="preserve">ステップ2：
</t>
    </r>
    <r>
      <rPr>
        <rFont val="メイリオ"/>
        <color rgb="FF000000"/>
        <sz val="10.0"/>
      </rPr>
      <t xml:space="preserve">Chuyển sang「/haitatsuryo」và màn hình thiết lập xuất được hiển thị
</t>
    </r>
    <r>
      <rPr>
        <rFont val="メイリオ"/>
        <b/>
        <color rgb="FF000000"/>
        <sz val="10.0"/>
      </rPr>
      <t xml:space="preserve">補足：
</t>
    </r>
    <r>
      <rPr>
        <rFont val="メイリオ"/>
        <color rgb="FF000000"/>
        <sz val="10.0"/>
      </rPr>
      <t>・Đối tượng tổng hợp được giới hạn chỉ trong các người đăng ký thuộc chi nhánh quản lý của chính mình（DataScope `kanri_shiten_id = user.kanri_shiten_id`）</t>
    </r>
  </si>
  <si>
    <t>ACSMS-TC-021-006</t>
  </si>
  <si>
    <t>DataScope（CHUOKAI chỉ tổng hợp JA của mình）</t>
  </si>
  <si>
    <t>・Đã đăng nhập bằng CHUOKAI（ja_id=1）
・Tồn tại người đăng ký là đối tượng tổng hợp ở cả JA của mình（ja_id=1）và JA khác（ja_id=2）</t>
  </si>
  <si>
    <r>
      <rPr>
        <rFont val="メイリオ"/>
        <b/>
        <color rgb="FF000000"/>
        <sz val="10.0"/>
      </rPr>
      <t xml:space="preserve">ステップ1：
</t>
    </r>
    <r>
      <rPr>
        <rFont val="メイリオ"/>
        <color rgb="FF000000"/>
        <sz val="10.0"/>
      </rPr>
      <t xml:space="preserve">Nhập năm tháng ngày và thực hiện tổng hợp
</t>
    </r>
    <r>
      <rPr>
        <rFont val="メイリオ"/>
        <b/>
        <color rgb="FF000000"/>
        <sz val="10.0"/>
      </rPr>
      <t xml:space="preserve">ステップ2：
</t>
    </r>
    <r>
      <rPr>
        <rFont val="メイリオ"/>
        <color rgb="FF000000"/>
        <sz val="10.0"/>
      </rPr>
      <t>Xác nhận các販売店 có trong kết quả tổng hợp</t>
    </r>
  </si>
  <si>
    <r>
      <rPr>
        <rFont val="メイリオ"/>
        <b/>
        <color rgb="FF000000"/>
        <sz val="10.0"/>
      </rPr>
      <t xml:space="preserve">ステップ1：
</t>
    </r>
    <r>
      <rPr>
        <rFont val="メイリオ"/>
        <color rgb="FF000000"/>
        <sz val="10.0"/>
      </rPr>
      <t xml:space="preserve">Trả về HTTP 200
</t>
    </r>
    <r>
      <rPr>
        <rFont val="メイリオ"/>
        <b/>
        <color rgb="FF000000"/>
        <sz val="10.0"/>
      </rPr>
      <t xml:space="preserve">ステップ2：
</t>
    </r>
    <r>
      <rPr>
        <rFont val="メイリオ"/>
        <color rgb="FF000000"/>
        <sz val="10.0"/>
      </rPr>
      <t>Chỉ販売店 thuộc JA của mình（ja_id=1）trở thành đối tượng tổng hợp, và販売店 của JA khác（ja_id=2）không bị bao gồm</t>
    </r>
  </si>
  <si>
    <t>ACSMS-TC-021-007</t>
  </si>
  <si>
    <t>DataScope（JA_KANRI_SHITEN chỉ tổng hợp chi nhánh quản lý của mình）</t>
  </si>
  <si>
    <t>・Đã đăng nhập bằng JA_KANRI_SHITEN（kanri_shiten_id=10）
・Tồn tại người đăng ký là đối tượng tổng hợp ở cả chi nhánh quản lý của mình（10）và chi nhánh quản lý khác（20）</t>
  </si>
  <si>
    <r>
      <rPr>
        <rFont val="メイリオ"/>
        <b/>
        <color rgb="FF000000"/>
        <sz val="10.0"/>
      </rPr>
      <t xml:space="preserve">ステップ1：
</t>
    </r>
    <r>
      <rPr>
        <rFont val="メイリオ"/>
        <color rgb="FF000000"/>
        <sz val="10.0"/>
      </rPr>
      <t xml:space="preserve">Nhập năm tháng ngày và thực hiện tổng hợp
</t>
    </r>
    <r>
      <rPr>
        <rFont val="メイリオ"/>
        <b/>
        <color rgb="FF000000"/>
        <sz val="10.0"/>
      </rPr>
      <t xml:space="preserve">ステップ2：
</t>
    </r>
    <r>
      <rPr>
        <rFont val="メイリオ"/>
        <color rgb="FF000000"/>
        <sz val="10.0"/>
      </rPr>
      <t>Xác nhận các販売店 có trong kết quả tổng hợp</t>
    </r>
  </si>
  <si>
    <r>
      <rPr>
        <rFont val="メイリオ"/>
        <b/>
        <color rgb="FF000000"/>
        <sz val="10.0"/>
      </rPr>
      <t xml:space="preserve">ステップ1：
</t>
    </r>
    <r>
      <rPr>
        <rFont val="メイリオ"/>
        <color rgb="FF000000"/>
        <sz val="10.0"/>
      </rPr>
      <t xml:space="preserve">Trả về HTTP 200
</t>
    </r>
    <r>
      <rPr>
        <rFont val="メイリオ"/>
        <b/>
        <color rgb="FF000000"/>
        <sz val="10.0"/>
      </rPr>
      <t xml:space="preserve">ステップ2：
</t>
    </r>
    <r>
      <rPr>
        <rFont val="メイリオ"/>
        <color rgb="FF000000"/>
        <sz val="10.0"/>
      </rPr>
      <t xml:space="preserve">Chỉ người đăng ký thuộc chi nhánh quản lý của mình（kanri_shiten_id=10）trở thành đối tượng tổng hợp, và người đăng ký của chi nhánh quản lý khác（20）không bị bao gồm
</t>
    </r>
    <r>
      <rPr>
        <rFont val="メイリオ"/>
        <b/>
        <color rgb="FF000000"/>
        <sz val="10.0"/>
      </rPr>
      <t xml:space="preserve">補足：
</t>
    </r>
    <r>
      <rPr>
        <rFont val="メイリオ"/>
        <color rgb="FF000000"/>
        <sz val="10.0"/>
      </rPr>
      <t>・Màn hình này không có mục để chỉ định JA khác／chi nhánh quản lý khác trong request, DataScope được áp dụng bằng việc tự động lọc phía server（mệnh đề WHERE）. Trong trường hợp truy cập ngoài phạm vi ở lớp API thì Trả về HTTP 403（`error_code: DATA_SCOPE_VIOLATION`, message `このデータへのアクセス権限がありません。`）</t>
    </r>
  </si>
  <si>
    <t>ACSMS-TC-021-008</t>
  </si>
  <si>
    <t>Truy cập URL trực tiếp（role không có quyền）</t>
  </si>
  <si>
    <t>・Đã đăng nhập bằng NICHINO_ADMIN（không có quyền「haitatsuryo.export」）</t>
  </si>
  <si>
    <r>
      <rPr>
        <rFont val="メイリオ"/>
        <b/>
        <strike/>
        <color rgb="FF000000"/>
        <sz val="10.0"/>
      </rPr>
      <t xml:space="preserve">ステップ1：
</t>
    </r>
    <r>
      <rPr>
        <rFont val="メイリオ"/>
        <strike/>
        <color rgb="FF000000"/>
        <sz val="10.0"/>
      </rPr>
      <t xml:space="preserve">Nhập trực tiếp「/haitatsuryo」vào thanh địa chỉ và truy cập
</t>
    </r>
    <r>
      <rPr>
        <rFont val="メイリオ"/>
        <b/>
        <strike/>
        <color rgb="FF000000"/>
        <sz val="10.0"/>
      </rPr>
      <t xml:space="preserve">ステップ2：
</t>
    </r>
    <r>
      <rPr>
        <rFont val="メイリオ"/>
        <strike/>
        <color rgb="FF000000"/>
        <sz val="10.0"/>
      </rPr>
      <t>Reload bằng phím F5 của trình duyệt</t>
    </r>
  </si>
  <si>
    <r>
      <rPr>
        <rFont val="メイリオ"/>
        <b/>
        <strike/>
        <color rgb="FF000000"/>
        <sz val="10.0"/>
      </rPr>
      <t xml:space="preserve">ステップ1：
</t>
    </r>
    <r>
      <rPr>
        <rFont val="メイリオ"/>
        <strike/>
        <color rgb="FF000000"/>
        <sz val="10.0"/>
      </rPr>
      <t xml:space="preserve">Hiển thị toast「アクセス権がありません。」và chuyển sang「/dashboard」
</t>
    </r>
    <r>
      <rPr>
        <rFont val="メイリオ"/>
        <b/>
        <strike/>
        <color rgb="FF000000"/>
        <sz val="10.0"/>
      </rPr>
      <t xml:space="preserve">ステップ2：
</t>
    </r>
    <r>
      <rPr>
        <rFont val="メイリオ"/>
        <strike/>
        <color rgb="FF000000"/>
        <sz val="10.0"/>
      </rPr>
      <t>Sau khi reload màn hình vẫn không hiển thị và chuyển sang「/dashboard」</t>
    </r>
  </si>
  <si>
    <t>Case này bỏ vì đã trùng vơi step thứ 2 của case 1</t>
  </si>
  <si>
    <t>カテゴリ2: Hiển thị màn hình (Layout / Rendering)</t>
  </si>
  <si>
    <t>ACSMS-TC-021-009</t>
  </si>
  <si>
    <t>Hiển thị tiêu đề màn hình・breadcrumb</t>
  </si>
  <si>
    <t>・Đã đăng nhập bằng CHUOKAI</t>
  </si>
  <si>
    <r>
      <rPr>
        <rFont val="メイリオ"/>
        <b/>
        <color rgb="FF000000"/>
        <sz val="10.0"/>
      </rPr>
      <t xml:space="preserve">ステップ1：
</t>
    </r>
    <r>
      <rPr>
        <rFont val="メイリオ"/>
        <color rgb="FF000000"/>
        <sz val="10.0"/>
      </rPr>
      <t xml:space="preserve">Mở「/haitatsuryo」
</t>
    </r>
    <r>
      <rPr>
        <rFont val="メイリオ"/>
        <b/>
        <color rgb="FF000000"/>
        <sz val="10.0"/>
      </rPr>
      <t xml:space="preserve">ステップ2：
</t>
    </r>
    <r>
      <rPr>
        <rFont val="メイリオ"/>
        <color rgb="FF000000"/>
        <sz val="10.0"/>
      </rPr>
      <t>Xác nhận tiêu đề và breadcrumb ở phần trên màn hình</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</si>
  <si>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Tiêu đề màn hình「配達手数料支払情報出力」được hiển thị, và breadcrumb「ホーム &gt; 配達手数料支払情報出力」được hiển thị</t>
    </r>
  </si>
  <si>
    <t>ACSMS-TC-021-010</t>
  </si>
  <si>
    <t>Hiển thị ban đầu（đầu vào trống・grid trống）</t>
  </si>
  <si>
    <r>
      <rPr>
        <rFont val="メイリオ"/>
        <b/>
        <color rgb="FF000000"/>
        <sz val="10.0"/>
      </rPr>
      <t xml:space="preserve">ステップ1：
</t>
    </r>
    <r>
      <rPr>
        <rFont val="メイリオ"/>
        <color rgb="FF000000"/>
        <sz val="10.0"/>
      </rPr>
      <t xml:space="preserve">Mở「/haitatsuryo」
</t>
    </r>
    <r>
      <rPr>
        <rFont val="メイリオ"/>
        <b/>
        <color rgb="FF000000"/>
        <sz val="10.0"/>
      </rPr>
      <t xml:space="preserve">ステップ2：
</t>
    </r>
    <r>
      <rPr>
        <rFont val="メイリオ"/>
        <color rgb="FF000000"/>
        <sz val="10.0"/>
      </rPr>
      <t>Xác nhận trạng thái ban đầu của vùng đầu vào và vùng grid</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</si>
  <si>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 xml:space="preserve">・Vùng đầu vào（năm tháng ngày・chu kỳ thanh toán phí giao hàng）được hiển thị trống
</t>
    </r>
    <r>
      <rPr>
        <rFont val="メイリオ"/>
        <color rgb="FF000000"/>
        <sz val="10.0"/>
      </rPr>
      <t>・Không tồn tại dữ liệu trong vùng grid</t>
    </r>
  </si>
  <si>
    <t>ACSMS-TC-021-011</t>
  </si>
  <si>
    <t>Ô nhập chu kỳ thanh toán phí giao hàng</t>
  </si>
  <si>
    <r>
      <rPr>
        <rFont val="メイリオ"/>
        <b/>
        <strike/>
        <color rgb="FF000000"/>
        <sz val="10.0"/>
      </rPr>
      <t xml:space="preserve">ステップ1：
</t>
    </r>
    <r>
      <rPr>
        <rFont val="メイリオ"/>
        <strike/>
        <color rgb="FF000000"/>
        <sz val="10.0"/>
      </rPr>
      <t xml:space="preserve">Mở「/haitatsuryo」
</t>
    </r>
    <r>
      <rPr>
        <rFont val="メイリオ"/>
        <b/>
        <strike/>
        <color rgb="FF000000"/>
        <sz val="10.0"/>
      </rPr>
      <t xml:space="preserve">ステップ2：
</t>
    </r>
    <r>
      <rPr>
        <rFont val="メイリオ"/>
        <strike/>
        <color rgb="FF000000"/>
        <sz val="10.0"/>
      </rPr>
      <t>Xác nhận textbox của chu kỳ thanh toán phí giao hàng</t>
    </r>
  </si>
  <si>
    <r>
      <rPr>
        <rFont val="メイリオ"/>
        <b/>
        <strike/>
        <color rgb="FF000000"/>
        <sz val="10.0"/>
      </rPr>
      <t xml:space="preserve">ステップ1：
</t>
    </r>
    <r>
      <rPr>
        <rFont val="メイリオ"/>
        <strike/>
        <color rgb="FF000000"/>
        <sz val="10.0"/>
      </rPr>
      <t xml:space="preserve">Màn hình được hiển thị
</t>
    </r>
    <r>
      <rPr>
        <rFont val="メイリオ"/>
        <b/>
        <strike/>
        <color rgb="FF000000"/>
        <sz val="10.0"/>
      </rPr>
      <t xml:space="preserve">ステップ2：
</t>
    </r>
    <r>
      <rPr>
        <rFont val="メイリオ"/>
        <strike/>
        <color rgb="FF000000"/>
        <sz val="10.0"/>
      </rPr>
      <t>Textbox của chu kỳ thanh toán phí giao hàng được hiển thị và có thể nhập</t>
    </r>
  </si>
  <si>
    <t>Trường này hiển thị dạng dropdown list nên k có case này</t>
  </si>
  <si>
    <t>ACSMS-TC-021-012</t>
  </si>
  <si>
    <t>Hiển thị cột grid sau khi tổng hợp</t>
  </si>
  <si>
    <t>・Đã đăng nhập bằng CHUOKAI
・Tồn tại販売店 là đối tượng tổng hợp trong năm tháng đối tượng</t>
  </si>
  <si>
    <r>
      <rPr>
        <rFont val="メイリオ"/>
        <b/>
        <color rgb="FF000000"/>
        <sz val="10.0"/>
      </rPr>
      <t xml:space="preserve">ステップ1：
</t>
    </r>
    <r>
      <rPr>
        <rFont val="メイリオ"/>
        <color rgb="FF000000"/>
        <sz val="10.0"/>
      </rPr>
      <t xml:space="preserve">Nhập năm tháng ngày và thực hiện tổng hợp
</t>
    </r>
    <r>
      <rPr>
        <rFont val="メイリオ"/>
        <b/>
        <color rgb="FF000000"/>
        <sz val="10.0"/>
      </rPr>
      <t xml:space="preserve">ステップ2：
</t>
    </r>
    <r>
      <rPr>
        <rFont val="メイリオ"/>
        <color rgb="FF000000"/>
        <sz val="10.0"/>
      </rPr>
      <t>Xác nhận tiêu đề cột và dòng tổng của grid</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</si>
  <si>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・Các cột対象月・販売店コード・販売店名・当月部数・当月金額・支払サイクル・金融機関コード・金融機関名・口座支店コード・口座支店名・貯金種目・口座番号・口座名義・備考 được hiển thị
</t>
    </r>
    <r>
      <rPr>
        <rFont val="メイリオ"/>
        <color rgb="FF000000"/>
        <sz val="10.0"/>
      </rPr>
      <t>・Cuối cùng dòng tổng（合計部数・合計金額）được hiển thị</t>
    </r>
  </si>
  <si>
    <t>ACSMS-TC-021-013</t>
  </si>
  <si>
    <t>Hiển thị button xuất Excel</t>
  </si>
  <si>
    <r>
      <rPr>
        <rFont val="メイリオ"/>
        <b/>
        <color rgb="FF000000"/>
        <sz val="10.0"/>
      </rPr>
      <t xml:space="preserve">ステップ1：
</t>
    </r>
    <r>
      <rPr>
        <rFont val="メイリオ"/>
        <color rgb="FF000000"/>
        <sz val="10.0"/>
      </rPr>
      <t xml:space="preserve">Mở「/haitatsuryo」
</t>
    </r>
    <r>
      <rPr>
        <rFont val="メイリオ"/>
        <b/>
        <color rgb="FF000000"/>
        <sz val="10.0"/>
      </rPr>
      <t xml:space="preserve">ステップ2：
</t>
    </r>
    <r>
      <rPr>
        <rFont val="メイリオ"/>
        <color rgb="FF000000"/>
        <sz val="10.0"/>
      </rPr>
      <t>Xác nhận hiển thị・trạng thái active của button「Excel出力」</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</si>
  <si>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Button「Excel出力」hiển thị ở trạng thái active</t>
    </r>
  </si>
  <si>
    <t>ACSMS-TC-021-014</t>
  </si>
  <si>
    <t>Thao tác bàn phím</t>
  </si>
  <si>
    <r>
      <rPr>
        <rFont val="メイリオ"/>
        <b/>
        <color rgb="FF000000"/>
        <sz val="10.0"/>
      </rPr>
      <t xml:space="preserve">ステップ1：
</t>
    </r>
    <r>
      <rPr>
        <rFont val="メイリオ"/>
        <color rgb="FF000000"/>
        <sz val="10.0"/>
      </rPr>
      <t xml:space="preserve">Mở「/haitatsuryo」
</t>
    </r>
    <r>
      <rPr>
        <rFont val="メイリオ"/>
        <b/>
        <color rgb="FF000000"/>
        <sz val="10.0"/>
      </rPr>
      <t xml:space="preserve">ステップ2：
</t>
    </r>
    <r>
      <rPr>
        <rFont val="メイリオ"/>
        <color rgb="FF000000"/>
        <sz val="10.0"/>
      </rPr>
      <t>Xác nhận bằng phím Tab di chuyển theo thứ tự năm tháng ngày → chu kỳ thanh toán phí giao hàng → button Excel出力</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</si>
  <si>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 xml:space="preserve">・Có thể di chuyển lần lượt từng mục bằng phím Tab, và cuối cùng đến được button「Excel出力」
</t>
    </r>
    <r>
      <rPr>
        <rFont val="メイリオ"/>
        <color rgb="FF000000"/>
        <sz val="10.0"/>
      </rPr>
      <t>・Không vỡ layout</t>
    </r>
  </si>
  <si>
    <t>(なし)
---</t>
  </si>
  <si>
    <t>カテゴリ3: Kiểm tra đầu vào (Input Validation)</t>
  </si>
  <si>
    <t>ACSMS-TC-021-015</t>
  </si>
  <si>
    <t>Kiểm tra bắt buộc năm tháng ngày（tổng hợp）</t>
  </si>
  <si>
    <r>
      <rPr>
        <rFont val="メイリオ"/>
        <b/>
        <color rgb="FF000000"/>
        <sz val="10.0"/>
      </rPr>
      <t xml:space="preserve">ステップ1：
</t>
    </r>
    <r>
      <rPr>
        <rFont val="メイリオ"/>
        <color rgb="FF000000"/>
        <sz val="10.0"/>
      </rPr>
      <t>Click button「Excel出力」khi chưa chọn năm tháng ngày</t>
    </r>
  </si>
  <si>
    <r>
      <rPr>
        <rFont val="メイリオ"/>
        <b/>
        <color rgb="FF000000"/>
        <sz val="10.0"/>
      </rPr>
      <t xml:space="preserve">ステップ1：
</t>
    </r>
    <r>
      <rPr>
        <rFont val="メイリオ"/>
        <color rgb="FF000000"/>
        <sz val="10.0"/>
      </rPr>
      <t>Hiển thị message「必須項目です。」phía dưới mục năm tháng ngày（ACSMS-MSG-021-001）, và xử lý tổng hợp・xuất không được thực hiện</t>
    </r>
  </si>
  <si>
    <t>ACSMS-TC-021-016</t>
  </si>
  <si>
    <t>Kiểm tra bắt buộc năm tháng ngày（API trực tiếp）</t>
  </si>
  <si>
    <r>
      <rPr>
        <rFont val="メイリオ"/>
        <b/>
        <color rgb="FF000000"/>
        <sz val="10.0"/>
      </rPr>
      <t xml:space="preserve">ステップ1：
</t>
    </r>
    <r>
      <rPr>
        <rFont val="メイリオ"/>
        <color rgb="FF000000"/>
        <sz val="10.0"/>
      </rPr>
      <t xml:space="preserve">Gửi GET「/api/v1/haitatsuryo/preview」không có target_month qua tab Network của DevTools
</t>
    </r>
    <r>
      <rPr>
        <rFont val="メイリオ"/>
        <b/>
        <color rgb="FF000000"/>
        <sz val="10.0"/>
      </rPr>
      <t xml:space="preserve">ステップ2：
</t>
    </r>
    <r>
      <rPr>
        <rFont val="メイリオ"/>
        <color rgb="FF000000"/>
        <sz val="10.0"/>
      </rPr>
      <t>Gửi POST「/api/v1/haitatsuryo/export」không có target_month qua tab Network của DevTools</t>
    </r>
  </si>
  <si>
    <r>
      <rPr>
        <rFont val="メイリオ"/>
        <b/>
        <color rgb="FF000000"/>
        <sz val="10.0"/>
      </rPr>
      <t xml:space="preserve">ステップ1：
</t>
    </r>
    <r>
      <rPr>
        <rFont val="メイリオ"/>
        <color rgb="FF000000"/>
        <sz val="10.0"/>
      </rPr>
      <t xml:space="preserve">Trả về HTTP 400（`error_code: VALIDATION_ERROR`, trong `errors` có chứa `{ field: 'target_month', message: '必須項目です。' }`）
</t>
    </r>
    <r>
      <rPr>
        <rFont val="メイリオ"/>
        <b/>
        <color rgb="FF000000"/>
        <sz val="10.0"/>
      </rPr>
      <t xml:space="preserve">ステップ2：
</t>
    </r>
    <r>
      <rPr>
        <rFont val="メイリオ"/>
        <color rgb="FF000000"/>
        <sz val="10.0"/>
      </rPr>
      <t>Trả về HTTP 400（`error_code: VALIDATION_ERROR`, trong `errors` có chứa `{ field: 'target_month', message: '必須項目です。' }`）</t>
    </r>
  </si>
  <si>
    <t>ACSMS-TC-021-017</t>
  </si>
  <si>
    <t>Kiểm tra phạm vi chu kỳ thanh toán phí giao hàng</t>
  </si>
  <si>
    <r>
      <rPr>
        <rFont val="メイリオ"/>
        <b/>
        <color rgb="FF000000"/>
        <sz val="10.0"/>
      </rPr>
      <t xml:space="preserve">ステップ1：
</t>
    </r>
    <r>
      <rPr>
        <rFont val="メイリオ"/>
        <color rgb="FF000000"/>
        <sz val="10.0"/>
      </rPr>
      <t xml:space="preserve">Nhập「0」（dưới giới hạn dưới）vào chu kỳ thanh toán phí giao hàng và thực hiện tổng hợp
</t>
    </r>
    <r>
      <rPr>
        <rFont val="メイリオ"/>
        <b/>
        <color rgb="FF000000"/>
        <sz val="10.0"/>
      </rPr>
      <t xml:space="preserve">ステップ2：
</t>
    </r>
    <r>
      <rPr>
        <rFont val="メイリオ"/>
        <color rgb="FF000000"/>
        <sz val="10.0"/>
      </rPr>
      <t xml:space="preserve">Nhập「13」（vượt giới hạn trên）vào chu kỳ thanh toán phí giao hàng và thực hiện tổng hợp
</t>
    </r>
    <r>
      <rPr>
        <rFont val="メイリオ"/>
        <b/>
        <color rgb="FF000000"/>
        <sz val="10.0"/>
      </rPr>
      <t xml:space="preserve">ステップ3：
</t>
    </r>
    <r>
      <rPr>
        <rFont val="メイリオ"/>
        <color rgb="FF000000"/>
        <sz val="10.0"/>
      </rPr>
      <t>Nhập「1」「12」（giá trị biên）vào chu kỳ thanh toán phí giao hàng và thực hiện tổng hợp</t>
    </r>
  </si>
  <si>
    <r>
      <rPr>
        <rFont val="メイリオ"/>
        <b/>
        <color rgb="FF000000"/>
        <sz val="10.0"/>
      </rPr>
      <t xml:space="preserve">ステップ1：
</t>
    </r>
    <r>
      <rPr>
        <rFont val="メイリオ"/>
        <color rgb="FF000000"/>
        <sz val="10.0"/>
      </rPr>
      <t xml:space="preserve">Trả về HTTP 400（`error_code: VALIDATION_ERROR`）
</t>
    </r>
    <r>
      <rPr>
        <rFont val="メイリオ"/>
        <b/>
        <color rgb="FF000000"/>
        <sz val="10.0"/>
      </rPr>
      <t xml:space="preserve">ステップ2：
</t>
    </r>
    <r>
      <rPr>
        <rFont val="メイリオ"/>
        <color rgb="FF000000"/>
        <sz val="10.0"/>
      </rPr>
      <t xml:space="preserve">Trả về HTTP 400（`error_code: VALIDATION_ERROR`）
</t>
    </r>
    <r>
      <rPr>
        <rFont val="メイリオ"/>
        <b/>
        <color rgb="FF000000"/>
        <sz val="10.0"/>
      </rPr>
      <t xml:space="preserve">ステップ3：
</t>
    </r>
    <r>
      <rPr>
        <rFont val="メイリオ"/>
        <color rgb="FF000000"/>
        <sz val="10.0"/>
      </rPr>
      <t>「1」「12」được tiếp nhận bình thường và Trả về HTTP 200</t>
    </r>
  </si>
  <si>
    <t>ACSMS-TC-021-018</t>
  </si>
  <si>
    <t>Kiểm tra số half-width chu kỳ thanh toán phí giao hàng</t>
  </si>
  <si>
    <r>
      <rPr>
        <rFont val="メイリオ"/>
        <b/>
        <strike/>
        <color rgb="FF000000"/>
        <sz val="10.0"/>
      </rPr>
      <t xml:space="preserve">ステップ1：
</t>
    </r>
    <r>
      <rPr>
        <rFont val="メイリオ"/>
        <strike/>
        <color rgb="FF000000"/>
        <sz val="10.0"/>
      </rPr>
      <t xml:space="preserve">Nhập số full-width「３」vào chu kỳ thanh toán phí giao hàng
</t>
    </r>
    <r>
      <rPr>
        <rFont val="メイリオ"/>
        <b/>
        <strike/>
        <color rgb="FF000000"/>
        <sz val="10.0"/>
      </rPr>
      <t xml:space="preserve">ステップ2：
</t>
    </r>
    <r>
      <rPr>
        <rFont val="メイリオ"/>
        <strike/>
        <color rgb="FF000000"/>
        <sz val="10.0"/>
      </rPr>
      <t>Nhập ký tự「abc」vào chu kỳ thanh toán phí giao hàng</t>
    </r>
  </si>
  <si>
    <r>
      <rPr>
        <rFont val="メイリオ"/>
        <b/>
        <strike/>
        <color rgb="FF000000"/>
        <sz val="10.0"/>
      </rPr>
      <t xml:space="preserve">ステップ1：
</t>
    </r>
    <r>
      <rPr>
        <rFont val="メイリオ"/>
        <strike/>
        <color rgb="FF000000"/>
        <sz val="10.0"/>
      </rPr>
      <t xml:space="preserve">Chỉ cho nhập số half-width（số full-width không được tiếp nhận）
</t>
    </r>
    <r>
      <rPr>
        <rFont val="メイリオ"/>
        <b/>
        <strike/>
        <color rgb="FF000000"/>
        <sz val="10.0"/>
      </rPr>
      <t xml:space="preserve">ステップ2：
</t>
    </r>
    <r>
      <rPr>
        <rFont val="メイリオ"/>
        <strike/>
        <color rgb="FF000000"/>
        <sz val="10.0"/>
      </rPr>
      <t>Chỉ cho nhập số half-width（ký tự không được tiếp nhận）</t>
    </r>
  </si>
  <si>
    <t>ACSMS-TC-021-019</t>
  </si>
  <si>
    <t>Chọn ngày năm tháng ngày</t>
  </si>
  <si>
    <r>
      <rPr>
        <rFont val="メイリオ"/>
        <b/>
        <color rgb="FF000000"/>
        <sz val="10.0"/>
      </rPr>
      <t xml:space="preserve">ステップ1：
</t>
    </r>
    <r>
      <rPr>
        <rFont val="メイリオ"/>
        <color rgb="FF000000"/>
        <sz val="10.0"/>
      </rPr>
      <t xml:space="preserve">Mở calendar của năm tháng ngày và chọn một ngày bất kỳ
</t>
    </r>
    <r>
      <rPr>
        <rFont val="メイリオ"/>
        <b/>
        <color rgb="FF000000"/>
        <sz val="10.0"/>
      </rPr>
      <t xml:space="preserve">ステップ2：
</t>
    </r>
    <r>
      <rPr>
        <rFont val="メイリオ"/>
        <color rgb="FF000000"/>
        <sz val="10.0"/>
      </rPr>
      <t>Xác nhận ngày đã chọn được hiển thị theo định dạng YYYY/MM/DD</t>
    </r>
  </si>
  <si>
    <r>
      <rPr>
        <rFont val="メイリオ"/>
        <b/>
        <color rgb="FF000000"/>
        <sz val="10.0"/>
      </rPr>
      <t xml:space="preserve">ステップ1：
</t>
    </r>
    <r>
      <rPr>
        <rFont val="メイリオ"/>
        <color rgb="FF000000"/>
        <sz val="10.0"/>
      </rPr>
      <t xml:space="preserve">Calendar được hiển thị và có thể chọn ngày
</t>
    </r>
    <r>
      <rPr>
        <rFont val="メイリオ"/>
        <b/>
        <color rgb="FF000000"/>
        <sz val="10.0"/>
      </rPr>
      <t xml:space="preserve">ステップ2：
</t>
    </r>
    <r>
      <rPr>
        <rFont val="メイリオ"/>
        <color rgb="FF000000"/>
        <sz val="10.0"/>
      </rPr>
      <t>Ngày đã chọn được hiển thị theo định dạng YYYY/MM/DD</t>
    </r>
  </si>
  <si>
    <t>カテゴリ4: Logic nghiệp vụ (Business Logic)</t>
  </si>
  <si>
    <t>ACSMS-TC-021-020</t>
  </si>
  <si>
    <t>Preview tổng hợp luồng bình thường</t>
  </si>
  <si>
    <t>・Đã đăng nhập bằng CHUOKAI
・Tồn tại người đăng ký là đối tượng tổng hợp（loại thủ tục=mới）trong năm tháng đối tượng</t>
  </si>
  <si>
    <r>
      <rPr>
        <rFont val="メイリオ"/>
        <b/>
        <color rgb="FF000000"/>
        <sz val="10.0"/>
      </rPr>
      <t xml:space="preserve">ステップ1：
</t>
    </r>
    <r>
      <rPr>
        <rFont val="メイリオ"/>
        <color rgb="FF000000"/>
        <sz val="10.0"/>
      </rPr>
      <t>Nhập năm tháng ngày và thực hiện tổng hợp</t>
    </r>
  </si>
  <si>
    <r>
      <rPr>
        <rFont val="メイリオ"/>
        <b/>
        <color rgb="FF000000"/>
        <sz val="10.0"/>
      </rPr>
      <t xml:space="preserve">ステップ1：
</t>
    </r>
    <r>
      <rPr>
        <rFont val="メイリオ"/>
        <color rgb="FF000000"/>
        <sz val="10.0"/>
      </rPr>
      <t xml:space="preserve">・Trả về HTTP 200
</t>
    </r>
    <r>
      <rPr>
        <rFont val="メイリオ"/>
        <color rgb="FF000000"/>
        <sz val="10.0"/>
      </rPr>
      <t>・Danh sách được hiển thị（dòng tổng hợp theo từng販売店 được hiển thị）</t>
    </r>
  </si>
  <si>
    <t>ACSMS-TC-021-021</t>
  </si>
  <si>
    <t>Nhóm theo đơn vị販売店（tổng số部数）</t>
  </si>
  <si>
    <t>・Đã đăng nhập bằng CHUOKAI
・Nhiều người đăng ký được liên kết với cùng một販売店</t>
  </si>
  <si>
    <r>
      <rPr>
        <rFont val="メイリオ"/>
        <b/>
        <color rgb="FF000000"/>
        <sz val="10.0"/>
      </rPr>
      <t xml:space="preserve">ステップ1：
</t>
    </r>
    <r>
      <rPr>
        <rFont val="メイリオ"/>
        <color rgb="FF000000"/>
        <sz val="10.0"/>
      </rPr>
      <t xml:space="preserve">Nhập năm tháng ngày và thực hiện tổng hợp
</t>
    </r>
    <r>
      <rPr>
        <rFont val="メイリオ"/>
        <b/>
        <color rgb="FF000000"/>
        <sz val="10.0"/>
      </rPr>
      <t xml:space="preserve">ステップ2：
</t>
    </r>
    <r>
      <rPr>
        <rFont val="メイリオ"/>
        <color rgb="FF000000"/>
        <sz val="10.0"/>
      </rPr>
      <t>Đối chiếu当月部数 của販売店 cụ thể với tổng `dokusya_busu` của các người đăng ký liên kết với販売店 đó</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</si>
  <si>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Người đăng ký được nhóm theo từng販売店, và当月部数 khớp với `SUM(t_dokusya.dokusya_busu)` thuộc販売店 đó</t>
    </r>
  </si>
  <si>
    <t>ACSMS-TC-021-022</t>
  </si>
  <si>
    <t>Tính金額 thuế trong（zei_kubun=1）</t>
  </si>
  <si>
    <t>・Đã đăng nhập bằng CHUOKAI
・Phân loại thuế của JA trực thuộc là thuế trong（m_ja.zei_kubun=1）</t>
  </si>
  <si>
    <r>
      <rPr>
        <rFont val="メイリオ"/>
        <b/>
        <color rgb="FF000000"/>
        <sz val="10.0"/>
      </rPr>
      <t xml:space="preserve">ステップ1：
</t>
    </r>
    <r>
      <rPr>
        <rFont val="メイリオ"/>
        <color rgb="FF000000"/>
        <sz val="10.0"/>
      </rPr>
      <t xml:space="preserve">Nhập năm tháng ngày và thực hiện tổng hợp
</t>
    </r>
    <r>
      <rPr>
        <rFont val="メイリオ"/>
        <b/>
        <color rgb="FF000000"/>
        <sz val="10.0"/>
      </rPr>
      <t xml:space="preserve">ステップ2：
</t>
    </r>
    <r>
      <rPr>
        <rFont val="メイリオ"/>
        <color rgb="FF000000"/>
        <sz val="10.0"/>
      </rPr>
      <t>Đối chiếu当月金額 của販売店 cụ thể với `当月部数 × m_tanka.kingaku_zeikomi`（tanka_type=2）</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</si>
  <si>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当月金額 được tính bằng `当月部数 × kingaku_zeikomi`（đơn giá thuế trong）</t>
    </r>
  </si>
  <si>
    <t>ACSMS-TC-021-023</t>
  </si>
  <si>
    <t>Tính金額 thuế ngoài（zei_kubun=2）</t>
  </si>
  <si>
    <t>・Đã đăng nhập bằng CHUOKAI
・Phân loại thuế của JA trực thuộc là thuế ngoài（m_ja.zei_kubun=2）</t>
  </si>
  <si>
    <r>
      <rPr>
        <rFont val="メイリオ"/>
        <b/>
        <color rgb="FF000000"/>
        <sz val="10.0"/>
      </rPr>
      <t xml:space="preserve">ステップ1：
</t>
    </r>
    <r>
      <rPr>
        <rFont val="メイリオ"/>
        <color rgb="FF000000"/>
        <sz val="10.0"/>
      </rPr>
      <t xml:space="preserve">Nhập năm tháng ngày và thực hiện tổng hợp
</t>
    </r>
    <r>
      <rPr>
        <rFont val="メイリオ"/>
        <b/>
        <color rgb="FF000000"/>
        <sz val="10.0"/>
      </rPr>
      <t xml:space="preserve">ステップ2：
</t>
    </r>
    <r>
      <rPr>
        <rFont val="メイリオ"/>
        <color rgb="FF000000"/>
        <sz val="10.0"/>
      </rPr>
      <t>Đối chiếu当月金額 của販売店 cụ thể với `当月部数 × m_tanka.kingaku_zeinuki`（tanka_type=2）</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</si>
  <si>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当月金額 được tính bằng `当月部数 × kingaku_zeinuki`（đơn giá thuế ngoài）</t>
    </r>
  </si>
  <si>
    <t>ACSMS-TC-021-024</t>
  </si>
  <si>
    <t>Tổng toàn bộ販売店（合計部数・合計金額）</t>
  </si>
  <si>
    <t>・Đã đăng nhập bằng CHUOKAI
・Nhiều販売店 trở thành đối tượng tổng hợp trong năm tháng đối tượng</t>
  </si>
  <si>
    <r>
      <rPr>
        <rFont val="メイリオ"/>
        <b/>
        <color rgb="FF000000"/>
        <sz val="10.0"/>
      </rPr>
      <t xml:space="preserve">ステップ1：
</t>
    </r>
    <r>
      <rPr>
        <rFont val="メイリオ"/>
        <color rgb="FF000000"/>
        <sz val="10.0"/>
      </rPr>
      <t xml:space="preserve">Nhập năm tháng ngày và thực hiện tổng hợp
</t>
    </r>
    <r>
      <rPr>
        <rFont val="メイリオ"/>
        <b/>
        <color rgb="FF000000"/>
        <sz val="10.0"/>
      </rPr>
      <t xml:space="preserve">ステップ2：
</t>
    </r>
    <r>
      <rPr>
        <rFont val="メイリオ"/>
        <color rgb="FF000000"/>
        <sz val="10.0"/>
      </rPr>
      <t>Đối chiếu合計部数・合計金額 của dòng tổng với tổng của当月部数・当月金額 từng dòng販売店</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</si>
  <si>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・合計部数 khớp với tổng当月部数 của từng販売店（grand_total_busu）
</t>
    </r>
    <r>
      <rPr>
        <rFont val="メイリオ"/>
        <color rgb="FF000000"/>
        <sz val="10.0"/>
      </rPr>
      <t>・合計金額 khớp với tổng当月金額 của từng販売店（grand_total_kingaku）</t>
    </r>
  </si>
  <si>
    <t>ACSMS-TC-021-025</t>
  </si>
  <si>
    <t>Lọc theo chu kỳ thanh toán phí giao hàng</t>
  </si>
  <si>
    <t>・Đã đăng nhập bằng CHUOKAI
・Tồn tại nhiều販売店 có chu kỳ thanh toán khác nhau</t>
  </si>
  <si>
    <r>
      <rPr>
        <rFont val="メイリオ"/>
        <b/>
        <color rgb="FF000000"/>
        <sz val="10.0"/>
      </rPr>
      <t xml:space="preserve">ステップ1：
</t>
    </r>
    <r>
      <rPr>
        <rFont val="メイリオ"/>
        <color rgb="FF000000"/>
        <sz val="10.0"/>
      </rPr>
      <t>Nhập năm tháng ngày và chu kỳ thanh toán phí giao hàng「3」rồi thực hiện tổng hợp</t>
    </r>
  </si>
  <si>
    <r>
      <rPr>
        <rFont val="メイリオ"/>
        <b/>
        <color rgb="FF000000"/>
        <sz val="10.0"/>
      </rPr>
      <t xml:space="preserve">ステップ1：
</t>
    </r>
    <r>
      <rPr>
        <rFont val="メイリオ"/>
        <color rgb="FF000000"/>
        <sz val="10.0"/>
      </rPr>
      <t>Chỉ販売店 có `m_hanbaiten.haitatsuryo_shiharai_cycle = 3` trở thành đối tượng tổng hợp</t>
    </r>
  </si>
  <si>
    <t>ACSMS-TC-021-026</t>
  </si>
  <si>
    <t>Chu kỳ thanh toán phí giao hàng không chỉ định（đối tượng toàn bộ chu kỳ）</t>
  </si>
  <si>
    <r>
      <rPr>
        <rFont val="メイリオ"/>
        <b/>
        <color rgb="FF000000"/>
        <sz val="10.0"/>
      </rPr>
      <t xml:space="preserve">ステップ1：
</t>
    </r>
    <r>
      <rPr>
        <rFont val="メイリオ"/>
        <color rgb="FF000000"/>
        <sz val="10.0"/>
      </rPr>
      <t>Chỉ nhập năm tháng ngày, để chu kỳ thanh toán phí giao hàng không chỉ định rồi thực hiện tổng hợp</t>
    </r>
  </si>
  <si>
    <r>
      <rPr>
        <rFont val="メイリオ"/>
        <b/>
        <color rgb="FF000000"/>
        <sz val="10.0"/>
      </rPr>
      <t xml:space="preserve">ステップ1：
</t>
    </r>
    <r>
      <rPr>
        <rFont val="メイリオ"/>
        <color rgb="FF000000"/>
        <sz val="10.0"/>
      </rPr>
      <t>販売店 của toàn bộ chu kỳ trở thành đối tượng tổng hợp</t>
    </r>
  </si>
  <si>
    <t>ACSMS-TC-021-027</t>
  </si>
  <si>
    <t>Đối tượng 0 bản（preview）</t>
  </si>
  <si>
    <t>・Đã đăng nhập bằng CHUOKAI
・Không tồn tại người đăng ký là đối tượng tổng hợp với năm tháng đối tượng・điều kiện đã chỉ định</t>
  </si>
  <si>
    <r>
      <rPr>
        <rFont val="メイリオ"/>
        <b/>
        <color rgb="FF000000"/>
        <sz val="10.0"/>
      </rPr>
      <t xml:space="preserve">ステップ1：
</t>
    </r>
    <r>
      <rPr>
        <rFont val="メイリオ"/>
        <color rgb="FF000000"/>
        <sz val="10.0"/>
      </rPr>
      <t>Nhập năm tháng・điều kiện không tồn tại đối tượng tổng hợp rồi thực hiện tổng hợp</t>
    </r>
  </si>
  <si>
    <r>
      <rPr>
        <rFont val="メイリオ"/>
        <b/>
        <color rgb="FF000000"/>
        <sz val="10.0"/>
      </rPr>
      <t xml:space="preserve">ステップ1：
</t>
    </r>
    <r>
      <rPr>
        <rFont val="メイリオ"/>
        <color rgb="FF000000"/>
        <sz val="10.0"/>
      </rPr>
      <t xml:space="preserve">・Trả về HTTP 200（`data:[]`）
</t>
    </r>
    <r>
      <rPr>
        <rFont val="メイリオ"/>
        <color rgb="FF000000"/>
        <sz val="10.0"/>
      </rPr>
      <t xml:space="preserve">・Hiển thị message「該当する支払い情報が存在しません。」trong màn hình（ACSMS-MSG-021-003, không phải toast）
</t>
    </r>
    <r>
      <rPr>
        <rFont val="メイリオ"/>
        <color rgb="FF000000"/>
        <sz val="10.0"/>
      </rPr>
      <t>・Dữ liệu không hiển thị trong grid</t>
    </r>
  </si>
  <si>
    <t>ACSMS-TC-021-028</t>
  </si>
  <si>
    <t>Xuất Excel luồng bình thường</t>
  </si>
  <si>
    <r>
      <rPr>
        <rFont val="メイリオ"/>
        <b/>
        <color rgb="FF000000"/>
        <sz val="10.0"/>
      </rPr>
      <t xml:space="preserve">ステップ1：
</t>
    </r>
    <r>
      <rPr>
        <rFont val="メイリオ"/>
        <color rgb="FF000000"/>
        <sz val="10.0"/>
      </rPr>
      <t xml:space="preserve">Nhập năm tháng ngày
</t>
    </r>
    <r>
      <rPr>
        <rFont val="メイリオ"/>
        <b/>
        <color rgb="FF000000"/>
        <sz val="10.0"/>
      </rPr>
      <t xml:space="preserve">ステップ2：
</t>
    </r>
    <r>
      <rPr>
        <rFont val="メイリオ"/>
        <color rgb="FF000000"/>
        <sz val="10.0"/>
      </rPr>
      <t>Click button「Excel出力」</t>
    </r>
  </si>
  <si>
    <r>
      <rPr>
        <rFont val="メイリオ"/>
        <b/>
        <color rgb="FF000000"/>
        <sz val="10.0"/>
      </rPr>
      <t xml:space="preserve">ステップ1：
</t>
    </r>
    <r>
      <rPr>
        <rFont val="メイリオ"/>
        <color rgb="FF000000"/>
        <sz val="10.0"/>
      </rPr>
      <t xml:space="preserve">Có thể nhập năm tháng ngày
</t>
    </r>
    <r>
      <rPr>
        <rFont val="メイリオ"/>
        <b/>
        <color rgb="FF000000"/>
        <sz val="10.0"/>
      </rPr>
      <t xml:space="preserve">ステップ2：
</t>
    </r>
    <r>
      <rPr>
        <rFont val="メイリオ"/>
        <color rgb="FF000000"/>
        <sz val="10.0"/>
      </rPr>
      <t xml:space="preserve">・Trả về HTTP 200
</t>
    </r>
    <r>
      <rPr>
        <rFont val="メイリオ"/>
        <color rgb="FF000000"/>
        <sz val="10.0"/>
      </rPr>
      <t xml:space="preserve">・File Excel（`.xlsx`）được download（tên file `配達手数料支払情報出力_{YYYY年MM月}.xlsx`）
</t>
    </r>
    <r>
      <rPr>
        <rFont val="メイリオ"/>
        <color rgb="FF000000"/>
        <sz val="10.0"/>
      </rPr>
      <t>・Hiển thị toast「Excelファイルを出力しました。」（ACSMS-MSG-021-004）</t>
    </r>
  </si>
  <si>
    <t>ACSMS-TC-021-029</t>
  </si>
  <si>
    <t>Nội dung file Excel</t>
  </si>
  <si>
    <r>
      <rPr>
        <rFont val="メイリオ"/>
        <b/>
        <color rgb="FF000000"/>
        <sz val="10.0"/>
      </rPr>
      <t xml:space="preserve">ステップ1：
</t>
    </r>
    <r>
      <rPr>
        <rFont val="メイリオ"/>
        <color rgb="FF000000"/>
        <sz val="10.0"/>
      </rPr>
      <t xml:space="preserve">Thực hiện「Excel出力」và mở file Excel đã download
</t>
    </r>
    <r>
      <rPr>
        <rFont val="メイリオ"/>
        <b/>
        <color rgb="FF000000"/>
        <sz val="10.0"/>
      </rPr>
      <t xml:space="preserve">ステップ2：
</t>
    </r>
    <r>
      <rPr>
        <rFont val="メイリオ"/>
        <color rgb="FF000000"/>
        <sz val="10.0"/>
      </rPr>
      <t>Xác nhận tên sheet・dòng header・dòng dữ liệu・dòng tổng</t>
    </r>
  </si>
  <si>
    <r>
      <rPr>
        <rFont val="メイリオ"/>
        <b/>
        <color rgb="FF000000"/>
        <sz val="10.0"/>
      </rPr>
      <t xml:space="preserve">ステップ1：
</t>
    </r>
    <r>
      <rPr>
        <rFont val="メイリオ"/>
        <color rgb="FF000000"/>
        <sz val="10.0"/>
      </rPr>
      <t xml:space="preserve">Có thể mở file Excel
</t>
    </r>
    <r>
      <rPr>
        <rFont val="メイリオ"/>
        <b/>
        <color rgb="FF000000"/>
        <sz val="10.0"/>
      </rPr>
      <t xml:space="preserve">ステップ2：
</t>
    </r>
    <r>
      <rPr>
        <rFont val="メイリオ"/>
        <color rgb="FF000000"/>
        <sz val="10.0"/>
      </rPr>
      <t xml:space="preserve">・Tên sheet là「配達手数料支払情報」
</t>
    </r>
    <r>
      <rPr>
        <rFont val="メイリオ"/>
        <color rgb="FF000000"/>
        <sz val="10.0"/>
      </rPr>
      <t xml:space="preserve">・Dòng header hiển thị対象月・販売店コード・販売店名・当月部数・当月金額・支払サイクル・金融機関コード・金融機関名・口座支店コード・口座支店名・貯金種目・口座番号・口座名義・備考
</t>
    </r>
    <r>
      <rPr>
        <rFont val="メイリオ"/>
        <color rgb="FF000000"/>
        <sz val="10.0"/>
      </rPr>
      <t>・Cuối cùng dòng tổng（label「合計」＋合計部数＋合計金額）được hiển thị</t>
    </r>
  </si>
  <si>
    <t>ACSMS-TC-021-030</t>
  </si>
  <si>
    <t>Đăng ký t_file_download</t>
  </si>
  <si>
    <r>
      <rPr>
        <rFont val="メイリオ"/>
        <b/>
        <color rgb="FF000000"/>
        <sz val="10.0"/>
      </rPr>
      <t xml:space="preserve">ステップ1：
</t>
    </r>
    <r>
      <rPr>
        <rFont val="メイリオ"/>
        <color rgb="FF000000"/>
        <sz val="10.0"/>
      </rPr>
      <t xml:space="preserve">Thực hiện「Excel出力」
</t>
    </r>
    <r>
      <rPr>
        <rFont val="メイリオ"/>
        <b/>
        <color rgb="FF000000"/>
        <sz val="10.0"/>
      </rPr>
      <t xml:space="preserve">ステップ2：
</t>
    </r>
    <r>
      <rPr>
        <rFont val="メイリオ"/>
        <color rgb="FF000000"/>
        <sz val="10.0"/>
      </rPr>
      <t xml:space="preserve">Thực thi query sau ở DB và xác nhận lịch sử download
</t>
    </r>
    <r>
      <rPr>
        <rFont val="メイリオ"/>
        <color rgb="FF000000"/>
        <sz val="10.0"/>
      </rPr>
      <t xml:space="preserve">```sql
</t>
    </r>
    <r>
      <rPr>
        <rFont val="メイリオ"/>
        <color rgb="FF000000"/>
        <sz val="10.0"/>
      </rPr>
      <t xml:space="preserve">SELECT download_type, file_name, record_count, target_month
</t>
    </r>
    <r>
      <rPr>
        <rFont val="メイリオ"/>
        <color rgb="FF000000"/>
        <sz val="10.0"/>
      </rPr>
      <t xml:space="preserve">FROM t_file_download
</t>
    </r>
    <r>
      <rPr>
        <rFont val="メイリオ"/>
        <color rgb="FF000000"/>
        <sz val="10.0"/>
      </rPr>
      <t xml:space="preserve">WHERE ja_id = 1
</t>
    </r>
    <r>
      <rPr>
        <rFont val="メイリオ"/>
        <color rgb="FF000000"/>
        <sz val="10.0"/>
      </rPr>
      <t xml:space="preserve">ORDER BY download_datetime DESC
</t>
    </r>
    <r>
      <rPr>
        <rFont val="メイリオ"/>
        <color rgb="FF000000"/>
        <sz val="10.0"/>
      </rPr>
      <t xml:space="preserve">LIMIT 1;
</t>
    </r>
    <r>
      <rPr>
        <rFont val="メイリオ"/>
        <color rgb="FF000000"/>
        <sz val="10.0"/>
      </rPr>
      <t>```</t>
    </r>
  </si>
  <si>
    <r>
      <rPr>
        <rFont val="メイリオ"/>
        <b/>
        <color rgb="FF000000"/>
        <sz val="10.0"/>
      </rPr>
      <t xml:space="preserve">ステップ1：
</t>
    </r>
    <r>
      <rPr>
        <rFont val="メイリオ"/>
        <color rgb="FF000000"/>
        <sz val="10.0"/>
      </rPr>
      <t xml:space="preserve">File Excel được download
</t>
    </r>
    <r>
      <rPr>
        <rFont val="メイリオ"/>
        <b/>
        <color rgb="FF000000"/>
        <sz val="10.0"/>
      </rPr>
      <t xml:space="preserve">ステップ2：
</t>
    </r>
    <r>
      <rPr>
        <rFont val="メイリオ"/>
        <color rgb="FF000000"/>
        <sz val="10.0"/>
      </rPr>
      <t>t_file_download được đăng ký 1 bản（download_type=2, file_name chứa tên file Excel, record_count chứa số lượng販売店, target_month chứa năm tháng đối tượng）</t>
    </r>
  </si>
  <si>
    <t>ACSMS-TC-021-031</t>
  </si>
  <si>
    <t>Ghi log thao tác（t_log）</t>
  </si>
  <si>
    <r>
      <rPr>
        <rFont val="メイリオ"/>
        <b/>
        <color rgb="FF000000"/>
        <sz val="10.0"/>
      </rPr>
      <t xml:space="preserve">ステップ1：
</t>
    </r>
    <r>
      <rPr>
        <rFont val="メイリオ"/>
        <color rgb="FF000000"/>
        <sz val="10.0"/>
      </rPr>
      <t xml:space="preserve">Thực hiện「Excel出力」
</t>
    </r>
    <r>
      <rPr>
        <rFont val="メイリオ"/>
        <b/>
        <color rgb="FF000000"/>
        <sz val="10.0"/>
      </rPr>
      <t xml:space="preserve">ステップ2：
</t>
    </r>
    <r>
      <rPr>
        <rFont val="メイリオ"/>
        <color rgb="FF000000"/>
        <sz val="10.0"/>
      </rPr>
      <t xml:space="preserve">Thực thi query sau ở DB và xác nhận log thao tác
</t>
    </r>
    <r>
      <rPr>
        <rFont val="メイリオ"/>
        <color rgb="FF000000"/>
        <sz val="10.0"/>
      </rPr>
      <t xml:space="preserve">```sql
</t>
    </r>
    <r>
      <rPr>
        <rFont val="メイリオ"/>
        <color rgb="FF000000"/>
        <sz val="10.0"/>
      </rPr>
      <t xml:space="preserve">SELECT log_type, operation, result_status, target_table, after_value
</t>
    </r>
    <r>
      <rPr>
        <rFont val="メイリオ"/>
        <color rgb="FF000000"/>
        <sz val="10.0"/>
      </rPr>
      <t xml:space="preserve">FROM t_log
</t>
    </r>
    <r>
      <rPr>
        <rFont val="メイリオ"/>
        <color rgb="FF000000"/>
        <sz val="10.0"/>
      </rPr>
      <t xml:space="preserve">WHERE ja_id = 1 AND gamen_name = '配達手数料支払情報出力画面 (ACSMS-SCR-021)'
</t>
    </r>
    <r>
      <rPr>
        <rFont val="メイリオ"/>
        <color rgb="FF000000"/>
        <sz val="10.0"/>
      </rPr>
      <t xml:space="preserve">ORDER BY log_datetime DESC
</t>
    </r>
    <r>
      <rPr>
        <rFont val="メイリオ"/>
        <color rgb="FF000000"/>
        <sz val="10.0"/>
      </rPr>
      <t xml:space="preserve">LIMIT 1;
</t>
    </r>
    <r>
      <rPr>
        <rFont val="メイリオ"/>
        <color rgb="FF000000"/>
        <sz val="10.0"/>
      </rPr>
      <t>```</t>
    </r>
  </si>
  <si>
    <r>
      <rPr>
        <rFont val="メイリオ"/>
        <b/>
        <color rgb="FF000000"/>
        <sz val="10.0"/>
      </rPr>
      <t xml:space="preserve">ステップ1：
</t>
    </r>
    <r>
      <rPr>
        <rFont val="メイリオ"/>
        <color rgb="FF000000"/>
        <sz val="10.0"/>
      </rPr>
      <t xml:space="preserve">File Excel được download
</t>
    </r>
    <r>
      <rPr>
        <rFont val="メイリオ"/>
        <b/>
        <color rgb="FF000000"/>
        <sz val="10.0"/>
      </rPr>
      <t xml:space="preserve">ステップ2：
</t>
    </r>
    <r>
      <rPr>
        <rFont val="メイリオ"/>
        <color rgb="FF000000"/>
        <sz val="10.0"/>
      </rPr>
      <t xml:space="preserve">・Audit log được ghi 1 bản vào t_log（log_type=4, operation=`CREATE`, result_status=1, target_table=`t_file_download`）
</t>
    </r>
    <r>
      <rPr>
        <rFont val="メイリオ"/>
        <color rgb="FF000000"/>
        <sz val="10.0"/>
      </rPr>
      <t>・after_value chứa điều kiện export và số lượng theo định dạng JSON</t>
    </r>
  </si>
  <si>
    <t>ACSMS-TC-021-032</t>
  </si>
  <si>
    <t>Đối tượng 0 bản（xuất Excel）</t>
  </si>
  <si>
    <r>
      <rPr>
        <rFont val="メイリオ"/>
        <b/>
        <color rgb="FF000000"/>
        <sz val="10.0"/>
      </rPr>
      <t xml:space="preserve">ステップ1：
</t>
    </r>
    <r>
      <rPr>
        <rFont val="メイリオ"/>
        <color rgb="FF000000"/>
        <sz val="10.0"/>
      </rPr>
      <t xml:space="preserve">Thực hiện「Excel出力」với năm tháng・điều kiện không tồn tại đối tượng tổng hợp
</t>
    </r>
    <r>
      <rPr>
        <rFont val="メイリオ"/>
        <b/>
        <color rgb="FF000000"/>
        <sz val="10.0"/>
      </rPr>
      <t xml:space="preserve">ステップ2：
</t>
    </r>
    <r>
      <rPr>
        <rFont val="メイリオ"/>
        <color rgb="FF000000"/>
        <sz val="10.0"/>
      </rPr>
      <t>Xác nhận số lượng bản đăng ký t_file_download ở DB</t>
    </r>
  </si>
  <si>
    <r>
      <rPr>
        <rFont val="メイリオ"/>
        <b/>
        <color rgb="FF000000"/>
        <sz val="10.0"/>
      </rPr>
      <t xml:space="preserve">ステップ1：
</t>
    </r>
    <r>
      <rPr>
        <rFont val="メイリオ"/>
        <color rgb="FF000000"/>
        <sz val="10.0"/>
      </rPr>
      <t xml:space="preserve">・Trả về HTTP 200（`{ data: [] }` của `application/json`）
</t>
    </r>
    <r>
      <rPr>
        <rFont val="メイリオ"/>
        <color rgb="FF000000"/>
        <sz val="10.0"/>
      </rPr>
      <t xml:space="preserve">・File Excel không được download
</t>
    </r>
    <r>
      <rPr>
        <rFont val="メイリオ"/>
        <color rgb="FF000000"/>
        <sz val="10.0"/>
      </rPr>
      <t xml:space="preserve">・Hiển thị message「該当する支払い情報が存在しません。」trong màn hình（ACSMS-MSG-021-003）
</t>
    </r>
    <r>
      <rPr>
        <rFont val="メイリオ"/>
        <b/>
        <color rgb="FF000000"/>
        <sz val="10.0"/>
      </rPr>
      <t xml:space="preserve">ステップ2：
</t>
    </r>
    <r>
      <rPr>
        <rFont val="メイリオ"/>
        <color rgb="FF000000"/>
        <sz val="10.0"/>
      </rPr>
      <t>Record không được đăng ký vào t_file_download</t>
    </r>
  </si>
  <si>
    <t>ACSMS-TC-021-033</t>
  </si>
  <si>
    <t>Rollback transaction</t>
  </si>
  <si>
    <t>・Đã đăng nhập bằng CHUOKAI
・Đã chuẩn bị sẵn để phát sinh lỗi DB khi đăng ký t_file_download</t>
  </si>
  <si>
    <r>
      <rPr>
        <rFont val="メイリオ"/>
        <b/>
        <color rgb="FF000000"/>
        <sz val="10.0"/>
      </rPr>
      <t xml:space="preserve">ステップ1：
</t>
    </r>
    <r>
      <rPr>
        <rFont val="メイリオ"/>
        <color rgb="FF000000"/>
        <sz val="10.0"/>
      </rPr>
      <t xml:space="preserve">Thực hiện「Excel出力」（inject lỗi giữa chừng khi đăng ký DB）
</t>
    </r>
    <r>
      <rPr>
        <rFont val="メイリオ"/>
        <b/>
        <color rgb="FF000000"/>
        <sz val="10.0"/>
      </rPr>
      <t xml:space="preserve">ステップ2：
</t>
    </r>
    <r>
      <rPr>
        <rFont val="メイリオ"/>
        <color rgb="FF000000"/>
        <sz val="10.0"/>
      </rPr>
      <t>Xác nhận trạng thái của t_file_download・t_log ở DB</t>
    </r>
  </si>
  <si>
    <r>
      <rPr>
        <rFont val="メイリオ"/>
        <b/>
        <color rgb="FF000000"/>
        <sz val="10.0"/>
      </rPr>
      <t xml:space="preserve">ステップ1：
</t>
    </r>
    <r>
      <rPr>
        <rFont val="メイリオ"/>
        <color rgb="FF000000"/>
        <sz val="10.0"/>
      </rPr>
      <t xml:space="preserve">Trả về HTTP 500（`error_code: INTERNAL_SERVER_ERROR`, message `システムエラーが発生しました。しばらくしてから再度お試しください。`）
</t>
    </r>
    <r>
      <rPr>
        <rFont val="メイリオ"/>
        <b/>
        <color rgb="FF000000"/>
        <sz val="10.0"/>
      </rPr>
      <t xml:space="preserve">ステップ2：
</t>
    </r>
    <r>
      <rPr>
        <rFont val="メイリオ"/>
        <color rgb="FF000000"/>
        <sz val="10.0"/>
      </rPr>
      <t xml:space="preserve">・Cả t_file_download・t_log（log_type=4）đều không được đăng ký（Được rollback）
</t>
    </r>
    <r>
      <rPr>
        <rFont val="メイリオ"/>
        <color rgb="FF000000"/>
        <sz val="10.0"/>
      </rPr>
      <t>・Error log được ghi 1 bản vào t_log（log_type=3, result_status=2）</t>
    </r>
  </si>
  <si>
    <t>カテゴリ5: Xử lý lỗi chung (Common Error Handling)</t>
  </si>
  <si>
    <t>ACSMS-TC-021-034</t>
  </si>
  <si>
    <t>Request parameter không hợp lệ（BAD_REQUEST）</t>
  </si>
  <si>
    <r>
      <rPr>
        <rFont val="メイリオ"/>
        <b/>
        <color rgb="FF000000"/>
        <sz val="10.0"/>
      </rPr>
      <t xml:space="preserve">ステップ1：
</t>
    </r>
    <r>
      <rPr>
        <rFont val="メイリオ"/>
        <color rgb="FF000000"/>
        <sz val="10.0"/>
      </rPr>
      <t>Gửi GET「/api/v1/haitatsuryo/preview?target_month=2026-04-01&amp;haitatsuryo_shiharai_cycle=abc」（chuỗi vào mục số nguyên）qua tab Network của DevTools</t>
    </r>
  </si>
  <si>
    <r>
      <rPr>
        <rFont val="メイリオ"/>
        <b/>
        <color rgb="FF000000"/>
        <sz val="10.0"/>
      </rPr>
      <t xml:space="preserve">ステップ1：
</t>
    </r>
    <r>
      <rPr>
        <rFont val="メイリオ"/>
        <color rgb="FF000000"/>
        <sz val="10.0"/>
      </rPr>
      <t>Trả về HTTP 400（`error_code: BAD_REQUEST`, message `リクエストパラメータが不正です。`）</t>
    </r>
  </si>
  <si>
    <t>ACSMS-TC-021-035</t>
  </si>
  <si>
    <t>Hết session（UNAUTHORIZED）</t>
  </si>
  <si>
    <t>・Đã đăng nhập bằng CHUOKAI
・Đã chuẩn bị sẵn để cưỡng chế hết hạn session bằng công cụ quản lý</t>
  </si>
  <si>
    <r>
      <rPr>
        <rFont val="メイリオ"/>
        <b/>
        <color rgb="FF000000"/>
        <sz val="10.0"/>
      </rPr>
      <t xml:space="preserve">ステップ1：
</t>
    </r>
    <r>
      <rPr>
        <rFont val="メイリオ"/>
        <color rgb="FF000000"/>
        <sz val="10.0"/>
      </rPr>
      <t xml:space="preserve">Cưỡng chế hết hạn session trong khi đang mở màn hình xuất thông tin thanh toán phí giao hàng
</t>
    </r>
    <r>
      <rPr>
        <rFont val="メイリオ"/>
        <b/>
        <color rgb="FF000000"/>
        <sz val="10.0"/>
      </rPr>
      <t xml:space="preserve">ステップ2：
</t>
    </r>
    <r>
      <rPr>
        <rFont val="メイリオ"/>
        <color rgb="FF000000"/>
        <sz val="10.0"/>
      </rPr>
      <t>Click button「Excel出力」</t>
    </r>
  </si>
  <si>
    <r>
      <rPr>
        <rFont val="メイリオ"/>
        <b/>
        <color rgb="FF000000"/>
        <sz val="10.0"/>
      </rPr>
      <t xml:space="preserve">ステップ1：
</t>
    </r>
    <r>
      <rPr>
        <rFont val="メイリオ"/>
        <color rgb="FF000000"/>
        <sz val="10.0"/>
      </rPr>
      <t xml:space="preserve">Màn hình ở trạng thái được hiển thị
</t>
    </r>
    <r>
      <rPr>
        <rFont val="メイリオ"/>
        <b/>
        <color rgb="FF000000"/>
        <sz val="10.0"/>
      </rPr>
      <t xml:space="preserve">ステップ2：
</t>
    </r>
    <r>
      <rPr>
        <rFont val="メイリオ"/>
        <color rgb="FF000000"/>
        <sz val="10.0"/>
      </rPr>
      <t xml:space="preserve">・Trả về HTTP 401（`error_code: UNAUTHORIZED`, message `セッションが切れました。再度ログインしてください。`）
</t>
    </r>
    <r>
      <rPr>
        <rFont val="メイリオ"/>
        <color rgb="FF000000"/>
        <sz val="10.0"/>
      </rPr>
      <t>・Chuyển sang「/login」（query có gắn `redirect`）</t>
    </r>
  </si>
  <si>
    <t>ACSMS-TC-021-036</t>
  </si>
  <si>
    <t>Hình dạng response lỗi validation（VALIDATION_ERROR）</t>
  </si>
  <si>
    <r>
      <rPr>
        <rFont val="メイリオ"/>
        <b/>
        <color rgb="FF000000"/>
        <sz val="10.0"/>
      </rPr>
      <t xml:space="preserve">ステップ1：
</t>
    </r>
    <r>
      <rPr>
        <rFont val="メイリオ"/>
        <color rgb="FF000000"/>
        <sz val="10.0"/>
      </rPr>
      <t>Gửi POST「/api/v1/haitatsuryo/export」với request body thiếu target_month qua tab Network của DevTools</t>
    </r>
  </si>
  <si>
    <r>
      <rPr>
        <rFont val="メイリオ"/>
        <b/>
        <color rgb="FF000000"/>
        <sz val="10.0"/>
      </rPr>
      <t xml:space="preserve">ステップ1：
</t>
    </r>
    <r>
      <rPr>
        <rFont val="メイリオ"/>
        <color rgb="FF000000"/>
        <sz val="10.0"/>
      </rPr>
      <t xml:space="preserve">・Trả về HTTP 400（`error_code: VALIDATION_ERROR`, message `入力値が不正です。詳細はerrorsフィールドを確認してください。`）
</t>
    </r>
    <r>
      <rPr>
        <rFont val="メイリオ"/>
        <color rgb="FF000000"/>
        <sz val="10.0"/>
      </rPr>
      <t>・Response có chứa mảng `errors`, mỗi phần tử có hình dạng `{ field, message }`</t>
    </r>
  </si>
  <si>
    <t>ACSMS-TC-021-037</t>
  </si>
  <si>
    <t>Vượt giới hạn rate limit（TOO_MANY_REQUESTS）</t>
  </si>
  <si>
    <r>
      <rPr>
        <rFont val="メイリオ"/>
        <b/>
        <color rgb="FF000000"/>
        <sz val="10.0"/>
      </rPr>
      <t xml:space="preserve">ステップ1：
</t>
    </r>
    <r>
      <rPr>
        <rFont val="メイリオ"/>
        <color rgb="FF000000"/>
        <sz val="10.0"/>
      </rPr>
      <t xml:space="preserve">Gửi liên tục request tương đương「Excel出力」đến số lần giới hạn
</t>
    </r>
    <r>
      <rPr>
        <rFont val="メイリオ"/>
        <b/>
        <color rgb="FF000000"/>
        <sz val="10.0"/>
      </rPr>
      <t xml:space="preserve">ステップ2：
</t>
    </r>
    <r>
      <rPr>
        <rFont val="メイリオ"/>
        <color rgb="FF000000"/>
        <sz val="10.0"/>
      </rPr>
      <t>Gửi thêm request vượt quá giới hạn</t>
    </r>
  </si>
  <si>
    <r>
      <rPr>
        <rFont val="メイリオ"/>
        <b/>
        <color rgb="FF000000"/>
        <sz val="10.0"/>
      </rPr>
      <t xml:space="preserve">ステップ1：
</t>
    </r>
    <r>
      <rPr>
        <rFont val="メイリオ"/>
        <color rgb="FF000000"/>
        <sz val="10.0"/>
      </rPr>
      <t xml:space="preserve">Request đến số lần giới hạn được xử lý bình thường
</t>
    </r>
    <r>
      <rPr>
        <rFont val="メイリオ"/>
        <b/>
        <color rgb="FF000000"/>
        <sz val="10.0"/>
      </rPr>
      <t xml:space="preserve">ステップ2：
</t>
    </r>
    <r>
      <rPr>
        <rFont val="メイリオ"/>
        <color rgb="FF000000"/>
        <sz val="10.0"/>
      </rPr>
      <t>Trả về HTTP 429（`error_code: TOO_MANY_REQUESTS`, message `リクエスト回数が上限を超えました。しばらくしてから再度お試しください。`）</t>
    </r>
  </si>
  <si>
    <t>ACSMS-TC-021-038</t>
  </si>
  <si>
    <t>Lỗi hệ thống（INTERNAL_SERVER_ERROR）</t>
  </si>
  <si>
    <t>・Đã đăng nhập bằng CHUOKAI
・Đã chuẩn bị sẵn để phát sinh exception phía server</t>
  </si>
  <si>
    <r>
      <rPr>
        <rFont val="メイリオ"/>
        <b/>
        <color rgb="FF000000"/>
        <sz val="10.0"/>
      </rPr>
      <t xml:space="preserve">ステップ1：
</t>
    </r>
    <r>
      <rPr>
        <rFont val="メイリオ"/>
        <color rgb="FF000000"/>
        <sz val="10.0"/>
      </rPr>
      <t>Thực hiện「Excel出力」trong trạng thái đã phát sinh lỗi kết nối DB v.v. phía server</t>
    </r>
  </si>
  <si>
    <r>
      <rPr>
        <rFont val="メイリオ"/>
        <b/>
        <color rgb="FF000000"/>
        <sz val="10.0"/>
      </rPr>
      <t xml:space="preserve">ステップ1：
</t>
    </r>
    <r>
      <rPr>
        <rFont val="メイリオ"/>
        <color rgb="FF000000"/>
        <sz val="10.0"/>
      </rPr>
      <t xml:space="preserve">・Trả về HTTP 500（`error_code: INTERNAL_SERVER_ERROR`, message `システムエラーが発生しました。しばらくしてから再度お試しください。`）
</t>
    </r>
    <r>
      <rPr>
        <rFont val="メイリオ"/>
        <color rgb="FF000000"/>
        <sz val="10.0"/>
      </rPr>
      <t>・Hiển thị toast「システムエラーが発生しました。しばらくしてから再度お試しください。」（ACSMS-MSG-021-002）</t>
    </r>
  </si>
  <si>
    <t>ACSMS-TC-021-039</t>
  </si>
  <si>
    <t>Ngắt kết nối mạng</t>
  </si>
  <si>
    <r>
      <rPr>
        <rFont val="メイリオ"/>
        <b/>
        <color rgb="FF000000"/>
        <sz val="10.0"/>
      </rPr>
      <t xml:space="preserve">ステップ1：
</t>
    </r>
    <r>
      <rPr>
        <rFont val="メイリオ"/>
        <color rgb="FF000000"/>
        <sz val="10.0"/>
      </rPr>
      <t xml:space="preserve">Chọn「Offline」ở tab Network của DevTools và ngắt kết nối mạng
</t>
    </r>
    <r>
      <rPr>
        <rFont val="メイリオ"/>
        <b/>
        <color rgb="FF000000"/>
        <sz val="10.0"/>
      </rPr>
      <t xml:space="preserve">ステップ2：
</t>
    </r>
    <r>
      <rPr>
        <rFont val="メイリオ"/>
        <color rgb="FF000000"/>
        <sz val="10.0"/>
      </rPr>
      <t>Click button「Excel出力」</t>
    </r>
  </si>
  <si>
    <r>
      <rPr>
        <rFont val="メイリオ"/>
        <b/>
        <color rgb="FF000000"/>
        <sz val="10.0"/>
      </rPr>
      <t xml:space="preserve">ステップ1：
</t>
    </r>
    <r>
      <rPr>
        <rFont val="メイリオ"/>
        <color rgb="FF000000"/>
        <sz val="10.0"/>
      </rPr>
      <t xml:space="preserve">Mạng được ngắt kết nối
</t>
    </r>
    <r>
      <rPr>
        <rFont val="メイリオ"/>
        <b/>
        <color rgb="FF000000"/>
        <sz val="10.0"/>
      </rPr>
      <t xml:space="preserve">ステップ2：
</t>
    </r>
    <r>
      <rPr>
        <rFont val="メイリオ"/>
        <color rgb="FF000000"/>
        <sz val="10.0"/>
      </rPr>
      <t xml:space="preserve">・Hiển thị toast lỗi mạng
</t>
    </r>
    <r>
      <rPr>
        <rFont val="メイリオ"/>
        <color rgb="FF000000"/>
        <sz val="10.0"/>
      </rPr>
      <t>・Không bị terminate bất thường</t>
    </r>
  </si>
  <si>
    <t>ACSMS-TC-021-040</t>
  </si>
  <si>
    <t>An toàn với đầu vào SQL injection</t>
  </si>
  <si>
    <r>
      <rPr>
        <rFont val="メイリオ"/>
        <b/>
        <color rgb="FF000000"/>
        <sz val="10.0"/>
      </rPr>
      <t xml:space="preserve">ステップ1：
</t>
    </r>
    <r>
      <rPr>
        <rFont val="メイリオ"/>
        <color rgb="FF000000"/>
        <sz val="10.0"/>
      </rPr>
      <t xml:space="preserve">Chỉ định `2026-04-01'; DROP TABLE t_dokusya; --` vào target_month của GET「/api/v1/haitatsuryo/preview」và gửi qua tab Network của DevTools
</t>
    </r>
    <r>
      <rPr>
        <rFont val="メイリオ"/>
        <b/>
        <color rgb="FF000000"/>
        <sz val="10.0"/>
      </rPr>
      <t xml:space="preserve">ステップ2：
</t>
    </r>
    <r>
      <rPr>
        <rFont val="メイリオ"/>
        <color rgb="FF000000"/>
        <sz val="10.0"/>
      </rPr>
      <t>Xác nhận bảng t_dokusya tồn tại ở DB</t>
    </r>
  </si>
  <si>
    <r>
      <rPr>
        <rFont val="メイリオ"/>
        <b/>
        <color rgb="FF000000"/>
        <sz val="10.0"/>
      </rPr>
      <t xml:space="preserve">ステップ1：
</t>
    </r>
    <r>
      <rPr>
        <rFont val="メイリオ"/>
        <color rgb="FF000000"/>
        <sz val="10.0"/>
      </rPr>
      <t xml:space="preserve">・Giá trị đầu vào được xử lý như literal bằng parameterized query, không được thực thi như SQL
</t>
    </r>
    <r>
      <rPr>
        <rFont val="メイリオ"/>
        <color rgb="FF000000"/>
        <sz val="10.0"/>
      </rPr>
      <t xml:space="preserve">・Trả về HTTP 400（`error_code: VALIDATION_ERROR` hoặc `BAD_REQUEST`）
</t>
    </r>
    <r>
      <rPr>
        <rFont val="メイリオ"/>
        <b/>
        <color rgb="FF000000"/>
        <sz val="10.0"/>
      </rPr>
      <t xml:space="preserve">ステップ2：
</t>
    </r>
    <r>
      <rPr>
        <rFont val="メイリオ"/>
        <color rgb="FF000000"/>
        <sz val="10.0"/>
      </rPr>
      <t>Bảng t_dokusya không bị xóa và tồn tại</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</si>
</sst>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2">
    <font>
      <sz val="11.0"/>
      <color theme="1"/>
      <name val="Calibri"/>
      <scheme val="minor"/>
    </font>
    <font>
      <sz val="11.0"/>
      <color theme="1"/>
      <name val="Calibri"/>
    </font>
    <font>
      <sz val="26.0"/>
      <color rgb="FF1F3864"/>
      <name val="游ゴシック"/>
    </font>
    <font/>
    <font>
      <sz val="24.0"/>
      <color rgb="FF1F3864"/>
      <name val="游ゴシック"/>
    </font>
    <font>
      <sz val="15.0"/>
      <color theme="1"/>
      <name val="游ゴシック"/>
    </font>
    <font>
      <sz val="10.0"/>
      <color rgb="FF000000"/>
      <name val="游ゴシック"/>
    </font>
    <font>
      <b/>
      <sz val="11.0"/>
      <color rgb="FF000000"/>
      <name val="游ゴシック"/>
    </font>
    <font>
      <sz val="11.0"/>
      <color rgb="FF000000"/>
      <name val="游ゴシック"/>
    </font>
    <font>
      <b/>
      <sz val="14.0"/>
      <color rgb="FF000000"/>
      <name val="游ゴシック"/>
    </font>
    <font>
      <i/>
      <sz val="11.0"/>
      <color rgb="FF000000"/>
      <name val="游ゴシック"/>
    </font>
    <font>
      <strike/>
      <sz val="11.0"/>
      <color rgb="FF000000"/>
      <name val="游ゴシック"/>
    </font>
  </fonts>
  <fills count="11">
    <fill>
      <patternFill patternType="none"/>
    </fill>
    <fill>
      <patternFill patternType="lightGray"/>
    </fill>
    <fill>
      <patternFill patternType="solid">
        <fgColor rgb="FFD9E2F3"/>
        <bgColor rgb="FFD9E2F3"/>
      </patternFill>
    </fill>
    <fill>
      <patternFill patternType="solid">
        <fgColor rgb="FFB4C6E7"/>
        <bgColor rgb="FFB4C6E7"/>
      </patternFill>
    </fill>
    <fill>
      <patternFill patternType="solid">
        <fgColor rgb="FFFFFF99"/>
        <bgColor rgb="FFFFFF99"/>
      </patternFill>
    </fill>
    <fill>
      <patternFill patternType="solid">
        <fgColor rgb="FFBDD6EE"/>
        <bgColor rgb="FFBDD6EE"/>
      </patternFill>
    </fill>
    <fill>
      <patternFill patternType="solid">
        <fgColor rgb="FFDEEAF6"/>
        <bgColor rgb="FFDEEAF6"/>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theme="0"/>
        <bgColor theme="0"/>
      </patternFill>
    </fill>
  </fills>
  <borders count="1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4" fillId="0" fontId="1" numFmtId="0" xfId="0" applyBorder="1" applyFont="1"/>
    <xf borderId="5" fillId="0" fontId="1" numFmtId="0" xfId="0" applyBorder="1" applyFont="1"/>
    <xf borderId="4" fillId="0" fontId="2" numFmtId="0" xfId="0" applyAlignment="1" applyBorder="1" applyFont="1">
      <alignment horizontal="center" shrinkToFit="0" vertical="center" wrapText="1"/>
    </xf>
    <xf borderId="5" fillId="0" fontId="3" numFmtId="0" xfId="0" applyBorder="1" applyFont="1"/>
    <xf borderId="4" fillId="0" fontId="4" numFmtId="0" xfId="0" applyAlignment="1" applyBorder="1" applyFont="1">
      <alignment horizontal="center" shrinkToFit="0" vertical="center" wrapText="1"/>
    </xf>
    <xf borderId="4" fillId="0" fontId="5" numFmtId="0" xfId="0" applyAlignment="1" applyBorder="1" applyFont="1">
      <alignment horizontal="center" shrinkToFit="0" vertical="center" wrapText="1"/>
    </xf>
    <xf borderId="6" fillId="2" fontId="6" numFmtId="0" xfId="0" applyAlignment="1" applyBorder="1" applyFill="1" applyFont="1">
      <alignment horizontal="center" shrinkToFit="0" vertical="center" wrapText="1"/>
    </xf>
    <xf borderId="7" fillId="0" fontId="3" numFmtId="0" xfId="0" applyBorder="1" applyFont="1"/>
    <xf borderId="8" fillId="0" fontId="3" numFmtId="0" xfId="0" applyBorder="1" applyFont="1"/>
    <xf borderId="6" fillId="2" fontId="6" numFmtId="49" xfId="0" applyAlignment="1" applyBorder="1" applyFont="1" applyNumberFormat="1">
      <alignment horizontal="center" shrinkToFit="0" vertical="center" wrapText="1"/>
    </xf>
    <xf borderId="9" fillId="0" fontId="1" numFmtId="0" xfId="0" applyBorder="1" applyFont="1"/>
    <xf borderId="10" fillId="0" fontId="1" numFmtId="0" xfId="0" applyBorder="1" applyFont="1"/>
    <xf borderId="11" fillId="0" fontId="1" numFmtId="0" xfId="0" applyBorder="1" applyFont="1"/>
    <xf borderId="12" fillId="3" fontId="7" numFmtId="0" xfId="0" applyAlignment="1" applyBorder="1" applyFill="1" applyFont="1">
      <alignment horizontal="center" shrinkToFit="0" vertical="center" wrapText="1"/>
    </xf>
    <xf borderId="6" fillId="3" fontId="7" numFmtId="0" xfId="0" applyAlignment="1" applyBorder="1" applyFont="1">
      <alignment horizontal="center" shrinkToFit="0" vertical="center" wrapText="1"/>
    </xf>
    <xf borderId="12" fillId="0" fontId="8" numFmtId="0" xfId="0" applyAlignment="1" applyBorder="1" applyFont="1">
      <alignment horizontal="center" shrinkToFit="0" vertical="center" wrapText="1"/>
    </xf>
    <xf borderId="6" fillId="0" fontId="8" numFmtId="0" xfId="0" applyAlignment="1" applyBorder="1" applyFont="1">
      <alignment horizontal="center" shrinkToFit="0" vertical="center" wrapText="1"/>
    </xf>
    <xf borderId="6" fillId="0" fontId="8"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2" fillId="0" fontId="3" numFmtId="0" xfId="0" applyBorder="1" applyFont="1"/>
    <xf borderId="3" fillId="0" fontId="3" numFmtId="0" xfId="0" applyBorder="1" applyFont="1"/>
    <xf borderId="1" fillId="0" fontId="8" numFmtId="49" xfId="0" applyAlignment="1" applyBorder="1" applyFont="1" applyNumberFormat="1">
      <alignment horizontal="center" shrinkToFit="0" vertical="center" wrapText="1"/>
    </xf>
    <xf borderId="9" fillId="0" fontId="3" numFmtId="0" xfId="0" applyBorder="1" applyFont="1"/>
    <xf borderId="10" fillId="0" fontId="3" numFmtId="0" xfId="0" applyBorder="1" applyFont="1"/>
    <xf borderId="11" fillId="0" fontId="3" numFmtId="0" xfId="0" applyBorder="1" applyFont="1"/>
    <xf borderId="0" fillId="0" fontId="7" numFmtId="0" xfId="0" applyAlignment="1" applyFont="1">
      <alignment horizontal="left" shrinkToFit="0" vertical="center" wrapText="1"/>
    </xf>
    <xf borderId="0" fillId="0" fontId="8" numFmtId="0" xfId="0" applyAlignment="1" applyFont="1">
      <alignment horizontal="left" shrinkToFit="0" vertical="center" wrapText="1"/>
    </xf>
    <xf borderId="13" fillId="4" fontId="7" numFmtId="0" xfId="0" applyAlignment="1" applyBorder="1" applyFill="1" applyFont="1">
      <alignment horizontal="left" shrinkToFit="0" vertical="center" wrapText="1"/>
    </xf>
    <xf borderId="14" fillId="0" fontId="3" numFmtId="0" xfId="0" applyBorder="1" applyFont="1"/>
    <xf borderId="15" fillId="0" fontId="3" numFmtId="0" xfId="0" applyBorder="1" applyFont="1"/>
    <xf borderId="6" fillId="3" fontId="9" numFmtId="0" xfId="0" applyAlignment="1" applyBorder="1" applyFont="1">
      <alignment horizontal="center" shrinkToFit="0" vertical="center" wrapText="1"/>
    </xf>
    <xf borderId="6" fillId="5" fontId="7" numFmtId="0" xfId="0" applyAlignment="1" applyBorder="1" applyFill="1" applyFont="1">
      <alignment horizontal="left" shrinkToFit="0" vertical="center" wrapText="1"/>
    </xf>
    <xf borderId="6" fillId="0" fontId="8" numFmtId="49" xfId="0" applyAlignment="1" applyBorder="1" applyFont="1" applyNumberFormat="1">
      <alignment horizontal="left" shrinkToFit="0" vertical="center" wrapText="1"/>
    </xf>
    <xf borderId="16" fillId="5" fontId="7" numFmtId="0" xfId="0" applyAlignment="1" applyBorder="1" applyFont="1">
      <alignment horizontal="center" shrinkToFit="0" vertical="center" wrapText="1"/>
    </xf>
    <xf borderId="1" fillId="5" fontId="7" numFmtId="0" xfId="0" applyAlignment="1" applyBorder="1" applyFont="1">
      <alignment horizontal="center" shrinkToFit="0" vertical="center" wrapText="1"/>
    </xf>
    <xf borderId="6" fillId="5" fontId="7" numFmtId="0" xfId="0" applyAlignment="1" applyBorder="1" applyFont="1">
      <alignment horizontal="center" shrinkToFit="0" vertical="center" wrapText="1"/>
    </xf>
    <xf borderId="17" fillId="0" fontId="3" numFmtId="0" xfId="0" applyBorder="1" applyFont="1"/>
    <xf borderId="12" fillId="6" fontId="7" numFmtId="0" xfId="0" applyAlignment="1" applyBorder="1" applyFill="1" applyFont="1">
      <alignment horizontal="left" shrinkToFit="0" vertical="center" wrapText="1"/>
    </xf>
    <xf borderId="6" fillId="0" fontId="8" numFmtId="164" xfId="0" applyAlignment="1" applyBorder="1" applyFont="1" applyNumberFormat="1">
      <alignment horizontal="center" shrinkToFit="0" vertical="center" wrapText="1"/>
    </xf>
    <xf borderId="6" fillId="0" fontId="7" numFmtId="0" xfId="0" applyAlignment="1" applyBorder="1" applyFont="1">
      <alignment horizontal="center" shrinkToFit="0" vertical="center" wrapText="1"/>
    </xf>
    <xf borderId="6" fillId="0" fontId="7" numFmtId="164" xfId="0" applyAlignment="1" applyBorder="1" applyFont="1" applyNumberFormat="1">
      <alignment horizontal="center" shrinkToFit="0" vertical="center" wrapText="1"/>
    </xf>
    <xf borderId="12" fillId="6" fontId="7" numFmtId="0" xfId="0" applyAlignment="1" applyBorder="1" applyFont="1">
      <alignment horizontal="center" shrinkToFit="0" vertical="center" wrapText="1"/>
    </xf>
    <xf borderId="6" fillId="6" fontId="7" numFmtId="0" xfId="0" applyAlignment="1" applyBorder="1" applyFont="1">
      <alignment horizontal="center" shrinkToFit="0" vertical="center" wrapText="1"/>
    </xf>
    <xf borderId="12" fillId="0" fontId="8" numFmtId="0" xfId="0" applyAlignment="1" applyBorder="1" applyFont="1">
      <alignment horizontal="center" shrinkToFit="0" vertical="top" wrapText="1"/>
    </xf>
    <xf borderId="6" fillId="0" fontId="8" numFmtId="0" xfId="0" applyAlignment="1" applyBorder="1" applyFont="1">
      <alignment horizontal="center" shrinkToFit="0" vertical="top" wrapText="1"/>
    </xf>
    <xf borderId="6" fillId="0" fontId="8" numFmtId="0" xfId="0" applyAlignment="1" applyBorder="1" applyFont="1">
      <alignment horizontal="left" shrinkToFit="0" vertical="top" wrapText="1"/>
    </xf>
    <xf borderId="6" fillId="7" fontId="7" numFmtId="0" xfId="0" applyAlignment="1" applyBorder="1" applyFill="1" applyFont="1">
      <alignment horizontal="center" shrinkToFit="0" vertical="top" wrapText="1"/>
    </xf>
    <xf borderId="6" fillId="8" fontId="7" numFmtId="0" xfId="0" applyAlignment="1" applyBorder="1" applyFill="1" applyFont="1">
      <alignment horizontal="center" shrinkToFit="0" vertical="top" wrapText="1"/>
    </xf>
    <xf borderId="6" fillId="9" fontId="7" numFmtId="0" xfId="0" applyAlignment="1" applyBorder="1" applyFill="1" applyFont="1">
      <alignment horizontal="center" shrinkToFit="0" vertical="top" wrapText="1"/>
    </xf>
    <xf borderId="6" fillId="5" fontId="7" numFmtId="0" xfId="0" applyAlignment="1" applyBorder="1" applyFont="1">
      <alignment horizontal="right" shrinkToFit="0" vertical="center" wrapText="1"/>
    </xf>
    <xf borderId="6" fillId="0" fontId="7" numFmtId="0" xfId="0" applyAlignment="1" applyBorder="1" applyFont="1">
      <alignment horizontal="center" shrinkToFit="0" vertical="top" wrapText="1"/>
    </xf>
    <xf borderId="6" fillId="0" fontId="10" numFmtId="0" xfId="0" applyAlignment="1" applyBorder="1" applyFont="1">
      <alignment horizontal="left" shrinkToFit="0" vertical="top" wrapText="1"/>
    </xf>
    <xf borderId="16" fillId="6" fontId="7" numFmtId="0" xfId="0" applyAlignment="1" applyBorder="1" applyFont="1">
      <alignment horizontal="center" shrinkToFit="0" vertical="center" wrapText="1"/>
    </xf>
    <xf borderId="1" fillId="6" fontId="7" numFmtId="0" xfId="0" applyAlignment="1" applyBorder="1" applyFont="1">
      <alignment horizontal="center" shrinkToFit="0" vertical="center" wrapText="1"/>
    </xf>
    <xf borderId="12" fillId="0" fontId="11" numFmtId="0" xfId="0" applyAlignment="1" applyBorder="1" applyFont="1">
      <alignment horizontal="center" shrinkToFit="0" vertical="top" wrapText="1"/>
    </xf>
    <xf borderId="6" fillId="0" fontId="11" numFmtId="0" xfId="0" applyAlignment="1" applyBorder="1" applyFont="1">
      <alignment horizontal="left" shrinkToFit="0" vertical="top" wrapText="1"/>
    </xf>
    <xf borderId="6" fillId="0" fontId="11" numFmtId="0" xfId="0" applyAlignment="1" applyBorder="1" applyFont="1">
      <alignment horizontal="center" shrinkToFit="0" vertical="top" wrapText="1"/>
    </xf>
    <xf borderId="6" fillId="0" fontId="11" numFmtId="0" xfId="0" applyAlignment="1" applyBorder="1" applyFont="1">
      <alignment horizontal="center" readingOrder="0" shrinkToFit="0" vertical="top" wrapText="1"/>
    </xf>
    <xf borderId="6" fillId="0" fontId="8" numFmtId="0" xfId="0" applyAlignment="1" applyBorder="1" applyFont="1">
      <alignment horizontal="left" readingOrder="0" shrinkToFit="0" vertical="top" wrapText="1"/>
    </xf>
    <xf borderId="6" fillId="0" fontId="8" numFmtId="0" xfId="0" applyAlignment="1" applyBorder="1" applyFont="1">
      <alignment horizontal="center" readingOrder="0" shrinkToFit="0" vertical="top" wrapText="1"/>
    </xf>
    <xf borderId="6" fillId="10" fontId="8"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2</xdr:row>
      <xdr:rowOff>0</xdr:rowOff>
    </xdr:from>
    <xdr:ext cx="1333500" cy="51435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71"/>
    <col customWidth="1" min="2" max="37" width="3.29"/>
  </cols>
  <sheetData>
    <row r="1" ht="19.5" customHeight="1"/>
    <row r="2" ht="12.75" customHeight="1">
      <c r="B2" s="1"/>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3"/>
    </row>
    <row r="3" ht="12.75" customHeight="1">
      <c r="B3" s="4"/>
      <c r="AK3" s="5"/>
    </row>
    <row r="4" ht="12.75" customHeight="1">
      <c r="B4" s="4"/>
      <c r="AK4" s="5"/>
    </row>
    <row r="5" ht="12.75" customHeight="1">
      <c r="B5" s="4"/>
      <c r="AK5" s="5"/>
    </row>
    <row r="6" ht="12.75" customHeight="1">
      <c r="B6" s="4"/>
      <c r="AK6" s="5"/>
    </row>
    <row r="7" ht="12.75" customHeight="1">
      <c r="B7" s="4"/>
      <c r="AK7" s="5"/>
    </row>
    <row r="8" ht="12.75" customHeight="1">
      <c r="B8" s="4"/>
      <c r="AK8" s="5"/>
    </row>
    <row r="9" ht="12.75" customHeight="1">
      <c r="B9" s="4"/>
      <c r="AK9" s="5"/>
    </row>
    <row r="10" ht="29.25" customHeight="1">
      <c r="B10" s="6" t="s">
        <v>0</v>
      </c>
      <c r="AK10" s="7"/>
    </row>
    <row r="11" ht="12.75" customHeight="1">
      <c r="B11" s="4"/>
      <c r="AK11" s="5"/>
    </row>
    <row r="12" ht="39.0" customHeight="1">
      <c r="B12" s="8" t="s">
        <v>1</v>
      </c>
      <c r="AK12" s="7"/>
    </row>
    <row r="13" ht="12.75" customHeight="1">
      <c r="B13" s="4"/>
      <c r="AK13" s="5"/>
    </row>
    <row r="14" ht="12.75" customHeight="1">
      <c r="B14" s="4"/>
      <c r="AK14" s="5"/>
    </row>
    <row r="15" ht="12.75" customHeight="1">
      <c r="B15" s="9" t="s">
        <v>2</v>
      </c>
      <c r="AK15" s="7"/>
    </row>
    <row r="16" ht="12.75" customHeight="1">
      <c r="B16" s="4"/>
      <c r="AK16" s="5"/>
    </row>
    <row r="17" ht="12.75" customHeight="1">
      <c r="B17" s="4"/>
      <c r="AK17" s="5"/>
    </row>
    <row r="18" ht="12.75" customHeight="1">
      <c r="B18" s="4"/>
      <c r="N18" s="10" t="s">
        <v>3</v>
      </c>
      <c r="O18" s="11"/>
      <c r="P18" s="11"/>
      <c r="Q18" s="11"/>
      <c r="R18" s="12"/>
      <c r="S18" s="10" t="s">
        <v>4</v>
      </c>
      <c r="T18" s="11"/>
      <c r="U18" s="11"/>
      <c r="V18" s="11"/>
      <c r="W18" s="12"/>
      <c r="AK18" s="5"/>
    </row>
    <row r="19" ht="12.75" customHeight="1">
      <c r="B19" s="4"/>
      <c r="N19" s="10" t="s">
        <v>5</v>
      </c>
      <c r="O19" s="11"/>
      <c r="P19" s="11"/>
      <c r="Q19" s="11"/>
      <c r="R19" s="12"/>
      <c r="S19" s="10" t="s">
        <v>6</v>
      </c>
      <c r="T19" s="11"/>
      <c r="U19" s="11"/>
      <c r="V19" s="11"/>
      <c r="W19" s="12"/>
      <c r="AK19" s="5"/>
    </row>
    <row r="20" ht="12.75" customHeight="1">
      <c r="B20" s="4"/>
      <c r="N20" s="10" t="s">
        <v>7</v>
      </c>
      <c r="O20" s="11"/>
      <c r="P20" s="11"/>
      <c r="Q20" s="11"/>
      <c r="R20" s="12"/>
      <c r="S20" s="13" t="s">
        <v>8</v>
      </c>
      <c r="T20" s="11"/>
      <c r="U20" s="11"/>
      <c r="V20" s="11"/>
      <c r="W20" s="12"/>
      <c r="AK20" s="5"/>
    </row>
    <row r="21" ht="12.75" customHeight="1">
      <c r="B21" s="4"/>
      <c r="AK21" s="5"/>
    </row>
    <row r="22" ht="12.75" customHeight="1">
      <c r="B22" s="4"/>
      <c r="AK22" s="5"/>
    </row>
    <row r="23" ht="12.75" customHeight="1">
      <c r="B23" s="4"/>
      <c r="AK23" s="5"/>
    </row>
    <row r="24" ht="12.75" customHeight="1">
      <c r="B24" s="4"/>
      <c r="AK24" s="5"/>
    </row>
    <row r="25" ht="12.75" customHeight="1">
      <c r="B25" s="4"/>
      <c r="AK25" s="5"/>
    </row>
    <row r="26" ht="12.75" customHeight="1">
      <c r="B26" s="4"/>
      <c r="AK26" s="5"/>
    </row>
    <row r="27" ht="12.75" customHeight="1">
      <c r="B27" s="4"/>
      <c r="AK27" s="5"/>
    </row>
    <row r="28" ht="12.75" customHeight="1">
      <c r="B28" s="4"/>
      <c r="AK28" s="5"/>
    </row>
    <row r="29" ht="12.75" customHeight="1">
      <c r="B29" s="4"/>
      <c r="AK29" s="5"/>
    </row>
    <row r="30" ht="12.75" customHeight="1">
      <c r="B30" s="4"/>
      <c r="AK30" s="5"/>
    </row>
    <row r="31" ht="12.75" customHeight="1">
      <c r="B31" s="4"/>
      <c r="AK31" s="5"/>
    </row>
    <row r="32" ht="12.75" customHeight="1">
      <c r="B32" s="4"/>
      <c r="AK32" s="5"/>
    </row>
    <row r="33" ht="12.75" customHeight="1">
      <c r="B33" s="4"/>
      <c r="AK33" s="5"/>
    </row>
    <row r="34" ht="12.75" customHeight="1">
      <c r="B34" s="14"/>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6"/>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N20:R20"/>
    <mergeCell ref="S20:W20"/>
    <mergeCell ref="B10:AK10"/>
    <mergeCell ref="B12:AK12"/>
    <mergeCell ref="B15:AK15"/>
    <mergeCell ref="N18:R18"/>
    <mergeCell ref="S18:W18"/>
    <mergeCell ref="N19:R19"/>
    <mergeCell ref="S19:W1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34" width="3.29"/>
  </cols>
  <sheetData>
    <row r="1" ht="22.5" customHeight="1">
      <c r="A1" s="17" t="s">
        <v>9</v>
      </c>
      <c r="B1" s="18" t="s">
        <v>7</v>
      </c>
      <c r="C1" s="11"/>
      <c r="D1" s="11"/>
      <c r="E1" s="12"/>
      <c r="F1" s="18" t="s">
        <v>10</v>
      </c>
      <c r="G1" s="11"/>
      <c r="H1" s="12"/>
      <c r="I1" s="18" t="s">
        <v>11</v>
      </c>
      <c r="J1" s="11"/>
      <c r="K1" s="11"/>
      <c r="L1" s="11"/>
      <c r="M1" s="11"/>
      <c r="N1" s="12"/>
      <c r="O1" s="18" t="s">
        <v>12</v>
      </c>
      <c r="P1" s="11"/>
      <c r="Q1" s="11"/>
      <c r="R1" s="11"/>
      <c r="S1" s="11"/>
      <c r="T1" s="11"/>
      <c r="U1" s="11"/>
      <c r="V1" s="12"/>
      <c r="W1" s="18" t="s">
        <v>13</v>
      </c>
      <c r="X1" s="11"/>
      <c r="Y1" s="11"/>
      <c r="Z1" s="11"/>
      <c r="AA1" s="11"/>
      <c r="AB1" s="12"/>
      <c r="AC1" s="18" t="s">
        <v>14</v>
      </c>
      <c r="AD1" s="11"/>
      <c r="AE1" s="11"/>
      <c r="AF1" s="11"/>
      <c r="AG1" s="11"/>
      <c r="AH1" s="12"/>
    </row>
    <row r="2" ht="22.5" customHeight="1">
      <c r="A2" s="19"/>
      <c r="B2" s="20" t="s">
        <v>8</v>
      </c>
      <c r="C2" s="11"/>
      <c r="D2" s="11"/>
      <c r="E2" s="12"/>
      <c r="F2" s="20" t="s">
        <v>6</v>
      </c>
      <c r="G2" s="11"/>
      <c r="H2" s="12"/>
      <c r="I2" s="20" t="s">
        <v>15</v>
      </c>
      <c r="J2" s="11"/>
      <c r="K2" s="11"/>
      <c r="L2" s="11"/>
      <c r="M2" s="11"/>
      <c r="N2" s="12"/>
      <c r="O2" s="21" t="s">
        <v>16</v>
      </c>
      <c r="P2" s="11"/>
      <c r="Q2" s="11"/>
      <c r="R2" s="11"/>
      <c r="S2" s="11"/>
      <c r="T2" s="11"/>
      <c r="U2" s="11"/>
      <c r="V2" s="12"/>
      <c r="W2" s="20" t="s">
        <v>17</v>
      </c>
      <c r="X2" s="11"/>
      <c r="Y2" s="11"/>
      <c r="Z2" s="11"/>
      <c r="AA2" s="11"/>
      <c r="AB2" s="12"/>
      <c r="AC2" s="20" t="s">
        <v>17</v>
      </c>
      <c r="AD2" s="11"/>
      <c r="AE2" s="11"/>
      <c r="AF2" s="11"/>
      <c r="AG2" s="11"/>
      <c r="AH2"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2:H2"/>
    <mergeCell ref="I2:N2"/>
    <mergeCell ref="O2:V2"/>
    <mergeCell ref="W2:AB2"/>
    <mergeCell ref="B1:E1"/>
    <mergeCell ref="F1:H1"/>
    <mergeCell ref="I1:N1"/>
    <mergeCell ref="O1:V1"/>
    <mergeCell ref="W1:AB1"/>
    <mergeCell ref="AC1:AH1"/>
    <mergeCell ref="B2:E2"/>
    <mergeCell ref="AC2:A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18" t="s">
        <v>18</v>
      </c>
      <c r="B1" s="11"/>
      <c r="C1" s="11"/>
      <c r="D1" s="11"/>
      <c r="E1" s="11"/>
      <c r="F1" s="11"/>
      <c r="G1" s="11"/>
      <c r="H1" s="11"/>
      <c r="I1" s="12"/>
      <c r="J1" s="18" t="s">
        <v>19</v>
      </c>
      <c r="K1" s="11"/>
      <c r="L1" s="11"/>
      <c r="M1" s="11"/>
      <c r="N1" s="11"/>
      <c r="O1" s="11"/>
      <c r="P1" s="12"/>
      <c r="Q1" s="18" t="s">
        <v>20</v>
      </c>
      <c r="R1" s="11"/>
      <c r="S1" s="11"/>
      <c r="T1" s="11"/>
      <c r="U1" s="12"/>
      <c r="V1" s="18" t="s">
        <v>21</v>
      </c>
      <c r="W1" s="11"/>
      <c r="X1" s="11"/>
      <c r="Y1" s="12"/>
      <c r="Z1" s="18" t="s">
        <v>22</v>
      </c>
      <c r="AA1" s="11"/>
      <c r="AB1" s="11"/>
      <c r="AC1" s="12"/>
      <c r="AD1" s="18" t="s">
        <v>23</v>
      </c>
      <c r="AE1" s="11"/>
      <c r="AF1" s="11"/>
      <c r="AG1" s="12"/>
      <c r="AH1" s="18" t="s">
        <v>24</v>
      </c>
      <c r="AI1" s="11"/>
      <c r="AJ1" s="11"/>
      <c r="AK1" s="12"/>
    </row>
    <row r="2" ht="19.5" customHeight="1">
      <c r="A2" s="22" t="s">
        <v>0</v>
      </c>
      <c r="B2" s="23"/>
      <c r="C2" s="23"/>
      <c r="D2" s="23"/>
      <c r="E2" s="23"/>
      <c r="F2" s="23"/>
      <c r="G2" s="23"/>
      <c r="H2" s="23"/>
      <c r="I2" s="24"/>
      <c r="J2" s="22" t="s">
        <v>25</v>
      </c>
      <c r="K2" s="23"/>
      <c r="L2" s="23"/>
      <c r="M2" s="23"/>
      <c r="N2" s="23"/>
      <c r="O2" s="23"/>
      <c r="P2" s="24"/>
      <c r="Q2" s="22" t="s">
        <v>26</v>
      </c>
      <c r="R2" s="23"/>
      <c r="S2" s="23"/>
      <c r="T2" s="23"/>
      <c r="U2" s="24"/>
      <c r="V2" s="25" t="s">
        <v>8</v>
      </c>
      <c r="W2" s="23"/>
      <c r="X2" s="23"/>
      <c r="Y2" s="24"/>
      <c r="Z2" s="22" t="s">
        <v>15</v>
      </c>
      <c r="AA2" s="23"/>
      <c r="AB2" s="23"/>
      <c r="AC2" s="24"/>
      <c r="AD2" s="25" t="s">
        <v>8</v>
      </c>
      <c r="AE2" s="23"/>
      <c r="AF2" s="23"/>
      <c r="AG2" s="24"/>
      <c r="AH2" s="22" t="s">
        <v>15</v>
      </c>
      <c r="AI2" s="23"/>
      <c r="AJ2" s="23"/>
      <c r="AK2" s="24"/>
    </row>
    <row r="3" ht="19.5" customHeight="1">
      <c r="A3" s="26"/>
      <c r="B3" s="27"/>
      <c r="C3" s="27"/>
      <c r="D3" s="27"/>
      <c r="E3" s="27"/>
      <c r="F3" s="27"/>
      <c r="G3" s="27"/>
      <c r="H3" s="27"/>
      <c r="I3" s="28"/>
      <c r="J3" s="26"/>
      <c r="K3" s="27"/>
      <c r="L3" s="27"/>
      <c r="M3" s="27"/>
      <c r="N3" s="27"/>
      <c r="O3" s="27"/>
      <c r="P3" s="28"/>
      <c r="Q3" s="26"/>
      <c r="R3" s="27"/>
      <c r="S3" s="27"/>
      <c r="T3" s="27"/>
      <c r="U3" s="28"/>
      <c r="V3" s="26"/>
      <c r="W3" s="27"/>
      <c r="X3" s="27"/>
      <c r="Y3" s="28"/>
      <c r="Z3" s="26"/>
      <c r="AA3" s="27"/>
      <c r="AB3" s="27"/>
      <c r="AC3" s="28"/>
      <c r="AD3" s="26"/>
      <c r="AE3" s="27"/>
      <c r="AF3" s="27"/>
      <c r="AG3" s="28"/>
      <c r="AH3" s="26"/>
      <c r="AI3" s="27"/>
      <c r="AJ3" s="27"/>
      <c r="AK3" s="28"/>
    </row>
    <row r="4" ht="15.0" customHeight="1"/>
    <row r="5" ht="19.5" customHeight="1">
      <c r="B5" s="29" t="s">
        <v>27</v>
      </c>
    </row>
    <row r="6" ht="19.5" customHeight="1">
      <c r="C6" s="30" t="s">
        <v>28</v>
      </c>
    </row>
    <row r="7" ht="19.5" customHeight="1">
      <c r="C7" s="30" t="s">
        <v>29</v>
      </c>
    </row>
    <row r="8" ht="19.5" customHeight="1">
      <c r="C8" s="30" t="s">
        <v>30</v>
      </c>
    </row>
    <row r="9" ht="15.0" customHeight="1"/>
    <row r="10" ht="19.5" customHeight="1">
      <c r="B10" s="29" t="s">
        <v>31</v>
      </c>
    </row>
    <row r="11" ht="19.5" customHeight="1">
      <c r="C11" s="31" t="s">
        <v>32</v>
      </c>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3"/>
    </row>
    <row r="12" ht="15.0" customHeight="1"/>
    <row r="13" ht="19.5" customHeight="1">
      <c r="B13" s="29" t="s">
        <v>33</v>
      </c>
    </row>
    <row r="14" ht="15.0" customHeight="1"/>
    <row r="15" ht="22.5" customHeight="1">
      <c r="C15" s="17" t="s">
        <v>34</v>
      </c>
      <c r="D15" s="18" t="s">
        <v>35</v>
      </c>
      <c r="E15" s="11"/>
      <c r="F15" s="11"/>
      <c r="G15" s="11"/>
      <c r="H15" s="11"/>
      <c r="I15" s="11"/>
      <c r="J15" s="11"/>
      <c r="K15" s="11"/>
      <c r="L15" s="11"/>
      <c r="M15" s="11"/>
      <c r="N15" s="12"/>
      <c r="O15" s="18" t="s">
        <v>36</v>
      </c>
      <c r="P15" s="11"/>
      <c r="Q15" s="11"/>
      <c r="R15" s="11"/>
      <c r="S15" s="11"/>
      <c r="T15" s="11"/>
      <c r="U15" s="11"/>
      <c r="V15" s="11"/>
      <c r="W15" s="11"/>
      <c r="X15" s="11"/>
      <c r="Y15" s="11"/>
      <c r="Z15" s="11"/>
      <c r="AA15" s="11"/>
      <c r="AB15" s="11"/>
      <c r="AC15" s="11"/>
      <c r="AD15" s="11"/>
      <c r="AE15" s="11"/>
      <c r="AF15" s="11"/>
      <c r="AG15" s="12"/>
    </row>
    <row r="16" ht="22.5" customHeight="1">
      <c r="C16" s="19">
        <v>1.0</v>
      </c>
      <c r="D16" s="21" t="s">
        <v>37</v>
      </c>
      <c r="E16" s="11"/>
      <c r="F16" s="11"/>
      <c r="G16" s="11"/>
      <c r="H16" s="11"/>
      <c r="I16" s="11"/>
      <c r="J16" s="11"/>
      <c r="K16" s="11"/>
      <c r="L16" s="11"/>
      <c r="M16" s="11"/>
      <c r="N16" s="12"/>
      <c r="O16" s="21" t="s">
        <v>38</v>
      </c>
      <c r="P16" s="11"/>
      <c r="Q16" s="11"/>
      <c r="R16" s="11"/>
      <c r="S16" s="11"/>
      <c r="T16" s="11"/>
      <c r="U16" s="11"/>
      <c r="V16" s="11"/>
      <c r="W16" s="11"/>
      <c r="X16" s="11"/>
      <c r="Y16" s="11"/>
      <c r="Z16" s="11"/>
      <c r="AA16" s="11"/>
      <c r="AB16" s="11"/>
      <c r="AC16" s="11"/>
      <c r="AD16" s="11"/>
      <c r="AE16" s="11"/>
      <c r="AF16" s="11"/>
      <c r="AG16" s="12"/>
    </row>
    <row r="17" ht="22.5" customHeight="1">
      <c r="C17" s="19">
        <v>2.0</v>
      </c>
      <c r="D17" s="21" t="s">
        <v>37</v>
      </c>
      <c r="E17" s="11"/>
      <c r="F17" s="11"/>
      <c r="G17" s="11"/>
      <c r="H17" s="11"/>
      <c r="I17" s="11"/>
      <c r="J17" s="11"/>
      <c r="K17" s="11"/>
      <c r="L17" s="11"/>
      <c r="M17" s="11"/>
      <c r="N17" s="12"/>
      <c r="O17" s="21" t="s">
        <v>39</v>
      </c>
      <c r="P17" s="11"/>
      <c r="Q17" s="11"/>
      <c r="R17" s="11"/>
      <c r="S17" s="11"/>
      <c r="T17" s="11"/>
      <c r="U17" s="11"/>
      <c r="V17" s="11"/>
      <c r="W17" s="11"/>
      <c r="X17" s="11"/>
      <c r="Y17" s="11"/>
      <c r="Z17" s="11"/>
      <c r="AA17" s="11"/>
      <c r="AB17" s="11"/>
      <c r="AC17" s="11"/>
      <c r="AD17" s="11"/>
      <c r="AE17" s="11"/>
      <c r="AF17" s="11"/>
      <c r="AG17"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1:I1"/>
    <mergeCell ref="J1:P1"/>
    <mergeCell ref="Q1:U1"/>
    <mergeCell ref="V1:Y1"/>
    <mergeCell ref="Z1:AC1"/>
    <mergeCell ref="AD1:AG1"/>
    <mergeCell ref="AH1:AK1"/>
    <mergeCell ref="A2:I3"/>
    <mergeCell ref="J2:P3"/>
    <mergeCell ref="Q2:U3"/>
    <mergeCell ref="V2:Y3"/>
    <mergeCell ref="Z2:AC3"/>
    <mergeCell ref="AD2:AG3"/>
    <mergeCell ref="AH2:AK3"/>
    <mergeCell ref="D15:N15"/>
    <mergeCell ref="O15:AG15"/>
    <mergeCell ref="D16:N16"/>
    <mergeCell ref="O16:AG16"/>
    <mergeCell ref="D17:N17"/>
    <mergeCell ref="O17:AG17"/>
    <mergeCell ref="B5:AK5"/>
    <mergeCell ref="C6:AK6"/>
    <mergeCell ref="C7:AK7"/>
    <mergeCell ref="C8:AK8"/>
    <mergeCell ref="B10:AK10"/>
    <mergeCell ref="C11:AK11"/>
    <mergeCell ref="B13:AK1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0"/>
    <col customWidth="1" min="2" max="34" width="5.0"/>
  </cols>
  <sheetData>
    <row r="1" ht="28.5" customHeight="1">
      <c r="A1" s="34" t="s">
        <v>40</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2"/>
    </row>
    <row r="3" ht="22.5" customHeight="1">
      <c r="A3" s="35" t="s">
        <v>41</v>
      </c>
      <c r="B3" s="11"/>
      <c r="C3" s="11"/>
      <c r="D3" s="11"/>
      <c r="E3" s="11"/>
      <c r="F3" s="12"/>
      <c r="G3" s="21" t="s">
        <v>0</v>
      </c>
      <c r="H3" s="11"/>
      <c r="I3" s="11"/>
      <c r="J3" s="11"/>
      <c r="K3" s="11"/>
      <c r="L3" s="11"/>
      <c r="M3" s="11"/>
      <c r="N3" s="11"/>
      <c r="O3" s="12"/>
      <c r="P3" s="35" t="s">
        <v>42</v>
      </c>
      <c r="Q3" s="11"/>
      <c r="R3" s="11"/>
      <c r="S3" s="11"/>
      <c r="T3" s="11"/>
      <c r="U3" s="11"/>
      <c r="V3" s="11"/>
      <c r="W3" s="12"/>
      <c r="X3" s="21" t="s">
        <v>17</v>
      </c>
      <c r="Y3" s="11"/>
      <c r="Z3" s="11"/>
      <c r="AA3" s="11"/>
      <c r="AB3" s="11"/>
      <c r="AC3" s="11"/>
      <c r="AD3" s="11"/>
      <c r="AE3" s="11"/>
      <c r="AF3" s="11"/>
      <c r="AG3" s="11"/>
      <c r="AH3" s="12"/>
    </row>
    <row r="4" ht="22.5" customHeight="1">
      <c r="A4" s="35" t="s">
        <v>11</v>
      </c>
      <c r="B4" s="11"/>
      <c r="C4" s="11"/>
      <c r="D4" s="11"/>
      <c r="E4" s="11"/>
      <c r="F4" s="12"/>
      <c r="G4" s="21" t="s">
        <v>15</v>
      </c>
      <c r="H4" s="11"/>
      <c r="I4" s="11"/>
      <c r="J4" s="11"/>
      <c r="K4" s="11"/>
      <c r="L4" s="11"/>
      <c r="M4" s="11"/>
      <c r="N4" s="11"/>
      <c r="O4" s="12"/>
      <c r="P4" s="35" t="s">
        <v>21</v>
      </c>
      <c r="Q4" s="11"/>
      <c r="R4" s="11"/>
      <c r="S4" s="11"/>
      <c r="T4" s="11"/>
      <c r="U4" s="11"/>
      <c r="V4" s="11"/>
      <c r="W4" s="12"/>
      <c r="X4" s="36" t="s">
        <v>8</v>
      </c>
      <c r="Y4" s="11"/>
      <c r="Z4" s="11"/>
      <c r="AA4" s="11"/>
      <c r="AB4" s="11"/>
      <c r="AC4" s="11"/>
      <c r="AD4" s="11"/>
      <c r="AE4" s="11"/>
      <c r="AF4" s="11"/>
      <c r="AG4" s="11"/>
      <c r="AH4" s="12"/>
    </row>
    <row r="6" ht="22.5" customHeight="1">
      <c r="A6" s="37" t="s">
        <v>43</v>
      </c>
      <c r="B6" s="38" t="s">
        <v>44</v>
      </c>
      <c r="C6" s="23"/>
      <c r="D6" s="23"/>
      <c r="E6" s="23"/>
      <c r="F6" s="23"/>
      <c r="G6" s="24"/>
      <c r="H6" s="39" t="s">
        <v>45</v>
      </c>
      <c r="I6" s="11"/>
      <c r="J6" s="11"/>
      <c r="K6" s="11"/>
      <c r="L6" s="11"/>
      <c r="M6" s="11"/>
      <c r="N6" s="11"/>
      <c r="O6" s="11"/>
      <c r="P6" s="12"/>
      <c r="Q6" s="38" t="s">
        <v>46</v>
      </c>
      <c r="R6" s="23"/>
      <c r="S6" s="24"/>
      <c r="T6" s="39" t="s">
        <v>47</v>
      </c>
      <c r="U6" s="11"/>
      <c r="V6" s="11"/>
      <c r="W6" s="11"/>
      <c r="X6" s="11"/>
      <c r="Y6" s="11"/>
      <c r="Z6" s="11"/>
      <c r="AA6" s="11"/>
      <c r="AB6" s="11"/>
      <c r="AC6" s="11"/>
      <c r="AD6" s="11"/>
      <c r="AE6" s="11"/>
      <c r="AF6" s="11"/>
      <c r="AG6" s="11"/>
      <c r="AH6" s="12"/>
    </row>
    <row r="7" ht="22.5" customHeight="1">
      <c r="A7" s="40"/>
      <c r="B7" s="26"/>
      <c r="C7" s="27"/>
      <c r="D7" s="27"/>
      <c r="E7" s="27"/>
      <c r="F7" s="27"/>
      <c r="G7" s="28"/>
      <c r="H7" s="39" t="s">
        <v>48</v>
      </c>
      <c r="I7" s="11"/>
      <c r="J7" s="12"/>
      <c r="K7" s="39" t="s">
        <v>49</v>
      </c>
      <c r="L7" s="11"/>
      <c r="M7" s="12"/>
      <c r="N7" s="39" t="s">
        <v>50</v>
      </c>
      <c r="O7" s="11"/>
      <c r="P7" s="12"/>
      <c r="Q7" s="26"/>
      <c r="R7" s="27"/>
      <c r="S7" s="28"/>
      <c r="T7" s="39" t="s">
        <v>51</v>
      </c>
      <c r="U7" s="11"/>
      <c r="V7" s="12"/>
      <c r="W7" s="39" t="s">
        <v>52</v>
      </c>
      <c r="X7" s="11"/>
      <c r="Y7" s="12"/>
      <c r="Z7" s="39" t="s">
        <v>53</v>
      </c>
      <c r="AA7" s="11"/>
      <c r="AB7" s="12"/>
      <c r="AC7" s="39" t="s">
        <v>54</v>
      </c>
      <c r="AD7" s="11"/>
      <c r="AE7" s="12"/>
      <c r="AF7" s="39" t="s">
        <v>55</v>
      </c>
      <c r="AG7" s="11"/>
      <c r="AH7" s="12"/>
    </row>
    <row r="8" ht="22.5" customHeight="1">
      <c r="A8" s="41" t="s">
        <v>56</v>
      </c>
    </row>
    <row r="9" ht="22.5" customHeight="1">
      <c r="A9" s="19">
        <v>1.0</v>
      </c>
      <c r="B9" s="21" t="s">
        <v>57</v>
      </c>
      <c r="C9" s="11"/>
      <c r="D9" s="11"/>
      <c r="E9" s="11"/>
      <c r="F9" s="11"/>
      <c r="G9" s="12"/>
      <c r="H9" s="20">
        <f t="array" ref="H9">INDIRECT("'"&amp;$B9&amp;"'!H7",TRUE)</f>
        <v>23</v>
      </c>
      <c r="I9" s="11"/>
      <c r="J9" s="12"/>
      <c r="K9" s="20">
        <f t="array" ref="K9">INDIRECT("'"&amp;$B9&amp;"'!K7",TRUE)</f>
        <v>16</v>
      </c>
      <c r="L9" s="11"/>
      <c r="M9" s="12"/>
      <c r="N9" s="20">
        <f t="array" ref="N9">INDIRECT("'"&amp;$B9&amp;"'!N7",TRUE)</f>
        <v>1</v>
      </c>
      <c r="O9" s="11"/>
      <c r="P9" s="12"/>
      <c r="Q9" s="20">
        <f t="array" ref="Q9">INDIRECT("'"&amp;$B9&amp;"'!Q7",TRUE)</f>
        <v>40</v>
      </c>
      <c r="R9" s="11"/>
      <c r="S9" s="12"/>
      <c r="T9" s="20">
        <f t="array" ref="T9">INDIRECT("'"&amp;$B9&amp;"'!T7",TRUE)</f>
        <v>0</v>
      </c>
      <c r="U9" s="11"/>
      <c r="V9" s="12"/>
      <c r="W9" s="20">
        <f t="array" ref="W9">INDIRECT("'"&amp;$B9&amp;"'!W7",TRUE)</f>
        <v>0</v>
      </c>
      <c r="X9" s="11"/>
      <c r="Y9" s="12"/>
      <c r="Z9" s="20">
        <f t="array" ref="Z9">INDIRECT("'"&amp;$B9&amp;"'!Z7",TRUE)</f>
        <v>2</v>
      </c>
      <c r="AA9" s="11"/>
      <c r="AB9" s="12"/>
      <c r="AC9" s="20">
        <f t="array" ref="AC9">INDIRECT("'"&amp;$B9&amp;"'!AC7",TRUE)</f>
        <v>3</v>
      </c>
      <c r="AD9" s="11"/>
      <c r="AE9" s="12"/>
      <c r="AF9" s="42">
        <f>IFERROR((T9+W9+AC9)/Q9,0)</f>
        <v>0.075</v>
      </c>
      <c r="AG9" s="11"/>
      <c r="AH9" s="12"/>
    </row>
    <row r="10" ht="22.5" customHeight="1">
      <c r="A10" s="19">
        <v>2.0</v>
      </c>
      <c r="B10" s="21"/>
      <c r="C10" s="11"/>
      <c r="D10" s="11"/>
      <c r="E10" s="11"/>
      <c r="F10" s="11"/>
      <c r="G10" s="12"/>
      <c r="H10" s="20"/>
      <c r="I10" s="11"/>
      <c r="J10" s="12"/>
      <c r="K10" s="20"/>
      <c r="L10" s="11"/>
      <c r="M10" s="12"/>
      <c r="N10" s="20"/>
      <c r="O10" s="11"/>
      <c r="P10" s="12"/>
      <c r="Q10" s="20"/>
      <c r="R10" s="11"/>
      <c r="S10" s="12"/>
      <c r="T10" s="20"/>
      <c r="U10" s="11"/>
      <c r="V10" s="12"/>
      <c r="W10" s="20"/>
      <c r="X10" s="11"/>
      <c r="Y10" s="12"/>
      <c r="Z10" s="20"/>
      <c r="AA10" s="11"/>
      <c r="AB10" s="12"/>
      <c r="AC10" s="20"/>
      <c r="AD10" s="11"/>
      <c r="AE10" s="12"/>
      <c r="AF10" s="42"/>
      <c r="AG10" s="11"/>
      <c r="AH10" s="12"/>
    </row>
    <row r="11" ht="22.5" customHeight="1">
      <c r="A11" s="19"/>
      <c r="B11" s="39" t="s">
        <v>46</v>
      </c>
      <c r="C11" s="11"/>
      <c r="D11" s="11"/>
      <c r="E11" s="11"/>
      <c r="F11" s="11"/>
      <c r="G11" s="12"/>
      <c r="H11" s="43">
        <f>SUM(H9:J10)</f>
        <v>23</v>
      </c>
      <c r="I11" s="11"/>
      <c r="J11" s="12"/>
      <c r="K11" s="43">
        <f>SUM(K9:M10)</f>
        <v>16</v>
      </c>
      <c r="L11" s="11"/>
      <c r="M11" s="12"/>
      <c r="N11" s="43">
        <f>SUM(N9:P10)</f>
        <v>1</v>
      </c>
      <c r="O11" s="11"/>
      <c r="P11" s="12"/>
      <c r="Q11" s="43">
        <f>SUM(Q9:S10)</f>
        <v>40</v>
      </c>
      <c r="R11" s="11"/>
      <c r="S11" s="12"/>
      <c r="T11" s="43">
        <f>SUM(T9:V10)</f>
        <v>0</v>
      </c>
      <c r="U11" s="11"/>
      <c r="V11" s="12"/>
      <c r="W11" s="43">
        <f>SUM(W9:Y10)</f>
        <v>0</v>
      </c>
      <c r="X11" s="11"/>
      <c r="Y11" s="12"/>
      <c r="Z11" s="43">
        <f>SUM(Z9:AB10)</f>
        <v>2</v>
      </c>
      <c r="AA11" s="11"/>
      <c r="AB11" s="12"/>
      <c r="AC11" s="43">
        <f>SUM(AC9:AE10)</f>
        <v>3</v>
      </c>
      <c r="AD11" s="11"/>
      <c r="AE11" s="12"/>
      <c r="AF11" s="44">
        <f>IFERROR((T11+W11+AC11)/Q11,0)</f>
        <v>0.075</v>
      </c>
      <c r="AG11" s="11"/>
      <c r="AH11" s="12"/>
    </row>
    <row r="12" ht="22.5" customHeight="1">
      <c r="A12" s="41" t="s">
        <v>58</v>
      </c>
    </row>
    <row r="13" ht="22.5" customHeight="1">
      <c r="A13" s="19">
        <v>1.0</v>
      </c>
      <c r="B13" s="21" t="s">
        <v>57</v>
      </c>
      <c r="C13" s="11"/>
      <c r="D13" s="11"/>
      <c r="E13" s="11"/>
      <c r="F13" s="11"/>
      <c r="G13" s="12"/>
      <c r="H13" s="20">
        <f t="array" ref="H13">INDIRECT("'"&amp;$B13&amp;"'!H8",TRUE)</f>
        <v>23</v>
      </c>
      <c r="I13" s="11"/>
      <c r="J13" s="12"/>
      <c r="K13" s="20">
        <f t="array" ref="K13">INDIRECT("'"&amp;$B13&amp;"'!K8",TRUE)</f>
        <v>16</v>
      </c>
      <c r="L13" s="11"/>
      <c r="M13" s="12"/>
      <c r="N13" s="20">
        <f t="array" ref="N13">INDIRECT("'"&amp;$B13&amp;"'!N8",TRUE)</f>
        <v>1</v>
      </c>
      <c r="O13" s="11"/>
      <c r="P13" s="12"/>
      <c r="Q13" s="20">
        <f t="array" ref="Q13">INDIRECT("'"&amp;$B13&amp;"'!Q8",TRUE)</f>
        <v>40</v>
      </c>
      <c r="R13" s="11"/>
      <c r="S13" s="12"/>
      <c r="T13" s="20">
        <f t="array" ref="T13">INDIRECT("'"&amp;$B13&amp;"'!T8",TRUE)</f>
        <v>0</v>
      </c>
      <c r="U13" s="11"/>
      <c r="V13" s="12"/>
      <c r="W13" s="20">
        <f t="array" ref="W13">INDIRECT("'"&amp;$B13&amp;"'!W8",TRUE)</f>
        <v>0</v>
      </c>
      <c r="X13" s="11"/>
      <c r="Y13" s="12"/>
      <c r="Z13" s="20">
        <f t="array" ref="Z13">INDIRECT("'"&amp;$B13&amp;"'!Z8",TRUE)</f>
        <v>0</v>
      </c>
      <c r="AA13" s="11"/>
      <c r="AB13" s="12"/>
      <c r="AC13" s="20">
        <f t="array" ref="AC13">INDIRECT("'"&amp;$B13&amp;"'!AC8",TRUE)</f>
        <v>0</v>
      </c>
      <c r="AD13" s="11"/>
      <c r="AE13" s="12"/>
      <c r="AF13" s="42">
        <f>IFERROR((T13+W13+AC13)/Q13,0)</f>
        <v>0</v>
      </c>
      <c r="AG13" s="11"/>
      <c r="AH13" s="12"/>
    </row>
    <row r="14" ht="22.5" customHeight="1">
      <c r="A14" s="19">
        <v>2.0</v>
      </c>
      <c r="B14" s="21"/>
      <c r="C14" s="11"/>
      <c r="D14" s="11"/>
      <c r="E14" s="11"/>
      <c r="F14" s="11"/>
      <c r="G14" s="12"/>
      <c r="H14" s="20"/>
      <c r="I14" s="11"/>
      <c r="J14" s="12"/>
      <c r="K14" s="20"/>
      <c r="L14" s="11"/>
      <c r="M14" s="12"/>
      <c r="N14" s="20"/>
      <c r="O14" s="11"/>
      <c r="P14" s="12"/>
      <c r="Q14" s="20"/>
      <c r="R14" s="11"/>
      <c r="S14" s="12"/>
      <c r="T14" s="20"/>
      <c r="U14" s="11"/>
      <c r="V14" s="12"/>
      <c r="W14" s="20"/>
      <c r="X14" s="11"/>
      <c r="Y14" s="12"/>
      <c r="Z14" s="20"/>
      <c r="AA14" s="11"/>
      <c r="AB14" s="12"/>
      <c r="AC14" s="20"/>
      <c r="AD14" s="11"/>
      <c r="AE14" s="12"/>
      <c r="AF14" s="42"/>
      <c r="AG14" s="11"/>
      <c r="AH14" s="12"/>
    </row>
    <row r="15" ht="22.5" customHeight="1">
      <c r="A15" s="19"/>
      <c r="B15" s="39" t="s">
        <v>46</v>
      </c>
      <c r="C15" s="11"/>
      <c r="D15" s="11"/>
      <c r="E15" s="11"/>
      <c r="F15" s="11"/>
      <c r="G15" s="12"/>
      <c r="H15" s="43">
        <f>SUM(H13:J14)</f>
        <v>23</v>
      </c>
      <c r="I15" s="11"/>
      <c r="J15" s="12"/>
      <c r="K15" s="43">
        <f>SUM(K13:M14)</f>
        <v>16</v>
      </c>
      <c r="L15" s="11"/>
      <c r="M15" s="12"/>
      <c r="N15" s="43">
        <f>SUM(N13:P14)</f>
        <v>1</v>
      </c>
      <c r="O15" s="11"/>
      <c r="P15" s="12"/>
      <c r="Q15" s="43">
        <f>SUM(Q13:S14)</f>
        <v>40</v>
      </c>
      <c r="R15" s="11"/>
      <c r="S15" s="12"/>
      <c r="T15" s="43">
        <f>SUM(T13:V14)</f>
        <v>0</v>
      </c>
      <c r="U15" s="11"/>
      <c r="V15" s="12"/>
      <c r="W15" s="43">
        <f>SUM(W13:Y14)</f>
        <v>0</v>
      </c>
      <c r="X15" s="11"/>
      <c r="Y15" s="12"/>
      <c r="Z15" s="43">
        <f>SUM(Z13:AB14)</f>
        <v>0</v>
      </c>
      <c r="AA15" s="11"/>
      <c r="AB15" s="12"/>
      <c r="AC15" s="43">
        <f>SUM(AC13:AE14)</f>
        <v>0</v>
      </c>
      <c r="AD15" s="11"/>
      <c r="AE15" s="12"/>
      <c r="AF15" s="44">
        <f>IFERROR((T15+W15+AC15)/Q15,0)</f>
        <v>0</v>
      </c>
      <c r="AG15" s="11"/>
      <c r="AH1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P4:W4"/>
    <mergeCell ref="X4:AH4"/>
    <mergeCell ref="A1:AH1"/>
    <mergeCell ref="A3:F3"/>
    <mergeCell ref="G3:O3"/>
    <mergeCell ref="P3:W3"/>
    <mergeCell ref="X3:AH3"/>
    <mergeCell ref="A4:F4"/>
    <mergeCell ref="G4:O4"/>
    <mergeCell ref="W7:Y7"/>
    <mergeCell ref="Z7:AB7"/>
    <mergeCell ref="AC7:AE7"/>
    <mergeCell ref="AF7:AH7"/>
    <mergeCell ref="A6:A7"/>
    <mergeCell ref="B6:G7"/>
    <mergeCell ref="H6:P6"/>
    <mergeCell ref="Q6:S7"/>
    <mergeCell ref="T6:AH6"/>
    <mergeCell ref="H7:J7"/>
    <mergeCell ref="K7:M7"/>
    <mergeCell ref="T9:V9"/>
    <mergeCell ref="W9:Y9"/>
    <mergeCell ref="Z9:AB9"/>
    <mergeCell ref="AC9:AE9"/>
    <mergeCell ref="AF9:AH9"/>
    <mergeCell ref="N7:P7"/>
    <mergeCell ref="T7:V7"/>
    <mergeCell ref="B9:G9"/>
    <mergeCell ref="H9:J9"/>
    <mergeCell ref="K9:M9"/>
    <mergeCell ref="N9:P9"/>
    <mergeCell ref="Q9:S9"/>
    <mergeCell ref="Z14:AB14"/>
    <mergeCell ref="AC14:AE14"/>
    <mergeCell ref="AF14:AH14"/>
    <mergeCell ref="B14:G14"/>
    <mergeCell ref="H14:J14"/>
    <mergeCell ref="K14:M14"/>
    <mergeCell ref="N14:P14"/>
    <mergeCell ref="Q14:S14"/>
    <mergeCell ref="T14:V14"/>
    <mergeCell ref="W14:Y14"/>
    <mergeCell ref="Z10:AB10"/>
    <mergeCell ref="AC10:AE10"/>
    <mergeCell ref="AF10:AH10"/>
    <mergeCell ref="B10:G10"/>
    <mergeCell ref="H10:J10"/>
    <mergeCell ref="K10:M10"/>
    <mergeCell ref="N10:P10"/>
    <mergeCell ref="Q10:S10"/>
    <mergeCell ref="T10:V10"/>
    <mergeCell ref="W10:Y10"/>
    <mergeCell ref="Z11:AB11"/>
    <mergeCell ref="AC11:AE11"/>
    <mergeCell ref="AF11:AH11"/>
    <mergeCell ref="B11:G11"/>
    <mergeCell ref="H11:J11"/>
    <mergeCell ref="K11:M11"/>
    <mergeCell ref="N11:P11"/>
    <mergeCell ref="Q11:S11"/>
    <mergeCell ref="T11:V11"/>
    <mergeCell ref="W11:Y11"/>
    <mergeCell ref="Z13:AB13"/>
    <mergeCell ref="AC13:AE13"/>
    <mergeCell ref="AF13:AH13"/>
    <mergeCell ref="B13:G13"/>
    <mergeCell ref="H13:J13"/>
    <mergeCell ref="K13:M13"/>
    <mergeCell ref="N13:P13"/>
    <mergeCell ref="Q13:S13"/>
    <mergeCell ref="T13:V13"/>
    <mergeCell ref="W13:Y13"/>
    <mergeCell ref="Z15:AB15"/>
    <mergeCell ref="AC15:AE15"/>
    <mergeCell ref="AF15:AH15"/>
    <mergeCell ref="B15:G15"/>
    <mergeCell ref="H15:J15"/>
    <mergeCell ref="K15:M15"/>
    <mergeCell ref="N15:P15"/>
    <mergeCell ref="Q15:S15"/>
    <mergeCell ref="T15:V15"/>
    <mergeCell ref="W15:Y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18" t="s">
        <v>18</v>
      </c>
      <c r="B1" s="11"/>
      <c r="C1" s="11"/>
      <c r="D1" s="11"/>
      <c r="E1" s="11"/>
      <c r="F1" s="11"/>
      <c r="G1" s="11"/>
      <c r="H1" s="11"/>
      <c r="I1" s="12"/>
      <c r="J1" s="18" t="s">
        <v>19</v>
      </c>
      <c r="K1" s="11"/>
      <c r="L1" s="11"/>
      <c r="M1" s="11"/>
      <c r="N1" s="11"/>
      <c r="O1" s="11"/>
      <c r="P1" s="12"/>
      <c r="Q1" s="18" t="s">
        <v>20</v>
      </c>
      <c r="R1" s="11"/>
      <c r="S1" s="11"/>
      <c r="T1" s="11"/>
      <c r="U1" s="12"/>
      <c r="V1" s="18" t="s">
        <v>21</v>
      </c>
      <c r="W1" s="11"/>
      <c r="X1" s="11"/>
      <c r="Y1" s="12"/>
      <c r="Z1" s="18" t="s">
        <v>22</v>
      </c>
      <c r="AA1" s="11"/>
      <c r="AB1" s="11"/>
      <c r="AC1" s="12"/>
      <c r="AD1" s="18" t="s">
        <v>23</v>
      </c>
      <c r="AE1" s="11"/>
      <c r="AF1" s="11"/>
      <c r="AG1" s="12"/>
      <c r="AH1" s="18" t="s">
        <v>24</v>
      </c>
      <c r="AI1" s="11"/>
      <c r="AJ1" s="11"/>
      <c r="AK1" s="12"/>
    </row>
    <row r="2" ht="19.5" customHeight="1">
      <c r="A2" s="22" t="s">
        <v>0</v>
      </c>
      <c r="B2" s="23"/>
      <c r="C2" s="23"/>
      <c r="D2" s="23"/>
      <c r="E2" s="23"/>
      <c r="F2" s="23"/>
      <c r="G2" s="23"/>
      <c r="H2" s="23"/>
      <c r="I2" s="24"/>
      <c r="J2" s="22" t="s">
        <v>25</v>
      </c>
      <c r="K2" s="23"/>
      <c r="L2" s="23"/>
      <c r="M2" s="23"/>
      <c r="N2" s="23"/>
      <c r="O2" s="23"/>
      <c r="P2" s="24"/>
      <c r="Q2" s="22" t="s">
        <v>59</v>
      </c>
      <c r="R2" s="23"/>
      <c r="S2" s="23"/>
      <c r="T2" s="23"/>
      <c r="U2" s="24"/>
      <c r="V2" s="25" t="s">
        <v>8</v>
      </c>
      <c r="W2" s="23"/>
      <c r="X2" s="23"/>
      <c r="Y2" s="24"/>
      <c r="Z2" s="22" t="s">
        <v>15</v>
      </c>
      <c r="AA2" s="23"/>
      <c r="AB2" s="23"/>
      <c r="AC2" s="24"/>
      <c r="AD2" s="25" t="s">
        <v>8</v>
      </c>
      <c r="AE2" s="23"/>
      <c r="AF2" s="23"/>
      <c r="AG2" s="24"/>
      <c r="AH2" s="22" t="s">
        <v>15</v>
      </c>
      <c r="AI2" s="23"/>
      <c r="AJ2" s="23"/>
      <c r="AK2" s="24"/>
    </row>
    <row r="3" ht="19.5" customHeight="1">
      <c r="A3" s="26"/>
      <c r="B3" s="27"/>
      <c r="C3" s="27"/>
      <c r="D3" s="27"/>
      <c r="E3" s="27"/>
      <c r="F3" s="27"/>
      <c r="G3" s="27"/>
      <c r="H3" s="27"/>
      <c r="I3" s="28"/>
      <c r="J3" s="26"/>
      <c r="K3" s="27"/>
      <c r="L3" s="27"/>
      <c r="M3" s="27"/>
      <c r="N3" s="27"/>
      <c r="O3" s="27"/>
      <c r="P3" s="28"/>
      <c r="Q3" s="26"/>
      <c r="R3" s="27"/>
      <c r="S3" s="27"/>
      <c r="T3" s="27"/>
      <c r="U3" s="28"/>
      <c r="V3" s="26"/>
      <c r="W3" s="27"/>
      <c r="X3" s="27"/>
      <c r="Y3" s="28"/>
      <c r="Z3" s="26"/>
      <c r="AA3" s="27"/>
      <c r="AB3" s="27"/>
      <c r="AC3" s="28"/>
      <c r="AD3" s="26"/>
      <c r="AE3" s="27"/>
      <c r="AF3" s="27"/>
      <c r="AG3" s="28"/>
      <c r="AH3" s="26"/>
      <c r="AI3" s="27"/>
      <c r="AJ3" s="27"/>
      <c r="AK3" s="28"/>
    </row>
    <row r="5" ht="19.5" customHeight="1">
      <c r="B5" s="29" t="s">
        <v>60</v>
      </c>
    </row>
    <row r="7" ht="28.5" customHeight="1">
      <c r="B7" s="45" t="s">
        <v>43</v>
      </c>
      <c r="C7" s="46" t="s">
        <v>61</v>
      </c>
      <c r="D7" s="11"/>
      <c r="E7" s="12"/>
      <c r="F7" s="46" t="s">
        <v>62</v>
      </c>
      <c r="G7" s="11"/>
      <c r="H7" s="11"/>
      <c r="I7" s="11"/>
      <c r="J7" s="11"/>
      <c r="K7" s="11"/>
      <c r="L7" s="12"/>
      <c r="M7" s="46" t="s">
        <v>63</v>
      </c>
      <c r="N7" s="11"/>
      <c r="O7" s="11"/>
      <c r="P7" s="11"/>
      <c r="Q7" s="11"/>
      <c r="R7" s="11"/>
      <c r="S7" s="11"/>
      <c r="T7" s="12"/>
      <c r="U7" s="46" t="s">
        <v>64</v>
      </c>
      <c r="V7" s="12"/>
      <c r="W7" s="46" t="s">
        <v>65</v>
      </c>
      <c r="X7" s="11"/>
      <c r="Y7" s="11"/>
      <c r="Z7" s="11"/>
      <c r="AA7" s="11"/>
      <c r="AB7" s="11"/>
      <c r="AC7" s="12"/>
      <c r="AD7" s="46" t="s">
        <v>66</v>
      </c>
      <c r="AE7" s="11"/>
      <c r="AF7" s="12"/>
    </row>
    <row r="8" ht="30.0" customHeight="1">
      <c r="B8" s="47">
        <v>1.0</v>
      </c>
      <c r="C8" s="48" t="s">
        <v>67</v>
      </c>
      <c r="D8" s="11"/>
      <c r="E8" s="12"/>
      <c r="F8" s="49" t="s">
        <v>68</v>
      </c>
      <c r="G8" s="11"/>
      <c r="H8" s="11"/>
      <c r="I8" s="11"/>
      <c r="J8" s="11"/>
      <c r="K8" s="11"/>
      <c r="L8" s="12"/>
      <c r="M8" s="49" t="s">
        <v>69</v>
      </c>
      <c r="N8" s="11"/>
      <c r="O8" s="11"/>
      <c r="P8" s="11"/>
      <c r="Q8" s="11"/>
      <c r="R8" s="11"/>
      <c r="S8" s="11"/>
      <c r="T8" s="12"/>
      <c r="U8" s="50" t="s">
        <v>70</v>
      </c>
      <c r="V8" s="12"/>
      <c r="W8" s="49" t="s">
        <v>71</v>
      </c>
      <c r="X8" s="11"/>
      <c r="Y8" s="11"/>
      <c r="Z8" s="11"/>
      <c r="AA8" s="11"/>
      <c r="AB8" s="11"/>
      <c r="AC8" s="12"/>
      <c r="AD8" s="48">
        <v>265.0</v>
      </c>
      <c r="AE8" s="11"/>
      <c r="AF8" s="12"/>
    </row>
    <row r="9" ht="30.0" customHeight="1">
      <c r="B9" s="47">
        <v>2.0</v>
      </c>
      <c r="C9" s="48" t="s">
        <v>72</v>
      </c>
      <c r="D9" s="11"/>
      <c r="E9" s="12"/>
      <c r="F9" s="49" t="s">
        <v>68</v>
      </c>
      <c r="G9" s="11"/>
      <c r="H9" s="11"/>
      <c r="I9" s="11"/>
      <c r="J9" s="11"/>
      <c r="K9" s="11"/>
      <c r="L9" s="12"/>
      <c r="M9" s="49" t="s">
        <v>73</v>
      </c>
      <c r="N9" s="11"/>
      <c r="O9" s="11"/>
      <c r="P9" s="11"/>
      <c r="Q9" s="11"/>
      <c r="R9" s="11"/>
      <c r="S9" s="11"/>
      <c r="T9" s="12"/>
      <c r="U9" s="50" t="s">
        <v>70</v>
      </c>
      <c r="V9" s="12"/>
      <c r="W9" s="49" t="s">
        <v>74</v>
      </c>
      <c r="X9" s="11"/>
      <c r="Y9" s="11"/>
      <c r="Z9" s="11"/>
      <c r="AA9" s="11"/>
      <c r="AB9" s="11"/>
      <c r="AC9" s="12"/>
      <c r="AD9" s="48">
        <v>200.0</v>
      </c>
      <c r="AE9" s="11"/>
      <c r="AF9" s="12"/>
    </row>
    <row r="10" ht="36.0" customHeight="1">
      <c r="B10" s="47">
        <v>3.0</v>
      </c>
      <c r="C10" s="48" t="s">
        <v>75</v>
      </c>
      <c r="D10" s="11"/>
      <c r="E10" s="12"/>
      <c r="F10" s="49" t="s">
        <v>68</v>
      </c>
      <c r="G10" s="11"/>
      <c r="H10" s="11"/>
      <c r="I10" s="11"/>
      <c r="J10" s="11"/>
      <c r="K10" s="11"/>
      <c r="L10" s="12"/>
      <c r="M10" s="49" t="s">
        <v>76</v>
      </c>
      <c r="N10" s="11"/>
      <c r="O10" s="11"/>
      <c r="P10" s="11"/>
      <c r="Q10" s="11"/>
      <c r="R10" s="11"/>
      <c r="S10" s="11"/>
      <c r="T10" s="12"/>
      <c r="U10" s="50" t="s">
        <v>70</v>
      </c>
      <c r="V10" s="12"/>
      <c r="W10" s="49" t="s">
        <v>77</v>
      </c>
      <c r="X10" s="11"/>
      <c r="Y10" s="11"/>
      <c r="Z10" s="11"/>
      <c r="AA10" s="11"/>
      <c r="AB10" s="11"/>
      <c r="AC10" s="12"/>
      <c r="AD10" s="48">
        <v>50.0</v>
      </c>
      <c r="AE10" s="11"/>
      <c r="AF10" s="12"/>
    </row>
    <row r="11" ht="30.0" customHeight="1">
      <c r="B11" s="47">
        <v>4.0</v>
      </c>
      <c r="C11" s="48" t="s">
        <v>78</v>
      </c>
      <c r="D11" s="11"/>
      <c r="E11" s="12"/>
      <c r="F11" s="49" t="s">
        <v>68</v>
      </c>
      <c r="G11" s="11"/>
      <c r="H11" s="11"/>
      <c r="I11" s="11"/>
      <c r="J11" s="11"/>
      <c r="K11" s="11"/>
      <c r="L11" s="12"/>
      <c r="M11" s="49" t="s">
        <v>79</v>
      </c>
      <c r="N11" s="11"/>
      <c r="O11" s="11"/>
      <c r="P11" s="11"/>
      <c r="Q11" s="11"/>
      <c r="R11" s="11"/>
      <c r="S11" s="11"/>
      <c r="T11" s="12"/>
      <c r="U11" s="50" t="s">
        <v>70</v>
      </c>
      <c r="V11" s="12"/>
      <c r="W11" s="49" t="s">
        <v>71</v>
      </c>
      <c r="X11" s="11"/>
      <c r="Y11" s="11"/>
      <c r="Z11" s="11"/>
      <c r="AA11" s="11"/>
      <c r="AB11" s="11"/>
      <c r="AC11" s="12"/>
      <c r="AD11" s="48">
        <v>75.0</v>
      </c>
      <c r="AE11" s="11"/>
      <c r="AF11" s="12"/>
    </row>
    <row r="12" ht="30.0" customHeight="1">
      <c r="B12" s="47">
        <v>5.0</v>
      </c>
      <c r="C12" s="48" t="s">
        <v>80</v>
      </c>
      <c r="D12" s="11"/>
      <c r="E12" s="12"/>
      <c r="F12" s="49" t="s">
        <v>68</v>
      </c>
      <c r="G12" s="11"/>
      <c r="H12" s="11"/>
      <c r="I12" s="11"/>
      <c r="J12" s="11"/>
      <c r="K12" s="11"/>
      <c r="L12" s="12"/>
      <c r="M12" s="49" t="s">
        <v>81</v>
      </c>
      <c r="N12" s="11"/>
      <c r="O12" s="11"/>
      <c r="P12" s="11"/>
      <c r="Q12" s="11"/>
      <c r="R12" s="11"/>
      <c r="S12" s="11"/>
      <c r="T12" s="12"/>
      <c r="U12" s="50" t="s">
        <v>70</v>
      </c>
      <c r="V12" s="12"/>
      <c r="W12" s="49" t="s">
        <v>82</v>
      </c>
      <c r="X12" s="11"/>
      <c r="Y12" s="11"/>
      <c r="Z12" s="11"/>
      <c r="AA12" s="11"/>
      <c r="AB12" s="11"/>
      <c r="AC12" s="12"/>
      <c r="AD12" s="48">
        <v>30.0</v>
      </c>
      <c r="AE12" s="11"/>
      <c r="AF12" s="12"/>
    </row>
    <row r="13" ht="30.0" customHeight="1">
      <c r="B13" s="47">
        <v>6.0</v>
      </c>
      <c r="C13" s="48" t="s">
        <v>83</v>
      </c>
      <c r="D13" s="11"/>
      <c r="E13" s="12"/>
      <c r="F13" s="49" t="s">
        <v>68</v>
      </c>
      <c r="G13" s="11"/>
      <c r="H13" s="11"/>
      <c r="I13" s="11"/>
      <c r="J13" s="11"/>
      <c r="K13" s="11"/>
      <c r="L13" s="12"/>
      <c r="M13" s="49" t="s">
        <v>84</v>
      </c>
      <c r="N13" s="11"/>
      <c r="O13" s="11"/>
      <c r="P13" s="11"/>
      <c r="Q13" s="11"/>
      <c r="R13" s="11"/>
      <c r="S13" s="11"/>
      <c r="T13" s="12"/>
      <c r="U13" s="50" t="s">
        <v>70</v>
      </c>
      <c r="V13" s="12"/>
      <c r="W13" s="49" t="s">
        <v>85</v>
      </c>
      <c r="X13" s="11"/>
      <c r="Y13" s="11"/>
      <c r="Z13" s="11"/>
      <c r="AA13" s="11"/>
      <c r="AB13" s="11"/>
      <c r="AC13" s="12"/>
      <c r="AD13" s="48">
        <v>50.0</v>
      </c>
      <c r="AE13" s="11"/>
      <c r="AF13" s="12"/>
    </row>
    <row r="14" ht="30.0" customHeight="1">
      <c r="B14" s="47">
        <v>7.0</v>
      </c>
      <c r="C14" s="48" t="s">
        <v>86</v>
      </c>
      <c r="D14" s="11"/>
      <c r="E14" s="12"/>
      <c r="F14" s="49" t="s">
        <v>68</v>
      </c>
      <c r="G14" s="11"/>
      <c r="H14" s="11"/>
      <c r="I14" s="11"/>
      <c r="J14" s="11"/>
      <c r="K14" s="11"/>
      <c r="L14" s="12"/>
      <c r="M14" s="49" t="s">
        <v>87</v>
      </c>
      <c r="N14" s="11"/>
      <c r="O14" s="11"/>
      <c r="P14" s="11"/>
      <c r="Q14" s="11"/>
      <c r="R14" s="11"/>
      <c r="S14" s="11"/>
      <c r="T14" s="12"/>
      <c r="U14" s="50" t="s">
        <v>70</v>
      </c>
      <c r="V14" s="12"/>
      <c r="W14" s="49" t="s">
        <v>82</v>
      </c>
      <c r="X14" s="11"/>
      <c r="Y14" s="11"/>
      <c r="Z14" s="11"/>
      <c r="AA14" s="11"/>
      <c r="AB14" s="11"/>
      <c r="AC14" s="12"/>
      <c r="AD14" s="48">
        <v>10.0</v>
      </c>
      <c r="AE14" s="11"/>
      <c r="AF14" s="12"/>
    </row>
    <row r="15" ht="30.0" customHeight="1">
      <c r="B15" s="47">
        <v>8.0</v>
      </c>
      <c r="C15" s="48" t="s">
        <v>88</v>
      </c>
      <c r="D15" s="11"/>
      <c r="E15" s="12"/>
      <c r="F15" s="49" t="s">
        <v>68</v>
      </c>
      <c r="G15" s="11"/>
      <c r="H15" s="11"/>
      <c r="I15" s="11"/>
      <c r="J15" s="11"/>
      <c r="K15" s="11"/>
      <c r="L15" s="12"/>
      <c r="M15" s="49" t="s">
        <v>89</v>
      </c>
      <c r="N15" s="11"/>
      <c r="O15" s="11"/>
      <c r="P15" s="11"/>
      <c r="Q15" s="11"/>
      <c r="R15" s="11"/>
      <c r="S15" s="11"/>
      <c r="T15" s="12"/>
      <c r="U15" s="51" t="s">
        <v>90</v>
      </c>
      <c r="V15" s="12"/>
      <c r="W15" s="49" t="s">
        <v>91</v>
      </c>
      <c r="X15" s="11"/>
      <c r="Y15" s="11"/>
      <c r="Z15" s="11"/>
      <c r="AA15" s="11"/>
      <c r="AB15" s="11"/>
      <c r="AC15" s="12"/>
      <c r="AD15" s="48">
        <v>20.0</v>
      </c>
      <c r="AE15" s="11"/>
      <c r="AF15" s="12"/>
    </row>
    <row r="16" ht="30.0" customHeight="1">
      <c r="B16" s="47">
        <v>9.0</v>
      </c>
      <c r="C16" s="48" t="s">
        <v>92</v>
      </c>
      <c r="D16" s="11"/>
      <c r="E16" s="12"/>
      <c r="F16" s="49" t="s">
        <v>68</v>
      </c>
      <c r="G16" s="11"/>
      <c r="H16" s="11"/>
      <c r="I16" s="11"/>
      <c r="J16" s="11"/>
      <c r="K16" s="11"/>
      <c r="L16" s="12"/>
      <c r="M16" s="49" t="s">
        <v>93</v>
      </c>
      <c r="N16" s="11"/>
      <c r="O16" s="11"/>
      <c r="P16" s="11"/>
      <c r="Q16" s="11"/>
      <c r="R16" s="11"/>
      <c r="S16" s="11"/>
      <c r="T16" s="12"/>
      <c r="U16" s="50" t="s">
        <v>70</v>
      </c>
      <c r="V16" s="12"/>
      <c r="W16" s="49" t="s">
        <v>94</v>
      </c>
      <c r="X16" s="11"/>
      <c r="Y16" s="11"/>
      <c r="Z16" s="11"/>
      <c r="AA16" s="11"/>
      <c r="AB16" s="11"/>
      <c r="AC16" s="12"/>
      <c r="AD16" s="48">
        <v>8.0</v>
      </c>
      <c r="AE16" s="11"/>
      <c r="AF16" s="12"/>
    </row>
    <row r="17" ht="30.0" customHeight="1">
      <c r="B17" s="47">
        <v>10.0</v>
      </c>
      <c r="C17" s="48" t="s">
        <v>95</v>
      </c>
      <c r="D17" s="11"/>
      <c r="E17" s="12"/>
      <c r="F17" s="49" t="s">
        <v>68</v>
      </c>
      <c r="G17" s="11"/>
      <c r="H17" s="11"/>
      <c r="I17" s="11"/>
      <c r="J17" s="11"/>
      <c r="K17" s="11"/>
      <c r="L17" s="12"/>
      <c r="M17" s="49" t="s">
        <v>96</v>
      </c>
      <c r="N17" s="11"/>
      <c r="O17" s="11"/>
      <c r="P17" s="11"/>
      <c r="Q17" s="11"/>
      <c r="R17" s="11"/>
      <c r="S17" s="11"/>
      <c r="T17" s="12"/>
      <c r="U17" s="50" t="s">
        <v>70</v>
      </c>
      <c r="V17" s="12"/>
      <c r="W17" s="49" t="s">
        <v>97</v>
      </c>
      <c r="X17" s="11"/>
      <c r="Y17" s="11"/>
      <c r="Z17" s="11"/>
      <c r="AA17" s="11"/>
      <c r="AB17" s="11"/>
      <c r="AC17" s="12"/>
      <c r="AD17" s="48">
        <v>30.0</v>
      </c>
      <c r="AE17" s="11"/>
      <c r="AF17" s="12"/>
    </row>
    <row r="18" ht="30.0" customHeight="1">
      <c r="B18" s="47">
        <v>11.0</v>
      </c>
      <c r="C18" s="48" t="s">
        <v>98</v>
      </c>
      <c r="D18" s="11"/>
      <c r="E18" s="12"/>
      <c r="F18" s="49" t="s">
        <v>99</v>
      </c>
      <c r="G18" s="11"/>
      <c r="H18" s="11"/>
      <c r="I18" s="11"/>
      <c r="J18" s="11"/>
      <c r="K18" s="11"/>
      <c r="L18" s="12"/>
      <c r="M18" s="49" t="s">
        <v>100</v>
      </c>
      <c r="N18" s="11"/>
      <c r="O18" s="11"/>
      <c r="P18" s="11"/>
      <c r="Q18" s="11"/>
      <c r="R18" s="11"/>
      <c r="S18" s="11"/>
      <c r="T18" s="12"/>
      <c r="U18" s="51" t="s">
        <v>90</v>
      </c>
      <c r="V18" s="12"/>
      <c r="W18" s="49" t="s">
        <v>101</v>
      </c>
      <c r="X18" s="11"/>
      <c r="Y18" s="11"/>
      <c r="Z18" s="11"/>
      <c r="AA18" s="11"/>
      <c r="AB18" s="11"/>
      <c r="AC18" s="12"/>
      <c r="AD18" s="48">
        <v>100.0</v>
      </c>
      <c r="AE18" s="11"/>
      <c r="AF18" s="12"/>
    </row>
    <row r="19" ht="30.0" customHeight="1">
      <c r="B19" s="47">
        <v>12.0</v>
      </c>
      <c r="C19" s="48" t="s">
        <v>102</v>
      </c>
      <c r="D19" s="11"/>
      <c r="E19" s="12"/>
      <c r="F19" s="49" t="s">
        <v>99</v>
      </c>
      <c r="G19" s="11"/>
      <c r="H19" s="11"/>
      <c r="I19" s="11"/>
      <c r="J19" s="11"/>
      <c r="K19" s="11"/>
      <c r="L19" s="12"/>
      <c r="M19" s="49" t="s">
        <v>103</v>
      </c>
      <c r="N19" s="11"/>
      <c r="O19" s="11"/>
      <c r="P19" s="11"/>
      <c r="Q19" s="11"/>
      <c r="R19" s="11"/>
      <c r="S19" s="11"/>
      <c r="T19" s="12"/>
      <c r="U19" s="51" t="s">
        <v>90</v>
      </c>
      <c r="V19" s="12"/>
      <c r="W19" s="49" t="s">
        <v>101</v>
      </c>
      <c r="X19" s="11"/>
      <c r="Y19" s="11"/>
      <c r="Z19" s="11"/>
      <c r="AA19" s="11"/>
      <c r="AB19" s="11"/>
      <c r="AC19" s="12"/>
      <c r="AD19" s="48">
        <v>80.0</v>
      </c>
      <c r="AE19" s="11"/>
      <c r="AF19" s="12"/>
    </row>
    <row r="20" ht="30.0" customHeight="1">
      <c r="B20" s="47">
        <v>13.0</v>
      </c>
      <c r="C20" s="48" t="s">
        <v>104</v>
      </c>
      <c r="D20" s="11"/>
      <c r="E20" s="12"/>
      <c r="F20" s="49" t="s">
        <v>99</v>
      </c>
      <c r="G20" s="11"/>
      <c r="H20" s="11"/>
      <c r="I20" s="11"/>
      <c r="J20" s="11"/>
      <c r="K20" s="11"/>
      <c r="L20" s="12"/>
      <c r="M20" s="49" t="s">
        <v>105</v>
      </c>
      <c r="N20" s="11"/>
      <c r="O20" s="11"/>
      <c r="P20" s="11"/>
      <c r="Q20" s="11"/>
      <c r="R20" s="11"/>
      <c r="S20" s="11"/>
      <c r="T20" s="12"/>
      <c r="U20" s="51" t="s">
        <v>90</v>
      </c>
      <c r="V20" s="12"/>
      <c r="W20" s="49" t="s">
        <v>85</v>
      </c>
      <c r="X20" s="11"/>
      <c r="Y20" s="11"/>
      <c r="Z20" s="11"/>
      <c r="AA20" s="11"/>
      <c r="AB20" s="11"/>
      <c r="AC20" s="12"/>
      <c r="AD20" s="48">
        <v>60.0</v>
      </c>
      <c r="AE20" s="11"/>
      <c r="AF20" s="12"/>
    </row>
    <row r="21" ht="30.0" customHeight="1">
      <c r="B21" s="47">
        <v>14.0</v>
      </c>
      <c r="C21" s="48" t="s">
        <v>106</v>
      </c>
      <c r="D21" s="11"/>
      <c r="E21" s="12"/>
      <c r="F21" s="49" t="s">
        <v>99</v>
      </c>
      <c r="G21" s="11"/>
      <c r="H21" s="11"/>
      <c r="I21" s="11"/>
      <c r="J21" s="11"/>
      <c r="K21" s="11"/>
      <c r="L21" s="12"/>
      <c r="M21" s="49" t="s">
        <v>107</v>
      </c>
      <c r="N21" s="11"/>
      <c r="O21" s="11"/>
      <c r="P21" s="11"/>
      <c r="Q21" s="11"/>
      <c r="R21" s="11"/>
      <c r="S21" s="11"/>
      <c r="T21" s="12"/>
      <c r="U21" s="51" t="s">
        <v>90</v>
      </c>
      <c r="V21" s="12"/>
      <c r="W21" s="49" t="s">
        <v>101</v>
      </c>
      <c r="X21" s="11"/>
      <c r="Y21" s="11"/>
      <c r="Z21" s="11"/>
      <c r="AA21" s="11"/>
      <c r="AB21" s="11"/>
      <c r="AC21" s="12"/>
      <c r="AD21" s="48">
        <v>50.0</v>
      </c>
      <c r="AE21" s="11"/>
      <c r="AF21" s="12"/>
    </row>
    <row r="22" ht="30.0" customHeight="1">
      <c r="B22" s="47">
        <v>15.0</v>
      </c>
      <c r="C22" s="48" t="s">
        <v>108</v>
      </c>
      <c r="D22" s="11"/>
      <c r="E22" s="12"/>
      <c r="F22" s="49" t="s">
        <v>99</v>
      </c>
      <c r="G22" s="11"/>
      <c r="H22" s="11"/>
      <c r="I22" s="11"/>
      <c r="J22" s="11"/>
      <c r="K22" s="11"/>
      <c r="L22" s="12"/>
      <c r="M22" s="49" t="s">
        <v>109</v>
      </c>
      <c r="N22" s="11"/>
      <c r="O22" s="11"/>
      <c r="P22" s="11"/>
      <c r="Q22" s="11"/>
      <c r="R22" s="11"/>
      <c r="S22" s="11"/>
      <c r="T22" s="12"/>
      <c r="U22" s="51" t="s">
        <v>90</v>
      </c>
      <c r="V22" s="12"/>
      <c r="W22" s="49" t="s">
        <v>110</v>
      </c>
      <c r="X22" s="11"/>
      <c r="Y22" s="11"/>
      <c r="Z22" s="11"/>
      <c r="AA22" s="11"/>
      <c r="AB22" s="11"/>
      <c r="AC22" s="12"/>
      <c r="AD22" s="48">
        <v>30.0</v>
      </c>
      <c r="AE22" s="11"/>
      <c r="AF22" s="12"/>
    </row>
    <row r="23" ht="30.0" customHeight="1">
      <c r="B23" s="47">
        <v>16.0</v>
      </c>
      <c r="C23" s="48" t="s">
        <v>111</v>
      </c>
      <c r="D23" s="11"/>
      <c r="E23" s="12"/>
      <c r="F23" s="49" t="s">
        <v>99</v>
      </c>
      <c r="G23" s="11"/>
      <c r="H23" s="11"/>
      <c r="I23" s="11"/>
      <c r="J23" s="11"/>
      <c r="K23" s="11"/>
      <c r="L23" s="12"/>
      <c r="M23" s="49" t="s">
        <v>112</v>
      </c>
      <c r="N23" s="11"/>
      <c r="O23" s="11"/>
      <c r="P23" s="11"/>
      <c r="Q23" s="11"/>
      <c r="R23" s="11"/>
      <c r="S23" s="11"/>
      <c r="T23" s="12"/>
      <c r="U23" s="50" t="s">
        <v>70</v>
      </c>
      <c r="V23" s="12"/>
      <c r="W23" s="49" t="s">
        <v>113</v>
      </c>
      <c r="X23" s="11"/>
      <c r="Y23" s="11"/>
      <c r="Z23" s="11"/>
      <c r="AA23" s="11"/>
      <c r="AB23" s="11"/>
      <c r="AC23" s="12"/>
      <c r="AD23" s="48">
        <v>15.0</v>
      </c>
      <c r="AE23" s="11"/>
      <c r="AF23" s="12"/>
    </row>
    <row r="24" ht="36.0" customHeight="1">
      <c r="B24" s="47">
        <v>17.0</v>
      </c>
      <c r="C24" s="48" t="s">
        <v>114</v>
      </c>
      <c r="D24" s="11"/>
      <c r="E24" s="12"/>
      <c r="F24" s="49" t="s">
        <v>99</v>
      </c>
      <c r="G24" s="11"/>
      <c r="H24" s="11"/>
      <c r="I24" s="11"/>
      <c r="J24" s="11"/>
      <c r="K24" s="11"/>
      <c r="L24" s="12"/>
      <c r="M24" s="49" t="s">
        <v>115</v>
      </c>
      <c r="N24" s="11"/>
      <c r="O24" s="11"/>
      <c r="P24" s="11"/>
      <c r="Q24" s="11"/>
      <c r="R24" s="11"/>
      <c r="S24" s="11"/>
      <c r="T24" s="12"/>
      <c r="U24" s="51" t="s">
        <v>90</v>
      </c>
      <c r="V24" s="12"/>
      <c r="W24" s="49" t="s">
        <v>116</v>
      </c>
      <c r="X24" s="11"/>
      <c r="Y24" s="11"/>
      <c r="Z24" s="11"/>
      <c r="AA24" s="11"/>
      <c r="AB24" s="11"/>
      <c r="AC24" s="12"/>
      <c r="AD24" s="48">
        <v>45.0</v>
      </c>
      <c r="AE24" s="11"/>
      <c r="AF24" s="12"/>
    </row>
    <row r="25" ht="30.0" customHeight="1">
      <c r="B25" s="47">
        <v>18.0</v>
      </c>
      <c r="C25" s="48" t="s">
        <v>117</v>
      </c>
      <c r="D25" s="11"/>
      <c r="E25" s="12"/>
      <c r="F25" s="49" t="s">
        <v>99</v>
      </c>
      <c r="G25" s="11"/>
      <c r="H25" s="11"/>
      <c r="I25" s="11"/>
      <c r="J25" s="11"/>
      <c r="K25" s="11"/>
      <c r="L25" s="12"/>
      <c r="M25" s="49" t="s">
        <v>118</v>
      </c>
      <c r="N25" s="11"/>
      <c r="O25" s="11"/>
      <c r="P25" s="11"/>
      <c r="Q25" s="11"/>
      <c r="R25" s="11"/>
      <c r="S25" s="11"/>
      <c r="T25" s="12"/>
      <c r="U25" s="51" t="s">
        <v>90</v>
      </c>
      <c r="V25" s="12"/>
      <c r="W25" s="49" t="s">
        <v>119</v>
      </c>
      <c r="X25" s="11"/>
      <c r="Y25" s="11"/>
      <c r="Z25" s="11"/>
      <c r="AA25" s="11"/>
      <c r="AB25" s="11"/>
      <c r="AC25" s="12"/>
      <c r="AD25" s="48">
        <v>30.0</v>
      </c>
      <c r="AE25" s="11"/>
      <c r="AF25" s="12"/>
    </row>
    <row r="26" ht="36.0" customHeight="1">
      <c r="B26" s="47">
        <v>19.0</v>
      </c>
      <c r="C26" s="48" t="s">
        <v>120</v>
      </c>
      <c r="D26" s="11"/>
      <c r="E26" s="12"/>
      <c r="F26" s="49" t="s">
        <v>99</v>
      </c>
      <c r="G26" s="11"/>
      <c r="H26" s="11"/>
      <c r="I26" s="11"/>
      <c r="J26" s="11"/>
      <c r="K26" s="11"/>
      <c r="L26" s="12"/>
      <c r="M26" s="49" t="s">
        <v>121</v>
      </c>
      <c r="N26" s="11"/>
      <c r="O26" s="11"/>
      <c r="P26" s="11"/>
      <c r="Q26" s="11"/>
      <c r="R26" s="11"/>
      <c r="S26" s="11"/>
      <c r="T26" s="12"/>
      <c r="U26" s="51" t="s">
        <v>90</v>
      </c>
      <c r="V26" s="12"/>
      <c r="W26" s="49" t="s">
        <v>122</v>
      </c>
      <c r="X26" s="11"/>
      <c r="Y26" s="11"/>
      <c r="Z26" s="11"/>
      <c r="AA26" s="11"/>
      <c r="AB26" s="11"/>
      <c r="AC26" s="12"/>
      <c r="AD26" s="48">
        <v>25.0</v>
      </c>
      <c r="AE26" s="11"/>
      <c r="AF26" s="12"/>
    </row>
    <row r="27" ht="30.0" customHeight="1">
      <c r="B27" s="47">
        <v>20.0</v>
      </c>
      <c r="C27" s="48" t="s">
        <v>123</v>
      </c>
      <c r="D27" s="11"/>
      <c r="E27" s="12"/>
      <c r="F27" s="49" t="s">
        <v>124</v>
      </c>
      <c r="G27" s="11"/>
      <c r="H27" s="11"/>
      <c r="I27" s="11"/>
      <c r="J27" s="11"/>
      <c r="K27" s="11"/>
      <c r="L27" s="12"/>
      <c r="M27" s="49" t="s">
        <v>125</v>
      </c>
      <c r="N27" s="11"/>
      <c r="O27" s="11"/>
      <c r="P27" s="11"/>
      <c r="Q27" s="11"/>
      <c r="R27" s="11"/>
      <c r="S27" s="11"/>
      <c r="T27" s="12"/>
      <c r="U27" s="50" t="s">
        <v>70</v>
      </c>
      <c r="V27" s="12"/>
      <c r="W27" s="49" t="s">
        <v>119</v>
      </c>
      <c r="X27" s="11"/>
      <c r="Y27" s="11"/>
      <c r="Z27" s="11"/>
      <c r="AA27" s="11"/>
      <c r="AB27" s="11"/>
      <c r="AC27" s="12"/>
      <c r="AD27" s="48">
        <v>60.0</v>
      </c>
      <c r="AE27" s="11"/>
      <c r="AF27" s="12"/>
    </row>
    <row r="28" ht="30.0" customHeight="1">
      <c r="B28" s="47">
        <v>21.0</v>
      </c>
      <c r="C28" s="48" t="s">
        <v>126</v>
      </c>
      <c r="D28" s="11"/>
      <c r="E28" s="12"/>
      <c r="F28" s="49" t="s">
        <v>124</v>
      </c>
      <c r="G28" s="11"/>
      <c r="H28" s="11"/>
      <c r="I28" s="11"/>
      <c r="J28" s="11"/>
      <c r="K28" s="11"/>
      <c r="L28" s="12"/>
      <c r="M28" s="49" t="s">
        <v>127</v>
      </c>
      <c r="N28" s="11"/>
      <c r="O28" s="11"/>
      <c r="P28" s="11"/>
      <c r="Q28" s="11"/>
      <c r="R28" s="11"/>
      <c r="S28" s="11"/>
      <c r="T28" s="12"/>
      <c r="U28" s="51" t="s">
        <v>90</v>
      </c>
      <c r="V28" s="12"/>
      <c r="W28" s="49" t="s">
        <v>128</v>
      </c>
      <c r="X28" s="11"/>
      <c r="Y28" s="11"/>
      <c r="Z28" s="11"/>
      <c r="AA28" s="11"/>
      <c r="AB28" s="11"/>
      <c r="AC28" s="12"/>
      <c r="AD28" s="48">
        <v>16.0</v>
      </c>
      <c r="AE28" s="11"/>
      <c r="AF28" s="12"/>
    </row>
    <row r="29" ht="30.0" customHeight="1">
      <c r="B29" s="47">
        <v>22.0</v>
      </c>
      <c r="C29" s="48" t="s">
        <v>129</v>
      </c>
      <c r="D29" s="11"/>
      <c r="E29" s="12"/>
      <c r="F29" s="49" t="s">
        <v>124</v>
      </c>
      <c r="G29" s="11"/>
      <c r="H29" s="11"/>
      <c r="I29" s="11"/>
      <c r="J29" s="11"/>
      <c r="K29" s="11"/>
      <c r="L29" s="12"/>
      <c r="M29" s="49" t="s">
        <v>130</v>
      </c>
      <c r="N29" s="11"/>
      <c r="O29" s="11"/>
      <c r="P29" s="11"/>
      <c r="Q29" s="11"/>
      <c r="R29" s="11"/>
      <c r="S29" s="11"/>
      <c r="T29" s="12"/>
      <c r="U29" s="50" t="s">
        <v>70</v>
      </c>
      <c r="V29" s="12"/>
      <c r="W29" s="49" t="s">
        <v>131</v>
      </c>
      <c r="X29" s="11"/>
      <c r="Y29" s="11"/>
      <c r="Z29" s="11"/>
      <c r="AA29" s="11"/>
      <c r="AB29" s="11"/>
      <c r="AC29" s="12"/>
      <c r="AD29" s="48">
        <v>18.0</v>
      </c>
      <c r="AE29" s="11"/>
      <c r="AF29" s="12"/>
    </row>
    <row r="30" ht="30.0" customHeight="1">
      <c r="B30" s="47">
        <v>23.0</v>
      </c>
      <c r="C30" s="48" t="s">
        <v>132</v>
      </c>
      <c r="D30" s="11"/>
      <c r="E30" s="12"/>
      <c r="F30" s="49" t="s">
        <v>124</v>
      </c>
      <c r="G30" s="11"/>
      <c r="H30" s="11"/>
      <c r="I30" s="11"/>
      <c r="J30" s="11"/>
      <c r="K30" s="11"/>
      <c r="L30" s="12"/>
      <c r="M30" s="49" t="s">
        <v>133</v>
      </c>
      <c r="N30" s="11"/>
      <c r="O30" s="11"/>
      <c r="P30" s="11"/>
      <c r="Q30" s="11"/>
      <c r="R30" s="11"/>
      <c r="S30" s="11"/>
      <c r="T30" s="12"/>
      <c r="U30" s="51" t="s">
        <v>90</v>
      </c>
      <c r="V30" s="12"/>
      <c r="W30" s="49" t="s">
        <v>134</v>
      </c>
      <c r="X30" s="11"/>
      <c r="Y30" s="11"/>
      <c r="Z30" s="11"/>
      <c r="AA30" s="11"/>
      <c r="AB30" s="11"/>
      <c r="AC30" s="12"/>
      <c r="AD30" s="48">
        <v>8.0</v>
      </c>
      <c r="AE30" s="11"/>
      <c r="AF30" s="12"/>
    </row>
    <row r="31" ht="30.0" customHeight="1">
      <c r="B31" s="47">
        <v>24.0</v>
      </c>
      <c r="C31" s="48" t="s">
        <v>135</v>
      </c>
      <c r="D31" s="11"/>
      <c r="E31" s="12"/>
      <c r="F31" s="49" t="s">
        <v>124</v>
      </c>
      <c r="G31" s="11"/>
      <c r="H31" s="11"/>
      <c r="I31" s="11"/>
      <c r="J31" s="11"/>
      <c r="K31" s="11"/>
      <c r="L31" s="12"/>
      <c r="M31" s="49" t="s">
        <v>136</v>
      </c>
      <c r="N31" s="11"/>
      <c r="O31" s="11"/>
      <c r="P31" s="11"/>
      <c r="Q31" s="11"/>
      <c r="R31" s="11"/>
      <c r="S31" s="11"/>
      <c r="T31" s="12"/>
      <c r="U31" s="50" t="s">
        <v>70</v>
      </c>
      <c r="V31" s="12"/>
      <c r="W31" s="49" t="s">
        <v>137</v>
      </c>
      <c r="X31" s="11"/>
      <c r="Y31" s="11"/>
      <c r="Z31" s="11"/>
      <c r="AA31" s="11"/>
      <c r="AB31" s="11"/>
      <c r="AC31" s="12"/>
      <c r="AD31" s="48">
        <v>10.0</v>
      </c>
      <c r="AE31" s="11"/>
      <c r="AF31" s="12"/>
    </row>
    <row r="32" ht="30.0" customHeight="1">
      <c r="B32" s="47">
        <v>25.0</v>
      </c>
      <c r="C32" s="48" t="s">
        <v>138</v>
      </c>
      <c r="D32" s="11"/>
      <c r="E32" s="12"/>
      <c r="F32" s="49" t="s">
        <v>124</v>
      </c>
      <c r="G32" s="11"/>
      <c r="H32" s="11"/>
      <c r="I32" s="11"/>
      <c r="J32" s="11"/>
      <c r="K32" s="11"/>
      <c r="L32" s="12"/>
      <c r="M32" s="49" t="s">
        <v>139</v>
      </c>
      <c r="N32" s="11"/>
      <c r="O32" s="11"/>
      <c r="P32" s="11"/>
      <c r="Q32" s="11"/>
      <c r="R32" s="11"/>
      <c r="S32" s="11"/>
      <c r="T32" s="12"/>
      <c r="U32" s="51" t="s">
        <v>90</v>
      </c>
      <c r="V32" s="12"/>
      <c r="W32" s="49" t="s">
        <v>140</v>
      </c>
      <c r="X32" s="11"/>
      <c r="Y32" s="11"/>
      <c r="Z32" s="11"/>
      <c r="AA32" s="11"/>
      <c r="AB32" s="11"/>
      <c r="AC32" s="12"/>
      <c r="AD32" s="48">
        <v>30.0</v>
      </c>
      <c r="AE32" s="11"/>
      <c r="AF32" s="12"/>
    </row>
    <row r="33" ht="30.0" customHeight="1">
      <c r="B33" s="47">
        <v>26.0</v>
      </c>
      <c r="C33" s="48" t="s">
        <v>141</v>
      </c>
      <c r="D33" s="11"/>
      <c r="E33" s="12"/>
      <c r="F33" s="49" t="s">
        <v>124</v>
      </c>
      <c r="G33" s="11"/>
      <c r="H33" s="11"/>
      <c r="I33" s="11"/>
      <c r="J33" s="11"/>
      <c r="K33" s="11"/>
      <c r="L33" s="12"/>
      <c r="M33" s="49" t="s">
        <v>142</v>
      </c>
      <c r="N33" s="11"/>
      <c r="O33" s="11"/>
      <c r="P33" s="11"/>
      <c r="Q33" s="11"/>
      <c r="R33" s="11"/>
      <c r="S33" s="11"/>
      <c r="T33" s="12"/>
      <c r="U33" s="50" t="s">
        <v>70</v>
      </c>
      <c r="V33" s="12"/>
      <c r="W33" s="49" t="s">
        <v>143</v>
      </c>
      <c r="X33" s="11"/>
      <c r="Y33" s="11"/>
      <c r="Z33" s="11"/>
      <c r="AA33" s="11"/>
      <c r="AB33" s="11"/>
      <c r="AC33" s="12"/>
      <c r="AD33" s="48">
        <v>15.0</v>
      </c>
      <c r="AE33" s="11"/>
      <c r="AF33" s="12"/>
    </row>
    <row r="34" ht="30.0" customHeight="1">
      <c r="B34" s="47">
        <v>27.0</v>
      </c>
      <c r="C34" s="48" t="s">
        <v>144</v>
      </c>
      <c r="D34" s="11"/>
      <c r="E34" s="12"/>
      <c r="F34" s="49" t="s">
        <v>124</v>
      </c>
      <c r="G34" s="11"/>
      <c r="H34" s="11"/>
      <c r="I34" s="11"/>
      <c r="J34" s="11"/>
      <c r="K34" s="11"/>
      <c r="L34" s="12"/>
      <c r="M34" s="49" t="s">
        <v>145</v>
      </c>
      <c r="N34" s="11"/>
      <c r="O34" s="11"/>
      <c r="P34" s="11"/>
      <c r="Q34" s="11"/>
      <c r="R34" s="11"/>
      <c r="S34" s="11"/>
      <c r="T34" s="12"/>
      <c r="U34" s="50" t="s">
        <v>70</v>
      </c>
      <c r="V34" s="12"/>
      <c r="W34" s="49" t="s">
        <v>146</v>
      </c>
      <c r="X34" s="11"/>
      <c r="Y34" s="11"/>
      <c r="Z34" s="11"/>
      <c r="AA34" s="11"/>
      <c r="AB34" s="11"/>
      <c r="AC34" s="12"/>
      <c r="AD34" s="48">
        <v>18.0</v>
      </c>
      <c r="AE34" s="11"/>
      <c r="AF34" s="12"/>
    </row>
    <row r="35" ht="30.0" customHeight="1">
      <c r="B35" s="47">
        <v>28.0</v>
      </c>
      <c r="C35" s="48" t="s">
        <v>147</v>
      </c>
      <c r="D35" s="11"/>
      <c r="E35" s="12"/>
      <c r="F35" s="49" t="s">
        <v>148</v>
      </c>
      <c r="G35" s="11"/>
      <c r="H35" s="11"/>
      <c r="I35" s="11"/>
      <c r="J35" s="11"/>
      <c r="K35" s="11"/>
      <c r="L35" s="12"/>
      <c r="M35" s="49" t="s">
        <v>149</v>
      </c>
      <c r="N35" s="11"/>
      <c r="O35" s="11"/>
      <c r="P35" s="11"/>
      <c r="Q35" s="11"/>
      <c r="R35" s="11"/>
      <c r="S35" s="11"/>
      <c r="T35" s="12"/>
      <c r="U35" s="50" t="s">
        <v>70</v>
      </c>
      <c r="V35" s="12"/>
      <c r="W35" s="49" t="s">
        <v>150</v>
      </c>
      <c r="X35" s="11"/>
      <c r="Y35" s="11"/>
      <c r="Z35" s="11"/>
      <c r="AA35" s="11"/>
      <c r="AB35" s="11"/>
      <c r="AC35" s="12"/>
      <c r="AD35" s="48">
        <v>25.0</v>
      </c>
      <c r="AE35" s="11"/>
      <c r="AF35" s="12"/>
    </row>
    <row r="36" ht="30.0" customHeight="1">
      <c r="B36" s="47">
        <v>29.0</v>
      </c>
      <c r="C36" s="48" t="s">
        <v>151</v>
      </c>
      <c r="D36" s="11"/>
      <c r="E36" s="12"/>
      <c r="F36" s="49" t="s">
        <v>148</v>
      </c>
      <c r="G36" s="11"/>
      <c r="H36" s="11"/>
      <c r="I36" s="11"/>
      <c r="J36" s="11"/>
      <c r="K36" s="11"/>
      <c r="L36" s="12"/>
      <c r="M36" s="49" t="s">
        <v>152</v>
      </c>
      <c r="N36" s="11"/>
      <c r="O36" s="11"/>
      <c r="P36" s="11"/>
      <c r="Q36" s="11"/>
      <c r="R36" s="11"/>
      <c r="S36" s="11"/>
      <c r="T36" s="12"/>
      <c r="U36" s="50" t="s">
        <v>70</v>
      </c>
      <c r="V36" s="12"/>
      <c r="W36" s="49" t="s">
        <v>82</v>
      </c>
      <c r="X36" s="11"/>
      <c r="Y36" s="11"/>
      <c r="Z36" s="11"/>
      <c r="AA36" s="11"/>
      <c r="AB36" s="11"/>
      <c r="AC36" s="12"/>
      <c r="AD36" s="48">
        <v>8.0</v>
      </c>
      <c r="AE36" s="11"/>
      <c r="AF36" s="12"/>
    </row>
    <row r="37" ht="30.0" customHeight="1">
      <c r="B37" s="47">
        <v>30.0</v>
      </c>
      <c r="C37" s="48" t="s">
        <v>153</v>
      </c>
      <c r="D37" s="11"/>
      <c r="E37" s="12"/>
      <c r="F37" s="49" t="s">
        <v>148</v>
      </c>
      <c r="G37" s="11"/>
      <c r="H37" s="11"/>
      <c r="I37" s="11"/>
      <c r="J37" s="11"/>
      <c r="K37" s="11"/>
      <c r="L37" s="12"/>
      <c r="M37" s="49" t="s">
        <v>154</v>
      </c>
      <c r="N37" s="11"/>
      <c r="O37" s="11"/>
      <c r="P37" s="11"/>
      <c r="Q37" s="11"/>
      <c r="R37" s="11"/>
      <c r="S37" s="11"/>
      <c r="T37" s="12"/>
      <c r="U37" s="50" t="s">
        <v>70</v>
      </c>
      <c r="V37" s="12"/>
      <c r="W37" s="49" t="s">
        <v>155</v>
      </c>
      <c r="X37" s="11"/>
      <c r="Y37" s="11"/>
      <c r="Z37" s="11"/>
      <c r="AA37" s="11"/>
      <c r="AB37" s="11"/>
      <c r="AC37" s="12"/>
      <c r="AD37" s="48">
        <v>15.0</v>
      </c>
      <c r="AE37" s="11"/>
      <c r="AF37" s="12"/>
    </row>
    <row r="38" ht="30.0" customHeight="1">
      <c r="B38" s="47">
        <v>31.0</v>
      </c>
      <c r="C38" s="48" t="s">
        <v>156</v>
      </c>
      <c r="D38" s="11"/>
      <c r="E38" s="12"/>
      <c r="F38" s="49" t="s">
        <v>148</v>
      </c>
      <c r="G38" s="11"/>
      <c r="H38" s="11"/>
      <c r="I38" s="11"/>
      <c r="J38" s="11"/>
      <c r="K38" s="11"/>
      <c r="L38" s="12"/>
      <c r="M38" s="49" t="s">
        <v>157</v>
      </c>
      <c r="N38" s="11"/>
      <c r="O38" s="11"/>
      <c r="P38" s="11"/>
      <c r="Q38" s="11"/>
      <c r="R38" s="11"/>
      <c r="S38" s="11"/>
      <c r="T38" s="12"/>
      <c r="U38" s="50" t="s">
        <v>70</v>
      </c>
      <c r="V38" s="12"/>
      <c r="W38" s="49" t="s">
        <v>82</v>
      </c>
      <c r="X38" s="11"/>
      <c r="Y38" s="11"/>
      <c r="Z38" s="11"/>
      <c r="AA38" s="11"/>
      <c r="AB38" s="11"/>
      <c r="AC38" s="12"/>
      <c r="AD38" s="48">
        <v>40.0</v>
      </c>
      <c r="AE38" s="11"/>
      <c r="AF38" s="12"/>
    </row>
    <row r="39" ht="30.0" customHeight="1">
      <c r="B39" s="47">
        <v>32.0</v>
      </c>
      <c r="C39" s="48" t="s">
        <v>158</v>
      </c>
      <c r="D39" s="11"/>
      <c r="E39" s="12"/>
      <c r="F39" s="49" t="s">
        <v>148</v>
      </c>
      <c r="G39" s="11"/>
      <c r="H39" s="11"/>
      <c r="I39" s="11"/>
      <c r="J39" s="11"/>
      <c r="K39" s="11"/>
      <c r="L39" s="12"/>
      <c r="M39" s="49" t="s">
        <v>159</v>
      </c>
      <c r="N39" s="11"/>
      <c r="O39" s="11"/>
      <c r="P39" s="11"/>
      <c r="Q39" s="11"/>
      <c r="R39" s="11"/>
      <c r="S39" s="11"/>
      <c r="T39" s="12"/>
      <c r="U39" s="51" t="s">
        <v>90</v>
      </c>
      <c r="V39" s="12"/>
      <c r="W39" s="49" t="s">
        <v>160</v>
      </c>
      <c r="X39" s="11"/>
      <c r="Y39" s="11"/>
      <c r="Z39" s="11"/>
      <c r="AA39" s="11"/>
      <c r="AB39" s="11"/>
      <c r="AC39" s="12"/>
      <c r="AD39" s="48">
        <v>20.0</v>
      </c>
      <c r="AE39" s="11"/>
      <c r="AF39" s="12"/>
    </row>
    <row r="40" ht="30.0" customHeight="1">
      <c r="B40" s="47">
        <v>33.0</v>
      </c>
      <c r="C40" s="48" t="s">
        <v>161</v>
      </c>
      <c r="D40" s="11"/>
      <c r="E40" s="12"/>
      <c r="F40" s="49" t="s">
        <v>148</v>
      </c>
      <c r="G40" s="11"/>
      <c r="H40" s="11"/>
      <c r="I40" s="11"/>
      <c r="J40" s="11"/>
      <c r="K40" s="11"/>
      <c r="L40" s="12"/>
      <c r="M40" s="49" t="s">
        <v>162</v>
      </c>
      <c r="N40" s="11"/>
      <c r="O40" s="11"/>
      <c r="P40" s="11"/>
      <c r="Q40" s="11"/>
      <c r="R40" s="11"/>
      <c r="S40" s="11"/>
      <c r="T40" s="12"/>
      <c r="U40" s="51" t="s">
        <v>90</v>
      </c>
      <c r="V40" s="12"/>
      <c r="W40" s="49" t="s">
        <v>163</v>
      </c>
      <c r="X40" s="11"/>
      <c r="Y40" s="11"/>
      <c r="Z40" s="11"/>
      <c r="AA40" s="11"/>
      <c r="AB40" s="11"/>
      <c r="AC40" s="12"/>
      <c r="AD40" s="48">
        <v>12.0</v>
      </c>
      <c r="AE40" s="11"/>
      <c r="AF40" s="12"/>
    </row>
    <row r="41" ht="30.0" customHeight="1">
      <c r="B41" s="47">
        <v>34.0</v>
      </c>
      <c r="C41" s="48" t="s">
        <v>164</v>
      </c>
      <c r="D41" s="11"/>
      <c r="E41" s="12"/>
      <c r="F41" s="49" t="s">
        <v>148</v>
      </c>
      <c r="G41" s="11"/>
      <c r="H41" s="11"/>
      <c r="I41" s="11"/>
      <c r="J41" s="11"/>
      <c r="K41" s="11"/>
      <c r="L41" s="12"/>
      <c r="M41" s="49" t="s">
        <v>165</v>
      </c>
      <c r="N41" s="11"/>
      <c r="O41" s="11"/>
      <c r="P41" s="11"/>
      <c r="Q41" s="11"/>
      <c r="R41" s="11"/>
      <c r="S41" s="11"/>
      <c r="T41" s="12"/>
      <c r="U41" s="50" t="s">
        <v>70</v>
      </c>
      <c r="V41" s="12"/>
      <c r="W41" s="49" t="s">
        <v>166</v>
      </c>
      <c r="X41" s="11"/>
      <c r="Y41" s="11"/>
      <c r="Z41" s="11"/>
      <c r="AA41" s="11"/>
      <c r="AB41" s="11"/>
      <c r="AC41" s="12"/>
      <c r="AD41" s="48">
        <v>15.0</v>
      </c>
      <c r="AE41" s="11"/>
      <c r="AF41" s="12"/>
    </row>
    <row r="42" ht="30.0" customHeight="1">
      <c r="B42" s="47">
        <v>35.0</v>
      </c>
      <c r="C42" s="48" t="s">
        <v>167</v>
      </c>
      <c r="D42" s="11"/>
      <c r="E42" s="12"/>
      <c r="F42" s="49" t="s">
        <v>148</v>
      </c>
      <c r="G42" s="11"/>
      <c r="H42" s="11"/>
      <c r="I42" s="11"/>
      <c r="J42" s="11"/>
      <c r="K42" s="11"/>
      <c r="L42" s="12"/>
      <c r="M42" s="49" t="s">
        <v>168</v>
      </c>
      <c r="N42" s="11"/>
      <c r="O42" s="11"/>
      <c r="P42" s="11"/>
      <c r="Q42" s="11"/>
      <c r="R42" s="11"/>
      <c r="S42" s="11"/>
      <c r="T42" s="12"/>
      <c r="U42" s="51" t="s">
        <v>90</v>
      </c>
      <c r="V42" s="12"/>
      <c r="W42" s="49" t="s">
        <v>82</v>
      </c>
      <c r="X42" s="11"/>
      <c r="Y42" s="11"/>
      <c r="Z42" s="11"/>
      <c r="AA42" s="11"/>
      <c r="AB42" s="11"/>
      <c r="AC42" s="12"/>
      <c r="AD42" s="48">
        <v>30.0</v>
      </c>
      <c r="AE42" s="11"/>
      <c r="AF42" s="12"/>
    </row>
    <row r="43" ht="36.0" customHeight="1">
      <c r="B43" s="47">
        <v>36.0</v>
      </c>
      <c r="C43" s="48" t="s">
        <v>169</v>
      </c>
      <c r="D43" s="11"/>
      <c r="E43" s="12"/>
      <c r="F43" s="49" t="s">
        <v>148</v>
      </c>
      <c r="G43" s="11"/>
      <c r="H43" s="11"/>
      <c r="I43" s="11"/>
      <c r="J43" s="11"/>
      <c r="K43" s="11"/>
      <c r="L43" s="12"/>
      <c r="M43" s="49" t="s">
        <v>170</v>
      </c>
      <c r="N43" s="11"/>
      <c r="O43" s="11"/>
      <c r="P43" s="11"/>
      <c r="Q43" s="11"/>
      <c r="R43" s="11"/>
      <c r="S43" s="11"/>
      <c r="T43" s="12"/>
      <c r="U43" s="50" t="s">
        <v>70</v>
      </c>
      <c r="V43" s="12"/>
      <c r="W43" s="49" t="s">
        <v>155</v>
      </c>
      <c r="X43" s="11"/>
      <c r="Y43" s="11"/>
      <c r="Z43" s="11"/>
      <c r="AA43" s="11"/>
      <c r="AB43" s="11"/>
      <c r="AC43" s="12"/>
      <c r="AD43" s="48">
        <v>6.0</v>
      </c>
      <c r="AE43" s="11"/>
      <c r="AF43" s="12"/>
    </row>
    <row r="44" ht="30.0" customHeight="1">
      <c r="B44" s="47">
        <v>37.0</v>
      </c>
      <c r="C44" s="48" t="s">
        <v>171</v>
      </c>
      <c r="D44" s="11"/>
      <c r="E44" s="12"/>
      <c r="F44" s="49" t="s">
        <v>172</v>
      </c>
      <c r="G44" s="11"/>
      <c r="H44" s="11"/>
      <c r="I44" s="11"/>
      <c r="J44" s="11"/>
      <c r="K44" s="11"/>
      <c r="L44" s="12"/>
      <c r="M44" s="49" t="s">
        <v>173</v>
      </c>
      <c r="N44" s="11"/>
      <c r="O44" s="11"/>
      <c r="P44" s="11"/>
      <c r="Q44" s="11"/>
      <c r="R44" s="11"/>
      <c r="S44" s="11"/>
      <c r="T44" s="12"/>
      <c r="U44" s="52" t="s">
        <v>174</v>
      </c>
      <c r="V44" s="12"/>
      <c r="W44" s="49" t="s">
        <v>175</v>
      </c>
      <c r="X44" s="11"/>
      <c r="Y44" s="11"/>
      <c r="Z44" s="11"/>
      <c r="AA44" s="11"/>
      <c r="AB44" s="11"/>
      <c r="AC44" s="12"/>
      <c r="AD44" s="48">
        <v>60.0</v>
      </c>
      <c r="AE44" s="11"/>
      <c r="AF44" s="12"/>
    </row>
    <row r="45" ht="36.0" customHeight="1">
      <c r="B45" s="47">
        <v>38.0</v>
      </c>
      <c r="C45" s="48" t="s">
        <v>176</v>
      </c>
      <c r="D45" s="11"/>
      <c r="E45" s="12"/>
      <c r="F45" s="49" t="s">
        <v>172</v>
      </c>
      <c r="G45" s="11"/>
      <c r="H45" s="11"/>
      <c r="I45" s="11"/>
      <c r="J45" s="11"/>
      <c r="K45" s="11"/>
      <c r="L45" s="12"/>
      <c r="M45" s="49" t="s">
        <v>177</v>
      </c>
      <c r="N45" s="11"/>
      <c r="O45" s="11"/>
      <c r="P45" s="11"/>
      <c r="Q45" s="11"/>
      <c r="R45" s="11"/>
      <c r="S45" s="11"/>
      <c r="T45" s="12"/>
      <c r="U45" s="52" t="s">
        <v>174</v>
      </c>
      <c r="V45" s="12"/>
      <c r="W45" s="49" t="s">
        <v>175</v>
      </c>
      <c r="X45" s="11"/>
      <c r="Y45" s="11"/>
      <c r="Z45" s="11"/>
      <c r="AA45" s="11"/>
      <c r="AB45" s="11"/>
      <c r="AC45" s="12"/>
      <c r="AD45" s="48">
        <v>40.0</v>
      </c>
      <c r="AE45" s="11"/>
      <c r="AF45" s="12"/>
    </row>
    <row r="46" ht="30.0" customHeight="1">
      <c r="B46" s="47">
        <v>39.0</v>
      </c>
      <c r="C46" s="48" t="s">
        <v>178</v>
      </c>
      <c r="D46" s="11"/>
      <c r="E46" s="12"/>
      <c r="F46" s="49" t="s">
        <v>172</v>
      </c>
      <c r="G46" s="11"/>
      <c r="H46" s="11"/>
      <c r="I46" s="11"/>
      <c r="J46" s="11"/>
      <c r="K46" s="11"/>
      <c r="L46" s="12"/>
      <c r="M46" s="49" t="s">
        <v>179</v>
      </c>
      <c r="N46" s="11"/>
      <c r="O46" s="11"/>
      <c r="P46" s="11"/>
      <c r="Q46" s="11"/>
      <c r="R46" s="11"/>
      <c r="S46" s="11"/>
      <c r="T46" s="12"/>
      <c r="U46" s="52" t="s">
        <v>174</v>
      </c>
      <c r="V46" s="12"/>
      <c r="W46" s="49" t="s">
        <v>101</v>
      </c>
      <c r="X46" s="11"/>
      <c r="Y46" s="11"/>
      <c r="Z46" s="11"/>
      <c r="AA46" s="11"/>
      <c r="AB46" s="11"/>
      <c r="AC46" s="12"/>
      <c r="AD46" s="48">
        <v>25.0</v>
      </c>
      <c r="AE46" s="11"/>
      <c r="AF46" s="12"/>
    </row>
    <row r="47" ht="30.0" customHeight="1">
      <c r="B47" s="47">
        <v>40.0</v>
      </c>
      <c r="C47" s="48" t="s">
        <v>180</v>
      </c>
      <c r="D47" s="11"/>
      <c r="E47" s="12"/>
      <c r="F47" s="49" t="s">
        <v>172</v>
      </c>
      <c r="G47" s="11"/>
      <c r="H47" s="11"/>
      <c r="I47" s="11"/>
      <c r="J47" s="11"/>
      <c r="K47" s="11"/>
      <c r="L47" s="12"/>
      <c r="M47" s="49" t="s">
        <v>181</v>
      </c>
      <c r="N47" s="11"/>
      <c r="O47" s="11"/>
      <c r="P47" s="11"/>
      <c r="Q47" s="11"/>
      <c r="R47" s="11"/>
      <c r="S47" s="11"/>
      <c r="T47" s="12"/>
      <c r="U47" s="52" t="s">
        <v>174</v>
      </c>
      <c r="V47" s="12"/>
      <c r="W47" s="49" t="s">
        <v>82</v>
      </c>
      <c r="X47" s="11"/>
      <c r="Y47" s="11"/>
      <c r="Z47" s="11"/>
      <c r="AA47" s="11"/>
      <c r="AB47" s="11"/>
      <c r="AC47" s="12"/>
      <c r="AD47" s="48">
        <v>5.0</v>
      </c>
      <c r="AE47" s="11"/>
      <c r="AF47" s="12"/>
    </row>
    <row r="48" ht="30.0" customHeight="1">
      <c r="B48" s="47">
        <v>41.0</v>
      </c>
      <c r="C48" s="48" t="s">
        <v>182</v>
      </c>
      <c r="D48" s="11"/>
      <c r="E48" s="12"/>
      <c r="F48" s="49" t="s">
        <v>172</v>
      </c>
      <c r="G48" s="11"/>
      <c r="H48" s="11"/>
      <c r="I48" s="11"/>
      <c r="J48" s="11"/>
      <c r="K48" s="11"/>
      <c r="L48" s="12"/>
      <c r="M48" s="49" t="s">
        <v>183</v>
      </c>
      <c r="N48" s="11"/>
      <c r="O48" s="11"/>
      <c r="P48" s="11"/>
      <c r="Q48" s="11"/>
      <c r="R48" s="11"/>
      <c r="S48" s="11"/>
      <c r="T48" s="12"/>
      <c r="U48" s="50" t="s">
        <v>70</v>
      </c>
      <c r="V48" s="12"/>
      <c r="W48" s="49" t="s">
        <v>82</v>
      </c>
      <c r="X48" s="11"/>
      <c r="Y48" s="11"/>
      <c r="Z48" s="11"/>
      <c r="AA48" s="11"/>
      <c r="AB48" s="11"/>
      <c r="AC48" s="12"/>
      <c r="AD48" s="48">
        <v>5.0</v>
      </c>
      <c r="AE48" s="11"/>
      <c r="AF48" s="12"/>
    </row>
    <row r="49" ht="30.0" customHeight="1">
      <c r="B49" s="47">
        <v>42.0</v>
      </c>
      <c r="C49" s="48" t="s">
        <v>184</v>
      </c>
      <c r="D49" s="11"/>
      <c r="E49" s="12"/>
      <c r="F49" s="49" t="s">
        <v>172</v>
      </c>
      <c r="G49" s="11"/>
      <c r="H49" s="11"/>
      <c r="I49" s="11"/>
      <c r="J49" s="11"/>
      <c r="K49" s="11"/>
      <c r="L49" s="12"/>
      <c r="M49" s="49" t="s">
        <v>185</v>
      </c>
      <c r="N49" s="11"/>
      <c r="O49" s="11"/>
      <c r="P49" s="11"/>
      <c r="Q49" s="11"/>
      <c r="R49" s="11"/>
      <c r="S49" s="11"/>
      <c r="T49" s="12"/>
      <c r="U49" s="51" t="s">
        <v>90</v>
      </c>
      <c r="V49" s="12"/>
      <c r="W49" s="49" t="s">
        <v>186</v>
      </c>
      <c r="X49" s="11"/>
      <c r="Y49" s="11"/>
      <c r="Z49" s="11"/>
      <c r="AA49" s="11"/>
      <c r="AB49" s="11"/>
      <c r="AC49" s="12"/>
      <c r="AD49" s="48">
        <v>8.0</v>
      </c>
      <c r="AE49" s="11"/>
      <c r="AF49" s="12"/>
    </row>
    <row r="50" ht="30.0" customHeight="1">
      <c r="B50" s="47">
        <v>43.0</v>
      </c>
      <c r="C50" s="48" t="s">
        <v>187</v>
      </c>
      <c r="D50" s="11"/>
      <c r="E50" s="12"/>
      <c r="F50" s="49" t="s">
        <v>188</v>
      </c>
      <c r="G50" s="11"/>
      <c r="H50" s="11"/>
      <c r="I50" s="11"/>
      <c r="J50" s="11"/>
      <c r="K50" s="11"/>
      <c r="L50" s="12"/>
      <c r="M50" s="49" t="s">
        <v>189</v>
      </c>
      <c r="N50" s="11"/>
      <c r="O50" s="11"/>
      <c r="P50" s="11"/>
      <c r="Q50" s="11"/>
      <c r="R50" s="11"/>
      <c r="S50" s="11"/>
      <c r="T50" s="12"/>
      <c r="U50" s="51" t="s">
        <v>90</v>
      </c>
      <c r="V50" s="12"/>
      <c r="W50" s="49" t="s">
        <v>190</v>
      </c>
      <c r="X50" s="11"/>
      <c r="Y50" s="11"/>
      <c r="Z50" s="11"/>
      <c r="AA50" s="11"/>
      <c r="AB50" s="11"/>
      <c r="AC50" s="12"/>
      <c r="AD50" s="48">
        <v>12.0</v>
      </c>
      <c r="AE50" s="11"/>
      <c r="AF50" s="12"/>
    </row>
    <row r="51" ht="30.0" customHeight="1">
      <c r="B51" s="47">
        <v>44.0</v>
      </c>
      <c r="C51" s="48" t="s">
        <v>191</v>
      </c>
      <c r="D51" s="11"/>
      <c r="E51" s="12"/>
      <c r="F51" s="49" t="s">
        <v>188</v>
      </c>
      <c r="G51" s="11"/>
      <c r="H51" s="11"/>
      <c r="I51" s="11"/>
      <c r="J51" s="11"/>
      <c r="K51" s="11"/>
      <c r="L51" s="12"/>
      <c r="M51" s="49" t="s">
        <v>192</v>
      </c>
      <c r="N51" s="11"/>
      <c r="O51" s="11"/>
      <c r="P51" s="11"/>
      <c r="Q51" s="11"/>
      <c r="R51" s="11"/>
      <c r="S51" s="11"/>
      <c r="T51" s="12"/>
      <c r="U51" s="51" t="s">
        <v>90</v>
      </c>
      <c r="V51" s="12"/>
      <c r="W51" s="49" t="s">
        <v>193</v>
      </c>
      <c r="X51" s="11"/>
      <c r="Y51" s="11"/>
      <c r="Z51" s="11"/>
      <c r="AA51" s="11"/>
      <c r="AB51" s="11"/>
      <c r="AC51" s="12"/>
      <c r="AD51" s="48">
        <v>8.0</v>
      </c>
      <c r="AE51" s="11"/>
      <c r="AF51" s="12"/>
    </row>
    <row r="52" ht="22.5" customHeight="1">
      <c r="B52" s="53" t="s">
        <v>46</v>
      </c>
      <c r="C52" s="11"/>
      <c r="D52" s="11"/>
      <c r="E52" s="11"/>
      <c r="F52" s="11"/>
      <c r="G52" s="11"/>
      <c r="H52" s="11"/>
      <c r="I52" s="11"/>
      <c r="J52" s="11"/>
      <c r="K52" s="11"/>
      <c r="L52" s="11"/>
      <c r="M52" s="11"/>
      <c r="N52" s="11"/>
      <c r="O52" s="11"/>
      <c r="P52" s="11"/>
      <c r="Q52" s="11"/>
      <c r="R52" s="11"/>
      <c r="S52" s="11"/>
      <c r="T52" s="12"/>
      <c r="U52" s="39"/>
      <c r="V52" s="12"/>
      <c r="W52" s="39"/>
      <c r="X52" s="11"/>
      <c r="Y52" s="11"/>
      <c r="Z52" s="11"/>
      <c r="AA52" s="11"/>
      <c r="AB52" s="11"/>
      <c r="AC52" s="12"/>
      <c r="AD52" s="39">
        <f>SUM(AD8:AD51)</f>
        <v>1682</v>
      </c>
      <c r="AE52" s="11"/>
      <c r="AF52" s="12"/>
    </row>
    <row r="53" ht="15.75" customHeight="1"/>
    <row r="54" ht="19.5" customHeight="1">
      <c r="B54" s="29" t="s">
        <v>194</v>
      </c>
    </row>
    <row r="55" ht="15.75" customHeight="1"/>
    <row r="56" ht="28.5" customHeight="1">
      <c r="B56" s="46" t="s">
        <v>195</v>
      </c>
      <c r="C56" s="12"/>
      <c r="D56" s="46" t="s">
        <v>196</v>
      </c>
      <c r="E56" s="11"/>
      <c r="F56" s="12"/>
      <c r="G56" s="46" t="s">
        <v>197</v>
      </c>
      <c r="H56" s="11"/>
      <c r="I56" s="11"/>
      <c r="J56" s="11"/>
      <c r="K56" s="11"/>
      <c r="L56" s="12"/>
      <c r="M56" s="46" t="s">
        <v>198</v>
      </c>
      <c r="N56" s="12"/>
      <c r="O56" s="46" t="s">
        <v>199</v>
      </c>
      <c r="P56" s="11"/>
      <c r="Q56" s="12"/>
      <c r="R56" s="46" t="s">
        <v>200</v>
      </c>
      <c r="S56" s="11"/>
      <c r="T56" s="11"/>
      <c r="U56" s="11"/>
      <c r="V56" s="11"/>
      <c r="W56" s="11"/>
      <c r="X56" s="11"/>
      <c r="Y56" s="11"/>
      <c r="Z56" s="11"/>
      <c r="AA56" s="11"/>
      <c r="AB56" s="11"/>
      <c r="AC56" s="11"/>
      <c r="AD56" s="11"/>
      <c r="AE56" s="11"/>
      <c r="AF56" s="11"/>
      <c r="AG56" s="11"/>
      <c r="AH56" s="11"/>
      <c r="AI56" s="11"/>
      <c r="AJ56" s="11"/>
      <c r="AK56" s="12"/>
    </row>
    <row r="57" ht="36.0" customHeight="1">
      <c r="B57" s="54" t="s">
        <v>201</v>
      </c>
      <c r="C57" s="12"/>
      <c r="D57" s="48" t="s">
        <v>202</v>
      </c>
      <c r="E57" s="11"/>
      <c r="F57" s="12"/>
      <c r="G57" s="49" t="s">
        <v>203</v>
      </c>
      <c r="H57" s="11"/>
      <c r="I57" s="11"/>
      <c r="J57" s="11"/>
      <c r="K57" s="11"/>
      <c r="L57" s="12"/>
      <c r="M57" s="48">
        <v>10.0</v>
      </c>
      <c r="N57" s="12"/>
      <c r="O57" s="48" t="s">
        <v>70</v>
      </c>
      <c r="P57" s="11"/>
      <c r="Q57" s="12"/>
      <c r="R57" s="49" t="s">
        <v>204</v>
      </c>
      <c r="S57" s="11"/>
      <c r="T57" s="11"/>
      <c r="U57" s="11"/>
      <c r="V57" s="11"/>
      <c r="W57" s="11"/>
      <c r="X57" s="11"/>
      <c r="Y57" s="11"/>
      <c r="Z57" s="11"/>
      <c r="AA57" s="11"/>
      <c r="AB57" s="11"/>
      <c r="AC57" s="11"/>
      <c r="AD57" s="11"/>
      <c r="AE57" s="11"/>
      <c r="AF57" s="11"/>
      <c r="AG57" s="11"/>
      <c r="AH57" s="11"/>
      <c r="AI57" s="11"/>
      <c r="AJ57" s="11"/>
      <c r="AK57" s="12"/>
    </row>
    <row r="58" ht="30.0" customHeight="1">
      <c r="B58" s="54" t="s">
        <v>205</v>
      </c>
      <c r="C58" s="12"/>
      <c r="D58" s="48" t="s">
        <v>206</v>
      </c>
      <c r="E58" s="11"/>
      <c r="F58" s="12"/>
      <c r="G58" s="49" t="s">
        <v>207</v>
      </c>
      <c r="H58" s="11"/>
      <c r="I58" s="11"/>
      <c r="J58" s="11"/>
      <c r="K58" s="11"/>
      <c r="L58" s="12"/>
      <c r="M58" s="48">
        <v>9.0</v>
      </c>
      <c r="N58" s="12"/>
      <c r="O58" s="48" t="s">
        <v>90</v>
      </c>
      <c r="P58" s="11"/>
      <c r="Q58" s="12"/>
      <c r="R58" s="49" t="s">
        <v>208</v>
      </c>
      <c r="S58" s="11"/>
      <c r="T58" s="11"/>
      <c r="U58" s="11"/>
      <c r="V58" s="11"/>
      <c r="W58" s="11"/>
      <c r="X58" s="11"/>
      <c r="Y58" s="11"/>
      <c r="Z58" s="11"/>
      <c r="AA58" s="11"/>
      <c r="AB58" s="11"/>
      <c r="AC58" s="11"/>
      <c r="AD58" s="11"/>
      <c r="AE58" s="11"/>
      <c r="AF58" s="11"/>
      <c r="AG58" s="11"/>
      <c r="AH58" s="11"/>
      <c r="AI58" s="11"/>
      <c r="AJ58" s="11"/>
      <c r="AK58" s="12"/>
    </row>
    <row r="59" ht="36.0" customHeight="1">
      <c r="B59" s="54" t="s">
        <v>209</v>
      </c>
      <c r="C59" s="12"/>
      <c r="D59" s="48" t="s">
        <v>210</v>
      </c>
      <c r="E59" s="11"/>
      <c r="F59" s="12"/>
      <c r="G59" s="49" t="s">
        <v>211</v>
      </c>
      <c r="H59" s="11"/>
      <c r="I59" s="11"/>
      <c r="J59" s="11"/>
      <c r="K59" s="11"/>
      <c r="L59" s="12"/>
      <c r="M59" s="48">
        <v>8.0</v>
      </c>
      <c r="N59" s="12"/>
      <c r="O59" s="48" t="s">
        <v>70</v>
      </c>
      <c r="P59" s="11"/>
      <c r="Q59" s="12"/>
      <c r="R59" s="49" t="s">
        <v>212</v>
      </c>
      <c r="S59" s="11"/>
      <c r="T59" s="11"/>
      <c r="U59" s="11"/>
      <c r="V59" s="11"/>
      <c r="W59" s="11"/>
      <c r="X59" s="11"/>
      <c r="Y59" s="11"/>
      <c r="Z59" s="11"/>
      <c r="AA59" s="11"/>
      <c r="AB59" s="11"/>
      <c r="AC59" s="11"/>
      <c r="AD59" s="11"/>
      <c r="AE59" s="11"/>
      <c r="AF59" s="11"/>
      <c r="AG59" s="11"/>
      <c r="AH59" s="11"/>
      <c r="AI59" s="11"/>
      <c r="AJ59" s="11"/>
      <c r="AK59" s="12"/>
    </row>
    <row r="60" ht="36.0" customHeight="1">
      <c r="B60" s="54" t="s">
        <v>213</v>
      </c>
      <c r="C60" s="12"/>
      <c r="D60" s="48" t="s">
        <v>214</v>
      </c>
      <c r="E60" s="11"/>
      <c r="F60" s="12"/>
      <c r="G60" s="49" t="s">
        <v>215</v>
      </c>
      <c r="H60" s="11"/>
      <c r="I60" s="11"/>
      <c r="J60" s="11"/>
      <c r="K60" s="11"/>
      <c r="L60" s="12"/>
      <c r="M60" s="48">
        <v>9.0</v>
      </c>
      <c r="N60" s="12"/>
      <c r="O60" s="48" t="s">
        <v>70</v>
      </c>
      <c r="P60" s="11"/>
      <c r="Q60" s="12"/>
      <c r="R60" s="49" t="s">
        <v>216</v>
      </c>
      <c r="S60" s="11"/>
      <c r="T60" s="11"/>
      <c r="U60" s="11"/>
      <c r="V60" s="11"/>
      <c r="W60" s="11"/>
      <c r="X60" s="11"/>
      <c r="Y60" s="11"/>
      <c r="Z60" s="11"/>
      <c r="AA60" s="11"/>
      <c r="AB60" s="11"/>
      <c r="AC60" s="11"/>
      <c r="AD60" s="11"/>
      <c r="AE60" s="11"/>
      <c r="AF60" s="11"/>
      <c r="AG60" s="11"/>
      <c r="AH60" s="11"/>
      <c r="AI60" s="11"/>
      <c r="AJ60" s="11"/>
      <c r="AK60" s="12"/>
    </row>
    <row r="61" ht="36.0" customHeight="1">
      <c r="B61" s="54" t="s">
        <v>217</v>
      </c>
      <c r="C61" s="12"/>
      <c r="D61" s="48" t="s">
        <v>218</v>
      </c>
      <c r="E61" s="11"/>
      <c r="F61" s="12"/>
      <c r="G61" s="49" t="s">
        <v>219</v>
      </c>
      <c r="H61" s="11"/>
      <c r="I61" s="11"/>
      <c r="J61" s="11"/>
      <c r="K61" s="11"/>
      <c r="L61" s="12"/>
      <c r="M61" s="48">
        <v>6.0</v>
      </c>
      <c r="N61" s="12"/>
      <c r="O61" s="48" t="s">
        <v>220</v>
      </c>
      <c r="P61" s="11"/>
      <c r="Q61" s="12"/>
      <c r="R61" s="49" t="s">
        <v>221</v>
      </c>
      <c r="S61" s="11"/>
      <c r="T61" s="11"/>
      <c r="U61" s="11"/>
      <c r="V61" s="11"/>
      <c r="W61" s="11"/>
      <c r="X61" s="11"/>
      <c r="Y61" s="11"/>
      <c r="Z61" s="11"/>
      <c r="AA61" s="11"/>
      <c r="AB61" s="11"/>
      <c r="AC61" s="11"/>
      <c r="AD61" s="11"/>
      <c r="AE61" s="11"/>
      <c r="AF61" s="11"/>
      <c r="AG61" s="11"/>
      <c r="AH61" s="11"/>
      <c r="AI61" s="11"/>
      <c r="AJ61" s="11"/>
      <c r="AK61" s="12"/>
    </row>
    <row r="62" ht="30.0" customHeight="1">
      <c r="B62" s="54" t="s">
        <v>222</v>
      </c>
      <c r="C62" s="12"/>
      <c r="D62" s="48" t="s">
        <v>223</v>
      </c>
      <c r="E62" s="11"/>
      <c r="F62" s="12"/>
      <c r="G62" s="49" t="s">
        <v>224</v>
      </c>
      <c r="H62" s="11"/>
      <c r="I62" s="11"/>
      <c r="J62" s="11"/>
      <c r="K62" s="11"/>
      <c r="L62" s="12"/>
      <c r="M62" s="48">
        <v>2.0</v>
      </c>
      <c r="N62" s="12"/>
      <c r="O62" s="48" t="s">
        <v>90</v>
      </c>
      <c r="P62" s="11"/>
      <c r="Q62" s="12"/>
      <c r="R62" s="49" t="s">
        <v>225</v>
      </c>
      <c r="S62" s="11"/>
      <c r="T62" s="11"/>
      <c r="U62" s="11"/>
      <c r="V62" s="11"/>
      <c r="W62" s="11"/>
      <c r="X62" s="11"/>
      <c r="Y62" s="11"/>
      <c r="Z62" s="11"/>
      <c r="AA62" s="11"/>
      <c r="AB62" s="11"/>
      <c r="AC62" s="11"/>
      <c r="AD62" s="11"/>
      <c r="AE62" s="11"/>
      <c r="AF62" s="11"/>
      <c r="AG62" s="11"/>
      <c r="AH62" s="11"/>
      <c r="AI62" s="11"/>
      <c r="AJ62" s="11"/>
      <c r="AK62" s="12"/>
    </row>
    <row r="63" ht="15.75" customHeight="1"/>
    <row r="64" ht="30.0" customHeight="1">
      <c r="B64" s="55" t="s">
        <v>226</v>
      </c>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2"/>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F11:L11"/>
    <mergeCell ref="M11:T11"/>
    <mergeCell ref="W11:AC11"/>
    <mergeCell ref="AD11:AF11"/>
    <mergeCell ref="C11:E11"/>
    <mergeCell ref="C12:E12"/>
    <mergeCell ref="F12:L12"/>
    <mergeCell ref="M12:T12"/>
    <mergeCell ref="U12:V12"/>
    <mergeCell ref="W12:AC12"/>
    <mergeCell ref="AD12:AF12"/>
    <mergeCell ref="A1:I1"/>
    <mergeCell ref="J1:P1"/>
    <mergeCell ref="Q1:U1"/>
    <mergeCell ref="V1:Y1"/>
    <mergeCell ref="Z1:AC1"/>
    <mergeCell ref="AD1:AG1"/>
    <mergeCell ref="AH1:AK1"/>
    <mergeCell ref="J2:P3"/>
    <mergeCell ref="Q2:U3"/>
    <mergeCell ref="V2:Y3"/>
    <mergeCell ref="Z2:AC3"/>
    <mergeCell ref="AD2:AG3"/>
    <mergeCell ref="AH2:AK3"/>
    <mergeCell ref="B5:AK5"/>
    <mergeCell ref="A2:I3"/>
    <mergeCell ref="C7:E7"/>
    <mergeCell ref="F7:L7"/>
    <mergeCell ref="M7:T7"/>
    <mergeCell ref="U7:V7"/>
    <mergeCell ref="W7:AC7"/>
    <mergeCell ref="AD7:AF7"/>
    <mergeCell ref="U9:V9"/>
    <mergeCell ref="W9:AC9"/>
    <mergeCell ref="W10:AC10"/>
    <mergeCell ref="AD10:AF10"/>
    <mergeCell ref="C8:E8"/>
    <mergeCell ref="F8:L8"/>
    <mergeCell ref="M8:T8"/>
    <mergeCell ref="U8:V8"/>
    <mergeCell ref="W8:AC8"/>
    <mergeCell ref="AD8:AF8"/>
    <mergeCell ref="C9:E9"/>
    <mergeCell ref="AD9:AF9"/>
    <mergeCell ref="F9:L9"/>
    <mergeCell ref="M9:T9"/>
    <mergeCell ref="C10:E10"/>
    <mergeCell ref="F10:L10"/>
    <mergeCell ref="M10:T10"/>
    <mergeCell ref="U10:V10"/>
    <mergeCell ref="U11:V11"/>
    <mergeCell ref="U14:V14"/>
    <mergeCell ref="W14:AC14"/>
    <mergeCell ref="F20:L20"/>
    <mergeCell ref="M20:T20"/>
    <mergeCell ref="W20:AC20"/>
    <mergeCell ref="AD20:AF20"/>
    <mergeCell ref="C20:E20"/>
    <mergeCell ref="C21:E21"/>
    <mergeCell ref="F21:L21"/>
    <mergeCell ref="M21:T21"/>
    <mergeCell ref="U21:V21"/>
    <mergeCell ref="W21:AC21"/>
    <mergeCell ref="AD21:AF21"/>
    <mergeCell ref="F23:L23"/>
    <mergeCell ref="M23:T23"/>
    <mergeCell ref="C22:E22"/>
    <mergeCell ref="F22:L22"/>
    <mergeCell ref="M22:T22"/>
    <mergeCell ref="U22:V22"/>
    <mergeCell ref="W22:AC22"/>
    <mergeCell ref="AD22:AF22"/>
    <mergeCell ref="C23:E23"/>
    <mergeCell ref="AD23:AF23"/>
    <mergeCell ref="U23:V23"/>
    <mergeCell ref="W23:AC23"/>
    <mergeCell ref="F24:L24"/>
    <mergeCell ref="M24:T24"/>
    <mergeCell ref="U24:V24"/>
    <mergeCell ref="W24:AC24"/>
    <mergeCell ref="AD24:AF24"/>
    <mergeCell ref="C24:E24"/>
    <mergeCell ref="C25:E25"/>
    <mergeCell ref="F25:L25"/>
    <mergeCell ref="M25:T25"/>
    <mergeCell ref="U25:V25"/>
    <mergeCell ref="W25:AC25"/>
    <mergeCell ref="AD25:AF25"/>
    <mergeCell ref="F27:L27"/>
    <mergeCell ref="M27:T27"/>
    <mergeCell ref="C26:E26"/>
    <mergeCell ref="F26:L26"/>
    <mergeCell ref="M26:T26"/>
    <mergeCell ref="U26:V26"/>
    <mergeCell ref="W26:AC26"/>
    <mergeCell ref="AD26:AF26"/>
    <mergeCell ref="C27:E27"/>
    <mergeCell ref="AD27:AF27"/>
    <mergeCell ref="F31:L31"/>
    <mergeCell ref="M31:T31"/>
    <mergeCell ref="C30:E30"/>
    <mergeCell ref="F30:L30"/>
    <mergeCell ref="M30:T30"/>
    <mergeCell ref="U30:V30"/>
    <mergeCell ref="W30:AC30"/>
    <mergeCell ref="AD30:AF30"/>
    <mergeCell ref="C31:E31"/>
    <mergeCell ref="U42:V42"/>
    <mergeCell ref="W42:AC42"/>
    <mergeCell ref="F43:L43"/>
    <mergeCell ref="M43:T43"/>
    <mergeCell ref="U43:V43"/>
    <mergeCell ref="W43:AC43"/>
    <mergeCell ref="AD43:AF43"/>
    <mergeCell ref="C43:E43"/>
    <mergeCell ref="C44:E44"/>
    <mergeCell ref="F44:L44"/>
    <mergeCell ref="M44:T44"/>
    <mergeCell ref="U44:V44"/>
    <mergeCell ref="W44:AC44"/>
    <mergeCell ref="AD44:AF44"/>
    <mergeCell ref="F46:L46"/>
    <mergeCell ref="M46:T46"/>
    <mergeCell ref="C45:E45"/>
    <mergeCell ref="F45:L45"/>
    <mergeCell ref="M45:T45"/>
    <mergeCell ref="U45:V45"/>
    <mergeCell ref="W45:AC45"/>
    <mergeCell ref="AD45:AF45"/>
    <mergeCell ref="C46:E46"/>
    <mergeCell ref="AD46:AF46"/>
    <mergeCell ref="U46:V46"/>
    <mergeCell ref="W46:AC46"/>
    <mergeCell ref="F47:L47"/>
    <mergeCell ref="M47:T47"/>
    <mergeCell ref="U47:V47"/>
    <mergeCell ref="W47:AC47"/>
    <mergeCell ref="AD47:AF47"/>
    <mergeCell ref="C47:E47"/>
    <mergeCell ref="C48:E48"/>
    <mergeCell ref="F48:L48"/>
    <mergeCell ref="M48:T48"/>
    <mergeCell ref="U48:V48"/>
    <mergeCell ref="W48:AC48"/>
    <mergeCell ref="AD48:AF48"/>
    <mergeCell ref="C13:E13"/>
    <mergeCell ref="F13:L13"/>
    <mergeCell ref="M13:T13"/>
    <mergeCell ref="U13:V13"/>
    <mergeCell ref="W13:AC13"/>
    <mergeCell ref="AD13:AF13"/>
    <mergeCell ref="C14:E14"/>
    <mergeCell ref="AD14:AF14"/>
    <mergeCell ref="F14:L14"/>
    <mergeCell ref="M14:T14"/>
    <mergeCell ref="F15:L15"/>
    <mergeCell ref="M15:T15"/>
    <mergeCell ref="U15:V15"/>
    <mergeCell ref="W15:AC15"/>
    <mergeCell ref="AD15:AF15"/>
    <mergeCell ref="C15:E15"/>
    <mergeCell ref="C16:E16"/>
    <mergeCell ref="F16:L16"/>
    <mergeCell ref="M16:T16"/>
    <mergeCell ref="U16:V16"/>
    <mergeCell ref="W16:AC16"/>
    <mergeCell ref="AD16:AF16"/>
    <mergeCell ref="U18:V18"/>
    <mergeCell ref="W18:AC18"/>
    <mergeCell ref="W19:AC19"/>
    <mergeCell ref="AD19:AF19"/>
    <mergeCell ref="C17:E17"/>
    <mergeCell ref="F17:L17"/>
    <mergeCell ref="M17:T17"/>
    <mergeCell ref="U17:V17"/>
    <mergeCell ref="W17:AC17"/>
    <mergeCell ref="AD17:AF17"/>
    <mergeCell ref="C18:E18"/>
    <mergeCell ref="AD18:AF18"/>
    <mergeCell ref="F18:L18"/>
    <mergeCell ref="M18:T18"/>
    <mergeCell ref="C19:E19"/>
    <mergeCell ref="F19:L19"/>
    <mergeCell ref="M19:T19"/>
    <mergeCell ref="U19:V19"/>
    <mergeCell ref="U20:V20"/>
    <mergeCell ref="U50:V50"/>
    <mergeCell ref="W50:AC50"/>
    <mergeCell ref="C51:E51"/>
    <mergeCell ref="F51:L51"/>
    <mergeCell ref="M51:T51"/>
    <mergeCell ref="U51:V51"/>
    <mergeCell ref="W51:AC51"/>
    <mergeCell ref="AD51:AF51"/>
    <mergeCell ref="D61:F61"/>
    <mergeCell ref="G61:L61"/>
    <mergeCell ref="B62:C62"/>
    <mergeCell ref="D62:F62"/>
    <mergeCell ref="G62:L62"/>
    <mergeCell ref="M62:N62"/>
    <mergeCell ref="M61:N61"/>
    <mergeCell ref="O61:Q61"/>
    <mergeCell ref="O62:Q62"/>
    <mergeCell ref="B59:C59"/>
    <mergeCell ref="B60:C60"/>
    <mergeCell ref="D60:F60"/>
    <mergeCell ref="G60:L60"/>
    <mergeCell ref="M60:N60"/>
    <mergeCell ref="O60:Q60"/>
    <mergeCell ref="B61:C61"/>
    <mergeCell ref="C49:E49"/>
    <mergeCell ref="F49:L49"/>
    <mergeCell ref="M49:T49"/>
    <mergeCell ref="U49:V49"/>
    <mergeCell ref="W49:AC49"/>
    <mergeCell ref="AD49:AF49"/>
    <mergeCell ref="C50:E50"/>
    <mergeCell ref="AD50:AF50"/>
    <mergeCell ref="F50:L50"/>
    <mergeCell ref="M50:T50"/>
    <mergeCell ref="B52:T52"/>
    <mergeCell ref="U52:V52"/>
    <mergeCell ref="W52:AC52"/>
    <mergeCell ref="AD52:AF52"/>
    <mergeCell ref="B54:AK54"/>
    <mergeCell ref="M57:N57"/>
    <mergeCell ref="O57:Q57"/>
    <mergeCell ref="O58:Q58"/>
    <mergeCell ref="R57:AK57"/>
    <mergeCell ref="R58:AK58"/>
    <mergeCell ref="B56:C56"/>
    <mergeCell ref="D56:F56"/>
    <mergeCell ref="G56:L56"/>
    <mergeCell ref="M56:N56"/>
    <mergeCell ref="O56:Q56"/>
    <mergeCell ref="R56:AK56"/>
    <mergeCell ref="B57:C57"/>
    <mergeCell ref="D59:F59"/>
    <mergeCell ref="G59:L59"/>
    <mergeCell ref="O59:Q59"/>
    <mergeCell ref="R59:AK59"/>
    <mergeCell ref="R60:AK60"/>
    <mergeCell ref="R61:AK61"/>
    <mergeCell ref="R62:AK62"/>
    <mergeCell ref="B64:AK64"/>
    <mergeCell ref="D57:F57"/>
    <mergeCell ref="G57:L57"/>
    <mergeCell ref="B58:C58"/>
    <mergeCell ref="D58:F58"/>
    <mergeCell ref="G58:L58"/>
    <mergeCell ref="M58:N58"/>
    <mergeCell ref="M59:N59"/>
    <mergeCell ref="U27:V27"/>
    <mergeCell ref="W27:AC27"/>
    <mergeCell ref="F28:L28"/>
    <mergeCell ref="M28:T28"/>
    <mergeCell ref="U28:V28"/>
    <mergeCell ref="W28:AC28"/>
    <mergeCell ref="AD28:AF28"/>
    <mergeCell ref="C28:E28"/>
    <mergeCell ref="C29:E29"/>
    <mergeCell ref="F29:L29"/>
    <mergeCell ref="M29:T29"/>
    <mergeCell ref="U29:V29"/>
    <mergeCell ref="W29:AC29"/>
    <mergeCell ref="AD29:AF29"/>
    <mergeCell ref="W32:AC32"/>
    <mergeCell ref="AD32:AF32"/>
    <mergeCell ref="U31:V31"/>
    <mergeCell ref="W31:AC31"/>
    <mergeCell ref="AD31:AF31"/>
    <mergeCell ref="C32:E32"/>
    <mergeCell ref="F32:L32"/>
    <mergeCell ref="M32:T32"/>
    <mergeCell ref="U32:V32"/>
    <mergeCell ref="F34:L34"/>
    <mergeCell ref="M34:T34"/>
    <mergeCell ref="C33:E33"/>
    <mergeCell ref="F33:L33"/>
    <mergeCell ref="M33:T33"/>
    <mergeCell ref="U33:V33"/>
    <mergeCell ref="W33:AC33"/>
    <mergeCell ref="AD33:AF33"/>
    <mergeCell ref="C34:E34"/>
    <mergeCell ref="AD34:AF34"/>
    <mergeCell ref="U34:V34"/>
    <mergeCell ref="W34:AC34"/>
    <mergeCell ref="F35:L35"/>
    <mergeCell ref="M35:T35"/>
    <mergeCell ref="U35:V35"/>
    <mergeCell ref="W35:AC35"/>
    <mergeCell ref="AD35:AF35"/>
    <mergeCell ref="C35:E35"/>
    <mergeCell ref="C36:E36"/>
    <mergeCell ref="F36:L36"/>
    <mergeCell ref="M36:T36"/>
    <mergeCell ref="U36:V36"/>
    <mergeCell ref="W36:AC36"/>
    <mergeCell ref="AD36:AF36"/>
    <mergeCell ref="F38:L38"/>
    <mergeCell ref="M38:T38"/>
    <mergeCell ref="C37:E37"/>
    <mergeCell ref="F37:L37"/>
    <mergeCell ref="M37:T37"/>
    <mergeCell ref="U37:V37"/>
    <mergeCell ref="W37:AC37"/>
    <mergeCell ref="AD37:AF37"/>
    <mergeCell ref="C38:E38"/>
    <mergeCell ref="AD38:AF38"/>
    <mergeCell ref="U38:V38"/>
    <mergeCell ref="W38:AC38"/>
    <mergeCell ref="F39:L39"/>
    <mergeCell ref="M39:T39"/>
    <mergeCell ref="U39:V39"/>
    <mergeCell ref="W39:AC39"/>
    <mergeCell ref="AD39:AF39"/>
    <mergeCell ref="C39:E39"/>
    <mergeCell ref="C40:E40"/>
    <mergeCell ref="F40:L40"/>
    <mergeCell ref="M40:T40"/>
    <mergeCell ref="U40:V40"/>
    <mergeCell ref="W40:AC40"/>
    <mergeCell ref="AD40:AF40"/>
    <mergeCell ref="F42:L42"/>
    <mergeCell ref="M42:T42"/>
    <mergeCell ref="C41:E41"/>
    <mergeCell ref="F41:L41"/>
    <mergeCell ref="M41:T41"/>
    <mergeCell ref="U41:V41"/>
    <mergeCell ref="W41:AC41"/>
    <mergeCell ref="AD41:AF41"/>
    <mergeCell ref="C42:E42"/>
    <mergeCell ref="AD42:AF4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9" width="4.0"/>
  </cols>
  <sheetData>
    <row r="1" ht="22.5" customHeight="1">
      <c r="A1" s="46" t="s">
        <v>227</v>
      </c>
      <c r="B1" s="11"/>
      <c r="C1" s="11"/>
      <c r="D1" s="11"/>
      <c r="E1" s="12"/>
      <c r="F1" s="21" t="s">
        <v>228</v>
      </c>
      <c r="G1" s="11"/>
      <c r="H1" s="11"/>
      <c r="I1" s="11"/>
      <c r="J1" s="11"/>
      <c r="K1" s="11"/>
      <c r="L1" s="11"/>
      <c r="M1" s="11"/>
      <c r="N1" s="11"/>
      <c r="O1" s="11"/>
      <c r="P1" s="11"/>
      <c r="Q1" s="12"/>
      <c r="R1" s="46" t="s">
        <v>229</v>
      </c>
      <c r="S1" s="11"/>
      <c r="T1" s="11"/>
      <c r="U1" s="11"/>
      <c r="V1" s="12"/>
      <c r="W1" s="21" t="s">
        <v>230</v>
      </c>
      <c r="X1" s="11"/>
      <c r="Y1" s="11"/>
      <c r="Z1" s="11"/>
      <c r="AA1" s="11"/>
      <c r="AB1" s="11"/>
      <c r="AC1" s="11"/>
      <c r="AD1" s="11"/>
      <c r="AE1" s="11"/>
      <c r="AF1" s="11"/>
      <c r="AG1" s="11"/>
      <c r="AH1" s="12"/>
    </row>
    <row r="2" ht="22.5" customHeight="1">
      <c r="A2" s="46" t="s">
        <v>22</v>
      </c>
      <c r="B2" s="11"/>
      <c r="C2" s="11"/>
      <c r="D2" s="11"/>
      <c r="E2" s="12"/>
      <c r="F2" s="21" t="s">
        <v>15</v>
      </c>
      <c r="G2" s="11"/>
      <c r="H2" s="11"/>
      <c r="I2" s="11"/>
      <c r="J2" s="11"/>
      <c r="K2" s="11"/>
      <c r="L2" s="11"/>
      <c r="M2" s="11"/>
      <c r="N2" s="11"/>
      <c r="O2" s="11"/>
      <c r="P2" s="11"/>
      <c r="Q2" s="12"/>
      <c r="R2" s="46" t="s">
        <v>21</v>
      </c>
      <c r="S2" s="11"/>
      <c r="T2" s="11"/>
      <c r="U2" s="11"/>
      <c r="V2" s="12"/>
      <c r="W2" s="36" t="s">
        <v>8</v>
      </c>
      <c r="X2" s="11"/>
      <c r="Y2" s="11"/>
      <c r="Z2" s="11"/>
      <c r="AA2" s="11"/>
      <c r="AB2" s="11"/>
      <c r="AC2" s="11"/>
      <c r="AD2" s="11"/>
      <c r="AE2" s="11"/>
      <c r="AF2" s="11"/>
      <c r="AG2" s="11"/>
      <c r="AH2" s="12"/>
    </row>
    <row r="3" ht="22.5" customHeight="1">
      <c r="A3" s="46" t="s">
        <v>13</v>
      </c>
      <c r="B3" s="11"/>
      <c r="C3" s="11"/>
      <c r="D3" s="11"/>
      <c r="E3" s="12"/>
      <c r="F3" s="21" t="s">
        <v>17</v>
      </c>
      <c r="G3" s="11"/>
      <c r="H3" s="11"/>
      <c r="I3" s="11"/>
      <c r="J3" s="11"/>
      <c r="K3" s="11"/>
      <c r="L3" s="11"/>
      <c r="M3" s="11"/>
      <c r="N3" s="11"/>
      <c r="O3" s="11"/>
      <c r="P3" s="11"/>
      <c r="Q3" s="12"/>
      <c r="R3" s="46" t="s">
        <v>231</v>
      </c>
      <c r="S3" s="11"/>
      <c r="T3" s="11"/>
      <c r="U3" s="11"/>
      <c r="V3" s="12"/>
      <c r="W3" s="36"/>
      <c r="X3" s="11"/>
      <c r="Y3" s="11"/>
      <c r="Z3" s="11"/>
      <c r="AA3" s="11"/>
      <c r="AB3" s="11"/>
      <c r="AC3" s="11"/>
      <c r="AD3" s="11"/>
      <c r="AE3" s="11"/>
      <c r="AF3" s="11"/>
      <c r="AG3" s="11"/>
      <c r="AH3" s="12"/>
    </row>
    <row r="4" ht="22.5" customHeight="1">
      <c r="A4" s="46" t="s">
        <v>232</v>
      </c>
      <c r="B4" s="11"/>
      <c r="C4" s="11"/>
      <c r="D4" s="11"/>
      <c r="E4" s="12"/>
      <c r="F4" s="21" t="s">
        <v>233</v>
      </c>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2"/>
    </row>
    <row r="5" ht="22.5" customHeight="1">
      <c r="A5" s="46" t="s">
        <v>234</v>
      </c>
      <c r="B5" s="11"/>
      <c r="C5" s="11"/>
      <c r="D5" s="11"/>
      <c r="E5" s="11"/>
      <c r="F5" s="11"/>
      <c r="G5" s="11"/>
      <c r="H5" s="11"/>
      <c r="I5" s="11"/>
      <c r="J5" s="11"/>
      <c r="K5" s="11"/>
      <c r="L5" s="11"/>
      <c r="M5" s="11"/>
      <c r="N5" s="11"/>
      <c r="O5" s="11"/>
      <c r="P5" s="11"/>
      <c r="Q5" s="11"/>
      <c r="R5" s="11"/>
      <c r="S5" s="12"/>
      <c r="T5" s="46" t="s">
        <v>47</v>
      </c>
      <c r="U5" s="11"/>
      <c r="V5" s="11"/>
      <c r="W5" s="11"/>
      <c r="X5" s="11"/>
      <c r="Y5" s="11"/>
      <c r="Z5" s="11"/>
      <c r="AA5" s="11"/>
      <c r="AB5" s="11"/>
      <c r="AC5" s="11"/>
      <c r="AD5" s="11"/>
      <c r="AE5" s="11"/>
      <c r="AF5" s="11"/>
      <c r="AG5" s="11"/>
      <c r="AH5" s="12"/>
    </row>
    <row r="6" ht="22.5" customHeight="1">
      <c r="A6" s="46" t="s">
        <v>235</v>
      </c>
      <c r="B6" s="11"/>
      <c r="C6" s="11"/>
      <c r="D6" s="11"/>
      <c r="E6" s="11"/>
      <c r="F6" s="11"/>
      <c r="G6" s="12"/>
      <c r="H6" s="46" t="s">
        <v>48</v>
      </c>
      <c r="I6" s="11"/>
      <c r="J6" s="12"/>
      <c r="K6" s="46" t="s">
        <v>49</v>
      </c>
      <c r="L6" s="11"/>
      <c r="M6" s="12"/>
      <c r="N6" s="46" t="s">
        <v>236</v>
      </c>
      <c r="O6" s="11"/>
      <c r="P6" s="12"/>
      <c r="Q6" s="46" t="s">
        <v>46</v>
      </c>
      <c r="R6" s="11"/>
      <c r="S6" s="12"/>
      <c r="T6" s="46" t="s">
        <v>51</v>
      </c>
      <c r="U6" s="11"/>
      <c r="V6" s="12"/>
      <c r="W6" s="46" t="s">
        <v>52</v>
      </c>
      <c r="X6" s="11"/>
      <c r="Y6" s="12"/>
      <c r="Z6" s="46" t="s">
        <v>53</v>
      </c>
      <c r="AA6" s="11"/>
      <c r="AB6" s="12"/>
      <c r="AC6" s="46" t="s">
        <v>54</v>
      </c>
      <c r="AD6" s="11"/>
      <c r="AE6" s="12"/>
      <c r="AF6" s="46" t="s">
        <v>46</v>
      </c>
      <c r="AG6" s="11"/>
      <c r="AH6" s="12"/>
    </row>
    <row r="7" ht="22.5" customHeight="1">
      <c r="A7" s="46" t="s">
        <v>237</v>
      </c>
      <c r="B7" s="11"/>
      <c r="C7" s="11"/>
      <c r="D7" s="11"/>
      <c r="E7" s="11"/>
      <c r="F7" s="11"/>
      <c r="G7" s="12"/>
      <c r="H7" s="20">
        <f t="shared" ref="H7:H8" si="1">COUNTIF($AE$12:$AF$1049,"N")</f>
        <v>23</v>
      </c>
      <c r="I7" s="11"/>
      <c r="J7" s="12"/>
      <c r="K7" s="20">
        <f t="shared" ref="K7:K8" si="2">COUNTIF($AE$12:$AF$1049,"A")</f>
        <v>16</v>
      </c>
      <c r="L7" s="11"/>
      <c r="M7" s="12"/>
      <c r="N7" s="20">
        <f t="shared" ref="N7:N8" si="3">COUNTIF($AE$12:$AF$1049,"B")</f>
        <v>1</v>
      </c>
      <c r="O7" s="11"/>
      <c r="P7" s="12"/>
      <c r="Q7" s="43">
        <f t="shared" ref="Q7:Q8" si="4">SUM(H7:P7)</f>
        <v>40</v>
      </c>
      <c r="R7" s="11"/>
      <c r="S7" s="12"/>
      <c r="T7" s="20">
        <f>COUNTIF($AG$12:$AI$1049,T$6)</f>
        <v>0</v>
      </c>
      <c r="U7" s="11"/>
      <c r="V7" s="12"/>
      <c r="W7" s="20">
        <f>COUNTIF($AG$12:$AI$1049,W$6)</f>
        <v>0</v>
      </c>
      <c r="X7" s="11"/>
      <c r="Y7" s="12"/>
      <c r="Z7" s="20">
        <f>COUNTIF($AG$12:$AI$1049,Z$6)</f>
        <v>2</v>
      </c>
      <c r="AA7" s="11"/>
      <c r="AB7" s="12"/>
      <c r="AC7" s="20">
        <f>COUNTIF($AG$12:$AI$1049,AC$6)</f>
        <v>3</v>
      </c>
      <c r="AD7" s="11"/>
      <c r="AE7" s="12"/>
      <c r="AF7" s="43">
        <f t="shared" ref="AF7:AF8" si="5">SUM(T7:AE7)</f>
        <v>5</v>
      </c>
      <c r="AG7" s="11"/>
      <c r="AH7" s="12"/>
    </row>
    <row r="8" ht="22.5" customHeight="1">
      <c r="A8" s="46" t="s">
        <v>238</v>
      </c>
      <c r="B8" s="11"/>
      <c r="C8" s="11"/>
      <c r="D8" s="11"/>
      <c r="E8" s="11"/>
      <c r="F8" s="11"/>
      <c r="G8" s="12"/>
      <c r="H8" s="20">
        <f t="shared" si="1"/>
        <v>23</v>
      </c>
      <c r="I8" s="11"/>
      <c r="J8" s="12"/>
      <c r="K8" s="20">
        <f t="shared" si="2"/>
        <v>16</v>
      </c>
      <c r="L8" s="11"/>
      <c r="M8" s="12"/>
      <c r="N8" s="20">
        <f t="shared" si="3"/>
        <v>1</v>
      </c>
      <c r="O8" s="11"/>
      <c r="P8" s="12"/>
      <c r="Q8" s="43">
        <f t="shared" si="4"/>
        <v>40</v>
      </c>
      <c r="R8" s="11"/>
      <c r="S8" s="12"/>
      <c r="T8" s="20">
        <f>COUNTIF($AV$12:$AX$1049,T$6)</f>
        <v>0</v>
      </c>
      <c r="U8" s="11"/>
      <c r="V8" s="12"/>
      <c r="W8" s="20">
        <f>COUNTIF($AV$12:$AX$1049,W$6)</f>
        <v>0</v>
      </c>
      <c r="X8" s="11"/>
      <c r="Y8" s="12"/>
      <c r="Z8" s="20">
        <f>COUNTIF($AV$12:$AX$1049,Z$6)</f>
        <v>0</v>
      </c>
      <c r="AA8" s="11"/>
      <c r="AB8" s="12"/>
      <c r="AC8" s="20">
        <f>COUNTIF($AV$12:$AX$1049,AC$6)</f>
        <v>0</v>
      </c>
      <c r="AD8" s="11"/>
      <c r="AE8" s="12"/>
      <c r="AF8" s="43">
        <f t="shared" si="5"/>
        <v>0</v>
      </c>
      <c r="AG8" s="11"/>
      <c r="AH8" s="12"/>
    </row>
    <row r="9" ht="12.75" customHeight="1"/>
    <row r="10" ht="36.0" customHeight="1">
      <c r="A10" s="56" t="s">
        <v>43</v>
      </c>
      <c r="B10" s="57" t="s">
        <v>239</v>
      </c>
      <c r="C10" s="23"/>
      <c r="D10" s="24"/>
      <c r="E10" s="57" t="s">
        <v>240</v>
      </c>
      <c r="F10" s="23"/>
      <c r="G10" s="23"/>
      <c r="H10" s="23"/>
      <c r="I10" s="24"/>
      <c r="J10" s="57" t="s">
        <v>241</v>
      </c>
      <c r="K10" s="23"/>
      <c r="L10" s="23"/>
      <c r="M10" s="23"/>
      <c r="N10" s="23"/>
      <c r="O10" s="23"/>
      <c r="P10" s="24"/>
      <c r="Q10" s="57" t="s">
        <v>242</v>
      </c>
      <c r="R10" s="23"/>
      <c r="S10" s="23"/>
      <c r="T10" s="23"/>
      <c r="U10" s="23"/>
      <c r="V10" s="23"/>
      <c r="W10" s="24"/>
      <c r="X10" s="57" t="s">
        <v>243</v>
      </c>
      <c r="Y10" s="23"/>
      <c r="Z10" s="23"/>
      <c r="AA10" s="23"/>
      <c r="AB10" s="23"/>
      <c r="AC10" s="23"/>
      <c r="AD10" s="24"/>
      <c r="AE10" s="57" t="s">
        <v>244</v>
      </c>
      <c r="AF10" s="24"/>
      <c r="AG10" s="46" t="s">
        <v>245</v>
      </c>
      <c r="AH10" s="11"/>
      <c r="AI10" s="11"/>
      <c r="AJ10" s="11"/>
      <c r="AK10" s="11"/>
      <c r="AL10" s="11"/>
      <c r="AM10" s="11"/>
      <c r="AN10" s="11"/>
      <c r="AO10" s="11"/>
      <c r="AP10" s="11"/>
      <c r="AQ10" s="11"/>
      <c r="AR10" s="11"/>
      <c r="AS10" s="11"/>
      <c r="AT10" s="11"/>
      <c r="AU10" s="12"/>
      <c r="AV10" s="46" t="s">
        <v>246</v>
      </c>
      <c r="AW10" s="11"/>
      <c r="AX10" s="11"/>
      <c r="AY10" s="11"/>
      <c r="AZ10" s="11"/>
      <c r="BA10" s="11"/>
      <c r="BB10" s="11"/>
      <c r="BC10" s="11"/>
      <c r="BD10" s="11"/>
      <c r="BE10" s="11"/>
      <c r="BF10" s="11"/>
      <c r="BG10" s="11"/>
      <c r="BH10" s="11"/>
      <c r="BI10" s="11"/>
      <c r="BJ10" s="12"/>
      <c r="BK10" s="57" t="s">
        <v>247</v>
      </c>
      <c r="BL10" s="23"/>
      <c r="BM10" s="23"/>
      <c r="BN10" s="23"/>
      <c r="BO10" s="23"/>
      <c r="BP10" s="23"/>
      <c r="BQ10" s="24"/>
    </row>
    <row r="11" ht="36.0" customHeight="1">
      <c r="A11" s="40"/>
      <c r="B11" s="26"/>
      <c r="C11" s="27"/>
      <c r="D11" s="28"/>
      <c r="E11" s="26"/>
      <c r="F11" s="27"/>
      <c r="G11" s="27"/>
      <c r="H11" s="27"/>
      <c r="I11" s="28"/>
      <c r="J11" s="26"/>
      <c r="K11" s="27"/>
      <c r="L11" s="27"/>
      <c r="M11" s="27"/>
      <c r="N11" s="27"/>
      <c r="O11" s="27"/>
      <c r="P11" s="28"/>
      <c r="Q11" s="26"/>
      <c r="R11" s="27"/>
      <c r="S11" s="27"/>
      <c r="T11" s="27"/>
      <c r="U11" s="27"/>
      <c r="V11" s="27"/>
      <c r="W11" s="28"/>
      <c r="X11" s="26"/>
      <c r="Y11" s="27"/>
      <c r="Z11" s="27"/>
      <c r="AA11" s="27"/>
      <c r="AB11" s="27"/>
      <c r="AC11" s="27"/>
      <c r="AD11" s="28"/>
      <c r="AE11" s="26"/>
      <c r="AF11" s="28"/>
      <c r="AG11" s="46" t="s">
        <v>248</v>
      </c>
      <c r="AH11" s="11"/>
      <c r="AI11" s="12"/>
      <c r="AJ11" s="46" t="s">
        <v>249</v>
      </c>
      <c r="AK11" s="11"/>
      <c r="AL11" s="12"/>
      <c r="AM11" s="46" t="s">
        <v>11</v>
      </c>
      <c r="AN11" s="11"/>
      <c r="AO11" s="12"/>
      <c r="AP11" s="46" t="s">
        <v>250</v>
      </c>
      <c r="AQ11" s="11"/>
      <c r="AR11" s="12"/>
      <c r="AS11" s="46" t="s">
        <v>251</v>
      </c>
      <c r="AT11" s="11"/>
      <c r="AU11" s="12"/>
      <c r="AV11" s="46" t="s">
        <v>248</v>
      </c>
      <c r="AW11" s="11"/>
      <c r="AX11" s="12"/>
      <c r="AY11" s="46" t="s">
        <v>249</v>
      </c>
      <c r="AZ11" s="11"/>
      <c r="BA11" s="12"/>
      <c r="BB11" s="46" t="s">
        <v>11</v>
      </c>
      <c r="BC11" s="11"/>
      <c r="BD11" s="12"/>
      <c r="BE11" s="46" t="s">
        <v>250</v>
      </c>
      <c r="BF11" s="11"/>
      <c r="BG11" s="12"/>
      <c r="BH11" s="46" t="s">
        <v>251</v>
      </c>
      <c r="BI11" s="11"/>
      <c r="BJ11" s="12"/>
      <c r="BK11" s="26"/>
      <c r="BL11" s="27"/>
      <c r="BM11" s="27"/>
      <c r="BN11" s="27"/>
      <c r="BO11" s="27"/>
      <c r="BP11" s="27"/>
      <c r="BQ11" s="28"/>
    </row>
    <row r="12" ht="22.5" customHeight="1">
      <c r="A12" s="35" t="s">
        <v>252</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2"/>
    </row>
    <row r="13" ht="319.5" customHeight="1">
      <c r="A13" s="47">
        <v>1.0</v>
      </c>
      <c r="B13" s="49" t="s">
        <v>253</v>
      </c>
      <c r="C13" s="11"/>
      <c r="D13" s="12"/>
      <c r="E13" s="49" t="s">
        <v>254</v>
      </c>
      <c r="F13" s="11"/>
      <c r="G13" s="11"/>
      <c r="H13" s="11"/>
      <c r="I13" s="12"/>
      <c r="J13" s="49" t="s">
        <v>255</v>
      </c>
      <c r="K13" s="11"/>
      <c r="L13" s="11"/>
      <c r="M13" s="11"/>
      <c r="N13" s="11"/>
      <c r="O13" s="11"/>
      <c r="P13" s="12"/>
      <c r="Q13" s="49" t="s">
        <v>256</v>
      </c>
      <c r="R13" s="11"/>
      <c r="S13" s="11"/>
      <c r="T13" s="11"/>
      <c r="U13" s="11"/>
      <c r="V13" s="11"/>
      <c r="W13" s="12"/>
      <c r="X13" s="49" t="s">
        <v>257</v>
      </c>
      <c r="Y13" s="11"/>
      <c r="Z13" s="11"/>
      <c r="AA13" s="11"/>
      <c r="AB13" s="11"/>
      <c r="AC13" s="11"/>
      <c r="AD13" s="12"/>
      <c r="AE13" s="48" t="s">
        <v>201</v>
      </c>
      <c r="AF13" s="12"/>
      <c r="AG13" s="48"/>
      <c r="AH13" s="11"/>
      <c r="AI13" s="12"/>
      <c r="AJ13" s="48"/>
      <c r="AK13" s="11"/>
      <c r="AL13" s="12"/>
      <c r="AM13" s="48"/>
      <c r="AN13" s="11"/>
      <c r="AO13" s="12"/>
      <c r="AP13" s="48"/>
      <c r="AQ13" s="11"/>
      <c r="AR13" s="12"/>
      <c r="AS13" s="48"/>
      <c r="AT13" s="11"/>
      <c r="AU13" s="12"/>
      <c r="AV13" s="48"/>
      <c r="AW13" s="11"/>
      <c r="AX13" s="12"/>
      <c r="AY13" s="48"/>
      <c r="AZ13" s="11"/>
      <c r="BA13" s="12"/>
      <c r="BB13" s="48"/>
      <c r="BC13" s="11"/>
      <c r="BD13" s="12"/>
      <c r="BE13" s="48"/>
      <c r="BF13" s="11"/>
      <c r="BG13" s="12"/>
      <c r="BH13" s="48"/>
      <c r="BI13" s="11"/>
      <c r="BJ13" s="12"/>
      <c r="BK13" s="49"/>
      <c r="BL13" s="11"/>
      <c r="BM13" s="11"/>
      <c r="BN13" s="11"/>
      <c r="BO13" s="11"/>
      <c r="BP13" s="11"/>
      <c r="BQ13" s="12"/>
    </row>
    <row r="14" ht="240.0" customHeight="1">
      <c r="A14" s="47">
        <v>2.0</v>
      </c>
      <c r="B14" s="49" t="s">
        <v>258</v>
      </c>
      <c r="C14" s="11"/>
      <c r="D14" s="12"/>
      <c r="E14" s="49" t="s">
        <v>259</v>
      </c>
      <c r="F14" s="11"/>
      <c r="G14" s="11"/>
      <c r="H14" s="11"/>
      <c r="I14" s="12"/>
      <c r="J14" s="49" t="s">
        <v>260</v>
      </c>
      <c r="K14" s="11"/>
      <c r="L14" s="11"/>
      <c r="M14" s="11"/>
      <c r="N14" s="11"/>
      <c r="O14" s="11"/>
      <c r="P14" s="12"/>
      <c r="Q14" s="49" t="s">
        <v>261</v>
      </c>
      <c r="R14" s="11"/>
      <c r="S14" s="11"/>
      <c r="T14" s="11"/>
      <c r="U14" s="11"/>
      <c r="V14" s="11"/>
      <c r="W14" s="12"/>
      <c r="X14" s="49" t="s">
        <v>262</v>
      </c>
      <c r="Y14" s="11"/>
      <c r="Z14" s="11"/>
      <c r="AA14" s="11"/>
      <c r="AB14" s="11"/>
      <c r="AC14" s="11"/>
      <c r="AD14" s="12"/>
      <c r="AE14" s="48" t="s">
        <v>201</v>
      </c>
      <c r="AF14" s="12"/>
      <c r="AG14" s="48"/>
      <c r="AH14" s="11"/>
      <c r="AI14" s="12"/>
      <c r="AJ14" s="48"/>
      <c r="AK14" s="11"/>
      <c r="AL14" s="12"/>
      <c r="AM14" s="48"/>
      <c r="AN14" s="11"/>
      <c r="AO14" s="12"/>
      <c r="AP14" s="48"/>
      <c r="AQ14" s="11"/>
      <c r="AR14" s="12"/>
      <c r="AS14" s="48"/>
      <c r="AT14" s="11"/>
      <c r="AU14" s="12"/>
      <c r="AV14" s="48"/>
      <c r="AW14" s="11"/>
      <c r="AX14" s="12"/>
      <c r="AY14" s="48"/>
      <c r="AZ14" s="11"/>
      <c r="BA14" s="12"/>
      <c r="BB14" s="48"/>
      <c r="BC14" s="11"/>
      <c r="BD14" s="12"/>
      <c r="BE14" s="48"/>
      <c r="BF14" s="11"/>
      <c r="BG14" s="12"/>
      <c r="BH14" s="48"/>
      <c r="BI14" s="11"/>
      <c r="BJ14" s="12"/>
      <c r="BK14" s="49"/>
      <c r="BL14" s="11"/>
      <c r="BM14" s="11"/>
      <c r="BN14" s="11"/>
      <c r="BO14" s="11"/>
      <c r="BP14" s="11"/>
      <c r="BQ14" s="12"/>
    </row>
    <row r="15" ht="127.5" customHeight="1">
      <c r="A15" s="47">
        <v>3.0</v>
      </c>
      <c r="B15" s="49" t="s">
        <v>263</v>
      </c>
      <c r="C15" s="11"/>
      <c r="D15" s="12"/>
      <c r="E15" s="49" t="s">
        <v>264</v>
      </c>
      <c r="F15" s="11"/>
      <c r="G15" s="11"/>
      <c r="H15" s="11"/>
      <c r="I15" s="12"/>
      <c r="J15" s="49" t="s">
        <v>265</v>
      </c>
      <c r="K15" s="11"/>
      <c r="L15" s="11"/>
      <c r="M15" s="11"/>
      <c r="N15" s="11"/>
      <c r="O15" s="11"/>
      <c r="P15" s="12"/>
      <c r="Q15" s="49" t="s">
        <v>266</v>
      </c>
      <c r="R15" s="11"/>
      <c r="S15" s="11"/>
      <c r="T15" s="11"/>
      <c r="U15" s="11"/>
      <c r="V15" s="11"/>
      <c r="W15" s="12"/>
      <c r="X15" s="49" t="s">
        <v>267</v>
      </c>
      <c r="Y15" s="11"/>
      <c r="Z15" s="11"/>
      <c r="AA15" s="11"/>
      <c r="AB15" s="11"/>
      <c r="AC15" s="11"/>
      <c r="AD15" s="12"/>
      <c r="AE15" s="48" t="s">
        <v>268</v>
      </c>
      <c r="AF15" s="12"/>
      <c r="AG15" s="48"/>
      <c r="AH15" s="11"/>
      <c r="AI15" s="12"/>
      <c r="AJ15" s="48"/>
      <c r="AK15" s="11"/>
      <c r="AL15" s="12"/>
      <c r="AM15" s="48"/>
      <c r="AN15" s="11"/>
      <c r="AO15" s="12"/>
      <c r="AP15" s="48"/>
      <c r="AQ15" s="11"/>
      <c r="AR15" s="12"/>
      <c r="AS15" s="48"/>
      <c r="AT15" s="11"/>
      <c r="AU15" s="12"/>
      <c r="AV15" s="48"/>
      <c r="AW15" s="11"/>
      <c r="AX15" s="12"/>
      <c r="AY15" s="48"/>
      <c r="AZ15" s="11"/>
      <c r="BA15" s="12"/>
      <c r="BB15" s="48"/>
      <c r="BC15" s="11"/>
      <c r="BD15" s="12"/>
      <c r="BE15" s="48"/>
      <c r="BF15" s="11"/>
      <c r="BG15" s="12"/>
      <c r="BH15" s="48"/>
      <c r="BI15" s="11"/>
      <c r="BJ15" s="12"/>
      <c r="BK15" s="49"/>
      <c r="BL15" s="11"/>
      <c r="BM15" s="11"/>
      <c r="BN15" s="11"/>
      <c r="BO15" s="11"/>
      <c r="BP15" s="11"/>
      <c r="BQ15" s="12"/>
    </row>
    <row r="16" ht="127.5" customHeight="1">
      <c r="A16" s="47">
        <v>4.0</v>
      </c>
      <c r="B16" s="49" t="s">
        <v>269</v>
      </c>
      <c r="C16" s="11"/>
      <c r="D16" s="12"/>
      <c r="E16" s="49" t="s">
        <v>270</v>
      </c>
      <c r="F16" s="11"/>
      <c r="G16" s="11"/>
      <c r="H16" s="11"/>
      <c r="I16" s="12"/>
      <c r="J16" s="49" t="s">
        <v>271</v>
      </c>
      <c r="K16" s="11"/>
      <c r="L16" s="11"/>
      <c r="M16" s="11"/>
      <c r="N16" s="11"/>
      <c r="O16" s="11"/>
      <c r="P16" s="12"/>
      <c r="Q16" s="49" t="s">
        <v>272</v>
      </c>
      <c r="R16" s="11"/>
      <c r="S16" s="11"/>
      <c r="T16" s="11"/>
      <c r="U16" s="11"/>
      <c r="V16" s="11"/>
      <c r="W16" s="12"/>
      <c r="X16" s="49" t="s">
        <v>273</v>
      </c>
      <c r="Y16" s="11"/>
      <c r="Z16" s="11"/>
      <c r="AA16" s="11"/>
      <c r="AB16" s="11"/>
      <c r="AC16" s="11"/>
      <c r="AD16" s="12"/>
      <c r="AE16" s="48" t="s">
        <v>268</v>
      </c>
      <c r="AF16" s="12"/>
      <c r="AG16" s="48"/>
      <c r="AH16" s="11"/>
      <c r="AI16" s="12"/>
      <c r="AJ16" s="48"/>
      <c r="AK16" s="11"/>
      <c r="AL16" s="12"/>
      <c r="AM16" s="48"/>
      <c r="AN16" s="11"/>
      <c r="AO16" s="12"/>
      <c r="AP16" s="48"/>
      <c r="AQ16" s="11"/>
      <c r="AR16" s="12"/>
      <c r="AS16" s="48"/>
      <c r="AT16" s="11"/>
      <c r="AU16" s="12"/>
      <c r="AV16" s="48"/>
      <c r="AW16" s="11"/>
      <c r="AX16" s="12"/>
      <c r="AY16" s="48"/>
      <c r="AZ16" s="11"/>
      <c r="BA16" s="12"/>
      <c r="BB16" s="48"/>
      <c r="BC16" s="11"/>
      <c r="BD16" s="12"/>
      <c r="BE16" s="48"/>
      <c r="BF16" s="11"/>
      <c r="BG16" s="12"/>
      <c r="BH16" s="48"/>
      <c r="BI16" s="11"/>
      <c r="BJ16" s="12"/>
      <c r="BK16" s="49"/>
      <c r="BL16" s="11"/>
      <c r="BM16" s="11"/>
      <c r="BN16" s="11"/>
      <c r="BO16" s="11"/>
      <c r="BP16" s="11"/>
      <c r="BQ16" s="12"/>
    </row>
    <row r="17" ht="255.75" customHeight="1">
      <c r="A17" s="47">
        <v>5.0</v>
      </c>
      <c r="B17" s="49" t="s">
        <v>274</v>
      </c>
      <c r="C17" s="11"/>
      <c r="D17" s="12"/>
      <c r="E17" s="49" t="s">
        <v>275</v>
      </c>
      <c r="F17" s="11"/>
      <c r="G17" s="11"/>
      <c r="H17" s="11"/>
      <c r="I17" s="12"/>
      <c r="J17" s="49" t="s">
        <v>276</v>
      </c>
      <c r="K17" s="11"/>
      <c r="L17" s="11"/>
      <c r="M17" s="11"/>
      <c r="N17" s="11"/>
      <c r="O17" s="11"/>
      <c r="P17" s="12"/>
      <c r="Q17" s="49" t="s">
        <v>277</v>
      </c>
      <c r="R17" s="11"/>
      <c r="S17" s="11"/>
      <c r="T17" s="11"/>
      <c r="U17" s="11"/>
      <c r="V17" s="11"/>
      <c r="W17" s="12"/>
      <c r="X17" s="49" t="s">
        <v>278</v>
      </c>
      <c r="Y17" s="11"/>
      <c r="Z17" s="11"/>
      <c r="AA17" s="11"/>
      <c r="AB17" s="11"/>
      <c r="AC17" s="11"/>
      <c r="AD17" s="12"/>
      <c r="AE17" s="48" t="s">
        <v>268</v>
      </c>
      <c r="AF17" s="12"/>
      <c r="AG17" s="48"/>
      <c r="AH17" s="11"/>
      <c r="AI17" s="12"/>
      <c r="AJ17" s="48"/>
      <c r="AK17" s="11"/>
      <c r="AL17" s="12"/>
      <c r="AM17" s="48"/>
      <c r="AN17" s="11"/>
      <c r="AO17" s="12"/>
      <c r="AP17" s="48"/>
      <c r="AQ17" s="11"/>
      <c r="AR17" s="12"/>
      <c r="AS17" s="48"/>
      <c r="AT17" s="11"/>
      <c r="AU17" s="12"/>
      <c r="AV17" s="48"/>
      <c r="AW17" s="11"/>
      <c r="AX17" s="12"/>
      <c r="AY17" s="48"/>
      <c r="AZ17" s="11"/>
      <c r="BA17" s="12"/>
      <c r="BB17" s="48"/>
      <c r="BC17" s="11"/>
      <c r="BD17" s="12"/>
      <c r="BE17" s="48"/>
      <c r="BF17" s="11"/>
      <c r="BG17" s="12"/>
      <c r="BH17" s="48"/>
      <c r="BI17" s="11"/>
      <c r="BJ17" s="12"/>
      <c r="BK17" s="49"/>
      <c r="BL17" s="11"/>
      <c r="BM17" s="11"/>
      <c r="BN17" s="11"/>
      <c r="BO17" s="11"/>
      <c r="BP17" s="11"/>
      <c r="BQ17" s="12"/>
    </row>
    <row r="18" ht="144.0" customHeight="1">
      <c r="A18" s="47">
        <v>6.0</v>
      </c>
      <c r="B18" s="49" t="s">
        <v>279</v>
      </c>
      <c r="C18" s="11"/>
      <c r="D18" s="12"/>
      <c r="E18" s="49" t="s">
        <v>280</v>
      </c>
      <c r="F18" s="11"/>
      <c r="G18" s="11"/>
      <c r="H18" s="11"/>
      <c r="I18" s="12"/>
      <c r="J18" s="49" t="s">
        <v>281</v>
      </c>
      <c r="K18" s="11"/>
      <c r="L18" s="11"/>
      <c r="M18" s="11"/>
      <c r="N18" s="11"/>
      <c r="O18" s="11"/>
      <c r="P18" s="12"/>
      <c r="Q18" s="49" t="s">
        <v>282</v>
      </c>
      <c r="R18" s="11"/>
      <c r="S18" s="11"/>
      <c r="T18" s="11"/>
      <c r="U18" s="11"/>
      <c r="V18" s="11"/>
      <c r="W18" s="12"/>
      <c r="X18" s="49" t="s">
        <v>283</v>
      </c>
      <c r="Y18" s="11"/>
      <c r="Z18" s="11"/>
      <c r="AA18" s="11"/>
      <c r="AB18" s="11"/>
      <c r="AC18" s="11"/>
      <c r="AD18" s="12"/>
      <c r="AE18" s="48" t="s">
        <v>268</v>
      </c>
      <c r="AF18" s="12"/>
      <c r="AG18" s="48"/>
      <c r="AH18" s="11"/>
      <c r="AI18" s="12"/>
      <c r="AJ18" s="48"/>
      <c r="AK18" s="11"/>
      <c r="AL18" s="12"/>
      <c r="AM18" s="48"/>
      <c r="AN18" s="11"/>
      <c r="AO18" s="12"/>
      <c r="AP18" s="48"/>
      <c r="AQ18" s="11"/>
      <c r="AR18" s="12"/>
      <c r="AS18" s="48"/>
      <c r="AT18" s="11"/>
      <c r="AU18" s="12"/>
      <c r="AV18" s="48"/>
      <c r="AW18" s="11"/>
      <c r="AX18" s="12"/>
      <c r="AY18" s="48"/>
      <c r="AZ18" s="11"/>
      <c r="BA18" s="12"/>
      <c r="BB18" s="48"/>
      <c r="BC18" s="11"/>
      <c r="BD18" s="12"/>
      <c r="BE18" s="48"/>
      <c r="BF18" s="11"/>
      <c r="BG18" s="12"/>
      <c r="BH18" s="48"/>
      <c r="BI18" s="11"/>
      <c r="BJ18" s="12"/>
      <c r="BK18" s="49"/>
      <c r="BL18" s="11"/>
      <c r="BM18" s="11"/>
      <c r="BN18" s="11"/>
      <c r="BO18" s="11"/>
      <c r="BP18" s="11"/>
      <c r="BQ18" s="12"/>
    </row>
    <row r="19" ht="384.0" customHeight="1">
      <c r="A19" s="47">
        <v>7.0</v>
      </c>
      <c r="B19" s="49" t="s">
        <v>284</v>
      </c>
      <c r="C19" s="11"/>
      <c r="D19" s="12"/>
      <c r="E19" s="49" t="s">
        <v>285</v>
      </c>
      <c r="F19" s="11"/>
      <c r="G19" s="11"/>
      <c r="H19" s="11"/>
      <c r="I19" s="12"/>
      <c r="J19" s="49" t="s">
        <v>286</v>
      </c>
      <c r="K19" s="11"/>
      <c r="L19" s="11"/>
      <c r="M19" s="11"/>
      <c r="N19" s="11"/>
      <c r="O19" s="11"/>
      <c r="P19" s="12"/>
      <c r="Q19" s="49" t="s">
        <v>287</v>
      </c>
      <c r="R19" s="11"/>
      <c r="S19" s="11"/>
      <c r="T19" s="11"/>
      <c r="U19" s="11"/>
      <c r="V19" s="11"/>
      <c r="W19" s="12"/>
      <c r="X19" s="49" t="s">
        <v>288</v>
      </c>
      <c r="Y19" s="11"/>
      <c r="Z19" s="11"/>
      <c r="AA19" s="11"/>
      <c r="AB19" s="11"/>
      <c r="AC19" s="11"/>
      <c r="AD19" s="12"/>
      <c r="AE19" s="48" t="s">
        <v>268</v>
      </c>
      <c r="AF19" s="12"/>
      <c r="AG19" s="48"/>
      <c r="AH19" s="11"/>
      <c r="AI19" s="12"/>
      <c r="AJ19" s="48"/>
      <c r="AK19" s="11"/>
      <c r="AL19" s="12"/>
      <c r="AM19" s="48"/>
      <c r="AN19" s="11"/>
      <c r="AO19" s="12"/>
      <c r="AP19" s="48"/>
      <c r="AQ19" s="11"/>
      <c r="AR19" s="12"/>
      <c r="AS19" s="48"/>
      <c r="AT19" s="11"/>
      <c r="AU19" s="12"/>
      <c r="AV19" s="48"/>
      <c r="AW19" s="11"/>
      <c r="AX19" s="12"/>
      <c r="AY19" s="48"/>
      <c r="AZ19" s="11"/>
      <c r="BA19" s="12"/>
      <c r="BB19" s="48"/>
      <c r="BC19" s="11"/>
      <c r="BD19" s="12"/>
      <c r="BE19" s="48"/>
      <c r="BF19" s="11"/>
      <c r="BG19" s="12"/>
      <c r="BH19" s="48"/>
      <c r="BI19" s="11"/>
      <c r="BJ19" s="12"/>
      <c r="BK19" s="49"/>
      <c r="BL19" s="11"/>
      <c r="BM19" s="11"/>
      <c r="BN19" s="11"/>
      <c r="BO19" s="11"/>
      <c r="BP19" s="11"/>
      <c r="BQ19" s="12"/>
    </row>
    <row r="20" ht="144.0" customHeight="1">
      <c r="A20" s="58">
        <v>8.0</v>
      </c>
      <c r="B20" s="59" t="s">
        <v>289</v>
      </c>
      <c r="C20" s="11"/>
      <c r="D20" s="12"/>
      <c r="E20" s="59" t="s">
        <v>290</v>
      </c>
      <c r="F20" s="11"/>
      <c r="G20" s="11"/>
      <c r="H20" s="11"/>
      <c r="I20" s="12"/>
      <c r="J20" s="59" t="s">
        <v>291</v>
      </c>
      <c r="K20" s="11"/>
      <c r="L20" s="11"/>
      <c r="M20" s="11"/>
      <c r="N20" s="11"/>
      <c r="O20" s="11"/>
      <c r="P20" s="12"/>
      <c r="Q20" s="59" t="s">
        <v>292</v>
      </c>
      <c r="R20" s="11"/>
      <c r="S20" s="11"/>
      <c r="T20" s="11"/>
      <c r="U20" s="11"/>
      <c r="V20" s="11"/>
      <c r="W20" s="12"/>
      <c r="X20" s="59" t="s">
        <v>293</v>
      </c>
      <c r="Y20" s="11"/>
      <c r="Z20" s="11"/>
      <c r="AA20" s="11"/>
      <c r="AB20" s="11"/>
      <c r="AC20" s="11"/>
      <c r="AD20" s="12"/>
      <c r="AE20" s="60" t="s">
        <v>201</v>
      </c>
      <c r="AF20" s="12"/>
      <c r="AG20" s="61" t="s">
        <v>54</v>
      </c>
      <c r="AH20" s="11"/>
      <c r="AI20" s="12"/>
      <c r="AJ20" s="48"/>
      <c r="AK20" s="11"/>
      <c r="AL20" s="12"/>
      <c r="AM20" s="48"/>
      <c r="AN20" s="11"/>
      <c r="AO20" s="12"/>
      <c r="AP20" s="48"/>
      <c r="AQ20" s="11"/>
      <c r="AR20" s="12"/>
      <c r="AS20" s="48"/>
      <c r="AT20" s="11"/>
      <c r="AU20" s="12"/>
      <c r="AV20" s="48"/>
      <c r="AW20" s="11"/>
      <c r="AX20" s="12"/>
      <c r="AY20" s="48"/>
      <c r="AZ20" s="11"/>
      <c r="BA20" s="12"/>
      <c r="BB20" s="48"/>
      <c r="BC20" s="11"/>
      <c r="BD20" s="12"/>
      <c r="BE20" s="48"/>
      <c r="BF20" s="11"/>
      <c r="BG20" s="12"/>
      <c r="BH20" s="48"/>
      <c r="BI20" s="11"/>
      <c r="BJ20" s="12"/>
      <c r="BK20" s="62" t="s">
        <v>294</v>
      </c>
      <c r="BL20" s="11"/>
      <c r="BM20" s="11"/>
      <c r="BN20" s="11"/>
      <c r="BO20" s="11"/>
      <c r="BP20" s="11"/>
      <c r="BQ20" s="12"/>
    </row>
    <row r="21" ht="22.5" customHeight="1">
      <c r="A21" s="35" t="s">
        <v>295</v>
      </c>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2"/>
    </row>
    <row r="22" ht="144.0" customHeight="1">
      <c r="A22" s="47">
        <v>9.0</v>
      </c>
      <c r="B22" s="49" t="s">
        <v>296</v>
      </c>
      <c r="C22" s="11"/>
      <c r="D22" s="12"/>
      <c r="E22" s="49" t="s">
        <v>297</v>
      </c>
      <c r="F22" s="11"/>
      <c r="G22" s="11"/>
      <c r="H22" s="11"/>
      <c r="I22" s="12"/>
      <c r="J22" s="49" t="s">
        <v>298</v>
      </c>
      <c r="K22" s="11"/>
      <c r="L22" s="11"/>
      <c r="M22" s="11"/>
      <c r="N22" s="11"/>
      <c r="O22" s="11"/>
      <c r="P22" s="12"/>
      <c r="Q22" s="49" t="s">
        <v>299</v>
      </c>
      <c r="R22" s="11"/>
      <c r="S22" s="11"/>
      <c r="T22" s="11"/>
      <c r="U22" s="11"/>
      <c r="V22" s="11"/>
      <c r="W22" s="12"/>
      <c r="X22" s="49" t="s">
        <v>300</v>
      </c>
      <c r="Y22" s="11"/>
      <c r="Z22" s="11"/>
      <c r="AA22" s="11"/>
      <c r="AB22" s="11"/>
      <c r="AC22" s="11"/>
      <c r="AD22" s="12"/>
      <c r="AE22" s="48" t="s">
        <v>268</v>
      </c>
      <c r="AF22" s="12"/>
      <c r="AG22" s="48"/>
      <c r="AH22" s="11"/>
      <c r="AI22" s="12"/>
      <c r="AJ22" s="48"/>
      <c r="AK22" s="11"/>
      <c r="AL22" s="12"/>
      <c r="AM22" s="48"/>
      <c r="AN22" s="11"/>
      <c r="AO22" s="12"/>
      <c r="AP22" s="48"/>
      <c r="AQ22" s="11"/>
      <c r="AR22" s="12"/>
      <c r="AS22" s="48"/>
      <c r="AT22" s="11"/>
      <c r="AU22" s="12"/>
      <c r="AV22" s="48"/>
      <c r="AW22" s="11"/>
      <c r="AX22" s="12"/>
      <c r="AY22" s="48"/>
      <c r="AZ22" s="11"/>
      <c r="BA22" s="12"/>
      <c r="BB22" s="48"/>
      <c r="BC22" s="11"/>
      <c r="BD22" s="12"/>
      <c r="BE22" s="48"/>
      <c r="BF22" s="11"/>
      <c r="BG22" s="12"/>
      <c r="BH22" s="48"/>
      <c r="BI22" s="11"/>
      <c r="BJ22" s="12"/>
      <c r="BK22" s="49"/>
      <c r="BL22" s="11"/>
      <c r="BM22" s="11"/>
      <c r="BN22" s="11"/>
      <c r="BO22" s="11"/>
      <c r="BP22" s="11"/>
      <c r="BQ22" s="12"/>
    </row>
    <row r="23" ht="144.0" customHeight="1">
      <c r="A23" s="47">
        <v>10.0</v>
      </c>
      <c r="B23" s="49" t="s">
        <v>301</v>
      </c>
      <c r="C23" s="11"/>
      <c r="D23" s="12"/>
      <c r="E23" s="49" t="s">
        <v>302</v>
      </c>
      <c r="F23" s="11"/>
      <c r="G23" s="11"/>
      <c r="H23" s="11"/>
      <c r="I23" s="12"/>
      <c r="J23" s="49" t="s">
        <v>298</v>
      </c>
      <c r="K23" s="11"/>
      <c r="L23" s="11"/>
      <c r="M23" s="11"/>
      <c r="N23" s="11"/>
      <c r="O23" s="11"/>
      <c r="P23" s="12"/>
      <c r="Q23" s="49" t="s">
        <v>303</v>
      </c>
      <c r="R23" s="11"/>
      <c r="S23" s="11"/>
      <c r="T23" s="11"/>
      <c r="U23" s="11"/>
      <c r="V23" s="11"/>
      <c r="W23" s="12"/>
      <c r="X23" s="49" t="s">
        <v>304</v>
      </c>
      <c r="Y23" s="11"/>
      <c r="Z23" s="11"/>
      <c r="AA23" s="11"/>
      <c r="AB23" s="11"/>
      <c r="AC23" s="11"/>
      <c r="AD23" s="12"/>
      <c r="AE23" s="48" t="s">
        <v>268</v>
      </c>
      <c r="AF23" s="12"/>
      <c r="AG23" s="48"/>
      <c r="AH23" s="11"/>
      <c r="AI23" s="12"/>
      <c r="AJ23" s="48"/>
      <c r="AK23" s="11"/>
      <c r="AL23" s="12"/>
      <c r="AM23" s="48"/>
      <c r="AN23" s="11"/>
      <c r="AO23" s="12"/>
      <c r="AP23" s="48"/>
      <c r="AQ23" s="11"/>
      <c r="AR23" s="12"/>
      <c r="AS23" s="48"/>
      <c r="AT23" s="11"/>
      <c r="AU23" s="12"/>
      <c r="AV23" s="48"/>
      <c r="AW23" s="11"/>
      <c r="AX23" s="12"/>
      <c r="AY23" s="48"/>
      <c r="AZ23" s="11"/>
      <c r="BA23" s="12"/>
      <c r="BB23" s="48"/>
      <c r="BC23" s="11"/>
      <c r="BD23" s="12"/>
      <c r="BE23" s="48"/>
      <c r="BF23" s="11"/>
      <c r="BG23" s="12"/>
      <c r="BH23" s="48"/>
      <c r="BI23" s="11"/>
      <c r="BJ23" s="12"/>
      <c r="BK23" s="49"/>
      <c r="BL23" s="11"/>
      <c r="BM23" s="11"/>
      <c r="BN23" s="11"/>
      <c r="BO23" s="11"/>
      <c r="BP23" s="11"/>
      <c r="BQ23" s="12"/>
    </row>
    <row r="24" ht="111.75" customHeight="1">
      <c r="A24" s="58">
        <v>11.0</v>
      </c>
      <c r="B24" s="59" t="s">
        <v>305</v>
      </c>
      <c r="C24" s="11"/>
      <c r="D24" s="12"/>
      <c r="E24" s="59" t="s">
        <v>306</v>
      </c>
      <c r="F24" s="11"/>
      <c r="G24" s="11"/>
      <c r="H24" s="11"/>
      <c r="I24" s="12"/>
      <c r="J24" s="59" t="s">
        <v>298</v>
      </c>
      <c r="K24" s="11"/>
      <c r="L24" s="11"/>
      <c r="M24" s="11"/>
      <c r="N24" s="11"/>
      <c r="O24" s="11"/>
      <c r="P24" s="12"/>
      <c r="Q24" s="59" t="s">
        <v>307</v>
      </c>
      <c r="R24" s="11"/>
      <c r="S24" s="11"/>
      <c r="T24" s="11"/>
      <c r="U24" s="11"/>
      <c r="V24" s="11"/>
      <c r="W24" s="12"/>
      <c r="X24" s="59" t="s">
        <v>308</v>
      </c>
      <c r="Y24" s="11"/>
      <c r="Z24" s="11"/>
      <c r="AA24" s="11"/>
      <c r="AB24" s="11"/>
      <c r="AC24" s="11"/>
      <c r="AD24" s="12"/>
      <c r="AE24" s="60" t="s">
        <v>268</v>
      </c>
      <c r="AF24" s="12"/>
      <c r="AG24" s="61" t="s">
        <v>54</v>
      </c>
      <c r="AH24" s="11"/>
      <c r="AI24" s="12"/>
      <c r="AJ24" s="48"/>
      <c r="AK24" s="11"/>
      <c r="AL24" s="12"/>
      <c r="AM24" s="48"/>
      <c r="AN24" s="11"/>
      <c r="AO24" s="12"/>
      <c r="AP24" s="48"/>
      <c r="AQ24" s="11"/>
      <c r="AR24" s="12"/>
      <c r="AS24" s="48"/>
      <c r="AT24" s="11"/>
      <c r="AU24" s="12"/>
      <c r="AV24" s="48"/>
      <c r="AW24" s="11"/>
      <c r="AX24" s="12"/>
      <c r="AY24" s="48"/>
      <c r="AZ24" s="11"/>
      <c r="BA24" s="12"/>
      <c r="BB24" s="48"/>
      <c r="BC24" s="11"/>
      <c r="BD24" s="12"/>
      <c r="BE24" s="48"/>
      <c r="BF24" s="11"/>
      <c r="BG24" s="12"/>
      <c r="BH24" s="48"/>
      <c r="BI24" s="11"/>
      <c r="BJ24" s="12"/>
      <c r="BK24" s="62" t="s">
        <v>309</v>
      </c>
      <c r="BL24" s="11"/>
      <c r="BM24" s="11"/>
      <c r="BN24" s="11"/>
      <c r="BO24" s="11"/>
      <c r="BP24" s="11"/>
      <c r="BQ24" s="12"/>
    </row>
    <row r="25" ht="207.75" customHeight="1">
      <c r="A25" s="47">
        <v>12.0</v>
      </c>
      <c r="B25" s="49" t="s">
        <v>310</v>
      </c>
      <c r="C25" s="11"/>
      <c r="D25" s="12"/>
      <c r="E25" s="49" t="s">
        <v>311</v>
      </c>
      <c r="F25" s="11"/>
      <c r="G25" s="11"/>
      <c r="H25" s="11"/>
      <c r="I25" s="12"/>
      <c r="J25" s="49" t="s">
        <v>312</v>
      </c>
      <c r="K25" s="11"/>
      <c r="L25" s="11"/>
      <c r="M25" s="11"/>
      <c r="N25" s="11"/>
      <c r="O25" s="11"/>
      <c r="P25" s="12"/>
      <c r="Q25" s="49" t="s">
        <v>313</v>
      </c>
      <c r="R25" s="11"/>
      <c r="S25" s="11"/>
      <c r="T25" s="11"/>
      <c r="U25" s="11"/>
      <c r="V25" s="11"/>
      <c r="W25" s="12"/>
      <c r="X25" s="49" t="s">
        <v>314</v>
      </c>
      <c r="Y25" s="11"/>
      <c r="Z25" s="11"/>
      <c r="AA25" s="11"/>
      <c r="AB25" s="11"/>
      <c r="AC25" s="11"/>
      <c r="AD25" s="12"/>
      <c r="AE25" s="48" t="s">
        <v>268</v>
      </c>
      <c r="AF25" s="12"/>
      <c r="AG25" s="48"/>
      <c r="AH25" s="11"/>
      <c r="AI25" s="12"/>
      <c r="AJ25" s="48"/>
      <c r="AK25" s="11"/>
      <c r="AL25" s="12"/>
      <c r="AM25" s="48"/>
      <c r="AN25" s="11"/>
      <c r="AO25" s="12"/>
      <c r="AP25" s="48"/>
      <c r="AQ25" s="11"/>
      <c r="AR25" s="12"/>
      <c r="AS25" s="48"/>
      <c r="AT25" s="11"/>
      <c r="AU25" s="12"/>
      <c r="AV25" s="48"/>
      <c r="AW25" s="11"/>
      <c r="AX25" s="12"/>
      <c r="AY25" s="48"/>
      <c r="AZ25" s="11"/>
      <c r="BA25" s="12"/>
      <c r="BB25" s="48"/>
      <c r="BC25" s="11"/>
      <c r="BD25" s="12"/>
      <c r="BE25" s="48"/>
      <c r="BF25" s="11"/>
      <c r="BG25" s="12"/>
      <c r="BH25" s="48"/>
      <c r="BI25" s="11"/>
      <c r="BJ25" s="12"/>
      <c r="BK25" s="49"/>
      <c r="BL25" s="11"/>
      <c r="BM25" s="11"/>
      <c r="BN25" s="11"/>
      <c r="BO25" s="11"/>
      <c r="BP25" s="11"/>
      <c r="BQ25" s="12"/>
    </row>
    <row r="26" ht="111.75" customHeight="1">
      <c r="A26" s="47">
        <v>13.0</v>
      </c>
      <c r="B26" s="49" t="s">
        <v>315</v>
      </c>
      <c r="C26" s="11"/>
      <c r="D26" s="12"/>
      <c r="E26" s="49" t="s">
        <v>316</v>
      </c>
      <c r="F26" s="11"/>
      <c r="G26" s="11"/>
      <c r="H26" s="11"/>
      <c r="I26" s="12"/>
      <c r="J26" s="49" t="s">
        <v>298</v>
      </c>
      <c r="K26" s="11"/>
      <c r="L26" s="11"/>
      <c r="M26" s="11"/>
      <c r="N26" s="11"/>
      <c r="O26" s="11"/>
      <c r="P26" s="12"/>
      <c r="Q26" s="49" t="s">
        <v>317</v>
      </c>
      <c r="R26" s="11"/>
      <c r="S26" s="11"/>
      <c r="T26" s="11"/>
      <c r="U26" s="11"/>
      <c r="V26" s="11"/>
      <c r="W26" s="12"/>
      <c r="X26" s="49" t="s">
        <v>318</v>
      </c>
      <c r="Y26" s="11"/>
      <c r="Z26" s="11"/>
      <c r="AA26" s="11"/>
      <c r="AB26" s="11"/>
      <c r="AC26" s="11"/>
      <c r="AD26" s="12"/>
      <c r="AE26" s="48" t="s">
        <v>268</v>
      </c>
      <c r="AF26" s="12"/>
      <c r="AG26" s="48"/>
      <c r="AH26" s="11"/>
      <c r="AI26" s="12"/>
      <c r="AJ26" s="48"/>
      <c r="AK26" s="11"/>
      <c r="AL26" s="12"/>
      <c r="AM26" s="48"/>
      <c r="AN26" s="11"/>
      <c r="AO26" s="12"/>
      <c r="AP26" s="48"/>
      <c r="AQ26" s="11"/>
      <c r="AR26" s="12"/>
      <c r="AS26" s="48"/>
      <c r="AT26" s="11"/>
      <c r="AU26" s="12"/>
      <c r="AV26" s="48"/>
      <c r="AW26" s="11"/>
      <c r="AX26" s="12"/>
      <c r="AY26" s="48"/>
      <c r="AZ26" s="11"/>
      <c r="BA26" s="12"/>
      <c r="BB26" s="48"/>
      <c r="BC26" s="11"/>
      <c r="BD26" s="12"/>
      <c r="BE26" s="48"/>
      <c r="BF26" s="11"/>
      <c r="BG26" s="12"/>
      <c r="BH26" s="48"/>
      <c r="BI26" s="11"/>
      <c r="BJ26" s="12"/>
      <c r="BK26" s="49"/>
      <c r="BL26" s="11"/>
      <c r="BM26" s="11"/>
      <c r="BN26" s="11"/>
      <c r="BO26" s="11"/>
      <c r="BP26" s="11"/>
      <c r="BQ26" s="12"/>
    </row>
    <row r="27" ht="144.0" customHeight="1">
      <c r="A27" s="47">
        <v>14.0</v>
      </c>
      <c r="B27" s="49" t="s">
        <v>319</v>
      </c>
      <c r="C27" s="11"/>
      <c r="D27" s="12"/>
      <c r="E27" s="49" t="s">
        <v>320</v>
      </c>
      <c r="F27" s="11"/>
      <c r="G27" s="11"/>
      <c r="H27" s="11"/>
      <c r="I27" s="12"/>
      <c r="J27" s="49" t="s">
        <v>298</v>
      </c>
      <c r="K27" s="11"/>
      <c r="L27" s="11"/>
      <c r="M27" s="11"/>
      <c r="N27" s="11"/>
      <c r="O27" s="11"/>
      <c r="P27" s="12"/>
      <c r="Q27" s="49" t="s">
        <v>321</v>
      </c>
      <c r="R27" s="11"/>
      <c r="S27" s="11"/>
      <c r="T27" s="11"/>
      <c r="U27" s="11"/>
      <c r="V27" s="11"/>
      <c r="W27" s="12"/>
      <c r="X27" s="49" t="s">
        <v>322</v>
      </c>
      <c r="Y27" s="11"/>
      <c r="Z27" s="11"/>
      <c r="AA27" s="11"/>
      <c r="AB27" s="11"/>
      <c r="AC27" s="11"/>
      <c r="AD27" s="12"/>
      <c r="AE27" s="48" t="s">
        <v>268</v>
      </c>
      <c r="AF27" s="12"/>
      <c r="AG27" s="48"/>
      <c r="AH27" s="11"/>
      <c r="AI27" s="12"/>
      <c r="AJ27" s="48"/>
      <c r="AK27" s="11"/>
      <c r="AL27" s="12"/>
      <c r="AM27" s="48"/>
      <c r="AN27" s="11"/>
      <c r="AO27" s="12"/>
      <c r="AP27" s="48"/>
      <c r="AQ27" s="11"/>
      <c r="AR27" s="12"/>
      <c r="AS27" s="48"/>
      <c r="AT27" s="11"/>
      <c r="AU27" s="12"/>
      <c r="AV27" s="48"/>
      <c r="AW27" s="11"/>
      <c r="AX27" s="12"/>
      <c r="AY27" s="48"/>
      <c r="AZ27" s="11"/>
      <c r="BA27" s="12"/>
      <c r="BB27" s="48"/>
      <c r="BC27" s="11"/>
      <c r="BD27" s="12"/>
      <c r="BE27" s="48"/>
      <c r="BF27" s="11"/>
      <c r="BG27" s="12"/>
      <c r="BH27" s="48"/>
      <c r="BI27" s="11"/>
      <c r="BJ27" s="12"/>
      <c r="BK27" s="49" t="s">
        <v>323</v>
      </c>
      <c r="BL27" s="11"/>
      <c r="BM27" s="11"/>
      <c r="BN27" s="11"/>
      <c r="BO27" s="11"/>
      <c r="BP27" s="11"/>
      <c r="BQ27" s="12"/>
    </row>
    <row r="28" ht="22.5" customHeight="1">
      <c r="A28" s="35" t="s">
        <v>324</v>
      </c>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2"/>
    </row>
    <row r="29" ht="96.0" customHeight="1">
      <c r="A29" s="47">
        <v>15.0</v>
      </c>
      <c r="B29" s="49" t="s">
        <v>325</v>
      </c>
      <c r="C29" s="11"/>
      <c r="D29" s="12"/>
      <c r="E29" s="49" t="s">
        <v>326</v>
      </c>
      <c r="F29" s="11"/>
      <c r="G29" s="11"/>
      <c r="H29" s="11"/>
      <c r="I29" s="12"/>
      <c r="J29" s="49" t="s">
        <v>298</v>
      </c>
      <c r="K29" s="11"/>
      <c r="L29" s="11"/>
      <c r="M29" s="11"/>
      <c r="N29" s="11"/>
      <c r="O29" s="11"/>
      <c r="P29" s="12"/>
      <c r="Q29" s="49" t="s">
        <v>327</v>
      </c>
      <c r="R29" s="11"/>
      <c r="S29" s="11"/>
      <c r="T29" s="11"/>
      <c r="U29" s="11"/>
      <c r="V29" s="11"/>
      <c r="W29" s="12"/>
      <c r="X29" s="49" t="s">
        <v>328</v>
      </c>
      <c r="Y29" s="11"/>
      <c r="Z29" s="11"/>
      <c r="AA29" s="11"/>
      <c r="AB29" s="11"/>
      <c r="AC29" s="11"/>
      <c r="AD29" s="12"/>
      <c r="AE29" s="48" t="s">
        <v>201</v>
      </c>
      <c r="AF29" s="12"/>
      <c r="AG29" s="48"/>
      <c r="AH29" s="11"/>
      <c r="AI29" s="12"/>
      <c r="AJ29" s="48"/>
      <c r="AK29" s="11"/>
      <c r="AL29" s="12"/>
      <c r="AM29" s="48"/>
      <c r="AN29" s="11"/>
      <c r="AO29" s="12"/>
      <c r="AP29" s="48"/>
      <c r="AQ29" s="11"/>
      <c r="AR29" s="12"/>
      <c r="AS29" s="48"/>
      <c r="AT29" s="11"/>
      <c r="AU29" s="12"/>
      <c r="AV29" s="48"/>
      <c r="AW29" s="11"/>
      <c r="AX29" s="12"/>
      <c r="AY29" s="48"/>
      <c r="AZ29" s="11"/>
      <c r="BA29" s="12"/>
      <c r="BB29" s="48"/>
      <c r="BC29" s="11"/>
      <c r="BD29" s="12"/>
      <c r="BE29" s="48"/>
      <c r="BF29" s="11"/>
      <c r="BG29" s="12"/>
      <c r="BH29" s="48"/>
      <c r="BI29" s="11"/>
      <c r="BJ29" s="12"/>
      <c r="BK29" s="49"/>
      <c r="BL29" s="11"/>
      <c r="BM29" s="11"/>
      <c r="BN29" s="11"/>
      <c r="BO29" s="11"/>
      <c r="BP29" s="11"/>
      <c r="BQ29" s="12"/>
    </row>
    <row r="30" ht="207.75" customHeight="1">
      <c r="A30" s="47">
        <v>16.0</v>
      </c>
      <c r="B30" s="49" t="s">
        <v>329</v>
      </c>
      <c r="C30" s="11"/>
      <c r="D30" s="12"/>
      <c r="E30" s="49" t="s">
        <v>330</v>
      </c>
      <c r="F30" s="11"/>
      <c r="G30" s="11"/>
      <c r="H30" s="11"/>
      <c r="I30" s="12"/>
      <c r="J30" s="49" t="s">
        <v>298</v>
      </c>
      <c r="K30" s="11"/>
      <c r="L30" s="11"/>
      <c r="M30" s="11"/>
      <c r="N30" s="11"/>
      <c r="O30" s="11"/>
      <c r="P30" s="12"/>
      <c r="Q30" s="49" t="s">
        <v>331</v>
      </c>
      <c r="R30" s="11"/>
      <c r="S30" s="11"/>
      <c r="T30" s="11"/>
      <c r="U30" s="11"/>
      <c r="V30" s="11"/>
      <c r="W30" s="12"/>
      <c r="X30" s="49" t="s">
        <v>332</v>
      </c>
      <c r="Y30" s="11"/>
      <c r="Z30" s="11"/>
      <c r="AA30" s="11"/>
      <c r="AB30" s="11"/>
      <c r="AC30" s="11"/>
      <c r="AD30" s="12"/>
      <c r="AE30" s="48" t="s">
        <v>201</v>
      </c>
      <c r="AF30" s="12"/>
      <c r="AG30" s="48"/>
      <c r="AH30" s="11"/>
      <c r="AI30" s="12"/>
      <c r="AJ30" s="48"/>
      <c r="AK30" s="11"/>
      <c r="AL30" s="12"/>
      <c r="AM30" s="48"/>
      <c r="AN30" s="11"/>
      <c r="AO30" s="12"/>
      <c r="AP30" s="48"/>
      <c r="AQ30" s="11"/>
      <c r="AR30" s="12"/>
      <c r="AS30" s="48"/>
      <c r="AT30" s="11"/>
      <c r="AU30" s="12"/>
      <c r="AV30" s="48"/>
      <c r="AW30" s="11"/>
      <c r="AX30" s="12"/>
      <c r="AY30" s="48"/>
      <c r="AZ30" s="11"/>
      <c r="BA30" s="12"/>
      <c r="BB30" s="48"/>
      <c r="BC30" s="11"/>
      <c r="BD30" s="12"/>
      <c r="BE30" s="48"/>
      <c r="BF30" s="11"/>
      <c r="BG30" s="12"/>
      <c r="BH30" s="48"/>
      <c r="BI30" s="11"/>
      <c r="BJ30" s="12"/>
      <c r="BK30" s="49"/>
      <c r="BL30" s="11"/>
      <c r="BM30" s="11"/>
      <c r="BN30" s="11"/>
      <c r="BO30" s="11"/>
      <c r="BP30" s="11"/>
      <c r="BQ30" s="12"/>
    </row>
    <row r="31" ht="271.5" customHeight="1">
      <c r="A31" s="47">
        <v>17.0</v>
      </c>
      <c r="B31" s="49" t="s">
        <v>333</v>
      </c>
      <c r="C31" s="11"/>
      <c r="D31" s="12"/>
      <c r="E31" s="49" t="s">
        <v>334</v>
      </c>
      <c r="F31" s="11"/>
      <c r="G31" s="11"/>
      <c r="H31" s="11"/>
      <c r="I31" s="12"/>
      <c r="J31" s="49" t="s">
        <v>298</v>
      </c>
      <c r="K31" s="11"/>
      <c r="L31" s="11"/>
      <c r="M31" s="11"/>
      <c r="N31" s="11"/>
      <c r="O31" s="11"/>
      <c r="P31" s="12"/>
      <c r="Q31" s="49" t="s">
        <v>335</v>
      </c>
      <c r="R31" s="11"/>
      <c r="S31" s="11"/>
      <c r="T31" s="11"/>
      <c r="U31" s="11"/>
      <c r="V31" s="11"/>
      <c r="W31" s="12"/>
      <c r="X31" s="49" t="s">
        <v>336</v>
      </c>
      <c r="Y31" s="11"/>
      <c r="Z31" s="11"/>
      <c r="AA31" s="11"/>
      <c r="AB31" s="11"/>
      <c r="AC31" s="11"/>
      <c r="AD31" s="12"/>
      <c r="AE31" s="48" t="s">
        <v>205</v>
      </c>
      <c r="AF31" s="12"/>
      <c r="AG31" s="48"/>
      <c r="AH31" s="11"/>
      <c r="AI31" s="12"/>
      <c r="AJ31" s="48"/>
      <c r="AK31" s="11"/>
      <c r="AL31" s="12"/>
      <c r="AM31" s="48"/>
      <c r="AN31" s="11"/>
      <c r="AO31" s="12"/>
      <c r="AP31" s="48"/>
      <c r="AQ31" s="11"/>
      <c r="AR31" s="12"/>
      <c r="AS31" s="48"/>
      <c r="AT31" s="11"/>
      <c r="AU31" s="12"/>
      <c r="AV31" s="48"/>
      <c r="AW31" s="11"/>
      <c r="AX31" s="12"/>
      <c r="AY31" s="48"/>
      <c r="AZ31" s="11"/>
      <c r="BA31" s="12"/>
      <c r="BB31" s="48"/>
      <c r="BC31" s="11"/>
      <c r="BD31" s="12"/>
      <c r="BE31" s="48"/>
      <c r="BF31" s="11"/>
      <c r="BG31" s="12"/>
      <c r="BH31" s="48"/>
      <c r="BI31" s="11"/>
      <c r="BJ31" s="12"/>
      <c r="BK31" s="49"/>
      <c r="BL31" s="11"/>
      <c r="BM31" s="11"/>
      <c r="BN31" s="11"/>
      <c r="BO31" s="11"/>
      <c r="BP31" s="11"/>
      <c r="BQ31" s="12"/>
    </row>
    <row r="32" ht="127.5" customHeight="1">
      <c r="A32" s="58">
        <v>18.0</v>
      </c>
      <c r="B32" s="59" t="s">
        <v>337</v>
      </c>
      <c r="C32" s="11"/>
      <c r="D32" s="12"/>
      <c r="E32" s="59" t="s">
        <v>338</v>
      </c>
      <c r="F32" s="11"/>
      <c r="G32" s="11"/>
      <c r="H32" s="11"/>
      <c r="I32" s="12"/>
      <c r="J32" s="59" t="s">
        <v>298</v>
      </c>
      <c r="K32" s="11"/>
      <c r="L32" s="11"/>
      <c r="M32" s="11"/>
      <c r="N32" s="11"/>
      <c r="O32" s="11"/>
      <c r="P32" s="12"/>
      <c r="Q32" s="59" t="s">
        <v>339</v>
      </c>
      <c r="R32" s="11"/>
      <c r="S32" s="11"/>
      <c r="T32" s="11"/>
      <c r="U32" s="11"/>
      <c r="V32" s="11"/>
      <c r="W32" s="12"/>
      <c r="X32" s="59" t="s">
        <v>340</v>
      </c>
      <c r="Y32" s="11"/>
      <c r="Z32" s="11"/>
      <c r="AA32" s="11"/>
      <c r="AB32" s="11"/>
      <c r="AC32" s="11"/>
      <c r="AD32" s="12"/>
      <c r="AE32" s="60" t="s">
        <v>201</v>
      </c>
      <c r="AF32" s="12"/>
      <c r="AG32" s="63" t="s">
        <v>54</v>
      </c>
      <c r="AH32" s="11"/>
      <c r="AI32" s="12"/>
      <c r="AJ32" s="48"/>
      <c r="AK32" s="11"/>
      <c r="AL32" s="12"/>
      <c r="AM32" s="48"/>
      <c r="AN32" s="11"/>
      <c r="AO32" s="12"/>
      <c r="AP32" s="48"/>
      <c r="AQ32" s="11"/>
      <c r="AR32" s="12"/>
      <c r="AS32" s="48"/>
      <c r="AT32" s="11"/>
      <c r="AU32" s="12"/>
      <c r="AV32" s="48"/>
      <c r="AW32" s="11"/>
      <c r="AX32" s="12"/>
      <c r="AY32" s="48"/>
      <c r="AZ32" s="11"/>
      <c r="BA32" s="12"/>
      <c r="BB32" s="48"/>
      <c r="BC32" s="11"/>
      <c r="BD32" s="12"/>
      <c r="BE32" s="48"/>
      <c r="BF32" s="11"/>
      <c r="BG32" s="12"/>
      <c r="BH32" s="48"/>
      <c r="BI32" s="11"/>
      <c r="BJ32" s="12"/>
      <c r="BK32" s="62" t="s">
        <v>309</v>
      </c>
      <c r="BL32" s="11"/>
      <c r="BM32" s="11"/>
      <c r="BN32" s="11"/>
      <c r="BO32" s="11"/>
      <c r="BP32" s="11"/>
      <c r="BQ32" s="12"/>
    </row>
    <row r="33" ht="127.5" customHeight="1">
      <c r="A33" s="47">
        <v>19.0</v>
      </c>
      <c r="B33" s="49" t="s">
        <v>341</v>
      </c>
      <c r="C33" s="11"/>
      <c r="D33" s="12"/>
      <c r="E33" s="49" t="s">
        <v>342</v>
      </c>
      <c r="F33" s="11"/>
      <c r="G33" s="11"/>
      <c r="H33" s="11"/>
      <c r="I33" s="12"/>
      <c r="J33" s="49" t="s">
        <v>298</v>
      </c>
      <c r="K33" s="11"/>
      <c r="L33" s="11"/>
      <c r="M33" s="11"/>
      <c r="N33" s="11"/>
      <c r="O33" s="11"/>
      <c r="P33" s="12"/>
      <c r="Q33" s="49" t="s">
        <v>343</v>
      </c>
      <c r="R33" s="11"/>
      <c r="S33" s="11"/>
      <c r="T33" s="11"/>
      <c r="U33" s="11"/>
      <c r="V33" s="11"/>
      <c r="W33" s="12"/>
      <c r="X33" s="49" t="s">
        <v>344</v>
      </c>
      <c r="Y33" s="11"/>
      <c r="Z33" s="11"/>
      <c r="AA33" s="11"/>
      <c r="AB33" s="11"/>
      <c r="AC33" s="11"/>
      <c r="AD33" s="12"/>
      <c r="AE33" s="48" t="s">
        <v>268</v>
      </c>
      <c r="AF33" s="12"/>
      <c r="AG33" s="48"/>
      <c r="AH33" s="11"/>
      <c r="AI33" s="12"/>
      <c r="AJ33" s="48"/>
      <c r="AK33" s="11"/>
      <c r="AL33" s="12"/>
      <c r="AM33" s="48"/>
      <c r="AN33" s="11"/>
      <c r="AO33" s="12"/>
      <c r="AP33" s="48"/>
      <c r="AQ33" s="11"/>
      <c r="AR33" s="12"/>
      <c r="AS33" s="48"/>
      <c r="AT33" s="11"/>
      <c r="AU33" s="12"/>
      <c r="AV33" s="48"/>
      <c r="AW33" s="11"/>
      <c r="AX33" s="12"/>
      <c r="AY33" s="48"/>
      <c r="AZ33" s="11"/>
      <c r="BA33" s="12"/>
      <c r="BB33" s="48"/>
      <c r="BC33" s="11"/>
      <c r="BD33" s="12"/>
      <c r="BE33" s="48"/>
      <c r="BF33" s="11"/>
      <c r="BG33" s="12"/>
      <c r="BH33" s="48"/>
      <c r="BI33" s="11"/>
      <c r="BJ33" s="12"/>
      <c r="BK33" s="49" t="s">
        <v>323</v>
      </c>
      <c r="BL33" s="11"/>
      <c r="BM33" s="11"/>
      <c r="BN33" s="11"/>
      <c r="BO33" s="11"/>
      <c r="BP33" s="11"/>
      <c r="BQ33" s="12"/>
    </row>
    <row r="34" ht="22.5" customHeight="1">
      <c r="A34" s="35" t="s">
        <v>345</v>
      </c>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2"/>
    </row>
    <row r="35" ht="79.5" customHeight="1">
      <c r="A35" s="47">
        <v>20.0</v>
      </c>
      <c r="B35" s="49" t="s">
        <v>346</v>
      </c>
      <c r="C35" s="11"/>
      <c r="D35" s="12"/>
      <c r="E35" s="49" t="s">
        <v>347</v>
      </c>
      <c r="F35" s="11"/>
      <c r="G35" s="11"/>
      <c r="H35" s="11"/>
      <c r="I35" s="12"/>
      <c r="J35" s="49" t="s">
        <v>348</v>
      </c>
      <c r="K35" s="11"/>
      <c r="L35" s="11"/>
      <c r="M35" s="11"/>
      <c r="N35" s="11"/>
      <c r="O35" s="11"/>
      <c r="P35" s="12"/>
      <c r="Q35" s="49" t="s">
        <v>349</v>
      </c>
      <c r="R35" s="11"/>
      <c r="S35" s="11"/>
      <c r="T35" s="11"/>
      <c r="U35" s="11"/>
      <c r="V35" s="11"/>
      <c r="W35" s="12"/>
      <c r="X35" s="49" t="s">
        <v>350</v>
      </c>
      <c r="Y35" s="11"/>
      <c r="Z35" s="11"/>
      <c r="AA35" s="11"/>
      <c r="AB35" s="11"/>
      <c r="AC35" s="11"/>
      <c r="AD35" s="12"/>
      <c r="AE35" s="48" t="s">
        <v>268</v>
      </c>
      <c r="AF35" s="12"/>
      <c r="AG35" s="48"/>
      <c r="AH35" s="11"/>
      <c r="AI35" s="12"/>
      <c r="AJ35" s="48"/>
      <c r="AK35" s="11"/>
      <c r="AL35" s="12"/>
      <c r="AM35" s="48"/>
      <c r="AN35" s="11"/>
      <c r="AO35" s="12"/>
      <c r="AP35" s="48"/>
      <c r="AQ35" s="11"/>
      <c r="AR35" s="12"/>
      <c r="AS35" s="48"/>
      <c r="AT35" s="11"/>
      <c r="AU35" s="12"/>
      <c r="AV35" s="48"/>
      <c r="AW35" s="11"/>
      <c r="AX35" s="12"/>
      <c r="AY35" s="48"/>
      <c r="AZ35" s="11"/>
      <c r="BA35" s="12"/>
      <c r="BB35" s="48"/>
      <c r="BC35" s="11"/>
      <c r="BD35" s="12"/>
      <c r="BE35" s="48"/>
      <c r="BF35" s="11"/>
      <c r="BG35" s="12"/>
      <c r="BH35" s="48"/>
      <c r="BI35" s="11"/>
      <c r="BJ35" s="12"/>
      <c r="BK35" s="49"/>
      <c r="BL35" s="11"/>
      <c r="BM35" s="11"/>
      <c r="BN35" s="11"/>
      <c r="BO35" s="11"/>
      <c r="BP35" s="11"/>
      <c r="BQ35" s="12"/>
    </row>
    <row r="36" ht="144.0" customHeight="1">
      <c r="A36" s="47">
        <v>21.0</v>
      </c>
      <c r="B36" s="49" t="s">
        <v>351</v>
      </c>
      <c r="C36" s="11"/>
      <c r="D36" s="12"/>
      <c r="E36" s="49" t="s">
        <v>352</v>
      </c>
      <c r="F36" s="11"/>
      <c r="G36" s="11"/>
      <c r="H36" s="11"/>
      <c r="I36" s="12"/>
      <c r="J36" s="49" t="s">
        <v>353</v>
      </c>
      <c r="K36" s="11"/>
      <c r="L36" s="11"/>
      <c r="M36" s="11"/>
      <c r="N36" s="11"/>
      <c r="O36" s="11"/>
      <c r="P36" s="12"/>
      <c r="Q36" s="49" t="s">
        <v>354</v>
      </c>
      <c r="R36" s="11"/>
      <c r="S36" s="11"/>
      <c r="T36" s="11"/>
      <c r="U36" s="11"/>
      <c r="V36" s="11"/>
      <c r="W36" s="12"/>
      <c r="X36" s="49" t="s">
        <v>355</v>
      </c>
      <c r="Y36" s="11"/>
      <c r="Z36" s="11"/>
      <c r="AA36" s="11"/>
      <c r="AB36" s="11"/>
      <c r="AC36" s="11"/>
      <c r="AD36" s="12"/>
      <c r="AE36" s="48" t="s">
        <v>268</v>
      </c>
      <c r="AF36" s="12"/>
      <c r="AG36" s="48"/>
      <c r="AH36" s="11"/>
      <c r="AI36" s="12"/>
      <c r="AJ36" s="48"/>
      <c r="AK36" s="11"/>
      <c r="AL36" s="12"/>
      <c r="AM36" s="48"/>
      <c r="AN36" s="11"/>
      <c r="AO36" s="12"/>
      <c r="AP36" s="48"/>
      <c r="AQ36" s="11"/>
      <c r="AR36" s="12"/>
      <c r="AS36" s="48"/>
      <c r="AT36" s="11"/>
      <c r="AU36" s="12"/>
      <c r="AV36" s="48"/>
      <c r="AW36" s="11"/>
      <c r="AX36" s="12"/>
      <c r="AY36" s="48"/>
      <c r="AZ36" s="11"/>
      <c r="BA36" s="12"/>
      <c r="BB36" s="48"/>
      <c r="BC36" s="11"/>
      <c r="BD36" s="12"/>
      <c r="BE36" s="48"/>
      <c r="BF36" s="11"/>
      <c r="BG36" s="12"/>
      <c r="BH36" s="48"/>
      <c r="BI36" s="11"/>
      <c r="BJ36" s="12"/>
      <c r="BK36" s="49"/>
      <c r="BL36" s="11"/>
      <c r="BM36" s="11"/>
      <c r="BN36" s="11"/>
      <c r="BO36" s="11"/>
      <c r="BP36" s="11"/>
      <c r="BQ36" s="12"/>
    </row>
    <row r="37" ht="144.0" customHeight="1">
      <c r="A37" s="47">
        <v>22.0</v>
      </c>
      <c r="B37" s="49" t="s">
        <v>356</v>
      </c>
      <c r="C37" s="11"/>
      <c r="D37" s="12"/>
      <c r="E37" s="49" t="s">
        <v>357</v>
      </c>
      <c r="F37" s="11"/>
      <c r="G37" s="11"/>
      <c r="H37" s="11"/>
      <c r="I37" s="12"/>
      <c r="J37" s="49" t="s">
        <v>358</v>
      </c>
      <c r="K37" s="11"/>
      <c r="L37" s="11"/>
      <c r="M37" s="11"/>
      <c r="N37" s="11"/>
      <c r="O37" s="11"/>
      <c r="P37" s="12"/>
      <c r="Q37" s="49" t="s">
        <v>359</v>
      </c>
      <c r="R37" s="11"/>
      <c r="S37" s="11"/>
      <c r="T37" s="11"/>
      <c r="U37" s="11"/>
      <c r="V37" s="11"/>
      <c r="W37" s="12"/>
      <c r="X37" s="49" t="s">
        <v>360</v>
      </c>
      <c r="Y37" s="11"/>
      <c r="Z37" s="11"/>
      <c r="AA37" s="11"/>
      <c r="AB37" s="11"/>
      <c r="AC37" s="11"/>
      <c r="AD37" s="12"/>
      <c r="AE37" s="48" t="s">
        <v>268</v>
      </c>
      <c r="AF37" s="12"/>
      <c r="AG37" s="48"/>
      <c r="AH37" s="11"/>
      <c r="AI37" s="12"/>
      <c r="AJ37" s="48"/>
      <c r="AK37" s="11"/>
      <c r="AL37" s="12"/>
      <c r="AM37" s="48"/>
      <c r="AN37" s="11"/>
      <c r="AO37" s="12"/>
      <c r="AP37" s="48"/>
      <c r="AQ37" s="11"/>
      <c r="AR37" s="12"/>
      <c r="AS37" s="48"/>
      <c r="AT37" s="11"/>
      <c r="AU37" s="12"/>
      <c r="AV37" s="48"/>
      <c r="AW37" s="11"/>
      <c r="AX37" s="12"/>
      <c r="AY37" s="48"/>
      <c r="AZ37" s="11"/>
      <c r="BA37" s="12"/>
      <c r="BB37" s="48"/>
      <c r="BC37" s="11"/>
      <c r="BD37" s="12"/>
      <c r="BE37" s="48"/>
      <c r="BF37" s="11"/>
      <c r="BG37" s="12"/>
      <c r="BH37" s="48"/>
      <c r="BI37" s="11"/>
      <c r="BJ37" s="12"/>
      <c r="BK37" s="49"/>
      <c r="BL37" s="11"/>
      <c r="BM37" s="11"/>
      <c r="BN37" s="11"/>
      <c r="BO37" s="11"/>
      <c r="BP37" s="11"/>
      <c r="BQ37" s="12"/>
    </row>
    <row r="38" ht="144.0" customHeight="1">
      <c r="A38" s="47">
        <v>23.0</v>
      </c>
      <c r="B38" s="49" t="s">
        <v>361</v>
      </c>
      <c r="C38" s="11"/>
      <c r="D38" s="12"/>
      <c r="E38" s="49" t="s">
        <v>362</v>
      </c>
      <c r="F38" s="11"/>
      <c r="G38" s="11"/>
      <c r="H38" s="11"/>
      <c r="I38" s="12"/>
      <c r="J38" s="49" t="s">
        <v>363</v>
      </c>
      <c r="K38" s="11"/>
      <c r="L38" s="11"/>
      <c r="M38" s="11"/>
      <c r="N38" s="11"/>
      <c r="O38" s="11"/>
      <c r="P38" s="12"/>
      <c r="Q38" s="49" t="s">
        <v>364</v>
      </c>
      <c r="R38" s="11"/>
      <c r="S38" s="11"/>
      <c r="T38" s="11"/>
      <c r="U38" s="11"/>
      <c r="V38" s="11"/>
      <c r="W38" s="12"/>
      <c r="X38" s="49" t="s">
        <v>365</v>
      </c>
      <c r="Y38" s="11"/>
      <c r="Z38" s="11"/>
      <c r="AA38" s="11"/>
      <c r="AB38" s="11"/>
      <c r="AC38" s="11"/>
      <c r="AD38" s="12"/>
      <c r="AE38" s="48" t="s">
        <v>268</v>
      </c>
      <c r="AF38" s="12"/>
      <c r="AG38" s="48"/>
      <c r="AH38" s="11"/>
      <c r="AI38" s="12"/>
      <c r="AJ38" s="48"/>
      <c r="AK38" s="11"/>
      <c r="AL38" s="12"/>
      <c r="AM38" s="48"/>
      <c r="AN38" s="11"/>
      <c r="AO38" s="12"/>
      <c r="AP38" s="48"/>
      <c r="AQ38" s="11"/>
      <c r="AR38" s="12"/>
      <c r="AS38" s="48"/>
      <c r="AT38" s="11"/>
      <c r="AU38" s="12"/>
      <c r="AV38" s="48"/>
      <c r="AW38" s="11"/>
      <c r="AX38" s="12"/>
      <c r="AY38" s="48"/>
      <c r="AZ38" s="11"/>
      <c r="BA38" s="12"/>
      <c r="BB38" s="48"/>
      <c r="BC38" s="11"/>
      <c r="BD38" s="12"/>
      <c r="BE38" s="48"/>
      <c r="BF38" s="11"/>
      <c r="BG38" s="12"/>
      <c r="BH38" s="48"/>
      <c r="BI38" s="11"/>
      <c r="BJ38" s="12"/>
      <c r="BK38" s="49"/>
      <c r="BL38" s="11"/>
      <c r="BM38" s="11"/>
      <c r="BN38" s="11"/>
      <c r="BO38" s="11"/>
      <c r="BP38" s="11"/>
      <c r="BQ38" s="12"/>
    </row>
    <row r="39" ht="159.75" customHeight="1">
      <c r="A39" s="47">
        <v>24.0</v>
      </c>
      <c r="B39" s="49" t="s">
        <v>366</v>
      </c>
      <c r="C39" s="11"/>
      <c r="D39" s="12"/>
      <c r="E39" s="49" t="s">
        <v>367</v>
      </c>
      <c r="F39" s="11"/>
      <c r="G39" s="11"/>
      <c r="H39" s="11"/>
      <c r="I39" s="12"/>
      <c r="J39" s="49" t="s">
        <v>368</v>
      </c>
      <c r="K39" s="11"/>
      <c r="L39" s="11"/>
      <c r="M39" s="11"/>
      <c r="N39" s="11"/>
      <c r="O39" s="11"/>
      <c r="P39" s="12"/>
      <c r="Q39" s="49" t="s">
        <v>369</v>
      </c>
      <c r="R39" s="11"/>
      <c r="S39" s="11"/>
      <c r="T39" s="11"/>
      <c r="U39" s="11"/>
      <c r="V39" s="11"/>
      <c r="W39" s="12"/>
      <c r="X39" s="49" t="s">
        <v>370</v>
      </c>
      <c r="Y39" s="11"/>
      <c r="Z39" s="11"/>
      <c r="AA39" s="11"/>
      <c r="AB39" s="11"/>
      <c r="AC39" s="11"/>
      <c r="AD39" s="12"/>
      <c r="AE39" s="48" t="s">
        <v>268</v>
      </c>
      <c r="AF39" s="12"/>
      <c r="AG39" s="48"/>
      <c r="AH39" s="11"/>
      <c r="AI39" s="12"/>
      <c r="AJ39" s="48"/>
      <c r="AK39" s="11"/>
      <c r="AL39" s="12"/>
      <c r="AM39" s="48"/>
      <c r="AN39" s="11"/>
      <c r="AO39" s="12"/>
      <c r="AP39" s="48"/>
      <c r="AQ39" s="11"/>
      <c r="AR39" s="12"/>
      <c r="AS39" s="48"/>
      <c r="AT39" s="11"/>
      <c r="AU39" s="12"/>
      <c r="AV39" s="48"/>
      <c r="AW39" s="11"/>
      <c r="AX39" s="12"/>
      <c r="AY39" s="48"/>
      <c r="AZ39" s="11"/>
      <c r="BA39" s="12"/>
      <c r="BB39" s="48"/>
      <c r="BC39" s="11"/>
      <c r="BD39" s="12"/>
      <c r="BE39" s="48"/>
      <c r="BF39" s="11"/>
      <c r="BG39" s="12"/>
      <c r="BH39" s="48"/>
      <c r="BI39" s="11"/>
      <c r="BJ39" s="12"/>
      <c r="BK39" s="49"/>
      <c r="BL39" s="11"/>
      <c r="BM39" s="11"/>
      <c r="BN39" s="11"/>
      <c r="BO39" s="11"/>
      <c r="BP39" s="11"/>
      <c r="BQ39" s="12"/>
    </row>
    <row r="40" ht="79.5" customHeight="1">
      <c r="A40" s="47">
        <v>25.0</v>
      </c>
      <c r="B40" s="49" t="s">
        <v>371</v>
      </c>
      <c r="C40" s="11"/>
      <c r="D40" s="12"/>
      <c r="E40" s="49" t="s">
        <v>372</v>
      </c>
      <c r="F40" s="11"/>
      <c r="G40" s="11"/>
      <c r="H40" s="11"/>
      <c r="I40" s="12"/>
      <c r="J40" s="49" t="s">
        <v>373</v>
      </c>
      <c r="K40" s="11"/>
      <c r="L40" s="11"/>
      <c r="M40" s="11"/>
      <c r="N40" s="11"/>
      <c r="O40" s="11"/>
      <c r="P40" s="12"/>
      <c r="Q40" s="49" t="s">
        <v>374</v>
      </c>
      <c r="R40" s="11"/>
      <c r="S40" s="11"/>
      <c r="T40" s="11"/>
      <c r="U40" s="11"/>
      <c r="V40" s="11"/>
      <c r="W40" s="12"/>
      <c r="X40" s="49" t="s">
        <v>375</v>
      </c>
      <c r="Y40" s="11"/>
      <c r="Z40" s="11"/>
      <c r="AA40" s="11"/>
      <c r="AB40" s="11"/>
      <c r="AC40" s="11"/>
      <c r="AD40" s="12"/>
      <c r="AE40" s="48" t="s">
        <v>268</v>
      </c>
      <c r="AF40" s="12"/>
      <c r="AG40" s="48"/>
      <c r="AH40" s="11"/>
      <c r="AI40" s="12"/>
      <c r="AJ40" s="48"/>
      <c r="AK40" s="11"/>
      <c r="AL40" s="12"/>
      <c r="AM40" s="48"/>
      <c r="AN40" s="11"/>
      <c r="AO40" s="12"/>
      <c r="AP40" s="48"/>
      <c r="AQ40" s="11"/>
      <c r="AR40" s="12"/>
      <c r="AS40" s="48"/>
      <c r="AT40" s="11"/>
      <c r="AU40" s="12"/>
      <c r="AV40" s="48"/>
      <c r="AW40" s="11"/>
      <c r="AX40" s="12"/>
      <c r="AY40" s="48"/>
      <c r="AZ40" s="11"/>
      <c r="BA40" s="12"/>
      <c r="BB40" s="48"/>
      <c r="BC40" s="11"/>
      <c r="BD40" s="12"/>
      <c r="BE40" s="48"/>
      <c r="BF40" s="11"/>
      <c r="BG40" s="12"/>
      <c r="BH40" s="48"/>
      <c r="BI40" s="11"/>
      <c r="BJ40" s="12"/>
      <c r="BK40" s="49"/>
      <c r="BL40" s="11"/>
      <c r="BM40" s="11"/>
      <c r="BN40" s="11"/>
      <c r="BO40" s="11"/>
      <c r="BP40" s="11"/>
      <c r="BQ40" s="12"/>
    </row>
    <row r="41" ht="79.5" customHeight="1">
      <c r="A41" s="47">
        <v>26.0</v>
      </c>
      <c r="B41" s="49" t="s">
        <v>376</v>
      </c>
      <c r="C41" s="11"/>
      <c r="D41" s="12"/>
      <c r="E41" s="49" t="s">
        <v>377</v>
      </c>
      <c r="F41" s="11"/>
      <c r="G41" s="11"/>
      <c r="H41" s="11"/>
      <c r="I41" s="12"/>
      <c r="J41" s="49" t="s">
        <v>373</v>
      </c>
      <c r="K41" s="11"/>
      <c r="L41" s="11"/>
      <c r="M41" s="11"/>
      <c r="N41" s="11"/>
      <c r="O41" s="11"/>
      <c r="P41" s="12"/>
      <c r="Q41" s="49" t="s">
        <v>378</v>
      </c>
      <c r="R41" s="11"/>
      <c r="S41" s="11"/>
      <c r="T41" s="11"/>
      <c r="U41" s="11"/>
      <c r="V41" s="11"/>
      <c r="W41" s="12"/>
      <c r="X41" s="49" t="s">
        <v>379</v>
      </c>
      <c r="Y41" s="11"/>
      <c r="Z41" s="11"/>
      <c r="AA41" s="11"/>
      <c r="AB41" s="11"/>
      <c r="AC41" s="11"/>
      <c r="AD41" s="12"/>
      <c r="AE41" s="48" t="s">
        <v>268</v>
      </c>
      <c r="AF41" s="12"/>
      <c r="AG41" s="48"/>
      <c r="AH41" s="11"/>
      <c r="AI41" s="12"/>
      <c r="AJ41" s="48"/>
      <c r="AK41" s="11"/>
      <c r="AL41" s="12"/>
      <c r="AM41" s="48"/>
      <c r="AN41" s="11"/>
      <c r="AO41" s="12"/>
      <c r="AP41" s="48"/>
      <c r="AQ41" s="11"/>
      <c r="AR41" s="12"/>
      <c r="AS41" s="48"/>
      <c r="AT41" s="11"/>
      <c r="AU41" s="12"/>
      <c r="AV41" s="48"/>
      <c r="AW41" s="11"/>
      <c r="AX41" s="12"/>
      <c r="AY41" s="48"/>
      <c r="AZ41" s="11"/>
      <c r="BA41" s="12"/>
      <c r="BB41" s="48"/>
      <c r="BC41" s="11"/>
      <c r="BD41" s="12"/>
      <c r="BE41" s="48"/>
      <c r="BF41" s="11"/>
      <c r="BG41" s="12"/>
      <c r="BH41" s="48"/>
      <c r="BI41" s="11"/>
      <c r="BJ41" s="12"/>
      <c r="BK41" s="49"/>
      <c r="BL41" s="11"/>
      <c r="BM41" s="11"/>
      <c r="BN41" s="11"/>
      <c r="BO41" s="11"/>
      <c r="BP41" s="11"/>
      <c r="BQ41" s="12"/>
    </row>
    <row r="42" ht="144.0" customHeight="1">
      <c r="A42" s="47">
        <v>27.0</v>
      </c>
      <c r="B42" s="49" t="s">
        <v>380</v>
      </c>
      <c r="C42" s="11"/>
      <c r="D42" s="12"/>
      <c r="E42" s="49" t="s">
        <v>381</v>
      </c>
      <c r="F42" s="11"/>
      <c r="G42" s="11"/>
      <c r="H42" s="11"/>
      <c r="I42" s="12"/>
      <c r="J42" s="49" t="s">
        <v>382</v>
      </c>
      <c r="K42" s="11"/>
      <c r="L42" s="11"/>
      <c r="M42" s="11"/>
      <c r="N42" s="11"/>
      <c r="O42" s="11"/>
      <c r="P42" s="12"/>
      <c r="Q42" s="49" t="s">
        <v>383</v>
      </c>
      <c r="R42" s="11"/>
      <c r="S42" s="11"/>
      <c r="T42" s="11"/>
      <c r="U42" s="11"/>
      <c r="V42" s="11"/>
      <c r="W42" s="12"/>
      <c r="X42" s="49" t="s">
        <v>384</v>
      </c>
      <c r="Y42" s="11"/>
      <c r="Z42" s="11"/>
      <c r="AA42" s="11"/>
      <c r="AB42" s="11"/>
      <c r="AC42" s="11"/>
      <c r="AD42" s="12"/>
      <c r="AE42" s="48" t="s">
        <v>201</v>
      </c>
      <c r="AF42" s="12"/>
      <c r="AG42" s="48"/>
      <c r="AH42" s="11"/>
      <c r="AI42" s="12"/>
      <c r="AJ42" s="48"/>
      <c r="AK42" s="11"/>
      <c r="AL42" s="12"/>
      <c r="AM42" s="48"/>
      <c r="AN42" s="11"/>
      <c r="AO42" s="12"/>
      <c r="AP42" s="48"/>
      <c r="AQ42" s="11"/>
      <c r="AR42" s="12"/>
      <c r="AS42" s="48"/>
      <c r="AT42" s="11"/>
      <c r="AU42" s="12"/>
      <c r="AV42" s="48"/>
      <c r="AW42" s="11"/>
      <c r="AX42" s="12"/>
      <c r="AY42" s="48"/>
      <c r="AZ42" s="11"/>
      <c r="BA42" s="12"/>
      <c r="BB42" s="48"/>
      <c r="BC42" s="11"/>
      <c r="BD42" s="12"/>
      <c r="BE42" s="48"/>
      <c r="BF42" s="11"/>
      <c r="BG42" s="12"/>
      <c r="BH42" s="48"/>
      <c r="BI42" s="11"/>
      <c r="BJ42" s="12"/>
      <c r="BK42" s="49"/>
      <c r="BL42" s="11"/>
      <c r="BM42" s="11"/>
      <c r="BN42" s="11"/>
      <c r="BO42" s="11"/>
      <c r="BP42" s="11"/>
      <c r="BQ42" s="12"/>
    </row>
    <row r="43" ht="192.0" customHeight="1">
      <c r="A43" s="47">
        <v>28.0</v>
      </c>
      <c r="B43" s="49" t="s">
        <v>385</v>
      </c>
      <c r="C43" s="11"/>
      <c r="D43" s="12"/>
      <c r="E43" s="49" t="s">
        <v>386</v>
      </c>
      <c r="F43" s="11"/>
      <c r="G43" s="11"/>
      <c r="H43" s="11"/>
      <c r="I43" s="12"/>
      <c r="J43" s="49" t="s">
        <v>312</v>
      </c>
      <c r="K43" s="11"/>
      <c r="L43" s="11"/>
      <c r="M43" s="11"/>
      <c r="N43" s="11"/>
      <c r="O43" s="11"/>
      <c r="P43" s="12"/>
      <c r="Q43" s="49" t="s">
        <v>387</v>
      </c>
      <c r="R43" s="11"/>
      <c r="S43" s="11"/>
      <c r="T43" s="11"/>
      <c r="U43" s="11"/>
      <c r="V43" s="11"/>
      <c r="W43" s="12"/>
      <c r="X43" s="49" t="s">
        <v>388</v>
      </c>
      <c r="Y43" s="11"/>
      <c r="Z43" s="11"/>
      <c r="AA43" s="11"/>
      <c r="AB43" s="11"/>
      <c r="AC43" s="11"/>
      <c r="AD43" s="12"/>
      <c r="AE43" s="48" t="s">
        <v>268</v>
      </c>
      <c r="AF43" s="12"/>
      <c r="AG43" s="48"/>
      <c r="AH43" s="11"/>
      <c r="AI43" s="12"/>
      <c r="AJ43" s="48"/>
      <c r="AK43" s="11"/>
      <c r="AL43" s="12"/>
      <c r="AM43" s="48"/>
      <c r="AN43" s="11"/>
      <c r="AO43" s="12"/>
      <c r="AP43" s="48"/>
      <c r="AQ43" s="11"/>
      <c r="AR43" s="12"/>
      <c r="AS43" s="48"/>
      <c r="AT43" s="11"/>
      <c r="AU43" s="12"/>
      <c r="AV43" s="48"/>
      <c r="AW43" s="11"/>
      <c r="AX43" s="12"/>
      <c r="AY43" s="48"/>
      <c r="AZ43" s="11"/>
      <c r="BA43" s="12"/>
      <c r="BB43" s="48"/>
      <c r="BC43" s="11"/>
      <c r="BD43" s="12"/>
      <c r="BE43" s="48"/>
      <c r="BF43" s="11"/>
      <c r="BG43" s="12"/>
      <c r="BH43" s="48"/>
      <c r="BI43" s="11"/>
      <c r="BJ43" s="12"/>
      <c r="BK43" s="49"/>
      <c r="BL43" s="11"/>
      <c r="BM43" s="11"/>
      <c r="BN43" s="11"/>
      <c r="BO43" s="11"/>
      <c r="BP43" s="11"/>
      <c r="BQ43" s="12"/>
    </row>
    <row r="44" ht="255.75" customHeight="1">
      <c r="A44" s="47">
        <v>29.0</v>
      </c>
      <c r="B44" s="49" t="s">
        <v>389</v>
      </c>
      <c r="C44" s="11"/>
      <c r="D44" s="12"/>
      <c r="E44" s="49" t="s">
        <v>390</v>
      </c>
      <c r="F44" s="11"/>
      <c r="G44" s="11"/>
      <c r="H44" s="11"/>
      <c r="I44" s="12"/>
      <c r="J44" s="49" t="s">
        <v>312</v>
      </c>
      <c r="K44" s="11"/>
      <c r="L44" s="11"/>
      <c r="M44" s="11"/>
      <c r="N44" s="11"/>
      <c r="O44" s="11"/>
      <c r="P44" s="12"/>
      <c r="Q44" s="49" t="s">
        <v>391</v>
      </c>
      <c r="R44" s="11"/>
      <c r="S44" s="11"/>
      <c r="T44" s="11"/>
      <c r="U44" s="11"/>
      <c r="V44" s="11"/>
      <c r="W44" s="12"/>
      <c r="X44" s="49" t="s">
        <v>392</v>
      </c>
      <c r="Y44" s="11"/>
      <c r="Z44" s="11"/>
      <c r="AA44" s="11"/>
      <c r="AB44" s="11"/>
      <c r="AC44" s="11"/>
      <c r="AD44" s="12"/>
      <c r="AE44" s="48" t="s">
        <v>268</v>
      </c>
      <c r="AF44" s="12"/>
      <c r="AG44" s="48"/>
      <c r="AH44" s="11"/>
      <c r="AI44" s="12"/>
      <c r="AJ44" s="48"/>
      <c r="AK44" s="11"/>
      <c r="AL44" s="12"/>
      <c r="AM44" s="48"/>
      <c r="AN44" s="11"/>
      <c r="AO44" s="12"/>
      <c r="AP44" s="48"/>
      <c r="AQ44" s="11"/>
      <c r="AR44" s="12"/>
      <c r="AS44" s="48"/>
      <c r="AT44" s="11"/>
      <c r="AU44" s="12"/>
      <c r="AV44" s="48"/>
      <c r="AW44" s="11"/>
      <c r="AX44" s="12"/>
      <c r="AY44" s="48"/>
      <c r="AZ44" s="11"/>
      <c r="BA44" s="12"/>
      <c r="BB44" s="48"/>
      <c r="BC44" s="11"/>
      <c r="BD44" s="12"/>
      <c r="BE44" s="48"/>
      <c r="BF44" s="11"/>
      <c r="BG44" s="12"/>
      <c r="BH44" s="48"/>
      <c r="BI44" s="11"/>
      <c r="BJ44" s="12"/>
      <c r="BK44" s="49"/>
      <c r="BL44" s="11"/>
      <c r="BM44" s="11"/>
      <c r="BN44" s="11"/>
      <c r="BO44" s="11"/>
      <c r="BP44" s="11"/>
      <c r="BQ44" s="12"/>
    </row>
    <row r="45" ht="255.75" customHeight="1">
      <c r="A45" s="58">
        <v>30.0</v>
      </c>
      <c r="B45" s="64" t="s">
        <v>393</v>
      </c>
      <c r="C45" s="11"/>
      <c r="D45" s="12"/>
      <c r="E45" s="64" t="s">
        <v>394</v>
      </c>
      <c r="F45" s="11"/>
      <c r="G45" s="11"/>
      <c r="H45" s="11"/>
      <c r="I45" s="12"/>
      <c r="J45" s="64" t="s">
        <v>298</v>
      </c>
      <c r="K45" s="11"/>
      <c r="L45" s="11"/>
      <c r="M45" s="11"/>
      <c r="N45" s="11"/>
      <c r="O45" s="11"/>
      <c r="P45" s="12"/>
      <c r="Q45" s="64" t="s">
        <v>395</v>
      </c>
      <c r="R45" s="11"/>
      <c r="S45" s="11"/>
      <c r="T45" s="11"/>
      <c r="U45" s="11"/>
      <c r="V45" s="11"/>
      <c r="W45" s="12"/>
      <c r="X45" s="64" t="s">
        <v>396</v>
      </c>
      <c r="Y45" s="11"/>
      <c r="Z45" s="11"/>
      <c r="AA45" s="11"/>
      <c r="AB45" s="11"/>
      <c r="AC45" s="11"/>
      <c r="AD45" s="12"/>
      <c r="AE45" s="48" t="s">
        <v>268</v>
      </c>
      <c r="AF45" s="12"/>
      <c r="AG45" s="63"/>
      <c r="AH45" s="11"/>
      <c r="AI45" s="12"/>
      <c r="AJ45" s="48"/>
      <c r="AK45" s="11"/>
      <c r="AL45" s="12"/>
      <c r="AM45" s="48"/>
      <c r="AN45" s="11"/>
      <c r="AO45" s="12"/>
      <c r="AP45" s="48"/>
      <c r="AQ45" s="11"/>
      <c r="AR45" s="12"/>
      <c r="AS45" s="48"/>
      <c r="AT45" s="11"/>
      <c r="AU45" s="12"/>
      <c r="AV45" s="48"/>
      <c r="AW45" s="11"/>
      <c r="AX45" s="12"/>
      <c r="AY45" s="48"/>
      <c r="AZ45" s="11"/>
      <c r="BA45" s="12"/>
      <c r="BB45" s="48"/>
      <c r="BC45" s="11"/>
      <c r="BD45" s="12"/>
      <c r="BE45" s="48"/>
      <c r="BF45" s="11"/>
      <c r="BG45" s="12"/>
      <c r="BH45" s="48"/>
      <c r="BI45" s="11"/>
      <c r="BJ45" s="12"/>
      <c r="BK45" s="62"/>
      <c r="BL45" s="11"/>
      <c r="BM45" s="11"/>
      <c r="BN45" s="11"/>
      <c r="BO45" s="11"/>
      <c r="BP45" s="11"/>
      <c r="BQ45" s="12"/>
    </row>
    <row r="46" ht="271.5" customHeight="1">
      <c r="A46" s="58">
        <v>31.0</v>
      </c>
      <c r="B46" s="49" t="s">
        <v>397</v>
      </c>
      <c r="C46" s="11"/>
      <c r="D46" s="12"/>
      <c r="E46" s="49" t="s">
        <v>398</v>
      </c>
      <c r="F46" s="11"/>
      <c r="G46" s="11"/>
      <c r="H46" s="11"/>
      <c r="I46" s="12"/>
      <c r="J46" s="49" t="s">
        <v>298</v>
      </c>
      <c r="K46" s="11"/>
      <c r="L46" s="11"/>
      <c r="M46" s="11"/>
      <c r="N46" s="11"/>
      <c r="O46" s="11"/>
      <c r="P46" s="12"/>
      <c r="Q46" s="49" t="s">
        <v>399</v>
      </c>
      <c r="R46" s="11"/>
      <c r="S46" s="11"/>
      <c r="T46" s="11"/>
      <c r="U46" s="11"/>
      <c r="V46" s="11"/>
      <c r="W46" s="12"/>
      <c r="X46" s="49" t="s">
        <v>400</v>
      </c>
      <c r="Y46" s="11"/>
      <c r="Z46" s="11"/>
      <c r="AA46" s="11"/>
      <c r="AB46" s="11"/>
      <c r="AC46" s="11"/>
      <c r="AD46" s="12"/>
      <c r="AE46" s="48" t="s">
        <v>268</v>
      </c>
      <c r="AF46" s="12"/>
      <c r="AG46" s="63"/>
      <c r="AH46" s="11"/>
      <c r="AI46" s="12"/>
      <c r="AJ46" s="48"/>
      <c r="AK46" s="11"/>
      <c r="AL46" s="12"/>
      <c r="AM46" s="48"/>
      <c r="AN46" s="11"/>
      <c r="AO46" s="12"/>
      <c r="AP46" s="48"/>
      <c r="AQ46" s="11"/>
      <c r="AR46" s="12"/>
      <c r="AS46" s="48"/>
      <c r="AT46" s="11"/>
      <c r="AU46" s="12"/>
      <c r="AV46" s="48"/>
      <c r="AW46" s="11"/>
      <c r="AX46" s="12"/>
      <c r="AY46" s="48"/>
      <c r="AZ46" s="11"/>
      <c r="BA46" s="12"/>
      <c r="BB46" s="48"/>
      <c r="BC46" s="11"/>
      <c r="BD46" s="12"/>
      <c r="BE46" s="48"/>
      <c r="BF46" s="11"/>
      <c r="BG46" s="12"/>
      <c r="BH46" s="48"/>
      <c r="BI46" s="11"/>
      <c r="BJ46" s="12"/>
      <c r="BK46" s="62"/>
      <c r="BL46" s="11"/>
      <c r="BM46" s="11"/>
      <c r="BN46" s="11"/>
      <c r="BO46" s="11"/>
      <c r="BP46" s="11"/>
      <c r="BQ46" s="12"/>
    </row>
    <row r="47" ht="223.5" customHeight="1">
      <c r="A47" s="47">
        <v>32.0</v>
      </c>
      <c r="B47" s="49" t="s">
        <v>401</v>
      </c>
      <c r="C47" s="11"/>
      <c r="D47" s="12"/>
      <c r="E47" s="49" t="s">
        <v>402</v>
      </c>
      <c r="F47" s="11"/>
      <c r="G47" s="11"/>
      <c r="H47" s="11"/>
      <c r="I47" s="12"/>
      <c r="J47" s="49" t="s">
        <v>382</v>
      </c>
      <c r="K47" s="11"/>
      <c r="L47" s="11"/>
      <c r="M47" s="11"/>
      <c r="N47" s="11"/>
      <c r="O47" s="11"/>
      <c r="P47" s="12"/>
      <c r="Q47" s="49" t="s">
        <v>403</v>
      </c>
      <c r="R47" s="11"/>
      <c r="S47" s="11"/>
      <c r="T47" s="11"/>
      <c r="U47" s="11"/>
      <c r="V47" s="11"/>
      <c r="W47" s="12"/>
      <c r="X47" s="49" t="s">
        <v>404</v>
      </c>
      <c r="Y47" s="11"/>
      <c r="Z47" s="11"/>
      <c r="AA47" s="11"/>
      <c r="AB47" s="11"/>
      <c r="AC47" s="11"/>
      <c r="AD47" s="12"/>
      <c r="AE47" s="48" t="s">
        <v>201</v>
      </c>
      <c r="AF47" s="12"/>
      <c r="AG47" s="48"/>
      <c r="AH47" s="11"/>
      <c r="AI47" s="12"/>
      <c r="AJ47" s="48"/>
      <c r="AK47" s="11"/>
      <c r="AL47" s="12"/>
      <c r="AM47" s="48"/>
      <c r="AN47" s="11"/>
      <c r="AO47" s="12"/>
      <c r="AP47" s="48"/>
      <c r="AQ47" s="11"/>
      <c r="AR47" s="12"/>
      <c r="AS47" s="48"/>
      <c r="AT47" s="11"/>
      <c r="AU47" s="12"/>
      <c r="AV47" s="48"/>
      <c r="AW47" s="11"/>
      <c r="AX47" s="12"/>
      <c r="AY47" s="48"/>
      <c r="AZ47" s="11"/>
      <c r="BA47" s="12"/>
      <c r="BB47" s="48"/>
      <c r="BC47" s="11"/>
      <c r="BD47" s="12"/>
      <c r="BE47" s="48"/>
      <c r="BF47" s="11"/>
      <c r="BG47" s="12"/>
      <c r="BH47" s="48"/>
      <c r="BI47" s="11"/>
      <c r="BJ47" s="12"/>
      <c r="BK47" s="49"/>
      <c r="BL47" s="11"/>
      <c r="BM47" s="11"/>
      <c r="BN47" s="11"/>
      <c r="BO47" s="11"/>
      <c r="BP47" s="11"/>
      <c r="BQ47" s="12"/>
    </row>
    <row r="48" ht="223.5" customHeight="1">
      <c r="A48" s="47">
        <v>33.0</v>
      </c>
      <c r="B48" s="49" t="s">
        <v>405</v>
      </c>
      <c r="C48" s="11"/>
      <c r="D48" s="12"/>
      <c r="E48" s="49" t="s">
        <v>406</v>
      </c>
      <c r="F48" s="11"/>
      <c r="G48" s="11"/>
      <c r="H48" s="11"/>
      <c r="I48" s="12"/>
      <c r="J48" s="49" t="s">
        <v>407</v>
      </c>
      <c r="K48" s="11"/>
      <c r="L48" s="11"/>
      <c r="M48" s="11"/>
      <c r="N48" s="11"/>
      <c r="O48" s="11"/>
      <c r="P48" s="12"/>
      <c r="Q48" s="49" t="s">
        <v>408</v>
      </c>
      <c r="R48" s="11"/>
      <c r="S48" s="11"/>
      <c r="T48" s="11"/>
      <c r="U48" s="11"/>
      <c r="V48" s="11"/>
      <c r="W48" s="12"/>
      <c r="X48" s="49" t="s">
        <v>409</v>
      </c>
      <c r="Y48" s="11"/>
      <c r="Z48" s="11"/>
      <c r="AA48" s="11"/>
      <c r="AB48" s="11"/>
      <c r="AC48" s="11"/>
      <c r="AD48" s="12"/>
      <c r="AE48" s="48" t="s">
        <v>201</v>
      </c>
      <c r="AF48" s="12"/>
      <c r="AG48" s="63" t="s">
        <v>53</v>
      </c>
      <c r="AH48" s="11"/>
      <c r="AI48" s="12"/>
      <c r="AJ48" s="48"/>
      <c r="AK48" s="11"/>
      <c r="AL48" s="12"/>
      <c r="AM48" s="48"/>
      <c r="AN48" s="11"/>
      <c r="AO48" s="12"/>
      <c r="AP48" s="48"/>
      <c r="AQ48" s="11"/>
      <c r="AR48" s="12"/>
      <c r="AS48" s="48"/>
      <c r="AT48" s="11"/>
      <c r="AU48" s="12"/>
      <c r="AV48" s="48"/>
      <c r="AW48" s="11"/>
      <c r="AX48" s="12"/>
      <c r="AY48" s="48"/>
      <c r="AZ48" s="11"/>
      <c r="BA48" s="12"/>
      <c r="BB48" s="48"/>
      <c r="BC48" s="11"/>
      <c r="BD48" s="12"/>
      <c r="BE48" s="48"/>
      <c r="BF48" s="11"/>
      <c r="BG48" s="12"/>
      <c r="BH48" s="48"/>
      <c r="BI48" s="11"/>
      <c r="BJ48" s="12"/>
      <c r="BK48" s="49" t="s">
        <v>323</v>
      </c>
      <c r="BL48" s="11"/>
      <c r="BM48" s="11"/>
      <c r="BN48" s="11"/>
      <c r="BO48" s="11"/>
      <c r="BP48" s="11"/>
      <c r="BQ48" s="12"/>
    </row>
    <row r="49" ht="22.5" customHeight="1">
      <c r="A49" s="35" t="s">
        <v>410</v>
      </c>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2"/>
    </row>
    <row r="50" ht="111.75" customHeight="1">
      <c r="A50" s="47">
        <v>34.0</v>
      </c>
      <c r="B50" s="49" t="s">
        <v>411</v>
      </c>
      <c r="C50" s="11"/>
      <c r="D50" s="12"/>
      <c r="E50" s="49" t="s">
        <v>412</v>
      </c>
      <c r="F50" s="11"/>
      <c r="G50" s="11"/>
      <c r="H50" s="11"/>
      <c r="I50" s="12"/>
      <c r="J50" s="49" t="s">
        <v>298</v>
      </c>
      <c r="K50" s="11"/>
      <c r="L50" s="11"/>
      <c r="M50" s="11"/>
      <c r="N50" s="11"/>
      <c r="O50" s="11"/>
      <c r="P50" s="12"/>
      <c r="Q50" s="49" t="s">
        <v>413</v>
      </c>
      <c r="R50" s="11"/>
      <c r="S50" s="11"/>
      <c r="T50" s="11"/>
      <c r="U50" s="11"/>
      <c r="V50" s="11"/>
      <c r="W50" s="12"/>
      <c r="X50" s="49" t="s">
        <v>414</v>
      </c>
      <c r="Y50" s="11"/>
      <c r="Z50" s="11"/>
      <c r="AA50" s="11"/>
      <c r="AB50" s="11"/>
      <c r="AC50" s="11"/>
      <c r="AD50" s="12"/>
      <c r="AE50" s="48" t="s">
        <v>201</v>
      </c>
      <c r="AF50" s="12"/>
      <c r="AG50" s="48"/>
      <c r="AH50" s="11"/>
      <c r="AI50" s="12"/>
      <c r="AJ50" s="48"/>
      <c r="AK50" s="11"/>
      <c r="AL50" s="12"/>
      <c r="AM50" s="48"/>
      <c r="AN50" s="11"/>
      <c r="AO50" s="12"/>
      <c r="AP50" s="48"/>
      <c r="AQ50" s="11"/>
      <c r="AR50" s="12"/>
      <c r="AS50" s="48"/>
      <c r="AT50" s="11"/>
      <c r="AU50" s="12"/>
      <c r="AV50" s="48"/>
      <c r="AW50" s="11"/>
      <c r="AX50" s="12"/>
      <c r="AY50" s="48"/>
      <c r="AZ50" s="11"/>
      <c r="BA50" s="12"/>
      <c r="BB50" s="48"/>
      <c r="BC50" s="11"/>
      <c r="BD50" s="12"/>
      <c r="BE50" s="48"/>
      <c r="BF50" s="11"/>
      <c r="BG50" s="12"/>
      <c r="BH50" s="48"/>
      <c r="BI50" s="11"/>
      <c r="BJ50" s="12"/>
      <c r="BK50" s="49"/>
      <c r="BL50" s="11"/>
      <c r="BM50" s="11"/>
      <c r="BN50" s="11"/>
      <c r="BO50" s="11"/>
      <c r="BP50" s="11"/>
      <c r="BQ50" s="12"/>
    </row>
    <row r="51" ht="175.5" customHeight="1">
      <c r="A51" s="47">
        <v>35.0</v>
      </c>
      <c r="B51" s="49" t="s">
        <v>415</v>
      </c>
      <c r="C51" s="11"/>
      <c r="D51" s="12"/>
      <c r="E51" s="49" t="s">
        <v>416</v>
      </c>
      <c r="F51" s="11"/>
      <c r="G51" s="11"/>
      <c r="H51" s="11"/>
      <c r="I51" s="12"/>
      <c r="J51" s="49" t="s">
        <v>417</v>
      </c>
      <c r="K51" s="11"/>
      <c r="L51" s="11"/>
      <c r="M51" s="11"/>
      <c r="N51" s="11"/>
      <c r="O51" s="11"/>
      <c r="P51" s="12"/>
      <c r="Q51" s="49" t="s">
        <v>418</v>
      </c>
      <c r="R51" s="11"/>
      <c r="S51" s="11"/>
      <c r="T51" s="11"/>
      <c r="U51" s="11"/>
      <c r="V51" s="11"/>
      <c r="W51" s="12"/>
      <c r="X51" s="49" t="s">
        <v>419</v>
      </c>
      <c r="Y51" s="11"/>
      <c r="Z51" s="11"/>
      <c r="AA51" s="11"/>
      <c r="AB51" s="11"/>
      <c r="AC51" s="11"/>
      <c r="AD51" s="12"/>
      <c r="AE51" s="48" t="s">
        <v>201</v>
      </c>
      <c r="AF51" s="12"/>
      <c r="AG51" s="48"/>
      <c r="AH51" s="11"/>
      <c r="AI51" s="12"/>
      <c r="AJ51" s="48"/>
      <c r="AK51" s="11"/>
      <c r="AL51" s="12"/>
      <c r="AM51" s="48"/>
      <c r="AN51" s="11"/>
      <c r="AO51" s="12"/>
      <c r="AP51" s="48"/>
      <c r="AQ51" s="11"/>
      <c r="AR51" s="12"/>
      <c r="AS51" s="48"/>
      <c r="AT51" s="11"/>
      <c r="AU51" s="12"/>
      <c r="AV51" s="48"/>
      <c r="AW51" s="11"/>
      <c r="AX51" s="12"/>
      <c r="AY51" s="48"/>
      <c r="AZ51" s="11"/>
      <c r="BA51" s="12"/>
      <c r="BB51" s="48"/>
      <c r="BC51" s="11"/>
      <c r="BD51" s="12"/>
      <c r="BE51" s="48"/>
      <c r="BF51" s="11"/>
      <c r="BG51" s="12"/>
      <c r="BH51" s="48"/>
      <c r="BI51" s="11"/>
      <c r="BJ51" s="12"/>
      <c r="BK51" s="49"/>
      <c r="BL51" s="11"/>
      <c r="BM51" s="11"/>
      <c r="BN51" s="11"/>
      <c r="BO51" s="11"/>
      <c r="BP51" s="11"/>
      <c r="BQ51" s="12"/>
    </row>
    <row r="52" ht="144.0" customHeight="1">
      <c r="A52" s="47">
        <v>36.0</v>
      </c>
      <c r="B52" s="49" t="s">
        <v>420</v>
      </c>
      <c r="C52" s="11"/>
      <c r="D52" s="12"/>
      <c r="E52" s="49" t="s">
        <v>421</v>
      </c>
      <c r="F52" s="11"/>
      <c r="G52" s="11"/>
      <c r="H52" s="11"/>
      <c r="I52" s="12"/>
      <c r="J52" s="49" t="s">
        <v>298</v>
      </c>
      <c r="K52" s="11"/>
      <c r="L52" s="11"/>
      <c r="M52" s="11"/>
      <c r="N52" s="11"/>
      <c r="O52" s="11"/>
      <c r="P52" s="12"/>
      <c r="Q52" s="49" t="s">
        <v>422</v>
      </c>
      <c r="R52" s="11"/>
      <c r="S52" s="11"/>
      <c r="T52" s="11"/>
      <c r="U52" s="11"/>
      <c r="V52" s="11"/>
      <c r="W52" s="12"/>
      <c r="X52" s="49" t="s">
        <v>423</v>
      </c>
      <c r="Y52" s="11"/>
      <c r="Z52" s="11"/>
      <c r="AA52" s="11"/>
      <c r="AB52" s="11"/>
      <c r="AC52" s="11"/>
      <c r="AD52" s="12"/>
      <c r="AE52" s="48" t="s">
        <v>201</v>
      </c>
      <c r="AF52" s="12"/>
      <c r="AG52" s="48"/>
      <c r="AH52" s="11"/>
      <c r="AI52" s="12"/>
      <c r="AJ52" s="48"/>
      <c r="AK52" s="11"/>
      <c r="AL52" s="12"/>
      <c r="AM52" s="48"/>
      <c r="AN52" s="11"/>
      <c r="AO52" s="12"/>
      <c r="AP52" s="48"/>
      <c r="AQ52" s="11"/>
      <c r="AR52" s="12"/>
      <c r="AS52" s="48"/>
      <c r="AT52" s="11"/>
      <c r="AU52" s="12"/>
      <c r="AV52" s="48"/>
      <c r="AW52" s="11"/>
      <c r="AX52" s="12"/>
      <c r="AY52" s="48"/>
      <c r="AZ52" s="11"/>
      <c r="BA52" s="12"/>
      <c r="BB52" s="48"/>
      <c r="BC52" s="11"/>
      <c r="BD52" s="12"/>
      <c r="BE52" s="48"/>
      <c r="BF52" s="11"/>
      <c r="BG52" s="12"/>
      <c r="BH52" s="48"/>
      <c r="BI52" s="11"/>
      <c r="BJ52" s="12"/>
      <c r="BK52" s="49"/>
      <c r="BL52" s="11"/>
      <c r="BM52" s="11"/>
      <c r="BN52" s="11"/>
      <c r="BO52" s="11"/>
      <c r="BP52" s="11"/>
      <c r="BQ52" s="12"/>
    </row>
    <row r="53" ht="159.75" customHeight="1">
      <c r="A53" s="47">
        <v>37.0</v>
      </c>
      <c r="B53" s="49" t="s">
        <v>424</v>
      </c>
      <c r="C53" s="11"/>
      <c r="D53" s="12"/>
      <c r="E53" s="49" t="s">
        <v>425</v>
      </c>
      <c r="F53" s="11"/>
      <c r="G53" s="11"/>
      <c r="H53" s="11"/>
      <c r="I53" s="12"/>
      <c r="J53" s="49" t="s">
        <v>298</v>
      </c>
      <c r="K53" s="11"/>
      <c r="L53" s="11"/>
      <c r="M53" s="11"/>
      <c r="N53" s="11"/>
      <c r="O53" s="11"/>
      <c r="P53" s="12"/>
      <c r="Q53" s="49" t="s">
        <v>426</v>
      </c>
      <c r="R53" s="11"/>
      <c r="S53" s="11"/>
      <c r="T53" s="11"/>
      <c r="U53" s="11"/>
      <c r="V53" s="11"/>
      <c r="W53" s="12"/>
      <c r="X53" s="49" t="s">
        <v>427</v>
      </c>
      <c r="Y53" s="11"/>
      <c r="Z53" s="11"/>
      <c r="AA53" s="11"/>
      <c r="AB53" s="11"/>
      <c r="AC53" s="11"/>
      <c r="AD53" s="12"/>
      <c r="AE53" s="48" t="s">
        <v>201</v>
      </c>
      <c r="AF53" s="12"/>
      <c r="AG53" s="48"/>
      <c r="AH53" s="11"/>
      <c r="AI53" s="12"/>
      <c r="AJ53" s="48"/>
      <c r="AK53" s="11"/>
      <c r="AL53" s="12"/>
      <c r="AM53" s="48"/>
      <c r="AN53" s="11"/>
      <c r="AO53" s="12"/>
      <c r="AP53" s="48"/>
      <c r="AQ53" s="11"/>
      <c r="AR53" s="12"/>
      <c r="AS53" s="48"/>
      <c r="AT53" s="11"/>
      <c r="AU53" s="12"/>
      <c r="AV53" s="48"/>
      <c r="AW53" s="11"/>
      <c r="AX53" s="12"/>
      <c r="AY53" s="48"/>
      <c r="AZ53" s="11"/>
      <c r="BA53" s="12"/>
      <c r="BB53" s="48"/>
      <c r="BC53" s="11"/>
      <c r="BD53" s="12"/>
      <c r="BE53" s="48"/>
      <c r="BF53" s="11"/>
      <c r="BG53" s="12"/>
      <c r="BH53" s="48"/>
      <c r="BI53" s="11"/>
      <c r="BJ53" s="12"/>
      <c r="BK53" s="49"/>
      <c r="BL53" s="11"/>
      <c r="BM53" s="11"/>
      <c r="BN53" s="11"/>
      <c r="BO53" s="11"/>
      <c r="BP53" s="11"/>
      <c r="BQ53" s="12"/>
    </row>
    <row r="54" ht="159.75" customHeight="1">
      <c r="A54" s="47">
        <v>38.0</v>
      </c>
      <c r="B54" s="49" t="s">
        <v>428</v>
      </c>
      <c r="C54" s="11"/>
      <c r="D54" s="12"/>
      <c r="E54" s="49" t="s">
        <v>429</v>
      </c>
      <c r="F54" s="11"/>
      <c r="G54" s="11"/>
      <c r="H54" s="11"/>
      <c r="I54" s="12"/>
      <c r="J54" s="49" t="s">
        <v>430</v>
      </c>
      <c r="K54" s="11"/>
      <c r="L54" s="11"/>
      <c r="M54" s="11"/>
      <c r="N54" s="11"/>
      <c r="O54" s="11"/>
      <c r="P54" s="12"/>
      <c r="Q54" s="49" t="s">
        <v>431</v>
      </c>
      <c r="R54" s="11"/>
      <c r="S54" s="11"/>
      <c r="T54" s="11"/>
      <c r="U54" s="11"/>
      <c r="V54" s="11"/>
      <c r="W54" s="12"/>
      <c r="X54" s="49" t="s">
        <v>432</v>
      </c>
      <c r="Y54" s="11"/>
      <c r="Z54" s="11"/>
      <c r="AA54" s="11"/>
      <c r="AB54" s="11"/>
      <c r="AC54" s="11"/>
      <c r="AD54" s="12"/>
      <c r="AE54" s="48" t="s">
        <v>201</v>
      </c>
      <c r="AF54" s="12"/>
      <c r="AG54" s="63" t="s">
        <v>53</v>
      </c>
      <c r="AH54" s="11"/>
      <c r="AI54" s="12"/>
      <c r="AJ54" s="48"/>
      <c r="AK54" s="11"/>
      <c r="AL54" s="12"/>
      <c r="AM54" s="48"/>
      <c r="AN54" s="11"/>
      <c r="AO54" s="12"/>
      <c r="AP54" s="48"/>
      <c r="AQ54" s="11"/>
      <c r="AR54" s="12"/>
      <c r="AS54" s="48"/>
      <c r="AT54" s="11"/>
      <c r="AU54" s="12"/>
      <c r="AV54" s="48"/>
      <c r="AW54" s="11"/>
      <c r="AX54" s="12"/>
      <c r="AY54" s="48"/>
      <c r="AZ54" s="11"/>
      <c r="BA54" s="12"/>
      <c r="BB54" s="48"/>
      <c r="BC54" s="11"/>
      <c r="BD54" s="12"/>
      <c r="BE54" s="48"/>
      <c r="BF54" s="11"/>
      <c r="BG54" s="12"/>
      <c r="BH54" s="48"/>
      <c r="BI54" s="11"/>
      <c r="BJ54" s="12"/>
      <c r="BK54" s="49"/>
      <c r="BL54" s="11"/>
      <c r="BM54" s="11"/>
      <c r="BN54" s="11"/>
      <c r="BO54" s="11"/>
      <c r="BP54" s="11"/>
      <c r="BQ54" s="12"/>
    </row>
    <row r="55" ht="111.75" customHeight="1">
      <c r="A55" s="47">
        <v>39.0</v>
      </c>
      <c r="B55" s="49" t="s">
        <v>433</v>
      </c>
      <c r="C55" s="11"/>
      <c r="D55" s="12"/>
      <c r="E55" s="49" t="s">
        <v>434</v>
      </c>
      <c r="F55" s="11"/>
      <c r="G55" s="11"/>
      <c r="H55" s="11"/>
      <c r="I55" s="12"/>
      <c r="J55" s="49" t="s">
        <v>298</v>
      </c>
      <c r="K55" s="11"/>
      <c r="L55" s="11"/>
      <c r="M55" s="11"/>
      <c r="N55" s="11"/>
      <c r="O55" s="11"/>
      <c r="P55" s="12"/>
      <c r="Q55" s="49" t="s">
        <v>435</v>
      </c>
      <c r="R55" s="11"/>
      <c r="S55" s="11"/>
      <c r="T55" s="11"/>
      <c r="U55" s="11"/>
      <c r="V55" s="11"/>
      <c r="W55" s="12"/>
      <c r="X55" s="49" t="s">
        <v>436</v>
      </c>
      <c r="Y55" s="11"/>
      <c r="Z55" s="11"/>
      <c r="AA55" s="11"/>
      <c r="AB55" s="11"/>
      <c r="AC55" s="11"/>
      <c r="AD55" s="12"/>
      <c r="AE55" s="48" t="s">
        <v>201</v>
      </c>
      <c r="AF55" s="12"/>
      <c r="AG55" s="48"/>
      <c r="AH55" s="11"/>
      <c r="AI55" s="12"/>
      <c r="AJ55" s="48"/>
      <c r="AK55" s="11"/>
      <c r="AL55" s="12"/>
      <c r="AM55" s="48"/>
      <c r="AN55" s="11"/>
      <c r="AO55" s="12"/>
      <c r="AP55" s="48"/>
      <c r="AQ55" s="11"/>
      <c r="AR55" s="12"/>
      <c r="AS55" s="48"/>
      <c r="AT55" s="11"/>
      <c r="AU55" s="12"/>
      <c r="AV55" s="48"/>
      <c r="AW55" s="11"/>
      <c r="AX55" s="12"/>
      <c r="AY55" s="48"/>
      <c r="AZ55" s="11"/>
      <c r="BA55" s="12"/>
      <c r="BB55" s="48"/>
      <c r="BC55" s="11"/>
      <c r="BD55" s="12"/>
      <c r="BE55" s="48"/>
      <c r="BF55" s="11"/>
      <c r="BG55" s="12"/>
      <c r="BH55" s="48"/>
      <c r="BI55" s="11"/>
      <c r="BJ55" s="12"/>
      <c r="BK55" s="49"/>
      <c r="BL55" s="11"/>
      <c r="BM55" s="11"/>
      <c r="BN55" s="11"/>
      <c r="BO55" s="11"/>
      <c r="BP55" s="11"/>
      <c r="BQ55" s="12"/>
    </row>
    <row r="56" ht="192.0" customHeight="1">
      <c r="A56" s="47">
        <v>40.0</v>
      </c>
      <c r="B56" s="49" t="s">
        <v>437</v>
      </c>
      <c r="C56" s="11"/>
      <c r="D56" s="12"/>
      <c r="E56" s="49" t="s">
        <v>438</v>
      </c>
      <c r="F56" s="11"/>
      <c r="G56" s="11"/>
      <c r="H56" s="11"/>
      <c r="I56" s="12"/>
      <c r="J56" s="49" t="s">
        <v>298</v>
      </c>
      <c r="K56" s="11"/>
      <c r="L56" s="11"/>
      <c r="M56" s="11"/>
      <c r="N56" s="11"/>
      <c r="O56" s="11"/>
      <c r="P56" s="12"/>
      <c r="Q56" s="49" t="s">
        <v>439</v>
      </c>
      <c r="R56" s="11"/>
      <c r="S56" s="11"/>
      <c r="T56" s="11"/>
      <c r="U56" s="11"/>
      <c r="V56" s="11"/>
      <c r="W56" s="12"/>
      <c r="X56" s="49" t="s">
        <v>440</v>
      </c>
      <c r="Y56" s="11"/>
      <c r="Z56" s="11"/>
      <c r="AA56" s="11"/>
      <c r="AB56" s="11"/>
      <c r="AC56" s="11"/>
      <c r="AD56" s="12"/>
      <c r="AE56" s="48" t="s">
        <v>201</v>
      </c>
      <c r="AF56" s="12"/>
      <c r="AG56" s="48"/>
      <c r="AH56" s="11"/>
      <c r="AI56" s="12"/>
      <c r="AJ56" s="48"/>
      <c r="AK56" s="11"/>
      <c r="AL56" s="12"/>
      <c r="AM56" s="48"/>
      <c r="AN56" s="11"/>
      <c r="AO56" s="12"/>
      <c r="AP56" s="48"/>
      <c r="AQ56" s="11"/>
      <c r="AR56" s="12"/>
      <c r="AS56" s="48"/>
      <c r="AT56" s="11"/>
      <c r="AU56" s="12"/>
      <c r="AV56" s="48"/>
      <c r="AW56" s="11"/>
      <c r="AX56" s="12"/>
      <c r="AY56" s="48"/>
      <c r="AZ56" s="11"/>
      <c r="BA56" s="12"/>
      <c r="BB56" s="48"/>
      <c r="BC56" s="11"/>
      <c r="BD56" s="12"/>
      <c r="BE56" s="48"/>
      <c r="BF56" s="11"/>
      <c r="BG56" s="12"/>
      <c r="BH56" s="48"/>
      <c r="BI56" s="11"/>
      <c r="BJ56" s="12"/>
      <c r="BK56" s="49"/>
      <c r="BL56" s="11"/>
      <c r="BM56" s="11"/>
      <c r="BN56" s="11"/>
      <c r="BO56" s="11"/>
      <c r="BP56" s="11"/>
      <c r="BQ56" s="12"/>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51">
    <mergeCell ref="BE36:BG36"/>
    <mergeCell ref="BH36:BJ36"/>
    <mergeCell ref="AJ36:AL36"/>
    <mergeCell ref="AM36:AO36"/>
    <mergeCell ref="AP36:AR36"/>
    <mergeCell ref="AS36:AU36"/>
    <mergeCell ref="AV36:AX36"/>
    <mergeCell ref="AY36:BA36"/>
    <mergeCell ref="BB36:BD36"/>
    <mergeCell ref="BE33:BG33"/>
    <mergeCell ref="BH33:BJ33"/>
    <mergeCell ref="BK33:BQ33"/>
    <mergeCell ref="AJ33:AL33"/>
    <mergeCell ref="AM33:AO33"/>
    <mergeCell ref="AP33:AR33"/>
    <mergeCell ref="AS33:AU33"/>
    <mergeCell ref="AV33:AX33"/>
    <mergeCell ref="AY33:BA33"/>
    <mergeCell ref="BB33:BD33"/>
    <mergeCell ref="E33:I33"/>
    <mergeCell ref="J33:P33"/>
    <mergeCell ref="Q33:W33"/>
    <mergeCell ref="X33:AD33"/>
    <mergeCell ref="AE33:AF33"/>
    <mergeCell ref="AG33:AI33"/>
    <mergeCell ref="A34:BQ34"/>
    <mergeCell ref="BB35:BD35"/>
    <mergeCell ref="BE35:BG35"/>
    <mergeCell ref="BH35:BJ35"/>
    <mergeCell ref="BK35:BQ35"/>
    <mergeCell ref="BK36:BQ36"/>
    <mergeCell ref="AG35:AI35"/>
    <mergeCell ref="AJ35:AL35"/>
    <mergeCell ref="AM35:AO35"/>
    <mergeCell ref="AP35:AR35"/>
    <mergeCell ref="AS35:AU35"/>
    <mergeCell ref="AV35:AX35"/>
    <mergeCell ref="AY35:BA35"/>
    <mergeCell ref="B33:D33"/>
    <mergeCell ref="B35:D35"/>
    <mergeCell ref="E35:I35"/>
    <mergeCell ref="J35:P35"/>
    <mergeCell ref="Q35:W35"/>
    <mergeCell ref="X35:AD35"/>
    <mergeCell ref="AE35:AF35"/>
    <mergeCell ref="B36:D36"/>
    <mergeCell ref="E36:I36"/>
    <mergeCell ref="J36:P36"/>
    <mergeCell ref="Q36:W36"/>
    <mergeCell ref="X36:AD36"/>
    <mergeCell ref="AE36:AF36"/>
    <mergeCell ref="AG36:AI36"/>
    <mergeCell ref="E48:I48"/>
    <mergeCell ref="J48:P48"/>
    <mergeCell ref="Q48:W48"/>
    <mergeCell ref="X48:AD48"/>
    <mergeCell ref="AE48:AF48"/>
    <mergeCell ref="AG48:AI48"/>
    <mergeCell ref="A49:BQ49"/>
    <mergeCell ref="B48:D48"/>
    <mergeCell ref="B50:D50"/>
    <mergeCell ref="E50:I50"/>
    <mergeCell ref="J50:P50"/>
    <mergeCell ref="Q50:W50"/>
    <mergeCell ref="X50:AD50"/>
    <mergeCell ref="AE50:AF50"/>
    <mergeCell ref="BH50:BJ50"/>
    <mergeCell ref="BK50:BQ50"/>
    <mergeCell ref="AM50:AO50"/>
    <mergeCell ref="AP50:AR50"/>
    <mergeCell ref="AS50:AU50"/>
    <mergeCell ref="AV50:AX50"/>
    <mergeCell ref="AY50:BA50"/>
    <mergeCell ref="BB50:BD50"/>
    <mergeCell ref="BE50:BG50"/>
    <mergeCell ref="BE46:BG46"/>
    <mergeCell ref="BH46:BJ46"/>
    <mergeCell ref="BK46:BQ46"/>
    <mergeCell ref="AJ46:AL46"/>
    <mergeCell ref="AM46:AO46"/>
    <mergeCell ref="AP46:AR46"/>
    <mergeCell ref="AS46:AU46"/>
    <mergeCell ref="AV46:AX46"/>
    <mergeCell ref="AY46:BA46"/>
    <mergeCell ref="BB46:BD46"/>
    <mergeCell ref="B46:D46"/>
    <mergeCell ref="E46:I46"/>
    <mergeCell ref="J46:P46"/>
    <mergeCell ref="Q46:W46"/>
    <mergeCell ref="X46:AD46"/>
    <mergeCell ref="AE46:AF46"/>
    <mergeCell ref="AG46:AI46"/>
    <mergeCell ref="BE47:BG47"/>
    <mergeCell ref="BH47:BJ47"/>
    <mergeCell ref="BK47:BQ47"/>
    <mergeCell ref="BK48:BQ48"/>
    <mergeCell ref="AJ47:AL47"/>
    <mergeCell ref="AM47:AO47"/>
    <mergeCell ref="AP47:AR47"/>
    <mergeCell ref="AS47:AU47"/>
    <mergeCell ref="AV47:AX47"/>
    <mergeCell ref="AY47:BA47"/>
    <mergeCell ref="BB47:BD47"/>
    <mergeCell ref="B47:D47"/>
    <mergeCell ref="E47:I47"/>
    <mergeCell ref="J47:P47"/>
    <mergeCell ref="Q47:W47"/>
    <mergeCell ref="X47:AD47"/>
    <mergeCell ref="AE47:AF47"/>
    <mergeCell ref="AG47:AI47"/>
    <mergeCell ref="BE51:BG51"/>
    <mergeCell ref="BH51:BJ51"/>
    <mergeCell ref="BK51:BQ51"/>
    <mergeCell ref="AJ51:AL51"/>
    <mergeCell ref="AM51:AO51"/>
    <mergeCell ref="AP51:AR51"/>
    <mergeCell ref="AS51:AU51"/>
    <mergeCell ref="AV51:AX51"/>
    <mergeCell ref="AY51:BA51"/>
    <mergeCell ref="BB51:BD51"/>
    <mergeCell ref="AJ53:AL53"/>
    <mergeCell ref="AM53:AO53"/>
    <mergeCell ref="AP53:AR53"/>
    <mergeCell ref="AS53:AU53"/>
    <mergeCell ref="AV53:AX53"/>
    <mergeCell ref="AY53:BA53"/>
    <mergeCell ref="BB53:BD53"/>
    <mergeCell ref="B53:D53"/>
    <mergeCell ref="E53:I53"/>
    <mergeCell ref="J53:P53"/>
    <mergeCell ref="Q53:W53"/>
    <mergeCell ref="X53:AD53"/>
    <mergeCell ref="AE53:AF53"/>
    <mergeCell ref="AG53:AI53"/>
    <mergeCell ref="BE54:BG54"/>
    <mergeCell ref="BH54:BJ54"/>
    <mergeCell ref="AJ54:AL54"/>
    <mergeCell ref="AM54:AO54"/>
    <mergeCell ref="AP54:AR54"/>
    <mergeCell ref="AS54:AU54"/>
    <mergeCell ref="AV54:AX54"/>
    <mergeCell ref="AY54:BA54"/>
    <mergeCell ref="BB54:BD54"/>
    <mergeCell ref="BE55:BG55"/>
    <mergeCell ref="BH55:BJ55"/>
    <mergeCell ref="BK55:BQ55"/>
    <mergeCell ref="AJ55:AL55"/>
    <mergeCell ref="AM55:AO55"/>
    <mergeCell ref="AP55:AR55"/>
    <mergeCell ref="AS55:AU55"/>
    <mergeCell ref="AV55:AX55"/>
    <mergeCell ref="AY55:BA55"/>
    <mergeCell ref="BB55:BD55"/>
    <mergeCell ref="B55:D55"/>
    <mergeCell ref="E55:I55"/>
    <mergeCell ref="J55:P55"/>
    <mergeCell ref="Q55:W55"/>
    <mergeCell ref="X55:AD55"/>
    <mergeCell ref="AE55:AF55"/>
    <mergeCell ref="AG55:AI55"/>
    <mergeCell ref="B56:D56"/>
    <mergeCell ref="E56:I56"/>
    <mergeCell ref="J56:P56"/>
    <mergeCell ref="Q56:W56"/>
    <mergeCell ref="X56:AD56"/>
    <mergeCell ref="AE56:AF56"/>
    <mergeCell ref="AG56:AI56"/>
    <mergeCell ref="BE56:BG56"/>
    <mergeCell ref="BH56:BJ56"/>
    <mergeCell ref="BK56:BQ56"/>
    <mergeCell ref="AJ56:AL56"/>
    <mergeCell ref="AM56:AO56"/>
    <mergeCell ref="AP56:AR56"/>
    <mergeCell ref="AS56:AU56"/>
    <mergeCell ref="AV56:AX56"/>
    <mergeCell ref="AY56:BA56"/>
    <mergeCell ref="BB56:BD56"/>
    <mergeCell ref="AE51:AF51"/>
    <mergeCell ref="AG51:AI51"/>
    <mergeCell ref="AG50:AI50"/>
    <mergeCell ref="AJ50:AL50"/>
    <mergeCell ref="B51:D51"/>
    <mergeCell ref="E51:I51"/>
    <mergeCell ref="J51:P51"/>
    <mergeCell ref="Q51:W51"/>
    <mergeCell ref="X51:AD51"/>
    <mergeCell ref="BE52:BG52"/>
    <mergeCell ref="BH52:BJ52"/>
    <mergeCell ref="BK52:BQ52"/>
    <mergeCell ref="AJ52:AL52"/>
    <mergeCell ref="AM52:AO52"/>
    <mergeCell ref="AP52:AR52"/>
    <mergeCell ref="AS52:AU52"/>
    <mergeCell ref="AV52:AX52"/>
    <mergeCell ref="AY52:BA52"/>
    <mergeCell ref="BB52:BD52"/>
    <mergeCell ref="B52:D52"/>
    <mergeCell ref="E52:I52"/>
    <mergeCell ref="J52:P52"/>
    <mergeCell ref="Q52:W52"/>
    <mergeCell ref="X52:AD52"/>
    <mergeCell ref="AE52:AF52"/>
    <mergeCell ref="AG52:AI52"/>
    <mergeCell ref="BE53:BG53"/>
    <mergeCell ref="BH53:BJ53"/>
    <mergeCell ref="BK53:BQ53"/>
    <mergeCell ref="BK54:BQ54"/>
    <mergeCell ref="B54:D54"/>
    <mergeCell ref="E54:I54"/>
    <mergeCell ref="J54:P54"/>
    <mergeCell ref="Q54:W54"/>
    <mergeCell ref="X54:AD54"/>
    <mergeCell ref="AE54:AF54"/>
    <mergeCell ref="AG54:AI54"/>
    <mergeCell ref="A1:E1"/>
    <mergeCell ref="F1:Q1"/>
    <mergeCell ref="R1:V1"/>
    <mergeCell ref="W1:AH1"/>
    <mergeCell ref="F2:Q2"/>
    <mergeCell ref="R2:V2"/>
    <mergeCell ref="W2:AH2"/>
    <mergeCell ref="A2:E2"/>
    <mergeCell ref="A3:E3"/>
    <mergeCell ref="F3:Q3"/>
    <mergeCell ref="R3:V3"/>
    <mergeCell ref="W3:AH3"/>
    <mergeCell ref="A4:E4"/>
    <mergeCell ref="F4:AH4"/>
    <mergeCell ref="T6:V6"/>
    <mergeCell ref="W6:Y6"/>
    <mergeCell ref="Z6:AB6"/>
    <mergeCell ref="AC6:AE6"/>
    <mergeCell ref="A5:S5"/>
    <mergeCell ref="T5:AH5"/>
    <mergeCell ref="H6:J6"/>
    <mergeCell ref="K6:M6"/>
    <mergeCell ref="N6:P6"/>
    <mergeCell ref="Q6:S6"/>
    <mergeCell ref="AF6:AH6"/>
    <mergeCell ref="W7:Y7"/>
    <mergeCell ref="Z7:AB7"/>
    <mergeCell ref="AC7:AE7"/>
    <mergeCell ref="AF7:AH7"/>
    <mergeCell ref="A6:G6"/>
    <mergeCell ref="A7:G7"/>
    <mergeCell ref="H7:J7"/>
    <mergeCell ref="K7:M7"/>
    <mergeCell ref="N7:P7"/>
    <mergeCell ref="Q7:S7"/>
    <mergeCell ref="T7:V7"/>
    <mergeCell ref="Z8:AB8"/>
    <mergeCell ref="AC8:AE8"/>
    <mergeCell ref="AF8:AH8"/>
    <mergeCell ref="A8:G8"/>
    <mergeCell ref="H8:J8"/>
    <mergeCell ref="K8:M8"/>
    <mergeCell ref="N8:P8"/>
    <mergeCell ref="Q8:S8"/>
    <mergeCell ref="T8:V8"/>
    <mergeCell ref="W8:Y8"/>
    <mergeCell ref="AS11:AU11"/>
    <mergeCell ref="AV11:AX11"/>
    <mergeCell ref="AY11:BA11"/>
    <mergeCell ref="BB11:BD11"/>
    <mergeCell ref="BE11:BG11"/>
    <mergeCell ref="BH11:BJ11"/>
    <mergeCell ref="A12:BQ12"/>
    <mergeCell ref="AG10:AU10"/>
    <mergeCell ref="AV10:BJ10"/>
    <mergeCell ref="BK10:BQ11"/>
    <mergeCell ref="AG11:AI11"/>
    <mergeCell ref="AJ11:AL11"/>
    <mergeCell ref="AM11:AO11"/>
    <mergeCell ref="AP11:AR11"/>
    <mergeCell ref="A10:A11"/>
    <mergeCell ref="B10:D11"/>
    <mergeCell ref="E10:I11"/>
    <mergeCell ref="J10:P11"/>
    <mergeCell ref="Q10:W11"/>
    <mergeCell ref="X10:AD11"/>
    <mergeCell ref="AE10:AF11"/>
    <mergeCell ref="BE15:BG15"/>
    <mergeCell ref="BH15:BJ15"/>
    <mergeCell ref="AJ15:AL15"/>
    <mergeCell ref="AM15:AO15"/>
    <mergeCell ref="AP15:AR15"/>
    <mergeCell ref="AS15:AU15"/>
    <mergeCell ref="AV15:AX15"/>
    <mergeCell ref="AY15:BA15"/>
    <mergeCell ref="BB15:BD15"/>
    <mergeCell ref="BE13:BG13"/>
    <mergeCell ref="BH13:BJ13"/>
    <mergeCell ref="BK13:BQ13"/>
    <mergeCell ref="AJ13:AL13"/>
    <mergeCell ref="AM13:AO13"/>
    <mergeCell ref="AP13:AR13"/>
    <mergeCell ref="AS13:AU13"/>
    <mergeCell ref="AV13:AX13"/>
    <mergeCell ref="AY13:BA13"/>
    <mergeCell ref="BB13:BD13"/>
    <mergeCell ref="B13:D13"/>
    <mergeCell ref="E13:I13"/>
    <mergeCell ref="J13:P13"/>
    <mergeCell ref="Q13:W13"/>
    <mergeCell ref="X13:AD13"/>
    <mergeCell ref="AE13:AF13"/>
    <mergeCell ref="AG13:AI13"/>
    <mergeCell ref="BE14:BG14"/>
    <mergeCell ref="BH14:BJ14"/>
    <mergeCell ref="BK14:BQ14"/>
    <mergeCell ref="BK15:BQ15"/>
    <mergeCell ref="AJ14:AL14"/>
    <mergeCell ref="AM14:AO14"/>
    <mergeCell ref="AP14:AR14"/>
    <mergeCell ref="AS14:AU14"/>
    <mergeCell ref="AV14:AX14"/>
    <mergeCell ref="AY14:BA14"/>
    <mergeCell ref="BB14:BD14"/>
    <mergeCell ref="B14:D14"/>
    <mergeCell ref="E14:I14"/>
    <mergeCell ref="J14:P14"/>
    <mergeCell ref="Q14:W14"/>
    <mergeCell ref="X14:AD14"/>
    <mergeCell ref="AE14:AF14"/>
    <mergeCell ref="AG14:AI14"/>
    <mergeCell ref="B15:D15"/>
    <mergeCell ref="E15:I15"/>
    <mergeCell ref="J15:P15"/>
    <mergeCell ref="Q15:W15"/>
    <mergeCell ref="X15:AD15"/>
    <mergeCell ref="AE15:AF15"/>
    <mergeCell ref="AG15:AI15"/>
    <mergeCell ref="BE18:BG18"/>
    <mergeCell ref="BH18:BJ18"/>
    <mergeCell ref="AJ18:AL18"/>
    <mergeCell ref="AM18:AO18"/>
    <mergeCell ref="AP18:AR18"/>
    <mergeCell ref="AS18:AU18"/>
    <mergeCell ref="AV18:AX18"/>
    <mergeCell ref="AY18:BA18"/>
    <mergeCell ref="BB18:BD18"/>
    <mergeCell ref="BE16:BG16"/>
    <mergeCell ref="BH16:BJ16"/>
    <mergeCell ref="BK16:BQ16"/>
    <mergeCell ref="AJ16:AL16"/>
    <mergeCell ref="AM16:AO16"/>
    <mergeCell ref="AP16:AR16"/>
    <mergeCell ref="AS16:AU16"/>
    <mergeCell ref="AV16:AX16"/>
    <mergeCell ref="AY16:BA16"/>
    <mergeCell ref="BB16:BD16"/>
    <mergeCell ref="B16:D16"/>
    <mergeCell ref="E16:I16"/>
    <mergeCell ref="J16:P16"/>
    <mergeCell ref="Q16:W16"/>
    <mergeCell ref="X16:AD16"/>
    <mergeCell ref="AE16:AF16"/>
    <mergeCell ref="AG16:AI16"/>
    <mergeCell ref="BE17:BG17"/>
    <mergeCell ref="BH17:BJ17"/>
    <mergeCell ref="BK17:BQ17"/>
    <mergeCell ref="BK18:BQ18"/>
    <mergeCell ref="AJ17:AL17"/>
    <mergeCell ref="AM17:AO17"/>
    <mergeCell ref="AP17:AR17"/>
    <mergeCell ref="AS17:AU17"/>
    <mergeCell ref="AV17:AX17"/>
    <mergeCell ref="AY17:BA17"/>
    <mergeCell ref="BB17:BD17"/>
    <mergeCell ref="B17:D17"/>
    <mergeCell ref="E17:I17"/>
    <mergeCell ref="J17:P17"/>
    <mergeCell ref="Q17:W17"/>
    <mergeCell ref="X17:AD17"/>
    <mergeCell ref="AE17:AF17"/>
    <mergeCell ref="AG17:AI17"/>
    <mergeCell ref="B18:D18"/>
    <mergeCell ref="E18:I18"/>
    <mergeCell ref="J18:P18"/>
    <mergeCell ref="Q18:W18"/>
    <mergeCell ref="X18:AD18"/>
    <mergeCell ref="AE18:AF18"/>
    <mergeCell ref="AG18:AI18"/>
    <mergeCell ref="BE48:BG48"/>
    <mergeCell ref="BH48:BJ48"/>
    <mergeCell ref="AJ48:AL48"/>
    <mergeCell ref="AM48:AO48"/>
    <mergeCell ref="AP48:AR48"/>
    <mergeCell ref="AS48:AU48"/>
    <mergeCell ref="AV48:AX48"/>
    <mergeCell ref="AY48:BA48"/>
    <mergeCell ref="BB48:BD48"/>
    <mergeCell ref="BB22:BD22"/>
    <mergeCell ref="BE22:BG22"/>
    <mergeCell ref="AG22:AI22"/>
    <mergeCell ref="AJ22:AL22"/>
    <mergeCell ref="AM22:AO22"/>
    <mergeCell ref="AP22:AR22"/>
    <mergeCell ref="AS22:AU22"/>
    <mergeCell ref="AV22:AX22"/>
    <mergeCell ref="AY22:BA22"/>
    <mergeCell ref="BE19:BG19"/>
    <mergeCell ref="BH19:BJ19"/>
    <mergeCell ref="BK19:BQ19"/>
    <mergeCell ref="AJ19:AL19"/>
    <mergeCell ref="AM19:AO19"/>
    <mergeCell ref="AP19:AR19"/>
    <mergeCell ref="AS19:AU19"/>
    <mergeCell ref="AV19:AX19"/>
    <mergeCell ref="AY19:BA19"/>
    <mergeCell ref="BB19:BD19"/>
    <mergeCell ref="B19:D19"/>
    <mergeCell ref="E19:I19"/>
    <mergeCell ref="J19:P19"/>
    <mergeCell ref="Q19:W19"/>
    <mergeCell ref="X19:AD19"/>
    <mergeCell ref="AE19:AF19"/>
    <mergeCell ref="AG19:AI19"/>
    <mergeCell ref="BE20:BG20"/>
    <mergeCell ref="BH20:BJ20"/>
    <mergeCell ref="BK20:BQ20"/>
    <mergeCell ref="BH22:BJ22"/>
    <mergeCell ref="BK22:BQ22"/>
    <mergeCell ref="AJ20:AL20"/>
    <mergeCell ref="AM20:AO20"/>
    <mergeCell ref="AP20:AR20"/>
    <mergeCell ref="AS20:AU20"/>
    <mergeCell ref="AV20:AX20"/>
    <mergeCell ref="AY20:BA20"/>
    <mergeCell ref="BB20:BD20"/>
    <mergeCell ref="E20:I20"/>
    <mergeCell ref="J20:P20"/>
    <mergeCell ref="Q20:W20"/>
    <mergeCell ref="X20:AD20"/>
    <mergeCell ref="AE20:AF20"/>
    <mergeCell ref="AG20:AI20"/>
    <mergeCell ref="A21:BQ21"/>
    <mergeCell ref="B20:D20"/>
    <mergeCell ref="B22:D22"/>
    <mergeCell ref="E22:I22"/>
    <mergeCell ref="J22:P22"/>
    <mergeCell ref="Q22:W22"/>
    <mergeCell ref="X22:AD22"/>
    <mergeCell ref="AE22:AF22"/>
    <mergeCell ref="BE25:BG25"/>
    <mergeCell ref="BH25:BJ25"/>
    <mergeCell ref="AJ25:AL25"/>
    <mergeCell ref="AM25:AO25"/>
    <mergeCell ref="AP25:AR25"/>
    <mergeCell ref="AS25:AU25"/>
    <mergeCell ref="AV25:AX25"/>
    <mergeCell ref="AY25:BA25"/>
    <mergeCell ref="BB25:BD25"/>
    <mergeCell ref="BE23:BG23"/>
    <mergeCell ref="BH23:BJ23"/>
    <mergeCell ref="BK23:BQ23"/>
    <mergeCell ref="AJ23:AL23"/>
    <mergeCell ref="AM23:AO23"/>
    <mergeCell ref="AP23:AR23"/>
    <mergeCell ref="AS23:AU23"/>
    <mergeCell ref="AV23:AX23"/>
    <mergeCell ref="AY23:BA23"/>
    <mergeCell ref="BB23:BD23"/>
    <mergeCell ref="B23:D23"/>
    <mergeCell ref="E23:I23"/>
    <mergeCell ref="J23:P23"/>
    <mergeCell ref="Q23:W23"/>
    <mergeCell ref="X23:AD23"/>
    <mergeCell ref="AE23:AF23"/>
    <mergeCell ref="AG23:AI23"/>
    <mergeCell ref="BE24:BG24"/>
    <mergeCell ref="BH24:BJ24"/>
    <mergeCell ref="BK24:BQ24"/>
    <mergeCell ref="BK25:BQ25"/>
    <mergeCell ref="AJ24:AL24"/>
    <mergeCell ref="AM24:AO24"/>
    <mergeCell ref="AP24:AR24"/>
    <mergeCell ref="AS24:AU24"/>
    <mergeCell ref="AV24:AX24"/>
    <mergeCell ref="AY24:BA24"/>
    <mergeCell ref="BB24:BD24"/>
    <mergeCell ref="B24:D24"/>
    <mergeCell ref="E24:I24"/>
    <mergeCell ref="J24:P24"/>
    <mergeCell ref="Q24:W24"/>
    <mergeCell ref="X24:AD24"/>
    <mergeCell ref="AE24:AF24"/>
    <mergeCell ref="AG24:AI24"/>
    <mergeCell ref="B25:D25"/>
    <mergeCell ref="E25:I25"/>
    <mergeCell ref="J25:P25"/>
    <mergeCell ref="Q25:W25"/>
    <mergeCell ref="X25:AD25"/>
    <mergeCell ref="AE25:AF25"/>
    <mergeCell ref="AG25:AI25"/>
    <mergeCell ref="BB29:BD29"/>
    <mergeCell ref="BE29:BG29"/>
    <mergeCell ref="AG29:AI29"/>
    <mergeCell ref="AJ29:AL29"/>
    <mergeCell ref="AM29:AO29"/>
    <mergeCell ref="AP29:AR29"/>
    <mergeCell ref="AS29:AU29"/>
    <mergeCell ref="AV29:AX29"/>
    <mergeCell ref="AY29:BA29"/>
    <mergeCell ref="BE26:BG26"/>
    <mergeCell ref="BH26:BJ26"/>
    <mergeCell ref="BK26:BQ26"/>
    <mergeCell ref="AJ26:AL26"/>
    <mergeCell ref="AM26:AO26"/>
    <mergeCell ref="AP26:AR26"/>
    <mergeCell ref="AS26:AU26"/>
    <mergeCell ref="AV26:AX26"/>
    <mergeCell ref="AY26:BA26"/>
    <mergeCell ref="BB26:BD26"/>
    <mergeCell ref="B26:D26"/>
    <mergeCell ref="E26:I26"/>
    <mergeCell ref="J26:P26"/>
    <mergeCell ref="Q26:W26"/>
    <mergeCell ref="X26:AD26"/>
    <mergeCell ref="AE26:AF26"/>
    <mergeCell ref="AG26:AI26"/>
    <mergeCell ref="BE27:BG27"/>
    <mergeCell ref="BH27:BJ27"/>
    <mergeCell ref="BK27:BQ27"/>
    <mergeCell ref="BH29:BJ29"/>
    <mergeCell ref="BK29:BQ29"/>
    <mergeCell ref="AJ27:AL27"/>
    <mergeCell ref="AM27:AO27"/>
    <mergeCell ref="AP27:AR27"/>
    <mergeCell ref="AS27:AU27"/>
    <mergeCell ref="AV27:AX27"/>
    <mergeCell ref="AY27:BA27"/>
    <mergeCell ref="BB27:BD27"/>
    <mergeCell ref="E27:I27"/>
    <mergeCell ref="J27:P27"/>
    <mergeCell ref="Q27:W27"/>
    <mergeCell ref="X27:AD27"/>
    <mergeCell ref="AE27:AF27"/>
    <mergeCell ref="AG27:AI27"/>
    <mergeCell ref="A28:BQ28"/>
    <mergeCell ref="B27:D27"/>
    <mergeCell ref="B29:D29"/>
    <mergeCell ref="E29:I29"/>
    <mergeCell ref="J29:P29"/>
    <mergeCell ref="Q29:W29"/>
    <mergeCell ref="X29:AD29"/>
    <mergeCell ref="AE29:AF29"/>
    <mergeCell ref="BE32:BG32"/>
    <mergeCell ref="BH32:BJ32"/>
    <mergeCell ref="AJ32:AL32"/>
    <mergeCell ref="AM32:AO32"/>
    <mergeCell ref="AP32:AR32"/>
    <mergeCell ref="AS32:AU32"/>
    <mergeCell ref="AV32:AX32"/>
    <mergeCell ref="AY32:BA32"/>
    <mergeCell ref="BB32:BD32"/>
    <mergeCell ref="BE30:BG30"/>
    <mergeCell ref="BH30:BJ30"/>
    <mergeCell ref="BK30:BQ30"/>
    <mergeCell ref="AJ30:AL30"/>
    <mergeCell ref="AM30:AO30"/>
    <mergeCell ref="AP30:AR30"/>
    <mergeCell ref="AS30:AU30"/>
    <mergeCell ref="AV30:AX30"/>
    <mergeCell ref="AY30:BA30"/>
    <mergeCell ref="BB30:BD30"/>
    <mergeCell ref="B30:D30"/>
    <mergeCell ref="E30:I30"/>
    <mergeCell ref="J30:P30"/>
    <mergeCell ref="Q30:W30"/>
    <mergeCell ref="X30:AD30"/>
    <mergeCell ref="AE30:AF30"/>
    <mergeCell ref="AG30:AI30"/>
    <mergeCell ref="BE31:BG31"/>
    <mergeCell ref="BH31:BJ31"/>
    <mergeCell ref="BK31:BQ31"/>
    <mergeCell ref="BK32:BQ32"/>
    <mergeCell ref="AJ31:AL31"/>
    <mergeCell ref="AM31:AO31"/>
    <mergeCell ref="AP31:AR31"/>
    <mergeCell ref="AS31:AU31"/>
    <mergeCell ref="AV31:AX31"/>
    <mergeCell ref="AY31:BA31"/>
    <mergeCell ref="BB31:BD31"/>
    <mergeCell ref="B31:D31"/>
    <mergeCell ref="E31:I31"/>
    <mergeCell ref="J31:P31"/>
    <mergeCell ref="Q31:W31"/>
    <mergeCell ref="X31:AD31"/>
    <mergeCell ref="AE31:AF31"/>
    <mergeCell ref="AG31:AI31"/>
    <mergeCell ref="B32:D32"/>
    <mergeCell ref="E32:I32"/>
    <mergeCell ref="J32:P32"/>
    <mergeCell ref="Q32:W32"/>
    <mergeCell ref="X32:AD32"/>
    <mergeCell ref="AE32:AF32"/>
    <mergeCell ref="AG32:AI32"/>
    <mergeCell ref="BE39:BG39"/>
    <mergeCell ref="BH39:BJ39"/>
    <mergeCell ref="AJ39:AL39"/>
    <mergeCell ref="AM39:AO39"/>
    <mergeCell ref="AP39:AR39"/>
    <mergeCell ref="AS39:AU39"/>
    <mergeCell ref="AV39:AX39"/>
    <mergeCell ref="AY39:BA39"/>
    <mergeCell ref="BB39:BD39"/>
    <mergeCell ref="BE37:BG37"/>
    <mergeCell ref="BH37:BJ37"/>
    <mergeCell ref="BK37:BQ37"/>
    <mergeCell ref="AJ37:AL37"/>
    <mergeCell ref="AM37:AO37"/>
    <mergeCell ref="AP37:AR37"/>
    <mergeCell ref="AS37:AU37"/>
    <mergeCell ref="AV37:AX37"/>
    <mergeCell ref="AY37:BA37"/>
    <mergeCell ref="BB37:BD37"/>
    <mergeCell ref="B37:D37"/>
    <mergeCell ref="E37:I37"/>
    <mergeCell ref="J37:P37"/>
    <mergeCell ref="Q37:W37"/>
    <mergeCell ref="X37:AD37"/>
    <mergeCell ref="AE37:AF37"/>
    <mergeCell ref="AG37:AI37"/>
    <mergeCell ref="BE38:BG38"/>
    <mergeCell ref="BH38:BJ38"/>
    <mergeCell ref="BK38:BQ38"/>
    <mergeCell ref="BK39:BQ39"/>
    <mergeCell ref="AJ38:AL38"/>
    <mergeCell ref="AM38:AO38"/>
    <mergeCell ref="AP38:AR38"/>
    <mergeCell ref="AS38:AU38"/>
    <mergeCell ref="AV38:AX38"/>
    <mergeCell ref="AY38:BA38"/>
    <mergeCell ref="BB38:BD38"/>
    <mergeCell ref="B38:D38"/>
    <mergeCell ref="E38:I38"/>
    <mergeCell ref="J38:P38"/>
    <mergeCell ref="Q38:W38"/>
    <mergeCell ref="X38:AD38"/>
    <mergeCell ref="AE38:AF38"/>
    <mergeCell ref="AG38:AI38"/>
    <mergeCell ref="B39:D39"/>
    <mergeCell ref="E39:I39"/>
    <mergeCell ref="J39:P39"/>
    <mergeCell ref="Q39:W39"/>
    <mergeCell ref="X39:AD39"/>
    <mergeCell ref="AE39:AF39"/>
    <mergeCell ref="AG39:AI39"/>
    <mergeCell ref="BE42:BG42"/>
    <mergeCell ref="BH42:BJ42"/>
    <mergeCell ref="AJ42:AL42"/>
    <mergeCell ref="AM42:AO42"/>
    <mergeCell ref="AP42:AR42"/>
    <mergeCell ref="AS42:AU42"/>
    <mergeCell ref="AV42:AX42"/>
    <mergeCell ref="AY42:BA42"/>
    <mergeCell ref="BB42:BD42"/>
    <mergeCell ref="BE40:BG40"/>
    <mergeCell ref="BH40:BJ40"/>
    <mergeCell ref="BK40:BQ40"/>
    <mergeCell ref="AJ40:AL40"/>
    <mergeCell ref="AM40:AO40"/>
    <mergeCell ref="AP40:AR40"/>
    <mergeCell ref="AS40:AU40"/>
    <mergeCell ref="AV40:AX40"/>
    <mergeCell ref="AY40:BA40"/>
    <mergeCell ref="BB40:BD40"/>
    <mergeCell ref="B40:D40"/>
    <mergeCell ref="E40:I40"/>
    <mergeCell ref="J40:P40"/>
    <mergeCell ref="Q40:W40"/>
    <mergeCell ref="X40:AD40"/>
    <mergeCell ref="AE40:AF40"/>
    <mergeCell ref="AG40:AI40"/>
    <mergeCell ref="BE41:BG41"/>
    <mergeCell ref="BH41:BJ41"/>
    <mergeCell ref="BK41:BQ41"/>
    <mergeCell ref="BK42:BQ42"/>
    <mergeCell ref="AJ41:AL41"/>
    <mergeCell ref="AM41:AO41"/>
    <mergeCell ref="AP41:AR41"/>
    <mergeCell ref="AS41:AU41"/>
    <mergeCell ref="AV41:AX41"/>
    <mergeCell ref="AY41:BA41"/>
    <mergeCell ref="BB41:BD41"/>
    <mergeCell ref="B41:D41"/>
    <mergeCell ref="E41:I41"/>
    <mergeCell ref="J41:P41"/>
    <mergeCell ref="Q41:W41"/>
    <mergeCell ref="X41:AD41"/>
    <mergeCell ref="AE41:AF41"/>
    <mergeCell ref="AG41:AI41"/>
    <mergeCell ref="B42:D42"/>
    <mergeCell ref="E42:I42"/>
    <mergeCell ref="J42:P42"/>
    <mergeCell ref="Q42:W42"/>
    <mergeCell ref="X42:AD42"/>
    <mergeCell ref="AE42:AF42"/>
    <mergeCell ref="AG42:AI42"/>
    <mergeCell ref="BE45:BG45"/>
    <mergeCell ref="BH45:BJ45"/>
    <mergeCell ref="AJ45:AL45"/>
    <mergeCell ref="AM45:AO45"/>
    <mergeCell ref="AP45:AR45"/>
    <mergeCell ref="AS45:AU45"/>
    <mergeCell ref="AV45:AX45"/>
    <mergeCell ref="AY45:BA45"/>
    <mergeCell ref="BB45:BD45"/>
    <mergeCell ref="BE43:BG43"/>
    <mergeCell ref="BH43:BJ43"/>
    <mergeCell ref="BK43:BQ43"/>
    <mergeCell ref="AJ43:AL43"/>
    <mergeCell ref="AM43:AO43"/>
    <mergeCell ref="AP43:AR43"/>
    <mergeCell ref="AS43:AU43"/>
    <mergeCell ref="AV43:AX43"/>
    <mergeCell ref="AY43:BA43"/>
    <mergeCell ref="BB43:BD43"/>
    <mergeCell ref="B43:D43"/>
    <mergeCell ref="E43:I43"/>
    <mergeCell ref="J43:P43"/>
    <mergeCell ref="Q43:W43"/>
    <mergeCell ref="X43:AD43"/>
    <mergeCell ref="AE43:AF43"/>
    <mergeCell ref="AG43:AI43"/>
    <mergeCell ref="BE44:BG44"/>
    <mergeCell ref="BH44:BJ44"/>
    <mergeCell ref="BK44:BQ44"/>
    <mergeCell ref="BK45:BQ45"/>
    <mergeCell ref="AJ44:AL44"/>
    <mergeCell ref="AM44:AO44"/>
    <mergeCell ref="AP44:AR44"/>
    <mergeCell ref="AS44:AU44"/>
    <mergeCell ref="AV44:AX44"/>
    <mergeCell ref="AY44:BA44"/>
    <mergeCell ref="BB44:BD44"/>
    <mergeCell ref="B44:D44"/>
    <mergeCell ref="E44:I44"/>
    <mergeCell ref="J44:P44"/>
    <mergeCell ref="Q44:W44"/>
    <mergeCell ref="X44:AD44"/>
    <mergeCell ref="AE44:AF44"/>
    <mergeCell ref="AG44:AI44"/>
    <mergeCell ref="B45:D45"/>
    <mergeCell ref="E45:I45"/>
    <mergeCell ref="J45:P45"/>
    <mergeCell ref="Q45:W45"/>
    <mergeCell ref="X45:AD45"/>
    <mergeCell ref="AE45:AF45"/>
    <mergeCell ref="AG45:AI45"/>
  </mergeCells>
  <dataValidations>
    <dataValidation type="list" allowBlank="1" sqref="F1">
      <formula1>"単体テスト,結合テスト,システムテスト"</formula1>
    </dataValidation>
    <dataValidation type="list" allowBlank="1" sqref="AG13:AG20 AV13:AV20 AG22:AG27 AV22:AV27 AG29:AG33 AV29:AV33 AG35:AG48 AV35:AV48 AG50:AG56 AV50:AV56">
      <formula1>"合格,不合格,未テスト,N/A"</formula1>
    </dataValidation>
    <dataValidation type="list" allowBlank="1" sqref="AE13:AE20 AE22:AE27 AE29:AE33 AE35:AE48 AE50:AE56">
      <formula1>"N,A,B"</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2026-06-17T09:10:44Z</dcterms:created>
  <dc:creator>openpyxl</dc:creator>
</cp:coreProperties>
</file>