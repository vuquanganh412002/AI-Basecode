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uxLGuyg1/xQHFn0RwC/qaH20aZztr/7gXmL1WLWpzOg="/>
    </ext>
  </extLst>
</workbook>
</file>

<file path=xl/sharedStrings.xml><?xml version="1.0" encoding="utf-8"?>
<sst xmlns="http://schemas.openxmlformats.org/spreadsheetml/2006/main" count="842" uniqueCount="457">
  <si>
    <t>項番</t>
  </si>
  <si>
    <t>発行日</t>
  </si>
  <si>
    <t>バージョン</t>
  </si>
  <si>
    <t>担当者</t>
  </si>
  <si>
    <t>システム・アプリケーション名</t>
  </si>
  <si>
    <t>変更内容</t>
  </si>
  <si>
    <t>確認者</t>
  </si>
  <si>
    <t>ドキュメント</t>
  </si>
  <si>
    <t>承認者</t>
  </si>
  <si>
    <t>シート名</t>
  </si>
  <si>
    <t>作成日</t>
  </si>
  <si>
    <t>作成者</t>
  </si>
  <si>
    <t>2026/06/17</t>
  </si>
  <si>
    <t>更新日</t>
  </si>
  <si>
    <t>1.0</t>
  </si>
  <si>
    <t>更新者</t>
  </si>
  <si>
    <t>Kieu Thi Diem</t>
  </si>
  <si>
    <t>Tạo bản đầu tiên</t>
  </si>
  <si>
    <t>クラウド版購読者管理システム</t>
  </si>
  <si>
    <t>&lt;単体/結合/システム&gt; テスト報告書</t>
  </si>
  <si>
    <t>Nguyen Huy Dat</t>
  </si>
  <si>
    <t>テスト仕様書</t>
  </si>
  <si>
    <t>概要</t>
  </si>
  <si>
    <t>2026/08/06</t>
  </si>
  <si>
    <t>配達手数料支払情報出力画面</t>
  </si>
  <si>
    <t>1.1</t>
  </si>
  <si>
    <t>Tran Duc Tuyen</t>
  </si>
  <si>
    <t>Đồng bộ với bản tiếng Nhật: ①bổ sung cột「手数料」vào TC-012 (hiển thị grid) và TC-029 (header Excel) — bản v1.1 tiếng Nhật (2026/07/02) đã đổi cột này từ đơn giá phí giao báo sang phân loại bên chịu phí chuyển khoản (nhãn m_code TESURYO_KUBUN) nhưng bản này chưa phản ánh. ②tạo カテゴリ6 và thêm 2 ca (041〜042): giới hạn đối tượng tổng hợp chỉ bản giấy (#56599) và chặn xuất file khi có cửa hàng bán tham chiếu đơn giá phí giao báo hết hiệu lực (HTTP 409 INACTIVE_TANKA_REFERENCED)</t>
  </si>
  <si>
    <t>版1.0</t>
  </si>
  <si>
    <t>フォーマットコード</t>
  </si>
  <si>
    <t>プロジェクト名</t>
  </si>
  <si>
    <t>16-BM/PM/VTI</t>
  </si>
  <si>
    <t>フォーマットバージョン</t>
  </si>
  <si>
    <t>1.システム概要</t>
  </si>
  <si>
    <t>プロジェクトマネージャ</t>
  </si>
  <si>
    <t>Hệ thống này là hệ thống quản lý độc giả dạng cloud dành cho JA, cung cấp các chức năng như quản lý thông tin người đăng ký, quản lý lịch sử đăng ký, quản lý dữ liệu chuyển khoản tài khoản.</t>
  </si>
  <si>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</si>
  <si>
    <t>Ngoài ra, hệ thống còn hỗ trợ các chức năng bảo mật・kiểm toán như quản lý đăng nhập của người dùng, ghi lại lịch sử đăng nhập, ghi lại log thao tác của người dùng.</t>
  </si>
  <si>
    <t>2.資料目的</t>
  </si>
  <si>
    <t>Đây là tài liệu mô tả chi tiết bản đặc tả kiểm thử được tạo mới trên hệ thống tại「Màn hình xuất thông tin thanh toán phí giao hàng（ACSMS-SCR-021）」.</t>
  </si>
  <si>
    <t>3.関連資料</t>
  </si>
  <si>
    <t>No</t>
  </si>
  <si>
    <t>資料コード</t>
  </si>
  <si>
    <t>資料名</t>
  </si>
  <si>
    <t>ACSMS-SCR-021</t>
  </si>
  <si>
    <t>#</t>
  </si>
  <si>
    <t>配達手数料支払情報出力画面 設計書</t>
  </si>
  <si>
    <t>機能名</t>
  </si>
  <si>
    <t>テストケース分類</t>
  </si>
  <si>
    <t>配達手数料支払情報出力画面 API設計書</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</si>
  <si>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</si>
  <si>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</si>
  <si>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</si>
  <si>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</si>
  <si>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</si>
  <si>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</si>
  <si>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</si>
  <si>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</si>
  <si>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</si>
  <si>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</si>
  <si>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</si>
  <si>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</si>
  <si>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</si>
  <si>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</si>
  <si>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</si>
  <si>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</si>
  <si>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</si>
  <si>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</si>
  <si>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</si>
  <si>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</si>
  <si>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</si>
  <si>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</si>
  <si>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</si>
  <si>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</si>
  <si>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</si>
  <si>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</si>
  <si>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</si>
  <si>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</si>
  <si>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</si>
  <si>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</si>
  <si>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</si>
  <si>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</si>
  <si>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</si>
  <si>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テストレベル</t>
  </si>
  <si>
    <t>URL直接アクセス攻撃</t>
  </si>
  <si>
    <t>結合テスト</t>
  </si>
  <si>
    <t>VP-A-05</t>
  </si>
  <si>
    <t>機能／モジュール</t>
  </si>
  <si>
    <t>ACSMS-SCR-021_配達手数料支払情報出力画面</t>
  </si>
  <si>
    <t>セッション失効／401 ハンドリング</t>
  </si>
  <si>
    <t>全システム</t>
  </si>
  <si>
    <t>VP-A-06</t>
  </si>
  <si>
    <t>XSS／HTML 描画安全性</t>
  </si>
  <si>
    <t>約20フォーム</t>
  </si>
  <si>
    <t>確認日</t>
  </si>
  <si>
    <t>VP-A-07</t>
  </si>
  <si>
    <t>テスト環境</t>
  </si>
  <si>
    <t>Windows 10/11, Chrome, Edge</t>
  </si>
  <si>
    <t>CSRF／Cookie セキュリティフラグ</t>
  </si>
  <si>
    <t>分類</t>
  </si>
  <si>
    <t>VP-A-08</t>
  </si>
  <si>
    <t>レート制限・Throttling</t>
  </si>
  <si>
    <t>回目</t>
  </si>
  <si>
    <t>中</t>
  </si>
  <si>
    <t>全公開API＋認証エンドポイント</t>
  </si>
  <si>
    <t>境界値</t>
  </si>
  <si>
    <t>VP-A-09</t>
  </si>
  <si>
    <t>アカウントロック・解除運用</t>
  </si>
  <si>
    <t>1回目</t>
  </si>
  <si>
    <t>SCR-001／002＋管理機能</t>
  </si>
  <si>
    <t>VP-A-10</t>
  </si>
  <si>
    <t>SQL インジェクション</t>
  </si>
  <si>
    <t>約20フォーム＋検索</t>
  </si>
  <si>
    <t>VP-B-01</t>
  </si>
  <si>
    <t>B. データバリデーション</t>
  </si>
  <si>
    <t>必須項目チェック</t>
  </si>
  <si>
    <t>約25フォーム</t>
  </si>
  <si>
    <t>VP-B-02</t>
  </si>
  <si>
    <t>2回目</t>
  </si>
  <si>
    <t>最小／最大長境界</t>
  </si>
  <si>
    <t>VP-B-03</t>
  </si>
  <si>
    <t>形式正規表現（郵便／電話／コード）</t>
  </si>
  <si>
    <t>VP-B-04</t>
  </si>
  <si>
    <t>要件ID</t>
  </si>
  <si>
    <t>説明</t>
  </si>
  <si>
    <t>半角／全角ハンドリング</t>
  </si>
  <si>
    <t>前提条件</t>
  </si>
  <si>
    <t>ステップ／手順</t>
  </si>
  <si>
    <t>期待結果／アウトプット</t>
  </si>
  <si>
    <t>種類</t>
  </si>
  <si>
    <t>テスト1回目の結果</t>
  </si>
  <si>
    <t>VP-B-05</t>
  </si>
  <si>
    <t>テスト2回目の結果</t>
  </si>
  <si>
    <t>日付ロジック</t>
  </si>
  <si>
    <t>備考</t>
  </si>
  <si>
    <t>約10日付付きフォーム</t>
  </si>
  <si>
    <t>VP-B-06</t>
  </si>
  <si>
    <t>結果</t>
  </si>
  <si>
    <t>通貨／パーセント形式</t>
  </si>
  <si>
    <t>実績／
アウトプット</t>
  </si>
  <si>
    <t>2-3フォーム（単価）</t>
  </si>
  <si>
    <t>確認日付
（MM/DD）</t>
  </si>
  <si>
    <t>バグID</t>
  </si>
  <si>
    <t>VP-B-07</t>
  </si>
  <si>
    <t>マスタコード（m_code）参照</t>
  </si>
  <si>
    <t>カテゴリ1: Kiểm soát quyền truy cập (Access Control)</t>
  </si>
  <si>
    <t>約15ドロップダウン付きフォーム</t>
  </si>
  <si>
    <t>VP-B-08</t>
  </si>
  <si>
    <t>キー重複（duplicate code）</t>
  </si>
  <si>
    <t>ACSMS-TC-021-001</t>
  </si>
  <si>
    <t>Cấm truy cập màn hình（NICHINO_ADMIN）</t>
  </si>
  <si>
    <t>約10マスタ</t>
  </si>
  <si>
    <t>・Đã đăng nhập bằng NICHINO_ADMIN（đã xác thực 2 bước）
・Không có quyền「haitatsuryo.export」</t>
  </si>
  <si>
    <r>
      <rPr>
        <rFont val="メイリオ"/>
        <b/>
        <color rgb="FF000000"/>
        <sz val="10.0"/>
      </rPr>
      <t xml:space="preserve">ステップ1：
</t>
    </r>
    <r>
      <rPr>
        <rFont val="メイリオ"/>
        <color rgb="FF000000"/>
        <sz val="10.0"/>
      </rPr>
      <t xml:space="preserve">Mở dashboard, xác nhận mục「配達手数料支払情報出力」không hiển thị trong sidebar
</t>
    </r>
    <r>
      <rPr>
        <rFont val="メイリオ"/>
        <b/>
        <color rgb="FF000000"/>
        <sz val="10.0"/>
      </rPr>
      <t xml:space="preserve">ステップ2：
</t>
    </r>
    <r>
      <rPr>
        <rFont val="メイリオ"/>
        <color rgb="FF000000"/>
        <sz val="10.0"/>
      </rPr>
      <t xml:space="preserve">Nhập「/haitatsuryo」vào thanh địa chỉ trình duyệt và truy cập trực tiếp
</t>
    </r>
    <r>
      <rPr>
        <rFont val="メイリオ"/>
        <b/>
        <color rgb="FF000000"/>
        <sz val="10.0"/>
      </rPr>
      <t xml:space="preserve">ステップ3：
</t>
    </r>
    <r>
      <rPr>
        <rFont val="メイリオ"/>
        <color rgb="FF000000"/>
        <sz val="10.0"/>
      </rPr>
      <t>Gửi GET「/api/v1/haitatsuryo/preview」với request parameter hợp lệ qua tab Network của DevTools</t>
    </r>
  </si>
  <si>
    <t>VP-B-09</t>
  </si>
  <si>
    <r>
      <rPr>
        <rFont val="メイリオ"/>
        <b/>
        <color rgb="FF000000"/>
        <sz val="10.0"/>
      </rPr>
      <t xml:space="preserve">ステップ1：
</t>
    </r>
    <r>
      <rPr>
        <rFont val="メイリオ"/>
        <color rgb="FF000000"/>
        <sz val="10.0"/>
      </rPr>
      <t xml:space="preserve">Mục「配達手数料支払情報出力」không hiển thị trong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 message `この画面へのアクセス権限がありません。`）
</t>
    </r>
    <r>
      <rPr>
        <rFont val="メイリオ"/>
        <b/>
        <color rgb="FF000000"/>
        <sz val="10.0"/>
      </rPr>
      <t xml:space="preserve">補足：
</t>
    </r>
    <r>
      <rPr>
        <rFont val="メイリオ"/>
        <color rgb="FF000000"/>
        <sz val="10.0"/>
      </rPr>
      <t>・Truy cập được kiểm soát ở cả 3 lớp: menu FE, router guard FE, API guard BE</t>
    </r>
  </si>
  <si>
    <t>A</t>
  </si>
  <si>
    <t>IME・全角入力・貼付ハンドリング</t>
  </si>
  <si>
    <t>anh.vuquang</t>
  </si>
  <si>
    <t>全テキスト入力フォーム＋検索画面</t>
  </si>
  <si>
    <t>VP-C-01</t>
  </si>
  <si>
    <t>C. 業務ロジック</t>
  </si>
  <si>
    <t>CRUD 正常系 + DB 永続化</t>
  </si>
  <si>
    <t>ACSMS-TC-021-002</t>
  </si>
  <si>
    <t>Cấm truy cập màn hình（NICHINO_STAFF）</t>
  </si>
  <si>
    <t>・Đã đăng nhập bằng NICHINO_STAFF（đã xác thực 2 bước）
・Không có quyền「haitatsuryo.export」</t>
  </si>
  <si>
    <t>VP-C-02</t>
  </si>
  <si>
    <r>
      <rPr>
        <rFont val="メイリオ"/>
        <b/>
        <color rgb="FF000000"/>
        <sz val="10.0"/>
      </rPr>
      <t xml:space="preserve">ステップ1：
</t>
    </r>
    <r>
      <rPr>
        <rFont val="メイリオ"/>
        <color rgb="FF000000"/>
        <sz val="10.0"/>
      </rPr>
      <t xml:space="preserve">Mở dashboard, xác nhận mục「配達手数料支払情報出力」không hiển thị trong sidebar
</t>
    </r>
    <r>
      <rPr>
        <rFont val="メイリオ"/>
        <b/>
        <color rgb="FF000000"/>
        <sz val="10.0"/>
      </rPr>
      <t xml:space="preserve">ステップ2：
</t>
    </r>
    <r>
      <rPr>
        <rFont val="メイリオ"/>
        <color rgb="FF000000"/>
        <sz val="10.0"/>
      </rPr>
      <t xml:space="preserve">Nhập「/haitatsuryo」vào thanh địa chỉ trình duyệt và truy cập trực tiếp
</t>
    </r>
    <r>
      <rPr>
        <rFont val="メイリオ"/>
        <b/>
        <color rgb="FF000000"/>
        <sz val="10.0"/>
      </rPr>
      <t xml:space="preserve">ステップ3：
</t>
    </r>
    <r>
      <rPr>
        <rFont val="メイリオ"/>
        <color rgb="FF000000"/>
        <sz val="10.0"/>
      </rPr>
      <t>Gửi POST「/api/v1/haitatsuryo/export」với request body hợp lệ qua tab Network của DevTools</t>
    </r>
  </si>
  <si>
    <r>
      <rPr>
        <rFont val="メイリオ"/>
        <b/>
        <color rgb="FF000000"/>
        <sz val="10.0"/>
      </rPr>
      <t xml:space="preserve">ステップ1：
</t>
    </r>
    <r>
      <rPr>
        <rFont val="メイリオ"/>
        <color rgb="FF000000"/>
        <sz val="10.0"/>
      </rPr>
      <t xml:space="preserve">Mục「配達手数料支払情報出力」không hiển thị trong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Trả về HTTP 403（`error_code: FORBIDDEN`, message `この画面へのアクセス権限がありません。`）</t>
    </r>
  </si>
  <si>
    <t>同時編集競合</t>
  </si>
  <si>
    <t>約8編集画面</t>
  </si>
  <si>
    <t>VP-C-03</t>
  </si>
  <si>
    <t>ACSMS-TC-021-003</t>
  </si>
  <si>
    <t>Cho phép truy cập màn hình（CHUOKAI）</t>
  </si>
  <si>
    <t>論理削除 + FK 関連</t>
  </si>
  <si>
    <t>・Đã đăng nhập bằng CHUOKAI（đã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</si>
  <si>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</si>
  <si>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t>約6関連付きマスタ</t>
  </si>
  <si>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Chuyển sang「/haitatsuryo」và màn hình thiết lập xuất được hiển thị</t>
    </r>
  </si>
  <si>
    <t>N</t>
  </si>
  <si>
    <t>VP-C-04</t>
  </si>
  <si>
    <t>税込／税抜計算</t>
  </si>
  <si>
    <t>単価マスタ</t>
  </si>
  <si>
    <t>VP-C-05</t>
  </si>
  <si>
    <t>ACSMS-TC-021-004</t>
  </si>
  <si>
    <t>Cho phép truy cập màn hình（JA_HONTEN）</t>
  </si>
  <si>
    <t>購読者種別ルール（読み取り専用）</t>
  </si>
  <si>
    <t>・Đã đăng nhập bằng JA_HONTEN（đã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</si>
  <si>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</si>
  <si>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t>購読者マスタ</t>
  </si>
  <si>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Chuyển sang「/haitatsuryo」và màn hình thiết lập xuất được hiển thị</t>
    </r>
  </si>
  <si>
    <t>VP-C-06</t>
  </si>
  <si>
    <t>Excel取込 部分成功</t>
  </si>
  <si>
    <t>2取込画面</t>
  </si>
  <si>
    <t>VP-C-07</t>
  </si>
  <si>
    <t>ACSMS-TC-021-005</t>
  </si>
  <si>
    <t>Cho phép truy cập màn hình（JA_KANRI_SHITEN）</t>
  </si>
  <si>
    <t>販売店一括置換</t>
  </si>
  <si>
    <t>・Đã đăng nhập bằng JA_KANRI_SHITEN（đã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</si>
  <si>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</si>
  <si>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t>一括置換</t>
  </si>
  <si>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 xml:space="preserve">Chuyển sang「/haitatsuryo」và màn hình thiết lập xuất được hiển thị
</t>
    </r>
    <r>
      <rPr>
        <rFont val="メイリオ"/>
        <b/>
        <color rgb="FF000000"/>
        <sz val="10.0"/>
      </rPr>
      <t xml:space="preserve">補足：
</t>
    </r>
    <r>
      <rPr>
        <rFont val="メイリオ"/>
        <color rgb="FF000000"/>
        <sz val="10.0"/>
      </rPr>
      <t>・Đối tượng tổng hợp được giới hạn chỉ trong các người đăng ký thuộc chi nhánh quản lý của chính mình（DataScope `kanri_shiten_id = user.kanri_shiten_id`）</t>
    </r>
  </si>
  <si>
    <t>VP-C-08</t>
  </si>
  <si>
    <t>レポート集計の正確性</t>
  </si>
  <si>
    <t>3レポート</t>
  </si>
  <si>
    <t>VP-D-01</t>
  </si>
  <si>
    <t>D. 統合・システム</t>
  </si>
  <si>
    <t>ACSMS-TC-021-006</t>
  </si>
  <si>
    <t>ログイン + MFA フロー</t>
  </si>
  <si>
    <t>DataScope（CHUOKAI chỉ tổng hợp JA của mình）</t>
  </si>
  <si>
    <t>・Đã đăng nhập bằng CHUOKAI（ja_id=1）
・Tồn tại người đăng ký là đối tượng tổng hợp ở cả JA của mình（ja_id=1）và JA khác（ja_id=2）</t>
  </si>
  <si>
    <t>SCR-001／002</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</si>
  <si>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các販売店 có trong kết quả tổng hợp</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</si>
  <si>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Chỉ販売店 thuộc JA của mình（ja_id=1）trở thành đối tượng tổng hợp, và販売店 của JA khác（ja_id=2）không bị bao gồm</t>
    </r>
  </si>
  <si>
    <t>VP-D-02</t>
  </si>
  <si>
    <t>セッションスライディング 24h</t>
  </si>
  <si>
    <t>VP-D-03</t>
  </si>
  <si>
    <t>パスワード再発行フロー</t>
  </si>
  <si>
    <t>ACSMS-TC-021-007</t>
  </si>
  <si>
    <t>DataScope（JA_KANRI_SHITEN chỉ tổng hợp chi nhánh quản lý của mình）</t>
  </si>
  <si>
    <t>・Đã đăng nhập bằng JA_KANRI_SHITEN（kanri_shiten_id=10）
・Tồn tại người đăng ký là đối tượng tổng hợp ở cả chi nhánh quản lý của mình（10）và chi nhánh quản lý khác（20）</t>
  </si>
  <si>
    <t>SCR-007</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</si>
  <si>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các販売店 có trong kết quả tổng hợp</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</si>
  <si>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Chỉ người đăng ký thuộc chi nhánh quản lý của mình（kanri_shiten_id=10）trở thành đối tượng tổng hợp, và người đăng ký của chi nhánh quản lý khác（20）không bị bao gồm
</t>
    </r>
    <r>
      <rPr>
        <rFont val="メイリオ"/>
        <b/>
        <color rgb="FF000000"/>
        <sz val="10.0"/>
      </rPr>
      <t xml:space="preserve">補足：
</t>
    </r>
    <r>
      <rPr>
        <rFont val="メイリオ"/>
        <color rgb="FF000000"/>
        <sz val="10.0"/>
      </rPr>
      <t>・Màn hình này không có mục để chỉ định JA khác／chi nhánh quản lý khác trong request, DataScope được áp dụng bằng việc tự động lọc phía server（mệnh đề WHERE）. Trong trường hợp truy cập ngoài phạm vi ở lớp API thì Trả về HTTP 403（`error_code: DATA_SCOPE_VIOLATION`, message `このデータへのアクセス権限がありません。`）</t>
    </r>
  </si>
  <si>
    <t>VP-D-04</t>
  </si>
  <si>
    <t>監査ログの完全性</t>
  </si>
  <si>
    <t>VP-D-05</t>
  </si>
  <si>
    <t>ACSMS-TC-021-008</t>
  </si>
  <si>
    <t>ファイルアップロード S3</t>
  </si>
  <si>
    <t>Truy cập URL trực tiếp（role không có quyền）</t>
  </si>
  <si>
    <t>・Đã đăng nhập bằng NICHINO_ADMIN（không có quyền「haitatsuryo.export」）</t>
  </si>
  <si>
    <r>
      <rPr>
        <rFont val="メイリオ"/>
        <b/>
        <color rgb="FF000000"/>
        <sz val="10.0"/>
      </rPr>
      <t xml:space="preserve">ステップ1：
</t>
    </r>
    <r>
      <rPr>
        <rFont val="メイリオ"/>
        <color rgb="FF000000"/>
        <sz val="10.0"/>
      </rPr>
      <t xml:space="preserve">Nhập trực tiếp「/haitatsuryo」vào thanh địa chỉ và truy cập
</t>
    </r>
    <r>
      <rPr>
        <rFont val="メイリオ"/>
        <b/>
        <color rgb="FF000000"/>
        <sz val="10.0"/>
      </rPr>
      <t xml:space="preserve">ステップ2：
</t>
    </r>
    <r>
      <rPr>
        <rFont val="メイリオ"/>
        <color rgb="FF000000"/>
        <sz val="10.0"/>
      </rPr>
      <t>Reload bằng phím F5 của trình duyệt</t>
    </r>
  </si>
  <si>
    <t>SCR-022</t>
  </si>
  <si>
    <r>
      <rPr>
        <rFont val="メイリオ"/>
        <b/>
        <color rgb="FF000000"/>
        <sz val="10.0"/>
      </rPr>
      <t xml:space="preserve">ステップ1：
</t>
    </r>
    <r>
      <rPr>
        <rFont val="メイリオ"/>
        <color rgb="FF000000"/>
        <sz val="10.0"/>
      </rPr>
      <t xml:space="preserve">Hiển thị toast「アクセス権がありません。」và chuyển sang「/dashboard」
</t>
    </r>
    <r>
      <rPr>
        <rFont val="メイリオ"/>
        <b/>
        <color rgb="FF000000"/>
        <sz val="10.0"/>
      </rPr>
      <t xml:space="preserve">ステップ2：
</t>
    </r>
    <r>
      <rPr>
        <rFont val="メイリオ"/>
        <color rgb="FF000000"/>
        <sz val="10.0"/>
      </rPr>
      <t>Sau khi reload màn hình vẫn không hiển thị và chuyển sang「/dashboard」</t>
    </r>
  </si>
  <si>
    <t>VP-D-06</t>
  </si>
  <si>
    <t>メール通知</t>
  </si>
  <si>
    <t>SCR-001／007／お知らせ</t>
  </si>
  <si>
    <t>(なし)
---</t>
  </si>
  <si>
    <t>VP-D-07</t>
  </si>
  <si>
    <t>カテゴリ2: Hiển thị màn hình (Layout / Rendering)</t>
  </si>
  <si>
    <t>外部 CSV 形式準拠</t>
  </si>
  <si>
    <t>SCR-008／009</t>
  </si>
  <si>
    <t>VP-D-08</t>
  </si>
  <si>
    <t>ネットワーク／500／タイムアウト</t>
  </si>
  <si>
    <t>ACSMS-TC-021-009</t>
  </si>
  <si>
    <t>Hiển thị tiêu đề màn hình・breadcrumb</t>
  </si>
  <si>
    <t>・Đã đăng nhập bằng CHUOKAI</t>
  </si>
  <si>
    <t>VP-D-09</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</si>
  <si>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</si>
  <si>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hình「配達手数料支払情報出力」được hiển thị, và breadcrumb「ホーム &gt; 配達手数料支払情報出力」được hiển thị</t>
    </r>
  </si>
  <si>
    <t>パスワード再発行 旧token無効化＋クールダウン</t>
  </si>
  <si>
    <t>VP-E-01</t>
  </si>
  <si>
    <t>E. 非機能・ユーザビリティ</t>
  </si>
  <si>
    <t>レイアウト／デザイントークン</t>
  </si>
  <si>
    <t>低</t>
  </si>
  <si>
    <t>全画面</t>
  </si>
  <si>
    <t>ACSMS-TC-021-010</t>
  </si>
  <si>
    <t>Hiển thị ban đầu（đầu vào trống・grid trống）</t>
  </si>
  <si>
    <t>VP-E-02</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</si>
  <si>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trạng thái ban đầu của vùng đầu vào và vùng grid</t>
    </r>
  </si>
  <si>
    <t>レスポンシブ（モバイル／タブレット）</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</si>
  <si>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・Vùng đầu vào（năm tháng ngày・chu kỳ thanh toán phí giao hàng）được hiển thị trống
</t>
    </r>
    <r>
      <rPr>
        <rFont val="メイリオ"/>
        <color rgb="FF000000"/>
        <sz val="10.0"/>
      </rPr>
      <t>・Không tồn tại dữ liệu trong vùng grid</t>
    </r>
  </si>
  <si>
    <t>VP-E-03</t>
  </si>
  <si>
    <t>キーボード操作</t>
  </si>
  <si>
    <t>ACSMS-TC-021-011</t>
  </si>
  <si>
    <t>Ô nhập chu kỳ thanh toán phí giao hàng</t>
  </si>
  <si>
    <t>VP-E-04</t>
  </si>
  <si>
    <r>
      <rPr>
        <rFont val="游ゴシック"/>
        <b/>
        <color rgb="FF000000"/>
        <sz val="10.0"/>
      </rPr>
      <t xml:space="preserve">ステップ1：
</t>
    </r>
    <r>
      <rPr>
        <rFont val="游ゴシック"/>
        <color rgb="FF000000"/>
        <sz val="10.0"/>
      </rPr>
      <t xml:space="preserve">Mở「/haitatsuryo」
</t>
    </r>
    <r>
      <rPr>
        <rFont val="游ゴシック"/>
        <b/>
        <color rgb="FF000000"/>
        <sz val="10.0"/>
      </rPr>
      <t xml:space="preserve">ステップ2：
</t>
    </r>
    <r>
      <rPr>
        <rFont val="游ゴシック"/>
        <color rgb="FF000000"/>
        <sz val="10.0"/>
      </rPr>
      <t>Xác nhận textbox của chu kỳ thanh toán phí giao hàng</t>
    </r>
  </si>
  <si>
    <t>ブラウザ互換性</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</si>
  <si>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Textbox của chu kỳ thanh toán phí giao hàng được hiển thị và có thể nhập</t>
    </r>
  </si>
  <si>
    <t>VP-E-05</t>
  </si>
  <si>
    <t>ACSMS-TC-021-012</t>
  </si>
  <si>
    <t>Hiển thị cột grid sau khi tổng hợp</t>
  </si>
  <si>
    <t>マルチタブセッション同期</t>
  </si>
  <si>
    <t>・Đã đăng nhập bằng CHUOKAI
・Tồn tại販売店 là đối tượng tổng hợp trong năm tháng đối tượng</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</si>
  <si>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tiêu đề cột và dòng tổng của grid</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</si>
  <si>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・Các cột対象月・販売店コード・販売店名・当月部数・当月金額・支払サイクル・金融機関コード・金融機関名・口座支店コード・口座支店名・貯金種目・口座番号・口座名義・手数料・備考 được hiển thị
</t>
    </r>
    <r>
      <rPr>
        <rFont val="メイリオ"/>
        <color rgb="FF000000"/>
        <sz val="10.0"/>
      </rPr>
      <t xml:space="preserve">・Cột「手数料」hiển thị phân loại bên chịu phí chuyển khoản (m_hanbaiten.furikomi_tesuryo_futan_kubun) bằng nhãn m_code TESURYO_KUBUN (1:JA / 2:販売店), không hiển thị số tiền (¥đơn giá)
</t>
    </r>
    <r>
      <rPr>
        <rFont val="メイリオ"/>
        <color rgb="FF000000"/>
        <sz val="10.0"/>
      </rPr>
      <t>・Cuối cùng dòng tổng（合計部数・合計金額）được hiển thị</t>
    </r>
  </si>
  <si>
    <t>VP-E-07</t>
  </si>
  <si>
    <t>未保存変更ガード・ブラウザ離脱</t>
  </si>
  <si>
    <t>全 CRUD 編集フォーム</t>
  </si>
  <si>
    <t>ACSMS-TC-021-013</t>
  </si>
  <si>
    <t>Hiển thị button xuất Excel</t>
  </si>
  <si>
    <t>VP-F-01</t>
  </si>
  <si>
    <t>F. 性能</t>
  </si>
  <si>
    <t>性能ベンチマーク</t>
  </si>
  <si>
    <t>全画面パフォーマンス計測対象</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</si>
  <si>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hiển thị・trạng thái active của button「Excel出力」</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</si>
  <si>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Button「Excel出力」hiển thị ở trạng thái active</t>
    </r>
  </si>
  <si>
    <t>VP-F-02</t>
  </si>
  <si>
    <t>大量データ表示性能</t>
  </si>
  <si>
    <t>一覧／レポート画面</t>
  </si>
  <si>
    <t>ACSMS-TC-021-014</t>
  </si>
  <si>
    <t>Thao tác bàn phím</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</si>
  <si>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bằng phím Tab di chuyển theo thứ tự năm tháng ngày → chu kỳ thanh toán phí giao hàng → button Excel出力</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</si>
  <si>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lần lượt từng mục bằng phím Tab, và cuối cùng đến được button「Excel出力」
</t>
    </r>
    <r>
      <rPr>
        <rFont val="メイリオ"/>
        <color rgb="FF000000"/>
        <sz val="10.0"/>
      </rPr>
      <t>・Không vỡ layout</t>
    </r>
  </si>
  <si>
    <t>2. 観点ID 命名規約・グループ凡例</t>
  </si>
  <si>
    <t>グループ</t>
  </si>
  <si>
    <t>接頭辞</t>
  </si>
  <si>
    <t>カテゴリ3: Kiểm tra đầu vào (Input Validation)</t>
  </si>
  <si>
    <t>名称</t>
  </si>
  <si>
    <t>観点数</t>
  </si>
  <si>
    <t>リスク傾向</t>
  </si>
  <si>
    <t>代表的なテスト観点</t>
  </si>
  <si>
    <t>VP-A-NN</t>
  </si>
  <si>
    <t>セキュリティ・権限</t>
  </si>
  <si>
    <t>ACSMS-TC-021-015</t>
  </si>
  <si>
    <t>Kiểm tra bắt buộc năm tháng ngày（tổng hợp）</t>
  </si>
  <si>
    <t>RBAC、DataScope、項目レベル制限、URL直接攻撃、セッション失効、XSS、CSRF、レート制限、アカウントロック、SQL注入</t>
  </si>
  <si>
    <r>
      <rPr>
        <rFont val="メイリオ"/>
        <b/>
        <color rgb="FF000000"/>
        <sz val="10.0"/>
      </rPr>
      <t xml:space="preserve">ステップ1：
</t>
    </r>
    <r>
      <rPr>
        <rFont val="メイリオ"/>
        <color rgb="FF000000"/>
        <sz val="10.0"/>
      </rPr>
      <t>Click button「Excel出力」khi chưa chọn năm tháng ngày</t>
    </r>
  </si>
  <si>
    <t>B</t>
  </si>
  <si>
    <t>VP-B-NN</t>
  </si>
  <si>
    <t>データバリデーション</t>
  </si>
  <si>
    <r>
      <rPr>
        <rFont val="メイリオ"/>
        <b/>
        <color rgb="FF000000"/>
        <sz val="10.0"/>
      </rPr>
      <t xml:space="preserve">ステップ1：
</t>
    </r>
    <r>
      <rPr>
        <rFont val="メイリオ"/>
        <color rgb="FF000000"/>
        <sz val="10.0"/>
      </rPr>
      <t>Hiển thị message「必須項目です。」phía dưới mục năm tháng ngày（ACSMS-MSG-021-001）, và xử lý tổng hợp・xuất không được thực hiện</t>
    </r>
  </si>
  <si>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</si>
  <si>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</si>
  <si>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</si>
  <si>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</si>
  <si>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</si>
  <si>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</si>
  <si>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</si>
  <si>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</si>
  <si>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ACSMS-TC-021-016</t>
  </si>
  <si>
    <t>Kiểm tra bắt buộc năm tháng ngày（API trực tiếp）</t>
  </si>
  <si>
    <t>ログイン＋MFA、セッション管理、パスワード再発行、監査ログ、S3、メール、CSV 準拠、ネットワーク／500</t>
  </si>
  <si>
    <r>
      <rPr>
        <rFont val="メイリオ"/>
        <b/>
        <color rgb="FF000000"/>
        <sz val="10.0"/>
      </rPr>
      <t xml:space="preserve">ステップ1：
</t>
    </r>
    <r>
      <rPr>
        <rFont val="メイリオ"/>
        <color rgb="FF000000"/>
        <sz val="10.0"/>
      </rPr>
      <t xml:space="preserve">Gửi GET「/api/v1/haitatsuryo/preview」không có target_month qua tab Network của DevTools
</t>
    </r>
    <r>
      <rPr>
        <rFont val="メイリオ"/>
        <b/>
        <color rgb="FF000000"/>
        <sz val="10.0"/>
      </rPr>
      <t xml:space="preserve">ステップ2：
</t>
    </r>
    <r>
      <rPr>
        <rFont val="メイリオ"/>
        <color rgb="FF000000"/>
        <sz val="10.0"/>
      </rPr>
      <t>Gửi POST「/api/v1/haitatsuryo/export」không có target_month qua tab Network của DevTools</t>
    </r>
  </si>
  <si>
    <t>E</t>
  </si>
  <si>
    <t>VP-E-NN</t>
  </si>
  <si>
    <t>非機能・ユーザビリティ</t>
  </si>
  <si>
    <r>
      <rPr>
        <rFont val="メイリオ"/>
        <b/>
        <color rgb="FF000000"/>
        <sz val="10.0"/>
      </rPr>
      <t xml:space="preserve">ステップ1：
</t>
    </r>
    <r>
      <rPr>
        <rFont val="メイリオ"/>
        <color rgb="FF000000"/>
        <sz val="10.0"/>
      </rPr>
      <t xml:space="preserve">Trả về HTTP 400（`error_code: VALIDATION_ERROR`, trong `errors` có chứa `{ field: 'target_month', message: '必須項目です。' }`）
</t>
    </r>
    <r>
      <rPr>
        <rFont val="メイリオ"/>
        <b/>
        <color rgb="FF000000"/>
        <sz val="10.0"/>
      </rPr>
      <t xml:space="preserve">ステップ2：
</t>
    </r>
    <r>
      <rPr>
        <rFont val="メイリオ"/>
        <color rgb="FF000000"/>
        <sz val="10.0"/>
      </rPr>
      <t>Trả về HTTP 400（`error_code: VALIDATION_ERROR`, trong `errors` có chứa `{ field: 'target_month', message: '必須項目です。' }`）</t>
    </r>
  </si>
  <si>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</si>
  <si>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</si>
  <si>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</si>
  <si>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</si>
  <si>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</si>
  <si>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</si>
  <si>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</si>
  <si>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ACSMS-TC-021-017</t>
  </si>
  <si>
    <t>Kiểm tra phạm vi chu kỳ thanh toán phí giao hàng</t>
  </si>
  <si>
    <r>
      <rPr>
        <rFont val="メイリオ"/>
        <b/>
        <color rgb="FF000000"/>
        <sz val="10.0"/>
      </rPr>
      <t xml:space="preserve">ステップ1：
</t>
    </r>
    <r>
      <rPr>
        <rFont val="メイリオ"/>
        <color rgb="FF000000"/>
        <sz val="10.0"/>
      </rPr>
      <t xml:space="preserve">Nhập「0」（dưới giới hạn dưới）vào chu kỳ thanh toán phí giao hàng và thực hiện tổng hợp
</t>
    </r>
    <r>
      <rPr>
        <rFont val="メイリオ"/>
        <b/>
        <color rgb="FF000000"/>
        <sz val="10.0"/>
      </rPr>
      <t xml:space="preserve">ステップ2：
</t>
    </r>
    <r>
      <rPr>
        <rFont val="メイリオ"/>
        <color rgb="FF000000"/>
        <sz val="10.0"/>
      </rPr>
      <t xml:space="preserve">Nhập「13」（vượt giới hạn trên）vào chu kỳ thanh toán phí giao hàng và thực hiện tổng hợp
</t>
    </r>
    <r>
      <rPr>
        <rFont val="メイリオ"/>
        <b/>
        <color rgb="FF000000"/>
        <sz val="10.0"/>
      </rPr>
      <t xml:space="preserve">ステップ3：
</t>
    </r>
    <r>
      <rPr>
        <rFont val="メイリオ"/>
        <color rgb="FF000000"/>
        <sz val="10.0"/>
      </rPr>
      <t>Nhập「1」「12」（giá trị biên）vào chu kỳ thanh toán phí giao hàng và thực hiện tổng hợp</t>
    </r>
  </si>
  <si>
    <r>
      <rPr>
        <rFont val="メイリオ"/>
        <b/>
        <color rgb="FF000000"/>
        <sz val="10.0"/>
      </rPr>
      <t xml:space="preserve">ステップ1：
</t>
    </r>
    <r>
      <rPr>
        <rFont val="メイリオ"/>
        <color rgb="FF000000"/>
        <sz val="10.0"/>
      </rPr>
      <t xml:space="preserve">Trả về HTTP 400（`error_code: VALIDATION_ERROR`）
</t>
    </r>
    <r>
      <rPr>
        <rFont val="メイリオ"/>
        <b/>
        <color rgb="FF000000"/>
        <sz val="10.0"/>
      </rPr>
      <t xml:space="preserve">ステップ2：
</t>
    </r>
    <r>
      <rPr>
        <rFont val="メイリオ"/>
        <color rgb="FF000000"/>
        <sz val="10.0"/>
      </rPr>
      <t xml:space="preserve">Trả về HTTP 400（`error_code: VALIDATION_ERROR`）
</t>
    </r>
    <r>
      <rPr>
        <rFont val="メイリオ"/>
        <b/>
        <color rgb="FF000000"/>
        <sz val="10.0"/>
      </rPr>
      <t xml:space="preserve">ステップ3：
</t>
    </r>
    <r>
      <rPr>
        <rFont val="メイリオ"/>
        <color rgb="FF000000"/>
        <sz val="10.0"/>
      </rPr>
      <t>「1」「12」được tiếp nhận bình thường và Trả về HTTP 200</t>
    </r>
  </si>
  <si>
    <t>ACSMS-TC-021-018</t>
  </si>
  <si>
    <t>Kiểm tra số half-width chu kỳ thanh toán phí giao hàng</t>
  </si>
  <si>
    <r>
      <rPr>
        <rFont val="メイリオ"/>
        <b/>
        <color rgb="FF000000"/>
        <sz val="10.0"/>
      </rPr>
      <t xml:space="preserve">ステップ1：
</t>
    </r>
    <r>
      <rPr>
        <rFont val="メイリオ"/>
        <color rgb="FF000000"/>
        <sz val="10.0"/>
      </rPr>
      <t xml:space="preserve">Nhập số full-width「３」vào chu kỳ thanh toán phí giao hàng
</t>
    </r>
    <r>
      <rPr>
        <rFont val="メイリオ"/>
        <b/>
        <color rgb="FF000000"/>
        <sz val="10.0"/>
      </rPr>
      <t xml:space="preserve">ステップ2：
</t>
    </r>
    <r>
      <rPr>
        <rFont val="メイリオ"/>
        <color rgb="FF000000"/>
        <sz val="10.0"/>
      </rPr>
      <t>Nhập ký tự「abc」vào chu kỳ thanh toán phí giao hàng</t>
    </r>
  </si>
  <si>
    <r>
      <rPr>
        <rFont val="メイリオ"/>
        <b/>
        <color rgb="FF000000"/>
        <sz val="10.0"/>
      </rPr>
      <t xml:space="preserve">ステップ1：
</t>
    </r>
    <r>
      <rPr>
        <rFont val="メイリオ"/>
        <color rgb="FF000000"/>
        <sz val="10.0"/>
      </rPr>
      <t xml:space="preserve">Chỉ cho nhập số half-width（số full-width không được tiếp nhận）
</t>
    </r>
    <r>
      <rPr>
        <rFont val="メイリオ"/>
        <b/>
        <color rgb="FF000000"/>
        <sz val="10.0"/>
      </rPr>
      <t xml:space="preserve">ステップ2：
</t>
    </r>
    <r>
      <rPr>
        <rFont val="メイリオ"/>
        <color rgb="FF000000"/>
        <sz val="10.0"/>
      </rPr>
      <t>Chỉ cho nhập số half-width（ký tự không được tiếp nhận）</t>
    </r>
  </si>
  <si>
    <t>ACSMS-TC-021-019</t>
  </si>
  <si>
    <t>Chọn ngày năm tháng ngày</t>
  </si>
  <si>
    <r>
      <rPr>
        <rFont val="メイリオ"/>
        <b/>
        <color rgb="FF000000"/>
        <sz val="10.0"/>
      </rPr>
      <t xml:space="preserve">ステップ1：
</t>
    </r>
    <r>
      <rPr>
        <rFont val="メイリオ"/>
        <color rgb="FF000000"/>
        <sz val="10.0"/>
      </rPr>
      <t xml:space="preserve">Mở calendar của năm tháng ngày và chọn một ngày bất kỳ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</si>
  <si>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Calendar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</si>
  <si>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カテゴリ4: Logic nghiệp vụ (Business Logic)</t>
  </si>
  <si>
    <t>ACSMS-TC-021-020</t>
  </si>
  <si>
    <t>Preview tổng hợp luồng bình thường</t>
  </si>
  <si>
    <t>・Đã đăng nhập bằng CHUOKAI
・Tồn tại người đăng ký là đối tượng tổng hợp（loại thủ tục=mới）trong năm tháng đối tượng</t>
  </si>
  <si>
    <r>
      <rPr>
        <rFont val="メイリオ"/>
        <b/>
        <color rgb="FF000000"/>
        <sz val="10.0"/>
      </rPr>
      <t xml:space="preserve">ステップ1：
</t>
    </r>
    <r>
      <rPr>
        <rFont val="メイリオ"/>
        <color rgb="FF000000"/>
        <sz val="10.0"/>
      </rPr>
      <t>Nhập năm tháng ngày và thực hiện tổng hợp</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</si>
  <si>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thị（dòng tổng hợp theo từng販売店 được hiển thị）</t>
    </r>
  </si>
  <si>
    <t>ACSMS-TC-021-021</t>
  </si>
  <si>
    <t>Nhóm theo đơn vị販売店（tổng số部数）</t>
  </si>
  <si>
    <t>・Đã đăng nhập bằng CHUOKAI
・Nhiều người đăng ký được liên kết với cùng một販売店</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</si>
  <si>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chiếu当月部数 của販売店 cụ thể với tổng `dokusya_busu` của các người đăng ký liên kết với販売店 đó</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</si>
  <si>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Người đăng ký được nhóm theo từng販売店, và当月部数 khớp với `SUM(t_dokusya.dokusya_busu)` thuộc販売店 đó</t>
    </r>
  </si>
  <si>
    <t>ACSMS-TC-021-022</t>
  </si>
  <si>
    <t>Tính金額 thuế trong（zei_kubun=1）</t>
  </si>
  <si>
    <t>・Đã đăng nhập bằng CHUOKAI
・Phân loại thuế của JA trực thuộc là thuế trong（m_ja.zei_kubun=1）</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</si>
  <si>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chiếu当月金額 của販売店 cụ thể với `当月部数 × m_tanka.kingaku_zeikomi`（tanka_type=2）</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</si>
  <si>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当月金額 được tính bằng `当月部数 × kingaku_zeikomi`（đơn giá thuế trong）</t>
    </r>
  </si>
  <si>
    <t>ACSMS-TC-021-023</t>
  </si>
  <si>
    <t>Tính金額 thuế ngoài（zei_kubun=2）</t>
  </si>
  <si>
    <t>・Đã đăng nhập bằng CHUOKAI
・Phân loại thuế của JA trực thuộc là thuế ngoài（m_ja.zei_kubun=2）</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</si>
  <si>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chiếu当月金額 của販売店 cụ thể với `当月部数 × m_tanka.kingaku_zeinuki`（tanka_type=2）</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</si>
  <si>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当月金額 được tính bằng `当月部数 × kingaku_zeinuki`（đơn giá thuế ngoài）</t>
    </r>
  </si>
  <si>
    <t>ACSMS-TC-021-024</t>
  </si>
  <si>
    <t>Tổng toàn bộ販売店（合計部数・合計金額）</t>
  </si>
  <si>
    <t>・Đã đăng nhập bằng CHUOKAI
・Nhiều販売店 trở thành đối tượng tổng hợp trong năm tháng đối tượng</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</si>
  <si>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chiếu合計部数・合計金額 của dòng tổng với tổng của当月部数・当月金額 từng dòng販売店</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</si>
  <si>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・合計部数 khớp với tổng当月部数 của từng販売店（grand_total_busu）
</t>
    </r>
    <r>
      <rPr>
        <rFont val="メイリオ"/>
        <color rgb="FF000000"/>
        <sz val="10.0"/>
      </rPr>
      <t>・合計金額 khớp với tổng当月金額 của từng販売店（grand_total_kingaku）</t>
    </r>
  </si>
  <si>
    <t>ACSMS-TC-021-025</t>
  </si>
  <si>
    <t>Lọc theo chu kỳ thanh toán phí giao hàng</t>
  </si>
  <si>
    <t>・Đã đăng nhập bằng CHUOKAI
・Tồn tại nhiều販売店 có chu kỳ thanh toán khác nhau</t>
  </si>
  <si>
    <r>
      <rPr>
        <rFont val="メイリオ"/>
        <b/>
        <color rgb="FF000000"/>
        <sz val="10.0"/>
      </rPr>
      <t xml:space="preserve">ステップ1：
</t>
    </r>
    <r>
      <rPr>
        <rFont val="メイリオ"/>
        <color rgb="FF000000"/>
        <sz val="10.0"/>
      </rPr>
      <t>Nhập năm tháng ngày và chu kỳ thanh toán phí giao hàng「3」rồi thực hiện tổng hợp</t>
    </r>
  </si>
  <si>
    <r>
      <rPr>
        <rFont val="メイリオ"/>
        <b/>
        <color rgb="FF000000"/>
        <sz val="10.0"/>
      </rPr>
      <t xml:space="preserve">ステップ1：
</t>
    </r>
    <r>
      <rPr>
        <rFont val="メイリオ"/>
        <color rgb="FF000000"/>
        <sz val="10.0"/>
      </rPr>
      <t>Chỉ販売店 có `m_hanbaiten.haitatsuryo_shiharai_cycle = 3` trở thành đối tượng tổng hợp</t>
    </r>
  </si>
  <si>
    <t>ACSMS-TC-021-026</t>
  </si>
  <si>
    <t>Chu kỳ thanh toán phí giao hàng không chỉ định（đối tượng toàn bộ chu kỳ）</t>
  </si>
  <si>
    <r>
      <rPr>
        <rFont val="メイリオ"/>
        <b/>
        <color rgb="FF000000"/>
        <sz val="10.0"/>
      </rPr>
      <t xml:space="preserve">ステップ1：
</t>
    </r>
    <r>
      <rPr>
        <rFont val="メイリオ"/>
        <color rgb="FF000000"/>
        <sz val="10.0"/>
      </rPr>
      <t>Chỉ nhập năm tháng ngày, để chu kỳ thanh toán phí giao hàng không chỉ định rồi thực hiện tổng hợp</t>
    </r>
  </si>
  <si>
    <r>
      <rPr>
        <rFont val="メイリオ"/>
        <b/>
        <color rgb="FF000000"/>
        <sz val="10.0"/>
      </rPr>
      <t xml:space="preserve">ステップ1：
</t>
    </r>
    <r>
      <rPr>
        <rFont val="メイリオ"/>
        <color rgb="FF000000"/>
        <sz val="10.0"/>
      </rPr>
      <t>販売店 của toàn bộ chu kỳ trở thành đối tượng tổng hợp</t>
    </r>
  </si>
  <si>
    <t>ACSMS-TC-021-027</t>
  </si>
  <si>
    <t>Đối tượng 0 bản（preview）</t>
  </si>
  <si>
    <t>・Đã đăng nhập bằng CHUOKAI
・Không tồn tại người đăng ký là đối tượng tổng hợp với năm tháng đối tượng・điều kiện đã chỉ định</t>
  </si>
  <si>
    <r>
      <rPr>
        <rFont val="メイリオ"/>
        <b/>
        <color rgb="FF000000"/>
        <sz val="10.0"/>
      </rPr>
      <t xml:space="preserve">ステップ1：
</t>
    </r>
    <r>
      <rPr>
        <rFont val="メイリオ"/>
        <color rgb="FF000000"/>
        <sz val="10.0"/>
      </rPr>
      <t>Nhập năm tháng・điều kiện không tồn tại đối tượng tổng hợp rồi thực hiện tổng hợp</t>
    </r>
  </si>
  <si>
    <r>
      <rPr>
        <rFont val="メイリオ"/>
        <b/>
        <color rgb="FF000000"/>
        <sz val="10.0"/>
      </rPr>
      <t xml:space="preserve">ステップ1：
</t>
    </r>
    <r>
      <rPr>
        <rFont val="メイリオ"/>
        <color rgb="FF000000"/>
        <sz val="10.0"/>
      </rPr>
      <t xml:space="preserve">・Trả về HTTP 200（`data:[]`）
</t>
    </r>
    <r>
      <rPr>
        <rFont val="メイリオ"/>
        <color rgb="FF000000"/>
        <sz val="10.0"/>
      </rPr>
      <t xml:space="preserve">・Hiển thị message「該当する支払い情報が存在しません。」trong màn hình（ACSMS-MSG-021-003, không phải toast）
</t>
    </r>
    <r>
      <rPr>
        <rFont val="メイリオ"/>
        <color rgb="FF000000"/>
        <sz val="10.0"/>
      </rPr>
      <t>・Dữ liệu không hiển thị trong grid</t>
    </r>
  </si>
  <si>
    <t>ACSMS-TC-021-028</t>
  </si>
  <si>
    <t>Xuất Excel luồng bình thường</t>
  </si>
  <si>
    <r>
      <rPr>
        <rFont val="メイリオ"/>
        <b/>
        <color rgb="FF000000"/>
        <sz val="10.0"/>
      </rPr>
      <t xml:space="preserve">ステップ1：
</t>
    </r>
    <r>
      <rPr>
        <rFont val="メイリオ"/>
        <color rgb="FF000000"/>
        <sz val="10.0"/>
      </rPr>
      <t xml:space="preserve">Nhập năm tháng ngày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</si>
  <si>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Có thể nhập năm tháng ngày
</t>
    </r>
    <r>
      <rPr>
        <rFont val="メイリオ"/>
        <b/>
        <color rgb="FF000000"/>
        <sz val="10.0"/>
      </rPr>
      <t xml:space="preserve">ステップ2：
</t>
    </r>
    <r>
      <rPr>
        <rFont val="メイリオ"/>
        <color rgb="FF000000"/>
        <sz val="10.0"/>
      </rPr>
      <t xml:space="preserve">・Trả về HTTP 200
</t>
    </r>
    <r>
      <rPr>
        <rFont val="メイリオ"/>
        <color rgb="FF000000"/>
        <sz val="10.0"/>
      </rPr>
      <t xml:space="preserve">・File Excel（`.xlsx`）được download（tên file `配達手数料支払情報出力_{YYYY年MM月}.xlsx`）
</t>
    </r>
    <r>
      <rPr>
        <rFont val="メイリオ"/>
        <color rgb="FF000000"/>
        <sz val="10.0"/>
      </rPr>
      <t>・Hiển thị toast「Excelファイルを出力しました。」（ACSMS-MSG-021-004）</t>
    </r>
  </si>
  <si>
    <t>ACSMS-TC-021-029</t>
  </si>
  <si>
    <t>Nội dung file Excel</t>
  </si>
  <si>
    <r>
      <rPr>
        <rFont val="メイリオ"/>
        <b/>
        <color rgb="FF000000"/>
        <sz val="10.0"/>
      </rPr>
      <t xml:space="preserve">ステップ1：
</t>
    </r>
    <r>
      <rPr>
        <rFont val="メイリオ"/>
        <color rgb="FF000000"/>
        <sz val="10.0"/>
      </rPr>
      <t xml:space="preserve">Thực hiện「Excel出力」và mở file Excel đã download
</t>
    </r>
    <r>
      <rPr>
        <rFont val="メイリオ"/>
        <b/>
        <color rgb="FF000000"/>
        <sz val="10.0"/>
      </rPr>
      <t xml:space="preserve">ステップ2：
</t>
    </r>
    <r>
      <rPr>
        <rFont val="メイリオ"/>
        <color rgb="FF000000"/>
        <sz val="10.0"/>
      </rPr>
      <t>Xác nhận tên sheet・dòng header・dòng dữ liệu・dòng tổng</t>
    </r>
  </si>
  <si>
    <r>
      <rPr>
        <rFont val="メイリオ"/>
        <b/>
        <color rgb="FF000000"/>
        <sz val="10.0"/>
      </rPr>
      <t xml:space="preserve">ステップ1：
</t>
    </r>
    <r>
      <rPr>
        <rFont val="メイリオ"/>
        <color rgb="FF000000"/>
        <sz val="10.0"/>
      </rPr>
      <t xml:space="preserve">Có thể mở file Excel
</t>
    </r>
    <r>
      <rPr>
        <rFont val="メイリオ"/>
        <b/>
        <color rgb="FF000000"/>
        <sz val="10.0"/>
      </rPr>
      <t xml:space="preserve">ステップ2：
</t>
    </r>
    <r>
      <rPr>
        <rFont val="メイリオ"/>
        <color rgb="FF000000"/>
        <sz val="10.0"/>
      </rPr>
      <t xml:space="preserve">・Tên sheet là「配達手数料支払情報」
</t>
    </r>
    <r>
      <rPr>
        <rFont val="メイリオ"/>
        <color rgb="FF000000"/>
        <sz val="10.0"/>
      </rPr>
      <t xml:space="preserve">・Dòng header hiển thị対象月・販売店コード・販売店名・当月部数・当月金額・支払サイクル・金融機関コード・金融機関名・口座支店コード・口座支店名・貯金種目・口座番号・口座名義・手数料・備考
</t>
    </r>
    <r>
      <rPr>
        <rFont val="メイリオ"/>
        <color rgb="FF000000"/>
        <sz val="10.0"/>
      </rPr>
      <t xml:space="preserve">・Cột「手数料」xuất phân loại bên chịu phí chuyển khoản (m_hanbaiten.furikomi_tesuryo_futan_kubun) bằng nhãn m_code TESURYO_KUBUN (1:JA / 2:販売店), không xuất số tiền (¥đơn giá)
</t>
    </r>
    <r>
      <rPr>
        <rFont val="メイリオ"/>
        <color rgb="FF000000"/>
        <sz val="10.0"/>
      </rPr>
      <t>・Cuối cùng dòng tổng（label「合計」＋合計部数＋合計金額）được hiển thị</t>
    </r>
  </si>
  <si>
    <t>ACSMS-TC-021-030</t>
  </si>
  <si>
    <t>Đăng ký t_file_download</t>
  </si>
  <si>
    <r>
      <rPr>
        <rFont val="メイリオ"/>
        <b/>
        <color rgb="FF000000"/>
        <sz val="10.0"/>
      </rPr>
      <t xml:space="preserve">ステップ1：
</t>
    </r>
    <r>
      <rPr>
        <rFont val="メイリオ"/>
        <color rgb="FF000000"/>
        <sz val="10.0"/>
      </rPr>
      <t xml:space="preserve">Thực hiện「Excel出力」
</t>
    </r>
    <r>
      <rPr>
        <rFont val="メイリオ"/>
        <b/>
        <color rgb="FF000000"/>
        <sz val="10.0"/>
      </rPr>
      <t xml:space="preserve">ステップ2：
</t>
    </r>
    <r>
      <rPr>
        <rFont val="メイリオ"/>
        <color rgb="FF000000"/>
        <sz val="10.0"/>
      </rPr>
      <t xml:space="preserve">Thực thi query sau ở DB và xác nhận lịch sử download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</si>
  <si>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Excel được download
</t>
    </r>
    <r>
      <rPr>
        <rFont val="メイリオ"/>
        <b/>
        <color rgb="FF000000"/>
        <sz val="10.0"/>
      </rPr>
      <t xml:space="preserve">ステップ2：
</t>
    </r>
    <r>
      <rPr>
        <rFont val="メイリオ"/>
        <color rgb="FF000000"/>
        <sz val="10.0"/>
      </rPr>
      <t>t_file_download được đăng ký 1 bản（download_type=2, file_name chứa tên file Excel, record_count chứa số lượng販売店, target_month chứa năm tháng đối tượng）</t>
    </r>
  </si>
  <si>
    <t>ACSMS-TC-021-031</t>
  </si>
  <si>
    <t>Ghi log thao tác（t_log）</t>
  </si>
  <si>
    <r>
      <rPr>
        <rFont val="メイリオ"/>
        <b/>
        <color rgb="FF000000"/>
        <sz val="10.0"/>
      </rPr>
      <t xml:space="preserve">ステップ1：
</t>
    </r>
    <r>
      <rPr>
        <rFont val="メイリオ"/>
        <color rgb="FF000000"/>
        <sz val="10.0"/>
      </rPr>
      <t xml:space="preserve">Thực hiện「Excel出力」
</t>
    </r>
    <r>
      <rPr>
        <rFont val="メイリオ"/>
        <b/>
        <color rgb="FF000000"/>
        <sz val="10.0"/>
      </rPr>
      <t xml:space="preserve">ステップ2：
</t>
    </r>
    <r>
      <rPr>
        <rFont val="メイリオ"/>
        <color rgb="FF000000"/>
        <sz val="10.0"/>
      </rPr>
      <t xml:space="preserve">Thực thi query sau ở DB và xác nhận log thao tác
</t>
    </r>
    <r>
      <rPr>
        <rFont val="メイリオ"/>
        <color rgb="FF000000"/>
        <sz val="10.0"/>
      </rPr>
      <t xml:space="preserve">```sql
</t>
    </r>
    <r>
      <rPr>
        <rFont val="メイリオ"/>
        <color rgb="FF000000"/>
        <sz val="10.0"/>
      </rPr>
      <t xml:space="preserve">SELECT log_type, operation, result_status, target_table, after_value
</t>
    </r>
    <r>
      <rPr>
        <rFont val="メイリオ"/>
        <color rgb="FF000000"/>
        <sz val="10.0"/>
      </rPr>
      <t xml:space="preserve">FROM t_log
</t>
    </r>
    <r>
      <rPr>
        <rFont val="メイリオ"/>
        <color rgb="FF000000"/>
        <sz val="10.0"/>
      </rPr>
      <t xml:space="preserve">WHERE ja_id = 1 AND gamen_name = '配達手数料支払情報出力画面 (ACSMS-SCR-021)'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</si>
  <si>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Excel được download
</t>
    </r>
    <r>
      <rPr>
        <rFont val="メイリオ"/>
        <b/>
        <color rgb="FF000000"/>
        <sz val="10.0"/>
      </rPr>
      <t xml:space="preserve">ステップ2：
</t>
    </r>
    <r>
      <rPr>
        <rFont val="メイリオ"/>
        <color rgb="FF000000"/>
        <sz val="10.0"/>
      </rPr>
      <t xml:space="preserve">・Audit log được ghi 1 bản vào t_log（log_type=4, operation=`CREATE`, result_status=1, target_table=`t_file_download`）
</t>
    </r>
    <r>
      <rPr>
        <rFont val="メイリオ"/>
        <color rgb="FF000000"/>
        <sz val="10.0"/>
      </rPr>
      <t>・after_value chứa điều kiện export và số lượng theo định dạng JSON</t>
    </r>
  </si>
  <si>
    <t>ACSMS-TC-021-032</t>
  </si>
  <si>
    <t>Đối tượng 0 bản（xuất Excel）</t>
  </si>
  <si>
    <r>
      <rPr>
        <rFont val="メイリオ"/>
        <b/>
        <color rgb="FF000000"/>
        <sz val="10.0"/>
      </rPr>
      <t xml:space="preserve">ステップ1：
</t>
    </r>
    <r>
      <rPr>
        <rFont val="メイリオ"/>
        <color rgb="FF000000"/>
        <sz val="10.0"/>
      </rPr>
      <t xml:space="preserve">Thực hiện「Excel出力」với năm tháng・điều kiện không tồn tại đối tượng tổng hợp
</t>
    </r>
    <r>
      <rPr>
        <rFont val="メイリオ"/>
        <b/>
        <color rgb="FF000000"/>
        <sz val="10.0"/>
      </rPr>
      <t xml:space="preserve">ステップ2：
</t>
    </r>
    <r>
      <rPr>
        <rFont val="メイリオ"/>
        <color rgb="FF000000"/>
        <sz val="10.0"/>
      </rPr>
      <t>Xác nhận số lượng bản đăng ký t_file_download ở DB</t>
    </r>
  </si>
  <si>
    <r>
      <rPr>
        <rFont val="メイリオ"/>
        <b/>
        <color rgb="FF000000"/>
        <sz val="10.0"/>
      </rPr>
      <t xml:space="preserve">ステップ1：
</t>
    </r>
    <r>
      <rPr>
        <rFont val="メイリオ"/>
        <color rgb="FF000000"/>
        <sz val="10.0"/>
      </rPr>
      <t xml:space="preserve">・Trả về HTTP 200（`{ data: [] }` của `application/json`）
</t>
    </r>
    <r>
      <rPr>
        <rFont val="メイリオ"/>
        <color rgb="FF000000"/>
        <sz val="10.0"/>
      </rPr>
      <t xml:space="preserve">・File Excel không được download
</t>
    </r>
    <r>
      <rPr>
        <rFont val="メイリオ"/>
        <color rgb="FF000000"/>
        <sz val="10.0"/>
      </rPr>
      <t xml:space="preserve">・Hiển thị message「該当する支払い情報が存在しません。」trong màn hình（ACSMS-MSG-021-003）
</t>
    </r>
    <r>
      <rPr>
        <rFont val="メイリオ"/>
        <b/>
        <color rgb="FF000000"/>
        <sz val="10.0"/>
      </rPr>
      <t xml:space="preserve">ステップ2：
</t>
    </r>
    <r>
      <rPr>
        <rFont val="メイリオ"/>
        <color rgb="FF000000"/>
        <sz val="10.0"/>
      </rPr>
      <t>Record không được đăng ký vào t_file_download</t>
    </r>
  </si>
  <si>
    <t>ACSMS-TC-021-033</t>
  </si>
  <si>
    <t>Rollback transaction</t>
  </si>
  <si>
    <t>・Đã đăng nhập bằng CHUOKAI
・Đã chuẩn bị sẵn để phát sinh lỗi DB khi đăng ký t_file_download</t>
  </si>
  <si>
    <r>
      <rPr>
        <rFont val="メイリオ"/>
        <b/>
        <color rgb="FF000000"/>
        <sz val="10.0"/>
      </rPr>
      <t xml:space="preserve">ステップ1：
</t>
    </r>
    <r>
      <rPr>
        <rFont val="メイリオ"/>
        <color rgb="FF000000"/>
        <sz val="10.0"/>
      </rPr>
      <t xml:space="preserve">Thực hiện「Excel出力」（inject lỗi giữa chừng khi đăng ký DB）
</t>
    </r>
    <r>
      <rPr>
        <rFont val="メイリオ"/>
        <b/>
        <color rgb="FF000000"/>
        <sz val="10.0"/>
      </rPr>
      <t xml:space="preserve">ステップ2：
</t>
    </r>
    <r>
      <rPr>
        <rFont val="メイリオ"/>
        <color rgb="FF000000"/>
        <sz val="10.0"/>
      </rPr>
      <t>Xác nhận trạng thái của t_file_download・t_log ở DB</t>
    </r>
  </si>
  <si>
    <r>
      <rPr>
        <rFont val="メイリオ"/>
        <b/>
        <color rgb="FF000000"/>
        <sz val="10.0"/>
      </rPr>
      <t xml:space="preserve">ステップ1：
</t>
    </r>
    <r>
      <rPr>
        <rFont val="メイリオ"/>
        <color rgb="FF000000"/>
        <sz val="10.0"/>
      </rPr>
      <t xml:space="preserve">Trả về HTTP 500（`error_code: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t_file_download・t_log（log_type=4）đều không được đăng ký（Được rollback）
</t>
    </r>
    <r>
      <rPr>
        <rFont val="メイリオ"/>
        <color rgb="FF000000"/>
        <sz val="10.0"/>
      </rPr>
      <t>・Error log được ghi 1 bản vào t_log（log_type=3, result_status=2）</t>
    </r>
  </si>
  <si>
    <t>カテゴリ5: Xử lý lỗi chung (Common Error Handling)</t>
  </si>
  <si>
    <t>ACSMS-TC-021-034</t>
  </si>
  <si>
    <t>Request parameter không hợp lệ（BAD_REQUEST）</t>
  </si>
  <si>
    <r>
      <rPr>
        <rFont val="游ゴシック"/>
        <b/>
        <color rgb="FF000000"/>
        <sz val="10.0"/>
      </rPr>
      <t xml:space="preserve">ステップ1：
</t>
    </r>
    <r>
      <rPr>
        <rFont val="游ゴシック"/>
        <color rgb="FF000000"/>
        <sz val="10.0"/>
      </rPr>
      <t>Gửi GET「/api/v1/haitatsuryo/preview?target_month=2026-04-01&amp;haitatsuryo_shiharai_cycle=abc」（chuỗi vào mục số nguyên）qua tab Network của DevTools</t>
    </r>
  </si>
  <si>
    <r>
      <rPr>
        <rFont val="メイリオ"/>
        <b/>
        <color rgb="FF000000"/>
        <sz val="10.0"/>
      </rPr>
      <t xml:space="preserve">ステップ1：
</t>
    </r>
    <r>
      <rPr>
        <rFont val="メイリオ"/>
        <color rgb="FF000000"/>
        <sz val="10.0"/>
      </rPr>
      <t>Trả về HTTP 400（`error_code: BAD_REQUEST`, message `リクエストパラメータが不正です。`）</t>
    </r>
  </si>
  <si>
    <t>ACSMS-TC-021-035</t>
  </si>
  <si>
    <t>Hết session（UNAUTHORIZED）</t>
  </si>
  <si>
    <t>・Đã đăng nhập bằng CHUOKAI
・Đã chuẩn bị sẵn để cưỡng chế hết hạn session bằng công cụ quản lý</t>
  </si>
  <si>
    <r>
      <rPr>
        <rFont val="メイリオ"/>
        <b/>
        <color rgb="FF000000"/>
        <sz val="10.0"/>
      </rPr>
      <t xml:space="preserve">ステップ1：
</t>
    </r>
    <r>
      <rPr>
        <rFont val="メイリオ"/>
        <color rgb="FF000000"/>
        <sz val="10.0"/>
      </rPr>
      <t xml:space="preserve">Cưỡng chế hết hạn session trong khi đang mở màn hình xuất thông tin thanh toán phí giao hàng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</si>
  <si>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Màn hình ở trạng thái được hiển thị
</t>
    </r>
    <r>
      <rPr>
        <rFont val="メイリオ"/>
        <b/>
        <color rgb="FF000000"/>
        <sz val="10.0"/>
      </rPr>
      <t xml:space="preserve">ステップ2：
</t>
    </r>
    <r>
      <rPr>
        <rFont val="メイリオ"/>
        <color rgb="FF000000"/>
        <sz val="10.0"/>
      </rPr>
      <t xml:space="preserve">・Trả về HTTP 401（`error_code: UNAUTHORIZED`, message `セッションが切れました。再度ログインしてください。`）
</t>
    </r>
    <r>
      <rPr>
        <rFont val="メイリオ"/>
        <color rgb="FF000000"/>
        <sz val="10.0"/>
      </rPr>
      <t>・Chuyển sang「/login」（query có gắn `redirect`）</t>
    </r>
  </si>
  <si>
    <t>ACSMS-TC-021-036</t>
  </si>
  <si>
    <t>Hình dạng response lỗi validation（VALIDATION_ERROR）</t>
  </si>
  <si>
    <r>
      <rPr>
        <rFont val="游ゴシック"/>
        <b/>
        <color rgb="FF000000"/>
        <sz val="10.0"/>
      </rPr>
      <t xml:space="preserve">ステップ1：
</t>
    </r>
    <r>
      <rPr>
        <rFont val="游ゴシック"/>
        <color rgb="FF000000"/>
        <sz val="10.0"/>
      </rPr>
      <t>Gửi POST「/api/v1/haitatsuryo/export」với request body thiếu target_month qua tab Network của DevTools</t>
    </r>
  </si>
  <si>
    <r>
      <rPr>
        <rFont val="メイリオ"/>
        <b/>
        <color rgb="FF000000"/>
        <sz val="10.0"/>
      </rPr>
      <t xml:space="preserve">ステップ1：
</t>
    </r>
    <r>
      <rPr>
        <rFont val="メイリオ"/>
        <color rgb="FF000000"/>
        <sz val="10.0"/>
      </rPr>
      <t xml:space="preserve">・Trả về HTTP 400（`error_code: VALIDATION_ERROR`, message `入力値が不正です。詳細はerrorsフィールドを確認してください。`）
</t>
    </r>
    <r>
      <rPr>
        <rFont val="メイリオ"/>
        <color rgb="FF000000"/>
        <sz val="10.0"/>
      </rPr>
      <t>・Response có chứa mảng `errors`, mỗi phần tử có hình dạng `{ field, message }`</t>
    </r>
  </si>
  <si>
    <t>ACSMS-TC-021-037</t>
  </si>
  <si>
    <t>Vượt giới hạn rate limit（TOO_MANY_REQUESTS）</t>
  </si>
  <si>
    <r>
      <rPr>
        <rFont val="メイリオ"/>
        <b/>
        <color rgb="FF000000"/>
        <sz val="10.0"/>
      </rPr>
      <t xml:space="preserve">ステップ1：
</t>
    </r>
    <r>
      <rPr>
        <rFont val="メイリオ"/>
        <color rgb="FF000000"/>
        <sz val="10.0"/>
      </rPr>
      <t xml:space="preserve">Gửi liên tục request tương đương「Excel出力」đến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</si>
  <si>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429（`error_code: TOO_MANY_REQUESTS`, message `リクエスト回数が上限を超えました。しばらくしてから再度お試しください。`）</t>
    </r>
  </si>
  <si>
    <t>ACSMS-TC-021-038</t>
  </si>
  <si>
    <t>Lỗi hệ thống（INTERNAL_SERVER_ERROR）</t>
  </si>
  <si>
    <t>・Đã đăng nhập bằng CHUOKAI
・Đã chuẩn bị sẵn để phát sinh exception phía server</t>
  </si>
  <si>
    <r>
      <rPr>
        <rFont val="メイリオ"/>
        <b/>
        <color rgb="FF000000"/>
        <sz val="10.0"/>
      </rPr>
      <t xml:space="preserve">ステップ1：
</t>
    </r>
    <r>
      <rPr>
        <rFont val="メイリオ"/>
        <color rgb="FF000000"/>
        <sz val="10.0"/>
      </rPr>
      <t>Thực hiện「Excel出力」trong trạng thái đã phát sinh lỗi kết nối DB v.v. phía server</t>
    </r>
  </si>
  <si>
    <r>
      <rPr>
        <rFont val="メイリオ"/>
        <b/>
        <color rgb="FF000000"/>
        <sz val="10.0"/>
      </rPr>
      <t xml:space="preserve">ステップ1：
</t>
    </r>
    <r>
      <rPr>
        <rFont val="メイリオ"/>
        <color rgb="FF000000"/>
        <sz val="10.0"/>
      </rPr>
      <t xml:space="preserve">・Trả về HTTP 500（`error_code: INTERNAL_SERVER_ERROR`, message `システムエラーが発生しました。しばらくしてから再度お試しください。`）
</t>
    </r>
    <r>
      <rPr>
        <rFont val="メイリオ"/>
        <color rgb="FF000000"/>
        <sz val="10.0"/>
      </rPr>
      <t>・Hiển thị toast「システムエラーが発生しました。しばらくしてから再度お試しください。」（ACSMS-MSG-021-002）</t>
    </r>
  </si>
  <si>
    <t>ACSMS-TC-021-039</t>
  </si>
  <si>
    <t>Ngắt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</si>
  <si>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</si>
  <si>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・Hiển thị toast lỗi mạng
</t>
    </r>
    <r>
      <rPr>
        <rFont val="メイリオ"/>
        <color rgb="FF000000"/>
        <sz val="10.0"/>
      </rPr>
      <t>・Không bị terminate bất thường</t>
    </r>
  </si>
  <si>
    <t>ACSMS-TC-021-040</t>
  </si>
  <si>
    <t>An toàn với đầu vào SQL injection</t>
  </si>
  <si>
    <r>
      <rPr>
        <rFont val="メイリオ"/>
        <b/>
        <color rgb="FF000000"/>
        <sz val="10.0"/>
      </rPr>
      <t xml:space="preserve">ステップ1：
</t>
    </r>
    <r>
      <rPr>
        <rFont val="メイリオ"/>
        <color rgb="FF000000"/>
        <sz val="10.0"/>
      </rPr>
      <t xml:space="preserve">Chỉ định `2026-04-01'; DROP TABLE t_dokusya; --` vào target_month của GET「/api/v1/haitatsuryo/preview」và gửi qua tab Network của DevTools
</t>
    </r>
    <r>
      <rPr>
        <rFont val="メイリオ"/>
        <b/>
        <color rgb="FF000000"/>
        <sz val="10.0"/>
      </rPr>
      <t xml:space="preserve">ステップ2：
</t>
    </r>
    <r>
      <rPr>
        <rFont val="メイリオ"/>
        <color rgb="FF000000"/>
        <sz val="10.0"/>
      </rPr>
      <t>Xác nhận bảng t_dokusya tồn tại ở DB</t>
    </r>
  </si>
  <si>
    <r>
      <rPr>
        <rFont val="メイリオ"/>
        <b/>
        <color rgb="FF000000"/>
        <sz val="10.0"/>
      </rPr>
      <t xml:space="preserve">ステップ1：
</t>
    </r>
    <r>
      <rPr>
        <rFont val="メイリオ"/>
        <color rgb="FF000000"/>
        <sz val="10.0"/>
      </rPr>
      <t xml:space="preserve">・Giá trị đầu vào được xử lý như literal bằng parameterized query, không được thực thi như SQL
</t>
    </r>
    <r>
      <rPr>
        <rFont val="メイリオ"/>
        <color rgb="FF000000"/>
        <sz val="10.0"/>
      </rPr>
      <t xml:space="preserve">・Trả về HTTP 400（`error_code: VALIDATION_ERROR` hoặc `BAD_REQUEST`）
</t>
    </r>
    <r>
      <rPr>
        <rFont val="メイリオ"/>
        <b/>
        <color rgb="FF000000"/>
        <sz val="10.0"/>
      </rPr>
      <t xml:space="preserve">ステップ2：
</t>
    </r>
    <r>
      <rPr>
        <rFont val="メイリオ"/>
        <color rgb="FF000000"/>
        <sz val="10.0"/>
      </rPr>
      <t>Bảng t_dokusya không bị xóa và tồn tại</t>
    </r>
  </si>
  <si>
    <t>カテゴリ6: Giới hạn đối tượng tổng hợp・Chặn xuất file (Scope / Export Gate)</t>
  </si>
  <si>
    <t>ACSMS-TC-021-041</t>
  </si>
  <si>
    <t>Đối tượng tổng hợp — Giới hạn chỉ bản giấy (#56599)</t>
  </si>
  <si>
    <t>・role: JA_HONTEN (có quyền `haitatsuryo.export`)
・Cùng một cửa hàng bán A có thật, gắn với các người đọc đang được giao báo trong năm-tháng đối tượng xuất như sau
・(a) Bản giấy (dokusya_shubetsu=1) 3 bản ghi
・(b) Kết hợp (3) 2 bản ghi
・(c) Bản điện tử (2) 1 bản ghi (ở trạng thái gắn với cửa hàng bán A có thật, không phải cửa hàng dummy)
・Cửa hàng dummy (9999999999) có thiết lập đơn giá phí giao báo và có người đọc bản điện tử gắn vào</t>
  </si>
  <si>
    <r>
      <rPr>
        <rFont val="メイリオ"/>
        <b/>
        <color rgb="FF000000"/>
        <sz val="10.0"/>
      </rPr>
      <t xml:space="preserve">ステップ1：
</t>
    </r>
    <r>
      <rPr>
        <rFont val="メイリオ"/>
        <color rgb="FF000000"/>
        <sz val="10.0"/>
      </rPr>
      <t xml:space="preserve">Chỉ định năm-tháng đối tượng xuất, hiển thị preview và kiểm tra số bản・số tiền của cửa hàng bán A
</t>
    </r>
    <r>
      <rPr>
        <rFont val="メイリオ"/>
        <b/>
        <color rgb="FF000000"/>
        <sz val="10.0"/>
      </rPr>
      <t xml:space="preserve">ステップ2：
</t>
    </r>
    <r>
      <rPr>
        <rFont val="メイリオ"/>
        <color rgb="FF000000"/>
        <sz val="10.0"/>
      </rPr>
      <t xml:space="preserve">Xuất Excel và xác nhận số bản・số tiền của dòng cửa hàng bán A khớp với preview
</t>
    </r>
    <r>
      <rPr>
        <rFont val="メイリオ"/>
        <b/>
        <color rgb="FF000000"/>
        <sz val="10.0"/>
      </rPr>
      <t xml:space="preserve">ステップ3：
</t>
    </r>
    <r>
      <rPr>
        <rFont val="メイリオ"/>
        <color rgb="FF000000"/>
        <sz val="10.0"/>
      </rPr>
      <t xml:space="preserve">Kiểm tra xem dòng của cửa hàng dummy có xuất hiện trong preview・Excel hay không
</t>
    </r>
    <r>
      <rPr>
        <rFont val="メイリオ"/>
        <b/>
        <color rgb="FF000000"/>
        <sz val="10.0"/>
      </rPr>
      <t xml:space="preserve">ステップ4：
</t>
    </r>
    <r>
      <rPr>
        <rFont val="メイリオ"/>
        <color rgb="FF000000"/>
        <sz val="10.0"/>
      </rPr>
      <t xml:space="preserve">Xuất với cửa hàng bán B chỉ có (b) kết hợp và (c) bản điện tử gắn vào
</t>
    </r>
    <r>
      <rPr>
        <rFont val="メイリオ"/>
        <b/>
        <color rgb="FF000000"/>
        <sz val="10.0"/>
      </rPr>
      <t xml:space="preserve">ステップ5：
</t>
    </r>
    <r>
      <rPr>
        <rFont val="メイリオ"/>
        <color rgb="FF000000"/>
        <sz val="10.0"/>
      </rPr>
      <t>Cho đơn giá phí giao báo mà người đọc (b) hoặc (c) tham chiếu **hết hiệu lực** rồi xuất</t>
    </r>
  </si>
  <si>
    <r>
      <rPr>
        <rFont val="メイリオ"/>
        <b/>
        <color rgb="FF000000"/>
        <sz val="10.0"/>
      </rPr>
      <t xml:space="preserve">ステップ1：
</t>
    </r>
    <r>
      <rPr>
        <rFont val="メイリオ"/>
        <color rgb="FF000000"/>
        <sz val="10.0"/>
      </rPr>
      <t xml:space="preserve">Số bản của cửa hàng bán A được tổng hợp **chỉ 3 bản ghi** (chỉ bản giấy). 2 kết hợp・1 bản điện tử không được cộng vào
</t>
    </r>
    <r>
      <rPr>
        <rFont val="メイリオ"/>
        <b/>
        <color rgb="FF000000"/>
        <sz val="10.0"/>
      </rPr>
      <t xml:space="preserve">ステップ2：
</t>
    </r>
    <r>
      <rPr>
        <rFont val="メイリオ"/>
        <color rgb="FF000000"/>
        <sz val="10.0"/>
      </rPr>
      <t xml:space="preserve">Giá trị trong Excel khớp với preview
</t>
    </r>
    <r>
      <rPr>
        <rFont val="メイリオ"/>
        <b/>
        <color rgb="FF000000"/>
        <sz val="10.0"/>
      </rPr>
      <t xml:space="preserve">ステップ3：
</t>
    </r>
    <r>
      <rPr>
        <rFont val="メイリオ"/>
        <color rgb="FF000000"/>
        <sz val="10.0"/>
      </rPr>
      <t xml:space="preserve">Dù cửa hàng dummy có thiết lập đơn giá phí giao báo, nếu chỉ có bản điện tử gắn vào thì số tiền không được cộng
</t>
    </r>
    <r>
      <rPr>
        <rFont val="メイリオ"/>
        <b/>
        <color rgb="FF000000"/>
        <sz val="10.0"/>
      </rPr>
      <t xml:space="preserve">ステップ4：
</t>
    </r>
    <r>
      <rPr>
        <rFont val="メイリオ"/>
        <color rgb="FF000000"/>
        <sz val="10.0"/>
      </rPr>
      <t xml:space="preserve">Cửa hàng bán B là 0 bản ghi (hoặc không xuất hiện trong danh sách)
</t>
    </r>
    <r>
      <rPr>
        <rFont val="メイリオ"/>
        <b/>
        <color rgb="FF000000"/>
        <sz val="10.0"/>
      </rPr>
      <t xml:space="preserve">ステップ5：
</t>
    </r>
    <r>
      <rPr>
        <rFont val="メイリオ"/>
        <color rgb="FF000000"/>
        <sz val="10.0"/>
      </rPr>
      <t xml:space="preserve">Việc xuất **không bị chặn** (không phát sinh INACTIVE_TANKA_REFERENCED)
</t>
    </r>
    <r>
      <rPr>
        <rFont val="メイリオ"/>
        <b/>
        <color rgb="FF000000"/>
        <sz val="10.0"/>
      </rPr>
      <t xml:space="preserve">補足：
</t>
    </r>
    <r>
      <rPr>
        <rFont val="メイリオ"/>
        <color rgb="FF000000"/>
        <sz val="10.0"/>
      </rPr>
      <t xml:space="preserve">・Phí giao báo là "đối giá cho việc giao báo giấy", nên bản điện tử (2) vốn không có việc giao báo và kết hợp (3) đều nằm ngoài đối tượng (yêu cầu khách hàng 2026-08 / #56599)
</t>
    </r>
    <r>
      <rPr>
        <rFont val="メイリオ"/>
        <color rgb="FF000000"/>
        <sz val="10.0"/>
      </rPr>
      <t xml:space="preserve">・Trước đây không lọc theo loại đăng ký, nên kết hợp gắn với cửa hàng bán có thật vẫn được cộng vào, và bản điện tử cũng được cộng nếu cửa hàng dummy có thiết lập đơn giá phí giao báo. Tức là **số tiền thanh toán thay đổi tùy theo tình trạng chỉnh trang master**
</t>
    </r>
    <r>
      <rPr>
        <rFont val="メイリオ"/>
        <color rgb="FF000000"/>
        <sz val="10.0"/>
      </rPr>
      <t xml:space="preserve">・Bước 5 là để xác nhận điều kiện loại đăng ký giống nhau đã được đưa vào **cả hai** SQL tổng hợp và SQL kiểm tra đơn giá hết hiệu lực. Nếu chỉ một bên có thì xảy ra bất nhất "số tiền là 0 yên nhưng không xuất được vì lỗi đơn giá hết hiệu lực"
</t>
    </r>
    <r>
      <rPr>
        <rFont val="メイリオ"/>
        <color rgb="FF000000"/>
        <sz val="10.0"/>
      </rPr>
      <t>・Xuất dữ liệu trích nợ tài khoản (SCR-020) có điều kiện khác — "bản giấy ＋ bản điện tử đã duyệt・trả phí". Không được dùng lại nguyên điều kiện của màn hình này</t>
    </r>
  </si>
  <si>
    <t>(không có)</t>
  </si>
  <si>
    <t>ACSMS-TC-021-042</t>
  </si>
  <si>
    <t>Chặn xuất file — Khi tồn tại cửa hàng bán tham chiếu đơn giá phí giao báo đã hết hiệu lực (INACTIVE_TANKA_REFERENCED)</t>
  </si>
  <si>
    <t>・role: JA_HONTEN (có quyền `haitatsuryo.export`)
・Trong tập đối tượng xuất tồn tại từ 1 cửa hàng bán trở lên có đơn giá phí giao báo (tanka_type=2) với `active_flg = FALSE`
・Chuẩn bị riêng cả mẫu có từ 20 bản ghi trở lên (để xác nhận việc cắt bớt)</t>
  </si>
  <si>
    <r>
      <rPr>
        <rFont val="メイリオ"/>
        <b/>
        <color rgb="FF000000"/>
        <sz val="10.0"/>
      </rPr>
      <t xml:space="preserve">ステップ1：
</t>
    </r>
    <r>
      <rPr>
        <rFont val="メイリオ"/>
        <color rgb="FF000000"/>
        <sz val="10.0"/>
      </rPr>
      <t xml:space="preserve">Thực hiện **preview** ở trạng thái chỉ có 1 cửa hàng bán tham chiếu đơn giá hết hiệu lực
</t>
    </r>
    <r>
      <rPr>
        <rFont val="メイリオ"/>
        <b/>
        <color rgb="FF000000"/>
        <sz val="10.0"/>
      </rPr>
      <t xml:space="preserve">ステップ2：
</t>
    </r>
    <r>
      <rPr>
        <rFont val="メイリオ"/>
        <color rgb="FF000000"/>
        <sz val="10.0"/>
      </rPr>
      <t xml:space="preserve">Thực hiện **xuất Excel** ở cùng trạng thái
</t>
    </r>
    <r>
      <rPr>
        <rFont val="メイリオ"/>
        <b/>
        <color rgb="FF000000"/>
        <sz val="10.0"/>
      </rPr>
      <t xml:space="preserve">ステップ3：
</t>
    </r>
    <r>
      <rPr>
        <rFont val="メイリオ"/>
        <color rgb="FF000000"/>
        <sz val="10.0"/>
      </rPr>
      <t xml:space="preserve">Kiểm tra `error_code`・`message`・`errors[]`・`total` của response
</t>
    </r>
    <r>
      <rPr>
        <rFont val="メイリオ"/>
        <b/>
        <color rgb="FF000000"/>
        <sz val="10.0"/>
      </rPr>
      <t xml:space="preserve">ステップ4：
</t>
    </r>
    <r>
      <rPr>
        <rFont val="メイリオ"/>
        <color rgb="FF000000"/>
        <sz val="10.0"/>
      </rPr>
      <t xml:space="preserve">Thực hiện ở trạng thái có 20 bản ghi và kiểm tra số phần tử của `errors[]` cùng `total`
</t>
    </r>
    <r>
      <rPr>
        <rFont val="メイリオ"/>
        <b/>
        <color rgb="FF000000"/>
        <sz val="10.0"/>
      </rPr>
      <t xml:space="preserve">ステップ5：
</t>
    </r>
    <r>
      <rPr>
        <rFont val="メイリオ"/>
        <color rgb="FF000000"/>
        <sz val="10.0"/>
      </rPr>
      <t xml:space="preserve">Kiểm tra hiển thị thông báo trên màn hình và nơi được điều hướng đến
</t>
    </r>
    <r>
      <rPr>
        <rFont val="メイリオ"/>
        <b/>
        <color rgb="FF000000"/>
        <sz val="10.0"/>
      </rPr>
      <t xml:space="preserve">ステップ6：
</t>
    </r>
    <r>
      <rPr>
        <rFont val="メイリオ"/>
        <color rgb="FF000000"/>
        <sz val="10.0"/>
      </rPr>
      <t xml:space="preserve">Đổi đơn giá phí giao báo của cửa hàng bán tương ứng sang đơn giá còn hiệu lực rồi thực hiện lại
</t>
    </r>
    <r>
      <rPr>
        <rFont val="メイリオ"/>
        <b/>
        <color rgb="FF000000"/>
        <sz val="10.0"/>
      </rPr>
      <t xml:space="preserve">ステップ7：
</t>
    </r>
    <r>
      <rPr>
        <rFont val="メイリオ"/>
        <color rgb="FF000000"/>
        <sz val="10.0"/>
      </rPr>
      <t>Xuất với cửa hàng bán tham chiếu đơn giá có kỳ áp dụng nằm ngoài năm-tháng đối tượng xuất nhưng `active_flg = TRUE`</t>
    </r>
  </si>
  <si>
    <r>
      <rPr>
        <rFont val="メイリオ"/>
        <b/>
        <color rgb="FF000000"/>
        <sz val="10.0"/>
      </rPr>
      <t xml:space="preserve">ステップ1：
</t>
    </r>
    <r>
      <rPr>
        <rFont val="メイリオ"/>
        <color rgb="FF000000"/>
        <sz val="10.0"/>
      </rPr>
      <t xml:space="preserve">Preview bị chặn và trả về HTTP status code 409
</t>
    </r>
    <r>
      <rPr>
        <rFont val="メイリオ"/>
        <b/>
        <color rgb="FF000000"/>
        <sz val="10.0"/>
      </rPr>
      <t xml:space="preserve">ステップ2：
</t>
    </r>
    <r>
      <rPr>
        <rFont val="メイリオ"/>
        <color rgb="FF000000"/>
        <sz val="10.0"/>
      </rPr>
      <t xml:space="preserve">Việc xuất cũng bị chặn và file không được sinh ra (kiểm tra ở cả preview lẫn xuất file)
</t>
    </r>
    <r>
      <rPr>
        <rFont val="メイリオ"/>
        <b/>
        <color rgb="FF000000"/>
        <sz val="10.0"/>
      </rPr>
      <t xml:space="preserve">ステップ3：
</t>
    </r>
    <r>
      <rPr>
        <rFont val="メイリオ"/>
        <color rgb="FF000000"/>
        <sz val="10.0"/>
      </rPr>
      <t xml:space="preserve">`error_code: INACTIVE_TANKA_REFERENCED`, `message` là `失効した配達手数料単価を参照している販売店が存在するため、配達手数料支払情報を出力できません。該当販売店の単価を変更してから再度実行してください。`. Mỗi phần tử của `errors[]` có dạng `{ field: "&lt;hanbaiten_id&gt;", message: "&lt;mã cửa hàng bán&gt; &lt;tên cửa hàng bán&gt;（単価: &lt;mã đơn giá&gt; &lt;tên đơn giá&gt;）" }`
</t>
    </r>
    <r>
      <rPr>
        <rFont val="メイリオ"/>
        <b/>
        <color rgb="FF000000"/>
        <sz val="10.0"/>
      </rPr>
      <t xml:space="preserve">ステップ4：
</t>
    </r>
    <r>
      <rPr>
        <rFont val="メイリオ"/>
        <color rgb="FF000000"/>
        <sz val="10.0"/>
      </rPr>
      <t xml:space="preserve">`errors[]` bị **cắt bớt ở 15 phần tử đầu**. `total` vẫn giữ nguyên là 20
</t>
    </r>
    <r>
      <rPr>
        <rFont val="メイリオ"/>
        <b/>
        <color rgb="FF000000"/>
        <sz val="10.0"/>
      </rPr>
      <t xml:space="preserve">ステップ5：
</t>
    </r>
    <r>
      <rPr>
        <rFont val="メイリオ"/>
        <color rgb="FF000000"/>
        <sz val="10.0"/>
      </rPr>
      <t xml:space="preserve">Được tóm tắt là "hiển thị 15 trong số 20 bản ghi tương ứng". Việc xác nhận toàn bộ・đổi đơn giá được điều hướng đến **màn hình tìm kiếm chi tiết cửa hàng bán (lọc tham chiếu đơn giá phí giao báo hết hiệu lực)**
</t>
    </r>
    <r>
      <rPr>
        <rFont val="メイリオ"/>
        <b/>
        <color rgb="FF000000"/>
        <sz val="10.0"/>
      </rPr>
      <t xml:space="preserve">ステップ6：
</t>
    </r>
    <r>
      <rPr>
        <rFont val="メイリオ"/>
        <color rgb="FF000000"/>
        <sz val="10.0"/>
      </rPr>
      <t xml:space="preserve">Xuất thành công
</t>
    </r>
    <r>
      <rPr>
        <rFont val="メイリオ"/>
        <b/>
        <color rgb="FF000000"/>
        <sz val="10.0"/>
      </rPr>
      <t xml:space="preserve">ステップ7：
</t>
    </r>
    <r>
      <rPr>
        <rFont val="メイリオ"/>
        <color rgb="FF000000"/>
        <sz val="10.0"/>
      </rPr>
      <t xml:space="preserve">Xuất thành công (việc đánh giá còn hiệu lực chỉ dựa trên `active_flg`, không đánh giá theo ngày của kỳ áp dụng)
</t>
    </r>
    <r>
      <rPr>
        <rFont val="メイリオ"/>
        <b/>
        <color rgb="FF000000"/>
        <sz val="10.0"/>
      </rPr>
      <t xml:space="preserve">補足：
</t>
    </r>
    <r>
      <rPr>
        <rFont val="メイリオ"/>
        <color rgb="FF000000"/>
        <sz val="10.0"/>
      </rPr>
      <t xml:space="preserve">・Thông báo có nội dung khác với xuất dữ liệu trích nợ tài khoản (SCR-020) (là "配達手数料単価" chứ không phải "単価", đối tượng là "販売店" chứ không phải "購読者"). Do cài đặt truyền nội dung riêng theo màn hình vào cùng một `InactiveTankaReferencedException`, nên khi kiểm thử hai màn không được nhầm lẫn nội dung
</t>
    </r>
    <r>
      <rPr>
        <rFont val="メイリオ"/>
        <color rgb="FF000000"/>
        <sz val="10.0"/>
      </rPr>
      <t xml:space="preserve">・`errors[].field` là **`hanbaiten_id`** chứ không phải số dòng (SCR-020 là số dòng)
</t>
    </r>
    <r>
      <rPr>
        <rFont val="メイリオ"/>
        <color rgb="FF000000"/>
        <sz val="10.0"/>
      </rPr>
      <t>・Đơn giá hết hiệu lực mà người đọc ngoài đối tượng tổng hợp (bản điện tử・kết hợp bị loại theo #56599) tham chiếu cũng không nằm trong tập của kiểm tra này (xem ACSMS-TC-021-041 Bước 5)</t>
    </r>
  </si>
  <si>
    <t>(không có)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</si>
</sst>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font>
      <sz val="11.0"/>
      <color theme="1"/>
      <name val="Calibri"/>
    </font>
    <font>
      <sz val="11.0"/>
      <color rgb="FF000000"/>
      <name val="游ゴシック"/>
    </font>
    <font>
      <sz val="26.0"/>
      <color rgb="FF1F3864"/>
      <name val="游ゴシック"/>
    </font>
    <font>
      <b/>
      <sz val="14.0"/>
      <color rgb="FF000000"/>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D9E2F3"/>
        <bgColor rgb="FFD9E2F3"/>
      </patternFill>
    </fill>
    <fill>
      <patternFill patternType="solid">
        <fgColor rgb="FFBDD6EE"/>
        <bgColor rgb="FFBDD6EE"/>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3" numFmtId="0" xfId="0" applyBorder="1" applyFont="1"/>
    <xf borderId="6" fillId="0" fontId="3" numFmtId="0" xfId="0" applyBorder="1" applyFont="1"/>
    <xf borderId="1" fillId="0" fontId="4" numFmtId="0" xfId="0" applyAlignment="1" applyBorder="1" applyFont="1">
      <alignment horizontal="center" shrinkToFit="0" vertical="center" wrapText="1"/>
    </xf>
    <xf borderId="7" fillId="0" fontId="3" numFmtId="0" xfId="0" applyBorder="1" applyFont="1"/>
    <xf borderId="2" fillId="0" fontId="4" numFmtId="0" xfId="0" applyAlignment="1" applyBorder="1" applyFont="1">
      <alignment horizontal="center" shrinkToFit="0" vertical="center" wrapText="1"/>
    </xf>
    <xf borderId="8" fillId="0" fontId="3" numFmtId="0" xfId="0" applyBorder="1" applyFont="1"/>
    <xf borderId="9" fillId="0" fontId="3" numFmtId="0" xfId="0" applyBorder="1" applyFont="1"/>
    <xf borderId="2" fillId="0" fontId="4" numFmtId="0" xfId="0" applyAlignment="1" applyBorder="1" applyFont="1">
      <alignment horizontal="left" shrinkToFit="0" vertical="center" wrapText="1"/>
    </xf>
    <xf borderId="5" fillId="0" fontId="4" numFmtId="0" xfId="0" applyAlignment="1" applyBorder="1" applyFont="1">
      <alignment horizontal="center" shrinkToFit="0" vertical="center" wrapText="1"/>
    </xf>
    <xf borderId="6" fillId="0" fontId="2" numFmtId="0" xfId="0" applyBorder="1" applyFont="1"/>
    <xf borderId="7" fillId="0" fontId="2" numFmtId="0" xfId="0" applyBorder="1" applyFont="1"/>
    <xf borderId="8" fillId="0" fontId="5" numFmtId="0" xfId="0" applyAlignment="1" applyBorder="1" applyFont="1">
      <alignment horizontal="center" shrinkToFit="0" vertical="center" wrapText="1"/>
    </xf>
    <xf borderId="9" fillId="0" fontId="2" numFmtId="0" xfId="0" applyBorder="1" applyFont="1"/>
    <xf borderId="2" fillId="2" fontId="6"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5" fillId="0" fontId="4" numFmtId="49" xfId="0" applyAlignment="1" applyBorder="1" applyFont="1" applyNumberFormat="1">
      <alignment horizontal="center" shrinkToFit="0" vertical="center" wrapText="1"/>
    </xf>
    <xf borderId="8" fillId="0" fontId="8" numFmtId="0" xfId="0" applyAlignment="1" applyBorder="1" applyFont="1">
      <alignment horizontal="center" shrinkToFit="0" vertical="center" wrapText="1"/>
    </xf>
    <xf borderId="2" fillId="3" fontId="9" numFmtId="0" xfId="0" applyAlignment="1" applyBorder="1" applyFill="1" applyFont="1">
      <alignment horizontal="center" shrinkToFit="0" vertical="center" wrapText="1"/>
    </xf>
    <xf borderId="10" fillId="0" fontId="2" numFmtId="0" xfId="0" applyBorder="1" applyFont="1"/>
    <xf borderId="2" fillId="4" fontId="1" numFmtId="0" xfId="0" applyAlignment="1" applyBorder="1" applyFill="1" applyFont="1">
      <alignment horizontal="left" shrinkToFit="0" vertical="center" wrapText="1"/>
    </xf>
    <xf borderId="11" fillId="0" fontId="2" numFmtId="0" xfId="0" applyBorder="1" applyFont="1"/>
    <xf borderId="12" fillId="0" fontId="2" numFmtId="0" xfId="0" applyBorder="1" applyFont="1"/>
    <xf borderId="0" fillId="0" fontId="1" numFmtId="0" xfId="0" applyAlignment="1" applyFont="1">
      <alignment horizontal="left" shrinkToFit="0" vertical="center" wrapText="1"/>
    </xf>
    <xf borderId="0" fillId="0" fontId="4" numFmtId="0" xfId="0" applyAlignment="1" applyFont="1">
      <alignment horizontal="left" shrinkToFit="0" vertical="center" wrapText="1"/>
    </xf>
    <xf borderId="2" fillId="3" fontId="9" numFmtId="49" xfId="0" applyAlignment="1" applyBorder="1" applyFont="1" applyNumberFormat="1">
      <alignment horizontal="center" shrinkToFit="0" vertical="center" wrapText="1"/>
    </xf>
    <xf borderId="13" fillId="5" fontId="1" numFmtId="0" xfId="0" applyAlignment="1" applyBorder="1" applyFill="1" applyFont="1">
      <alignment horizontal="left" shrinkToFit="0" vertical="center" wrapText="1"/>
    </xf>
    <xf borderId="14" fillId="0" fontId="2" numFmtId="0" xfId="0" applyBorder="1" applyFont="1"/>
    <xf borderId="15" fillId="0" fontId="2" numFmtId="0" xfId="0" applyBorder="1" applyFont="1"/>
    <xf borderId="2" fillId="0" fontId="4" numFmtId="49" xfId="0" applyAlignment="1" applyBorder="1" applyFont="1" applyNumberFormat="1">
      <alignment horizontal="left" shrinkToFit="0" vertical="center" wrapText="1"/>
    </xf>
    <xf borderId="10" fillId="0" fontId="3" numFmtId="0" xfId="0" applyBorder="1" applyFont="1"/>
    <xf borderId="11" fillId="0" fontId="3" numFmtId="0" xfId="0" applyBorder="1" applyFont="1"/>
    <xf borderId="16" fillId="4" fontId="1" numFmtId="0" xfId="0" applyAlignment="1" applyBorder="1" applyFont="1">
      <alignment horizontal="center" shrinkToFit="0" vertical="center" wrapText="1"/>
    </xf>
    <xf borderId="12" fillId="0" fontId="3" numFmtId="0" xfId="0" applyBorder="1" applyFont="1"/>
    <xf borderId="5"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17" fillId="0" fontId="2" numFmtId="0" xfId="0" applyBorder="1" applyFont="1"/>
    <xf borderId="1" fillId="6" fontId="1" numFmtId="0" xfId="0" applyAlignment="1" applyBorder="1" applyFill="1" applyFont="1">
      <alignment horizontal="left" shrinkToFit="0" vertical="center" wrapText="1"/>
    </xf>
    <xf borderId="2" fillId="0" fontId="4"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2" fillId="0" fontId="4" numFmtId="0" xfId="0" applyAlignment="1" applyBorder="1" applyFont="1">
      <alignment horizontal="center" shrinkToFit="0" vertical="top" wrapText="1"/>
    </xf>
    <xf borderId="2" fillId="0" fontId="4"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6" fillId="6" fontId="1" numFmtId="0" xfId="0" applyAlignment="1" applyBorder="1" applyFont="1">
      <alignment horizontal="center" shrinkToFit="0" vertical="center" wrapText="1"/>
    </xf>
    <xf borderId="5" fillId="6" fontId="1" numFmtId="0" xfId="0" applyAlignment="1" applyBorder="1" applyFont="1">
      <alignment horizontal="center" shrinkToFit="0" vertical="center" wrapText="1"/>
    </xf>
    <xf borderId="2" fillId="0" fontId="4" numFmtId="0" xfId="0" applyAlignment="1" applyBorder="1" applyFont="1">
      <alignment horizontal="center" readingOrder="0" shrinkToFit="0" vertical="top" wrapText="1"/>
    </xf>
    <xf borderId="2" fillId="0" fontId="10" numFmtId="0" xfId="0" applyAlignment="1" applyBorder="1" applyFont="1">
      <alignment horizontal="center" shrinkToFit="0" vertical="top" wrapText="1"/>
    </xf>
    <xf borderId="2" fillId="0" fontId="10" numFmtId="165" xfId="0" applyAlignment="1" applyBorder="1" applyFont="1" applyNumberFormat="1">
      <alignment horizontal="center" readingOrder="0" shrinkToFit="0" vertical="top" wrapText="1"/>
    </xf>
    <xf borderId="2" fillId="9" fontId="1" numFmtId="0" xfId="0" applyAlignment="1" applyBorder="1" applyFill="1" applyFont="1">
      <alignment horizontal="center" shrinkToFit="0" vertical="top" wrapText="1"/>
    </xf>
    <xf borderId="2" fillId="0" fontId="4" numFmtId="0" xfId="0" applyAlignment="1" applyBorder="1" applyFont="1">
      <alignment horizontal="left" readingOrder="0" shrinkToFit="0" vertical="top" wrapText="1"/>
    </xf>
    <xf borderId="2" fillId="4"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5"/>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8"/>
    </row>
    <row r="3" ht="12.75" customHeight="1">
      <c r="B3" s="10"/>
      <c r="AK3" s="11"/>
    </row>
    <row r="4" ht="12.75" customHeight="1">
      <c r="B4" s="10"/>
      <c r="AK4" s="11"/>
    </row>
    <row r="5" ht="12.75" customHeight="1">
      <c r="B5" s="10"/>
      <c r="AK5" s="11"/>
    </row>
    <row r="6" ht="12.75" customHeight="1">
      <c r="B6" s="10"/>
      <c r="AK6" s="11"/>
    </row>
    <row r="7" ht="12.75" customHeight="1">
      <c r="B7" s="10"/>
      <c r="AK7" s="11"/>
    </row>
    <row r="8" ht="12.75" customHeight="1">
      <c r="B8" s="10"/>
      <c r="AK8" s="11"/>
    </row>
    <row r="9" ht="12.75" customHeight="1">
      <c r="B9" s="10"/>
      <c r="AK9" s="11"/>
    </row>
    <row r="10" ht="29.25" customHeight="1">
      <c r="B10" s="16" t="s">
        <v>18</v>
      </c>
      <c r="AK10" s="17"/>
    </row>
    <row r="11" ht="12.75" customHeight="1">
      <c r="B11" s="10"/>
      <c r="AK11" s="11"/>
    </row>
    <row r="12" ht="39.0" customHeight="1">
      <c r="B12" s="19" t="s">
        <v>24</v>
      </c>
      <c r="AK12" s="17"/>
    </row>
    <row r="13" ht="12.75" customHeight="1">
      <c r="B13" s="10"/>
      <c r="AK13" s="11"/>
    </row>
    <row r="14" ht="12.75" customHeight="1">
      <c r="B14" s="10"/>
      <c r="AK14" s="11"/>
    </row>
    <row r="15" ht="12.75" customHeight="1">
      <c r="B15" s="21" t="s">
        <v>28</v>
      </c>
      <c r="AK15" s="17"/>
    </row>
    <row r="16" ht="12.75" customHeight="1">
      <c r="B16" s="10"/>
      <c r="AK16" s="11"/>
    </row>
    <row r="17" ht="12.75" customHeight="1">
      <c r="B17" s="10"/>
      <c r="AK17" s="11"/>
    </row>
    <row r="18" ht="12.75" customHeight="1">
      <c r="B18" s="10"/>
      <c r="N18" s="22" t="s">
        <v>29</v>
      </c>
      <c r="O18" s="3"/>
      <c r="P18" s="3"/>
      <c r="Q18" s="3"/>
      <c r="R18" s="4"/>
      <c r="S18" s="22" t="s">
        <v>31</v>
      </c>
      <c r="T18" s="3"/>
      <c r="U18" s="3"/>
      <c r="V18" s="3"/>
      <c r="W18" s="4"/>
      <c r="AK18" s="11"/>
    </row>
    <row r="19" ht="12.75" customHeight="1">
      <c r="B19" s="10"/>
      <c r="N19" s="22" t="s">
        <v>32</v>
      </c>
      <c r="O19" s="3"/>
      <c r="P19" s="3"/>
      <c r="Q19" s="3"/>
      <c r="R19" s="4"/>
      <c r="S19" s="22" t="s">
        <v>14</v>
      </c>
      <c r="T19" s="3"/>
      <c r="U19" s="3"/>
      <c r="V19" s="3"/>
      <c r="W19" s="4"/>
      <c r="AK19" s="11"/>
    </row>
    <row r="20" ht="12.75" customHeight="1">
      <c r="B20" s="10"/>
      <c r="N20" s="22" t="s">
        <v>1</v>
      </c>
      <c r="O20" s="3"/>
      <c r="P20" s="3"/>
      <c r="Q20" s="3"/>
      <c r="R20" s="4"/>
      <c r="S20" s="29" t="s">
        <v>12</v>
      </c>
      <c r="T20" s="3"/>
      <c r="U20" s="3"/>
      <c r="V20" s="3"/>
      <c r="W20" s="4"/>
      <c r="AK20" s="11"/>
    </row>
    <row r="21" ht="12.75" customHeight="1">
      <c r="B21" s="10"/>
      <c r="AK21" s="11"/>
    </row>
    <row r="22" ht="12.75" customHeight="1">
      <c r="B22" s="10"/>
      <c r="AK22" s="11"/>
    </row>
    <row r="23" ht="12.75" customHeight="1">
      <c r="B23" s="10"/>
      <c r="AK23" s="11"/>
    </row>
    <row r="24" ht="12.75" customHeight="1">
      <c r="B24" s="10"/>
      <c r="AK24" s="11"/>
    </row>
    <row r="25" ht="12.75" customHeight="1">
      <c r="B25" s="10"/>
      <c r="AK25" s="11"/>
    </row>
    <row r="26" ht="12.75" customHeight="1">
      <c r="B26" s="10"/>
      <c r="AK26" s="11"/>
    </row>
    <row r="27" ht="12.75" customHeight="1">
      <c r="B27" s="10"/>
      <c r="AK27" s="11"/>
    </row>
    <row r="28" ht="12.75" customHeight="1">
      <c r="B28" s="10"/>
      <c r="AK28" s="11"/>
    </row>
    <row r="29" ht="12.75" customHeight="1">
      <c r="B29" s="10"/>
      <c r="AK29" s="11"/>
    </row>
    <row r="30" ht="12.75" customHeight="1">
      <c r="B30" s="10"/>
      <c r="AK30" s="11"/>
    </row>
    <row r="31" ht="12.75" customHeight="1">
      <c r="B31" s="10"/>
      <c r="AK31" s="11"/>
    </row>
    <row r="32" ht="12.75" customHeight="1">
      <c r="B32" s="10"/>
      <c r="AK32" s="11"/>
    </row>
    <row r="33" ht="12.75" customHeight="1">
      <c r="B33" s="10"/>
      <c r="AK33" s="11"/>
    </row>
    <row r="34" ht="12.75" customHeight="1">
      <c r="B34" s="34"/>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7"/>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2" t="s">
        <v>1</v>
      </c>
      <c r="C1" s="3"/>
      <c r="D1" s="3"/>
      <c r="E1" s="4"/>
      <c r="F1" s="2" t="s">
        <v>2</v>
      </c>
      <c r="G1" s="3"/>
      <c r="H1" s="4"/>
      <c r="I1" s="2" t="s">
        <v>3</v>
      </c>
      <c r="J1" s="3"/>
      <c r="K1" s="3"/>
      <c r="L1" s="3"/>
      <c r="M1" s="3"/>
      <c r="N1" s="4"/>
      <c r="O1" s="2" t="s">
        <v>5</v>
      </c>
      <c r="P1" s="3"/>
      <c r="Q1" s="3"/>
      <c r="R1" s="3"/>
      <c r="S1" s="3"/>
      <c r="T1" s="3"/>
      <c r="U1" s="3"/>
      <c r="V1" s="4"/>
      <c r="W1" s="2" t="s">
        <v>6</v>
      </c>
      <c r="X1" s="3"/>
      <c r="Y1" s="3"/>
      <c r="Z1" s="3"/>
      <c r="AA1" s="3"/>
      <c r="AB1" s="4"/>
      <c r="AC1" s="2" t="s">
        <v>8</v>
      </c>
      <c r="AD1" s="3"/>
      <c r="AE1" s="3"/>
      <c r="AF1" s="3"/>
      <c r="AG1" s="3"/>
      <c r="AH1" s="4"/>
    </row>
    <row r="2" ht="22.5" customHeight="1">
      <c r="A2" s="7"/>
      <c r="B2" s="9" t="s">
        <v>12</v>
      </c>
      <c r="C2" s="3"/>
      <c r="D2" s="3"/>
      <c r="E2" s="4"/>
      <c r="F2" s="9" t="s">
        <v>14</v>
      </c>
      <c r="G2" s="3"/>
      <c r="H2" s="4"/>
      <c r="I2" s="9" t="s">
        <v>16</v>
      </c>
      <c r="J2" s="3"/>
      <c r="K2" s="3"/>
      <c r="L2" s="3"/>
      <c r="M2" s="3"/>
      <c r="N2" s="4"/>
      <c r="O2" s="12" t="s">
        <v>17</v>
      </c>
      <c r="P2" s="3"/>
      <c r="Q2" s="3"/>
      <c r="R2" s="3"/>
      <c r="S2" s="3"/>
      <c r="T2" s="3"/>
      <c r="U2" s="3"/>
      <c r="V2" s="4"/>
      <c r="W2" s="9" t="s">
        <v>20</v>
      </c>
      <c r="X2" s="3"/>
      <c r="Y2" s="3"/>
      <c r="Z2" s="3"/>
      <c r="AA2" s="3"/>
      <c r="AB2" s="4"/>
      <c r="AC2" s="9" t="s">
        <v>20</v>
      </c>
      <c r="AD2" s="3"/>
      <c r="AE2" s="3"/>
      <c r="AF2" s="3"/>
      <c r="AG2" s="3"/>
      <c r="AH2" s="4"/>
    </row>
    <row r="3" ht="22.5" customHeight="1">
      <c r="A3" s="7"/>
      <c r="B3" s="9" t="s">
        <v>23</v>
      </c>
      <c r="C3" s="3"/>
      <c r="D3" s="3"/>
      <c r="E3" s="4"/>
      <c r="F3" s="9" t="s">
        <v>25</v>
      </c>
      <c r="G3" s="3"/>
      <c r="H3" s="4"/>
      <c r="I3" s="9" t="s">
        <v>26</v>
      </c>
      <c r="J3" s="3"/>
      <c r="K3" s="3"/>
      <c r="L3" s="3"/>
      <c r="M3" s="3"/>
      <c r="N3" s="4"/>
      <c r="O3" s="12" t="s">
        <v>27</v>
      </c>
      <c r="P3" s="3"/>
      <c r="Q3" s="3"/>
      <c r="R3" s="3"/>
      <c r="S3" s="3"/>
      <c r="T3" s="3"/>
      <c r="U3" s="3"/>
      <c r="V3" s="4"/>
      <c r="W3" s="9"/>
      <c r="X3" s="3"/>
      <c r="Y3" s="3"/>
      <c r="Z3" s="3"/>
      <c r="AA3" s="3"/>
      <c r="AB3" s="4"/>
      <c r="AC3" s="9"/>
      <c r="AD3" s="3"/>
      <c r="AE3" s="3"/>
      <c r="AF3" s="3"/>
      <c r="AG3" s="3"/>
      <c r="AH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4</v>
      </c>
      <c r="B1" s="3"/>
      <c r="C1" s="3"/>
      <c r="D1" s="3"/>
      <c r="E1" s="3"/>
      <c r="F1" s="3"/>
      <c r="G1" s="3"/>
      <c r="H1" s="3"/>
      <c r="I1" s="4"/>
      <c r="J1" s="2" t="s">
        <v>7</v>
      </c>
      <c r="K1" s="3"/>
      <c r="L1" s="3"/>
      <c r="M1" s="3"/>
      <c r="N1" s="3"/>
      <c r="O1" s="3"/>
      <c r="P1" s="4"/>
      <c r="Q1" s="2" t="s">
        <v>9</v>
      </c>
      <c r="R1" s="3"/>
      <c r="S1" s="3"/>
      <c r="T1" s="3"/>
      <c r="U1" s="4"/>
      <c r="V1" s="2" t="s">
        <v>10</v>
      </c>
      <c r="W1" s="3"/>
      <c r="X1" s="3"/>
      <c r="Y1" s="4"/>
      <c r="Z1" s="2" t="s">
        <v>11</v>
      </c>
      <c r="AA1" s="3"/>
      <c r="AB1" s="3"/>
      <c r="AC1" s="4"/>
      <c r="AD1" s="2" t="s">
        <v>13</v>
      </c>
      <c r="AE1" s="3"/>
      <c r="AF1" s="3"/>
      <c r="AG1" s="4"/>
      <c r="AH1" s="2" t="s">
        <v>15</v>
      </c>
      <c r="AI1" s="3"/>
      <c r="AJ1" s="3"/>
      <c r="AK1" s="4"/>
    </row>
    <row r="2" ht="19.5" customHeight="1">
      <c r="A2" s="13" t="s">
        <v>18</v>
      </c>
      <c r="B2" s="14"/>
      <c r="C2" s="14"/>
      <c r="D2" s="14"/>
      <c r="E2" s="14"/>
      <c r="F2" s="14"/>
      <c r="G2" s="14"/>
      <c r="H2" s="14"/>
      <c r="I2" s="15"/>
      <c r="J2" s="13" t="s">
        <v>21</v>
      </c>
      <c r="K2" s="14"/>
      <c r="L2" s="14"/>
      <c r="M2" s="14"/>
      <c r="N2" s="14"/>
      <c r="O2" s="14"/>
      <c r="P2" s="15"/>
      <c r="Q2" s="13" t="s">
        <v>22</v>
      </c>
      <c r="R2" s="14"/>
      <c r="S2" s="14"/>
      <c r="T2" s="14"/>
      <c r="U2" s="15"/>
      <c r="V2" s="20" t="s">
        <v>12</v>
      </c>
      <c r="W2" s="14"/>
      <c r="X2" s="14"/>
      <c r="Y2" s="15"/>
      <c r="Z2" s="13" t="s">
        <v>16</v>
      </c>
      <c r="AA2" s="14"/>
      <c r="AB2" s="14"/>
      <c r="AC2" s="15"/>
      <c r="AD2" s="20" t="s">
        <v>12</v>
      </c>
      <c r="AE2" s="14"/>
      <c r="AF2" s="14"/>
      <c r="AG2" s="15"/>
      <c r="AH2" s="13" t="s">
        <v>16</v>
      </c>
      <c r="AI2" s="14"/>
      <c r="AJ2" s="14"/>
      <c r="AK2" s="15"/>
    </row>
    <row r="3" ht="19.5" customHeight="1">
      <c r="A3" s="23"/>
      <c r="B3" s="25"/>
      <c r="C3" s="25"/>
      <c r="D3" s="25"/>
      <c r="E3" s="25"/>
      <c r="F3" s="25"/>
      <c r="G3" s="25"/>
      <c r="H3" s="25"/>
      <c r="I3" s="26"/>
      <c r="J3" s="23"/>
      <c r="K3" s="25"/>
      <c r="L3" s="25"/>
      <c r="M3" s="25"/>
      <c r="N3" s="25"/>
      <c r="O3" s="25"/>
      <c r="P3" s="26"/>
      <c r="Q3" s="23"/>
      <c r="R3" s="25"/>
      <c r="S3" s="25"/>
      <c r="T3" s="25"/>
      <c r="U3" s="26"/>
      <c r="V3" s="23"/>
      <c r="W3" s="25"/>
      <c r="X3" s="25"/>
      <c r="Y3" s="26"/>
      <c r="Z3" s="23"/>
      <c r="AA3" s="25"/>
      <c r="AB3" s="25"/>
      <c r="AC3" s="26"/>
      <c r="AD3" s="23"/>
      <c r="AE3" s="25"/>
      <c r="AF3" s="25"/>
      <c r="AG3" s="26"/>
      <c r="AH3" s="23"/>
      <c r="AI3" s="25"/>
      <c r="AJ3" s="25"/>
      <c r="AK3" s="26"/>
    </row>
    <row r="4" ht="15.0" customHeight="1"/>
    <row r="5" ht="19.5" customHeight="1">
      <c r="B5" s="27" t="s">
        <v>33</v>
      </c>
    </row>
    <row r="6" ht="19.5" customHeight="1">
      <c r="C6" s="28" t="s">
        <v>35</v>
      </c>
    </row>
    <row r="7" ht="19.5" customHeight="1">
      <c r="C7" s="28" t="s">
        <v>36</v>
      </c>
    </row>
    <row r="8" ht="19.5" customHeight="1">
      <c r="C8" s="28" t="s">
        <v>37</v>
      </c>
    </row>
    <row r="9" ht="15.0" customHeight="1"/>
    <row r="10" ht="19.5" customHeight="1">
      <c r="B10" s="27" t="s">
        <v>38</v>
      </c>
    </row>
    <row r="11" ht="19.5" customHeight="1">
      <c r="C11" s="30" t="s">
        <v>39</v>
      </c>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2"/>
    </row>
    <row r="12" ht="15.0" customHeight="1"/>
    <row r="13" ht="19.5" customHeight="1">
      <c r="B13" s="27" t="s">
        <v>40</v>
      </c>
    </row>
    <row r="14" ht="15.0" customHeight="1"/>
    <row r="15" ht="22.5" customHeight="1">
      <c r="C15" s="1" t="s">
        <v>41</v>
      </c>
      <c r="D15" s="2" t="s">
        <v>42</v>
      </c>
      <c r="E15" s="3"/>
      <c r="F15" s="3"/>
      <c r="G15" s="3"/>
      <c r="H15" s="3"/>
      <c r="I15" s="3"/>
      <c r="J15" s="3"/>
      <c r="K15" s="3"/>
      <c r="L15" s="3"/>
      <c r="M15" s="3"/>
      <c r="N15" s="4"/>
      <c r="O15" s="2" t="s">
        <v>43</v>
      </c>
      <c r="P15" s="3"/>
      <c r="Q15" s="3"/>
      <c r="R15" s="3"/>
      <c r="S15" s="3"/>
      <c r="T15" s="3"/>
      <c r="U15" s="3"/>
      <c r="V15" s="3"/>
      <c r="W15" s="3"/>
      <c r="X15" s="3"/>
      <c r="Y15" s="3"/>
      <c r="Z15" s="3"/>
      <c r="AA15" s="3"/>
      <c r="AB15" s="3"/>
      <c r="AC15" s="3"/>
      <c r="AD15" s="3"/>
      <c r="AE15" s="3"/>
      <c r="AF15" s="3"/>
      <c r="AG15" s="4"/>
    </row>
    <row r="16" ht="22.5" customHeight="1">
      <c r="C16" s="7">
        <v>1.0</v>
      </c>
      <c r="D16" s="12" t="s">
        <v>44</v>
      </c>
      <c r="E16" s="3"/>
      <c r="F16" s="3"/>
      <c r="G16" s="3"/>
      <c r="H16" s="3"/>
      <c r="I16" s="3"/>
      <c r="J16" s="3"/>
      <c r="K16" s="3"/>
      <c r="L16" s="3"/>
      <c r="M16" s="3"/>
      <c r="N16" s="4"/>
      <c r="O16" s="12" t="s">
        <v>46</v>
      </c>
      <c r="P16" s="3"/>
      <c r="Q16" s="3"/>
      <c r="R16" s="3"/>
      <c r="S16" s="3"/>
      <c r="T16" s="3"/>
      <c r="U16" s="3"/>
      <c r="V16" s="3"/>
      <c r="W16" s="3"/>
      <c r="X16" s="3"/>
      <c r="Y16" s="3"/>
      <c r="Z16" s="3"/>
      <c r="AA16" s="3"/>
      <c r="AB16" s="3"/>
      <c r="AC16" s="3"/>
      <c r="AD16" s="3"/>
      <c r="AE16" s="3"/>
      <c r="AF16" s="3"/>
      <c r="AG16" s="4"/>
    </row>
    <row r="17" ht="22.5" customHeight="1">
      <c r="C17" s="7">
        <v>2.0</v>
      </c>
      <c r="D17" s="12" t="s">
        <v>44</v>
      </c>
      <c r="E17" s="3"/>
      <c r="F17" s="3"/>
      <c r="G17" s="3"/>
      <c r="H17" s="3"/>
      <c r="I17" s="3"/>
      <c r="J17" s="3"/>
      <c r="K17" s="3"/>
      <c r="L17" s="3"/>
      <c r="M17" s="3"/>
      <c r="N17" s="4"/>
      <c r="O17" s="12" t="s">
        <v>49</v>
      </c>
      <c r="P17" s="3"/>
      <c r="Q17" s="3"/>
      <c r="R17" s="3"/>
      <c r="S17" s="3"/>
      <c r="T17" s="3"/>
      <c r="U17" s="3"/>
      <c r="V17" s="3"/>
      <c r="W17" s="3"/>
      <c r="X17" s="3"/>
      <c r="Y17" s="3"/>
      <c r="Z17" s="3"/>
      <c r="AA17" s="3"/>
      <c r="AB17" s="3"/>
      <c r="AC17" s="3"/>
      <c r="AD17" s="3"/>
      <c r="AE17" s="3"/>
      <c r="AF17" s="3"/>
      <c r="AG1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18" t="s">
        <v>19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row>
    <row r="3" ht="22.5" customHeight="1">
      <c r="A3" s="24" t="s">
        <v>30</v>
      </c>
      <c r="B3" s="3"/>
      <c r="C3" s="3"/>
      <c r="D3" s="3"/>
      <c r="E3" s="3"/>
      <c r="F3" s="4"/>
      <c r="G3" s="12" t="s">
        <v>18</v>
      </c>
      <c r="H3" s="3"/>
      <c r="I3" s="3"/>
      <c r="J3" s="3"/>
      <c r="K3" s="3"/>
      <c r="L3" s="3"/>
      <c r="M3" s="3"/>
      <c r="N3" s="3"/>
      <c r="O3" s="4"/>
      <c r="P3" s="24" t="s">
        <v>34</v>
      </c>
      <c r="Q3" s="3"/>
      <c r="R3" s="3"/>
      <c r="S3" s="3"/>
      <c r="T3" s="3"/>
      <c r="U3" s="3"/>
      <c r="V3" s="3"/>
      <c r="W3" s="4"/>
      <c r="X3" s="12" t="s">
        <v>20</v>
      </c>
      <c r="Y3" s="3"/>
      <c r="Z3" s="3"/>
      <c r="AA3" s="3"/>
      <c r="AB3" s="3"/>
      <c r="AC3" s="3"/>
      <c r="AD3" s="3"/>
      <c r="AE3" s="3"/>
      <c r="AF3" s="3"/>
      <c r="AG3" s="3"/>
      <c r="AH3" s="4"/>
    </row>
    <row r="4" ht="22.5" customHeight="1">
      <c r="A4" s="24" t="s">
        <v>3</v>
      </c>
      <c r="B4" s="3"/>
      <c r="C4" s="3"/>
      <c r="D4" s="3"/>
      <c r="E4" s="3"/>
      <c r="F4" s="4"/>
      <c r="G4" s="12" t="s">
        <v>16</v>
      </c>
      <c r="H4" s="3"/>
      <c r="I4" s="3"/>
      <c r="J4" s="3"/>
      <c r="K4" s="3"/>
      <c r="L4" s="3"/>
      <c r="M4" s="3"/>
      <c r="N4" s="3"/>
      <c r="O4" s="4"/>
      <c r="P4" s="24" t="s">
        <v>10</v>
      </c>
      <c r="Q4" s="3"/>
      <c r="R4" s="3"/>
      <c r="S4" s="3"/>
      <c r="T4" s="3"/>
      <c r="U4" s="3"/>
      <c r="V4" s="3"/>
      <c r="W4" s="4"/>
      <c r="X4" s="33" t="s">
        <v>12</v>
      </c>
      <c r="Y4" s="3"/>
      <c r="Z4" s="3"/>
      <c r="AA4" s="3"/>
      <c r="AB4" s="3"/>
      <c r="AC4" s="3"/>
      <c r="AD4" s="3"/>
      <c r="AE4" s="3"/>
      <c r="AF4" s="3"/>
      <c r="AG4" s="3"/>
      <c r="AH4" s="4"/>
    </row>
    <row r="6" ht="22.5" customHeight="1">
      <c r="A6" s="36" t="s">
        <v>45</v>
      </c>
      <c r="B6" s="38" t="s">
        <v>47</v>
      </c>
      <c r="C6" s="14"/>
      <c r="D6" s="14"/>
      <c r="E6" s="14"/>
      <c r="F6" s="14"/>
      <c r="G6" s="15"/>
      <c r="H6" s="39" t="s">
        <v>48</v>
      </c>
      <c r="I6" s="3"/>
      <c r="J6" s="3"/>
      <c r="K6" s="3"/>
      <c r="L6" s="3"/>
      <c r="M6" s="3"/>
      <c r="N6" s="3"/>
      <c r="O6" s="3"/>
      <c r="P6" s="4"/>
      <c r="Q6" s="38" t="s">
        <v>50</v>
      </c>
      <c r="R6" s="14"/>
      <c r="S6" s="15"/>
      <c r="T6" s="39" t="s">
        <v>51</v>
      </c>
      <c r="U6" s="3"/>
      <c r="V6" s="3"/>
      <c r="W6" s="3"/>
      <c r="X6" s="3"/>
      <c r="Y6" s="3"/>
      <c r="Z6" s="3"/>
      <c r="AA6" s="3"/>
      <c r="AB6" s="3"/>
      <c r="AC6" s="3"/>
      <c r="AD6" s="3"/>
      <c r="AE6" s="3"/>
      <c r="AF6" s="3"/>
      <c r="AG6" s="3"/>
      <c r="AH6" s="4"/>
    </row>
    <row r="7" ht="22.5" customHeight="1">
      <c r="A7" s="40"/>
      <c r="B7" s="23"/>
      <c r="C7" s="25"/>
      <c r="D7" s="25"/>
      <c r="E7" s="25"/>
      <c r="F7" s="25"/>
      <c r="G7" s="26"/>
      <c r="H7" s="39" t="s">
        <v>52</v>
      </c>
      <c r="I7" s="3"/>
      <c r="J7" s="4"/>
      <c r="K7" s="39" t="s">
        <v>53</v>
      </c>
      <c r="L7" s="3"/>
      <c r="M7" s="4"/>
      <c r="N7" s="39" t="s">
        <v>54</v>
      </c>
      <c r="O7" s="3"/>
      <c r="P7" s="4"/>
      <c r="Q7" s="23"/>
      <c r="R7" s="25"/>
      <c r="S7" s="26"/>
      <c r="T7" s="39" t="s">
        <v>55</v>
      </c>
      <c r="U7" s="3"/>
      <c r="V7" s="4"/>
      <c r="W7" s="39" t="s">
        <v>56</v>
      </c>
      <c r="X7" s="3"/>
      <c r="Y7" s="4"/>
      <c r="Z7" s="39" t="s">
        <v>57</v>
      </c>
      <c r="AA7" s="3"/>
      <c r="AB7" s="4"/>
      <c r="AC7" s="39" t="s">
        <v>58</v>
      </c>
      <c r="AD7" s="3"/>
      <c r="AE7" s="4"/>
      <c r="AF7" s="39" t="s">
        <v>59</v>
      </c>
      <c r="AG7" s="3"/>
      <c r="AH7" s="4"/>
    </row>
    <row r="8" ht="22.5" customHeight="1">
      <c r="A8" s="41" t="s">
        <v>60</v>
      </c>
    </row>
    <row r="9" ht="22.5" customHeight="1">
      <c r="A9" s="7">
        <v>1.0</v>
      </c>
      <c r="B9" s="12" t="s">
        <v>61</v>
      </c>
      <c r="C9" s="3"/>
      <c r="D9" s="3"/>
      <c r="E9" s="3"/>
      <c r="F9" s="3"/>
      <c r="G9" s="4"/>
      <c r="H9" s="9">
        <f t="array" ref="H9">INDIRECT("'"&amp;$B9&amp;"'!H7",TRUE)</f>
        <v>24</v>
      </c>
      <c r="I9" s="3"/>
      <c r="J9" s="4"/>
      <c r="K9" s="9">
        <f t="array" ref="K9">INDIRECT("'"&amp;$B9&amp;"'!K7",TRUE)</f>
        <v>17</v>
      </c>
      <c r="L9" s="3"/>
      <c r="M9" s="4"/>
      <c r="N9" s="9">
        <f t="array" ref="N9">INDIRECT("'"&amp;$B9&amp;"'!N7",TRUE)</f>
        <v>1</v>
      </c>
      <c r="O9" s="3"/>
      <c r="P9" s="4"/>
      <c r="Q9" s="9">
        <f t="array" ref="Q9">INDIRECT("'"&amp;$B9&amp;"'!Q7",TRUE)</f>
        <v>42</v>
      </c>
      <c r="R9" s="3"/>
      <c r="S9" s="4"/>
      <c r="T9" s="9">
        <f t="array" ref="T9">INDIRECT("'"&amp;$B9&amp;"'!T7",TRUE)</f>
        <v>36</v>
      </c>
      <c r="U9" s="3"/>
      <c r="V9" s="4"/>
      <c r="W9" s="9">
        <f t="array" ref="W9">INDIRECT("'"&amp;$B9&amp;"'!W7",TRUE)</f>
        <v>0</v>
      </c>
      <c r="X9" s="3"/>
      <c r="Y9" s="4"/>
      <c r="Z9" s="9">
        <f t="array" ref="Z9">INDIRECT("'"&amp;$B9&amp;"'!Z7",TRUE)</f>
        <v>0</v>
      </c>
      <c r="AA9" s="3"/>
      <c r="AB9" s="4"/>
      <c r="AC9" s="9">
        <f t="array" ref="AC9">INDIRECT("'"&amp;$B9&amp;"'!AC7",TRUE)</f>
        <v>6</v>
      </c>
      <c r="AD9" s="3"/>
      <c r="AE9" s="4"/>
      <c r="AF9" s="42">
        <f>IFERROR((T9+W9+AC9)/Q9,0)</f>
        <v>1</v>
      </c>
      <c r="AG9" s="3"/>
      <c r="AH9" s="4"/>
    </row>
    <row r="10" ht="22.5" customHeight="1">
      <c r="A10" s="7">
        <v>2.0</v>
      </c>
      <c r="B10" s="12"/>
      <c r="C10" s="3"/>
      <c r="D10" s="3"/>
      <c r="E10" s="3"/>
      <c r="F10" s="3"/>
      <c r="G10" s="4"/>
      <c r="H10" s="9"/>
      <c r="I10" s="3"/>
      <c r="J10" s="4"/>
      <c r="K10" s="9"/>
      <c r="L10" s="3"/>
      <c r="M10" s="4"/>
      <c r="N10" s="9"/>
      <c r="O10" s="3"/>
      <c r="P10" s="4"/>
      <c r="Q10" s="9"/>
      <c r="R10" s="3"/>
      <c r="S10" s="4"/>
      <c r="T10" s="9"/>
      <c r="U10" s="3"/>
      <c r="V10" s="4"/>
      <c r="W10" s="9"/>
      <c r="X10" s="3"/>
      <c r="Y10" s="4"/>
      <c r="Z10" s="9"/>
      <c r="AA10" s="3"/>
      <c r="AB10" s="4"/>
      <c r="AC10" s="9"/>
      <c r="AD10" s="3"/>
      <c r="AE10" s="4"/>
      <c r="AF10" s="42"/>
      <c r="AG10" s="3"/>
      <c r="AH10" s="4"/>
    </row>
    <row r="11" ht="22.5" customHeight="1">
      <c r="A11" s="7"/>
      <c r="B11" s="39" t="s">
        <v>50</v>
      </c>
      <c r="C11" s="3"/>
      <c r="D11" s="3"/>
      <c r="E11" s="3"/>
      <c r="F11" s="3"/>
      <c r="G11" s="4"/>
      <c r="H11" s="43">
        <f>SUM(H9:J10)</f>
        <v>24</v>
      </c>
      <c r="I11" s="3"/>
      <c r="J11" s="4"/>
      <c r="K11" s="43">
        <f>SUM(K9:M10)</f>
        <v>17</v>
      </c>
      <c r="L11" s="3"/>
      <c r="M11" s="4"/>
      <c r="N11" s="43">
        <f>SUM(N9:P10)</f>
        <v>1</v>
      </c>
      <c r="O11" s="3"/>
      <c r="P11" s="4"/>
      <c r="Q11" s="43">
        <f>SUM(Q9:S10)</f>
        <v>42</v>
      </c>
      <c r="R11" s="3"/>
      <c r="S11" s="4"/>
      <c r="T11" s="43">
        <f>SUM(T9:V10)</f>
        <v>36</v>
      </c>
      <c r="U11" s="3"/>
      <c r="V11" s="4"/>
      <c r="W11" s="43">
        <f>SUM(W9:Y10)</f>
        <v>0</v>
      </c>
      <c r="X11" s="3"/>
      <c r="Y11" s="4"/>
      <c r="Z11" s="43">
        <f>SUM(Z9:AB10)</f>
        <v>0</v>
      </c>
      <c r="AA11" s="3"/>
      <c r="AB11" s="4"/>
      <c r="AC11" s="43">
        <f>SUM(AC9:AE10)</f>
        <v>6</v>
      </c>
      <c r="AD11" s="3"/>
      <c r="AE11" s="4"/>
      <c r="AF11" s="44">
        <f>IFERROR((T11+W11+AC11)/Q11,0)</f>
        <v>1</v>
      </c>
      <c r="AG11" s="3"/>
      <c r="AH11" s="4"/>
    </row>
    <row r="12" ht="22.5" customHeight="1">
      <c r="A12" s="41" t="s">
        <v>62</v>
      </c>
    </row>
    <row r="13" ht="22.5" customHeight="1">
      <c r="A13" s="7">
        <v>1.0</v>
      </c>
      <c r="B13" s="12" t="s">
        <v>61</v>
      </c>
      <c r="C13" s="3"/>
      <c r="D13" s="3"/>
      <c r="E13" s="3"/>
      <c r="F13" s="3"/>
      <c r="G13" s="4"/>
      <c r="H13" s="9">
        <f t="array" ref="H13">INDIRECT("'"&amp;$B13&amp;"'!H8",TRUE)</f>
        <v>24</v>
      </c>
      <c r="I13" s="3"/>
      <c r="J13" s="4"/>
      <c r="K13" s="9">
        <f t="array" ref="K13">INDIRECT("'"&amp;$B13&amp;"'!K8",TRUE)</f>
        <v>17</v>
      </c>
      <c r="L13" s="3"/>
      <c r="M13" s="4"/>
      <c r="N13" s="9">
        <f t="array" ref="N13">INDIRECT("'"&amp;$B13&amp;"'!N8",TRUE)</f>
        <v>1</v>
      </c>
      <c r="O13" s="3"/>
      <c r="P13" s="4"/>
      <c r="Q13" s="9">
        <f t="array" ref="Q13">INDIRECT("'"&amp;$B13&amp;"'!Q8",TRUE)</f>
        <v>42</v>
      </c>
      <c r="R13" s="3"/>
      <c r="S13" s="4"/>
      <c r="T13" s="9">
        <f t="array" ref="T13">INDIRECT("'"&amp;$B13&amp;"'!T8",TRUE)</f>
        <v>36</v>
      </c>
      <c r="U13" s="3"/>
      <c r="V13" s="4"/>
      <c r="W13" s="9">
        <f t="array" ref="W13">INDIRECT("'"&amp;$B13&amp;"'!W8",TRUE)</f>
        <v>0</v>
      </c>
      <c r="X13" s="3"/>
      <c r="Y13" s="4"/>
      <c r="Z13" s="9">
        <f t="array" ref="Z13">INDIRECT("'"&amp;$B13&amp;"'!Z8",TRUE)</f>
        <v>0</v>
      </c>
      <c r="AA13" s="3"/>
      <c r="AB13" s="4"/>
      <c r="AC13" s="9">
        <f t="array" ref="AC13">INDIRECT("'"&amp;$B13&amp;"'!AC8",TRUE)</f>
        <v>6</v>
      </c>
      <c r="AD13" s="3"/>
      <c r="AE13" s="4"/>
      <c r="AF13" s="42">
        <f>IFERROR((T13+W13+AC13)/Q13,0)</f>
        <v>1</v>
      </c>
      <c r="AG13" s="3"/>
      <c r="AH13" s="4"/>
    </row>
    <row r="14" ht="22.5" customHeight="1">
      <c r="A14" s="7">
        <v>2.0</v>
      </c>
      <c r="B14" s="12"/>
      <c r="C14" s="3"/>
      <c r="D14" s="3"/>
      <c r="E14" s="3"/>
      <c r="F14" s="3"/>
      <c r="G14" s="4"/>
      <c r="H14" s="9"/>
      <c r="I14" s="3"/>
      <c r="J14" s="4"/>
      <c r="K14" s="9"/>
      <c r="L14" s="3"/>
      <c r="M14" s="4"/>
      <c r="N14" s="9"/>
      <c r="O14" s="3"/>
      <c r="P14" s="4"/>
      <c r="Q14" s="9"/>
      <c r="R14" s="3"/>
      <c r="S14" s="4"/>
      <c r="T14" s="9"/>
      <c r="U14" s="3"/>
      <c r="V14" s="4"/>
      <c r="W14" s="9"/>
      <c r="X14" s="3"/>
      <c r="Y14" s="4"/>
      <c r="Z14" s="9"/>
      <c r="AA14" s="3"/>
      <c r="AB14" s="4"/>
      <c r="AC14" s="9"/>
      <c r="AD14" s="3"/>
      <c r="AE14" s="4"/>
      <c r="AF14" s="42"/>
      <c r="AG14" s="3"/>
      <c r="AH14" s="4"/>
    </row>
    <row r="15" ht="22.5" customHeight="1">
      <c r="A15" s="7"/>
      <c r="B15" s="39" t="s">
        <v>50</v>
      </c>
      <c r="C15" s="3"/>
      <c r="D15" s="3"/>
      <c r="E15" s="3"/>
      <c r="F15" s="3"/>
      <c r="G15" s="4"/>
      <c r="H15" s="43">
        <f>SUM(H13:J14)</f>
        <v>24</v>
      </c>
      <c r="I15" s="3"/>
      <c r="J15" s="4"/>
      <c r="K15" s="43">
        <f>SUM(K13:M14)</f>
        <v>17</v>
      </c>
      <c r="L15" s="3"/>
      <c r="M15" s="4"/>
      <c r="N15" s="43">
        <f>SUM(N13:P14)</f>
        <v>1</v>
      </c>
      <c r="O15" s="3"/>
      <c r="P15" s="4"/>
      <c r="Q15" s="43">
        <f>SUM(Q13:S14)</f>
        <v>42</v>
      </c>
      <c r="R15" s="3"/>
      <c r="S15" s="4"/>
      <c r="T15" s="43">
        <f>SUM(T13:V14)</f>
        <v>36</v>
      </c>
      <c r="U15" s="3"/>
      <c r="V15" s="4"/>
      <c r="W15" s="43">
        <f>SUM(W13:Y14)</f>
        <v>0</v>
      </c>
      <c r="X15" s="3"/>
      <c r="Y15" s="4"/>
      <c r="Z15" s="43">
        <f>SUM(Z13:AB14)</f>
        <v>0</v>
      </c>
      <c r="AA15" s="3"/>
      <c r="AB15" s="4"/>
      <c r="AC15" s="43">
        <f>SUM(AC13:AE14)</f>
        <v>6</v>
      </c>
      <c r="AD15" s="3"/>
      <c r="AE15" s="4"/>
      <c r="AF15" s="44">
        <f>IFERROR((T15+W15+AC15)/Q15,0)</f>
        <v>1</v>
      </c>
      <c r="AG15" s="3"/>
      <c r="AH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4</v>
      </c>
      <c r="B1" s="3"/>
      <c r="C1" s="3"/>
      <c r="D1" s="3"/>
      <c r="E1" s="3"/>
      <c r="F1" s="3"/>
      <c r="G1" s="3"/>
      <c r="H1" s="3"/>
      <c r="I1" s="4"/>
      <c r="J1" s="2" t="s">
        <v>7</v>
      </c>
      <c r="K1" s="3"/>
      <c r="L1" s="3"/>
      <c r="M1" s="3"/>
      <c r="N1" s="3"/>
      <c r="O1" s="3"/>
      <c r="P1" s="4"/>
      <c r="Q1" s="2" t="s">
        <v>9</v>
      </c>
      <c r="R1" s="3"/>
      <c r="S1" s="3"/>
      <c r="T1" s="3"/>
      <c r="U1" s="4"/>
      <c r="V1" s="2" t="s">
        <v>10</v>
      </c>
      <c r="W1" s="3"/>
      <c r="X1" s="3"/>
      <c r="Y1" s="4"/>
      <c r="Z1" s="2" t="s">
        <v>11</v>
      </c>
      <c r="AA1" s="3"/>
      <c r="AB1" s="3"/>
      <c r="AC1" s="4"/>
      <c r="AD1" s="2" t="s">
        <v>13</v>
      </c>
      <c r="AE1" s="3"/>
      <c r="AF1" s="3"/>
      <c r="AG1" s="4"/>
      <c r="AH1" s="2" t="s">
        <v>15</v>
      </c>
      <c r="AI1" s="3"/>
      <c r="AJ1" s="3"/>
      <c r="AK1" s="4"/>
    </row>
    <row r="2" ht="19.5" customHeight="1">
      <c r="A2" s="13" t="s">
        <v>18</v>
      </c>
      <c r="B2" s="14"/>
      <c r="C2" s="14"/>
      <c r="D2" s="14"/>
      <c r="E2" s="14"/>
      <c r="F2" s="14"/>
      <c r="G2" s="14"/>
      <c r="H2" s="14"/>
      <c r="I2" s="15"/>
      <c r="J2" s="13" t="s">
        <v>21</v>
      </c>
      <c r="K2" s="14"/>
      <c r="L2" s="14"/>
      <c r="M2" s="14"/>
      <c r="N2" s="14"/>
      <c r="O2" s="14"/>
      <c r="P2" s="15"/>
      <c r="Q2" s="13" t="s">
        <v>63</v>
      </c>
      <c r="R2" s="14"/>
      <c r="S2" s="14"/>
      <c r="T2" s="14"/>
      <c r="U2" s="15"/>
      <c r="V2" s="20" t="s">
        <v>12</v>
      </c>
      <c r="W2" s="14"/>
      <c r="X2" s="14"/>
      <c r="Y2" s="15"/>
      <c r="Z2" s="13" t="s">
        <v>16</v>
      </c>
      <c r="AA2" s="14"/>
      <c r="AB2" s="14"/>
      <c r="AC2" s="15"/>
      <c r="AD2" s="20" t="s">
        <v>12</v>
      </c>
      <c r="AE2" s="14"/>
      <c r="AF2" s="14"/>
      <c r="AG2" s="15"/>
      <c r="AH2" s="13" t="s">
        <v>16</v>
      </c>
      <c r="AI2" s="14"/>
      <c r="AJ2" s="14"/>
      <c r="AK2" s="15"/>
    </row>
    <row r="3" ht="19.5" customHeight="1">
      <c r="A3" s="23"/>
      <c r="B3" s="25"/>
      <c r="C3" s="25"/>
      <c r="D3" s="25"/>
      <c r="E3" s="25"/>
      <c r="F3" s="25"/>
      <c r="G3" s="25"/>
      <c r="H3" s="25"/>
      <c r="I3" s="26"/>
      <c r="J3" s="23"/>
      <c r="K3" s="25"/>
      <c r="L3" s="25"/>
      <c r="M3" s="25"/>
      <c r="N3" s="25"/>
      <c r="O3" s="25"/>
      <c r="P3" s="26"/>
      <c r="Q3" s="23"/>
      <c r="R3" s="25"/>
      <c r="S3" s="25"/>
      <c r="T3" s="25"/>
      <c r="U3" s="26"/>
      <c r="V3" s="23"/>
      <c r="W3" s="25"/>
      <c r="X3" s="25"/>
      <c r="Y3" s="26"/>
      <c r="Z3" s="23"/>
      <c r="AA3" s="25"/>
      <c r="AB3" s="25"/>
      <c r="AC3" s="26"/>
      <c r="AD3" s="23"/>
      <c r="AE3" s="25"/>
      <c r="AF3" s="25"/>
      <c r="AG3" s="26"/>
      <c r="AH3" s="23"/>
      <c r="AI3" s="25"/>
      <c r="AJ3" s="25"/>
      <c r="AK3" s="26"/>
    </row>
    <row r="5" ht="19.5" customHeight="1">
      <c r="B5" s="27" t="s">
        <v>64</v>
      </c>
    </row>
    <row r="7" ht="28.5" customHeight="1">
      <c r="B7" s="45" t="s">
        <v>45</v>
      </c>
      <c r="C7" s="46" t="s">
        <v>65</v>
      </c>
      <c r="D7" s="3"/>
      <c r="E7" s="4"/>
      <c r="F7" s="46" t="s">
        <v>66</v>
      </c>
      <c r="G7" s="3"/>
      <c r="H7" s="3"/>
      <c r="I7" s="3"/>
      <c r="J7" s="3"/>
      <c r="K7" s="3"/>
      <c r="L7" s="4"/>
      <c r="M7" s="46" t="s">
        <v>67</v>
      </c>
      <c r="N7" s="3"/>
      <c r="O7" s="3"/>
      <c r="P7" s="3"/>
      <c r="Q7" s="3"/>
      <c r="R7" s="3"/>
      <c r="S7" s="3"/>
      <c r="T7" s="4"/>
      <c r="U7" s="46" t="s">
        <v>68</v>
      </c>
      <c r="V7" s="4"/>
      <c r="W7" s="46" t="s">
        <v>69</v>
      </c>
      <c r="X7" s="3"/>
      <c r="Y7" s="3"/>
      <c r="Z7" s="3"/>
      <c r="AA7" s="3"/>
      <c r="AB7" s="3"/>
      <c r="AC7" s="4"/>
      <c r="AD7" s="46" t="s">
        <v>70</v>
      </c>
      <c r="AE7" s="3"/>
      <c r="AF7" s="4"/>
    </row>
    <row r="8" ht="30.0" customHeight="1">
      <c r="B8" s="47">
        <v>1.0</v>
      </c>
      <c r="C8" s="48" t="s">
        <v>71</v>
      </c>
      <c r="D8" s="3"/>
      <c r="E8" s="4"/>
      <c r="F8" s="49" t="s">
        <v>72</v>
      </c>
      <c r="G8" s="3"/>
      <c r="H8" s="3"/>
      <c r="I8" s="3"/>
      <c r="J8" s="3"/>
      <c r="K8" s="3"/>
      <c r="L8" s="4"/>
      <c r="M8" s="49" t="s">
        <v>73</v>
      </c>
      <c r="N8" s="3"/>
      <c r="O8" s="3"/>
      <c r="P8" s="3"/>
      <c r="Q8" s="3"/>
      <c r="R8" s="3"/>
      <c r="S8" s="3"/>
      <c r="T8" s="4"/>
      <c r="U8" s="50" t="s">
        <v>74</v>
      </c>
      <c r="V8" s="4"/>
      <c r="W8" s="49" t="s">
        <v>75</v>
      </c>
      <c r="X8" s="3"/>
      <c r="Y8" s="3"/>
      <c r="Z8" s="3"/>
      <c r="AA8" s="3"/>
      <c r="AB8" s="3"/>
      <c r="AC8" s="4"/>
      <c r="AD8" s="48">
        <v>265.0</v>
      </c>
      <c r="AE8" s="3"/>
      <c r="AF8" s="4"/>
    </row>
    <row r="9" ht="30.0" customHeight="1">
      <c r="B9" s="47">
        <v>2.0</v>
      </c>
      <c r="C9" s="48" t="s">
        <v>76</v>
      </c>
      <c r="D9" s="3"/>
      <c r="E9" s="4"/>
      <c r="F9" s="49" t="s">
        <v>72</v>
      </c>
      <c r="G9" s="3"/>
      <c r="H9" s="3"/>
      <c r="I9" s="3"/>
      <c r="J9" s="3"/>
      <c r="K9" s="3"/>
      <c r="L9" s="4"/>
      <c r="M9" s="49" t="s">
        <v>77</v>
      </c>
      <c r="N9" s="3"/>
      <c r="O9" s="3"/>
      <c r="P9" s="3"/>
      <c r="Q9" s="3"/>
      <c r="R9" s="3"/>
      <c r="S9" s="3"/>
      <c r="T9" s="4"/>
      <c r="U9" s="50" t="s">
        <v>74</v>
      </c>
      <c r="V9" s="4"/>
      <c r="W9" s="49" t="s">
        <v>78</v>
      </c>
      <c r="X9" s="3"/>
      <c r="Y9" s="3"/>
      <c r="Z9" s="3"/>
      <c r="AA9" s="3"/>
      <c r="AB9" s="3"/>
      <c r="AC9" s="4"/>
      <c r="AD9" s="48">
        <v>200.0</v>
      </c>
      <c r="AE9" s="3"/>
      <c r="AF9" s="4"/>
    </row>
    <row r="10" ht="36.0" customHeight="1">
      <c r="B10" s="47">
        <v>3.0</v>
      </c>
      <c r="C10" s="48" t="s">
        <v>79</v>
      </c>
      <c r="D10" s="3"/>
      <c r="E10" s="4"/>
      <c r="F10" s="49" t="s">
        <v>72</v>
      </c>
      <c r="G10" s="3"/>
      <c r="H10" s="3"/>
      <c r="I10" s="3"/>
      <c r="J10" s="3"/>
      <c r="K10" s="3"/>
      <c r="L10" s="4"/>
      <c r="M10" s="49" t="s">
        <v>80</v>
      </c>
      <c r="N10" s="3"/>
      <c r="O10" s="3"/>
      <c r="P10" s="3"/>
      <c r="Q10" s="3"/>
      <c r="R10" s="3"/>
      <c r="S10" s="3"/>
      <c r="T10" s="4"/>
      <c r="U10" s="50" t="s">
        <v>74</v>
      </c>
      <c r="V10" s="4"/>
      <c r="W10" s="49" t="s">
        <v>81</v>
      </c>
      <c r="X10" s="3"/>
      <c r="Y10" s="3"/>
      <c r="Z10" s="3"/>
      <c r="AA10" s="3"/>
      <c r="AB10" s="3"/>
      <c r="AC10" s="4"/>
      <c r="AD10" s="48">
        <v>50.0</v>
      </c>
      <c r="AE10" s="3"/>
      <c r="AF10" s="4"/>
    </row>
    <row r="11" ht="30.0" customHeight="1">
      <c r="B11" s="47">
        <v>4.0</v>
      </c>
      <c r="C11" s="48" t="s">
        <v>82</v>
      </c>
      <c r="D11" s="3"/>
      <c r="E11" s="4"/>
      <c r="F11" s="49" t="s">
        <v>72</v>
      </c>
      <c r="G11" s="3"/>
      <c r="H11" s="3"/>
      <c r="I11" s="3"/>
      <c r="J11" s="3"/>
      <c r="K11" s="3"/>
      <c r="L11" s="4"/>
      <c r="M11" s="49" t="s">
        <v>84</v>
      </c>
      <c r="N11" s="3"/>
      <c r="O11" s="3"/>
      <c r="P11" s="3"/>
      <c r="Q11" s="3"/>
      <c r="R11" s="3"/>
      <c r="S11" s="3"/>
      <c r="T11" s="4"/>
      <c r="U11" s="50" t="s">
        <v>74</v>
      </c>
      <c r="V11" s="4"/>
      <c r="W11" s="49" t="s">
        <v>75</v>
      </c>
      <c r="X11" s="3"/>
      <c r="Y11" s="3"/>
      <c r="Z11" s="3"/>
      <c r="AA11" s="3"/>
      <c r="AB11" s="3"/>
      <c r="AC11" s="4"/>
      <c r="AD11" s="48">
        <v>75.0</v>
      </c>
      <c r="AE11" s="3"/>
      <c r="AF11" s="4"/>
    </row>
    <row r="12" ht="30.0" customHeight="1">
      <c r="B12" s="47">
        <v>5.0</v>
      </c>
      <c r="C12" s="48" t="s">
        <v>86</v>
      </c>
      <c r="D12" s="3"/>
      <c r="E12" s="4"/>
      <c r="F12" s="49" t="s">
        <v>72</v>
      </c>
      <c r="G12" s="3"/>
      <c r="H12" s="3"/>
      <c r="I12" s="3"/>
      <c r="J12" s="3"/>
      <c r="K12" s="3"/>
      <c r="L12" s="4"/>
      <c r="M12" s="49" t="s">
        <v>89</v>
      </c>
      <c r="N12" s="3"/>
      <c r="O12" s="3"/>
      <c r="P12" s="3"/>
      <c r="Q12" s="3"/>
      <c r="R12" s="3"/>
      <c r="S12" s="3"/>
      <c r="T12" s="4"/>
      <c r="U12" s="50" t="s">
        <v>74</v>
      </c>
      <c r="V12" s="4"/>
      <c r="W12" s="49" t="s">
        <v>90</v>
      </c>
      <c r="X12" s="3"/>
      <c r="Y12" s="3"/>
      <c r="Z12" s="3"/>
      <c r="AA12" s="3"/>
      <c r="AB12" s="3"/>
      <c r="AC12" s="4"/>
      <c r="AD12" s="48">
        <v>30.0</v>
      </c>
      <c r="AE12" s="3"/>
      <c r="AF12" s="4"/>
    </row>
    <row r="13" ht="30.0" customHeight="1">
      <c r="B13" s="47">
        <v>6.0</v>
      </c>
      <c r="C13" s="48" t="s">
        <v>91</v>
      </c>
      <c r="D13" s="3"/>
      <c r="E13" s="4"/>
      <c r="F13" s="49" t="s">
        <v>72</v>
      </c>
      <c r="G13" s="3"/>
      <c r="H13" s="3"/>
      <c r="I13" s="3"/>
      <c r="J13" s="3"/>
      <c r="K13" s="3"/>
      <c r="L13" s="4"/>
      <c r="M13" s="49" t="s">
        <v>92</v>
      </c>
      <c r="N13" s="3"/>
      <c r="O13" s="3"/>
      <c r="P13" s="3"/>
      <c r="Q13" s="3"/>
      <c r="R13" s="3"/>
      <c r="S13" s="3"/>
      <c r="T13" s="4"/>
      <c r="U13" s="50" t="s">
        <v>74</v>
      </c>
      <c r="V13" s="4"/>
      <c r="W13" s="49" t="s">
        <v>93</v>
      </c>
      <c r="X13" s="3"/>
      <c r="Y13" s="3"/>
      <c r="Z13" s="3"/>
      <c r="AA13" s="3"/>
      <c r="AB13" s="3"/>
      <c r="AC13" s="4"/>
      <c r="AD13" s="48">
        <v>50.0</v>
      </c>
      <c r="AE13" s="3"/>
      <c r="AF13" s="4"/>
    </row>
    <row r="14" ht="30.0" customHeight="1">
      <c r="B14" s="47">
        <v>7.0</v>
      </c>
      <c r="C14" s="48" t="s">
        <v>95</v>
      </c>
      <c r="D14" s="3"/>
      <c r="E14" s="4"/>
      <c r="F14" s="49" t="s">
        <v>72</v>
      </c>
      <c r="G14" s="3"/>
      <c r="H14" s="3"/>
      <c r="I14" s="3"/>
      <c r="J14" s="3"/>
      <c r="K14" s="3"/>
      <c r="L14" s="4"/>
      <c r="M14" s="49" t="s">
        <v>98</v>
      </c>
      <c r="N14" s="3"/>
      <c r="O14" s="3"/>
      <c r="P14" s="3"/>
      <c r="Q14" s="3"/>
      <c r="R14" s="3"/>
      <c r="S14" s="3"/>
      <c r="T14" s="4"/>
      <c r="U14" s="50" t="s">
        <v>74</v>
      </c>
      <c r="V14" s="4"/>
      <c r="W14" s="49" t="s">
        <v>90</v>
      </c>
      <c r="X14" s="3"/>
      <c r="Y14" s="3"/>
      <c r="Z14" s="3"/>
      <c r="AA14" s="3"/>
      <c r="AB14" s="3"/>
      <c r="AC14" s="4"/>
      <c r="AD14" s="48">
        <v>10.0</v>
      </c>
      <c r="AE14" s="3"/>
      <c r="AF14" s="4"/>
    </row>
    <row r="15" ht="30.0" customHeight="1">
      <c r="B15" s="47">
        <v>8.0</v>
      </c>
      <c r="C15" s="48" t="s">
        <v>100</v>
      </c>
      <c r="D15" s="3"/>
      <c r="E15" s="4"/>
      <c r="F15" s="49" t="s">
        <v>72</v>
      </c>
      <c r="G15" s="3"/>
      <c r="H15" s="3"/>
      <c r="I15" s="3"/>
      <c r="J15" s="3"/>
      <c r="K15" s="3"/>
      <c r="L15" s="4"/>
      <c r="M15" s="49" t="s">
        <v>101</v>
      </c>
      <c r="N15" s="3"/>
      <c r="O15" s="3"/>
      <c r="P15" s="3"/>
      <c r="Q15" s="3"/>
      <c r="R15" s="3"/>
      <c r="S15" s="3"/>
      <c r="T15" s="4"/>
      <c r="U15" s="51" t="s">
        <v>103</v>
      </c>
      <c r="V15" s="4"/>
      <c r="W15" s="49" t="s">
        <v>104</v>
      </c>
      <c r="X15" s="3"/>
      <c r="Y15" s="3"/>
      <c r="Z15" s="3"/>
      <c r="AA15" s="3"/>
      <c r="AB15" s="3"/>
      <c r="AC15" s="4"/>
      <c r="AD15" s="48">
        <v>20.0</v>
      </c>
      <c r="AE15" s="3"/>
      <c r="AF15" s="4"/>
    </row>
    <row r="16" ht="30.0" customHeight="1">
      <c r="B16" s="47">
        <v>9.0</v>
      </c>
      <c r="C16" s="48" t="s">
        <v>106</v>
      </c>
      <c r="D16" s="3"/>
      <c r="E16" s="4"/>
      <c r="F16" s="49" t="s">
        <v>72</v>
      </c>
      <c r="G16" s="3"/>
      <c r="H16" s="3"/>
      <c r="I16" s="3"/>
      <c r="J16" s="3"/>
      <c r="K16" s="3"/>
      <c r="L16" s="4"/>
      <c r="M16" s="49" t="s">
        <v>107</v>
      </c>
      <c r="N16" s="3"/>
      <c r="O16" s="3"/>
      <c r="P16" s="3"/>
      <c r="Q16" s="3"/>
      <c r="R16" s="3"/>
      <c r="S16" s="3"/>
      <c r="T16" s="4"/>
      <c r="U16" s="50" t="s">
        <v>74</v>
      </c>
      <c r="V16" s="4"/>
      <c r="W16" s="49" t="s">
        <v>109</v>
      </c>
      <c r="X16" s="3"/>
      <c r="Y16" s="3"/>
      <c r="Z16" s="3"/>
      <c r="AA16" s="3"/>
      <c r="AB16" s="3"/>
      <c r="AC16" s="4"/>
      <c r="AD16" s="48">
        <v>8.0</v>
      </c>
      <c r="AE16" s="3"/>
      <c r="AF16" s="4"/>
    </row>
    <row r="17" ht="30.0" customHeight="1">
      <c r="B17" s="47">
        <v>10.0</v>
      </c>
      <c r="C17" s="48" t="s">
        <v>110</v>
      </c>
      <c r="D17" s="3"/>
      <c r="E17" s="4"/>
      <c r="F17" s="49" t="s">
        <v>72</v>
      </c>
      <c r="G17" s="3"/>
      <c r="H17" s="3"/>
      <c r="I17" s="3"/>
      <c r="J17" s="3"/>
      <c r="K17" s="3"/>
      <c r="L17" s="4"/>
      <c r="M17" s="49" t="s">
        <v>111</v>
      </c>
      <c r="N17" s="3"/>
      <c r="O17" s="3"/>
      <c r="P17" s="3"/>
      <c r="Q17" s="3"/>
      <c r="R17" s="3"/>
      <c r="S17" s="3"/>
      <c r="T17" s="4"/>
      <c r="U17" s="50" t="s">
        <v>74</v>
      </c>
      <c r="V17" s="4"/>
      <c r="W17" s="49" t="s">
        <v>112</v>
      </c>
      <c r="X17" s="3"/>
      <c r="Y17" s="3"/>
      <c r="Z17" s="3"/>
      <c r="AA17" s="3"/>
      <c r="AB17" s="3"/>
      <c r="AC17" s="4"/>
      <c r="AD17" s="48">
        <v>30.0</v>
      </c>
      <c r="AE17" s="3"/>
      <c r="AF17" s="4"/>
    </row>
    <row r="18" ht="30.0" customHeight="1">
      <c r="B18" s="47">
        <v>11.0</v>
      </c>
      <c r="C18" s="48" t="s">
        <v>113</v>
      </c>
      <c r="D18" s="3"/>
      <c r="E18" s="4"/>
      <c r="F18" s="49" t="s">
        <v>114</v>
      </c>
      <c r="G18" s="3"/>
      <c r="H18" s="3"/>
      <c r="I18" s="3"/>
      <c r="J18" s="3"/>
      <c r="K18" s="3"/>
      <c r="L18" s="4"/>
      <c r="M18" s="49" t="s">
        <v>115</v>
      </c>
      <c r="N18" s="3"/>
      <c r="O18" s="3"/>
      <c r="P18" s="3"/>
      <c r="Q18" s="3"/>
      <c r="R18" s="3"/>
      <c r="S18" s="3"/>
      <c r="T18" s="4"/>
      <c r="U18" s="51" t="s">
        <v>103</v>
      </c>
      <c r="V18" s="4"/>
      <c r="W18" s="49" t="s">
        <v>116</v>
      </c>
      <c r="X18" s="3"/>
      <c r="Y18" s="3"/>
      <c r="Z18" s="3"/>
      <c r="AA18" s="3"/>
      <c r="AB18" s="3"/>
      <c r="AC18" s="4"/>
      <c r="AD18" s="48">
        <v>100.0</v>
      </c>
      <c r="AE18" s="3"/>
      <c r="AF18" s="4"/>
    </row>
    <row r="19" ht="30.0" customHeight="1">
      <c r="B19" s="47">
        <v>12.0</v>
      </c>
      <c r="C19" s="48" t="s">
        <v>117</v>
      </c>
      <c r="D19" s="3"/>
      <c r="E19" s="4"/>
      <c r="F19" s="49" t="s">
        <v>114</v>
      </c>
      <c r="G19" s="3"/>
      <c r="H19" s="3"/>
      <c r="I19" s="3"/>
      <c r="J19" s="3"/>
      <c r="K19" s="3"/>
      <c r="L19" s="4"/>
      <c r="M19" s="49" t="s">
        <v>119</v>
      </c>
      <c r="N19" s="3"/>
      <c r="O19" s="3"/>
      <c r="P19" s="3"/>
      <c r="Q19" s="3"/>
      <c r="R19" s="3"/>
      <c r="S19" s="3"/>
      <c r="T19" s="4"/>
      <c r="U19" s="51" t="s">
        <v>103</v>
      </c>
      <c r="V19" s="4"/>
      <c r="W19" s="49" t="s">
        <v>116</v>
      </c>
      <c r="X19" s="3"/>
      <c r="Y19" s="3"/>
      <c r="Z19" s="3"/>
      <c r="AA19" s="3"/>
      <c r="AB19" s="3"/>
      <c r="AC19" s="4"/>
      <c r="AD19" s="48">
        <v>80.0</v>
      </c>
      <c r="AE19" s="3"/>
      <c r="AF19" s="4"/>
    </row>
    <row r="20" ht="30.0" customHeight="1">
      <c r="B20" s="47">
        <v>13.0</v>
      </c>
      <c r="C20" s="48" t="s">
        <v>120</v>
      </c>
      <c r="D20" s="3"/>
      <c r="E20" s="4"/>
      <c r="F20" s="49" t="s">
        <v>114</v>
      </c>
      <c r="G20" s="3"/>
      <c r="H20" s="3"/>
      <c r="I20" s="3"/>
      <c r="J20" s="3"/>
      <c r="K20" s="3"/>
      <c r="L20" s="4"/>
      <c r="M20" s="49" t="s">
        <v>121</v>
      </c>
      <c r="N20" s="3"/>
      <c r="O20" s="3"/>
      <c r="P20" s="3"/>
      <c r="Q20" s="3"/>
      <c r="R20" s="3"/>
      <c r="S20" s="3"/>
      <c r="T20" s="4"/>
      <c r="U20" s="51" t="s">
        <v>103</v>
      </c>
      <c r="V20" s="4"/>
      <c r="W20" s="49" t="s">
        <v>93</v>
      </c>
      <c r="X20" s="3"/>
      <c r="Y20" s="3"/>
      <c r="Z20" s="3"/>
      <c r="AA20" s="3"/>
      <c r="AB20" s="3"/>
      <c r="AC20" s="4"/>
      <c r="AD20" s="48">
        <v>60.0</v>
      </c>
      <c r="AE20" s="3"/>
      <c r="AF20" s="4"/>
    </row>
    <row r="21" ht="30.0" customHeight="1">
      <c r="B21" s="47">
        <v>14.0</v>
      </c>
      <c r="C21" s="48" t="s">
        <v>122</v>
      </c>
      <c r="D21" s="3"/>
      <c r="E21" s="4"/>
      <c r="F21" s="49" t="s">
        <v>114</v>
      </c>
      <c r="G21" s="3"/>
      <c r="H21" s="3"/>
      <c r="I21" s="3"/>
      <c r="J21" s="3"/>
      <c r="K21" s="3"/>
      <c r="L21" s="4"/>
      <c r="M21" s="49" t="s">
        <v>125</v>
      </c>
      <c r="N21" s="3"/>
      <c r="O21" s="3"/>
      <c r="P21" s="3"/>
      <c r="Q21" s="3"/>
      <c r="R21" s="3"/>
      <c r="S21" s="3"/>
      <c r="T21" s="4"/>
      <c r="U21" s="51" t="s">
        <v>103</v>
      </c>
      <c r="V21" s="4"/>
      <c r="W21" s="49" t="s">
        <v>116</v>
      </c>
      <c r="X21" s="3"/>
      <c r="Y21" s="3"/>
      <c r="Z21" s="3"/>
      <c r="AA21" s="3"/>
      <c r="AB21" s="3"/>
      <c r="AC21" s="4"/>
      <c r="AD21" s="48">
        <v>50.0</v>
      </c>
      <c r="AE21" s="3"/>
      <c r="AF21" s="4"/>
    </row>
    <row r="22" ht="30.0" customHeight="1">
      <c r="B22" s="47">
        <v>15.0</v>
      </c>
      <c r="C22" s="48" t="s">
        <v>131</v>
      </c>
      <c r="D22" s="3"/>
      <c r="E22" s="4"/>
      <c r="F22" s="49" t="s">
        <v>114</v>
      </c>
      <c r="G22" s="3"/>
      <c r="H22" s="3"/>
      <c r="I22" s="3"/>
      <c r="J22" s="3"/>
      <c r="K22" s="3"/>
      <c r="L22" s="4"/>
      <c r="M22" s="49" t="s">
        <v>133</v>
      </c>
      <c r="N22" s="3"/>
      <c r="O22" s="3"/>
      <c r="P22" s="3"/>
      <c r="Q22" s="3"/>
      <c r="R22" s="3"/>
      <c r="S22" s="3"/>
      <c r="T22" s="4"/>
      <c r="U22" s="51" t="s">
        <v>103</v>
      </c>
      <c r="V22" s="4"/>
      <c r="W22" s="49" t="s">
        <v>135</v>
      </c>
      <c r="X22" s="3"/>
      <c r="Y22" s="3"/>
      <c r="Z22" s="3"/>
      <c r="AA22" s="3"/>
      <c r="AB22" s="3"/>
      <c r="AC22" s="4"/>
      <c r="AD22" s="48">
        <v>30.0</v>
      </c>
      <c r="AE22" s="3"/>
      <c r="AF22" s="4"/>
    </row>
    <row r="23" ht="30.0" customHeight="1">
      <c r="B23" s="47">
        <v>16.0</v>
      </c>
      <c r="C23" s="48" t="s">
        <v>136</v>
      </c>
      <c r="D23" s="3"/>
      <c r="E23" s="4"/>
      <c r="F23" s="49" t="s">
        <v>114</v>
      </c>
      <c r="G23" s="3"/>
      <c r="H23" s="3"/>
      <c r="I23" s="3"/>
      <c r="J23" s="3"/>
      <c r="K23" s="3"/>
      <c r="L23" s="4"/>
      <c r="M23" s="49" t="s">
        <v>138</v>
      </c>
      <c r="N23" s="3"/>
      <c r="O23" s="3"/>
      <c r="P23" s="3"/>
      <c r="Q23" s="3"/>
      <c r="R23" s="3"/>
      <c r="S23" s="3"/>
      <c r="T23" s="4"/>
      <c r="U23" s="50" t="s">
        <v>74</v>
      </c>
      <c r="V23" s="4"/>
      <c r="W23" s="49" t="s">
        <v>140</v>
      </c>
      <c r="X23" s="3"/>
      <c r="Y23" s="3"/>
      <c r="Z23" s="3"/>
      <c r="AA23" s="3"/>
      <c r="AB23" s="3"/>
      <c r="AC23" s="4"/>
      <c r="AD23" s="48">
        <v>15.0</v>
      </c>
      <c r="AE23" s="3"/>
      <c r="AF23" s="4"/>
    </row>
    <row r="24" ht="36.0" customHeight="1">
      <c r="B24" s="47">
        <v>17.0</v>
      </c>
      <c r="C24" s="48" t="s">
        <v>143</v>
      </c>
      <c r="D24" s="3"/>
      <c r="E24" s="4"/>
      <c r="F24" s="49" t="s">
        <v>114</v>
      </c>
      <c r="G24" s="3"/>
      <c r="H24" s="3"/>
      <c r="I24" s="3"/>
      <c r="J24" s="3"/>
      <c r="K24" s="3"/>
      <c r="L24" s="4"/>
      <c r="M24" s="49" t="s">
        <v>144</v>
      </c>
      <c r="N24" s="3"/>
      <c r="O24" s="3"/>
      <c r="P24" s="3"/>
      <c r="Q24" s="3"/>
      <c r="R24" s="3"/>
      <c r="S24" s="3"/>
      <c r="T24" s="4"/>
      <c r="U24" s="51" t="s">
        <v>103</v>
      </c>
      <c r="V24" s="4"/>
      <c r="W24" s="49" t="s">
        <v>146</v>
      </c>
      <c r="X24" s="3"/>
      <c r="Y24" s="3"/>
      <c r="Z24" s="3"/>
      <c r="AA24" s="3"/>
      <c r="AB24" s="3"/>
      <c r="AC24" s="4"/>
      <c r="AD24" s="48">
        <v>45.0</v>
      </c>
      <c r="AE24" s="3"/>
      <c r="AF24" s="4"/>
    </row>
    <row r="25" ht="30.0" customHeight="1">
      <c r="B25" s="47">
        <v>18.0</v>
      </c>
      <c r="C25" s="48" t="s">
        <v>147</v>
      </c>
      <c r="D25" s="3"/>
      <c r="E25" s="4"/>
      <c r="F25" s="49" t="s">
        <v>114</v>
      </c>
      <c r="G25" s="3"/>
      <c r="H25" s="3"/>
      <c r="I25" s="3"/>
      <c r="J25" s="3"/>
      <c r="K25" s="3"/>
      <c r="L25" s="4"/>
      <c r="M25" s="49" t="s">
        <v>148</v>
      </c>
      <c r="N25" s="3"/>
      <c r="O25" s="3"/>
      <c r="P25" s="3"/>
      <c r="Q25" s="3"/>
      <c r="R25" s="3"/>
      <c r="S25" s="3"/>
      <c r="T25" s="4"/>
      <c r="U25" s="51" t="s">
        <v>103</v>
      </c>
      <c r="V25" s="4"/>
      <c r="W25" s="49" t="s">
        <v>151</v>
      </c>
      <c r="X25" s="3"/>
      <c r="Y25" s="3"/>
      <c r="Z25" s="3"/>
      <c r="AA25" s="3"/>
      <c r="AB25" s="3"/>
      <c r="AC25" s="4"/>
      <c r="AD25" s="48">
        <v>30.0</v>
      </c>
      <c r="AE25" s="3"/>
      <c r="AF25" s="4"/>
    </row>
    <row r="26" ht="36.0" customHeight="1">
      <c r="B26" s="47">
        <v>19.0</v>
      </c>
      <c r="C26" s="48" t="s">
        <v>154</v>
      </c>
      <c r="D26" s="3"/>
      <c r="E26" s="4"/>
      <c r="F26" s="49" t="s">
        <v>114</v>
      </c>
      <c r="G26" s="3"/>
      <c r="H26" s="3"/>
      <c r="I26" s="3"/>
      <c r="J26" s="3"/>
      <c r="K26" s="3"/>
      <c r="L26" s="4"/>
      <c r="M26" s="49" t="s">
        <v>157</v>
      </c>
      <c r="N26" s="3"/>
      <c r="O26" s="3"/>
      <c r="P26" s="3"/>
      <c r="Q26" s="3"/>
      <c r="R26" s="3"/>
      <c r="S26" s="3"/>
      <c r="T26" s="4"/>
      <c r="U26" s="51" t="s">
        <v>103</v>
      </c>
      <c r="V26" s="4"/>
      <c r="W26" s="49" t="s">
        <v>159</v>
      </c>
      <c r="X26" s="3"/>
      <c r="Y26" s="3"/>
      <c r="Z26" s="3"/>
      <c r="AA26" s="3"/>
      <c r="AB26" s="3"/>
      <c r="AC26" s="4"/>
      <c r="AD26" s="48">
        <v>25.0</v>
      </c>
      <c r="AE26" s="3"/>
      <c r="AF26" s="4"/>
    </row>
    <row r="27" ht="30.0" customHeight="1">
      <c r="B27" s="47">
        <v>20.0</v>
      </c>
      <c r="C27" s="48" t="s">
        <v>160</v>
      </c>
      <c r="D27" s="3"/>
      <c r="E27" s="4"/>
      <c r="F27" s="49" t="s">
        <v>161</v>
      </c>
      <c r="G27" s="3"/>
      <c r="H27" s="3"/>
      <c r="I27" s="3"/>
      <c r="J27" s="3"/>
      <c r="K27" s="3"/>
      <c r="L27" s="4"/>
      <c r="M27" s="49" t="s">
        <v>162</v>
      </c>
      <c r="N27" s="3"/>
      <c r="O27" s="3"/>
      <c r="P27" s="3"/>
      <c r="Q27" s="3"/>
      <c r="R27" s="3"/>
      <c r="S27" s="3"/>
      <c r="T27" s="4"/>
      <c r="U27" s="50" t="s">
        <v>74</v>
      </c>
      <c r="V27" s="4"/>
      <c r="W27" s="49" t="s">
        <v>151</v>
      </c>
      <c r="X27" s="3"/>
      <c r="Y27" s="3"/>
      <c r="Z27" s="3"/>
      <c r="AA27" s="3"/>
      <c r="AB27" s="3"/>
      <c r="AC27" s="4"/>
      <c r="AD27" s="48">
        <v>60.0</v>
      </c>
      <c r="AE27" s="3"/>
      <c r="AF27" s="4"/>
    </row>
    <row r="28" ht="30.0" customHeight="1">
      <c r="B28" s="47">
        <v>21.0</v>
      </c>
      <c r="C28" s="48" t="s">
        <v>166</v>
      </c>
      <c r="D28" s="3"/>
      <c r="E28" s="4"/>
      <c r="F28" s="49" t="s">
        <v>161</v>
      </c>
      <c r="G28" s="3"/>
      <c r="H28" s="3"/>
      <c r="I28" s="3"/>
      <c r="J28" s="3"/>
      <c r="K28" s="3"/>
      <c r="L28" s="4"/>
      <c r="M28" s="49" t="s">
        <v>169</v>
      </c>
      <c r="N28" s="3"/>
      <c r="O28" s="3"/>
      <c r="P28" s="3"/>
      <c r="Q28" s="3"/>
      <c r="R28" s="3"/>
      <c r="S28" s="3"/>
      <c r="T28" s="4"/>
      <c r="U28" s="51" t="s">
        <v>103</v>
      </c>
      <c r="V28" s="4"/>
      <c r="W28" s="49" t="s">
        <v>170</v>
      </c>
      <c r="X28" s="3"/>
      <c r="Y28" s="3"/>
      <c r="Z28" s="3"/>
      <c r="AA28" s="3"/>
      <c r="AB28" s="3"/>
      <c r="AC28" s="4"/>
      <c r="AD28" s="48">
        <v>16.0</v>
      </c>
      <c r="AE28" s="3"/>
      <c r="AF28" s="4"/>
    </row>
    <row r="29" ht="30.0" customHeight="1">
      <c r="B29" s="47">
        <v>22.0</v>
      </c>
      <c r="C29" s="48" t="s">
        <v>171</v>
      </c>
      <c r="D29" s="3"/>
      <c r="E29" s="4"/>
      <c r="F29" s="49" t="s">
        <v>161</v>
      </c>
      <c r="G29" s="3"/>
      <c r="H29" s="3"/>
      <c r="I29" s="3"/>
      <c r="J29" s="3"/>
      <c r="K29" s="3"/>
      <c r="L29" s="4"/>
      <c r="M29" s="49" t="s">
        <v>174</v>
      </c>
      <c r="N29" s="3"/>
      <c r="O29" s="3"/>
      <c r="P29" s="3"/>
      <c r="Q29" s="3"/>
      <c r="R29" s="3"/>
      <c r="S29" s="3"/>
      <c r="T29" s="4"/>
      <c r="U29" s="50" t="s">
        <v>74</v>
      </c>
      <c r="V29" s="4"/>
      <c r="W29" s="49" t="s">
        <v>177</v>
      </c>
      <c r="X29" s="3"/>
      <c r="Y29" s="3"/>
      <c r="Z29" s="3"/>
      <c r="AA29" s="3"/>
      <c r="AB29" s="3"/>
      <c r="AC29" s="4"/>
      <c r="AD29" s="48">
        <v>18.0</v>
      </c>
      <c r="AE29" s="3"/>
      <c r="AF29" s="4"/>
    </row>
    <row r="30" ht="30.0" customHeight="1">
      <c r="B30" s="47">
        <v>23.0</v>
      </c>
      <c r="C30" s="48" t="s">
        <v>180</v>
      </c>
      <c r="D30" s="3"/>
      <c r="E30" s="4"/>
      <c r="F30" s="49" t="s">
        <v>161</v>
      </c>
      <c r="G30" s="3"/>
      <c r="H30" s="3"/>
      <c r="I30" s="3"/>
      <c r="J30" s="3"/>
      <c r="K30" s="3"/>
      <c r="L30" s="4"/>
      <c r="M30" s="49" t="s">
        <v>181</v>
      </c>
      <c r="N30" s="3"/>
      <c r="O30" s="3"/>
      <c r="P30" s="3"/>
      <c r="Q30" s="3"/>
      <c r="R30" s="3"/>
      <c r="S30" s="3"/>
      <c r="T30" s="4"/>
      <c r="U30" s="51" t="s">
        <v>103</v>
      </c>
      <c r="V30" s="4"/>
      <c r="W30" s="49" t="s">
        <v>182</v>
      </c>
      <c r="X30" s="3"/>
      <c r="Y30" s="3"/>
      <c r="Z30" s="3"/>
      <c r="AA30" s="3"/>
      <c r="AB30" s="3"/>
      <c r="AC30" s="4"/>
      <c r="AD30" s="48">
        <v>8.0</v>
      </c>
      <c r="AE30" s="3"/>
      <c r="AF30" s="4"/>
    </row>
    <row r="31" ht="30.0" customHeight="1">
      <c r="B31" s="47">
        <v>24.0</v>
      </c>
      <c r="C31" s="48" t="s">
        <v>183</v>
      </c>
      <c r="D31" s="3"/>
      <c r="E31" s="4"/>
      <c r="F31" s="49" t="s">
        <v>161</v>
      </c>
      <c r="G31" s="3"/>
      <c r="H31" s="3"/>
      <c r="I31" s="3"/>
      <c r="J31" s="3"/>
      <c r="K31" s="3"/>
      <c r="L31" s="4"/>
      <c r="M31" s="49" t="s">
        <v>186</v>
      </c>
      <c r="N31" s="3"/>
      <c r="O31" s="3"/>
      <c r="P31" s="3"/>
      <c r="Q31" s="3"/>
      <c r="R31" s="3"/>
      <c r="S31" s="3"/>
      <c r="T31" s="4"/>
      <c r="U31" s="50" t="s">
        <v>74</v>
      </c>
      <c r="V31" s="4"/>
      <c r="W31" s="49" t="s">
        <v>189</v>
      </c>
      <c r="X31" s="3"/>
      <c r="Y31" s="3"/>
      <c r="Z31" s="3"/>
      <c r="AA31" s="3"/>
      <c r="AB31" s="3"/>
      <c r="AC31" s="4"/>
      <c r="AD31" s="48">
        <v>10.0</v>
      </c>
      <c r="AE31" s="3"/>
      <c r="AF31" s="4"/>
    </row>
    <row r="32" ht="30.0" customHeight="1">
      <c r="B32" s="47">
        <v>25.0</v>
      </c>
      <c r="C32" s="48" t="s">
        <v>191</v>
      </c>
      <c r="D32" s="3"/>
      <c r="E32" s="4"/>
      <c r="F32" s="49" t="s">
        <v>161</v>
      </c>
      <c r="G32" s="3"/>
      <c r="H32" s="3"/>
      <c r="I32" s="3"/>
      <c r="J32" s="3"/>
      <c r="K32" s="3"/>
      <c r="L32" s="4"/>
      <c r="M32" s="49" t="s">
        <v>192</v>
      </c>
      <c r="N32" s="3"/>
      <c r="O32" s="3"/>
      <c r="P32" s="3"/>
      <c r="Q32" s="3"/>
      <c r="R32" s="3"/>
      <c r="S32" s="3"/>
      <c r="T32" s="4"/>
      <c r="U32" s="51" t="s">
        <v>103</v>
      </c>
      <c r="V32" s="4"/>
      <c r="W32" s="49" t="s">
        <v>193</v>
      </c>
      <c r="X32" s="3"/>
      <c r="Y32" s="3"/>
      <c r="Z32" s="3"/>
      <c r="AA32" s="3"/>
      <c r="AB32" s="3"/>
      <c r="AC32" s="4"/>
      <c r="AD32" s="48">
        <v>30.0</v>
      </c>
      <c r="AE32" s="3"/>
      <c r="AF32" s="4"/>
    </row>
    <row r="33" ht="30.0" customHeight="1">
      <c r="B33" s="47">
        <v>26.0</v>
      </c>
      <c r="C33" s="48" t="s">
        <v>194</v>
      </c>
      <c r="D33" s="3"/>
      <c r="E33" s="4"/>
      <c r="F33" s="49" t="s">
        <v>161</v>
      </c>
      <c r="G33" s="3"/>
      <c r="H33" s="3"/>
      <c r="I33" s="3"/>
      <c r="J33" s="3"/>
      <c r="K33" s="3"/>
      <c r="L33" s="4"/>
      <c r="M33" s="49" t="s">
        <v>197</v>
      </c>
      <c r="N33" s="3"/>
      <c r="O33" s="3"/>
      <c r="P33" s="3"/>
      <c r="Q33" s="3"/>
      <c r="R33" s="3"/>
      <c r="S33" s="3"/>
      <c r="T33" s="4"/>
      <c r="U33" s="50" t="s">
        <v>74</v>
      </c>
      <c r="V33" s="4"/>
      <c r="W33" s="49" t="s">
        <v>200</v>
      </c>
      <c r="X33" s="3"/>
      <c r="Y33" s="3"/>
      <c r="Z33" s="3"/>
      <c r="AA33" s="3"/>
      <c r="AB33" s="3"/>
      <c r="AC33" s="4"/>
      <c r="AD33" s="48">
        <v>15.0</v>
      </c>
      <c r="AE33" s="3"/>
      <c r="AF33" s="4"/>
    </row>
    <row r="34" ht="30.0" customHeight="1">
      <c r="B34" s="47">
        <v>27.0</v>
      </c>
      <c r="C34" s="48" t="s">
        <v>202</v>
      </c>
      <c r="D34" s="3"/>
      <c r="E34" s="4"/>
      <c r="F34" s="49" t="s">
        <v>161</v>
      </c>
      <c r="G34" s="3"/>
      <c r="H34" s="3"/>
      <c r="I34" s="3"/>
      <c r="J34" s="3"/>
      <c r="K34" s="3"/>
      <c r="L34" s="4"/>
      <c r="M34" s="49" t="s">
        <v>203</v>
      </c>
      <c r="N34" s="3"/>
      <c r="O34" s="3"/>
      <c r="P34" s="3"/>
      <c r="Q34" s="3"/>
      <c r="R34" s="3"/>
      <c r="S34" s="3"/>
      <c r="T34" s="4"/>
      <c r="U34" s="50" t="s">
        <v>74</v>
      </c>
      <c r="V34" s="4"/>
      <c r="W34" s="49" t="s">
        <v>204</v>
      </c>
      <c r="X34" s="3"/>
      <c r="Y34" s="3"/>
      <c r="Z34" s="3"/>
      <c r="AA34" s="3"/>
      <c r="AB34" s="3"/>
      <c r="AC34" s="4"/>
      <c r="AD34" s="48">
        <v>18.0</v>
      </c>
      <c r="AE34" s="3"/>
      <c r="AF34" s="4"/>
    </row>
    <row r="35" ht="30.0" customHeight="1">
      <c r="B35" s="47">
        <v>28.0</v>
      </c>
      <c r="C35" s="48" t="s">
        <v>205</v>
      </c>
      <c r="D35" s="3"/>
      <c r="E35" s="4"/>
      <c r="F35" s="49" t="s">
        <v>206</v>
      </c>
      <c r="G35" s="3"/>
      <c r="H35" s="3"/>
      <c r="I35" s="3"/>
      <c r="J35" s="3"/>
      <c r="K35" s="3"/>
      <c r="L35" s="4"/>
      <c r="M35" s="49" t="s">
        <v>208</v>
      </c>
      <c r="N35" s="3"/>
      <c r="O35" s="3"/>
      <c r="P35" s="3"/>
      <c r="Q35" s="3"/>
      <c r="R35" s="3"/>
      <c r="S35" s="3"/>
      <c r="T35" s="4"/>
      <c r="U35" s="50" t="s">
        <v>74</v>
      </c>
      <c r="V35" s="4"/>
      <c r="W35" s="49" t="s">
        <v>211</v>
      </c>
      <c r="X35" s="3"/>
      <c r="Y35" s="3"/>
      <c r="Z35" s="3"/>
      <c r="AA35" s="3"/>
      <c r="AB35" s="3"/>
      <c r="AC35" s="4"/>
      <c r="AD35" s="48">
        <v>25.0</v>
      </c>
      <c r="AE35" s="3"/>
      <c r="AF35" s="4"/>
    </row>
    <row r="36" ht="30.0" customHeight="1">
      <c r="B36" s="47">
        <v>29.0</v>
      </c>
      <c r="C36" s="48" t="s">
        <v>214</v>
      </c>
      <c r="D36" s="3"/>
      <c r="E36" s="4"/>
      <c r="F36" s="49" t="s">
        <v>206</v>
      </c>
      <c r="G36" s="3"/>
      <c r="H36" s="3"/>
      <c r="I36" s="3"/>
      <c r="J36" s="3"/>
      <c r="K36" s="3"/>
      <c r="L36" s="4"/>
      <c r="M36" s="49" t="s">
        <v>215</v>
      </c>
      <c r="N36" s="3"/>
      <c r="O36" s="3"/>
      <c r="P36" s="3"/>
      <c r="Q36" s="3"/>
      <c r="R36" s="3"/>
      <c r="S36" s="3"/>
      <c r="T36" s="4"/>
      <c r="U36" s="50" t="s">
        <v>74</v>
      </c>
      <c r="V36" s="4"/>
      <c r="W36" s="49" t="s">
        <v>90</v>
      </c>
      <c r="X36" s="3"/>
      <c r="Y36" s="3"/>
      <c r="Z36" s="3"/>
      <c r="AA36" s="3"/>
      <c r="AB36" s="3"/>
      <c r="AC36" s="4"/>
      <c r="AD36" s="48">
        <v>8.0</v>
      </c>
      <c r="AE36" s="3"/>
      <c r="AF36" s="4"/>
    </row>
    <row r="37" ht="30.0" customHeight="1">
      <c r="B37" s="47">
        <v>30.0</v>
      </c>
      <c r="C37" s="48" t="s">
        <v>216</v>
      </c>
      <c r="D37" s="3"/>
      <c r="E37" s="4"/>
      <c r="F37" s="49" t="s">
        <v>206</v>
      </c>
      <c r="G37" s="3"/>
      <c r="H37" s="3"/>
      <c r="I37" s="3"/>
      <c r="J37" s="3"/>
      <c r="K37" s="3"/>
      <c r="L37" s="4"/>
      <c r="M37" s="49" t="s">
        <v>217</v>
      </c>
      <c r="N37" s="3"/>
      <c r="O37" s="3"/>
      <c r="P37" s="3"/>
      <c r="Q37" s="3"/>
      <c r="R37" s="3"/>
      <c r="S37" s="3"/>
      <c r="T37" s="4"/>
      <c r="U37" s="50" t="s">
        <v>74</v>
      </c>
      <c r="V37" s="4"/>
      <c r="W37" s="49" t="s">
        <v>221</v>
      </c>
      <c r="X37" s="3"/>
      <c r="Y37" s="3"/>
      <c r="Z37" s="3"/>
      <c r="AA37" s="3"/>
      <c r="AB37" s="3"/>
      <c r="AC37" s="4"/>
      <c r="AD37" s="48">
        <v>15.0</v>
      </c>
      <c r="AE37" s="3"/>
      <c r="AF37" s="4"/>
    </row>
    <row r="38" ht="30.0" customHeight="1">
      <c r="B38" s="47">
        <v>31.0</v>
      </c>
      <c r="C38" s="48" t="s">
        <v>224</v>
      </c>
      <c r="D38" s="3"/>
      <c r="E38" s="4"/>
      <c r="F38" s="49" t="s">
        <v>206</v>
      </c>
      <c r="G38" s="3"/>
      <c r="H38" s="3"/>
      <c r="I38" s="3"/>
      <c r="J38" s="3"/>
      <c r="K38" s="3"/>
      <c r="L38" s="4"/>
      <c r="M38" s="49" t="s">
        <v>225</v>
      </c>
      <c r="N38" s="3"/>
      <c r="O38" s="3"/>
      <c r="P38" s="3"/>
      <c r="Q38" s="3"/>
      <c r="R38" s="3"/>
      <c r="S38" s="3"/>
      <c r="T38" s="4"/>
      <c r="U38" s="50" t="s">
        <v>74</v>
      </c>
      <c r="V38" s="4"/>
      <c r="W38" s="49" t="s">
        <v>90</v>
      </c>
      <c r="X38" s="3"/>
      <c r="Y38" s="3"/>
      <c r="Z38" s="3"/>
      <c r="AA38" s="3"/>
      <c r="AB38" s="3"/>
      <c r="AC38" s="4"/>
      <c r="AD38" s="48">
        <v>40.0</v>
      </c>
      <c r="AE38" s="3"/>
      <c r="AF38" s="4"/>
    </row>
    <row r="39" ht="30.0" customHeight="1">
      <c r="B39" s="47">
        <v>32.0</v>
      </c>
      <c r="C39" s="48" t="s">
        <v>226</v>
      </c>
      <c r="D39" s="3"/>
      <c r="E39" s="4"/>
      <c r="F39" s="49" t="s">
        <v>206</v>
      </c>
      <c r="G39" s="3"/>
      <c r="H39" s="3"/>
      <c r="I39" s="3"/>
      <c r="J39" s="3"/>
      <c r="K39" s="3"/>
      <c r="L39" s="4"/>
      <c r="M39" s="49" t="s">
        <v>228</v>
      </c>
      <c r="N39" s="3"/>
      <c r="O39" s="3"/>
      <c r="P39" s="3"/>
      <c r="Q39" s="3"/>
      <c r="R39" s="3"/>
      <c r="S39" s="3"/>
      <c r="T39" s="4"/>
      <c r="U39" s="51" t="s">
        <v>103</v>
      </c>
      <c r="V39" s="4"/>
      <c r="W39" s="49" t="s">
        <v>232</v>
      </c>
      <c r="X39" s="3"/>
      <c r="Y39" s="3"/>
      <c r="Z39" s="3"/>
      <c r="AA39" s="3"/>
      <c r="AB39" s="3"/>
      <c r="AC39" s="4"/>
      <c r="AD39" s="48">
        <v>20.0</v>
      </c>
      <c r="AE39" s="3"/>
      <c r="AF39" s="4"/>
    </row>
    <row r="40" ht="30.0" customHeight="1">
      <c r="B40" s="47">
        <v>33.0</v>
      </c>
      <c r="C40" s="48" t="s">
        <v>234</v>
      </c>
      <c r="D40" s="3"/>
      <c r="E40" s="4"/>
      <c r="F40" s="49" t="s">
        <v>206</v>
      </c>
      <c r="G40" s="3"/>
      <c r="H40" s="3"/>
      <c r="I40" s="3"/>
      <c r="J40" s="3"/>
      <c r="K40" s="3"/>
      <c r="L40" s="4"/>
      <c r="M40" s="49" t="s">
        <v>235</v>
      </c>
      <c r="N40" s="3"/>
      <c r="O40" s="3"/>
      <c r="P40" s="3"/>
      <c r="Q40" s="3"/>
      <c r="R40" s="3"/>
      <c r="S40" s="3"/>
      <c r="T40" s="4"/>
      <c r="U40" s="51" t="s">
        <v>103</v>
      </c>
      <c r="V40" s="4"/>
      <c r="W40" s="49" t="s">
        <v>236</v>
      </c>
      <c r="X40" s="3"/>
      <c r="Y40" s="3"/>
      <c r="Z40" s="3"/>
      <c r="AA40" s="3"/>
      <c r="AB40" s="3"/>
      <c r="AC40" s="4"/>
      <c r="AD40" s="48">
        <v>12.0</v>
      </c>
      <c r="AE40" s="3"/>
      <c r="AF40" s="4"/>
    </row>
    <row r="41" ht="30.0" customHeight="1">
      <c r="B41" s="47">
        <v>34.0</v>
      </c>
      <c r="C41" s="48" t="s">
        <v>238</v>
      </c>
      <c r="D41" s="3"/>
      <c r="E41" s="4"/>
      <c r="F41" s="49" t="s">
        <v>206</v>
      </c>
      <c r="G41" s="3"/>
      <c r="H41" s="3"/>
      <c r="I41" s="3"/>
      <c r="J41" s="3"/>
      <c r="K41" s="3"/>
      <c r="L41" s="4"/>
      <c r="M41" s="49" t="s">
        <v>240</v>
      </c>
      <c r="N41" s="3"/>
      <c r="O41" s="3"/>
      <c r="P41" s="3"/>
      <c r="Q41" s="3"/>
      <c r="R41" s="3"/>
      <c r="S41" s="3"/>
      <c r="T41" s="4"/>
      <c r="U41" s="50" t="s">
        <v>74</v>
      </c>
      <c r="V41" s="4"/>
      <c r="W41" s="49" t="s">
        <v>241</v>
      </c>
      <c r="X41" s="3"/>
      <c r="Y41" s="3"/>
      <c r="Z41" s="3"/>
      <c r="AA41" s="3"/>
      <c r="AB41" s="3"/>
      <c r="AC41" s="4"/>
      <c r="AD41" s="48">
        <v>15.0</v>
      </c>
      <c r="AE41" s="3"/>
      <c r="AF41" s="4"/>
    </row>
    <row r="42" ht="30.0" customHeight="1">
      <c r="B42" s="47">
        <v>35.0</v>
      </c>
      <c r="C42" s="48" t="s">
        <v>242</v>
      </c>
      <c r="D42" s="3"/>
      <c r="E42" s="4"/>
      <c r="F42" s="49" t="s">
        <v>206</v>
      </c>
      <c r="G42" s="3"/>
      <c r="H42" s="3"/>
      <c r="I42" s="3"/>
      <c r="J42" s="3"/>
      <c r="K42" s="3"/>
      <c r="L42" s="4"/>
      <c r="M42" s="49" t="s">
        <v>243</v>
      </c>
      <c r="N42" s="3"/>
      <c r="O42" s="3"/>
      <c r="P42" s="3"/>
      <c r="Q42" s="3"/>
      <c r="R42" s="3"/>
      <c r="S42" s="3"/>
      <c r="T42" s="4"/>
      <c r="U42" s="51" t="s">
        <v>103</v>
      </c>
      <c r="V42" s="4"/>
      <c r="W42" s="49" t="s">
        <v>90</v>
      </c>
      <c r="X42" s="3"/>
      <c r="Y42" s="3"/>
      <c r="Z42" s="3"/>
      <c r="AA42" s="3"/>
      <c r="AB42" s="3"/>
      <c r="AC42" s="4"/>
      <c r="AD42" s="48">
        <v>30.0</v>
      </c>
      <c r="AE42" s="3"/>
      <c r="AF42" s="4"/>
    </row>
    <row r="43" ht="36.0" customHeight="1">
      <c r="B43" s="47">
        <v>36.0</v>
      </c>
      <c r="C43" s="48" t="s">
        <v>247</v>
      </c>
      <c r="D43" s="3"/>
      <c r="E43" s="4"/>
      <c r="F43" s="49" t="s">
        <v>206</v>
      </c>
      <c r="G43" s="3"/>
      <c r="H43" s="3"/>
      <c r="I43" s="3"/>
      <c r="J43" s="3"/>
      <c r="K43" s="3"/>
      <c r="L43" s="4"/>
      <c r="M43" s="49" t="s">
        <v>250</v>
      </c>
      <c r="N43" s="3"/>
      <c r="O43" s="3"/>
      <c r="P43" s="3"/>
      <c r="Q43" s="3"/>
      <c r="R43" s="3"/>
      <c r="S43" s="3"/>
      <c r="T43" s="4"/>
      <c r="U43" s="50" t="s">
        <v>74</v>
      </c>
      <c r="V43" s="4"/>
      <c r="W43" s="49" t="s">
        <v>221</v>
      </c>
      <c r="X43" s="3"/>
      <c r="Y43" s="3"/>
      <c r="Z43" s="3"/>
      <c r="AA43" s="3"/>
      <c r="AB43" s="3"/>
      <c r="AC43" s="4"/>
      <c r="AD43" s="48">
        <v>6.0</v>
      </c>
      <c r="AE43" s="3"/>
      <c r="AF43" s="4"/>
    </row>
    <row r="44" ht="30.0" customHeight="1">
      <c r="B44" s="47">
        <v>37.0</v>
      </c>
      <c r="C44" s="48" t="s">
        <v>251</v>
      </c>
      <c r="D44" s="3"/>
      <c r="E44" s="4"/>
      <c r="F44" s="49" t="s">
        <v>252</v>
      </c>
      <c r="G44" s="3"/>
      <c r="H44" s="3"/>
      <c r="I44" s="3"/>
      <c r="J44" s="3"/>
      <c r="K44" s="3"/>
      <c r="L44" s="4"/>
      <c r="M44" s="49" t="s">
        <v>253</v>
      </c>
      <c r="N44" s="3"/>
      <c r="O44" s="3"/>
      <c r="P44" s="3"/>
      <c r="Q44" s="3"/>
      <c r="R44" s="3"/>
      <c r="S44" s="3"/>
      <c r="T44" s="4"/>
      <c r="U44" s="57" t="s">
        <v>254</v>
      </c>
      <c r="V44" s="4"/>
      <c r="W44" s="49" t="s">
        <v>255</v>
      </c>
      <c r="X44" s="3"/>
      <c r="Y44" s="3"/>
      <c r="Z44" s="3"/>
      <c r="AA44" s="3"/>
      <c r="AB44" s="3"/>
      <c r="AC44" s="4"/>
      <c r="AD44" s="48">
        <v>60.0</v>
      </c>
      <c r="AE44" s="3"/>
      <c r="AF44" s="4"/>
    </row>
    <row r="45" ht="36.0" customHeight="1">
      <c r="B45" s="47">
        <v>38.0</v>
      </c>
      <c r="C45" s="48" t="s">
        <v>258</v>
      </c>
      <c r="D45" s="3"/>
      <c r="E45" s="4"/>
      <c r="F45" s="49" t="s">
        <v>252</v>
      </c>
      <c r="G45" s="3"/>
      <c r="H45" s="3"/>
      <c r="I45" s="3"/>
      <c r="J45" s="3"/>
      <c r="K45" s="3"/>
      <c r="L45" s="4"/>
      <c r="M45" s="49" t="s">
        <v>260</v>
      </c>
      <c r="N45" s="3"/>
      <c r="O45" s="3"/>
      <c r="P45" s="3"/>
      <c r="Q45" s="3"/>
      <c r="R45" s="3"/>
      <c r="S45" s="3"/>
      <c r="T45" s="4"/>
      <c r="U45" s="57" t="s">
        <v>254</v>
      </c>
      <c r="V45" s="4"/>
      <c r="W45" s="49" t="s">
        <v>255</v>
      </c>
      <c r="X45" s="3"/>
      <c r="Y45" s="3"/>
      <c r="Z45" s="3"/>
      <c r="AA45" s="3"/>
      <c r="AB45" s="3"/>
      <c r="AC45" s="4"/>
      <c r="AD45" s="48">
        <v>40.0</v>
      </c>
      <c r="AE45" s="3"/>
      <c r="AF45" s="4"/>
    </row>
    <row r="46" ht="30.0" customHeight="1">
      <c r="B46" s="47">
        <v>39.0</v>
      </c>
      <c r="C46" s="48" t="s">
        <v>262</v>
      </c>
      <c r="D46" s="3"/>
      <c r="E46" s="4"/>
      <c r="F46" s="49" t="s">
        <v>252</v>
      </c>
      <c r="G46" s="3"/>
      <c r="H46" s="3"/>
      <c r="I46" s="3"/>
      <c r="J46" s="3"/>
      <c r="K46" s="3"/>
      <c r="L46" s="4"/>
      <c r="M46" s="49" t="s">
        <v>263</v>
      </c>
      <c r="N46" s="3"/>
      <c r="O46" s="3"/>
      <c r="P46" s="3"/>
      <c r="Q46" s="3"/>
      <c r="R46" s="3"/>
      <c r="S46" s="3"/>
      <c r="T46" s="4"/>
      <c r="U46" s="57" t="s">
        <v>254</v>
      </c>
      <c r="V46" s="4"/>
      <c r="W46" s="49" t="s">
        <v>116</v>
      </c>
      <c r="X46" s="3"/>
      <c r="Y46" s="3"/>
      <c r="Z46" s="3"/>
      <c r="AA46" s="3"/>
      <c r="AB46" s="3"/>
      <c r="AC46" s="4"/>
      <c r="AD46" s="48">
        <v>25.0</v>
      </c>
      <c r="AE46" s="3"/>
      <c r="AF46" s="4"/>
    </row>
    <row r="47" ht="30.0" customHeight="1">
      <c r="B47" s="47">
        <v>40.0</v>
      </c>
      <c r="C47" s="48" t="s">
        <v>266</v>
      </c>
      <c r="D47" s="3"/>
      <c r="E47" s="4"/>
      <c r="F47" s="49" t="s">
        <v>252</v>
      </c>
      <c r="G47" s="3"/>
      <c r="H47" s="3"/>
      <c r="I47" s="3"/>
      <c r="J47" s="3"/>
      <c r="K47" s="3"/>
      <c r="L47" s="4"/>
      <c r="M47" s="49" t="s">
        <v>268</v>
      </c>
      <c r="N47" s="3"/>
      <c r="O47" s="3"/>
      <c r="P47" s="3"/>
      <c r="Q47" s="3"/>
      <c r="R47" s="3"/>
      <c r="S47" s="3"/>
      <c r="T47" s="4"/>
      <c r="U47" s="57" t="s">
        <v>254</v>
      </c>
      <c r="V47" s="4"/>
      <c r="W47" s="49" t="s">
        <v>90</v>
      </c>
      <c r="X47" s="3"/>
      <c r="Y47" s="3"/>
      <c r="Z47" s="3"/>
      <c r="AA47" s="3"/>
      <c r="AB47" s="3"/>
      <c r="AC47" s="4"/>
      <c r="AD47" s="48">
        <v>5.0</v>
      </c>
      <c r="AE47" s="3"/>
      <c r="AF47" s="4"/>
    </row>
    <row r="48" ht="30.0" customHeight="1">
      <c r="B48" s="47">
        <v>41.0</v>
      </c>
      <c r="C48" s="48" t="s">
        <v>270</v>
      </c>
      <c r="D48" s="3"/>
      <c r="E48" s="4"/>
      <c r="F48" s="49" t="s">
        <v>252</v>
      </c>
      <c r="G48" s="3"/>
      <c r="H48" s="3"/>
      <c r="I48" s="3"/>
      <c r="J48" s="3"/>
      <c r="K48" s="3"/>
      <c r="L48" s="4"/>
      <c r="M48" s="49" t="s">
        <v>273</v>
      </c>
      <c r="N48" s="3"/>
      <c r="O48" s="3"/>
      <c r="P48" s="3"/>
      <c r="Q48" s="3"/>
      <c r="R48" s="3"/>
      <c r="S48" s="3"/>
      <c r="T48" s="4"/>
      <c r="U48" s="50" t="s">
        <v>74</v>
      </c>
      <c r="V48" s="4"/>
      <c r="W48" s="49" t="s">
        <v>90</v>
      </c>
      <c r="X48" s="3"/>
      <c r="Y48" s="3"/>
      <c r="Z48" s="3"/>
      <c r="AA48" s="3"/>
      <c r="AB48" s="3"/>
      <c r="AC48" s="4"/>
      <c r="AD48" s="48">
        <v>5.0</v>
      </c>
      <c r="AE48" s="3"/>
      <c r="AF48" s="4"/>
    </row>
    <row r="49" ht="30.0" customHeight="1">
      <c r="B49" s="47">
        <v>42.0</v>
      </c>
      <c r="C49" s="48" t="s">
        <v>277</v>
      </c>
      <c r="D49" s="3"/>
      <c r="E49" s="4"/>
      <c r="F49" s="49" t="s">
        <v>252</v>
      </c>
      <c r="G49" s="3"/>
      <c r="H49" s="3"/>
      <c r="I49" s="3"/>
      <c r="J49" s="3"/>
      <c r="K49" s="3"/>
      <c r="L49" s="4"/>
      <c r="M49" s="49" t="s">
        <v>278</v>
      </c>
      <c r="N49" s="3"/>
      <c r="O49" s="3"/>
      <c r="P49" s="3"/>
      <c r="Q49" s="3"/>
      <c r="R49" s="3"/>
      <c r="S49" s="3"/>
      <c r="T49" s="4"/>
      <c r="U49" s="51" t="s">
        <v>103</v>
      </c>
      <c r="V49" s="4"/>
      <c r="W49" s="49" t="s">
        <v>279</v>
      </c>
      <c r="X49" s="3"/>
      <c r="Y49" s="3"/>
      <c r="Z49" s="3"/>
      <c r="AA49" s="3"/>
      <c r="AB49" s="3"/>
      <c r="AC49" s="4"/>
      <c r="AD49" s="48">
        <v>8.0</v>
      </c>
      <c r="AE49" s="3"/>
      <c r="AF49" s="4"/>
    </row>
    <row r="50" ht="30.0" customHeight="1">
      <c r="B50" s="47">
        <v>43.0</v>
      </c>
      <c r="C50" s="48" t="s">
        <v>282</v>
      </c>
      <c r="D50" s="3"/>
      <c r="E50" s="4"/>
      <c r="F50" s="49" t="s">
        <v>283</v>
      </c>
      <c r="G50" s="3"/>
      <c r="H50" s="3"/>
      <c r="I50" s="3"/>
      <c r="J50" s="3"/>
      <c r="K50" s="3"/>
      <c r="L50" s="4"/>
      <c r="M50" s="49" t="s">
        <v>284</v>
      </c>
      <c r="N50" s="3"/>
      <c r="O50" s="3"/>
      <c r="P50" s="3"/>
      <c r="Q50" s="3"/>
      <c r="R50" s="3"/>
      <c r="S50" s="3"/>
      <c r="T50" s="4"/>
      <c r="U50" s="51" t="s">
        <v>103</v>
      </c>
      <c r="V50" s="4"/>
      <c r="W50" s="49" t="s">
        <v>285</v>
      </c>
      <c r="X50" s="3"/>
      <c r="Y50" s="3"/>
      <c r="Z50" s="3"/>
      <c r="AA50" s="3"/>
      <c r="AB50" s="3"/>
      <c r="AC50" s="4"/>
      <c r="AD50" s="48">
        <v>12.0</v>
      </c>
      <c r="AE50" s="3"/>
      <c r="AF50" s="4"/>
    </row>
    <row r="51" ht="30.0" customHeight="1">
      <c r="B51" s="47">
        <v>44.0</v>
      </c>
      <c r="C51" s="48" t="s">
        <v>288</v>
      </c>
      <c r="D51" s="3"/>
      <c r="E51" s="4"/>
      <c r="F51" s="49" t="s">
        <v>283</v>
      </c>
      <c r="G51" s="3"/>
      <c r="H51" s="3"/>
      <c r="I51" s="3"/>
      <c r="J51" s="3"/>
      <c r="K51" s="3"/>
      <c r="L51" s="4"/>
      <c r="M51" s="49" t="s">
        <v>289</v>
      </c>
      <c r="N51" s="3"/>
      <c r="O51" s="3"/>
      <c r="P51" s="3"/>
      <c r="Q51" s="3"/>
      <c r="R51" s="3"/>
      <c r="S51" s="3"/>
      <c r="T51" s="4"/>
      <c r="U51" s="51" t="s">
        <v>103</v>
      </c>
      <c r="V51" s="4"/>
      <c r="W51" s="49" t="s">
        <v>290</v>
      </c>
      <c r="X51" s="3"/>
      <c r="Y51" s="3"/>
      <c r="Z51" s="3"/>
      <c r="AA51" s="3"/>
      <c r="AB51" s="3"/>
      <c r="AC51" s="4"/>
      <c r="AD51" s="48">
        <v>8.0</v>
      </c>
      <c r="AE51" s="3"/>
      <c r="AF51" s="4"/>
    </row>
    <row r="52" ht="22.5" customHeight="1">
      <c r="B52" s="59" t="s">
        <v>50</v>
      </c>
      <c r="C52" s="3"/>
      <c r="D52" s="3"/>
      <c r="E52" s="3"/>
      <c r="F52" s="3"/>
      <c r="G52" s="3"/>
      <c r="H52" s="3"/>
      <c r="I52" s="3"/>
      <c r="J52" s="3"/>
      <c r="K52" s="3"/>
      <c r="L52" s="3"/>
      <c r="M52" s="3"/>
      <c r="N52" s="3"/>
      <c r="O52" s="3"/>
      <c r="P52" s="3"/>
      <c r="Q52" s="3"/>
      <c r="R52" s="3"/>
      <c r="S52" s="3"/>
      <c r="T52" s="4"/>
      <c r="U52" s="39"/>
      <c r="V52" s="4"/>
      <c r="W52" s="39"/>
      <c r="X52" s="3"/>
      <c r="Y52" s="3"/>
      <c r="Z52" s="3"/>
      <c r="AA52" s="3"/>
      <c r="AB52" s="3"/>
      <c r="AC52" s="4"/>
      <c r="AD52" s="39">
        <f>SUM(AD8:AD51)</f>
        <v>1682</v>
      </c>
      <c r="AE52" s="3"/>
      <c r="AF52" s="4"/>
    </row>
    <row r="53" ht="15.75" customHeight="1"/>
    <row r="54" ht="19.5" customHeight="1">
      <c r="B54" s="27" t="s">
        <v>295</v>
      </c>
    </row>
    <row r="55" ht="15.75" customHeight="1"/>
    <row r="56" ht="28.5" customHeight="1">
      <c r="B56" s="46" t="s">
        <v>296</v>
      </c>
      <c r="C56" s="4"/>
      <c r="D56" s="46" t="s">
        <v>297</v>
      </c>
      <c r="E56" s="3"/>
      <c r="F56" s="4"/>
      <c r="G56" s="46" t="s">
        <v>299</v>
      </c>
      <c r="H56" s="3"/>
      <c r="I56" s="3"/>
      <c r="J56" s="3"/>
      <c r="K56" s="3"/>
      <c r="L56" s="4"/>
      <c r="M56" s="46" t="s">
        <v>300</v>
      </c>
      <c r="N56" s="4"/>
      <c r="O56" s="46" t="s">
        <v>301</v>
      </c>
      <c r="P56" s="3"/>
      <c r="Q56" s="4"/>
      <c r="R56" s="46" t="s">
        <v>302</v>
      </c>
      <c r="S56" s="3"/>
      <c r="T56" s="3"/>
      <c r="U56" s="3"/>
      <c r="V56" s="3"/>
      <c r="W56" s="3"/>
      <c r="X56" s="3"/>
      <c r="Y56" s="3"/>
      <c r="Z56" s="3"/>
      <c r="AA56" s="3"/>
      <c r="AB56" s="3"/>
      <c r="AC56" s="3"/>
      <c r="AD56" s="3"/>
      <c r="AE56" s="3"/>
      <c r="AF56" s="3"/>
      <c r="AG56" s="3"/>
      <c r="AH56" s="3"/>
      <c r="AI56" s="3"/>
      <c r="AJ56" s="3"/>
      <c r="AK56" s="4"/>
    </row>
    <row r="57" ht="36.0" customHeight="1">
      <c r="B57" s="60" t="s">
        <v>156</v>
      </c>
      <c r="C57" s="4"/>
      <c r="D57" s="48" t="s">
        <v>303</v>
      </c>
      <c r="E57" s="3"/>
      <c r="F57" s="4"/>
      <c r="G57" s="49" t="s">
        <v>304</v>
      </c>
      <c r="H57" s="3"/>
      <c r="I57" s="3"/>
      <c r="J57" s="3"/>
      <c r="K57" s="3"/>
      <c r="L57" s="4"/>
      <c r="M57" s="48">
        <v>10.0</v>
      </c>
      <c r="N57" s="4"/>
      <c r="O57" s="48" t="s">
        <v>74</v>
      </c>
      <c r="P57" s="3"/>
      <c r="Q57" s="4"/>
      <c r="R57" s="49" t="s">
        <v>307</v>
      </c>
      <c r="S57" s="3"/>
      <c r="T57" s="3"/>
      <c r="U57" s="3"/>
      <c r="V57" s="3"/>
      <c r="W57" s="3"/>
      <c r="X57" s="3"/>
      <c r="Y57" s="3"/>
      <c r="Z57" s="3"/>
      <c r="AA57" s="3"/>
      <c r="AB57" s="3"/>
      <c r="AC57" s="3"/>
      <c r="AD57" s="3"/>
      <c r="AE57" s="3"/>
      <c r="AF57" s="3"/>
      <c r="AG57" s="3"/>
      <c r="AH57" s="3"/>
      <c r="AI57" s="3"/>
      <c r="AJ57" s="3"/>
      <c r="AK57" s="4"/>
    </row>
    <row r="58" ht="30.0" customHeight="1">
      <c r="B58" s="60" t="s">
        <v>309</v>
      </c>
      <c r="C58" s="4"/>
      <c r="D58" s="48" t="s">
        <v>310</v>
      </c>
      <c r="E58" s="3"/>
      <c r="F58" s="4"/>
      <c r="G58" s="49" t="s">
        <v>311</v>
      </c>
      <c r="H58" s="3"/>
      <c r="I58" s="3"/>
      <c r="J58" s="3"/>
      <c r="K58" s="3"/>
      <c r="L58" s="4"/>
      <c r="M58" s="48">
        <v>9.0</v>
      </c>
      <c r="N58" s="4"/>
      <c r="O58" s="48" t="s">
        <v>103</v>
      </c>
      <c r="P58" s="3"/>
      <c r="Q58" s="4"/>
      <c r="R58" s="49" t="s">
        <v>313</v>
      </c>
      <c r="S58" s="3"/>
      <c r="T58" s="3"/>
      <c r="U58" s="3"/>
      <c r="V58" s="3"/>
      <c r="W58" s="3"/>
      <c r="X58" s="3"/>
      <c r="Y58" s="3"/>
      <c r="Z58" s="3"/>
      <c r="AA58" s="3"/>
      <c r="AB58" s="3"/>
      <c r="AC58" s="3"/>
      <c r="AD58" s="3"/>
      <c r="AE58" s="3"/>
      <c r="AF58" s="3"/>
      <c r="AG58" s="3"/>
      <c r="AH58" s="3"/>
      <c r="AI58" s="3"/>
      <c r="AJ58" s="3"/>
      <c r="AK58" s="4"/>
    </row>
    <row r="59" ht="36.0" customHeight="1">
      <c r="B59" s="60" t="s">
        <v>314</v>
      </c>
      <c r="C59" s="4"/>
      <c r="D59" s="48" t="s">
        <v>315</v>
      </c>
      <c r="E59" s="3"/>
      <c r="F59" s="4"/>
      <c r="G59" s="49" t="s">
        <v>316</v>
      </c>
      <c r="H59" s="3"/>
      <c r="I59" s="3"/>
      <c r="J59" s="3"/>
      <c r="K59" s="3"/>
      <c r="L59" s="4"/>
      <c r="M59" s="48">
        <v>8.0</v>
      </c>
      <c r="N59" s="4"/>
      <c r="O59" s="48" t="s">
        <v>74</v>
      </c>
      <c r="P59" s="3"/>
      <c r="Q59" s="4"/>
      <c r="R59" s="49" t="s">
        <v>317</v>
      </c>
      <c r="S59" s="3"/>
      <c r="T59" s="3"/>
      <c r="U59" s="3"/>
      <c r="V59" s="3"/>
      <c r="W59" s="3"/>
      <c r="X59" s="3"/>
      <c r="Y59" s="3"/>
      <c r="Z59" s="3"/>
      <c r="AA59" s="3"/>
      <c r="AB59" s="3"/>
      <c r="AC59" s="3"/>
      <c r="AD59" s="3"/>
      <c r="AE59" s="3"/>
      <c r="AF59" s="3"/>
      <c r="AG59" s="3"/>
      <c r="AH59" s="3"/>
      <c r="AI59" s="3"/>
      <c r="AJ59" s="3"/>
      <c r="AK59" s="4"/>
    </row>
    <row r="60" ht="36.0" customHeight="1">
      <c r="B60" s="60" t="s">
        <v>318</v>
      </c>
      <c r="C60" s="4"/>
      <c r="D60" s="48" t="s">
        <v>319</v>
      </c>
      <c r="E60" s="3"/>
      <c r="F60" s="4"/>
      <c r="G60" s="49" t="s">
        <v>320</v>
      </c>
      <c r="H60" s="3"/>
      <c r="I60" s="3"/>
      <c r="J60" s="3"/>
      <c r="K60" s="3"/>
      <c r="L60" s="4"/>
      <c r="M60" s="48">
        <v>9.0</v>
      </c>
      <c r="N60" s="4"/>
      <c r="O60" s="48" t="s">
        <v>74</v>
      </c>
      <c r="P60" s="3"/>
      <c r="Q60" s="4"/>
      <c r="R60" s="49" t="s">
        <v>323</v>
      </c>
      <c r="S60" s="3"/>
      <c r="T60" s="3"/>
      <c r="U60" s="3"/>
      <c r="V60" s="3"/>
      <c r="W60" s="3"/>
      <c r="X60" s="3"/>
      <c r="Y60" s="3"/>
      <c r="Z60" s="3"/>
      <c r="AA60" s="3"/>
      <c r="AB60" s="3"/>
      <c r="AC60" s="3"/>
      <c r="AD60" s="3"/>
      <c r="AE60" s="3"/>
      <c r="AF60" s="3"/>
      <c r="AG60" s="3"/>
      <c r="AH60" s="3"/>
      <c r="AI60" s="3"/>
      <c r="AJ60" s="3"/>
      <c r="AK60" s="4"/>
    </row>
    <row r="61" ht="36.0" customHeight="1">
      <c r="B61" s="60" t="s">
        <v>325</v>
      </c>
      <c r="C61" s="4"/>
      <c r="D61" s="48" t="s">
        <v>326</v>
      </c>
      <c r="E61" s="3"/>
      <c r="F61" s="4"/>
      <c r="G61" s="49" t="s">
        <v>327</v>
      </c>
      <c r="H61" s="3"/>
      <c r="I61" s="3"/>
      <c r="J61" s="3"/>
      <c r="K61" s="3"/>
      <c r="L61" s="4"/>
      <c r="M61" s="48">
        <v>6.0</v>
      </c>
      <c r="N61" s="4"/>
      <c r="O61" s="48" t="s">
        <v>329</v>
      </c>
      <c r="P61" s="3"/>
      <c r="Q61" s="4"/>
      <c r="R61" s="49" t="s">
        <v>330</v>
      </c>
      <c r="S61" s="3"/>
      <c r="T61" s="3"/>
      <c r="U61" s="3"/>
      <c r="V61" s="3"/>
      <c r="W61" s="3"/>
      <c r="X61" s="3"/>
      <c r="Y61" s="3"/>
      <c r="Z61" s="3"/>
      <c r="AA61" s="3"/>
      <c r="AB61" s="3"/>
      <c r="AC61" s="3"/>
      <c r="AD61" s="3"/>
      <c r="AE61" s="3"/>
      <c r="AF61" s="3"/>
      <c r="AG61" s="3"/>
      <c r="AH61" s="3"/>
      <c r="AI61" s="3"/>
      <c r="AJ61" s="3"/>
      <c r="AK61" s="4"/>
    </row>
    <row r="62" ht="30.0" customHeight="1">
      <c r="B62" s="60" t="s">
        <v>331</v>
      </c>
      <c r="C62" s="4"/>
      <c r="D62" s="48" t="s">
        <v>332</v>
      </c>
      <c r="E62" s="3"/>
      <c r="F62" s="4"/>
      <c r="G62" s="49" t="s">
        <v>333</v>
      </c>
      <c r="H62" s="3"/>
      <c r="I62" s="3"/>
      <c r="J62" s="3"/>
      <c r="K62" s="3"/>
      <c r="L62" s="4"/>
      <c r="M62" s="48">
        <v>2.0</v>
      </c>
      <c r="N62" s="4"/>
      <c r="O62" s="48" t="s">
        <v>103</v>
      </c>
      <c r="P62" s="3"/>
      <c r="Q62" s="4"/>
      <c r="R62" s="49" t="s">
        <v>334</v>
      </c>
      <c r="S62" s="3"/>
      <c r="T62" s="3"/>
      <c r="U62" s="3"/>
      <c r="V62" s="3"/>
      <c r="W62" s="3"/>
      <c r="X62" s="3"/>
      <c r="Y62" s="3"/>
      <c r="Z62" s="3"/>
      <c r="AA62" s="3"/>
      <c r="AB62" s="3"/>
      <c r="AC62" s="3"/>
      <c r="AD62" s="3"/>
      <c r="AE62" s="3"/>
      <c r="AF62" s="3"/>
      <c r="AG62" s="3"/>
      <c r="AH62" s="3"/>
      <c r="AI62" s="3"/>
      <c r="AJ62" s="3"/>
      <c r="AK62" s="4"/>
    </row>
    <row r="63" ht="15.75" customHeight="1"/>
    <row r="64" ht="30.0" customHeight="1">
      <c r="B64" s="61" t="s">
        <v>335</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83</v>
      </c>
      <c r="B1" s="3"/>
      <c r="C1" s="3"/>
      <c r="D1" s="3"/>
      <c r="E1" s="4"/>
      <c r="F1" s="12" t="s">
        <v>85</v>
      </c>
      <c r="G1" s="3"/>
      <c r="H1" s="3"/>
      <c r="I1" s="3"/>
      <c r="J1" s="3"/>
      <c r="K1" s="3"/>
      <c r="L1" s="3"/>
      <c r="M1" s="3"/>
      <c r="N1" s="3"/>
      <c r="O1" s="3"/>
      <c r="P1" s="3"/>
      <c r="Q1" s="4"/>
      <c r="R1" s="46" t="s">
        <v>87</v>
      </c>
      <c r="S1" s="3"/>
      <c r="T1" s="3"/>
      <c r="U1" s="3"/>
      <c r="V1" s="4"/>
      <c r="W1" s="12" t="s">
        <v>88</v>
      </c>
      <c r="X1" s="3"/>
      <c r="Y1" s="3"/>
      <c r="Z1" s="3"/>
      <c r="AA1" s="3"/>
      <c r="AB1" s="3"/>
      <c r="AC1" s="3"/>
      <c r="AD1" s="3"/>
      <c r="AE1" s="3"/>
      <c r="AF1" s="3"/>
      <c r="AG1" s="3"/>
      <c r="AH1" s="4"/>
    </row>
    <row r="2" ht="22.5" customHeight="1">
      <c r="A2" s="46" t="s">
        <v>11</v>
      </c>
      <c r="B2" s="3"/>
      <c r="C2" s="3"/>
      <c r="D2" s="3"/>
      <c r="E2" s="4"/>
      <c r="F2" s="12" t="s">
        <v>16</v>
      </c>
      <c r="G2" s="3"/>
      <c r="H2" s="3"/>
      <c r="I2" s="3"/>
      <c r="J2" s="3"/>
      <c r="K2" s="3"/>
      <c r="L2" s="3"/>
      <c r="M2" s="3"/>
      <c r="N2" s="3"/>
      <c r="O2" s="3"/>
      <c r="P2" s="3"/>
      <c r="Q2" s="4"/>
      <c r="R2" s="46" t="s">
        <v>10</v>
      </c>
      <c r="S2" s="3"/>
      <c r="T2" s="3"/>
      <c r="U2" s="3"/>
      <c r="V2" s="4"/>
      <c r="W2" s="33" t="s">
        <v>12</v>
      </c>
      <c r="X2" s="3"/>
      <c r="Y2" s="3"/>
      <c r="Z2" s="3"/>
      <c r="AA2" s="3"/>
      <c r="AB2" s="3"/>
      <c r="AC2" s="3"/>
      <c r="AD2" s="3"/>
      <c r="AE2" s="3"/>
      <c r="AF2" s="3"/>
      <c r="AG2" s="3"/>
      <c r="AH2" s="4"/>
    </row>
    <row r="3" ht="22.5" customHeight="1">
      <c r="A3" s="46" t="s">
        <v>6</v>
      </c>
      <c r="B3" s="3"/>
      <c r="C3" s="3"/>
      <c r="D3" s="3"/>
      <c r="E3" s="4"/>
      <c r="F3" s="12" t="s">
        <v>20</v>
      </c>
      <c r="G3" s="3"/>
      <c r="H3" s="3"/>
      <c r="I3" s="3"/>
      <c r="J3" s="3"/>
      <c r="K3" s="3"/>
      <c r="L3" s="3"/>
      <c r="M3" s="3"/>
      <c r="N3" s="3"/>
      <c r="O3" s="3"/>
      <c r="P3" s="3"/>
      <c r="Q3" s="4"/>
      <c r="R3" s="46" t="s">
        <v>94</v>
      </c>
      <c r="S3" s="3"/>
      <c r="T3" s="3"/>
      <c r="U3" s="3"/>
      <c r="V3" s="4"/>
      <c r="W3" s="33"/>
      <c r="X3" s="3"/>
      <c r="Y3" s="3"/>
      <c r="Z3" s="3"/>
      <c r="AA3" s="3"/>
      <c r="AB3" s="3"/>
      <c r="AC3" s="3"/>
      <c r="AD3" s="3"/>
      <c r="AE3" s="3"/>
      <c r="AF3" s="3"/>
      <c r="AG3" s="3"/>
      <c r="AH3" s="4"/>
    </row>
    <row r="4" ht="22.5" customHeight="1">
      <c r="A4" s="46" t="s">
        <v>96</v>
      </c>
      <c r="B4" s="3"/>
      <c r="C4" s="3"/>
      <c r="D4" s="3"/>
      <c r="E4" s="4"/>
      <c r="F4" s="12" t="s">
        <v>97</v>
      </c>
      <c r="G4" s="3"/>
      <c r="H4" s="3"/>
      <c r="I4" s="3"/>
      <c r="J4" s="3"/>
      <c r="K4" s="3"/>
      <c r="L4" s="3"/>
      <c r="M4" s="3"/>
      <c r="N4" s="3"/>
      <c r="O4" s="3"/>
      <c r="P4" s="3"/>
      <c r="Q4" s="3"/>
      <c r="R4" s="3"/>
      <c r="S4" s="3"/>
      <c r="T4" s="3"/>
      <c r="U4" s="3"/>
      <c r="V4" s="3"/>
      <c r="W4" s="3"/>
      <c r="X4" s="3"/>
      <c r="Y4" s="3"/>
      <c r="Z4" s="3"/>
      <c r="AA4" s="3"/>
      <c r="AB4" s="3"/>
      <c r="AC4" s="3"/>
      <c r="AD4" s="3"/>
      <c r="AE4" s="3"/>
      <c r="AF4" s="3"/>
      <c r="AG4" s="3"/>
      <c r="AH4" s="4"/>
    </row>
    <row r="5" ht="22.5" customHeight="1">
      <c r="A5" s="46" t="s">
        <v>99</v>
      </c>
      <c r="B5" s="3"/>
      <c r="C5" s="3"/>
      <c r="D5" s="3"/>
      <c r="E5" s="3"/>
      <c r="F5" s="3"/>
      <c r="G5" s="3"/>
      <c r="H5" s="3"/>
      <c r="I5" s="3"/>
      <c r="J5" s="3"/>
      <c r="K5" s="3"/>
      <c r="L5" s="3"/>
      <c r="M5" s="3"/>
      <c r="N5" s="3"/>
      <c r="O5" s="3"/>
      <c r="P5" s="3"/>
      <c r="Q5" s="3"/>
      <c r="R5" s="3"/>
      <c r="S5" s="4"/>
      <c r="T5" s="46" t="s">
        <v>51</v>
      </c>
      <c r="U5" s="3"/>
      <c r="V5" s="3"/>
      <c r="W5" s="3"/>
      <c r="X5" s="3"/>
      <c r="Y5" s="3"/>
      <c r="Z5" s="3"/>
      <c r="AA5" s="3"/>
      <c r="AB5" s="3"/>
      <c r="AC5" s="3"/>
      <c r="AD5" s="3"/>
      <c r="AE5" s="3"/>
      <c r="AF5" s="3"/>
      <c r="AG5" s="3"/>
      <c r="AH5" s="4"/>
    </row>
    <row r="6" ht="22.5" customHeight="1">
      <c r="A6" s="46" t="s">
        <v>102</v>
      </c>
      <c r="B6" s="3"/>
      <c r="C6" s="3"/>
      <c r="D6" s="3"/>
      <c r="E6" s="3"/>
      <c r="F6" s="3"/>
      <c r="G6" s="4"/>
      <c r="H6" s="46" t="s">
        <v>52</v>
      </c>
      <c r="I6" s="3"/>
      <c r="J6" s="4"/>
      <c r="K6" s="46" t="s">
        <v>53</v>
      </c>
      <c r="L6" s="3"/>
      <c r="M6" s="4"/>
      <c r="N6" s="46" t="s">
        <v>105</v>
      </c>
      <c r="O6" s="3"/>
      <c r="P6" s="4"/>
      <c r="Q6" s="46" t="s">
        <v>50</v>
      </c>
      <c r="R6" s="3"/>
      <c r="S6" s="4"/>
      <c r="T6" s="46" t="s">
        <v>55</v>
      </c>
      <c r="U6" s="3"/>
      <c r="V6" s="4"/>
      <c r="W6" s="46" t="s">
        <v>56</v>
      </c>
      <c r="X6" s="3"/>
      <c r="Y6" s="4"/>
      <c r="Z6" s="46" t="s">
        <v>57</v>
      </c>
      <c r="AA6" s="3"/>
      <c r="AB6" s="4"/>
      <c r="AC6" s="46" t="s">
        <v>58</v>
      </c>
      <c r="AD6" s="3"/>
      <c r="AE6" s="4"/>
      <c r="AF6" s="46" t="s">
        <v>50</v>
      </c>
      <c r="AG6" s="3"/>
      <c r="AH6" s="4"/>
    </row>
    <row r="7" ht="22.5" customHeight="1">
      <c r="A7" s="46" t="s">
        <v>108</v>
      </c>
      <c r="B7" s="3"/>
      <c r="C7" s="3"/>
      <c r="D7" s="3"/>
      <c r="E7" s="3"/>
      <c r="F7" s="3"/>
      <c r="G7" s="4"/>
      <c r="H7" s="9">
        <f t="shared" ref="H7:H8" si="1">COUNTIF($AE$12:$AF$1049,"N")</f>
        <v>24</v>
      </c>
      <c r="I7" s="3"/>
      <c r="J7" s="4"/>
      <c r="K7" s="9">
        <f t="shared" ref="K7:K8" si="2">COUNTIF($AE$12:$AF$1049,"A")</f>
        <v>17</v>
      </c>
      <c r="L7" s="3"/>
      <c r="M7" s="4"/>
      <c r="N7" s="9">
        <f t="shared" ref="N7:N8" si="3">COUNTIF($AE$12:$AF$1049,"B")</f>
        <v>1</v>
      </c>
      <c r="O7" s="3"/>
      <c r="P7" s="4"/>
      <c r="Q7" s="43">
        <f t="shared" ref="Q7:Q8" si="4">SUM(H7:P7)</f>
        <v>42</v>
      </c>
      <c r="R7" s="3"/>
      <c r="S7" s="4"/>
      <c r="T7" s="9">
        <f>COUNTIF($AG$12:$AI$1049,T$6)</f>
        <v>36</v>
      </c>
      <c r="U7" s="3"/>
      <c r="V7" s="4"/>
      <c r="W7" s="9">
        <f>COUNTIF($AG$12:$AI$1049,W$6)</f>
        <v>0</v>
      </c>
      <c r="X7" s="3"/>
      <c r="Y7" s="4"/>
      <c r="Z7" s="9">
        <f>COUNTIF($AG$12:$AI$1049,Z$6)</f>
        <v>0</v>
      </c>
      <c r="AA7" s="3"/>
      <c r="AB7" s="4"/>
      <c r="AC7" s="9">
        <f>COUNTIF($AG$12:$AI$1049,AC$6)</f>
        <v>6</v>
      </c>
      <c r="AD7" s="3"/>
      <c r="AE7" s="4"/>
      <c r="AF7" s="43">
        <f t="shared" ref="AF7:AF8" si="5">SUM(T7:AE7)</f>
        <v>42</v>
      </c>
      <c r="AG7" s="3"/>
      <c r="AH7" s="4"/>
    </row>
    <row r="8" ht="22.5" customHeight="1">
      <c r="A8" s="46" t="s">
        <v>118</v>
      </c>
      <c r="B8" s="3"/>
      <c r="C8" s="3"/>
      <c r="D8" s="3"/>
      <c r="E8" s="3"/>
      <c r="F8" s="3"/>
      <c r="G8" s="4"/>
      <c r="H8" s="9">
        <f t="shared" si="1"/>
        <v>24</v>
      </c>
      <c r="I8" s="3"/>
      <c r="J8" s="4"/>
      <c r="K8" s="9">
        <f t="shared" si="2"/>
        <v>17</v>
      </c>
      <c r="L8" s="3"/>
      <c r="M8" s="4"/>
      <c r="N8" s="9">
        <f t="shared" si="3"/>
        <v>1</v>
      </c>
      <c r="O8" s="3"/>
      <c r="P8" s="4"/>
      <c r="Q8" s="43">
        <f t="shared" si="4"/>
        <v>42</v>
      </c>
      <c r="R8" s="3"/>
      <c r="S8" s="4"/>
      <c r="T8" s="9">
        <f>COUNTIF($AV$12:$AX$1049,T$6)</f>
        <v>36</v>
      </c>
      <c r="U8" s="3"/>
      <c r="V8" s="4"/>
      <c r="W8" s="9">
        <f>COUNTIF($AV$12:$AX$1049,W$6)</f>
        <v>0</v>
      </c>
      <c r="X8" s="3"/>
      <c r="Y8" s="4"/>
      <c r="Z8" s="9">
        <f>COUNTIF($AV$12:$AX$1049,Z$6)</f>
        <v>0</v>
      </c>
      <c r="AA8" s="3"/>
      <c r="AB8" s="4"/>
      <c r="AC8" s="9">
        <f>COUNTIF($AV$12:$AX$1049,AC$6)</f>
        <v>6</v>
      </c>
      <c r="AD8" s="3"/>
      <c r="AE8" s="4"/>
      <c r="AF8" s="43">
        <f t="shared" si="5"/>
        <v>42</v>
      </c>
      <c r="AG8" s="3"/>
      <c r="AH8" s="4"/>
    </row>
    <row r="9" ht="12.75" customHeight="1"/>
    <row r="10" ht="36.0" customHeight="1">
      <c r="A10" s="52" t="s">
        <v>45</v>
      </c>
      <c r="B10" s="53" t="s">
        <v>123</v>
      </c>
      <c r="C10" s="14"/>
      <c r="D10" s="15"/>
      <c r="E10" s="53" t="s">
        <v>124</v>
      </c>
      <c r="F10" s="14"/>
      <c r="G10" s="14"/>
      <c r="H10" s="14"/>
      <c r="I10" s="15"/>
      <c r="J10" s="53" t="s">
        <v>126</v>
      </c>
      <c r="K10" s="14"/>
      <c r="L10" s="14"/>
      <c r="M10" s="14"/>
      <c r="N10" s="14"/>
      <c r="O10" s="14"/>
      <c r="P10" s="15"/>
      <c r="Q10" s="53" t="s">
        <v>127</v>
      </c>
      <c r="R10" s="14"/>
      <c r="S10" s="14"/>
      <c r="T10" s="14"/>
      <c r="U10" s="14"/>
      <c r="V10" s="14"/>
      <c r="W10" s="15"/>
      <c r="X10" s="53" t="s">
        <v>128</v>
      </c>
      <c r="Y10" s="14"/>
      <c r="Z10" s="14"/>
      <c r="AA10" s="14"/>
      <c r="AB10" s="14"/>
      <c r="AC10" s="14"/>
      <c r="AD10" s="15"/>
      <c r="AE10" s="53" t="s">
        <v>129</v>
      </c>
      <c r="AF10" s="15"/>
      <c r="AG10" s="46" t="s">
        <v>130</v>
      </c>
      <c r="AH10" s="3"/>
      <c r="AI10" s="3"/>
      <c r="AJ10" s="3"/>
      <c r="AK10" s="3"/>
      <c r="AL10" s="3"/>
      <c r="AM10" s="3"/>
      <c r="AN10" s="3"/>
      <c r="AO10" s="3"/>
      <c r="AP10" s="3"/>
      <c r="AQ10" s="3"/>
      <c r="AR10" s="3"/>
      <c r="AS10" s="3"/>
      <c r="AT10" s="3"/>
      <c r="AU10" s="4"/>
      <c r="AV10" s="46" t="s">
        <v>132</v>
      </c>
      <c r="AW10" s="3"/>
      <c r="AX10" s="3"/>
      <c r="AY10" s="3"/>
      <c r="AZ10" s="3"/>
      <c r="BA10" s="3"/>
      <c r="BB10" s="3"/>
      <c r="BC10" s="3"/>
      <c r="BD10" s="3"/>
      <c r="BE10" s="3"/>
      <c r="BF10" s="3"/>
      <c r="BG10" s="3"/>
      <c r="BH10" s="3"/>
      <c r="BI10" s="3"/>
      <c r="BJ10" s="4"/>
      <c r="BK10" s="53" t="s">
        <v>134</v>
      </c>
      <c r="BL10" s="14"/>
      <c r="BM10" s="14"/>
      <c r="BN10" s="14"/>
      <c r="BO10" s="14"/>
      <c r="BP10" s="14"/>
      <c r="BQ10" s="15"/>
    </row>
    <row r="11" ht="36.0" customHeight="1">
      <c r="A11" s="40"/>
      <c r="B11" s="23"/>
      <c r="C11" s="25"/>
      <c r="D11" s="26"/>
      <c r="E11" s="23"/>
      <c r="F11" s="25"/>
      <c r="G11" s="25"/>
      <c r="H11" s="25"/>
      <c r="I11" s="26"/>
      <c r="J11" s="23"/>
      <c r="K11" s="25"/>
      <c r="L11" s="25"/>
      <c r="M11" s="25"/>
      <c r="N11" s="25"/>
      <c r="O11" s="25"/>
      <c r="P11" s="26"/>
      <c r="Q11" s="23"/>
      <c r="R11" s="25"/>
      <c r="S11" s="25"/>
      <c r="T11" s="25"/>
      <c r="U11" s="25"/>
      <c r="V11" s="25"/>
      <c r="W11" s="26"/>
      <c r="X11" s="23"/>
      <c r="Y11" s="25"/>
      <c r="Z11" s="25"/>
      <c r="AA11" s="25"/>
      <c r="AB11" s="25"/>
      <c r="AC11" s="25"/>
      <c r="AD11" s="26"/>
      <c r="AE11" s="23"/>
      <c r="AF11" s="26"/>
      <c r="AG11" s="46" t="s">
        <v>137</v>
      </c>
      <c r="AH11" s="3"/>
      <c r="AI11" s="4"/>
      <c r="AJ11" s="46" t="s">
        <v>139</v>
      </c>
      <c r="AK11" s="3"/>
      <c r="AL11" s="4"/>
      <c r="AM11" s="46" t="s">
        <v>3</v>
      </c>
      <c r="AN11" s="3"/>
      <c r="AO11" s="4"/>
      <c r="AP11" s="46" t="s">
        <v>141</v>
      </c>
      <c r="AQ11" s="3"/>
      <c r="AR11" s="4"/>
      <c r="AS11" s="46" t="s">
        <v>142</v>
      </c>
      <c r="AT11" s="3"/>
      <c r="AU11" s="4"/>
      <c r="AV11" s="46" t="s">
        <v>137</v>
      </c>
      <c r="AW11" s="3"/>
      <c r="AX11" s="4"/>
      <c r="AY11" s="46" t="s">
        <v>139</v>
      </c>
      <c r="AZ11" s="3"/>
      <c r="BA11" s="4"/>
      <c r="BB11" s="46" t="s">
        <v>3</v>
      </c>
      <c r="BC11" s="3"/>
      <c r="BD11" s="4"/>
      <c r="BE11" s="46" t="s">
        <v>141</v>
      </c>
      <c r="BF11" s="3"/>
      <c r="BG11" s="4"/>
      <c r="BH11" s="46" t="s">
        <v>142</v>
      </c>
      <c r="BI11" s="3"/>
      <c r="BJ11" s="4"/>
      <c r="BK11" s="23"/>
      <c r="BL11" s="25"/>
      <c r="BM11" s="25"/>
      <c r="BN11" s="25"/>
      <c r="BO11" s="25"/>
      <c r="BP11" s="25"/>
      <c r="BQ11" s="26"/>
    </row>
    <row r="12" ht="22.5" customHeight="1">
      <c r="A12" s="24" t="s">
        <v>145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4"/>
    </row>
    <row r="13" ht="319.5" customHeight="1">
      <c r="A13" s="47">
        <v>1.0</v>
      </c>
      <c r="B13" s="49" t="s">
        <v>149</v>
      </c>
      <c r="C13" s="3"/>
      <c r="D13" s="4"/>
      <c r="E13" s="49" t="s">
        <v>150</v>
      </c>
      <c r="F13" s="3"/>
      <c r="G13" s="3"/>
      <c r="H13" s="3"/>
      <c r="I13" s="4"/>
      <c r="J13" s="49" t="s">
        <v>152</v>
      </c>
      <c r="K13" s="3"/>
      <c r="L13" s="3"/>
      <c r="M13" s="3"/>
      <c r="N13" s="3"/>
      <c r="O13" s="3"/>
      <c r="P13" s="4"/>
      <c r="Q13" s="49" t="s">
        <v>153</v>
      </c>
      <c r="R13" s="3"/>
      <c r="S13" s="3"/>
      <c r="T13" s="3"/>
      <c r="U13" s="3"/>
      <c r="V13" s="3"/>
      <c r="W13" s="4"/>
      <c r="X13" s="49" t="s">
        <v>155</v>
      </c>
      <c r="Y13" s="3"/>
      <c r="Z13" s="3"/>
      <c r="AA13" s="3"/>
      <c r="AB13" s="3"/>
      <c r="AC13" s="3"/>
      <c r="AD13" s="4"/>
      <c r="AE13" s="48" t="s">
        <v>156</v>
      </c>
      <c r="AF13" s="4"/>
      <c r="AG13" s="54" t="s">
        <v>55</v>
      </c>
      <c r="AH13" s="3"/>
      <c r="AI13" s="4"/>
      <c r="AJ13" s="48"/>
      <c r="AK13" s="3"/>
      <c r="AL13" s="4"/>
      <c r="AM13" s="55" t="s">
        <v>158</v>
      </c>
      <c r="AN13" s="3"/>
      <c r="AO13" s="4"/>
      <c r="AP13" s="56">
        <v>46220.0</v>
      </c>
      <c r="AQ13" s="3"/>
      <c r="AR13" s="4"/>
      <c r="AS13" s="48"/>
      <c r="AT13" s="3"/>
      <c r="AU13" s="4"/>
      <c r="AV13" s="55" t="s">
        <v>55</v>
      </c>
      <c r="AW13" s="3"/>
      <c r="AX13" s="4"/>
      <c r="AY13" s="48"/>
      <c r="AZ13" s="3"/>
      <c r="BA13" s="4"/>
      <c r="BB13" s="55" t="s">
        <v>158</v>
      </c>
      <c r="BC13" s="3"/>
      <c r="BD13" s="4"/>
      <c r="BE13" s="56">
        <v>46243.0</v>
      </c>
      <c r="BF13" s="3"/>
      <c r="BG13" s="4"/>
      <c r="BH13" s="48"/>
      <c r="BI13" s="3"/>
      <c r="BJ13" s="4"/>
      <c r="BK13" s="49"/>
      <c r="BL13" s="3"/>
      <c r="BM13" s="3"/>
      <c r="BN13" s="3"/>
      <c r="BO13" s="3"/>
      <c r="BP13" s="3"/>
      <c r="BQ13" s="4"/>
    </row>
    <row r="14" ht="240.0" customHeight="1">
      <c r="A14" s="47">
        <v>2.0</v>
      </c>
      <c r="B14" s="49" t="s">
        <v>163</v>
      </c>
      <c r="C14" s="3"/>
      <c r="D14" s="4"/>
      <c r="E14" s="49" t="s">
        <v>164</v>
      </c>
      <c r="F14" s="3"/>
      <c r="G14" s="3"/>
      <c r="H14" s="3"/>
      <c r="I14" s="4"/>
      <c r="J14" s="49" t="s">
        <v>165</v>
      </c>
      <c r="K14" s="3"/>
      <c r="L14" s="3"/>
      <c r="M14" s="3"/>
      <c r="N14" s="3"/>
      <c r="O14" s="3"/>
      <c r="P14" s="4"/>
      <c r="Q14" s="49" t="s">
        <v>167</v>
      </c>
      <c r="R14" s="3"/>
      <c r="S14" s="3"/>
      <c r="T14" s="3"/>
      <c r="U14" s="3"/>
      <c r="V14" s="3"/>
      <c r="W14" s="4"/>
      <c r="X14" s="49" t="s">
        <v>168</v>
      </c>
      <c r="Y14" s="3"/>
      <c r="Z14" s="3"/>
      <c r="AA14" s="3"/>
      <c r="AB14" s="3"/>
      <c r="AC14" s="3"/>
      <c r="AD14" s="4"/>
      <c r="AE14" s="48" t="s">
        <v>156</v>
      </c>
      <c r="AF14" s="4"/>
      <c r="AG14" s="54" t="s">
        <v>55</v>
      </c>
      <c r="AH14" s="3"/>
      <c r="AI14" s="4"/>
      <c r="AJ14" s="48"/>
      <c r="AK14" s="3"/>
      <c r="AL14" s="4"/>
      <c r="AM14" s="55" t="s">
        <v>158</v>
      </c>
      <c r="AN14" s="3"/>
      <c r="AO14" s="4"/>
      <c r="AP14" s="56">
        <v>46220.0</v>
      </c>
      <c r="AQ14" s="3"/>
      <c r="AR14" s="4"/>
      <c r="AS14" s="48"/>
      <c r="AT14" s="3"/>
      <c r="AU14" s="4"/>
      <c r="AV14" s="55" t="s">
        <v>55</v>
      </c>
      <c r="AW14" s="3"/>
      <c r="AX14" s="4"/>
      <c r="AY14" s="48"/>
      <c r="AZ14" s="3"/>
      <c r="BA14" s="4"/>
      <c r="BB14" s="55" t="s">
        <v>158</v>
      </c>
      <c r="BC14" s="3"/>
      <c r="BD14" s="4"/>
      <c r="BE14" s="56">
        <v>46243.0</v>
      </c>
      <c r="BF14" s="3"/>
      <c r="BG14" s="4"/>
      <c r="BH14" s="48"/>
      <c r="BI14" s="3"/>
      <c r="BJ14" s="4"/>
      <c r="BK14" s="49"/>
      <c r="BL14" s="3"/>
      <c r="BM14" s="3"/>
      <c r="BN14" s="3"/>
      <c r="BO14" s="3"/>
      <c r="BP14" s="3"/>
      <c r="BQ14" s="4"/>
    </row>
    <row r="15" ht="127.5" customHeight="1">
      <c r="A15" s="47">
        <v>3.0</v>
      </c>
      <c r="B15" s="49" t="s">
        <v>172</v>
      </c>
      <c r="C15" s="3"/>
      <c r="D15" s="4"/>
      <c r="E15" s="49" t="s">
        <v>173</v>
      </c>
      <c r="F15" s="3"/>
      <c r="G15" s="3"/>
      <c r="H15" s="3"/>
      <c r="I15" s="4"/>
      <c r="J15" s="49" t="s">
        <v>175</v>
      </c>
      <c r="K15" s="3"/>
      <c r="L15" s="3"/>
      <c r="M15" s="3"/>
      <c r="N15" s="3"/>
      <c r="O15" s="3"/>
      <c r="P15" s="4"/>
      <c r="Q15" s="49" t="s">
        <v>176</v>
      </c>
      <c r="R15" s="3"/>
      <c r="S15" s="3"/>
      <c r="T15" s="3"/>
      <c r="U15" s="3"/>
      <c r="V15" s="3"/>
      <c r="W15" s="4"/>
      <c r="X15" s="49" t="s">
        <v>178</v>
      </c>
      <c r="Y15" s="3"/>
      <c r="Z15" s="3"/>
      <c r="AA15" s="3"/>
      <c r="AB15" s="3"/>
      <c r="AC15" s="3"/>
      <c r="AD15" s="4"/>
      <c r="AE15" s="48" t="s">
        <v>179</v>
      </c>
      <c r="AF15" s="4"/>
      <c r="AG15" s="54" t="s">
        <v>55</v>
      </c>
      <c r="AH15" s="3"/>
      <c r="AI15" s="4"/>
      <c r="AJ15" s="48"/>
      <c r="AK15" s="3"/>
      <c r="AL15" s="4"/>
      <c r="AM15" s="55" t="s">
        <v>158</v>
      </c>
      <c r="AN15" s="3"/>
      <c r="AO15" s="4"/>
      <c r="AP15" s="56">
        <v>46220.0</v>
      </c>
      <c r="AQ15" s="3"/>
      <c r="AR15" s="4"/>
      <c r="AS15" s="48"/>
      <c r="AT15" s="3"/>
      <c r="AU15" s="4"/>
      <c r="AV15" s="55" t="s">
        <v>55</v>
      </c>
      <c r="AW15" s="3"/>
      <c r="AX15" s="4"/>
      <c r="AY15" s="48"/>
      <c r="AZ15" s="3"/>
      <c r="BA15" s="4"/>
      <c r="BB15" s="55" t="s">
        <v>158</v>
      </c>
      <c r="BC15" s="3"/>
      <c r="BD15" s="4"/>
      <c r="BE15" s="56">
        <v>46243.0</v>
      </c>
      <c r="BF15" s="3"/>
      <c r="BG15" s="4"/>
      <c r="BH15" s="48"/>
      <c r="BI15" s="3"/>
      <c r="BJ15" s="4"/>
      <c r="BK15" s="49"/>
      <c r="BL15" s="3"/>
      <c r="BM15" s="3"/>
      <c r="BN15" s="3"/>
      <c r="BO15" s="3"/>
      <c r="BP15" s="3"/>
      <c r="BQ15" s="4"/>
    </row>
    <row r="16" ht="127.5" customHeight="1">
      <c r="A16" s="47">
        <v>4.0</v>
      </c>
      <c r="B16" s="49" t="s">
        <v>184</v>
      </c>
      <c r="C16" s="3"/>
      <c r="D16" s="4"/>
      <c r="E16" s="49" t="s">
        <v>185</v>
      </c>
      <c r="F16" s="3"/>
      <c r="G16" s="3"/>
      <c r="H16" s="3"/>
      <c r="I16" s="4"/>
      <c r="J16" s="49" t="s">
        <v>187</v>
      </c>
      <c r="K16" s="3"/>
      <c r="L16" s="3"/>
      <c r="M16" s="3"/>
      <c r="N16" s="3"/>
      <c r="O16" s="3"/>
      <c r="P16" s="4"/>
      <c r="Q16" s="49" t="s">
        <v>188</v>
      </c>
      <c r="R16" s="3"/>
      <c r="S16" s="3"/>
      <c r="T16" s="3"/>
      <c r="U16" s="3"/>
      <c r="V16" s="3"/>
      <c r="W16" s="4"/>
      <c r="X16" s="49" t="s">
        <v>190</v>
      </c>
      <c r="Y16" s="3"/>
      <c r="Z16" s="3"/>
      <c r="AA16" s="3"/>
      <c r="AB16" s="3"/>
      <c r="AC16" s="3"/>
      <c r="AD16" s="4"/>
      <c r="AE16" s="48" t="s">
        <v>179</v>
      </c>
      <c r="AF16" s="4"/>
      <c r="AG16" s="54" t="s">
        <v>55</v>
      </c>
      <c r="AH16" s="3"/>
      <c r="AI16" s="4"/>
      <c r="AJ16" s="48"/>
      <c r="AK16" s="3"/>
      <c r="AL16" s="4"/>
      <c r="AM16" s="55" t="s">
        <v>158</v>
      </c>
      <c r="AN16" s="3"/>
      <c r="AO16" s="4"/>
      <c r="AP16" s="56">
        <v>46220.0</v>
      </c>
      <c r="AQ16" s="3"/>
      <c r="AR16" s="4"/>
      <c r="AS16" s="48"/>
      <c r="AT16" s="3"/>
      <c r="AU16" s="4"/>
      <c r="AV16" s="55" t="s">
        <v>55</v>
      </c>
      <c r="AW16" s="3"/>
      <c r="AX16" s="4"/>
      <c r="AY16" s="48"/>
      <c r="AZ16" s="3"/>
      <c r="BA16" s="4"/>
      <c r="BB16" s="55" t="s">
        <v>158</v>
      </c>
      <c r="BC16" s="3"/>
      <c r="BD16" s="4"/>
      <c r="BE16" s="56">
        <v>46243.0</v>
      </c>
      <c r="BF16" s="3"/>
      <c r="BG16" s="4"/>
      <c r="BH16" s="48"/>
      <c r="BI16" s="3"/>
      <c r="BJ16" s="4"/>
      <c r="BK16" s="49"/>
      <c r="BL16" s="3"/>
      <c r="BM16" s="3"/>
      <c r="BN16" s="3"/>
      <c r="BO16" s="3"/>
      <c r="BP16" s="3"/>
      <c r="BQ16" s="4"/>
    </row>
    <row r="17" ht="255.75" customHeight="1">
      <c r="A17" s="47">
        <v>5.0</v>
      </c>
      <c r="B17" s="49" t="s">
        <v>195</v>
      </c>
      <c r="C17" s="3"/>
      <c r="D17" s="4"/>
      <c r="E17" s="49" t="s">
        <v>196</v>
      </c>
      <c r="F17" s="3"/>
      <c r="G17" s="3"/>
      <c r="H17" s="3"/>
      <c r="I17" s="4"/>
      <c r="J17" s="49" t="s">
        <v>198</v>
      </c>
      <c r="K17" s="3"/>
      <c r="L17" s="3"/>
      <c r="M17" s="3"/>
      <c r="N17" s="3"/>
      <c r="O17" s="3"/>
      <c r="P17" s="4"/>
      <c r="Q17" s="49" t="s">
        <v>199</v>
      </c>
      <c r="R17" s="3"/>
      <c r="S17" s="3"/>
      <c r="T17" s="3"/>
      <c r="U17" s="3"/>
      <c r="V17" s="3"/>
      <c r="W17" s="4"/>
      <c r="X17" s="49" t="s">
        <v>201</v>
      </c>
      <c r="Y17" s="3"/>
      <c r="Z17" s="3"/>
      <c r="AA17" s="3"/>
      <c r="AB17" s="3"/>
      <c r="AC17" s="3"/>
      <c r="AD17" s="4"/>
      <c r="AE17" s="48" t="s">
        <v>179</v>
      </c>
      <c r="AF17" s="4"/>
      <c r="AG17" s="54" t="s">
        <v>55</v>
      </c>
      <c r="AH17" s="3"/>
      <c r="AI17" s="4"/>
      <c r="AJ17" s="48"/>
      <c r="AK17" s="3"/>
      <c r="AL17" s="4"/>
      <c r="AM17" s="55" t="s">
        <v>158</v>
      </c>
      <c r="AN17" s="3"/>
      <c r="AO17" s="4"/>
      <c r="AP17" s="56">
        <v>46220.0</v>
      </c>
      <c r="AQ17" s="3"/>
      <c r="AR17" s="4"/>
      <c r="AS17" s="48"/>
      <c r="AT17" s="3"/>
      <c r="AU17" s="4"/>
      <c r="AV17" s="55" t="s">
        <v>55</v>
      </c>
      <c r="AW17" s="3"/>
      <c r="AX17" s="4"/>
      <c r="AY17" s="48"/>
      <c r="AZ17" s="3"/>
      <c r="BA17" s="4"/>
      <c r="BB17" s="55" t="s">
        <v>158</v>
      </c>
      <c r="BC17" s="3"/>
      <c r="BD17" s="4"/>
      <c r="BE17" s="56">
        <v>46243.0</v>
      </c>
      <c r="BF17" s="3"/>
      <c r="BG17" s="4"/>
      <c r="BH17" s="48"/>
      <c r="BI17" s="3"/>
      <c r="BJ17" s="4"/>
      <c r="BK17" s="49"/>
      <c r="BL17" s="3"/>
      <c r="BM17" s="3"/>
      <c r="BN17" s="3"/>
      <c r="BO17" s="3"/>
      <c r="BP17" s="3"/>
      <c r="BQ17" s="4"/>
    </row>
    <row r="18" ht="144.0" customHeight="1">
      <c r="A18" s="47">
        <v>6.0</v>
      </c>
      <c r="B18" s="49" t="s">
        <v>207</v>
      </c>
      <c r="C18" s="3"/>
      <c r="D18" s="4"/>
      <c r="E18" s="49" t="s">
        <v>209</v>
      </c>
      <c r="F18" s="3"/>
      <c r="G18" s="3"/>
      <c r="H18" s="3"/>
      <c r="I18" s="4"/>
      <c r="J18" s="49" t="s">
        <v>210</v>
      </c>
      <c r="K18" s="3"/>
      <c r="L18" s="3"/>
      <c r="M18" s="3"/>
      <c r="N18" s="3"/>
      <c r="O18" s="3"/>
      <c r="P18" s="4"/>
      <c r="Q18" s="49" t="s">
        <v>212</v>
      </c>
      <c r="R18" s="3"/>
      <c r="S18" s="3"/>
      <c r="T18" s="3"/>
      <c r="U18" s="3"/>
      <c r="V18" s="3"/>
      <c r="W18" s="4"/>
      <c r="X18" s="49" t="s">
        <v>213</v>
      </c>
      <c r="Y18" s="3"/>
      <c r="Z18" s="3"/>
      <c r="AA18" s="3"/>
      <c r="AB18" s="3"/>
      <c r="AC18" s="3"/>
      <c r="AD18" s="4"/>
      <c r="AE18" s="48" t="s">
        <v>179</v>
      </c>
      <c r="AF18" s="4"/>
      <c r="AG18" s="54" t="s">
        <v>55</v>
      </c>
      <c r="AH18" s="3"/>
      <c r="AI18" s="4"/>
      <c r="AJ18" s="48"/>
      <c r="AK18" s="3"/>
      <c r="AL18" s="4"/>
      <c r="AM18" s="55" t="s">
        <v>158</v>
      </c>
      <c r="AN18" s="3"/>
      <c r="AO18" s="4"/>
      <c r="AP18" s="56">
        <v>46220.0</v>
      </c>
      <c r="AQ18" s="3"/>
      <c r="AR18" s="4"/>
      <c r="AS18" s="48"/>
      <c r="AT18" s="3"/>
      <c r="AU18" s="4"/>
      <c r="AV18" s="54" t="s">
        <v>55</v>
      </c>
      <c r="AW18" s="3"/>
      <c r="AX18" s="4"/>
      <c r="AY18" s="48"/>
      <c r="AZ18" s="3"/>
      <c r="BA18" s="4"/>
      <c r="BB18" s="55" t="s">
        <v>158</v>
      </c>
      <c r="BC18" s="3"/>
      <c r="BD18" s="4"/>
      <c r="BE18" s="56">
        <v>46243.0</v>
      </c>
      <c r="BF18" s="3"/>
      <c r="BG18" s="4"/>
      <c r="BH18" s="48"/>
      <c r="BI18" s="3"/>
      <c r="BJ18" s="4"/>
      <c r="BK18" s="49"/>
      <c r="BL18" s="3"/>
      <c r="BM18" s="3"/>
      <c r="BN18" s="3"/>
      <c r="BO18" s="3"/>
      <c r="BP18" s="3"/>
      <c r="BQ18" s="4"/>
    </row>
    <row r="19" ht="384.0" customHeight="1">
      <c r="A19" s="47">
        <v>7.0</v>
      </c>
      <c r="B19" s="49" t="s">
        <v>218</v>
      </c>
      <c r="C19" s="3"/>
      <c r="D19" s="4"/>
      <c r="E19" s="49" t="s">
        <v>219</v>
      </c>
      <c r="F19" s="3"/>
      <c r="G19" s="3"/>
      <c r="H19" s="3"/>
      <c r="I19" s="4"/>
      <c r="J19" s="49" t="s">
        <v>220</v>
      </c>
      <c r="K19" s="3"/>
      <c r="L19" s="3"/>
      <c r="M19" s="3"/>
      <c r="N19" s="3"/>
      <c r="O19" s="3"/>
      <c r="P19" s="4"/>
      <c r="Q19" s="49" t="s">
        <v>222</v>
      </c>
      <c r="R19" s="3"/>
      <c r="S19" s="3"/>
      <c r="T19" s="3"/>
      <c r="U19" s="3"/>
      <c r="V19" s="3"/>
      <c r="W19" s="4"/>
      <c r="X19" s="49" t="s">
        <v>223</v>
      </c>
      <c r="Y19" s="3"/>
      <c r="Z19" s="3"/>
      <c r="AA19" s="3"/>
      <c r="AB19" s="3"/>
      <c r="AC19" s="3"/>
      <c r="AD19" s="4"/>
      <c r="AE19" s="48" t="s">
        <v>179</v>
      </c>
      <c r="AF19" s="4"/>
      <c r="AG19" s="54" t="s">
        <v>55</v>
      </c>
      <c r="AH19" s="3"/>
      <c r="AI19" s="4"/>
      <c r="AJ19" s="48"/>
      <c r="AK19" s="3"/>
      <c r="AL19" s="4"/>
      <c r="AM19" s="55" t="s">
        <v>158</v>
      </c>
      <c r="AN19" s="3"/>
      <c r="AO19" s="4"/>
      <c r="AP19" s="56">
        <v>46220.0</v>
      </c>
      <c r="AQ19" s="3"/>
      <c r="AR19" s="4"/>
      <c r="AS19" s="48"/>
      <c r="AT19" s="3"/>
      <c r="AU19" s="4"/>
      <c r="AV19" s="54" t="s">
        <v>55</v>
      </c>
      <c r="AW19" s="3"/>
      <c r="AX19" s="4"/>
      <c r="AY19" s="48"/>
      <c r="AZ19" s="3"/>
      <c r="BA19" s="4"/>
      <c r="BB19" s="55" t="s">
        <v>158</v>
      </c>
      <c r="BC19" s="3"/>
      <c r="BD19" s="4"/>
      <c r="BE19" s="56">
        <v>46243.0</v>
      </c>
      <c r="BF19" s="3"/>
      <c r="BG19" s="4"/>
      <c r="BH19" s="48"/>
      <c r="BI19" s="3"/>
      <c r="BJ19" s="4"/>
      <c r="BK19" s="49"/>
      <c r="BL19" s="3"/>
      <c r="BM19" s="3"/>
      <c r="BN19" s="3"/>
      <c r="BO19" s="3"/>
      <c r="BP19" s="3"/>
      <c r="BQ19" s="4"/>
    </row>
    <row r="20" ht="144.0" customHeight="1">
      <c r="A20" s="47">
        <v>8.0</v>
      </c>
      <c r="B20" s="49" t="s">
        <v>227</v>
      </c>
      <c r="C20" s="3"/>
      <c r="D20" s="4"/>
      <c r="E20" s="49" t="s">
        <v>229</v>
      </c>
      <c r="F20" s="3"/>
      <c r="G20" s="3"/>
      <c r="H20" s="3"/>
      <c r="I20" s="4"/>
      <c r="J20" s="49" t="s">
        <v>230</v>
      </c>
      <c r="K20" s="3"/>
      <c r="L20" s="3"/>
      <c r="M20" s="3"/>
      <c r="N20" s="3"/>
      <c r="O20" s="3"/>
      <c r="P20" s="4"/>
      <c r="Q20" s="49" t="s">
        <v>231</v>
      </c>
      <c r="R20" s="3"/>
      <c r="S20" s="3"/>
      <c r="T20" s="3"/>
      <c r="U20" s="3"/>
      <c r="V20" s="3"/>
      <c r="W20" s="4"/>
      <c r="X20" s="49" t="s">
        <v>233</v>
      </c>
      <c r="Y20" s="3"/>
      <c r="Z20" s="3"/>
      <c r="AA20" s="3"/>
      <c r="AB20" s="3"/>
      <c r="AC20" s="3"/>
      <c r="AD20" s="4"/>
      <c r="AE20" s="48" t="s">
        <v>156</v>
      </c>
      <c r="AF20" s="4"/>
      <c r="AG20" s="54" t="s">
        <v>55</v>
      </c>
      <c r="AH20" s="3"/>
      <c r="AI20" s="4"/>
      <c r="AJ20" s="48"/>
      <c r="AK20" s="3"/>
      <c r="AL20" s="4"/>
      <c r="AM20" s="55" t="s">
        <v>158</v>
      </c>
      <c r="AN20" s="3"/>
      <c r="AO20" s="4"/>
      <c r="AP20" s="56">
        <v>46220.0</v>
      </c>
      <c r="AQ20" s="3"/>
      <c r="AR20" s="4"/>
      <c r="AS20" s="48"/>
      <c r="AT20" s="3"/>
      <c r="AU20" s="4"/>
      <c r="AV20" s="54" t="s">
        <v>55</v>
      </c>
      <c r="AW20" s="3"/>
      <c r="AX20" s="4"/>
      <c r="AY20" s="48"/>
      <c r="AZ20" s="3"/>
      <c r="BA20" s="4"/>
      <c r="BB20" s="55" t="s">
        <v>158</v>
      </c>
      <c r="BC20" s="3"/>
      <c r="BD20" s="4"/>
      <c r="BE20" s="56">
        <v>46243.0</v>
      </c>
      <c r="BF20" s="3"/>
      <c r="BG20" s="4"/>
      <c r="BH20" s="48"/>
      <c r="BI20" s="3"/>
      <c r="BJ20" s="4"/>
      <c r="BK20" s="49" t="s">
        <v>237</v>
      </c>
      <c r="BL20" s="3"/>
      <c r="BM20" s="3"/>
      <c r="BN20" s="3"/>
      <c r="BO20" s="3"/>
      <c r="BP20" s="3"/>
      <c r="BQ20" s="4"/>
    </row>
    <row r="21" ht="22.5" customHeight="1">
      <c r="A21" s="24" t="s">
        <v>239</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4"/>
    </row>
    <row r="22" ht="144.0" customHeight="1">
      <c r="A22" s="47">
        <v>9.0</v>
      </c>
      <c r="B22" s="49" t="s">
        <v>244</v>
      </c>
      <c r="C22" s="3"/>
      <c r="D22" s="4"/>
      <c r="E22" s="49" t="s">
        <v>245</v>
      </c>
      <c r="F22" s="3"/>
      <c r="G22" s="3"/>
      <c r="H22" s="3"/>
      <c r="I22" s="4"/>
      <c r="J22" s="49" t="s">
        <v>246</v>
      </c>
      <c r="K22" s="3"/>
      <c r="L22" s="3"/>
      <c r="M22" s="3"/>
      <c r="N22" s="3"/>
      <c r="O22" s="3"/>
      <c r="P22" s="4"/>
      <c r="Q22" s="49" t="s">
        <v>248</v>
      </c>
      <c r="R22" s="3"/>
      <c r="S22" s="3"/>
      <c r="T22" s="3"/>
      <c r="U22" s="3"/>
      <c r="V22" s="3"/>
      <c r="W22" s="4"/>
      <c r="X22" s="49" t="s">
        <v>249</v>
      </c>
      <c r="Y22" s="3"/>
      <c r="Z22" s="3"/>
      <c r="AA22" s="3"/>
      <c r="AB22" s="3"/>
      <c r="AC22" s="3"/>
      <c r="AD22" s="4"/>
      <c r="AE22" s="48" t="s">
        <v>179</v>
      </c>
      <c r="AF22" s="4"/>
      <c r="AG22" s="54" t="s">
        <v>55</v>
      </c>
      <c r="AH22" s="3"/>
      <c r="AI22" s="4"/>
      <c r="AJ22" s="48"/>
      <c r="AK22" s="3"/>
      <c r="AL22" s="4"/>
      <c r="AM22" s="55" t="s">
        <v>158</v>
      </c>
      <c r="AN22" s="3"/>
      <c r="AO22" s="4"/>
      <c r="AP22" s="56">
        <v>46220.0</v>
      </c>
      <c r="AQ22" s="3"/>
      <c r="AR22" s="4"/>
      <c r="AS22" s="48"/>
      <c r="AT22" s="3"/>
      <c r="AU22" s="4"/>
      <c r="AV22" s="54" t="s">
        <v>55</v>
      </c>
      <c r="AW22" s="3"/>
      <c r="AX22" s="4"/>
      <c r="AY22" s="48"/>
      <c r="AZ22" s="3"/>
      <c r="BA22" s="4"/>
      <c r="BB22" s="55" t="s">
        <v>158</v>
      </c>
      <c r="BC22" s="3"/>
      <c r="BD22" s="4"/>
      <c r="BE22" s="56">
        <v>46243.0</v>
      </c>
      <c r="BF22" s="3"/>
      <c r="BG22" s="4"/>
      <c r="BH22" s="48"/>
      <c r="BI22" s="3"/>
      <c r="BJ22" s="4"/>
      <c r="BK22" s="49"/>
      <c r="BL22" s="3"/>
      <c r="BM22" s="3"/>
      <c r="BN22" s="3"/>
      <c r="BO22" s="3"/>
      <c r="BP22" s="3"/>
      <c r="BQ22" s="4"/>
    </row>
    <row r="23" ht="144.0" customHeight="1">
      <c r="A23" s="47">
        <v>10.0</v>
      </c>
      <c r="B23" s="49" t="s">
        <v>256</v>
      </c>
      <c r="C23" s="3"/>
      <c r="D23" s="4"/>
      <c r="E23" s="49" t="s">
        <v>257</v>
      </c>
      <c r="F23" s="3"/>
      <c r="G23" s="3"/>
      <c r="H23" s="3"/>
      <c r="I23" s="4"/>
      <c r="J23" s="49" t="s">
        <v>246</v>
      </c>
      <c r="K23" s="3"/>
      <c r="L23" s="3"/>
      <c r="M23" s="3"/>
      <c r="N23" s="3"/>
      <c r="O23" s="3"/>
      <c r="P23" s="4"/>
      <c r="Q23" s="49" t="s">
        <v>259</v>
      </c>
      <c r="R23" s="3"/>
      <c r="S23" s="3"/>
      <c r="T23" s="3"/>
      <c r="U23" s="3"/>
      <c r="V23" s="3"/>
      <c r="W23" s="4"/>
      <c r="X23" s="49" t="s">
        <v>261</v>
      </c>
      <c r="Y23" s="3"/>
      <c r="Z23" s="3"/>
      <c r="AA23" s="3"/>
      <c r="AB23" s="3"/>
      <c r="AC23" s="3"/>
      <c r="AD23" s="4"/>
      <c r="AE23" s="48" t="s">
        <v>179</v>
      </c>
      <c r="AF23" s="4"/>
      <c r="AG23" s="54" t="s">
        <v>55</v>
      </c>
      <c r="AH23" s="3"/>
      <c r="AI23" s="4"/>
      <c r="AJ23" s="48"/>
      <c r="AK23" s="3"/>
      <c r="AL23" s="4"/>
      <c r="AM23" s="55" t="s">
        <v>158</v>
      </c>
      <c r="AN23" s="3"/>
      <c r="AO23" s="4"/>
      <c r="AP23" s="56">
        <v>46220.0</v>
      </c>
      <c r="AQ23" s="3"/>
      <c r="AR23" s="4"/>
      <c r="AS23" s="48"/>
      <c r="AT23" s="3"/>
      <c r="AU23" s="4"/>
      <c r="AV23" s="54" t="s">
        <v>55</v>
      </c>
      <c r="AW23" s="3"/>
      <c r="AX23" s="4"/>
      <c r="AY23" s="48"/>
      <c r="AZ23" s="3"/>
      <c r="BA23" s="4"/>
      <c r="BB23" s="55" t="s">
        <v>158</v>
      </c>
      <c r="BC23" s="3"/>
      <c r="BD23" s="4"/>
      <c r="BE23" s="56">
        <v>46243.0</v>
      </c>
      <c r="BF23" s="3"/>
      <c r="BG23" s="4"/>
      <c r="BH23" s="48"/>
      <c r="BI23" s="3"/>
      <c r="BJ23" s="4"/>
      <c r="BK23" s="49"/>
      <c r="BL23" s="3"/>
      <c r="BM23" s="3"/>
      <c r="BN23" s="3"/>
      <c r="BO23" s="3"/>
      <c r="BP23" s="3"/>
      <c r="BQ23" s="4"/>
    </row>
    <row r="24" ht="111.75" customHeight="1">
      <c r="A24" s="47">
        <v>11.0</v>
      </c>
      <c r="B24" s="49" t="s">
        <v>264</v>
      </c>
      <c r="C24" s="3"/>
      <c r="D24" s="4"/>
      <c r="E24" s="49" t="s">
        <v>265</v>
      </c>
      <c r="F24" s="3"/>
      <c r="G24" s="3"/>
      <c r="H24" s="3"/>
      <c r="I24" s="4"/>
      <c r="J24" s="49" t="s">
        <v>246</v>
      </c>
      <c r="K24" s="3"/>
      <c r="L24" s="3"/>
      <c r="M24" s="3"/>
      <c r="N24" s="3"/>
      <c r="O24" s="3"/>
      <c r="P24" s="4"/>
      <c r="Q24" s="58" t="s">
        <v>267</v>
      </c>
      <c r="R24" s="3"/>
      <c r="S24" s="3"/>
      <c r="T24" s="3"/>
      <c r="U24" s="3"/>
      <c r="V24" s="3"/>
      <c r="W24" s="4"/>
      <c r="X24" s="49" t="s">
        <v>269</v>
      </c>
      <c r="Y24" s="3"/>
      <c r="Z24" s="3"/>
      <c r="AA24" s="3"/>
      <c r="AB24" s="3"/>
      <c r="AC24" s="3"/>
      <c r="AD24" s="4"/>
      <c r="AE24" s="48" t="s">
        <v>179</v>
      </c>
      <c r="AF24" s="4"/>
      <c r="AG24" s="54" t="s">
        <v>55</v>
      </c>
      <c r="AH24" s="3"/>
      <c r="AI24" s="4"/>
      <c r="AJ24" s="48"/>
      <c r="AK24" s="3"/>
      <c r="AL24" s="4"/>
      <c r="AM24" s="55" t="s">
        <v>158</v>
      </c>
      <c r="AN24" s="3"/>
      <c r="AO24" s="4"/>
      <c r="AP24" s="56">
        <v>46220.0</v>
      </c>
      <c r="AQ24" s="3"/>
      <c r="AR24" s="4"/>
      <c r="AS24" s="48"/>
      <c r="AT24" s="3"/>
      <c r="AU24" s="4"/>
      <c r="AV24" s="54" t="s">
        <v>55</v>
      </c>
      <c r="AW24" s="3"/>
      <c r="AX24" s="4"/>
      <c r="AY24" s="48"/>
      <c r="AZ24" s="3"/>
      <c r="BA24" s="4"/>
      <c r="BB24" s="55" t="s">
        <v>158</v>
      </c>
      <c r="BC24" s="3"/>
      <c r="BD24" s="4"/>
      <c r="BE24" s="56">
        <v>46243.0</v>
      </c>
      <c r="BF24" s="3"/>
      <c r="BG24" s="4"/>
      <c r="BH24" s="48"/>
      <c r="BI24" s="3"/>
      <c r="BJ24" s="4"/>
      <c r="BK24" s="49"/>
      <c r="BL24" s="3"/>
      <c r="BM24" s="3"/>
      <c r="BN24" s="3"/>
      <c r="BO24" s="3"/>
      <c r="BP24" s="3"/>
      <c r="BQ24" s="4"/>
    </row>
    <row r="25" ht="319.5" customHeight="1">
      <c r="A25" s="47">
        <v>12.0</v>
      </c>
      <c r="B25" s="49" t="s">
        <v>271</v>
      </c>
      <c r="C25" s="3"/>
      <c r="D25" s="4"/>
      <c r="E25" s="49" t="s">
        <v>272</v>
      </c>
      <c r="F25" s="3"/>
      <c r="G25" s="3"/>
      <c r="H25" s="3"/>
      <c r="I25" s="4"/>
      <c r="J25" s="49" t="s">
        <v>274</v>
      </c>
      <c r="K25" s="3"/>
      <c r="L25" s="3"/>
      <c r="M25" s="3"/>
      <c r="N25" s="3"/>
      <c r="O25" s="3"/>
      <c r="P25" s="4"/>
      <c r="Q25" s="49" t="s">
        <v>275</v>
      </c>
      <c r="R25" s="3"/>
      <c r="S25" s="3"/>
      <c r="T25" s="3"/>
      <c r="U25" s="3"/>
      <c r="V25" s="3"/>
      <c r="W25" s="4"/>
      <c r="X25" s="49" t="s">
        <v>276</v>
      </c>
      <c r="Y25" s="3"/>
      <c r="Z25" s="3"/>
      <c r="AA25" s="3"/>
      <c r="AB25" s="3"/>
      <c r="AC25" s="3"/>
      <c r="AD25" s="4"/>
      <c r="AE25" s="48" t="s">
        <v>179</v>
      </c>
      <c r="AF25" s="4"/>
      <c r="AG25" s="54" t="s">
        <v>55</v>
      </c>
      <c r="AH25" s="3"/>
      <c r="AI25" s="4"/>
      <c r="AJ25" s="48"/>
      <c r="AK25" s="3"/>
      <c r="AL25" s="4"/>
      <c r="AM25" s="55" t="s">
        <v>158</v>
      </c>
      <c r="AN25" s="3"/>
      <c r="AO25" s="4"/>
      <c r="AP25" s="56">
        <v>46220.0</v>
      </c>
      <c r="AQ25" s="3"/>
      <c r="AR25" s="4"/>
      <c r="AS25" s="48"/>
      <c r="AT25" s="3"/>
      <c r="AU25" s="4"/>
      <c r="AV25" s="54" t="s">
        <v>55</v>
      </c>
      <c r="AW25" s="3"/>
      <c r="AX25" s="4"/>
      <c r="AY25" s="48"/>
      <c r="AZ25" s="3"/>
      <c r="BA25" s="4"/>
      <c r="BB25" s="55" t="s">
        <v>158</v>
      </c>
      <c r="BC25" s="3"/>
      <c r="BD25" s="4"/>
      <c r="BE25" s="56">
        <v>46243.0</v>
      </c>
      <c r="BF25" s="3"/>
      <c r="BG25" s="4"/>
      <c r="BH25" s="48"/>
      <c r="BI25" s="3"/>
      <c r="BJ25" s="4"/>
      <c r="BK25" s="49"/>
      <c r="BL25" s="3"/>
      <c r="BM25" s="3"/>
      <c r="BN25" s="3"/>
      <c r="BO25" s="3"/>
      <c r="BP25" s="3"/>
      <c r="BQ25" s="4"/>
    </row>
    <row r="26" ht="111.75" customHeight="1">
      <c r="A26" s="47">
        <v>13.0</v>
      </c>
      <c r="B26" s="49" t="s">
        <v>280</v>
      </c>
      <c r="C26" s="3"/>
      <c r="D26" s="4"/>
      <c r="E26" s="49" t="s">
        <v>281</v>
      </c>
      <c r="F26" s="3"/>
      <c r="G26" s="3"/>
      <c r="H26" s="3"/>
      <c r="I26" s="4"/>
      <c r="J26" s="49" t="s">
        <v>246</v>
      </c>
      <c r="K26" s="3"/>
      <c r="L26" s="3"/>
      <c r="M26" s="3"/>
      <c r="N26" s="3"/>
      <c r="O26" s="3"/>
      <c r="P26" s="4"/>
      <c r="Q26" s="49" t="s">
        <v>286</v>
      </c>
      <c r="R26" s="3"/>
      <c r="S26" s="3"/>
      <c r="T26" s="3"/>
      <c r="U26" s="3"/>
      <c r="V26" s="3"/>
      <c r="W26" s="4"/>
      <c r="X26" s="49" t="s">
        <v>287</v>
      </c>
      <c r="Y26" s="3"/>
      <c r="Z26" s="3"/>
      <c r="AA26" s="3"/>
      <c r="AB26" s="3"/>
      <c r="AC26" s="3"/>
      <c r="AD26" s="4"/>
      <c r="AE26" s="48" t="s">
        <v>179</v>
      </c>
      <c r="AF26" s="4"/>
      <c r="AG26" s="54" t="s">
        <v>55</v>
      </c>
      <c r="AH26" s="3"/>
      <c r="AI26" s="4"/>
      <c r="AJ26" s="48"/>
      <c r="AK26" s="3"/>
      <c r="AL26" s="4"/>
      <c r="AM26" s="55" t="s">
        <v>158</v>
      </c>
      <c r="AN26" s="3"/>
      <c r="AO26" s="4"/>
      <c r="AP26" s="56">
        <v>46220.0</v>
      </c>
      <c r="AQ26" s="3"/>
      <c r="AR26" s="4"/>
      <c r="AS26" s="48"/>
      <c r="AT26" s="3"/>
      <c r="AU26" s="4"/>
      <c r="AV26" s="54" t="s">
        <v>55</v>
      </c>
      <c r="AW26" s="3"/>
      <c r="AX26" s="4"/>
      <c r="AY26" s="48"/>
      <c r="AZ26" s="3"/>
      <c r="BA26" s="4"/>
      <c r="BB26" s="55" t="s">
        <v>158</v>
      </c>
      <c r="BC26" s="3"/>
      <c r="BD26" s="4"/>
      <c r="BE26" s="56">
        <v>46243.0</v>
      </c>
      <c r="BF26" s="3"/>
      <c r="BG26" s="4"/>
      <c r="BH26" s="48"/>
      <c r="BI26" s="3"/>
      <c r="BJ26" s="4"/>
      <c r="BK26" s="49"/>
      <c r="BL26" s="3"/>
      <c r="BM26" s="3"/>
      <c r="BN26" s="3"/>
      <c r="BO26" s="3"/>
      <c r="BP26" s="3"/>
      <c r="BQ26" s="4"/>
    </row>
    <row r="27" ht="144.0" customHeight="1">
      <c r="A27" s="47">
        <v>14.0</v>
      </c>
      <c r="B27" s="49" t="s">
        <v>291</v>
      </c>
      <c r="C27" s="3"/>
      <c r="D27" s="4"/>
      <c r="E27" s="49" t="s">
        <v>292</v>
      </c>
      <c r="F27" s="3"/>
      <c r="G27" s="3"/>
      <c r="H27" s="3"/>
      <c r="I27" s="4"/>
      <c r="J27" s="49" t="s">
        <v>246</v>
      </c>
      <c r="K27" s="3"/>
      <c r="L27" s="3"/>
      <c r="M27" s="3"/>
      <c r="N27" s="3"/>
      <c r="O27" s="3"/>
      <c r="P27" s="4"/>
      <c r="Q27" s="49" t="s">
        <v>293</v>
      </c>
      <c r="R27" s="3"/>
      <c r="S27" s="3"/>
      <c r="T27" s="3"/>
      <c r="U27" s="3"/>
      <c r="V27" s="3"/>
      <c r="W27" s="4"/>
      <c r="X27" s="49" t="s">
        <v>294</v>
      </c>
      <c r="Y27" s="3"/>
      <c r="Z27" s="3"/>
      <c r="AA27" s="3"/>
      <c r="AB27" s="3"/>
      <c r="AC27" s="3"/>
      <c r="AD27" s="4"/>
      <c r="AE27" s="48" t="s">
        <v>179</v>
      </c>
      <c r="AF27" s="4"/>
      <c r="AG27" s="54" t="s">
        <v>55</v>
      </c>
      <c r="AH27" s="3"/>
      <c r="AI27" s="4"/>
      <c r="AJ27" s="48"/>
      <c r="AK27" s="3"/>
      <c r="AL27" s="4"/>
      <c r="AM27" s="55" t="s">
        <v>158</v>
      </c>
      <c r="AN27" s="3"/>
      <c r="AO27" s="4"/>
      <c r="AP27" s="56">
        <v>46220.0</v>
      </c>
      <c r="AQ27" s="3"/>
      <c r="AR27" s="4"/>
      <c r="AS27" s="48"/>
      <c r="AT27" s="3"/>
      <c r="AU27" s="4"/>
      <c r="AV27" s="54" t="s">
        <v>55</v>
      </c>
      <c r="AW27" s="3"/>
      <c r="AX27" s="4"/>
      <c r="AY27" s="48"/>
      <c r="AZ27" s="3"/>
      <c r="BA27" s="4"/>
      <c r="BB27" s="55" t="s">
        <v>158</v>
      </c>
      <c r="BC27" s="3"/>
      <c r="BD27" s="4"/>
      <c r="BE27" s="56">
        <v>46243.0</v>
      </c>
      <c r="BF27" s="3"/>
      <c r="BG27" s="4"/>
      <c r="BH27" s="48"/>
      <c r="BI27" s="3"/>
      <c r="BJ27" s="4"/>
      <c r="BK27" s="49" t="s">
        <v>237</v>
      </c>
      <c r="BL27" s="3"/>
      <c r="BM27" s="3"/>
      <c r="BN27" s="3"/>
      <c r="BO27" s="3"/>
      <c r="BP27" s="3"/>
      <c r="BQ27" s="4"/>
    </row>
    <row r="28" ht="22.5" customHeight="1">
      <c r="A28" s="24" t="s">
        <v>298</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4"/>
    </row>
    <row r="29" ht="96.0" customHeight="1">
      <c r="A29" s="47">
        <v>15.0</v>
      </c>
      <c r="B29" s="49" t="s">
        <v>305</v>
      </c>
      <c r="C29" s="3"/>
      <c r="D29" s="4"/>
      <c r="E29" s="49" t="s">
        <v>306</v>
      </c>
      <c r="F29" s="3"/>
      <c r="G29" s="3"/>
      <c r="H29" s="3"/>
      <c r="I29" s="4"/>
      <c r="J29" s="49" t="s">
        <v>246</v>
      </c>
      <c r="K29" s="3"/>
      <c r="L29" s="3"/>
      <c r="M29" s="3"/>
      <c r="N29" s="3"/>
      <c r="O29" s="3"/>
      <c r="P29" s="4"/>
      <c r="Q29" s="49" t="s">
        <v>308</v>
      </c>
      <c r="R29" s="3"/>
      <c r="S29" s="3"/>
      <c r="T29" s="3"/>
      <c r="U29" s="3"/>
      <c r="V29" s="3"/>
      <c r="W29" s="4"/>
      <c r="X29" s="49" t="s">
        <v>312</v>
      </c>
      <c r="Y29" s="3"/>
      <c r="Z29" s="3"/>
      <c r="AA29" s="3"/>
      <c r="AB29" s="3"/>
      <c r="AC29" s="3"/>
      <c r="AD29" s="4"/>
      <c r="AE29" s="48" t="s">
        <v>156</v>
      </c>
      <c r="AF29" s="4"/>
      <c r="AG29" s="54" t="s">
        <v>58</v>
      </c>
      <c r="AH29" s="3"/>
      <c r="AI29" s="4"/>
      <c r="AJ29" s="48"/>
      <c r="AK29" s="3"/>
      <c r="AL29" s="4"/>
      <c r="AM29" s="55" t="s">
        <v>158</v>
      </c>
      <c r="AN29" s="3"/>
      <c r="AO29" s="4"/>
      <c r="AP29" s="56">
        <v>46220.0</v>
      </c>
      <c r="AQ29" s="3"/>
      <c r="AR29" s="4"/>
      <c r="AS29" s="48"/>
      <c r="AT29" s="3"/>
      <c r="AU29" s="4"/>
      <c r="AV29" s="54" t="s">
        <v>58</v>
      </c>
      <c r="AW29" s="3"/>
      <c r="AX29" s="4"/>
      <c r="AY29" s="48"/>
      <c r="AZ29" s="3"/>
      <c r="BA29" s="4"/>
      <c r="BB29" s="55" t="s">
        <v>158</v>
      </c>
      <c r="BC29" s="3"/>
      <c r="BD29" s="4"/>
      <c r="BE29" s="56">
        <v>46243.0</v>
      </c>
      <c r="BF29" s="3"/>
      <c r="BG29" s="4"/>
      <c r="BH29" s="48"/>
      <c r="BI29" s="3"/>
      <c r="BJ29" s="4"/>
      <c r="BK29" s="49"/>
      <c r="BL29" s="3"/>
      <c r="BM29" s="3"/>
      <c r="BN29" s="3"/>
      <c r="BO29" s="3"/>
      <c r="BP29" s="3"/>
      <c r="BQ29" s="4"/>
    </row>
    <row r="30" ht="207.75" customHeight="1">
      <c r="A30" s="47">
        <v>16.0</v>
      </c>
      <c r="B30" s="49" t="s">
        <v>321</v>
      </c>
      <c r="C30" s="3"/>
      <c r="D30" s="4"/>
      <c r="E30" s="49" t="s">
        <v>322</v>
      </c>
      <c r="F30" s="3"/>
      <c r="G30" s="3"/>
      <c r="H30" s="3"/>
      <c r="I30" s="4"/>
      <c r="J30" s="49" t="s">
        <v>246</v>
      </c>
      <c r="K30" s="3"/>
      <c r="L30" s="3"/>
      <c r="M30" s="3"/>
      <c r="N30" s="3"/>
      <c r="O30" s="3"/>
      <c r="P30" s="4"/>
      <c r="Q30" s="49" t="s">
        <v>324</v>
      </c>
      <c r="R30" s="3"/>
      <c r="S30" s="3"/>
      <c r="T30" s="3"/>
      <c r="U30" s="3"/>
      <c r="V30" s="3"/>
      <c r="W30" s="4"/>
      <c r="X30" s="49" t="s">
        <v>328</v>
      </c>
      <c r="Y30" s="3"/>
      <c r="Z30" s="3"/>
      <c r="AA30" s="3"/>
      <c r="AB30" s="3"/>
      <c r="AC30" s="3"/>
      <c r="AD30" s="4"/>
      <c r="AE30" s="48" t="s">
        <v>156</v>
      </c>
      <c r="AF30" s="4"/>
      <c r="AG30" s="54" t="s">
        <v>55</v>
      </c>
      <c r="AH30" s="3"/>
      <c r="AI30" s="4"/>
      <c r="AJ30" s="48"/>
      <c r="AK30" s="3"/>
      <c r="AL30" s="4"/>
      <c r="AM30" s="55" t="s">
        <v>158</v>
      </c>
      <c r="AN30" s="3"/>
      <c r="AO30" s="4"/>
      <c r="AP30" s="56">
        <v>46220.0</v>
      </c>
      <c r="AQ30" s="3"/>
      <c r="AR30" s="4"/>
      <c r="AS30" s="48"/>
      <c r="AT30" s="3"/>
      <c r="AU30" s="4"/>
      <c r="AV30" s="54" t="s">
        <v>55</v>
      </c>
      <c r="AW30" s="3"/>
      <c r="AX30" s="4"/>
      <c r="AY30" s="48"/>
      <c r="AZ30" s="3"/>
      <c r="BA30" s="4"/>
      <c r="BB30" s="55" t="s">
        <v>158</v>
      </c>
      <c r="BC30" s="3"/>
      <c r="BD30" s="4"/>
      <c r="BE30" s="56">
        <v>46243.0</v>
      </c>
      <c r="BF30" s="3"/>
      <c r="BG30" s="4"/>
      <c r="BH30" s="48"/>
      <c r="BI30" s="3"/>
      <c r="BJ30" s="4"/>
      <c r="BK30" s="49"/>
      <c r="BL30" s="3"/>
      <c r="BM30" s="3"/>
      <c r="BN30" s="3"/>
      <c r="BO30" s="3"/>
      <c r="BP30" s="3"/>
      <c r="BQ30" s="4"/>
    </row>
    <row r="31" ht="271.5" customHeight="1">
      <c r="A31" s="47">
        <v>17.0</v>
      </c>
      <c r="B31" s="49" t="s">
        <v>336</v>
      </c>
      <c r="C31" s="3"/>
      <c r="D31" s="4"/>
      <c r="E31" s="49" t="s">
        <v>337</v>
      </c>
      <c r="F31" s="3"/>
      <c r="G31" s="3"/>
      <c r="H31" s="3"/>
      <c r="I31" s="4"/>
      <c r="J31" s="49" t="s">
        <v>246</v>
      </c>
      <c r="K31" s="3"/>
      <c r="L31" s="3"/>
      <c r="M31" s="3"/>
      <c r="N31" s="3"/>
      <c r="O31" s="3"/>
      <c r="P31" s="4"/>
      <c r="Q31" s="49" t="s">
        <v>338</v>
      </c>
      <c r="R31" s="3"/>
      <c r="S31" s="3"/>
      <c r="T31" s="3"/>
      <c r="U31" s="3"/>
      <c r="V31" s="3"/>
      <c r="W31" s="4"/>
      <c r="X31" s="49" t="s">
        <v>339</v>
      </c>
      <c r="Y31" s="3"/>
      <c r="Z31" s="3"/>
      <c r="AA31" s="3"/>
      <c r="AB31" s="3"/>
      <c r="AC31" s="3"/>
      <c r="AD31" s="4"/>
      <c r="AE31" s="48" t="s">
        <v>309</v>
      </c>
      <c r="AF31" s="4"/>
      <c r="AG31" s="54" t="s">
        <v>58</v>
      </c>
      <c r="AH31" s="3"/>
      <c r="AI31" s="4"/>
      <c r="AJ31" s="48"/>
      <c r="AK31" s="3"/>
      <c r="AL31" s="4"/>
      <c r="AM31" s="55" t="s">
        <v>158</v>
      </c>
      <c r="AN31" s="3"/>
      <c r="AO31" s="4"/>
      <c r="AP31" s="56">
        <v>46220.0</v>
      </c>
      <c r="AQ31" s="3"/>
      <c r="AR31" s="4"/>
      <c r="AS31" s="48"/>
      <c r="AT31" s="3"/>
      <c r="AU31" s="4"/>
      <c r="AV31" s="54" t="s">
        <v>58</v>
      </c>
      <c r="AW31" s="3"/>
      <c r="AX31" s="4"/>
      <c r="AY31" s="48"/>
      <c r="AZ31" s="3"/>
      <c r="BA31" s="4"/>
      <c r="BB31" s="55" t="s">
        <v>158</v>
      </c>
      <c r="BC31" s="3"/>
      <c r="BD31" s="4"/>
      <c r="BE31" s="56">
        <v>46243.0</v>
      </c>
      <c r="BF31" s="3"/>
      <c r="BG31" s="4"/>
      <c r="BH31" s="48"/>
      <c r="BI31" s="3"/>
      <c r="BJ31" s="4"/>
      <c r="BK31" s="49"/>
      <c r="BL31" s="3"/>
      <c r="BM31" s="3"/>
      <c r="BN31" s="3"/>
      <c r="BO31" s="3"/>
      <c r="BP31" s="3"/>
      <c r="BQ31" s="4"/>
    </row>
    <row r="32" ht="127.5" customHeight="1">
      <c r="A32" s="47">
        <v>18.0</v>
      </c>
      <c r="B32" s="49" t="s">
        <v>340</v>
      </c>
      <c r="C32" s="3"/>
      <c r="D32" s="4"/>
      <c r="E32" s="49" t="s">
        <v>341</v>
      </c>
      <c r="F32" s="3"/>
      <c r="G32" s="3"/>
      <c r="H32" s="3"/>
      <c r="I32" s="4"/>
      <c r="J32" s="49" t="s">
        <v>246</v>
      </c>
      <c r="K32" s="3"/>
      <c r="L32" s="3"/>
      <c r="M32" s="3"/>
      <c r="N32" s="3"/>
      <c r="O32" s="3"/>
      <c r="P32" s="4"/>
      <c r="Q32" s="49" t="s">
        <v>342</v>
      </c>
      <c r="R32" s="3"/>
      <c r="S32" s="3"/>
      <c r="T32" s="3"/>
      <c r="U32" s="3"/>
      <c r="V32" s="3"/>
      <c r="W32" s="4"/>
      <c r="X32" s="49" t="s">
        <v>343</v>
      </c>
      <c r="Y32" s="3"/>
      <c r="Z32" s="3"/>
      <c r="AA32" s="3"/>
      <c r="AB32" s="3"/>
      <c r="AC32" s="3"/>
      <c r="AD32" s="4"/>
      <c r="AE32" s="48" t="s">
        <v>156</v>
      </c>
      <c r="AF32" s="4"/>
      <c r="AG32" s="54" t="s">
        <v>58</v>
      </c>
      <c r="AH32" s="3"/>
      <c r="AI32" s="4"/>
      <c r="AJ32" s="48"/>
      <c r="AK32" s="3"/>
      <c r="AL32" s="4"/>
      <c r="AM32" s="55" t="s">
        <v>158</v>
      </c>
      <c r="AN32" s="3"/>
      <c r="AO32" s="4"/>
      <c r="AP32" s="56">
        <v>46220.0</v>
      </c>
      <c r="AQ32" s="3"/>
      <c r="AR32" s="4"/>
      <c r="AS32" s="48"/>
      <c r="AT32" s="3"/>
      <c r="AU32" s="4"/>
      <c r="AV32" s="54" t="s">
        <v>58</v>
      </c>
      <c r="AW32" s="3"/>
      <c r="AX32" s="4"/>
      <c r="AY32" s="48"/>
      <c r="AZ32" s="3"/>
      <c r="BA32" s="4"/>
      <c r="BB32" s="55" t="s">
        <v>158</v>
      </c>
      <c r="BC32" s="3"/>
      <c r="BD32" s="4"/>
      <c r="BE32" s="56">
        <v>46243.0</v>
      </c>
      <c r="BF32" s="3"/>
      <c r="BG32" s="4"/>
      <c r="BH32" s="48"/>
      <c r="BI32" s="3"/>
      <c r="BJ32" s="4"/>
      <c r="BK32" s="49"/>
      <c r="BL32" s="3"/>
      <c r="BM32" s="3"/>
      <c r="BN32" s="3"/>
      <c r="BO32" s="3"/>
      <c r="BP32" s="3"/>
      <c r="BQ32" s="4"/>
    </row>
    <row r="33" ht="127.5" customHeight="1">
      <c r="A33" s="47">
        <v>19.0</v>
      </c>
      <c r="B33" s="49" t="s">
        <v>344</v>
      </c>
      <c r="C33" s="3"/>
      <c r="D33" s="4"/>
      <c r="E33" s="49" t="s">
        <v>345</v>
      </c>
      <c r="F33" s="3"/>
      <c r="G33" s="3"/>
      <c r="H33" s="3"/>
      <c r="I33" s="4"/>
      <c r="J33" s="49" t="s">
        <v>246</v>
      </c>
      <c r="K33" s="3"/>
      <c r="L33" s="3"/>
      <c r="M33" s="3"/>
      <c r="N33" s="3"/>
      <c r="O33" s="3"/>
      <c r="P33" s="4"/>
      <c r="Q33" s="49" t="s">
        <v>346</v>
      </c>
      <c r="R33" s="3"/>
      <c r="S33" s="3"/>
      <c r="T33" s="3"/>
      <c r="U33" s="3"/>
      <c r="V33" s="3"/>
      <c r="W33" s="4"/>
      <c r="X33" s="49" t="s">
        <v>347</v>
      </c>
      <c r="Y33" s="3"/>
      <c r="Z33" s="3"/>
      <c r="AA33" s="3"/>
      <c r="AB33" s="3"/>
      <c r="AC33" s="3"/>
      <c r="AD33" s="4"/>
      <c r="AE33" s="48" t="s">
        <v>179</v>
      </c>
      <c r="AF33" s="4"/>
      <c r="AG33" s="54" t="s">
        <v>55</v>
      </c>
      <c r="AH33" s="3"/>
      <c r="AI33" s="4"/>
      <c r="AJ33" s="48"/>
      <c r="AK33" s="3"/>
      <c r="AL33" s="4"/>
      <c r="AM33" s="55" t="s">
        <v>158</v>
      </c>
      <c r="AN33" s="3"/>
      <c r="AO33" s="4"/>
      <c r="AP33" s="56">
        <v>46220.0</v>
      </c>
      <c r="AQ33" s="3"/>
      <c r="AR33" s="4"/>
      <c r="AS33" s="48"/>
      <c r="AT33" s="3"/>
      <c r="AU33" s="4"/>
      <c r="AV33" s="54" t="s">
        <v>55</v>
      </c>
      <c r="AW33" s="3"/>
      <c r="AX33" s="4"/>
      <c r="AY33" s="48"/>
      <c r="AZ33" s="3"/>
      <c r="BA33" s="4"/>
      <c r="BB33" s="55" t="s">
        <v>158</v>
      </c>
      <c r="BC33" s="3"/>
      <c r="BD33" s="4"/>
      <c r="BE33" s="56">
        <v>46243.0</v>
      </c>
      <c r="BF33" s="3"/>
      <c r="BG33" s="4"/>
      <c r="BH33" s="48"/>
      <c r="BI33" s="3"/>
      <c r="BJ33" s="4"/>
      <c r="BK33" s="49" t="s">
        <v>237</v>
      </c>
      <c r="BL33" s="3"/>
      <c r="BM33" s="3"/>
      <c r="BN33" s="3"/>
      <c r="BO33" s="3"/>
      <c r="BP33" s="3"/>
      <c r="BQ33" s="4"/>
    </row>
    <row r="34" ht="22.5" customHeight="1">
      <c r="A34" s="24" t="s">
        <v>348</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4"/>
    </row>
    <row r="35" ht="79.5" customHeight="1">
      <c r="A35" s="47">
        <v>20.0</v>
      </c>
      <c r="B35" s="49" t="s">
        <v>349</v>
      </c>
      <c r="C35" s="3"/>
      <c r="D35" s="4"/>
      <c r="E35" s="49" t="s">
        <v>350</v>
      </c>
      <c r="F35" s="3"/>
      <c r="G35" s="3"/>
      <c r="H35" s="3"/>
      <c r="I35" s="4"/>
      <c r="J35" s="49" t="s">
        <v>351</v>
      </c>
      <c r="K35" s="3"/>
      <c r="L35" s="3"/>
      <c r="M35" s="3"/>
      <c r="N35" s="3"/>
      <c r="O35" s="3"/>
      <c r="P35" s="4"/>
      <c r="Q35" s="49" t="s">
        <v>352</v>
      </c>
      <c r="R35" s="3"/>
      <c r="S35" s="3"/>
      <c r="T35" s="3"/>
      <c r="U35" s="3"/>
      <c r="V35" s="3"/>
      <c r="W35" s="4"/>
      <c r="X35" s="49" t="s">
        <v>353</v>
      </c>
      <c r="Y35" s="3"/>
      <c r="Z35" s="3"/>
      <c r="AA35" s="3"/>
      <c r="AB35" s="3"/>
      <c r="AC35" s="3"/>
      <c r="AD35" s="4"/>
      <c r="AE35" s="48" t="s">
        <v>179</v>
      </c>
      <c r="AF35" s="4"/>
      <c r="AG35" s="54" t="s">
        <v>55</v>
      </c>
      <c r="AH35" s="3"/>
      <c r="AI35" s="4"/>
      <c r="AJ35" s="48"/>
      <c r="AK35" s="3"/>
      <c r="AL35" s="4"/>
      <c r="AM35" s="55" t="s">
        <v>158</v>
      </c>
      <c r="AN35" s="3"/>
      <c r="AO35" s="4"/>
      <c r="AP35" s="56">
        <v>46220.0</v>
      </c>
      <c r="AQ35" s="3"/>
      <c r="AR35" s="4"/>
      <c r="AS35" s="48"/>
      <c r="AT35" s="3"/>
      <c r="AU35" s="4"/>
      <c r="AV35" s="54" t="s">
        <v>55</v>
      </c>
      <c r="AW35" s="3"/>
      <c r="AX35" s="4"/>
      <c r="AY35" s="48"/>
      <c r="AZ35" s="3"/>
      <c r="BA35" s="4"/>
      <c r="BB35" s="55" t="s">
        <v>158</v>
      </c>
      <c r="BC35" s="3"/>
      <c r="BD35" s="4"/>
      <c r="BE35" s="56">
        <v>46243.0</v>
      </c>
      <c r="BF35" s="3"/>
      <c r="BG35" s="4"/>
      <c r="BH35" s="48"/>
      <c r="BI35" s="3"/>
      <c r="BJ35" s="4"/>
      <c r="BK35" s="49"/>
      <c r="BL35" s="3"/>
      <c r="BM35" s="3"/>
      <c r="BN35" s="3"/>
      <c r="BO35" s="3"/>
      <c r="BP35" s="3"/>
      <c r="BQ35" s="4"/>
    </row>
    <row r="36" ht="144.0" customHeight="1">
      <c r="A36" s="47">
        <v>21.0</v>
      </c>
      <c r="B36" s="49" t="s">
        <v>354</v>
      </c>
      <c r="C36" s="3"/>
      <c r="D36" s="4"/>
      <c r="E36" s="49" t="s">
        <v>355</v>
      </c>
      <c r="F36" s="3"/>
      <c r="G36" s="3"/>
      <c r="H36" s="3"/>
      <c r="I36" s="4"/>
      <c r="J36" s="49" t="s">
        <v>356</v>
      </c>
      <c r="K36" s="3"/>
      <c r="L36" s="3"/>
      <c r="M36" s="3"/>
      <c r="N36" s="3"/>
      <c r="O36" s="3"/>
      <c r="P36" s="4"/>
      <c r="Q36" s="49" t="s">
        <v>357</v>
      </c>
      <c r="R36" s="3"/>
      <c r="S36" s="3"/>
      <c r="T36" s="3"/>
      <c r="U36" s="3"/>
      <c r="V36" s="3"/>
      <c r="W36" s="4"/>
      <c r="X36" s="49" t="s">
        <v>358</v>
      </c>
      <c r="Y36" s="3"/>
      <c r="Z36" s="3"/>
      <c r="AA36" s="3"/>
      <c r="AB36" s="3"/>
      <c r="AC36" s="3"/>
      <c r="AD36" s="4"/>
      <c r="AE36" s="48" t="s">
        <v>179</v>
      </c>
      <c r="AF36" s="4"/>
      <c r="AG36" s="54" t="s">
        <v>55</v>
      </c>
      <c r="AH36" s="3"/>
      <c r="AI36" s="4"/>
      <c r="AJ36" s="48"/>
      <c r="AK36" s="3"/>
      <c r="AL36" s="4"/>
      <c r="AM36" s="55" t="s">
        <v>158</v>
      </c>
      <c r="AN36" s="3"/>
      <c r="AO36" s="4"/>
      <c r="AP36" s="56">
        <v>46220.0</v>
      </c>
      <c r="AQ36" s="3"/>
      <c r="AR36" s="4"/>
      <c r="AS36" s="48"/>
      <c r="AT36" s="3"/>
      <c r="AU36" s="4"/>
      <c r="AV36" s="54" t="s">
        <v>55</v>
      </c>
      <c r="AW36" s="3"/>
      <c r="AX36" s="4"/>
      <c r="AY36" s="48"/>
      <c r="AZ36" s="3"/>
      <c r="BA36" s="4"/>
      <c r="BB36" s="55" t="s">
        <v>158</v>
      </c>
      <c r="BC36" s="3"/>
      <c r="BD36" s="4"/>
      <c r="BE36" s="56">
        <v>46243.0</v>
      </c>
      <c r="BF36" s="3"/>
      <c r="BG36" s="4"/>
      <c r="BH36" s="48"/>
      <c r="BI36" s="3"/>
      <c r="BJ36" s="4"/>
      <c r="BK36" s="49"/>
      <c r="BL36" s="3"/>
      <c r="BM36" s="3"/>
      <c r="BN36" s="3"/>
      <c r="BO36" s="3"/>
      <c r="BP36" s="3"/>
      <c r="BQ36" s="4"/>
    </row>
    <row r="37" ht="144.0" customHeight="1">
      <c r="A37" s="47">
        <v>22.0</v>
      </c>
      <c r="B37" s="49" t="s">
        <v>359</v>
      </c>
      <c r="C37" s="3"/>
      <c r="D37" s="4"/>
      <c r="E37" s="49" t="s">
        <v>360</v>
      </c>
      <c r="F37" s="3"/>
      <c r="G37" s="3"/>
      <c r="H37" s="3"/>
      <c r="I37" s="4"/>
      <c r="J37" s="49" t="s">
        <v>361</v>
      </c>
      <c r="K37" s="3"/>
      <c r="L37" s="3"/>
      <c r="M37" s="3"/>
      <c r="N37" s="3"/>
      <c r="O37" s="3"/>
      <c r="P37" s="4"/>
      <c r="Q37" s="49" t="s">
        <v>362</v>
      </c>
      <c r="R37" s="3"/>
      <c r="S37" s="3"/>
      <c r="T37" s="3"/>
      <c r="U37" s="3"/>
      <c r="V37" s="3"/>
      <c r="W37" s="4"/>
      <c r="X37" s="49" t="s">
        <v>363</v>
      </c>
      <c r="Y37" s="3"/>
      <c r="Z37" s="3"/>
      <c r="AA37" s="3"/>
      <c r="AB37" s="3"/>
      <c r="AC37" s="3"/>
      <c r="AD37" s="4"/>
      <c r="AE37" s="48" t="s">
        <v>179</v>
      </c>
      <c r="AF37" s="4"/>
      <c r="AG37" s="54" t="s">
        <v>55</v>
      </c>
      <c r="AH37" s="3"/>
      <c r="AI37" s="4"/>
      <c r="AJ37" s="48"/>
      <c r="AK37" s="3"/>
      <c r="AL37" s="4"/>
      <c r="AM37" s="55" t="s">
        <v>158</v>
      </c>
      <c r="AN37" s="3"/>
      <c r="AO37" s="4"/>
      <c r="AP37" s="56">
        <v>46220.0</v>
      </c>
      <c r="AQ37" s="3"/>
      <c r="AR37" s="4"/>
      <c r="AS37" s="48"/>
      <c r="AT37" s="3"/>
      <c r="AU37" s="4"/>
      <c r="AV37" s="54" t="s">
        <v>55</v>
      </c>
      <c r="AW37" s="3"/>
      <c r="AX37" s="4"/>
      <c r="AY37" s="48"/>
      <c r="AZ37" s="3"/>
      <c r="BA37" s="4"/>
      <c r="BB37" s="55" t="s">
        <v>158</v>
      </c>
      <c r="BC37" s="3"/>
      <c r="BD37" s="4"/>
      <c r="BE37" s="56">
        <v>46243.0</v>
      </c>
      <c r="BF37" s="3"/>
      <c r="BG37" s="4"/>
      <c r="BH37" s="48"/>
      <c r="BI37" s="3"/>
      <c r="BJ37" s="4"/>
      <c r="BK37" s="49"/>
      <c r="BL37" s="3"/>
      <c r="BM37" s="3"/>
      <c r="BN37" s="3"/>
      <c r="BO37" s="3"/>
      <c r="BP37" s="3"/>
      <c r="BQ37" s="4"/>
    </row>
    <row r="38" ht="144.0" customHeight="1">
      <c r="A38" s="47">
        <v>23.0</v>
      </c>
      <c r="B38" s="49" t="s">
        <v>364</v>
      </c>
      <c r="C38" s="3"/>
      <c r="D38" s="4"/>
      <c r="E38" s="49" t="s">
        <v>365</v>
      </c>
      <c r="F38" s="3"/>
      <c r="G38" s="3"/>
      <c r="H38" s="3"/>
      <c r="I38" s="4"/>
      <c r="J38" s="49" t="s">
        <v>366</v>
      </c>
      <c r="K38" s="3"/>
      <c r="L38" s="3"/>
      <c r="M38" s="3"/>
      <c r="N38" s="3"/>
      <c r="O38" s="3"/>
      <c r="P38" s="4"/>
      <c r="Q38" s="49" t="s">
        <v>367</v>
      </c>
      <c r="R38" s="3"/>
      <c r="S38" s="3"/>
      <c r="T38" s="3"/>
      <c r="U38" s="3"/>
      <c r="V38" s="3"/>
      <c r="W38" s="4"/>
      <c r="X38" s="49" t="s">
        <v>368</v>
      </c>
      <c r="Y38" s="3"/>
      <c r="Z38" s="3"/>
      <c r="AA38" s="3"/>
      <c r="AB38" s="3"/>
      <c r="AC38" s="3"/>
      <c r="AD38" s="4"/>
      <c r="AE38" s="48" t="s">
        <v>179</v>
      </c>
      <c r="AF38" s="4"/>
      <c r="AG38" s="54" t="s">
        <v>55</v>
      </c>
      <c r="AH38" s="3"/>
      <c r="AI38" s="4"/>
      <c r="AJ38" s="48"/>
      <c r="AK38" s="3"/>
      <c r="AL38" s="4"/>
      <c r="AM38" s="55" t="s">
        <v>158</v>
      </c>
      <c r="AN38" s="3"/>
      <c r="AO38" s="4"/>
      <c r="AP38" s="56">
        <v>46220.0</v>
      </c>
      <c r="AQ38" s="3"/>
      <c r="AR38" s="4"/>
      <c r="AS38" s="48"/>
      <c r="AT38" s="3"/>
      <c r="AU38" s="4"/>
      <c r="AV38" s="54" t="s">
        <v>55</v>
      </c>
      <c r="AW38" s="3"/>
      <c r="AX38" s="4"/>
      <c r="AY38" s="48"/>
      <c r="AZ38" s="3"/>
      <c r="BA38" s="4"/>
      <c r="BB38" s="55" t="s">
        <v>158</v>
      </c>
      <c r="BC38" s="3"/>
      <c r="BD38" s="4"/>
      <c r="BE38" s="56">
        <v>46243.0</v>
      </c>
      <c r="BF38" s="3"/>
      <c r="BG38" s="4"/>
      <c r="BH38" s="48"/>
      <c r="BI38" s="3"/>
      <c r="BJ38" s="4"/>
      <c r="BK38" s="49"/>
      <c r="BL38" s="3"/>
      <c r="BM38" s="3"/>
      <c r="BN38" s="3"/>
      <c r="BO38" s="3"/>
      <c r="BP38" s="3"/>
      <c r="BQ38" s="4"/>
    </row>
    <row r="39" ht="159.75" customHeight="1">
      <c r="A39" s="47">
        <v>24.0</v>
      </c>
      <c r="B39" s="49" t="s">
        <v>369</v>
      </c>
      <c r="C39" s="3"/>
      <c r="D39" s="4"/>
      <c r="E39" s="49" t="s">
        <v>370</v>
      </c>
      <c r="F39" s="3"/>
      <c r="G39" s="3"/>
      <c r="H39" s="3"/>
      <c r="I39" s="4"/>
      <c r="J39" s="49" t="s">
        <v>371</v>
      </c>
      <c r="K39" s="3"/>
      <c r="L39" s="3"/>
      <c r="M39" s="3"/>
      <c r="N39" s="3"/>
      <c r="O39" s="3"/>
      <c r="P39" s="4"/>
      <c r="Q39" s="49" t="s">
        <v>372</v>
      </c>
      <c r="R39" s="3"/>
      <c r="S39" s="3"/>
      <c r="T39" s="3"/>
      <c r="U39" s="3"/>
      <c r="V39" s="3"/>
      <c r="W39" s="4"/>
      <c r="X39" s="49" t="s">
        <v>373</v>
      </c>
      <c r="Y39" s="3"/>
      <c r="Z39" s="3"/>
      <c r="AA39" s="3"/>
      <c r="AB39" s="3"/>
      <c r="AC39" s="3"/>
      <c r="AD39" s="4"/>
      <c r="AE39" s="48" t="s">
        <v>179</v>
      </c>
      <c r="AF39" s="4"/>
      <c r="AG39" s="54" t="s">
        <v>55</v>
      </c>
      <c r="AH39" s="3"/>
      <c r="AI39" s="4"/>
      <c r="AJ39" s="48"/>
      <c r="AK39" s="3"/>
      <c r="AL39" s="4"/>
      <c r="AM39" s="55" t="s">
        <v>158</v>
      </c>
      <c r="AN39" s="3"/>
      <c r="AO39" s="4"/>
      <c r="AP39" s="56">
        <v>46220.0</v>
      </c>
      <c r="AQ39" s="3"/>
      <c r="AR39" s="4"/>
      <c r="AS39" s="48"/>
      <c r="AT39" s="3"/>
      <c r="AU39" s="4"/>
      <c r="AV39" s="54" t="s">
        <v>55</v>
      </c>
      <c r="AW39" s="3"/>
      <c r="AX39" s="4"/>
      <c r="AY39" s="48"/>
      <c r="AZ39" s="3"/>
      <c r="BA39" s="4"/>
      <c r="BB39" s="55" t="s">
        <v>158</v>
      </c>
      <c r="BC39" s="3"/>
      <c r="BD39" s="4"/>
      <c r="BE39" s="56">
        <v>46243.0</v>
      </c>
      <c r="BF39" s="3"/>
      <c r="BG39" s="4"/>
      <c r="BH39" s="48"/>
      <c r="BI39" s="3"/>
      <c r="BJ39" s="4"/>
      <c r="BK39" s="49"/>
      <c r="BL39" s="3"/>
      <c r="BM39" s="3"/>
      <c r="BN39" s="3"/>
      <c r="BO39" s="3"/>
      <c r="BP39" s="3"/>
      <c r="BQ39" s="4"/>
    </row>
    <row r="40" ht="79.5" customHeight="1">
      <c r="A40" s="47">
        <v>25.0</v>
      </c>
      <c r="B40" s="49" t="s">
        <v>374</v>
      </c>
      <c r="C40" s="3"/>
      <c r="D40" s="4"/>
      <c r="E40" s="49" t="s">
        <v>375</v>
      </c>
      <c r="F40" s="3"/>
      <c r="G40" s="3"/>
      <c r="H40" s="3"/>
      <c r="I40" s="4"/>
      <c r="J40" s="49" t="s">
        <v>376</v>
      </c>
      <c r="K40" s="3"/>
      <c r="L40" s="3"/>
      <c r="M40" s="3"/>
      <c r="N40" s="3"/>
      <c r="O40" s="3"/>
      <c r="P40" s="4"/>
      <c r="Q40" s="49" t="s">
        <v>377</v>
      </c>
      <c r="R40" s="3"/>
      <c r="S40" s="3"/>
      <c r="T40" s="3"/>
      <c r="U40" s="3"/>
      <c r="V40" s="3"/>
      <c r="W40" s="4"/>
      <c r="X40" s="49" t="s">
        <v>378</v>
      </c>
      <c r="Y40" s="3"/>
      <c r="Z40" s="3"/>
      <c r="AA40" s="3"/>
      <c r="AB40" s="3"/>
      <c r="AC40" s="3"/>
      <c r="AD40" s="4"/>
      <c r="AE40" s="48" t="s">
        <v>179</v>
      </c>
      <c r="AF40" s="4"/>
      <c r="AG40" s="54" t="s">
        <v>55</v>
      </c>
      <c r="AH40" s="3"/>
      <c r="AI40" s="4"/>
      <c r="AJ40" s="48"/>
      <c r="AK40" s="3"/>
      <c r="AL40" s="4"/>
      <c r="AM40" s="55" t="s">
        <v>158</v>
      </c>
      <c r="AN40" s="3"/>
      <c r="AO40" s="4"/>
      <c r="AP40" s="56">
        <v>46220.0</v>
      </c>
      <c r="AQ40" s="3"/>
      <c r="AR40" s="4"/>
      <c r="AS40" s="48"/>
      <c r="AT40" s="3"/>
      <c r="AU40" s="4"/>
      <c r="AV40" s="54" t="s">
        <v>55</v>
      </c>
      <c r="AW40" s="3"/>
      <c r="AX40" s="4"/>
      <c r="AY40" s="48"/>
      <c r="AZ40" s="3"/>
      <c r="BA40" s="4"/>
      <c r="BB40" s="55" t="s">
        <v>158</v>
      </c>
      <c r="BC40" s="3"/>
      <c r="BD40" s="4"/>
      <c r="BE40" s="56">
        <v>46243.0</v>
      </c>
      <c r="BF40" s="3"/>
      <c r="BG40" s="4"/>
      <c r="BH40" s="48"/>
      <c r="BI40" s="3"/>
      <c r="BJ40" s="4"/>
      <c r="BK40" s="49"/>
      <c r="BL40" s="3"/>
      <c r="BM40" s="3"/>
      <c r="BN40" s="3"/>
      <c r="BO40" s="3"/>
      <c r="BP40" s="3"/>
      <c r="BQ40" s="4"/>
    </row>
    <row r="41" ht="79.5" customHeight="1">
      <c r="A41" s="47">
        <v>26.0</v>
      </c>
      <c r="B41" s="49" t="s">
        <v>379</v>
      </c>
      <c r="C41" s="3"/>
      <c r="D41" s="4"/>
      <c r="E41" s="49" t="s">
        <v>380</v>
      </c>
      <c r="F41" s="3"/>
      <c r="G41" s="3"/>
      <c r="H41" s="3"/>
      <c r="I41" s="4"/>
      <c r="J41" s="49" t="s">
        <v>376</v>
      </c>
      <c r="K41" s="3"/>
      <c r="L41" s="3"/>
      <c r="M41" s="3"/>
      <c r="N41" s="3"/>
      <c r="O41" s="3"/>
      <c r="P41" s="4"/>
      <c r="Q41" s="49" t="s">
        <v>381</v>
      </c>
      <c r="R41" s="3"/>
      <c r="S41" s="3"/>
      <c r="T41" s="3"/>
      <c r="U41" s="3"/>
      <c r="V41" s="3"/>
      <c r="W41" s="4"/>
      <c r="X41" s="49" t="s">
        <v>382</v>
      </c>
      <c r="Y41" s="3"/>
      <c r="Z41" s="3"/>
      <c r="AA41" s="3"/>
      <c r="AB41" s="3"/>
      <c r="AC41" s="3"/>
      <c r="AD41" s="4"/>
      <c r="AE41" s="48" t="s">
        <v>179</v>
      </c>
      <c r="AF41" s="4"/>
      <c r="AG41" s="54" t="s">
        <v>55</v>
      </c>
      <c r="AH41" s="3"/>
      <c r="AI41" s="4"/>
      <c r="AJ41" s="48"/>
      <c r="AK41" s="3"/>
      <c r="AL41" s="4"/>
      <c r="AM41" s="55" t="s">
        <v>158</v>
      </c>
      <c r="AN41" s="3"/>
      <c r="AO41" s="4"/>
      <c r="AP41" s="56">
        <v>46220.0</v>
      </c>
      <c r="AQ41" s="3"/>
      <c r="AR41" s="4"/>
      <c r="AS41" s="48"/>
      <c r="AT41" s="3"/>
      <c r="AU41" s="4"/>
      <c r="AV41" s="54" t="s">
        <v>55</v>
      </c>
      <c r="AW41" s="3"/>
      <c r="AX41" s="4"/>
      <c r="AY41" s="48"/>
      <c r="AZ41" s="3"/>
      <c r="BA41" s="4"/>
      <c r="BB41" s="55" t="s">
        <v>158</v>
      </c>
      <c r="BC41" s="3"/>
      <c r="BD41" s="4"/>
      <c r="BE41" s="56">
        <v>46243.0</v>
      </c>
      <c r="BF41" s="3"/>
      <c r="BG41" s="4"/>
      <c r="BH41" s="48"/>
      <c r="BI41" s="3"/>
      <c r="BJ41" s="4"/>
      <c r="BK41" s="49"/>
      <c r="BL41" s="3"/>
      <c r="BM41" s="3"/>
      <c r="BN41" s="3"/>
      <c r="BO41" s="3"/>
      <c r="BP41" s="3"/>
      <c r="BQ41" s="4"/>
    </row>
    <row r="42" ht="144.0" customHeight="1">
      <c r="A42" s="47">
        <v>27.0</v>
      </c>
      <c r="B42" s="49" t="s">
        <v>383</v>
      </c>
      <c r="C42" s="3"/>
      <c r="D42" s="4"/>
      <c r="E42" s="49" t="s">
        <v>384</v>
      </c>
      <c r="F42" s="3"/>
      <c r="G42" s="3"/>
      <c r="H42" s="3"/>
      <c r="I42" s="4"/>
      <c r="J42" s="49" t="s">
        <v>385</v>
      </c>
      <c r="K42" s="3"/>
      <c r="L42" s="3"/>
      <c r="M42" s="3"/>
      <c r="N42" s="3"/>
      <c r="O42" s="3"/>
      <c r="P42" s="4"/>
      <c r="Q42" s="49" t="s">
        <v>386</v>
      </c>
      <c r="R42" s="3"/>
      <c r="S42" s="3"/>
      <c r="T42" s="3"/>
      <c r="U42" s="3"/>
      <c r="V42" s="3"/>
      <c r="W42" s="4"/>
      <c r="X42" s="49" t="s">
        <v>387</v>
      </c>
      <c r="Y42" s="3"/>
      <c r="Z42" s="3"/>
      <c r="AA42" s="3"/>
      <c r="AB42" s="3"/>
      <c r="AC42" s="3"/>
      <c r="AD42" s="4"/>
      <c r="AE42" s="48" t="s">
        <v>156</v>
      </c>
      <c r="AF42" s="4"/>
      <c r="AG42" s="54" t="s">
        <v>55</v>
      </c>
      <c r="AH42" s="3"/>
      <c r="AI42" s="4"/>
      <c r="AJ42" s="48"/>
      <c r="AK42" s="3"/>
      <c r="AL42" s="4"/>
      <c r="AM42" s="55" t="s">
        <v>158</v>
      </c>
      <c r="AN42" s="3"/>
      <c r="AO42" s="4"/>
      <c r="AP42" s="56">
        <v>46220.0</v>
      </c>
      <c r="AQ42" s="3"/>
      <c r="AR42" s="4"/>
      <c r="AS42" s="48"/>
      <c r="AT42" s="3"/>
      <c r="AU42" s="4"/>
      <c r="AV42" s="54" t="s">
        <v>55</v>
      </c>
      <c r="AW42" s="3"/>
      <c r="AX42" s="4"/>
      <c r="AY42" s="48"/>
      <c r="AZ42" s="3"/>
      <c r="BA42" s="4"/>
      <c r="BB42" s="55" t="s">
        <v>158</v>
      </c>
      <c r="BC42" s="3"/>
      <c r="BD42" s="4"/>
      <c r="BE42" s="56">
        <v>46243.0</v>
      </c>
      <c r="BF42" s="3"/>
      <c r="BG42" s="4"/>
      <c r="BH42" s="48"/>
      <c r="BI42" s="3"/>
      <c r="BJ42" s="4"/>
      <c r="BK42" s="49"/>
      <c r="BL42" s="3"/>
      <c r="BM42" s="3"/>
      <c r="BN42" s="3"/>
      <c r="BO42" s="3"/>
      <c r="BP42" s="3"/>
      <c r="BQ42" s="4"/>
    </row>
    <row r="43" ht="192.0" customHeight="1">
      <c r="A43" s="47">
        <v>28.0</v>
      </c>
      <c r="B43" s="49" t="s">
        <v>388</v>
      </c>
      <c r="C43" s="3"/>
      <c r="D43" s="4"/>
      <c r="E43" s="49" t="s">
        <v>389</v>
      </c>
      <c r="F43" s="3"/>
      <c r="G43" s="3"/>
      <c r="H43" s="3"/>
      <c r="I43" s="4"/>
      <c r="J43" s="49" t="s">
        <v>274</v>
      </c>
      <c r="K43" s="3"/>
      <c r="L43" s="3"/>
      <c r="M43" s="3"/>
      <c r="N43" s="3"/>
      <c r="O43" s="3"/>
      <c r="P43" s="4"/>
      <c r="Q43" s="49" t="s">
        <v>390</v>
      </c>
      <c r="R43" s="3"/>
      <c r="S43" s="3"/>
      <c r="T43" s="3"/>
      <c r="U43" s="3"/>
      <c r="V43" s="3"/>
      <c r="W43" s="4"/>
      <c r="X43" s="49" t="s">
        <v>391</v>
      </c>
      <c r="Y43" s="3"/>
      <c r="Z43" s="3"/>
      <c r="AA43" s="3"/>
      <c r="AB43" s="3"/>
      <c r="AC43" s="3"/>
      <c r="AD43" s="4"/>
      <c r="AE43" s="48" t="s">
        <v>179</v>
      </c>
      <c r="AF43" s="4"/>
      <c r="AG43" s="54" t="s">
        <v>55</v>
      </c>
      <c r="AH43" s="3"/>
      <c r="AI43" s="4"/>
      <c r="AJ43" s="48"/>
      <c r="AK43" s="3"/>
      <c r="AL43" s="4"/>
      <c r="AM43" s="55" t="s">
        <v>158</v>
      </c>
      <c r="AN43" s="3"/>
      <c r="AO43" s="4"/>
      <c r="AP43" s="56">
        <v>46220.0</v>
      </c>
      <c r="AQ43" s="3"/>
      <c r="AR43" s="4"/>
      <c r="AS43" s="48"/>
      <c r="AT43" s="3"/>
      <c r="AU43" s="4"/>
      <c r="AV43" s="54" t="s">
        <v>55</v>
      </c>
      <c r="AW43" s="3"/>
      <c r="AX43" s="4"/>
      <c r="AY43" s="48"/>
      <c r="AZ43" s="3"/>
      <c r="BA43" s="4"/>
      <c r="BB43" s="55" t="s">
        <v>158</v>
      </c>
      <c r="BC43" s="3"/>
      <c r="BD43" s="4"/>
      <c r="BE43" s="56">
        <v>46243.0</v>
      </c>
      <c r="BF43" s="3"/>
      <c r="BG43" s="4"/>
      <c r="BH43" s="48"/>
      <c r="BI43" s="3"/>
      <c r="BJ43" s="4"/>
      <c r="BK43" s="49"/>
      <c r="BL43" s="3"/>
      <c r="BM43" s="3"/>
      <c r="BN43" s="3"/>
      <c r="BO43" s="3"/>
      <c r="BP43" s="3"/>
      <c r="BQ43" s="4"/>
    </row>
    <row r="44" ht="367.5" customHeight="1">
      <c r="A44" s="47">
        <v>29.0</v>
      </c>
      <c r="B44" s="49" t="s">
        <v>392</v>
      </c>
      <c r="C44" s="3"/>
      <c r="D44" s="4"/>
      <c r="E44" s="49" t="s">
        <v>393</v>
      </c>
      <c r="F44" s="3"/>
      <c r="G44" s="3"/>
      <c r="H44" s="3"/>
      <c r="I44" s="4"/>
      <c r="J44" s="49" t="s">
        <v>274</v>
      </c>
      <c r="K44" s="3"/>
      <c r="L44" s="3"/>
      <c r="M44" s="3"/>
      <c r="N44" s="3"/>
      <c r="O44" s="3"/>
      <c r="P44" s="4"/>
      <c r="Q44" s="49" t="s">
        <v>394</v>
      </c>
      <c r="R44" s="3"/>
      <c r="S44" s="3"/>
      <c r="T44" s="3"/>
      <c r="U44" s="3"/>
      <c r="V44" s="3"/>
      <c r="W44" s="4"/>
      <c r="X44" s="49" t="s">
        <v>395</v>
      </c>
      <c r="Y44" s="3"/>
      <c r="Z44" s="3"/>
      <c r="AA44" s="3"/>
      <c r="AB44" s="3"/>
      <c r="AC44" s="3"/>
      <c r="AD44" s="4"/>
      <c r="AE44" s="48" t="s">
        <v>179</v>
      </c>
      <c r="AF44" s="4"/>
      <c r="AG44" s="54" t="s">
        <v>55</v>
      </c>
      <c r="AH44" s="3"/>
      <c r="AI44" s="4"/>
      <c r="AJ44" s="48"/>
      <c r="AK44" s="3"/>
      <c r="AL44" s="4"/>
      <c r="AM44" s="55" t="s">
        <v>158</v>
      </c>
      <c r="AN44" s="3"/>
      <c r="AO44" s="4"/>
      <c r="AP44" s="56">
        <v>46220.0</v>
      </c>
      <c r="AQ44" s="3"/>
      <c r="AR44" s="4"/>
      <c r="AS44" s="48"/>
      <c r="AT44" s="3"/>
      <c r="AU44" s="4"/>
      <c r="AV44" s="54" t="s">
        <v>55</v>
      </c>
      <c r="AW44" s="3"/>
      <c r="AX44" s="4"/>
      <c r="AY44" s="48"/>
      <c r="AZ44" s="3"/>
      <c r="BA44" s="4"/>
      <c r="BB44" s="55" t="s">
        <v>158</v>
      </c>
      <c r="BC44" s="3"/>
      <c r="BD44" s="4"/>
      <c r="BE44" s="56">
        <v>46243.0</v>
      </c>
      <c r="BF44" s="3"/>
      <c r="BG44" s="4"/>
      <c r="BH44" s="48"/>
      <c r="BI44" s="3"/>
      <c r="BJ44" s="4"/>
      <c r="BK44" s="49"/>
      <c r="BL44" s="3"/>
      <c r="BM44" s="3"/>
      <c r="BN44" s="3"/>
      <c r="BO44" s="3"/>
      <c r="BP44" s="3"/>
      <c r="BQ44" s="4"/>
    </row>
    <row r="45" ht="255.75" customHeight="1">
      <c r="A45" s="47">
        <v>30.0</v>
      </c>
      <c r="B45" s="49" t="s">
        <v>396</v>
      </c>
      <c r="C45" s="3"/>
      <c r="D45" s="4"/>
      <c r="E45" s="49" t="s">
        <v>397</v>
      </c>
      <c r="F45" s="3"/>
      <c r="G45" s="3"/>
      <c r="H45" s="3"/>
      <c r="I45" s="4"/>
      <c r="J45" s="49" t="s">
        <v>246</v>
      </c>
      <c r="K45" s="3"/>
      <c r="L45" s="3"/>
      <c r="M45" s="3"/>
      <c r="N45" s="3"/>
      <c r="O45" s="3"/>
      <c r="P45" s="4"/>
      <c r="Q45" s="49" t="s">
        <v>398</v>
      </c>
      <c r="R45" s="3"/>
      <c r="S45" s="3"/>
      <c r="T45" s="3"/>
      <c r="U45" s="3"/>
      <c r="V45" s="3"/>
      <c r="W45" s="4"/>
      <c r="X45" s="49" t="s">
        <v>399</v>
      </c>
      <c r="Y45" s="3"/>
      <c r="Z45" s="3"/>
      <c r="AA45" s="3"/>
      <c r="AB45" s="3"/>
      <c r="AC45" s="3"/>
      <c r="AD45" s="4"/>
      <c r="AE45" s="48" t="s">
        <v>179</v>
      </c>
      <c r="AF45" s="4"/>
      <c r="AG45" s="54" t="s">
        <v>55</v>
      </c>
      <c r="AH45" s="3"/>
      <c r="AI45" s="4"/>
      <c r="AJ45" s="48"/>
      <c r="AK45" s="3"/>
      <c r="AL45" s="4"/>
      <c r="AM45" s="55" t="s">
        <v>158</v>
      </c>
      <c r="AN45" s="3"/>
      <c r="AO45" s="4"/>
      <c r="AP45" s="56">
        <v>46220.0</v>
      </c>
      <c r="AQ45" s="3"/>
      <c r="AR45" s="4"/>
      <c r="AS45" s="48"/>
      <c r="AT45" s="3"/>
      <c r="AU45" s="4"/>
      <c r="AV45" s="54" t="s">
        <v>55</v>
      </c>
      <c r="AW45" s="3"/>
      <c r="AX45" s="4"/>
      <c r="AY45" s="48"/>
      <c r="AZ45" s="3"/>
      <c r="BA45" s="4"/>
      <c r="BB45" s="55" t="s">
        <v>158</v>
      </c>
      <c r="BC45" s="3"/>
      <c r="BD45" s="4"/>
      <c r="BE45" s="56">
        <v>46243.0</v>
      </c>
      <c r="BF45" s="3"/>
      <c r="BG45" s="4"/>
      <c r="BH45" s="48"/>
      <c r="BI45" s="3"/>
      <c r="BJ45" s="4"/>
      <c r="BK45" s="49"/>
      <c r="BL45" s="3"/>
      <c r="BM45" s="3"/>
      <c r="BN45" s="3"/>
      <c r="BO45" s="3"/>
      <c r="BP45" s="3"/>
      <c r="BQ45" s="4"/>
    </row>
    <row r="46" ht="271.5" customHeight="1">
      <c r="A46" s="47">
        <v>31.0</v>
      </c>
      <c r="B46" s="49" t="s">
        <v>400</v>
      </c>
      <c r="C46" s="3"/>
      <c r="D46" s="4"/>
      <c r="E46" s="49" t="s">
        <v>401</v>
      </c>
      <c r="F46" s="3"/>
      <c r="G46" s="3"/>
      <c r="H46" s="3"/>
      <c r="I46" s="4"/>
      <c r="J46" s="49" t="s">
        <v>246</v>
      </c>
      <c r="K46" s="3"/>
      <c r="L46" s="3"/>
      <c r="M46" s="3"/>
      <c r="N46" s="3"/>
      <c r="O46" s="3"/>
      <c r="P46" s="4"/>
      <c r="Q46" s="49" t="s">
        <v>402</v>
      </c>
      <c r="R46" s="3"/>
      <c r="S46" s="3"/>
      <c r="T46" s="3"/>
      <c r="U46" s="3"/>
      <c r="V46" s="3"/>
      <c r="W46" s="4"/>
      <c r="X46" s="49" t="s">
        <v>403</v>
      </c>
      <c r="Y46" s="3"/>
      <c r="Z46" s="3"/>
      <c r="AA46" s="3"/>
      <c r="AB46" s="3"/>
      <c r="AC46" s="3"/>
      <c r="AD46" s="4"/>
      <c r="AE46" s="48" t="s">
        <v>179</v>
      </c>
      <c r="AF46" s="4"/>
      <c r="AG46" s="54" t="s">
        <v>55</v>
      </c>
      <c r="AH46" s="3"/>
      <c r="AI46" s="4"/>
      <c r="AJ46" s="48"/>
      <c r="AK46" s="3"/>
      <c r="AL46" s="4"/>
      <c r="AM46" s="55" t="s">
        <v>158</v>
      </c>
      <c r="AN46" s="3"/>
      <c r="AO46" s="4"/>
      <c r="AP46" s="56">
        <v>46220.0</v>
      </c>
      <c r="AQ46" s="3"/>
      <c r="AR46" s="4"/>
      <c r="AS46" s="48"/>
      <c r="AT46" s="3"/>
      <c r="AU46" s="4"/>
      <c r="AV46" s="54" t="s">
        <v>55</v>
      </c>
      <c r="AW46" s="3"/>
      <c r="AX46" s="4"/>
      <c r="AY46" s="48"/>
      <c r="AZ46" s="3"/>
      <c r="BA46" s="4"/>
      <c r="BB46" s="55" t="s">
        <v>158</v>
      </c>
      <c r="BC46" s="3"/>
      <c r="BD46" s="4"/>
      <c r="BE46" s="56">
        <v>46243.0</v>
      </c>
      <c r="BF46" s="3"/>
      <c r="BG46" s="4"/>
      <c r="BH46" s="48"/>
      <c r="BI46" s="3"/>
      <c r="BJ46" s="4"/>
      <c r="BK46" s="49"/>
      <c r="BL46" s="3"/>
      <c r="BM46" s="3"/>
      <c r="BN46" s="3"/>
      <c r="BO46" s="3"/>
      <c r="BP46" s="3"/>
      <c r="BQ46" s="4"/>
    </row>
    <row r="47" ht="223.5" customHeight="1">
      <c r="A47" s="47">
        <v>32.0</v>
      </c>
      <c r="B47" s="49" t="s">
        <v>404</v>
      </c>
      <c r="C47" s="3"/>
      <c r="D47" s="4"/>
      <c r="E47" s="49" t="s">
        <v>405</v>
      </c>
      <c r="F47" s="3"/>
      <c r="G47" s="3"/>
      <c r="H47" s="3"/>
      <c r="I47" s="4"/>
      <c r="J47" s="49" t="s">
        <v>385</v>
      </c>
      <c r="K47" s="3"/>
      <c r="L47" s="3"/>
      <c r="M47" s="3"/>
      <c r="N47" s="3"/>
      <c r="O47" s="3"/>
      <c r="P47" s="4"/>
      <c r="Q47" s="49" t="s">
        <v>406</v>
      </c>
      <c r="R47" s="3"/>
      <c r="S47" s="3"/>
      <c r="T47" s="3"/>
      <c r="U47" s="3"/>
      <c r="V47" s="3"/>
      <c r="W47" s="4"/>
      <c r="X47" s="49" t="s">
        <v>407</v>
      </c>
      <c r="Y47" s="3"/>
      <c r="Z47" s="3"/>
      <c r="AA47" s="3"/>
      <c r="AB47" s="3"/>
      <c r="AC47" s="3"/>
      <c r="AD47" s="4"/>
      <c r="AE47" s="48" t="s">
        <v>156</v>
      </c>
      <c r="AF47" s="4"/>
      <c r="AG47" s="54" t="s">
        <v>58</v>
      </c>
      <c r="AH47" s="3"/>
      <c r="AI47" s="4"/>
      <c r="AJ47" s="48"/>
      <c r="AK47" s="3"/>
      <c r="AL47" s="4"/>
      <c r="AM47" s="55" t="s">
        <v>158</v>
      </c>
      <c r="AN47" s="3"/>
      <c r="AO47" s="4"/>
      <c r="AP47" s="56">
        <v>46220.0</v>
      </c>
      <c r="AQ47" s="3"/>
      <c r="AR47" s="4"/>
      <c r="AS47" s="48"/>
      <c r="AT47" s="3"/>
      <c r="AU47" s="4"/>
      <c r="AV47" s="54" t="s">
        <v>58</v>
      </c>
      <c r="AW47" s="3"/>
      <c r="AX47" s="4"/>
      <c r="AY47" s="48"/>
      <c r="AZ47" s="3"/>
      <c r="BA47" s="4"/>
      <c r="BB47" s="55" t="s">
        <v>158</v>
      </c>
      <c r="BC47" s="3"/>
      <c r="BD47" s="4"/>
      <c r="BE47" s="56">
        <v>46243.0</v>
      </c>
      <c r="BF47" s="3"/>
      <c r="BG47" s="4"/>
      <c r="BH47" s="48"/>
      <c r="BI47" s="3"/>
      <c r="BJ47" s="4"/>
      <c r="BK47" s="49"/>
      <c r="BL47" s="3"/>
      <c r="BM47" s="3"/>
      <c r="BN47" s="3"/>
      <c r="BO47" s="3"/>
      <c r="BP47" s="3"/>
      <c r="BQ47" s="4"/>
    </row>
    <row r="48" ht="223.5" customHeight="1">
      <c r="A48" s="47">
        <v>33.0</v>
      </c>
      <c r="B48" s="49" t="s">
        <v>408</v>
      </c>
      <c r="C48" s="3"/>
      <c r="D48" s="4"/>
      <c r="E48" s="49" t="s">
        <v>409</v>
      </c>
      <c r="F48" s="3"/>
      <c r="G48" s="3"/>
      <c r="H48" s="3"/>
      <c r="I48" s="4"/>
      <c r="J48" s="49" t="s">
        <v>410</v>
      </c>
      <c r="K48" s="3"/>
      <c r="L48" s="3"/>
      <c r="M48" s="3"/>
      <c r="N48" s="3"/>
      <c r="O48" s="3"/>
      <c r="P48" s="4"/>
      <c r="Q48" s="49" t="s">
        <v>411</v>
      </c>
      <c r="R48" s="3"/>
      <c r="S48" s="3"/>
      <c r="T48" s="3"/>
      <c r="U48" s="3"/>
      <c r="V48" s="3"/>
      <c r="W48" s="4"/>
      <c r="X48" s="49" t="s">
        <v>412</v>
      </c>
      <c r="Y48" s="3"/>
      <c r="Z48" s="3"/>
      <c r="AA48" s="3"/>
      <c r="AB48" s="3"/>
      <c r="AC48" s="3"/>
      <c r="AD48" s="4"/>
      <c r="AE48" s="48" t="s">
        <v>156</v>
      </c>
      <c r="AF48" s="4"/>
      <c r="AG48" s="54" t="s">
        <v>58</v>
      </c>
      <c r="AH48" s="3"/>
      <c r="AI48" s="4"/>
      <c r="AJ48" s="48"/>
      <c r="AK48" s="3"/>
      <c r="AL48" s="4"/>
      <c r="AM48" s="55" t="s">
        <v>158</v>
      </c>
      <c r="AN48" s="3"/>
      <c r="AO48" s="4"/>
      <c r="AP48" s="56">
        <v>46220.0</v>
      </c>
      <c r="AQ48" s="3"/>
      <c r="AR48" s="4"/>
      <c r="AS48" s="48"/>
      <c r="AT48" s="3"/>
      <c r="AU48" s="4"/>
      <c r="AV48" s="54" t="s">
        <v>58</v>
      </c>
      <c r="AW48" s="3"/>
      <c r="AX48" s="4"/>
      <c r="AY48" s="48"/>
      <c r="AZ48" s="3"/>
      <c r="BA48" s="4"/>
      <c r="BB48" s="55" t="s">
        <v>158</v>
      </c>
      <c r="BC48" s="3"/>
      <c r="BD48" s="4"/>
      <c r="BE48" s="56">
        <v>46243.0</v>
      </c>
      <c r="BF48" s="3"/>
      <c r="BG48" s="4"/>
      <c r="BH48" s="48"/>
      <c r="BI48" s="3"/>
      <c r="BJ48" s="4"/>
      <c r="BK48" s="49" t="s">
        <v>237</v>
      </c>
      <c r="BL48" s="3"/>
      <c r="BM48" s="3"/>
      <c r="BN48" s="3"/>
      <c r="BO48" s="3"/>
      <c r="BP48" s="3"/>
      <c r="BQ48" s="4"/>
    </row>
    <row r="49" ht="22.5" customHeight="1">
      <c r="A49" s="24" t="s">
        <v>413</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4"/>
    </row>
    <row r="50" ht="111.75" customHeight="1">
      <c r="A50" s="47">
        <v>34.0</v>
      </c>
      <c r="B50" s="49" t="s">
        <v>414</v>
      </c>
      <c r="C50" s="3"/>
      <c r="D50" s="4"/>
      <c r="E50" s="49" t="s">
        <v>415</v>
      </c>
      <c r="F50" s="3"/>
      <c r="G50" s="3"/>
      <c r="H50" s="3"/>
      <c r="I50" s="4"/>
      <c r="J50" s="49" t="s">
        <v>246</v>
      </c>
      <c r="K50" s="3"/>
      <c r="L50" s="3"/>
      <c r="M50" s="3"/>
      <c r="N50" s="3"/>
      <c r="O50" s="3"/>
      <c r="P50" s="4"/>
      <c r="Q50" s="58" t="s">
        <v>416</v>
      </c>
      <c r="R50" s="3"/>
      <c r="S50" s="3"/>
      <c r="T50" s="3"/>
      <c r="U50" s="3"/>
      <c r="V50" s="3"/>
      <c r="W50" s="4"/>
      <c r="X50" s="49" t="s">
        <v>417</v>
      </c>
      <c r="Y50" s="3"/>
      <c r="Z50" s="3"/>
      <c r="AA50" s="3"/>
      <c r="AB50" s="3"/>
      <c r="AC50" s="3"/>
      <c r="AD50" s="4"/>
      <c r="AE50" s="48" t="s">
        <v>156</v>
      </c>
      <c r="AF50" s="4"/>
      <c r="AG50" s="54" t="s">
        <v>55</v>
      </c>
      <c r="AH50" s="3"/>
      <c r="AI50" s="4"/>
      <c r="AJ50" s="48"/>
      <c r="AK50" s="3"/>
      <c r="AL50" s="4"/>
      <c r="AM50" s="55" t="s">
        <v>158</v>
      </c>
      <c r="AN50" s="3"/>
      <c r="AO50" s="4"/>
      <c r="AP50" s="56">
        <v>46220.0</v>
      </c>
      <c r="AQ50" s="3"/>
      <c r="AR50" s="4"/>
      <c r="AS50" s="48"/>
      <c r="AT50" s="3"/>
      <c r="AU50" s="4"/>
      <c r="AV50" s="54" t="s">
        <v>55</v>
      </c>
      <c r="AW50" s="3"/>
      <c r="AX50" s="4"/>
      <c r="AY50" s="48"/>
      <c r="AZ50" s="3"/>
      <c r="BA50" s="4"/>
      <c r="BB50" s="55" t="s">
        <v>158</v>
      </c>
      <c r="BC50" s="3"/>
      <c r="BD50" s="4"/>
      <c r="BE50" s="56">
        <v>46243.0</v>
      </c>
      <c r="BF50" s="3"/>
      <c r="BG50" s="4"/>
      <c r="BH50" s="48"/>
      <c r="BI50" s="3"/>
      <c r="BJ50" s="4"/>
      <c r="BK50" s="49"/>
      <c r="BL50" s="3"/>
      <c r="BM50" s="3"/>
      <c r="BN50" s="3"/>
      <c r="BO50" s="3"/>
      <c r="BP50" s="3"/>
      <c r="BQ50" s="4"/>
    </row>
    <row r="51" ht="175.5" customHeight="1">
      <c r="A51" s="47">
        <v>35.0</v>
      </c>
      <c r="B51" s="49" t="s">
        <v>418</v>
      </c>
      <c r="C51" s="3"/>
      <c r="D51" s="4"/>
      <c r="E51" s="49" t="s">
        <v>419</v>
      </c>
      <c r="F51" s="3"/>
      <c r="G51" s="3"/>
      <c r="H51" s="3"/>
      <c r="I51" s="4"/>
      <c r="J51" s="49" t="s">
        <v>420</v>
      </c>
      <c r="K51" s="3"/>
      <c r="L51" s="3"/>
      <c r="M51" s="3"/>
      <c r="N51" s="3"/>
      <c r="O51" s="3"/>
      <c r="P51" s="4"/>
      <c r="Q51" s="49" t="s">
        <v>421</v>
      </c>
      <c r="R51" s="3"/>
      <c r="S51" s="3"/>
      <c r="T51" s="3"/>
      <c r="U51" s="3"/>
      <c r="V51" s="3"/>
      <c r="W51" s="4"/>
      <c r="X51" s="49" t="s">
        <v>422</v>
      </c>
      <c r="Y51" s="3"/>
      <c r="Z51" s="3"/>
      <c r="AA51" s="3"/>
      <c r="AB51" s="3"/>
      <c r="AC51" s="3"/>
      <c r="AD51" s="4"/>
      <c r="AE51" s="48" t="s">
        <v>156</v>
      </c>
      <c r="AF51" s="4"/>
      <c r="AG51" s="54" t="s">
        <v>55</v>
      </c>
      <c r="AH51" s="3"/>
      <c r="AI51" s="4"/>
      <c r="AJ51" s="48"/>
      <c r="AK51" s="3"/>
      <c r="AL51" s="4"/>
      <c r="AM51" s="55" t="s">
        <v>158</v>
      </c>
      <c r="AN51" s="3"/>
      <c r="AO51" s="4"/>
      <c r="AP51" s="56">
        <v>46220.0</v>
      </c>
      <c r="AQ51" s="3"/>
      <c r="AR51" s="4"/>
      <c r="AS51" s="48"/>
      <c r="AT51" s="3"/>
      <c r="AU51" s="4"/>
      <c r="AV51" s="54" t="s">
        <v>55</v>
      </c>
      <c r="AW51" s="3"/>
      <c r="AX51" s="4"/>
      <c r="AY51" s="48"/>
      <c r="AZ51" s="3"/>
      <c r="BA51" s="4"/>
      <c r="BB51" s="55" t="s">
        <v>158</v>
      </c>
      <c r="BC51" s="3"/>
      <c r="BD51" s="4"/>
      <c r="BE51" s="56">
        <v>46243.0</v>
      </c>
      <c r="BF51" s="3"/>
      <c r="BG51" s="4"/>
      <c r="BH51" s="48"/>
      <c r="BI51" s="3"/>
      <c r="BJ51" s="4"/>
      <c r="BK51" s="49"/>
      <c r="BL51" s="3"/>
      <c r="BM51" s="3"/>
      <c r="BN51" s="3"/>
      <c r="BO51" s="3"/>
      <c r="BP51" s="3"/>
      <c r="BQ51" s="4"/>
    </row>
    <row r="52" ht="144.0" customHeight="1">
      <c r="A52" s="47">
        <v>36.0</v>
      </c>
      <c r="B52" s="49" t="s">
        <v>423</v>
      </c>
      <c r="C52" s="3"/>
      <c r="D52" s="4"/>
      <c r="E52" s="49" t="s">
        <v>424</v>
      </c>
      <c r="F52" s="3"/>
      <c r="G52" s="3"/>
      <c r="H52" s="3"/>
      <c r="I52" s="4"/>
      <c r="J52" s="49" t="s">
        <v>246</v>
      </c>
      <c r="K52" s="3"/>
      <c r="L52" s="3"/>
      <c r="M52" s="3"/>
      <c r="N52" s="3"/>
      <c r="O52" s="3"/>
      <c r="P52" s="4"/>
      <c r="Q52" s="58" t="s">
        <v>425</v>
      </c>
      <c r="R52" s="3"/>
      <c r="S52" s="3"/>
      <c r="T52" s="3"/>
      <c r="U52" s="3"/>
      <c r="V52" s="3"/>
      <c r="W52" s="4"/>
      <c r="X52" s="49" t="s">
        <v>426</v>
      </c>
      <c r="Y52" s="3"/>
      <c r="Z52" s="3"/>
      <c r="AA52" s="3"/>
      <c r="AB52" s="3"/>
      <c r="AC52" s="3"/>
      <c r="AD52" s="4"/>
      <c r="AE52" s="48" t="s">
        <v>156</v>
      </c>
      <c r="AF52" s="4"/>
      <c r="AG52" s="54" t="s">
        <v>55</v>
      </c>
      <c r="AH52" s="3"/>
      <c r="AI52" s="4"/>
      <c r="AJ52" s="48"/>
      <c r="AK52" s="3"/>
      <c r="AL52" s="4"/>
      <c r="AM52" s="55" t="s">
        <v>158</v>
      </c>
      <c r="AN52" s="3"/>
      <c r="AO52" s="4"/>
      <c r="AP52" s="56">
        <v>46220.0</v>
      </c>
      <c r="AQ52" s="3"/>
      <c r="AR52" s="4"/>
      <c r="AS52" s="48"/>
      <c r="AT52" s="3"/>
      <c r="AU52" s="4"/>
      <c r="AV52" s="54" t="s">
        <v>55</v>
      </c>
      <c r="AW52" s="3"/>
      <c r="AX52" s="4"/>
      <c r="AY52" s="48"/>
      <c r="AZ52" s="3"/>
      <c r="BA52" s="4"/>
      <c r="BB52" s="55" t="s">
        <v>158</v>
      </c>
      <c r="BC52" s="3"/>
      <c r="BD52" s="4"/>
      <c r="BE52" s="56">
        <v>46243.0</v>
      </c>
      <c r="BF52" s="3"/>
      <c r="BG52" s="4"/>
      <c r="BH52" s="48"/>
      <c r="BI52" s="3"/>
      <c r="BJ52" s="4"/>
      <c r="BK52" s="49"/>
      <c r="BL52" s="3"/>
      <c r="BM52" s="3"/>
      <c r="BN52" s="3"/>
      <c r="BO52" s="3"/>
      <c r="BP52" s="3"/>
      <c r="BQ52" s="4"/>
    </row>
    <row r="53" ht="159.75" customHeight="1">
      <c r="A53" s="47">
        <v>37.0</v>
      </c>
      <c r="B53" s="49" t="s">
        <v>427</v>
      </c>
      <c r="C53" s="3"/>
      <c r="D53" s="4"/>
      <c r="E53" s="49" t="s">
        <v>428</v>
      </c>
      <c r="F53" s="3"/>
      <c r="G53" s="3"/>
      <c r="H53" s="3"/>
      <c r="I53" s="4"/>
      <c r="J53" s="49" t="s">
        <v>246</v>
      </c>
      <c r="K53" s="3"/>
      <c r="L53" s="3"/>
      <c r="M53" s="3"/>
      <c r="N53" s="3"/>
      <c r="O53" s="3"/>
      <c r="P53" s="4"/>
      <c r="Q53" s="49" t="s">
        <v>429</v>
      </c>
      <c r="R53" s="3"/>
      <c r="S53" s="3"/>
      <c r="T53" s="3"/>
      <c r="U53" s="3"/>
      <c r="V53" s="3"/>
      <c r="W53" s="4"/>
      <c r="X53" s="49" t="s">
        <v>430</v>
      </c>
      <c r="Y53" s="3"/>
      <c r="Z53" s="3"/>
      <c r="AA53" s="3"/>
      <c r="AB53" s="3"/>
      <c r="AC53" s="3"/>
      <c r="AD53" s="4"/>
      <c r="AE53" s="48" t="s">
        <v>156</v>
      </c>
      <c r="AF53" s="4"/>
      <c r="AG53" s="54" t="s">
        <v>55</v>
      </c>
      <c r="AH53" s="3"/>
      <c r="AI53" s="4"/>
      <c r="AJ53" s="48"/>
      <c r="AK53" s="3"/>
      <c r="AL53" s="4"/>
      <c r="AM53" s="55" t="s">
        <v>158</v>
      </c>
      <c r="AN53" s="3"/>
      <c r="AO53" s="4"/>
      <c r="AP53" s="56">
        <v>46220.0</v>
      </c>
      <c r="AQ53" s="3"/>
      <c r="AR53" s="4"/>
      <c r="AS53" s="48"/>
      <c r="AT53" s="3"/>
      <c r="AU53" s="4"/>
      <c r="AV53" s="54" t="s">
        <v>55</v>
      </c>
      <c r="AW53" s="3"/>
      <c r="AX53" s="4"/>
      <c r="AY53" s="48"/>
      <c r="AZ53" s="3"/>
      <c r="BA53" s="4"/>
      <c r="BB53" s="55" t="s">
        <v>158</v>
      </c>
      <c r="BC53" s="3"/>
      <c r="BD53" s="4"/>
      <c r="BE53" s="56">
        <v>46243.0</v>
      </c>
      <c r="BF53" s="3"/>
      <c r="BG53" s="4"/>
      <c r="BH53" s="48"/>
      <c r="BI53" s="3"/>
      <c r="BJ53" s="4"/>
      <c r="BK53" s="49"/>
      <c r="BL53" s="3"/>
      <c r="BM53" s="3"/>
      <c r="BN53" s="3"/>
      <c r="BO53" s="3"/>
      <c r="BP53" s="3"/>
      <c r="BQ53" s="4"/>
    </row>
    <row r="54" ht="159.75" customHeight="1">
      <c r="A54" s="47">
        <v>38.0</v>
      </c>
      <c r="B54" s="49" t="s">
        <v>431</v>
      </c>
      <c r="C54" s="3"/>
      <c r="D54" s="4"/>
      <c r="E54" s="49" t="s">
        <v>432</v>
      </c>
      <c r="F54" s="3"/>
      <c r="G54" s="3"/>
      <c r="H54" s="3"/>
      <c r="I54" s="4"/>
      <c r="J54" s="49" t="s">
        <v>433</v>
      </c>
      <c r="K54" s="3"/>
      <c r="L54" s="3"/>
      <c r="M54" s="3"/>
      <c r="N54" s="3"/>
      <c r="O54" s="3"/>
      <c r="P54" s="4"/>
      <c r="Q54" s="49" t="s">
        <v>434</v>
      </c>
      <c r="R54" s="3"/>
      <c r="S54" s="3"/>
      <c r="T54" s="3"/>
      <c r="U54" s="3"/>
      <c r="V54" s="3"/>
      <c r="W54" s="4"/>
      <c r="X54" s="49" t="s">
        <v>435</v>
      </c>
      <c r="Y54" s="3"/>
      <c r="Z54" s="3"/>
      <c r="AA54" s="3"/>
      <c r="AB54" s="3"/>
      <c r="AC54" s="3"/>
      <c r="AD54" s="4"/>
      <c r="AE54" s="48" t="s">
        <v>156</v>
      </c>
      <c r="AF54" s="4"/>
      <c r="AG54" s="54" t="s">
        <v>55</v>
      </c>
      <c r="AH54" s="3"/>
      <c r="AI54" s="4"/>
      <c r="AJ54" s="48"/>
      <c r="AK54" s="3"/>
      <c r="AL54" s="4"/>
      <c r="AM54" s="55" t="s">
        <v>158</v>
      </c>
      <c r="AN54" s="3"/>
      <c r="AO54" s="4"/>
      <c r="AP54" s="56">
        <v>46220.0</v>
      </c>
      <c r="AQ54" s="3"/>
      <c r="AR54" s="4"/>
      <c r="AS54" s="48"/>
      <c r="AT54" s="3"/>
      <c r="AU54" s="4"/>
      <c r="AV54" s="54" t="s">
        <v>55</v>
      </c>
      <c r="AW54" s="3"/>
      <c r="AX54" s="4"/>
      <c r="AY54" s="48"/>
      <c r="AZ54" s="3"/>
      <c r="BA54" s="4"/>
      <c r="BB54" s="55" t="s">
        <v>158</v>
      </c>
      <c r="BC54" s="3"/>
      <c r="BD54" s="4"/>
      <c r="BE54" s="56">
        <v>46243.0</v>
      </c>
      <c r="BF54" s="3"/>
      <c r="BG54" s="4"/>
      <c r="BH54" s="48"/>
      <c r="BI54" s="3"/>
      <c r="BJ54" s="4"/>
      <c r="BK54" s="49"/>
      <c r="BL54" s="3"/>
      <c r="BM54" s="3"/>
      <c r="BN54" s="3"/>
      <c r="BO54" s="3"/>
      <c r="BP54" s="3"/>
      <c r="BQ54" s="4"/>
    </row>
    <row r="55" ht="111.75" customHeight="1">
      <c r="A55" s="47">
        <v>39.0</v>
      </c>
      <c r="B55" s="49" t="s">
        <v>436</v>
      </c>
      <c r="C55" s="3"/>
      <c r="D55" s="4"/>
      <c r="E55" s="49" t="s">
        <v>437</v>
      </c>
      <c r="F55" s="3"/>
      <c r="G55" s="3"/>
      <c r="H55" s="3"/>
      <c r="I55" s="4"/>
      <c r="J55" s="49" t="s">
        <v>246</v>
      </c>
      <c r="K55" s="3"/>
      <c r="L55" s="3"/>
      <c r="M55" s="3"/>
      <c r="N55" s="3"/>
      <c r="O55" s="3"/>
      <c r="P55" s="4"/>
      <c r="Q55" s="49" t="s">
        <v>438</v>
      </c>
      <c r="R55" s="3"/>
      <c r="S55" s="3"/>
      <c r="T55" s="3"/>
      <c r="U55" s="3"/>
      <c r="V55" s="3"/>
      <c r="W55" s="4"/>
      <c r="X55" s="49" t="s">
        <v>439</v>
      </c>
      <c r="Y55" s="3"/>
      <c r="Z55" s="3"/>
      <c r="AA55" s="3"/>
      <c r="AB55" s="3"/>
      <c r="AC55" s="3"/>
      <c r="AD55" s="4"/>
      <c r="AE55" s="48" t="s">
        <v>156</v>
      </c>
      <c r="AF55" s="4"/>
      <c r="AG55" s="54" t="s">
        <v>55</v>
      </c>
      <c r="AH55" s="3"/>
      <c r="AI55" s="4"/>
      <c r="AJ55" s="48"/>
      <c r="AK55" s="3"/>
      <c r="AL55" s="4"/>
      <c r="AM55" s="55" t="s">
        <v>158</v>
      </c>
      <c r="AN55" s="3"/>
      <c r="AO55" s="4"/>
      <c r="AP55" s="56">
        <v>46220.0</v>
      </c>
      <c r="AQ55" s="3"/>
      <c r="AR55" s="4"/>
      <c r="AS55" s="48"/>
      <c r="AT55" s="3"/>
      <c r="AU55" s="4"/>
      <c r="AV55" s="54" t="s">
        <v>55</v>
      </c>
      <c r="AW55" s="3"/>
      <c r="AX55" s="4"/>
      <c r="AY55" s="48"/>
      <c r="AZ55" s="3"/>
      <c r="BA55" s="4"/>
      <c r="BB55" s="55" t="s">
        <v>158</v>
      </c>
      <c r="BC55" s="3"/>
      <c r="BD55" s="4"/>
      <c r="BE55" s="56">
        <v>46243.0</v>
      </c>
      <c r="BF55" s="3"/>
      <c r="BG55" s="4"/>
      <c r="BH55" s="48"/>
      <c r="BI55" s="3"/>
      <c r="BJ55" s="4"/>
      <c r="BK55" s="49"/>
      <c r="BL55" s="3"/>
      <c r="BM55" s="3"/>
      <c r="BN55" s="3"/>
      <c r="BO55" s="3"/>
      <c r="BP55" s="3"/>
      <c r="BQ55" s="4"/>
    </row>
    <row r="56" ht="192.0" customHeight="1">
      <c r="A56" s="47">
        <v>40.0</v>
      </c>
      <c r="B56" s="49" t="s">
        <v>440</v>
      </c>
      <c r="C56" s="3"/>
      <c r="D56" s="4"/>
      <c r="E56" s="49" t="s">
        <v>441</v>
      </c>
      <c r="F56" s="3"/>
      <c r="G56" s="3"/>
      <c r="H56" s="3"/>
      <c r="I56" s="4"/>
      <c r="J56" s="49" t="s">
        <v>246</v>
      </c>
      <c r="K56" s="3"/>
      <c r="L56" s="3"/>
      <c r="M56" s="3"/>
      <c r="N56" s="3"/>
      <c r="O56" s="3"/>
      <c r="P56" s="4"/>
      <c r="Q56" s="49" t="s">
        <v>442</v>
      </c>
      <c r="R56" s="3"/>
      <c r="S56" s="3"/>
      <c r="T56" s="3"/>
      <c r="U56" s="3"/>
      <c r="V56" s="3"/>
      <c r="W56" s="4"/>
      <c r="X56" s="49" t="s">
        <v>443</v>
      </c>
      <c r="Y56" s="3"/>
      <c r="Z56" s="3"/>
      <c r="AA56" s="3"/>
      <c r="AB56" s="3"/>
      <c r="AC56" s="3"/>
      <c r="AD56" s="4"/>
      <c r="AE56" s="48" t="s">
        <v>156</v>
      </c>
      <c r="AF56" s="4"/>
      <c r="AG56" s="54" t="s">
        <v>58</v>
      </c>
      <c r="AH56" s="3"/>
      <c r="AI56" s="4"/>
      <c r="AJ56" s="48"/>
      <c r="AK56" s="3"/>
      <c r="AL56" s="4"/>
      <c r="AM56" s="55" t="s">
        <v>158</v>
      </c>
      <c r="AN56" s="3"/>
      <c r="AO56" s="4"/>
      <c r="AP56" s="56">
        <v>46220.0</v>
      </c>
      <c r="AQ56" s="3"/>
      <c r="AR56" s="4"/>
      <c r="AS56" s="48"/>
      <c r="AT56" s="3"/>
      <c r="AU56" s="4"/>
      <c r="AV56" s="54" t="s">
        <v>58</v>
      </c>
      <c r="AW56" s="3"/>
      <c r="AX56" s="4"/>
      <c r="AY56" s="48"/>
      <c r="AZ56" s="3"/>
      <c r="BA56" s="4"/>
      <c r="BB56" s="55" t="s">
        <v>158</v>
      </c>
      <c r="BC56" s="3"/>
      <c r="BD56" s="4"/>
      <c r="BE56" s="56">
        <v>46243.0</v>
      </c>
      <c r="BF56" s="3"/>
      <c r="BG56" s="4"/>
      <c r="BH56" s="48"/>
      <c r="BI56" s="3"/>
      <c r="BJ56" s="4"/>
      <c r="BK56" s="49"/>
      <c r="BL56" s="3"/>
      <c r="BM56" s="3"/>
      <c r="BN56" s="3"/>
      <c r="BO56" s="3"/>
      <c r="BP56" s="3"/>
      <c r="BQ56" s="4"/>
    </row>
    <row r="57" ht="22.5" customHeight="1">
      <c r="A57" s="24" t="s">
        <v>444</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4"/>
    </row>
    <row r="58" ht="450.0" customHeight="1">
      <c r="A58" s="47">
        <v>41.0</v>
      </c>
      <c r="B58" s="49" t="s">
        <v>445</v>
      </c>
      <c r="C58" s="3"/>
      <c r="D58" s="4"/>
      <c r="E58" s="49" t="s">
        <v>446</v>
      </c>
      <c r="F58" s="3"/>
      <c r="G58" s="3"/>
      <c r="H58" s="3"/>
      <c r="I58" s="4"/>
      <c r="J58" s="49" t="s">
        <v>447</v>
      </c>
      <c r="K58" s="3"/>
      <c r="L58" s="3"/>
      <c r="M58" s="3"/>
      <c r="N58" s="3"/>
      <c r="O58" s="3"/>
      <c r="P58" s="4"/>
      <c r="Q58" s="49" t="s">
        <v>448</v>
      </c>
      <c r="R58" s="3"/>
      <c r="S58" s="3"/>
      <c r="T58" s="3"/>
      <c r="U58" s="3"/>
      <c r="V58" s="3"/>
      <c r="W58" s="4"/>
      <c r="X58" s="49" t="s">
        <v>449</v>
      </c>
      <c r="Y58" s="3"/>
      <c r="Z58" s="3"/>
      <c r="AA58" s="3"/>
      <c r="AB58" s="3"/>
      <c r="AC58" s="3"/>
      <c r="AD58" s="4"/>
      <c r="AE58" s="48" t="s">
        <v>179</v>
      </c>
      <c r="AF58" s="4"/>
      <c r="AG58" s="54" t="s">
        <v>55</v>
      </c>
      <c r="AH58" s="3"/>
      <c r="AI58" s="4"/>
      <c r="AJ58" s="48"/>
      <c r="AK58" s="3"/>
      <c r="AL58" s="4"/>
      <c r="AM58" s="55" t="s">
        <v>158</v>
      </c>
      <c r="AN58" s="3"/>
      <c r="AO58" s="4"/>
      <c r="AP58" s="56">
        <v>46220.0</v>
      </c>
      <c r="AQ58" s="3"/>
      <c r="AR58" s="4"/>
      <c r="AS58" s="48"/>
      <c r="AT58" s="3"/>
      <c r="AU58" s="4"/>
      <c r="AV58" s="54" t="s">
        <v>55</v>
      </c>
      <c r="AW58" s="3"/>
      <c r="AX58" s="4"/>
      <c r="AY58" s="48"/>
      <c r="AZ58" s="3"/>
      <c r="BA58" s="4"/>
      <c r="BB58" s="55" t="s">
        <v>158</v>
      </c>
      <c r="BC58" s="3"/>
      <c r="BD58" s="4"/>
      <c r="BE58" s="56">
        <v>46243.0</v>
      </c>
      <c r="BF58" s="3"/>
      <c r="BG58" s="4"/>
      <c r="BH58" s="48"/>
      <c r="BI58" s="3"/>
      <c r="BJ58" s="4"/>
      <c r="BK58" s="49" t="s">
        <v>450</v>
      </c>
      <c r="BL58" s="3"/>
      <c r="BM58" s="3"/>
      <c r="BN58" s="3"/>
      <c r="BO58" s="3"/>
      <c r="BP58" s="3"/>
      <c r="BQ58" s="4"/>
    </row>
    <row r="59" ht="450.0" customHeight="1">
      <c r="A59" s="47">
        <v>42.0</v>
      </c>
      <c r="B59" s="49" t="s">
        <v>451</v>
      </c>
      <c r="C59" s="3"/>
      <c r="D59" s="4"/>
      <c r="E59" s="49" t="s">
        <v>452</v>
      </c>
      <c r="F59" s="3"/>
      <c r="G59" s="3"/>
      <c r="H59" s="3"/>
      <c r="I59" s="4"/>
      <c r="J59" s="49" t="s">
        <v>453</v>
      </c>
      <c r="K59" s="3"/>
      <c r="L59" s="3"/>
      <c r="M59" s="3"/>
      <c r="N59" s="3"/>
      <c r="O59" s="3"/>
      <c r="P59" s="4"/>
      <c r="Q59" s="49" t="s">
        <v>454</v>
      </c>
      <c r="R59" s="3"/>
      <c r="S59" s="3"/>
      <c r="T59" s="3"/>
      <c r="U59" s="3"/>
      <c r="V59" s="3"/>
      <c r="W59" s="4"/>
      <c r="X59" s="49" t="s">
        <v>455</v>
      </c>
      <c r="Y59" s="3"/>
      <c r="Z59" s="3"/>
      <c r="AA59" s="3"/>
      <c r="AB59" s="3"/>
      <c r="AC59" s="3"/>
      <c r="AD59" s="4"/>
      <c r="AE59" s="48" t="s">
        <v>156</v>
      </c>
      <c r="AF59" s="4"/>
      <c r="AG59" s="54" t="s">
        <v>55</v>
      </c>
      <c r="AH59" s="3"/>
      <c r="AI59" s="4"/>
      <c r="AJ59" s="48"/>
      <c r="AK59" s="3"/>
      <c r="AL59" s="4"/>
      <c r="AM59" s="55" t="s">
        <v>158</v>
      </c>
      <c r="AN59" s="3"/>
      <c r="AO59" s="4"/>
      <c r="AP59" s="56">
        <v>46220.0</v>
      </c>
      <c r="AQ59" s="3"/>
      <c r="AR59" s="4"/>
      <c r="AS59" s="48"/>
      <c r="AT59" s="3"/>
      <c r="AU59" s="4"/>
      <c r="AV59" s="54" t="s">
        <v>55</v>
      </c>
      <c r="AW59" s="3"/>
      <c r="AX59" s="4"/>
      <c r="AY59" s="48"/>
      <c r="AZ59" s="3"/>
      <c r="BA59" s="4"/>
      <c r="BB59" s="55" t="s">
        <v>158</v>
      </c>
      <c r="BC59" s="3"/>
      <c r="BD59" s="4"/>
      <c r="BE59" s="56">
        <v>46243.0</v>
      </c>
      <c r="BF59" s="3"/>
      <c r="BG59" s="4"/>
      <c r="BH59" s="48"/>
      <c r="BI59" s="3"/>
      <c r="BJ59" s="4"/>
      <c r="BK59" s="49" t="s">
        <v>456</v>
      </c>
      <c r="BL59" s="3"/>
      <c r="BM59" s="3"/>
      <c r="BN59" s="3"/>
      <c r="BO59" s="3"/>
      <c r="BP59" s="3"/>
      <c r="BQ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6">
    <mergeCell ref="AJ36:AL36"/>
    <mergeCell ref="AP36:AR36"/>
    <mergeCell ref="AS36:AU36"/>
    <mergeCell ref="AV36:AX36"/>
    <mergeCell ref="AY36:BA36"/>
    <mergeCell ref="BB36:BD36"/>
    <mergeCell ref="AM36:AO36"/>
    <mergeCell ref="BH36:BJ36"/>
    <mergeCell ref="BE36:BG36"/>
    <mergeCell ref="BH33:BJ33"/>
    <mergeCell ref="BK33:BQ33"/>
    <mergeCell ref="BE33:BG33"/>
    <mergeCell ref="AJ33:AL33"/>
    <mergeCell ref="AP33:AR33"/>
    <mergeCell ref="AS33:AU33"/>
    <mergeCell ref="AV33:AX33"/>
    <mergeCell ref="AY33:BA33"/>
    <mergeCell ref="BB33:BD33"/>
    <mergeCell ref="AM33:AO33"/>
    <mergeCell ref="E33:I33"/>
    <mergeCell ref="J33:P33"/>
    <mergeCell ref="Q33:W33"/>
    <mergeCell ref="X33:AD33"/>
    <mergeCell ref="AE33:AF33"/>
    <mergeCell ref="AG33:AI33"/>
    <mergeCell ref="A34:BQ34"/>
    <mergeCell ref="BH35:BJ35"/>
    <mergeCell ref="BK35:BQ35"/>
    <mergeCell ref="BK36:BQ36"/>
    <mergeCell ref="BE35:BG35"/>
    <mergeCell ref="BB35:BD35"/>
    <mergeCell ref="AG35:AI35"/>
    <mergeCell ref="AJ35:AL35"/>
    <mergeCell ref="AP35:AR35"/>
    <mergeCell ref="AS35:AU35"/>
    <mergeCell ref="AV35:AX35"/>
    <mergeCell ref="AY35:BA35"/>
    <mergeCell ref="AM35:AO35"/>
    <mergeCell ref="B33:D33"/>
    <mergeCell ref="B35:D35"/>
    <mergeCell ref="E35:I35"/>
    <mergeCell ref="J35:P35"/>
    <mergeCell ref="Q35:W35"/>
    <mergeCell ref="X35:AD35"/>
    <mergeCell ref="AE35:AF35"/>
    <mergeCell ref="B36:D36"/>
    <mergeCell ref="E36:I36"/>
    <mergeCell ref="J36:P36"/>
    <mergeCell ref="Q36:W36"/>
    <mergeCell ref="X36:AD36"/>
    <mergeCell ref="AE36:AF36"/>
    <mergeCell ref="AG36:AI36"/>
    <mergeCell ref="B48:D48"/>
    <mergeCell ref="B50:D50"/>
    <mergeCell ref="E50:I50"/>
    <mergeCell ref="J50:P50"/>
    <mergeCell ref="Q50:W50"/>
    <mergeCell ref="X50:AD50"/>
    <mergeCell ref="AE50:AF50"/>
    <mergeCell ref="BH50:BJ50"/>
    <mergeCell ref="BK50:BQ50"/>
    <mergeCell ref="AP50:AR50"/>
    <mergeCell ref="AS50:AU50"/>
    <mergeCell ref="AV50:AX50"/>
    <mergeCell ref="AY50:BA50"/>
    <mergeCell ref="BE50:BG50"/>
    <mergeCell ref="BB50:BD50"/>
    <mergeCell ref="AM50:AO50"/>
    <mergeCell ref="BE48:BG48"/>
    <mergeCell ref="BB48:BD48"/>
    <mergeCell ref="E48:I48"/>
    <mergeCell ref="J48:P48"/>
    <mergeCell ref="Q48:W48"/>
    <mergeCell ref="X48:AD48"/>
    <mergeCell ref="AE48:AF48"/>
    <mergeCell ref="AG48:AI48"/>
    <mergeCell ref="A49:BQ49"/>
    <mergeCell ref="AM48:AO48"/>
    <mergeCell ref="BH46:BJ46"/>
    <mergeCell ref="BK46:BQ46"/>
    <mergeCell ref="BE46:BG46"/>
    <mergeCell ref="AJ46:AL46"/>
    <mergeCell ref="AP46:AR46"/>
    <mergeCell ref="AS46:AU46"/>
    <mergeCell ref="AV46:AX46"/>
    <mergeCell ref="AY46:BA46"/>
    <mergeCell ref="BB46:BD46"/>
    <mergeCell ref="AM46:AO46"/>
    <mergeCell ref="B46:D46"/>
    <mergeCell ref="E46:I46"/>
    <mergeCell ref="J46:P46"/>
    <mergeCell ref="Q46:W46"/>
    <mergeCell ref="X46:AD46"/>
    <mergeCell ref="AE46:AF46"/>
    <mergeCell ref="AG46:AI46"/>
    <mergeCell ref="BH47:BJ47"/>
    <mergeCell ref="BK47:BQ47"/>
    <mergeCell ref="BK48:BQ48"/>
    <mergeCell ref="BE47:BG47"/>
    <mergeCell ref="AJ47:AL47"/>
    <mergeCell ref="AP47:AR47"/>
    <mergeCell ref="AS47:AU47"/>
    <mergeCell ref="AV47:AX47"/>
    <mergeCell ref="AY47:BA47"/>
    <mergeCell ref="BB47:BD47"/>
    <mergeCell ref="AM47:AO47"/>
    <mergeCell ref="B47:D47"/>
    <mergeCell ref="E47:I47"/>
    <mergeCell ref="J47:P47"/>
    <mergeCell ref="Q47:W47"/>
    <mergeCell ref="X47:AD47"/>
    <mergeCell ref="AE47:AF47"/>
    <mergeCell ref="AG47:AI47"/>
    <mergeCell ref="BH51:BJ51"/>
    <mergeCell ref="BK51:BQ51"/>
    <mergeCell ref="BE51:BG51"/>
    <mergeCell ref="AJ51:AL51"/>
    <mergeCell ref="AP51:AR51"/>
    <mergeCell ref="AS51:AU51"/>
    <mergeCell ref="AV51:AX51"/>
    <mergeCell ref="AY51:BA51"/>
    <mergeCell ref="BB51:BD51"/>
    <mergeCell ref="AM51:AO51"/>
    <mergeCell ref="AJ53:AL53"/>
    <mergeCell ref="AP53:AR53"/>
    <mergeCell ref="AS53:AU53"/>
    <mergeCell ref="AV53:AX53"/>
    <mergeCell ref="AY53:BA53"/>
    <mergeCell ref="BB53:BD53"/>
    <mergeCell ref="AM53:AO53"/>
    <mergeCell ref="B53:D53"/>
    <mergeCell ref="E53:I53"/>
    <mergeCell ref="J53:P53"/>
    <mergeCell ref="Q53:W53"/>
    <mergeCell ref="X53:AD53"/>
    <mergeCell ref="AE53:AF53"/>
    <mergeCell ref="AG53:AI53"/>
    <mergeCell ref="AJ54:AL54"/>
    <mergeCell ref="AP54:AR54"/>
    <mergeCell ref="AS54:AU54"/>
    <mergeCell ref="AV54:AX54"/>
    <mergeCell ref="AY54:BA54"/>
    <mergeCell ref="BB54:BD54"/>
    <mergeCell ref="AM54:AO54"/>
    <mergeCell ref="BH54:BJ54"/>
    <mergeCell ref="BE54:BG54"/>
    <mergeCell ref="AE51:AF51"/>
    <mergeCell ref="AG51:AI51"/>
    <mergeCell ref="AG50:AI50"/>
    <mergeCell ref="AJ50:AL50"/>
    <mergeCell ref="B51:D51"/>
    <mergeCell ref="E51:I51"/>
    <mergeCell ref="J51:P51"/>
    <mergeCell ref="Q51:W51"/>
    <mergeCell ref="X51:AD51"/>
    <mergeCell ref="BH52:BJ52"/>
    <mergeCell ref="BK52:BQ52"/>
    <mergeCell ref="BE52:BG52"/>
    <mergeCell ref="AJ52:AL52"/>
    <mergeCell ref="AP52:AR52"/>
    <mergeCell ref="AS52:AU52"/>
    <mergeCell ref="AV52:AX52"/>
    <mergeCell ref="AY52:BA52"/>
    <mergeCell ref="BB52:BD52"/>
    <mergeCell ref="AM52:AO52"/>
    <mergeCell ref="B52:D52"/>
    <mergeCell ref="E52:I52"/>
    <mergeCell ref="J52:P52"/>
    <mergeCell ref="Q52:W52"/>
    <mergeCell ref="X52:AD52"/>
    <mergeCell ref="AE52:AF52"/>
    <mergeCell ref="AG52:AI52"/>
    <mergeCell ref="BH53:BJ53"/>
    <mergeCell ref="BK53:BQ53"/>
    <mergeCell ref="BK54:BQ54"/>
    <mergeCell ref="BE53:BG53"/>
    <mergeCell ref="B54:D54"/>
    <mergeCell ref="E54:I54"/>
    <mergeCell ref="J54:P54"/>
    <mergeCell ref="Q54:W54"/>
    <mergeCell ref="X54:AD54"/>
    <mergeCell ref="AE54:AF54"/>
    <mergeCell ref="AG54:AI54"/>
    <mergeCell ref="AG58:AI58"/>
    <mergeCell ref="AJ58:AL58"/>
    <mergeCell ref="AP58:AR58"/>
    <mergeCell ref="AS58:AU58"/>
    <mergeCell ref="AV58:AX58"/>
    <mergeCell ref="AY58:BA58"/>
    <mergeCell ref="AM58:AO58"/>
    <mergeCell ref="BE58:BG58"/>
    <mergeCell ref="BB58:BD58"/>
    <mergeCell ref="B59:D59"/>
    <mergeCell ref="E59:I59"/>
    <mergeCell ref="J59:P59"/>
    <mergeCell ref="Q59:W59"/>
    <mergeCell ref="X59:AD59"/>
    <mergeCell ref="AE59:AF59"/>
    <mergeCell ref="AG59:AI59"/>
    <mergeCell ref="BH59:BJ59"/>
    <mergeCell ref="BK59:BQ59"/>
    <mergeCell ref="BE59:BG59"/>
    <mergeCell ref="AJ59:AL59"/>
    <mergeCell ref="AP59:AR59"/>
    <mergeCell ref="AS59:AU59"/>
    <mergeCell ref="AV59:AX59"/>
    <mergeCell ref="AY59:BA59"/>
    <mergeCell ref="BB59:BD59"/>
    <mergeCell ref="AM59:AO59"/>
    <mergeCell ref="BH55:BJ55"/>
    <mergeCell ref="BK55:BQ55"/>
    <mergeCell ref="BE55:BG55"/>
    <mergeCell ref="AJ55:AL55"/>
    <mergeCell ref="AP55:AR55"/>
    <mergeCell ref="AS55:AU55"/>
    <mergeCell ref="AV55:AX55"/>
    <mergeCell ref="AY55:BA55"/>
    <mergeCell ref="BB55:BD55"/>
    <mergeCell ref="AM55:AO55"/>
    <mergeCell ref="B55:D55"/>
    <mergeCell ref="E55:I55"/>
    <mergeCell ref="J55:P55"/>
    <mergeCell ref="Q55:W55"/>
    <mergeCell ref="X55:AD55"/>
    <mergeCell ref="AE55:AF55"/>
    <mergeCell ref="AG55:AI55"/>
    <mergeCell ref="BH56:BJ56"/>
    <mergeCell ref="BK56:BQ56"/>
    <mergeCell ref="BH58:BJ58"/>
    <mergeCell ref="BK58:BQ58"/>
    <mergeCell ref="BE56:BG56"/>
    <mergeCell ref="AJ56:AL56"/>
    <mergeCell ref="AP56:AR56"/>
    <mergeCell ref="AS56:AU56"/>
    <mergeCell ref="AV56:AX56"/>
    <mergeCell ref="AY56:BA56"/>
    <mergeCell ref="BB56:BD56"/>
    <mergeCell ref="AM56:AO56"/>
    <mergeCell ref="E56:I56"/>
    <mergeCell ref="J56:P56"/>
    <mergeCell ref="Q56:W56"/>
    <mergeCell ref="X56:AD56"/>
    <mergeCell ref="AE56:AF56"/>
    <mergeCell ref="AG56:AI56"/>
    <mergeCell ref="A57:BQ57"/>
    <mergeCell ref="B56:D56"/>
    <mergeCell ref="B58:D58"/>
    <mergeCell ref="E58:I58"/>
    <mergeCell ref="J58:P58"/>
    <mergeCell ref="Q58:W58"/>
    <mergeCell ref="X58:AD58"/>
    <mergeCell ref="AE58:AF58"/>
    <mergeCell ref="AM41:AO41"/>
    <mergeCell ref="AM42:AO42"/>
    <mergeCell ref="AM30:AO30"/>
    <mergeCell ref="AM31:AO31"/>
    <mergeCell ref="AM32:AO32"/>
    <mergeCell ref="AM37:AO37"/>
    <mergeCell ref="AM38:AO38"/>
    <mergeCell ref="AM39:AO39"/>
    <mergeCell ref="AM40:AO40"/>
    <mergeCell ref="BE18:BG18"/>
    <mergeCell ref="BH18:BJ18"/>
    <mergeCell ref="BE26:BG26"/>
    <mergeCell ref="BE27:BG27"/>
    <mergeCell ref="BE29:BG29"/>
    <mergeCell ref="BE30:BG30"/>
    <mergeCell ref="BE31:BG31"/>
    <mergeCell ref="BE43:BG43"/>
    <mergeCell ref="BE44:BG44"/>
    <mergeCell ref="BE45:BG45"/>
    <mergeCell ref="AM43:AO43"/>
    <mergeCell ref="AM44:AO44"/>
    <mergeCell ref="AM45:AO45"/>
    <mergeCell ref="BE32:BG32"/>
    <mergeCell ref="BE37:BG37"/>
    <mergeCell ref="BE38:BG38"/>
    <mergeCell ref="BE39:BG39"/>
    <mergeCell ref="BE40:BG40"/>
    <mergeCell ref="BE41:BG41"/>
    <mergeCell ref="BE42:BG42"/>
    <mergeCell ref="BB19:BD19"/>
    <mergeCell ref="BB20:BD20"/>
    <mergeCell ref="BB22:BD22"/>
    <mergeCell ref="BB23:BD23"/>
    <mergeCell ref="BB24:BD24"/>
    <mergeCell ref="BB25:BD25"/>
    <mergeCell ref="BB26:BD26"/>
    <mergeCell ref="BB39:BD39"/>
    <mergeCell ref="BB40:BD40"/>
    <mergeCell ref="BB41:BD41"/>
    <mergeCell ref="BB42:BD42"/>
    <mergeCell ref="BB43:BD43"/>
    <mergeCell ref="BB44:BD44"/>
    <mergeCell ref="BB45:BD45"/>
    <mergeCell ref="AJ18:AL18"/>
    <mergeCell ref="AP18:AR18"/>
    <mergeCell ref="AS18:AU18"/>
    <mergeCell ref="AV18:AX18"/>
    <mergeCell ref="AY18:BA18"/>
    <mergeCell ref="BB18:BD18"/>
    <mergeCell ref="AM18:AO18"/>
    <mergeCell ref="BB27:BD27"/>
    <mergeCell ref="BB29:BD29"/>
    <mergeCell ref="BB30:BD30"/>
    <mergeCell ref="BB31:BD31"/>
    <mergeCell ref="BB32:BD32"/>
    <mergeCell ref="BB37:BD37"/>
    <mergeCell ref="BB38:BD38"/>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P15:AR15"/>
    <mergeCell ref="AS15:AU15"/>
    <mergeCell ref="AY15:BA15"/>
    <mergeCell ref="BB15:BD15"/>
    <mergeCell ref="AM15:AO15"/>
    <mergeCell ref="AV15:AX15"/>
    <mergeCell ref="BH13:BJ13"/>
    <mergeCell ref="BK13:BQ13"/>
    <mergeCell ref="BE13:BG13"/>
    <mergeCell ref="AJ13:AL13"/>
    <mergeCell ref="AS13:AU13"/>
    <mergeCell ref="AY13:BA13"/>
    <mergeCell ref="AM13:AO13"/>
    <mergeCell ref="AP13:AR13"/>
    <mergeCell ref="BB13:BD13"/>
    <mergeCell ref="AV13:AX13"/>
    <mergeCell ref="B13:D13"/>
    <mergeCell ref="E13:I13"/>
    <mergeCell ref="J13:P13"/>
    <mergeCell ref="Q13:W13"/>
    <mergeCell ref="X13:AD13"/>
    <mergeCell ref="AE13:AF13"/>
    <mergeCell ref="AG13:AI13"/>
    <mergeCell ref="BE14:BG14"/>
    <mergeCell ref="BH14:BJ14"/>
    <mergeCell ref="BK14:BQ14"/>
    <mergeCell ref="BK15:BQ15"/>
    <mergeCell ref="AJ14:AL14"/>
    <mergeCell ref="AP14:AR14"/>
    <mergeCell ref="AS14:AU14"/>
    <mergeCell ref="AY14:BA14"/>
    <mergeCell ref="BB14:BD14"/>
    <mergeCell ref="AM14:AO14"/>
    <mergeCell ref="AV14:AX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6:BG16"/>
    <mergeCell ref="BH16:BJ16"/>
    <mergeCell ref="BK16:BQ16"/>
    <mergeCell ref="AJ16:AL16"/>
    <mergeCell ref="AP16:AR16"/>
    <mergeCell ref="AS16:AU16"/>
    <mergeCell ref="AY16:BA16"/>
    <mergeCell ref="BB16:BD16"/>
    <mergeCell ref="AM16:AO16"/>
    <mergeCell ref="AV16:AX16"/>
    <mergeCell ref="B16:D16"/>
    <mergeCell ref="E16:I16"/>
    <mergeCell ref="J16:P16"/>
    <mergeCell ref="Q16:W16"/>
    <mergeCell ref="X16:AD16"/>
    <mergeCell ref="AE16:AF16"/>
    <mergeCell ref="AG16:AI16"/>
    <mergeCell ref="BE17:BG17"/>
    <mergeCell ref="BH17:BJ17"/>
    <mergeCell ref="BK17:BQ17"/>
    <mergeCell ref="BK18:BQ18"/>
    <mergeCell ref="AJ17:AL17"/>
    <mergeCell ref="AP17:AR17"/>
    <mergeCell ref="AS17:AU17"/>
    <mergeCell ref="AY17:BA17"/>
    <mergeCell ref="BB17:BD17"/>
    <mergeCell ref="AM17:AO17"/>
    <mergeCell ref="AV17:AX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AJ48:AL48"/>
    <mergeCell ref="AP48:AR48"/>
    <mergeCell ref="AS48:AU48"/>
    <mergeCell ref="AV48:AX48"/>
    <mergeCell ref="AY48:BA48"/>
    <mergeCell ref="BH48:BJ48"/>
    <mergeCell ref="AM27:AO27"/>
    <mergeCell ref="AM29:AO29"/>
    <mergeCell ref="AM19:AO19"/>
    <mergeCell ref="AM20:AO20"/>
    <mergeCell ref="AM22:AO22"/>
    <mergeCell ref="AM23:AO23"/>
    <mergeCell ref="AM24:AO24"/>
    <mergeCell ref="AM25:AO25"/>
    <mergeCell ref="AM26:AO26"/>
    <mergeCell ref="AG22:AI22"/>
    <mergeCell ref="AJ22:AL22"/>
    <mergeCell ref="AP22:AR22"/>
    <mergeCell ref="AS22:AU22"/>
    <mergeCell ref="AV22:AX22"/>
    <mergeCell ref="AY22:BA22"/>
    <mergeCell ref="BE22:BG22"/>
    <mergeCell ref="BE19:BG19"/>
    <mergeCell ref="BH19:BJ19"/>
    <mergeCell ref="BK19:BQ19"/>
    <mergeCell ref="AJ19:AL19"/>
    <mergeCell ref="AP19:AR19"/>
    <mergeCell ref="AS19:AU19"/>
    <mergeCell ref="AV19:AX19"/>
    <mergeCell ref="AY19:BA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P20:AR20"/>
    <mergeCell ref="AS20:AU20"/>
    <mergeCell ref="AV20:AX20"/>
    <mergeCell ref="AY20:BA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P25:AR25"/>
    <mergeCell ref="AS25:AU25"/>
    <mergeCell ref="AV25:AX25"/>
    <mergeCell ref="AY25:BA25"/>
    <mergeCell ref="BE23:BG23"/>
    <mergeCell ref="BH23:BJ23"/>
    <mergeCell ref="BK23:BQ23"/>
    <mergeCell ref="AJ23:AL23"/>
    <mergeCell ref="AP23:AR23"/>
    <mergeCell ref="AS23:AU23"/>
    <mergeCell ref="AV23:AX23"/>
    <mergeCell ref="AY23:BA23"/>
    <mergeCell ref="B23:D23"/>
    <mergeCell ref="E23:I23"/>
    <mergeCell ref="J23:P23"/>
    <mergeCell ref="Q23:W23"/>
    <mergeCell ref="X23:AD23"/>
    <mergeCell ref="AE23:AF23"/>
    <mergeCell ref="AG23:AI23"/>
    <mergeCell ref="BE24:BG24"/>
    <mergeCell ref="BH24:BJ24"/>
    <mergeCell ref="BK24:BQ24"/>
    <mergeCell ref="BK25:BQ25"/>
    <mergeCell ref="AJ24:AL24"/>
    <mergeCell ref="AP24:AR24"/>
    <mergeCell ref="AS24:AU24"/>
    <mergeCell ref="AV24:AX24"/>
    <mergeCell ref="AY24:BA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H26:BJ26"/>
    <mergeCell ref="BK26:BQ26"/>
    <mergeCell ref="AJ26:AL26"/>
    <mergeCell ref="AP26:AR26"/>
    <mergeCell ref="AS26:AU26"/>
    <mergeCell ref="AV26:AX26"/>
    <mergeCell ref="AY26:BA26"/>
    <mergeCell ref="B26:D26"/>
    <mergeCell ref="E26:I26"/>
    <mergeCell ref="J26:P26"/>
    <mergeCell ref="Q26:W26"/>
    <mergeCell ref="X26:AD26"/>
    <mergeCell ref="AE26:AF26"/>
    <mergeCell ref="AG26:AI26"/>
    <mergeCell ref="BH27:BJ27"/>
    <mergeCell ref="BK27:BQ27"/>
    <mergeCell ref="BH29:BJ29"/>
    <mergeCell ref="BK29:BQ29"/>
    <mergeCell ref="AJ27:AL27"/>
    <mergeCell ref="AP27:AR27"/>
    <mergeCell ref="AS27:AU27"/>
    <mergeCell ref="AV27:AX27"/>
    <mergeCell ref="AY27:BA27"/>
    <mergeCell ref="E27:I27"/>
    <mergeCell ref="J27:P27"/>
    <mergeCell ref="Q27:W27"/>
    <mergeCell ref="X27:AD27"/>
    <mergeCell ref="AE27:AF27"/>
    <mergeCell ref="AG27:AI27"/>
    <mergeCell ref="A28:BQ28"/>
    <mergeCell ref="B27:D27"/>
    <mergeCell ref="B29:D29"/>
    <mergeCell ref="E29:I29"/>
    <mergeCell ref="J29:P29"/>
    <mergeCell ref="Q29:W29"/>
    <mergeCell ref="X29:AD29"/>
    <mergeCell ref="AE29:AF29"/>
    <mergeCell ref="AG29:AI29"/>
    <mergeCell ref="AJ29:AL29"/>
    <mergeCell ref="AP29:AR29"/>
    <mergeCell ref="AS29:AU29"/>
    <mergeCell ref="AV29:AX29"/>
    <mergeCell ref="AY29:BA29"/>
    <mergeCell ref="AJ32:AL32"/>
    <mergeCell ref="AP32:AR32"/>
    <mergeCell ref="AS32:AU32"/>
    <mergeCell ref="AV32:AX32"/>
    <mergeCell ref="AY32:BA32"/>
    <mergeCell ref="BH32:BJ32"/>
    <mergeCell ref="BH30:BJ30"/>
    <mergeCell ref="BK30:BQ30"/>
    <mergeCell ref="AJ30:AL30"/>
    <mergeCell ref="AP30:AR30"/>
    <mergeCell ref="AS30:AU30"/>
    <mergeCell ref="AV30:AX30"/>
    <mergeCell ref="AY30:BA30"/>
    <mergeCell ref="B30:D30"/>
    <mergeCell ref="E30:I30"/>
    <mergeCell ref="J30:P30"/>
    <mergeCell ref="Q30:W30"/>
    <mergeCell ref="X30:AD30"/>
    <mergeCell ref="AE30:AF30"/>
    <mergeCell ref="AG30:AI30"/>
    <mergeCell ref="BH31:BJ31"/>
    <mergeCell ref="BK31:BQ31"/>
    <mergeCell ref="BK32:BQ32"/>
    <mergeCell ref="AJ31:AL31"/>
    <mergeCell ref="AP31:AR31"/>
    <mergeCell ref="AS31:AU31"/>
    <mergeCell ref="AV31:AX31"/>
    <mergeCell ref="AY31:BA31"/>
    <mergeCell ref="B31:D31"/>
    <mergeCell ref="E31:I31"/>
    <mergeCell ref="J31:P31"/>
    <mergeCell ref="Q31:W31"/>
    <mergeCell ref="X31:AD31"/>
    <mergeCell ref="AE31:AF31"/>
    <mergeCell ref="AG31:AI31"/>
    <mergeCell ref="B32:D32"/>
    <mergeCell ref="E32:I32"/>
    <mergeCell ref="J32:P32"/>
    <mergeCell ref="Q32:W32"/>
    <mergeCell ref="X32:AD32"/>
    <mergeCell ref="AE32:AF32"/>
    <mergeCell ref="AG32:AI32"/>
    <mergeCell ref="AJ39:AL39"/>
    <mergeCell ref="AP39:AR39"/>
    <mergeCell ref="AS39:AU39"/>
    <mergeCell ref="AV39:AX39"/>
    <mergeCell ref="AY39:BA39"/>
    <mergeCell ref="BH39:BJ39"/>
    <mergeCell ref="BH37:BJ37"/>
    <mergeCell ref="BK37:BQ37"/>
    <mergeCell ref="AJ37:AL37"/>
    <mergeCell ref="AP37:AR37"/>
    <mergeCell ref="AS37:AU37"/>
    <mergeCell ref="AV37:AX37"/>
    <mergeCell ref="AY37:BA37"/>
    <mergeCell ref="B37:D37"/>
    <mergeCell ref="E37:I37"/>
    <mergeCell ref="J37:P37"/>
    <mergeCell ref="Q37:W37"/>
    <mergeCell ref="X37:AD37"/>
    <mergeCell ref="AE37:AF37"/>
    <mergeCell ref="AG37:AI37"/>
    <mergeCell ref="BH38:BJ38"/>
    <mergeCell ref="BK38:BQ38"/>
    <mergeCell ref="BK39:BQ39"/>
    <mergeCell ref="AJ38:AL38"/>
    <mergeCell ref="AP38:AR38"/>
    <mergeCell ref="AS38:AU38"/>
    <mergeCell ref="AV38:AX38"/>
    <mergeCell ref="AY38:BA38"/>
    <mergeCell ref="B38:D38"/>
    <mergeCell ref="E38:I38"/>
    <mergeCell ref="J38:P38"/>
    <mergeCell ref="Q38:W38"/>
    <mergeCell ref="X38:AD38"/>
    <mergeCell ref="AE38:AF38"/>
    <mergeCell ref="AG38:AI38"/>
    <mergeCell ref="B39:D39"/>
    <mergeCell ref="E39:I39"/>
    <mergeCell ref="J39:P39"/>
    <mergeCell ref="Q39:W39"/>
    <mergeCell ref="X39:AD39"/>
    <mergeCell ref="AE39:AF39"/>
    <mergeCell ref="AG39:AI39"/>
    <mergeCell ref="AJ42:AL42"/>
    <mergeCell ref="AP42:AR42"/>
    <mergeCell ref="AS42:AU42"/>
    <mergeCell ref="AV42:AX42"/>
    <mergeCell ref="AY42:BA42"/>
    <mergeCell ref="BH42:BJ42"/>
    <mergeCell ref="BH40:BJ40"/>
    <mergeCell ref="BK40:BQ40"/>
    <mergeCell ref="AJ40:AL40"/>
    <mergeCell ref="AP40:AR40"/>
    <mergeCell ref="AS40:AU40"/>
    <mergeCell ref="AV40:AX40"/>
    <mergeCell ref="AY40:BA40"/>
    <mergeCell ref="B40:D40"/>
    <mergeCell ref="E40:I40"/>
    <mergeCell ref="J40:P40"/>
    <mergeCell ref="Q40:W40"/>
    <mergeCell ref="X40:AD40"/>
    <mergeCell ref="AE40:AF40"/>
    <mergeCell ref="AG40:AI40"/>
    <mergeCell ref="BH41:BJ41"/>
    <mergeCell ref="BK41:BQ41"/>
    <mergeCell ref="BK42:BQ42"/>
    <mergeCell ref="AJ41:AL41"/>
    <mergeCell ref="AP41:AR41"/>
    <mergeCell ref="AS41:AU41"/>
    <mergeCell ref="AV41:AX41"/>
    <mergeCell ref="AY41:BA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AJ45:AL45"/>
    <mergeCell ref="AP45:AR45"/>
    <mergeCell ref="AS45:AU45"/>
    <mergeCell ref="AV45:AX45"/>
    <mergeCell ref="AY45:BA45"/>
    <mergeCell ref="BH45:BJ45"/>
    <mergeCell ref="BH43:BJ43"/>
    <mergeCell ref="BK43:BQ43"/>
    <mergeCell ref="AJ43:AL43"/>
    <mergeCell ref="AP43:AR43"/>
    <mergeCell ref="AS43:AU43"/>
    <mergeCell ref="AV43:AX43"/>
    <mergeCell ref="AY43:BA43"/>
    <mergeCell ref="B43:D43"/>
    <mergeCell ref="E43:I43"/>
    <mergeCell ref="J43:P43"/>
    <mergeCell ref="Q43:W43"/>
    <mergeCell ref="X43:AD43"/>
    <mergeCell ref="AE43:AF43"/>
    <mergeCell ref="AG43:AI43"/>
    <mergeCell ref="BH44:BJ44"/>
    <mergeCell ref="BK44:BQ44"/>
    <mergeCell ref="BK45:BQ45"/>
    <mergeCell ref="AJ44:AL44"/>
    <mergeCell ref="AP44:AR44"/>
    <mergeCell ref="AS44:AU44"/>
    <mergeCell ref="AV44:AX44"/>
    <mergeCell ref="AY44:BA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s>
  <dataValidations>
    <dataValidation type="list" allowBlank="1" sqref="F1">
      <formula1>"単体テスト,結合テスト,システムテスト"</formula1>
    </dataValidation>
    <dataValidation type="list" allowBlank="1" sqref="AG13:AG20 AV13:AV20 AG22:AG27 AV22:AV27 AG29:AG33 AV29:AV33 AG35:AG48 AV35:AV48 AG50:AG56 AV50:AV56 AG58:AG59 AV58:AV59">
      <formula1>"合格,不合格,未テスト,N/A"</formula1>
    </dataValidation>
    <dataValidation type="list" allowBlank="1" sqref="AE13:AE20 AE22:AE27 AE29:AE33 AE35:AE48 AE50:AE56 AE58:AE59">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2026-08-06T09:37:01Z</dcterms:created>
  <dc:creator>openpyxl</dc:creator>
</cp:coreProperties>
</file>