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tug9mogu4M0AYICkLooE9hmWMFLZjk0+aJkuETCxkLI="/>
    </ext>
  </extLst>
</workbook>
</file>

<file path=xl/sharedStrings.xml><?xml version="1.0" encoding="utf-8"?>
<sst xmlns="http://schemas.openxmlformats.org/spreadsheetml/2006/main" count="664" uniqueCount="450">
  <si>
    <t>クラウド版購読者管理システム</t>
  </si>
  <si>
    <t>購読者名簿出力画面</t>
  </si>
  <si>
    <t>版1.0</t>
  </si>
  <si>
    <t>フォーマットコード</t>
  </si>
  <si>
    <t>16-BM/PM/VTI</t>
  </si>
  <si>
    <t>フォーマットバージョン</t>
  </si>
  <si>
    <t>1.0</t>
  </si>
  <si>
    <t>発行日</t>
  </si>
  <si>
    <t>2026/06/17</t>
  </si>
  <si>
    <t>項番</t>
  </si>
  <si>
    <t>バージョン</t>
  </si>
  <si>
    <t>担当者</t>
  </si>
  <si>
    <t>変更内容</t>
  </si>
  <si>
    <t>確認者</t>
  </si>
  <si>
    <t>承認者</t>
  </si>
  <si>
    <t>Kieu Thi Diem</t>
  </si>
  <si>
    <t>Tạo bản đầu tiên</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</si>
  <si>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</si>
  <si>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</si>
  <si>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</si>
  <si>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</si>
  <si>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</si>
  <si>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</si>
  <si>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</si>
  <si>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</si>
  <si>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</si>
  <si>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</si>
  <si>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</si>
  <si>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 chức năng như quản lý thông tin độc giả, quản lý lịch sử đăng ký, quản lý dữ liệu chuyển khoản tự động.</t>
  </si>
  <si>
    <t>Với tư cách là các chức năng chính, hệ thống cung cấp đăng ký・cập nhật・tìm kiếm thông tin độc giả, quản lý lịch sử thay đổi nội dung đăng ký, tạo và quản lý dữ liệu chuyển khoản tự động, chức năng upload・download file, quản lý thông báo của hệ thống.</t>
  </si>
  <si>
    <t>Ngoài ra, hệ thống hỗ trợ các chức năng bảo mật・kiểm toán như quản lý đăng nhập của người dùng, ghi lại lịch sử đăng nhập, ghi lại log thao tác của người dùng.</t>
  </si>
  <si>
    <t>2.資料目的</t>
  </si>
  <si>
    <t>Đây là tài liệu mô tả chi tiết bản đặc tả kiểm thử được tạo mới trên hệ thống đối với「Màn hình xuất danh bạ độc giả（ACSMS-SCR-026）」.</t>
  </si>
  <si>
    <t>3.関連資料</t>
  </si>
  <si>
    <t>No</t>
  </si>
  <si>
    <t>資料コード</t>
  </si>
  <si>
    <t>資料名</t>
  </si>
  <si>
    <t>ACSMS-SCR-026</t>
  </si>
  <si>
    <t>購読者名簿出力画面 設計書</t>
  </si>
  <si>
    <t>購読者名簿出力画面 API設計書</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</si>
  <si>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</si>
  <si>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</si>
  <si>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</si>
  <si>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</si>
  <si>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</si>
  <si>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</si>
  <si>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</si>
  <si>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</si>
  <si>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</si>
  <si>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</si>
  <si>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</si>
  <si>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</si>
  <si>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</si>
  <si>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</si>
  <si>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</si>
  <si>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</si>
  <si>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</si>
  <si>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</si>
  <si>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</si>
  <si>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</si>
  <si>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</si>
  <si>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</si>
  <si>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</si>
  <si>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</si>
  <si>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</si>
  <si>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</si>
  <si>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</si>
  <si>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</si>
  <si>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</si>
  <si>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</si>
  <si>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</si>
  <si>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</si>
  <si>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</si>
  <si>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</si>
  <si>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</si>
  <si>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</si>
  <si>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</si>
  <si>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</si>
  <si>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</si>
  <si>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</si>
  <si>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</si>
  <si>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</si>
  <si>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</si>
  <si>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</si>
  <si>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</si>
  <si>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</si>
  <si>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</si>
  <si>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</si>
  <si>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</si>
  <si>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</si>
  <si>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</si>
  <si>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</si>
  <si>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</si>
  <si>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</si>
  <si>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</si>
  <si>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</si>
  <si>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</si>
  <si>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</si>
  <si>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</si>
  <si>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</si>
  <si>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</si>
  <si>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</si>
  <si>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</si>
  <si>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</si>
  <si>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</si>
  <si>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</si>
  <si>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</si>
  <si>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</si>
  <si>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</si>
  <si>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</si>
  <si>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</si>
  <si>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</si>
  <si>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</si>
  <si>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</si>
  <si>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</si>
  <si>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</si>
  <si>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</si>
  <si>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</si>
  <si>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</si>
  <si>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</si>
  <si>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</si>
  <si>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</si>
  <si>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</si>
  <si>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</si>
  <si>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</si>
  <si>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</si>
  <si>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</si>
  <si>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</si>
  <si>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</si>
  <si>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</si>
  <si>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</si>
  <si>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</si>
  <si>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</si>
  <si>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</si>
  <si>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</si>
  <si>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</si>
  <si>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</si>
  <si>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</si>
  <si>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</si>
  <si>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</si>
  <si>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</si>
  <si>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</si>
  <si>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</si>
  <si>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</si>
  <si>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</si>
  <si>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</si>
  <si>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</si>
  <si>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</si>
  <si>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</si>
  <si>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</si>
  <si>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</si>
  <si>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</si>
  <si>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</si>
  <si>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</si>
  <si>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</si>
  <si>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</si>
  <si>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</si>
  <si>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</si>
  <si>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</si>
  <si>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</si>
  <si>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</si>
  <si>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</si>
  <si>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</si>
  <si>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</si>
  <si>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</si>
  <si>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</si>
  <si>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</si>
  <si>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</si>
  <si>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</si>
  <si>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</si>
  <si>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</si>
  <si>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</si>
  <si>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</si>
  <si>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</si>
  <si>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</si>
  <si>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</si>
  <si>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</si>
  <si>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</si>
  <si>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</si>
  <si>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</si>
  <si>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</si>
  <si>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</si>
  <si>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</si>
  <si>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</si>
  <si>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</si>
  <si>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</si>
  <si>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</si>
  <si>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</si>
  <si>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</si>
  <si>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</si>
  <si>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</si>
  <si>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</si>
  <si>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</si>
  <si>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</si>
  <si>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</si>
  <si>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</si>
  <si>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</si>
  <si>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</si>
  <si>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</si>
  <si>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</si>
  <si>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</si>
  <si>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</si>
  <si>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</si>
  <si>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</si>
  <si>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</si>
  <si>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</si>
  <si>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</si>
  <si>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</si>
  <si>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</si>
  <si>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</si>
  <si>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</si>
  <si>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</si>
  <si>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</si>
  <si>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</si>
  <si>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</si>
  <si>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</si>
  <si>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</si>
  <si>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</si>
  <si>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</si>
  <si>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</si>
  <si>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</si>
  <si>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</si>
  <si>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</si>
  <si>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</si>
  <si>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</si>
  <si>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</si>
  <si>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</si>
  <si>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</si>
  <si>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</si>
  <si>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</si>
  <si>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ACSMS-SCR-026_購読者名簿出力画面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</si>
  <si>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</si>
  <si>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</si>
  <si>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</si>
  <si>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</si>
  <si>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</si>
  <si>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</si>
  <si>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</si>
  <si>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</si>
  <si>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</si>
  <si>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</si>
  <si>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</si>
  <si>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</si>
  <si>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</si>
  <si>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</si>
  <si>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</si>
  <si>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</si>
  <si>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</si>
  <si>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</si>
  <si>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</si>
  <si>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</si>
  <si>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</si>
  <si>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カテゴリ1: Kiểm soát quyền truy cập (Access Control)</t>
  </si>
  <si>
    <t>ACSMS-TC-026-001</t>
  </si>
  <si>
    <t>Cấm truy cập màn hình（NICHINO_ADMIN）</t>
  </si>
  <si>
    <t>・Đã đăng nhập bằng NICHINO_ADMIN（đã xác thực 2 lớp）
・Không có quyền「report.export_meibo」</t>
  </si>
  <si>
    <r>
      <rPr>
        <rFont val="メイリオ"/>
        <b/>
        <color rgb="FF000000"/>
        <sz val="10.0"/>
      </rPr>
      <t xml:space="preserve">ステップ1：
</t>
    </r>
    <r>
      <rPr>
        <rFont val="メイリオ"/>
        <color rgb="FF000000"/>
        <sz val="10.0"/>
      </rPr>
      <t xml:space="preserve">Mở dashboard, xác nhận mục「購読者名簿出力」không hiển thị trên sidebar
</t>
    </r>
    <r>
      <rPr>
        <rFont val="メイリオ"/>
        <b/>
        <color rgb="FF000000"/>
        <sz val="10.0"/>
      </rPr>
      <t xml:space="preserve">ステップ2：
</t>
    </r>
    <r>
      <rPr>
        <rFont val="メイリオ"/>
        <color rgb="FF000000"/>
        <sz val="10.0"/>
      </rPr>
      <t xml:space="preserve">Nhập「/report/meibo」vào thanh địa chỉ trình duyệt và truy cập trực tiếp
</t>
    </r>
    <r>
      <rPr>
        <rFont val="メイリオ"/>
        <b/>
        <color rgb="FF000000"/>
        <sz val="10.0"/>
      </rPr>
      <t xml:space="preserve">ステップ3：
</t>
    </r>
    <r>
      <rPr>
        <rFont val="メイリオ"/>
        <color rgb="FF000000"/>
        <sz val="10.0"/>
      </rPr>
      <t>Gửi GET「/api/v1/report/meibo/preview」bằng request parameter hợp lệ trên tab Network của DevTools</t>
    </r>
  </si>
  <si>
    <r>
      <rPr>
        <rFont val="メイリオ"/>
        <b/>
        <color rgb="FF000000"/>
        <sz val="10.0"/>
      </rPr>
      <t xml:space="preserve">ステップ1：
</t>
    </r>
    <r>
      <rPr>
        <rFont val="メイリオ"/>
        <color rgb="FF000000"/>
        <sz val="10.0"/>
      </rPr>
      <t xml:space="preserve">Mục「購読者名簿出力」không hiển thị trên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403（`error_code: FORBIDDEN`、メッセージ `この画面へのアクセス権限がありません。`）
</t>
    </r>
    <r>
      <rPr>
        <rFont val="メイリオ"/>
        <b/>
        <color rgb="FF000000"/>
        <sz val="10.0"/>
      </rPr>
      <t xml:space="preserve">補足：
</t>
    </r>
    <r>
      <rPr>
        <rFont val="メイリオ"/>
        <color rgb="FF000000"/>
        <sz val="10.0"/>
      </rPr>
      <t xml:space="preserve">・Khi nhận được 403 từ API xuất báo cáo của màn hình này, frontend hiển thị message「この機能はJAアカウントのみ使用できます。」(ACSMS-MSG-026-001)
</t>
    </r>
    <r>
      <rPr>
        <rFont val="メイリオ"/>
        <color rgb="FF000000"/>
        <sz val="10.0"/>
      </rPr>
      <t>・Truy cập được kiểm soát ở cả 3 lớp: FE menu, FE router guard, BE API guard</t>
    </r>
  </si>
  <si>
    <t>ACSMS-TC-026-002</t>
  </si>
  <si>
    <t>Cấm truy cập màn hình（NICHINO_STAFF）</t>
  </si>
  <si>
    <t>・Đã đăng nhập bằng NICHINO_STAFF（đã xác thực 2 lớp）
・Không có quyền「report.export_meibo」</t>
  </si>
  <si>
    <r>
      <rPr>
        <rFont val="メイリオ"/>
        <b/>
        <color rgb="FF000000"/>
        <sz val="10.0"/>
      </rPr>
      <t xml:space="preserve">ステップ1：
</t>
    </r>
    <r>
      <rPr>
        <rFont val="メイリオ"/>
        <color rgb="FF000000"/>
        <sz val="10.0"/>
      </rPr>
      <t xml:space="preserve">Mở dashboard, xác nhận mục「購読者名簿出力」không hiển thị trên sidebar
</t>
    </r>
    <r>
      <rPr>
        <rFont val="メイリオ"/>
        <b/>
        <color rgb="FF000000"/>
        <sz val="10.0"/>
      </rPr>
      <t xml:space="preserve">ステップ2：
</t>
    </r>
    <r>
      <rPr>
        <rFont val="メイリオ"/>
        <color rgb="FF000000"/>
        <sz val="10.0"/>
      </rPr>
      <t xml:space="preserve">Nhập「/report/meibo」vào thanh địa chỉ trình duyệt và truy cập trực tiếp
</t>
    </r>
    <r>
      <rPr>
        <rFont val="メイリオ"/>
        <b/>
        <color rgb="FF000000"/>
        <sz val="10.0"/>
      </rPr>
      <t xml:space="preserve">ステップ3：
</t>
    </r>
    <r>
      <rPr>
        <rFont val="メイリオ"/>
        <color rgb="FF000000"/>
        <sz val="10.0"/>
      </rPr>
      <t>Gửi GET「/api/v1/report/meibo/export」bằng request parameter hợp lệ trên tab Network của DevTools</t>
    </r>
  </si>
  <si>
    <r>
      <rPr>
        <rFont val="メイリオ"/>
        <b/>
        <color rgb="FF000000"/>
        <sz val="10.0"/>
      </rPr>
      <t xml:space="preserve">ステップ1：
</t>
    </r>
    <r>
      <rPr>
        <rFont val="メイリオ"/>
        <color rgb="FF000000"/>
        <sz val="10.0"/>
      </rPr>
      <t xml:space="preserve">Mục「購読者名簿出力」không hiển thị trên sidebar
</t>
    </r>
    <r>
      <rPr>
        <rFont val="メイリオ"/>
        <b/>
        <color rgb="FF000000"/>
        <sz val="10.0"/>
      </rPr>
      <t xml:space="preserve">ステップ2：
</t>
    </r>
    <r>
      <rPr>
        <rFont val="メイリオ"/>
        <color rgb="FF000000"/>
        <sz val="10.0"/>
      </rPr>
      <t xml:space="preserve">Hiển thị toast「アクセス権がありません。」và chuyển sang「/dashboard」
</t>
    </r>
    <r>
      <rPr>
        <rFont val="メイリオ"/>
        <b/>
        <color rgb="FF000000"/>
        <sz val="10.0"/>
      </rPr>
      <t xml:space="preserve">ステップ3：
</t>
    </r>
    <r>
      <rPr>
        <rFont val="メイリオ"/>
        <color rgb="FF000000"/>
        <sz val="10.0"/>
      </rPr>
      <t xml:space="preserve">Trả về HTTP 403（`error_code: FORBIDDEN`、メッセージ `この画面へのアクセス権限がありません。`）
</t>
    </r>
    <r>
      <rPr>
        <rFont val="メイリオ"/>
        <b/>
        <color rgb="FF000000"/>
        <sz val="10.0"/>
      </rPr>
      <t xml:space="preserve">補足：
</t>
    </r>
    <r>
      <rPr>
        <rFont val="メイリオ"/>
        <color rgb="FF000000"/>
        <sz val="10.0"/>
      </rPr>
      <t>・Khi nhận được 403 từ API xuất báo cáo của màn hình này, frontend hiển thị message「この機能はJAアカウントのみ使用できます。」(ACSMS-MSG-026-001)</t>
    </r>
  </si>
  <si>
    <t>ACSMS-TC-026-003</t>
  </si>
  <si>
    <t>Cho phép truy cập màn hình（CHUOKAI）</t>
  </si>
  <si>
    <t>・Đã đăng nhập bằng CHUOKAI（đã xác thực 2 lớp）
・Giữ quyền「report.export_meibo」</t>
  </si>
  <si>
    <r>
      <rPr>
        <rFont val="メイリオ"/>
        <b/>
        <color rgb="FF000000"/>
        <sz val="10.0"/>
      </rPr>
      <t xml:space="preserve">ステップ1：
</t>
    </r>
    <r>
      <rPr>
        <rFont val="メイリオ"/>
        <color rgb="FF000000"/>
        <sz val="10.0"/>
      </rPr>
      <t xml:space="preserve">Mở dashboard, xác nhận mục「購読者名簿出力」hiển thị trên sidebar
</t>
    </r>
    <r>
      <rPr>
        <rFont val="メイリオ"/>
        <b/>
        <color rgb="FF000000"/>
        <sz val="10.0"/>
      </rPr>
      <t xml:space="preserve">ステップ2：
</t>
    </r>
    <r>
      <rPr>
        <rFont val="メイリオ"/>
        <color rgb="FF000000"/>
        <sz val="10.0"/>
      </rPr>
      <t>Click mục「購読者名簿出力」</t>
    </r>
  </si>
  <si>
    <r>
      <rPr>
        <rFont val="メイリオ"/>
        <b/>
        <color rgb="FF000000"/>
        <sz val="10.0"/>
      </rPr>
      <t xml:space="preserve">ステップ1：
</t>
    </r>
    <r>
      <rPr>
        <rFont val="メイリオ"/>
        <color rgb="FF000000"/>
        <sz val="10.0"/>
      </rPr>
      <t xml:space="preserve">Mục「購読者名簿出力」được hiển thị trên sidebar
</t>
    </r>
    <r>
      <rPr>
        <rFont val="メイリオ"/>
        <b/>
        <color rgb="FF000000"/>
        <sz val="10.0"/>
      </rPr>
      <t xml:space="preserve">ステップ2：
</t>
    </r>
    <r>
      <rPr>
        <rFont val="メイリオ"/>
        <color rgb="FF000000"/>
        <sz val="10.0"/>
      </rPr>
      <t>Chuyển sang「/report/meibo」và màn hình điều kiện xuất được hiển thị</t>
    </r>
  </si>
  <si>
    <t>N</t>
  </si>
  <si>
    <t>ACSMS-TC-026-004</t>
  </si>
  <si>
    <t>Cho phép truy cập màn hình（JA_HONTEN）</t>
  </si>
  <si>
    <t>・Đã đăng nhập bằng JA_HONTEN（đã xác thực 2 lớp）
・Giữ quyền「report.export_meibo」</t>
  </si>
  <si>
    <r>
      <rPr>
        <rFont val="メイリオ"/>
        <b/>
        <color rgb="FF000000"/>
        <sz val="10.0"/>
      </rPr>
      <t xml:space="preserve">ステップ1：
</t>
    </r>
    <r>
      <rPr>
        <rFont val="メイリオ"/>
        <color rgb="FF000000"/>
        <sz val="10.0"/>
      </rPr>
      <t xml:space="preserve">Mở dashboard, xác nhận mục「購読者名簿出力」hiển thị trên sidebar
</t>
    </r>
    <r>
      <rPr>
        <rFont val="メイリオ"/>
        <b/>
        <color rgb="FF000000"/>
        <sz val="10.0"/>
      </rPr>
      <t xml:space="preserve">ステップ2：
</t>
    </r>
    <r>
      <rPr>
        <rFont val="メイリオ"/>
        <color rgb="FF000000"/>
        <sz val="10.0"/>
      </rPr>
      <t>Click mục「購読者名簿出力」</t>
    </r>
  </si>
  <si>
    <r>
      <rPr>
        <rFont val="メイリオ"/>
        <b/>
        <color rgb="FF000000"/>
        <sz val="10.0"/>
      </rPr>
      <t xml:space="preserve">ステップ1：
</t>
    </r>
    <r>
      <rPr>
        <rFont val="メイリオ"/>
        <color rgb="FF000000"/>
        <sz val="10.0"/>
      </rPr>
      <t xml:space="preserve">Mục「購読者名簿出力」được hiển thị trên sidebar
</t>
    </r>
    <r>
      <rPr>
        <rFont val="メイリオ"/>
        <b/>
        <color rgb="FF000000"/>
        <sz val="10.0"/>
      </rPr>
      <t xml:space="preserve">ステップ2：
</t>
    </r>
    <r>
      <rPr>
        <rFont val="メイリオ"/>
        <color rgb="FF000000"/>
        <sz val="10.0"/>
      </rPr>
      <t>Chuyển sang「/report/meibo」và màn hình điều kiện xuất được hiển thị</t>
    </r>
  </si>
  <si>
    <t>ACSMS-TC-026-005</t>
  </si>
  <si>
    <t>Cho phép truy cập màn hình（JA_KANRI_SHITEN）</t>
  </si>
  <si>
    <t>・Đã đăng nhập bằng JA_KANRI_SHITEN（đã xác thực 2 lớp）
・Giữ quyền「report.export_meibo」</t>
  </si>
  <si>
    <r>
      <rPr>
        <rFont val="メイリオ"/>
        <b/>
        <color rgb="FF000000"/>
        <sz val="10.0"/>
      </rPr>
      <t xml:space="preserve">ステップ1：
</t>
    </r>
    <r>
      <rPr>
        <rFont val="メイリオ"/>
        <color rgb="FF000000"/>
        <sz val="10.0"/>
      </rPr>
      <t xml:space="preserve">Mở dashboard, xác nhận mục「購読者名簿出力」hiển thị trên sidebar
</t>
    </r>
    <r>
      <rPr>
        <rFont val="メイリオ"/>
        <b/>
        <color rgb="FF000000"/>
        <sz val="10.0"/>
      </rPr>
      <t xml:space="preserve">ステップ2：
</t>
    </r>
    <r>
      <rPr>
        <rFont val="メイリオ"/>
        <color rgb="FF000000"/>
        <sz val="10.0"/>
      </rPr>
      <t>Click mục「購読者名簿出力」</t>
    </r>
  </si>
  <si>
    <r>
      <rPr>
        <rFont val="メイリオ"/>
        <b/>
        <color rgb="FF000000"/>
        <sz val="10.0"/>
      </rPr>
      <t xml:space="preserve">ステップ1：
</t>
    </r>
    <r>
      <rPr>
        <rFont val="メイリオ"/>
        <color rgb="FF000000"/>
        <sz val="10.0"/>
      </rPr>
      <t xml:space="preserve">Mục「購読者名簿出力」được hiển thị trên sidebar
</t>
    </r>
    <r>
      <rPr>
        <rFont val="メイリオ"/>
        <b/>
        <color rgb="FF000000"/>
        <sz val="10.0"/>
      </rPr>
      <t xml:space="preserve">ステップ2：
</t>
    </r>
    <r>
      <rPr>
        <rFont val="メイリオ"/>
        <color rgb="FF000000"/>
        <sz val="10.0"/>
      </rPr>
      <t xml:space="preserve">Chuyển sang「/report/meibo」và màn hình điều kiện xuất được hiển thị
</t>
    </r>
    <r>
      <rPr>
        <rFont val="メイリオ"/>
        <b/>
        <color rgb="FF000000"/>
        <sz val="10.0"/>
      </rPr>
      <t xml:space="preserve">補足：
</t>
    </r>
    <r>
      <rPr>
        <rFont val="メイリオ"/>
        <color rgb="FF000000"/>
        <sz val="10.0"/>
      </rPr>
      <t>・Đối tượng xuất chỉ giới hạn ở độc giả thuộc quản lý chi nhánh của chính mình（DataScope `kanri_shiten_id = user.kanri_shiten_id`）</t>
    </r>
  </si>
  <si>
    <t>ACSMS-TC-026-006</t>
  </si>
  <si>
    <t>Chỉ định販売店 ngoài scope（CHUOKAI）</t>
  </si>
  <si>
    <t>・Đã đăng nhập bằng CHUOKAI（ja_id=1）
・Tồn tại ID販売店（ví dụ：99）thuộc JA khác（ja_id=2）</t>
  </si>
  <si>
    <r>
      <rPr>
        <rFont val="メイリオ"/>
        <b/>
        <color rgb="FF000000"/>
        <sz val="10.0"/>
      </rPr>
      <t xml:space="preserve">ステップ1：
</t>
    </r>
    <r>
      <rPr>
        <rFont val="メイリオ"/>
        <color rgb="FF000000"/>
        <sz val="10.0"/>
      </rPr>
      <t xml:space="preserve">Nhập 帳票種別=販売店別, 適用日
</t>
    </r>
    <r>
      <rPr>
        <rFont val="メイリオ"/>
        <b/>
        <color rgb="FF000000"/>
        <sz val="10.0"/>
      </rPr>
      <t xml:space="preserve">ステップ2：
</t>
    </r>
    <r>
      <rPr>
        <rFont val="メイリオ"/>
        <color rgb="FF000000"/>
        <sz val="10.0"/>
      </rPr>
      <t>Gửi GET「/api/v1/report/meibo/preview」kèm `hanbaiten_ids=99` thuộc JA khác trên tab Network của DevTools</t>
    </r>
  </si>
  <si>
    <r>
      <rPr>
        <rFont val="メイリオ"/>
        <b/>
        <color rgb="FF000000"/>
        <sz val="10.0"/>
      </rPr>
      <t xml:space="preserve">ステップ1：
</t>
    </r>
    <r>
      <rPr>
        <rFont val="メイリオ"/>
        <color rgb="FF000000"/>
        <sz val="10.0"/>
      </rPr>
      <t xml:space="preserve">Có thể nhập điều kiện xuất
</t>
    </r>
    <r>
      <rPr>
        <rFont val="メイリオ"/>
        <b/>
        <color rgb="FF000000"/>
        <sz val="10.0"/>
      </rPr>
      <t xml:space="preserve">ステップ2：
</t>
    </r>
    <r>
      <rPr>
        <rFont val="メイリオ"/>
        <color rgb="FF000000"/>
        <sz val="10.0"/>
      </rPr>
      <t>Trả về HTTP 403（`error_code: DATA_SCOPE_VIOLATION`、メッセージ `このデータへのアクセス権限がありません。`）</t>
    </r>
  </si>
  <si>
    <t>ACSMS-TC-026-007</t>
  </si>
  <si>
    <t>Chỉ định管理支店 ngoài scope（JA_KANRI_SHITEN）</t>
  </si>
  <si>
    <t>・Đã đăng nhập bằng JA_KANRI_SHITEN（kanri_shiten_id=10）
・Tồn tại ID管理支店 khác（ví dụ：20）thuộc JA của chính mình</t>
  </si>
  <si>
    <r>
      <rPr>
        <rFont val="メイリオ"/>
        <b/>
        <color rgb="FF000000"/>
        <sz val="10.0"/>
      </rPr>
      <t xml:space="preserve">ステップ1：
</t>
    </r>
    <r>
      <rPr>
        <rFont val="メイリオ"/>
        <color rgb="FF000000"/>
        <sz val="10.0"/>
      </rPr>
      <t xml:space="preserve">Nhập 帳票種別=管理支店別, 適用日
</t>
    </r>
    <r>
      <rPr>
        <rFont val="メイリオ"/>
        <b/>
        <color rgb="FF000000"/>
        <sz val="10.0"/>
      </rPr>
      <t xml:space="preserve">ステップ2：
</t>
    </r>
    <r>
      <rPr>
        <rFont val="メイリオ"/>
        <color rgb="FF000000"/>
        <sz val="10.0"/>
      </rPr>
      <t>Gửi GET「/api/v1/report/meibo/preview」kèm `kanri_shiten_ids=20` không phải quản lý chi nhánh của chính mình trên tab Network của DevTools</t>
    </r>
  </si>
  <si>
    <r>
      <rPr>
        <rFont val="メイリオ"/>
        <b/>
        <color rgb="FF000000"/>
        <sz val="10.0"/>
      </rPr>
      <t xml:space="preserve">ステップ1：
</t>
    </r>
    <r>
      <rPr>
        <rFont val="メイリオ"/>
        <color rgb="FF000000"/>
        <sz val="10.0"/>
      </rPr>
      <t xml:space="preserve">Có thể nhập điều kiện xuất
</t>
    </r>
    <r>
      <rPr>
        <rFont val="メイリオ"/>
        <b/>
        <color rgb="FF000000"/>
        <sz val="10.0"/>
      </rPr>
      <t xml:space="preserve">ステップ2：
</t>
    </r>
    <r>
      <rPr>
        <rFont val="メイリオ"/>
        <color rgb="FF000000"/>
        <sz val="10.0"/>
      </rPr>
      <t>Trả về HTTP 403（`error_code: DATA_SCOPE_VIOLATION`、メッセージ `このデータへのアクセス権限がありません。`）</t>
    </r>
  </si>
  <si>
    <t>ACSMS-TC-026-008</t>
  </si>
  <si>
    <t>Truy cập trực tiếp URL（role không có quyền）</t>
  </si>
  <si>
    <t>・Đã đăng nhập bằng NICHINO_ADMIN（không có quyền「report.export_meibo」）</t>
  </si>
  <si>
    <r>
      <rPr>
        <rFont val="メイリオ"/>
        <b/>
        <strike/>
        <color rgb="FF000000"/>
        <sz val="10.0"/>
      </rPr>
      <t xml:space="preserve">ステップ1：
</t>
    </r>
    <r>
      <rPr>
        <rFont val="メイリオ"/>
        <strike/>
        <color rgb="FF000000"/>
        <sz val="10.0"/>
      </rPr>
      <t xml:space="preserve">Nhập trực tiếp「/report/meibo」vào thanh địa chỉ và truy cập
</t>
    </r>
    <r>
      <rPr>
        <rFont val="メイリオ"/>
        <b/>
        <strike/>
        <color rgb="FF000000"/>
        <sz val="10.0"/>
      </rPr>
      <t xml:space="preserve">ステップ2：
</t>
    </r>
    <r>
      <rPr>
        <rFont val="メイリオ"/>
        <strike/>
        <color rgb="FF000000"/>
        <sz val="10.0"/>
      </rPr>
      <t>Tải lại bằng phím F5 của trình duyệt</t>
    </r>
  </si>
  <si>
    <r>
      <rPr>
        <rFont val="メイリオ"/>
        <b/>
        <strike/>
        <color rgb="FF000000"/>
        <sz val="10.0"/>
      </rPr>
      <t xml:space="preserve">ステップ1：
</t>
    </r>
    <r>
      <rPr>
        <rFont val="メイリオ"/>
        <strike/>
        <color rgb="FF000000"/>
        <sz val="10.0"/>
      </rPr>
      <t xml:space="preserve">Hiển thị toast「アクセス権がありません。」và chuyển sang「/dashboard」
</t>
    </r>
    <r>
      <rPr>
        <rFont val="メイリオ"/>
        <b/>
        <strike/>
        <color rgb="FF000000"/>
        <sz val="10.0"/>
      </rPr>
      <t xml:space="preserve">ステップ2：
</t>
    </r>
    <r>
      <rPr>
        <rFont val="メイリオ"/>
        <strike/>
        <color rgb="FF000000"/>
        <sz val="10.0"/>
      </rPr>
      <t>Sau khi tải lại, màn hình vẫn không hiển thị và chuyển sang「/dashboard」</t>
    </r>
  </si>
  <si>
    <t>Case này trùng với step 2 trong case 1</t>
  </si>
  <si>
    <t>カテゴリ2: Hiển thị màn hình (Layout / Rendering)</t>
  </si>
  <si>
    <t>ACSMS-TC-026-009</t>
  </si>
  <si>
    <t>Hiển thị tiêu đề màn hình・breadcrumb</t>
  </si>
  <si>
    <t>・Đã đăng nhập bằng CHUOKAI</t>
  </si>
  <si>
    <r>
      <rPr>
        <rFont val="メイリオ"/>
        <b/>
        <color rgb="FF000000"/>
        <sz val="10.0"/>
      </rPr>
      <t xml:space="preserve">ステップ1：
</t>
    </r>
    <r>
      <rPr>
        <rFont val="メイリオ"/>
        <color rgb="FF000000"/>
        <sz val="10.0"/>
      </rPr>
      <t xml:space="preserve">Mở「/report/meibo」
</t>
    </r>
    <r>
      <rPr>
        <rFont val="メイリオ"/>
        <b/>
        <color rgb="FF000000"/>
        <sz val="10.0"/>
      </rPr>
      <t xml:space="preserve">ステップ2：
</t>
    </r>
    <r>
      <rPr>
        <rFont val="メイリオ"/>
        <color rgb="FF000000"/>
        <sz val="10.0"/>
      </rPr>
      <t>Xác nhận tiêu đề và breadcrumb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</si>
  <si>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Tiêu đề màn hình「購読者名簿出力」được hiển thị, breadcrumb hiển thị「ホーム &gt; 購読者名簿出力」</t>
    </r>
  </si>
  <si>
    <t>ACSMS-TC-026-010</t>
  </si>
  <si>
    <t>Giá trị mặc định khi hiển thị ban đầu</t>
  </si>
  <si>
    <r>
      <rPr>
        <rFont val="メイリオ"/>
        <b/>
        <color rgb="FF000000"/>
        <sz val="10.0"/>
      </rPr>
      <t xml:space="preserve">ステップ1：
</t>
    </r>
    <r>
      <rPr>
        <rFont val="メイリオ"/>
        <color rgb="FF000000"/>
        <sz val="10.0"/>
      </rPr>
      <t xml:space="preserve">Mở「/report/meibo」
</t>
    </r>
    <r>
      <rPr>
        <rFont val="メイリオ"/>
        <b/>
        <color rgb="FF000000"/>
        <sz val="10.0"/>
      </rPr>
      <t xml:space="preserve">ステップ2：
</t>
    </r>
    <r>
      <rPr>
        <rFont val="メイリオ"/>
        <color rgb="FF000000"/>
        <sz val="10.0"/>
      </rPr>
      <t>Xác nhận trạng thái ban đầu của form điều kiện xuất và vùng preview</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</si>
  <si>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・適用日 được hiển thị ở trạng thái chưa chọn
</t>
    </r>
    <r>
      <rPr>
        <rFont val="メイリオ"/>
        <color rgb="FF000000"/>
        <sz val="10.0"/>
      </rPr>
      <t xml:space="preserve">・帳票種別 được thiết lập ban đầu là「販売店別購読者名簿（照会用）」
</t>
    </r>
    <r>
      <rPr>
        <rFont val="メイリオ"/>
        <color rgb="FF000000"/>
        <sz val="10.0"/>
      </rPr>
      <t xml:space="preserve">・購読種別・販売店 được hiển thị ở trạng thái chưa chọn
</t>
    </r>
    <r>
      <rPr>
        <rFont val="メイリオ"/>
        <color rgb="FF000000"/>
        <sz val="10.0"/>
      </rPr>
      <t xml:space="preserve">・Pulldown 管理支店 ở trạng thái không hiển thị
</t>
    </r>
    <r>
      <rPr>
        <rFont val="メイリオ"/>
        <color rgb="FF000000"/>
        <sz val="10.0"/>
      </rPr>
      <t>・Dữ liệu không tồn tại ở vùng preview</t>
    </r>
  </si>
  <si>
    <t>ACSMS-TC-026-011</t>
  </si>
  <si>
    <t>Chuyển đổi帳票種別</t>
  </si>
  <si>
    <t>・Đã đăng nhập bằng CHUOKAI
・Dữ liệu đang được hiển thị ở preview</t>
  </si>
  <si>
    <r>
      <rPr>
        <rFont val="メイリオ"/>
        <b/>
        <color rgb="FF000000"/>
        <sz val="10.0"/>
      </rPr>
      <t xml:space="preserve">ステップ1：
</t>
    </r>
    <r>
      <rPr>
        <rFont val="メイリオ"/>
        <color rgb="FF000000"/>
        <sz val="10.0"/>
      </rPr>
      <t xml:space="preserve">Chọn「管理支店別購読者名簿」ở 帳票種別
</t>
    </r>
    <r>
      <rPr>
        <rFont val="メイリオ"/>
        <b/>
        <color rgb="FF000000"/>
        <sz val="10.0"/>
      </rPr>
      <t xml:space="preserve">ステップ2：
</t>
    </r>
    <r>
      <rPr>
        <rFont val="メイリオ"/>
        <color rgb="FF000000"/>
        <sz val="10.0"/>
      </rPr>
      <t>Chọn「販売店別購読者名簿（照会用）」ở 帳票種別</t>
    </r>
  </si>
  <si>
    <r>
      <rPr>
        <rFont val="メイリオ"/>
        <b/>
        <color rgb="FF000000"/>
        <sz val="10.0"/>
      </rPr>
      <t xml:space="preserve">ステップ1：
</t>
    </r>
    <r>
      <rPr>
        <rFont val="メイリオ"/>
        <color rgb="FF000000"/>
        <sz val="10.0"/>
      </rPr>
      <t xml:space="preserve">・Pulldown 管理支店 được hiển thị・được kích hoạt, pulldown 販売店 không hiển thị・bị vô hiệu hóa
</t>
    </r>
    <r>
      <rPr>
        <rFont val="メイリオ"/>
        <color rgb="FF000000"/>
        <sz val="10.0"/>
      </rPr>
      <t xml:space="preserve">・Dữ liệu preview được clear
</t>
    </r>
    <r>
      <rPr>
        <rFont val="メイリオ"/>
        <b/>
        <color rgb="FF000000"/>
        <sz val="10.0"/>
      </rPr>
      <t xml:space="preserve">ステップ2：
</t>
    </r>
    <r>
      <rPr>
        <rFont val="メイリオ"/>
        <color rgb="FF000000"/>
        <sz val="10.0"/>
      </rPr>
      <t xml:space="preserve">・Pulldown 販売店 được hiển thị・được kích hoạt, pulldown 管理支店 không hiển thị・bị vô hiệu hóa
</t>
    </r>
    <r>
      <rPr>
        <rFont val="メイリオ"/>
        <color rgb="FF000000"/>
        <sz val="10.0"/>
      </rPr>
      <t>・Dữ liệu preview được clear</t>
    </r>
  </si>
  <si>
    <t>ACSMS-TC-026-012</t>
  </si>
  <si>
    <t>Hiển thị pulldown販売店</t>
  </si>
  <si>
    <t>・Đã đăng nhập bằng CHUOKAI
・Đang chọn 帳票種別=販売店別</t>
  </si>
  <si>
    <r>
      <rPr>
        <rFont val="メイリオ"/>
        <b/>
        <color rgb="FF000000"/>
        <sz val="10.0"/>
      </rPr>
      <t xml:space="preserve">ステップ1：
</t>
    </r>
    <r>
      <rPr>
        <rFont val="メイリオ"/>
        <color rgb="FF000000"/>
        <sz val="10.0"/>
      </rPr>
      <t>Mở pulldown 販売店</t>
    </r>
  </si>
  <si>
    <r>
      <rPr>
        <rFont val="メイリオ"/>
        <b/>
        <color rgb="FF000000"/>
        <sz val="10.0"/>
      </rPr>
      <t xml:space="preserve">ステップ1：
</t>
    </r>
    <r>
      <rPr>
        <rFont val="メイリオ"/>
        <color rgb="FF000000"/>
        <sz val="10.0"/>
      </rPr>
      <t xml:space="preserve">・Danh sách販売店 thuộc JA của chính mình được hiển thị（bao gồm cả販売店 dummy bản điện tử）
</t>
    </r>
    <r>
      <rPr>
        <rFont val="メイリオ"/>
        <color rgb="FF000000"/>
        <sz val="10.0"/>
      </rPr>
      <t>・Có thể chọn nhiều</t>
    </r>
  </si>
  <si>
    <t>ACSMS-TC-026-013</t>
  </si>
  <si>
    <t>Hiển thị pulldown管理支店（DataScope）</t>
  </si>
  <si>
    <t>・Đã đăng nhập bằng JA_KANRI_SHITEN
・Đang chọn 帳票種別=管理支店別</t>
  </si>
  <si>
    <r>
      <rPr>
        <rFont val="メイリオ"/>
        <b/>
        <color rgb="FF000000"/>
        <sz val="10.0"/>
      </rPr>
      <t xml:space="preserve">ステップ1：
</t>
    </r>
    <r>
      <rPr>
        <rFont val="メイリオ"/>
        <color rgb="FF000000"/>
        <sz val="10.0"/>
      </rPr>
      <t>Mở pulldown 管理支店</t>
    </r>
  </si>
  <si>
    <r>
      <rPr>
        <rFont val="メイリオ"/>
        <b/>
        <color rgb="FF000000"/>
        <sz val="10.0"/>
      </rPr>
      <t xml:space="preserve">ステップ1：
</t>
    </r>
    <r>
      <rPr>
        <rFont val="メイリオ"/>
        <color rgb="FF000000"/>
        <sz val="10.0"/>
      </rPr>
      <t xml:space="preserve">・Chỉ quản lý chi nhánh của chính mình được hiển thị（DataScope tự động áp dụng）
</t>
    </r>
    <r>
      <rPr>
        <rFont val="メイリオ"/>
        <color rgb="FF000000"/>
        <sz val="10.0"/>
      </rPr>
      <t>・Có thể chọn nhiều</t>
    </r>
  </si>
  <si>
    <t>ACSMS-TC-026-014</t>
  </si>
  <si>
    <t>Pulldown購読種別・支払区分</t>
  </si>
  <si>
    <r>
      <rPr>
        <rFont val="メイリオ"/>
        <b/>
        <color rgb="FF000000"/>
        <sz val="10.0"/>
      </rPr>
      <t xml:space="preserve">ステップ1：
</t>
    </r>
    <r>
      <rPr>
        <rFont val="メイリオ"/>
        <color rgb="FF000000"/>
        <sz val="10.0"/>
      </rPr>
      <t xml:space="preserve">Mở pulldown 購読種別, xác nhận các lựa chọn
</t>
    </r>
    <r>
      <rPr>
        <rFont val="メイリオ"/>
        <b/>
        <color rgb="FF000000"/>
        <sz val="10.0"/>
      </rPr>
      <t xml:space="preserve">ステップ2：
</t>
    </r>
    <r>
      <rPr>
        <rFont val="メイリオ"/>
        <color rgb="FF000000"/>
        <sz val="10.0"/>
      </rPr>
      <t>Mở pulldown 支払区分, xác nhận các lựa chọn</t>
    </r>
  </si>
  <si>
    <r>
      <rPr>
        <rFont val="メイリオ"/>
        <b/>
        <color rgb="FF000000"/>
        <sz val="10.0"/>
      </rPr>
      <t xml:space="preserve">ステップ1：
</t>
    </r>
    <r>
      <rPr>
        <rFont val="メイリオ"/>
        <color rgb="FF000000"/>
        <sz val="10.0"/>
      </rPr>
      <t xml:space="preserve">購読種別 hiển thị「紙版＋電子版」「紙版」「電子版」, và 併読 không bị bao gồm
</t>
    </r>
    <r>
      <rPr>
        <rFont val="メイリオ"/>
        <b/>
        <color rgb="FF000000"/>
        <sz val="10.0"/>
      </rPr>
      <t xml:space="preserve">ステップ2：
</t>
    </r>
    <r>
      <rPr>
        <rFont val="メイリオ"/>
        <color rgb="FF000000"/>
        <sz val="10.0"/>
      </rPr>
      <t>支払区分 hiển thị「毎月」「隔月」「3ヶ月」「半年」「年払い」</t>
    </r>
  </si>
  <si>
    <t>ACSMS-TC-026-015</t>
  </si>
  <si>
    <t>Hiển thị nút preview・xuất Excel</t>
  </si>
  <si>
    <r>
      <rPr>
        <rFont val="メイリオ"/>
        <b/>
        <color rgb="FF000000"/>
        <sz val="10.0"/>
      </rPr>
      <t xml:space="preserve">ステップ1：
</t>
    </r>
    <r>
      <rPr>
        <rFont val="メイリオ"/>
        <color rgb="FF000000"/>
        <sz val="10.0"/>
      </rPr>
      <t xml:space="preserve">Mở「/report/meibo」
</t>
    </r>
    <r>
      <rPr>
        <rFont val="メイリオ"/>
        <b/>
        <color rgb="FF000000"/>
        <sz val="10.0"/>
      </rPr>
      <t xml:space="preserve">ステップ2：
</t>
    </r>
    <r>
      <rPr>
        <rFont val="メイリオ"/>
        <color rgb="FF000000"/>
        <sz val="10.0"/>
      </rPr>
      <t>Xác nhận trạng thái hiển thị・kích hoạt của nút「レポートプレビュー」「レポートデータExcel出力」</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</si>
  <si>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Nút「レポートプレビュー」「レポートデータExcel出力」được hiển thị ở trạng thái kích hoạt</t>
    </r>
  </si>
  <si>
    <t>ACSMS-TC-026-016</t>
  </si>
  <si>
    <t>Thao tác bàn phím</t>
  </si>
  <si>
    <r>
      <rPr>
        <rFont val="メイリオ"/>
        <b/>
        <color rgb="FF000000"/>
        <sz val="10.0"/>
      </rPr>
      <t xml:space="preserve">ステップ1：
</t>
    </r>
    <r>
      <rPr>
        <rFont val="メイリオ"/>
        <color rgb="FF000000"/>
        <sz val="10.0"/>
      </rPr>
      <t xml:space="preserve">Mở「/report/meibo」
</t>
    </r>
    <r>
      <rPr>
        <rFont val="メイリオ"/>
        <b/>
        <color rgb="FF000000"/>
        <sz val="10.0"/>
      </rPr>
      <t xml:space="preserve">ステップ2：
</t>
    </r>
    <r>
      <rPr>
        <rFont val="メイリオ"/>
        <color rgb="FF000000"/>
        <sz val="10.0"/>
      </rPr>
      <t>Di chuyển lần lượt qua từng mục điều kiện xuất bằng phím Tab, xác nhận cuối cùng đến được nút</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</si>
  <si>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・Có thể di chuyển bằng phím Tab theo thứ tự 適用日 → 帳票種別 → 販売店／管理支店 → 購読種別 → 支払区分 → nút
</t>
    </r>
    <r>
      <rPr>
        <rFont val="メイリオ"/>
        <color rgb="FF000000"/>
        <sz val="10.0"/>
      </rPr>
      <t>・Không vỡ layout</t>
    </r>
  </si>
  <si>
    <t>(なし)
---</t>
  </si>
  <si>
    <t>カテゴリ3: Kiểm tra đầu vào (Input Validation)</t>
  </si>
  <si>
    <t>ACSMS-TC-026-017</t>
  </si>
  <si>
    <t>Kiểm tra bắt buộc適用日</t>
  </si>
  <si>
    <r>
      <rPr>
        <rFont val="メイリオ"/>
        <b/>
        <color rgb="FF000000"/>
        <sz val="10.0"/>
      </rPr>
      <t xml:space="preserve">ステップ1：
</t>
    </r>
    <r>
      <rPr>
        <rFont val="メイリオ"/>
        <color rgb="FF000000"/>
        <sz val="10.0"/>
      </rPr>
      <t>Click nút「レポートプレビュー」khi để 適用日 chưa nhập</t>
    </r>
  </si>
  <si>
    <r>
      <rPr>
        <rFont val="メイリオ"/>
        <b/>
        <color rgb="FF000000"/>
        <sz val="10.0"/>
      </rPr>
      <t xml:space="preserve">ステップ1：
</t>
    </r>
    <r>
      <rPr>
        <rFont val="メイリオ"/>
        <color rgb="FF000000"/>
        <sz val="10.0"/>
      </rPr>
      <t>Hiển thị message「必須項目です。」dưới mục 適用日（ACSMS-MSG-026-006）, và xử lý preview không được thực hiện</t>
    </r>
  </si>
  <si>
    <t>ACSMS-TC-026-018</t>
  </si>
  <si>
    <t>Kiểm tra bắt buộc có điều kiện販売店</t>
  </si>
  <si>
    <r>
      <rPr>
        <rFont val="メイリオ"/>
        <b/>
        <color rgb="FF000000"/>
        <sz val="10.0"/>
      </rPr>
      <t xml:space="preserve">ステップ1：
</t>
    </r>
    <r>
      <rPr>
        <rFont val="メイリオ"/>
        <color rgb="FF000000"/>
        <sz val="10.0"/>
      </rPr>
      <t>Nhập 適用日, click nút「レポートプレビュー」khi để 販売店 chưa chọn</t>
    </r>
  </si>
  <si>
    <r>
      <rPr>
        <rFont val="メイリオ"/>
        <b/>
        <color rgb="FF000000"/>
        <sz val="10.0"/>
      </rPr>
      <t xml:space="preserve">ステップ1：
</t>
    </r>
    <r>
      <rPr>
        <rFont val="メイリオ"/>
        <color rgb="FF000000"/>
        <sz val="10.0"/>
      </rPr>
      <t>Hiển thị message「販売店を1件以上選択してください。」dưới mục 販売店（ACSMS-MSG-026-002）, và xử lý preview không được thực hiện</t>
    </r>
  </si>
  <si>
    <t>ACSMS-TC-026-019</t>
  </si>
  <si>
    <t>Kiểm tra bắt buộc có điều kiện管理支店</t>
  </si>
  <si>
    <t>・Đã đăng nhập bằng CHUOKAI
・Đang chọn 帳票種別=管理支店別</t>
  </si>
  <si>
    <r>
      <rPr>
        <rFont val="メイリオ"/>
        <b/>
        <color rgb="FF000000"/>
        <sz val="10.0"/>
      </rPr>
      <t xml:space="preserve">ステップ1：
</t>
    </r>
    <r>
      <rPr>
        <rFont val="メイリオ"/>
        <color rgb="FF000000"/>
        <sz val="10.0"/>
      </rPr>
      <t>Nhập 適用日, click nút「レポートプレビュー」khi để 管理支店 chưa chọn</t>
    </r>
  </si>
  <si>
    <r>
      <rPr>
        <rFont val="メイリオ"/>
        <b/>
        <color rgb="FF000000"/>
        <sz val="10.0"/>
      </rPr>
      <t xml:space="preserve">ステップ1：
</t>
    </r>
    <r>
      <rPr>
        <rFont val="メイリオ"/>
        <color rgb="FF000000"/>
        <sz val="10.0"/>
      </rPr>
      <t>Hiển thị message「管理支店を1件以上選択してください。」dưới mục 管理支店（ACSMS-MSG-026-003）, và xử lý preview không được thực hiện</t>
    </r>
  </si>
  <si>
    <t>ACSMS-TC-026-020</t>
  </si>
  <si>
    <t>Kiểm tra giá trị購読種別（không cho phép併読）</t>
  </si>
  <si>
    <r>
      <rPr>
        <rFont val="メイリオ"/>
        <b/>
        <color rgb="FF000000"/>
        <sz val="10.0"/>
      </rPr>
      <t xml:space="preserve">ステップ1：
</t>
    </r>
    <r>
      <rPr>
        <rFont val="メイリオ"/>
        <color rgb="FF000000"/>
        <sz val="10.0"/>
      </rPr>
      <t xml:space="preserve">Xác nhận các lựa chọn của pulldown 購読種別
</t>
    </r>
    <r>
      <rPr>
        <rFont val="メイリオ"/>
        <b/>
        <color rgb="FF000000"/>
        <sz val="10.0"/>
      </rPr>
      <t xml:space="preserve">ステップ2：
</t>
    </r>
    <r>
      <rPr>
        <rFont val="メイリオ"/>
        <color rgb="FF000000"/>
        <sz val="10.0"/>
      </rPr>
      <t>Gửi GET「/api/v1/report/meibo/preview」kèm `dokusya_shubetsu=3`（併読）trên tab Network của DevTools</t>
    </r>
  </si>
  <si>
    <r>
      <rPr>
        <rFont val="メイリオ"/>
        <b/>
        <color rgb="FF000000"/>
        <sz val="10.0"/>
      </rPr>
      <t xml:space="preserve">ステップ1：
</t>
    </r>
    <r>
      <rPr>
        <rFont val="メイリオ"/>
        <color rgb="FF000000"/>
        <sz val="10.0"/>
      </rPr>
      <t xml:space="preserve">「併読」không hiển thị như lựa chọn ở 購読種別
</t>
    </r>
    <r>
      <rPr>
        <rFont val="メイリオ"/>
        <b/>
        <color rgb="FF000000"/>
        <sz val="10.0"/>
      </rPr>
      <t xml:space="preserve">ステップ2：
</t>
    </r>
    <r>
      <rPr>
        <rFont val="メイリオ"/>
        <color rgb="FF000000"/>
        <sz val="10.0"/>
      </rPr>
      <t>Trả về HTTP 400（`error_code: VALIDATION_ERROR`、メッセージ `入力値が不正です。詳細はerrorsフィールドを確認してください。`）</t>
    </r>
  </si>
  <si>
    <t>ACSMS-TC-026-021</t>
  </si>
  <si>
    <t>Chọn ngày適用日</t>
  </si>
  <si>
    <r>
      <rPr>
        <rFont val="メイリオ"/>
        <b/>
        <color rgb="FF000000"/>
        <sz val="10.0"/>
      </rPr>
      <t xml:space="preserve">ステップ1：
</t>
    </r>
    <r>
      <rPr>
        <rFont val="メイリオ"/>
        <color rgb="FF000000"/>
        <sz val="10.0"/>
      </rPr>
      <t xml:space="preserve">Nhập ngày hợp lệ（định dạng YYYY/MM/DD）vào 適用日
</t>
    </r>
    <r>
      <rPr>
        <rFont val="メイリオ"/>
        <b/>
        <color rgb="FF000000"/>
        <sz val="10.0"/>
      </rPr>
      <t xml:space="preserve">ステップ2：
</t>
    </r>
    <r>
      <rPr>
        <rFont val="メイリオ"/>
        <color rgb="FF000000"/>
        <sz val="10.0"/>
      </rPr>
      <t>Nhập chuỗi ký tự có định dạng không hợp lệ và click「レポートプレビュー」</t>
    </r>
  </si>
  <si>
    <r>
      <rPr>
        <rFont val="メイリオ"/>
        <b/>
        <color rgb="FF000000"/>
        <sz val="10.0"/>
      </rPr>
      <t xml:space="preserve">ステップ1：
</t>
    </r>
    <r>
      <rPr>
        <rFont val="メイリオ"/>
        <color rgb="FF000000"/>
        <sz val="10.0"/>
      </rPr>
      <t xml:space="preserve">適用日 được tiếp nhận bình thường
</t>
    </r>
    <r>
      <rPr>
        <rFont val="メイリオ"/>
        <b/>
        <color rgb="FF000000"/>
        <sz val="10.0"/>
      </rPr>
      <t xml:space="preserve">ステップ2：
</t>
    </r>
    <r>
      <rPr>
        <rFont val="メイリオ"/>
        <color rgb="FF000000"/>
        <sz val="10.0"/>
      </rPr>
      <t>Hiển thị lỗi format, và xử lý preview không được thực hiện</t>
    </r>
  </si>
  <si>
    <t>ACSMS-TC-026-022</t>
  </si>
  <si>
    <t>Gửi tổng hợp khi nhiều mục bắt buộc chưa nhập</t>
  </si>
  <si>
    <r>
      <rPr>
        <rFont val="メイリオ"/>
        <b/>
        <color rgb="FF000000"/>
        <sz val="10.0"/>
      </rPr>
      <t xml:space="preserve">ステップ1：
</t>
    </r>
    <r>
      <rPr>
        <rFont val="メイリオ"/>
        <color rgb="FF000000"/>
        <sz val="10.0"/>
      </rPr>
      <t>Gửi GET「/api/v1/report/meibo/preview」với không có tekiyo_date・report_type=hanbaiten・không có hanbaiten_ids trên tab Network của DevTools</t>
    </r>
  </si>
  <si>
    <r>
      <rPr>
        <rFont val="メイリオ"/>
        <b/>
        <color rgb="FF000000"/>
        <sz val="10.0"/>
      </rPr>
      <t xml:space="preserve">ステップ1：
</t>
    </r>
    <r>
      <rPr>
        <rFont val="メイリオ"/>
        <color rgb="FF000000"/>
        <sz val="10.0"/>
      </rPr>
      <t>Trả về HTTP 400（`error_code: VALIDATION_ERROR`、メッセージ `入力値が不正です。詳細はerrorsフィールドを確認してください。`）, và mảng `errors` bao gồm `{ field: 'tekiyo_date', message: '必須項目です。' }` và `{ field: 'hanbaiten_ids', message: '販売店を1件以上選択してください。' }`</t>
    </r>
  </si>
  <si>
    <t>カテゴリ4: Logic nghiệp vụ (Business Logic)</t>
  </si>
  <si>
    <t>ACSMS-TC-026-023</t>
  </si>
  <si>
    <t>Preview販売店別 trường hợp bình thường</t>
  </si>
  <si>
    <t>・Đã đăng nhập bằng CHUOKAI
・Tồn tại độc giả thuộc đối tượng tổng hợp dưới販売店 đối tượng</t>
  </si>
  <si>
    <r>
      <rPr>
        <rFont val="メイリオ"/>
        <b/>
        <color rgb="FF000000"/>
        <sz val="10.0"/>
      </rPr>
      <t xml:space="preserve">ステップ1：
</t>
    </r>
    <r>
      <rPr>
        <rFont val="メイリオ"/>
        <color rgb="FF000000"/>
        <sz val="10.0"/>
      </rPr>
      <t>Chọn 適用日・帳票種別=販売店別・販売店 và thực hiện「レポートプレビュー」</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</si>
  <si>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thị（được group hóa theo thứ tự 販売店 → 管理支店 → 購読者）</t>
    </r>
  </si>
  <si>
    <t>ACSMS-TC-026-024</t>
  </si>
  <si>
    <t>Preview管理支店別 trường hợp bình thường</t>
  </si>
  <si>
    <t>・Đã đăng nhập bằng CHUOKAI
・Tồn tại độc giả thuộc đối tượng tổng hợp dưới管理支店 đối tượng</t>
  </si>
  <si>
    <r>
      <rPr>
        <rFont val="メイリオ"/>
        <b/>
        <color rgb="FF000000"/>
        <sz val="10.0"/>
      </rPr>
      <t xml:space="preserve">ステップ1：
</t>
    </r>
    <r>
      <rPr>
        <rFont val="メイリオ"/>
        <color rgb="FF000000"/>
        <sz val="10.0"/>
      </rPr>
      <t>Chọn 適用日・帳票種別=管理支店別・管理支店 và thực hiện「レポートプレビュー」</t>
    </r>
  </si>
  <si>
    <r>
      <rPr>
        <rFont val="メイリオ"/>
        <b/>
        <color rgb="FF000000"/>
        <sz val="10.0"/>
      </rPr>
      <t xml:space="preserve">ステップ1：
</t>
    </r>
    <r>
      <rPr>
        <rFont val="メイリオ"/>
        <color rgb="FF000000"/>
        <sz val="10.0"/>
      </rPr>
      <t xml:space="preserve">・Trả về HTTP 200
</t>
    </r>
    <r>
      <rPr>
        <rFont val="メイリオ"/>
        <color rgb="FF000000"/>
        <sz val="10.0"/>
      </rPr>
      <t>・Danh sách được hiển thị（được group hóa theo thứ tự 管理支店 → 購読者）</t>
    </r>
  </si>
  <si>
    <t>ACSMS-TC-026-025</t>
  </si>
  <si>
    <t>Tính chính xác của tiểu tổng・tổng・tổng toàn bộ</t>
  </si>
  <si>
    <t>・Đã đăng nhập bằng CHUOKAI
・Nhiều 管理支店・購読者 trở thành đối tượng tổng hợp</t>
  </si>
  <si>
    <r>
      <rPr>
        <rFont val="メイリオ"/>
        <b/>
        <color rgb="FF000000"/>
        <sz val="10.0"/>
      </rPr>
      <t xml:space="preserve">ステップ1：
</t>
    </r>
    <r>
      <rPr>
        <rFont val="メイリオ"/>
        <color rgb="FF000000"/>
        <sz val="10.0"/>
      </rPr>
      <t xml:space="preserve">Thực hiện preview販売店別
</t>
    </r>
    <r>
      <rPr>
        <rFont val="メイリオ"/>
        <b/>
        <color rgb="FF000000"/>
        <sz val="10.0"/>
      </rPr>
      <t xml:space="preserve">ステップ2：
</t>
    </r>
    <r>
      <rPr>
        <rFont val="メイリオ"/>
        <color rgb="FF000000"/>
        <sz val="10.0"/>
      </rPr>
      <t>Đối chiếu tiểu tổng管理支店・tổng販売店・tổng toàn bộ với số phần đăng ký của dòng chi tiết</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</si>
  <si>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 xml:space="preserve">・Tiểu tổng theo từng管理支店（subtotal_busu）khớp với tổng của số phần đăng ký dưới管理支店 đó
</t>
    </r>
    <r>
      <rPr>
        <rFont val="メイリオ"/>
        <color rgb="FF000000"/>
        <sz val="10.0"/>
      </rPr>
      <t xml:space="preserve">・Tổng theo từng販売店（total_busu）khớp với tổng của tiểu tổng từng管理支店
</t>
    </r>
    <r>
      <rPr>
        <rFont val="メイリオ"/>
        <color rgb="FF000000"/>
        <sz val="10.0"/>
      </rPr>
      <t>・Tổng toàn bộ（grand_total_busu）khớp với tổng của tổng từng販売店</t>
    </r>
  </si>
  <si>
    <t>ACSMS-TC-026-026</t>
  </si>
  <si>
    <t>Snapshot mới nhất tại thời điểm適用日</t>
  </si>
  <si>
    <t>・Đã đăng nhập bằng CHUOKAI
・Tồn tại nhiều lịch sử có ngày áp dụng thay đổi khác nhau đối với cùng một độc giả</t>
  </si>
  <si>
    <r>
      <rPr>
        <rFont val="メイリオ"/>
        <b/>
        <color rgb="FF000000"/>
        <sz val="10.0"/>
      </rPr>
      <t xml:space="preserve">ステップ1：
</t>
    </r>
    <r>
      <rPr>
        <rFont val="メイリオ"/>
        <color rgb="FF000000"/>
        <sz val="10.0"/>
      </rPr>
      <t xml:space="preserve">Chỉ định 適用日 và thực hiện「レポートプレビュー」
</t>
    </r>
    <r>
      <rPr>
        <rFont val="メイリオ"/>
        <b/>
        <color rgb="FF000000"/>
        <sz val="10.0"/>
      </rPr>
      <t xml:space="preserve">ステップ2：
</t>
    </r>
    <r>
      <rPr>
        <rFont val="メイリオ"/>
        <color rgb="FF000000"/>
        <sz val="10.0"/>
      </rPr>
      <t>Đối chiếu nội dung dòng chi tiết với lịch sử có rireki_no lớn nhất thỏa mãn `joho_henko_tekiyo_date &lt;= 適用日`</t>
    </r>
  </si>
  <si>
    <r>
      <rPr>
        <rFont val="メイリオ"/>
        <b/>
        <color rgb="FF000000"/>
        <sz val="10.0"/>
      </rPr>
      <t xml:space="preserve">ステップ1：
</t>
    </r>
    <r>
      <rPr>
        <rFont val="メイリオ"/>
        <color rgb="FF000000"/>
        <sz val="10.0"/>
      </rPr>
      <t xml:space="preserve">Danh sách được hiển thị
</t>
    </r>
    <r>
      <rPr>
        <rFont val="メイリオ"/>
        <b/>
        <color rgb="FF000000"/>
        <sz val="10.0"/>
      </rPr>
      <t xml:space="preserve">ステップ2：
</t>
    </r>
    <r>
      <rPr>
        <rFont val="メイリオ"/>
        <color rgb="FF000000"/>
        <sz val="10.0"/>
      </rPr>
      <t>Đối với mỗi độc giả, nội dung của rireki_no lớn nhất（snapshot mới nhất）thỏa mãn `joho_henko_tekiyo_date &lt;= 適用日` tại thời điểm 適用日 được hiển thị</t>
    </r>
  </si>
  <si>
    <t>ACSMS-TC-026-027</t>
  </si>
  <si>
    <t>Loại trừ record hủy đăng ký</t>
  </si>
  <si>
    <t>・Đã đăng nhập bằng CHUOKAI
・Tồn tại độc giả hủy đăng ký（tetsuzuki_shurui=0）</t>
  </si>
  <si>
    <r>
      <rPr>
        <rFont val="メイリオ"/>
        <b/>
        <color rgb="FF000000"/>
        <sz val="10.0"/>
      </rPr>
      <t xml:space="preserve">ステップ1：
</t>
    </r>
    <r>
      <rPr>
        <rFont val="メイリオ"/>
        <color rgb="FF000000"/>
        <sz val="10.0"/>
      </rPr>
      <t>Chỉ định 適用日 và thực hiện「レポートプレビュー」</t>
    </r>
  </si>
  <si>
    <r>
      <rPr>
        <rFont val="メイリオ"/>
        <b/>
        <color rgb="FF000000"/>
        <sz val="10.0"/>
      </rPr>
      <t xml:space="preserve">ステップ1：
</t>
    </r>
    <r>
      <rPr>
        <rFont val="メイリオ"/>
        <color rgb="FF000000"/>
        <sz val="10.0"/>
      </rPr>
      <t xml:space="preserve">・Chỉ độc giả mới（tetsuzuki_shurui=1）được hiển thị
</t>
    </r>
    <r>
      <rPr>
        <rFont val="メイリオ"/>
        <color rgb="FF000000"/>
        <sz val="10.0"/>
      </rPr>
      <t>・Độc giả hủy đăng ký（tetsuzuki_shurui=0）không hiển thị</t>
    </r>
  </si>
  <si>
    <t>ACSMS-TC-026-028</t>
  </si>
  <si>
    <t>Loại trừ併読</t>
  </si>
  <si>
    <t>・Đã đăng nhập bằng CHUOKAI
・Tồn tại độc giả併読（dokusya_shubetsu=3）</t>
  </si>
  <si>
    <r>
      <rPr>
        <rFont val="メイリオ"/>
        <b/>
        <color rgb="FF000000"/>
        <sz val="10.0"/>
      </rPr>
      <t xml:space="preserve">ステップ1：
</t>
    </r>
    <r>
      <rPr>
        <rFont val="メイリオ"/>
        <color rgb="FF000000"/>
        <sz val="10.0"/>
      </rPr>
      <t>Để 購読種別 chưa chọn（紙版＋電子版）và thực hiện「レポートプレビュー」</t>
    </r>
  </si>
  <si>
    <r>
      <rPr>
        <rFont val="メイリオ"/>
        <b/>
        <color rgb="FF000000"/>
        <sz val="10.0"/>
      </rPr>
      <t xml:space="preserve">ステップ1：
</t>
    </r>
    <r>
      <rPr>
        <rFont val="メイリオ"/>
        <color rgb="FF000000"/>
        <sz val="10.0"/>
      </rPr>
      <t xml:space="preserve">・Chỉ độc giả紙版（1）・電子版（2）được hiển thị
</t>
    </r>
    <r>
      <rPr>
        <rFont val="メイリオ"/>
        <color rgb="FF000000"/>
        <sz val="10.0"/>
      </rPr>
      <t>・Độc giả併読（3）không hiển thị</t>
    </r>
  </si>
  <si>
    <t>ACSMS-TC-026-029</t>
  </si>
  <si>
    <t>Filter購読種別</t>
  </si>
  <si>
    <t>・Đã đăng nhập bằng CHUOKAI
・Độc giả紙版・電子版 lẫn lộn</t>
  </si>
  <si>
    <r>
      <rPr>
        <rFont val="メイリオ"/>
        <b/>
        <color rgb="FF000000"/>
        <sz val="10.0"/>
      </rPr>
      <t xml:space="preserve">ステップ1：
</t>
    </r>
    <r>
      <rPr>
        <rFont val="メイリオ"/>
        <color rgb="FF000000"/>
        <sz val="10.0"/>
      </rPr>
      <t>Chọn 購読種別=電子版 và thực hiện「レポートプレビュー」</t>
    </r>
  </si>
  <si>
    <r>
      <rPr>
        <rFont val="メイリオ"/>
        <b/>
        <color rgb="FF000000"/>
        <sz val="10.0"/>
      </rPr>
      <t xml:space="preserve">ステップ1：
</t>
    </r>
    <r>
      <rPr>
        <rFont val="メイリオ"/>
        <color rgb="FF000000"/>
        <sz val="10.0"/>
      </rPr>
      <t>Chỉ độc giả電子版（dokusya_shubetsu=2）được hiển thị</t>
    </r>
  </si>
  <si>
    <t>ACSMS-TC-026-030</t>
  </si>
  <si>
    <t>Filter 支払い方法</t>
  </si>
  <si>
    <t>・Đã đăng nhập bằng CHUOKAI
・Độc giả có chu kỳ thanh toán khác nhau lẫn lộn</t>
  </si>
  <si>
    <r>
      <rPr>
        <rFont val="游ゴシック"/>
        <b/>
        <color rgb="FF000000"/>
        <sz val="10.0"/>
      </rPr>
      <t xml:space="preserve">ステップ1：
</t>
    </r>
    <r>
      <rPr>
        <rFont val="游ゴシック"/>
        <color rgb="FF000000"/>
        <sz val="10.0"/>
      </rPr>
      <t>Chọn 支払い方法 = 口座引落（1）và thực hiện「レポートプレビュー」</t>
    </r>
  </si>
  <si>
    <r>
      <rPr>
        <rFont val="メイリオ"/>
        <b/>
        <color rgb="FF000000"/>
        <sz val="10.0"/>
      </rPr>
      <t xml:space="preserve">ステップ1：
</t>
    </r>
    <r>
      <rPr>
        <rFont val="メイリオ"/>
        <color rgb="FF000000"/>
        <sz val="10.0"/>
      </rPr>
      <t>Chỉ độc giả có chu kỳ thanh toán phí đăng ký là 毎月（dokusyaryo_shiharai_cycle=1）được hiển thị</t>
    </r>
  </si>
  <si>
    <t>ACSMS-TC-026-031</t>
  </si>
  <si>
    <t>Đối tượng 0 record（preview）</t>
  </si>
  <si>
    <t>・Đã đăng nhập bằng CHUOKAI
・Không tồn tại độc giả thuộc đối tượng tổng hợp với điều kiện đã chỉ định</t>
  </si>
  <si>
    <r>
      <rPr>
        <rFont val="メイリオ"/>
        <b/>
        <color rgb="FF000000"/>
        <sz val="10.0"/>
      </rPr>
      <t xml:space="preserve">ステップ1：
</t>
    </r>
    <r>
      <rPr>
        <rFont val="メイリオ"/>
        <color rgb="FF000000"/>
        <sz val="10.0"/>
      </rPr>
      <t>Thực hiện「レポートプレビュー」với điều kiện không tồn tại đối tượng tổng hợp</t>
    </r>
  </si>
  <si>
    <r>
      <rPr>
        <rFont val="メイリオ"/>
        <b/>
        <color rgb="FF000000"/>
        <sz val="10.0"/>
      </rPr>
      <t xml:space="preserve">ステップ1：
</t>
    </r>
    <r>
      <rPr>
        <rFont val="メイリオ"/>
        <color rgb="FF000000"/>
        <sz val="10.0"/>
      </rPr>
      <t xml:space="preserve">・Trả về HTTP 200（mảng group rỗng, `grand_total_busu: 0`）
</t>
    </r>
    <r>
      <rPr>
        <rFont val="メイリオ"/>
        <color rgb="FF000000"/>
        <sz val="10.0"/>
      </rPr>
      <t>・Hiển thị message「対象のデータが存在しません。」(ACSMS-MSG-026-004)</t>
    </r>
  </si>
  <si>
    <t>ACSMS-TC-026-032</t>
  </si>
  <si>
    <t>Xuất Excel trường hợp bình thường・nội dung file</t>
  </si>
  <si>
    <t>・Đã đăng nhập bằng CHUOKAI
・Tồn tại độc giả thuộc đối tượng tổng hợp với điều kiện đối tượng</t>
  </si>
  <si>
    <r>
      <rPr>
        <rFont val="メイリオ"/>
        <b/>
        <color rgb="FF000000"/>
        <sz val="10.0"/>
      </rPr>
      <t xml:space="preserve">ステップ1：
</t>
    </r>
    <r>
      <rPr>
        <rFont val="メイリオ"/>
        <color rgb="FF000000"/>
        <sz val="10.0"/>
      </rPr>
      <t xml:space="preserve">Chọn 適用日・帳票種別・đối tượng và thực hiện「レポートデータExcel出力」
</t>
    </r>
    <r>
      <rPr>
        <rFont val="メイリオ"/>
        <b/>
        <color rgb="FF000000"/>
        <sz val="10.0"/>
      </rPr>
      <t xml:space="preserve">ステップ2：
</t>
    </r>
    <r>
      <rPr>
        <rFont val="メイリオ"/>
        <color rgb="FF000000"/>
        <sz val="10.0"/>
      </rPr>
      <t>Mở file Excel đã download, xác nhận tên sheet・cấu trúc dữ liệu</t>
    </r>
  </si>
  <si>
    <r>
      <rPr>
        <rFont val="メイリオ"/>
        <b/>
        <color rgb="FF000000"/>
        <sz val="10.0"/>
      </rPr>
      <t xml:space="preserve">ステップ1：
</t>
    </r>
    <r>
      <rPr>
        <rFont val="メイリオ"/>
        <color rgb="FF000000"/>
        <sz val="10.0"/>
      </rPr>
      <t xml:space="preserve">・Trả về HTTP 200
</t>
    </r>
    <r>
      <rPr>
        <rFont val="メイリオ"/>
        <color rgb="FF000000"/>
        <sz val="10.0"/>
      </rPr>
      <t xml:space="preserve">・File Excel（`.xlsx`）được download（tên file `購読者名簿_{YYYY年MM月}.xlsx`）
</t>
    </r>
    <r>
      <rPr>
        <rFont val="メイリオ"/>
        <b/>
        <color rgb="FF000000"/>
        <sz val="10.0"/>
      </rPr>
      <t xml:space="preserve">ステップ2：
</t>
    </r>
    <r>
      <rPr>
        <rFont val="メイリオ"/>
        <color rgb="FF000000"/>
        <sz val="10.0"/>
      </rPr>
      <t xml:space="preserve">・Tên sheet là「購読者名簿」
</t>
    </r>
    <r>
      <rPr>
        <rFont val="メイリオ"/>
        <color rgb="FF000000"/>
        <sz val="10.0"/>
      </rPr>
      <t>・Cấu trúc dữ liệu giống với bảng preview, bao gồm dòng tiểu tổng・dòng tổng</t>
    </r>
  </si>
  <si>
    <t>ACSMS-TC-026-033</t>
  </si>
  <si>
    <t>Đăng ký t_file_download</t>
  </si>
  <si>
    <r>
      <rPr>
        <rFont val="メイリオ"/>
        <b/>
        <strike/>
        <color rgb="FF000000"/>
        <sz val="10.0"/>
      </rPr>
      <t xml:space="preserve">ステップ1：
</t>
    </r>
    <r>
      <rPr>
        <rFont val="メイリオ"/>
        <strike/>
        <color rgb="FF000000"/>
        <sz val="10.0"/>
      </rPr>
      <t xml:space="preserve">Thực hiện「レポートデータExcel出力」
</t>
    </r>
    <r>
      <rPr>
        <rFont val="メイリオ"/>
        <b/>
        <strike/>
        <color rgb="FF000000"/>
        <sz val="10.0"/>
      </rPr>
      <t xml:space="preserve">ステップ2：
</t>
    </r>
    <r>
      <rPr>
        <rFont val="メイリオ"/>
        <strike/>
        <color rgb="FF000000"/>
        <sz val="10.0"/>
      </rPr>
      <t xml:space="preserve">Thực hiện query dưới đây trên DB, xác nhận lịch sử download
</t>
    </r>
    <r>
      <rPr>
        <rFont val="メイリオ"/>
        <strike/>
        <color rgb="FF000000"/>
        <sz val="10.0"/>
      </rPr>
      <t xml:space="preserve">```sql
</t>
    </r>
    <r>
      <rPr>
        <rFont val="メイリオ"/>
        <strike/>
        <color rgb="FF000000"/>
        <sz val="10.0"/>
      </rPr>
      <t xml:space="preserve">SELECT download_type, file_name, record_count, target_month
</t>
    </r>
    <r>
      <rPr>
        <rFont val="メイリオ"/>
        <strike/>
        <color rgb="FF000000"/>
        <sz val="10.0"/>
      </rPr>
      <t xml:space="preserve">FROM t_file_download
</t>
    </r>
    <r>
      <rPr>
        <rFont val="メイリオ"/>
        <strike/>
        <color rgb="FF000000"/>
        <sz val="10.0"/>
      </rPr>
      <t xml:space="preserve">WHERE ja_id = 1
</t>
    </r>
    <r>
      <rPr>
        <rFont val="メイリオ"/>
        <strike/>
        <color rgb="FF000000"/>
        <sz val="10.0"/>
      </rPr>
      <t xml:space="preserve">ORDER BY download_datetime DESC
</t>
    </r>
    <r>
      <rPr>
        <rFont val="メイリオ"/>
        <strike/>
        <color rgb="FF000000"/>
        <sz val="10.0"/>
      </rPr>
      <t xml:space="preserve">LIMIT 1;
</t>
    </r>
    <r>
      <rPr>
        <rFont val="メイリオ"/>
        <strike/>
        <color rgb="FF000000"/>
        <sz val="10.0"/>
      </rPr>
      <t>```</t>
    </r>
  </si>
  <si>
    <r>
      <rPr>
        <rFont val="メイリオ"/>
        <b/>
        <strike/>
        <color rgb="FF000000"/>
        <sz val="10.0"/>
      </rPr>
      <t xml:space="preserve">ステップ1：
</t>
    </r>
    <r>
      <rPr>
        <rFont val="メイリオ"/>
        <strike/>
        <color rgb="FF000000"/>
        <sz val="10.0"/>
      </rPr>
      <t xml:space="preserve">File Excel được download
</t>
    </r>
    <r>
      <rPr>
        <rFont val="メイリオ"/>
        <b/>
        <strike/>
        <color rgb="FF000000"/>
        <sz val="10.0"/>
      </rPr>
      <t xml:space="preserve">ステップ2：
</t>
    </r>
    <r>
      <rPr>
        <rFont val="メイリオ"/>
        <strike/>
        <color rgb="FF000000"/>
        <sz val="10.0"/>
      </rPr>
      <t>1 record được đăng ký vào t_file_download（download_type=5, file_name lưu tên file Excel, record_count lưu số lượng, target_month lưu năm tháng đối tượng）</t>
    </r>
  </si>
  <si>
    <t>Không lưu vào t_file_download</t>
  </si>
  <si>
    <t>ACSMS-TC-026-034</t>
  </si>
  <si>
    <t>Đối tượng 0 record（xuất Excel）</t>
  </si>
  <si>
    <r>
      <rPr>
        <rFont val="メイリオ"/>
        <b/>
        <color rgb="FF000000"/>
        <sz val="10.0"/>
      </rPr>
      <t xml:space="preserve">ステップ1：
</t>
    </r>
    <r>
      <rPr>
        <rFont val="メイリオ"/>
        <color rgb="FF000000"/>
        <sz val="10.0"/>
      </rPr>
      <t xml:space="preserve">Thực hiện「レポートデータExcel出力」với điều kiện không tồn tại đối tượng tổng hợp
</t>
    </r>
    <r>
      <rPr>
        <rFont val="メイリオ"/>
        <b/>
        <color rgb="FF000000"/>
        <sz val="10.0"/>
      </rPr>
      <t xml:space="preserve">ステップ2：
</t>
    </r>
    <r>
      <rPr>
        <rFont val="メイリオ"/>
        <color rgb="FF000000"/>
        <sz val="10.0"/>
      </rPr>
      <t>Xác nhận số lượng đăng ký của t_file_download trên DB</t>
    </r>
  </si>
  <si>
    <r>
      <rPr>
        <rFont val="メイリオ"/>
        <b/>
        <color rgb="FF000000"/>
        <sz val="10.0"/>
      </rPr>
      <t xml:space="preserve">ステップ1：
</t>
    </r>
    <r>
      <rPr>
        <rFont val="メイリオ"/>
        <color rgb="FF000000"/>
        <sz val="10.0"/>
      </rPr>
      <t xml:space="preserve">・Trả về HTTP 404（`error_code: REPORT_NO_DATA`、メッセージ `対象のデータが存在しません。`）
</t>
    </r>
    <r>
      <rPr>
        <rFont val="メイリオ"/>
        <color rgb="FF000000"/>
        <sz val="10.0"/>
      </rPr>
      <t xml:space="preserve">・File Excel không được download
</t>
    </r>
    <r>
      <rPr>
        <rFont val="メイリオ"/>
        <color rgb="FF000000"/>
        <sz val="10.0"/>
      </rPr>
      <t xml:space="preserve">・Hiển thị message「対象のデータが存在しません。」(ACSMS-MSG-026-004)
</t>
    </r>
    <r>
      <rPr>
        <rFont val="メイリオ"/>
        <b/>
        <color rgb="FF000000"/>
        <sz val="10.0"/>
      </rPr>
      <t xml:space="preserve">ステップ2：
</t>
    </r>
    <r>
      <rPr>
        <rFont val="メイリオ"/>
        <color rgb="FF000000"/>
        <sz val="10.0"/>
      </rPr>
      <t>Record không được đăng ký vào t_file_download</t>
    </r>
  </si>
  <si>
    <t>カテゴリ5: Xử lý lỗi chung (Common Error Handling)</t>
  </si>
  <si>
    <t>ACSMS-TC-026-035</t>
  </si>
  <si>
    <t>Request parameter không hợp lệ（BAD_REQUEST）</t>
  </si>
  <si>
    <r>
      <rPr>
        <rFont val="メイリオ"/>
        <b/>
        <color rgb="FF000000"/>
        <sz val="10.0"/>
      </rPr>
      <t xml:space="preserve">ステップ1：
</t>
    </r>
    <r>
      <rPr>
        <rFont val="メイリオ"/>
        <color rgb="FF000000"/>
        <sz val="10.0"/>
      </rPr>
      <t>Gửi GET「/api/v1/report/meibo/preview?tekiyo_date=2026-04-01&amp;report_type=invalid」（帳票種別 không hợp lệ）trên tab Network của DevTools</t>
    </r>
  </si>
  <si>
    <r>
      <rPr>
        <rFont val="メイリオ"/>
        <b/>
        <color rgb="FF000000"/>
        <sz val="10.0"/>
      </rPr>
      <t xml:space="preserve">ステップ1：
</t>
    </r>
    <r>
      <rPr>
        <rFont val="メイリオ"/>
        <color rgb="FF000000"/>
        <sz val="10.0"/>
      </rPr>
      <t>Trả về HTTP 400（`error_code: BAD_REQUEST`、メッセージ `リクエストパラメータが不正です。` または `error_code: VALIDATION_ERROR`）</t>
    </r>
  </si>
  <si>
    <t>ACSMS-TC-026-036</t>
  </si>
  <si>
    <t>Hết session（UNAUTHORIZED）</t>
  </si>
  <si>
    <t>・Đã đăng nhập bằng CHUOKAI
・Đã chuẩn bị sẵn việc làm hết hiệu lực session bằng công cụ quản lý</t>
  </si>
  <si>
    <r>
      <rPr>
        <rFont val="メイリオ"/>
        <b/>
        <color rgb="FF000000"/>
        <sz val="10.0"/>
      </rPr>
      <t xml:space="preserve">ステップ1：
</t>
    </r>
    <r>
      <rPr>
        <rFont val="メイリオ"/>
        <color rgb="FF000000"/>
        <sz val="10.0"/>
      </rPr>
      <t xml:space="preserve">Làm hết hiệu lực session khi đang mở màn hình xuất danh bạ độc giả
</t>
    </r>
    <r>
      <rPr>
        <rFont val="メイリオ"/>
        <b/>
        <color rgb="FF000000"/>
        <sz val="10.0"/>
      </rPr>
      <t xml:space="preserve">ステップ2：
</t>
    </r>
    <r>
      <rPr>
        <rFont val="メイリオ"/>
        <color rgb="FF000000"/>
        <sz val="10.0"/>
      </rPr>
      <t>Click nút「レポートプレビュー」</t>
    </r>
  </si>
  <si>
    <r>
      <rPr>
        <rFont val="メイリオ"/>
        <b/>
        <color rgb="FF000000"/>
        <sz val="10.0"/>
      </rPr>
      <t xml:space="preserve">ステップ1：
</t>
    </r>
    <r>
      <rPr>
        <rFont val="メイリオ"/>
        <color rgb="FF000000"/>
        <sz val="10.0"/>
      </rPr>
      <t xml:space="preserve">Màn hình ở trạng thái đã được hiển thị
</t>
    </r>
    <r>
      <rPr>
        <rFont val="メイリオ"/>
        <b/>
        <color rgb="FF000000"/>
        <sz val="10.0"/>
      </rPr>
      <t xml:space="preserve">ステップ2：
</t>
    </r>
    <r>
      <rPr>
        <rFont val="メイリオ"/>
        <color rgb="FF000000"/>
        <sz val="10.0"/>
      </rPr>
      <t xml:space="preserve">・Trả về HTTP 401（`error_code: UNAUTHORIZED`、メッセージ `セッションが切れました。再度ログインしてください。`）
</t>
    </r>
    <r>
      <rPr>
        <rFont val="メイリオ"/>
        <color rgb="FF000000"/>
        <sz val="10.0"/>
      </rPr>
      <t>・Chuyển sang「/login」（`redirect` được gắn vào query）</t>
    </r>
  </si>
  <si>
    <t>ACSMS-TC-026-037</t>
  </si>
  <si>
    <t>Hình dạng response lỗi validation（VALIDATION_ERROR）</t>
  </si>
  <si>
    <r>
      <rPr>
        <rFont val="メイリオ"/>
        <b/>
        <color rgb="FF000000"/>
        <sz val="10.0"/>
      </rPr>
      <t xml:space="preserve">ステップ1：
</t>
    </r>
    <r>
      <rPr>
        <rFont val="メイリオ"/>
        <color rgb="FF000000"/>
        <sz val="10.0"/>
      </rPr>
      <t>Gửi GET「/api/v1/report/meibo/export」với thiếu tekiyo_date trên tab Network của DevTools</t>
    </r>
  </si>
  <si>
    <r>
      <rPr>
        <rFont val="メイリオ"/>
        <b/>
        <color rgb="FF000000"/>
        <sz val="10.0"/>
      </rPr>
      <t xml:space="preserve">ステップ1：
</t>
    </r>
    <r>
      <rPr>
        <rFont val="メイリオ"/>
        <color rgb="FF000000"/>
        <sz val="10.0"/>
      </rPr>
      <t xml:space="preserve">・Trả về HTTP 400（`error_code: VALIDATION_ERROR`、メッセージ `入力値が不正です。詳細はerrorsフィールドを確認してください。`）
</t>
    </r>
    <r>
      <rPr>
        <rFont val="メイリオ"/>
        <color rgb="FF000000"/>
        <sz val="10.0"/>
      </rPr>
      <t>・Response bao gồm mảng `errors`, mỗi phần tử có hình dạng `{ field, message }`</t>
    </r>
  </si>
  <si>
    <t>ACSMS-TC-026-038</t>
  </si>
  <si>
    <t>Vượt giới hạn rate（TOO_MANY_REQUESTS）</t>
  </si>
  <si>
    <r>
      <rPr>
        <rFont val="メイリオ"/>
        <b/>
        <color rgb="FF000000"/>
        <sz val="10.0"/>
      </rPr>
      <t xml:space="preserve">ステップ1：
</t>
    </r>
    <r>
      <rPr>
        <rFont val="メイリオ"/>
        <color rgb="FF000000"/>
        <sz val="10.0"/>
      </rPr>
      <t xml:space="preserve">Gửi liên tục request tương đương preview hoặc xuất Excel đến số lần giới hạn
</t>
    </r>
    <r>
      <rPr>
        <rFont val="メイリオ"/>
        <b/>
        <color rgb="FF000000"/>
        <sz val="10.0"/>
      </rPr>
      <t xml:space="preserve">ステップ2：
</t>
    </r>
    <r>
      <rPr>
        <rFont val="メイリオ"/>
        <color rgb="FF000000"/>
        <sz val="10.0"/>
      </rPr>
      <t>Gửi thêm request vượt quá giới hạn</t>
    </r>
  </si>
  <si>
    <r>
      <rPr>
        <rFont val="メイリオ"/>
        <b/>
        <color rgb="FF000000"/>
        <sz val="10.0"/>
      </rPr>
      <t xml:space="preserve">ステップ1：
</t>
    </r>
    <r>
      <rPr>
        <rFont val="メイリオ"/>
        <color rgb="FF000000"/>
        <sz val="10.0"/>
      </rPr>
      <t xml:space="preserve">Request đến số lần giới hạn được xử lý bình thường
</t>
    </r>
    <r>
      <rPr>
        <rFont val="メイリオ"/>
        <b/>
        <color rgb="FF000000"/>
        <sz val="10.0"/>
      </rPr>
      <t xml:space="preserve">ステップ2：
</t>
    </r>
    <r>
      <rPr>
        <rFont val="メイリオ"/>
        <color rgb="FF000000"/>
        <sz val="10.0"/>
      </rPr>
      <t>Trả về HTTP 429（`error_code: TOO_MANY_REQUESTS`、メッセージ `リクエスト回数が上限を超えました。しばらくしてから再度お試しください。`）</t>
    </r>
  </si>
  <si>
    <t>ACSMS-TC-026-039</t>
  </si>
  <si>
    <t>Lỗi hệ thống（INTERNAL_SERVER_ERROR）</t>
  </si>
  <si>
    <t>・Đã đăng nhập bằng CHUOKAI
・Đã chuẩn bị sẵn việc phát sinh exception ở phía server</t>
  </si>
  <si>
    <r>
      <rPr>
        <rFont val="メイリオ"/>
        <b/>
        <color rgb="FF000000"/>
        <sz val="10.0"/>
      </rPr>
      <t xml:space="preserve">ステップ1：
</t>
    </r>
    <r>
      <rPr>
        <rFont val="メイリオ"/>
        <color rgb="FF000000"/>
        <sz val="10.0"/>
      </rPr>
      <t>Thực hiện「レポートプレビュー」ở trạng thái đã phát sinh lỗi kết nối DB v.v. ở phía server</t>
    </r>
  </si>
  <si>
    <r>
      <rPr>
        <rFont val="メイリオ"/>
        <b/>
        <color rgb="FF000000"/>
        <sz val="10.0"/>
      </rPr>
      <t xml:space="preserve">ステップ1：
</t>
    </r>
    <r>
      <rPr>
        <rFont val="メイリオ"/>
        <color rgb="FF000000"/>
        <sz val="10.0"/>
      </rPr>
      <t xml:space="preserve">・Trả về HTTP 500（`error_code: INTERNAL_SERVER_ERROR`、メッセージ `システムエラーが発生しました。しばらくしてから再度お試しください。`）
</t>
    </r>
    <r>
      <rPr>
        <rFont val="メイリオ"/>
        <color rgb="FF000000"/>
        <sz val="10.0"/>
      </rPr>
      <t>・Hiển thị message「システムエラーが発生しました。しばらくしてから再度お試しください。」(ACSMS-MSG-026-005)</t>
    </r>
  </si>
  <si>
    <t>ACSMS-TC-026-040</t>
  </si>
  <si>
    <t>Ngắt kết nối mạng</t>
  </si>
  <si>
    <r>
      <rPr>
        <rFont val="メイリオ"/>
        <b/>
        <color rgb="FF000000"/>
        <sz val="10.0"/>
      </rPr>
      <t xml:space="preserve">ステップ1：
</t>
    </r>
    <r>
      <rPr>
        <rFont val="メイリオ"/>
        <color rgb="FF000000"/>
        <sz val="10.0"/>
      </rPr>
      <t xml:space="preserve">Chọn「Offline」trên tab Network của DevTools, ngắt kết nối mạng
</t>
    </r>
    <r>
      <rPr>
        <rFont val="メイリオ"/>
        <b/>
        <color rgb="FF000000"/>
        <sz val="10.0"/>
      </rPr>
      <t xml:space="preserve">ステップ2：
</t>
    </r>
    <r>
      <rPr>
        <rFont val="メイリオ"/>
        <color rgb="FF000000"/>
        <sz val="10.0"/>
      </rPr>
      <t>Click nút「レポートプレビュー」</t>
    </r>
  </si>
  <si>
    <r>
      <rPr>
        <rFont val="メイリオ"/>
        <b/>
        <color rgb="FF000000"/>
        <sz val="10.0"/>
      </rPr>
      <t xml:space="preserve">ステップ1：
</t>
    </r>
    <r>
      <rPr>
        <rFont val="メイリオ"/>
        <color rgb="FF000000"/>
        <sz val="10.0"/>
      </rPr>
      <t xml:space="preserve">Mạng được ngắt kết nối
</t>
    </r>
    <r>
      <rPr>
        <rFont val="メイリオ"/>
        <b/>
        <color rgb="FF000000"/>
        <sz val="10.0"/>
      </rPr>
      <t xml:space="preserve">ステップ2：
</t>
    </r>
    <r>
      <rPr>
        <rFont val="メイリオ"/>
        <color rgb="FF000000"/>
        <sz val="10.0"/>
      </rPr>
      <t xml:space="preserve">・Hiển thị toast lỗi mạng
</t>
    </r>
    <r>
      <rPr>
        <rFont val="メイリオ"/>
        <color rgb="FF000000"/>
        <sz val="10.0"/>
      </rPr>
      <t>・Không bị terminate bất thường</t>
    </r>
  </si>
  <si>
    <t>ACSMS-TC-026-041</t>
  </si>
  <si>
    <t>An toàn với đầu vào SQL injection</t>
  </si>
  <si>
    <r>
      <rPr>
        <rFont val="メイリオ"/>
        <b/>
        <color rgb="FF000000"/>
        <sz val="10.0"/>
      </rPr>
      <t xml:space="preserve">ステップ1：
</t>
    </r>
    <r>
      <rPr>
        <rFont val="メイリオ"/>
        <color rgb="FF000000"/>
        <sz val="10.0"/>
      </rPr>
      <t xml:space="preserve">Gửi GET「/api/v1/report/meibo/preview」với tekiyo_date được chỉ định `2026-04-01'; DROP TABLE t_dokusya_rireki; --` trên tab Network của DevTools
</t>
    </r>
    <r>
      <rPr>
        <rFont val="メイリオ"/>
        <b/>
        <color rgb="FF000000"/>
        <sz val="10.0"/>
      </rPr>
      <t xml:space="preserve">ステップ2：
</t>
    </r>
    <r>
      <rPr>
        <rFont val="メイリオ"/>
        <color rgb="FF000000"/>
        <sz val="10.0"/>
      </rPr>
      <t>Xác nhận bảng t_dokusya_rireki tồn tại trên DB</t>
    </r>
  </si>
  <si>
    <r>
      <rPr>
        <rFont val="メイリオ"/>
        <b/>
        <color rgb="FF000000"/>
        <sz val="10.0"/>
      </rPr>
      <t xml:space="preserve">ステップ1：
</t>
    </r>
    <r>
      <rPr>
        <rFont val="メイリオ"/>
        <color rgb="FF000000"/>
        <sz val="10.0"/>
      </rPr>
      <t xml:space="preserve">・Giá trị đầu vào được xử lý như literal bởi parameterized query, không được thực thi như SQL
</t>
    </r>
    <r>
      <rPr>
        <rFont val="メイリオ"/>
        <color rgb="FF000000"/>
        <sz val="10.0"/>
      </rPr>
      <t xml:space="preserve">・Trả về HTTP 400（`error_code: VALIDATION_ERROR` または `BAD_REQUEST`）
</t>
    </r>
    <r>
      <rPr>
        <rFont val="メイリオ"/>
        <b/>
        <color rgb="FF000000"/>
        <sz val="10.0"/>
      </rPr>
      <t xml:space="preserve">ステップ2：
</t>
    </r>
    <r>
      <rPr>
        <rFont val="メイリオ"/>
        <color rgb="FF000000"/>
        <sz val="10.0"/>
      </rPr>
      <t>Bảng t_dokusya_rireki không bị xóa và tồn tại</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</si>
</sst>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sz val="11.0"/>
      <color theme="1"/>
      <name val="Calibri"/>
    </font>
    <font>
      <sz val="26.0"/>
      <color rgb="FF1F3864"/>
      <name val="游ゴシック"/>
    </font>
    <font/>
    <font>
      <sz val="24.0"/>
      <color rgb="FF1F3864"/>
      <name val="游ゴシック"/>
    </font>
    <font>
      <sz val="15.0"/>
      <color theme="1"/>
      <name val="游ゴシック"/>
    </font>
    <font>
      <sz val="10.0"/>
      <color rgb="FF000000"/>
      <name val="游ゴシック"/>
    </font>
    <font>
      <b/>
      <sz val="11.0"/>
      <color rgb="FF000000"/>
      <name val="游ゴシック"/>
    </font>
    <font>
      <sz val="11.0"/>
      <color rgb="FF000000"/>
      <name val="游ゴシック"/>
    </font>
    <font>
      <b/>
      <sz val="14.0"/>
      <color rgb="FF000000"/>
      <name val="游ゴシック"/>
    </font>
    <font>
      <i/>
      <sz val="11.0"/>
      <color rgb="FF000000"/>
      <name val="游ゴシック"/>
    </font>
    <font>
      <strike/>
      <sz val="11.0"/>
      <color rgb="FF000000"/>
      <name val="游ゴシック"/>
    </font>
  </fonts>
  <fills count="11">
    <fill>
      <patternFill patternType="none"/>
    </fill>
    <fill>
      <patternFill patternType="lightGray"/>
    </fill>
    <fill>
      <patternFill patternType="solid">
        <fgColor rgb="FFD9E2F3"/>
        <bgColor rgb="FFD9E2F3"/>
      </patternFill>
    </fill>
    <fill>
      <patternFill patternType="solid">
        <fgColor rgb="FFB4C6E7"/>
        <bgColor rgb="FFB4C6E7"/>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theme="0"/>
        <bgColor theme="0"/>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4" fillId="0" fontId="2" numFmtId="0" xfId="0" applyAlignment="1" applyBorder="1" applyFont="1">
      <alignment horizontal="center" shrinkToFit="0" vertical="center" wrapText="1"/>
    </xf>
    <xf borderId="5" fillId="0" fontId="3" numFmtId="0" xfId="0" applyBorder="1" applyFont="1"/>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 fontId="6"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2" fontId="6" numFmtId="49" xfId="0" applyAlignment="1" applyBorder="1" applyFont="1" applyNumberFormat="1">
      <alignment horizontal="center" shrinkToFit="0" vertical="center" wrapText="1"/>
    </xf>
    <xf borderId="9" fillId="0" fontId="1" numFmtId="0" xfId="0" applyBorder="1" applyFont="1"/>
    <xf borderId="10" fillId="0" fontId="1" numFmtId="0" xfId="0" applyBorder="1" applyFont="1"/>
    <xf borderId="11" fillId="0" fontId="1" numFmtId="0" xfId="0" applyBorder="1" applyFont="1"/>
    <xf borderId="12" fillId="3" fontId="7" numFmtId="0" xfId="0" applyAlignment="1" applyBorder="1" applyFill="1" applyFont="1">
      <alignment horizontal="center" shrinkToFit="0" vertical="center" wrapText="1"/>
    </xf>
    <xf borderId="6" fillId="3" fontId="7"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8" numFmtId="49"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3" fillId="4" fontId="7"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6" fillId="3" fontId="9" numFmtId="0" xfId="0" applyAlignment="1" applyBorder="1" applyFont="1">
      <alignment horizontal="center" shrinkToFit="0" vertical="center" wrapText="1"/>
    </xf>
    <xf borderId="6" fillId="5" fontId="7" numFmtId="0" xfId="0" applyAlignment="1" applyBorder="1" applyFill="1" applyFont="1">
      <alignment horizontal="left" shrinkToFit="0" vertical="center" wrapText="1"/>
    </xf>
    <xf borderId="6" fillId="0" fontId="8" numFmtId="49" xfId="0" applyAlignment="1" applyBorder="1" applyFont="1" applyNumberFormat="1">
      <alignment horizontal="left" shrinkToFit="0" vertical="center" wrapText="1"/>
    </xf>
    <xf borderId="16"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7" fillId="0" fontId="3" numFmtId="0" xfId="0" applyBorder="1" applyFont="1"/>
    <xf borderId="12" fillId="6" fontId="7" numFmtId="0" xfId="0" applyAlignment="1" applyBorder="1" applyFill="1" applyFont="1">
      <alignment horizontal="left" shrinkToFit="0" vertical="center" wrapText="1"/>
    </xf>
    <xf borderId="6" fillId="0" fontId="8" numFmtId="16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12" fillId="6"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xf borderId="12" fillId="0" fontId="8"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6" fillId="7" fontId="7" numFmtId="0" xfId="0" applyAlignment="1" applyBorder="1" applyFill="1" applyFont="1">
      <alignment horizontal="center" shrinkToFit="0" vertical="top" wrapText="1"/>
    </xf>
    <xf borderId="6" fillId="8" fontId="7" numFmtId="0" xfId="0" applyAlignment="1" applyBorder="1" applyFill="1" applyFont="1">
      <alignment horizontal="center" shrinkToFit="0" vertical="top" wrapText="1"/>
    </xf>
    <xf borderId="6" fillId="9" fontId="7" numFmtId="0" xfId="0" applyAlignment="1" applyBorder="1" applyFill="1" applyFont="1">
      <alignment horizontal="center" shrinkToFit="0" vertical="top" wrapText="1"/>
    </xf>
    <xf borderId="6" fillId="5" fontId="7" numFmtId="0" xfId="0" applyAlignment="1" applyBorder="1" applyFont="1">
      <alignment horizontal="right" shrinkToFit="0" vertical="center" wrapText="1"/>
    </xf>
    <xf borderId="6" fillId="0" fontId="7" numFmtId="0" xfId="0" applyAlignment="1" applyBorder="1" applyFont="1">
      <alignment horizontal="center" shrinkToFit="0" vertical="top" wrapText="1"/>
    </xf>
    <xf borderId="6" fillId="0" fontId="10" numFmtId="0" xfId="0" applyAlignment="1" applyBorder="1" applyFont="1">
      <alignment horizontal="left" shrinkToFit="0" vertical="top" wrapText="1"/>
    </xf>
    <xf borderId="16" fillId="6" fontId="7"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12" fillId="0" fontId="11" numFmtId="0" xfId="0" applyAlignment="1" applyBorder="1" applyFont="1">
      <alignment horizontal="center" shrinkToFit="0" vertical="top" wrapText="1"/>
    </xf>
    <xf borderId="6" fillId="0" fontId="11" numFmtId="0" xfId="0" applyAlignment="1" applyBorder="1" applyFont="1">
      <alignment horizontal="left" shrinkToFit="0" vertical="top" wrapText="1"/>
    </xf>
    <xf borderId="6" fillId="0" fontId="11" numFmtId="0" xfId="0" applyAlignment="1" applyBorder="1" applyFont="1">
      <alignment horizontal="center" shrinkToFit="0" vertical="top" wrapText="1"/>
    </xf>
    <xf borderId="6" fillId="0" fontId="11" numFmtId="0" xfId="0" applyAlignment="1" applyBorder="1" applyFont="1">
      <alignment horizontal="center" readingOrder="0" shrinkToFit="0" vertical="top" wrapText="1"/>
    </xf>
    <xf borderId="6" fillId="0" fontId="8" numFmtId="0" xfId="0" applyAlignment="1" applyBorder="1" applyFont="1">
      <alignment horizontal="left" readingOrder="0" shrinkToFit="0" vertical="top" wrapText="1"/>
    </xf>
    <xf borderId="6" fillId="10" fontId="1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ht="12.75" customHeight="1">
      <c r="B3" s="4"/>
      <c r="AK3" s="5"/>
    </row>
    <row r="4" ht="12.75" customHeight="1">
      <c r="B4" s="4"/>
      <c r="AK4" s="5"/>
    </row>
    <row r="5" ht="12.75" customHeight="1">
      <c r="B5" s="4"/>
      <c r="AK5" s="5"/>
    </row>
    <row r="6" ht="12.75" customHeight="1">
      <c r="B6" s="4"/>
      <c r="AK6" s="5"/>
    </row>
    <row r="7" ht="12.75" customHeight="1">
      <c r="B7" s="4"/>
      <c r="AK7" s="5"/>
    </row>
    <row r="8" ht="12.75" customHeight="1">
      <c r="B8" s="4"/>
      <c r="AK8" s="5"/>
    </row>
    <row r="9" ht="12.75" customHeight="1">
      <c r="B9" s="4"/>
      <c r="AK9" s="5"/>
    </row>
    <row r="10" ht="29.25" customHeight="1">
      <c r="B10" s="6" t="s">
        <v>0</v>
      </c>
      <c r="AK10" s="7"/>
    </row>
    <row r="11" ht="12.75" customHeight="1">
      <c r="B11" s="4"/>
      <c r="AK11" s="5"/>
    </row>
    <row r="12" ht="39.0" customHeight="1">
      <c r="B12" s="8" t="s">
        <v>1</v>
      </c>
      <c r="AK12" s="7"/>
    </row>
    <row r="13" ht="12.75" customHeight="1">
      <c r="B13" s="4"/>
      <c r="AK13" s="5"/>
    </row>
    <row r="14" ht="12.75" customHeight="1">
      <c r="B14" s="4"/>
      <c r="AK14" s="5"/>
    </row>
    <row r="15" ht="12.75" customHeight="1">
      <c r="B15" s="9" t="s">
        <v>2</v>
      </c>
      <c r="AK15" s="7"/>
    </row>
    <row r="16" ht="12.75" customHeight="1">
      <c r="B16" s="4"/>
      <c r="AK16" s="5"/>
    </row>
    <row r="17" ht="12.75" customHeight="1">
      <c r="B17" s="4"/>
      <c r="AK17" s="5"/>
    </row>
    <row r="18" ht="12.75" customHeight="1">
      <c r="B18" s="4"/>
      <c r="N18" s="10" t="s">
        <v>3</v>
      </c>
      <c r="O18" s="11"/>
      <c r="P18" s="11"/>
      <c r="Q18" s="11"/>
      <c r="R18" s="12"/>
      <c r="S18" s="10" t="s">
        <v>4</v>
      </c>
      <c r="T18" s="11"/>
      <c r="U18" s="11"/>
      <c r="V18" s="11"/>
      <c r="W18" s="12"/>
      <c r="AK18" s="5"/>
    </row>
    <row r="19" ht="12.75" customHeight="1">
      <c r="B19" s="4"/>
      <c r="N19" s="10" t="s">
        <v>5</v>
      </c>
      <c r="O19" s="11"/>
      <c r="P19" s="11"/>
      <c r="Q19" s="11"/>
      <c r="R19" s="12"/>
      <c r="S19" s="10" t="s">
        <v>6</v>
      </c>
      <c r="T19" s="11"/>
      <c r="U19" s="11"/>
      <c r="V19" s="11"/>
      <c r="W19" s="12"/>
      <c r="AK19" s="5"/>
    </row>
    <row r="20" ht="12.75" customHeight="1">
      <c r="B20" s="4"/>
      <c r="N20" s="10" t="s">
        <v>7</v>
      </c>
      <c r="O20" s="11"/>
      <c r="P20" s="11"/>
      <c r="Q20" s="11"/>
      <c r="R20" s="12"/>
      <c r="S20" s="13" t="s">
        <v>8</v>
      </c>
      <c r="T20" s="11"/>
      <c r="U20" s="11"/>
      <c r="V20" s="11"/>
      <c r="W20" s="12"/>
      <c r="AK20" s="5"/>
    </row>
    <row r="21" ht="12.75" customHeight="1">
      <c r="B21" s="4"/>
      <c r="AK21" s="5"/>
    </row>
    <row r="22" ht="12.75" customHeight="1">
      <c r="B22" s="4"/>
      <c r="AK22" s="5"/>
    </row>
    <row r="23" ht="12.75" customHeight="1">
      <c r="B23" s="4"/>
      <c r="AK23" s="5"/>
    </row>
    <row r="24" ht="12.75" customHeight="1">
      <c r="B24" s="4"/>
      <c r="AK24" s="5"/>
    </row>
    <row r="25" ht="12.75" customHeight="1">
      <c r="B25" s="4"/>
      <c r="AK25" s="5"/>
    </row>
    <row r="26" ht="12.75" customHeight="1">
      <c r="B26" s="4"/>
      <c r="AK26" s="5"/>
    </row>
    <row r="27" ht="12.75" customHeight="1">
      <c r="B27" s="4"/>
      <c r="AK27" s="5"/>
    </row>
    <row r="28" ht="12.75" customHeight="1">
      <c r="B28" s="4"/>
      <c r="AK28" s="5"/>
    </row>
    <row r="29" ht="12.75" customHeight="1">
      <c r="B29" s="4"/>
      <c r="AK29" s="5"/>
    </row>
    <row r="30" ht="12.75" customHeight="1">
      <c r="B30" s="4"/>
      <c r="AK30" s="5"/>
    </row>
    <row r="31" ht="12.75" customHeight="1">
      <c r="B31" s="4"/>
      <c r="AK31" s="5"/>
    </row>
    <row r="32" ht="12.75" customHeight="1">
      <c r="B32" s="4"/>
      <c r="AK32" s="5"/>
    </row>
    <row r="33" ht="12.75" customHeight="1">
      <c r="B33" s="4"/>
      <c r="AK33" s="5"/>
    </row>
    <row r="34" ht="12.75" customHeight="1">
      <c r="B34" s="14"/>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7" t="s">
        <v>9</v>
      </c>
      <c r="B1" s="18" t="s">
        <v>7</v>
      </c>
      <c r="C1" s="11"/>
      <c r="D1" s="11"/>
      <c r="E1" s="12"/>
      <c r="F1" s="18" t="s">
        <v>10</v>
      </c>
      <c r="G1" s="11"/>
      <c r="H1" s="12"/>
      <c r="I1" s="18" t="s">
        <v>11</v>
      </c>
      <c r="J1" s="11"/>
      <c r="K1" s="11"/>
      <c r="L1" s="11"/>
      <c r="M1" s="11"/>
      <c r="N1" s="12"/>
      <c r="O1" s="18" t="s">
        <v>12</v>
      </c>
      <c r="P1" s="11"/>
      <c r="Q1" s="11"/>
      <c r="R1" s="11"/>
      <c r="S1" s="11"/>
      <c r="T1" s="11"/>
      <c r="U1" s="11"/>
      <c r="V1" s="12"/>
      <c r="W1" s="18" t="s">
        <v>13</v>
      </c>
      <c r="X1" s="11"/>
      <c r="Y1" s="11"/>
      <c r="Z1" s="11"/>
      <c r="AA1" s="11"/>
      <c r="AB1" s="12"/>
      <c r="AC1" s="18" t="s">
        <v>14</v>
      </c>
      <c r="AD1" s="11"/>
      <c r="AE1" s="11"/>
      <c r="AF1" s="11"/>
      <c r="AG1" s="11"/>
      <c r="AH1" s="12"/>
    </row>
    <row r="2" ht="22.5" customHeight="1">
      <c r="A2" s="19"/>
      <c r="B2" s="20" t="s">
        <v>8</v>
      </c>
      <c r="C2" s="11"/>
      <c r="D2" s="11"/>
      <c r="E2" s="12"/>
      <c r="F2" s="20" t="s">
        <v>6</v>
      </c>
      <c r="G2" s="11"/>
      <c r="H2" s="12"/>
      <c r="I2" s="20" t="s">
        <v>15</v>
      </c>
      <c r="J2" s="11"/>
      <c r="K2" s="11"/>
      <c r="L2" s="11"/>
      <c r="M2" s="11"/>
      <c r="N2" s="12"/>
      <c r="O2" s="21" t="s">
        <v>16</v>
      </c>
      <c r="P2" s="11"/>
      <c r="Q2" s="11"/>
      <c r="R2" s="11"/>
      <c r="S2" s="11"/>
      <c r="T2" s="11"/>
      <c r="U2" s="11"/>
      <c r="V2" s="12"/>
      <c r="W2" s="20" t="s">
        <v>17</v>
      </c>
      <c r="X2" s="11"/>
      <c r="Y2" s="11"/>
      <c r="Z2" s="11"/>
      <c r="AA2" s="11"/>
      <c r="AB2" s="12"/>
      <c r="AC2" s="20" t="s">
        <v>17</v>
      </c>
      <c r="AD2" s="11"/>
      <c r="AE2" s="11"/>
      <c r="AF2" s="11"/>
      <c r="AG2" s="11"/>
      <c r="AH2"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18</v>
      </c>
      <c r="B1" s="11"/>
      <c r="C1" s="11"/>
      <c r="D1" s="11"/>
      <c r="E1" s="11"/>
      <c r="F1" s="11"/>
      <c r="G1" s="11"/>
      <c r="H1" s="11"/>
      <c r="I1" s="12"/>
      <c r="J1" s="18" t="s">
        <v>19</v>
      </c>
      <c r="K1" s="11"/>
      <c r="L1" s="11"/>
      <c r="M1" s="11"/>
      <c r="N1" s="11"/>
      <c r="O1" s="11"/>
      <c r="P1" s="12"/>
      <c r="Q1" s="18" t="s">
        <v>20</v>
      </c>
      <c r="R1" s="11"/>
      <c r="S1" s="11"/>
      <c r="T1" s="11"/>
      <c r="U1" s="12"/>
      <c r="V1" s="18" t="s">
        <v>21</v>
      </c>
      <c r="W1" s="11"/>
      <c r="X1" s="11"/>
      <c r="Y1" s="12"/>
      <c r="Z1" s="18" t="s">
        <v>22</v>
      </c>
      <c r="AA1" s="11"/>
      <c r="AB1" s="11"/>
      <c r="AC1" s="12"/>
      <c r="AD1" s="18" t="s">
        <v>23</v>
      </c>
      <c r="AE1" s="11"/>
      <c r="AF1" s="11"/>
      <c r="AG1" s="12"/>
      <c r="AH1" s="18" t="s">
        <v>24</v>
      </c>
      <c r="AI1" s="11"/>
      <c r="AJ1" s="11"/>
      <c r="AK1" s="12"/>
    </row>
    <row r="2" ht="19.5" customHeight="1">
      <c r="A2" s="22" t="s">
        <v>0</v>
      </c>
      <c r="B2" s="23"/>
      <c r="C2" s="23"/>
      <c r="D2" s="23"/>
      <c r="E2" s="23"/>
      <c r="F2" s="23"/>
      <c r="G2" s="23"/>
      <c r="H2" s="23"/>
      <c r="I2" s="24"/>
      <c r="J2" s="22" t="s">
        <v>25</v>
      </c>
      <c r="K2" s="23"/>
      <c r="L2" s="23"/>
      <c r="M2" s="23"/>
      <c r="N2" s="23"/>
      <c r="O2" s="23"/>
      <c r="P2" s="24"/>
      <c r="Q2" s="22" t="s">
        <v>26</v>
      </c>
      <c r="R2" s="23"/>
      <c r="S2" s="23"/>
      <c r="T2" s="23"/>
      <c r="U2" s="24"/>
      <c r="V2" s="25" t="s">
        <v>8</v>
      </c>
      <c r="W2" s="23"/>
      <c r="X2" s="23"/>
      <c r="Y2" s="24"/>
      <c r="Z2" s="22" t="s">
        <v>15</v>
      </c>
      <c r="AA2" s="23"/>
      <c r="AB2" s="23"/>
      <c r="AC2" s="24"/>
      <c r="AD2" s="25" t="s">
        <v>8</v>
      </c>
      <c r="AE2" s="23"/>
      <c r="AF2" s="23"/>
      <c r="AG2" s="24"/>
      <c r="AH2" s="22" t="s">
        <v>15</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4" ht="15.0" customHeight="1"/>
    <row r="5" ht="19.5" customHeight="1">
      <c r="B5" s="29" t="s">
        <v>27</v>
      </c>
    </row>
    <row r="6" ht="19.5" customHeight="1">
      <c r="C6" s="30" t="s">
        <v>28</v>
      </c>
    </row>
    <row r="7" ht="19.5" customHeight="1">
      <c r="C7" s="30" t="s">
        <v>29</v>
      </c>
    </row>
    <row r="8" ht="19.5" customHeight="1">
      <c r="C8" s="30" t="s">
        <v>30</v>
      </c>
    </row>
    <row r="9" ht="15.0" customHeight="1"/>
    <row r="10" ht="19.5" customHeight="1">
      <c r="B10" s="29" t="s">
        <v>31</v>
      </c>
    </row>
    <row r="11" ht="19.5" customHeight="1">
      <c r="C11" s="31" t="s">
        <v>32</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3"/>
    </row>
    <row r="12" ht="15.0" customHeight="1"/>
    <row r="13" ht="19.5" customHeight="1">
      <c r="B13" s="29" t="s">
        <v>33</v>
      </c>
    </row>
    <row r="14" ht="15.0" customHeight="1"/>
    <row r="15" ht="22.5" customHeight="1">
      <c r="C15" s="17" t="s">
        <v>34</v>
      </c>
      <c r="D15" s="18" t="s">
        <v>35</v>
      </c>
      <c r="E15" s="11"/>
      <c r="F15" s="11"/>
      <c r="G15" s="11"/>
      <c r="H15" s="11"/>
      <c r="I15" s="11"/>
      <c r="J15" s="11"/>
      <c r="K15" s="11"/>
      <c r="L15" s="11"/>
      <c r="M15" s="11"/>
      <c r="N15" s="12"/>
      <c r="O15" s="18" t="s">
        <v>36</v>
      </c>
      <c r="P15" s="11"/>
      <c r="Q15" s="11"/>
      <c r="R15" s="11"/>
      <c r="S15" s="11"/>
      <c r="T15" s="11"/>
      <c r="U15" s="11"/>
      <c r="V15" s="11"/>
      <c r="W15" s="11"/>
      <c r="X15" s="11"/>
      <c r="Y15" s="11"/>
      <c r="Z15" s="11"/>
      <c r="AA15" s="11"/>
      <c r="AB15" s="11"/>
      <c r="AC15" s="11"/>
      <c r="AD15" s="11"/>
      <c r="AE15" s="11"/>
      <c r="AF15" s="11"/>
      <c r="AG15" s="12"/>
    </row>
    <row r="16" ht="22.5" customHeight="1">
      <c r="C16" s="19">
        <v>1.0</v>
      </c>
      <c r="D16" s="21" t="s">
        <v>37</v>
      </c>
      <c r="E16" s="11"/>
      <c r="F16" s="11"/>
      <c r="G16" s="11"/>
      <c r="H16" s="11"/>
      <c r="I16" s="11"/>
      <c r="J16" s="11"/>
      <c r="K16" s="11"/>
      <c r="L16" s="11"/>
      <c r="M16" s="11"/>
      <c r="N16" s="12"/>
      <c r="O16" s="21" t="s">
        <v>38</v>
      </c>
      <c r="P16" s="11"/>
      <c r="Q16" s="11"/>
      <c r="R16" s="11"/>
      <c r="S16" s="11"/>
      <c r="T16" s="11"/>
      <c r="U16" s="11"/>
      <c r="V16" s="11"/>
      <c r="W16" s="11"/>
      <c r="X16" s="11"/>
      <c r="Y16" s="11"/>
      <c r="Z16" s="11"/>
      <c r="AA16" s="11"/>
      <c r="AB16" s="11"/>
      <c r="AC16" s="11"/>
      <c r="AD16" s="11"/>
      <c r="AE16" s="11"/>
      <c r="AF16" s="11"/>
      <c r="AG16" s="12"/>
    </row>
    <row r="17" ht="22.5" customHeight="1">
      <c r="C17" s="19">
        <v>2.0</v>
      </c>
      <c r="D17" s="21" t="s">
        <v>37</v>
      </c>
      <c r="E17" s="11"/>
      <c r="F17" s="11"/>
      <c r="G17" s="11"/>
      <c r="H17" s="11"/>
      <c r="I17" s="11"/>
      <c r="J17" s="11"/>
      <c r="K17" s="11"/>
      <c r="L17" s="11"/>
      <c r="M17" s="11"/>
      <c r="N17" s="12"/>
      <c r="O17" s="21" t="s">
        <v>39</v>
      </c>
      <c r="P17" s="11"/>
      <c r="Q17" s="11"/>
      <c r="R17" s="11"/>
      <c r="S17" s="11"/>
      <c r="T17" s="11"/>
      <c r="U17" s="11"/>
      <c r="V17" s="11"/>
      <c r="W17" s="11"/>
      <c r="X17" s="11"/>
      <c r="Y17" s="11"/>
      <c r="Z17" s="11"/>
      <c r="AA17" s="11"/>
      <c r="AB17" s="11"/>
      <c r="AC17" s="11"/>
      <c r="AD17" s="11"/>
      <c r="AE17" s="11"/>
      <c r="AF17" s="11"/>
      <c r="AG17"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I1"/>
    <mergeCell ref="J1:P1"/>
    <mergeCell ref="Q1:U1"/>
    <mergeCell ref="V1:Y1"/>
    <mergeCell ref="Z1:AC1"/>
    <mergeCell ref="AD1:AG1"/>
    <mergeCell ref="AH1:AK1"/>
    <mergeCell ref="A2:I3"/>
    <mergeCell ref="J2:P3"/>
    <mergeCell ref="Q2:U3"/>
    <mergeCell ref="V2:Y3"/>
    <mergeCell ref="Z2:AC3"/>
    <mergeCell ref="AD2:AG3"/>
    <mergeCell ref="AH2:AK3"/>
    <mergeCell ref="D15:N15"/>
    <mergeCell ref="O15:AG15"/>
    <mergeCell ref="D16:N16"/>
    <mergeCell ref="O16:AG16"/>
    <mergeCell ref="D17:N17"/>
    <mergeCell ref="O17:AG17"/>
    <mergeCell ref="B5:AK5"/>
    <mergeCell ref="C6:AK6"/>
    <mergeCell ref="C7:AK7"/>
    <mergeCell ref="C8:AK8"/>
    <mergeCell ref="B10:AK10"/>
    <mergeCell ref="C11:AK11"/>
    <mergeCell ref="B13:AK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4" t="s">
        <v>40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2"/>
    </row>
    <row r="3" ht="22.5" customHeight="1">
      <c r="A3" s="35" t="s">
        <v>41</v>
      </c>
      <c r="B3" s="11"/>
      <c r="C3" s="11"/>
      <c r="D3" s="11"/>
      <c r="E3" s="11"/>
      <c r="F3" s="12"/>
      <c r="G3" s="21" t="s">
        <v>0</v>
      </c>
      <c r="H3" s="11"/>
      <c r="I3" s="11"/>
      <c r="J3" s="11"/>
      <c r="K3" s="11"/>
      <c r="L3" s="11"/>
      <c r="M3" s="11"/>
      <c r="N3" s="11"/>
      <c r="O3" s="12"/>
      <c r="P3" s="35" t="s">
        <v>42</v>
      </c>
      <c r="Q3" s="11"/>
      <c r="R3" s="11"/>
      <c r="S3" s="11"/>
      <c r="T3" s="11"/>
      <c r="U3" s="11"/>
      <c r="V3" s="11"/>
      <c r="W3" s="12"/>
      <c r="X3" s="21" t="s">
        <v>17</v>
      </c>
      <c r="Y3" s="11"/>
      <c r="Z3" s="11"/>
      <c r="AA3" s="11"/>
      <c r="AB3" s="11"/>
      <c r="AC3" s="11"/>
      <c r="AD3" s="11"/>
      <c r="AE3" s="11"/>
      <c r="AF3" s="11"/>
      <c r="AG3" s="11"/>
      <c r="AH3" s="12"/>
    </row>
    <row r="4" ht="22.5" customHeight="1">
      <c r="A4" s="35" t="s">
        <v>11</v>
      </c>
      <c r="B4" s="11"/>
      <c r="C4" s="11"/>
      <c r="D4" s="11"/>
      <c r="E4" s="11"/>
      <c r="F4" s="12"/>
      <c r="G4" s="21" t="s">
        <v>15</v>
      </c>
      <c r="H4" s="11"/>
      <c r="I4" s="11"/>
      <c r="J4" s="11"/>
      <c r="K4" s="11"/>
      <c r="L4" s="11"/>
      <c r="M4" s="11"/>
      <c r="N4" s="11"/>
      <c r="O4" s="12"/>
      <c r="P4" s="35" t="s">
        <v>21</v>
      </c>
      <c r="Q4" s="11"/>
      <c r="R4" s="11"/>
      <c r="S4" s="11"/>
      <c r="T4" s="11"/>
      <c r="U4" s="11"/>
      <c r="V4" s="11"/>
      <c r="W4" s="12"/>
      <c r="X4" s="36" t="s">
        <v>8</v>
      </c>
      <c r="Y4" s="11"/>
      <c r="Z4" s="11"/>
      <c r="AA4" s="11"/>
      <c r="AB4" s="11"/>
      <c r="AC4" s="11"/>
      <c r="AD4" s="11"/>
      <c r="AE4" s="11"/>
      <c r="AF4" s="11"/>
      <c r="AG4" s="11"/>
      <c r="AH4" s="12"/>
    </row>
    <row r="6" ht="22.5" customHeight="1">
      <c r="A6" s="37" t="s">
        <v>43</v>
      </c>
      <c r="B6" s="38" t="s">
        <v>44</v>
      </c>
      <c r="C6" s="23"/>
      <c r="D6" s="23"/>
      <c r="E6" s="23"/>
      <c r="F6" s="23"/>
      <c r="G6" s="24"/>
      <c r="H6" s="39" t="s">
        <v>45</v>
      </c>
      <c r="I6" s="11"/>
      <c r="J6" s="11"/>
      <c r="K6" s="11"/>
      <c r="L6" s="11"/>
      <c r="M6" s="11"/>
      <c r="N6" s="11"/>
      <c r="O6" s="11"/>
      <c r="P6" s="12"/>
      <c r="Q6" s="38" t="s">
        <v>46</v>
      </c>
      <c r="R6" s="23"/>
      <c r="S6" s="24"/>
      <c r="T6" s="39" t="s">
        <v>47</v>
      </c>
      <c r="U6" s="11"/>
      <c r="V6" s="11"/>
      <c r="W6" s="11"/>
      <c r="X6" s="11"/>
      <c r="Y6" s="11"/>
      <c r="Z6" s="11"/>
      <c r="AA6" s="11"/>
      <c r="AB6" s="11"/>
      <c r="AC6" s="11"/>
      <c r="AD6" s="11"/>
      <c r="AE6" s="11"/>
      <c r="AF6" s="11"/>
      <c r="AG6" s="11"/>
      <c r="AH6" s="12"/>
    </row>
    <row r="7" ht="22.5" customHeight="1">
      <c r="A7" s="40"/>
      <c r="B7" s="26"/>
      <c r="C7" s="27"/>
      <c r="D7" s="27"/>
      <c r="E7" s="27"/>
      <c r="F7" s="27"/>
      <c r="G7" s="28"/>
      <c r="H7" s="39" t="s">
        <v>48</v>
      </c>
      <c r="I7" s="11"/>
      <c r="J7" s="12"/>
      <c r="K7" s="39" t="s">
        <v>49</v>
      </c>
      <c r="L7" s="11"/>
      <c r="M7" s="12"/>
      <c r="N7" s="39" t="s">
        <v>50</v>
      </c>
      <c r="O7" s="11"/>
      <c r="P7" s="12"/>
      <c r="Q7" s="26"/>
      <c r="R7" s="27"/>
      <c r="S7" s="28"/>
      <c r="T7" s="39" t="s">
        <v>51</v>
      </c>
      <c r="U7" s="11"/>
      <c r="V7" s="12"/>
      <c r="W7" s="39" t="s">
        <v>52</v>
      </c>
      <c r="X7" s="11"/>
      <c r="Y7" s="12"/>
      <c r="Z7" s="39" t="s">
        <v>53</v>
      </c>
      <c r="AA7" s="11"/>
      <c r="AB7" s="12"/>
      <c r="AC7" s="39" t="s">
        <v>54</v>
      </c>
      <c r="AD7" s="11"/>
      <c r="AE7" s="12"/>
      <c r="AF7" s="39" t="s">
        <v>55</v>
      </c>
      <c r="AG7" s="11"/>
      <c r="AH7" s="12"/>
    </row>
    <row r="8" ht="22.5" customHeight="1">
      <c r="A8" s="41" t="s">
        <v>56</v>
      </c>
    </row>
    <row r="9" ht="22.5" customHeight="1">
      <c r="A9" s="19">
        <v>1.0</v>
      </c>
      <c r="B9" s="21" t="s">
        <v>57</v>
      </c>
      <c r="C9" s="11"/>
      <c r="D9" s="11"/>
      <c r="E9" s="11"/>
      <c r="F9" s="11"/>
      <c r="G9" s="12"/>
      <c r="H9" s="20">
        <f t="array" ref="H9">INDIRECT("'"&amp;$B9&amp;"'!H7",TRUE)</f>
        <v>22</v>
      </c>
      <c r="I9" s="11"/>
      <c r="J9" s="12"/>
      <c r="K9" s="20">
        <f t="array" ref="K9">INDIRECT("'"&amp;$B9&amp;"'!K7",TRUE)</f>
        <v>19</v>
      </c>
      <c r="L9" s="11"/>
      <c r="M9" s="12"/>
      <c r="N9" s="20">
        <f t="array" ref="N9">INDIRECT("'"&amp;$B9&amp;"'!N7",TRUE)</f>
        <v>0</v>
      </c>
      <c r="O9" s="11"/>
      <c r="P9" s="12"/>
      <c r="Q9" s="20">
        <f t="array" ref="Q9">INDIRECT("'"&amp;$B9&amp;"'!Q7",TRUE)</f>
        <v>41</v>
      </c>
      <c r="R9" s="11"/>
      <c r="S9" s="12"/>
      <c r="T9" s="20">
        <f t="array" ref="T9">INDIRECT("'"&amp;$B9&amp;"'!T7",TRUE)</f>
        <v>0</v>
      </c>
      <c r="U9" s="11"/>
      <c r="V9" s="12"/>
      <c r="W9" s="20">
        <f t="array" ref="W9">INDIRECT("'"&amp;$B9&amp;"'!W7",TRUE)</f>
        <v>0</v>
      </c>
      <c r="X9" s="11"/>
      <c r="Y9" s="12"/>
      <c r="Z9" s="20">
        <f t="array" ref="Z9">INDIRECT("'"&amp;$B9&amp;"'!Z7",TRUE)</f>
        <v>0</v>
      </c>
      <c r="AA9" s="11"/>
      <c r="AB9" s="12"/>
      <c r="AC9" s="20">
        <f t="array" ref="AC9">INDIRECT("'"&amp;$B9&amp;"'!AC7",TRUE)</f>
        <v>2</v>
      </c>
      <c r="AD9" s="11"/>
      <c r="AE9" s="12"/>
      <c r="AF9" s="42">
        <f>IFERROR((T9+W9+AC9)/Q9,0)</f>
        <v>0.0487804878</v>
      </c>
      <c r="AG9" s="11"/>
      <c r="AH9" s="12"/>
    </row>
    <row r="10" ht="22.5" customHeight="1">
      <c r="A10" s="19">
        <v>2.0</v>
      </c>
      <c r="B10" s="21"/>
      <c r="C10" s="11"/>
      <c r="D10" s="11"/>
      <c r="E10" s="11"/>
      <c r="F10" s="11"/>
      <c r="G10" s="12"/>
      <c r="H10" s="20"/>
      <c r="I10" s="11"/>
      <c r="J10" s="12"/>
      <c r="K10" s="20"/>
      <c r="L10" s="11"/>
      <c r="M10" s="12"/>
      <c r="N10" s="20"/>
      <c r="O10" s="11"/>
      <c r="P10" s="12"/>
      <c r="Q10" s="20"/>
      <c r="R10" s="11"/>
      <c r="S10" s="12"/>
      <c r="T10" s="20"/>
      <c r="U10" s="11"/>
      <c r="V10" s="12"/>
      <c r="W10" s="20"/>
      <c r="X10" s="11"/>
      <c r="Y10" s="12"/>
      <c r="Z10" s="20"/>
      <c r="AA10" s="11"/>
      <c r="AB10" s="12"/>
      <c r="AC10" s="20"/>
      <c r="AD10" s="11"/>
      <c r="AE10" s="12"/>
      <c r="AF10" s="42"/>
      <c r="AG10" s="11"/>
      <c r="AH10" s="12"/>
    </row>
    <row r="11" ht="22.5" customHeight="1">
      <c r="A11" s="19"/>
      <c r="B11" s="39" t="s">
        <v>46</v>
      </c>
      <c r="C11" s="11"/>
      <c r="D11" s="11"/>
      <c r="E11" s="11"/>
      <c r="F11" s="11"/>
      <c r="G11" s="12"/>
      <c r="H11" s="43">
        <f>SUM(H9:J10)</f>
        <v>22</v>
      </c>
      <c r="I11" s="11"/>
      <c r="J11" s="12"/>
      <c r="K11" s="43">
        <f>SUM(K9:M10)</f>
        <v>19</v>
      </c>
      <c r="L11" s="11"/>
      <c r="M11" s="12"/>
      <c r="N11" s="43">
        <f>SUM(N9:P10)</f>
        <v>0</v>
      </c>
      <c r="O11" s="11"/>
      <c r="P11" s="12"/>
      <c r="Q11" s="43">
        <f>SUM(Q9:S10)</f>
        <v>41</v>
      </c>
      <c r="R11" s="11"/>
      <c r="S11" s="12"/>
      <c r="T11" s="43">
        <f>SUM(T9:V10)</f>
        <v>0</v>
      </c>
      <c r="U11" s="11"/>
      <c r="V11" s="12"/>
      <c r="W11" s="43">
        <f>SUM(W9:Y10)</f>
        <v>0</v>
      </c>
      <c r="X11" s="11"/>
      <c r="Y11" s="12"/>
      <c r="Z11" s="43">
        <f>SUM(Z9:AB10)</f>
        <v>0</v>
      </c>
      <c r="AA11" s="11"/>
      <c r="AB11" s="12"/>
      <c r="AC11" s="43">
        <f>SUM(AC9:AE10)</f>
        <v>2</v>
      </c>
      <c r="AD11" s="11"/>
      <c r="AE11" s="12"/>
      <c r="AF11" s="44">
        <f>IFERROR((T11+W11+AC11)/Q11,0)</f>
        <v>0.0487804878</v>
      </c>
      <c r="AG11" s="11"/>
      <c r="AH11" s="12"/>
    </row>
    <row r="12" ht="22.5" customHeight="1">
      <c r="A12" s="41" t="s">
        <v>58</v>
      </c>
    </row>
    <row r="13" ht="22.5" customHeight="1">
      <c r="A13" s="19">
        <v>1.0</v>
      </c>
      <c r="B13" s="21" t="s">
        <v>57</v>
      </c>
      <c r="C13" s="11"/>
      <c r="D13" s="11"/>
      <c r="E13" s="11"/>
      <c r="F13" s="11"/>
      <c r="G13" s="12"/>
      <c r="H13" s="20">
        <f t="array" ref="H13">INDIRECT("'"&amp;$B13&amp;"'!H8",TRUE)</f>
        <v>22</v>
      </c>
      <c r="I13" s="11"/>
      <c r="J13" s="12"/>
      <c r="K13" s="20">
        <f t="array" ref="K13">INDIRECT("'"&amp;$B13&amp;"'!K8",TRUE)</f>
        <v>19</v>
      </c>
      <c r="L13" s="11"/>
      <c r="M13" s="12"/>
      <c r="N13" s="20">
        <f t="array" ref="N13">INDIRECT("'"&amp;$B13&amp;"'!N8",TRUE)</f>
        <v>0</v>
      </c>
      <c r="O13" s="11"/>
      <c r="P13" s="12"/>
      <c r="Q13" s="20">
        <f t="array" ref="Q13">INDIRECT("'"&amp;$B13&amp;"'!Q8",TRUE)</f>
        <v>41</v>
      </c>
      <c r="R13" s="11"/>
      <c r="S13" s="12"/>
      <c r="T13" s="20">
        <f t="array" ref="T13">INDIRECT("'"&amp;$B13&amp;"'!T8",TRUE)</f>
        <v>0</v>
      </c>
      <c r="U13" s="11"/>
      <c r="V13" s="12"/>
      <c r="W13" s="20">
        <f t="array" ref="W13">INDIRECT("'"&amp;$B13&amp;"'!W8",TRUE)</f>
        <v>0</v>
      </c>
      <c r="X13" s="11"/>
      <c r="Y13" s="12"/>
      <c r="Z13" s="20">
        <f t="array" ref="Z13">INDIRECT("'"&amp;$B13&amp;"'!Z8",TRUE)</f>
        <v>0</v>
      </c>
      <c r="AA13" s="11"/>
      <c r="AB13" s="12"/>
      <c r="AC13" s="20">
        <f t="array" ref="AC13">INDIRECT("'"&amp;$B13&amp;"'!AC8",TRUE)</f>
        <v>0</v>
      </c>
      <c r="AD13" s="11"/>
      <c r="AE13" s="12"/>
      <c r="AF13" s="42">
        <f>IFERROR((T13+W13+AC13)/Q13,0)</f>
        <v>0</v>
      </c>
      <c r="AG13" s="11"/>
      <c r="AH13" s="12"/>
    </row>
    <row r="14" ht="22.5" customHeight="1">
      <c r="A14" s="19">
        <v>2.0</v>
      </c>
      <c r="B14" s="21"/>
      <c r="C14" s="11"/>
      <c r="D14" s="11"/>
      <c r="E14" s="11"/>
      <c r="F14" s="11"/>
      <c r="G14" s="12"/>
      <c r="H14" s="20"/>
      <c r="I14" s="11"/>
      <c r="J14" s="12"/>
      <c r="K14" s="20"/>
      <c r="L14" s="11"/>
      <c r="M14" s="12"/>
      <c r="N14" s="20"/>
      <c r="O14" s="11"/>
      <c r="P14" s="12"/>
      <c r="Q14" s="20"/>
      <c r="R14" s="11"/>
      <c r="S14" s="12"/>
      <c r="T14" s="20"/>
      <c r="U14" s="11"/>
      <c r="V14" s="12"/>
      <c r="W14" s="20"/>
      <c r="X14" s="11"/>
      <c r="Y14" s="12"/>
      <c r="Z14" s="20"/>
      <c r="AA14" s="11"/>
      <c r="AB14" s="12"/>
      <c r="AC14" s="20"/>
      <c r="AD14" s="11"/>
      <c r="AE14" s="12"/>
      <c r="AF14" s="42"/>
      <c r="AG14" s="11"/>
      <c r="AH14" s="12"/>
    </row>
    <row r="15" ht="22.5" customHeight="1">
      <c r="A15" s="19"/>
      <c r="B15" s="39" t="s">
        <v>46</v>
      </c>
      <c r="C15" s="11"/>
      <c r="D15" s="11"/>
      <c r="E15" s="11"/>
      <c r="F15" s="11"/>
      <c r="G15" s="12"/>
      <c r="H15" s="43">
        <f>SUM(H13:J14)</f>
        <v>22</v>
      </c>
      <c r="I15" s="11"/>
      <c r="J15" s="12"/>
      <c r="K15" s="43">
        <f>SUM(K13:M14)</f>
        <v>19</v>
      </c>
      <c r="L15" s="11"/>
      <c r="M15" s="12"/>
      <c r="N15" s="43">
        <f>SUM(N13:P14)</f>
        <v>0</v>
      </c>
      <c r="O15" s="11"/>
      <c r="P15" s="12"/>
      <c r="Q15" s="43">
        <f>SUM(Q13:S14)</f>
        <v>41</v>
      </c>
      <c r="R15" s="11"/>
      <c r="S15" s="12"/>
      <c r="T15" s="43">
        <f>SUM(T13:V14)</f>
        <v>0</v>
      </c>
      <c r="U15" s="11"/>
      <c r="V15" s="12"/>
      <c r="W15" s="43">
        <f>SUM(W13:Y14)</f>
        <v>0</v>
      </c>
      <c r="X15" s="11"/>
      <c r="Y15" s="12"/>
      <c r="Z15" s="43">
        <f>SUM(Z13:AB14)</f>
        <v>0</v>
      </c>
      <c r="AA15" s="11"/>
      <c r="AB15" s="12"/>
      <c r="AC15" s="43">
        <f>SUM(AC13:AE14)</f>
        <v>0</v>
      </c>
      <c r="AD15" s="11"/>
      <c r="AE15" s="12"/>
      <c r="AF15" s="44">
        <f>IFERROR((T15+W15+AC15)/Q15,0)</f>
        <v>0</v>
      </c>
      <c r="AG15" s="11"/>
      <c r="AH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18</v>
      </c>
      <c r="B1" s="11"/>
      <c r="C1" s="11"/>
      <c r="D1" s="11"/>
      <c r="E1" s="11"/>
      <c r="F1" s="11"/>
      <c r="G1" s="11"/>
      <c r="H1" s="11"/>
      <c r="I1" s="12"/>
      <c r="J1" s="18" t="s">
        <v>19</v>
      </c>
      <c r="K1" s="11"/>
      <c r="L1" s="11"/>
      <c r="M1" s="11"/>
      <c r="N1" s="11"/>
      <c r="O1" s="11"/>
      <c r="P1" s="12"/>
      <c r="Q1" s="18" t="s">
        <v>20</v>
      </c>
      <c r="R1" s="11"/>
      <c r="S1" s="11"/>
      <c r="T1" s="11"/>
      <c r="U1" s="12"/>
      <c r="V1" s="18" t="s">
        <v>21</v>
      </c>
      <c r="W1" s="11"/>
      <c r="X1" s="11"/>
      <c r="Y1" s="12"/>
      <c r="Z1" s="18" t="s">
        <v>22</v>
      </c>
      <c r="AA1" s="11"/>
      <c r="AB1" s="11"/>
      <c r="AC1" s="12"/>
      <c r="AD1" s="18" t="s">
        <v>23</v>
      </c>
      <c r="AE1" s="11"/>
      <c r="AF1" s="11"/>
      <c r="AG1" s="12"/>
      <c r="AH1" s="18" t="s">
        <v>24</v>
      </c>
      <c r="AI1" s="11"/>
      <c r="AJ1" s="11"/>
      <c r="AK1" s="12"/>
    </row>
    <row r="2" ht="19.5" customHeight="1">
      <c r="A2" s="22" t="s">
        <v>0</v>
      </c>
      <c r="B2" s="23"/>
      <c r="C2" s="23"/>
      <c r="D2" s="23"/>
      <c r="E2" s="23"/>
      <c r="F2" s="23"/>
      <c r="G2" s="23"/>
      <c r="H2" s="23"/>
      <c r="I2" s="24"/>
      <c r="J2" s="22" t="s">
        <v>25</v>
      </c>
      <c r="K2" s="23"/>
      <c r="L2" s="23"/>
      <c r="M2" s="23"/>
      <c r="N2" s="23"/>
      <c r="O2" s="23"/>
      <c r="P2" s="24"/>
      <c r="Q2" s="22" t="s">
        <v>59</v>
      </c>
      <c r="R2" s="23"/>
      <c r="S2" s="23"/>
      <c r="T2" s="23"/>
      <c r="U2" s="24"/>
      <c r="V2" s="25" t="s">
        <v>8</v>
      </c>
      <c r="W2" s="23"/>
      <c r="X2" s="23"/>
      <c r="Y2" s="24"/>
      <c r="Z2" s="22" t="s">
        <v>15</v>
      </c>
      <c r="AA2" s="23"/>
      <c r="AB2" s="23"/>
      <c r="AC2" s="24"/>
      <c r="AD2" s="25" t="s">
        <v>8</v>
      </c>
      <c r="AE2" s="23"/>
      <c r="AF2" s="23"/>
      <c r="AG2" s="24"/>
      <c r="AH2" s="22" t="s">
        <v>15</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5" ht="19.5" customHeight="1">
      <c r="B5" s="29" t="s">
        <v>60</v>
      </c>
    </row>
    <row r="7" ht="28.5" customHeight="1">
      <c r="B7" s="45" t="s">
        <v>43</v>
      </c>
      <c r="C7" s="46" t="s">
        <v>61</v>
      </c>
      <c r="D7" s="11"/>
      <c r="E7" s="12"/>
      <c r="F7" s="46" t="s">
        <v>62</v>
      </c>
      <c r="G7" s="11"/>
      <c r="H7" s="11"/>
      <c r="I7" s="11"/>
      <c r="J7" s="11"/>
      <c r="K7" s="11"/>
      <c r="L7" s="12"/>
      <c r="M7" s="46" t="s">
        <v>63</v>
      </c>
      <c r="N7" s="11"/>
      <c r="O7" s="11"/>
      <c r="P7" s="11"/>
      <c r="Q7" s="11"/>
      <c r="R7" s="11"/>
      <c r="S7" s="11"/>
      <c r="T7" s="12"/>
      <c r="U7" s="46" t="s">
        <v>64</v>
      </c>
      <c r="V7" s="12"/>
      <c r="W7" s="46" t="s">
        <v>65</v>
      </c>
      <c r="X7" s="11"/>
      <c r="Y7" s="11"/>
      <c r="Z7" s="11"/>
      <c r="AA7" s="11"/>
      <c r="AB7" s="11"/>
      <c r="AC7" s="12"/>
      <c r="AD7" s="46" t="s">
        <v>66</v>
      </c>
      <c r="AE7" s="11"/>
      <c r="AF7" s="12"/>
    </row>
    <row r="8" ht="30.0" customHeight="1">
      <c r="B8" s="47">
        <v>1.0</v>
      </c>
      <c r="C8" s="48" t="s">
        <v>67</v>
      </c>
      <c r="D8" s="11"/>
      <c r="E8" s="12"/>
      <c r="F8" s="49" t="s">
        <v>68</v>
      </c>
      <c r="G8" s="11"/>
      <c r="H8" s="11"/>
      <c r="I8" s="11"/>
      <c r="J8" s="11"/>
      <c r="K8" s="11"/>
      <c r="L8" s="12"/>
      <c r="M8" s="49" t="s">
        <v>69</v>
      </c>
      <c r="N8" s="11"/>
      <c r="O8" s="11"/>
      <c r="P8" s="11"/>
      <c r="Q8" s="11"/>
      <c r="R8" s="11"/>
      <c r="S8" s="11"/>
      <c r="T8" s="12"/>
      <c r="U8" s="50" t="s">
        <v>70</v>
      </c>
      <c r="V8" s="12"/>
      <c r="W8" s="49" t="s">
        <v>71</v>
      </c>
      <c r="X8" s="11"/>
      <c r="Y8" s="11"/>
      <c r="Z8" s="11"/>
      <c r="AA8" s="11"/>
      <c r="AB8" s="11"/>
      <c r="AC8" s="12"/>
      <c r="AD8" s="48">
        <v>265.0</v>
      </c>
      <c r="AE8" s="11"/>
      <c r="AF8" s="12"/>
    </row>
    <row r="9" ht="30.0" customHeight="1">
      <c r="B9" s="47">
        <v>2.0</v>
      </c>
      <c r="C9" s="48" t="s">
        <v>72</v>
      </c>
      <c r="D9" s="11"/>
      <c r="E9" s="12"/>
      <c r="F9" s="49" t="s">
        <v>68</v>
      </c>
      <c r="G9" s="11"/>
      <c r="H9" s="11"/>
      <c r="I9" s="11"/>
      <c r="J9" s="11"/>
      <c r="K9" s="11"/>
      <c r="L9" s="12"/>
      <c r="M9" s="49" t="s">
        <v>73</v>
      </c>
      <c r="N9" s="11"/>
      <c r="O9" s="11"/>
      <c r="P9" s="11"/>
      <c r="Q9" s="11"/>
      <c r="R9" s="11"/>
      <c r="S9" s="11"/>
      <c r="T9" s="12"/>
      <c r="U9" s="50" t="s">
        <v>70</v>
      </c>
      <c r="V9" s="12"/>
      <c r="W9" s="49" t="s">
        <v>74</v>
      </c>
      <c r="X9" s="11"/>
      <c r="Y9" s="11"/>
      <c r="Z9" s="11"/>
      <c r="AA9" s="11"/>
      <c r="AB9" s="11"/>
      <c r="AC9" s="12"/>
      <c r="AD9" s="48">
        <v>200.0</v>
      </c>
      <c r="AE9" s="11"/>
      <c r="AF9" s="12"/>
    </row>
    <row r="10" ht="36.0" customHeight="1">
      <c r="B10" s="47">
        <v>3.0</v>
      </c>
      <c r="C10" s="48" t="s">
        <v>75</v>
      </c>
      <c r="D10" s="11"/>
      <c r="E10" s="12"/>
      <c r="F10" s="49" t="s">
        <v>68</v>
      </c>
      <c r="G10" s="11"/>
      <c r="H10" s="11"/>
      <c r="I10" s="11"/>
      <c r="J10" s="11"/>
      <c r="K10" s="11"/>
      <c r="L10" s="12"/>
      <c r="M10" s="49" t="s">
        <v>76</v>
      </c>
      <c r="N10" s="11"/>
      <c r="O10" s="11"/>
      <c r="P10" s="11"/>
      <c r="Q10" s="11"/>
      <c r="R10" s="11"/>
      <c r="S10" s="11"/>
      <c r="T10" s="12"/>
      <c r="U10" s="50" t="s">
        <v>70</v>
      </c>
      <c r="V10" s="12"/>
      <c r="W10" s="49" t="s">
        <v>77</v>
      </c>
      <c r="X10" s="11"/>
      <c r="Y10" s="11"/>
      <c r="Z10" s="11"/>
      <c r="AA10" s="11"/>
      <c r="AB10" s="11"/>
      <c r="AC10" s="12"/>
      <c r="AD10" s="48">
        <v>50.0</v>
      </c>
      <c r="AE10" s="11"/>
      <c r="AF10" s="12"/>
    </row>
    <row r="11" ht="30.0" customHeight="1">
      <c r="B11" s="47">
        <v>4.0</v>
      </c>
      <c r="C11" s="48" t="s">
        <v>78</v>
      </c>
      <c r="D11" s="11"/>
      <c r="E11" s="12"/>
      <c r="F11" s="49" t="s">
        <v>68</v>
      </c>
      <c r="G11" s="11"/>
      <c r="H11" s="11"/>
      <c r="I11" s="11"/>
      <c r="J11" s="11"/>
      <c r="K11" s="11"/>
      <c r="L11" s="12"/>
      <c r="M11" s="49" t="s">
        <v>79</v>
      </c>
      <c r="N11" s="11"/>
      <c r="O11" s="11"/>
      <c r="P11" s="11"/>
      <c r="Q11" s="11"/>
      <c r="R11" s="11"/>
      <c r="S11" s="11"/>
      <c r="T11" s="12"/>
      <c r="U11" s="50" t="s">
        <v>70</v>
      </c>
      <c r="V11" s="12"/>
      <c r="W11" s="49" t="s">
        <v>71</v>
      </c>
      <c r="X11" s="11"/>
      <c r="Y11" s="11"/>
      <c r="Z11" s="11"/>
      <c r="AA11" s="11"/>
      <c r="AB11" s="11"/>
      <c r="AC11" s="12"/>
      <c r="AD11" s="48">
        <v>75.0</v>
      </c>
      <c r="AE11" s="11"/>
      <c r="AF11" s="12"/>
    </row>
    <row r="12" ht="30.0" customHeight="1">
      <c r="B12" s="47">
        <v>5.0</v>
      </c>
      <c r="C12" s="48" t="s">
        <v>80</v>
      </c>
      <c r="D12" s="11"/>
      <c r="E12" s="12"/>
      <c r="F12" s="49" t="s">
        <v>68</v>
      </c>
      <c r="G12" s="11"/>
      <c r="H12" s="11"/>
      <c r="I12" s="11"/>
      <c r="J12" s="11"/>
      <c r="K12" s="11"/>
      <c r="L12" s="12"/>
      <c r="M12" s="49" t="s">
        <v>81</v>
      </c>
      <c r="N12" s="11"/>
      <c r="O12" s="11"/>
      <c r="P12" s="11"/>
      <c r="Q12" s="11"/>
      <c r="R12" s="11"/>
      <c r="S12" s="11"/>
      <c r="T12" s="12"/>
      <c r="U12" s="50" t="s">
        <v>70</v>
      </c>
      <c r="V12" s="12"/>
      <c r="W12" s="49" t="s">
        <v>82</v>
      </c>
      <c r="X12" s="11"/>
      <c r="Y12" s="11"/>
      <c r="Z12" s="11"/>
      <c r="AA12" s="11"/>
      <c r="AB12" s="11"/>
      <c r="AC12" s="12"/>
      <c r="AD12" s="48">
        <v>30.0</v>
      </c>
      <c r="AE12" s="11"/>
      <c r="AF12" s="12"/>
    </row>
    <row r="13" ht="30.0" customHeight="1">
      <c r="B13" s="47">
        <v>6.0</v>
      </c>
      <c r="C13" s="48" t="s">
        <v>83</v>
      </c>
      <c r="D13" s="11"/>
      <c r="E13" s="12"/>
      <c r="F13" s="49" t="s">
        <v>68</v>
      </c>
      <c r="G13" s="11"/>
      <c r="H13" s="11"/>
      <c r="I13" s="11"/>
      <c r="J13" s="11"/>
      <c r="K13" s="11"/>
      <c r="L13" s="12"/>
      <c r="M13" s="49" t="s">
        <v>84</v>
      </c>
      <c r="N13" s="11"/>
      <c r="O13" s="11"/>
      <c r="P13" s="11"/>
      <c r="Q13" s="11"/>
      <c r="R13" s="11"/>
      <c r="S13" s="11"/>
      <c r="T13" s="12"/>
      <c r="U13" s="50" t="s">
        <v>70</v>
      </c>
      <c r="V13" s="12"/>
      <c r="W13" s="49" t="s">
        <v>85</v>
      </c>
      <c r="X13" s="11"/>
      <c r="Y13" s="11"/>
      <c r="Z13" s="11"/>
      <c r="AA13" s="11"/>
      <c r="AB13" s="11"/>
      <c r="AC13" s="12"/>
      <c r="AD13" s="48">
        <v>50.0</v>
      </c>
      <c r="AE13" s="11"/>
      <c r="AF13" s="12"/>
    </row>
    <row r="14" ht="30.0" customHeight="1">
      <c r="B14" s="47">
        <v>7.0</v>
      </c>
      <c r="C14" s="48" t="s">
        <v>86</v>
      </c>
      <c r="D14" s="11"/>
      <c r="E14" s="12"/>
      <c r="F14" s="49" t="s">
        <v>68</v>
      </c>
      <c r="G14" s="11"/>
      <c r="H14" s="11"/>
      <c r="I14" s="11"/>
      <c r="J14" s="11"/>
      <c r="K14" s="11"/>
      <c r="L14" s="12"/>
      <c r="M14" s="49" t="s">
        <v>87</v>
      </c>
      <c r="N14" s="11"/>
      <c r="O14" s="11"/>
      <c r="P14" s="11"/>
      <c r="Q14" s="11"/>
      <c r="R14" s="11"/>
      <c r="S14" s="11"/>
      <c r="T14" s="12"/>
      <c r="U14" s="50" t="s">
        <v>70</v>
      </c>
      <c r="V14" s="12"/>
      <c r="W14" s="49" t="s">
        <v>82</v>
      </c>
      <c r="X14" s="11"/>
      <c r="Y14" s="11"/>
      <c r="Z14" s="11"/>
      <c r="AA14" s="11"/>
      <c r="AB14" s="11"/>
      <c r="AC14" s="12"/>
      <c r="AD14" s="48">
        <v>10.0</v>
      </c>
      <c r="AE14" s="11"/>
      <c r="AF14" s="12"/>
    </row>
    <row r="15" ht="30.0" customHeight="1">
      <c r="B15" s="47">
        <v>8.0</v>
      </c>
      <c r="C15" s="48" t="s">
        <v>88</v>
      </c>
      <c r="D15" s="11"/>
      <c r="E15" s="12"/>
      <c r="F15" s="49" t="s">
        <v>68</v>
      </c>
      <c r="G15" s="11"/>
      <c r="H15" s="11"/>
      <c r="I15" s="11"/>
      <c r="J15" s="11"/>
      <c r="K15" s="11"/>
      <c r="L15" s="12"/>
      <c r="M15" s="49" t="s">
        <v>89</v>
      </c>
      <c r="N15" s="11"/>
      <c r="O15" s="11"/>
      <c r="P15" s="11"/>
      <c r="Q15" s="11"/>
      <c r="R15" s="11"/>
      <c r="S15" s="11"/>
      <c r="T15" s="12"/>
      <c r="U15" s="51" t="s">
        <v>90</v>
      </c>
      <c r="V15" s="12"/>
      <c r="W15" s="49" t="s">
        <v>91</v>
      </c>
      <c r="X15" s="11"/>
      <c r="Y15" s="11"/>
      <c r="Z15" s="11"/>
      <c r="AA15" s="11"/>
      <c r="AB15" s="11"/>
      <c r="AC15" s="12"/>
      <c r="AD15" s="48">
        <v>20.0</v>
      </c>
      <c r="AE15" s="11"/>
      <c r="AF15" s="12"/>
    </row>
    <row r="16" ht="30.0" customHeight="1">
      <c r="B16" s="47">
        <v>9.0</v>
      </c>
      <c r="C16" s="48" t="s">
        <v>92</v>
      </c>
      <c r="D16" s="11"/>
      <c r="E16" s="12"/>
      <c r="F16" s="49" t="s">
        <v>68</v>
      </c>
      <c r="G16" s="11"/>
      <c r="H16" s="11"/>
      <c r="I16" s="11"/>
      <c r="J16" s="11"/>
      <c r="K16" s="11"/>
      <c r="L16" s="12"/>
      <c r="M16" s="49" t="s">
        <v>93</v>
      </c>
      <c r="N16" s="11"/>
      <c r="O16" s="11"/>
      <c r="P16" s="11"/>
      <c r="Q16" s="11"/>
      <c r="R16" s="11"/>
      <c r="S16" s="11"/>
      <c r="T16" s="12"/>
      <c r="U16" s="50" t="s">
        <v>70</v>
      </c>
      <c r="V16" s="12"/>
      <c r="W16" s="49" t="s">
        <v>94</v>
      </c>
      <c r="X16" s="11"/>
      <c r="Y16" s="11"/>
      <c r="Z16" s="11"/>
      <c r="AA16" s="11"/>
      <c r="AB16" s="11"/>
      <c r="AC16" s="12"/>
      <c r="AD16" s="48">
        <v>8.0</v>
      </c>
      <c r="AE16" s="11"/>
      <c r="AF16" s="12"/>
    </row>
    <row r="17" ht="30.0" customHeight="1">
      <c r="B17" s="47">
        <v>10.0</v>
      </c>
      <c r="C17" s="48" t="s">
        <v>95</v>
      </c>
      <c r="D17" s="11"/>
      <c r="E17" s="12"/>
      <c r="F17" s="49" t="s">
        <v>68</v>
      </c>
      <c r="G17" s="11"/>
      <c r="H17" s="11"/>
      <c r="I17" s="11"/>
      <c r="J17" s="11"/>
      <c r="K17" s="11"/>
      <c r="L17" s="12"/>
      <c r="M17" s="49" t="s">
        <v>96</v>
      </c>
      <c r="N17" s="11"/>
      <c r="O17" s="11"/>
      <c r="P17" s="11"/>
      <c r="Q17" s="11"/>
      <c r="R17" s="11"/>
      <c r="S17" s="11"/>
      <c r="T17" s="12"/>
      <c r="U17" s="50" t="s">
        <v>70</v>
      </c>
      <c r="V17" s="12"/>
      <c r="W17" s="49" t="s">
        <v>97</v>
      </c>
      <c r="X17" s="11"/>
      <c r="Y17" s="11"/>
      <c r="Z17" s="11"/>
      <c r="AA17" s="11"/>
      <c r="AB17" s="11"/>
      <c r="AC17" s="12"/>
      <c r="AD17" s="48">
        <v>30.0</v>
      </c>
      <c r="AE17" s="11"/>
      <c r="AF17" s="12"/>
    </row>
    <row r="18" ht="30.0" customHeight="1">
      <c r="B18" s="47">
        <v>11.0</v>
      </c>
      <c r="C18" s="48" t="s">
        <v>98</v>
      </c>
      <c r="D18" s="11"/>
      <c r="E18" s="12"/>
      <c r="F18" s="49" t="s">
        <v>99</v>
      </c>
      <c r="G18" s="11"/>
      <c r="H18" s="11"/>
      <c r="I18" s="11"/>
      <c r="J18" s="11"/>
      <c r="K18" s="11"/>
      <c r="L18" s="12"/>
      <c r="M18" s="49" t="s">
        <v>100</v>
      </c>
      <c r="N18" s="11"/>
      <c r="O18" s="11"/>
      <c r="P18" s="11"/>
      <c r="Q18" s="11"/>
      <c r="R18" s="11"/>
      <c r="S18" s="11"/>
      <c r="T18" s="12"/>
      <c r="U18" s="51" t="s">
        <v>90</v>
      </c>
      <c r="V18" s="12"/>
      <c r="W18" s="49" t="s">
        <v>101</v>
      </c>
      <c r="X18" s="11"/>
      <c r="Y18" s="11"/>
      <c r="Z18" s="11"/>
      <c r="AA18" s="11"/>
      <c r="AB18" s="11"/>
      <c r="AC18" s="12"/>
      <c r="AD18" s="48">
        <v>100.0</v>
      </c>
      <c r="AE18" s="11"/>
      <c r="AF18" s="12"/>
    </row>
    <row r="19" ht="30.0" customHeight="1">
      <c r="B19" s="47">
        <v>12.0</v>
      </c>
      <c r="C19" s="48" t="s">
        <v>102</v>
      </c>
      <c r="D19" s="11"/>
      <c r="E19" s="12"/>
      <c r="F19" s="49" t="s">
        <v>99</v>
      </c>
      <c r="G19" s="11"/>
      <c r="H19" s="11"/>
      <c r="I19" s="11"/>
      <c r="J19" s="11"/>
      <c r="K19" s="11"/>
      <c r="L19" s="12"/>
      <c r="M19" s="49" t="s">
        <v>103</v>
      </c>
      <c r="N19" s="11"/>
      <c r="O19" s="11"/>
      <c r="P19" s="11"/>
      <c r="Q19" s="11"/>
      <c r="R19" s="11"/>
      <c r="S19" s="11"/>
      <c r="T19" s="12"/>
      <c r="U19" s="51" t="s">
        <v>90</v>
      </c>
      <c r="V19" s="12"/>
      <c r="W19" s="49" t="s">
        <v>101</v>
      </c>
      <c r="X19" s="11"/>
      <c r="Y19" s="11"/>
      <c r="Z19" s="11"/>
      <c r="AA19" s="11"/>
      <c r="AB19" s="11"/>
      <c r="AC19" s="12"/>
      <c r="AD19" s="48">
        <v>80.0</v>
      </c>
      <c r="AE19" s="11"/>
      <c r="AF19" s="12"/>
    </row>
    <row r="20" ht="30.0" customHeight="1">
      <c r="B20" s="47">
        <v>13.0</v>
      </c>
      <c r="C20" s="48" t="s">
        <v>104</v>
      </c>
      <c r="D20" s="11"/>
      <c r="E20" s="12"/>
      <c r="F20" s="49" t="s">
        <v>99</v>
      </c>
      <c r="G20" s="11"/>
      <c r="H20" s="11"/>
      <c r="I20" s="11"/>
      <c r="J20" s="11"/>
      <c r="K20" s="11"/>
      <c r="L20" s="12"/>
      <c r="M20" s="49" t="s">
        <v>105</v>
      </c>
      <c r="N20" s="11"/>
      <c r="O20" s="11"/>
      <c r="P20" s="11"/>
      <c r="Q20" s="11"/>
      <c r="R20" s="11"/>
      <c r="S20" s="11"/>
      <c r="T20" s="12"/>
      <c r="U20" s="51" t="s">
        <v>90</v>
      </c>
      <c r="V20" s="12"/>
      <c r="W20" s="49" t="s">
        <v>85</v>
      </c>
      <c r="X20" s="11"/>
      <c r="Y20" s="11"/>
      <c r="Z20" s="11"/>
      <c r="AA20" s="11"/>
      <c r="AB20" s="11"/>
      <c r="AC20" s="12"/>
      <c r="AD20" s="48">
        <v>60.0</v>
      </c>
      <c r="AE20" s="11"/>
      <c r="AF20" s="12"/>
    </row>
    <row r="21" ht="30.0" customHeight="1">
      <c r="B21" s="47">
        <v>14.0</v>
      </c>
      <c r="C21" s="48" t="s">
        <v>106</v>
      </c>
      <c r="D21" s="11"/>
      <c r="E21" s="12"/>
      <c r="F21" s="49" t="s">
        <v>99</v>
      </c>
      <c r="G21" s="11"/>
      <c r="H21" s="11"/>
      <c r="I21" s="11"/>
      <c r="J21" s="11"/>
      <c r="K21" s="11"/>
      <c r="L21" s="12"/>
      <c r="M21" s="49" t="s">
        <v>107</v>
      </c>
      <c r="N21" s="11"/>
      <c r="O21" s="11"/>
      <c r="P21" s="11"/>
      <c r="Q21" s="11"/>
      <c r="R21" s="11"/>
      <c r="S21" s="11"/>
      <c r="T21" s="12"/>
      <c r="U21" s="51" t="s">
        <v>90</v>
      </c>
      <c r="V21" s="12"/>
      <c r="W21" s="49" t="s">
        <v>101</v>
      </c>
      <c r="X21" s="11"/>
      <c r="Y21" s="11"/>
      <c r="Z21" s="11"/>
      <c r="AA21" s="11"/>
      <c r="AB21" s="11"/>
      <c r="AC21" s="12"/>
      <c r="AD21" s="48">
        <v>50.0</v>
      </c>
      <c r="AE21" s="11"/>
      <c r="AF21" s="12"/>
    </row>
    <row r="22" ht="30.0" customHeight="1">
      <c r="B22" s="47">
        <v>15.0</v>
      </c>
      <c r="C22" s="48" t="s">
        <v>108</v>
      </c>
      <c r="D22" s="11"/>
      <c r="E22" s="12"/>
      <c r="F22" s="49" t="s">
        <v>99</v>
      </c>
      <c r="G22" s="11"/>
      <c r="H22" s="11"/>
      <c r="I22" s="11"/>
      <c r="J22" s="11"/>
      <c r="K22" s="11"/>
      <c r="L22" s="12"/>
      <c r="M22" s="49" t="s">
        <v>109</v>
      </c>
      <c r="N22" s="11"/>
      <c r="O22" s="11"/>
      <c r="P22" s="11"/>
      <c r="Q22" s="11"/>
      <c r="R22" s="11"/>
      <c r="S22" s="11"/>
      <c r="T22" s="12"/>
      <c r="U22" s="51" t="s">
        <v>90</v>
      </c>
      <c r="V22" s="12"/>
      <c r="W22" s="49" t="s">
        <v>110</v>
      </c>
      <c r="X22" s="11"/>
      <c r="Y22" s="11"/>
      <c r="Z22" s="11"/>
      <c r="AA22" s="11"/>
      <c r="AB22" s="11"/>
      <c r="AC22" s="12"/>
      <c r="AD22" s="48">
        <v>30.0</v>
      </c>
      <c r="AE22" s="11"/>
      <c r="AF22" s="12"/>
    </row>
    <row r="23" ht="30.0" customHeight="1">
      <c r="B23" s="47">
        <v>16.0</v>
      </c>
      <c r="C23" s="48" t="s">
        <v>111</v>
      </c>
      <c r="D23" s="11"/>
      <c r="E23" s="12"/>
      <c r="F23" s="49" t="s">
        <v>99</v>
      </c>
      <c r="G23" s="11"/>
      <c r="H23" s="11"/>
      <c r="I23" s="11"/>
      <c r="J23" s="11"/>
      <c r="K23" s="11"/>
      <c r="L23" s="12"/>
      <c r="M23" s="49" t="s">
        <v>112</v>
      </c>
      <c r="N23" s="11"/>
      <c r="O23" s="11"/>
      <c r="P23" s="11"/>
      <c r="Q23" s="11"/>
      <c r="R23" s="11"/>
      <c r="S23" s="11"/>
      <c r="T23" s="12"/>
      <c r="U23" s="50" t="s">
        <v>70</v>
      </c>
      <c r="V23" s="12"/>
      <c r="W23" s="49" t="s">
        <v>113</v>
      </c>
      <c r="X23" s="11"/>
      <c r="Y23" s="11"/>
      <c r="Z23" s="11"/>
      <c r="AA23" s="11"/>
      <c r="AB23" s="11"/>
      <c r="AC23" s="12"/>
      <c r="AD23" s="48">
        <v>15.0</v>
      </c>
      <c r="AE23" s="11"/>
      <c r="AF23" s="12"/>
    </row>
    <row r="24" ht="36.0" customHeight="1">
      <c r="B24" s="47">
        <v>17.0</v>
      </c>
      <c r="C24" s="48" t="s">
        <v>114</v>
      </c>
      <c r="D24" s="11"/>
      <c r="E24" s="12"/>
      <c r="F24" s="49" t="s">
        <v>99</v>
      </c>
      <c r="G24" s="11"/>
      <c r="H24" s="11"/>
      <c r="I24" s="11"/>
      <c r="J24" s="11"/>
      <c r="K24" s="11"/>
      <c r="L24" s="12"/>
      <c r="M24" s="49" t="s">
        <v>115</v>
      </c>
      <c r="N24" s="11"/>
      <c r="O24" s="11"/>
      <c r="P24" s="11"/>
      <c r="Q24" s="11"/>
      <c r="R24" s="11"/>
      <c r="S24" s="11"/>
      <c r="T24" s="12"/>
      <c r="U24" s="51" t="s">
        <v>90</v>
      </c>
      <c r="V24" s="12"/>
      <c r="W24" s="49" t="s">
        <v>116</v>
      </c>
      <c r="X24" s="11"/>
      <c r="Y24" s="11"/>
      <c r="Z24" s="11"/>
      <c r="AA24" s="11"/>
      <c r="AB24" s="11"/>
      <c r="AC24" s="12"/>
      <c r="AD24" s="48">
        <v>45.0</v>
      </c>
      <c r="AE24" s="11"/>
      <c r="AF24" s="12"/>
    </row>
    <row r="25" ht="30.0" customHeight="1">
      <c r="B25" s="47">
        <v>18.0</v>
      </c>
      <c r="C25" s="48" t="s">
        <v>117</v>
      </c>
      <c r="D25" s="11"/>
      <c r="E25" s="12"/>
      <c r="F25" s="49" t="s">
        <v>99</v>
      </c>
      <c r="G25" s="11"/>
      <c r="H25" s="11"/>
      <c r="I25" s="11"/>
      <c r="J25" s="11"/>
      <c r="K25" s="11"/>
      <c r="L25" s="12"/>
      <c r="M25" s="49" t="s">
        <v>118</v>
      </c>
      <c r="N25" s="11"/>
      <c r="O25" s="11"/>
      <c r="P25" s="11"/>
      <c r="Q25" s="11"/>
      <c r="R25" s="11"/>
      <c r="S25" s="11"/>
      <c r="T25" s="12"/>
      <c r="U25" s="51" t="s">
        <v>90</v>
      </c>
      <c r="V25" s="12"/>
      <c r="W25" s="49" t="s">
        <v>119</v>
      </c>
      <c r="X25" s="11"/>
      <c r="Y25" s="11"/>
      <c r="Z25" s="11"/>
      <c r="AA25" s="11"/>
      <c r="AB25" s="11"/>
      <c r="AC25" s="12"/>
      <c r="AD25" s="48">
        <v>30.0</v>
      </c>
      <c r="AE25" s="11"/>
      <c r="AF25" s="12"/>
    </row>
    <row r="26" ht="36.0" customHeight="1">
      <c r="B26" s="47">
        <v>19.0</v>
      </c>
      <c r="C26" s="48" t="s">
        <v>120</v>
      </c>
      <c r="D26" s="11"/>
      <c r="E26" s="12"/>
      <c r="F26" s="49" t="s">
        <v>99</v>
      </c>
      <c r="G26" s="11"/>
      <c r="H26" s="11"/>
      <c r="I26" s="11"/>
      <c r="J26" s="11"/>
      <c r="K26" s="11"/>
      <c r="L26" s="12"/>
      <c r="M26" s="49" t="s">
        <v>121</v>
      </c>
      <c r="N26" s="11"/>
      <c r="O26" s="11"/>
      <c r="P26" s="11"/>
      <c r="Q26" s="11"/>
      <c r="R26" s="11"/>
      <c r="S26" s="11"/>
      <c r="T26" s="12"/>
      <c r="U26" s="51" t="s">
        <v>90</v>
      </c>
      <c r="V26" s="12"/>
      <c r="W26" s="49" t="s">
        <v>122</v>
      </c>
      <c r="X26" s="11"/>
      <c r="Y26" s="11"/>
      <c r="Z26" s="11"/>
      <c r="AA26" s="11"/>
      <c r="AB26" s="11"/>
      <c r="AC26" s="12"/>
      <c r="AD26" s="48">
        <v>25.0</v>
      </c>
      <c r="AE26" s="11"/>
      <c r="AF26" s="12"/>
    </row>
    <row r="27" ht="30.0" customHeight="1">
      <c r="B27" s="47">
        <v>20.0</v>
      </c>
      <c r="C27" s="48" t="s">
        <v>123</v>
      </c>
      <c r="D27" s="11"/>
      <c r="E27" s="12"/>
      <c r="F27" s="49" t="s">
        <v>124</v>
      </c>
      <c r="G27" s="11"/>
      <c r="H27" s="11"/>
      <c r="I27" s="11"/>
      <c r="J27" s="11"/>
      <c r="K27" s="11"/>
      <c r="L27" s="12"/>
      <c r="M27" s="49" t="s">
        <v>125</v>
      </c>
      <c r="N27" s="11"/>
      <c r="O27" s="11"/>
      <c r="P27" s="11"/>
      <c r="Q27" s="11"/>
      <c r="R27" s="11"/>
      <c r="S27" s="11"/>
      <c r="T27" s="12"/>
      <c r="U27" s="50" t="s">
        <v>70</v>
      </c>
      <c r="V27" s="12"/>
      <c r="W27" s="49" t="s">
        <v>119</v>
      </c>
      <c r="X27" s="11"/>
      <c r="Y27" s="11"/>
      <c r="Z27" s="11"/>
      <c r="AA27" s="11"/>
      <c r="AB27" s="11"/>
      <c r="AC27" s="12"/>
      <c r="AD27" s="48">
        <v>60.0</v>
      </c>
      <c r="AE27" s="11"/>
      <c r="AF27" s="12"/>
    </row>
    <row r="28" ht="30.0" customHeight="1">
      <c r="B28" s="47">
        <v>21.0</v>
      </c>
      <c r="C28" s="48" t="s">
        <v>126</v>
      </c>
      <c r="D28" s="11"/>
      <c r="E28" s="12"/>
      <c r="F28" s="49" t="s">
        <v>124</v>
      </c>
      <c r="G28" s="11"/>
      <c r="H28" s="11"/>
      <c r="I28" s="11"/>
      <c r="J28" s="11"/>
      <c r="K28" s="11"/>
      <c r="L28" s="12"/>
      <c r="M28" s="49" t="s">
        <v>127</v>
      </c>
      <c r="N28" s="11"/>
      <c r="O28" s="11"/>
      <c r="P28" s="11"/>
      <c r="Q28" s="11"/>
      <c r="R28" s="11"/>
      <c r="S28" s="11"/>
      <c r="T28" s="12"/>
      <c r="U28" s="51" t="s">
        <v>90</v>
      </c>
      <c r="V28" s="12"/>
      <c r="W28" s="49" t="s">
        <v>128</v>
      </c>
      <c r="X28" s="11"/>
      <c r="Y28" s="11"/>
      <c r="Z28" s="11"/>
      <c r="AA28" s="11"/>
      <c r="AB28" s="11"/>
      <c r="AC28" s="12"/>
      <c r="AD28" s="48">
        <v>16.0</v>
      </c>
      <c r="AE28" s="11"/>
      <c r="AF28" s="12"/>
    </row>
    <row r="29" ht="30.0" customHeight="1">
      <c r="B29" s="47">
        <v>22.0</v>
      </c>
      <c r="C29" s="48" t="s">
        <v>129</v>
      </c>
      <c r="D29" s="11"/>
      <c r="E29" s="12"/>
      <c r="F29" s="49" t="s">
        <v>124</v>
      </c>
      <c r="G29" s="11"/>
      <c r="H29" s="11"/>
      <c r="I29" s="11"/>
      <c r="J29" s="11"/>
      <c r="K29" s="11"/>
      <c r="L29" s="12"/>
      <c r="M29" s="49" t="s">
        <v>130</v>
      </c>
      <c r="N29" s="11"/>
      <c r="O29" s="11"/>
      <c r="P29" s="11"/>
      <c r="Q29" s="11"/>
      <c r="R29" s="11"/>
      <c r="S29" s="11"/>
      <c r="T29" s="12"/>
      <c r="U29" s="50" t="s">
        <v>70</v>
      </c>
      <c r="V29" s="12"/>
      <c r="W29" s="49" t="s">
        <v>131</v>
      </c>
      <c r="X29" s="11"/>
      <c r="Y29" s="11"/>
      <c r="Z29" s="11"/>
      <c r="AA29" s="11"/>
      <c r="AB29" s="11"/>
      <c r="AC29" s="12"/>
      <c r="AD29" s="48">
        <v>18.0</v>
      </c>
      <c r="AE29" s="11"/>
      <c r="AF29" s="12"/>
    </row>
    <row r="30" ht="30.0" customHeight="1">
      <c r="B30" s="47">
        <v>23.0</v>
      </c>
      <c r="C30" s="48" t="s">
        <v>132</v>
      </c>
      <c r="D30" s="11"/>
      <c r="E30" s="12"/>
      <c r="F30" s="49" t="s">
        <v>124</v>
      </c>
      <c r="G30" s="11"/>
      <c r="H30" s="11"/>
      <c r="I30" s="11"/>
      <c r="J30" s="11"/>
      <c r="K30" s="11"/>
      <c r="L30" s="12"/>
      <c r="M30" s="49" t="s">
        <v>133</v>
      </c>
      <c r="N30" s="11"/>
      <c r="O30" s="11"/>
      <c r="P30" s="11"/>
      <c r="Q30" s="11"/>
      <c r="R30" s="11"/>
      <c r="S30" s="11"/>
      <c r="T30" s="12"/>
      <c r="U30" s="51" t="s">
        <v>90</v>
      </c>
      <c r="V30" s="12"/>
      <c r="W30" s="49" t="s">
        <v>134</v>
      </c>
      <c r="X30" s="11"/>
      <c r="Y30" s="11"/>
      <c r="Z30" s="11"/>
      <c r="AA30" s="11"/>
      <c r="AB30" s="11"/>
      <c r="AC30" s="12"/>
      <c r="AD30" s="48">
        <v>8.0</v>
      </c>
      <c r="AE30" s="11"/>
      <c r="AF30" s="12"/>
    </row>
    <row r="31" ht="30.0" customHeight="1">
      <c r="B31" s="47">
        <v>24.0</v>
      </c>
      <c r="C31" s="48" t="s">
        <v>135</v>
      </c>
      <c r="D31" s="11"/>
      <c r="E31" s="12"/>
      <c r="F31" s="49" t="s">
        <v>124</v>
      </c>
      <c r="G31" s="11"/>
      <c r="H31" s="11"/>
      <c r="I31" s="11"/>
      <c r="J31" s="11"/>
      <c r="K31" s="11"/>
      <c r="L31" s="12"/>
      <c r="M31" s="49" t="s">
        <v>136</v>
      </c>
      <c r="N31" s="11"/>
      <c r="O31" s="11"/>
      <c r="P31" s="11"/>
      <c r="Q31" s="11"/>
      <c r="R31" s="11"/>
      <c r="S31" s="11"/>
      <c r="T31" s="12"/>
      <c r="U31" s="50" t="s">
        <v>70</v>
      </c>
      <c r="V31" s="12"/>
      <c r="W31" s="49" t="s">
        <v>137</v>
      </c>
      <c r="X31" s="11"/>
      <c r="Y31" s="11"/>
      <c r="Z31" s="11"/>
      <c r="AA31" s="11"/>
      <c r="AB31" s="11"/>
      <c r="AC31" s="12"/>
      <c r="AD31" s="48">
        <v>10.0</v>
      </c>
      <c r="AE31" s="11"/>
      <c r="AF31" s="12"/>
    </row>
    <row r="32" ht="30.0" customHeight="1">
      <c r="B32" s="47">
        <v>25.0</v>
      </c>
      <c r="C32" s="48" t="s">
        <v>138</v>
      </c>
      <c r="D32" s="11"/>
      <c r="E32" s="12"/>
      <c r="F32" s="49" t="s">
        <v>124</v>
      </c>
      <c r="G32" s="11"/>
      <c r="H32" s="11"/>
      <c r="I32" s="11"/>
      <c r="J32" s="11"/>
      <c r="K32" s="11"/>
      <c r="L32" s="12"/>
      <c r="M32" s="49" t="s">
        <v>139</v>
      </c>
      <c r="N32" s="11"/>
      <c r="O32" s="11"/>
      <c r="P32" s="11"/>
      <c r="Q32" s="11"/>
      <c r="R32" s="11"/>
      <c r="S32" s="11"/>
      <c r="T32" s="12"/>
      <c r="U32" s="51" t="s">
        <v>90</v>
      </c>
      <c r="V32" s="12"/>
      <c r="W32" s="49" t="s">
        <v>140</v>
      </c>
      <c r="X32" s="11"/>
      <c r="Y32" s="11"/>
      <c r="Z32" s="11"/>
      <c r="AA32" s="11"/>
      <c r="AB32" s="11"/>
      <c r="AC32" s="12"/>
      <c r="AD32" s="48">
        <v>30.0</v>
      </c>
      <c r="AE32" s="11"/>
      <c r="AF32" s="12"/>
    </row>
    <row r="33" ht="30.0" customHeight="1">
      <c r="B33" s="47">
        <v>26.0</v>
      </c>
      <c r="C33" s="48" t="s">
        <v>141</v>
      </c>
      <c r="D33" s="11"/>
      <c r="E33" s="12"/>
      <c r="F33" s="49" t="s">
        <v>124</v>
      </c>
      <c r="G33" s="11"/>
      <c r="H33" s="11"/>
      <c r="I33" s="11"/>
      <c r="J33" s="11"/>
      <c r="K33" s="11"/>
      <c r="L33" s="12"/>
      <c r="M33" s="49" t="s">
        <v>142</v>
      </c>
      <c r="N33" s="11"/>
      <c r="O33" s="11"/>
      <c r="P33" s="11"/>
      <c r="Q33" s="11"/>
      <c r="R33" s="11"/>
      <c r="S33" s="11"/>
      <c r="T33" s="12"/>
      <c r="U33" s="50" t="s">
        <v>70</v>
      </c>
      <c r="V33" s="12"/>
      <c r="W33" s="49" t="s">
        <v>143</v>
      </c>
      <c r="X33" s="11"/>
      <c r="Y33" s="11"/>
      <c r="Z33" s="11"/>
      <c r="AA33" s="11"/>
      <c r="AB33" s="11"/>
      <c r="AC33" s="12"/>
      <c r="AD33" s="48">
        <v>15.0</v>
      </c>
      <c r="AE33" s="11"/>
      <c r="AF33" s="12"/>
    </row>
    <row r="34" ht="30.0" customHeight="1">
      <c r="B34" s="47">
        <v>27.0</v>
      </c>
      <c r="C34" s="48" t="s">
        <v>144</v>
      </c>
      <c r="D34" s="11"/>
      <c r="E34" s="12"/>
      <c r="F34" s="49" t="s">
        <v>124</v>
      </c>
      <c r="G34" s="11"/>
      <c r="H34" s="11"/>
      <c r="I34" s="11"/>
      <c r="J34" s="11"/>
      <c r="K34" s="11"/>
      <c r="L34" s="12"/>
      <c r="M34" s="49" t="s">
        <v>145</v>
      </c>
      <c r="N34" s="11"/>
      <c r="O34" s="11"/>
      <c r="P34" s="11"/>
      <c r="Q34" s="11"/>
      <c r="R34" s="11"/>
      <c r="S34" s="11"/>
      <c r="T34" s="12"/>
      <c r="U34" s="50" t="s">
        <v>70</v>
      </c>
      <c r="V34" s="12"/>
      <c r="W34" s="49" t="s">
        <v>146</v>
      </c>
      <c r="X34" s="11"/>
      <c r="Y34" s="11"/>
      <c r="Z34" s="11"/>
      <c r="AA34" s="11"/>
      <c r="AB34" s="11"/>
      <c r="AC34" s="12"/>
      <c r="AD34" s="48">
        <v>18.0</v>
      </c>
      <c r="AE34" s="11"/>
      <c r="AF34" s="12"/>
    </row>
    <row r="35" ht="30.0" customHeight="1">
      <c r="B35" s="47">
        <v>28.0</v>
      </c>
      <c r="C35" s="48" t="s">
        <v>147</v>
      </c>
      <c r="D35" s="11"/>
      <c r="E35" s="12"/>
      <c r="F35" s="49" t="s">
        <v>148</v>
      </c>
      <c r="G35" s="11"/>
      <c r="H35" s="11"/>
      <c r="I35" s="11"/>
      <c r="J35" s="11"/>
      <c r="K35" s="11"/>
      <c r="L35" s="12"/>
      <c r="M35" s="49" t="s">
        <v>149</v>
      </c>
      <c r="N35" s="11"/>
      <c r="O35" s="11"/>
      <c r="P35" s="11"/>
      <c r="Q35" s="11"/>
      <c r="R35" s="11"/>
      <c r="S35" s="11"/>
      <c r="T35" s="12"/>
      <c r="U35" s="50" t="s">
        <v>70</v>
      </c>
      <c r="V35" s="12"/>
      <c r="W35" s="49" t="s">
        <v>150</v>
      </c>
      <c r="X35" s="11"/>
      <c r="Y35" s="11"/>
      <c r="Z35" s="11"/>
      <c r="AA35" s="11"/>
      <c r="AB35" s="11"/>
      <c r="AC35" s="12"/>
      <c r="AD35" s="48">
        <v>25.0</v>
      </c>
      <c r="AE35" s="11"/>
      <c r="AF35" s="12"/>
    </row>
    <row r="36" ht="30.0" customHeight="1">
      <c r="B36" s="47">
        <v>29.0</v>
      </c>
      <c r="C36" s="48" t="s">
        <v>151</v>
      </c>
      <c r="D36" s="11"/>
      <c r="E36" s="12"/>
      <c r="F36" s="49" t="s">
        <v>148</v>
      </c>
      <c r="G36" s="11"/>
      <c r="H36" s="11"/>
      <c r="I36" s="11"/>
      <c r="J36" s="11"/>
      <c r="K36" s="11"/>
      <c r="L36" s="12"/>
      <c r="M36" s="49" t="s">
        <v>152</v>
      </c>
      <c r="N36" s="11"/>
      <c r="O36" s="11"/>
      <c r="P36" s="11"/>
      <c r="Q36" s="11"/>
      <c r="R36" s="11"/>
      <c r="S36" s="11"/>
      <c r="T36" s="12"/>
      <c r="U36" s="50" t="s">
        <v>70</v>
      </c>
      <c r="V36" s="12"/>
      <c r="W36" s="49" t="s">
        <v>82</v>
      </c>
      <c r="X36" s="11"/>
      <c r="Y36" s="11"/>
      <c r="Z36" s="11"/>
      <c r="AA36" s="11"/>
      <c r="AB36" s="11"/>
      <c r="AC36" s="12"/>
      <c r="AD36" s="48">
        <v>8.0</v>
      </c>
      <c r="AE36" s="11"/>
      <c r="AF36" s="12"/>
    </row>
    <row r="37" ht="30.0" customHeight="1">
      <c r="B37" s="47">
        <v>30.0</v>
      </c>
      <c r="C37" s="48" t="s">
        <v>153</v>
      </c>
      <c r="D37" s="11"/>
      <c r="E37" s="12"/>
      <c r="F37" s="49" t="s">
        <v>148</v>
      </c>
      <c r="G37" s="11"/>
      <c r="H37" s="11"/>
      <c r="I37" s="11"/>
      <c r="J37" s="11"/>
      <c r="K37" s="11"/>
      <c r="L37" s="12"/>
      <c r="M37" s="49" t="s">
        <v>154</v>
      </c>
      <c r="N37" s="11"/>
      <c r="O37" s="11"/>
      <c r="P37" s="11"/>
      <c r="Q37" s="11"/>
      <c r="R37" s="11"/>
      <c r="S37" s="11"/>
      <c r="T37" s="12"/>
      <c r="U37" s="50" t="s">
        <v>70</v>
      </c>
      <c r="V37" s="12"/>
      <c r="W37" s="49" t="s">
        <v>155</v>
      </c>
      <c r="X37" s="11"/>
      <c r="Y37" s="11"/>
      <c r="Z37" s="11"/>
      <c r="AA37" s="11"/>
      <c r="AB37" s="11"/>
      <c r="AC37" s="12"/>
      <c r="AD37" s="48">
        <v>15.0</v>
      </c>
      <c r="AE37" s="11"/>
      <c r="AF37" s="12"/>
    </row>
    <row r="38" ht="30.0" customHeight="1">
      <c r="B38" s="47">
        <v>31.0</v>
      </c>
      <c r="C38" s="48" t="s">
        <v>156</v>
      </c>
      <c r="D38" s="11"/>
      <c r="E38" s="12"/>
      <c r="F38" s="49" t="s">
        <v>148</v>
      </c>
      <c r="G38" s="11"/>
      <c r="H38" s="11"/>
      <c r="I38" s="11"/>
      <c r="J38" s="11"/>
      <c r="K38" s="11"/>
      <c r="L38" s="12"/>
      <c r="M38" s="49" t="s">
        <v>157</v>
      </c>
      <c r="N38" s="11"/>
      <c r="O38" s="11"/>
      <c r="P38" s="11"/>
      <c r="Q38" s="11"/>
      <c r="R38" s="11"/>
      <c r="S38" s="11"/>
      <c r="T38" s="12"/>
      <c r="U38" s="50" t="s">
        <v>70</v>
      </c>
      <c r="V38" s="12"/>
      <c r="W38" s="49" t="s">
        <v>82</v>
      </c>
      <c r="X38" s="11"/>
      <c r="Y38" s="11"/>
      <c r="Z38" s="11"/>
      <c r="AA38" s="11"/>
      <c r="AB38" s="11"/>
      <c r="AC38" s="12"/>
      <c r="AD38" s="48">
        <v>40.0</v>
      </c>
      <c r="AE38" s="11"/>
      <c r="AF38" s="12"/>
    </row>
    <row r="39" ht="30.0" customHeight="1">
      <c r="B39" s="47">
        <v>32.0</v>
      </c>
      <c r="C39" s="48" t="s">
        <v>158</v>
      </c>
      <c r="D39" s="11"/>
      <c r="E39" s="12"/>
      <c r="F39" s="49" t="s">
        <v>148</v>
      </c>
      <c r="G39" s="11"/>
      <c r="H39" s="11"/>
      <c r="I39" s="11"/>
      <c r="J39" s="11"/>
      <c r="K39" s="11"/>
      <c r="L39" s="12"/>
      <c r="M39" s="49" t="s">
        <v>159</v>
      </c>
      <c r="N39" s="11"/>
      <c r="O39" s="11"/>
      <c r="P39" s="11"/>
      <c r="Q39" s="11"/>
      <c r="R39" s="11"/>
      <c r="S39" s="11"/>
      <c r="T39" s="12"/>
      <c r="U39" s="51" t="s">
        <v>90</v>
      </c>
      <c r="V39" s="12"/>
      <c r="W39" s="49" t="s">
        <v>160</v>
      </c>
      <c r="X39" s="11"/>
      <c r="Y39" s="11"/>
      <c r="Z39" s="11"/>
      <c r="AA39" s="11"/>
      <c r="AB39" s="11"/>
      <c r="AC39" s="12"/>
      <c r="AD39" s="48">
        <v>20.0</v>
      </c>
      <c r="AE39" s="11"/>
      <c r="AF39" s="12"/>
    </row>
    <row r="40" ht="30.0" customHeight="1">
      <c r="B40" s="47">
        <v>33.0</v>
      </c>
      <c r="C40" s="48" t="s">
        <v>161</v>
      </c>
      <c r="D40" s="11"/>
      <c r="E40" s="12"/>
      <c r="F40" s="49" t="s">
        <v>148</v>
      </c>
      <c r="G40" s="11"/>
      <c r="H40" s="11"/>
      <c r="I40" s="11"/>
      <c r="J40" s="11"/>
      <c r="K40" s="11"/>
      <c r="L40" s="12"/>
      <c r="M40" s="49" t="s">
        <v>162</v>
      </c>
      <c r="N40" s="11"/>
      <c r="O40" s="11"/>
      <c r="P40" s="11"/>
      <c r="Q40" s="11"/>
      <c r="R40" s="11"/>
      <c r="S40" s="11"/>
      <c r="T40" s="12"/>
      <c r="U40" s="51" t="s">
        <v>90</v>
      </c>
      <c r="V40" s="12"/>
      <c r="W40" s="49" t="s">
        <v>163</v>
      </c>
      <c r="X40" s="11"/>
      <c r="Y40" s="11"/>
      <c r="Z40" s="11"/>
      <c r="AA40" s="11"/>
      <c r="AB40" s="11"/>
      <c r="AC40" s="12"/>
      <c r="AD40" s="48">
        <v>12.0</v>
      </c>
      <c r="AE40" s="11"/>
      <c r="AF40" s="12"/>
    </row>
    <row r="41" ht="30.0" customHeight="1">
      <c r="B41" s="47">
        <v>34.0</v>
      </c>
      <c r="C41" s="48" t="s">
        <v>164</v>
      </c>
      <c r="D41" s="11"/>
      <c r="E41" s="12"/>
      <c r="F41" s="49" t="s">
        <v>148</v>
      </c>
      <c r="G41" s="11"/>
      <c r="H41" s="11"/>
      <c r="I41" s="11"/>
      <c r="J41" s="11"/>
      <c r="K41" s="11"/>
      <c r="L41" s="12"/>
      <c r="M41" s="49" t="s">
        <v>165</v>
      </c>
      <c r="N41" s="11"/>
      <c r="O41" s="11"/>
      <c r="P41" s="11"/>
      <c r="Q41" s="11"/>
      <c r="R41" s="11"/>
      <c r="S41" s="11"/>
      <c r="T41" s="12"/>
      <c r="U41" s="50" t="s">
        <v>70</v>
      </c>
      <c r="V41" s="12"/>
      <c r="W41" s="49" t="s">
        <v>166</v>
      </c>
      <c r="X41" s="11"/>
      <c r="Y41" s="11"/>
      <c r="Z41" s="11"/>
      <c r="AA41" s="11"/>
      <c r="AB41" s="11"/>
      <c r="AC41" s="12"/>
      <c r="AD41" s="48">
        <v>15.0</v>
      </c>
      <c r="AE41" s="11"/>
      <c r="AF41" s="12"/>
    </row>
    <row r="42" ht="30.0" customHeight="1">
      <c r="B42" s="47">
        <v>35.0</v>
      </c>
      <c r="C42" s="48" t="s">
        <v>167</v>
      </c>
      <c r="D42" s="11"/>
      <c r="E42" s="12"/>
      <c r="F42" s="49" t="s">
        <v>148</v>
      </c>
      <c r="G42" s="11"/>
      <c r="H42" s="11"/>
      <c r="I42" s="11"/>
      <c r="J42" s="11"/>
      <c r="K42" s="11"/>
      <c r="L42" s="12"/>
      <c r="M42" s="49" t="s">
        <v>168</v>
      </c>
      <c r="N42" s="11"/>
      <c r="O42" s="11"/>
      <c r="P42" s="11"/>
      <c r="Q42" s="11"/>
      <c r="R42" s="11"/>
      <c r="S42" s="11"/>
      <c r="T42" s="12"/>
      <c r="U42" s="51" t="s">
        <v>90</v>
      </c>
      <c r="V42" s="12"/>
      <c r="W42" s="49" t="s">
        <v>82</v>
      </c>
      <c r="X42" s="11"/>
      <c r="Y42" s="11"/>
      <c r="Z42" s="11"/>
      <c r="AA42" s="11"/>
      <c r="AB42" s="11"/>
      <c r="AC42" s="12"/>
      <c r="AD42" s="48">
        <v>30.0</v>
      </c>
      <c r="AE42" s="11"/>
      <c r="AF42" s="12"/>
    </row>
    <row r="43" ht="36.0" customHeight="1">
      <c r="B43" s="47">
        <v>36.0</v>
      </c>
      <c r="C43" s="48" t="s">
        <v>169</v>
      </c>
      <c r="D43" s="11"/>
      <c r="E43" s="12"/>
      <c r="F43" s="49" t="s">
        <v>148</v>
      </c>
      <c r="G43" s="11"/>
      <c r="H43" s="11"/>
      <c r="I43" s="11"/>
      <c r="J43" s="11"/>
      <c r="K43" s="11"/>
      <c r="L43" s="12"/>
      <c r="M43" s="49" t="s">
        <v>170</v>
      </c>
      <c r="N43" s="11"/>
      <c r="O43" s="11"/>
      <c r="P43" s="11"/>
      <c r="Q43" s="11"/>
      <c r="R43" s="11"/>
      <c r="S43" s="11"/>
      <c r="T43" s="12"/>
      <c r="U43" s="50" t="s">
        <v>70</v>
      </c>
      <c r="V43" s="12"/>
      <c r="W43" s="49" t="s">
        <v>155</v>
      </c>
      <c r="X43" s="11"/>
      <c r="Y43" s="11"/>
      <c r="Z43" s="11"/>
      <c r="AA43" s="11"/>
      <c r="AB43" s="11"/>
      <c r="AC43" s="12"/>
      <c r="AD43" s="48">
        <v>6.0</v>
      </c>
      <c r="AE43" s="11"/>
      <c r="AF43" s="12"/>
    </row>
    <row r="44" ht="30.0" customHeight="1">
      <c r="B44" s="47">
        <v>37.0</v>
      </c>
      <c r="C44" s="48" t="s">
        <v>171</v>
      </c>
      <c r="D44" s="11"/>
      <c r="E44" s="12"/>
      <c r="F44" s="49" t="s">
        <v>172</v>
      </c>
      <c r="G44" s="11"/>
      <c r="H44" s="11"/>
      <c r="I44" s="11"/>
      <c r="J44" s="11"/>
      <c r="K44" s="11"/>
      <c r="L44" s="12"/>
      <c r="M44" s="49" t="s">
        <v>173</v>
      </c>
      <c r="N44" s="11"/>
      <c r="O44" s="11"/>
      <c r="P44" s="11"/>
      <c r="Q44" s="11"/>
      <c r="R44" s="11"/>
      <c r="S44" s="11"/>
      <c r="T44" s="12"/>
      <c r="U44" s="52" t="s">
        <v>174</v>
      </c>
      <c r="V44" s="12"/>
      <c r="W44" s="49" t="s">
        <v>175</v>
      </c>
      <c r="X44" s="11"/>
      <c r="Y44" s="11"/>
      <c r="Z44" s="11"/>
      <c r="AA44" s="11"/>
      <c r="AB44" s="11"/>
      <c r="AC44" s="12"/>
      <c r="AD44" s="48">
        <v>60.0</v>
      </c>
      <c r="AE44" s="11"/>
      <c r="AF44" s="12"/>
    </row>
    <row r="45" ht="36.0" customHeight="1">
      <c r="B45" s="47">
        <v>38.0</v>
      </c>
      <c r="C45" s="48" t="s">
        <v>176</v>
      </c>
      <c r="D45" s="11"/>
      <c r="E45" s="12"/>
      <c r="F45" s="49" t="s">
        <v>172</v>
      </c>
      <c r="G45" s="11"/>
      <c r="H45" s="11"/>
      <c r="I45" s="11"/>
      <c r="J45" s="11"/>
      <c r="K45" s="11"/>
      <c r="L45" s="12"/>
      <c r="M45" s="49" t="s">
        <v>177</v>
      </c>
      <c r="N45" s="11"/>
      <c r="O45" s="11"/>
      <c r="P45" s="11"/>
      <c r="Q45" s="11"/>
      <c r="R45" s="11"/>
      <c r="S45" s="11"/>
      <c r="T45" s="12"/>
      <c r="U45" s="52" t="s">
        <v>174</v>
      </c>
      <c r="V45" s="12"/>
      <c r="W45" s="49" t="s">
        <v>175</v>
      </c>
      <c r="X45" s="11"/>
      <c r="Y45" s="11"/>
      <c r="Z45" s="11"/>
      <c r="AA45" s="11"/>
      <c r="AB45" s="11"/>
      <c r="AC45" s="12"/>
      <c r="AD45" s="48">
        <v>40.0</v>
      </c>
      <c r="AE45" s="11"/>
      <c r="AF45" s="12"/>
    </row>
    <row r="46" ht="30.0" customHeight="1">
      <c r="B46" s="47">
        <v>39.0</v>
      </c>
      <c r="C46" s="48" t="s">
        <v>178</v>
      </c>
      <c r="D46" s="11"/>
      <c r="E46" s="12"/>
      <c r="F46" s="49" t="s">
        <v>172</v>
      </c>
      <c r="G46" s="11"/>
      <c r="H46" s="11"/>
      <c r="I46" s="11"/>
      <c r="J46" s="11"/>
      <c r="K46" s="11"/>
      <c r="L46" s="12"/>
      <c r="M46" s="49" t="s">
        <v>179</v>
      </c>
      <c r="N46" s="11"/>
      <c r="O46" s="11"/>
      <c r="P46" s="11"/>
      <c r="Q46" s="11"/>
      <c r="R46" s="11"/>
      <c r="S46" s="11"/>
      <c r="T46" s="12"/>
      <c r="U46" s="52" t="s">
        <v>174</v>
      </c>
      <c r="V46" s="12"/>
      <c r="W46" s="49" t="s">
        <v>101</v>
      </c>
      <c r="X46" s="11"/>
      <c r="Y46" s="11"/>
      <c r="Z46" s="11"/>
      <c r="AA46" s="11"/>
      <c r="AB46" s="11"/>
      <c r="AC46" s="12"/>
      <c r="AD46" s="48">
        <v>25.0</v>
      </c>
      <c r="AE46" s="11"/>
      <c r="AF46" s="12"/>
    </row>
    <row r="47" ht="30.0" customHeight="1">
      <c r="B47" s="47">
        <v>40.0</v>
      </c>
      <c r="C47" s="48" t="s">
        <v>180</v>
      </c>
      <c r="D47" s="11"/>
      <c r="E47" s="12"/>
      <c r="F47" s="49" t="s">
        <v>172</v>
      </c>
      <c r="G47" s="11"/>
      <c r="H47" s="11"/>
      <c r="I47" s="11"/>
      <c r="J47" s="11"/>
      <c r="K47" s="11"/>
      <c r="L47" s="12"/>
      <c r="M47" s="49" t="s">
        <v>181</v>
      </c>
      <c r="N47" s="11"/>
      <c r="O47" s="11"/>
      <c r="P47" s="11"/>
      <c r="Q47" s="11"/>
      <c r="R47" s="11"/>
      <c r="S47" s="11"/>
      <c r="T47" s="12"/>
      <c r="U47" s="52" t="s">
        <v>174</v>
      </c>
      <c r="V47" s="12"/>
      <c r="W47" s="49" t="s">
        <v>82</v>
      </c>
      <c r="X47" s="11"/>
      <c r="Y47" s="11"/>
      <c r="Z47" s="11"/>
      <c r="AA47" s="11"/>
      <c r="AB47" s="11"/>
      <c r="AC47" s="12"/>
      <c r="AD47" s="48">
        <v>5.0</v>
      </c>
      <c r="AE47" s="11"/>
      <c r="AF47" s="12"/>
    </row>
    <row r="48" ht="30.0" customHeight="1">
      <c r="B48" s="47">
        <v>41.0</v>
      </c>
      <c r="C48" s="48" t="s">
        <v>182</v>
      </c>
      <c r="D48" s="11"/>
      <c r="E48" s="12"/>
      <c r="F48" s="49" t="s">
        <v>172</v>
      </c>
      <c r="G48" s="11"/>
      <c r="H48" s="11"/>
      <c r="I48" s="11"/>
      <c r="J48" s="11"/>
      <c r="K48" s="11"/>
      <c r="L48" s="12"/>
      <c r="M48" s="49" t="s">
        <v>183</v>
      </c>
      <c r="N48" s="11"/>
      <c r="O48" s="11"/>
      <c r="P48" s="11"/>
      <c r="Q48" s="11"/>
      <c r="R48" s="11"/>
      <c r="S48" s="11"/>
      <c r="T48" s="12"/>
      <c r="U48" s="50" t="s">
        <v>70</v>
      </c>
      <c r="V48" s="12"/>
      <c r="W48" s="49" t="s">
        <v>82</v>
      </c>
      <c r="X48" s="11"/>
      <c r="Y48" s="11"/>
      <c r="Z48" s="11"/>
      <c r="AA48" s="11"/>
      <c r="AB48" s="11"/>
      <c r="AC48" s="12"/>
      <c r="AD48" s="48">
        <v>5.0</v>
      </c>
      <c r="AE48" s="11"/>
      <c r="AF48" s="12"/>
    </row>
    <row r="49" ht="30.0" customHeight="1">
      <c r="B49" s="47">
        <v>42.0</v>
      </c>
      <c r="C49" s="48" t="s">
        <v>184</v>
      </c>
      <c r="D49" s="11"/>
      <c r="E49" s="12"/>
      <c r="F49" s="49" t="s">
        <v>172</v>
      </c>
      <c r="G49" s="11"/>
      <c r="H49" s="11"/>
      <c r="I49" s="11"/>
      <c r="J49" s="11"/>
      <c r="K49" s="11"/>
      <c r="L49" s="12"/>
      <c r="M49" s="49" t="s">
        <v>185</v>
      </c>
      <c r="N49" s="11"/>
      <c r="O49" s="11"/>
      <c r="P49" s="11"/>
      <c r="Q49" s="11"/>
      <c r="R49" s="11"/>
      <c r="S49" s="11"/>
      <c r="T49" s="12"/>
      <c r="U49" s="51" t="s">
        <v>90</v>
      </c>
      <c r="V49" s="12"/>
      <c r="W49" s="49" t="s">
        <v>186</v>
      </c>
      <c r="X49" s="11"/>
      <c r="Y49" s="11"/>
      <c r="Z49" s="11"/>
      <c r="AA49" s="11"/>
      <c r="AB49" s="11"/>
      <c r="AC49" s="12"/>
      <c r="AD49" s="48">
        <v>8.0</v>
      </c>
      <c r="AE49" s="11"/>
      <c r="AF49" s="12"/>
    </row>
    <row r="50" ht="30.0" customHeight="1">
      <c r="B50" s="47">
        <v>43.0</v>
      </c>
      <c r="C50" s="48" t="s">
        <v>187</v>
      </c>
      <c r="D50" s="11"/>
      <c r="E50" s="12"/>
      <c r="F50" s="49" t="s">
        <v>188</v>
      </c>
      <c r="G50" s="11"/>
      <c r="H50" s="11"/>
      <c r="I50" s="11"/>
      <c r="J50" s="11"/>
      <c r="K50" s="11"/>
      <c r="L50" s="12"/>
      <c r="M50" s="49" t="s">
        <v>189</v>
      </c>
      <c r="N50" s="11"/>
      <c r="O50" s="11"/>
      <c r="P50" s="11"/>
      <c r="Q50" s="11"/>
      <c r="R50" s="11"/>
      <c r="S50" s="11"/>
      <c r="T50" s="12"/>
      <c r="U50" s="51" t="s">
        <v>90</v>
      </c>
      <c r="V50" s="12"/>
      <c r="W50" s="49" t="s">
        <v>190</v>
      </c>
      <c r="X50" s="11"/>
      <c r="Y50" s="11"/>
      <c r="Z50" s="11"/>
      <c r="AA50" s="11"/>
      <c r="AB50" s="11"/>
      <c r="AC50" s="12"/>
      <c r="AD50" s="48">
        <v>12.0</v>
      </c>
      <c r="AE50" s="11"/>
      <c r="AF50" s="12"/>
    </row>
    <row r="51" ht="30.0" customHeight="1">
      <c r="B51" s="47">
        <v>44.0</v>
      </c>
      <c r="C51" s="48" t="s">
        <v>191</v>
      </c>
      <c r="D51" s="11"/>
      <c r="E51" s="12"/>
      <c r="F51" s="49" t="s">
        <v>188</v>
      </c>
      <c r="G51" s="11"/>
      <c r="H51" s="11"/>
      <c r="I51" s="11"/>
      <c r="J51" s="11"/>
      <c r="K51" s="11"/>
      <c r="L51" s="12"/>
      <c r="M51" s="49" t="s">
        <v>192</v>
      </c>
      <c r="N51" s="11"/>
      <c r="O51" s="11"/>
      <c r="P51" s="11"/>
      <c r="Q51" s="11"/>
      <c r="R51" s="11"/>
      <c r="S51" s="11"/>
      <c r="T51" s="12"/>
      <c r="U51" s="51" t="s">
        <v>90</v>
      </c>
      <c r="V51" s="12"/>
      <c r="W51" s="49" t="s">
        <v>193</v>
      </c>
      <c r="X51" s="11"/>
      <c r="Y51" s="11"/>
      <c r="Z51" s="11"/>
      <c r="AA51" s="11"/>
      <c r="AB51" s="11"/>
      <c r="AC51" s="12"/>
      <c r="AD51" s="48">
        <v>8.0</v>
      </c>
      <c r="AE51" s="11"/>
      <c r="AF51" s="12"/>
    </row>
    <row r="52" ht="22.5" customHeight="1">
      <c r="B52" s="53" t="s">
        <v>46</v>
      </c>
      <c r="C52" s="11"/>
      <c r="D52" s="11"/>
      <c r="E52" s="11"/>
      <c r="F52" s="11"/>
      <c r="G52" s="11"/>
      <c r="H52" s="11"/>
      <c r="I52" s="11"/>
      <c r="J52" s="11"/>
      <c r="K52" s="11"/>
      <c r="L52" s="11"/>
      <c r="M52" s="11"/>
      <c r="N52" s="11"/>
      <c r="O52" s="11"/>
      <c r="P52" s="11"/>
      <c r="Q52" s="11"/>
      <c r="R52" s="11"/>
      <c r="S52" s="11"/>
      <c r="T52" s="12"/>
      <c r="U52" s="39"/>
      <c r="V52" s="12"/>
      <c r="W52" s="39"/>
      <c r="X52" s="11"/>
      <c r="Y52" s="11"/>
      <c r="Z52" s="11"/>
      <c r="AA52" s="11"/>
      <c r="AB52" s="11"/>
      <c r="AC52" s="12"/>
      <c r="AD52" s="39">
        <f>SUM(AD8:AD51)</f>
        <v>1682</v>
      </c>
      <c r="AE52" s="11"/>
      <c r="AF52" s="12"/>
    </row>
    <row r="53" ht="15.75" customHeight="1"/>
    <row r="54" ht="19.5" customHeight="1">
      <c r="B54" s="29" t="s">
        <v>194</v>
      </c>
    </row>
    <row r="55" ht="15.75" customHeight="1"/>
    <row r="56" ht="28.5" customHeight="1">
      <c r="B56" s="46" t="s">
        <v>195</v>
      </c>
      <c r="C56" s="12"/>
      <c r="D56" s="46" t="s">
        <v>196</v>
      </c>
      <c r="E56" s="11"/>
      <c r="F56" s="12"/>
      <c r="G56" s="46" t="s">
        <v>197</v>
      </c>
      <c r="H56" s="11"/>
      <c r="I56" s="11"/>
      <c r="J56" s="11"/>
      <c r="K56" s="11"/>
      <c r="L56" s="12"/>
      <c r="M56" s="46" t="s">
        <v>198</v>
      </c>
      <c r="N56" s="12"/>
      <c r="O56" s="46" t="s">
        <v>199</v>
      </c>
      <c r="P56" s="11"/>
      <c r="Q56" s="12"/>
      <c r="R56" s="46" t="s">
        <v>200</v>
      </c>
      <c r="S56" s="11"/>
      <c r="T56" s="11"/>
      <c r="U56" s="11"/>
      <c r="V56" s="11"/>
      <c r="W56" s="11"/>
      <c r="X56" s="11"/>
      <c r="Y56" s="11"/>
      <c r="Z56" s="11"/>
      <c r="AA56" s="11"/>
      <c r="AB56" s="11"/>
      <c r="AC56" s="11"/>
      <c r="AD56" s="11"/>
      <c r="AE56" s="11"/>
      <c r="AF56" s="11"/>
      <c r="AG56" s="11"/>
      <c r="AH56" s="11"/>
      <c r="AI56" s="11"/>
      <c r="AJ56" s="11"/>
      <c r="AK56" s="12"/>
    </row>
    <row r="57" ht="36.0" customHeight="1">
      <c r="B57" s="54" t="s">
        <v>201</v>
      </c>
      <c r="C57" s="12"/>
      <c r="D57" s="48" t="s">
        <v>202</v>
      </c>
      <c r="E57" s="11"/>
      <c r="F57" s="12"/>
      <c r="G57" s="49" t="s">
        <v>203</v>
      </c>
      <c r="H57" s="11"/>
      <c r="I57" s="11"/>
      <c r="J57" s="11"/>
      <c r="K57" s="11"/>
      <c r="L57" s="12"/>
      <c r="M57" s="48">
        <v>10.0</v>
      </c>
      <c r="N57" s="12"/>
      <c r="O57" s="48" t="s">
        <v>70</v>
      </c>
      <c r="P57" s="11"/>
      <c r="Q57" s="12"/>
      <c r="R57" s="49" t="s">
        <v>204</v>
      </c>
      <c r="S57" s="11"/>
      <c r="T57" s="11"/>
      <c r="U57" s="11"/>
      <c r="V57" s="11"/>
      <c r="W57" s="11"/>
      <c r="X57" s="11"/>
      <c r="Y57" s="11"/>
      <c r="Z57" s="11"/>
      <c r="AA57" s="11"/>
      <c r="AB57" s="11"/>
      <c r="AC57" s="11"/>
      <c r="AD57" s="11"/>
      <c r="AE57" s="11"/>
      <c r="AF57" s="11"/>
      <c r="AG57" s="11"/>
      <c r="AH57" s="11"/>
      <c r="AI57" s="11"/>
      <c r="AJ57" s="11"/>
      <c r="AK57" s="12"/>
    </row>
    <row r="58" ht="30.0" customHeight="1">
      <c r="B58" s="54" t="s">
        <v>205</v>
      </c>
      <c r="C58" s="12"/>
      <c r="D58" s="48" t="s">
        <v>206</v>
      </c>
      <c r="E58" s="11"/>
      <c r="F58" s="12"/>
      <c r="G58" s="49" t="s">
        <v>207</v>
      </c>
      <c r="H58" s="11"/>
      <c r="I58" s="11"/>
      <c r="J58" s="11"/>
      <c r="K58" s="11"/>
      <c r="L58" s="12"/>
      <c r="M58" s="48">
        <v>9.0</v>
      </c>
      <c r="N58" s="12"/>
      <c r="O58" s="48" t="s">
        <v>90</v>
      </c>
      <c r="P58" s="11"/>
      <c r="Q58" s="12"/>
      <c r="R58" s="49" t="s">
        <v>208</v>
      </c>
      <c r="S58" s="11"/>
      <c r="T58" s="11"/>
      <c r="U58" s="11"/>
      <c r="V58" s="11"/>
      <c r="W58" s="11"/>
      <c r="X58" s="11"/>
      <c r="Y58" s="11"/>
      <c r="Z58" s="11"/>
      <c r="AA58" s="11"/>
      <c r="AB58" s="11"/>
      <c r="AC58" s="11"/>
      <c r="AD58" s="11"/>
      <c r="AE58" s="11"/>
      <c r="AF58" s="11"/>
      <c r="AG58" s="11"/>
      <c r="AH58" s="11"/>
      <c r="AI58" s="11"/>
      <c r="AJ58" s="11"/>
      <c r="AK58" s="12"/>
    </row>
    <row r="59" ht="36.0" customHeight="1">
      <c r="B59" s="54" t="s">
        <v>209</v>
      </c>
      <c r="C59" s="12"/>
      <c r="D59" s="48" t="s">
        <v>210</v>
      </c>
      <c r="E59" s="11"/>
      <c r="F59" s="12"/>
      <c r="G59" s="49" t="s">
        <v>211</v>
      </c>
      <c r="H59" s="11"/>
      <c r="I59" s="11"/>
      <c r="J59" s="11"/>
      <c r="K59" s="11"/>
      <c r="L59" s="12"/>
      <c r="M59" s="48">
        <v>8.0</v>
      </c>
      <c r="N59" s="12"/>
      <c r="O59" s="48" t="s">
        <v>70</v>
      </c>
      <c r="P59" s="11"/>
      <c r="Q59" s="12"/>
      <c r="R59" s="49" t="s">
        <v>212</v>
      </c>
      <c r="S59" s="11"/>
      <c r="T59" s="11"/>
      <c r="U59" s="11"/>
      <c r="V59" s="11"/>
      <c r="W59" s="11"/>
      <c r="X59" s="11"/>
      <c r="Y59" s="11"/>
      <c r="Z59" s="11"/>
      <c r="AA59" s="11"/>
      <c r="AB59" s="11"/>
      <c r="AC59" s="11"/>
      <c r="AD59" s="11"/>
      <c r="AE59" s="11"/>
      <c r="AF59" s="11"/>
      <c r="AG59" s="11"/>
      <c r="AH59" s="11"/>
      <c r="AI59" s="11"/>
      <c r="AJ59" s="11"/>
      <c r="AK59" s="12"/>
    </row>
    <row r="60" ht="36.0" customHeight="1">
      <c r="B60" s="54" t="s">
        <v>213</v>
      </c>
      <c r="C60" s="12"/>
      <c r="D60" s="48" t="s">
        <v>214</v>
      </c>
      <c r="E60" s="11"/>
      <c r="F60" s="12"/>
      <c r="G60" s="49" t="s">
        <v>215</v>
      </c>
      <c r="H60" s="11"/>
      <c r="I60" s="11"/>
      <c r="J60" s="11"/>
      <c r="K60" s="11"/>
      <c r="L60" s="12"/>
      <c r="M60" s="48">
        <v>9.0</v>
      </c>
      <c r="N60" s="12"/>
      <c r="O60" s="48" t="s">
        <v>70</v>
      </c>
      <c r="P60" s="11"/>
      <c r="Q60" s="12"/>
      <c r="R60" s="49" t="s">
        <v>216</v>
      </c>
      <c r="S60" s="11"/>
      <c r="T60" s="11"/>
      <c r="U60" s="11"/>
      <c r="V60" s="11"/>
      <c r="W60" s="11"/>
      <c r="X60" s="11"/>
      <c r="Y60" s="11"/>
      <c r="Z60" s="11"/>
      <c r="AA60" s="11"/>
      <c r="AB60" s="11"/>
      <c r="AC60" s="11"/>
      <c r="AD60" s="11"/>
      <c r="AE60" s="11"/>
      <c r="AF60" s="11"/>
      <c r="AG60" s="11"/>
      <c r="AH60" s="11"/>
      <c r="AI60" s="11"/>
      <c r="AJ60" s="11"/>
      <c r="AK60" s="12"/>
    </row>
    <row r="61" ht="36.0" customHeight="1">
      <c r="B61" s="54" t="s">
        <v>217</v>
      </c>
      <c r="C61" s="12"/>
      <c r="D61" s="48" t="s">
        <v>218</v>
      </c>
      <c r="E61" s="11"/>
      <c r="F61" s="12"/>
      <c r="G61" s="49" t="s">
        <v>219</v>
      </c>
      <c r="H61" s="11"/>
      <c r="I61" s="11"/>
      <c r="J61" s="11"/>
      <c r="K61" s="11"/>
      <c r="L61" s="12"/>
      <c r="M61" s="48">
        <v>6.0</v>
      </c>
      <c r="N61" s="12"/>
      <c r="O61" s="48" t="s">
        <v>220</v>
      </c>
      <c r="P61" s="11"/>
      <c r="Q61" s="12"/>
      <c r="R61" s="49" t="s">
        <v>221</v>
      </c>
      <c r="S61" s="11"/>
      <c r="T61" s="11"/>
      <c r="U61" s="11"/>
      <c r="V61" s="11"/>
      <c r="W61" s="11"/>
      <c r="X61" s="11"/>
      <c r="Y61" s="11"/>
      <c r="Z61" s="11"/>
      <c r="AA61" s="11"/>
      <c r="AB61" s="11"/>
      <c r="AC61" s="11"/>
      <c r="AD61" s="11"/>
      <c r="AE61" s="11"/>
      <c r="AF61" s="11"/>
      <c r="AG61" s="11"/>
      <c r="AH61" s="11"/>
      <c r="AI61" s="11"/>
      <c r="AJ61" s="11"/>
      <c r="AK61" s="12"/>
    </row>
    <row r="62" ht="30.0" customHeight="1">
      <c r="B62" s="54" t="s">
        <v>222</v>
      </c>
      <c r="C62" s="12"/>
      <c r="D62" s="48" t="s">
        <v>223</v>
      </c>
      <c r="E62" s="11"/>
      <c r="F62" s="12"/>
      <c r="G62" s="49" t="s">
        <v>224</v>
      </c>
      <c r="H62" s="11"/>
      <c r="I62" s="11"/>
      <c r="J62" s="11"/>
      <c r="K62" s="11"/>
      <c r="L62" s="12"/>
      <c r="M62" s="48">
        <v>2.0</v>
      </c>
      <c r="N62" s="12"/>
      <c r="O62" s="48" t="s">
        <v>90</v>
      </c>
      <c r="P62" s="11"/>
      <c r="Q62" s="12"/>
      <c r="R62" s="49" t="s">
        <v>225</v>
      </c>
      <c r="S62" s="11"/>
      <c r="T62" s="11"/>
      <c r="U62" s="11"/>
      <c r="V62" s="11"/>
      <c r="W62" s="11"/>
      <c r="X62" s="11"/>
      <c r="Y62" s="11"/>
      <c r="Z62" s="11"/>
      <c r="AA62" s="11"/>
      <c r="AB62" s="11"/>
      <c r="AC62" s="11"/>
      <c r="AD62" s="11"/>
      <c r="AE62" s="11"/>
      <c r="AF62" s="11"/>
      <c r="AG62" s="11"/>
      <c r="AH62" s="11"/>
      <c r="AI62" s="11"/>
      <c r="AJ62" s="11"/>
      <c r="AK62" s="12"/>
    </row>
    <row r="63" ht="15.75" customHeight="1"/>
    <row r="64" ht="30.0" customHeight="1">
      <c r="B64" s="55" t="s">
        <v>226</v>
      </c>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227</v>
      </c>
      <c r="B1" s="11"/>
      <c r="C1" s="11"/>
      <c r="D1" s="11"/>
      <c r="E1" s="12"/>
      <c r="F1" s="21" t="s">
        <v>228</v>
      </c>
      <c r="G1" s="11"/>
      <c r="H1" s="11"/>
      <c r="I1" s="11"/>
      <c r="J1" s="11"/>
      <c r="K1" s="11"/>
      <c r="L1" s="11"/>
      <c r="M1" s="11"/>
      <c r="N1" s="11"/>
      <c r="O1" s="11"/>
      <c r="P1" s="11"/>
      <c r="Q1" s="12"/>
      <c r="R1" s="46" t="s">
        <v>229</v>
      </c>
      <c r="S1" s="11"/>
      <c r="T1" s="11"/>
      <c r="U1" s="11"/>
      <c r="V1" s="12"/>
      <c r="W1" s="21" t="s">
        <v>230</v>
      </c>
      <c r="X1" s="11"/>
      <c r="Y1" s="11"/>
      <c r="Z1" s="11"/>
      <c r="AA1" s="11"/>
      <c r="AB1" s="11"/>
      <c r="AC1" s="11"/>
      <c r="AD1" s="11"/>
      <c r="AE1" s="11"/>
      <c r="AF1" s="11"/>
      <c r="AG1" s="11"/>
      <c r="AH1" s="12"/>
    </row>
    <row r="2" ht="22.5" customHeight="1">
      <c r="A2" s="46" t="s">
        <v>22</v>
      </c>
      <c r="B2" s="11"/>
      <c r="C2" s="11"/>
      <c r="D2" s="11"/>
      <c r="E2" s="12"/>
      <c r="F2" s="21" t="s">
        <v>15</v>
      </c>
      <c r="G2" s="11"/>
      <c r="H2" s="11"/>
      <c r="I2" s="11"/>
      <c r="J2" s="11"/>
      <c r="K2" s="11"/>
      <c r="L2" s="11"/>
      <c r="M2" s="11"/>
      <c r="N2" s="11"/>
      <c r="O2" s="11"/>
      <c r="P2" s="11"/>
      <c r="Q2" s="12"/>
      <c r="R2" s="46" t="s">
        <v>21</v>
      </c>
      <c r="S2" s="11"/>
      <c r="T2" s="11"/>
      <c r="U2" s="11"/>
      <c r="V2" s="12"/>
      <c r="W2" s="36" t="s">
        <v>8</v>
      </c>
      <c r="X2" s="11"/>
      <c r="Y2" s="11"/>
      <c r="Z2" s="11"/>
      <c r="AA2" s="11"/>
      <c r="AB2" s="11"/>
      <c r="AC2" s="11"/>
      <c r="AD2" s="11"/>
      <c r="AE2" s="11"/>
      <c r="AF2" s="11"/>
      <c r="AG2" s="11"/>
      <c r="AH2" s="12"/>
    </row>
    <row r="3" ht="22.5" customHeight="1">
      <c r="A3" s="46" t="s">
        <v>13</v>
      </c>
      <c r="B3" s="11"/>
      <c r="C3" s="11"/>
      <c r="D3" s="11"/>
      <c r="E3" s="12"/>
      <c r="F3" s="21" t="s">
        <v>17</v>
      </c>
      <c r="G3" s="11"/>
      <c r="H3" s="11"/>
      <c r="I3" s="11"/>
      <c r="J3" s="11"/>
      <c r="K3" s="11"/>
      <c r="L3" s="11"/>
      <c r="M3" s="11"/>
      <c r="N3" s="11"/>
      <c r="O3" s="11"/>
      <c r="P3" s="11"/>
      <c r="Q3" s="12"/>
      <c r="R3" s="46" t="s">
        <v>231</v>
      </c>
      <c r="S3" s="11"/>
      <c r="T3" s="11"/>
      <c r="U3" s="11"/>
      <c r="V3" s="12"/>
      <c r="W3" s="36"/>
      <c r="X3" s="11"/>
      <c r="Y3" s="11"/>
      <c r="Z3" s="11"/>
      <c r="AA3" s="11"/>
      <c r="AB3" s="11"/>
      <c r="AC3" s="11"/>
      <c r="AD3" s="11"/>
      <c r="AE3" s="11"/>
      <c r="AF3" s="11"/>
      <c r="AG3" s="11"/>
      <c r="AH3" s="12"/>
    </row>
    <row r="4" ht="22.5" customHeight="1">
      <c r="A4" s="46" t="s">
        <v>232</v>
      </c>
      <c r="B4" s="11"/>
      <c r="C4" s="11"/>
      <c r="D4" s="11"/>
      <c r="E4" s="12"/>
      <c r="F4" s="21" t="s">
        <v>233</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ht="22.5" customHeight="1">
      <c r="A5" s="46" t="s">
        <v>234</v>
      </c>
      <c r="B5" s="11"/>
      <c r="C5" s="11"/>
      <c r="D5" s="11"/>
      <c r="E5" s="11"/>
      <c r="F5" s="11"/>
      <c r="G5" s="11"/>
      <c r="H5" s="11"/>
      <c r="I5" s="11"/>
      <c r="J5" s="11"/>
      <c r="K5" s="11"/>
      <c r="L5" s="11"/>
      <c r="M5" s="11"/>
      <c r="N5" s="11"/>
      <c r="O5" s="11"/>
      <c r="P5" s="11"/>
      <c r="Q5" s="11"/>
      <c r="R5" s="11"/>
      <c r="S5" s="12"/>
      <c r="T5" s="46" t="s">
        <v>47</v>
      </c>
      <c r="U5" s="11"/>
      <c r="V5" s="11"/>
      <c r="W5" s="11"/>
      <c r="X5" s="11"/>
      <c r="Y5" s="11"/>
      <c r="Z5" s="11"/>
      <c r="AA5" s="11"/>
      <c r="AB5" s="11"/>
      <c r="AC5" s="11"/>
      <c r="AD5" s="11"/>
      <c r="AE5" s="11"/>
      <c r="AF5" s="11"/>
      <c r="AG5" s="11"/>
      <c r="AH5" s="12"/>
    </row>
    <row r="6" ht="22.5" customHeight="1">
      <c r="A6" s="46" t="s">
        <v>235</v>
      </c>
      <c r="B6" s="11"/>
      <c r="C6" s="11"/>
      <c r="D6" s="11"/>
      <c r="E6" s="11"/>
      <c r="F6" s="11"/>
      <c r="G6" s="12"/>
      <c r="H6" s="46" t="s">
        <v>48</v>
      </c>
      <c r="I6" s="11"/>
      <c r="J6" s="12"/>
      <c r="K6" s="46" t="s">
        <v>49</v>
      </c>
      <c r="L6" s="11"/>
      <c r="M6" s="12"/>
      <c r="N6" s="46" t="s">
        <v>236</v>
      </c>
      <c r="O6" s="11"/>
      <c r="P6" s="12"/>
      <c r="Q6" s="46" t="s">
        <v>46</v>
      </c>
      <c r="R6" s="11"/>
      <c r="S6" s="12"/>
      <c r="T6" s="46" t="s">
        <v>51</v>
      </c>
      <c r="U6" s="11"/>
      <c r="V6" s="12"/>
      <c r="W6" s="46" t="s">
        <v>52</v>
      </c>
      <c r="X6" s="11"/>
      <c r="Y6" s="12"/>
      <c r="Z6" s="46" t="s">
        <v>53</v>
      </c>
      <c r="AA6" s="11"/>
      <c r="AB6" s="12"/>
      <c r="AC6" s="46" t="s">
        <v>54</v>
      </c>
      <c r="AD6" s="11"/>
      <c r="AE6" s="12"/>
      <c r="AF6" s="46" t="s">
        <v>46</v>
      </c>
      <c r="AG6" s="11"/>
      <c r="AH6" s="12"/>
    </row>
    <row r="7" ht="22.5" customHeight="1">
      <c r="A7" s="46" t="s">
        <v>237</v>
      </c>
      <c r="B7" s="11"/>
      <c r="C7" s="11"/>
      <c r="D7" s="11"/>
      <c r="E7" s="11"/>
      <c r="F7" s="11"/>
      <c r="G7" s="12"/>
      <c r="H7" s="20">
        <f t="shared" ref="H7:H8" si="1">COUNTIF($AE$12:$AF$1049,"N")</f>
        <v>22</v>
      </c>
      <c r="I7" s="11"/>
      <c r="J7" s="12"/>
      <c r="K7" s="20">
        <f t="shared" ref="K7:K8" si="2">COUNTIF($AE$12:$AF$1049,"A")</f>
        <v>19</v>
      </c>
      <c r="L7" s="11"/>
      <c r="M7" s="12"/>
      <c r="N7" s="20">
        <f t="shared" ref="N7:N8" si="3">COUNTIF($AE$12:$AF$1049,"B")</f>
        <v>0</v>
      </c>
      <c r="O7" s="11"/>
      <c r="P7" s="12"/>
      <c r="Q7" s="43">
        <f t="shared" ref="Q7:Q8" si="4">SUM(H7:P7)</f>
        <v>41</v>
      </c>
      <c r="R7" s="11"/>
      <c r="S7" s="12"/>
      <c r="T7" s="20">
        <f>COUNTIF($AG$12:$AI$1049,T$6)</f>
        <v>0</v>
      </c>
      <c r="U7" s="11"/>
      <c r="V7" s="12"/>
      <c r="W7" s="20">
        <f>COUNTIF($AG$12:$AI$1049,W$6)</f>
        <v>0</v>
      </c>
      <c r="X7" s="11"/>
      <c r="Y7" s="12"/>
      <c r="Z7" s="20">
        <f>COUNTIF($AG$12:$AI$1049,Z$6)</f>
        <v>0</v>
      </c>
      <c r="AA7" s="11"/>
      <c r="AB7" s="12"/>
      <c r="AC7" s="20">
        <f>COUNTIF($AG$12:$AI$1049,AC$6)</f>
        <v>2</v>
      </c>
      <c r="AD7" s="11"/>
      <c r="AE7" s="12"/>
      <c r="AF7" s="43">
        <f t="shared" ref="AF7:AF8" si="5">SUM(T7:AE7)</f>
        <v>2</v>
      </c>
      <c r="AG7" s="11"/>
      <c r="AH7" s="12"/>
    </row>
    <row r="8" ht="22.5" customHeight="1">
      <c r="A8" s="46" t="s">
        <v>238</v>
      </c>
      <c r="B8" s="11"/>
      <c r="C8" s="11"/>
      <c r="D8" s="11"/>
      <c r="E8" s="11"/>
      <c r="F8" s="11"/>
      <c r="G8" s="12"/>
      <c r="H8" s="20">
        <f t="shared" si="1"/>
        <v>22</v>
      </c>
      <c r="I8" s="11"/>
      <c r="J8" s="12"/>
      <c r="K8" s="20">
        <f t="shared" si="2"/>
        <v>19</v>
      </c>
      <c r="L8" s="11"/>
      <c r="M8" s="12"/>
      <c r="N8" s="20">
        <f t="shared" si="3"/>
        <v>0</v>
      </c>
      <c r="O8" s="11"/>
      <c r="P8" s="12"/>
      <c r="Q8" s="43">
        <f t="shared" si="4"/>
        <v>41</v>
      </c>
      <c r="R8" s="11"/>
      <c r="S8" s="12"/>
      <c r="T8" s="20">
        <f>COUNTIF($AV$12:$AX$1049,T$6)</f>
        <v>0</v>
      </c>
      <c r="U8" s="11"/>
      <c r="V8" s="12"/>
      <c r="W8" s="20">
        <f>COUNTIF($AV$12:$AX$1049,W$6)</f>
        <v>0</v>
      </c>
      <c r="X8" s="11"/>
      <c r="Y8" s="12"/>
      <c r="Z8" s="20">
        <f>COUNTIF($AV$12:$AX$1049,Z$6)</f>
        <v>0</v>
      </c>
      <c r="AA8" s="11"/>
      <c r="AB8" s="12"/>
      <c r="AC8" s="20">
        <f>COUNTIF($AV$12:$AX$1049,AC$6)</f>
        <v>0</v>
      </c>
      <c r="AD8" s="11"/>
      <c r="AE8" s="12"/>
      <c r="AF8" s="43">
        <f t="shared" si="5"/>
        <v>0</v>
      </c>
      <c r="AG8" s="11"/>
      <c r="AH8" s="12"/>
    </row>
    <row r="9" ht="12.75" customHeight="1"/>
    <row r="10" ht="36.0" customHeight="1">
      <c r="A10" s="56" t="s">
        <v>43</v>
      </c>
      <c r="B10" s="57" t="s">
        <v>239</v>
      </c>
      <c r="C10" s="23"/>
      <c r="D10" s="24"/>
      <c r="E10" s="57" t="s">
        <v>240</v>
      </c>
      <c r="F10" s="23"/>
      <c r="G10" s="23"/>
      <c r="H10" s="23"/>
      <c r="I10" s="24"/>
      <c r="J10" s="57" t="s">
        <v>241</v>
      </c>
      <c r="K10" s="23"/>
      <c r="L10" s="23"/>
      <c r="M10" s="23"/>
      <c r="N10" s="23"/>
      <c r="O10" s="23"/>
      <c r="P10" s="24"/>
      <c r="Q10" s="57" t="s">
        <v>242</v>
      </c>
      <c r="R10" s="23"/>
      <c r="S10" s="23"/>
      <c r="T10" s="23"/>
      <c r="U10" s="23"/>
      <c r="V10" s="23"/>
      <c r="W10" s="24"/>
      <c r="X10" s="57" t="s">
        <v>243</v>
      </c>
      <c r="Y10" s="23"/>
      <c r="Z10" s="23"/>
      <c r="AA10" s="23"/>
      <c r="AB10" s="23"/>
      <c r="AC10" s="23"/>
      <c r="AD10" s="24"/>
      <c r="AE10" s="57" t="s">
        <v>244</v>
      </c>
      <c r="AF10" s="24"/>
      <c r="AG10" s="46" t="s">
        <v>245</v>
      </c>
      <c r="AH10" s="11"/>
      <c r="AI10" s="11"/>
      <c r="AJ10" s="11"/>
      <c r="AK10" s="11"/>
      <c r="AL10" s="11"/>
      <c r="AM10" s="11"/>
      <c r="AN10" s="11"/>
      <c r="AO10" s="11"/>
      <c r="AP10" s="11"/>
      <c r="AQ10" s="11"/>
      <c r="AR10" s="11"/>
      <c r="AS10" s="11"/>
      <c r="AT10" s="11"/>
      <c r="AU10" s="12"/>
      <c r="AV10" s="46" t="s">
        <v>246</v>
      </c>
      <c r="AW10" s="11"/>
      <c r="AX10" s="11"/>
      <c r="AY10" s="11"/>
      <c r="AZ10" s="11"/>
      <c r="BA10" s="11"/>
      <c r="BB10" s="11"/>
      <c r="BC10" s="11"/>
      <c r="BD10" s="11"/>
      <c r="BE10" s="11"/>
      <c r="BF10" s="11"/>
      <c r="BG10" s="11"/>
      <c r="BH10" s="11"/>
      <c r="BI10" s="11"/>
      <c r="BJ10" s="12"/>
      <c r="BK10" s="57" t="s">
        <v>247</v>
      </c>
      <c r="BL10" s="23"/>
      <c r="BM10" s="23"/>
      <c r="BN10" s="23"/>
      <c r="BO10" s="23"/>
      <c r="BP10" s="23"/>
      <c r="BQ10" s="24"/>
    </row>
    <row r="11" ht="36.0" customHeight="1">
      <c r="A11" s="40"/>
      <c r="B11" s="26"/>
      <c r="C11" s="27"/>
      <c r="D11" s="28"/>
      <c r="E11" s="26"/>
      <c r="F11" s="27"/>
      <c r="G11" s="27"/>
      <c r="H11" s="27"/>
      <c r="I11" s="28"/>
      <c r="J11" s="26"/>
      <c r="K11" s="27"/>
      <c r="L11" s="27"/>
      <c r="M11" s="27"/>
      <c r="N11" s="27"/>
      <c r="O11" s="27"/>
      <c r="P11" s="28"/>
      <c r="Q11" s="26"/>
      <c r="R11" s="27"/>
      <c r="S11" s="27"/>
      <c r="T11" s="27"/>
      <c r="U11" s="27"/>
      <c r="V11" s="27"/>
      <c r="W11" s="28"/>
      <c r="X11" s="26"/>
      <c r="Y11" s="27"/>
      <c r="Z11" s="27"/>
      <c r="AA11" s="27"/>
      <c r="AB11" s="27"/>
      <c r="AC11" s="27"/>
      <c r="AD11" s="28"/>
      <c r="AE11" s="26"/>
      <c r="AF11" s="28"/>
      <c r="AG11" s="46" t="s">
        <v>248</v>
      </c>
      <c r="AH11" s="11"/>
      <c r="AI11" s="12"/>
      <c r="AJ11" s="46" t="s">
        <v>249</v>
      </c>
      <c r="AK11" s="11"/>
      <c r="AL11" s="12"/>
      <c r="AM11" s="46" t="s">
        <v>11</v>
      </c>
      <c r="AN11" s="11"/>
      <c r="AO11" s="12"/>
      <c r="AP11" s="46" t="s">
        <v>250</v>
      </c>
      <c r="AQ11" s="11"/>
      <c r="AR11" s="12"/>
      <c r="AS11" s="46" t="s">
        <v>251</v>
      </c>
      <c r="AT11" s="11"/>
      <c r="AU11" s="12"/>
      <c r="AV11" s="46" t="s">
        <v>248</v>
      </c>
      <c r="AW11" s="11"/>
      <c r="AX11" s="12"/>
      <c r="AY11" s="46" t="s">
        <v>249</v>
      </c>
      <c r="AZ11" s="11"/>
      <c r="BA11" s="12"/>
      <c r="BB11" s="46" t="s">
        <v>11</v>
      </c>
      <c r="BC11" s="11"/>
      <c r="BD11" s="12"/>
      <c r="BE11" s="46" t="s">
        <v>250</v>
      </c>
      <c r="BF11" s="11"/>
      <c r="BG11" s="12"/>
      <c r="BH11" s="46" t="s">
        <v>251</v>
      </c>
      <c r="BI11" s="11"/>
      <c r="BJ11" s="12"/>
      <c r="BK11" s="26"/>
      <c r="BL11" s="27"/>
      <c r="BM11" s="27"/>
      <c r="BN11" s="27"/>
      <c r="BO11" s="27"/>
      <c r="BP11" s="27"/>
      <c r="BQ11" s="28"/>
    </row>
    <row r="12" ht="22.5" customHeight="1">
      <c r="A12" s="35" t="s">
        <v>252</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2"/>
    </row>
    <row r="13" ht="399.75" customHeight="1">
      <c r="A13" s="47">
        <v>1.0</v>
      </c>
      <c r="B13" s="49" t="s">
        <v>253</v>
      </c>
      <c r="C13" s="11"/>
      <c r="D13" s="12"/>
      <c r="E13" s="49" t="s">
        <v>254</v>
      </c>
      <c r="F13" s="11"/>
      <c r="G13" s="11"/>
      <c r="H13" s="11"/>
      <c r="I13" s="12"/>
      <c r="J13" s="49" t="s">
        <v>255</v>
      </c>
      <c r="K13" s="11"/>
      <c r="L13" s="11"/>
      <c r="M13" s="11"/>
      <c r="N13" s="11"/>
      <c r="O13" s="11"/>
      <c r="P13" s="12"/>
      <c r="Q13" s="49" t="s">
        <v>256</v>
      </c>
      <c r="R13" s="11"/>
      <c r="S13" s="11"/>
      <c r="T13" s="11"/>
      <c r="U13" s="11"/>
      <c r="V13" s="11"/>
      <c r="W13" s="12"/>
      <c r="X13" s="49" t="s">
        <v>257</v>
      </c>
      <c r="Y13" s="11"/>
      <c r="Z13" s="11"/>
      <c r="AA13" s="11"/>
      <c r="AB13" s="11"/>
      <c r="AC13" s="11"/>
      <c r="AD13" s="12"/>
      <c r="AE13" s="48" t="s">
        <v>201</v>
      </c>
      <c r="AF13" s="12"/>
      <c r="AG13" s="48"/>
      <c r="AH13" s="11"/>
      <c r="AI13" s="12"/>
      <c r="AJ13" s="48"/>
      <c r="AK13" s="11"/>
      <c r="AL13" s="12"/>
      <c r="AM13" s="48"/>
      <c r="AN13" s="11"/>
      <c r="AO13" s="12"/>
      <c r="AP13" s="48"/>
      <c r="AQ13" s="11"/>
      <c r="AR13" s="12"/>
      <c r="AS13" s="48"/>
      <c r="AT13" s="11"/>
      <c r="AU13" s="12"/>
      <c r="AV13" s="48"/>
      <c r="AW13" s="11"/>
      <c r="AX13" s="12"/>
      <c r="AY13" s="48"/>
      <c r="AZ13" s="11"/>
      <c r="BA13" s="12"/>
      <c r="BB13" s="48"/>
      <c r="BC13" s="11"/>
      <c r="BD13" s="12"/>
      <c r="BE13" s="48"/>
      <c r="BF13" s="11"/>
      <c r="BG13" s="12"/>
      <c r="BH13" s="48"/>
      <c r="BI13" s="11"/>
      <c r="BJ13" s="12"/>
      <c r="BK13" s="49"/>
      <c r="BL13" s="11"/>
      <c r="BM13" s="11"/>
      <c r="BN13" s="11"/>
      <c r="BO13" s="11"/>
      <c r="BP13" s="11"/>
      <c r="BQ13" s="12"/>
    </row>
    <row r="14" ht="351.75" customHeight="1">
      <c r="A14" s="47">
        <v>2.0</v>
      </c>
      <c r="B14" s="49" t="s">
        <v>258</v>
      </c>
      <c r="C14" s="11"/>
      <c r="D14" s="12"/>
      <c r="E14" s="49" t="s">
        <v>259</v>
      </c>
      <c r="F14" s="11"/>
      <c r="G14" s="11"/>
      <c r="H14" s="11"/>
      <c r="I14" s="12"/>
      <c r="J14" s="49" t="s">
        <v>260</v>
      </c>
      <c r="K14" s="11"/>
      <c r="L14" s="11"/>
      <c r="M14" s="11"/>
      <c r="N14" s="11"/>
      <c r="O14" s="11"/>
      <c r="P14" s="12"/>
      <c r="Q14" s="49" t="s">
        <v>261</v>
      </c>
      <c r="R14" s="11"/>
      <c r="S14" s="11"/>
      <c r="T14" s="11"/>
      <c r="U14" s="11"/>
      <c r="V14" s="11"/>
      <c r="W14" s="12"/>
      <c r="X14" s="49" t="s">
        <v>262</v>
      </c>
      <c r="Y14" s="11"/>
      <c r="Z14" s="11"/>
      <c r="AA14" s="11"/>
      <c r="AB14" s="11"/>
      <c r="AC14" s="11"/>
      <c r="AD14" s="12"/>
      <c r="AE14" s="48" t="s">
        <v>201</v>
      </c>
      <c r="AF14" s="12"/>
      <c r="AG14" s="48"/>
      <c r="AH14" s="11"/>
      <c r="AI14" s="12"/>
      <c r="AJ14" s="48"/>
      <c r="AK14" s="11"/>
      <c r="AL14" s="12"/>
      <c r="AM14" s="48"/>
      <c r="AN14" s="11"/>
      <c r="AO14" s="12"/>
      <c r="AP14" s="48"/>
      <c r="AQ14" s="11"/>
      <c r="AR14" s="12"/>
      <c r="AS14" s="48"/>
      <c r="AT14" s="11"/>
      <c r="AU14" s="12"/>
      <c r="AV14" s="48"/>
      <c r="AW14" s="11"/>
      <c r="AX14" s="12"/>
      <c r="AY14" s="48"/>
      <c r="AZ14" s="11"/>
      <c r="BA14" s="12"/>
      <c r="BB14" s="48"/>
      <c r="BC14" s="11"/>
      <c r="BD14" s="12"/>
      <c r="BE14" s="48"/>
      <c r="BF14" s="11"/>
      <c r="BG14" s="12"/>
      <c r="BH14" s="48"/>
      <c r="BI14" s="11"/>
      <c r="BJ14" s="12"/>
      <c r="BK14" s="49"/>
      <c r="BL14" s="11"/>
      <c r="BM14" s="11"/>
      <c r="BN14" s="11"/>
      <c r="BO14" s="11"/>
      <c r="BP14" s="11"/>
      <c r="BQ14" s="12"/>
    </row>
    <row r="15" ht="127.5" customHeight="1">
      <c r="A15" s="47">
        <v>3.0</v>
      </c>
      <c r="B15" s="49" t="s">
        <v>263</v>
      </c>
      <c r="C15" s="11"/>
      <c r="D15" s="12"/>
      <c r="E15" s="49" t="s">
        <v>264</v>
      </c>
      <c r="F15" s="11"/>
      <c r="G15" s="11"/>
      <c r="H15" s="11"/>
      <c r="I15" s="12"/>
      <c r="J15" s="49" t="s">
        <v>265</v>
      </c>
      <c r="K15" s="11"/>
      <c r="L15" s="11"/>
      <c r="M15" s="11"/>
      <c r="N15" s="11"/>
      <c r="O15" s="11"/>
      <c r="P15" s="12"/>
      <c r="Q15" s="49" t="s">
        <v>266</v>
      </c>
      <c r="R15" s="11"/>
      <c r="S15" s="11"/>
      <c r="T15" s="11"/>
      <c r="U15" s="11"/>
      <c r="V15" s="11"/>
      <c r="W15" s="12"/>
      <c r="X15" s="49" t="s">
        <v>267</v>
      </c>
      <c r="Y15" s="11"/>
      <c r="Z15" s="11"/>
      <c r="AA15" s="11"/>
      <c r="AB15" s="11"/>
      <c r="AC15" s="11"/>
      <c r="AD15" s="12"/>
      <c r="AE15" s="48" t="s">
        <v>268</v>
      </c>
      <c r="AF15" s="12"/>
      <c r="AG15" s="48"/>
      <c r="AH15" s="11"/>
      <c r="AI15" s="12"/>
      <c r="AJ15" s="48"/>
      <c r="AK15" s="11"/>
      <c r="AL15" s="12"/>
      <c r="AM15" s="48"/>
      <c r="AN15" s="11"/>
      <c r="AO15" s="12"/>
      <c r="AP15" s="48"/>
      <c r="AQ15" s="11"/>
      <c r="AR15" s="12"/>
      <c r="AS15" s="48"/>
      <c r="AT15" s="11"/>
      <c r="AU15" s="12"/>
      <c r="AV15" s="48"/>
      <c r="AW15" s="11"/>
      <c r="AX15" s="12"/>
      <c r="AY15" s="48"/>
      <c r="AZ15" s="11"/>
      <c r="BA15" s="12"/>
      <c r="BB15" s="48"/>
      <c r="BC15" s="11"/>
      <c r="BD15" s="12"/>
      <c r="BE15" s="48"/>
      <c r="BF15" s="11"/>
      <c r="BG15" s="12"/>
      <c r="BH15" s="48"/>
      <c r="BI15" s="11"/>
      <c r="BJ15" s="12"/>
      <c r="BK15" s="49"/>
      <c r="BL15" s="11"/>
      <c r="BM15" s="11"/>
      <c r="BN15" s="11"/>
      <c r="BO15" s="11"/>
      <c r="BP15" s="11"/>
      <c r="BQ15" s="12"/>
    </row>
    <row r="16" ht="127.5" customHeight="1">
      <c r="A16" s="47">
        <v>4.0</v>
      </c>
      <c r="B16" s="49" t="s">
        <v>269</v>
      </c>
      <c r="C16" s="11"/>
      <c r="D16" s="12"/>
      <c r="E16" s="49" t="s">
        <v>270</v>
      </c>
      <c r="F16" s="11"/>
      <c r="G16" s="11"/>
      <c r="H16" s="11"/>
      <c r="I16" s="12"/>
      <c r="J16" s="49" t="s">
        <v>271</v>
      </c>
      <c r="K16" s="11"/>
      <c r="L16" s="11"/>
      <c r="M16" s="11"/>
      <c r="N16" s="11"/>
      <c r="O16" s="11"/>
      <c r="P16" s="12"/>
      <c r="Q16" s="49" t="s">
        <v>272</v>
      </c>
      <c r="R16" s="11"/>
      <c r="S16" s="11"/>
      <c r="T16" s="11"/>
      <c r="U16" s="11"/>
      <c r="V16" s="11"/>
      <c r="W16" s="12"/>
      <c r="X16" s="49" t="s">
        <v>273</v>
      </c>
      <c r="Y16" s="11"/>
      <c r="Z16" s="11"/>
      <c r="AA16" s="11"/>
      <c r="AB16" s="11"/>
      <c r="AC16" s="11"/>
      <c r="AD16" s="12"/>
      <c r="AE16" s="48" t="s">
        <v>268</v>
      </c>
      <c r="AF16" s="12"/>
      <c r="AG16" s="48"/>
      <c r="AH16" s="11"/>
      <c r="AI16" s="12"/>
      <c r="AJ16" s="48"/>
      <c r="AK16" s="11"/>
      <c r="AL16" s="12"/>
      <c r="AM16" s="48"/>
      <c r="AN16" s="11"/>
      <c r="AO16" s="12"/>
      <c r="AP16" s="48"/>
      <c r="AQ16" s="11"/>
      <c r="AR16" s="12"/>
      <c r="AS16" s="48"/>
      <c r="AT16" s="11"/>
      <c r="AU16" s="12"/>
      <c r="AV16" s="48"/>
      <c r="AW16" s="11"/>
      <c r="AX16" s="12"/>
      <c r="AY16" s="48"/>
      <c r="AZ16" s="11"/>
      <c r="BA16" s="12"/>
      <c r="BB16" s="48"/>
      <c r="BC16" s="11"/>
      <c r="BD16" s="12"/>
      <c r="BE16" s="48"/>
      <c r="BF16" s="11"/>
      <c r="BG16" s="12"/>
      <c r="BH16" s="48"/>
      <c r="BI16" s="11"/>
      <c r="BJ16" s="12"/>
      <c r="BK16" s="49"/>
      <c r="BL16" s="11"/>
      <c r="BM16" s="11"/>
      <c r="BN16" s="11"/>
      <c r="BO16" s="11"/>
      <c r="BP16" s="11"/>
      <c r="BQ16" s="12"/>
    </row>
    <row r="17" ht="240.0" customHeight="1">
      <c r="A17" s="47">
        <v>5.0</v>
      </c>
      <c r="B17" s="49" t="s">
        <v>274</v>
      </c>
      <c r="C17" s="11"/>
      <c r="D17" s="12"/>
      <c r="E17" s="49" t="s">
        <v>275</v>
      </c>
      <c r="F17" s="11"/>
      <c r="G17" s="11"/>
      <c r="H17" s="11"/>
      <c r="I17" s="12"/>
      <c r="J17" s="49" t="s">
        <v>276</v>
      </c>
      <c r="K17" s="11"/>
      <c r="L17" s="11"/>
      <c r="M17" s="11"/>
      <c r="N17" s="11"/>
      <c r="O17" s="11"/>
      <c r="P17" s="12"/>
      <c r="Q17" s="49" t="s">
        <v>277</v>
      </c>
      <c r="R17" s="11"/>
      <c r="S17" s="11"/>
      <c r="T17" s="11"/>
      <c r="U17" s="11"/>
      <c r="V17" s="11"/>
      <c r="W17" s="12"/>
      <c r="X17" s="49" t="s">
        <v>278</v>
      </c>
      <c r="Y17" s="11"/>
      <c r="Z17" s="11"/>
      <c r="AA17" s="11"/>
      <c r="AB17" s="11"/>
      <c r="AC17" s="11"/>
      <c r="AD17" s="12"/>
      <c r="AE17" s="48" t="s">
        <v>268</v>
      </c>
      <c r="AF17" s="12"/>
      <c r="AG17" s="48"/>
      <c r="AH17" s="11"/>
      <c r="AI17" s="12"/>
      <c r="AJ17" s="48"/>
      <c r="AK17" s="11"/>
      <c r="AL17" s="12"/>
      <c r="AM17" s="48"/>
      <c r="AN17" s="11"/>
      <c r="AO17" s="12"/>
      <c r="AP17" s="48"/>
      <c r="AQ17" s="11"/>
      <c r="AR17" s="12"/>
      <c r="AS17" s="48"/>
      <c r="AT17" s="11"/>
      <c r="AU17" s="12"/>
      <c r="AV17" s="48"/>
      <c r="AW17" s="11"/>
      <c r="AX17" s="12"/>
      <c r="AY17" s="48"/>
      <c r="AZ17" s="11"/>
      <c r="BA17" s="12"/>
      <c r="BB17" s="48"/>
      <c r="BC17" s="11"/>
      <c r="BD17" s="12"/>
      <c r="BE17" s="48"/>
      <c r="BF17" s="11"/>
      <c r="BG17" s="12"/>
      <c r="BH17" s="48"/>
      <c r="BI17" s="11"/>
      <c r="BJ17" s="12"/>
      <c r="BK17" s="49"/>
      <c r="BL17" s="11"/>
      <c r="BM17" s="11"/>
      <c r="BN17" s="11"/>
      <c r="BO17" s="11"/>
      <c r="BP17" s="11"/>
      <c r="BQ17" s="12"/>
    </row>
    <row r="18" ht="144.0" customHeight="1">
      <c r="A18" s="47">
        <v>6.0</v>
      </c>
      <c r="B18" s="49" t="s">
        <v>279</v>
      </c>
      <c r="C18" s="11"/>
      <c r="D18" s="12"/>
      <c r="E18" s="49" t="s">
        <v>280</v>
      </c>
      <c r="F18" s="11"/>
      <c r="G18" s="11"/>
      <c r="H18" s="11"/>
      <c r="I18" s="12"/>
      <c r="J18" s="49" t="s">
        <v>281</v>
      </c>
      <c r="K18" s="11"/>
      <c r="L18" s="11"/>
      <c r="M18" s="11"/>
      <c r="N18" s="11"/>
      <c r="O18" s="11"/>
      <c r="P18" s="12"/>
      <c r="Q18" s="49" t="s">
        <v>282</v>
      </c>
      <c r="R18" s="11"/>
      <c r="S18" s="11"/>
      <c r="T18" s="11"/>
      <c r="U18" s="11"/>
      <c r="V18" s="11"/>
      <c r="W18" s="12"/>
      <c r="X18" s="49" t="s">
        <v>283</v>
      </c>
      <c r="Y18" s="11"/>
      <c r="Z18" s="11"/>
      <c r="AA18" s="11"/>
      <c r="AB18" s="11"/>
      <c r="AC18" s="11"/>
      <c r="AD18" s="12"/>
      <c r="AE18" s="48" t="s">
        <v>201</v>
      </c>
      <c r="AF18" s="12"/>
      <c r="AG18" s="48"/>
      <c r="AH18" s="11"/>
      <c r="AI18" s="12"/>
      <c r="AJ18" s="48"/>
      <c r="AK18" s="11"/>
      <c r="AL18" s="12"/>
      <c r="AM18" s="48"/>
      <c r="AN18" s="11"/>
      <c r="AO18" s="12"/>
      <c r="AP18" s="48"/>
      <c r="AQ18" s="11"/>
      <c r="AR18" s="12"/>
      <c r="AS18" s="48"/>
      <c r="AT18" s="11"/>
      <c r="AU18" s="12"/>
      <c r="AV18" s="48"/>
      <c r="AW18" s="11"/>
      <c r="AX18" s="12"/>
      <c r="AY18" s="48"/>
      <c r="AZ18" s="11"/>
      <c r="BA18" s="12"/>
      <c r="BB18" s="48"/>
      <c r="BC18" s="11"/>
      <c r="BD18" s="12"/>
      <c r="BE18" s="48"/>
      <c r="BF18" s="11"/>
      <c r="BG18" s="12"/>
      <c r="BH18" s="48"/>
      <c r="BI18" s="11"/>
      <c r="BJ18" s="12"/>
      <c r="BK18" s="49"/>
      <c r="BL18" s="11"/>
      <c r="BM18" s="11"/>
      <c r="BN18" s="11"/>
      <c r="BO18" s="11"/>
      <c r="BP18" s="11"/>
      <c r="BQ18" s="12"/>
    </row>
    <row r="19" ht="159.75" customHeight="1">
      <c r="A19" s="47">
        <v>7.0</v>
      </c>
      <c r="B19" s="49" t="s">
        <v>284</v>
      </c>
      <c r="C19" s="11"/>
      <c r="D19" s="12"/>
      <c r="E19" s="49" t="s">
        <v>285</v>
      </c>
      <c r="F19" s="11"/>
      <c r="G19" s="11"/>
      <c r="H19" s="11"/>
      <c r="I19" s="12"/>
      <c r="J19" s="49" t="s">
        <v>286</v>
      </c>
      <c r="K19" s="11"/>
      <c r="L19" s="11"/>
      <c r="M19" s="11"/>
      <c r="N19" s="11"/>
      <c r="O19" s="11"/>
      <c r="P19" s="12"/>
      <c r="Q19" s="49" t="s">
        <v>287</v>
      </c>
      <c r="R19" s="11"/>
      <c r="S19" s="11"/>
      <c r="T19" s="11"/>
      <c r="U19" s="11"/>
      <c r="V19" s="11"/>
      <c r="W19" s="12"/>
      <c r="X19" s="49" t="s">
        <v>288</v>
      </c>
      <c r="Y19" s="11"/>
      <c r="Z19" s="11"/>
      <c r="AA19" s="11"/>
      <c r="AB19" s="11"/>
      <c r="AC19" s="11"/>
      <c r="AD19" s="12"/>
      <c r="AE19" s="48" t="s">
        <v>201</v>
      </c>
      <c r="AF19" s="12"/>
      <c r="AG19" s="48"/>
      <c r="AH19" s="11"/>
      <c r="AI19" s="12"/>
      <c r="AJ19" s="48"/>
      <c r="AK19" s="11"/>
      <c r="AL19" s="12"/>
      <c r="AM19" s="48"/>
      <c r="AN19" s="11"/>
      <c r="AO19" s="12"/>
      <c r="AP19" s="48"/>
      <c r="AQ19" s="11"/>
      <c r="AR19" s="12"/>
      <c r="AS19" s="48"/>
      <c r="AT19" s="11"/>
      <c r="AU19" s="12"/>
      <c r="AV19" s="48"/>
      <c r="AW19" s="11"/>
      <c r="AX19" s="12"/>
      <c r="AY19" s="48"/>
      <c r="AZ19" s="11"/>
      <c r="BA19" s="12"/>
      <c r="BB19" s="48"/>
      <c r="BC19" s="11"/>
      <c r="BD19" s="12"/>
      <c r="BE19" s="48"/>
      <c r="BF19" s="11"/>
      <c r="BG19" s="12"/>
      <c r="BH19" s="48"/>
      <c r="BI19" s="11"/>
      <c r="BJ19" s="12"/>
      <c r="BK19" s="49"/>
      <c r="BL19" s="11"/>
      <c r="BM19" s="11"/>
      <c r="BN19" s="11"/>
      <c r="BO19" s="11"/>
      <c r="BP19" s="11"/>
      <c r="BQ19" s="12"/>
    </row>
    <row r="20" ht="144.0" customHeight="1">
      <c r="A20" s="58">
        <v>8.0</v>
      </c>
      <c r="B20" s="59" t="s">
        <v>289</v>
      </c>
      <c r="C20" s="11"/>
      <c r="D20" s="12"/>
      <c r="E20" s="59" t="s">
        <v>290</v>
      </c>
      <c r="F20" s="11"/>
      <c r="G20" s="11"/>
      <c r="H20" s="11"/>
      <c r="I20" s="12"/>
      <c r="J20" s="59" t="s">
        <v>291</v>
      </c>
      <c r="K20" s="11"/>
      <c r="L20" s="11"/>
      <c r="M20" s="11"/>
      <c r="N20" s="11"/>
      <c r="O20" s="11"/>
      <c r="P20" s="12"/>
      <c r="Q20" s="59" t="s">
        <v>292</v>
      </c>
      <c r="R20" s="11"/>
      <c r="S20" s="11"/>
      <c r="T20" s="11"/>
      <c r="U20" s="11"/>
      <c r="V20" s="11"/>
      <c r="W20" s="12"/>
      <c r="X20" s="59" t="s">
        <v>293</v>
      </c>
      <c r="Y20" s="11"/>
      <c r="Z20" s="11"/>
      <c r="AA20" s="11"/>
      <c r="AB20" s="11"/>
      <c r="AC20" s="11"/>
      <c r="AD20" s="12"/>
      <c r="AE20" s="60" t="s">
        <v>201</v>
      </c>
      <c r="AF20" s="12"/>
      <c r="AG20" s="61" t="s">
        <v>54</v>
      </c>
      <c r="AH20" s="11"/>
      <c r="AI20" s="12"/>
      <c r="AJ20" s="48"/>
      <c r="AK20" s="11"/>
      <c r="AL20" s="12"/>
      <c r="AM20" s="48"/>
      <c r="AN20" s="11"/>
      <c r="AO20" s="12"/>
      <c r="AP20" s="48"/>
      <c r="AQ20" s="11"/>
      <c r="AR20" s="12"/>
      <c r="AS20" s="48"/>
      <c r="AT20" s="11"/>
      <c r="AU20" s="12"/>
      <c r="AV20" s="48"/>
      <c r="AW20" s="11"/>
      <c r="AX20" s="12"/>
      <c r="AY20" s="48"/>
      <c r="AZ20" s="11"/>
      <c r="BA20" s="12"/>
      <c r="BB20" s="48"/>
      <c r="BC20" s="11"/>
      <c r="BD20" s="12"/>
      <c r="BE20" s="48"/>
      <c r="BF20" s="11"/>
      <c r="BG20" s="12"/>
      <c r="BH20" s="48"/>
      <c r="BI20" s="11"/>
      <c r="BJ20" s="12"/>
      <c r="BK20" s="62" t="s">
        <v>294</v>
      </c>
      <c r="BL20" s="11"/>
      <c r="BM20" s="11"/>
      <c r="BN20" s="11"/>
      <c r="BO20" s="11"/>
      <c r="BP20" s="11"/>
      <c r="BQ20" s="12"/>
    </row>
    <row r="21" ht="22.5" customHeight="1">
      <c r="A21" s="35" t="s">
        <v>295</v>
      </c>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2"/>
    </row>
    <row r="22" ht="127.5" customHeight="1">
      <c r="A22" s="47">
        <v>9.0</v>
      </c>
      <c r="B22" s="49" t="s">
        <v>296</v>
      </c>
      <c r="C22" s="11"/>
      <c r="D22" s="12"/>
      <c r="E22" s="49" t="s">
        <v>297</v>
      </c>
      <c r="F22" s="11"/>
      <c r="G22" s="11"/>
      <c r="H22" s="11"/>
      <c r="I22" s="12"/>
      <c r="J22" s="49" t="s">
        <v>298</v>
      </c>
      <c r="K22" s="11"/>
      <c r="L22" s="11"/>
      <c r="M22" s="11"/>
      <c r="N22" s="11"/>
      <c r="O22" s="11"/>
      <c r="P22" s="12"/>
      <c r="Q22" s="49" t="s">
        <v>299</v>
      </c>
      <c r="R22" s="11"/>
      <c r="S22" s="11"/>
      <c r="T22" s="11"/>
      <c r="U22" s="11"/>
      <c r="V22" s="11"/>
      <c r="W22" s="12"/>
      <c r="X22" s="49" t="s">
        <v>300</v>
      </c>
      <c r="Y22" s="11"/>
      <c r="Z22" s="11"/>
      <c r="AA22" s="11"/>
      <c r="AB22" s="11"/>
      <c r="AC22" s="11"/>
      <c r="AD22" s="12"/>
      <c r="AE22" s="48" t="s">
        <v>268</v>
      </c>
      <c r="AF22" s="12"/>
      <c r="AG22" s="48"/>
      <c r="AH22" s="11"/>
      <c r="AI22" s="12"/>
      <c r="AJ22" s="48"/>
      <c r="AK22" s="11"/>
      <c r="AL22" s="12"/>
      <c r="AM22" s="48"/>
      <c r="AN22" s="11"/>
      <c r="AO22" s="12"/>
      <c r="AP22" s="48"/>
      <c r="AQ22" s="11"/>
      <c r="AR22" s="12"/>
      <c r="AS22" s="48"/>
      <c r="AT22" s="11"/>
      <c r="AU22" s="12"/>
      <c r="AV22" s="48"/>
      <c r="AW22" s="11"/>
      <c r="AX22" s="12"/>
      <c r="AY22" s="48"/>
      <c r="AZ22" s="11"/>
      <c r="BA22" s="12"/>
      <c r="BB22" s="48"/>
      <c r="BC22" s="11"/>
      <c r="BD22" s="12"/>
      <c r="BE22" s="48"/>
      <c r="BF22" s="11"/>
      <c r="BG22" s="12"/>
      <c r="BH22" s="48"/>
      <c r="BI22" s="11"/>
      <c r="BJ22" s="12"/>
      <c r="BK22" s="49"/>
      <c r="BL22" s="11"/>
      <c r="BM22" s="11"/>
      <c r="BN22" s="11"/>
      <c r="BO22" s="11"/>
      <c r="BP22" s="11"/>
      <c r="BQ22" s="12"/>
    </row>
    <row r="23" ht="240.0" customHeight="1">
      <c r="A23" s="47">
        <v>10.0</v>
      </c>
      <c r="B23" s="49" t="s">
        <v>301</v>
      </c>
      <c r="C23" s="11"/>
      <c r="D23" s="12"/>
      <c r="E23" s="49" t="s">
        <v>302</v>
      </c>
      <c r="F23" s="11"/>
      <c r="G23" s="11"/>
      <c r="H23" s="11"/>
      <c r="I23" s="12"/>
      <c r="J23" s="49" t="s">
        <v>298</v>
      </c>
      <c r="K23" s="11"/>
      <c r="L23" s="11"/>
      <c r="M23" s="11"/>
      <c r="N23" s="11"/>
      <c r="O23" s="11"/>
      <c r="P23" s="12"/>
      <c r="Q23" s="49" t="s">
        <v>303</v>
      </c>
      <c r="R23" s="11"/>
      <c r="S23" s="11"/>
      <c r="T23" s="11"/>
      <c r="U23" s="11"/>
      <c r="V23" s="11"/>
      <c r="W23" s="12"/>
      <c r="X23" s="49" t="s">
        <v>304</v>
      </c>
      <c r="Y23" s="11"/>
      <c r="Z23" s="11"/>
      <c r="AA23" s="11"/>
      <c r="AB23" s="11"/>
      <c r="AC23" s="11"/>
      <c r="AD23" s="12"/>
      <c r="AE23" s="48" t="s">
        <v>268</v>
      </c>
      <c r="AF23" s="12"/>
      <c r="AG23" s="48"/>
      <c r="AH23" s="11"/>
      <c r="AI23" s="12"/>
      <c r="AJ23" s="48"/>
      <c r="AK23" s="11"/>
      <c r="AL23" s="12"/>
      <c r="AM23" s="48"/>
      <c r="AN23" s="11"/>
      <c r="AO23" s="12"/>
      <c r="AP23" s="48"/>
      <c r="AQ23" s="11"/>
      <c r="AR23" s="12"/>
      <c r="AS23" s="48"/>
      <c r="AT23" s="11"/>
      <c r="AU23" s="12"/>
      <c r="AV23" s="48"/>
      <c r="AW23" s="11"/>
      <c r="AX23" s="12"/>
      <c r="AY23" s="48"/>
      <c r="AZ23" s="11"/>
      <c r="BA23" s="12"/>
      <c r="BB23" s="48"/>
      <c r="BC23" s="11"/>
      <c r="BD23" s="12"/>
      <c r="BE23" s="48"/>
      <c r="BF23" s="11"/>
      <c r="BG23" s="12"/>
      <c r="BH23" s="48"/>
      <c r="BI23" s="11"/>
      <c r="BJ23" s="12"/>
      <c r="BK23" s="49"/>
      <c r="BL23" s="11"/>
      <c r="BM23" s="11"/>
      <c r="BN23" s="11"/>
      <c r="BO23" s="11"/>
      <c r="BP23" s="11"/>
      <c r="BQ23" s="12"/>
    </row>
    <row r="24" ht="207.75" customHeight="1">
      <c r="A24" s="47">
        <v>11.0</v>
      </c>
      <c r="B24" s="49" t="s">
        <v>305</v>
      </c>
      <c r="C24" s="11"/>
      <c r="D24" s="12"/>
      <c r="E24" s="49" t="s">
        <v>306</v>
      </c>
      <c r="F24" s="11"/>
      <c r="G24" s="11"/>
      <c r="H24" s="11"/>
      <c r="I24" s="12"/>
      <c r="J24" s="49" t="s">
        <v>307</v>
      </c>
      <c r="K24" s="11"/>
      <c r="L24" s="11"/>
      <c r="M24" s="11"/>
      <c r="N24" s="11"/>
      <c r="O24" s="11"/>
      <c r="P24" s="12"/>
      <c r="Q24" s="49" t="s">
        <v>308</v>
      </c>
      <c r="R24" s="11"/>
      <c r="S24" s="11"/>
      <c r="T24" s="11"/>
      <c r="U24" s="11"/>
      <c r="V24" s="11"/>
      <c r="W24" s="12"/>
      <c r="X24" s="49" t="s">
        <v>309</v>
      </c>
      <c r="Y24" s="11"/>
      <c r="Z24" s="11"/>
      <c r="AA24" s="11"/>
      <c r="AB24" s="11"/>
      <c r="AC24" s="11"/>
      <c r="AD24" s="12"/>
      <c r="AE24" s="48" t="s">
        <v>268</v>
      </c>
      <c r="AF24" s="12"/>
      <c r="AG24" s="48"/>
      <c r="AH24" s="11"/>
      <c r="AI24" s="12"/>
      <c r="AJ24" s="48"/>
      <c r="AK24" s="11"/>
      <c r="AL24" s="12"/>
      <c r="AM24" s="48"/>
      <c r="AN24" s="11"/>
      <c r="AO24" s="12"/>
      <c r="AP24" s="48"/>
      <c r="AQ24" s="11"/>
      <c r="AR24" s="12"/>
      <c r="AS24" s="48"/>
      <c r="AT24" s="11"/>
      <c r="AU24" s="12"/>
      <c r="AV24" s="48"/>
      <c r="AW24" s="11"/>
      <c r="AX24" s="12"/>
      <c r="AY24" s="48"/>
      <c r="AZ24" s="11"/>
      <c r="BA24" s="12"/>
      <c r="BB24" s="48"/>
      <c r="BC24" s="11"/>
      <c r="BD24" s="12"/>
      <c r="BE24" s="48"/>
      <c r="BF24" s="11"/>
      <c r="BG24" s="12"/>
      <c r="BH24" s="48"/>
      <c r="BI24" s="11"/>
      <c r="BJ24" s="12"/>
      <c r="BK24" s="49"/>
      <c r="BL24" s="11"/>
      <c r="BM24" s="11"/>
      <c r="BN24" s="11"/>
      <c r="BO24" s="11"/>
      <c r="BP24" s="11"/>
      <c r="BQ24" s="12"/>
    </row>
    <row r="25" ht="96.0" customHeight="1">
      <c r="A25" s="47">
        <v>12.0</v>
      </c>
      <c r="B25" s="49" t="s">
        <v>310</v>
      </c>
      <c r="C25" s="11"/>
      <c r="D25" s="12"/>
      <c r="E25" s="49" t="s">
        <v>311</v>
      </c>
      <c r="F25" s="11"/>
      <c r="G25" s="11"/>
      <c r="H25" s="11"/>
      <c r="I25" s="12"/>
      <c r="J25" s="49" t="s">
        <v>312</v>
      </c>
      <c r="K25" s="11"/>
      <c r="L25" s="11"/>
      <c r="M25" s="11"/>
      <c r="N25" s="11"/>
      <c r="O25" s="11"/>
      <c r="P25" s="12"/>
      <c r="Q25" s="49" t="s">
        <v>313</v>
      </c>
      <c r="R25" s="11"/>
      <c r="S25" s="11"/>
      <c r="T25" s="11"/>
      <c r="U25" s="11"/>
      <c r="V25" s="11"/>
      <c r="W25" s="12"/>
      <c r="X25" s="49" t="s">
        <v>314</v>
      </c>
      <c r="Y25" s="11"/>
      <c r="Z25" s="11"/>
      <c r="AA25" s="11"/>
      <c r="AB25" s="11"/>
      <c r="AC25" s="11"/>
      <c r="AD25" s="12"/>
      <c r="AE25" s="48" t="s">
        <v>268</v>
      </c>
      <c r="AF25" s="12"/>
      <c r="AG25" s="48"/>
      <c r="AH25" s="11"/>
      <c r="AI25" s="12"/>
      <c r="AJ25" s="48"/>
      <c r="AK25" s="11"/>
      <c r="AL25" s="12"/>
      <c r="AM25" s="48"/>
      <c r="AN25" s="11"/>
      <c r="AO25" s="12"/>
      <c r="AP25" s="48"/>
      <c r="AQ25" s="11"/>
      <c r="AR25" s="12"/>
      <c r="AS25" s="48"/>
      <c r="AT25" s="11"/>
      <c r="AU25" s="12"/>
      <c r="AV25" s="48"/>
      <c r="AW25" s="11"/>
      <c r="AX25" s="12"/>
      <c r="AY25" s="48"/>
      <c r="AZ25" s="11"/>
      <c r="BA25" s="12"/>
      <c r="BB25" s="48"/>
      <c r="BC25" s="11"/>
      <c r="BD25" s="12"/>
      <c r="BE25" s="48"/>
      <c r="BF25" s="11"/>
      <c r="BG25" s="12"/>
      <c r="BH25" s="48"/>
      <c r="BI25" s="11"/>
      <c r="BJ25" s="12"/>
      <c r="BK25" s="49"/>
      <c r="BL25" s="11"/>
      <c r="BM25" s="11"/>
      <c r="BN25" s="11"/>
      <c r="BO25" s="11"/>
      <c r="BP25" s="11"/>
      <c r="BQ25" s="12"/>
    </row>
    <row r="26" ht="79.5" customHeight="1">
      <c r="A26" s="47">
        <v>13.0</v>
      </c>
      <c r="B26" s="49" t="s">
        <v>315</v>
      </c>
      <c r="C26" s="11"/>
      <c r="D26" s="12"/>
      <c r="E26" s="49" t="s">
        <v>316</v>
      </c>
      <c r="F26" s="11"/>
      <c r="G26" s="11"/>
      <c r="H26" s="11"/>
      <c r="I26" s="12"/>
      <c r="J26" s="49" t="s">
        <v>317</v>
      </c>
      <c r="K26" s="11"/>
      <c r="L26" s="11"/>
      <c r="M26" s="11"/>
      <c r="N26" s="11"/>
      <c r="O26" s="11"/>
      <c r="P26" s="12"/>
      <c r="Q26" s="49" t="s">
        <v>318</v>
      </c>
      <c r="R26" s="11"/>
      <c r="S26" s="11"/>
      <c r="T26" s="11"/>
      <c r="U26" s="11"/>
      <c r="V26" s="11"/>
      <c r="W26" s="12"/>
      <c r="X26" s="49" t="s">
        <v>319</v>
      </c>
      <c r="Y26" s="11"/>
      <c r="Z26" s="11"/>
      <c r="AA26" s="11"/>
      <c r="AB26" s="11"/>
      <c r="AC26" s="11"/>
      <c r="AD26" s="12"/>
      <c r="AE26" s="48" t="s">
        <v>268</v>
      </c>
      <c r="AF26" s="12"/>
      <c r="AG26" s="48"/>
      <c r="AH26" s="11"/>
      <c r="AI26" s="12"/>
      <c r="AJ26" s="48"/>
      <c r="AK26" s="11"/>
      <c r="AL26" s="12"/>
      <c r="AM26" s="48"/>
      <c r="AN26" s="11"/>
      <c r="AO26" s="12"/>
      <c r="AP26" s="48"/>
      <c r="AQ26" s="11"/>
      <c r="AR26" s="12"/>
      <c r="AS26" s="48"/>
      <c r="AT26" s="11"/>
      <c r="AU26" s="12"/>
      <c r="AV26" s="48"/>
      <c r="AW26" s="11"/>
      <c r="AX26" s="12"/>
      <c r="AY26" s="48"/>
      <c r="AZ26" s="11"/>
      <c r="BA26" s="12"/>
      <c r="BB26" s="48"/>
      <c r="BC26" s="11"/>
      <c r="BD26" s="12"/>
      <c r="BE26" s="48"/>
      <c r="BF26" s="11"/>
      <c r="BG26" s="12"/>
      <c r="BH26" s="48"/>
      <c r="BI26" s="11"/>
      <c r="BJ26" s="12"/>
      <c r="BK26" s="49"/>
      <c r="BL26" s="11"/>
      <c r="BM26" s="11"/>
      <c r="BN26" s="11"/>
      <c r="BO26" s="11"/>
      <c r="BP26" s="11"/>
      <c r="BQ26" s="12"/>
    </row>
    <row r="27" ht="144.0" customHeight="1">
      <c r="A27" s="47">
        <v>14.0</v>
      </c>
      <c r="B27" s="49" t="s">
        <v>320</v>
      </c>
      <c r="C27" s="11"/>
      <c r="D27" s="12"/>
      <c r="E27" s="49" t="s">
        <v>321</v>
      </c>
      <c r="F27" s="11"/>
      <c r="G27" s="11"/>
      <c r="H27" s="11"/>
      <c r="I27" s="12"/>
      <c r="J27" s="49" t="s">
        <v>298</v>
      </c>
      <c r="K27" s="11"/>
      <c r="L27" s="11"/>
      <c r="M27" s="11"/>
      <c r="N27" s="11"/>
      <c r="O27" s="11"/>
      <c r="P27" s="12"/>
      <c r="Q27" s="49" t="s">
        <v>322</v>
      </c>
      <c r="R27" s="11"/>
      <c r="S27" s="11"/>
      <c r="T27" s="11"/>
      <c r="U27" s="11"/>
      <c r="V27" s="11"/>
      <c r="W27" s="12"/>
      <c r="X27" s="49" t="s">
        <v>323</v>
      </c>
      <c r="Y27" s="11"/>
      <c r="Z27" s="11"/>
      <c r="AA27" s="11"/>
      <c r="AB27" s="11"/>
      <c r="AC27" s="11"/>
      <c r="AD27" s="12"/>
      <c r="AE27" s="48" t="s">
        <v>268</v>
      </c>
      <c r="AF27" s="12"/>
      <c r="AG27" s="48"/>
      <c r="AH27" s="11"/>
      <c r="AI27" s="12"/>
      <c r="AJ27" s="48"/>
      <c r="AK27" s="11"/>
      <c r="AL27" s="12"/>
      <c r="AM27" s="48"/>
      <c r="AN27" s="11"/>
      <c r="AO27" s="12"/>
      <c r="AP27" s="48"/>
      <c r="AQ27" s="11"/>
      <c r="AR27" s="12"/>
      <c r="AS27" s="48"/>
      <c r="AT27" s="11"/>
      <c r="AU27" s="12"/>
      <c r="AV27" s="48"/>
      <c r="AW27" s="11"/>
      <c r="AX27" s="12"/>
      <c r="AY27" s="48"/>
      <c r="AZ27" s="11"/>
      <c r="BA27" s="12"/>
      <c r="BB27" s="48"/>
      <c r="BC27" s="11"/>
      <c r="BD27" s="12"/>
      <c r="BE27" s="48"/>
      <c r="BF27" s="11"/>
      <c r="BG27" s="12"/>
      <c r="BH27" s="48"/>
      <c r="BI27" s="11"/>
      <c r="BJ27" s="12"/>
      <c r="BK27" s="49"/>
      <c r="BL27" s="11"/>
      <c r="BM27" s="11"/>
      <c r="BN27" s="11"/>
      <c r="BO27" s="11"/>
      <c r="BP27" s="11"/>
      <c r="BQ27" s="12"/>
    </row>
    <row r="28" ht="127.5" customHeight="1">
      <c r="A28" s="47">
        <v>15.0</v>
      </c>
      <c r="B28" s="49" t="s">
        <v>324</v>
      </c>
      <c r="C28" s="11"/>
      <c r="D28" s="12"/>
      <c r="E28" s="49" t="s">
        <v>325</v>
      </c>
      <c r="F28" s="11"/>
      <c r="G28" s="11"/>
      <c r="H28" s="11"/>
      <c r="I28" s="12"/>
      <c r="J28" s="49" t="s">
        <v>298</v>
      </c>
      <c r="K28" s="11"/>
      <c r="L28" s="11"/>
      <c r="M28" s="11"/>
      <c r="N28" s="11"/>
      <c r="O28" s="11"/>
      <c r="P28" s="12"/>
      <c r="Q28" s="49" t="s">
        <v>326</v>
      </c>
      <c r="R28" s="11"/>
      <c r="S28" s="11"/>
      <c r="T28" s="11"/>
      <c r="U28" s="11"/>
      <c r="V28" s="11"/>
      <c r="W28" s="12"/>
      <c r="X28" s="49" t="s">
        <v>327</v>
      </c>
      <c r="Y28" s="11"/>
      <c r="Z28" s="11"/>
      <c r="AA28" s="11"/>
      <c r="AB28" s="11"/>
      <c r="AC28" s="11"/>
      <c r="AD28" s="12"/>
      <c r="AE28" s="48" t="s">
        <v>268</v>
      </c>
      <c r="AF28" s="12"/>
      <c r="AG28" s="48"/>
      <c r="AH28" s="11"/>
      <c r="AI28" s="12"/>
      <c r="AJ28" s="48"/>
      <c r="AK28" s="11"/>
      <c r="AL28" s="12"/>
      <c r="AM28" s="48"/>
      <c r="AN28" s="11"/>
      <c r="AO28" s="12"/>
      <c r="AP28" s="48"/>
      <c r="AQ28" s="11"/>
      <c r="AR28" s="12"/>
      <c r="AS28" s="48"/>
      <c r="AT28" s="11"/>
      <c r="AU28" s="12"/>
      <c r="AV28" s="48"/>
      <c r="AW28" s="11"/>
      <c r="AX28" s="12"/>
      <c r="AY28" s="48"/>
      <c r="AZ28" s="11"/>
      <c r="BA28" s="12"/>
      <c r="BB28" s="48"/>
      <c r="BC28" s="11"/>
      <c r="BD28" s="12"/>
      <c r="BE28" s="48"/>
      <c r="BF28" s="11"/>
      <c r="BG28" s="12"/>
      <c r="BH28" s="48"/>
      <c r="BI28" s="11"/>
      <c r="BJ28" s="12"/>
      <c r="BK28" s="49"/>
      <c r="BL28" s="11"/>
      <c r="BM28" s="11"/>
      <c r="BN28" s="11"/>
      <c r="BO28" s="11"/>
      <c r="BP28" s="11"/>
      <c r="BQ28" s="12"/>
    </row>
    <row r="29" ht="144.0" customHeight="1">
      <c r="A29" s="47">
        <v>16.0</v>
      </c>
      <c r="B29" s="49" t="s">
        <v>328</v>
      </c>
      <c r="C29" s="11"/>
      <c r="D29" s="12"/>
      <c r="E29" s="49" t="s">
        <v>329</v>
      </c>
      <c r="F29" s="11"/>
      <c r="G29" s="11"/>
      <c r="H29" s="11"/>
      <c r="I29" s="12"/>
      <c r="J29" s="49" t="s">
        <v>298</v>
      </c>
      <c r="K29" s="11"/>
      <c r="L29" s="11"/>
      <c r="M29" s="11"/>
      <c r="N29" s="11"/>
      <c r="O29" s="11"/>
      <c r="P29" s="12"/>
      <c r="Q29" s="49" t="s">
        <v>330</v>
      </c>
      <c r="R29" s="11"/>
      <c r="S29" s="11"/>
      <c r="T29" s="11"/>
      <c r="U29" s="11"/>
      <c r="V29" s="11"/>
      <c r="W29" s="12"/>
      <c r="X29" s="49" t="s">
        <v>331</v>
      </c>
      <c r="Y29" s="11"/>
      <c r="Z29" s="11"/>
      <c r="AA29" s="11"/>
      <c r="AB29" s="11"/>
      <c r="AC29" s="11"/>
      <c r="AD29" s="12"/>
      <c r="AE29" s="48" t="s">
        <v>268</v>
      </c>
      <c r="AF29" s="12"/>
      <c r="AG29" s="48"/>
      <c r="AH29" s="11"/>
      <c r="AI29" s="12"/>
      <c r="AJ29" s="48"/>
      <c r="AK29" s="11"/>
      <c r="AL29" s="12"/>
      <c r="AM29" s="48"/>
      <c r="AN29" s="11"/>
      <c r="AO29" s="12"/>
      <c r="AP29" s="48"/>
      <c r="AQ29" s="11"/>
      <c r="AR29" s="12"/>
      <c r="AS29" s="48"/>
      <c r="AT29" s="11"/>
      <c r="AU29" s="12"/>
      <c r="AV29" s="48"/>
      <c r="AW29" s="11"/>
      <c r="AX29" s="12"/>
      <c r="AY29" s="48"/>
      <c r="AZ29" s="11"/>
      <c r="BA29" s="12"/>
      <c r="BB29" s="48"/>
      <c r="BC29" s="11"/>
      <c r="BD29" s="12"/>
      <c r="BE29" s="48"/>
      <c r="BF29" s="11"/>
      <c r="BG29" s="12"/>
      <c r="BH29" s="48"/>
      <c r="BI29" s="11"/>
      <c r="BJ29" s="12"/>
      <c r="BK29" s="49" t="s">
        <v>332</v>
      </c>
      <c r="BL29" s="11"/>
      <c r="BM29" s="11"/>
      <c r="BN29" s="11"/>
      <c r="BO29" s="11"/>
      <c r="BP29" s="11"/>
      <c r="BQ29" s="12"/>
    </row>
    <row r="30" ht="22.5" customHeight="1">
      <c r="A30" s="35" t="s">
        <v>333</v>
      </c>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2"/>
    </row>
    <row r="31" ht="79.5" customHeight="1">
      <c r="A31" s="47">
        <v>17.0</v>
      </c>
      <c r="B31" s="49" t="s">
        <v>334</v>
      </c>
      <c r="C31" s="11"/>
      <c r="D31" s="12"/>
      <c r="E31" s="49" t="s">
        <v>335</v>
      </c>
      <c r="F31" s="11"/>
      <c r="G31" s="11"/>
      <c r="H31" s="11"/>
      <c r="I31" s="12"/>
      <c r="J31" s="49" t="s">
        <v>298</v>
      </c>
      <c r="K31" s="11"/>
      <c r="L31" s="11"/>
      <c r="M31" s="11"/>
      <c r="N31" s="11"/>
      <c r="O31" s="11"/>
      <c r="P31" s="12"/>
      <c r="Q31" s="49" t="s">
        <v>336</v>
      </c>
      <c r="R31" s="11"/>
      <c r="S31" s="11"/>
      <c r="T31" s="11"/>
      <c r="U31" s="11"/>
      <c r="V31" s="11"/>
      <c r="W31" s="12"/>
      <c r="X31" s="49" t="s">
        <v>337</v>
      </c>
      <c r="Y31" s="11"/>
      <c r="Z31" s="11"/>
      <c r="AA31" s="11"/>
      <c r="AB31" s="11"/>
      <c r="AC31" s="11"/>
      <c r="AD31" s="12"/>
      <c r="AE31" s="48" t="s">
        <v>201</v>
      </c>
      <c r="AF31" s="12"/>
      <c r="AG31" s="48"/>
      <c r="AH31" s="11"/>
      <c r="AI31" s="12"/>
      <c r="AJ31" s="48"/>
      <c r="AK31" s="11"/>
      <c r="AL31" s="12"/>
      <c r="AM31" s="48"/>
      <c r="AN31" s="11"/>
      <c r="AO31" s="12"/>
      <c r="AP31" s="48"/>
      <c r="AQ31" s="11"/>
      <c r="AR31" s="12"/>
      <c r="AS31" s="48"/>
      <c r="AT31" s="11"/>
      <c r="AU31" s="12"/>
      <c r="AV31" s="48"/>
      <c r="AW31" s="11"/>
      <c r="AX31" s="12"/>
      <c r="AY31" s="48"/>
      <c r="AZ31" s="11"/>
      <c r="BA31" s="12"/>
      <c r="BB31" s="48"/>
      <c r="BC31" s="11"/>
      <c r="BD31" s="12"/>
      <c r="BE31" s="48"/>
      <c r="BF31" s="11"/>
      <c r="BG31" s="12"/>
      <c r="BH31" s="48"/>
      <c r="BI31" s="11"/>
      <c r="BJ31" s="12"/>
      <c r="BK31" s="49"/>
      <c r="BL31" s="11"/>
      <c r="BM31" s="11"/>
      <c r="BN31" s="11"/>
      <c r="BO31" s="11"/>
      <c r="BP31" s="11"/>
      <c r="BQ31" s="12"/>
    </row>
    <row r="32" ht="96.0" customHeight="1">
      <c r="A32" s="47">
        <v>18.0</v>
      </c>
      <c r="B32" s="49" t="s">
        <v>338</v>
      </c>
      <c r="C32" s="11"/>
      <c r="D32" s="12"/>
      <c r="E32" s="49" t="s">
        <v>339</v>
      </c>
      <c r="F32" s="11"/>
      <c r="G32" s="11"/>
      <c r="H32" s="11"/>
      <c r="I32" s="12"/>
      <c r="J32" s="49" t="s">
        <v>312</v>
      </c>
      <c r="K32" s="11"/>
      <c r="L32" s="11"/>
      <c r="M32" s="11"/>
      <c r="N32" s="11"/>
      <c r="O32" s="11"/>
      <c r="P32" s="12"/>
      <c r="Q32" s="49" t="s">
        <v>340</v>
      </c>
      <c r="R32" s="11"/>
      <c r="S32" s="11"/>
      <c r="T32" s="11"/>
      <c r="U32" s="11"/>
      <c r="V32" s="11"/>
      <c r="W32" s="12"/>
      <c r="X32" s="49" t="s">
        <v>341</v>
      </c>
      <c r="Y32" s="11"/>
      <c r="Z32" s="11"/>
      <c r="AA32" s="11"/>
      <c r="AB32" s="11"/>
      <c r="AC32" s="11"/>
      <c r="AD32" s="12"/>
      <c r="AE32" s="48" t="s">
        <v>201</v>
      </c>
      <c r="AF32" s="12"/>
      <c r="AG32" s="48"/>
      <c r="AH32" s="11"/>
      <c r="AI32" s="12"/>
      <c r="AJ32" s="48"/>
      <c r="AK32" s="11"/>
      <c r="AL32" s="12"/>
      <c r="AM32" s="48"/>
      <c r="AN32" s="11"/>
      <c r="AO32" s="12"/>
      <c r="AP32" s="48"/>
      <c r="AQ32" s="11"/>
      <c r="AR32" s="12"/>
      <c r="AS32" s="48"/>
      <c r="AT32" s="11"/>
      <c r="AU32" s="12"/>
      <c r="AV32" s="48"/>
      <c r="AW32" s="11"/>
      <c r="AX32" s="12"/>
      <c r="AY32" s="48"/>
      <c r="AZ32" s="11"/>
      <c r="BA32" s="12"/>
      <c r="BB32" s="48"/>
      <c r="BC32" s="11"/>
      <c r="BD32" s="12"/>
      <c r="BE32" s="48"/>
      <c r="BF32" s="11"/>
      <c r="BG32" s="12"/>
      <c r="BH32" s="48"/>
      <c r="BI32" s="11"/>
      <c r="BJ32" s="12"/>
      <c r="BK32" s="49"/>
      <c r="BL32" s="11"/>
      <c r="BM32" s="11"/>
      <c r="BN32" s="11"/>
      <c r="BO32" s="11"/>
      <c r="BP32" s="11"/>
      <c r="BQ32" s="12"/>
    </row>
    <row r="33" ht="96.0" customHeight="1">
      <c r="A33" s="47">
        <v>19.0</v>
      </c>
      <c r="B33" s="49" t="s">
        <v>342</v>
      </c>
      <c r="C33" s="11"/>
      <c r="D33" s="12"/>
      <c r="E33" s="49" t="s">
        <v>343</v>
      </c>
      <c r="F33" s="11"/>
      <c r="G33" s="11"/>
      <c r="H33" s="11"/>
      <c r="I33" s="12"/>
      <c r="J33" s="49" t="s">
        <v>344</v>
      </c>
      <c r="K33" s="11"/>
      <c r="L33" s="11"/>
      <c r="M33" s="11"/>
      <c r="N33" s="11"/>
      <c r="O33" s="11"/>
      <c r="P33" s="12"/>
      <c r="Q33" s="49" t="s">
        <v>345</v>
      </c>
      <c r="R33" s="11"/>
      <c r="S33" s="11"/>
      <c r="T33" s="11"/>
      <c r="U33" s="11"/>
      <c r="V33" s="11"/>
      <c r="W33" s="12"/>
      <c r="X33" s="49" t="s">
        <v>346</v>
      </c>
      <c r="Y33" s="11"/>
      <c r="Z33" s="11"/>
      <c r="AA33" s="11"/>
      <c r="AB33" s="11"/>
      <c r="AC33" s="11"/>
      <c r="AD33" s="12"/>
      <c r="AE33" s="48" t="s">
        <v>201</v>
      </c>
      <c r="AF33" s="12"/>
      <c r="AG33" s="48"/>
      <c r="AH33" s="11"/>
      <c r="AI33" s="12"/>
      <c r="AJ33" s="48"/>
      <c r="AK33" s="11"/>
      <c r="AL33" s="12"/>
      <c r="AM33" s="48"/>
      <c r="AN33" s="11"/>
      <c r="AO33" s="12"/>
      <c r="AP33" s="48"/>
      <c r="AQ33" s="11"/>
      <c r="AR33" s="12"/>
      <c r="AS33" s="48"/>
      <c r="AT33" s="11"/>
      <c r="AU33" s="12"/>
      <c r="AV33" s="48"/>
      <c r="AW33" s="11"/>
      <c r="AX33" s="12"/>
      <c r="AY33" s="48"/>
      <c r="AZ33" s="11"/>
      <c r="BA33" s="12"/>
      <c r="BB33" s="48"/>
      <c r="BC33" s="11"/>
      <c r="BD33" s="12"/>
      <c r="BE33" s="48"/>
      <c r="BF33" s="11"/>
      <c r="BG33" s="12"/>
      <c r="BH33" s="48"/>
      <c r="BI33" s="11"/>
      <c r="BJ33" s="12"/>
      <c r="BK33" s="49"/>
      <c r="BL33" s="11"/>
      <c r="BM33" s="11"/>
      <c r="BN33" s="11"/>
      <c r="BO33" s="11"/>
      <c r="BP33" s="11"/>
      <c r="BQ33" s="12"/>
    </row>
    <row r="34" ht="159.75" customHeight="1">
      <c r="A34" s="47">
        <v>20.0</v>
      </c>
      <c r="B34" s="49" t="s">
        <v>347</v>
      </c>
      <c r="C34" s="11"/>
      <c r="D34" s="12"/>
      <c r="E34" s="49" t="s">
        <v>348</v>
      </c>
      <c r="F34" s="11"/>
      <c r="G34" s="11"/>
      <c r="H34" s="11"/>
      <c r="I34" s="12"/>
      <c r="J34" s="49" t="s">
        <v>298</v>
      </c>
      <c r="K34" s="11"/>
      <c r="L34" s="11"/>
      <c r="M34" s="11"/>
      <c r="N34" s="11"/>
      <c r="O34" s="11"/>
      <c r="P34" s="12"/>
      <c r="Q34" s="49" t="s">
        <v>349</v>
      </c>
      <c r="R34" s="11"/>
      <c r="S34" s="11"/>
      <c r="T34" s="11"/>
      <c r="U34" s="11"/>
      <c r="V34" s="11"/>
      <c r="W34" s="12"/>
      <c r="X34" s="49" t="s">
        <v>350</v>
      </c>
      <c r="Y34" s="11"/>
      <c r="Z34" s="11"/>
      <c r="AA34" s="11"/>
      <c r="AB34" s="11"/>
      <c r="AC34" s="11"/>
      <c r="AD34" s="12"/>
      <c r="AE34" s="48" t="s">
        <v>201</v>
      </c>
      <c r="AF34" s="12"/>
      <c r="AG34" s="48"/>
      <c r="AH34" s="11"/>
      <c r="AI34" s="12"/>
      <c r="AJ34" s="48"/>
      <c r="AK34" s="11"/>
      <c r="AL34" s="12"/>
      <c r="AM34" s="48"/>
      <c r="AN34" s="11"/>
      <c r="AO34" s="12"/>
      <c r="AP34" s="48"/>
      <c r="AQ34" s="11"/>
      <c r="AR34" s="12"/>
      <c r="AS34" s="48"/>
      <c r="AT34" s="11"/>
      <c r="AU34" s="12"/>
      <c r="AV34" s="48"/>
      <c r="AW34" s="11"/>
      <c r="AX34" s="12"/>
      <c r="AY34" s="48"/>
      <c r="AZ34" s="11"/>
      <c r="BA34" s="12"/>
      <c r="BB34" s="48"/>
      <c r="BC34" s="11"/>
      <c r="BD34" s="12"/>
      <c r="BE34" s="48"/>
      <c r="BF34" s="11"/>
      <c r="BG34" s="12"/>
      <c r="BH34" s="48"/>
      <c r="BI34" s="11"/>
      <c r="BJ34" s="12"/>
      <c r="BK34" s="49"/>
      <c r="BL34" s="11"/>
      <c r="BM34" s="11"/>
      <c r="BN34" s="11"/>
      <c r="BO34" s="11"/>
      <c r="BP34" s="11"/>
      <c r="BQ34" s="12"/>
    </row>
    <row r="35" ht="127.5" customHeight="1">
      <c r="A35" s="47">
        <v>21.0</v>
      </c>
      <c r="B35" s="49" t="s">
        <v>351</v>
      </c>
      <c r="C35" s="11"/>
      <c r="D35" s="12"/>
      <c r="E35" s="49" t="s">
        <v>352</v>
      </c>
      <c r="F35" s="11"/>
      <c r="G35" s="11"/>
      <c r="H35" s="11"/>
      <c r="I35" s="12"/>
      <c r="J35" s="49" t="s">
        <v>298</v>
      </c>
      <c r="K35" s="11"/>
      <c r="L35" s="11"/>
      <c r="M35" s="11"/>
      <c r="N35" s="11"/>
      <c r="O35" s="11"/>
      <c r="P35" s="12"/>
      <c r="Q35" s="49" t="s">
        <v>353</v>
      </c>
      <c r="R35" s="11"/>
      <c r="S35" s="11"/>
      <c r="T35" s="11"/>
      <c r="U35" s="11"/>
      <c r="V35" s="11"/>
      <c r="W35" s="12"/>
      <c r="X35" s="49" t="s">
        <v>354</v>
      </c>
      <c r="Y35" s="11"/>
      <c r="Z35" s="11"/>
      <c r="AA35" s="11"/>
      <c r="AB35" s="11"/>
      <c r="AC35" s="11"/>
      <c r="AD35" s="12"/>
      <c r="AE35" s="48" t="s">
        <v>268</v>
      </c>
      <c r="AF35" s="12"/>
      <c r="AG35" s="48"/>
      <c r="AH35" s="11"/>
      <c r="AI35" s="12"/>
      <c r="AJ35" s="48"/>
      <c r="AK35" s="11"/>
      <c r="AL35" s="12"/>
      <c r="AM35" s="48"/>
      <c r="AN35" s="11"/>
      <c r="AO35" s="12"/>
      <c r="AP35" s="48"/>
      <c r="AQ35" s="11"/>
      <c r="AR35" s="12"/>
      <c r="AS35" s="48"/>
      <c r="AT35" s="11"/>
      <c r="AU35" s="12"/>
      <c r="AV35" s="48"/>
      <c r="AW35" s="11"/>
      <c r="AX35" s="12"/>
      <c r="AY35" s="48"/>
      <c r="AZ35" s="11"/>
      <c r="BA35" s="12"/>
      <c r="BB35" s="48"/>
      <c r="BC35" s="11"/>
      <c r="BD35" s="12"/>
      <c r="BE35" s="48"/>
      <c r="BF35" s="11"/>
      <c r="BG35" s="12"/>
      <c r="BH35" s="48"/>
      <c r="BI35" s="11"/>
      <c r="BJ35" s="12"/>
      <c r="BK35" s="49"/>
      <c r="BL35" s="11"/>
      <c r="BM35" s="11"/>
      <c r="BN35" s="11"/>
      <c r="BO35" s="11"/>
      <c r="BP35" s="11"/>
      <c r="BQ35" s="12"/>
    </row>
    <row r="36" ht="192.0" customHeight="1">
      <c r="A36" s="47">
        <v>22.0</v>
      </c>
      <c r="B36" s="49" t="s">
        <v>355</v>
      </c>
      <c r="C36" s="11"/>
      <c r="D36" s="12"/>
      <c r="E36" s="49" t="s">
        <v>356</v>
      </c>
      <c r="F36" s="11"/>
      <c r="G36" s="11"/>
      <c r="H36" s="11"/>
      <c r="I36" s="12"/>
      <c r="J36" s="49" t="s">
        <v>298</v>
      </c>
      <c r="K36" s="11"/>
      <c r="L36" s="11"/>
      <c r="M36" s="11"/>
      <c r="N36" s="11"/>
      <c r="O36" s="11"/>
      <c r="P36" s="12"/>
      <c r="Q36" s="49" t="s">
        <v>357</v>
      </c>
      <c r="R36" s="11"/>
      <c r="S36" s="11"/>
      <c r="T36" s="11"/>
      <c r="U36" s="11"/>
      <c r="V36" s="11"/>
      <c r="W36" s="12"/>
      <c r="X36" s="49" t="s">
        <v>358</v>
      </c>
      <c r="Y36" s="11"/>
      <c r="Z36" s="11"/>
      <c r="AA36" s="11"/>
      <c r="AB36" s="11"/>
      <c r="AC36" s="11"/>
      <c r="AD36" s="12"/>
      <c r="AE36" s="48" t="s">
        <v>201</v>
      </c>
      <c r="AF36" s="12"/>
      <c r="AG36" s="48"/>
      <c r="AH36" s="11"/>
      <c r="AI36" s="12"/>
      <c r="AJ36" s="48"/>
      <c r="AK36" s="11"/>
      <c r="AL36" s="12"/>
      <c r="AM36" s="48"/>
      <c r="AN36" s="11"/>
      <c r="AO36" s="12"/>
      <c r="AP36" s="48"/>
      <c r="AQ36" s="11"/>
      <c r="AR36" s="12"/>
      <c r="AS36" s="48"/>
      <c r="AT36" s="11"/>
      <c r="AU36" s="12"/>
      <c r="AV36" s="48"/>
      <c r="AW36" s="11"/>
      <c r="AX36" s="12"/>
      <c r="AY36" s="48"/>
      <c r="AZ36" s="11"/>
      <c r="BA36" s="12"/>
      <c r="BB36" s="48"/>
      <c r="BC36" s="11"/>
      <c r="BD36" s="12"/>
      <c r="BE36" s="48"/>
      <c r="BF36" s="11"/>
      <c r="BG36" s="12"/>
      <c r="BH36" s="48"/>
      <c r="BI36" s="11"/>
      <c r="BJ36" s="12"/>
      <c r="BK36" s="49" t="s">
        <v>332</v>
      </c>
      <c r="BL36" s="11"/>
      <c r="BM36" s="11"/>
      <c r="BN36" s="11"/>
      <c r="BO36" s="11"/>
      <c r="BP36" s="11"/>
      <c r="BQ36" s="12"/>
    </row>
    <row r="37" ht="22.5" customHeight="1">
      <c r="A37" s="35" t="s">
        <v>359</v>
      </c>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2"/>
    </row>
    <row r="38" ht="79.5" customHeight="1">
      <c r="A38" s="47">
        <v>23.0</v>
      </c>
      <c r="B38" s="49" t="s">
        <v>360</v>
      </c>
      <c r="C38" s="11"/>
      <c r="D38" s="12"/>
      <c r="E38" s="49" t="s">
        <v>361</v>
      </c>
      <c r="F38" s="11"/>
      <c r="G38" s="11"/>
      <c r="H38" s="11"/>
      <c r="I38" s="12"/>
      <c r="J38" s="49" t="s">
        <v>362</v>
      </c>
      <c r="K38" s="11"/>
      <c r="L38" s="11"/>
      <c r="M38" s="11"/>
      <c r="N38" s="11"/>
      <c r="O38" s="11"/>
      <c r="P38" s="12"/>
      <c r="Q38" s="49" t="s">
        <v>363</v>
      </c>
      <c r="R38" s="11"/>
      <c r="S38" s="11"/>
      <c r="T38" s="11"/>
      <c r="U38" s="11"/>
      <c r="V38" s="11"/>
      <c r="W38" s="12"/>
      <c r="X38" s="49" t="s">
        <v>364</v>
      </c>
      <c r="Y38" s="11"/>
      <c r="Z38" s="11"/>
      <c r="AA38" s="11"/>
      <c r="AB38" s="11"/>
      <c r="AC38" s="11"/>
      <c r="AD38" s="12"/>
      <c r="AE38" s="48" t="s">
        <v>268</v>
      </c>
      <c r="AF38" s="12"/>
      <c r="AG38" s="48"/>
      <c r="AH38" s="11"/>
      <c r="AI38" s="12"/>
      <c r="AJ38" s="48"/>
      <c r="AK38" s="11"/>
      <c r="AL38" s="12"/>
      <c r="AM38" s="48"/>
      <c r="AN38" s="11"/>
      <c r="AO38" s="12"/>
      <c r="AP38" s="48"/>
      <c r="AQ38" s="11"/>
      <c r="AR38" s="12"/>
      <c r="AS38" s="48"/>
      <c r="AT38" s="11"/>
      <c r="AU38" s="12"/>
      <c r="AV38" s="48"/>
      <c r="AW38" s="11"/>
      <c r="AX38" s="12"/>
      <c r="AY38" s="48"/>
      <c r="AZ38" s="11"/>
      <c r="BA38" s="12"/>
      <c r="BB38" s="48"/>
      <c r="BC38" s="11"/>
      <c r="BD38" s="12"/>
      <c r="BE38" s="48"/>
      <c r="BF38" s="11"/>
      <c r="BG38" s="12"/>
      <c r="BH38" s="48"/>
      <c r="BI38" s="11"/>
      <c r="BJ38" s="12"/>
      <c r="BK38" s="49"/>
      <c r="BL38" s="11"/>
      <c r="BM38" s="11"/>
      <c r="BN38" s="11"/>
      <c r="BO38" s="11"/>
      <c r="BP38" s="11"/>
      <c r="BQ38" s="12"/>
    </row>
    <row r="39" ht="79.5" customHeight="1">
      <c r="A39" s="47">
        <v>24.0</v>
      </c>
      <c r="B39" s="49" t="s">
        <v>365</v>
      </c>
      <c r="C39" s="11"/>
      <c r="D39" s="12"/>
      <c r="E39" s="49" t="s">
        <v>366</v>
      </c>
      <c r="F39" s="11"/>
      <c r="G39" s="11"/>
      <c r="H39" s="11"/>
      <c r="I39" s="12"/>
      <c r="J39" s="49" t="s">
        <v>367</v>
      </c>
      <c r="K39" s="11"/>
      <c r="L39" s="11"/>
      <c r="M39" s="11"/>
      <c r="N39" s="11"/>
      <c r="O39" s="11"/>
      <c r="P39" s="12"/>
      <c r="Q39" s="49" t="s">
        <v>368</v>
      </c>
      <c r="R39" s="11"/>
      <c r="S39" s="11"/>
      <c r="T39" s="11"/>
      <c r="U39" s="11"/>
      <c r="V39" s="11"/>
      <c r="W39" s="12"/>
      <c r="X39" s="49" t="s">
        <v>369</v>
      </c>
      <c r="Y39" s="11"/>
      <c r="Z39" s="11"/>
      <c r="AA39" s="11"/>
      <c r="AB39" s="11"/>
      <c r="AC39" s="11"/>
      <c r="AD39" s="12"/>
      <c r="AE39" s="48" t="s">
        <v>268</v>
      </c>
      <c r="AF39" s="12"/>
      <c r="AG39" s="48"/>
      <c r="AH39" s="11"/>
      <c r="AI39" s="12"/>
      <c r="AJ39" s="48"/>
      <c r="AK39" s="11"/>
      <c r="AL39" s="12"/>
      <c r="AM39" s="48"/>
      <c r="AN39" s="11"/>
      <c r="AO39" s="12"/>
      <c r="AP39" s="48"/>
      <c r="AQ39" s="11"/>
      <c r="AR39" s="12"/>
      <c r="AS39" s="48"/>
      <c r="AT39" s="11"/>
      <c r="AU39" s="12"/>
      <c r="AV39" s="48"/>
      <c r="AW39" s="11"/>
      <c r="AX39" s="12"/>
      <c r="AY39" s="48"/>
      <c r="AZ39" s="11"/>
      <c r="BA39" s="12"/>
      <c r="BB39" s="48"/>
      <c r="BC39" s="11"/>
      <c r="BD39" s="12"/>
      <c r="BE39" s="48"/>
      <c r="BF39" s="11"/>
      <c r="BG39" s="12"/>
      <c r="BH39" s="48"/>
      <c r="BI39" s="11"/>
      <c r="BJ39" s="12"/>
      <c r="BK39" s="49"/>
      <c r="BL39" s="11"/>
      <c r="BM39" s="11"/>
      <c r="BN39" s="11"/>
      <c r="BO39" s="11"/>
      <c r="BP39" s="11"/>
      <c r="BQ39" s="12"/>
    </row>
    <row r="40" ht="223.5" customHeight="1">
      <c r="A40" s="47">
        <v>25.0</v>
      </c>
      <c r="B40" s="49" t="s">
        <v>370</v>
      </c>
      <c r="C40" s="11"/>
      <c r="D40" s="12"/>
      <c r="E40" s="49" t="s">
        <v>371</v>
      </c>
      <c r="F40" s="11"/>
      <c r="G40" s="11"/>
      <c r="H40" s="11"/>
      <c r="I40" s="12"/>
      <c r="J40" s="49" t="s">
        <v>372</v>
      </c>
      <c r="K40" s="11"/>
      <c r="L40" s="11"/>
      <c r="M40" s="11"/>
      <c r="N40" s="11"/>
      <c r="O40" s="11"/>
      <c r="P40" s="12"/>
      <c r="Q40" s="49" t="s">
        <v>373</v>
      </c>
      <c r="R40" s="11"/>
      <c r="S40" s="11"/>
      <c r="T40" s="11"/>
      <c r="U40" s="11"/>
      <c r="V40" s="11"/>
      <c r="W40" s="12"/>
      <c r="X40" s="49" t="s">
        <v>374</v>
      </c>
      <c r="Y40" s="11"/>
      <c r="Z40" s="11"/>
      <c r="AA40" s="11"/>
      <c r="AB40" s="11"/>
      <c r="AC40" s="11"/>
      <c r="AD40" s="12"/>
      <c r="AE40" s="48" t="s">
        <v>268</v>
      </c>
      <c r="AF40" s="12"/>
      <c r="AG40" s="48"/>
      <c r="AH40" s="11"/>
      <c r="AI40" s="12"/>
      <c r="AJ40" s="48"/>
      <c r="AK40" s="11"/>
      <c r="AL40" s="12"/>
      <c r="AM40" s="48"/>
      <c r="AN40" s="11"/>
      <c r="AO40" s="12"/>
      <c r="AP40" s="48"/>
      <c r="AQ40" s="11"/>
      <c r="AR40" s="12"/>
      <c r="AS40" s="48"/>
      <c r="AT40" s="11"/>
      <c r="AU40" s="12"/>
      <c r="AV40" s="48"/>
      <c r="AW40" s="11"/>
      <c r="AX40" s="12"/>
      <c r="AY40" s="48"/>
      <c r="AZ40" s="11"/>
      <c r="BA40" s="12"/>
      <c r="BB40" s="48"/>
      <c r="BC40" s="11"/>
      <c r="BD40" s="12"/>
      <c r="BE40" s="48"/>
      <c r="BF40" s="11"/>
      <c r="BG40" s="12"/>
      <c r="BH40" s="48"/>
      <c r="BI40" s="11"/>
      <c r="BJ40" s="12"/>
      <c r="BK40" s="49"/>
      <c r="BL40" s="11"/>
      <c r="BM40" s="11"/>
      <c r="BN40" s="11"/>
      <c r="BO40" s="11"/>
      <c r="BP40" s="11"/>
      <c r="BQ40" s="12"/>
    </row>
    <row r="41" ht="159.75" customHeight="1">
      <c r="A41" s="47">
        <v>26.0</v>
      </c>
      <c r="B41" s="49" t="s">
        <v>375</v>
      </c>
      <c r="C41" s="11"/>
      <c r="D41" s="12"/>
      <c r="E41" s="49" t="s">
        <v>376</v>
      </c>
      <c r="F41" s="11"/>
      <c r="G41" s="11"/>
      <c r="H41" s="11"/>
      <c r="I41" s="12"/>
      <c r="J41" s="49" t="s">
        <v>377</v>
      </c>
      <c r="K41" s="11"/>
      <c r="L41" s="11"/>
      <c r="M41" s="11"/>
      <c r="N41" s="11"/>
      <c r="O41" s="11"/>
      <c r="P41" s="12"/>
      <c r="Q41" s="49" t="s">
        <v>378</v>
      </c>
      <c r="R41" s="11"/>
      <c r="S41" s="11"/>
      <c r="T41" s="11"/>
      <c r="U41" s="11"/>
      <c r="V41" s="11"/>
      <c r="W41" s="12"/>
      <c r="X41" s="49" t="s">
        <v>379</v>
      </c>
      <c r="Y41" s="11"/>
      <c r="Z41" s="11"/>
      <c r="AA41" s="11"/>
      <c r="AB41" s="11"/>
      <c r="AC41" s="11"/>
      <c r="AD41" s="12"/>
      <c r="AE41" s="48" t="s">
        <v>268</v>
      </c>
      <c r="AF41" s="12"/>
      <c r="AG41" s="48"/>
      <c r="AH41" s="11"/>
      <c r="AI41" s="12"/>
      <c r="AJ41" s="48"/>
      <c r="AK41" s="11"/>
      <c r="AL41" s="12"/>
      <c r="AM41" s="48"/>
      <c r="AN41" s="11"/>
      <c r="AO41" s="12"/>
      <c r="AP41" s="48"/>
      <c r="AQ41" s="11"/>
      <c r="AR41" s="12"/>
      <c r="AS41" s="48"/>
      <c r="AT41" s="11"/>
      <c r="AU41" s="12"/>
      <c r="AV41" s="48"/>
      <c r="AW41" s="11"/>
      <c r="AX41" s="12"/>
      <c r="AY41" s="48"/>
      <c r="AZ41" s="11"/>
      <c r="BA41" s="12"/>
      <c r="BB41" s="48"/>
      <c r="BC41" s="11"/>
      <c r="BD41" s="12"/>
      <c r="BE41" s="48"/>
      <c r="BF41" s="11"/>
      <c r="BG41" s="12"/>
      <c r="BH41" s="48"/>
      <c r="BI41" s="11"/>
      <c r="BJ41" s="12"/>
      <c r="BK41" s="49"/>
      <c r="BL41" s="11"/>
      <c r="BM41" s="11"/>
      <c r="BN41" s="11"/>
      <c r="BO41" s="11"/>
      <c r="BP41" s="11"/>
      <c r="BQ41" s="12"/>
    </row>
    <row r="42" ht="96.0" customHeight="1">
      <c r="A42" s="47">
        <v>27.0</v>
      </c>
      <c r="B42" s="49" t="s">
        <v>380</v>
      </c>
      <c r="C42" s="11"/>
      <c r="D42" s="12"/>
      <c r="E42" s="49" t="s">
        <v>381</v>
      </c>
      <c r="F42" s="11"/>
      <c r="G42" s="11"/>
      <c r="H42" s="11"/>
      <c r="I42" s="12"/>
      <c r="J42" s="49" t="s">
        <v>382</v>
      </c>
      <c r="K42" s="11"/>
      <c r="L42" s="11"/>
      <c r="M42" s="11"/>
      <c r="N42" s="11"/>
      <c r="O42" s="11"/>
      <c r="P42" s="12"/>
      <c r="Q42" s="49" t="s">
        <v>383</v>
      </c>
      <c r="R42" s="11"/>
      <c r="S42" s="11"/>
      <c r="T42" s="11"/>
      <c r="U42" s="11"/>
      <c r="V42" s="11"/>
      <c r="W42" s="12"/>
      <c r="X42" s="49" t="s">
        <v>384</v>
      </c>
      <c r="Y42" s="11"/>
      <c r="Z42" s="11"/>
      <c r="AA42" s="11"/>
      <c r="AB42" s="11"/>
      <c r="AC42" s="11"/>
      <c r="AD42" s="12"/>
      <c r="AE42" s="48" t="s">
        <v>268</v>
      </c>
      <c r="AF42" s="12"/>
      <c r="AG42" s="48"/>
      <c r="AH42" s="11"/>
      <c r="AI42" s="12"/>
      <c r="AJ42" s="48"/>
      <c r="AK42" s="11"/>
      <c r="AL42" s="12"/>
      <c r="AM42" s="48"/>
      <c r="AN42" s="11"/>
      <c r="AO42" s="12"/>
      <c r="AP42" s="48"/>
      <c r="AQ42" s="11"/>
      <c r="AR42" s="12"/>
      <c r="AS42" s="48"/>
      <c r="AT42" s="11"/>
      <c r="AU42" s="12"/>
      <c r="AV42" s="48"/>
      <c r="AW42" s="11"/>
      <c r="AX42" s="12"/>
      <c r="AY42" s="48"/>
      <c r="AZ42" s="11"/>
      <c r="BA42" s="12"/>
      <c r="BB42" s="48"/>
      <c r="BC42" s="11"/>
      <c r="BD42" s="12"/>
      <c r="BE42" s="48"/>
      <c r="BF42" s="11"/>
      <c r="BG42" s="12"/>
      <c r="BH42" s="48"/>
      <c r="BI42" s="11"/>
      <c r="BJ42" s="12"/>
      <c r="BK42" s="49"/>
      <c r="BL42" s="11"/>
      <c r="BM42" s="11"/>
      <c r="BN42" s="11"/>
      <c r="BO42" s="11"/>
      <c r="BP42" s="11"/>
      <c r="BQ42" s="12"/>
    </row>
    <row r="43" ht="79.5" customHeight="1">
      <c r="A43" s="47">
        <v>28.0</v>
      </c>
      <c r="B43" s="49" t="s">
        <v>385</v>
      </c>
      <c r="C43" s="11"/>
      <c r="D43" s="12"/>
      <c r="E43" s="49" t="s">
        <v>386</v>
      </c>
      <c r="F43" s="11"/>
      <c r="G43" s="11"/>
      <c r="H43" s="11"/>
      <c r="I43" s="12"/>
      <c r="J43" s="49" t="s">
        <v>387</v>
      </c>
      <c r="K43" s="11"/>
      <c r="L43" s="11"/>
      <c r="M43" s="11"/>
      <c r="N43" s="11"/>
      <c r="O43" s="11"/>
      <c r="P43" s="12"/>
      <c r="Q43" s="49" t="s">
        <v>388</v>
      </c>
      <c r="R43" s="11"/>
      <c r="S43" s="11"/>
      <c r="T43" s="11"/>
      <c r="U43" s="11"/>
      <c r="V43" s="11"/>
      <c r="W43" s="12"/>
      <c r="X43" s="49" t="s">
        <v>389</v>
      </c>
      <c r="Y43" s="11"/>
      <c r="Z43" s="11"/>
      <c r="AA43" s="11"/>
      <c r="AB43" s="11"/>
      <c r="AC43" s="11"/>
      <c r="AD43" s="12"/>
      <c r="AE43" s="48" t="s">
        <v>268</v>
      </c>
      <c r="AF43" s="12"/>
      <c r="AG43" s="48"/>
      <c r="AH43" s="11"/>
      <c r="AI43" s="12"/>
      <c r="AJ43" s="48"/>
      <c r="AK43" s="11"/>
      <c r="AL43" s="12"/>
      <c r="AM43" s="48"/>
      <c r="AN43" s="11"/>
      <c r="AO43" s="12"/>
      <c r="AP43" s="48"/>
      <c r="AQ43" s="11"/>
      <c r="AR43" s="12"/>
      <c r="AS43" s="48"/>
      <c r="AT43" s="11"/>
      <c r="AU43" s="12"/>
      <c r="AV43" s="48"/>
      <c r="AW43" s="11"/>
      <c r="AX43" s="12"/>
      <c r="AY43" s="48"/>
      <c r="AZ43" s="11"/>
      <c r="BA43" s="12"/>
      <c r="BB43" s="48"/>
      <c r="BC43" s="11"/>
      <c r="BD43" s="12"/>
      <c r="BE43" s="48"/>
      <c r="BF43" s="11"/>
      <c r="BG43" s="12"/>
      <c r="BH43" s="48"/>
      <c r="BI43" s="11"/>
      <c r="BJ43" s="12"/>
      <c r="BK43" s="49"/>
      <c r="BL43" s="11"/>
      <c r="BM43" s="11"/>
      <c r="BN43" s="11"/>
      <c r="BO43" s="11"/>
      <c r="BP43" s="11"/>
      <c r="BQ43" s="12"/>
    </row>
    <row r="44" ht="48.0" customHeight="1">
      <c r="A44" s="47">
        <v>29.0</v>
      </c>
      <c r="B44" s="49" t="s">
        <v>390</v>
      </c>
      <c r="C44" s="11"/>
      <c r="D44" s="12"/>
      <c r="E44" s="49" t="s">
        <v>391</v>
      </c>
      <c r="F44" s="11"/>
      <c r="G44" s="11"/>
      <c r="H44" s="11"/>
      <c r="I44" s="12"/>
      <c r="J44" s="49" t="s">
        <v>392</v>
      </c>
      <c r="K44" s="11"/>
      <c r="L44" s="11"/>
      <c r="M44" s="11"/>
      <c r="N44" s="11"/>
      <c r="O44" s="11"/>
      <c r="P44" s="12"/>
      <c r="Q44" s="49" t="s">
        <v>393</v>
      </c>
      <c r="R44" s="11"/>
      <c r="S44" s="11"/>
      <c r="T44" s="11"/>
      <c r="U44" s="11"/>
      <c r="V44" s="11"/>
      <c r="W44" s="12"/>
      <c r="X44" s="49" t="s">
        <v>394</v>
      </c>
      <c r="Y44" s="11"/>
      <c r="Z44" s="11"/>
      <c r="AA44" s="11"/>
      <c r="AB44" s="11"/>
      <c r="AC44" s="11"/>
      <c r="AD44" s="12"/>
      <c r="AE44" s="48" t="s">
        <v>268</v>
      </c>
      <c r="AF44" s="12"/>
      <c r="AG44" s="48"/>
      <c r="AH44" s="11"/>
      <c r="AI44" s="12"/>
      <c r="AJ44" s="48"/>
      <c r="AK44" s="11"/>
      <c r="AL44" s="12"/>
      <c r="AM44" s="48"/>
      <c r="AN44" s="11"/>
      <c r="AO44" s="12"/>
      <c r="AP44" s="48"/>
      <c r="AQ44" s="11"/>
      <c r="AR44" s="12"/>
      <c r="AS44" s="48"/>
      <c r="AT44" s="11"/>
      <c r="AU44" s="12"/>
      <c r="AV44" s="48"/>
      <c r="AW44" s="11"/>
      <c r="AX44" s="12"/>
      <c r="AY44" s="48"/>
      <c r="AZ44" s="11"/>
      <c r="BA44" s="12"/>
      <c r="BB44" s="48"/>
      <c r="BC44" s="11"/>
      <c r="BD44" s="12"/>
      <c r="BE44" s="48"/>
      <c r="BF44" s="11"/>
      <c r="BG44" s="12"/>
      <c r="BH44" s="48"/>
      <c r="BI44" s="11"/>
      <c r="BJ44" s="12"/>
      <c r="BK44" s="49"/>
      <c r="BL44" s="11"/>
      <c r="BM44" s="11"/>
      <c r="BN44" s="11"/>
      <c r="BO44" s="11"/>
      <c r="BP44" s="11"/>
      <c r="BQ44" s="12"/>
    </row>
    <row r="45" ht="79.5" customHeight="1">
      <c r="A45" s="47">
        <v>30.0</v>
      </c>
      <c r="B45" s="49" t="s">
        <v>395</v>
      </c>
      <c r="C45" s="11"/>
      <c r="D45" s="12"/>
      <c r="E45" s="62" t="s">
        <v>396</v>
      </c>
      <c r="F45" s="11"/>
      <c r="G45" s="11"/>
      <c r="H45" s="11"/>
      <c r="I45" s="12"/>
      <c r="J45" s="49" t="s">
        <v>397</v>
      </c>
      <c r="K45" s="11"/>
      <c r="L45" s="11"/>
      <c r="M45" s="11"/>
      <c r="N45" s="11"/>
      <c r="O45" s="11"/>
      <c r="P45" s="12"/>
      <c r="Q45" s="62" t="s">
        <v>398</v>
      </c>
      <c r="R45" s="11"/>
      <c r="S45" s="11"/>
      <c r="T45" s="11"/>
      <c r="U45" s="11"/>
      <c r="V45" s="11"/>
      <c r="W45" s="12"/>
      <c r="X45" s="49" t="s">
        <v>399</v>
      </c>
      <c r="Y45" s="11"/>
      <c r="Z45" s="11"/>
      <c r="AA45" s="11"/>
      <c r="AB45" s="11"/>
      <c r="AC45" s="11"/>
      <c r="AD45" s="12"/>
      <c r="AE45" s="48" t="s">
        <v>268</v>
      </c>
      <c r="AF45" s="12"/>
      <c r="AG45" s="48"/>
      <c r="AH45" s="11"/>
      <c r="AI45" s="12"/>
      <c r="AJ45" s="48"/>
      <c r="AK45" s="11"/>
      <c r="AL45" s="12"/>
      <c r="AM45" s="48"/>
      <c r="AN45" s="11"/>
      <c r="AO45" s="12"/>
      <c r="AP45" s="48"/>
      <c r="AQ45" s="11"/>
      <c r="AR45" s="12"/>
      <c r="AS45" s="48"/>
      <c r="AT45" s="11"/>
      <c r="AU45" s="12"/>
      <c r="AV45" s="48"/>
      <c r="AW45" s="11"/>
      <c r="AX45" s="12"/>
      <c r="AY45" s="48"/>
      <c r="AZ45" s="11"/>
      <c r="BA45" s="12"/>
      <c r="BB45" s="48"/>
      <c r="BC45" s="11"/>
      <c r="BD45" s="12"/>
      <c r="BE45" s="48"/>
      <c r="BF45" s="11"/>
      <c r="BG45" s="12"/>
      <c r="BH45" s="48"/>
      <c r="BI45" s="11"/>
      <c r="BJ45" s="12"/>
      <c r="BK45" s="49"/>
      <c r="BL45" s="11"/>
      <c r="BM45" s="11"/>
      <c r="BN45" s="11"/>
      <c r="BO45" s="11"/>
      <c r="BP45" s="11"/>
      <c r="BQ45" s="12"/>
    </row>
    <row r="46" ht="111.75" customHeight="1">
      <c r="A46" s="47">
        <v>31.0</v>
      </c>
      <c r="B46" s="49" t="s">
        <v>400</v>
      </c>
      <c r="C46" s="11"/>
      <c r="D46" s="12"/>
      <c r="E46" s="49" t="s">
        <v>401</v>
      </c>
      <c r="F46" s="11"/>
      <c r="G46" s="11"/>
      <c r="H46" s="11"/>
      <c r="I46" s="12"/>
      <c r="J46" s="49" t="s">
        <v>402</v>
      </c>
      <c r="K46" s="11"/>
      <c r="L46" s="11"/>
      <c r="M46" s="11"/>
      <c r="N46" s="11"/>
      <c r="O46" s="11"/>
      <c r="P46" s="12"/>
      <c r="Q46" s="49" t="s">
        <v>403</v>
      </c>
      <c r="R46" s="11"/>
      <c r="S46" s="11"/>
      <c r="T46" s="11"/>
      <c r="U46" s="11"/>
      <c r="V46" s="11"/>
      <c r="W46" s="12"/>
      <c r="X46" s="49" t="s">
        <v>404</v>
      </c>
      <c r="Y46" s="11"/>
      <c r="Z46" s="11"/>
      <c r="AA46" s="11"/>
      <c r="AB46" s="11"/>
      <c r="AC46" s="11"/>
      <c r="AD46" s="12"/>
      <c r="AE46" s="48" t="s">
        <v>201</v>
      </c>
      <c r="AF46" s="12"/>
      <c r="AG46" s="48"/>
      <c r="AH46" s="11"/>
      <c r="AI46" s="12"/>
      <c r="AJ46" s="48"/>
      <c r="AK46" s="11"/>
      <c r="AL46" s="12"/>
      <c r="AM46" s="48"/>
      <c r="AN46" s="11"/>
      <c r="AO46" s="12"/>
      <c r="AP46" s="48"/>
      <c r="AQ46" s="11"/>
      <c r="AR46" s="12"/>
      <c r="AS46" s="48"/>
      <c r="AT46" s="11"/>
      <c r="AU46" s="12"/>
      <c r="AV46" s="48"/>
      <c r="AW46" s="11"/>
      <c r="AX46" s="12"/>
      <c r="AY46" s="48"/>
      <c r="AZ46" s="11"/>
      <c r="BA46" s="12"/>
      <c r="BB46" s="48"/>
      <c r="BC46" s="11"/>
      <c r="BD46" s="12"/>
      <c r="BE46" s="48"/>
      <c r="BF46" s="11"/>
      <c r="BG46" s="12"/>
      <c r="BH46" s="48"/>
      <c r="BI46" s="11"/>
      <c r="BJ46" s="12"/>
      <c r="BK46" s="49"/>
      <c r="BL46" s="11"/>
      <c r="BM46" s="11"/>
      <c r="BN46" s="11"/>
      <c r="BO46" s="11"/>
      <c r="BP46" s="11"/>
      <c r="BQ46" s="12"/>
    </row>
    <row r="47" ht="175.5" customHeight="1">
      <c r="A47" s="47">
        <v>32.0</v>
      </c>
      <c r="B47" s="49" t="s">
        <v>405</v>
      </c>
      <c r="C47" s="11"/>
      <c r="D47" s="12"/>
      <c r="E47" s="49" t="s">
        <v>406</v>
      </c>
      <c r="F47" s="11"/>
      <c r="G47" s="11"/>
      <c r="H47" s="11"/>
      <c r="I47" s="12"/>
      <c r="J47" s="49" t="s">
        <v>407</v>
      </c>
      <c r="K47" s="11"/>
      <c r="L47" s="11"/>
      <c r="M47" s="11"/>
      <c r="N47" s="11"/>
      <c r="O47" s="11"/>
      <c r="P47" s="12"/>
      <c r="Q47" s="49" t="s">
        <v>408</v>
      </c>
      <c r="R47" s="11"/>
      <c r="S47" s="11"/>
      <c r="T47" s="11"/>
      <c r="U47" s="11"/>
      <c r="V47" s="11"/>
      <c r="W47" s="12"/>
      <c r="X47" s="49" t="s">
        <v>409</v>
      </c>
      <c r="Y47" s="11"/>
      <c r="Z47" s="11"/>
      <c r="AA47" s="11"/>
      <c r="AB47" s="11"/>
      <c r="AC47" s="11"/>
      <c r="AD47" s="12"/>
      <c r="AE47" s="48" t="s">
        <v>268</v>
      </c>
      <c r="AF47" s="12"/>
      <c r="AG47" s="48"/>
      <c r="AH47" s="11"/>
      <c r="AI47" s="12"/>
      <c r="AJ47" s="48"/>
      <c r="AK47" s="11"/>
      <c r="AL47" s="12"/>
      <c r="AM47" s="48"/>
      <c r="AN47" s="11"/>
      <c r="AO47" s="12"/>
      <c r="AP47" s="48"/>
      <c r="AQ47" s="11"/>
      <c r="AR47" s="12"/>
      <c r="AS47" s="48"/>
      <c r="AT47" s="11"/>
      <c r="AU47" s="12"/>
      <c r="AV47" s="48"/>
      <c r="AW47" s="11"/>
      <c r="AX47" s="12"/>
      <c r="AY47" s="48"/>
      <c r="AZ47" s="11"/>
      <c r="BA47" s="12"/>
      <c r="BB47" s="48"/>
      <c r="BC47" s="11"/>
      <c r="BD47" s="12"/>
      <c r="BE47" s="48"/>
      <c r="BF47" s="11"/>
      <c r="BG47" s="12"/>
      <c r="BH47" s="48"/>
      <c r="BI47" s="11"/>
      <c r="BJ47" s="12"/>
      <c r="BK47" s="49"/>
      <c r="BL47" s="11"/>
      <c r="BM47" s="11"/>
      <c r="BN47" s="11"/>
      <c r="BO47" s="11"/>
      <c r="BP47" s="11"/>
      <c r="BQ47" s="12"/>
    </row>
    <row r="48" ht="288.0" customHeight="1">
      <c r="A48" s="58">
        <v>33.0</v>
      </c>
      <c r="B48" s="59" t="s">
        <v>410</v>
      </c>
      <c r="C48" s="11"/>
      <c r="D48" s="12"/>
      <c r="E48" s="63" t="s">
        <v>411</v>
      </c>
      <c r="F48" s="11"/>
      <c r="G48" s="11"/>
      <c r="H48" s="11"/>
      <c r="I48" s="12"/>
      <c r="J48" s="63" t="s">
        <v>298</v>
      </c>
      <c r="K48" s="11"/>
      <c r="L48" s="11"/>
      <c r="M48" s="11"/>
      <c r="N48" s="11"/>
      <c r="O48" s="11"/>
      <c r="P48" s="12"/>
      <c r="Q48" s="63" t="s">
        <v>412</v>
      </c>
      <c r="R48" s="11"/>
      <c r="S48" s="11"/>
      <c r="T48" s="11"/>
      <c r="U48" s="11"/>
      <c r="V48" s="11"/>
      <c r="W48" s="12"/>
      <c r="X48" s="63" t="s">
        <v>413</v>
      </c>
      <c r="Y48" s="11"/>
      <c r="Z48" s="11"/>
      <c r="AA48" s="11"/>
      <c r="AB48" s="11"/>
      <c r="AC48" s="11"/>
      <c r="AD48" s="12"/>
      <c r="AE48" s="60" t="s">
        <v>268</v>
      </c>
      <c r="AF48" s="12"/>
      <c r="AG48" s="61" t="s">
        <v>54</v>
      </c>
      <c r="AH48" s="11"/>
      <c r="AI48" s="12"/>
      <c r="AJ48" s="48"/>
      <c r="AK48" s="11"/>
      <c r="AL48" s="12"/>
      <c r="AM48" s="48"/>
      <c r="AN48" s="11"/>
      <c r="AO48" s="12"/>
      <c r="AP48" s="48"/>
      <c r="AQ48" s="11"/>
      <c r="AR48" s="12"/>
      <c r="AS48" s="48"/>
      <c r="AT48" s="11"/>
      <c r="AU48" s="12"/>
      <c r="AV48" s="48"/>
      <c r="AW48" s="11"/>
      <c r="AX48" s="12"/>
      <c r="AY48" s="48"/>
      <c r="AZ48" s="11"/>
      <c r="BA48" s="12"/>
      <c r="BB48" s="48"/>
      <c r="BC48" s="11"/>
      <c r="BD48" s="12"/>
      <c r="BE48" s="48"/>
      <c r="BF48" s="11"/>
      <c r="BG48" s="12"/>
      <c r="BH48" s="48"/>
      <c r="BI48" s="11"/>
      <c r="BJ48" s="12"/>
      <c r="BK48" s="62" t="s">
        <v>414</v>
      </c>
      <c r="BL48" s="11"/>
      <c r="BM48" s="11"/>
      <c r="BN48" s="11"/>
      <c r="BO48" s="11"/>
      <c r="BP48" s="11"/>
      <c r="BQ48" s="12"/>
    </row>
    <row r="49" ht="223.5" customHeight="1">
      <c r="A49" s="47">
        <v>34.0</v>
      </c>
      <c r="B49" s="49" t="s">
        <v>415</v>
      </c>
      <c r="C49" s="11"/>
      <c r="D49" s="12"/>
      <c r="E49" s="49" t="s">
        <v>416</v>
      </c>
      <c r="F49" s="11"/>
      <c r="G49" s="11"/>
      <c r="H49" s="11"/>
      <c r="I49" s="12"/>
      <c r="J49" s="49" t="s">
        <v>402</v>
      </c>
      <c r="K49" s="11"/>
      <c r="L49" s="11"/>
      <c r="M49" s="11"/>
      <c r="N49" s="11"/>
      <c r="O49" s="11"/>
      <c r="P49" s="12"/>
      <c r="Q49" s="49" t="s">
        <v>417</v>
      </c>
      <c r="R49" s="11"/>
      <c r="S49" s="11"/>
      <c r="T49" s="11"/>
      <c r="U49" s="11"/>
      <c r="V49" s="11"/>
      <c r="W49" s="12"/>
      <c r="X49" s="49" t="s">
        <v>418</v>
      </c>
      <c r="Y49" s="11"/>
      <c r="Z49" s="11"/>
      <c r="AA49" s="11"/>
      <c r="AB49" s="11"/>
      <c r="AC49" s="11"/>
      <c r="AD49" s="12"/>
      <c r="AE49" s="48" t="s">
        <v>201</v>
      </c>
      <c r="AF49" s="12"/>
      <c r="AG49" s="48"/>
      <c r="AH49" s="11"/>
      <c r="AI49" s="12"/>
      <c r="AJ49" s="48"/>
      <c r="AK49" s="11"/>
      <c r="AL49" s="12"/>
      <c r="AM49" s="48"/>
      <c r="AN49" s="11"/>
      <c r="AO49" s="12"/>
      <c r="AP49" s="48"/>
      <c r="AQ49" s="11"/>
      <c r="AR49" s="12"/>
      <c r="AS49" s="48"/>
      <c r="AT49" s="11"/>
      <c r="AU49" s="12"/>
      <c r="AV49" s="48"/>
      <c r="AW49" s="11"/>
      <c r="AX49" s="12"/>
      <c r="AY49" s="48"/>
      <c r="AZ49" s="11"/>
      <c r="BA49" s="12"/>
      <c r="BB49" s="48"/>
      <c r="BC49" s="11"/>
      <c r="BD49" s="12"/>
      <c r="BE49" s="48"/>
      <c r="BF49" s="11"/>
      <c r="BG49" s="12"/>
      <c r="BH49" s="48"/>
      <c r="BI49" s="11"/>
      <c r="BJ49" s="12"/>
      <c r="BK49" s="49" t="s">
        <v>332</v>
      </c>
      <c r="BL49" s="11"/>
      <c r="BM49" s="11"/>
      <c r="BN49" s="11"/>
      <c r="BO49" s="11"/>
      <c r="BP49" s="11"/>
      <c r="BQ49" s="12"/>
    </row>
    <row r="50" ht="22.5" customHeight="1">
      <c r="A50" s="35" t="s">
        <v>419</v>
      </c>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2"/>
    </row>
    <row r="51" ht="96.0" customHeight="1">
      <c r="A51" s="47">
        <v>35.0</v>
      </c>
      <c r="B51" s="49" t="s">
        <v>420</v>
      </c>
      <c r="C51" s="11"/>
      <c r="D51" s="12"/>
      <c r="E51" s="49" t="s">
        <v>421</v>
      </c>
      <c r="F51" s="11"/>
      <c r="G51" s="11"/>
      <c r="H51" s="11"/>
      <c r="I51" s="12"/>
      <c r="J51" s="49" t="s">
        <v>298</v>
      </c>
      <c r="K51" s="11"/>
      <c r="L51" s="11"/>
      <c r="M51" s="11"/>
      <c r="N51" s="11"/>
      <c r="O51" s="11"/>
      <c r="P51" s="12"/>
      <c r="Q51" s="49" t="s">
        <v>422</v>
      </c>
      <c r="R51" s="11"/>
      <c r="S51" s="11"/>
      <c r="T51" s="11"/>
      <c r="U51" s="11"/>
      <c r="V51" s="11"/>
      <c r="W51" s="12"/>
      <c r="X51" s="49" t="s">
        <v>423</v>
      </c>
      <c r="Y51" s="11"/>
      <c r="Z51" s="11"/>
      <c r="AA51" s="11"/>
      <c r="AB51" s="11"/>
      <c r="AC51" s="11"/>
      <c r="AD51" s="12"/>
      <c r="AE51" s="48" t="s">
        <v>201</v>
      </c>
      <c r="AF51" s="12"/>
      <c r="AG51" s="48"/>
      <c r="AH51" s="11"/>
      <c r="AI51" s="12"/>
      <c r="AJ51" s="48"/>
      <c r="AK51" s="11"/>
      <c r="AL51" s="12"/>
      <c r="AM51" s="48"/>
      <c r="AN51" s="11"/>
      <c r="AO51" s="12"/>
      <c r="AP51" s="48"/>
      <c r="AQ51" s="11"/>
      <c r="AR51" s="12"/>
      <c r="AS51" s="48"/>
      <c r="AT51" s="11"/>
      <c r="AU51" s="12"/>
      <c r="AV51" s="48"/>
      <c r="AW51" s="11"/>
      <c r="AX51" s="12"/>
      <c r="AY51" s="48"/>
      <c r="AZ51" s="11"/>
      <c r="BA51" s="12"/>
      <c r="BB51" s="48"/>
      <c r="BC51" s="11"/>
      <c r="BD51" s="12"/>
      <c r="BE51" s="48"/>
      <c r="BF51" s="11"/>
      <c r="BG51" s="12"/>
      <c r="BH51" s="48"/>
      <c r="BI51" s="11"/>
      <c r="BJ51" s="12"/>
      <c r="BK51" s="49"/>
      <c r="BL51" s="11"/>
      <c r="BM51" s="11"/>
      <c r="BN51" s="11"/>
      <c r="BO51" s="11"/>
      <c r="BP51" s="11"/>
      <c r="BQ51" s="12"/>
    </row>
    <row r="52" ht="175.5" customHeight="1">
      <c r="A52" s="47">
        <v>36.0</v>
      </c>
      <c r="B52" s="49" t="s">
        <v>424</v>
      </c>
      <c r="C52" s="11"/>
      <c r="D52" s="12"/>
      <c r="E52" s="49" t="s">
        <v>425</v>
      </c>
      <c r="F52" s="11"/>
      <c r="G52" s="11"/>
      <c r="H52" s="11"/>
      <c r="I52" s="12"/>
      <c r="J52" s="49" t="s">
        <v>426</v>
      </c>
      <c r="K52" s="11"/>
      <c r="L52" s="11"/>
      <c r="M52" s="11"/>
      <c r="N52" s="11"/>
      <c r="O52" s="11"/>
      <c r="P52" s="12"/>
      <c r="Q52" s="49" t="s">
        <v>427</v>
      </c>
      <c r="R52" s="11"/>
      <c r="S52" s="11"/>
      <c r="T52" s="11"/>
      <c r="U52" s="11"/>
      <c r="V52" s="11"/>
      <c r="W52" s="12"/>
      <c r="X52" s="49" t="s">
        <v>428</v>
      </c>
      <c r="Y52" s="11"/>
      <c r="Z52" s="11"/>
      <c r="AA52" s="11"/>
      <c r="AB52" s="11"/>
      <c r="AC52" s="11"/>
      <c r="AD52" s="12"/>
      <c r="AE52" s="48" t="s">
        <v>201</v>
      </c>
      <c r="AF52" s="12"/>
      <c r="AG52" s="48"/>
      <c r="AH52" s="11"/>
      <c r="AI52" s="12"/>
      <c r="AJ52" s="48"/>
      <c r="AK52" s="11"/>
      <c r="AL52" s="12"/>
      <c r="AM52" s="48"/>
      <c r="AN52" s="11"/>
      <c r="AO52" s="12"/>
      <c r="AP52" s="48"/>
      <c r="AQ52" s="11"/>
      <c r="AR52" s="12"/>
      <c r="AS52" s="48"/>
      <c r="AT52" s="11"/>
      <c r="AU52" s="12"/>
      <c r="AV52" s="48"/>
      <c r="AW52" s="11"/>
      <c r="AX52" s="12"/>
      <c r="AY52" s="48"/>
      <c r="AZ52" s="11"/>
      <c r="BA52" s="12"/>
      <c r="BB52" s="48"/>
      <c r="BC52" s="11"/>
      <c r="BD52" s="12"/>
      <c r="BE52" s="48"/>
      <c r="BF52" s="11"/>
      <c r="BG52" s="12"/>
      <c r="BH52" s="48"/>
      <c r="BI52" s="11"/>
      <c r="BJ52" s="12"/>
      <c r="BK52" s="49"/>
      <c r="BL52" s="11"/>
      <c r="BM52" s="11"/>
      <c r="BN52" s="11"/>
      <c r="BO52" s="11"/>
      <c r="BP52" s="11"/>
      <c r="BQ52" s="12"/>
    </row>
    <row r="53" ht="144.0" customHeight="1">
      <c r="A53" s="47">
        <v>37.0</v>
      </c>
      <c r="B53" s="49" t="s">
        <v>429</v>
      </c>
      <c r="C53" s="11"/>
      <c r="D53" s="12"/>
      <c r="E53" s="49" t="s">
        <v>430</v>
      </c>
      <c r="F53" s="11"/>
      <c r="G53" s="11"/>
      <c r="H53" s="11"/>
      <c r="I53" s="12"/>
      <c r="J53" s="49" t="s">
        <v>298</v>
      </c>
      <c r="K53" s="11"/>
      <c r="L53" s="11"/>
      <c r="M53" s="11"/>
      <c r="N53" s="11"/>
      <c r="O53" s="11"/>
      <c r="P53" s="12"/>
      <c r="Q53" s="49" t="s">
        <v>431</v>
      </c>
      <c r="R53" s="11"/>
      <c r="S53" s="11"/>
      <c r="T53" s="11"/>
      <c r="U53" s="11"/>
      <c r="V53" s="11"/>
      <c r="W53" s="12"/>
      <c r="X53" s="49" t="s">
        <v>432</v>
      </c>
      <c r="Y53" s="11"/>
      <c r="Z53" s="11"/>
      <c r="AA53" s="11"/>
      <c r="AB53" s="11"/>
      <c r="AC53" s="11"/>
      <c r="AD53" s="12"/>
      <c r="AE53" s="48" t="s">
        <v>201</v>
      </c>
      <c r="AF53" s="12"/>
      <c r="AG53" s="48"/>
      <c r="AH53" s="11"/>
      <c r="AI53" s="12"/>
      <c r="AJ53" s="48"/>
      <c r="AK53" s="11"/>
      <c r="AL53" s="12"/>
      <c r="AM53" s="48"/>
      <c r="AN53" s="11"/>
      <c r="AO53" s="12"/>
      <c r="AP53" s="48"/>
      <c r="AQ53" s="11"/>
      <c r="AR53" s="12"/>
      <c r="AS53" s="48"/>
      <c r="AT53" s="11"/>
      <c r="AU53" s="12"/>
      <c r="AV53" s="48"/>
      <c r="AW53" s="11"/>
      <c r="AX53" s="12"/>
      <c r="AY53" s="48"/>
      <c r="AZ53" s="11"/>
      <c r="BA53" s="12"/>
      <c r="BB53" s="48"/>
      <c r="BC53" s="11"/>
      <c r="BD53" s="12"/>
      <c r="BE53" s="48"/>
      <c r="BF53" s="11"/>
      <c r="BG53" s="12"/>
      <c r="BH53" s="48"/>
      <c r="BI53" s="11"/>
      <c r="BJ53" s="12"/>
      <c r="BK53" s="49"/>
      <c r="BL53" s="11"/>
      <c r="BM53" s="11"/>
      <c r="BN53" s="11"/>
      <c r="BO53" s="11"/>
      <c r="BP53" s="11"/>
      <c r="BQ53" s="12"/>
    </row>
    <row r="54" ht="159.75" customHeight="1">
      <c r="A54" s="47">
        <v>38.0</v>
      </c>
      <c r="B54" s="49" t="s">
        <v>433</v>
      </c>
      <c r="C54" s="11"/>
      <c r="D54" s="12"/>
      <c r="E54" s="49" t="s">
        <v>434</v>
      </c>
      <c r="F54" s="11"/>
      <c r="G54" s="11"/>
      <c r="H54" s="11"/>
      <c r="I54" s="12"/>
      <c r="J54" s="49" t="s">
        <v>298</v>
      </c>
      <c r="K54" s="11"/>
      <c r="L54" s="11"/>
      <c r="M54" s="11"/>
      <c r="N54" s="11"/>
      <c r="O54" s="11"/>
      <c r="P54" s="12"/>
      <c r="Q54" s="49" t="s">
        <v>435</v>
      </c>
      <c r="R54" s="11"/>
      <c r="S54" s="11"/>
      <c r="T54" s="11"/>
      <c r="U54" s="11"/>
      <c r="V54" s="11"/>
      <c r="W54" s="12"/>
      <c r="X54" s="49" t="s">
        <v>436</v>
      </c>
      <c r="Y54" s="11"/>
      <c r="Z54" s="11"/>
      <c r="AA54" s="11"/>
      <c r="AB54" s="11"/>
      <c r="AC54" s="11"/>
      <c r="AD54" s="12"/>
      <c r="AE54" s="48" t="s">
        <v>201</v>
      </c>
      <c r="AF54" s="12"/>
      <c r="AG54" s="48"/>
      <c r="AH54" s="11"/>
      <c r="AI54" s="12"/>
      <c r="AJ54" s="48"/>
      <c r="AK54" s="11"/>
      <c r="AL54" s="12"/>
      <c r="AM54" s="48"/>
      <c r="AN54" s="11"/>
      <c r="AO54" s="12"/>
      <c r="AP54" s="48"/>
      <c r="AQ54" s="11"/>
      <c r="AR54" s="12"/>
      <c r="AS54" s="48"/>
      <c r="AT54" s="11"/>
      <c r="AU54" s="12"/>
      <c r="AV54" s="48"/>
      <c r="AW54" s="11"/>
      <c r="AX54" s="12"/>
      <c r="AY54" s="48"/>
      <c r="AZ54" s="11"/>
      <c r="BA54" s="12"/>
      <c r="BB54" s="48"/>
      <c r="BC54" s="11"/>
      <c r="BD54" s="12"/>
      <c r="BE54" s="48"/>
      <c r="BF54" s="11"/>
      <c r="BG54" s="12"/>
      <c r="BH54" s="48"/>
      <c r="BI54" s="11"/>
      <c r="BJ54" s="12"/>
      <c r="BK54" s="49"/>
      <c r="BL54" s="11"/>
      <c r="BM54" s="11"/>
      <c r="BN54" s="11"/>
      <c r="BO54" s="11"/>
      <c r="BP54" s="11"/>
      <c r="BQ54" s="12"/>
    </row>
    <row r="55" ht="159.75" customHeight="1">
      <c r="A55" s="47">
        <v>39.0</v>
      </c>
      <c r="B55" s="49" t="s">
        <v>437</v>
      </c>
      <c r="C55" s="11"/>
      <c r="D55" s="12"/>
      <c r="E55" s="49" t="s">
        <v>438</v>
      </c>
      <c r="F55" s="11"/>
      <c r="G55" s="11"/>
      <c r="H55" s="11"/>
      <c r="I55" s="12"/>
      <c r="J55" s="49" t="s">
        <v>439</v>
      </c>
      <c r="K55" s="11"/>
      <c r="L55" s="11"/>
      <c r="M55" s="11"/>
      <c r="N55" s="11"/>
      <c r="O55" s="11"/>
      <c r="P55" s="12"/>
      <c r="Q55" s="49" t="s">
        <v>440</v>
      </c>
      <c r="R55" s="11"/>
      <c r="S55" s="11"/>
      <c r="T55" s="11"/>
      <c r="U55" s="11"/>
      <c r="V55" s="11"/>
      <c r="W55" s="12"/>
      <c r="X55" s="49" t="s">
        <v>441</v>
      </c>
      <c r="Y55" s="11"/>
      <c r="Z55" s="11"/>
      <c r="AA55" s="11"/>
      <c r="AB55" s="11"/>
      <c r="AC55" s="11"/>
      <c r="AD55" s="12"/>
      <c r="AE55" s="48" t="s">
        <v>201</v>
      </c>
      <c r="AF55" s="12"/>
      <c r="AG55" s="48"/>
      <c r="AH55" s="11"/>
      <c r="AI55" s="12"/>
      <c r="AJ55" s="48"/>
      <c r="AK55" s="11"/>
      <c r="AL55" s="12"/>
      <c r="AM55" s="48"/>
      <c r="AN55" s="11"/>
      <c r="AO55" s="12"/>
      <c r="AP55" s="48"/>
      <c r="AQ55" s="11"/>
      <c r="AR55" s="12"/>
      <c r="AS55" s="48"/>
      <c r="AT55" s="11"/>
      <c r="AU55" s="12"/>
      <c r="AV55" s="48"/>
      <c r="AW55" s="11"/>
      <c r="AX55" s="12"/>
      <c r="AY55" s="48"/>
      <c r="AZ55" s="11"/>
      <c r="BA55" s="12"/>
      <c r="BB55" s="48"/>
      <c r="BC55" s="11"/>
      <c r="BD55" s="12"/>
      <c r="BE55" s="48"/>
      <c r="BF55" s="11"/>
      <c r="BG55" s="12"/>
      <c r="BH55" s="48"/>
      <c r="BI55" s="11"/>
      <c r="BJ55" s="12"/>
      <c r="BK55" s="49"/>
      <c r="BL55" s="11"/>
      <c r="BM55" s="11"/>
      <c r="BN55" s="11"/>
      <c r="BO55" s="11"/>
      <c r="BP55" s="11"/>
      <c r="BQ55" s="12"/>
    </row>
    <row r="56" ht="127.5" customHeight="1">
      <c r="A56" s="47">
        <v>40.0</v>
      </c>
      <c r="B56" s="49" t="s">
        <v>442</v>
      </c>
      <c r="C56" s="11"/>
      <c r="D56" s="12"/>
      <c r="E56" s="49" t="s">
        <v>443</v>
      </c>
      <c r="F56" s="11"/>
      <c r="G56" s="11"/>
      <c r="H56" s="11"/>
      <c r="I56" s="12"/>
      <c r="J56" s="49" t="s">
        <v>298</v>
      </c>
      <c r="K56" s="11"/>
      <c r="L56" s="11"/>
      <c r="M56" s="11"/>
      <c r="N56" s="11"/>
      <c r="O56" s="11"/>
      <c r="P56" s="12"/>
      <c r="Q56" s="49" t="s">
        <v>444</v>
      </c>
      <c r="R56" s="11"/>
      <c r="S56" s="11"/>
      <c r="T56" s="11"/>
      <c r="U56" s="11"/>
      <c r="V56" s="11"/>
      <c r="W56" s="12"/>
      <c r="X56" s="49" t="s">
        <v>445</v>
      </c>
      <c r="Y56" s="11"/>
      <c r="Z56" s="11"/>
      <c r="AA56" s="11"/>
      <c r="AB56" s="11"/>
      <c r="AC56" s="11"/>
      <c r="AD56" s="12"/>
      <c r="AE56" s="48" t="s">
        <v>201</v>
      </c>
      <c r="AF56" s="12"/>
      <c r="AG56" s="48"/>
      <c r="AH56" s="11"/>
      <c r="AI56" s="12"/>
      <c r="AJ56" s="48"/>
      <c r="AK56" s="11"/>
      <c r="AL56" s="12"/>
      <c r="AM56" s="48"/>
      <c r="AN56" s="11"/>
      <c r="AO56" s="12"/>
      <c r="AP56" s="48"/>
      <c r="AQ56" s="11"/>
      <c r="AR56" s="12"/>
      <c r="AS56" s="48"/>
      <c r="AT56" s="11"/>
      <c r="AU56" s="12"/>
      <c r="AV56" s="48"/>
      <c r="AW56" s="11"/>
      <c r="AX56" s="12"/>
      <c r="AY56" s="48"/>
      <c r="AZ56" s="11"/>
      <c r="BA56" s="12"/>
      <c r="BB56" s="48"/>
      <c r="BC56" s="11"/>
      <c r="BD56" s="12"/>
      <c r="BE56" s="48"/>
      <c r="BF56" s="11"/>
      <c r="BG56" s="12"/>
      <c r="BH56" s="48"/>
      <c r="BI56" s="11"/>
      <c r="BJ56" s="12"/>
      <c r="BK56" s="49"/>
      <c r="BL56" s="11"/>
      <c r="BM56" s="11"/>
      <c r="BN56" s="11"/>
      <c r="BO56" s="11"/>
      <c r="BP56" s="11"/>
      <c r="BQ56" s="12"/>
    </row>
    <row r="57" ht="192.0" customHeight="1">
      <c r="A57" s="47">
        <v>41.0</v>
      </c>
      <c r="B57" s="49" t="s">
        <v>446</v>
      </c>
      <c r="C57" s="11"/>
      <c r="D57" s="12"/>
      <c r="E57" s="49" t="s">
        <v>447</v>
      </c>
      <c r="F57" s="11"/>
      <c r="G57" s="11"/>
      <c r="H57" s="11"/>
      <c r="I57" s="12"/>
      <c r="J57" s="49" t="s">
        <v>298</v>
      </c>
      <c r="K57" s="11"/>
      <c r="L57" s="11"/>
      <c r="M57" s="11"/>
      <c r="N57" s="11"/>
      <c r="O57" s="11"/>
      <c r="P57" s="12"/>
      <c r="Q57" s="49" t="s">
        <v>448</v>
      </c>
      <c r="R57" s="11"/>
      <c r="S57" s="11"/>
      <c r="T57" s="11"/>
      <c r="U57" s="11"/>
      <c r="V57" s="11"/>
      <c r="W57" s="12"/>
      <c r="X57" s="49" t="s">
        <v>449</v>
      </c>
      <c r="Y57" s="11"/>
      <c r="Z57" s="11"/>
      <c r="AA57" s="11"/>
      <c r="AB57" s="11"/>
      <c r="AC57" s="11"/>
      <c r="AD57" s="12"/>
      <c r="AE57" s="48" t="s">
        <v>201</v>
      </c>
      <c r="AF57" s="12"/>
      <c r="AG57" s="48"/>
      <c r="AH57" s="11"/>
      <c r="AI57" s="12"/>
      <c r="AJ57" s="48"/>
      <c r="AK57" s="11"/>
      <c r="AL57" s="12"/>
      <c r="AM57" s="48"/>
      <c r="AN57" s="11"/>
      <c r="AO57" s="12"/>
      <c r="AP57" s="48"/>
      <c r="AQ57" s="11"/>
      <c r="AR57" s="12"/>
      <c r="AS57" s="48"/>
      <c r="AT57" s="11"/>
      <c r="AU57" s="12"/>
      <c r="AV57" s="48"/>
      <c r="AW57" s="11"/>
      <c r="AX57" s="12"/>
      <c r="AY57" s="48"/>
      <c r="AZ57" s="11"/>
      <c r="BA57" s="12"/>
      <c r="BB57" s="48"/>
      <c r="BC57" s="11"/>
      <c r="BD57" s="12"/>
      <c r="BE57" s="48"/>
      <c r="BF57" s="11"/>
      <c r="BG57" s="12"/>
      <c r="BH57" s="48"/>
      <c r="BI57" s="11"/>
      <c r="BJ57" s="12"/>
      <c r="BK57" s="49"/>
      <c r="BL57" s="11"/>
      <c r="BM57" s="11"/>
      <c r="BN57" s="11"/>
      <c r="BO57" s="11"/>
      <c r="BP57" s="11"/>
      <c r="BQ57" s="1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68">
    <mergeCell ref="BE39:BG39"/>
    <mergeCell ref="BH39:BJ39"/>
    <mergeCell ref="AJ39:AL39"/>
    <mergeCell ref="AM39:AO39"/>
    <mergeCell ref="AP39:AR39"/>
    <mergeCell ref="AS39:AU39"/>
    <mergeCell ref="AV39:AX39"/>
    <mergeCell ref="AY39:BA39"/>
    <mergeCell ref="BB39:BD39"/>
    <mergeCell ref="BE36:BG36"/>
    <mergeCell ref="BH36:BJ36"/>
    <mergeCell ref="BK36:BQ36"/>
    <mergeCell ref="AJ36:AL36"/>
    <mergeCell ref="AM36:AO36"/>
    <mergeCell ref="AP36:AR36"/>
    <mergeCell ref="AS36:AU36"/>
    <mergeCell ref="AV36:AX36"/>
    <mergeCell ref="AY36:BA36"/>
    <mergeCell ref="BB36:BD36"/>
    <mergeCell ref="E36:I36"/>
    <mergeCell ref="J36:P36"/>
    <mergeCell ref="Q36:W36"/>
    <mergeCell ref="X36:AD36"/>
    <mergeCell ref="AE36:AF36"/>
    <mergeCell ref="AG36:AI36"/>
    <mergeCell ref="A37:BQ37"/>
    <mergeCell ref="BB38:BD38"/>
    <mergeCell ref="BE38:BG38"/>
    <mergeCell ref="BH38:BJ38"/>
    <mergeCell ref="BK38:BQ38"/>
    <mergeCell ref="BK39:BQ39"/>
    <mergeCell ref="AG38:AI38"/>
    <mergeCell ref="AJ38:AL38"/>
    <mergeCell ref="AM38:AO38"/>
    <mergeCell ref="AP38:AR38"/>
    <mergeCell ref="AS38:AU38"/>
    <mergeCell ref="AV38:AX38"/>
    <mergeCell ref="AY38:BA38"/>
    <mergeCell ref="B36:D36"/>
    <mergeCell ref="B38:D38"/>
    <mergeCell ref="E38:I38"/>
    <mergeCell ref="J38:P38"/>
    <mergeCell ref="Q38:W38"/>
    <mergeCell ref="X38:AD38"/>
    <mergeCell ref="AE38:AF38"/>
    <mergeCell ref="B39:D39"/>
    <mergeCell ref="E39:I39"/>
    <mergeCell ref="J39:P39"/>
    <mergeCell ref="Q39:W39"/>
    <mergeCell ref="X39:AD39"/>
    <mergeCell ref="AE39:AF39"/>
    <mergeCell ref="AG39:AI39"/>
    <mergeCell ref="BE48:BG48"/>
    <mergeCell ref="BH48:BJ48"/>
    <mergeCell ref="AJ48:AL48"/>
    <mergeCell ref="AM48:AO48"/>
    <mergeCell ref="AP48:AR48"/>
    <mergeCell ref="AS48:AU48"/>
    <mergeCell ref="AV48:AX48"/>
    <mergeCell ref="AY48:BA48"/>
    <mergeCell ref="BB48:BD48"/>
    <mergeCell ref="BE46:BG46"/>
    <mergeCell ref="BH46:BJ46"/>
    <mergeCell ref="BK46:BQ46"/>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E47:BG47"/>
    <mergeCell ref="BH47:BJ47"/>
    <mergeCell ref="BK47:BQ47"/>
    <mergeCell ref="BK48:BQ48"/>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48:D48"/>
    <mergeCell ref="E48:I48"/>
    <mergeCell ref="J48:P48"/>
    <mergeCell ref="Q48:W48"/>
    <mergeCell ref="X48:AD48"/>
    <mergeCell ref="AE48:AF48"/>
    <mergeCell ref="AG48:AI48"/>
    <mergeCell ref="BE52:BG52"/>
    <mergeCell ref="BH52:BJ52"/>
    <mergeCell ref="AJ52:AL52"/>
    <mergeCell ref="AM52:AO52"/>
    <mergeCell ref="AP52:AR52"/>
    <mergeCell ref="AS52:AU52"/>
    <mergeCell ref="AV52:AX52"/>
    <mergeCell ref="AY52:BA52"/>
    <mergeCell ref="BB52:BD52"/>
    <mergeCell ref="BE49:BG49"/>
    <mergeCell ref="BH49:BJ49"/>
    <mergeCell ref="BK49:BQ49"/>
    <mergeCell ref="AJ49:AL49"/>
    <mergeCell ref="AM49:AO49"/>
    <mergeCell ref="AP49:AR49"/>
    <mergeCell ref="AS49:AU49"/>
    <mergeCell ref="AV49:AX49"/>
    <mergeCell ref="AY49:BA49"/>
    <mergeCell ref="BB49:BD49"/>
    <mergeCell ref="E49:I49"/>
    <mergeCell ref="J49:P49"/>
    <mergeCell ref="Q49:W49"/>
    <mergeCell ref="X49:AD49"/>
    <mergeCell ref="AE49:AF49"/>
    <mergeCell ref="AG49:AI49"/>
    <mergeCell ref="A50:BQ50"/>
    <mergeCell ref="BB51:BD51"/>
    <mergeCell ref="BE51:BG51"/>
    <mergeCell ref="BH51:BJ51"/>
    <mergeCell ref="BK51:BQ51"/>
    <mergeCell ref="BK52:BQ52"/>
    <mergeCell ref="AG51:AI51"/>
    <mergeCell ref="AJ51:AL51"/>
    <mergeCell ref="AM51:AO51"/>
    <mergeCell ref="AP51:AR51"/>
    <mergeCell ref="AS51:AU51"/>
    <mergeCell ref="AV51:AX51"/>
    <mergeCell ref="AY51:BA51"/>
    <mergeCell ref="B49:D49"/>
    <mergeCell ref="B51:D51"/>
    <mergeCell ref="E51:I51"/>
    <mergeCell ref="J51:P51"/>
    <mergeCell ref="Q51:W51"/>
    <mergeCell ref="X51:AD51"/>
    <mergeCell ref="AE51:AF51"/>
    <mergeCell ref="B52:D52"/>
    <mergeCell ref="E52:I52"/>
    <mergeCell ref="J52:P52"/>
    <mergeCell ref="Q52:W52"/>
    <mergeCell ref="X52:AD52"/>
    <mergeCell ref="AE52:AF52"/>
    <mergeCell ref="AG52:AI52"/>
    <mergeCell ref="BE55:BG55"/>
    <mergeCell ref="BH55:BJ55"/>
    <mergeCell ref="AJ55:AL55"/>
    <mergeCell ref="AM55:AO55"/>
    <mergeCell ref="AP55:AR55"/>
    <mergeCell ref="AS55:AU55"/>
    <mergeCell ref="AV55:AX55"/>
    <mergeCell ref="AY55:BA55"/>
    <mergeCell ref="BB55:BD55"/>
    <mergeCell ref="BE53:BG53"/>
    <mergeCell ref="BH53:BJ53"/>
    <mergeCell ref="BK53:BQ53"/>
    <mergeCell ref="AJ53:AL53"/>
    <mergeCell ref="AM53:AO53"/>
    <mergeCell ref="AP53:AR53"/>
    <mergeCell ref="AS53:AU53"/>
    <mergeCell ref="AV53:AX53"/>
    <mergeCell ref="AY53:BA53"/>
    <mergeCell ref="BB53:BD53"/>
    <mergeCell ref="B53:D53"/>
    <mergeCell ref="E53:I53"/>
    <mergeCell ref="J53:P53"/>
    <mergeCell ref="Q53:W53"/>
    <mergeCell ref="X53:AD53"/>
    <mergeCell ref="AE53:AF53"/>
    <mergeCell ref="AG53:AI53"/>
    <mergeCell ref="BE54:BG54"/>
    <mergeCell ref="BH54:BJ54"/>
    <mergeCell ref="BK54:BQ54"/>
    <mergeCell ref="BK55:BQ55"/>
    <mergeCell ref="AJ54:AL54"/>
    <mergeCell ref="AM54:AO54"/>
    <mergeCell ref="AP54:AR54"/>
    <mergeCell ref="AS54:AU54"/>
    <mergeCell ref="AV54:AX54"/>
    <mergeCell ref="AY54:BA54"/>
    <mergeCell ref="BB54:BD54"/>
    <mergeCell ref="B54:D54"/>
    <mergeCell ref="E54:I54"/>
    <mergeCell ref="J54:P54"/>
    <mergeCell ref="Q54:W54"/>
    <mergeCell ref="X54:AD54"/>
    <mergeCell ref="AE54:AF54"/>
    <mergeCell ref="AG54:AI54"/>
    <mergeCell ref="B55:D55"/>
    <mergeCell ref="E55:I55"/>
    <mergeCell ref="J55:P55"/>
    <mergeCell ref="Q55:W55"/>
    <mergeCell ref="X55:AD55"/>
    <mergeCell ref="AE55:AF55"/>
    <mergeCell ref="AG55:AI55"/>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P18:AR18"/>
    <mergeCell ref="AS18:AU18"/>
    <mergeCell ref="AV18:AX18"/>
    <mergeCell ref="AY18:BA18"/>
    <mergeCell ref="BB18:BD18"/>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P17:AR17"/>
    <mergeCell ref="AS17:AU17"/>
    <mergeCell ref="AV17:AX17"/>
    <mergeCell ref="AY17:BA17"/>
    <mergeCell ref="BB17:BD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E56:BG56"/>
    <mergeCell ref="BH56:BJ56"/>
    <mergeCell ref="BK56:BQ56"/>
    <mergeCell ref="AJ56:AL56"/>
    <mergeCell ref="AM56:AO56"/>
    <mergeCell ref="AP56:AR56"/>
    <mergeCell ref="AS56:AU56"/>
    <mergeCell ref="AV56:AX56"/>
    <mergeCell ref="AY56:BA56"/>
    <mergeCell ref="BB56:BD56"/>
    <mergeCell ref="B56:D56"/>
    <mergeCell ref="E56:I56"/>
    <mergeCell ref="J56:P56"/>
    <mergeCell ref="Q56:W56"/>
    <mergeCell ref="X56:AD56"/>
    <mergeCell ref="AE56:AF56"/>
    <mergeCell ref="AG56:AI56"/>
    <mergeCell ref="B57:D57"/>
    <mergeCell ref="E57:I57"/>
    <mergeCell ref="J57:P57"/>
    <mergeCell ref="Q57:W57"/>
    <mergeCell ref="X57:AD57"/>
    <mergeCell ref="AE57:AF57"/>
    <mergeCell ref="AG57:AI57"/>
    <mergeCell ref="BE57:BG57"/>
    <mergeCell ref="BH57:BJ57"/>
    <mergeCell ref="BK57:BQ57"/>
    <mergeCell ref="AJ57:AL57"/>
    <mergeCell ref="AM57:AO57"/>
    <mergeCell ref="AP57:AR57"/>
    <mergeCell ref="AS57:AU57"/>
    <mergeCell ref="AV57:AX57"/>
    <mergeCell ref="AY57:BA57"/>
    <mergeCell ref="BB57:BD57"/>
    <mergeCell ref="BB22:BD22"/>
    <mergeCell ref="BE22:BG22"/>
    <mergeCell ref="AG22:AI22"/>
    <mergeCell ref="AJ22:AL22"/>
    <mergeCell ref="AM22:AO22"/>
    <mergeCell ref="AP22:AR22"/>
    <mergeCell ref="AS22:AU22"/>
    <mergeCell ref="AV22:AX22"/>
    <mergeCell ref="AY22:BA22"/>
    <mergeCell ref="BE19:BG19"/>
    <mergeCell ref="BH19:BJ19"/>
    <mergeCell ref="BK19:BQ19"/>
    <mergeCell ref="AJ19:AL19"/>
    <mergeCell ref="AM19:AO19"/>
    <mergeCell ref="AP19:AR19"/>
    <mergeCell ref="AS19:AU19"/>
    <mergeCell ref="AV19:AX19"/>
    <mergeCell ref="AY19:BA19"/>
    <mergeCell ref="BB19:BD19"/>
    <mergeCell ref="B19:D19"/>
    <mergeCell ref="E19:I19"/>
    <mergeCell ref="J19:P19"/>
    <mergeCell ref="Q19:W19"/>
    <mergeCell ref="X19:AD19"/>
    <mergeCell ref="AE19:AF19"/>
    <mergeCell ref="AG19:AI19"/>
    <mergeCell ref="BE20:BG20"/>
    <mergeCell ref="BH20:BJ20"/>
    <mergeCell ref="BK20:BQ20"/>
    <mergeCell ref="BH22:BJ22"/>
    <mergeCell ref="BK22:BQ22"/>
    <mergeCell ref="AJ20:AL20"/>
    <mergeCell ref="AM20:AO20"/>
    <mergeCell ref="AP20:AR20"/>
    <mergeCell ref="AS20:AU20"/>
    <mergeCell ref="AV20:AX20"/>
    <mergeCell ref="AY20:BA20"/>
    <mergeCell ref="BB20:BD20"/>
    <mergeCell ref="E20:I20"/>
    <mergeCell ref="J20:P20"/>
    <mergeCell ref="Q20:W20"/>
    <mergeCell ref="X20:AD20"/>
    <mergeCell ref="AE20:AF20"/>
    <mergeCell ref="AG20:AI20"/>
    <mergeCell ref="A21:BQ21"/>
    <mergeCell ref="B20:D20"/>
    <mergeCell ref="B22:D22"/>
    <mergeCell ref="E22:I22"/>
    <mergeCell ref="J22:P22"/>
    <mergeCell ref="Q22:W22"/>
    <mergeCell ref="X22:AD22"/>
    <mergeCell ref="AE22:AF22"/>
    <mergeCell ref="BE25:BG25"/>
    <mergeCell ref="BH25:BJ25"/>
    <mergeCell ref="AJ25:AL25"/>
    <mergeCell ref="AM25:AO25"/>
    <mergeCell ref="AP25:AR25"/>
    <mergeCell ref="AS25:AU25"/>
    <mergeCell ref="AV25:AX25"/>
    <mergeCell ref="AY25:BA25"/>
    <mergeCell ref="BB25:BD25"/>
    <mergeCell ref="BE23:BG23"/>
    <mergeCell ref="BH23:BJ23"/>
    <mergeCell ref="BK23:BQ23"/>
    <mergeCell ref="AJ23:AL23"/>
    <mergeCell ref="AM23:AO23"/>
    <mergeCell ref="AP23:AR23"/>
    <mergeCell ref="AS23:AU23"/>
    <mergeCell ref="AV23:AX23"/>
    <mergeCell ref="AY23:BA23"/>
    <mergeCell ref="BB23:BD23"/>
    <mergeCell ref="B23:D23"/>
    <mergeCell ref="E23:I23"/>
    <mergeCell ref="J23:P23"/>
    <mergeCell ref="Q23:W23"/>
    <mergeCell ref="X23:AD23"/>
    <mergeCell ref="AE23:AF23"/>
    <mergeCell ref="AG23:AI23"/>
    <mergeCell ref="BE24:BG24"/>
    <mergeCell ref="BH24:BJ24"/>
    <mergeCell ref="BK24:BQ24"/>
    <mergeCell ref="BK25:BQ25"/>
    <mergeCell ref="AJ24:AL24"/>
    <mergeCell ref="AM24:AO24"/>
    <mergeCell ref="AP24:AR24"/>
    <mergeCell ref="AS24:AU24"/>
    <mergeCell ref="AV24:AX24"/>
    <mergeCell ref="AY24:BA24"/>
    <mergeCell ref="BB24:BD24"/>
    <mergeCell ref="B24:D24"/>
    <mergeCell ref="E24:I24"/>
    <mergeCell ref="J24:P24"/>
    <mergeCell ref="Q24:W24"/>
    <mergeCell ref="X24:AD24"/>
    <mergeCell ref="AE24:AF24"/>
    <mergeCell ref="AG24:AI24"/>
    <mergeCell ref="B25:D25"/>
    <mergeCell ref="E25:I25"/>
    <mergeCell ref="J25:P25"/>
    <mergeCell ref="Q25:W25"/>
    <mergeCell ref="X25:AD25"/>
    <mergeCell ref="AE25:AF25"/>
    <mergeCell ref="AG25:AI25"/>
    <mergeCell ref="BE28:BG28"/>
    <mergeCell ref="BH28:BJ28"/>
    <mergeCell ref="AJ28:AL28"/>
    <mergeCell ref="AM28:AO28"/>
    <mergeCell ref="AP28:AR28"/>
    <mergeCell ref="AS28:AU28"/>
    <mergeCell ref="AV28:AX28"/>
    <mergeCell ref="AY28:BA28"/>
    <mergeCell ref="BB28:BD28"/>
    <mergeCell ref="BE26:BG26"/>
    <mergeCell ref="BH26:BJ26"/>
    <mergeCell ref="BK26:BQ26"/>
    <mergeCell ref="AJ26:AL26"/>
    <mergeCell ref="AM26:AO26"/>
    <mergeCell ref="AP26:AR26"/>
    <mergeCell ref="AS26:AU26"/>
    <mergeCell ref="AV26:AX26"/>
    <mergeCell ref="AY26:BA26"/>
    <mergeCell ref="BB26:BD26"/>
    <mergeCell ref="B26:D26"/>
    <mergeCell ref="E26:I26"/>
    <mergeCell ref="J26:P26"/>
    <mergeCell ref="Q26:W26"/>
    <mergeCell ref="X26:AD26"/>
    <mergeCell ref="AE26:AF26"/>
    <mergeCell ref="AG26:AI26"/>
    <mergeCell ref="BE27:BG27"/>
    <mergeCell ref="BH27:BJ27"/>
    <mergeCell ref="BK27:BQ27"/>
    <mergeCell ref="BK28:BQ28"/>
    <mergeCell ref="AJ27:AL27"/>
    <mergeCell ref="AM27:AO27"/>
    <mergeCell ref="AP27:AR27"/>
    <mergeCell ref="AS27:AU27"/>
    <mergeCell ref="AV27:AX27"/>
    <mergeCell ref="AY27:BA27"/>
    <mergeCell ref="BB27:BD27"/>
    <mergeCell ref="B27:D27"/>
    <mergeCell ref="E27:I27"/>
    <mergeCell ref="J27:P27"/>
    <mergeCell ref="Q27:W27"/>
    <mergeCell ref="X27:AD27"/>
    <mergeCell ref="AE27:AF27"/>
    <mergeCell ref="AG27:AI27"/>
    <mergeCell ref="B28:D28"/>
    <mergeCell ref="E28:I28"/>
    <mergeCell ref="J28:P28"/>
    <mergeCell ref="Q28:W28"/>
    <mergeCell ref="X28:AD28"/>
    <mergeCell ref="AE28:AF28"/>
    <mergeCell ref="AG28:AI28"/>
    <mergeCell ref="BE32:BG32"/>
    <mergeCell ref="BH32:BJ32"/>
    <mergeCell ref="AJ32:AL32"/>
    <mergeCell ref="AM32:AO32"/>
    <mergeCell ref="AP32:AR32"/>
    <mergeCell ref="AS32:AU32"/>
    <mergeCell ref="AV32:AX32"/>
    <mergeCell ref="AY32:BA32"/>
    <mergeCell ref="BB32:BD32"/>
    <mergeCell ref="BE29:BG29"/>
    <mergeCell ref="BH29:BJ29"/>
    <mergeCell ref="BK29:BQ29"/>
    <mergeCell ref="AJ29:AL29"/>
    <mergeCell ref="AM29:AO29"/>
    <mergeCell ref="AP29:AR29"/>
    <mergeCell ref="AS29:AU29"/>
    <mergeCell ref="AV29:AX29"/>
    <mergeCell ref="AY29:BA29"/>
    <mergeCell ref="BB29:BD29"/>
    <mergeCell ref="E29:I29"/>
    <mergeCell ref="J29:P29"/>
    <mergeCell ref="Q29:W29"/>
    <mergeCell ref="X29:AD29"/>
    <mergeCell ref="AE29:AF29"/>
    <mergeCell ref="AG29:AI29"/>
    <mergeCell ref="A30:BQ30"/>
    <mergeCell ref="BB31:BD31"/>
    <mergeCell ref="BE31:BG31"/>
    <mergeCell ref="BH31:BJ31"/>
    <mergeCell ref="BK31:BQ31"/>
    <mergeCell ref="BK32:BQ32"/>
    <mergeCell ref="AG31:AI31"/>
    <mergeCell ref="AJ31:AL31"/>
    <mergeCell ref="AM31:AO31"/>
    <mergeCell ref="AP31:AR31"/>
    <mergeCell ref="AS31:AU31"/>
    <mergeCell ref="AV31:AX31"/>
    <mergeCell ref="AY31:BA31"/>
    <mergeCell ref="B29:D29"/>
    <mergeCell ref="B31:D31"/>
    <mergeCell ref="E31:I31"/>
    <mergeCell ref="J31:P31"/>
    <mergeCell ref="Q31:W31"/>
    <mergeCell ref="X31:AD31"/>
    <mergeCell ref="AE31:AF31"/>
    <mergeCell ref="B32:D32"/>
    <mergeCell ref="E32:I32"/>
    <mergeCell ref="J32:P32"/>
    <mergeCell ref="Q32:W32"/>
    <mergeCell ref="X32:AD32"/>
    <mergeCell ref="AE32:AF32"/>
    <mergeCell ref="AG32:AI32"/>
    <mergeCell ref="BE35:BG35"/>
    <mergeCell ref="BH35:BJ35"/>
    <mergeCell ref="AJ35:AL35"/>
    <mergeCell ref="AM35:AO35"/>
    <mergeCell ref="AP35:AR35"/>
    <mergeCell ref="AS35:AU35"/>
    <mergeCell ref="AV35:AX35"/>
    <mergeCell ref="AY35:BA35"/>
    <mergeCell ref="BB35:BD35"/>
    <mergeCell ref="BE33:BG33"/>
    <mergeCell ref="BH33:BJ33"/>
    <mergeCell ref="BK33:BQ33"/>
    <mergeCell ref="AJ33:AL33"/>
    <mergeCell ref="AM33:AO33"/>
    <mergeCell ref="AP33:AR33"/>
    <mergeCell ref="AS33:AU33"/>
    <mergeCell ref="AV33:AX33"/>
    <mergeCell ref="AY33:BA33"/>
    <mergeCell ref="BB33:BD33"/>
    <mergeCell ref="B33:D33"/>
    <mergeCell ref="E33:I33"/>
    <mergeCell ref="J33:P33"/>
    <mergeCell ref="Q33:W33"/>
    <mergeCell ref="X33:AD33"/>
    <mergeCell ref="AE33:AF33"/>
    <mergeCell ref="AG33:AI33"/>
    <mergeCell ref="BE34:BG34"/>
    <mergeCell ref="BH34:BJ34"/>
    <mergeCell ref="BK34:BQ34"/>
    <mergeCell ref="BK35:BQ35"/>
    <mergeCell ref="AJ34:AL34"/>
    <mergeCell ref="AM34:AO34"/>
    <mergeCell ref="AP34:AR34"/>
    <mergeCell ref="AS34:AU34"/>
    <mergeCell ref="AV34:AX34"/>
    <mergeCell ref="AY34:BA34"/>
    <mergeCell ref="BB34:BD34"/>
    <mergeCell ref="B34:D34"/>
    <mergeCell ref="E34:I34"/>
    <mergeCell ref="J34:P34"/>
    <mergeCell ref="Q34:W34"/>
    <mergeCell ref="X34:AD34"/>
    <mergeCell ref="AE34:AF34"/>
    <mergeCell ref="AG34:AI34"/>
    <mergeCell ref="B35:D35"/>
    <mergeCell ref="E35:I35"/>
    <mergeCell ref="J35:P35"/>
    <mergeCell ref="Q35:W35"/>
    <mergeCell ref="X35:AD35"/>
    <mergeCell ref="AE35:AF35"/>
    <mergeCell ref="AG35:AI35"/>
    <mergeCell ref="BE42:BG42"/>
    <mergeCell ref="BH42:BJ42"/>
    <mergeCell ref="AJ42:AL42"/>
    <mergeCell ref="AM42:AO42"/>
    <mergeCell ref="AP42:AR42"/>
    <mergeCell ref="AS42:AU42"/>
    <mergeCell ref="AV42:AX42"/>
    <mergeCell ref="AY42:BA42"/>
    <mergeCell ref="BB42:BD42"/>
    <mergeCell ref="BE40:BG40"/>
    <mergeCell ref="BH40:BJ40"/>
    <mergeCell ref="BK40:BQ40"/>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E41:BG41"/>
    <mergeCell ref="BH41:BJ41"/>
    <mergeCell ref="BK41:BQ41"/>
    <mergeCell ref="BK42:BQ42"/>
    <mergeCell ref="AJ41:AL41"/>
    <mergeCell ref="AM41:AO41"/>
    <mergeCell ref="AP41:AR41"/>
    <mergeCell ref="AS41:AU41"/>
    <mergeCell ref="AV41:AX41"/>
    <mergeCell ref="AY41:BA41"/>
    <mergeCell ref="BB41:BD41"/>
    <mergeCell ref="B41:D41"/>
    <mergeCell ref="E41:I41"/>
    <mergeCell ref="J41:P41"/>
    <mergeCell ref="Q41:W41"/>
    <mergeCell ref="X41:AD41"/>
    <mergeCell ref="AE41:AF41"/>
    <mergeCell ref="AG41:AI41"/>
    <mergeCell ref="B42:D42"/>
    <mergeCell ref="E42:I42"/>
    <mergeCell ref="J42:P42"/>
    <mergeCell ref="Q42:W42"/>
    <mergeCell ref="X42:AD42"/>
    <mergeCell ref="AE42:AF42"/>
    <mergeCell ref="AG42:AI42"/>
    <mergeCell ref="BE45:BG45"/>
    <mergeCell ref="BH45:BJ45"/>
    <mergeCell ref="AJ45:AL45"/>
    <mergeCell ref="AM45:AO45"/>
    <mergeCell ref="AP45:AR45"/>
    <mergeCell ref="AS45:AU45"/>
    <mergeCell ref="AV45:AX45"/>
    <mergeCell ref="AY45:BA45"/>
    <mergeCell ref="BB45:BD45"/>
    <mergeCell ref="BE43:BG43"/>
    <mergeCell ref="BH43:BJ43"/>
    <mergeCell ref="BK43:BQ43"/>
    <mergeCell ref="AJ43:AL43"/>
    <mergeCell ref="AM43:AO43"/>
    <mergeCell ref="AP43:AR43"/>
    <mergeCell ref="AS43:AU43"/>
    <mergeCell ref="AV43:AX43"/>
    <mergeCell ref="AY43:BA43"/>
    <mergeCell ref="BB43:BD43"/>
    <mergeCell ref="B43:D43"/>
    <mergeCell ref="E43:I43"/>
    <mergeCell ref="J43:P43"/>
    <mergeCell ref="Q43:W43"/>
    <mergeCell ref="X43:AD43"/>
    <mergeCell ref="AE43:AF43"/>
    <mergeCell ref="AG43:AI43"/>
    <mergeCell ref="BE44:BG44"/>
    <mergeCell ref="BH44:BJ44"/>
    <mergeCell ref="BK44:BQ44"/>
    <mergeCell ref="BK45:BQ45"/>
    <mergeCell ref="AJ44:AL44"/>
    <mergeCell ref="AM44:AO44"/>
    <mergeCell ref="AP44:AR44"/>
    <mergeCell ref="AS44:AU44"/>
    <mergeCell ref="AV44:AX44"/>
    <mergeCell ref="AY44:BA44"/>
    <mergeCell ref="BB44:BD44"/>
    <mergeCell ref="B44:D44"/>
    <mergeCell ref="E44:I44"/>
    <mergeCell ref="J44:P44"/>
    <mergeCell ref="Q44:W44"/>
    <mergeCell ref="X44:AD44"/>
    <mergeCell ref="AE44:AF44"/>
    <mergeCell ref="AG44:AI44"/>
    <mergeCell ref="B45:D45"/>
    <mergeCell ref="E45:I45"/>
    <mergeCell ref="J45:P45"/>
    <mergeCell ref="Q45:W45"/>
    <mergeCell ref="X45:AD45"/>
    <mergeCell ref="AE45:AF45"/>
    <mergeCell ref="AG45:AI45"/>
  </mergeCells>
  <dataValidations>
    <dataValidation type="list" allowBlank="1" sqref="F1">
      <formula1>"単体テスト,結合テスト,システムテスト"</formula1>
    </dataValidation>
    <dataValidation type="list" allowBlank="1" sqref="AG13:AG20 AV13:AV20 AG22:AG29 AV22:AV29 AG31:AG36 AV31:AV36 AG38:AG49 AV38:AV49 AG51:AG57 AV51:AV57">
      <formula1>"合格,不合格,未テスト,N/A"</formula1>
    </dataValidation>
    <dataValidation type="list" allowBlank="1" sqref="AE13:AE20 AE22:AE29 AE31:AE36 AE38:AE49 AE51:AE57">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2026-06-17T09:22:15Z</dcterms:created>
  <dc:creator>openpyxl</dc:creator>
</cp:coreProperties>
</file>